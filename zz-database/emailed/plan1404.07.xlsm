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pivotTables/pivotTable2.xml" ContentType="application/vnd.openxmlformats-officedocument.spreadsheetml.pivot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1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trlProps/ctrlProp13.xml" ContentType="application/vnd.ms-excel.controlproperties+xml"/>
  <Override PartName="/xl/tables/table12.xml" ContentType="application/vnd.openxmlformats-officedocument.spreadsheetml.table+xml"/>
  <Override PartName="/xl/drawings/drawing6.xml" ContentType="application/vnd.openxmlformats-officedocument.drawing+xml"/>
  <Override PartName="/xl/ctrlProps/ctrlProp14.xml" ContentType="application/vnd.ms-excel.controlproperties+xml"/>
  <Override PartName="/xl/tables/table13.xml" ContentType="application/vnd.openxmlformats-officedocument.spreadsheetml.tab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trlProps/ctrlProp15.xml" ContentType="application/vnd.ms-excel.controlproperties+xml"/>
  <Override PartName="/xl/tables/table1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V:\sadeghi\NES\"/>
    </mc:Choice>
  </mc:AlternateContent>
  <xr:revisionPtr revIDLastSave="0" documentId="8_{3C9D3A52-BC61-4305-9DBC-34A72A0BA9F8}" xr6:coauthVersionLast="47" xr6:coauthVersionMax="47" xr10:uidLastSave="{00000000-0000-0000-0000-000000000000}"/>
  <bookViews>
    <workbookView xWindow="-120" yWindow="-120" windowWidth="29040" windowHeight="15720" tabRatio="764" firstSheet="2" activeTab="7" xr2:uid="{CD55A85E-DFEB-4148-A85D-5AEEECD116BE}"/>
  </bookViews>
  <sheets>
    <sheet name="bom" sheetId="65" r:id="rId1"/>
    <sheet name="plans" sheetId="47" r:id="rId2"/>
    <sheet name="cutts" sheetId="50" r:id="rId3"/>
    <sheet name="packes" sheetId="57" r:id="rId4"/>
    <sheet name="progress" sheetId="56" r:id="rId5"/>
    <sheet name="report" sheetId="36" r:id="rId6"/>
    <sheet name="III" sheetId="51" r:id="rId7"/>
    <sheet name="CT" sheetId="78" r:id="rId8"/>
    <sheet name="prgssPivot" sheetId="76" r:id="rId9"/>
    <sheet name="applicatorsUse" sheetId="75" r:id="rId10"/>
    <sheet name="inputPlan" sheetId="72" r:id="rId11"/>
    <sheet name="plansPivot" sheetId="59" r:id="rId12"/>
    <sheet name="cuttsPivot" sheetId="61" r:id="rId13"/>
    <sheet name="packesPivot" sheetId="60" r:id="rId14"/>
    <sheet name="reportPivot" sheetId="71" r:id="rId15"/>
    <sheet name="data" sheetId="55" r:id="rId16"/>
    <sheet name="paperA5" sheetId="69" r:id="rId17"/>
    <sheet name="paperA4" sheetId="74" r:id="rId18"/>
  </sheets>
  <functionGroups builtInGroupCount="19"/>
  <externalReferences>
    <externalReference r:id="rId19"/>
    <externalReference r:id="rId20"/>
  </externalReferences>
  <definedNames>
    <definedName name="aaaa">'CT'!$Y$15,'CT'!$V$15:$X$15,'CT'!$X$17:$X$21,'CT'!$V$17,'CT'!$V$19:$V$29,'CT'!$W$24:$W$25,'CT'!$W$27:$W$28,'CT'!$X$26:$X$29,'CT'!$Y$27:$AB$29,'CT'!$AC$27:$AE$28,'CT'!$Z$24:$AE$26,'CT'!$Y$23:$Y$24,'CT'!$Z$17:$Z$23,'CT'!$Y$17:$Y$21,'CT'!$AA$17:$AE$18,'CT'!$AE$19,'CT'!$AB$20:$AD$20,'CT'!$AA$21,'CT'!$AB$23,'CT'!$AE$23,'CT'!$AB$22:$AE$22</definedName>
    <definedName name="availableTime">data!$B$2</definedName>
    <definedName name="batchAmount">300</definedName>
    <definedName name="batchId">2126</definedName>
    <definedName name="cutOrdAmount">3000</definedName>
    <definedName name="cutOrdDdate">"1404/07/26"</definedName>
    <definedName name="cutOrdId">269</definedName>
    <definedName name="dailyMyColumns">'[1]daily80%'!$C:$H,'[1]daily80%'!$J:$T,'[1]daily80%'!$V:$AD,'[1]daily80%'!$AF:$AN</definedName>
    <definedName name="description">"="</definedName>
    <definedName name="lastBatchId">2126</definedName>
    <definedName name="myColumns">'[1]regali80%'!$D:$I,'[1]regali80%'!$K:$U,'[1]regali80%'!$W:$AE,'[1]regali80%'!$AG:$AO</definedName>
    <definedName name="pid">140030039</definedName>
    <definedName name="_xlnm.Print_Area" localSheetId="6">IIITbl[#All]</definedName>
    <definedName name="_xlnm.Print_Area" localSheetId="16">paperA5!$A$1:$J$15</definedName>
    <definedName name="_xlnm.Print_Area" localSheetId="4">progress!$A$1:$N$13</definedName>
    <definedName name="_xlnm.Print_Area" localSheetId="5">report!$A$2:$N$69</definedName>
    <definedName name="_xlnm.Print_Titles" localSheetId="4">progress!$2:$2</definedName>
    <definedName name="_xlnm.Print_Titles" localSheetId="5">report!$1:$1</definedName>
    <definedName name="remain">-5500</definedName>
    <definedName name="titles">'[2]آقای صدیقی'!$F$2,'[2]آقای صدیقی'!$B$2,'[2]آقای صدیقی'!$B$5,'[2]آقای صدیقی'!$F$5,'[2]آقای صدیقی'!$F$8,'[2]آقای صدیقی'!$B$8,'[2]آقای صدیقی'!$B$11,'[2]آقای صدیقی'!$F$11,'[2]آقای صدیقی'!$F$14,'[2]آقای صدیقی'!$B$14,'[2]آقای صدیقی'!#REF!,'[2]آقای صدیقی'!#REF!,'[2]آقای صدیقی'!$F$17,'[2]آقای صدیقی'!$B$17,'[2]آقای صدیقی'!$B$20,'[2]آقای صدیقی'!$F$20,'[2]آقای صدیقی'!$F$23,'[2]آقای صدیقی'!$B$23,'[2]آقای صدیقی'!$B$26,'[2]آقای صدیقی'!$F$26,'[2]آقای صدیقی'!$B$29,'[2]آقای صدیقی'!$F$29</definedName>
    <definedName name="unityCycleTime">data!$B$3</definedName>
  </definedNames>
  <calcPr calcId="191029"/>
  <pivotCaches>
    <pivotCache cacheId="0" r:id="rId21"/>
    <pivotCache cacheId="1" r:id="rId22"/>
    <pivotCache cacheId="2" r:id="rId23"/>
    <pivotCache cacheId="3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8" i="78" l="1"/>
  <c r="AP9" i="78"/>
  <c r="AP10" i="78"/>
  <c r="AP11" i="78"/>
  <c r="AP12" i="78"/>
  <c r="AP13" i="78"/>
  <c r="AP30" i="78"/>
  <c r="AP31" i="78"/>
  <c r="AP32" i="78"/>
  <c r="AP33" i="78"/>
  <c r="AP34" i="78"/>
  <c r="AP35" i="78"/>
  <c r="AP36" i="78"/>
  <c r="H270" i="50"/>
  <c r="M270" i="50"/>
  <c r="H269" i="50"/>
  <c r="M269" i="50"/>
  <c r="D11" i="56"/>
  <c r="E11" i="56"/>
  <c r="F11" i="56"/>
  <c r="G11" i="56"/>
  <c r="H11" i="56"/>
  <c r="I11" i="56"/>
  <c r="J11" i="56"/>
  <c r="K11" i="56"/>
  <c r="D12" i="56"/>
  <c r="E12" i="56"/>
  <c r="F12" i="56"/>
  <c r="G12" i="56"/>
  <c r="H12" i="56"/>
  <c r="I12" i="56"/>
  <c r="J12" i="56"/>
  <c r="K12" i="56"/>
  <c r="K14" i="56"/>
  <c r="J14" i="56"/>
  <c r="I14" i="56"/>
  <c r="K13" i="56"/>
  <c r="J13" i="56"/>
  <c r="I13" i="56"/>
  <c r="K10" i="56"/>
  <c r="J10" i="56"/>
  <c r="I10" i="56"/>
  <c r="K9" i="56"/>
  <c r="J9" i="56"/>
  <c r="I9" i="56"/>
  <c r="I8" i="56"/>
  <c r="I7" i="56"/>
  <c r="I6" i="56"/>
  <c r="I5" i="56"/>
  <c r="I4" i="56"/>
  <c r="E1227" i="57"/>
  <c r="F1227" i="57" s="1"/>
  <c r="H1227" i="57"/>
  <c r="N1227" i="57"/>
  <c r="O1227" i="57"/>
  <c r="P1227" i="57"/>
  <c r="Q1227" i="57"/>
  <c r="E1226" i="57"/>
  <c r="F1226" i="57" s="1"/>
  <c r="H1226" i="57"/>
  <c r="N1226" i="57"/>
  <c r="O1226" i="57"/>
  <c r="P1226" i="57"/>
  <c r="Q1226" i="57"/>
  <c r="E1225" i="57"/>
  <c r="F1225" i="57" s="1"/>
  <c r="H1225" i="57"/>
  <c r="M1225" i="57"/>
  <c r="N1225" i="57"/>
  <c r="O1225" i="57"/>
  <c r="P1225" i="57"/>
  <c r="Q1225" i="57"/>
  <c r="E1224" i="57"/>
  <c r="F1224" i="57" s="1"/>
  <c r="H1224" i="57"/>
  <c r="N1224" i="57"/>
  <c r="O1224" i="57"/>
  <c r="P1224" i="57"/>
  <c r="Q1224" i="57"/>
  <c r="E1223" i="57"/>
  <c r="F1223" i="57" s="1"/>
  <c r="H1223" i="57"/>
  <c r="M1223" i="57"/>
  <c r="N1223" i="57"/>
  <c r="O1223" i="57"/>
  <c r="P1223" i="57"/>
  <c r="Q1223" i="57"/>
  <c r="N11" i="56" l="1"/>
  <c r="M12" i="56"/>
  <c r="L11" i="56"/>
  <c r="M11" i="56"/>
  <c r="N9" i="56"/>
  <c r="L10" i="56"/>
  <c r="N13" i="56"/>
  <c r="L14" i="56"/>
  <c r="N12" i="56"/>
  <c r="L12" i="56"/>
  <c r="M10" i="56"/>
  <c r="M14" i="56"/>
  <c r="L9" i="56"/>
  <c r="M9" i="56"/>
  <c r="N10" i="56"/>
  <c r="L13" i="56"/>
  <c r="M13" i="56"/>
  <c r="N14" i="56"/>
  <c r="E1222" i="57"/>
  <c r="F1222" i="57" s="1"/>
  <c r="H1222" i="57"/>
  <c r="N1222" i="57"/>
  <c r="O1222" i="57"/>
  <c r="P1222" i="57"/>
  <c r="Q1222" i="57"/>
  <c r="E1221" i="57"/>
  <c r="F1221" i="57" s="1"/>
  <c r="H1221" i="57"/>
  <c r="M1221" i="57"/>
  <c r="N1221" i="57"/>
  <c r="O1221" i="57"/>
  <c r="P1221" i="57"/>
  <c r="Q1221" i="57"/>
  <c r="E1220" i="57"/>
  <c r="F1220" i="57" s="1"/>
  <c r="H1220" i="57"/>
  <c r="N1220" i="57"/>
  <c r="O1220" i="57"/>
  <c r="P1220" i="57"/>
  <c r="Q1220" i="57"/>
  <c r="H268" i="50"/>
  <c r="M268" i="50"/>
  <c r="D8" i="56"/>
  <c r="E8" i="56"/>
  <c r="F8" i="56"/>
  <c r="G8" i="56"/>
  <c r="H8" i="56"/>
  <c r="H267" i="50"/>
  <c r="M267" i="50"/>
  <c r="H266" i="50"/>
  <c r="M266" i="50"/>
  <c r="H265" i="50"/>
  <c r="M265" i="50"/>
  <c r="H264" i="50"/>
  <c r="M264" i="50"/>
  <c r="H263" i="50"/>
  <c r="M263" i="50"/>
  <c r="H262" i="50"/>
  <c r="M262" i="50"/>
  <c r="E1219" i="57"/>
  <c r="F1219" i="57" s="1"/>
  <c r="H1219" i="57"/>
  <c r="K7" i="56" s="1"/>
  <c r="M1219" i="57"/>
  <c r="N1219" i="57"/>
  <c r="O1219" i="57"/>
  <c r="P1219" i="57"/>
  <c r="Q1219" i="57"/>
  <c r="E1218" i="57"/>
  <c r="F1218" i="57" s="1"/>
  <c r="H1218" i="57"/>
  <c r="N1218" i="57"/>
  <c r="O1218" i="57"/>
  <c r="P1218" i="57"/>
  <c r="Q1218" i="57"/>
  <c r="E1217" i="57"/>
  <c r="F1217" i="57" s="1"/>
  <c r="H1217" i="57"/>
  <c r="N1217" i="57"/>
  <c r="O1217" i="57"/>
  <c r="P1217" i="57"/>
  <c r="Q1217" i="57"/>
  <c r="E1216" i="57"/>
  <c r="F1216" i="57" s="1"/>
  <c r="H1216" i="57"/>
  <c r="N1216" i="57"/>
  <c r="O1216" i="57"/>
  <c r="P1216" i="57"/>
  <c r="Q1216" i="57"/>
  <c r="D9" i="56"/>
  <c r="E9" i="56"/>
  <c r="F9" i="56"/>
  <c r="G9" i="56"/>
  <c r="H9" i="56"/>
  <c r="D10" i="56"/>
  <c r="E10" i="56"/>
  <c r="F10" i="56"/>
  <c r="G10" i="56"/>
  <c r="H10" i="56"/>
  <c r="M7" i="56" l="1"/>
  <c r="E1215" i="57"/>
  <c r="F1215" i="57" s="1"/>
  <c r="H1215" i="57"/>
  <c r="N1215" i="57"/>
  <c r="O1215" i="57"/>
  <c r="P1215" i="57"/>
  <c r="Q1215" i="57"/>
  <c r="E1214" i="57"/>
  <c r="F1214" i="57" s="1"/>
  <c r="H1214" i="57"/>
  <c r="M1214" i="57"/>
  <c r="N1214" i="57"/>
  <c r="O1214" i="57"/>
  <c r="P1214" i="57"/>
  <c r="Q1214" i="57"/>
  <c r="E1213" i="57"/>
  <c r="F1213" i="57" s="1"/>
  <c r="H1213" i="57"/>
  <c r="N1213" i="57"/>
  <c r="O1213" i="57"/>
  <c r="P1213" i="57"/>
  <c r="Q1213" i="57"/>
  <c r="E1212" i="57"/>
  <c r="F1212" i="57" s="1"/>
  <c r="H1212" i="57"/>
  <c r="N1212" i="57"/>
  <c r="O1212" i="57"/>
  <c r="P1212" i="57"/>
  <c r="Q1212" i="57"/>
  <c r="E1211" i="57"/>
  <c r="F1211" i="57" s="1"/>
  <c r="H1211" i="57"/>
  <c r="N1211" i="57"/>
  <c r="O1211" i="57"/>
  <c r="P1211" i="57"/>
  <c r="Q1211" i="57"/>
  <c r="H261" i="50"/>
  <c r="M261" i="50"/>
  <c r="H260" i="50"/>
  <c r="M260" i="50"/>
  <c r="H259" i="50"/>
  <c r="M259" i="50"/>
  <c r="E1210" i="57"/>
  <c r="F1210" i="57" s="1"/>
  <c r="H1210" i="57"/>
  <c r="K8" i="56" s="1"/>
  <c r="M1210" i="57"/>
  <c r="N1210" i="57"/>
  <c r="O1210" i="57"/>
  <c r="P1210" i="57"/>
  <c r="Q1210" i="57"/>
  <c r="E1209" i="57"/>
  <c r="F1209" i="57" s="1"/>
  <c r="H1209" i="57"/>
  <c r="N1209" i="57"/>
  <c r="O1209" i="57"/>
  <c r="P1209" i="57"/>
  <c r="Q1209" i="57"/>
  <c r="E1208" i="57"/>
  <c r="F1208" i="57" s="1"/>
  <c r="H1208" i="57"/>
  <c r="N1208" i="57"/>
  <c r="O1208" i="57"/>
  <c r="P1208" i="57"/>
  <c r="Q1208" i="57"/>
  <c r="E1207" i="57"/>
  <c r="F1207" i="57" s="1"/>
  <c r="H1207" i="57"/>
  <c r="N1207" i="57"/>
  <c r="O1207" i="57"/>
  <c r="P1207" i="57"/>
  <c r="Q1207" i="57"/>
  <c r="E1206" i="57"/>
  <c r="F1206" i="57" s="1"/>
  <c r="H1206" i="57"/>
  <c r="N1206" i="57"/>
  <c r="O1206" i="57"/>
  <c r="P1206" i="57"/>
  <c r="Q1206" i="57"/>
  <c r="H258" i="50"/>
  <c r="M258" i="50"/>
  <c r="H257" i="50"/>
  <c r="J8" i="56" s="1"/>
  <c r="L8" i="56" s="1"/>
  <c r="M257" i="50"/>
  <c r="E1205" i="57"/>
  <c r="F1205" i="57" s="1"/>
  <c r="H1205" i="57"/>
  <c r="N1205" i="57"/>
  <c r="O1205" i="57"/>
  <c r="P1205" i="57"/>
  <c r="Q1205" i="57"/>
  <c r="E1204" i="57"/>
  <c r="F1204" i="57" s="1"/>
  <c r="H1204" i="57"/>
  <c r="N1204" i="57"/>
  <c r="O1204" i="57"/>
  <c r="P1204" i="57"/>
  <c r="Q1204" i="57"/>
  <c r="E1203" i="57"/>
  <c r="F1203" i="57" s="1"/>
  <c r="H1203" i="57"/>
  <c r="N1203" i="57"/>
  <c r="O1203" i="57"/>
  <c r="P1203" i="57"/>
  <c r="Q1203" i="57"/>
  <c r="H256" i="50"/>
  <c r="M256" i="50"/>
  <c r="H255" i="50"/>
  <c r="M255" i="50"/>
  <c r="H254" i="50"/>
  <c r="M254" i="50"/>
  <c r="H6" i="56"/>
  <c r="G6" i="56"/>
  <c r="F6" i="56"/>
  <c r="E6" i="56"/>
  <c r="D6" i="56"/>
  <c r="H5" i="56"/>
  <c r="G5" i="56"/>
  <c r="F5" i="56"/>
  <c r="E5" i="56"/>
  <c r="D5" i="56"/>
  <c r="H4" i="56"/>
  <c r="G4" i="56"/>
  <c r="F4" i="56"/>
  <c r="E4" i="56"/>
  <c r="D4" i="56"/>
  <c r="I21" i="56"/>
  <c r="H21" i="56"/>
  <c r="G21" i="56"/>
  <c r="F21" i="56"/>
  <c r="E21" i="56"/>
  <c r="D21" i="56"/>
  <c r="I20" i="56"/>
  <c r="H20" i="56"/>
  <c r="G20" i="56"/>
  <c r="F20" i="56"/>
  <c r="E20" i="56"/>
  <c r="D20" i="56"/>
  <c r="I19" i="56"/>
  <c r="H19" i="56"/>
  <c r="G19" i="56"/>
  <c r="F19" i="56"/>
  <c r="E19" i="56"/>
  <c r="D19" i="56"/>
  <c r="I18" i="56"/>
  <c r="H18" i="56"/>
  <c r="G18" i="56"/>
  <c r="F18" i="56"/>
  <c r="E18" i="56"/>
  <c r="D18" i="56"/>
  <c r="E1202" i="57"/>
  <c r="F1202" i="57" s="1"/>
  <c r="H1202" i="57"/>
  <c r="N1202" i="57"/>
  <c r="O1202" i="57"/>
  <c r="P1202" i="57"/>
  <c r="Q1202" i="57"/>
  <c r="E1201" i="57"/>
  <c r="F1201" i="57" s="1"/>
  <c r="H1201" i="57"/>
  <c r="N1201" i="57"/>
  <c r="O1201" i="57"/>
  <c r="P1201" i="57"/>
  <c r="Q1201" i="57"/>
  <c r="E1200" i="57"/>
  <c r="F1200" i="57" s="1"/>
  <c r="H1200" i="57"/>
  <c r="N1200" i="57"/>
  <c r="O1200" i="57"/>
  <c r="P1200" i="57"/>
  <c r="Q1200" i="57"/>
  <c r="E1199" i="57"/>
  <c r="F1199" i="57" s="1"/>
  <c r="H1199" i="57"/>
  <c r="N1199" i="57"/>
  <c r="O1199" i="57"/>
  <c r="P1199" i="57"/>
  <c r="Q1199" i="57"/>
  <c r="H253" i="50"/>
  <c r="M253" i="50"/>
  <c r="H252" i="50"/>
  <c r="M252" i="50"/>
  <c r="H251" i="50"/>
  <c r="M251" i="50"/>
  <c r="E1198" i="57"/>
  <c r="F1198" i="57" s="1"/>
  <c r="H1198" i="57"/>
  <c r="N1198" i="57"/>
  <c r="O1198" i="57"/>
  <c r="P1198" i="57"/>
  <c r="Q1198" i="57"/>
  <c r="E1197" i="57"/>
  <c r="F1197" i="57" s="1"/>
  <c r="H1197" i="57"/>
  <c r="N1197" i="57"/>
  <c r="O1197" i="57"/>
  <c r="P1197" i="57"/>
  <c r="Q1197" i="57"/>
  <c r="E1196" i="57"/>
  <c r="F1196" i="57" s="1"/>
  <c r="H1196" i="57"/>
  <c r="N1196" i="57"/>
  <c r="O1196" i="57"/>
  <c r="P1196" i="57"/>
  <c r="Q1196" i="57"/>
  <c r="H250" i="50"/>
  <c r="M250" i="50"/>
  <c r="H249" i="50"/>
  <c r="M249" i="50"/>
  <c r="E1195" i="57"/>
  <c r="F1195" i="57" s="1"/>
  <c r="H1195" i="57"/>
  <c r="N1195" i="57"/>
  <c r="O1195" i="57"/>
  <c r="P1195" i="57"/>
  <c r="Q1195" i="57"/>
  <c r="E1194" i="57"/>
  <c r="F1194" i="57" s="1"/>
  <c r="H1194" i="57"/>
  <c r="N1194" i="57"/>
  <c r="O1194" i="57"/>
  <c r="P1194" i="57"/>
  <c r="Q1194" i="57"/>
  <c r="K241" i="50"/>
  <c r="H248" i="50"/>
  <c r="M248" i="50"/>
  <c r="H247" i="50"/>
  <c r="M247" i="50"/>
  <c r="H246" i="50"/>
  <c r="M246" i="50"/>
  <c r="H245" i="50"/>
  <c r="M245" i="50"/>
  <c r="E1193" i="57"/>
  <c r="F1193" i="57" s="1"/>
  <c r="H1193" i="57"/>
  <c r="N1193" i="57"/>
  <c r="O1193" i="57"/>
  <c r="P1193" i="57"/>
  <c r="Q1193" i="57"/>
  <c r="AP16" i="78"/>
  <c r="M430" i="57" s="1"/>
  <c r="Q2" i="57"/>
  <c r="Q3" i="57"/>
  <c r="Q4" i="57"/>
  <c r="Q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225" i="57"/>
  <c r="Q226" i="57"/>
  <c r="Q227" i="57"/>
  <c r="Q228" i="57"/>
  <c r="Q229" i="57"/>
  <c r="Q230" i="57"/>
  <c r="Q231" i="57"/>
  <c r="Q232" i="57"/>
  <c r="Q233" i="57"/>
  <c r="Q234" i="57"/>
  <c r="Q235" i="57"/>
  <c r="Q236" i="57"/>
  <c r="Q237" i="57"/>
  <c r="Q238" i="57"/>
  <c r="Q239" i="57"/>
  <c r="Q240" i="57"/>
  <c r="Q241" i="57"/>
  <c r="Q242" i="57"/>
  <c r="Q243" i="57"/>
  <c r="Q244" i="57"/>
  <c r="Q245" i="57"/>
  <c r="Q246" i="57"/>
  <c r="Q247" i="57"/>
  <c r="Q248" i="57"/>
  <c r="Q249" i="57"/>
  <c r="Q250" i="57"/>
  <c r="Q251" i="57"/>
  <c r="Q252" i="57"/>
  <c r="Q253" i="57"/>
  <c r="Q254" i="57"/>
  <c r="Q255" i="57"/>
  <c r="Q256" i="57"/>
  <c r="Q257" i="57"/>
  <c r="Q258" i="57"/>
  <c r="Q259" i="57"/>
  <c r="Q260" i="57"/>
  <c r="Q261" i="57"/>
  <c r="Q262" i="57"/>
  <c r="Q263" i="57"/>
  <c r="Q264" i="57"/>
  <c r="Q265" i="57"/>
  <c r="Q266" i="57"/>
  <c r="Q267" i="57"/>
  <c r="Q268" i="57"/>
  <c r="Q269" i="57"/>
  <c r="Q270" i="57"/>
  <c r="Q271" i="57"/>
  <c r="Q272" i="57"/>
  <c r="Q273" i="57"/>
  <c r="Q274" i="57"/>
  <c r="Q275" i="57"/>
  <c r="Q276" i="57"/>
  <c r="Q277" i="57"/>
  <c r="Q278" i="57"/>
  <c r="Q279" i="57"/>
  <c r="Q280" i="57"/>
  <c r="Q281" i="57"/>
  <c r="Q282" i="57"/>
  <c r="Q283" i="57"/>
  <c r="Q284" i="57"/>
  <c r="Q285" i="57"/>
  <c r="Q286" i="57"/>
  <c r="Q287" i="57"/>
  <c r="Q288" i="57"/>
  <c r="Q289" i="57"/>
  <c r="Q290" i="57"/>
  <c r="Q291" i="57"/>
  <c r="Q292" i="57"/>
  <c r="Q293" i="57"/>
  <c r="Q294" i="57"/>
  <c r="Q295" i="57"/>
  <c r="Q296" i="57"/>
  <c r="Q297" i="57"/>
  <c r="Q298" i="57"/>
  <c r="Q299" i="57"/>
  <c r="Q300" i="57"/>
  <c r="Q301" i="57"/>
  <c r="Q302" i="57"/>
  <c r="Q303" i="57"/>
  <c r="Q304" i="57"/>
  <c r="Q305" i="57"/>
  <c r="Q306" i="57"/>
  <c r="Q307" i="57"/>
  <c r="Q308" i="57"/>
  <c r="Q309" i="57"/>
  <c r="Q310" i="57"/>
  <c r="Q311" i="57"/>
  <c r="Q312" i="57"/>
  <c r="Q313" i="57"/>
  <c r="Q314" i="57"/>
  <c r="Q315" i="57"/>
  <c r="Q316" i="57"/>
  <c r="Q317" i="57"/>
  <c r="Q318" i="57"/>
  <c r="Q319" i="57"/>
  <c r="Q320" i="57"/>
  <c r="Q321" i="57"/>
  <c r="Q322" i="57"/>
  <c r="Q323" i="57"/>
  <c r="Q324" i="57"/>
  <c r="Q325" i="57"/>
  <c r="Q326" i="57"/>
  <c r="Q327" i="57"/>
  <c r="Q328" i="57"/>
  <c r="Q329" i="57"/>
  <c r="Q330" i="57"/>
  <c r="Q331" i="57"/>
  <c r="Q332" i="57"/>
  <c r="Q333" i="57"/>
  <c r="Q334" i="57"/>
  <c r="Q335" i="57"/>
  <c r="Q336" i="57"/>
  <c r="Q337" i="57"/>
  <c r="Q338" i="57"/>
  <c r="Q339" i="57"/>
  <c r="Q340" i="57"/>
  <c r="Q341" i="57"/>
  <c r="Q342" i="57"/>
  <c r="Q343" i="57"/>
  <c r="Q344" i="57"/>
  <c r="Q345" i="57"/>
  <c r="Q346" i="57"/>
  <c r="Q347" i="57"/>
  <c r="Q348" i="57"/>
  <c r="Q349" i="57"/>
  <c r="Q350" i="57"/>
  <c r="Q351" i="57"/>
  <c r="Q352" i="57"/>
  <c r="Q353" i="57"/>
  <c r="Q354" i="57"/>
  <c r="Q355" i="57"/>
  <c r="Q356" i="57"/>
  <c r="Q357" i="57"/>
  <c r="Q358" i="57"/>
  <c r="Q359" i="57"/>
  <c r="Q360" i="57"/>
  <c r="Q361" i="57"/>
  <c r="Q362" i="57"/>
  <c r="Q363" i="57"/>
  <c r="Q364" i="57"/>
  <c r="Q365" i="57"/>
  <c r="Q366" i="57"/>
  <c r="Q367" i="57"/>
  <c r="Q368" i="57"/>
  <c r="Q369" i="57"/>
  <c r="Q370" i="57"/>
  <c r="Q371" i="57"/>
  <c r="Q372" i="57"/>
  <c r="Q373" i="57"/>
  <c r="Q374" i="57"/>
  <c r="Q375" i="57"/>
  <c r="Q376" i="57"/>
  <c r="Q377" i="57"/>
  <c r="Q378" i="57"/>
  <c r="Q379" i="57"/>
  <c r="Q380" i="57"/>
  <c r="Q381" i="57"/>
  <c r="Q382" i="57"/>
  <c r="Q383" i="57"/>
  <c r="Q384" i="57"/>
  <c r="Q385" i="57"/>
  <c r="Q386" i="57"/>
  <c r="Q387" i="57"/>
  <c r="Q388" i="57"/>
  <c r="Q389" i="57"/>
  <c r="Q390" i="57"/>
  <c r="Q391" i="57"/>
  <c r="Q392" i="57"/>
  <c r="Q393" i="57"/>
  <c r="Q394" i="57"/>
  <c r="Q395" i="57"/>
  <c r="Q396" i="57"/>
  <c r="Q397" i="57"/>
  <c r="Q398" i="57"/>
  <c r="Q399" i="57"/>
  <c r="Q400" i="57"/>
  <c r="Q401" i="57"/>
  <c r="Q402" i="57"/>
  <c r="Q403" i="57"/>
  <c r="Q404" i="57"/>
  <c r="Q405" i="57"/>
  <c r="Q406" i="57"/>
  <c r="Q407" i="57"/>
  <c r="Q408" i="57"/>
  <c r="Q409" i="57"/>
  <c r="Q410" i="57"/>
  <c r="Q411" i="57"/>
  <c r="Q412" i="57"/>
  <c r="Q413" i="57"/>
  <c r="Q414" i="57"/>
  <c r="Q415" i="57"/>
  <c r="Q416" i="57"/>
  <c r="Q417" i="57"/>
  <c r="Q418" i="57"/>
  <c r="Q419" i="57"/>
  <c r="Q420" i="57"/>
  <c r="Q421" i="57"/>
  <c r="Q422" i="57"/>
  <c r="Q423" i="57"/>
  <c r="Q424" i="57"/>
  <c r="Q425" i="57"/>
  <c r="Q426" i="57"/>
  <c r="Q427" i="57"/>
  <c r="Q428" i="57"/>
  <c r="Q429" i="57"/>
  <c r="Q430" i="57"/>
  <c r="Q431" i="57"/>
  <c r="Q432" i="57"/>
  <c r="Q433" i="57"/>
  <c r="Q434" i="57"/>
  <c r="Q435" i="57"/>
  <c r="Q436" i="57"/>
  <c r="Q437" i="57"/>
  <c r="Q438" i="57"/>
  <c r="Q439" i="57"/>
  <c r="Q440" i="57"/>
  <c r="Q441" i="57"/>
  <c r="Q442" i="57"/>
  <c r="Q443" i="57"/>
  <c r="Q444" i="57"/>
  <c r="Q445" i="57"/>
  <c r="Q446" i="57"/>
  <c r="Q447" i="57"/>
  <c r="Q448" i="57"/>
  <c r="Q449" i="57"/>
  <c r="Q450" i="57"/>
  <c r="Q451" i="57"/>
  <c r="Q452" i="57"/>
  <c r="Q453" i="57"/>
  <c r="Q454" i="57"/>
  <c r="Q455" i="57"/>
  <c r="Q456" i="57"/>
  <c r="Q457" i="57"/>
  <c r="Q458" i="57"/>
  <c r="Q459" i="57"/>
  <c r="Q460" i="57"/>
  <c r="Q461" i="57"/>
  <c r="Q462" i="57"/>
  <c r="Q463" i="57"/>
  <c r="Q464" i="57"/>
  <c r="Q465" i="57"/>
  <c r="Q466" i="57"/>
  <c r="Q467" i="57"/>
  <c r="Q468" i="57"/>
  <c r="Q469" i="57"/>
  <c r="Q470" i="57"/>
  <c r="Q471" i="57"/>
  <c r="Q472" i="57"/>
  <c r="Q473" i="57"/>
  <c r="Q474" i="57"/>
  <c r="Q475" i="57"/>
  <c r="Q476" i="57"/>
  <c r="Q477" i="57"/>
  <c r="Q478" i="57"/>
  <c r="Q479" i="57"/>
  <c r="Q480" i="57"/>
  <c r="Q481" i="57"/>
  <c r="Q482" i="57"/>
  <c r="Q483" i="57"/>
  <c r="Q484" i="57"/>
  <c r="Q485" i="57"/>
  <c r="Q486" i="57"/>
  <c r="Q487" i="57"/>
  <c r="Q488" i="57"/>
  <c r="Q489" i="57"/>
  <c r="Q490" i="57"/>
  <c r="Q491" i="57"/>
  <c r="Q492" i="57"/>
  <c r="Q493" i="57"/>
  <c r="Q494" i="57"/>
  <c r="Q495" i="57"/>
  <c r="Q496" i="57"/>
  <c r="Q497" i="57"/>
  <c r="Q498" i="57"/>
  <c r="Q499" i="57"/>
  <c r="Q500" i="57"/>
  <c r="Q501" i="57"/>
  <c r="Q502" i="57"/>
  <c r="Q503" i="57"/>
  <c r="Q504" i="57"/>
  <c r="Q505" i="57"/>
  <c r="Q506" i="57"/>
  <c r="Q507" i="57"/>
  <c r="Q508" i="57"/>
  <c r="Q509" i="57"/>
  <c r="Q510" i="57"/>
  <c r="Q511" i="57"/>
  <c r="Q512" i="57"/>
  <c r="Q513" i="57"/>
  <c r="Q514" i="57"/>
  <c r="Q515" i="57"/>
  <c r="Q516" i="57"/>
  <c r="Q517" i="57"/>
  <c r="Q518" i="57"/>
  <c r="Q519" i="57"/>
  <c r="Q520" i="57"/>
  <c r="Q521" i="57"/>
  <c r="Q522" i="57"/>
  <c r="Q523" i="57"/>
  <c r="Q524" i="57"/>
  <c r="Q525" i="57"/>
  <c r="Q526" i="57"/>
  <c r="Q527" i="57"/>
  <c r="Q528" i="57"/>
  <c r="Q529" i="57"/>
  <c r="Q530" i="57"/>
  <c r="Q531" i="57"/>
  <c r="Q532" i="57"/>
  <c r="Q533" i="57"/>
  <c r="Q534" i="57"/>
  <c r="Q535" i="57"/>
  <c r="Q536" i="57"/>
  <c r="Q537" i="57"/>
  <c r="Q538" i="57"/>
  <c r="Q539" i="57"/>
  <c r="Q540" i="57"/>
  <c r="Q541" i="57"/>
  <c r="Q542" i="57"/>
  <c r="Q543" i="57"/>
  <c r="Q544" i="57"/>
  <c r="Q545" i="57"/>
  <c r="Q546" i="57"/>
  <c r="Q547" i="57"/>
  <c r="Q548" i="57"/>
  <c r="Q549" i="57"/>
  <c r="Q550" i="57"/>
  <c r="Q551" i="57"/>
  <c r="Q552" i="57"/>
  <c r="Q553" i="57"/>
  <c r="Q554" i="57"/>
  <c r="Q555" i="57"/>
  <c r="Q556" i="57"/>
  <c r="Q557" i="57"/>
  <c r="Q558" i="57"/>
  <c r="Q559" i="57"/>
  <c r="Q560" i="57"/>
  <c r="Q561" i="57"/>
  <c r="Q562" i="57"/>
  <c r="Q563" i="57"/>
  <c r="Q564" i="57"/>
  <c r="Q565" i="57"/>
  <c r="Q566" i="57"/>
  <c r="Q567" i="57"/>
  <c r="Q568" i="57"/>
  <c r="Q569" i="57"/>
  <c r="Q570" i="57"/>
  <c r="Q571" i="57"/>
  <c r="Q572" i="57"/>
  <c r="Q573" i="57"/>
  <c r="Q574" i="57"/>
  <c r="Q575" i="57"/>
  <c r="Q576" i="57"/>
  <c r="Q577" i="57"/>
  <c r="Q578" i="57"/>
  <c r="Q579" i="57"/>
  <c r="Q580" i="57"/>
  <c r="Q581" i="57"/>
  <c r="Q582" i="57"/>
  <c r="Q583" i="57"/>
  <c r="Q584" i="57"/>
  <c r="Q585" i="57"/>
  <c r="Q586" i="57"/>
  <c r="Q587" i="57"/>
  <c r="Q588" i="57"/>
  <c r="Q589" i="57"/>
  <c r="Q590" i="57"/>
  <c r="Q591" i="57"/>
  <c r="Q592" i="57"/>
  <c r="Q593" i="57"/>
  <c r="Q594" i="57"/>
  <c r="Q595" i="57"/>
  <c r="Q596" i="57"/>
  <c r="Q597" i="57"/>
  <c r="Q598" i="57"/>
  <c r="Q599" i="57"/>
  <c r="Q600" i="57"/>
  <c r="Q601" i="57"/>
  <c r="Q602" i="57"/>
  <c r="Q603" i="57"/>
  <c r="Q604" i="57"/>
  <c r="Q605" i="57"/>
  <c r="Q606" i="57"/>
  <c r="Q607" i="57"/>
  <c r="Q608" i="57"/>
  <c r="Q609" i="57"/>
  <c r="Q610" i="57"/>
  <c r="Q611" i="57"/>
  <c r="Q612" i="57"/>
  <c r="Q613" i="57"/>
  <c r="Q614" i="57"/>
  <c r="Q615" i="57"/>
  <c r="Q616" i="57"/>
  <c r="Q617" i="57"/>
  <c r="Q618" i="57"/>
  <c r="Q619" i="57"/>
  <c r="Q620" i="57"/>
  <c r="Q621" i="57"/>
  <c r="Q622" i="57"/>
  <c r="Q623" i="57"/>
  <c r="Q624" i="57"/>
  <c r="Q625" i="57"/>
  <c r="Q626" i="57"/>
  <c r="Q627" i="57"/>
  <c r="Q628" i="57"/>
  <c r="Q629" i="57"/>
  <c r="Q630" i="57"/>
  <c r="Q631" i="57"/>
  <c r="Q632" i="57"/>
  <c r="Q633" i="57"/>
  <c r="Q634" i="57"/>
  <c r="Q635" i="57"/>
  <c r="Q636" i="57"/>
  <c r="Q637" i="57"/>
  <c r="Q638" i="57"/>
  <c r="Q639" i="57"/>
  <c r="Q640" i="57"/>
  <c r="Q641" i="57"/>
  <c r="Q642" i="57"/>
  <c r="Q643" i="57"/>
  <c r="Q644" i="57"/>
  <c r="Q645" i="57"/>
  <c r="Q646" i="57"/>
  <c r="Q647" i="57"/>
  <c r="Q648" i="57"/>
  <c r="Q649" i="57"/>
  <c r="Q650" i="57"/>
  <c r="Q651" i="57"/>
  <c r="Q652" i="57"/>
  <c r="Q653" i="57"/>
  <c r="Q654" i="57"/>
  <c r="Q655" i="57"/>
  <c r="Q656" i="57"/>
  <c r="Q657" i="57"/>
  <c r="Q658" i="57"/>
  <c r="Q659" i="57"/>
  <c r="Q660" i="57"/>
  <c r="Q661" i="57"/>
  <c r="Q662" i="57"/>
  <c r="Q663" i="57"/>
  <c r="Q664" i="57"/>
  <c r="Q665" i="57"/>
  <c r="Q666" i="57"/>
  <c r="Q667" i="57"/>
  <c r="Q668" i="57"/>
  <c r="Q669" i="57"/>
  <c r="Q670" i="57"/>
  <c r="Q671" i="57"/>
  <c r="Q672" i="57"/>
  <c r="Q673" i="57"/>
  <c r="Q674" i="57"/>
  <c r="Q675" i="57"/>
  <c r="Q676" i="57"/>
  <c r="Q677" i="57"/>
  <c r="Q678" i="57"/>
  <c r="Q679" i="57"/>
  <c r="Q680" i="57"/>
  <c r="Q681" i="57"/>
  <c r="Q682" i="57"/>
  <c r="Q683" i="57"/>
  <c r="Q684" i="57"/>
  <c r="Q685" i="57"/>
  <c r="Q686" i="57"/>
  <c r="Q687" i="57"/>
  <c r="Q688" i="57"/>
  <c r="Q689" i="57"/>
  <c r="Q690" i="57"/>
  <c r="Q691" i="57"/>
  <c r="Q692" i="57"/>
  <c r="Q693" i="57"/>
  <c r="Q694" i="57"/>
  <c r="Q695" i="57"/>
  <c r="Q696" i="57"/>
  <c r="Q697" i="57"/>
  <c r="Q698" i="57"/>
  <c r="Q699" i="57"/>
  <c r="Q700" i="57"/>
  <c r="Q701" i="57"/>
  <c r="Q702" i="57"/>
  <c r="Q703" i="57"/>
  <c r="Q704" i="57"/>
  <c r="Q705" i="57"/>
  <c r="Q706" i="57"/>
  <c r="Q707" i="57"/>
  <c r="Q708" i="57"/>
  <c r="Q709" i="57"/>
  <c r="Q710" i="57"/>
  <c r="Q711" i="57"/>
  <c r="Q712" i="57"/>
  <c r="Q713" i="57"/>
  <c r="Q714" i="57"/>
  <c r="Q715" i="57"/>
  <c r="Q716" i="57"/>
  <c r="Q717" i="57"/>
  <c r="Q718" i="57"/>
  <c r="Q719" i="57"/>
  <c r="Q720" i="57"/>
  <c r="Q721" i="57"/>
  <c r="Q722" i="57"/>
  <c r="Q723" i="57"/>
  <c r="Q724" i="57"/>
  <c r="Q725" i="57"/>
  <c r="Q726" i="57"/>
  <c r="Q727" i="57"/>
  <c r="Q728" i="57"/>
  <c r="Q729" i="57"/>
  <c r="Q730" i="57"/>
  <c r="Q731" i="57"/>
  <c r="Q732" i="57"/>
  <c r="Q733" i="57"/>
  <c r="Q734" i="57"/>
  <c r="Q735" i="57"/>
  <c r="Q736" i="57"/>
  <c r="Q737" i="57"/>
  <c r="Q738" i="57"/>
  <c r="Q739" i="57"/>
  <c r="Q740" i="57"/>
  <c r="Q741" i="57"/>
  <c r="Q742" i="57"/>
  <c r="Q743" i="57"/>
  <c r="Q744" i="57"/>
  <c r="Q745" i="57"/>
  <c r="Q746" i="57"/>
  <c r="Q747" i="57"/>
  <c r="Q748" i="57"/>
  <c r="Q749" i="57"/>
  <c r="Q750" i="57"/>
  <c r="Q751" i="57"/>
  <c r="Q752" i="57"/>
  <c r="Q753" i="57"/>
  <c r="Q754" i="57"/>
  <c r="Q755" i="57"/>
  <c r="Q756" i="57"/>
  <c r="Q757" i="57"/>
  <c r="Q758" i="57"/>
  <c r="Q759" i="57"/>
  <c r="Q760" i="57"/>
  <c r="Q761" i="57"/>
  <c r="Q762" i="57"/>
  <c r="Q763" i="57"/>
  <c r="Q764" i="57"/>
  <c r="Q765" i="57"/>
  <c r="Q766" i="57"/>
  <c r="Q767" i="57"/>
  <c r="Q768" i="57"/>
  <c r="Q769" i="57"/>
  <c r="Q770" i="57"/>
  <c r="Q771" i="57"/>
  <c r="Q772" i="57"/>
  <c r="Q773" i="57"/>
  <c r="Q774" i="57"/>
  <c r="Q775" i="57"/>
  <c r="Q776" i="57"/>
  <c r="Q777" i="57"/>
  <c r="Q778" i="57"/>
  <c r="Q779" i="57"/>
  <c r="Q780" i="57"/>
  <c r="Q781" i="57"/>
  <c r="Q782" i="57"/>
  <c r="Q783" i="57"/>
  <c r="Q784" i="57"/>
  <c r="Q785" i="57"/>
  <c r="Q786" i="57"/>
  <c r="Q787" i="57"/>
  <c r="Q788" i="57"/>
  <c r="Q789" i="57"/>
  <c r="Q790" i="57"/>
  <c r="Q791" i="57"/>
  <c r="Q792" i="57"/>
  <c r="Q793" i="57"/>
  <c r="Q794" i="57"/>
  <c r="Q795" i="57"/>
  <c r="Q796" i="57"/>
  <c r="Q797" i="57"/>
  <c r="Q798" i="57"/>
  <c r="Q799" i="57"/>
  <c r="Q800" i="57"/>
  <c r="Q801" i="57"/>
  <c r="Q802" i="57"/>
  <c r="Q803" i="57"/>
  <c r="Q804" i="57"/>
  <c r="Q805" i="57"/>
  <c r="Q806" i="57"/>
  <c r="Q807" i="57"/>
  <c r="Q808" i="57"/>
  <c r="Q809" i="57"/>
  <c r="Q810" i="57"/>
  <c r="Q811" i="57"/>
  <c r="Q812" i="57"/>
  <c r="Q813" i="57"/>
  <c r="Q814" i="57"/>
  <c r="Q815" i="57"/>
  <c r="Q816" i="57"/>
  <c r="Q817" i="57"/>
  <c r="Q818" i="57"/>
  <c r="Q819" i="57"/>
  <c r="Q820" i="57"/>
  <c r="Q821" i="57"/>
  <c r="Q822" i="57"/>
  <c r="Q823" i="57"/>
  <c r="Q824" i="57"/>
  <c r="Q825" i="57"/>
  <c r="Q826" i="57"/>
  <c r="Q827" i="57"/>
  <c r="Q828" i="57"/>
  <c r="Q829" i="57"/>
  <c r="Q830" i="57"/>
  <c r="Q831" i="57"/>
  <c r="Q832" i="57"/>
  <c r="Q833" i="57"/>
  <c r="Q834" i="57"/>
  <c r="Q835" i="57"/>
  <c r="Q836" i="57"/>
  <c r="Q837" i="57"/>
  <c r="Q838" i="57"/>
  <c r="Q839" i="57"/>
  <c r="Q840" i="57"/>
  <c r="Q841" i="57"/>
  <c r="Q842" i="57"/>
  <c r="Q843" i="57"/>
  <c r="Q844" i="57"/>
  <c r="Q845" i="57"/>
  <c r="Q846" i="57"/>
  <c r="Q847" i="57"/>
  <c r="Q848" i="57"/>
  <c r="Q849" i="57"/>
  <c r="Q850" i="57"/>
  <c r="Q851" i="57"/>
  <c r="Q852" i="57"/>
  <c r="Q853" i="57"/>
  <c r="Q854" i="57"/>
  <c r="Q855" i="57"/>
  <c r="Q856" i="57"/>
  <c r="Q857" i="57"/>
  <c r="Q858" i="57"/>
  <c r="Q859" i="57"/>
  <c r="Q860" i="57"/>
  <c r="Q861" i="57"/>
  <c r="Q862" i="57"/>
  <c r="Q863" i="57"/>
  <c r="Q864" i="57"/>
  <c r="Q865" i="57"/>
  <c r="Q866" i="57"/>
  <c r="Q867" i="57"/>
  <c r="Q868" i="57"/>
  <c r="Q869" i="57"/>
  <c r="Q870" i="57"/>
  <c r="Q871" i="57"/>
  <c r="Q872" i="57"/>
  <c r="Q873" i="57"/>
  <c r="Q874" i="57"/>
  <c r="Q875" i="57"/>
  <c r="Q876" i="57"/>
  <c r="Q877" i="57"/>
  <c r="Q878" i="57"/>
  <c r="Q879" i="57"/>
  <c r="Q880" i="57"/>
  <c r="Q881" i="57"/>
  <c r="Q882" i="57"/>
  <c r="Q883" i="57"/>
  <c r="Q884" i="57"/>
  <c r="Q885" i="57"/>
  <c r="Q886" i="57"/>
  <c r="Q887" i="57"/>
  <c r="Q888" i="57"/>
  <c r="Q889" i="57"/>
  <c r="Q890" i="57"/>
  <c r="Q891" i="57"/>
  <c r="Q892" i="57"/>
  <c r="Q893" i="57"/>
  <c r="Q894" i="57"/>
  <c r="Q895" i="57"/>
  <c r="Q896" i="57"/>
  <c r="Q897" i="57"/>
  <c r="Q898" i="57"/>
  <c r="Q899" i="57"/>
  <c r="Q900" i="57"/>
  <c r="Q901" i="57"/>
  <c r="Q902" i="57"/>
  <c r="Q903" i="57"/>
  <c r="Q904" i="57"/>
  <c r="Q905" i="57"/>
  <c r="Q906" i="57"/>
  <c r="Q907" i="57"/>
  <c r="Q908" i="57"/>
  <c r="Q909" i="57"/>
  <c r="Q910" i="57"/>
  <c r="Q911" i="57"/>
  <c r="Q912" i="57"/>
  <c r="Q913" i="57"/>
  <c r="Q914" i="57"/>
  <c r="Q915" i="57"/>
  <c r="Q916" i="57"/>
  <c r="Q917" i="57"/>
  <c r="Q918" i="57"/>
  <c r="Q919" i="57"/>
  <c r="Q920" i="57"/>
  <c r="Q921" i="57"/>
  <c r="Q922" i="57"/>
  <c r="Q923" i="57"/>
  <c r="Q924" i="57"/>
  <c r="Q925" i="57"/>
  <c r="Q926" i="57"/>
  <c r="Q927" i="57"/>
  <c r="Q928" i="57"/>
  <c r="Q929" i="57"/>
  <c r="Q930" i="57"/>
  <c r="Q931" i="57"/>
  <c r="Q932" i="57"/>
  <c r="Q933" i="57"/>
  <c r="Q934" i="57"/>
  <c r="Q935" i="57"/>
  <c r="Q936" i="57"/>
  <c r="Q937" i="57"/>
  <c r="Q938" i="57"/>
  <c r="Q939" i="57"/>
  <c r="Q940" i="57"/>
  <c r="Q941" i="57"/>
  <c r="Q942" i="57"/>
  <c r="Q943" i="57"/>
  <c r="Q944" i="57"/>
  <c r="Q945" i="57"/>
  <c r="Q946" i="57"/>
  <c r="Q947" i="57"/>
  <c r="Q948" i="57"/>
  <c r="Q949" i="57"/>
  <c r="Q950" i="57"/>
  <c r="Q951" i="57"/>
  <c r="Q952" i="57"/>
  <c r="Q953" i="57"/>
  <c r="Q954" i="57"/>
  <c r="Q955" i="57"/>
  <c r="Q956" i="57"/>
  <c r="Q957" i="57"/>
  <c r="Q958" i="57"/>
  <c r="Q959" i="57"/>
  <c r="Q960" i="57"/>
  <c r="Q961" i="57"/>
  <c r="Q962" i="57"/>
  <c r="Q963" i="57"/>
  <c r="Q964" i="57"/>
  <c r="Q965" i="57"/>
  <c r="Q966" i="57"/>
  <c r="Q967" i="57"/>
  <c r="Q968" i="57"/>
  <c r="Q969" i="57"/>
  <c r="Q970" i="57"/>
  <c r="Q971" i="57"/>
  <c r="Q972" i="57"/>
  <c r="Q973" i="57"/>
  <c r="Q974" i="57"/>
  <c r="Q975" i="57"/>
  <c r="Q976" i="57"/>
  <c r="Q977" i="57"/>
  <c r="Q978" i="57"/>
  <c r="Q979" i="57"/>
  <c r="Q980" i="57"/>
  <c r="Q981" i="57"/>
  <c r="Q982" i="57"/>
  <c r="Q983" i="57"/>
  <c r="Q984" i="57"/>
  <c r="Q985" i="57"/>
  <c r="Q986" i="57"/>
  <c r="Q987" i="57"/>
  <c r="Q988" i="57"/>
  <c r="Q989" i="57"/>
  <c r="Q990" i="57"/>
  <c r="Q991" i="57"/>
  <c r="Q992" i="57"/>
  <c r="Q993" i="57"/>
  <c r="Q994" i="57"/>
  <c r="Q995" i="57"/>
  <c r="Q996" i="57"/>
  <c r="Q997" i="57"/>
  <c r="Q998" i="57"/>
  <c r="Q999" i="57"/>
  <c r="Q1000" i="57"/>
  <c r="Q1001" i="57"/>
  <c r="Q1002" i="57"/>
  <c r="Q1003" i="57"/>
  <c r="Q1004" i="57"/>
  <c r="Q1005" i="57"/>
  <c r="Q1006" i="57"/>
  <c r="Q1007" i="57"/>
  <c r="Q1008" i="57"/>
  <c r="Q1009" i="57"/>
  <c r="Q1010" i="57"/>
  <c r="Q1011" i="57"/>
  <c r="Q1012" i="57"/>
  <c r="Q1013" i="57"/>
  <c r="Q1014" i="57"/>
  <c r="Q1015" i="57"/>
  <c r="Q1016" i="57"/>
  <c r="Q1017" i="57"/>
  <c r="Q1018" i="57"/>
  <c r="Q1019" i="57"/>
  <c r="Q1020" i="57"/>
  <c r="Q1021" i="57"/>
  <c r="Q1022" i="57"/>
  <c r="Q1023" i="57"/>
  <c r="Q1024" i="57"/>
  <c r="Q1025" i="57"/>
  <c r="Q1026" i="57"/>
  <c r="Q1027" i="57"/>
  <c r="Q1028" i="57"/>
  <c r="Q1029" i="57"/>
  <c r="Q1030" i="57"/>
  <c r="Q1031" i="57"/>
  <c r="Q1032" i="57"/>
  <c r="Q1033" i="57"/>
  <c r="Q1034" i="57"/>
  <c r="Q1035" i="57"/>
  <c r="Q1036" i="57"/>
  <c r="Q1037" i="57"/>
  <c r="Q1038" i="57"/>
  <c r="Q1039" i="57"/>
  <c r="Q1040" i="57"/>
  <c r="Q1041" i="57"/>
  <c r="Q1042" i="57"/>
  <c r="Q1043" i="57"/>
  <c r="Q1044" i="57"/>
  <c r="Q1045" i="57"/>
  <c r="Q1046" i="57"/>
  <c r="Q1047" i="57"/>
  <c r="Q1048" i="57"/>
  <c r="Q1049" i="57"/>
  <c r="Q1050" i="57"/>
  <c r="Q1051" i="57"/>
  <c r="Q1052" i="57"/>
  <c r="Q1053" i="57"/>
  <c r="Q1054" i="57"/>
  <c r="Q1055" i="57"/>
  <c r="Q1056" i="57"/>
  <c r="Q1057" i="57"/>
  <c r="Q1058" i="57"/>
  <c r="Q1059" i="57"/>
  <c r="Q1060" i="57"/>
  <c r="Q1061" i="57"/>
  <c r="Q1062" i="57"/>
  <c r="Q1063" i="57"/>
  <c r="Q1064" i="57"/>
  <c r="Q1065" i="57"/>
  <c r="Q1066" i="57"/>
  <c r="Q1067" i="57"/>
  <c r="Q1068" i="57"/>
  <c r="Q1069" i="57"/>
  <c r="Q1070" i="57"/>
  <c r="Q1071" i="57"/>
  <c r="Q1072" i="57"/>
  <c r="Q1073" i="57"/>
  <c r="Q1074" i="57"/>
  <c r="Q1075" i="57"/>
  <c r="Q1076" i="57"/>
  <c r="Q1077" i="57"/>
  <c r="Q1078" i="57"/>
  <c r="Q1079" i="57"/>
  <c r="Q1080" i="57"/>
  <c r="Q1081" i="57"/>
  <c r="Q1082" i="57"/>
  <c r="Q1083" i="57"/>
  <c r="Q1084" i="57"/>
  <c r="Q1085" i="57"/>
  <c r="Q1086" i="57"/>
  <c r="Q1087" i="57"/>
  <c r="Q1088" i="57"/>
  <c r="Q1089" i="57"/>
  <c r="Q1090" i="57"/>
  <c r="Q1091" i="57"/>
  <c r="Q1092" i="57"/>
  <c r="Q1093" i="57"/>
  <c r="Q1094" i="57"/>
  <c r="Q1095" i="57"/>
  <c r="Q1096" i="57"/>
  <c r="Q1097" i="57"/>
  <c r="Q1098" i="57"/>
  <c r="Q1099" i="57"/>
  <c r="Q1100" i="57"/>
  <c r="Q1101" i="57"/>
  <c r="Q1102" i="57"/>
  <c r="Q1103" i="57"/>
  <c r="Q1104" i="57"/>
  <c r="Q1105" i="57"/>
  <c r="Q1106" i="57"/>
  <c r="Q1107" i="57"/>
  <c r="Q1108" i="57"/>
  <c r="Q1109" i="57"/>
  <c r="Q1110" i="57"/>
  <c r="Q1111" i="57"/>
  <c r="Q1112" i="57"/>
  <c r="Q1113" i="57"/>
  <c r="Q1114" i="57"/>
  <c r="Q1115" i="57"/>
  <c r="Q1116" i="57"/>
  <c r="Q1117" i="57"/>
  <c r="Q1118" i="57"/>
  <c r="Q1119" i="57"/>
  <c r="Q1120" i="57"/>
  <c r="Q1121" i="57"/>
  <c r="Q1122" i="57"/>
  <c r="Q1123" i="57"/>
  <c r="Q1124" i="57"/>
  <c r="Q1125" i="57"/>
  <c r="Q1126" i="57"/>
  <c r="Q1127" i="57"/>
  <c r="Q1128" i="57"/>
  <c r="Q1129" i="57"/>
  <c r="Q1130" i="57"/>
  <c r="Q1131" i="57"/>
  <c r="Q1132" i="57"/>
  <c r="Q1133" i="57"/>
  <c r="Q1134" i="57"/>
  <c r="Q1135" i="57"/>
  <c r="Q1136" i="57"/>
  <c r="Q1137" i="57"/>
  <c r="Q1138" i="57"/>
  <c r="Q1139" i="57"/>
  <c r="Q1140" i="57"/>
  <c r="Q1141" i="57"/>
  <c r="Q1142" i="57"/>
  <c r="Q1143" i="57"/>
  <c r="Q1144" i="57"/>
  <c r="Q1145" i="57"/>
  <c r="Q1146" i="57"/>
  <c r="Q1147" i="57"/>
  <c r="Q1148" i="57"/>
  <c r="Q1149" i="57"/>
  <c r="Q1150" i="57"/>
  <c r="Q1151" i="57"/>
  <c r="Q1152" i="57"/>
  <c r="Q1153" i="57"/>
  <c r="Q1154" i="57"/>
  <c r="Q1155" i="57"/>
  <c r="Q1156" i="57"/>
  <c r="Q1157" i="57"/>
  <c r="Q1158" i="57"/>
  <c r="Q1159" i="57"/>
  <c r="Q1160" i="57"/>
  <c r="Q1161" i="57"/>
  <c r="Q1162" i="57"/>
  <c r="Q1163" i="57"/>
  <c r="Q1164" i="57"/>
  <c r="Q1165" i="57"/>
  <c r="Q1166" i="57"/>
  <c r="Q1167" i="57"/>
  <c r="Q1168" i="57"/>
  <c r="Q1169" i="57"/>
  <c r="Q1170" i="57"/>
  <c r="Q1171" i="57"/>
  <c r="Q1172" i="57"/>
  <c r="Q1173" i="57"/>
  <c r="Q1174" i="57"/>
  <c r="Q1175" i="57"/>
  <c r="Q1176" i="57"/>
  <c r="Q1177" i="57"/>
  <c r="Q1178" i="57"/>
  <c r="Q1179" i="57"/>
  <c r="Q1180" i="57"/>
  <c r="Q1181" i="57"/>
  <c r="Q1182" i="57"/>
  <c r="Q1183" i="57"/>
  <c r="Q1184" i="57"/>
  <c r="Q1185" i="57"/>
  <c r="Q1186" i="57"/>
  <c r="Q1187" i="57"/>
  <c r="Q1188" i="57"/>
  <c r="Q1189" i="57"/>
  <c r="Q1190" i="57"/>
  <c r="Q1191" i="57"/>
  <c r="Q1192" i="57"/>
  <c r="M2" i="57"/>
  <c r="M61" i="57"/>
  <c r="M63" i="57"/>
  <c r="M68" i="57"/>
  <c r="M72" i="57"/>
  <c r="M77" i="57"/>
  <c r="M81" i="57"/>
  <c r="M99" i="57"/>
  <c r="M142" i="57"/>
  <c r="M148" i="57"/>
  <c r="M163" i="57"/>
  <c r="M168" i="57"/>
  <c r="M171" i="57"/>
  <c r="M188" i="57"/>
  <c r="M195" i="57"/>
  <c r="M199" i="57"/>
  <c r="M200" i="57"/>
  <c r="M206" i="57"/>
  <c r="M209" i="57"/>
  <c r="M213" i="57"/>
  <c r="M218" i="57"/>
  <c r="M223" i="57"/>
  <c r="M226" i="57"/>
  <c r="M229" i="57"/>
  <c r="M232" i="57"/>
  <c r="M238" i="57"/>
  <c r="M239" i="57"/>
  <c r="M245" i="57"/>
  <c r="M247" i="57"/>
  <c r="M256" i="57"/>
  <c r="M270" i="57"/>
  <c r="M272" i="57"/>
  <c r="M278" i="57"/>
  <c r="M281" i="57"/>
  <c r="M284" i="57"/>
  <c r="M285" i="57"/>
  <c r="M287" i="57"/>
  <c r="M293" i="57"/>
  <c r="M294" i="57"/>
  <c r="M297" i="57"/>
  <c r="M304" i="57"/>
  <c r="M305" i="57"/>
  <c r="M309" i="57"/>
  <c r="M313" i="57"/>
  <c r="M317" i="57"/>
  <c r="M319" i="57"/>
  <c r="M336" i="57"/>
  <c r="M344" i="57"/>
  <c r="M346" i="57"/>
  <c r="M352" i="57"/>
  <c r="M353" i="57"/>
  <c r="M360" i="57"/>
  <c r="M361" i="57"/>
  <c r="M367" i="57"/>
  <c r="M368" i="57"/>
  <c r="M374" i="57"/>
  <c r="M378" i="57"/>
  <c r="M385" i="57"/>
  <c r="M388" i="57"/>
  <c r="M394" i="57"/>
  <c r="M397" i="57"/>
  <c r="M403" i="57"/>
  <c r="M408" i="57"/>
  <c r="M415" i="57"/>
  <c r="M423" i="57"/>
  <c r="M432" i="57"/>
  <c r="M439" i="57"/>
  <c r="M441" i="57"/>
  <c r="M450" i="57"/>
  <c r="M455" i="57"/>
  <c r="M456" i="57"/>
  <c r="M459" i="57"/>
  <c r="M460" i="57"/>
  <c r="M462" i="57"/>
  <c r="M464" i="57"/>
  <c r="M466" i="57"/>
  <c r="M477" i="57"/>
  <c r="M485" i="57"/>
  <c r="M492" i="57"/>
  <c r="M497" i="57"/>
  <c r="M504" i="57"/>
  <c r="M510" i="57"/>
  <c r="M514" i="57"/>
  <c r="M519" i="57"/>
  <c r="M527" i="57"/>
  <c r="M549" i="57"/>
  <c r="M554" i="57"/>
  <c r="M560" i="57"/>
  <c r="M567" i="57"/>
  <c r="M571" i="57"/>
  <c r="M575" i="57"/>
  <c r="M581" i="57"/>
  <c r="M583" i="57"/>
  <c r="M590" i="57"/>
  <c r="M595" i="57"/>
  <c r="M596" i="57"/>
  <c r="M597" i="57"/>
  <c r="M602" i="57"/>
  <c r="M603" i="57"/>
  <c r="M610" i="57"/>
  <c r="M616" i="57"/>
  <c r="M617" i="57"/>
  <c r="M618" i="57"/>
  <c r="M623" i="57"/>
  <c r="M629" i="57"/>
  <c r="M630" i="57"/>
  <c r="M632" i="57"/>
  <c r="M633" i="57"/>
  <c r="M636" i="57"/>
  <c r="M638" i="57"/>
  <c r="M643" i="57"/>
  <c r="M646" i="57"/>
  <c r="M657" i="57"/>
  <c r="M666" i="57"/>
  <c r="M667" i="57"/>
  <c r="M671" i="57"/>
  <c r="M673" i="57"/>
  <c r="M674" i="57"/>
  <c r="M675" i="57"/>
  <c r="M677" i="57"/>
  <c r="M679" i="57"/>
  <c r="M682" i="57"/>
  <c r="M685" i="57"/>
  <c r="M686" i="57"/>
  <c r="M687" i="57"/>
  <c r="M690" i="57"/>
  <c r="M693" i="57"/>
  <c r="M694" i="57"/>
  <c r="M696" i="57"/>
  <c r="M698" i="57"/>
  <c r="M699" i="57"/>
  <c r="M703" i="57"/>
  <c r="M704" i="57"/>
  <c r="M705" i="57"/>
  <c r="M710" i="57"/>
  <c r="M711" i="57"/>
  <c r="M716" i="57"/>
  <c r="M717" i="57"/>
  <c r="M727" i="57"/>
  <c r="M728" i="57"/>
  <c r="M736" i="57"/>
  <c r="M739" i="57"/>
  <c r="M749" i="57"/>
  <c r="M751" i="57"/>
  <c r="M753" i="57"/>
  <c r="M756" i="57"/>
  <c r="M760" i="57"/>
  <c r="M762" i="57"/>
  <c r="M764" i="57"/>
  <c r="M765" i="57"/>
  <c r="M766" i="57"/>
  <c r="M767" i="57"/>
  <c r="M768" i="57"/>
  <c r="M770" i="57"/>
  <c r="M771" i="57"/>
  <c r="M774" i="57"/>
  <c r="M775" i="57"/>
  <c r="M777" i="57"/>
  <c r="M778" i="57"/>
  <c r="M787" i="57"/>
  <c r="M793" i="57"/>
  <c r="M799" i="57"/>
  <c r="M806" i="57"/>
  <c r="M807" i="57"/>
  <c r="M808" i="57"/>
  <c r="M814" i="57"/>
  <c r="M815" i="57"/>
  <c r="M816" i="57"/>
  <c r="M822" i="57"/>
  <c r="M823" i="57"/>
  <c r="M830" i="57"/>
  <c r="M831" i="57"/>
  <c r="M832" i="57"/>
  <c r="M833" i="57"/>
  <c r="M840" i="57"/>
  <c r="M847" i="57"/>
  <c r="M848" i="57"/>
  <c r="M850" i="57"/>
  <c r="M855" i="57"/>
  <c r="M856" i="57"/>
  <c r="M857" i="57"/>
  <c r="M858" i="57"/>
  <c r="M861" i="57"/>
  <c r="M862" i="57"/>
  <c r="M867" i="57"/>
  <c r="M868" i="57"/>
  <c r="M873" i="57"/>
  <c r="M874" i="57"/>
  <c r="M878" i="57"/>
  <c r="M879" i="57"/>
  <c r="M880" i="57"/>
  <c r="M883" i="57"/>
  <c r="M887" i="57"/>
  <c r="M888" i="57"/>
  <c r="M891" i="57"/>
  <c r="M895" i="57"/>
  <c r="M896" i="57"/>
  <c r="M901" i="57"/>
  <c r="M902" i="57"/>
  <c r="M903" i="57"/>
  <c r="M907" i="57"/>
  <c r="M908" i="57"/>
  <c r="M912" i="57"/>
  <c r="M925" i="57"/>
  <c r="M927" i="57"/>
  <c r="M931" i="57"/>
  <c r="M937" i="57"/>
  <c r="M942" i="57"/>
  <c r="M951" i="57"/>
  <c r="M953" i="57"/>
  <c r="M957" i="57"/>
  <c r="M959" i="57"/>
  <c r="M964" i="57"/>
  <c r="M966" i="57"/>
  <c r="M969" i="57"/>
  <c r="M971" i="57"/>
  <c r="M978" i="57"/>
  <c r="M980" i="57"/>
  <c r="M986" i="57"/>
  <c r="M992" i="57"/>
  <c r="M993" i="57"/>
  <c r="M998" i="57"/>
  <c r="M999" i="57"/>
  <c r="M1000" i="57"/>
  <c r="M1004" i="57"/>
  <c r="M1005" i="57"/>
  <c r="M1006" i="57"/>
  <c r="M1012" i="57"/>
  <c r="M1014" i="57"/>
  <c r="M1021" i="57"/>
  <c r="M1027" i="57"/>
  <c r="M1028" i="57"/>
  <c r="M1033" i="57"/>
  <c r="M1037" i="57"/>
  <c r="M1039" i="57"/>
  <c r="M1043" i="57"/>
  <c r="M1047" i="57"/>
  <c r="M1051" i="57"/>
  <c r="M1056" i="57"/>
  <c r="M1060" i="57"/>
  <c r="M1061" i="57"/>
  <c r="M1066" i="57"/>
  <c r="M1074" i="57"/>
  <c r="M1076" i="57"/>
  <c r="M1081" i="57"/>
  <c r="M1085" i="57"/>
  <c r="M1089" i="57"/>
  <c r="M1103" i="57"/>
  <c r="M1107" i="57"/>
  <c r="M1108" i="57"/>
  <c r="M1120" i="57"/>
  <c r="M1121" i="57"/>
  <c r="M1130" i="57"/>
  <c r="M1173" i="57"/>
  <c r="E1192" i="57"/>
  <c r="F1192" i="57" s="1"/>
  <c r="H1192" i="57"/>
  <c r="K6" i="56" s="1"/>
  <c r="N1192" i="57"/>
  <c r="O1192" i="57"/>
  <c r="P1192" i="57"/>
  <c r="E1191" i="57"/>
  <c r="F1191" i="57" s="1"/>
  <c r="H1191" i="57"/>
  <c r="K5" i="56" s="1"/>
  <c r="N1191" i="57"/>
  <c r="O1191" i="57"/>
  <c r="P1191" i="57"/>
  <c r="E1190" i="57"/>
  <c r="F1190" i="57" s="1"/>
  <c r="H1190" i="57"/>
  <c r="N1190" i="57"/>
  <c r="O1190" i="57"/>
  <c r="P1190" i="57"/>
  <c r="E1189" i="57"/>
  <c r="F1189" i="57" s="1"/>
  <c r="H1189" i="57"/>
  <c r="N1189" i="57"/>
  <c r="O1189" i="57"/>
  <c r="P1189" i="57"/>
  <c r="H244" i="50"/>
  <c r="M244" i="50"/>
  <c r="H243" i="50"/>
  <c r="M243" i="50"/>
  <c r="E1188" i="57"/>
  <c r="F1188" i="57" s="1"/>
  <c r="H1188" i="57"/>
  <c r="N1188" i="57"/>
  <c r="O1188" i="57"/>
  <c r="P1188" i="57"/>
  <c r="E1187" i="57"/>
  <c r="F1187" i="57" s="1"/>
  <c r="H1187" i="57"/>
  <c r="N1187" i="57"/>
  <c r="O1187" i="57"/>
  <c r="P1187" i="57"/>
  <c r="E1186" i="57"/>
  <c r="F1186" i="57" s="1"/>
  <c r="H1186" i="57"/>
  <c r="N1186" i="57"/>
  <c r="O1186" i="57"/>
  <c r="P1186" i="57"/>
  <c r="E1185" i="57"/>
  <c r="F1185" i="57" s="1"/>
  <c r="H1185" i="57"/>
  <c r="N1185" i="57"/>
  <c r="O1185" i="57"/>
  <c r="P1185" i="57"/>
  <c r="E1184" i="57"/>
  <c r="F1184" i="57" s="1"/>
  <c r="H1184" i="57"/>
  <c r="N1184" i="57"/>
  <c r="O1184" i="57"/>
  <c r="P1184" i="57"/>
  <c r="E1183" i="57"/>
  <c r="F1183" i="57" s="1"/>
  <c r="H1183" i="57"/>
  <c r="N1183" i="57"/>
  <c r="O1183" i="57"/>
  <c r="P1183" i="57"/>
  <c r="E1182" i="57"/>
  <c r="F1182" i="57" s="1"/>
  <c r="H1182" i="57"/>
  <c r="N1182" i="57"/>
  <c r="O1182" i="57"/>
  <c r="P1182" i="57"/>
  <c r="H242" i="50"/>
  <c r="M242" i="50"/>
  <c r="E1181" i="57"/>
  <c r="F1181" i="57" s="1"/>
  <c r="H1181" i="57"/>
  <c r="N1181" i="57"/>
  <c r="O1181" i="57"/>
  <c r="P1181" i="57"/>
  <c r="E1180" i="57"/>
  <c r="F1180" i="57" s="1"/>
  <c r="H1180" i="57"/>
  <c r="N1180" i="57"/>
  <c r="O1180" i="57"/>
  <c r="P1180" i="57"/>
  <c r="E1179" i="57"/>
  <c r="F1179" i="57" s="1"/>
  <c r="H1179" i="57"/>
  <c r="N1179" i="57"/>
  <c r="O1179" i="57"/>
  <c r="P1179" i="57"/>
  <c r="H241" i="50"/>
  <c r="M241" i="50"/>
  <c r="D3" i="56"/>
  <c r="D14" i="56"/>
  <c r="E3" i="56"/>
  <c r="E14" i="56"/>
  <c r="F3" i="56"/>
  <c r="F14" i="56"/>
  <c r="G3" i="56"/>
  <c r="G14" i="56"/>
  <c r="H3" i="56"/>
  <c r="H14" i="56"/>
  <c r="E1176" i="57"/>
  <c r="F1176" i="57" s="1"/>
  <c r="E1177" i="57"/>
  <c r="F1177" i="57" s="1"/>
  <c r="E1178" i="57"/>
  <c r="F1178" i="57" s="1"/>
  <c r="H1176" i="57"/>
  <c r="H1177" i="57"/>
  <c r="H1178" i="57"/>
  <c r="N1176" i="57"/>
  <c r="N1177" i="57"/>
  <c r="N1178" i="57"/>
  <c r="O1176" i="57"/>
  <c r="O1177" i="57"/>
  <c r="O1178" i="57"/>
  <c r="P1176" i="57"/>
  <c r="P1177" i="57"/>
  <c r="P1178" i="57"/>
  <c r="E1175" i="57"/>
  <c r="F1175" i="57" s="1"/>
  <c r="H1175" i="57"/>
  <c r="N1175" i="57"/>
  <c r="O1175" i="57"/>
  <c r="P1175" i="57"/>
  <c r="E1174" i="57"/>
  <c r="F1174" i="57" s="1"/>
  <c r="H1174" i="57"/>
  <c r="N1174" i="57"/>
  <c r="O1174" i="57"/>
  <c r="P1174" i="57"/>
  <c r="H240" i="50"/>
  <c r="M240" i="50"/>
  <c r="E1173" i="57"/>
  <c r="F1173" i="57" s="1"/>
  <c r="H1173" i="57"/>
  <c r="N1173" i="57"/>
  <c r="O1173" i="57"/>
  <c r="P1173" i="57"/>
  <c r="E1172" i="57"/>
  <c r="F1172" i="57" s="1"/>
  <c r="H1172" i="57"/>
  <c r="N1172" i="57"/>
  <c r="O1172" i="57"/>
  <c r="P1172" i="57"/>
  <c r="E1171" i="57"/>
  <c r="F1171" i="57" s="1"/>
  <c r="H1171" i="57"/>
  <c r="K21" i="56" s="1"/>
  <c r="N1171" i="57"/>
  <c r="O1171" i="57"/>
  <c r="P1171" i="57"/>
  <c r="E1170" i="57"/>
  <c r="F1170" i="57" s="1"/>
  <c r="H1170" i="57"/>
  <c r="N1170" i="57"/>
  <c r="O1170" i="57"/>
  <c r="P1170" i="57"/>
  <c r="E1169" i="57"/>
  <c r="F1169" i="57" s="1"/>
  <c r="H1169" i="57"/>
  <c r="N1169" i="57"/>
  <c r="O1169" i="57"/>
  <c r="P1169" i="57"/>
  <c r="E1168" i="57"/>
  <c r="F1168" i="57" s="1"/>
  <c r="H1168" i="57"/>
  <c r="N1168" i="57"/>
  <c r="O1168" i="57"/>
  <c r="P1168" i="57"/>
  <c r="H23" i="56"/>
  <c r="G23" i="56"/>
  <c r="F23" i="56"/>
  <c r="E23" i="56"/>
  <c r="D23" i="56"/>
  <c r="E1167" i="57"/>
  <c r="F1167" i="57" s="1"/>
  <c r="H1167" i="57"/>
  <c r="N1167" i="57"/>
  <c r="O1167" i="57"/>
  <c r="P1167" i="57"/>
  <c r="E1166" i="57"/>
  <c r="F1166" i="57" s="1"/>
  <c r="H1166" i="57"/>
  <c r="N1166" i="57"/>
  <c r="O1166" i="57"/>
  <c r="P1166" i="57"/>
  <c r="E1165" i="57"/>
  <c r="F1165" i="57" s="1"/>
  <c r="H1165" i="57"/>
  <c r="N1165" i="57"/>
  <c r="O1165" i="57"/>
  <c r="P1165" i="57"/>
  <c r="E1164" i="57"/>
  <c r="F1164" i="57" s="1"/>
  <c r="H1164" i="57"/>
  <c r="N1164" i="57"/>
  <c r="O1164" i="57"/>
  <c r="P1164" i="57"/>
  <c r="E1163" i="57"/>
  <c r="F1163" i="57" s="1"/>
  <c r="H1163" i="57"/>
  <c r="N1163" i="57"/>
  <c r="O1163" i="57"/>
  <c r="P1163" i="57"/>
  <c r="H239" i="50"/>
  <c r="M239" i="50"/>
  <c r="H238" i="50"/>
  <c r="M238" i="50"/>
  <c r="E1162" i="57"/>
  <c r="F1162" i="57" s="1"/>
  <c r="H1162" i="57"/>
  <c r="N1162" i="57"/>
  <c r="O1162" i="57"/>
  <c r="P1162" i="57"/>
  <c r="E1161" i="57"/>
  <c r="F1161" i="57" s="1"/>
  <c r="H1161" i="57"/>
  <c r="N1161" i="57"/>
  <c r="O1161" i="57"/>
  <c r="P1161" i="57"/>
  <c r="E1160" i="57"/>
  <c r="F1160" i="57" s="1"/>
  <c r="H1160" i="57"/>
  <c r="N1160" i="57"/>
  <c r="O1160" i="57"/>
  <c r="P1160" i="57"/>
  <c r="E1159" i="57"/>
  <c r="F1159" i="57" s="1"/>
  <c r="H1159" i="57"/>
  <c r="N1159" i="57"/>
  <c r="O1159" i="57"/>
  <c r="P1159" i="57"/>
  <c r="E1158" i="57"/>
  <c r="F1158" i="57" s="1"/>
  <c r="H1158" i="57"/>
  <c r="N1158" i="57"/>
  <c r="O1158" i="57"/>
  <c r="P1158" i="57"/>
  <c r="H237" i="50"/>
  <c r="M237" i="50"/>
  <c r="H236" i="50"/>
  <c r="M236" i="50"/>
  <c r="H235" i="50"/>
  <c r="M235" i="50"/>
  <c r="AQ3" i="78"/>
  <c r="AP7" i="78"/>
  <c r="M80" i="57" s="1"/>
  <c r="AP6" i="78"/>
  <c r="AP5" i="78"/>
  <c r="AP4" i="78"/>
  <c r="AP29" i="78"/>
  <c r="M1041" i="57" s="1"/>
  <c r="AP28" i="78"/>
  <c r="M1207" i="57" s="1"/>
  <c r="AP27" i="78"/>
  <c r="M825" i="57" s="1"/>
  <c r="AP26" i="78"/>
  <c r="M1208" i="57" s="1"/>
  <c r="AP25" i="78"/>
  <c r="M1224" i="57" s="1"/>
  <c r="AP24" i="78"/>
  <c r="M291" i="57" s="1"/>
  <c r="AP23" i="78"/>
  <c r="AP22" i="78"/>
  <c r="M956" i="57" s="1"/>
  <c r="AP21" i="78"/>
  <c r="AP20" i="78"/>
  <c r="M262" i="57" s="1"/>
  <c r="AP19" i="78"/>
  <c r="M339" i="57" s="1"/>
  <c r="AP18" i="78"/>
  <c r="M211" i="57" s="1"/>
  <c r="AP17" i="78"/>
  <c r="M117" i="57" s="1"/>
  <c r="AP14" i="78"/>
  <c r="M14" i="57" s="1"/>
  <c r="AP15" i="78"/>
  <c r="M1197" i="57" s="1"/>
  <c r="E1157" i="57"/>
  <c r="F1157" i="57" s="1"/>
  <c r="H1157" i="57"/>
  <c r="N1157" i="57"/>
  <c r="O1157" i="57"/>
  <c r="P1157" i="57"/>
  <c r="E1156" i="57"/>
  <c r="F1156" i="57" s="1"/>
  <c r="H1156" i="57"/>
  <c r="N1156" i="57"/>
  <c r="O1156" i="57"/>
  <c r="P1156" i="57"/>
  <c r="H234" i="50"/>
  <c r="M234" i="50"/>
  <c r="M110" i="57"/>
  <c r="M153" i="57"/>
  <c r="M451" i="57"/>
  <c r="M528" i="57"/>
  <c r="M598" i="57"/>
  <c r="M757" i="57"/>
  <c r="M864" i="57"/>
  <c r="M21" i="57"/>
  <c r="M298" i="57"/>
  <c r="M434" i="57"/>
  <c r="M488" i="57"/>
  <c r="M556" i="57"/>
  <c r="M897" i="57"/>
  <c r="M24" i="57"/>
  <c r="M354" i="57"/>
  <c r="M473" i="57"/>
  <c r="M688" i="57"/>
  <c r="M754" i="57"/>
  <c r="M932" i="57"/>
  <c r="M678" i="57"/>
  <c r="M1128" i="57"/>
  <c r="M7" i="57"/>
  <c r="M810" i="57"/>
  <c r="M1170" i="57"/>
  <c r="M29" i="57"/>
  <c r="M210" i="57"/>
  <c r="M973" i="57"/>
  <c r="M1072" i="57"/>
  <c r="M411" i="57"/>
  <c r="M1087" i="57"/>
  <c r="M318" i="57"/>
  <c r="M600" i="57"/>
  <c r="M1031" i="57"/>
  <c r="M996" i="57"/>
  <c r="M1035" i="57"/>
  <c r="M75" i="57"/>
  <c r="M876" i="57"/>
  <c r="M1010" i="57"/>
  <c r="M40" i="57"/>
  <c r="M201" i="57"/>
  <c r="M871" i="57"/>
  <c r="M1064" i="57"/>
  <c r="M277" i="57"/>
  <c r="M820" i="57"/>
  <c r="M941" i="57"/>
  <c r="M785" i="57"/>
  <c r="M271" i="57"/>
  <c r="M1084" i="57"/>
  <c r="M890" i="57"/>
  <c r="M1088" i="57"/>
  <c r="M62" i="57"/>
  <c r="M46" i="57"/>
  <c r="M119" i="57"/>
  <c r="M222" i="57"/>
  <c r="M105" i="57"/>
  <c r="M509" i="57"/>
  <c r="M393" i="57"/>
  <c r="M414" i="57"/>
  <c r="M650" i="57"/>
  <c r="M1160" i="57"/>
  <c r="M593" i="57"/>
  <c r="M795" i="57"/>
  <c r="M501" i="57"/>
  <c r="M579" i="57"/>
  <c r="M1079" i="57"/>
  <c r="M66" i="57"/>
  <c r="M522" i="57"/>
  <c r="M949" i="57"/>
  <c r="M1154" i="57"/>
  <c r="M1048" i="57"/>
  <c r="M1133" i="57"/>
  <c r="M1002" i="57"/>
  <c r="M1129" i="57"/>
  <c r="M813" i="57"/>
  <c r="M906" i="57"/>
  <c r="M1011" i="57"/>
  <c r="M805" i="57"/>
  <c r="M963" i="57"/>
  <c r="M178" i="57"/>
  <c r="M821" i="57"/>
  <c r="M1095" i="57"/>
  <c r="M846" i="57"/>
  <c r="M900" i="57"/>
  <c r="M984" i="57"/>
  <c r="M1192" i="57"/>
  <c r="M326" i="57"/>
  <c r="M960" i="57"/>
  <c r="M763" i="57"/>
  <c r="M174" i="57"/>
  <c r="M230" i="57"/>
  <c r="M65" i="57"/>
  <c r="M359" i="57"/>
  <c r="M365" i="57"/>
  <c r="M371" i="57"/>
  <c r="M523" i="57"/>
  <c r="M536" i="57"/>
  <c r="M351" i="57"/>
  <c r="M447" i="57"/>
  <c r="M467" i="57"/>
  <c r="M566" i="57"/>
  <c r="M589" i="57"/>
  <c r="M101" i="57"/>
  <c r="M137" i="57"/>
  <c r="M342" i="57"/>
  <c r="M438" i="57"/>
  <c r="M472" i="57"/>
  <c r="M524" i="57"/>
  <c r="M574" i="57"/>
  <c r="M580" i="57"/>
  <c r="M74" i="57"/>
  <c r="M82" i="57"/>
  <c r="M401" i="57"/>
  <c r="M420" i="57"/>
  <c r="M542" i="57"/>
  <c r="M86" i="57"/>
  <c r="M93" i="57"/>
  <c r="M107" i="57"/>
  <c r="M127" i="57"/>
  <c r="M133" i="57"/>
  <c r="M383" i="57"/>
  <c r="M406" i="57"/>
  <c r="M413" i="57"/>
  <c r="M431" i="57"/>
  <c r="M461" i="57"/>
  <c r="M548" i="57"/>
  <c r="M553" i="57"/>
  <c r="M559" i="57"/>
  <c r="M570" i="57"/>
  <c r="M78" i="57"/>
  <c r="M392" i="57"/>
  <c r="M484" i="57"/>
  <c r="M914" i="57"/>
  <c r="M236" i="57"/>
  <c r="M639" i="57"/>
  <c r="M159" i="57"/>
  <c r="M325" i="57"/>
  <c r="M652" i="57"/>
  <c r="M283" i="57"/>
  <c r="M405" i="57"/>
  <c r="M376" i="57"/>
  <c r="M697" i="57"/>
  <c r="M69" i="57"/>
  <c r="M252" i="57"/>
  <c r="M381" i="57"/>
  <c r="M348" i="57"/>
  <c r="M58" i="57"/>
  <c r="M154" i="57"/>
  <c r="M198" i="57"/>
  <c r="M220" i="57"/>
  <c r="M251" i="57"/>
  <c r="M338" i="57"/>
  <c r="M435" i="57"/>
  <c r="M479" i="57"/>
  <c r="M495" i="57"/>
  <c r="M557" i="57"/>
  <c r="M620" i="57"/>
  <c r="M656" i="57"/>
  <c r="M746" i="57"/>
  <c r="M904" i="57"/>
  <c r="M22" i="57"/>
  <c r="M111" i="57"/>
  <c r="M282" i="57"/>
  <c r="M347" i="57"/>
  <c r="M363" i="57"/>
  <c r="M380" i="57"/>
  <c r="M390" i="57"/>
  <c r="M563" i="57"/>
  <c r="M578" i="57"/>
  <c r="M605" i="57"/>
  <c r="M695" i="57"/>
  <c r="M893" i="57"/>
  <c r="M910" i="57"/>
  <c r="M13" i="57"/>
  <c r="M89" i="57"/>
  <c r="M118" i="57"/>
  <c r="M161" i="57"/>
  <c r="M180" i="57"/>
  <c r="M288" i="57"/>
  <c r="M521" i="57"/>
  <c r="M684" i="57"/>
  <c r="M692" i="57"/>
  <c r="M741" i="57"/>
  <c r="M827" i="57"/>
  <c r="M837" i="57"/>
  <c r="M898" i="57"/>
  <c r="M929" i="57"/>
  <c r="M933" i="57"/>
  <c r="M1171" i="57"/>
  <c r="M1177" i="57"/>
  <c r="M5" i="57"/>
  <c r="M25" i="57"/>
  <c r="M167" i="57"/>
  <c r="M193" i="57"/>
  <c r="M260" i="57"/>
  <c r="M275" i="57"/>
  <c r="M299" i="57"/>
  <c r="M398" i="57"/>
  <c r="M425" i="57"/>
  <c r="M489" i="57"/>
  <c r="M516" i="57"/>
  <c r="M534" i="57"/>
  <c r="M540" i="57"/>
  <c r="M585" i="57"/>
  <c r="M611" i="57"/>
  <c r="M689" i="57"/>
  <c r="M819" i="57"/>
  <c r="M844" i="57"/>
  <c r="M922" i="57"/>
  <c r="M976" i="57"/>
  <c r="M681" i="57"/>
  <c r="M1001" i="57"/>
  <c r="M1150" i="57"/>
  <c r="M1188" i="57"/>
  <c r="M6" i="57"/>
  <c r="M334" i="57"/>
  <c r="M530" i="57"/>
  <c r="M718" i="57"/>
  <c r="M794" i="57"/>
  <c r="M1146" i="57"/>
  <c r="M19" i="57"/>
  <c r="M155" i="57"/>
  <c r="M543" i="57"/>
  <c r="M707" i="57"/>
  <c r="M859" i="57"/>
  <c r="M1163" i="57"/>
  <c r="M164" i="57"/>
  <c r="M224" i="57"/>
  <c r="M648" i="57"/>
  <c r="M680" i="57"/>
  <c r="M800" i="57"/>
  <c r="M1168" i="57"/>
  <c r="M125" i="57"/>
  <c r="M241" i="57"/>
  <c r="M537" i="57"/>
  <c r="M809" i="57"/>
  <c r="M869" i="57"/>
  <c r="M1149" i="57"/>
  <c r="H233" i="50"/>
  <c r="J21" i="56" s="1"/>
  <c r="L21" i="56" s="1"/>
  <c r="M233" i="50"/>
  <c r="E1155" i="57"/>
  <c r="F1155" i="57" s="1"/>
  <c r="H1155" i="57"/>
  <c r="N1155" i="57"/>
  <c r="O1155" i="57"/>
  <c r="P1155" i="57"/>
  <c r="E1154" i="57"/>
  <c r="F1154" i="57" s="1"/>
  <c r="H1154" i="57"/>
  <c r="N1154" i="57"/>
  <c r="O1154" i="57"/>
  <c r="P1154" i="57"/>
  <c r="E1153" i="57"/>
  <c r="F1153" i="57" s="1"/>
  <c r="H1153" i="57"/>
  <c r="N1153" i="57"/>
  <c r="O1153" i="57"/>
  <c r="P1153" i="57"/>
  <c r="E1152" i="57"/>
  <c r="F1152" i="57" s="1"/>
  <c r="H1152" i="57"/>
  <c r="N1152" i="57"/>
  <c r="O1152" i="57"/>
  <c r="P1152" i="57"/>
  <c r="H232" i="50"/>
  <c r="M232" i="50"/>
  <c r="H231" i="50"/>
  <c r="M231" i="50"/>
  <c r="H230" i="50"/>
  <c r="J19" i="56" s="1"/>
  <c r="L19" i="56" s="1"/>
  <c r="M230" i="50"/>
  <c r="H229" i="50"/>
  <c r="M229" i="50"/>
  <c r="E1149" i="57"/>
  <c r="F1149" i="57" s="1"/>
  <c r="E1150" i="57"/>
  <c r="F1150" i="57" s="1"/>
  <c r="E1151" i="57"/>
  <c r="F1151" i="57" s="1"/>
  <c r="H1149" i="57"/>
  <c r="H1150" i="57"/>
  <c r="H1151" i="57"/>
  <c r="N1149" i="57"/>
  <c r="N1150" i="57"/>
  <c r="N1151" i="57"/>
  <c r="O1149" i="57"/>
  <c r="O1150" i="57"/>
  <c r="O1151" i="57"/>
  <c r="P1149" i="57"/>
  <c r="P1150" i="57"/>
  <c r="P1151" i="57"/>
  <c r="I3" i="56"/>
  <c r="H228" i="50"/>
  <c r="M228" i="50"/>
  <c r="H227" i="50"/>
  <c r="J20" i="56" s="1"/>
  <c r="M227" i="50"/>
  <c r="E1148" i="57"/>
  <c r="F1148" i="57" s="1"/>
  <c r="H1148" i="57"/>
  <c r="N1148" i="57"/>
  <c r="O1148" i="57"/>
  <c r="P1148" i="57"/>
  <c r="E1147" i="57"/>
  <c r="F1147" i="57" s="1"/>
  <c r="H1147" i="57"/>
  <c r="N1147" i="57"/>
  <c r="O1147" i="57"/>
  <c r="P1147" i="57"/>
  <c r="E1146" i="57"/>
  <c r="F1146" i="57" s="1"/>
  <c r="H1146" i="57"/>
  <c r="N1146" i="57"/>
  <c r="O1146" i="57"/>
  <c r="P1146" i="57"/>
  <c r="H226" i="50"/>
  <c r="M226" i="50"/>
  <c r="E1145" i="57"/>
  <c r="F1145" i="57" s="1"/>
  <c r="H1145" i="57"/>
  <c r="N1145" i="57"/>
  <c r="O1145" i="57"/>
  <c r="P1145" i="57"/>
  <c r="E1144" i="57"/>
  <c r="F1144" i="57" s="1"/>
  <c r="H1144" i="57"/>
  <c r="N1144" i="57"/>
  <c r="O1144" i="57"/>
  <c r="P1144" i="57"/>
  <c r="E1143" i="57"/>
  <c r="F1143" i="57" s="1"/>
  <c r="H1143" i="57"/>
  <c r="N1143" i="57"/>
  <c r="O1143" i="57"/>
  <c r="P1143" i="57"/>
  <c r="H225" i="50"/>
  <c r="M225" i="50"/>
  <c r="E1142" i="57"/>
  <c r="F1142" i="57" s="1"/>
  <c r="H1142" i="57"/>
  <c r="N1142" i="57"/>
  <c r="O1142" i="57"/>
  <c r="P1142" i="57"/>
  <c r="E1141" i="57"/>
  <c r="F1141" i="57" s="1"/>
  <c r="H1141" i="57"/>
  <c r="N1141" i="57"/>
  <c r="O1141" i="57"/>
  <c r="P1141" i="57"/>
  <c r="H224" i="50"/>
  <c r="M224" i="50"/>
  <c r="E1140" i="57"/>
  <c r="F1140" i="57" s="1"/>
  <c r="H1140" i="57"/>
  <c r="N1140" i="57"/>
  <c r="O1140" i="57"/>
  <c r="P1140" i="57"/>
  <c r="E1139" i="57"/>
  <c r="F1139" i="57" s="1"/>
  <c r="H1139" i="57"/>
  <c r="N1139" i="57"/>
  <c r="O1139" i="57"/>
  <c r="P1139" i="57"/>
  <c r="E1138" i="57"/>
  <c r="F1138" i="57" s="1"/>
  <c r="H1138" i="57"/>
  <c r="N1138" i="57"/>
  <c r="O1138" i="57"/>
  <c r="P1138" i="57"/>
  <c r="C14" i="75"/>
  <c r="C15" i="75"/>
  <c r="C16" i="75"/>
  <c r="C17" i="75"/>
  <c r="C18" i="75"/>
  <c r="C19" i="75"/>
  <c r="C20" i="75"/>
  <c r="C21" i="75"/>
  <c r="C22" i="75"/>
  <c r="C23" i="75"/>
  <c r="C24" i="75"/>
  <c r="C25" i="75"/>
  <c r="C26" i="75"/>
  <c r="C27" i="75"/>
  <c r="C28" i="75"/>
  <c r="C29" i="75"/>
  <c r="C30" i="75"/>
  <c r="C31" i="75"/>
  <c r="C32" i="75"/>
  <c r="C33" i="75"/>
  <c r="C34" i="75"/>
  <c r="C35" i="75"/>
  <c r="C36" i="75"/>
  <c r="C37" i="75"/>
  <c r="C38" i="75"/>
  <c r="C39" i="75"/>
  <c r="C40" i="75"/>
  <c r="C41" i="75"/>
  <c r="C42" i="75"/>
  <c r="C43" i="75"/>
  <c r="C44" i="75"/>
  <c r="C45" i="75"/>
  <c r="C46" i="75"/>
  <c r="C47" i="75"/>
  <c r="C48" i="75"/>
  <c r="C49" i="75"/>
  <c r="C50" i="75"/>
  <c r="C51" i="75"/>
  <c r="C52" i="75"/>
  <c r="C53" i="75"/>
  <c r="C54" i="75"/>
  <c r="C55" i="75"/>
  <c r="C56" i="75"/>
  <c r="C57" i="75"/>
  <c r="C58" i="75"/>
  <c r="C59" i="75"/>
  <c r="C60" i="75"/>
  <c r="C61" i="75"/>
  <c r="C62" i="75"/>
  <c r="C63" i="75"/>
  <c r="C64" i="75"/>
  <c r="C65" i="75"/>
  <c r="C66" i="75"/>
  <c r="C67" i="75"/>
  <c r="C68" i="75"/>
  <c r="C69" i="75"/>
  <c r="C70" i="75"/>
  <c r="C71" i="75"/>
  <c r="C72" i="75"/>
  <c r="C73" i="75"/>
  <c r="C74" i="75"/>
  <c r="C75" i="75"/>
  <c r="C76" i="75"/>
  <c r="C77" i="75"/>
  <c r="C78" i="75"/>
  <c r="C79" i="75"/>
  <c r="C80" i="75"/>
  <c r="C81" i="75"/>
  <c r="C82" i="75"/>
  <c r="C83" i="75"/>
  <c r="C84" i="75"/>
  <c r="C85" i="75"/>
  <c r="C86" i="75"/>
  <c r="C87" i="75"/>
  <c r="C88" i="75"/>
  <c r="C89" i="75"/>
  <c r="C90" i="75"/>
  <c r="C91" i="75"/>
  <c r="C92" i="75"/>
  <c r="C93" i="75"/>
  <c r="C94" i="75"/>
  <c r="C95" i="75"/>
  <c r="C96" i="75"/>
  <c r="C97" i="75"/>
  <c r="C98" i="75"/>
  <c r="C99" i="75"/>
  <c r="C100" i="75"/>
  <c r="C101" i="75"/>
  <c r="C102" i="75"/>
  <c r="C103" i="75"/>
  <c r="C104" i="75"/>
  <c r="C105" i="75"/>
  <c r="C106" i="75"/>
  <c r="C107" i="75"/>
  <c r="C108" i="75"/>
  <c r="C109" i="75"/>
  <c r="C110" i="75"/>
  <c r="C111" i="75"/>
  <c r="C112" i="75"/>
  <c r="C113" i="75"/>
  <c r="C114" i="75"/>
  <c r="C115" i="75"/>
  <c r="C116" i="75"/>
  <c r="C117" i="75"/>
  <c r="C118" i="75"/>
  <c r="C119" i="75"/>
  <c r="C120" i="75"/>
  <c r="C121" i="75"/>
  <c r="C122" i="75"/>
  <c r="C123" i="75"/>
  <c r="C124" i="75"/>
  <c r="C125" i="75"/>
  <c r="C126" i="75"/>
  <c r="C127" i="75"/>
  <c r="C128" i="75"/>
  <c r="C129" i="75"/>
  <c r="C130" i="75"/>
  <c r="C131" i="75"/>
  <c r="C132" i="75"/>
  <c r="C133" i="75"/>
  <c r="C134" i="75"/>
  <c r="C135" i="75"/>
  <c r="C136" i="75"/>
  <c r="C137" i="75"/>
  <c r="C138" i="75"/>
  <c r="C139" i="75"/>
  <c r="C140" i="75"/>
  <c r="C141" i="75"/>
  <c r="C142" i="75"/>
  <c r="C143" i="75"/>
  <c r="C144" i="75"/>
  <c r="C145" i="75"/>
  <c r="C146" i="75"/>
  <c r="C147" i="75"/>
  <c r="C148" i="75"/>
  <c r="C149" i="75"/>
  <c r="C150" i="75"/>
  <c r="C151" i="75"/>
  <c r="C152" i="75"/>
  <c r="C153" i="75"/>
  <c r="C154" i="75"/>
  <c r="C155" i="75"/>
  <c r="C156" i="75"/>
  <c r="C157" i="75"/>
  <c r="C158" i="75"/>
  <c r="C159" i="75"/>
  <c r="C160" i="75"/>
  <c r="C161" i="75"/>
  <c r="C162" i="75"/>
  <c r="C163" i="75"/>
  <c r="C164" i="75"/>
  <c r="C165" i="75"/>
  <c r="C166" i="75"/>
  <c r="C167" i="75"/>
  <c r="C168" i="75"/>
  <c r="C169" i="75"/>
  <c r="C170" i="75"/>
  <c r="C171" i="75"/>
  <c r="C172" i="75"/>
  <c r="C173" i="75"/>
  <c r="C174" i="75"/>
  <c r="C175" i="75"/>
  <c r="C176" i="75"/>
  <c r="C177" i="75"/>
  <c r="C178" i="75"/>
  <c r="C179" i="75"/>
  <c r="C180" i="75"/>
  <c r="C181" i="75"/>
  <c r="C182" i="75"/>
  <c r="C183" i="75"/>
  <c r="C184" i="75"/>
  <c r="C185" i="75"/>
  <c r="C186" i="75"/>
  <c r="C187" i="75"/>
  <c r="C188" i="75"/>
  <c r="C189" i="75"/>
  <c r="C190" i="75"/>
  <c r="C191" i="75"/>
  <c r="C192" i="75"/>
  <c r="C193" i="75"/>
  <c r="C194" i="75"/>
  <c r="C195" i="75"/>
  <c r="C196" i="75"/>
  <c r="C197" i="75"/>
  <c r="C198" i="75"/>
  <c r="C199" i="75"/>
  <c r="C200" i="75"/>
  <c r="C201" i="75"/>
  <c r="C202" i="75"/>
  <c r="C203" i="75"/>
  <c r="C204" i="75"/>
  <c r="C205" i="75"/>
  <c r="C206" i="75"/>
  <c r="C207" i="75"/>
  <c r="C208" i="75"/>
  <c r="C209" i="75"/>
  <c r="C210" i="75"/>
  <c r="C211" i="75"/>
  <c r="C212" i="75"/>
  <c r="C213" i="75"/>
  <c r="C214" i="75"/>
  <c r="C215" i="75"/>
  <c r="C216" i="75"/>
  <c r="C217" i="75"/>
  <c r="C218" i="75"/>
  <c r="C219" i="75"/>
  <c r="C220" i="75"/>
  <c r="C221" i="75"/>
  <c r="C222" i="75"/>
  <c r="C223" i="75"/>
  <c r="C224" i="75"/>
  <c r="C225" i="75"/>
  <c r="C226" i="75"/>
  <c r="B14" i="75"/>
  <c r="B15" i="75"/>
  <c r="B16" i="75"/>
  <c r="B17" i="75"/>
  <c r="B18" i="75"/>
  <c r="B19" i="75"/>
  <c r="B20" i="75"/>
  <c r="B21" i="75"/>
  <c r="B22" i="75"/>
  <c r="B23" i="75"/>
  <c r="B24" i="75"/>
  <c r="B25" i="75"/>
  <c r="B26" i="75"/>
  <c r="B27" i="75"/>
  <c r="B28" i="75"/>
  <c r="B29" i="75"/>
  <c r="B30" i="75"/>
  <c r="B31" i="75"/>
  <c r="B32" i="75"/>
  <c r="B33" i="75"/>
  <c r="B34" i="75"/>
  <c r="B35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B76" i="75"/>
  <c r="B77" i="75"/>
  <c r="B78" i="75"/>
  <c r="B79" i="75"/>
  <c r="B80" i="75"/>
  <c r="B81" i="75"/>
  <c r="B82" i="75"/>
  <c r="B83" i="75"/>
  <c r="B84" i="75"/>
  <c r="B85" i="75"/>
  <c r="B86" i="75"/>
  <c r="B87" i="75"/>
  <c r="B88" i="75"/>
  <c r="B89" i="75"/>
  <c r="B90" i="75"/>
  <c r="B91" i="75"/>
  <c r="B92" i="75"/>
  <c r="B93" i="75"/>
  <c r="B94" i="75"/>
  <c r="B95" i="75"/>
  <c r="B96" i="75"/>
  <c r="B97" i="75"/>
  <c r="B98" i="75"/>
  <c r="B99" i="75"/>
  <c r="B100" i="75"/>
  <c r="B101" i="75"/>
  <c r="B102" i="75"/>
  <c r="B103" i="75"/>
  <c r="B104" i="75"/>
  <c r="B105" i="75"/>
  <c r="B106" i="75"/>
  <c r="B107" i="75"/>
  <c r="B108" i="75"/>
  <c r="B109" i="75"/>
  <c r="B110" i="75"/>
  <c r="B111" i="75"/>
  <c r="B112" i="75"/>
  <c r="B113" i="75"/>
  <c r="B114" i="75"/>
  <c r="B115" i="75"/>
  <c r="B116" i="75"/>
  <c r="B117" i="75"/>
  <c r="B118" i="75"/>
  <c r="B119" i="75"/>
  <c r="B120" i="75"/>
  <c r="B121" i="75"/>
  <c r="B122" i="75"/>
  <c r="B123" i="75"/>
  <c r="B124" i="75"/>
  <c r="B125" i="75"/>
  <c r="B126" i="75"/>
  <c r="B127" i="75"/>
  <c r="B128" i="75"/>
  <c r="B129" i="75"/>
  <c r="B130" i="75"/>
  <c r="B131" i="75"/>
  <c r="B132" i="75"/>
  <c r="B133" i="75"/>
  <c r="B134" i="75"/>
  <c r="B135" i="75"/>
  <c r="B136" i="75"/>
  <c r="B137" i="75"/>
  <c r="B138" i="75"/>
  <c r="B139" i="75"/>
  <c r="B140" i="75"/>
  <c r="B141" i="75"/>
  <c r="B142" i="75"/>
  <c r="B143" i="75"/>
  <c r="B144" i="75"/>
  <c r="B145" i="75"/>
  <c r="B146" i="75"/>
  <c r="B147" i="75"/>
  <c r="B148" i="75"/>
  <c r="B149" i="75"/>
  <c r="B150" i="75"/>
  <c r="B151" i="75"/>
  <c r="B152" i="75"/>
  <c r="B153" i="75"/>
  <c r="B154" i="75"/>
  <c r="B155" i="75"/>
  <c r="B156" i="75"/>
  <c r="B157" i="75"/>
  <c r="B158" i="75"/>
  <c r="B159" i="75"/>
  <c r="B160" i="75"/>
  <c r="B161" i="75"/>
  <c r="B162" i="75"/>
  <c r="B163" i="75"/>
  <c r="B164" i="75"/>
  <c r="B165" i="75"/>
  <c r="B166" i="75"/>
  <c r="B167" i="75"/>
  <c r="B168" i="75"/>
  <c r="B169" i="75"/>
  <c r="B170" i="75"/>
  <c r="B171" i="75"/>
  <c r="B172" i="75"/>
  <c r="B173" i="75"/>
  <c r="B174" i="75"/>
  <c r="B175" i="75"/>
  <c r="B176" i="75"/>
  <c r="B177" i="75"/>
  <c r="B178" i="75"/>
  <c r="B179" i="75"/>
  <c r="B180" i="75"/>
  <c r="B181" i="75"/>
  <c r="B182" i="75"/>
  <c r="B183" i="75"/>
  <c r="B184" i="75"/>
  <c r="B185" i="75"/>
  <c r="B186" i="75"/>
  <c r="B187" i="75"/>
  <c r="B188" i="75"/>
  <c r="B189" i="75"/>
  <c r="B190" i="75"/>
  <c r="B191" i="75"/>
  <c r="B192" i="75"/>
  <c r="B193" i="75"/>
  <c r="B194" i="75"/>
  <c r="B195" i="75"/>
  <c r="B196" i="75"/>
  <c r="B197" i="75"/>
  <c r="B198" i="75"/>
  <c r="B199" i="75"/>
  <c r="B200" i="75"/>
  <c r="B201" i="75"/>
  <c r="B202" i="75"/>
  <c r="B203" i="75"/>
  <c r="B204" i="75"/>
  <c r="B205" i="75"/>
  <c r="B206" i="75"/>
  <c r="B207" i="75"/>
  <c r="B208" i="75"/>
  <c r="B209" i="75"/>
  <c r="B210" i="75"/>
  <c r="B211" i="75"/>
  <c r="B212" i="75"/>
  <c r="B213" i="75"/>
  <c r="B214" i="75"/>
  <c r="B215" i="75"/>
  <c r="B216" i="75"/>
  <c r="B217" i="75"/>
  <c r="B218" i="75"/>
  <c r="B219" i="75"/>
  <c r="B220" i="75"/>
  <c r="B221" i="75"/>
  <c r="B222" i="75"/>
  <c r="B223" i="75"/>
  <c r="B224" i="75"/>
  <c r="B225" i="75"/>
  <c r="B226" i="75"/>
  <c r="D7" i="75"/>
  <c r="D6" i="75"/>
  <c r="F6" i="75"/>
  <c r="H6" i="75"/>
  <c r="J6" i="75"/>
  <c r="L6" i="75"/>
  <c r="N6" i="75"/>
  <c r="P6" i="75"/>
  <c r="R6" i="75"/>
  <c r="Q7" i="75"/>
  <c r="O7" i="75"/>
  <c r="M7" i="75"/>
  <c r="K7" i="75"/>
  <c r="I7" i="75"/>
  <c r="G7" i="75"/>
  <c r="E7" i="75"/>
  <c r="E6" i="75"/>
  <c r="G6" i="75"/>
  <c r="I6" i="75"/>
  <c r="K6" i="75"/>
  <c r="M6" i="75"/>
  <c r="O6" i="75"/>
  <c r="Q6" i="75"/>
  <c r="R7" i="75"/>
  <c r="P7" i="75"/>
  <c r="N7" i="75"/>
  <c r="L7" i="75"/>
  <c r="J7" i="75"/>
  <c r="H7" i="75"/>
  <c r="F7" i="75"/>
  <c r="H223" i="50"/>
  <c r="M223" i="50"/>
  <c r="I30" i="56"/>
  <c r="H30" i="56"/>
  <c r="G30" i="56"/>
  <c r="F30" i="56"/>
  <c r="E30" i="56"/>
  <c r="D30" i="56"/>
  <c r="H29" i="56"/>
  <c r="G29" i="56"/>
  <c r="F29" i="56"/>
  <c r="E29" i="56"/>
  <c r="D29" i="56"/>
  <c r="E1137" i="57"/>
  <c r="F1137" i="57" s="1"/>
  <c r="H1137" i="57"/>
  <c r="N1137" i="57"/>
  <c r="O1137" i="57"/>
  <c r="P1137" i="57"/>
  <c r="E1136" i="57"/>
  <c r="F1136" i="57" s="1"/>
  <c r="H1136" i="57"/>
  <c r="N1136" i="57"/>
  <c r="O1136" i="57"/>
  <c r="P1136" i="57"/>
  <c r="E1135" i="57"/>
  <c r="F1135" i="57" s="1"/>
  <c r="H1135" i="57"/>
  <c r="N1135" i="57"/>
  <c r="O1135" i="57"/>
  <c r="P1135" i="57"/>
  <c r="E1134" i="57"/>
  <c r="F1134" i="57" s="1"/>
  <c r="H1134" i="57"/>
  <c r="N1134" i="57"/>
  <c r="O1134" i="57"/>
  <c r="P1134" i="57"/>
  <c r="N210" i="57"/>
  <c r="O210" i="57"/>
  <c r="P210" i="57"/>
  <c r="N211" i="57"/>
  <c r="O211" i="57"/>
  <c r="P211" i="57"/>
  <c r="N212" i="57"/>
  <c r="O212" i="57"/>
  <c r="P212" i="57"/>
  <c r="N213" i="57"/>
  <c r="O213" i="57"/>
  <c r="P213" i="57"/>
  <c r="N214" i="57"/>
  <c r="O214" i="57"/>
  <c r="P214" i="57"/>
  <c r="N215" i="57"/>
  <c r="O215" i="57"/>
  <c r="P215" i="57"/>
  <c r="N216" i="57"/>
  <c r="O216" i="57"/>
  <c r="P216" i="57"/>
  <c r="N217" i="57"/>
  <c r="O217" i="57"/>
  <c r="P217" i="57"/>
  <c r="N218" i="57"/>
  <c r="O218" i="57"/>
  <c r="P218" i="57"/>
  <c r="N219" i="57"/>
  <c r="O219" i="57"/>
  <c r="P219" i="57"/>
  <c r="N220" i="57"/>
  <c r="O220" i="57"/>
  <c r="P220" i="57"/>
  <c r="N221" i="57"/>
  <c r="O221" i="57"/>
  <c r="P221" i="57"/>
  <c r="N222" i="57"/>
  <c r="O222" i="57"/>
  <c r="P222" i="57"/>
  <c r="N223" i="57"/>
  <c r="O223" i="57"/>
  <c r="P223" i="57"/>
  <c r="N224" i="57"/>
  <c r="O224" i="57"/>
  <c r="P224" i="57"/>
  <c r="N225" i="57"/>
  <c r="O225" i="57"/>
  <c r="P225" i="57"/>
  <c r="N226" i="57"/>
  <c r="O226" i="57"/>
  <c r="P226" i="57"/>
  <c r="N227" i="57"/>
  <c r="O227" i="57"/>
  <c r="P227" i="57"/>
  <c r="N228" i="57"/>
  <c r="O228" i="57"/>
  <c r="P228" i="57"/>
  <c r="N229" i="57"/>
  <c r="O229" i="57"/>
  <c r="P229" i="57"/>
  <c r="N230" i="57"/>
  <c r="O230" i="57"/>
  <c r="P230" i="57"/>
  <c r="N231" i="57"/>
  <c r="O231" i="57"/>
  <c r="P231" i="57"/>
  <c r="N232" i="57"/>
  <c r="O232" i="57"/>
  <c r="P232" i="57"/>
  <c r="N233" i="57"/>
  <c r="O233" i="57"/>
  <c r="P233" i="57"/>
  <c r="N234" i="57"/>
  <c r="O234" i="57"/>
  <c r="P234" i="57"/>
  <c r="N235" i="57"/>
  <c r="O235" i="57"/>
  <c r="P235" i="57"/>
  <c r="N236" i="57"/>
  <c r="O236" i="57"/>
  <c r="P236" i="57"/>
  <c r="N237" i="57"/>
  <c r="O237" i="57"/>
  <c r="P237" i="57"/>
  <c r="N238" i="57"/>
  <c r="O238" i="57"/>
  <c r="P238" i="57"/>
  <c r="N239" i="57"/>
  <c r="O239" i="57"/>
  <c r="P239" i="57"/>
  <c r="N240" i="57"/>
  <c r="O240" i="57"/>
  <c r="P240" i="57"/>
  <c r="N241" i="57"/>
  <c r="O241" i="57"/>
  <c r="P241" i="57"/>
  <c r="N242" i="57"/>
  <c r="O242" i="57"/>
  <c r="P242" i="57"/>
  <c r="N243" i="57"/>
  <c r="O243" i="57"/>
  <c r="P243" i="57"/>
  <c r="N244" i="57"/>
  <c r="O244" i="57"/>
  <c r="P244" i="57"/>
  <c r="N245" i="57"/>
  <c r="O245" i="57"/>
  <c r="P245" i="57"/>
  <c r="N246" i="57"/>
  <c r="O246" i="57"/>
  <c r="P246" i="57"/>
  <c r="N247" i="57"/>
  <c r="O247" i="57"/>
  <c r="P247" i="57"/>
  <c r="N248" i="57"/>
  <c r="O248" i="57"/>
  <c r="P248" i="57"/>
  <c r="N249" i="57"/>
  <c r="O249" i="57"/>
  <c r="P249" i="57"/>
  <c r="N250" i="57"/>
  <c r="O250" i="57"/>
  <c r="P250" i="57"/>
  <c r="N251" i="57"/>
  <c r="O251" i="57"/>
  <c r="P251" i="57"/>
  <c r="N252" i="57"/>
  <c r="O252" i="57"/>
  <c r="P252" i="57"/>
  <c r="N253" i="57"/>
  <c r="O253" i="57"/>
  <c r="P253" i="57"/>
  <c r="N254" i="57"/>
  <c r="O254" i="57"/>
  <c r="P254" i="57"/>
  <c r="N255" i="57"/>
  <c r="O255" i="57"/>
  <c r="P255" i="57"/>
  <c r="N256" i="57"/>
  <c r="O256" i="57"/>
  <c r="P256" i="57"/>
  <c r="N257" i="57"/>
  <c r="O257" i="57"/>
  <c r="P257" i="57"/>
  <c r="N258" i="57"/>
  <c r="O258" i="57"/>
  <c r="P258" i="57"/>
  <c r="N259" i="57"/>
  <c r="O259" i="57"/>
  <c r="P259" i="57"/>
  <c r="N260" i="57"/>
  <c r="O260" i="57"/>
  <c r="P260" i="57"/>
  <c r="N261" i="57"/>
  <c r="O261" i="57"/>
  <c r="P261" i="57"/>
  <c r="N262" i="57"/>
  <c r="O262" i="57"/>
  <c r="P262" i="57"/>
  <c r="N263" i="57"/>
  <c r="O263" i="57"/>
  <c r="P263" i="57"/>
  <c r="N264" i="57"/>
  <c r="O264" i="57"/>
  <c r="P264" i="57"/>
  <c r="N265" i="57"/>
  <c r="O265" i="57"/>
  <c r="P265" i="57"/>
  <c r="N266" i="57"/>
  <c r="O266" i="57"/>
  <c r="P266" i="57"/>
  <c r="N267" i="57"/>
  <c r="O267" i="57"/>
  <c r="P267" i="57"/>
  <c r="N268" i="57"/>
  <c r="O268" i="57"/>
  <c r="P268" i="57"/>
  <c r="N269" i="57"/>
  <c r="O269" i="57"/>
  <c r="P269" i="57"/>
  <c r="N270" i="57"/>
  <c r="O270" i="57"/>
  <c r="P270" i="57"/>
  <c r="N271" i="57"/>
  <c r="O271" i="57"/>
  <c r="P271" i="57"/>
  <c r="N272" i="57"/>
  <c r="O272" i="57"/>
  <c r="P272" i="57"/>
  <c r="N273" i="57"/>
  <c r="O273" i="57"/>
  <c r="P273" i="57"/>
  <c r="N274" i="57"/>
  <c r="O274" i="57"/>
  <c r="P274" i="57"/>
  <c r="N275" i="57"/>
  <c r="O275" i="57"/>
  <c r="P275" i="57"/>
  <c r="N276" i="57"/>
  <c r="O276" i="57"/>
  <c r="P276" i="57"/>
  <c r="N277" i="57"/>
  <c r="O277" i="57"/>
  <c r="P277" i="57"/>
  <c r="N278" i="57"/>
  <c r="O278" i="57"/>
  <c r="P278" i="57"/>
  <c r="N279" i="57"/>
  <c r="O279" i="57"/>
  <c r="P279" i="57"/>
  <c r="N280" i="57"/>
  <c r="O280" i="57"/>
  <c r="P280" i="57"/>
  <c r="N281" i="57"/>
  <c r="O281" i="57"/>
  <c r="P281" i="57"/>
  <c r="N282" i="57"/>
  <c r="O282" i="57"/>
  <c r="P282" i="57"/>
  <c r="N283" i="57"/>
  <c r="O283" i="57"/>
  <c r="P283" i="57"/>
  <c r="N284" i="57"/>
  <c r="O284" i="57"/>
  <c r="P284" i="57"/>
  <c r="N285" i="57"/>
  <c r="O285" i="57"/>
  <c r="P285" i="57"/>
  <c r="N286" i="57"/>
  <c r="O286" i="57"/>
  <c r="P286" i="57"/>
  <c r="N287" i="57"/>
  <c r="O287" i="57"/>
  <c r="P287" i="57"/>
  <c r="N288" i="57"/>
  <c r="O288" i="57"/>
  <c r="P288" i="57"/>
  <c r="N289" i="57"/>
  <c r="O289" i="57"/>
  <c r="P289" i="57"/>
  <c r="N290" i="57"/>
  <c r="O290" i="57"/>
  <c r="P290" i="57"/>
  <c r="N291" i="57"/>
  <c r="O291" i="57"/>
  <c r="P291" i="57"/>
  <c r="N292" i="57"/>
  <c r="O292" i="57"/>
  <c r="P292" i="57"/>
  <c r="N293" i="57"/>
  <c r="O293" i="57"/>
  <c r="P293" i="57"/>
  <c r="N294" i="57"/>
  <c r="O294" i="57"/>
  <c r="P294" i="57"/>
  <c r="N295" i="57"/>
  <c r="O295" i="57"/>
  <c r="P295" i="57"/>
  <c r="N296" i="57"/>
  <c r="O296" i="57"/>
  <c r="P296" i="57"/>
  <c r="N297" i="57"/>
  <c r="O297" i="57"/>
  <c r="P297" i="57"/>
  <c r="N298" i="57"/>
  <c r="O298" i="57"/>
  <c r="P298" i="57"/>
  <c r="N299" i="57"/>
  <c r="O299" i="57"/>
  <c r="P299" i="57"/>
  <c r="N300" i="57"/>
  <c r="O300" i="57"/>
  <c r="P300" i="57"/>
  <c r="N301" i="57"/>
  <c r="O301" i="57"/>
  <c r="P301" i="57"/>
  <c r="N302" i="57"/>
  <c r="O302" i="57"/>
  <c r="P302" i="57"/>
  <c r="N303" i="57"/>
  <c r="O303" i="57"/>
  <c r="P303" i="57"/>
  <c r="N304" i="57"/>
  <c r="O304" i="57"/>
  <c r="P304" i="57"/>
  <c r="N305" i="57"/>
  <c r="O305" i="57"/>
  <c r="P305" i="57"/>
  <c r="N306" i="57"/>
  <c r="O306" i="57"/>
  <c r="P306" i="57"/>
  <c r="N307" i="57"/>
  <c r="O307" i="57"/>
  <c r="P307" i="57"/>
  <c r="N308" i="57"/>
  <c r="O308" i="57"/>
  <c r="P308" i="57"/>
  <c r="N309" i="57"/>
  <c r="O309" i="57"/>
  <c r="P309" i="57"/>
  <c r="N310" i="57"/>
  <c r="O310" i="57"/>
  <c r="P310" i="57"/>
  <c r="N311" i="57"/>
  <c r="O311" i="57"/>
  <c r="P311" i="57"/>
  <c r="N312" i="57"/>
  <c r="O312" i="57"/>
  <c r="P312" i="57"/>
  <c r="N313" i="57"/>
  <c r="O313" i="57"/>
  <c r="P313" i="57"/>
  <c r="N314" i="57"/>
  <c r="O314" i="57"/>
  <c r="P314" i="57"/>
  <c r="N315" i="57"/>
  <c r="O315" i="57"/>
  <c r="P315" i="57"/>
  <c r="N316" i="57"/>
  <c r="O316" i="57"/>
  <c r="P316" i="57"/>
  <c r="N317" i="57"/>
  <c r="O317" i="57"/>
  <c r="P317" i="57"/>
  <c r="N318" i="57"/>
  <c r="O318" i="57"/>
  <c r="P318" i="57"/>
  <c r="N319" i="57"/>
  <c r="O319" i="57"/>
  <c r="P319" i="57"/>
  <c r="N320" i="57"/>
  <c r="O320" i="57"/>
  <c r="P320" i="57"/>
  <c r="N321" i="57"/>
  <c r="O321" i="57"/>
  <c r="P321" i="57"/>
  <c r="N322" i="57"/>
  <c r="O322" i="57"/>
  <c r="P322" i="57"/>
  <c r="N323" i="57"/>
  <c r="O323" i="57"/>
  <c r="P323" i="57"/>
  <c r="N324" i="57"/>
  <c r="O324" i="57"/>
  <c r="P324" i="57"/>
  <c r="N325" i="57"/>
  <c r="O325" i="57"/>
  <c r="P325" i="57"/>
  <c r="N326" i="57"/>
  <c r="O326" i="57"/>
  <c r="P326" i="57"/>
  <c r="N327" i="57"/>
  <c r="O327" i="57"/>
  <c r="P327" i="57"/>
  <c r="N328" i="57"/>
  <c r="O328" i="57"/>
  <c r="P328" i="57"/>
  <c r="N329" i="57"/>
  <c r="O329" i="57"/>
  <c r="P329" i="57"/>
  <c r="N330" i="57"/>
  <c r="O330" i="57"/>
  <c r="P330" i="57"/>
  <c r="N331" i="57"/>
  <c r="O331" i="57"/>
  <c r="P331" i="57"/>
  <c r="N332" i="57"/>
  <c r="O332" i="57"/>
  <c r="P332" i="57"/>
  <c r="N333" i="57"/>
  <c r="O333" i="57"/>
  <c r="P333" i="57"/>
  <c r="N334" i="57"/>
  <c r="O334" i="57"/>
  <c r="P334" i="57"/>
  <c r="N335" i="57"/>
  <c r="O335" i="57"/>
  <c r="P335" i="57"/>
  <c r="N336" i="57"/>
  <c r="O336" i="57"/>
  <c r="P336" i="57"/>
  <c r="N337" i="57"/>
  <c r="O337" i="57"/>
  <c r="P337" i="57"/>
  <c r="N338" i="57"/>
  <c r="O338" i="57"/>
  <c r="P338" i="57"/>
  <c r="N339" i="57"/>
  <c r="O339" i="57"/>
  <c r="P339" i="57"/>
  <c r="N340" i="57"/>
  <c r="O340" i="57"/>
  <c r="P340" i="57"/>
  <c r="N341" i="57"/>
  <c r="O341" i="57"/>
  <c r="P341" i="57"/>
  <c r="N342" i="57"/>
  <c r="O342" i="57"/>
  <c r="P342" i="57"/>
  <c r="N343" i="57"/>
  <c r="O343" i="57"/>
  <c r="P343" i="57"/>
  <c r="N344" i="57"/>
  <c r="O344" i="57"/>
  <c r="P344" i="57"/>
  <c r="N345" i="57"/>
  <c r="O345" i="57"/>
  <c r="P345" i="57"/>
  <c r="N346" i="57"/>
  <c r="O346" i="57"/>
  <c r="P346" i="57"/>
  <c r="N347" i="57"/>
  <c r="O347" i="57"/>
  <c r="P347" i="57"/>
  <c r="N348" i="57"/>
  <c r="O348" i="57"/>
  <c r="P348" i="57"/>
  <c r="N349" i="57"/>
  <c r="O349" i="57"/>
  <c r="P349" i="57"/>
  <c r="N350" i="57"/>
  <c r="O350" i="57"/>
  <c r="P350" i="57"/>
  <c r="N351" i="57"/>
  <c r="O351" i="57"/>
  <c r="P351" i="57"/>
  <c r="N352" i="57"/>
  <c r="O352" i="57"/>
  <c r="P352" i="57"/>
  <c r="N353" i="57"/>
  <c r="O353" i="57"/>
  <c r="P353" i="57"/>
  <c r="N354" i="57"/>
  <c r="O354" i="57"/>
  <c r="P354" i="57"/>
  <c r="N355" i="57"/>
  <c r="O355" i="57"/>
  <c r="P355" i="57"/>
  <c r="N356" i="57"/>
  <c r="O356" i="57"/>
  <c r="P356" i="57"/>
  <c r="N357" i="57"/>
  <c r="O357" i="57"/>
  <c r="P357" i="57"/>
  <c r="N358" i="57"/>
  <c r="O358" i="57"/>
  <c r="P358" i="57"/>
  <c r="N359" i="57"/>
  <c r="O359" i="57"/>
  <c r="P359" i="57"/>
  <c r="N360" i="57"/>
  <c r="O360" i="57"/>
  <c r="P360" i="57"/>
  <c r="N361" i="57"/>
  <c r="O361" i="57"/>
  <c r="P361" i="57"/>
  <c r="N362" i="57"/>
  <c r="O362" i="57"/>
  <c r="P362" i="57"/>
  <c r="N363" i="57"/>
  <c r="O363" i="57"/>
  <c r="P363" i="57"/>
  <c r="N364" i="57"/>
  <c r="O364" i="57"/>
  <c r="P364" i="57"/>
  <c r="N365" i="57"/>
  <c r="O365" i="57"/>
  <c r="P365" i="57"/>
  <c r="N366" i="57"/>
  <c r="O366" i="57"/>
  <c r="P366" i="57"/>
  <c r="N367" i="57"/>
  <c r="O367" i="57"/>
  <c r="P367" i="57"/>
  <c r="N368" i="57"/>
  <c r="O368" i="57"/>
  <c r="P368" i="57"/>
  <c r="N369" i="57"/>
  <c r="O369" i="57"/>
  <c r="P369" i="57"/>
  <c r="N370" i="57"/>
  <c r="O370" i="57"/>
  <c r="P370" i="57"/>
  <c r="N371" i="57"/>
  <c r="O371" i="57"/>
  <c r="P371" i="57"/>
  <c r="N372" i="57"/>
  <c r="O372" i="57"/>
  <c r="P372" i="57"/>
  <c r="N373" i="57"/>
  <c r="O373" i="57"/>
  <c r="P373" i="57"/>
  <c r="N374" i="57"/>
  <c r="O374" i="57"/>
  <c r="P374" i="57"/>
  <c r="N375" i="57"/>
  <c r="O375" i="57"/>
  <c r="P375" i="57"/>
  <c r="N376" i="57"/>
  <c r="O376" i="57"/>
  <c r="P376" i="57"/>
  <c r="N377" i="57"/>
  <c r="O377" i="57"/>
  <c r="P377" i="57"/>
  <c r="N378" i="57"/>
  <c r="O378" i="57"/>
  <c r="P378" i="57"/>
  <c r="N379" i="57"/>
  <c r="O379" i="57"/>
  <c r="P379" i="57"/>
  <c r="N380" i="57"/>
  <c r="O380" i="57"/>
  <c r="P380" i="57"/>
  <c r="N381" i="57"/>
  <c r="O381" i="57"/>
  <c r="P381" i="57"/>
  <c r="N382" i="57"/>
  <c r="O382" i="57"/>
  <c r="P382" i="57"/>
  <c r="N383" i="57"/>
  <c r="O383" i="57"/>
  <c r="P383" i="57"/>
  <c r="N384" i="57"/>
  <c r="O384" i="57"/>
  <c r="P384" i="57"/>
  <c r="N385" i="57"/>
  <c r="O385" i="57"/>
  <c r="P385" i="57"/>
  <c r="N386" i="57"/>
  <c r="O386" i="57"/>
  <c r="P386" i="57"/>
  <c r="N387" i="57"/>
  <c r="O387" i="57"/>
  <c r="P387" i="57"/>
  <c r="N388" i="57"/>
  <c r="O388" i="57"/>
  <c r="P388" i="57"/>
  <c r="N389" i="57"/>
  <c r="O389" i="57"/>
  <c r="P389" i="57"/>
  <c r="N390" i="57"/>
  <c r="O390" i="57"/>
  <c r="P390" i="57"/>
  <c r="N391" i="57"/>
  <c r="O391" i="57"/>
  <c r="P391" i="57"/>
  <c r="N392" i="57"/>
  <c r="O392" i="57"/>
  <c r="P392" i="57"/>
  <c r="N393" i="57"/>
  <c r="O393" i="57"/>
  <c r="P393" i="57"/>
  <c r="N394" i="57"/>
  <c r="O394" i="57"/>
  <c r="P394" i="57"/>
  <c r="N395" i="57"/>
  <c r="O395" i="57"/>
  <c r="P395" i="57"/>
  <c r="N396" i="57"/>
  <c r="O396" i="57"/>
  <c r="P396" i="57"/>
  <c r="N397" i="57"/>
  <c r="O397" i="57"/>
  <c r="P397" i="57"/>
  <c r="N398" i="57"/>
  <c r="O398" i="57"/>
  <c r="P398" i="57"/>
  <c r="N399" i="57"/>
  <c r="O399" i="57"/>
  <c r="P399" i="57"/>
  <c r="N400" i="57"/>
  <c r="O400" i="57"/>
  <c r="P400" i="57"/>
  <c r="N401" i="57"/>
  <c r="O401" i="57"/>
  <c r="P401" i="57"/>
  <c r="N402" i="57"/>
  <c r="O402" i="57"/>
  <c r="P402" i="57"/>
  <c r="N403" i="57"/>
  <c r="O403" i="57"/>
  <c r="P403" i="57"/>
  <c r="N404" i="57"/>
  <c r="O404" i="57"/>
  <c r="P404" i="57"/>
  <c r="N405" i="57"/>
  <c r="O405" i="57"/>
  <c r="P405" i="57"/>
  <c r="N406" i="57"/>
  <c r="O406" i="57"/>
  <c r="P406" i="57"/>
  <c r="N407" i="57"/>
  <c r="O407" i="57"/>
  <c r="P407" i="57"/>
  <c r="N408" i="57"/>
  <c r="O408" i="57"/>
  <c r="P408" i="57"/>
  <c r="N409" i="57"/>
  <c r="O409" i="57"/>
  <c r="P409" i="57"/>
  <c r="N410" i="57"/>
  <c r="O410" i="57"/>
  <c r="P410" i="57"/>
  <c r="N411" i="57"/>
  <c r="O411" i="57"/>
  <c r="P411" i="57"/>
  <c r="N412" i="57"/>
  <c r="O412" i="57"/>
  <c r="P412" i="57"/>
  <c r="N413" i="57"/>
  <c r="O413" i="57"/>
  <c r="P413" i="57"/>
  <c r="N414" i="57"/>
  <c r="O414" i="57"/>
  <c r="P414" i="57"/>
  <c r="N415" i="57"/>
  <c r="O415" i="57"/>
  <c r="P415" i="57"/>
  <c r="N416" i="57"/>
  <c r="O416" i="57"/>
  <c r="P416" i="57"/>
  <c r="N417" i="57"/>
  <c r="O417" i="57"/>
  <c r="P417" i="57"/>
  <c r="N418" i="57"/>
  <c r="O418" i="57"/>
  <c r="P418" i="57"/>
  <c r="N419" i="57"/>
  <c r="O419" i="57"/>
  <c r="P419" i="57"/>
  <c r="N420" i="57"/>
  <c r="O420" i="57"/>
  <c r="P420" i="57"/>
  <c r="N421" i="57"/>
  <c r="O421" i="57"/>
  <c r="P421" i="57"/>
  <c r="N422" i="57"/>
  <c r="O422" i="57"/>
  <c r="P422" i="57"/>
  <c r="N423" i="57"/>
  <c r="O423" i="57"/>
  <c r="P423" i="57"/>
  <c r="N424" i="57"/>
  <c r="O424" i="57"/>
  <c r="P424" i="57"/>
  <c r="N425" i="57"/>
  <c r="O425" i="57"/>
  <c r="P425" i="57"/>
  <c r="N426" i="57"/>
  <c r="O426" i="57"/>
  <c r="P426" i="57"/>
  <c r="N427" i="57"/>
  <c r="O427" i="57"/>
  <c r="P427" i="57"/>
  <c r="N428" i="57"/>
  <c r="O428" i="57"/>
  <c r="P428" i="57"/>
  <c r="N429" i="57"/>
  <c r="O429" i="57"/>
  <c r="P429" i="57"/>
  <c r="N430" i="57"/>
  <c r="O430" i="57"/>
  <c r="P430" i="57"/>
  <c r="N431" i="57"/>
  <c r="O431" i="57"/>
  <c r="P431" i="57"/>
  <c r="N432" i="57"/>
  <c r="O432" i="57"/>
  <c r="P432" i="57"/>
  <c r="N433" i="57"/>
  <c r="O433" i="57"/>
  <c r="P433" i="57"/>
  <c r="N434" i="57"/>
  <c r="O434" i="57"/>
  <c r="P434" i="57"/>
  <c r="N435" i="57"/>
  <c r="O435" i="57"/>
  <c r="P435" i="57"/>
  <c r="N436" i="57"/>
  <c r="O436" i="57"/>
  <c r="P436" i="57"/>
  <c r="N437" i="57"/>
  <c r="O437" i="57"/>
  <c r="P437" i="57"/>
  <c r="N438" i="57"/>
  <c r="O438" i="57"/>
  <c r="P438" i="57"/>
  <c r="N439" i="57"/>
  <c r="O439" i="57"/>
  <c r="P439" i="57"/>
  <c r="N440" i="57"/>
  <c r="O440" i="57"/>
  <c r="P440" i="57"/>
  <c r="N441" i="57"/>
  <c r="O441" i="57"/>
  <c r="P441" i="57"/>
  <c r="N442" i="57"/>
  <c r="O442" i="57"/>
  <c r="P442" i="57"/>
  <c r="N443" i="57"/>
  <c r="O443" i="57"/>
  <c r="P443" i="57"/>
  <c r="N444" i="57"/>
  <c r="O444" i="57"/>
  <c r="P444" i="57"/>
  <c r="N445" i="57"/>
  <c r="O445" i="57"/>
  <c r="P445" i="57"/>
  <c r="N446" i="57"/>
  <c r="O446" i="57"/>
  <c r="P446" i="57"/>
  <c r="N447" i="57"/>
  <c r="O447" i="57"/>
  <c r="P447" i="57"/>
  <c r="N448" i="57"/>
  <c r="O448" i="57"/>
  <c r="P448" i="57"/>
  <c r="N449" i="57"/>
  <c r="O449" i="57"/>
  <c r="P449" i="57"/>
  <c r="N450" i="57"/>
  <c r="O450" i="57"/>
  <c r="P450" i="57"/>
  <c r="N451" i="57"/>
  <c r="O451" i="57"/>
  <c r="P451" i="57"/>
  <c r="N452" i="57"/>
  <c r="O452" i="57"/>
  <c r="P452" i="57"/>
  <c r="N453" i="57"/>
  <c r="O453" i="57"/>
  <c r="P453" i="57"/>
  <c r="N454" i="57"/>
  <c r="O454" i="57"/>
  <c r="P454" i="57"/>
  <c r="N455" i="57"/>
  <c r="O455" i="57"/>
  <c r="P455" i="57"/>
  <c r="N456" i="57"/>
  <c r="O456" i="57"/>
  <c r="P456" i="57"/>
  <c r="N457" i="57"/>
  <c r="O457" i="57"/>
  <c r="P457" i="57"/>
  <c r="N458" i="57"/>
  <c r="O458" i="57"/>
  <c r="P458" i="57"/>
  <c r="N459" i="57"/>
  <c r="O459" i="57"/>
  <c r="P459" i="57"/>
  <c r="N460" i="57"/>
  <c r="O460" i="57"/>
  <c r="P460" i="57"/>
  <c r="N461" i="57"/>
  <c r="O461" i="57"/>
  <c r="P461" i="57"/>
  <c r="N462" i="57"/>
  <c r="O462" i="57"/>
  <c r="P462" i="57"/>
  <c r="N463" i="57"/>
  <c r="O463" i="57"/>
  <c r="P463" i="57"/>
  <c r="N464" i="57"/>
  <c r="O464" i="57"/>
  <c r="P464" i="57"/>
  <c r="N465" i="57"/>
  <c r="O465" i="57"/>
  <c r="P465" i="57"/>
  <c r="N466" i="57"/>
  <c r="O466" i="57"/>
  <c r="P466" i="57"/>
  <c r="N467" i="57"/>
  <c r="O467" i="57"/>
  <c r="P467" i="57"/>
  <c r="N468" i="57"/>
  <c r="O468" i="57"/>
  <c r="P468" i="57"/>
  <c r="N469" i="57"/>
  <c r="O469" i="57"/>
  <c r="P469" i="57"/>
  <c r="N470" i="57"/>
  <c r="O470" i="57"/>
  <c r="P470" i="57"/>
  <c r="N471" i="57"/>
  <c r="O471" i="57"/>
  <c r="P471" i="57"/>
  <c r="N472" i="57"/>
  <c r="O472" i="57"/>
  <c r="P472" i="57"/>
  <c r="N473" i="57"/>
  <c r="O473" i="57"/>
  <c r="P473" i="57"/>
  <c r="N474" i="57"/>
  <c r="O474" i="57"/>
  <c r="P474" i="57"/>
  <c r="N475" i="57"/>
  <c r="O475" i="57"/>
  <c r="P475" i="57"/>
  <c r="N476" i="57"/>
  <c r="O476" i="57"/>
  <c r="P476" i="57"/>
  <c r="N477" i="57"/>
  <c r="O477" i="57"/>
  <c r="P477" i="57"/>
  <c r="N478" i="57"/>
  <c r="O478" i="57"/>
  <c r="P478" i="57"/>
  <c r="N479" i="57"/>
  <c r="O479" i="57"/>
  <c r="P479" i="57"/>
  <c r="N480" i="57"/>
  <c r="O480" i="57"/>
  <c r="P480" i="57"/>
  <c r="N481" i="57"/>
  <c r="O481" i="57"/>
  <c r="P481" i="57"/>
  <c r="N482" i="57"/>
  <c r="O482" i="57"/>
  <c r="P482" i="57"/>
  <c r="N483" i="57"/>
  <c r="O483" i="57"/>
  <c r="P483" i="57"/>
  <c r="N484" i="57"/>
  <c r="O484" i="57"/>
  <c r="P484" i="57"/>
  <c r="N485" i="57"/>
  <c r="O485" i="57"/>
  <c r="P485" i="57"/>
  <c r="N486" i="57"/>
  <c r="O486" i="57"/>
  <c r="P486" i="57"/>
  <c r="N487" i="57"/>
  <c r="O487" i="57"/>
  <c r="P487" i="57"/>
  <c r="N488" i="57"/>
  <c r="O488" i="57"/>
  <c r="P488" i="57"/>
  <c r="N489" i="57"/>
  <c r="O489" i="57"/>
  <c r="P489" i="57"/>
  <c r="N490" i="57"/>
  <c r="O490" i="57"/>
  <c r="P490" i="57"/>
  <c r="N491" i="57"/>
  <c r="O491" i="57"/>
  <c r="P491" i="57"/>
  <c r="N492" i="57"/>
  <c r="O492" i="57"/>
  <c r="P492" i="57"/>
  <c r="N493" i="57"/>
  <c r="O493" i="57"/>
  <c r="P493" i="57"/>
  <c r="N494" i="57"/>
  <c r="O494" i="57"/>
  <c r="P494" i="57"/>
  <c r="N495" i="57"/>
  <c r="O495" i="57"/>
  <c r="P495" i="57"/>
  <c r="N496" i="57"/>
  <c r="O496" i="57"/>
  <c r="P496" i="57"/>
  <c r="N497" i="57"/>
  <c r="O497" i="57"/>
  <c r="P497" i="57"/>
  <c r="N498" i="57"/>
  <c r="O498" i="57"/>
  <c r="P498" i="57"/>
  <c r="N499" i="57"/>
  <c r="O499" i="57"/>
  <c r="P499" i="57"/>
  <c r="N500" i="57"/>
  <c r="O500" i="57"/>
  <c r="P500" i="57"/>
  <c r="N501" i="57"/>
  <c r="O501" i="57"/>
  <c r="P501" i="57"/>
  <c r="N502" i="57"/>
  <c r="O502" i="57"/>
  <c r="P502" i="57"/>
  <c r="N503" i="57"/>
  <c r="O503" i="57"/>
  <c r="P503" i="57"/>
  <c r="N504" i="57"/>
  <c r="O504" i="57"/>
  <c r="P504" i="57"/>
  <c r="N505" i="57"/>
  <c r="O505" i="57"/>
  <c r="P505" i="57"/>
  <c r="N506" i="57"/>
  <c r="O506" i="57"/>
  <c r="P506" i="57"/>
  <c r="N507" i="57"/>
  <c r="O507" i="57"/>
  <c r="P507" i="57"/>
  <c r="N508" i="57"/>
  <c r="O508" i="57"/>
  <c r="P508" i="57"/>
  <c r="N509" i="57"/>
  <c r="O509" i="57"/>
  <c r="P509" i="57"/>
  <c r="N510" i="57"/>
  <c r="O510" i="57"/>
  <c r="P510" i="57"/>
  <c r="N511" i="57"/>
  <c r="O511" i="57"/>
  <c r="P511" i="57"/>
  <c r="N512" i="57"/>
  <c r="O512" i="57"/>
  <c r="P512" i="57"/>
  <c r="N513" i="57"/>
  <c r="O513" i="57"/>
  <c r="P513" i="57"/>
  <c r="N514" i="57"/>
  <c r="O514" i="57"/>
  <c r="P514" i="57"/>
  <c r="N515" i="57"/>
  <c r="O515" i="57"/>
  <c r="P515" i="57"/>
  <c r="N516" i="57"/>
  <c r="O516" i="57"/>
  <c r="P516" i="57"/>
  <c r="N517" i="57"/>
  <c r="O517" i="57"/>
  <c r="P517" i="57"/>
  <c r="N518" i="57"/>
  <c r="O518" i="57"/>
  <c r="P518" i="57"/>
  <c r="N519" i="57"/>
  <c r="O519" i="57"/>
  <c r="P519" i="57"/>
  <c r="N520" i="57"/>
  <c r="O520" i="57"/>
  <c r="P520" i="57"/>
  <c r="N521" i="57"/>
  <c r="O521" i="57"/>
  <c r="P521" i="57"/>
  <c r="N522" i="57"/>
  <c r="O522" i="57"/>
  <c r="P522" i="57"/>
  <c r="N523" i="57"/>
  <c r="O523" i="57"/>
  <c r="P523" i="57"/>
  <c r="N524" i="57"/>
  <c r="O524" i="57"/>
  <c r="P524" i="57"/>
  <c r="N525" i="57"/>
  <c r="O525" i="57"/>
  <c r="P525" i="57"/>
  <c r="N526" i="57"/>
  <c r="O526" i="57"/>
  <c r="P526" i="57"/>
  <c r="N527" i="57"/>
  <c r="O527" i="57"/>
  <c r="P527" i="57"/>
  <c r="N528" i="57"/>
  <c r="O528" i="57"/>
  <c r="P528" i="57"/>
  <c r="N529" i="57"/>
  <c r="O529" i="57"/>
  <c r="P529" i="57"/>
  <c r="N530" i="57"/>
  <c r="O530" i="57"/>
  <c r="P530" i="57"/>
  <c r="N531" i="57"/>
  <c r="O531" i="57"/>
  <c r="P531" i="57"/>
  <c r="N532" i="57"/>
  <c r="O532" i="57"/>
  <c r="P532" i="57"/>
  <c r="N533" i="57"/>
  <c r="O533" i="57"/>
  <c r="P533" i="57"/>
  <c r="N534" i="57"/>
  <c r="O534" i="57"/>
  <c r="P534" i="57"/>
  <c r="N535" i="57"/>
  <c r="O535" i="57"/>
  <c r="P535" i="57"/>
  <c r="N536" i="57"/>
  <c r="O536" i="57"/>
  <c r="P536" i="57"/>
  <c r="N537" i="57"/>
  <c r="O537" i="57"/>
  <c r="P537" i="57"/>
  <c r="N538" i="57"/>
  <c r="O538" i="57"/>
  <c r="P538" i="57"/>
  <c r="N539" i="57"/>
  <c r="O539" i="57"/>
  <c r="P539" i="57"/>
  <c r="N540" i="57"/>
  <c r="O540" i="57"/>
  <c r="P540" i="57"/>
  <c r="N541" i="57"/>
  <c r="O541" i="57"/>
  <c r="P541" i="57"/>
  <c r="N542" i="57"/>
  <c r="O542" i="57"/>
  <c r="P542" i="57"/>
  <c r="N543" i="57"/>
  <c r="O543" i="57"/>
  <c r="P543" i="57"/>
  <c r="N544" i="57"/>
  <c r="O544" i="57"/>
  <c r="P544" i="57"/>
  <c r="N545" i="57"/>
  <c r="O545" i="57"/>
  <c r="P545" i="57"/>
  <c r="N546" i="57"/>
  <c r="O546" i="57"/>
  <c r="P546" i="57"/>
  <c r="N547" i="57"/>
  <c r="O547" i="57"/>
  <c r="P547" i="57"/>
  <c r="N548" i="57"/>
  <c r="O548" i="57"/>
  <c r="P548" i="57"/>
  <c r="N549" i="57"/>
  <c r="O549" i="57"/>
  <c r="P549" i="57"/>
  <c r="N550" i="57"/>
  <c r="O550" i="57"/>
  <c r="P550" i="57"/>
  <c r="N551" i="57"/>
  <c r="O551" i="57"/>
  <c r="P551" i="57"/>
  <c r="N552" i="57"/>
  <c r="O552" i="57"/>
  <c r="P552" i="57"/>
  <c r="N553" i="57"/>
  <c r="O553" i="57"/>
  <c r="P553" i="57"/>
  <c r="N554" i="57"/>
  <c r="O554" i="57"/>
  <c r="P554" i="57"/>
  <c r="N555" i="57"/>
  <c r="O555" i="57"/>
  <c r="P555" i="57"/>
  <c r="N556" i="57"/>
  <c r="O556" i="57"/>
  <c r="P556" i="57"/>
  <c r="N557" i="57"/>
  <c r="O557" i="57"/>
  <c r="P557" i="57"/>
  <c r="N558" i="57"/>
  <c r="O558" i="57"/>
  <c r="P558" i="57"/>
  <c r="N559" i="57"/>
  <c r="O559" i="57"/>
  <c r="P559" i="57"/>
  <c r="N560" i="57"/>
  <c r="O560" i="57"/>
  <c r="P560" i="57"/>
  <c r="N561" i="57"/>
  <c r="O561" i="57"/>
  <c r="P561" i="57"/>
  <c r="N562" i="57"/>
  <c r="O562" i="57"/>
  <c r="P562" i="57"/>
  <c r="N563" i="57"/>
  <c r="O563" i="57"/>
  <c r="P563" i="57"/>
  <c r="N564" i="57"/>
  <c r="O564" i="57"/>
  <c r="P564" i="57"/>
  <c r="N565" i="57"/>
  <c r="O565" i="57"/>
  <c r="P565" i="57"/>
  <c r="N566" i="57"/>
  <c r="O566" i="57"/>
  <c r="P566" i="57"/>
  <c r="N567" i="57"/>
  <c r="O567" i="57"/>
  <c r="P567" i="57"/>
  <c r="N568" i="57"/>
  <c r="O568" i="57"/>
  <c r="P568" i="57"/>
  <c r="N569" i="57"/>
  <c r="O569" i="57"/>
  <c r="P569" i="57"/>
  <c r="N570" i="57"/>
  <c r="O570" i="57"/>
  <c r="P570" i="57"/>
  <c r="N571" i="57"/>
  <c r="O571" i="57"/>
  <c r="P571" i="57"/>
  <c r="N572" i="57"/>
  <c r="O572" i="57"/>
  <c r="P572" i="57"/>
  <c r="N573" i="57"/>
  <c r="O573" i="57"/>
  <c r="P573" i="57"/>
  <c r="N574" i="57"/>
  <c r="O574" i="57"/>
  <c r="P574" i="57"/>
  <c r="N575" i="57"/>
  <c r="O575" i="57"/>
  <c r="P575" i="57"/>
  <c r="N576" i="57"/>
  <c r="O576" i="57"/>
  <c r="P576" i="57"/>
  <c r="N577" i="57"/>
  <c r="O577" i="57"/>
  <c r="P577" i="57"/>
  <c r="N578" i="57"/>
  <c r="O578" i="57"/>
  <c r="P578" i="57"/>
  <c r="N579" i="57"/>
  <c r="O579" i="57"/>
  <c r="P579" i="57"/>
  <c r="N580" i="57"/>
  <c r="O580" i="57"/>
  <c r="P580" i="57"/>
  <c r="N581" i="57"/>
  <c r="O581" i="57"/>
  <c r="P581" i="57"/>
  <c r="N582" i="57"/>
  <c r="O582" i="57"/>
  <c r="P582" i="57"/>
  <c r="N583" i="57"/>
  <c r="O583" i="57"/>
  <c r="P583" i="57"/>
  <c r="N584" i="57"/>
  <c r="O584" i="57"/>
  <c r="P584" i="57"/>
  <c r="N585" i="57"/>
  <c r="O585" i="57"/>
  <c r="P585" i="57"/>
  <c r="N586" i="57"/>
  <c r="O586" i="57"/>
  <c r="P586" i="57"/>
  <c r="N587" i="57"/>
  <c r="O587" i="57"/>
  <c r="P587" i="57"/>
  <c r="N588" i="57"/>
  <c r="O588" i="57"/>
  <c r="P588" i="57"/>
  <c r="N589" i="57"/>
  <c r="O589" i="57"/>
  <c r="P589" i="57"/>
  <c r="N590" i="57"/>
  <c r="O590" i="57"/>
  <c r="P590" i="57"/>
  <c r="N591" i="57"/>
  <c r="O591" i="57"/>
  <c r="P591" i="57"/>
  <c r="N592" i="57"/>
  <c r="O592" i="57"/>
  <c r="P592" i="57"/>
  <c r="N593" i="57"/>
  <c r="O593" i="57"/>
  <c r="P593" i="57"/>
  <c r="N594" i="57"/>
  <c r="O594" i="57"/>
  <c r="P594" i="57"/>
  <c r="N595" i="57"/>
  <c r="O595" i="57"/>
  <c r="P595" i="57"/>
  <c r="N596" i="57"/>
  <c r="O596" i="57"/>
  <c r="P596" i="57"/>
  <c r="N597" i="57"/>
  <c r="O597" i="57"/>
  <c r="P597" i="57"/>
  <c r="N598" i="57"/>
  <c r="O598" i="57"/>
  <c r="P598" i="57"/>
  <c r="N599" i="57"/>
  <c r="O599" i="57"/>
  <c r="P599" i="57"/>
  <c r="N600" i="57"/>
  <c r="O600" i="57"/>
  <c r="P600" i="57"/>
  <c r="N601" i="57"/>
  <c r="O601" i="57"/>
  <c r="P601" i="57"/>
  <c r="N602" i="57"/>
  <c r="O602" i="57"/>
  <c r="P602" i="57"/>
  <c r="N603" i="57"/>
  <c r="O603" i="57"/>
  <c r="P603" i="57"/>
  <c r="N604" i="57"/>
  <c r="O604" i="57"/>
  <c r="P604" i="57"/>
  <c r="N605" i="57"/>
  <c r="O605" i="57"/>
  <c r="P605" i="57"/>
  <c r="N606" i="57"/>
  <c r="O606" i="57"/>
  <c r="P606" i="57"/>
  <c r="N607" i="57"/>
  <c r="O607" i="57"/>
  <c r="P607" i="57"/>
  <c r="N608" i="57"/>
  <c r="O608" i="57"/>
  <c r="P608" i="57"/>
  <c r="N609" i="57"/>
  <c r="O609" i="57"/>
  <c r="P609" i="57"/>
  <c r="N610" i="57"/>
  <c r="O610" i="57"/>
  <c r="P610" i="57"/>
  <c r="N611" i="57"/>
  <c r="O611" i="57"/>
  <c r="P611" i="57"/>
  <c r="N612" i="57"/>
  <c r="O612" i="57"/>
  <c r="P612" i="57"/>
  <c r="N613" i="57"/>
  <c r="O613" i="57"/>
  <c r="P613" i="57"/>
  <c r="N614" i="57"/>
  <c r="O614" i="57"/>
  <c r="P614" i="57"/>
  <c r="N615" i="57"/>
  <c r="O615" i="57"/>
  <c r="P615" i="57"/>
  <c r="N616" i="57"/>
  <c r="O616" i="57"/>
  <c r="P616" i="57"/>
  <c r="N617" i="57"/>
  <c r="O617" i="57"/>
  <c r="P617" i="57"/>
  <c r="N618" i="57"/>
  <c r="O618" i="57"/>
  <c r="P618" i="57"/>
  <c r="N619" i="57"/>
  <c r="O619" i="57"/>
  <c r="P619" i="57"/>
  <c r="N620" i="57"/>
  <c r="O620" i="57"/>
  <c r="P620" i="57"/>
  <c r="N621" i="57"/>
  <c r="O621" i="57"/>
  <c r="P621" i="57"/>
  <c r="N622" i="57"/>
  <c r="O622" i="57"/>
  <c r="P622" i="57"/>
  <c r="N623" i="57"/>
  <c r="O623" i="57"/>
  <c r="P623" i="57"/>
  <c r="N624" i="57"/>
  <c r="O624" i="57"/>
  <c r="P624" i="57"/>
  <c r="N625" i="57"/>
  <c r="O625" i="57"/>
  <c r="P625" i="57"/>
  <c r="N626" i="57"/>
  <c r="O626" i="57"/>
  <c r="P626" i="57"/>
  <c r="N627" i="57"/>
  <c r="O627" i="57"/>
  <c r="P627" i="57"/>
  <c r="N628" i="57"/>
  <c r="O628" i="57"/>
  <c r="P628" i="57"/>
  <c r="N629" i="57"/>
  <c r="O629" i="57"/>
  <c r="P629" i="57"/>
  <c r="N630" i="57"/>
  <c r="O630" i="57"/>
  <c r="P630" i="57"/>
  <c r="N631" i="57"/>
  <c r="O631" i="57"/>
  <c r="P631" i="57"/>
  <c r="N632" i="57"/>
  <c r="O632" i="57"/>
  <c r="P632" i="57"/>
  <c r="N633" i="57"/>
  <c r="O633" i="57"/>
  <c r="P633" i="57"/>
  <c r="N634" i="57"/>
  <c r="O634" i="57"/>
  <c r="P634" i="57"/>
  <c r="N635" i="57"/>
  <c r="O635" i="57"/>
  <c r="P635" i="57"/>
  <c r="N636" i="57"/>
  <c r="O636" i="57"/>
  <c r="P636" i="57"/>
  <c r="N637" i="57"/>
  <c r="O637" i="57"/>
  <c r="P637" i="57"/>
  <c r="N638" i="57"/>
  <c r="O638" i="57"/>
  <c r="P638" i="57"/>
  <c r="N639" i="57"/>
  <c r="O639" i="57"/>
  <c r="P639" i="57"/>
  <c r="N640" i="57"/>
  <c r="O640" i="57"/>
  <c r="P640" i="57"/>
  <c r="N641" i="57"/>
  <c r="O641" i="57"/>
  <c r="P641" i="57"/>
  <c r="N642" i="57"/>
  <c r="O642" i="57"/>
  <c r="P642" i="57"/>
  <c r="N643" i="57"/>
  <c r="O643" i="57"/>
  <c r="P643" i="57"/>
  <c r="N644" i="57"/>
  <c r="O644" i="57"/>
  <c r="P644" i="57"/>
  <c r="N645" i="57"/>
  <c r="O645" i="57"/>
  <c r="P645" i="57"/>
  <c r="N646" i="57"/>
  <c r="O646" i="57"/>
  <c r="P646" i="57"/>
  <c r="N647" i="57"/>
  <c r="O647" i="57"/>
  <c r="P647" i="57"/>
  <c r="N648" i="57"/>
  <c r="O648" i="57"/>
  <c r="P648" i="57"/>
  <c r="N649" i="57"/>
  <c r="O649" i="57"/>
  <c r="P649" i="57"/>
  <c r="N650" i="57"/>
  <c r="O650" i="57"/>
  <c r="P650" i="57"/>
  <c r="N651" i="57"/>
  <c r="O651" i="57"/>
  <c r="P651" i="57"/>
  <c r="N652" i="57"/>
  <c r="O652" i="57"/>
  <c r="P652" i="57"/>
  <c r="N653" i="57"/>
  <c r="O653" i="57"/>
  <c r="P653" i="57"/>
  <c r="N654" i="57"/>
  <c r="O654" i="57"/>
  <c r="P654" i="57"/>
  <c r="N655" i="57"/>
  <c r="O655" i="57"/>
  <c r="P655" i="57"/>
  <c r="N656" i="57"/>
  <c r="O656" i="57"/>
  <c r="P656" i="57"/>
  <c r="N657" i="57"/>
  <c r="O657" i="57"/>
  <c r="P657" i="57"/>
  <c r="N658" i="57"/>
  <c r="O658" i="57"/>
  <c r="P658" i="57"/>
  <c r="N659" i="57"/>
  <c r="O659" i="57"/>
  <c r="P659" i="57"/>
  <c r="N660" i="57"/>
  <c r="O660" i="57"/>
  <c r="P660" i="57"/>
  <c r="N661" i="57"/>
  <c r="O661" i="57"/>
  <c r="P661" i="57"/>
  <c r="N662" i="57"/>
  <c r="O662" i="57"/>
  <c r="P662" i="57"/>
  <c r="N663" i="57"/>
  <c r="O663" i="57"/>
  <c r="P663" i="57"/>
  <c r="N664" i="57"/>
  <c r="O664" i="57"/>
  <c r="P664" i="57"/>
  <c r="N665" i="57"/>
  <c r="O665" i="57"/>
  <c r="P665" i="57"/>
  <c r="N666" i="57"/>
  <c r="O666" i="57"/>
  <c r="P666" i="57"/>
  <c r="N667" i="57"/>
  <c r="O667" i="57"/>
  <c r="P667" i="57"/>
  <c r="N668" i="57"/>
  <c r="O668" i="57"/>
  <c r="P668" i="57"/>
  <c r="N669" i="57"/>
  <c r="O669" i="57"/>
  <c r="P669" i="57"/>
  <c r="N670" i="57"/>
  <c r="O670" i="57"/>
  <c r="P670" i="57"/>
  <c r="N671" i="57"/>
  <c r="O671" i="57"/>
  <c r="P671" i="57"/>
  <c r="N672" i="57"/>
  <c r="O672" i="57"/>
  <c r="P672" i="57"/>
  <c r="N673" i="57"/>
  <c r="O673" i="57"/>
  <c r="P673" i="57"/>
  <c r="N674" i="57"/>
  <c r="O674" i="57"/>
  <c r="P674" i="57"/>
  <c r="N675" i="57"/>
  <c r="O675" i="57"/>
  <c r="P675" i="57"/>
  <c r="N676" i="57"/>
  <c r="O676" i="57"/>
  <c r="P676" i="57"/>
  <c r="N677" i="57"/>
  <c r="O677" i="57"/>
  <c r="P677" i="57"/>
  <c r="N678" i="57"/>
  <c r="O678" i="57"/>
  <c r="P678" i="57"/>
  <c r="N679" i="57"/>
  <c r="O679" i="57"/>
  <c r="P679" i="57"/>
  <c r="N680" i="57"/>
  <c r="O680" i="57"/>
  <c r="P680" i="57"/>
  <c r="N681" i="57"/>
  <c r="O681" i="57"/>
  <c r="P681" i="57"/>
  <c r="N682" i="57"/>
  <c r="O682" i="57"/>
  <c r="P682" i="57"/>
  <c r="N683" i="57"/>
  <c r="O683" i="57"/>
  <c r="P683" i="57"/>
  <c r="N684" i="57"/>
  <c r="O684" i="57"/>
  <c r="P684" i="57"/>
  <c r="N685" i="57"/>
  <c r="O685" i="57"/>
  <c r="P685" i="57"/>
  <c r="N686" i="57"/>
  <c r="O686" i="57"/>
  <c r="P686" i="57"/>
  <c r="N687" i="57"/>
  <c r="O687" i="57"/>
  <c r="P687" i="57"/>
  <c r="N688" i="57"/>
  <c r="O688" i="57"/>
  <c r="P688" i="57"/>
  <c r="N689" i="57"/>
  <c r="O689" i="57"/>
  <c r="P689" i="57"/>
  <c r="N690" i="57"/>
  <c r="O690" i="57"/>
  <c r="P690" i="57"/>
  <c r="N691" i="57"/>
  <c r="O691" i="57"/>
  <c r="P691" i="57"/>
  <c r="N692" i="57"/>
  <c r="O692" i="57"/>
  <c r="P692" i="57"/>
  <c r="N693" i="57"/>
  <c r="O693" i="57"/>
  <c r="P693" i="57"/>
  <c r="N694" i="57"/>
  <c r="O694" i="57"/>
  <c r="P694" i="57"/>
  <c r="N695" i="57"/>
  <c r="O695" i="57"/>
  <c r="P695" i="57"/>
  <c r="N696" i="57"/>
  <c r="O696" i="57"/>
  <c r="P696" i="57"/>
  <c r="N697" i="57"/>
  <c r="O697" i="57"/>
  <c r="P697" i="57"/>
  <c r="N698" i="57"/>
  <c r="O698" i="57"/>
  <c r="P698" i="57"/>
  <c r="N699" i="57"/>
  <c r="O699" i="57"/>
  <c r="P699" i="57"/>
  <c r="N700" i="57"/>
  <c r="O700" i="57"/>
  <c r="P700" i="57"/>
  <c r="N701" i="57"/>
  <c r="O701" i="57"/>
  <c r="P701" i="57"/>
  <c r="N702" i="57"/>
  <c r="O702" i="57"/>
  <c r="P702" i="57"/>
  <c r="N703" i="57"/>
  <c r="O703" i="57"/>
  <c r="P703" i="57"/>
  <c r="N704" i="57"/>
  <c r="O704" i="57"/>
  <c r="P704" i="57"/>
  <c r="N705" i="57"/>
  <c r="O705" i="57"/>
  <c r="P705" i="57"/>
  <c r="N706" i="57"/>
  <c r="O706" i="57"/>
  <c r="P706" i="57"/>
  <c r="N707" i="57"/>
  <c r="O707" i="57"/>
  <c r="P707" i="57"/>
  <c r="N708" i="57"/>
  <c r="O708" i="57"/>
  <c r="P708" i="57"/>
  <c r="N709" i="57"/>
  <c r="O709" i="57"/>
  <c r="P709" i="57"/>
  <c r="N710" i="57"/>
  <c r="O710" i="57"/>
  <c r="P710" i="57"/>
  <c r="N711" i="57"/>
  <c r="O711" i="57"/>
  <c r="P711" i="57"/>
  <c r="N712" i="57"/>
  <c r="O712" i="57"/>
  <c r="P712" i="57"/>
  <c r="N713" i="57"/>
  <c r="O713" i="57"/>
  <c r="P713" i="57"/>
  <c r="N714" i="57"/>
  <c r="O714" i="57"/>
  <c r="P714" i="57"/>
  <c r="N715" i="57"/>
  <c r="O715" i="57"/>
  <c r="P715" i="57"/>
  <c r="N716" i="57"/>
  <c r="O716" i="57"/>
  <c r="P716" i="57"/>
  <c r="N717" i="57"/>
  <c r="O717" i="57"/>
  <c r="P717" i="57"/>
  <c r="N718" i="57"/>
  <c r="O718" i="57"/>
  <c r="P718" i="57"/>
  <c r="N719" i="57"/>
  <c r="O719" i="57"/>
  <c r="P719" i="57"/>
  <c r="N720" i="57"/>
  <c r="O720" i="57"/>
  <c r="P720" i="57"/>
  <c r="N721" i="57"/>
  <c r="O721" i="57"/>
  <c r="P721" i="57"/>
  <c r="N722" i="57"/>
  <c r="O722" i="57"/>
  <c r="P722" i="57"/>
  <c r="N723" i="57"/>
  <c r="O723" i="57"/>
  <c r="P723" i="57"/>
  <c r="N724" i="57"/>
  <c r="O724" i="57"/>
  <c r="P724" i="57"/>
  <c r="N725" i="57"/>
  <c r="O725" i="57"/>
  <c r="P725" i="57"/>
  <c r="N726" i="57"/>
  <c r="O726" i="57"/>
  <c r="P726" i="57"/>
  <c r="N727" i="57"/>
  <c r="O727" i="57"/>
  <c r="P727" i="57"/>
  <c r="N728" i="57"/>
  <c r="O728" i="57"/>
  <c r="P728" i="57"/>
  <c r="N729" i="57"/>
  <c r="O729" i="57"/>
  <c r="P729" i="57"/>
  <c r="N730" i="57"/>
  <c r="O730" i="57"/>
  <c r="P730" i="57"/>
  <c r="N731" i="57"/>
  <c r="O731" i="57"/>
  <c r="P731" i="57"/>
  <c r="N732" i="57"/>
  <c r="O732" i="57"/>
  <c r="P732" i="57"/>
  <c r="N733" i="57"/>
  <c r="O733" i="57"/>
  <c r="P733" i="57"/>
  <c r="N734" i="57"/>
  <c r="O734" i="57"/>
  <c r="P734" i="57"/>
  <c r="N735" i="57"/>
  <c r="O735" i="57"/>
  <c r="P735" i="57"/>
  <c r="N736" i="57"/>
  <c r="O736" i="57"/>
  <c r="P736" i="57"/>
  <c r="N737" i="57"/>
  <c r="O737" i="57"/>
  <c r="P737" i="57"/>
  <c r="N738" i="57"/>
  <c r="O738" i="57"/>
  <c r="P738" i="57"/>
  <c r="N739" i="57"/>
  <c r="O739" i="57"/>
  <c r="P739" i="57"/>
  <c r="N740" i="57"/>
  <c r="O740" i="57"/>
  <c r="P740" i="57"/>
  <c r="N741" i="57"/>
  <c r="O741" i="57"/>
  <c r="P741" i="57"/>
  <c r="N742" i="57"/>
  <c r="O742" i="57"/>
  <c r="P742" i="57"/>
  <c r="N743" i="57"/>
  <c r="O743" i="57"/>
  <c r="P743" i="57"/>
  <c r="N744" i="57"/>
  <c r="O744" i="57"/>
  <c r="P744" i="57"/>
  <c r="N745" i="57"/>
  <c r="O745" i="57"/>
  <c r="P745" i="57"/>
  <c r="N746" i="57"/>
  <c r="O746" i="57"/>
  <c r="P746" i="57"/>
  <c r="N747" i="57"/>
  <c r="O747" i="57"/>
  <c r="P747" i="57"/>
  <c r="N748" i="57"/>
  <c r="O748" i="57"/>
  <c r="P748" i="57"/>
  <c r="N749" i="57"/>
  <c r="O749" i="57"/>
  <c r="P749" i="57"/>
  <c r="N750" i="57"/>
  <c r="O750" i="57"/>
  <c r="P750" i="57"/>
  <c r="N751" i="57"/>
  <c r="O751" i="57"/>
  <c r="P751" i="57"/>
  <c r="N752" i="57"/>
  <c r="O752" i="57"/>
  <c r="P752" i="57"/>
  <c r="N753" i="57"/>
  <c r="O753" i="57"/>
  <c r="P753" i="57"/>
  <c r="N754" i="57"/>
  <c r="O754" i="57"/>
  <c r="P754" i="57"/>
  <c r="N755" i="57"/>
  <c r="O755" i="57"/>
  <c r="P755" i="57"/>
  <c r="N756" i="57"/>
  <c r="O756" i="57"/>
  <c r="P756" i="57"/>
  <c r="N757" i="57"/>
  <c r="O757" i="57"/>
  <c r="P757" i="57"/>
  <c r="N758" i="57"/>
  <c r="O758" i="57"/>
  <c r="P758" i="57"/>
  <c r="N759" i="57"/>
  <c r="O759" i="57"/>
  <c r="P759" i="57"/>
  <c r="N760" i="57"/>
  <c r="O760" i="57"/>
  <c r="P760" i="57"/>
  <c r="N761" i="57"/>
  <c r="O761" i="57"/>
  <c r="P761" i="57"/>
  <c r="N762" i="57"/>
  <c r="O762" i="57"/>
  <c r="P762" i="57"/>
  <c r="N763" i="57"/>
  <c r="O763" i="57"/>
  <c r="P763" i="57"/>
  <c r="N764" i="57"/>
  <c r="O764" i="57"/>
  <c r="P764" i="57"/>
  <c r="N765" i="57"/>
  <c r="O765" i="57"/>
  <c r="P765" i="57"/>
  <c r="N766" i="57"/>
  <c r="O766" i="57"/>
  <c r="P766" i="57"/>
  <c r="N767" i="57"/>
  <c r="O767" i="57"/>
  <c r="P767" i="57"/>
  <c r="N768" i="57"/>
  <c r="O768" i="57"/>
  <c r="P768" i="57"/>
  <c r="N769" i="57"/>
  <c r="O769" i="57"/>
  <c r="P769" i="57"/>
  <c r="N770" i="57"/>
  <c r="O770" i="57"/>
  <c r="P770" i="57"/>
  <c r="N771" i="57"/>
  <c r="O771" i="57"/>
  <c r="P771" i="57"/>
  <c r="N772" i="57"/>
  <c r="O772" i="57"/>
  <c r="P772" i="57"/>
  <c r="N773" i="57"/>
  <c r="O773" i="57"/>
  <c r="P773" i="57"/>
  <c r="N774" i="57"/>
  <c r="O774" i="57"/>
  <c r="P774" i="57"/>
  <c r="N775" i="57"/>
  <c r="O775" i="57"/>
  <c r="P775" i="57"/>
  <c r="N776" i="57"/>
  <c r="O776" i="57"/>
  <c r="P776" i="57"/>
  <c r="N777" i="57"/>
  <c r="O777" i="57"/>
  <c r="P777" i="57"/>
  <c r="N778" i="57"/>
  <c r="O778" i="57"/>
  <c r="P778" i="57"/>
  <c r="N779" i="57"/>
  <c r="O779" i="57"/>
  <c r="P779" i="57"/>
  <c r="N780" i="57"/>
  <c r="O780" i="57"/>
  <c r="P780" i="57"/>
  <c r="N781" i="57"/>
  <c r="O781" i="57"/>
  <c r="P781" i="57"/>
  <c r="N782" i="57"/>
  <c r="O782" i="57"/>
  <c r="P782" i="57"/>
  <c r="N783" i="57"/>
  <c r="O783" i="57"/>
  <c r="P783" i="57"/>
  <c r="N784" i="57"/>
  <c r="O784" i="57"/>
  <c r="P784" i="57"/>
  <c r="N785" i="57"/>
  <c r="O785" i="57"/>
  <c r="P785" i="57"/>
  <c r="N786" i="57"/>
  <c r="O786" i="57"/>
  <c r="P786" i="57"/>
  <c r="N787" i="57"/>
  <c r="O787" i="57"/>
  <c r="P787" i="57"/>
  <c r="N788" i="57"/>
  <c r="O788" i="57"/>
  <c r="P788" i="57"/>
  <c r="N789" i="57"/>
  <c r="O789" i="57"/>
  <c r="P789" i="57"/>
  <c r="N790" i="57"/>
  <c r="O790" i="57"/>
  <c r="P790" i="57"/>
  <c r="N791" i="57"/>
  <c r="O791" i="57"/>
  <c r="P791" i="57"/>
  <c r="N792" i="57"/>
  <c r="O792" i="57"/>
  <c r="P792" i="57"/>
  <c r="N793" i="57"/>
  <c r="O793" i="57"/>
  <c r="P793" i="57"/>
  <c r="N794" i="57"/>
  <c r="O794" i="57"/>
  <c r="P794" i="57"/>
  <c r="N795" i="57"/>
  <c r="O795" i="57"/>
  <c r="P795" i="57"/>
  <c r="N796" i="57"/>
  <c r="O796" i="57"/>
  <c r="P796" i="57"/>
  <c r="N797" i="57"/>
  <c r="O797" i="57"/>
  <c r="P797" i="57"/>
  <c r="N798" i="57"/>
  <c r="O798" i="57"/>
  <c r="P798" i="57"/>
  <c r="N799" i="57"/>
  <c r="O799" i="57"/>
  <c r="P799" i="57"/>
  <c r="N800" i="57"/>
  <c r="O800" i="57"/>
  <c r="P800" i="57"/>
  <c r="N801" i="57"/>
  <c r="O801" i="57"/>
  <c r="P801" i="57"/>
  <c r="N802" i="57"/>
  <c r="O802" i="57"/>
  <c r="P802" i="57"/>
  <c r="N803" i="57"/>
  <c r="O803" i="57"/>
  <c r="P803" i="57"/>
  <c r="N804" i="57"/>
  <c r="O804" i="57"/>
  <c r="P804" i="57"/>
  <c r="N805" i="57"/>
  <c r="O805" i="57"/>
  <c r="P805" i="57"/>
  <c r="N806" i="57"/>
  <c r="O806" i="57"/>
  <c r="P806" i="57"/>
  <c r="N807" i="57"/>
  <c r="O807" i="57"/>
  <c r="P807" i="57"/>
  <c r="N808" i="57"/>
  <c r="O808" i="57"/>
  <c r="P808" i="57"/>
  <c r="N809" i="57"/>
  <c r="O809" i="57"/>
  <c r="P809" i="57"/>
  <c r="N810" i="57"/>
  <c r="O810" i="57"/>
  <c r="P810" i="57"/>
  <c r="N811" i="57"/>
  <c r="O811" i="57"/>
  <c r="P811" i="57"/>
  <c r="N812" i="57"/>
  <c r="O812" i="57"/>
  <c r="P812" i="57"/>
  <c r="N813" i="57"/>
  <c r="O813" i="57"/>
  <c r="P813" i="57"/>
  <c r="N814" i="57"/>
  <c r="O814" i="57"/>
  <c r="P814" i="57"/>
  <c r="N815" i="57"/>
  <c r="O815" i="57"/>
  <c r="P815" i="57"/>
  <c r="N816" i="57"/>
  <c r="O816" i="57"/>
  <c r="P816" i="57"/>
  <c r="N817" i="57"/>
  <c r="O817" i="57"/>
  <c r="P817" i="57"/>
  <c r="N818" i="57"/>
  <c r="O818" i="57"/>
  <c r="P818" i="57"/>
  <c r="N208" i="57"/>
  <c r="O208" i="57"/>
  <c r="P208" i="57"/>
  <c r="N209" i="57"/>
  <c r="O209" i="57"/>
  <c r="P209" i="57"/>
  <c r="D269" i="57"/>
  <c r="E633" i="57"/>
  <c r="F633" i="57" s="1"/>
  <c r="H633" i="57"/>
  <c r="E1133" i="57"/>
  <c r="F1133" i="57" s="1"/>
  <c r="H1133" i="57"/>
  <c r="N1133" i="57"/>
  <c r="O1133" i="57"/>
  <c r="P1133" i="57"/>
  <c r="E1132" i="57"/>
  <c r="F1132" i="57" s="1"/>
  <c r="H1132" i="57"/>
  <c r="N1132" i="57"/>
  <c r="O1132" i="57"/>
  <c r="P1132" i="57"/>
  <c r="E1131" i="57"/>
  <c r="F1131" i="57" s="1"/>
  <c r="H1131" i="57"/>
  <c r="N1131" i="57"/>
  <c r="O1131" i="57"/>
  <c r="P1131" i="57"/>
  <c r="H222" i="50"/>
  <c r="M222" i="50"/>
  <c r="E1130" i="57"/>
  <c r="F1130" i="57" s="1"/>
  <c r="H1130" i="57"/>
  <c r="N1130" i="57"/>
  <c r="O1130" i="57"/>
  <c r="P1130" i="57"/>
  <c r="E1129" i="57"/>
  <c r="F1129" i="57" s="1"/>
  <c r="H1129" i="57"/>
  <c r="N1129" i="57"/>
  <c r="O1129" i="57"/>
  <c r="P1129" i="57"/>
  <c r="E1128" i="57"/>
  <c r="F1128" i="57" s="1"/>
  <c r="H1128" i="57"/>
  <c r="N1128" i="57"/>
  <c r="O1128" i="57"/>
  <c r="P1128" i="57"/>
  <c r="E1127" i="57"/>
  <c r="F1127" i="57" s="1"/>
  <c r="H1127" i="57"/>
  <c r="N1127" i="57"/>
  <c r="O1127" i="57"/>
  <c r="P1127" i="57"/>
  <c r="E1126" i="57"/>
  <c r="F1126" i="57" s="1"/>
  <c r="H1126" i="57"/>
  <c r="N1126" i="57"/>
  <c r="O1126" i="57"/>
  <c r="P1126" i="57"/>
  <c r="H221" i="50"/>
  <c r="M221" i="50"/>
  <c r="H220" i="50"/>
  <c r="M220" i="50"/>
  <c r="E3" i="57"/>
  <c r="F3" i="57" s="1"/>
  <c r="E4" i="57"/>
  <c r="F4" i="57" s="1"/>
  <c r="E5" i="57"/>
  <c r="F5" i="57" s="1"/>
  <c r="E6" i="57"/>
  <c r="F6" i="57" s="1"/>
  <c r="E7" i="57"/>
  <c r="F7" i="57" s="1"/>
  <c r="E8" i="57"/>
  <c r="F8" i="57" s="1"/>
  <c r="E9" i="57"/>
  <c r="F9" i="57" s="1"/>
  <c r="E10" i="57"/>
  <c r="F10" i="57" s="1"/>
  <c r="E11" i="57"/>
  <c r="F11" i="57" s="1"/>
  <c r="E12" i="57"/>
  <c r="F12" i="57" s="1"/>
  <c r="E13" i="57"/>
  <c r="F13" i="57" s="1"/>
  <c r="E14" i="57"/>
  <c r="F14" i="57" s="1"/>
  <c r="E15" i="57"/>
  <c r="F15" i="57" s="1"/>
  <c r="E16" i="57"/>
  <c r="F16" i="57" s="1"/>
  <c r="E17" i="57"/>
  <c r="F17" i="57" s="1"/>
  <c r="E18" i="57"/>
  <c r="F18" i="57" s="1"/>
  <c r="E19" i="57"/>
  <c r="F19" i="57" s="1"/>
  <c r="E20" i="57"/>
  <c r="F20" i="57" s="1"/>
  <c r="E21" i="57"/>
  <c r="F21" i="57" s="1"/>
  <c r="E22" i="57"/>
  <c r="F22" i="57" s="1"/>
  <c r="E23" i="57"/>
  <c r="F23" i="57" s="1"/>
  <c r="E24" i="57"/>
  <c r="F24" i="57" s="1"/>
  <c r="E25" i="57"/>
  <c r="F25" i="57" s="1"/>
  <c r="E26" i="57"/>
  <c r="F26" i="57" s="1"/>
  <c r="E27" i="57"/>
  <c r="F27" i="57" s="1"/>
  <c r="E28" i="57"/>
  <c r="F28" i="57" s="1"/>
  <c r="E29" i="57"/>
  <c r="F29" i="57" s="1"/>
  <c r="E30" i="57"/>
  <c r="F30" i="57" s="1"/>
  <c r="E31" i="57"/>
  <c r="F31" i="57" s="1"/>
  <c r="E32" i="57"/>
  <c r="F32" i="57" s="1"/>
  <c r="E33" i="57"/>
  <c r="F33" i="57" s="1"/>
  <c r="E34" i="57"/>
  <c r="F34" i="57" s="1"/>
  <c r="E35" i="57"/>
  <c r="F35" i="57" s="1"/>
  <c r="E36" i="57"/>
  <c r="F36" i="57" s="1"/>
  <c r="E37" i="57"/>
  <c r="F37" i="57" s="1"/>
  <c r="E38" i="57"/>
  <c r="F38" i="57" s="1"/>
  <c r="E39" i="57"/>
  <c r="F39" i="57" s="1"/>
  <c r="E40" i="57"/>
  <c r="F40" i="57" s="1"/>
  <c r="E41" i="57"/>
  <c r="F41" i="57" s="1"/>
  <c r="E42" i="57"/>
  <c r="F42" i="57" s="1"/>
  <c r="E43" i="57"/>
  <c r="F43" i="57" s="1"/>
  <c r="E44" i="57"/>
  <c r="F44" i="57" s="1"/>
  <c r="E45" i="57"/>
  <c r="F45" i="57" s="1"/>
  <c r="E46" i="57"/>
  <c r="F46" i="57" s="1"/>
  <c r="E47" i="57"/>
  <c r="F47" i="57" s="1"/>
  <c r="E48" i="57"/>
  <c r="F48" i="57" s="1"/>
  <c r="E49" i="57"/>
  <c r="F49" i="57" s="1"/>
  <c r="E50" i="57"/>
  <c r="F50" i="57" s="1"/>
  <c r="E51" i="57"/>
  <c r="F51" i="57" s="1"/>
  <c r="E52" i="57"/>
  <c r="F52" i="57" s="1"/>
  <c r="E53" i="57"/>
  <c r="F53" i="57" s="1"/>
  <c r="E54" i="57"/>
  <c r="F54" i="57" s="1"/>
  <c r="E55" i="57"/>
  <c r="F55" i="57" s="1"/>
  <c r="E56" i="57"/>
  <c r="F56" i="57" s="1"/>
  <c r="E57" i="57"/>
  <c r="F57" i="57" s="1"/>
  <c r="E58" i="57"/>
  <c r="F58" i="57" s="1"/>
  <c r="E59" i="57"/>
  <c r="F59" i="57" s="1"/>
  <c r="E60" i="57"/>
  <c r="F60" i="57" s="1"/>
  <c r="E61" i="57"/>
  <c r="F61" i="57" s="1"/>
  <c r="E62" i="57"/>
  <c r="F62" i="57" s="1"/>
  <c r="E63" i="57"/>
  <c r="F63" i="57" s="1"/>
  <c r="E64" i="57"/>
  <c r="F64" i="57" s="1"/>
  <c r="E65" i="57"/>
  <c r="F65" i="57" s="1"/>
  <c r="E66" i="57"/>
  <c r="F66" i="57" s="1"/>
  <c r="E67" i="57"/>
  <c r="F67" i="57" s="1"/>
  <c r="E68" i="57"/>
  <c r="F68" i="57" s="1"/>
  <c r="E69" i="57"/>
  <c r="F69" i="57" s="1"/>
  <c r="E70" i="57"/>
  <c r="F70" i="57" s="1"/>
  <c r="E71" i="57"/>
  <c r="F71" i="57" s="1"/>
  <c r="E72" i="57"/>
  <c r="F72" i="57" s="1"/>
  <c r="E73" i="57"/>
  <c r="F73" i="57" s="1"/>
  <c r="E74" i="57"/>
  <c r="F74" i="57" s="1"/>
  <c r="E75" i="57"/>
  <c r="F75" i="57" s="1"/>
  <c r="E76" i="57"/>
  <c r="F76" i="57" s="1"/>
  <c r="E77" i="57"/>
  <c r="F77" i="57" s="1"/>
  <c r="E78" i="57"/>
  <c r="F78" i="57" s="1"/>
  <c r="E79" i="57"/>
  <c r="F79" i="57" s="1"/>
  <c r="E80" i="57"/>
  <c r="F80" i="57" s="1"/>
  <c r="E81" i="57"/>
  <c r="F81" i="57" s="1"/>
  <c r="E82" i="57"/>
  <c r="F82" i="57" s="1"/>
  <c r="E83" i="57"/>
  <c r="F83" i="57" s="1"/>
  <c r="E84" i="57"/>
  <c r="F84" i="57" s="1"/>
  <c r="E85" i="57"/>
  <c r="F85" i="57" s="1"/>
  <c r="E86" i="57"/>
  <c r="F86" i="57" s="1"/>
  <c r="E87" i="57"/>
  <c r="F87" i="57" s="1"/>
  <c r="E88" i="57"/>
  <c r="F88" i="57" s="1"/>
  <c r="E89" i="57"/>
  <c r="F89" i="57" s="1"/>
  <c r="E90" i="57"/>
  <c r="F90" i="57" s="1"/>
  <c r="E91" i="57"/>
  <c r="F91" i="57" s="1"/>
  <c r="E92" i="57"/>
  <c r="F92" i="57" s="1"/>
  <c r="E93" i="57"/>
  <c r="F93" i="57" s="1"/>
  <c r="E94" i="57"/>
  <c r="F94" i="57" s="1"/>
  <c r="E95" i="57"/>
  <c r="F95" i="57" s="1"/>
  <c r="E96" i="57"/>
  <c r="F96" i="57" s="1"/>
  <c r="E97" i="57"/>
  <c r="F97" i="57" s="1"/>
  <c r="E98" i="57"/>
  <c r="F98" i="57" s="1"/>
  <c r="E99" i="57"/>
  <c r="F99" i="57" s="1"/>
  <c r="E100" i="57"/>
  <c r="F100" i="57" s="1"/>
  <c r="E101" i="57"/>
  <c r="F101" i="57" s="1"/>
  <c r="E102" i="57"/>
  <c r="F102" i="57" s="1"/>
  <c r="E103" i="57"/>
  <c r="F103" i="57" s="1"/>
  <c r="E104" i="57"/>
  <c r="F104" i="57" s="1"/>
  <c r="E105" i="57"/>
  <c r="F105" i="57" s="1"/>
  <c r="E106" i="57"/>
  <c r="F106" i="57" s="1"/>
  <c r="E107" i="57"/>
  <c r="F107" i="57" s="1"/>
  <c r="E108" i="57"/>
  <c r="F108" i="57" s="1"/>
  <c r="E109" i="57"/>
  <c r="F109" i="57" s="1"/>
  <c r="E110" i="57"/>
  <c r="F110" i="57" s="1"/>
  <c r="E111" i="57"/>
  <c r="F111" i="57" s="1"/>
  <c r="E112" i="57"/>
  <c r="F112" i="57" s="1"/>
  <c r="E113" i="57"/>
  <c r="F113" i="57" s="1"/>
  <c r="E114" i="57"/>
  <c r="F114" i="57" s="1"/>
  <c r="E115" i="57"/>
  <c r="F115" i="57" s="1"/>
  <c r="E116" i="57"/>
  <c r="F116" i="57" s="1"/>
  <c r="E117" i="57"/>
  <c r="F117" i="57" s="1"/>
  <c r="E118" i="57"/>
  <c r="F118" i="57" s="1"/>
  <c r="E119" i="57"/>
  <c r="F119" i="57" s="1"/>
  <c r="E120" i="57"/>
  <c r="F120" i="57" s="1"/>
  <c r="E121" i="57"/>
  <c r="F121" i="57" s="1"/>
  <c r="E122" i="57"/>
  <c r="F122" i="57" s="1"/>
  <c r="E123" i="57"/>
  <c r="F123" i="57" s="1"/>
  <c r="E124" i="57"/>
  <c r="F124" i="57" s="1"/>
  <c r="E125" i="57"/>
  <c r="F125" i="57" s="1"/>
  <c r="E126" i="57"/>
  <c r="F126" i="57" s="1"/>
  <c r="E127" i="57"/>
  <c r="F127" i="57" s="1"/>
  <c r="E128" i="57"/>
  <c r="F128" i="57" s="1"/>
  <c r="E129" i="57"/>
  <c r="F129" i="57" s="1"/>
  <c r="E130" i="57"/>
  <c r="F130" i="57" s="1"/>
  <c r="E131" i="57"/>
  <c r="F131" i="57" s="1"/>
  <c r="E132" i="57"/>
  <c r="F132" i="57" s="1"/>
  <c r="E133" i="57"/>
  <c r="F133" i="57" s="1"/>
  <c r="E134" i="57"/>
  <c r="F134" i="57" s="1"/>
  <c r="E135" i="57"/>
  <c r="F135" i="57" s="1"/>
  <c r="E136" i="57"/>
  <c r="F136" i="57" s="1"/>
  <c r="E137" i="57"/>
  <c r="F137" i="57" s="1"/>
  <c r="E138" i="57"/>
  <c r="F138" i="57" s="1"/>
  <c r="E139" i="57"/>
  <c r="F139" i="57" s="1"/>
  <c r="E140" i="57"/>
  <c r="F140" i="57" s="1"/>
  <c r="E141" i="57"/>
  <c r="F141" i="57" s="1"/>
  <c r="E142" i="57"/>
  <c r="F142" i="57" s="1"/>
  <c r="E143" i="57"/>
  <c r="F143" i="57" s="1"/>
  <c r="E144" i="57"/>
  <c r="F144" i="57" s="1"/>
  <c r="E145" i="57"/>
  <c r="F145" i="57" s="1"/>
  <c r="E146" i="57"/>
  <c r="F146" i="57" s="1"/>
  <c r="E147" i="57"/>
  <c r="F147" i="57" s="1"/>
  <c r="E148" i="57"/>
  <c r="F148" i="57" s="1"/>
  <c r="E149" i="57"/>
  <c r="F149" i="57" s="1"/>
  <c r="E150" i="57"/>
  <c r="F150" i="57" s="1"/>
  <c r="E151" i="57"/>
  <c r="F151" i="57" s="1"/>
  <c r="E152" i="57"/>
  <c r="F152" i="57" s="1"/>
  <c r="E153" i="57"/>
  <c r="F153" i="57" s="1"/>
  <c r="E154" i="57"/>
  <c r="F154" i="57" s="1"/>
  <c r="E155" i="57"/>
  <c r="F155" i="57" s="1"/>
  <c r="E156" i="57"/>
  <c r="F156" i="57" s="1"/>
  <c r="E157" i="57"/>
  <c r="F157" i="57" s="1"/>
  <c r="E158" i="57"/>
  <c r="F158" i="57" s="1"/>
  <c r="E159" i="57"/>
  <c r="F159" i="57" s="1"/>
  <c r="E160" i="57"/>
  <c r="F160" i="57" s="1"/>
  <c r="E161" i="57"/>
  <c r="F161" i="57" s="1"/>
  <c r="E162" i="57"/>
  <c r="F162" i="57" s="1"/>
  <c r="E163" i="57"/>
  <c r="F163" i="57" s="1"/>
  <c r="E164" i="57"/>
  <c r="F164" i="57" s="1"/>
  <c r="E165" i="57"/>
  <c r="F165" i="57" s="1"/>
  <c r="E166" i="57"/>
  <c r="F166" i="57" s="1"/>
  <c r="E167" i="57"/>
  <c r="F167" i="57" s="1"/>
  <c r="E168" i="57"/>
  <c r="F168" i="57" s="1"/>
  <c r="E169" i="57"/>
  <c r="F169" i="57" s="1"/>
  <c r="E170" i="57"/>
  <c r="F170" i="57" s="1"/>
  <c r="E171" i="57"/>
  <c r="F171" i="57" s="1"/>
  <c r="E172" i="57"/>
  <c r="F172" i="57" s="1"/>
  <c r="E173" i="57"/>
  <c r="F173" i="57" s="1"/>
  <c r="E174" i="57"/>
  <c r="F174" i="57" s="1"/>
  <c r="E175" i="57"/>
  <c r="F175" i="57" s="1"/>
  <c r="E176" i="57"/>
  <c r="F176" i="57" s="1"/>
  <c r="E177" i="57"/>
  <c r="F177" i="57" s="1"/>
  <c r="E178" i="57"/>
  <c r="F178" i="57" s="1"/>
  <c r="E179" i="57"/>
  <c r="F179" i="57" s="1"/>
  <c r="E180" i="57"/>
  <c r="F180" i="57" s="1"/>
  <c r="E181" i="57"/>
  <c r="F181" i="57" s="1"/>
  <c r="E182" i="57"/>
  <c r="F182" i="57" s="1"/>
  <c r="E183" i="57"/>
  <c r="F183" i="57" s="1"/>
  <c r="E184" i="57"/>
  <c r="F184" i="57" s="1"/>
  <c r="E185" i="57"/>
  <c r="F185" i="57" s="1"/>
  <c r="E186" i="57"/>
  <c r="F186" i="57" s="1"/>
  <c r="E187" i="57"/>
  <c r="F187" i="57" s="1"/>
  <c r="E188" i="57"/>
  <c r="F188" i="57" s="1"/>
  <c r="E189" i="57"/>
  <c r="F189" i="57" s="1"/>
  <c r="E190" i="57"/>
  <c r="F190" i="57" s="1"/>
  <c r="E191" i="57"/>
  <c r="F191" i="57" s="1"/>
  <c r="E192" i="57"/>
  <c r="F192" i="57" s="1"/>
  <c r="E193" i="57"/>
  <c r="F193" i="57" s="1"/>
  <c r="E194" i="57"/>
  <c r="F194" i="57" s="1"/>
  <c r="E195" i="57"/>
  <c r="F195" i="57" s="1"/>
  <c r="E196" i="57"/>
  <c r="F196" i="57" s="1"/>
  <c r="E197" i="57"/>
  <c r="F197" i="57" s="1"/>
  <c r="E198" i="57"/>
  <c r="F198" i="57" s="1"/>
  <c r="E199" i="57"/>
  <c r="F199" i="57" s="1"/>
  <c r="E200" i="57"/>
  <c r="F200" i="57" s="1"/>
  <c r="E201" i="57"/>
  <c r="F201" i="57" s="1"/>
  <c r="E202" i="57"/>
  <c r="F202" i="57" s="1"/>
  <c r="E203" i="57"/>
  <c r="F203" i="57" s="1"/>
  <c r="E204" i="57"/>
  <c r="F204" i="57" s="1"/>
  <c r="E205" i="57"/>
  <c r="F205" i="57" s="1"/>
  <c r="E206" i="57"/>
  <c r="F206" i="57" s="1"/>
  <c r="E207" i="57"/>
  <c r="F207" i="57" s="1"/>
  <c r="H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50" i="57"/>
  <c r="H51" i="57"/>
  <c r="H52" i="57"/>
  <c r="H53" i="57"/>
  <c r="H54" i="57"/>
  <c r="H55" i="57"/>
  <c r="H56" i="57"/>
  <c r="H57" i="57"/>
  <c r="H58" i="57"/>
  <c r="H59" i="57"/>
  <c r="H60" i="57"/>
  <c r="H61" i="57"/>
  <c r="H62" i="57"/>
  <c r="H63" i="57"/>
  <c r="H64" i="57"/>
  <c r="H65" i="57"/>
  <c r="H66" i="57"/>
  <c r="H67" i="57"/>
  <c r="H68" i="57"/>
  <c r="H69" i="57"/>
  <c r="H70" i="57"/>
  <c r="H71" i="57"/>
  <c r="H72" i="57"/>
  <c r="H73" i="57"/>
  <c r="H74" i="57"/>
  <c r="H75" i="57"/>
  <c r="H76" i="57"/>
  <c r="H77" i="57"/>
  <c r="H78" i="57"/>
  <c r="H79" i="57"/>
  <c r="H80" i="57"/>
  <c r="H81" i="57"/>
  <c r="H82" i="57"/>
  <c r="H83" i="57"/>
  <c r="H84" i="57"/>
  <c r="H85" i="57"/>
  <c r="H86" i="57"/>
  <c r="H87" i="57"/>
  <c r="H88" i="57"/>
  <c r="H89" i="57"/>
  <c r="H90" i="57"/>
  <c r="H91" i="57"/>
  <c r="H92" i="57"/>
  <c r="H93" i="57"/>
  <c r="H94" i="57"/>
  <c r="H95" i="57"/>
  <c r="H96" i="57"/>
  <c r="H97" i="57"/>
  <c r="H98" i="57"/>
  <c r="H99" i="57"/>
  <c r="H100" i="57"/>
  <c r="H101" i="57"/>
  <c r="H102" i="57"/>
  <c r="H103" i="57"/>
  <c r="H104" i="57"/>
  <c r="H105" i="57"/>
  <c r="H106" i="57"/>
  <c r="H107" i="57"/>
  <c r="H108" i="57"/>
  <c r="H109" i="57"/>
  <c r="H110" i="57"/>
  <c r="H111" i="57"/>
  <c r="H112" i="57"/>
  <c r="H113" i="57"/>
  <c r="H114" i="57"/>
  <c r="H115" i="57"/>
  <c r="H116" i="57"/>
  <c r="H117" i="57"/>
  <c r="H118" i="57"/>
  <c r="H119" i="57"/>
  <c r="H120" i="57"/>
  <c r="H121" i="57"/>
  <c r="H122" i="57"/>
  <c r="H123" i="57"/>
  <c r="H124" i="57"/>
  <c r="H125" i="57"/>
  <c r="H126" i="57"/>
  <c r="H127" i="57"/>
  <c r="H128" i="57"/>
  <c r="H129" i="57"/>
  <c r="H130" i="57"/>
  <c r="H131" i="57"/>
  <c r="H132" i="57"/>
  <c r="H133" i="57"/>
  <c r="H134" i="57"/>
  <c r="H135" i="57"/>
  <c r="H136" i="57"/>
  <c r="H137" i="57"/>
  <c r="H138" i="57"/>
  <c r="H139" i="57"/>
  <c r="H140" i="57"/>
  <c r="H141" i="57"/>
  <c r="H142" i="57"/>
  <c r="H143" i="57"/>
  <c r="H144" i="57"/>
  <c r="H145" i="57"/>
  <c r="H146" i="57"/>
  <c r="H147" i="57"/>
  <c r="H148" i="57"/>
  <c r="H149" i="57"/>
  <c r="H150" i="57"/>
  <c r="H151" i="57"/>
  <c r="H152" i="57"/>
  <c r="H153" i="57"/>
  <c r="H154" i="57"/>
  <c r="H155" i="57"/>
  <c r="H156" i="57"/>
  <c r="H157" i="57"/>
  <c r="H158" i="57"/>
  <c r="H159" i="57"/>
  <c r="H160" i="57"/>
  <c r="H161" i="57"/>
  <c r="H162" i="57"/>
  <c r="H163" i="57"/>
  <c r="H164" i="57"/>
  <c r="H165" i="57"/>
  <c r="H166" i="57"/>
  <c r="H167" i="57"/>
  <c r="H168" i="57"/>
  <c r="H169" i="57"/>
  <c r="H170" i="57"/>
  <c r="H171" i="57"/>
  <c r="H172" i="57"/>
  <c r="H173" i="57"/>
  <c r="H174" i="57"/>
  <c r="H175" i="57"/>
  <c r="H176" i="57"/>
  <c r="H177" i="57"/>
  <c r="H178" i="57"/>
  <c r="H179" i="57"/>
  <c r="H180" i="57"/>
  <c r="H181" i="57"/>
  <c r="H182" i="57"/>
  <c r="H183" i="57"/>
  <c r="H184" i="57"/>
  <c r="H185" i="57"/>
  <c r="H186" i="57"/>
  <c r="H187" i="57"/>
  <c r="H188" i="57"/>
  <c r="H189" i="57"/>
  <c r="H190" i="57"/>
  <c r="H191" i="57"/>
  <c r="H192" i="57"/>
  <c r="H193" i="57"/>
  <c r="H194" i="57"/>
  <c r="H195" i="57"/>
  <c r="H196" i="57"/>
  <c r="H197" i="57"/>
  <c r="H198" i="57"/>
  <c r="H199" i="57"/>
  <c r="H200" i="57"/>
  <c r="H201" i="57"/>
  <c r="H202" i="57"/>
  <c r="H203" i="57"/>
  <c r="H204" i="57"/>
  <c r="H205" i="57"/>
  <c r="H206" i="57"/>
  <c r="H207" i="57"/>
  <c r="N3" i="57"/>
  <c r="N4" i="57"/>
  <c r="N5" i="57"/>
  <c r="N6" i="57"/>
  <c r="N7" i="57"/>
  <c r="N8" i="57"/>
  <c r="N9" i="57"/>
  <c r="N10" i="57"/>
  <c r="N11" i="57"/>
  <c r="N12" i="57"/>
  <c r="N13" i="57"/>
  <c r="N14" i="57"/>
  <c r="N15" i="57"/>
  <c r="N16" i="57"/>
  <c r="N17" i="57"/>
  <c r="N18" i="57"/>
  <c r="N19" i="57"/>
  <c r="N20" i="57"/>
  <c r="N21" i="57"/>
  <c r="N22" i="57"/>
  <c r="N23" i="57"/>
  <c r="N24" i="57"/>
  <c r="N25" i="57"/>
  <c r="N26" i="57"/>
  <c r="N27" i="57"/>
  <c r="N28" i="57"/>
  <c r="N29" i="57"/>
  <c r="N30" i="57"/>
  <c r="N31" i="57"/>
  <c r="N32" i="57"/>
  <c r="N33" i="57"/>
  <c r="N34" i="57"/>
  <c r="N35" i="57"/>
  <c r="N36" i="57"/>
  <c r="N37" i="57"/>
  <c r="N38" i="57"/>
  <c r="N39" i="57"/>
  <c r="N40" i="57"/>
  <c r="N41" i="57"/>
  <c r="N42" i="57"/>
  <c r="N43" i="57"/>
  <c r="N44" i="57"/>
  <c r="N45" i="57"/>
  <c r="N46" i="57"/>
  <c r="N47" i="57"/>
  <c r="N48" i="57"/>
  <c r="N49" i="57"/>
  <c r="N50" i="57"/>
  <c r="N51" i="57"/>
  <c r="N52" i="57"/>
  <c r="N53" i="57"/>
  <c r="N54" i="57"/>
  <c r="N55" i="57"/>
  <c r="N56" i="57"/>
  <c r="N57" i="57"/>
  <c r="N58" i="57"/>
  <c r="N59" i="57"/>
  <c r="N60" i="57"/>
  <c r="N61" i="57"/>
  <c r="N62" i="57"/>
  <c r="N63" i="57"/>
  <c r="N64" i="57"/>
  <c r="N65" i="57"/>
  <c r="N66" i="57"/>
  <c r="N67" i="57"/>
  <c r="N68" i="57"/>
  <c r="N69" i="57"/>
  <c r="N70" i="57"/>
  <c r="N71" i="57"/>
  <c r="N72" i="57"/>
  <c r="N73" i="57"/>
  <c r="N74" i="57"/>
  <c r="N75" i="57"/>
  <c r="N76" i="57"/>
  <c r="N77" i="57"/>
  <c r="N78" i="57"/>
  <c r="N79" i="57"/>
  <c r="N80" i="57"/>
  <c r="N81" i="57"/>
  <c r="N82" i="57"/>
  <c r="N83" i="57"/>
  <c r="N84" i="57"/>
  <c r="N85" i="57"/>
  <c r="N86" i="57"/>
  <c r="N87" i="57"/>
  <c r="N88" i="57"/>
  <c r="N89" i="57"/>
  <c r="N90" i="57"/>
  <c r="N91" i="57"/>
  <c r="N92" i="57"/>
  <c r="N93" i="57"/>
  <c r="N94" i="57"/>
  <c r="N95" i="57"/>
  <c r="N96" i="57"/>
  <c r="N97" i="57"/>
  <c r="N98" i="57"/>
  <c r="N99" i="57"/>
  <c r="N100" i="57"/>
  <c r="N101" i="57"/>
  <c r="N102" i="57"/>
  <c r="N103" i="57"/>
  <c r="N104" i="57"/>
  <c r="N105" i="57"/>
  <c r="N106" i="57"/>
  <c r="N107" i="57"/>
  <c r="N108" i="57"/>
  <c r="N109" i="57"/>
  <c r="N110" i="57"/>
  <c r="N111" i="57"/>
  <c r="N112" i="57"/>
  <c r="N113" i="57"/>
  <c r="N114" i="57"/>
  <c r="N115" i="57"/>
  <c r="N116" i="57"/>
  <c r="N117" i="57"/>
  <c r="N118" i="57"/>
  <c r="N119" i="57"/>
  <c r="N120" i="57"/>
  <c r="N121" i="57"/>
  <c r="N122" i="57"/>
  <c r="N123" i="57"/>
  <c r="N124" i="57"/>
  <c r="N125" i="57"/>
  <c r="N126" i="57"/>
  <c r="N127" i="57"/>
  <c r="N128" i="57"/>
  <c r="N129" i="57"/>
  <c r="N130" i="57"/>
  <c r="N131" i="57"/>
  <c r="N132" i="57"/>
  <c r="N133" i="57"/>
  <c r="N134" i="57"/>
  <c r="N135" i="57"/>
  <c r="N136" i="57"/>
  <c r="N137" i="57"/>
  <c r="N138" i="57"/>
  <c r="N139" i="57"/>
  <c r="N140" i="57"/>
  <c r="N141" i="57"/>
  <c r="N142" i="57"/>
  <c r="N143" i="57"/>
  <c r="N144" i="57"/>
  <c r="N145" i="57"/>
  <c r="N146" i="57"/>
  <c r="N147" i="57"/>
  <c r="N148" i="57"/>
  <c r="N149" i="57"/>
  <c r="N150" i="57"/>
  <c r="N151" i="57"/>
  <c r="N152" i="57"/>
  <c r="N153" i="57"/>
  <c r="N154" i="57"/>
  <c r="N155" i="57"/>
  <c r="N156" i="57"/>
  <c r="N157" i="57"/>
  <c r="N158" i="57"/>
  <c r="N159" i="57"/>
  <c r="N160" i="57"/>
  <c r="N161" i="57"/>
  <c r="N162" i="57"/>
  <c r="N163" i="57"/>
  <c r="N164" i="57"/>
  <c r="N165" i="57"/>
  <c r="N166" i="57"/>
  <c r="N167" i="57"/>
  <c r="N168" i="57"/>
  <c r="N169" i="57"/>
  <c r="N170" i="57"/>
  <c r="N171" i="57"/>
  <c r="N172" i="57"/>
  <c r="N173" i="57"/>
  <c r="N174" i="57"/>
  <c r="N175" i="57"/>
  <c r="N176" i="57"/>
  <c r="N177" i="57"/>
  <c r="N178" i="57"/>
  <c r="N179" i="57"/>
  <c r="N180" i="57"/>
  <c r="N181" i="57"/>
  <c r="N182" i="57"/>
  <c r="N183" i="57"/>
  <c r="N184" i="57"/>
  <c r="N185" i="57"/>
  <c r="N186" i="57"/>
  <c r="N187" i="57"/>
  <c r="N188" i="57"/>
  <c r="N189" i="57"/>
  <c r="N190" i="57"/>
  <c r="N191" i="57"/>
  <c r="N192" i="57"/>
  <c r="N193" i="57"/>
  <c r="N194" i="57"/>
  <c r="N195" i="57"/>
  <c r="N196" i="57"/>
  <c r="N197" i="57"/>
  <c r="N198" i="57"/>
  <c r="N199" i="57"/>
  <c r="N200" i="57"/>
  <c r="N201" i="57"/>
  <c r="N202" i="57"/>
  <c r="N203" i="57"/>
  <c r="N204" i="57"/>
  <c r="N205" i="57"/>
  <c r="N206" i="57"/>
  <c r="N207" i="57"/>
  <c r="O3" i="57"/>
  <c r="O4" i="57"/>
  <c r="O5" i="57"/>
  <c r="O6" i="57"/>
  <c r="O7" i="57"/>
  <c r="O8" i="57"/>
  <c r="O9" i="57"/>
  <c r="O10" i="57"/>
  <c r="O11" i="57"/>
  <c r="O12" i="57"/>
  <c r="O13" i="57"/>
  <c r="O14" i="57"/>
  <c r="O15" i="57"/>
  <c r="O16" i="57"/>
  <c r="O17" i="57"/>
  <c r="O18" i="57"/>
  <c r="O19" i="57"/>
  <c r="O20" i="57"/>
  <c r="O21" i="57"/>
  <c r="O22" i="57"/>
  <c r="O23" i="57"/>
  <c r="O24" i="57"/>
  <c r="O25" i="57"/>
  <c r="O26" i="57"/>
  <c r="O27" i="57"/>
  <c r="O28" i="57"/>
  <c r="O29" i="57"/>
  <c r="O30" i="57"/>
  <c r="O31" i="57"/>
  <c r="O32" i="57"/>
  <c r="O33" i="57"/>
  <c r="O34" i="57"/>
  <c r="O35" i="57"/>
  <c r="O36" i="57"/>
  <c r="O37" i="57"/>
  <c r="O38" i="57"/>
  <c r="O39" i="57"/>
  <c r="O40" i="57"/>
  <c r="O41" i="57"/>
  <c r="O42" i="57"/>
  <c r="O43" i="57"/>
  <c r="O44" i="57"/>
  <c r="O45" i="57"/>
  <c r="O46" i="57"/>
  <c r="O47" i="57"/>
  <c r="O48" i="57"/>
  <c r="O49" i="57"/>
  <c r="O50" i="57"/>
  <c r="O51" i="57"/>
  <c r="O52" i="57"/>
  <c r="O53" i="57"/>
  <c r="O54" i="57"/>
  <c r="O55" i="57"/>
  <c r="O56" i="57"/>
  <c r="O57" i="57"/>
  <c r="O58" i="57"/>
  <c r="O59" i="57"/>
  <c r="O60" i="57"/>
  <c r="O61" i="57"/>
  <c r="O62" i="57"/>
  <c r="O63" i="57"/>
  <c r="O64" i="57"/>
  <c r="O65" i="57"/>
  <c r="O66" i="57"/>
  <c r="O67" i="57"/>
  <c r="O68" i="57"/>
  <c r="O69" i="57"/>
  <c r="O70" i="57"/>
  <c r="O71" i="57"/>
  <c r="O72" i="57"/>
  <c r="O73" i="57"/>
  <c r="O74" i="57"/>
  <c r="O75" i="57"/>
  <c r="O76" i="57"/>
  <c r="O77" i="57"/>
  <c r="O78" i="57"/>
  <c r="O79" i="57"/>
  <c r="O80" i="57"/>
  <c r="O81" i="57"/>
  <c r="O82" i="57"/>
  <c r="O83" i="57"/>
  <c r="O84" i="57"/>
  <c r="O85" i="57"/>
  <c r="O86" i="57"/>
  <c r="O87" i="57"/>
  <c r="O88" i="57"/>
  <c r="O89" i="57"/>
  <c r="O90" i="57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P3" i="57"/>
  <c r="P4" i="57"/>
  <c r="P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E2" i="57"/>
  <c r="F2" i="57" s="1"/>
  <c r="H2" i="57"/>
  <c r="N2" i="57"/>
  <c r="O2" i="57"/>
  <c r="P2" i="57"/>
  <c r="P819" i="57"/>
  <c r="P820" i="57"/>
  <c r="P821" i="57"/>
  <c r="P822" i="57"/>
  <c r="P823" i="57"/>
  <c r="P824" i="57"/>
  <c r="P825" i="57"/>
  <c r="P826" i="57"/>
  <c r="P827" i="57"/>
  <c r="P828" i="57"/>
  <c r="P829" i="57"/>
  <c r="P830" i="57"/>
  <c r="P831" i="57"/>
  <c r="P832" i="57"/>
  <c r="P833" i="57"/>
  <c r="P834" i="57"/>
  <c r="P835" i="57"/>
  <c r="P836" i="57"/>
  <c r="P837" i="57"/>
  <c r="P838" i="57"/>
  <c r="P839" i="57"/>
  <c r="P840" i="57"/>
  <c r="P841" i="57"/>
  <c r="P842" i="57"/>
  <c r="P843" i="57"/>
  <c r="P844" i="57"/>
  <c r="P845" i="57"/>
  <c r="P846" i="57"/>
  <c r="P847" i="57"/>
  <c r="P848" i="57"/>
  <c r="P849" i="57"/>
  <c r="P850" i="57"/>
  <c r="P851" i="57"/>
  <c r="P852" i="57"/>
  <c r="P853" i="57"/>
  <c r="P854" i="57"/>
  <c r="P855" i="57"/>
  <c r="P856" i="57"/>
  <c r="P857" i="57"/>
  <c r="P858" i="57"/>
  <c r="P859" i="57"/>
  <c r="P860" i="57"/>
  <c r="P861" i="57"/>
  <c r="P862" i="57"/>
  <c r="P863" i="57"/>
  <c r="P864" i="57"/>
  <c r="P865" i="57"/>
  <c r="P866" i="57"/>
  <c r="P867" i="57"/>
  <c r="P868" i="57"/>
  <c r="P869" i="57"/>
  <c r="P870" i="57"/>
  <c r="P871" i="57"/>
  <c r="P872" i="57"/>
  <c r="P873" i="57"/>
  <c r="P874" i="57"/>
  <c r="P875" i="57"/>
  <c r="P876" i="57"/>
  <c r="P877" i="57"/>
  <c r="P878" i="57"/>
  <c r="P879" i="57"/>
  <c r="P880" i="57"/>
  <c r="P881" i="57"/>
  <c r="P882" i="57"/>
  <c r="P883" i="57"/>
  <c r="P884" i="57"/>
  <c r="P885" i="57"/>
  <c r="P886" i="57"/>
  <c r="P887" i="57"/>
  <c r="P888" i="57"/>
  <c r="P889" i="57"/>
  <c r="P890" i="57"/>
  <c r="P891" i="57"/>
  <c r="P892" i="57"/>
  <c r="P893" i="57"/>
  <c r="P894" i="57"/>
  <c r="P895" i="57"/>
  <c r="P896" i="57"/>
  <c r="P897" i="57"/>
  <c r="P898" i="57"/>
  <c r="P899" i="57"/>
  <c r="P900" i="57"/>
  <c r="P901" i="57"/>
  <c r="P902" i="57"/>
  <c r="P903" i="57"/>
  <c r="P904" i="57"/>
  <c r="P905" i="57"/>
  <c r="P906" i="57"/>
  <c r="P907" i="57"/>
  <c r="P908" i="57"/>
  <c r="P909" i="57"/>
  <c r="P910" i="57"/>
  <c r="P911" i="57"/>
  <c r="P912" i="57"/>
  <c r="P913" i="57"/>
  <c r="P914" i="57"/>
  <c r="P915" i="57"/>
  <c r="P916" i="57"/>
  <c r="P917" i="57"/>
  <c r="P918" i="57"/>
  <c r="P919" i="57"/>
  <c r="P920" i="57"/>
  <c r="P921" i="57"/>
  <c r="P922" i="57"/>
  <c r="P923" i="57"/>
  <c r="P924" i="57"/>
  <c r="P925" i="57"/>
  <c r="P926" i="57"/>
  <c r="P927" i="57"/>
  <c r="P928" i="57"/>
  <c r="P929" i="57"/>
  <c r="P930" i="57"/>
  <c r="P931" i="57"/>
  <c r="P932" i="57"/>
  <c r="P933" i="57"/>
  <c r="P934" i="57"/>
  <c r="P935" i="57"/>
  <c r="P936" i="57"/>
  <c r="P937" i="57"/>
  <c r="P938" i="57"/>
  <c r="P939" i="57"/>
  <c r="P940" i="57"/>
  <c r="P941" i="57"/>
  <c r="P942" i="57"/>
  <c r="P943" i="57"/>
  <c r="P944" i="57"/>
  <c r="P945" i="57"/>
  <c r="P946" i="57"/>
  <c r="P947" i="57"/>
  <c r="P948" i="57"/>
  <c r="P949" i="57"/>
  <c r="P950" i="57"/>
  <c r="P951" i="57"/>
  <c r="P952" i="57"/>
  <c r="P953" i="57"/>
  <c r="P954" i="57"/>
  <c r="P955" i="57"/>
  <c r="P956" i="57"/>
  <c r="P957" i="57"/>
  <c r="P958" i="57"/>
  <c r="P959" i="57"/>
  <c r="P960" i="57"/>
  <c r="P961" i="57"/>
  <c r="P962" i="57"/>
  <c r="P963" i="57"/>
  <c r="P964" i="57"/>
  <c r="P965" i="57"/>
  <c r="P966" i="57"/>
  <c r="P967" i="57"/>
  <c r="P968" i="57"/>
  <c r="P969" i="57"/>
  <c r="P970" i="57"/>
  <c r="P971" i="57"/>
  <c r="P972" i="57"/>
  <c r="P973" i="57"/>
  <c r="P974" i="57"/>
  <c r="P975" i="57"/>
  <c r="P976" i="57"/>
  <c r="P977" i="57"/>
  <c r="P978" i="57"/>
  <c r="P979" i="57"/>
  <c r="P980" i="57"/>
  <c r="P981" i="57"/>
  <c r="P982" i="57"/>
  <c r="P983" i="57"/>
  <c r="P984" i="57"/>
  <c r="P985" i="57"/>
  <c r="P986" i="57"/>
  <c r="P987" i="57"/>
  <c r="P988" i="57"/>
  <c r="P989" i="57"/>
  <c r="P990" i="57"/>
  <c r="P991" i="57"/>
  <c r="P992" i="57"/>
  <c r="P993" i="57"/>
  <c r="P994" i="57"/>
  <c r="P995" i="57"/>
  <c r="P996" i="57"/>
  <c r="P997" i="57"/>
  <c r="P998" i="57"/>
  <c r="P999" i="57"/>
  <c r="P1000" i="57"/>
  <c r="P1001" i="57"/>
  <c r="P1002" i="57"/>
  <c r="P1003" i="57"/>
  <c r="P1004" i="57"/>
  <c r="P1005" i="57"/>
  <c r="P1006" i="57"/>
  <c r="P1007" i="57"/>
  <c r="P1008" i="57"/>
  <c r="P1009" i="57"/>
  <c r="P1010" i="57"/>
  <c r="P1011" i="57"/>
  <c r="P1012" i="57"/>
  <c r="P1013" i="57"/>
  <c r="P1014" i="57"/>
  <c r="P1015" i="57"/>
  <c r="P1016" i="57"/>
  <c r="P1017" i="57"/>
  <c r="P1018" i="57"/>
  <c r="P1019" i="57"/>
  <c r="P1020" i="57"/>
  <c r="P1021" i="57"/>
  <c r="P1022" i="57"/>
  <c r="P1023" i="57"/>
  <c r="P1024" i="57"/>
  <c r="P1025" i="57"/>
  <c r="P1026" i="57"/>
  <c r="P1027" i="57"/>
  <c r="P1028" i="57"/>
  <c r="P1029" i="57"/>
  <c r="P1030" i="57"/>
  <c r="P1031" i="57"/>
  <c r="P1032" i="57"/>
  <c r="P1033" i="57"/>
  <c r="P1034" i="57"/>
  <c r="P1035" i="57"/>
  <c r="P1036" i="57"/>
  <c r="P1037" i="57"/>
  <c r="P1038" i="57"/>
  <c r="P1039" i="57"/>
  <c r="P1040" i="57"/>
  <c r="P1041" i="57"/>
  <c r="P1042" i="57"/>
  <c r="P1043" i="57"/>
  <c r="P1044" i="57"/>
  <c r="P1045" i="57"/>
  <c r="P1046" i="57"/>
  <c r="P1047" i="57"/>
  <c r="P1048" i="57"/>
  <c r="P1049" i="57"/>
  <c r="P1050" i="57"/>
  <c r="P1051" i="57"/>
  <c r="P1052" i="57"/>
  <c r="P1053" i="57"/>
  <c r="P1054" i="57"/>
  <c r="P1055" i="57"/>
  <c r="P1056" i="57"/>
  <c r="P1057" i="57"/>
  <c r="P1058" i="57"/>
  <c r="P1059" i="57"/>
  <c r="P1060" i="57"/>
  <c r="P1061" i="57"/>
  <c r="P1062" i="57"/>
  <c r="P1063" i="57"/>
  <c r="P1064" i="57"/>
  <c r="P1065" i="57"/>
  <c r="P1066" i="57"/>
  <c r="P1067" i="57"/>
  <c r="P1068" i="57"/>
  <c r="P1069" i="57"/>
  <c r="P1070" i="57"/>
  <c r="P1071" i="57"/>
  <c r="P1072" i="57"/>
  <c r="P1073" i="57"/>
  <c r="P1074" i="57"/>
  <c r="P1075" i="57"/>
  <c r="P1076" i="57"/>
  <c r="P1077" i="57"/>
  <c r="P1078" i="57"/>
  <c r="P1079" i="57"/>
  <c r="P1080" i="57"/>
  <c r="P1081" i="57"/>
  <c r="P1082" i="57"/>
  <c r="P1083" i="57"/>
  <c r="P1084" i="57"/>
  <c r="P1085" i="57"/>
  <c r="P1086" i="57"/>
  <c r="P1087" i="57"/>
  <c r="P1088" i="57"/>
  <c r="P1089" i="57"/>
  <c r="P1090" i="57"/>
  <c r="P1091" i="57"/>
  <c r="P1092" i="57"/>
  <c r="P1093" i="57"/>
  <c r="P1094" i="57"/>
  <c r="P1095" i="57"/>
  <c r="P1096" i="57"/>
  <c r="P1097" i="57"/>
  <c r="P1098" i="57"/>
  <c r="P1099" i="57"/>
  <c r="P1100" i="57"/>
  <c r="P1101" i="57"/>
  <c r="P1102" i="57"/>
  <c r="P1103" i="57"/>
  <c r="P1104" i="57"/>
  <c r="P1105" i="57"/>
  <c r="P1106" i="57"/>
  <c r="P1107" i="57"/>
  <c r="P1108" i="57"/>
  <c r="P1109" i="57"/>
  <c r="P1110" i="57"/>
  <c r="P1111" i="57"/>
  <c r="P1112" i="57"/>
  <c r="P1113" i="57"/>
  <c r="P1114" i="57"/>
  <c r="P1115" i="57"/>
  <c r="P1116" i="57"/>
  <c r="P1117" i="57"/>
  <c r="P1118" i="57"/>
  <c r="P1119" i="57"/>
  <c r="P1120" i="57"/>
  <c r="P1121" i="57"/>
  <c r="P1122" i="57"/>
  <c r="P1123" i="57"/>
  <c r="P1124" i="57"/>
  <c r="P1125" i="57"/>
  <c r="O819" i="57"/>
  <c r="O820" i="57"/>
  <c r="O821" i="57"/>
  <c r="O822" i="57"/>
  <c r="O823" i="57"/>
  <c r="O824" i="57"/>
  <c r="O825" i="57"/>
  <c r="O826" i="57"/>
  <c r="O827" i="57"/>
  <c r="O828" i="57"/>
  <c r="O829" i="57"/>
  <c r="O830" i="57"/>
  <c r="O831" i="57"/>
  <c r="O832" i="57"/>
  <c r="O833" i="57"/>
  <c r="O834" i="57"/>
  <c r="O835" i="57"/>
  <c r="O836" i="57"/>
  <c r="O837" i="57"/>
  <c r="O838" i="57"/>
  <c r="O839" i="57"/>
  <c r="O840" i="57"/>
  <c r="O841" i="57"/>
  <c r="O842" i="57"/>
  <c r="O843" i="57"/>
  <c r="O844" i="57"/>
  <c r="O845" i="57"/>
  <c r="O846" i="57"/>
  <c r="O847" i="57"/>
  <c r="O848" i="57"/>
  <c r="O849" i="57"/>
  <c r="O850" i="57"/>
  <c r="O851" i="57"/>
  <c r="O852" i="57"/>
  <c r="O853" i="57"/>
  <c r="O854" i="57"/>
  <c r="O855" i="57"/>
  <c r="O856" i="57"/>
  <c r="O857" i="57"/>
  <c r="O858" i="57"/>
  <c r="O859" i="57"/>
  <c r="O860" i="57"/>
  <c r="O861" i="57"/>
  <c r="O862" i="57"/>
  <c r="O863" i="57"/>
  <c r="O864" i="57"/>
  <c r="O865" i="57"/>
  <c r="O866" i="57"/>
  <c r="O867" i="57"/>
  <c r="O868" i="57"/>
  <c r="O869" i="57"/>
  <c r="O870" i="57"/>
  <c r="O871" i="57"/>
  <c r="O872" i="57"/>
  <c r="O873" i="57"/>
  <c r="O874" i="57"/>
  <c r="O875" i="57"/>
  <c r="O876" i="57"/>
  <c r="O877" i="57"/>
  <c r="O878" i="57"/>
  <c r="O879" i="57"/>
  <c r="O880" i="57"/>
  <c r="O881" i="57"/>
  <c r="O882" i="57"/>
  <c r="O883" i="57"/>
  <c r="O884" i="57"/>
  <c r="O885" i="57"/>
  <c r="O886" i="57"/>
  <c r="O887" i="57"/>
  <c r="O888" i="57"/>
  <c r="O889" i="57"/>
  <c r="O890" i="57"/>
  <c r="O891" i="57"/>
  <c r="O892" i="57"/>
  <c r="O893" i="57"/>
  <c r="O894" i="57"/>
  <c r="O895" i="57"/>
  <c r="O896" i="57"/>
  <c r="O897" i="57"/>
  <c r="O898" i="57"/>
  <c r="O899" i="57"/>
  <c r="O900" i="57"/>
  <c r="O901" i="57"/>
  <c r="O902" i="57"/>
  <c r="O903" i="57"/>
  <c r="O904" i="57"/>
  <c r="O905" i="57"/>
  <c r="O906" i="57"/>
  <c r="O907" i="57"/>
  <c r="O908" i="57"/>
  <c r="O909" i="57"/>
  <c r="O910" i="57"/>
  <c r="O911" i="57"/>
  <c r="O912" i="57"/>
  <c r="O913" i="57"/>
  <c r="O914" i="57"/>
  <c r="O915" i="57"/>
  <c r="O916" i="57"/>
  <c r="O917" i="57"/>
  <c r="O918" i="57"/>
  <c r="O919" i="57"/>
  <c r="O920" i="57"/>
  <c r="O921" i="57"/>
  <c r="O922" i="57"/>
  <c r="O923" i="57"/>
  <c r="O924" i="57"/>
  <c r="O925" i="57"/>
  <c r="O926" i="57"/>
  <c r="O927" i="57"/>
  <c r="O928" i="57"/>
  <c r="O929" i="57"/>
  <c r="O930" i="57"/>
  <c r="O931" i="57"/>
  <c r="O932" i="57"/>
  <c r="O933" i="57"/>
  <c r="O934" i="57"/>
  <c r="O935" i="57"/>
  <c r="O936" i="57"/>
  <c r="O937" i="57"/>
  <c r="O938" i="57"/>
  <c r="O939" i="57"/>
  <c r="O940" i="57"/>
  <c r="O941" i="57"/>
  <c r="O942" i="57"/>
  <c r="O943" i="57"/>
  <c r="O944" i="57"/>
  <c r="O945" i="57"/>
  <c r="O946" i="57"/>
  <c r="O947" i="57"/>
  <c r="O948" i="57"/>
  <c r="O949" i="57"/>
  <c r="O950" i="57"/>
  <c r="O951" i="57"/>
  <c r="O952" i="57"/>
  <c r="O953" i="57"/>
  <c r="O954" i="57"/>
  <c r="O955" i="57"/>
  <c r="O956" i="57"/>
  <c r="O957" i="57"/>
  <c r="O958" i="57"/>
  <c r="O959" i="57"/>
  <c r="O960" i="57"/>
  <c r="O961" i="57"/>
  <c r="O962" i="57"/>
  <c r="O963" i="57"/>
  <c r="O964" i="57"/>
  <c r="O965" i="57"/>
  <c r="O966" i="57"/>
  <c r="O967" i="57"/>
  <c r="O968" i="57"/>
  <c r="O969" i="57"/>
  <c r="O970" i="57"/>
  <c r="O971" i="57"/>
  <c r="O972" i="57"/>
  <c r="O973" i="57"/>
  <c r="O974" i="57"/>
  <c r="O975" i="57"/>
  <c r="O976" i="57"/>
  <c r="O977" i="57"/>
  <c r="O978" i="57"/>
  <c r="O979" i="57"/>
  <c r="O980" i="57"/>
  <c r="O981" i="57"/>
  <c r="O982" i="57"/>
  <c r="O983" i="57"/>
  <c r="O984" i="57"/>
  <c r="O985" i="57"/>
  <c r="O986" i="57"/>
  <c r="O987" i="57"/>
  <c r="O988" i="57"/>
  <c r="O989" i="57"/>
  <c r="O990" i="57"/>
  <c r="O991" i="57"/>
  <c r="O992" i="57"/>
  <c r="O993" i="57"/>
  <c r="O994" i="57"/>
  <c r="O995" i="57"/>
  <c r="O996" i="57"/>
  <c r="O997" i="57"/>
  <c r="O998" i="57"/>
  <c r="O999" i="57"/>
  <c r="O1000" i="57"/>
  <c r="O1001" i="57"/>
  <c r="O1002" i="57"/>
  <c r="O1003" i="57"/>
  <c r="O1004" i="57"/>
  <c r="O1005" i="57"/>
  <c r="O1006" i="57"/>
  <c r="O1007" i="57"/>
  <c r="O1008" i="57"/>
  <c r="O1009" i="57"/>
  <c r="O1010" i="57"/>
  <c r="O1011" i="57"/>
  <c r="O1012" i="57"/>
  <c r="O1013" i="57"/>
  <c r="O1014" i="57"/>
  <c r="O1015" i="57"/>
  <c r="O1016" i="57"/>
  <c r="O1017" i="57"/>
  <c r="O1018" i="57"/>
  <c r="O1019" i="57"/>
  <c r="O1020" i="57"/>
  <c r="O1021" i="57"/>
  <c r="O1022" i="57"/>
  <c r="O1023" i="57"/>
  <c r="O1024" i="57"/>
  <c r="O1025" i="57"/>
  <c r="O1026" i="57"/>
  <c r="O1027" i="57"/>
  <c r="O1028" i="57"/>
  <c r="O1029" i="57"/>
  <c r="O1030" i="57"/>
  <c r="O1031" i="57"/>
  <c r="O1032" i="57"/>
  <c r="O1033" i="57"/>
  <c r="O1034" i="57"/>
  <c r="O1035" i="57"/>
  <c r="O1036" i="57"/>
  <c r="O1037" i="57"/>
  <c r="O1038" i="57"/>
  <c r="O1039" i="57"/>
  <c r="O1040" i="57"/>
  <c r="O1041" i="57"/>
  <c r="O1042" i="57"/>
  <c r="O1043" i="57"/>
  <c r="O1044" i="57"/>
  <c r="O1045" i="57"/>
  <c r="O1046" i="57"/>
  <c r="O1047" i="57"/>
  <c r="O1048" i="57"/>
  <c r="O1049" i="57"/>
  <c r="O1050" i="57"/>
  <c r="O1051" i="57"/>
  <c r="O1052" i="57"/>
  <c r="O1053" i="57"/>
  <c r="O1054" i="57"/>
  <c r="O1055" i="57"/>
  <c r="O1056" i="57"/>
  <c r="O1057" i="57"/>
  <c r="O1058" i="57"/>
  <c r="O1059" i="57"/>
  <c r="O1060" i="57"/>
  <c r="O1061" i="57"/>
  <c r="O1062" i="57"/>
  <c r="O1063" i="57"/>
  <c r="O1064" i="57"/>
  <c r="O1065" i="57"/>
  <c r="O1066" i="57"/>
  <c r="O1067" i="57"/>
  <c r="O1068" i="57"/>
  <c r="O1069" i="57"/>
  <c r="O1070" i="57"/>
  <c r="O1071" i="57"/>
  <c r="O1072" i="57"/>
  <c r="O1073" i="57"/>
  <c r="O1074" i="57"/>
  <c r="O1075" i="57"/>
  <c r="O1076" i="57"/>
  <c r="O1077" i="57"/>
  <c r="O1078" i="57"/>
  <c r="O1079" i="57"/>
  <c r="O1080" i="57"/>
  <c r="O1081" i="57"/>
  <c r="O1082" i="57"/>
  <c r="O1083" i="57"/>
  <c r="O1084" i="57"/>
  <c r="O1085" i="57"/>
  <c r="O1086" i="57"/>
  <c r="O1087" i="57"/>
  <c r="O1088" i="57"/>
  <c r="O1089" i="57"/>
  <c r="O1090" i="57"/>
  <c r="O1091" i="57"/>
  <c r="O1092" i="57"/>
  <c r="O1093" i="57"/>
  <c r="O1094" i="57"/>
  <c r="O1095" i="57"/>
  <c r="O1096" i="57"/>
  <c r="O1097" i="57"/>
  <c r="O1098" i="57"/>
  <c r="O1099" i="57"/>
  <c r="O1100" i="57"/>
  <c r="O1101" i="57"/>
  <c r="O1102" i="57"/>
  <c r="O1103" i="57"/>
  <c r="O1104" i="57"/>
  <c r="O1105" i="57"/>
  <c r="O1106" i="57"/>
  <c r="O1107" i="57"/>
  <c r="O1108" i="57"/>
  <c r="O1109" i="57"/>
  <c r="O1110" i="57"/>
  <c r="O1111" i="57"/>
  <c r="O1112" i="57"/>
  <c r="O1113" i="57"/>
  <c r="O1114" i="57"/>
  <c r="O1115" i="57"/>
  <c r="O1116" i="57"/>
  <c r="O1117" i="57"/>
  <c r="O1118" i="57"/>
  <c r="O1119" i="57"/>
  <c r="O1120" i="57"/>
  <c r="O1121" i="57"/>
  <c r="O1122" i="57"/>
  <c r="O1123" i="57"/>
  <c r="O1124" i="57"/>
  <c r="O1125" i="57"/>
  <c r="N819" i="57"/>
  <c r="N820" i="57"/>
  <c r="N821" i="57"/>
  <c r="N822" i="57"/>
  <c r="N823" i="57"/>
  <c r="N824" i="57"/>
  <c r="N825" i="57"/>
  <c r="N826" i="57"/>
  <c r="N827" i="57"/>
  <c r="N828" i="57"/>
  <c r="N829" i="57"/>
  <c r="N830" i="57"/>
  <c r="N831" i="57"/>
  <c r="N832" i="57"/>
  <c r="N833" i="57"/>
  <c r="N834" i="57"/>
  <c r="N835" i="57"/>
  <c r="N836" i="57"/>
  <c r="N837" i="57"/>
  <c r="N838" i="57"/>
  <c r="N839" i="57"/>
  <c r="N840" i="57"/>
  <c r="N841" i="57"/>
  <c r="N842" i="57"/>
  <c r="N843" i="57"/>
  <c r="N844" i="57"/>
  <c r="N845" i="57"/>
  <c r="N846" i="57"/>
  <c r="N847" i="57"/>
  <c r="N848" i="57"/>
  <c r="N849" i="57"/>
  <c r="N850" i="57"/>
  <c r="N851" i="57"/>
  <c r="N852" i="57"/>
  <c r="N853" i="57"/>
  <c r="N854" i="57"/>
  <c r="N855" i="57"/>
  <c r="N856" i="57"/>
  <c r="N857" i="57"/>
  <c r="N858" i="57"/>
  <c r="N859" i="57"/>
  <c r="N860" i="57"/>
  <c r="N861" i="57"/>
  <c r="N862" i="57"/>
  <c r="N863" i="57"/>
  <c r="N864" i="57"/>
  <c r="N865" i="57"/>
  <c r="N866" i="57"/>
  <c r="N867" i="57"/>
  <c r="N868" i="57"/>
  <c r="N869" i="57"/>
  <c r="N870" i="57"/>
  <c r="N871" i="57"/>
  <c r="N872" i="57"/>
  <c r="N873" i="57"/>
  <c r="N874" i="57"/>
  <c r="N875" i="57"/>
  <c r="N876" i="57"/>
  <c r="N877" i="57"/>
  <c r="N878" i="57"/>
  <c r="N879" i="57"/>
  <c r="N880" i="57"/>
  <c r="N881" i="57"/>
  <c r="N882" i="57"/>
  <c r="N883" i="57"/>
  <c r="N884" i="57"/>
  <c r="N885" i="57"/>
  <c r="N886" i="57"/>
  <c r="N887" i="57"/>
  <c r="N888" i="57"/>
  <c r="N889" i="57"/>
  <c r="N890" i="57"/>
  <c r="N891" i="57"/>
  <c r="N892" i="57"/>
  <c r="N893" i="57"/>
  <c r="N894" i="57"/>
  <c r="N895" i="57"/>
  <c r="N896" i="57"/>
  <c r="N897" i="57"/>
  <c r="N898" i="57"/>
  <c r="N899" i="57"/>
  <c r="N900" i="57"/>
  <c r="N901" i="57"/>
  <c r="N902" i="57"/>
  <c r="N903" i="57"/>
  <c r="N904" i="57"/>
  <c r="N905" i="57"/>
  <c r="N906" i="57"/>
  <c r="N907" i="57"/>
  <c r="N908" i="57"/>
  <c r="N909" i="57"/>
  <c r="N910" i="57"/>
  <c r="N911" i="57"/>
  <c r="N912" i="57"/>
  <c r="N913" i="57"/>
  <c r="N914" i="57"/>
  <c r="N915" i="57"/>
  <c r="N916" i="57"/>
  <c r="N917" i="57"/>
  <c r="N918" i="57"/>
  <c r="N919" i="57"/>
  <c r="N920" i="57"/>
  <c r="N921" i="57"/>
  <c r="N922" i="57"/>
  <c r="N923" i="57"/>
  <c r="N924" i="57"/>
  <c r="N925" i="57"/>
  <c r="N926" i="57"/>
  <c r="N927" i="57"/>
  <c r="N928" i="57"/>
  <c r="N929" i="57"/>
  <c r="N930" i="57"/>
  <c r="N931" i="57"/>
  <c r="N932" i="57"/>
  <c r="N933" i="57"/>
  <c r="N934" i="57"/>
  <c r="N935" i="57"/>
  <c r="N936" i="57"/>
  <c r="N937" i="57"/>
  <c r="N938" i="57"/>
  <c r="N939" i="57"/>
  <c r="N940" i="57"/>
  <c r="N941" i="57"/>
  <c r="N942" i="57"/>
  <c r="N943" i="57"/>
  <c r="N944" i="57"/>
  <c r="N945" i="57"/>
  <c r="N946" i="57"/>
  <c r="N947" i="57"/>
  <c r="N948" i="57"/>
  <c r="N949" i="57"/>
  <c r="N950" i="57"/>
  <c r="N951" i="57"/>
  <c r="N952" i="57"/>
  <c r="N953" i="57"/>
  <c r="N954" i="57"/>
  <c r="N955" i="57"/>
  <c r="N956" i="57"/>
  <c r="N957" i="57"/>
  <c r="N958" i="57"/>
  <c r="N959" i="57"/>
  <c r="N960" i="57"/>
  <c r="N961" i="57"/>
  <c r="N962" i="57"/>
  <c r="N963" i="57"/>
  <c r="N964" i="57"/>
  <c r="N965" i="57"/>
  <c r="N966" i="57"/>
  <c r="N967" i="57"/>
  <c r="N968" i="57"/>
  <c r="N969" i="57"/>
  <c r="N970" i="57"/>
  <c r="N971" i="57"/>
  <c r="N972" i="57"/>
  <c r="N973" i="57"/>
  <c r="N974" i="57"/>
  <c r="N975" i="57"/>
  <c r="N976" i="57"/>
  <c r="N977" i="57"/>
  <c r="N978" i="57"/>
  <c r="N979" i="57"/>
  <c r="N980" i="57"/>
  <c r="N981" i="57"/>
  <c r="N982" i="57"/>
  <c r="N983" i="57"/>
  <c r="N984" i="57"/>
  <c r="N985" i="57"/>
  <c r="N986" i="57"/>
  <c r="N987" i="57"/>
  <c r="N988" i="57"/>
  <c r="N989" i="57"/>
  <c r="N990" i="57"/>
  <c r="N991" i="57"/>
  <c r="N992" i="57"/>
  <c r="N993" i="57"/>
  <c r="N994" i="57"/>
  <c r="N995" i="57"/>
  <c r="N996" i="57"/>
  <c r="N997" i="57"/>
  <c r="N998" i="57"/>
  <c r="N999" i="57"/>
  <c r="N1000" i="57"/>
  <c r="N1001" i="57"/>
  <c r="N1002" i="57"/>
  <c r="N1003" i="57"/>
  <c r="N1004" i="57"/>
  <c r="N1005" i="57"/>
  <c r="N1006" i="57"/>
  <c r="N1007" i="57"/>
  <c r="N1008" i="57"/>
  <c r="N1009" i="57"/>
  <c r="N1010" i="57"/>
  <c r="N1011" i="57"/>
  <c r="N1012" i="57"/>
  <c r="N1013" i="57"/>
  <c r="N1014" i="57"/>
  <c r="N1015" i="57"/>
  <c r="N1016" i="57"/>
  <c r="N1017" i="57"/>
  <c r="N1018" i="57"/>
  <c r="N1019" i="57"/>
  <c r="N1020" i="57"/>
  <c r="N1021" i="57"/>
  <c r="N1022" i="57"/>
  <c r="N1023" i="57"/>
  <c r="N1024" i="57"/>
  <c r="N1025" i="57"/>
  <c r="N1026" i="57"/>
  <c r="N1027" i="57"/>
  <c r="N1028" i="57"/>
  <c r="N1029" i="57"/>
  <c r="N1030" i="57"/>
  <c r="N1031" i="57"/>
  <c r="N1032" i="57"/>
  <c r="N1033" i="57"/>
  <c r="N1034" i="57"/>
  <c r="N1035" i="57"/>
  <c r="N1036" i="57"/>
  <c r="N1037" i="57"/>
  <c r="N1038" i="57"/>
  <c r="N1039" i="57"/>
  <c r="N1040" i="57"/>
  <c r="N1041" i="57"/>
  <c r="N1042" i="57"/>
  <c r="N1043" i="57"/>
  <c r="N1044" i="57"/>
  <c r="N1045" i="57"/>
  <c r="N1046" i="57"/>
  <c r="N1047" i="57"/>
  <c r="N1048" i="57"/>
  <c r="N1049" i="57"/>
  <c r="N1050" i="57"/>
  <c r="N1051" i="57"/>
  <c r="N1052" i="57"/>
  <c r="N1053" i="57"/>
  <c r="N1054" i="57"/>
  <c r="N1055" i="57"/>
  <c r="N1056" i="57"/>
  <c r="N1057" i="57"/>
  <c r="N1058" i="57"/>
  <c r="N1059" i="57"/>
  <c r="N1060" i="57"/>
  <c r="N1061" i="57"/>
  <c r="N1062" i="57"/>
  <c r="N1063" i="57"/>
  <c r="N1064" i="57"/>
  <c r="N1065" i="57"/>
  <c r="N1066" i="57"/>
  <c r="N1067" i="57"/>
  <c r="N1068" i="57"/>
  <c r="N1069" i="57"/>
  <c r="N1070" i="57"/>
  <c r="N1071" i="57"/>
  <c r="N1072" i="57"/>
  <c r="N1073" i="57"/>
  <c r="N1074" i="57"/>
  <c r="N1075" i="57"/>
  <c r="N1076" i="57"/>
  <c r="N1077" i="57"/>
  <c r="N1078" i="57"/>
  <c r="N1079" i="57"/>
  <c r="N1080" i="57"/>
  <c r="N1081" i="57"/>
  <c r="N1082" i="57"/>
  <c r="N1083" i="57"/>
  <c r="N1084" i="57"/>
  <c r="N1085" i="57"/>
  <c r="N1086" i="57"/>
  <c r="N1087" i="57"/>
  <c r="N1088" i="57"/>
  <c r="N1089" i="57"/>
  <c r="N1090" i="57"/>
  <c r="N1091" i="57"/>
  <c r="N1092" i="57"/>
  <c r="N1093" i="57"/>
  <c r="N1094" i="57"/>
  <c r="N1095" i="57"/>
  <c r="N1096" i="57"/>
  <c r="N1097" i="57"/>
  <c r="N1098" i="57"/>
  <c r="N1099" i="57"/>
  <c r="N1100" i="57"/>
  <c r="N1101" i="57"/>
  <c r="N1102" i="57"/>
  <c r="N1103" i="57"/>
  <c r="N1104" i="57"/>
  <c r="N1105" i="57"/>
  <c r="N1106" i="57"/>
  <c r="N1107" i="57"/>
  <c r="N1108" i="57"/>
  <c r="N1109" i="57"/>
  <c r="N1110" i="57"/>
  <c r="N1111" i="57"/>
  <c r="N1112" i="57"/>
  <c r="N1113" i="57"/>
  <c r="N1114" i="57"/>
  <c r="N1115" i="57"/>
  <c r="N1116" i="57"/>
  <c r="N1117" i="57"/>
  <c r="N1118" i="57"/>
  <c r="N1119" i="57"/>
  <c r="N1120" i="57"/>
  <c r="N1121" i="57"/>
  <c r="N1122" i="57"/>
  <c r="N1123" i="57"/>
  <c r="N1124" i="57"/>
  <c r="N1125" i="57"/>
  <c r="E1125" i="57"/>
  <c r="F1125" i="57" s="1"/>
  <c r="H1125" i="57"/>
  <c r="E1124" i="57"/>
  <c r="F1124" i="57" s="1"/>
  <c r="H1124" i="57"/>
  <c r="E1123" i="57"/>
  <c r="F1123" i="57" s="1"/>
  <c r="H1123" i="57"/>
  <c r="E1122" i="57"/>
  <c r="F1122" i="57" s="1"/>
  <c r="F168" i="36" s="1"/>
  <c r="I168" i="36" s="1"/>
  <c r="H1122" i="57"/>
  <c r="H219" i="50"/>
  <c r="M219" i="50"/>
  <c r="E1121" i="57"/>
  <c r="F1121" i="57" s="1"/>
  <c r="H1121" i="57"/>
  <c r="E1120" i="57"/>
  <c r="F1120" i="57" s="1"/>
  <c r="H1120" i="57"/>
  <c r="E1119" i="57"/>
  <c r="F1119" i="57" s="1"/>
  <c r="H1119" i="57"/>
  <c r="E1118" i="57"/>
  <c r="F1118" i="57" s="1"/>
  <c r="H1118" i="57"/>
  <c r="E1117" i="57"/>
  <c r="F1117" i="57" s="1"/>
  <c r="H1117" i="57"/>
  <c r="E1116" i="57"/>
  <c r="F1116" i="57" s="1"/>
  <c r="H1116" i="57"/>
  <c r="E1115" i="57"/>
  <c r="F1115" i="57" s="1"/>
  <c r="H1115" i="57"/>
  <c r="E1114" i="57"/>
  <c r="F1114" i="57" s="1"/>
  <c r="H1114" i="57"/>
  <c r="E1113" i="57"/>
  <c r="F1113" i="57" s="1"/>
  <c r="F165" i="36" s="1"/>
  <c r="I165" i="36" s="1"/>
  <c r="H1113" i="57"/>
  <c r="H218" i="50"/>
  <c r="M218" i="50"/>
  <c r="H217" i="50"/>
  <c r="M217" i="50"/>
  <c r="H216" i="50"/>
  <c r="M216" i="50"/>
  <c r="E1112" i="57"/>
  <c r="F1112" i="57" s="1"/>
  <c r="H1112" i="57"/>
  <c r="E1111" i="57"/>
  <c r="F1111" i="57" s="1"/>
  <c r="H1111" i="57"/>
  <c r="E1110" i="57"/>
  <c r="F1110" i="57" s="1"/>
  <c r="H1110" i="57"/>
  <c r="E1109" i="57"/>
  <c r="F1109" i="57" s="1"/>
  <c r="H1109" i="57"/>
  <c r="E1108" i="57"/>
  <c r="F1108" i="57" s="1"/>
  <c r="H1108" i="57"/>
  <c r="E1107" i="57"/>
  <c r="F1107" i="57" s="1"/>
  <c r="H1107" i="57"/>
  <c r="K30" i="56" s="1"/>
  <c r="E1106" i="57"/>
  <c r="F1106" i="57" s="1"/>
  <c r="H1106" i="57"/>
  <c r="E1105" i="57"/>
  <c r="F1105" i="57" s="1"/>
  <c r="H1105" i="57"/>
  <c r="E1104" i="57"/>
  <c r="F1104" i="57" s="1"/>
  <c r="H1104" i="57"/>
  <c r="H215" i="50"/>
  <c r="M215" i="50"/>
  <c r="H214" i="50"/>
  <c r="M214" i="50"/>
  <c r="H213" i="50"/>
  <c r="M213" i="50"/>
  <c r="E1100" i="57"/>
  <c r="E1101" i="57"/>
  <c r="E1102" i="57"/>
  <c r="F1102" i="57" s="1"/>
  <c r="E1103" i="57"/>
  <c r="F1103" i="57" s="1"/>
  <c r="F1100" i="57"/>
  <c r="F1101" i="57"/>
  <c r="H1100" i="57"/>
  <c r="H1101" i="57"/>
  <c r="H1102" i="57"/>
  <c r="H1103" i="57"/>
  <c r="H212" i="50"/>
  <c r="M212" i="50"/>
  <c r="E1099" i="57"/>
  <c r="F1099" i="57" s="1"/>
  <c r="H1099" i="57"/>
  <c r="E1098" i="57"/>
  <c r="F1098" i="57" s="1"/>
  <c r="H1098" i="57"/>
  <c r="E1097" i="57"/>
  <c r="F1097" i="57" s="1"/>
  <c r="H1097" i="57"/>
  <c r="E1096" i="57"/>
  <c r="F1096" i="57" s="1"/>
  <c r="H1096" i="57"/>
  <c r="H211" i="50"/>
  <c r="M211" i="50"/>
  <c r="H210" i="50"/>
  <c r="J30" i="56" s="1"/>
  <c r="M210" i="50"/>
  <c r="E1095" i="57"/>
  <c r="F1095" i="57" s="1"/>
  <c r="H1095" i="57"/>
  <c r="E1094" i="57"/>
  <c r="F1094" i="57" s="1"/>
  <c r="H1094" i="57"/>
  <c r="E1093" i="57"/>
  <c r="F1093" i="57" s="1"/>
  <c r="H1093" i="57"/>
  <c r="E1092" i="57"/>
  <c r="F1092" i="57" s="1"/>
  <c r="H1092" i="57"/>
  <c r="E1091" i="57"/>
  <c r="F1091" i="57" s="1"/>
  <c r="H1091" i="57"/>
  <c r="E1090" i="57"/>
  <c r="F1090" i="57" s="1"/>
  <c r="H1090" i="57"/>
  <c r="H209" i="50"/>
  <c r="M209" i="50"/>
  <c r="D28" i="56"/>
  <c r="E28" i="56"/>
  <c r="F28" i="56"/>
  <c r="G28" i="56"/>
  <c r="H28" i="56"/>
  <c r="E1086" i="57"/>
  <c r="F1086" i="57" s="1"/>
  <c r="E1087" i="57"/>
  <c r="F1087" i="57" s="1"/>
  <c r="E1088" i="57"/>
  <c r="F1088" i="57" s="1"/>
  <c r="E1089" i="57"/>
  <c r="F1089" i="57" s="1"/>
  <c r="H1086" i="57"/>
  <c r="H1087" i="57"/>
  <c r="H1088" i="57"/>
  <c r="H1089" i="57"/>
  <c r="H207" i="50"/>
  <c r="H208" i="50"/>
  <c r="M207" i="50"/>
  <c r="M208" i="50"/>
  <c r="H206" i="50"/>
  <c r="M206" i="50"/>
  <c r="E1085" i="57"/>
  <c r="F1085" i="57" s="1"/>
  <c r="H1085" i="57"/>
  <c r="E1084" i="57"/>
  <c r="F1084" i="57" s="1"/>
  <c r="H1084" i="57"/>
  <c r="E1083" i="57"/>
  <c r="F1083" i="57" s="1"/>
  <c r="H1083" i="57"/>
  <c r="E1082" i="57"/>
  <c r="F1082" i="57" s="1"/>
  <c r="H1082" i="57"/>
  <c r="E915" i="57"/>
  <c r="F915" i="57" s="1"/>
  <c r="H915" i="57"/>
  <c r="E1081" i="57"/>
  <c r="F1081" i="57" s="1"/>
  <c r="H1081" i="57"/>
  <c r="E1080" i="57"/>
  <c r="F1080" i="57" s="1"/>
  <c r="H1080" i="57"/>
  <c r="E1079" i="57"/>
  <c r="F1079" i="57" s="1"/>
  <c r="H1079" i="57"/>
  <c r="E1078" i="57"/>
  <c r="F1078" i="57" s="1"/>
  <c r="H1078" i="57"/>
  <c r="E1077" i="57"/>
  <c r="F1077" i="57" s="1"/>
  <c r="F151" i="36" s="1"/>
  <c r="I151" i="36" s="1"/>
  <c r="H1077" i="57"/>
  <c r="H204" i="50"/>
  <c r="H205" i="50"/>
  <c r="M204" i="50"/>
  <c r="M205" i="50"/>
  <c r="H202" i="50"/>
  <c r="H203" i="50"/>
  <c r="M202" i="50"/>
  <c r="M203" i="50"/>
  <c r="H201" i="50"/>
  <c r="M201" i="50"/>
  <c r="H200" i="50"/>
  <c r="M200" i="50"/>
  <c r="H199" i="50"/>
  <c r="M199" i="50"/>
  <c r="H198" i="50"/>
  <c r="M198" i="50"/>
  <c r="D27" i="56"/>
  <c r="E27" i="56"/>
  <c r="F27" i="56"/>
  <c r="G27" i="56"/>
  <c r="H27" i="56"/>
  <c r="E1076" i="57"/>
  <c r="F1076" i="57" s="1"/>
  <c r="H1076" i="57"/>
  <c r="E1075" i="57"/>
  <c r="F1075" i="57" s="1"/>
  <c r="H1075" i="57"/>
  <c r="H197" i="50"/>
  <c r="M197" i="50"/>
  <c r="K8" i="74"/>
  <c r="H196" i="50"/>
  <c r="M196" i="50"/>
  <c r="E1074" i="57"/>
  <c r="F1074" i="57" s="1"/>
  <c r="H1074" i="57"/>
  <c r="E1073" i="57"/>
  <c r="F1073" i="57" s="1"/>
  <c r="H1073" i="57"/>
  <c r="E1072" i="57"/>
  <c r="F1072" i="57" s="1"/>
  <c r="H1072" i="57"/>
  <c r="E1071" i="57"/>
  <c r="F1071" i="57" s="1"/>
  <c r="H1071" i="57"/>
  <c r="E1067" i="57"/>
  <c r="F1067" i="57" s="1"/>
  <c r="E1068" i="57"/>
  <c r="F1068" i="57" s="1"/>
  <c r="E1069" i="57"/>
  <c r="F1069" i="57" s="1"/>
  <c r="E1070" i="57"/>
  <c r="F1070" i="57" s="1"/>
  <c r="H1067" i="57"/>
  <c r="H1068" i="57"/>
  <c r="H1069" i="57"/>
  <c r="H1070" i="57"/>
  <c r="H195" i="50"/>
  <c r="M195" i="50"/>
  <c r="E1064" i="57"/>
  <c r="F1064" i="57" s="1"/>
  <c r="E1065" i="57"/>
  <c r="F1065" i="57" s="1"/>
  <c r="E1066" i="57"/>
  <c r="F1066" i="57" s="1"/>
  <c r="H1064" i="57"/>
  <c r="H1065" i="57"/>
  <c r="H1066" i="57"/>
  <c r="E1063" i="57"/>
  <c r="F1063" i="57" s="1"/>
  <c r="H1063" i="57"/>
  <c r="E1062" i="57"/>
  <c r="F1062" i="57" s="1"/>
  <c r="H1062" i="57"/>
  <c r="E1061" i="57"/>
  <c r="F1061" i="57" s="1"/>
  <c r="H1061" i="57"/>
  <c r="E1060" i="57"/>
  <c r="F1060" i="57" s="1"/>
  <c r="H1060" i="57"/>
  <c r="E1059" i="57"/>
  <c r="F1059" i="57" s="1"/>
  <c r="H1059" i="57"/>
  <c r="E1058" i="57"/>
  <c r="F1058" i="57" s="1"/>
  <c r="H1058" i="57"/>
  <c r="E1057" i="57"/>
  <c r="F1057" i="57" s="1"/>
  <c r="H1057" i="57"/>
  <c r="J5" i="69"/>
  <c r="A3" i="69"/>
  <c r="H194" i="50"/>
  <c r="M194" i="50"/>
  <c r="L39" i="74"/>
  <c r="H193" i="50"/>
  <c r="M193" i="50"/>
  <c r="J15" i="69"/>
  <c r="G8" i="74"/>
  <c r="C8" i="74"/>
  <c r="A8" i="74"/>
  <c r="A9" i="74"/>
  <c r="K5" i="74"/>
  <c r="A7" i="74"/>
  <c r="C7" i="74"/>
  <c r="G7" i="74"/>
  <c r="C5" i="74"/>
  <c r="G5" i="74"/>
  <c r="A6" i="74"/>
  <c r="C6" i="74"/>
  <c r="G6" i="74"/>
  <c r="K6" i="74"/>
  <c r="K7" i="74"/>
  <c r="A5" i="74"/>
  <c r="K9" i="74"/>
  <c r="K4" i="74"/>
  <c r="G4" i="74"/>
  <c r="C4" i="74"/>
  <c r="A4" i="74"/>
  <c r="G9" i="74"/>
  <c r="C9" i="74"/>
  <c r="C3" i="74"/>
  <c r="A3" i="74"/>
  <c r="H192" i="50"/>
  <c r="M192" i="50"/>
  <c r="H191" i="50"/>
  <c r="M191" i="50"/>
  <c r="E1056" i="57"/>
  <c r="F1056" i="57" s="1"/>
  <c r="H1056" i="57"/>
  <c r="E1055" i="57"/>
  <c r="F1055" i="57" s="1"/>
  <c r="H1055" i="57"/>
  <c r="E1054" i="57"/>
  <c r="F1054" i="57" s="1"/>
  <c r="H1054" i="57"/>
  <c r="E1053" i="57"/>
  <c r="F1053" i="57" s="1"/>
  <c r="H1053" i="57"/>
  <c r="E1052" i="57"/>
  <c r="F1052" i="57" s="1"/>
  <c r="H1052" i="57"/>
  <c r="I5" i="69"/>
  <c r="D4" i="69"/>
  <c r="J3" i="69"/>
  <c r="F4" i="69"/>
  <c r="A5" i="69"/>
  <c r="F5" i="69"/>
  <c r="D5" i="69"/>
  <c r="A4" i="69"/>
  <c r="D3" i="69"/>
  <c r="I4" i="69"/>
  <c r="H190" i="50"/>
  <c r="M190" i="50"/>
  <c r="H189" i="50"/>
  <c r="M189" i="50"/>
  <c r="E1051" i="57"/>
  <c r="F1051" i="57" s="1"/>
  <c r="H1051" i="57"/>
  <c r="E1050" i="57"/>
  <c r="F1050" i="57" s="1"/>
  <c r="H1050" i="57"/>
  <c r="E1049" i="57"/>
  <c r="F1049" i="57" s="1"/>
  <c r="H1049" i="57"/>
  <c r="E1048" i="57"/>
  <c r="F1048" i="57" s="1"/>
  <c r="F140" i="36" s="1"/>
  <c r="I140" i="36" s="1"/>
  <c r="H1048" i="57"/>
  <c r="H188" i="50"/>
  <c r="M188" i="50"/>
  <c r="E1047" i="57"/>
  <c r="F1047" i="57" s="1"/>
  <c r="H1047" i="57"/>
  <c r="E1046" i="57"/>
  <c r="F1046" i="57" s="1"/>
  <c r="H1046" i="57"/>
  <c r="E1045" i="57"/>
  <c r="F1045" i="57" s="1"/>
  <c r="H1045" i="57"/>
  <c r="E1044" i="57"/>
  <c r="F1044" i="57" s="1"/>
  <c r="H1044" i="57"/>
  <c r="H187" i="50"/>
  <c r="M187" i="50"/>
  <c r="H186" i="50"/>
  <c r="M186" i="50"/>
  <c r="E1043" i="57"/>
  <c r="F1043" i="57" s="1"/>
  <c r="H1043" i="57"/>
  <c r="E1042" i="57"/>
  <c r="F1042" i="57" s="1"/>
  <c r="H1042" i="57"/>
  <c r="E1041" i="57"/>
  <c r="F1041" i="57" s="1"/>
  <c r="H1041" i="57"/>
  <c r="E1040" i="57"/>
  <c r="F1040" i="57" s="1"/>
  <c r="H1040" i="57"/>
  <c r="H185" i="50"/>
  <c r="M185" i="50"/>
  <c r="H184" i="50"/>
  <c r="M184" i="50"/>
  <c r="H183" i="50"/>
  <c r="M183" i="50"/>
  <c r="E1039" i="57"/>
  <c r="F1039" i="57" s="1"/>
  <c r="H1039" i="57"/>
  <c r="E1038" i="57"/>
  <c r="F1038" i="57" s="1"/>
  <c r="H1038" i="57"/>
  <c r="E1037" i="57"/>
  <c r="F1037" i="57" s="1"/>
  <c r="H1037" i="57"/>
  <c r="E1036" i="57"/>
  <c r="F1036" i="57" s="1"/>
  <c r="H1036" i="57"/>
  <c r="E1035" i="57"/>
  <c r="F1035" i="57" s="1"/>
  <c r="H1035" i="57"/>
  <c r="E1034" i="57"/>
  <c r="F1034" i="57" s="1"/>
  <c r="H1034" i="57"/>
  <c r="H182" i="50"/>
  <c r="M182" i="50"/>
  <c r="E1033" i="57"/>
  <c r="F1033" i="57" s="1"/>
  <c r="H1033" i="57"/>
  <c r="E1032" i="57"/>
  <c r="F1032" i="57" s="1"/>
  <c r="H1032" i="57"/>
  <c r="E1031" i="57"/>
  <c r="F1031" i="57" s="1"/>
  <c r="H1031" i="57"/>
  <c r="E1030" i="57"/>
  <c r="F1030" i="57" s="1"/>
  <c r="H1030" i="57"/>
  <c r="E1029" i="57"/>
  <c r="F1029" i="57" s="1"/>
  <c r="H1029" i="57"/>
  <c r="H181" i="50"/>
  <c r="M181" i="50"/>
  <c r="H180" i="50"/>
  <c r="M180" i="50"/>
  <c r="H179" i="50"/>
  <c r="M179" i="50"/>
  <c r="H178" i="50"/>
  <c r="M178" i="50"/>
  <c r="D999" i="57"/>
  <c r="H999" i="57" s="1"/>
  <c r="H177" i="50"/>
  <c r="M177" i="50"/>
  <c r="H176" i="50"/>
  <c r="M176" i="50"/>
  <c r="E1028" i="57"/>
  <c r="F1028" i="57" s="1"/>
  <c r="H1028" i="57"/>
  <c r="E1027" i="57"/>
  <c r="F1027" i="57" s="1"/>
  <c r="H1027" i="57"/>
  <c r="E1026" i="57"/>
  <c r="F1026" i="57" s="1"/>
  <c r="H1026" i="57"/>
  <c r="E1025" i="57"/>
  <c r="F1025" i="57" s="1"/>
  <c r="H1025" i="57"/>
  <c r="E1024" i="57"/>
  <c r="F1024" i="57" s="1"/>
  <c r="H1024" i="57"/>
  <c r="E1023" i="57"/>
  <c r="F1023" i="57" s="1"/>
  <c r="H1023" i="57"/>
  <c r="E1022" i="57"/>
  <c r="F1022" i="57" s="1"/>
  <c r="H1022" i="57"/>
  <c r="H175" i="50"/>
  <c r="M175" i="50"/>
  <c r="G1" i="55"/>
  <c r="H174" i="50"/>
  <c r="M174" i="50"/>
  <c r="E1021" i="57"/>
  <c r="F1021" i="57" s="1"/>
  <c r="H1021" i="57"/>
  <c r="E1020" i="57"/>
  <c r="F1020" i="57" s="1"/>
  <c r="H1020" i="57"/>
  <c r="E1019" i="57"/>
  <c r="F1019" i="57" s="1"/>
  <c r="H1019" i="57"/>
  <c r="E1018" i="57"/>
  <c r="F1018" i="57" s="1"/>
  <c r="H1018" i="57"/>
  <c r="E1017" i="57"/>
  <c r="F1017" i="57" s="1"/>
  <c r="H1017" i="57"/>
  <c r="E1016" i="57"/>
  <c r="F1016" i="57" s="1"/>
  <c r="H1016" i="57"/>
  <c r="E1015" i="57"/>
  <c r="F1015" i="57" s="1"/>
  <c r="H1015" i="57"/>
  <c r="H173" i="50"/>
  <c r="M173" i="50"/>
  <c r="H172" i="50"/>
  <c r="M172" i="50"/>
  <c r="H171" i="50"/>
  <c r="M171" i="50"/>
  <c r="H170" i="50"/>
  <c r="M170" i="50"/>
  <c r="E1014" i="57"/>
  <c r="F1014" i="57" s="1"/>
  <c r="H1014" i="57"/>
  <c r="E1013" i="57"/>
  <c r="F1013" i="57" s="1"/>
  <c r="H1013" i="57"/>
  <c r="E1012" i="57"/>
  <c r="F1012" i="57" s="1"/>
  <c r="H1012" i="57"/>
  <c r="E1011" i="57"/>
  <c r="F1011" i="57" s="1"/>
  <c r="H1011" i="57"/>
  <c r="E1010" i="57"/>
  <c r="F1010" i="57" s="1"/>
  <c r="H1010" i="57"/>
  <c r="E1009" i="57"/>
  <c r="F1009" i="57" s="1"/>
  <c r="H1009" i="57"/>
  <c r="E1008" i="57"/>
  <c r="F1008" i="57" s="1"/>
  <c r="H1008" i="57"/>
  <c r="E1007" i="57"/>
  <c r="F1007" i="57" s="1"/>
  <c r="H1007" i="57"/>
  <c r="E1006" i="57"/>
  <c r="F1006" i="57" s="1"/>
  <c r="H1006" i="57"/>
  <c r="E1005" i="57"/>
  <c r="F1005" i="57" s="1"/>
  <c r="H1005" i="57"/>
  <c r="E1004" i="57"/>
  <c r="F1004" i="57" s="1"/>
  <c r="H1004" i="57"/>
  <c r="E1003" i="57"/>
  <c r="F1003" i="57" s="1"/>
  <c r="H1003" i="57"/>
  <c r="E1002" i="57"/>
  <c r="F1002" i="57" s="1"/>
  <c r="H1002" i="57"/>
  <c r="E1001" i="57"/>
  <c r="F1001" i="57" s="1"/>
  <c r="H1001" i="57"/>
  <c r="H169" i="50"/>
  <c r="M169" i="50"/>
  <c r="H168" i="50"/>
  <c r="M168" i="50"/>
  <c r="E1000" i="57"/>
  <c r="F1000" i="57" s="1"/>
  <c r="H1000" i="57"/>
  <c r="E999" i="57"/>
  <c r="F999" i="57" s="1"/>
  <c r="E998" i="57"/>
  <c r="F998" i="57" s="1"/>
  <c r="H998" i="57"/>
  <c r="E997" i="57"/>
  <c r="F997" i="57" s="1"/>
  <c r="H997" i="57"/>
  <c r="E996" i="57"/>
  <c r="F996" i="57" s="1"/>
  <c r="H996" i="57"/>
  <c r="E995" i="57"/>
  <c r="F995" i="57" s="1"/>
  <c r="H995" i="57"/>
  <c r="E994" i="57"/>
  <c r="F994" i="57" s="1"/>
  <c r="H994" i="57"/>
  <c r="H167" i="50"/>
  <c r="M167" i="50"/>
  <c r="H166" i="50"/>
  <c r="M166" i="50"/>
  <c r="E993" i="57"/>
  <c r="F993" i="57" s="1"/>
  <c r="H993" i="57"/>
  <c r="E992" i="57"/>
  <c r="F992" i="57" s="1"/>
  <c r="H992" i="57"/>
  <c r="E991" i="57"/>
  <c r="F991" i="57" s="1"/>
  <c r="H991" i="57"/>
  <c r="E990" i="57"/>
  <c r="F990" i="57" s="1"/>
  <c r="H990" i="57"/>
  <c r="E989" i="57"/>
  <c r="F989" i="57" s="1"/>
  <c r="H989" i="57"/>
  <c r="E988" i="57"/>
  <c r="F988" i="57" s="1"/>
  <c r="H988" i="57"/>
  <c r="E987" i="57"/>
  <c r="F987" i="57" s="1"/>
  <c r="H987" i="57"/>
  <c r="E986" i="57"/>
  <c r="F986" i="57" s="1"/>
  <c r="H986" i="57"/>
  <c r="E985" i="57"/>
  <c r="F985" i="57" s="1"/>
  <c r="H985" i="57"/>
  <c r="E984" i="57"/>
  <c r="F984" i="57" s="1"/>
  <c r="H984" i="57"/>
  <c r="E983" i="57"/>
  <c r="F983" i="57" s="1"/>
  <c r="H983" i="57"/>
  <c r="E982" i="57"/>
  <c r="F982" i="57" s="1"/>
  <c r="H982" i="57"/>
  <c r="E981" i="57"/>
  <c r="F981" i="57" s="1"/>
  <c r="H981" i="57"/>
  <c r="H165" i="50"/>
  <c r="M165" i="50"/>
  <c r="H164" i="50"/>
  <c r="M164" i="50"/>
  <c r="E980" i="57"/>
  <c r="F980" i="57" s="1"/>
  <c r="H980" i="57"/>
  <c r="E979" i="57"/>
  <c r="F979" i="57" s="1"/>
  <c r="H979" i="57"/>
  <c r="E978" i="57"/>
  <c r="F978" i="57" s="1"/>
  <c r="H978" i="57"/>
  <c r="E977" i="57"/>
  <c r="F977" i="57" s="1"/>
  <c r="H977" i="57"/>
  <c r="E976" i="57"/>
  <c r="F976" i="57" s="1"/>
  <c r="H976" i="57"/>
  <c r="E975" i="57"/>
  <c r="F975" i="57" s="1"/>
  <c r="H975" i="57"/>
  <c r="E974" i="57"/>
  <c r="F974" i="57" s="1"/>
  <c r="H974" i="57"/>
  <c r="E973" i="57"/>
  <c r="F973" i="57" s="1"/>
  <c r="H973" i="57"/>
  <c r="E972" i="57"/>
  <c r="F972" i="57" s="1"/>
  <c r="F123" i="36" s="1"/>
  <c r="I123" i="36" s="1"/>
  <c r="H972" i="57"/>
  <c r="E971" i="57"/>
  <c r="F971" i="57" s="1"/>
  <c r="H971" i="57"/>
  <c r="E970" i="57"/>
  <c r="F970" i="57" s="1"/>
  <c r="H970" i="57"/>
  <c r="E969" i="57"/>
  <c r="F969" i="57" s="1"/>
  <c r="H969" i="57"/>
  <c r="E968" i="57"/>
  <c r="F968" i="57" s="1"/>
  <c r="H968" i="57"/>
  <c r="E967" i="57"/>
  <c r="F967" i="57" s="1"/>
  <c r="H967" i="57"/>
  <c r="H163" i="50"/>
  <c r="M163" i="50"/>
  <c r="H162" i="50"/>
  <c r="M162" i="50"/>
  <c r="E966" i="57"/>
  <c r="F966" i="57" s="1"/>
  <c r="H966" i="57"/>
  <c r="E965" i="57"/>
  <c r="F965" i="57" s="1"/>
  <c r="H965" i="57"/>
  <c r="E964" i="57"/>
  <c r="F964" i="57" s="1"/>
  <c r="H964" i="57"/>
  <c r="E963" i="57"/>
  <c r="F963" i="57" s="1"/>
  <c r="H963" i="57"/>
  <c r="E962" i="57"/>
  <c r="F962" i="57" s="1"/>
  <c r="H962" i="57"/>
  <c r="E961" i="57"/>
  <c r="F961" i="57" s="1"/>
  <c r="H961" i="57"/>
  <c r="H161" i="50"/>
  <c r="M161" i="50"/>
  <c r="E960" i="57"/>
  <c r="F960" i="57" s="1"/>
  <c r="H960" i="57"/>
  <c r="E959" i="57"/>
  <c r="F959" i="57" s="1"/>
  <c r="H959" i="57"/>
  <c r="E958" i="57"/>
  <c r="F958" i="57" s="1"/>
  <c r="H958" i="57"/>
  <c r="H160" i="50"/>
  <c r="M160" i="50"/>
  <c r="E957" i="57"/>
  <c r="F957" i="57" s="1"/>
  <c r="H957" i="57"/>
  <c r="E956" i="57"/>
  <c r="F956" i="57" s="1"/>
  <c r="H956" i="57"/>
  <c r="E955" i="57"/>
  <c r="F955" i="57" s="1"/>
  <c r="H955" i="57"/>
  <c r="E954" i="57"/>
  <c r="F954" i="57" s="1"/>
  <c r="F117" i="36" s="1"/>
  <c r="I117" i="36" s="1"/>
  <c r="H954" i="57"/>
  <c r="H159" i="50"/>
  <c r="M159" i="50"/>
  <c r="H158" i="50"/>
  <c r="M158" i="50"/>
  <c r="H157" i="50"/>
  <c r="M157" i="50"/>
  <c r="E953" i="57"/>
  <c r="F953" i="57" s="1"/>
  <c r="H953" i="57"/>
  <c r="E952" i="57"/>
  <c r="F952" i="57" s="1"/>
  <c r="H952" i="57"/>
  <c r="E951" i="57"/>
  <c r="F951" i="57" s="1"/>
  <c r="H951" i="57"/>
  <c r="E950" i="57"/>
  <c r="F950" i="57" s="1"/>
  <c r="H950" i="57"/>
  <c r="E949" i="57"/>
  <c r="F949" i="57" s="1"/>
  <c r="H949" i="57"/>
  <c r="E948" i="57"/>
  <c r="F948" i="57" s="1"/>
  <c r="F116" i="36" s="1"/>
  <c r="I116" i="36" s="1"/>
  <c r="H948" i="57"/>
  <c r="H156" i="50"/>
  <c r="M156" i="50"/>
  <c r="E947" i="57"/>
  <c r="F947" i="57" s="1"/>
  <c r="H947" i="57"/>
  <c r="E946" i="57"/>
  <c r="F946" i="57" s="1"/>
  <c r="H946" i="57"/>
  <c r="E945" i="57"/>
  <c r="F945" i="57" s="1"/>
  <c r="H945" i="57"/>
  <c r="E944" i="57"/>
  <c r="F944" i="57" s="1"/>
  <c r="H944" i="57"/>
  <c r="E943" i="57"/>
  <c r="F943" i="57" s="1"/>
  <c r="H943" i="57"/>
  <c r="E942" i="57"/>
  <c r="F942" i="57" s="1"/>
  <c r="H942" i="57"/>
  <c r="E941" i="57"/>
  <c r="F941" i="57" s="1"/>
  <c r="H941" i="57"/>
  <c r="E940" i="57"/>
  <c r="F940" i="57" s="1"/>
  <c r="H940" i="57"/>
  <c r="E939" i="57"/>
  <c r="F939" i="57" s="1"/>
  <c r="H939" i="57"/>
  <c r="E938" i="57"/>
  <c r="F938" i="57" s="1"/>
  <c r="F112" i="36" s="1"/>
  <c r="I112" i="36" s="1"/>
  <c r="H938" i="57"/>
  <c r="E937" i="57"/>
  <c r="F937" i="57" s="1"/>
  <c r="H937" i="57"/>
  <c r="E936" i="57"/>
  <c r="F936" i="57" s="1"/>
  <c r="H936" i="57"/>
  <c r="E935" i="57"/>
  <c r="F935" i="57" s="1"/>
  <c r="H935" i="57"/>
  <c r="E934" i="57"/>
  <c r="F934" i="57" s="1"/>
  <c r="H934" i="57"/>
  <c r="E933" i="57"/>
  <c r="F933" i="57" s="1"/>
  <c r="H933" i="57"/>
  <c r="E932" i="57"/>
  <c r="F932" i="57" s="1"/>
  <c r="H932" i="57"/>
  <c r="H155" i="50"/>
  <c r="M155" i="50"/>
  <c r="H154" i="50"/>
  <c r="M154" i="50"/>
  <c r="H153" i="50"/>
  <c r="M153" i="50"/>
  <c r="E931" i="57"/>
  <c r="F931" i="57" s="1"/>
  <c r="H931" i="57"/>
  <c r="E930" i="57"/>
  <c r="F930" i="57" s="1"/>
  <c r="H930" i="57"/>
  <c r="E929" i="57"/>
  <c r="F929" i="57" s="1"/>
  <c r="H929" i="57"/>
  <c r="E928" i="57"/>
  <c r="F928" i="57" s="1"/>
  <c r="H928" i="57"/>
  <c r="H152" i="50"/>
  <c r="M152" i="50"/>
  <c r="H151" i="50"/>
  <c r="M151" i="50"/>
  <c r="E927" i="57"/>
  <c r="F927" i="57" s="1"/>
  <c r="H927" i="57"/>
  <c r="E926" i="57"/>
  <c r="F926" i="57" s="1"/>
  <c r="H926" i="57"/>
  <c r="E925" i="57"/>
  <c r="F925" i="57" s="1"/>
  <c r="H925" i="57"/>
  <c r="E924" i="57"/>
  <c r="F924" i="57" s="1"/>
  <c r="H924" i="57"/>
  <c r="E923" i="57"/>
  <c r="F923" i="57" s="1"/>
  <c r="H923" i="57"/>
  <c r="E922" i="57"/>
  <c r="F922" i="57" s="1"/>
  <c r="H922" i="57"/>
  <c r="E921" i="57"/>
  <c r="F921" i="57" s="1"/>
  <c r="H921" i="57"/>
  <c r="E920" i="57"/>
  <c r="F920" i="57" s="1"/>
  <c r="H920" i="57"/>
  <c r="E919" i="57"/>
  <c r="F919" i="57" s="1"/>
  <c r="H919" i="57"/>
  <c r="E909" i="57"/>
  <c r="F909" i="57" s="1"/>
  <c r="H909" i="57"/>
  <c r="E918" i="57"/>
  <c r="F918" i="57" s="1"/>
  <c r="H918" i="57"/>
  <c r="E917" i="57"/>
  <c r="F917" i="57" s="1"/>
  <c r="H917" i="57"/>
  <c r="E916" i="57"/>
  <c r="F916" i="57" s="1"/>
  <c r="H916" i="57"/>
  <c r="E914" i="57"/>
  <c r="F914" i="57" s="1"/>
  <c r="H914" i="57"/>
  <c r="D913" i="57"/>
  <c r="H913" i="57" s="1"/>
  <c r="E913" i="57"/>
  <c r="F913" i="57" s="1"/>
  <c r="E912" i="57"/>
  <c r="F912" i="57" s="1"/>
  <c r="H912" i="57"/>
  <c r="E911" i="57"/>
  <c r="F911" i="57" s="1"/>
  <c r="H911" i="57"/>
  <c r="E910" i="57"/>
  <c r="F910" i="57" s="1"/>
  <c r="H910" i="57"/>
  <c r="H150" i="50"/>
  <c r="M150" i="50"/>
  <c r="H149" i="50"/>
  <c r="M149" i="50"/>
  <c r="H148" i="50"/>
  <c r="M148" i="50"/>
  <c r="E905" i="57"/>
  <c r="F905" i="57" s="1"/>
  <c r="E906" i="57"/>
  <c r="F906" i="57" s="1"/>
  <c r="E907" i="57"/>
  <c r="F907" i="57" s="1"/>
  <c r="E908" i="57"/>
  <c r="F908" i="57" s="1"/>
  <c r="H905" i="57"/>
  <c r="H906" i="57"/>
  <c r="H907" i="57"/>
  <c r="H908" i="57"/>
  <c r="E904" i="57"/>
  <c r="F904" i="57" s="1"/>
  <c r="H904" i="57"/>
  <c r="H147" i="50"/>
  <c r="M147" i="50"/>
  <c r="E903" i="57"/>
  <c r="F903" i="57" s="1"/>
  <c r="H903" i="57"/>
  <c r="E902" i="57"/>
  <c r="F902" i="57" s="1"/>
  <c r="H902" i="57"/>
  <c r="E901" i="57"/>
  <c r="F901" i="57" s="1"/>
  <c r="H901" i="57"/>
  <c r="E900" i="57"/>
  <c r="F900" i="57" s="1"/>
  <c r="H900" i="57"/>
  <c r="E899" i="57"/>
  <c r="F899" i="57" s="1"/>
  <c r="H899" i="57"/>
  <c r="E898" i="57"/>
  <c r="F898" i="57" s="1"/>
  <c r="H898" i="57"/>
  <c r="E897" i="57"/>
  <c r="F897" i="57" s="1"/>
  <c r="H897" i="57"/>
  <c r="H146" i="50"/>
  <c r="M146" i="50"/>
  <c r="H145" i="50"/>
  <c r="M145" i="50"/>
  <c r="H144" i="50"/>
  <c r="M144" i="50"/>
  <c r="E896" i="57"/>
  <c r="F896" i="57" s="1"/>
  <c r="H896" i="57"/>
  <c r="E895" i="57"/>
  <c r="F895" i="57" s="1"/>
  <c r="H895" i="57"/>
  <c r="E894" i="57"/>
  <c r="F894" i="57" s="1"/>
  <c r="H894" i="57"/>
  <c r="E893" i="57"/>
  <c r="F893" i="57" s="1"/>
  <c r="H893" i="57"/>
  <c r="E892" i="57"/>
  <c r="F892" i="57" s="1"/>
  <c r="H892" i="57"/>
  <c r="H143" i="50"/>
  <c r="M143" i="50"/>
  <c r="H142" i="50"/>
  <c r="M142" i="50"/>
  <c r="E891" i="57"/>
  <c r="F891" i="57" s="1"/>
  <c r="H891" i="57"/>
  <c r="E890" i="57"/>
  <c r="F890" i="57" s="1"/>
  <c r="H890" i="57"/>
  <c r="E889" i="57"/>
  <c r="F889" i="57" s="1"/>
  <c r="H889" i="57"/>
  <c r="H141" i="50"/>
  <c r="M141" i="50"/>
  <c r="E888" i="57"/>
  <c r="F888" i="57" s="1"/>
  <c r="H888" i="57"/>
  <c r="E887" i="57"/>
  <c r="F887" i="57" s="1"/>
  <c r="H887" i="57"/>
  <c r="E886" i="57"/>
  <c r="F886" i="57" s="1"/>
  <c r="H886" i="57"/>
  <c r="E885" i="57"/>
  <c r="F885" i="57" s="1"/>
  <c r="H885" i="57"/>
  <c r="E884" i="57"/>
  <c r="F884" i="57" s="1"/>
  <c r="H884" i="57"/>
  <c r="H140" i="50"/>
  <c r="M140" i="50"/>
  <c r="H139" i="50"/>
  <c r="M139" i="50"/>
  <c r="H138" i="50"/>
  <c r="M138" i="50"/>
  <c r="E883" i="57"/>
  <c r="F883" i="57" s="1"/>
  <c r="H883" i="57"/>
  <c r="E882" i="57"/>
  <c r="F882" i="57" s="1"/>
  <c r="H882" i="57"/>
  <c r="E881" i="57"/>
  <c r="F881" i="57" s="1"/>
  <c r="H881" i="57"/>
  <c r="E880" i="57"/>
  <c r="F880" i="57" s="1"/>
  <c r="H880" i="57"/>
  <c r="E875" i="57"/>
  <c r="F875" i="57" s="1"/>
  <c r="H875" i="57"/>
  <c r="H137" i="50"/>
  <c r="M137" i="50"/>
  <c r="H136" i="50"/>
  <c r="M136" i="50"/>
  <c r="H135" i="50"/>
  <c r="M135" i="50"/>
  <c r="H134" i="50"/>
  <c r="M134" i="50"/>
  <c r="H133" i="50"/>
  <c r="M133" i="50"/>
  <c r="D26" i="56"/>
  <c r="E26" i="56"/>
  <c r="F26" i="56"/>
  <c r="G26" i="56"/>
  <c r="H26" i="56"/>
  <c r="E879" i="57"/>
  <c r="F879" i="57" s="1"/>
  <c r="H879" i="57"/>
  <c r="E878" i="57"/>
  <c r="F878" i="57" s="1"/>
  <c r="H878" i="57"/>
  <c r="E877" i="57"/>
  <c r="F877" i="57" s="1"/>
  <c r="H877" i="57"/>
  <c r="E876" i="57"/>
  <c r="F876" i="57" s="1"/>
  <c r="H876" i="57"/>
  <c r="C13" i="72"/>
  <c r="E45" i="72"/>
  <c r="E44" i="72"/>
  <c r="E43" i="72"/>
  <c r="E42" i="72"/>
  <c r="E41" i="72"/>
  <c r="E40" i="72"/>
  <c r="E39" i="72"/>
  <c r="E38" i="72"/>
  <c r="E37" i="72"/>
  <c r="E36" i="72"/>
  <c r="E35" i="72"/>
  <c r="E34" i="72"/>
  <c r="E33" i="72"/>
  <c r="E32" i="72"/>
  <c r="E31" i="72"/>
  <c r="E30" i="72"/>
  <c r="E29" i="72"/>
  <c r="E28" i="72"/>
  <c r="E27" i="72"/>
  <c r="E26" i="72"/>
  <c r="E25" i="72"/>
  <c r="E24" i="72"/>
  <c r="E23" i="72"/>
  <c r="E22" i="72"/>
  <c r="E21" i="72"/>
  <c r="E20" i="72"/>
  <c r="E19" i="72"/>
  <c r="E18" i="72"/>
  <c r="E17" i="72"/>
  <c r="E16" i="72"/>
  <c r="E15" i="72"/>
  <c r="E14" i="72"/>
  <c r="E13" i="72"/>
  <c r="E12" i="72"/>
  <c r="E11" i="72"/>
  <c r="C45" i="72"/>
  <c r="C44" i="72"/>
  <c r="C43" i="72"/>
  <c r="C42" i="72"/>
  <c r="C41" i="72"/>
  <c r="C40" i="72"/>
  <c r="C39" i="72"/>
  <c r="C38" i="72"/>
  <c r="C37" i="72"/>
  <c r="C36" i="72"/>
  <c r="C35" i="72"/>
  <c r="C34" i="72"/>
  <c r="C33" i="72"/>
  <c r="C32" i="72"/>
  <c r="C31" i="72"/>
  <c r="C30" i="72"/>
  <c r="C29" i="72"/>
  <c r="C28" i="72"/>
  <c r="C27" i="72"/>
  <c r="C26" i="72"/>
  <c r="C25" i="72"/>
  <c r="F45" i="72"/>
  <c r="D45" i="72"/>
  <c r="F44" i="72"/>
  <c r="D44" i="72"/>
  <c r="F43" i="72"/>
  <c r="D43" i="72"/>
  <c r="F42" i="72"/>
  <c r="D42" i="72"/>
  <c r="F41" i="72"/>
  <c r="D41" i="72"/>
  <c r="F40" i="72"/>
  <c r="D40" i="72"/>
  <c r="F39" i="72"/>
  <c r="D39" i="72"/>
  <c r="F38" i="72"/>
  <c r="D38" i="72"/>
  <c r="F37" i="72"/>
  <c r="D37" i="72"/>
  <c r="F36" i="72"/>
  <c r="D36" i="72"/>
  <c r="F35" i="72"/>
  <c r="D35" i="72"/>
  <c r="F34" i="72"/>
  <c r="D34" i="72"/>
  <c r="F33" i="72"/>
  <c r="D33" i="72"/>
  <c r="F32" i="72"/>
  <c r="D32" i="72"/>
  <c r="F31" i="72"/>
  <c r="D31" i="72"/>
  <c r="F30" i="72"/>
  <c r="D30" i="72"/>
  <c r="F29" i="72"/>
  <c r="D29" i="72"/>
  <c r="F28" i="72"/>
  <c r="D28" i="72"/>
  <c r="F27" i="72"/>
  <c r="D27" i="72"/>
  <c r="F26" i="72"/>
  <c r="D26" i="72"/>
  <c r="F25" i="72"/>
  <c r="D25" i="72"/>
  <c r="F24" i="72"/>
  <c r="D24" i="72"/>
  <c r="F23" i="72"/>
  <c r="D23" i="72"/>
  <c r="F22" i="72"/>
  <c r="D22" i="72"/>
  <c r="F21" i="72"/>
  <c r="D21" i="72"/>
  <c r="F20" i="72"/>
  <c r="D20" i="72"/>
  <c r="F19" i="72"/>
  <c r="D19" i="72"/>
  <c r="F18" i="72"/>
  <c r="D18" i="72"/>
  <c r="F17" i="72"/>
  <c r="D17" i="72"/>
  <c r="F16" i="72"/>
  <c r="D16" i="72"/>
  <c r="F15" i="72"/>
  <c r="D15" i="72"/>
  <c r="F14" i="72"/>
  <c r="D14" i="72"/>
  <c r="F13" i="72"/>
  <c r="D13" i="72"/>
  <c r="F12" i="72"/>
  <c r="D12" i="72"/>
  <c r="F11" i="72"/>
  <c r="D11" i="72"/>
  <c r="C19" i="72"/>
  <c r="C20" i="72"/>
  <c r="C21" i="72"/>
  <c r="C22" i="72"/>
  <c r="C23" i="72"/>
  <c r="C24" i="72"/>
  <c r="C18" i="72"/>
  <c r="C11" i="72"/>
  <c r="C12" i="72"/>
  <c r="C14" i="72"/>
  <c r="C15" i="72"/>
  <c r="C16" i="72"/>
  <c r="C17" i="72"/>
  <c r="H131" i="50"/>
  <c r="H132" i="50"/>
  <c r="M131" i="50"/>
  <c r="M132" i="50"/>
  <c r="H5" i="50"/>
  <c r="M5" i="50"/>
  <c r="H3" i="50"/>
  <c r="M3" i="50"/>
  <c r="H4" i="50"/>
  <c r="M4" i="50"/>
  <c r="H2" i="50"/>
  <c r="M2" i="50"/>
  <c r="E874" i="57"/>
  <c r="F874" i="57" s="1"/>
  <c r="H874" i="57"/>
  <c r="E873" i="57"/>
  <c r="F873" i="57" s="1"/>
  <c r="H873" i="57"/>
  <c r="E872" i="57"/>
  <c r="F872" i="57" s="1"/>
  <c r="H872" i="57"/>
  <c r="E871" i="57"/>
  <c r="F871" i="57" s="1"/>
  <c r="H871" i="57"/>
  <c r="E870" i="57"/>
  <c r="F870" i="57" s="1"/>
  <c r="H870" i="57"/>
  <c r="E869" i="57"/>
  <c r="F869" i="57" s="1"/>
  <c r="H869" i="57"/>
  <c r="H130" i="50"/>
  <c r="M130" i="50"/>
  <c r="H129" i="50"/>
  <c r="M129" i="50"/>
  <c r="H128" i="50"/>
  <c r="M128" i="50"/>
  <c r="H127" i="50"/>
  <c r="M127" i="50"/>
  <c r="H126" i="50"/>
  <c r="M126" i="50"/>
  <c r="H125" i="50"/>
  <c r="M125" i="50"/>
  <c r="H124" i="50"/>
  <c r="M124" i="50"/>
  <c r="E868" i="57"/>
  <c r="F868" i="57" s="1"/>
  <c r="H868" i="57"/>
  <c r="E867" i="57"/>
  <c r="F867" i="57" s="1"/>
  <c r="H867" i="57"/>
  <c r="E866" i="57"/>
  <c r="F866" i="57" s="1"/>
  <c r="H866" i="57"/>
  <c r="E865" i="57"/>
  <c r="F865" i="57" s="1"/>
  <c r="H865" i="57"/>
  <c r="E864" i="57"/>
  <c r="F864" i="57" s="1"/>
  <c r="H864" i="57"/>
  <c r="E863" i="57"/>
  <c r="F863" i="57" s="1"/>
  <c r="H863" i="57"/>
  <c r="H123" i="50"/>
  <c r="M123" i="50"/>
  <c r="E862" i="57"/>
  <c r="F862" i="57" s="1"/>
  <c r="H862" i="57"/>
  <c r="E861" i="57"/>
  <c r="F861" i="57" s="1"/>
  <c r="H861" i="57"/>
  <c r="E860" i="57"/>
  <c r="F860" i="57" s="1"/>
  <c r="H860" i="57"/>
  <c r="E859" i="57"/>
  <c r="F859" i="57" s="1"/>
  <c r="H859" i="57"/>
  <c r="H122" i="50"/>
  <c r="M122" i="50"/>
  <c r="E851" i="57"/>
  <c r="F851" i="57" s="1"/>
  <c r="H851" i="57"/>
  <c r="E858" i="57"/>
  <c r="F858" i="57" s="1"/>
  <c r="H858" i="57"/>
  <c r="E857" i="57"/>
  <c r="F857" i="57" s="1"/>
  <c r="H857" i="57"/>
  <c r="E856" i="57"/>
  <c r="F856" i="57" s="1"/>
  <c r="H856" i="57"/>
  <c r="E855" i="57"/>
  <c r="F855" i="57" s="1"/>
  <c r="H855" i="57"/>
  <c r="E854" i="57"/>
  <c r="F854" i="57" s="1"/>
  <c r="H854" i="57"/>
  <c r="E853" i="57"/>
  <c r="F853" i="57" s="1"/>
  <c r="H853" i="57"/>
  <c r="E852" i="57"/>
  <c r="F852" i="57" s="1"/>
  <c r="H852" i="57"/>
  <c r="E850" i="57"/>
  <c r="F850" i="57" s="1"/>
  <c r="H850" i="57"/>
  <c r="E849" i="57"/>
  <c r="F849" i="57" s="1"/>
  <c r="H849" i="57"/>
  <c r="H121" i="50"/>
  <c r="M121" i="50"/>
  <c r="Q66" i="36"/>
  <c r="Q73" i="36"/>
  <c r="N7" i="51"/>
  <c r="N6" i="51"/>
  <c r="N5" i="51"/>
  <c r="N4" i="51"/>
  <c r="N2" i="51"/>
  <c r="F30" i="51"/>
  <c r="G30" i="51"/>
  <c r="H30" i="51"/>
  <c r="F29" i="51"/>
  <c r="G29" i="51"/>
  <c r="H29" i="51"/>
  <c r="F28" i="51"/>
  <c r="G28" i="51"/>
  <c r="H28" i="51"/>
  <c r="F27" i="51"/>
  <c r="G27" i="51"/>
  <c r="H27" i="51"/>
  <c r="F26" i="51"/>
  <c r="G26" i="51"/>
  <c r="H26" i="51"/>
  <c r="F25" i="51"/>
  <c r="G25" i="51"/>
  <c r="H25" i="51"/>
  <c r="F24" i="51"/>
  <c r="G24" i="51"/>
  <c r="H24" i="51"/>
  <c r="F23" i="51"/>
  <c r="G23" i="51"/>
  <c r="H23" i="51"/>
  <c r="F22" i="51"/>
  <c r="G22" i="51"/>
  <c r="H22" i="51"/>
  <c r="F21" i="51"/>
  <c r="G21" i="51"/>
  <c r="H21" i="51"/>
  <c r="F20" i="51"/>
  <c r="G20" i="51"/>
  <c r="H20" i="51"/>
  <c r="F19" i="51"/>
  <c r="G19" i="51"/>
  <c r="H19" i="51"/>
  <c r="F18" i="51"/>
  <c r="G18" i="51"/>
  <c r="H18" i="51"/>
  <c r="H120" i="50"/>
  <c r="M120" i="50"/>
  <c r="E848" i="57"/>
  <c r="F848" i="57" s="1"/>
  <c r="H848" i="57"/>
  <c r="E847" i="57"/>
  <c r="F847" i="57" s="1"/>
  <c r="H847" i="57"/>
  <c r="E846" i="57"/>
  <c r="F846" i="57" s="1"/>
  <c r="H846" i="57"/>
  <c r="E845" i="57"/>
  <c r="F845" i="57" s="1"/>
  <c r="H845" i="57"/>
  <c r="E844" i="57"/>
  <c r="F844" i="57" s="1"/>
  <c r="H844" i="57"/>
  <c r="E843" i="57"/>
  <c r="F843" i="57" s="1"/>
  <c r="H843" i="57"/>
  <c r="E842" i="57"/>
  <c r="F842" i="57" s="1"/>
  <c r="H842" i="57"/>
  <c r="E841" i="57"/>
  <c r="F841" i="57" s="1"/>
  <c r="H841" i="57"/>
  <c r="H119" i="50"/>
  <c r="M119" i="50"/>
  <c r="H118" i="50"/>
  <c r="M118" i="50"/>
  <c r="H117" i="50"/>
  <c r="M117" i="50"/>
  <c r="E840" i="57"/>
  <c r="F840" i="57" s="1"/>
  <c r="H840" i="57"/>
  <c r="E839" i="57"/>
  <c r="F839" i="57" s="1"/>
  <c r="H839" i="57"/>
  <c r="E838" i="57"/>
  <c r="F838" i="57" s="1"/>
  <c r="H838" i="57"/>
  <c r="E837" i="57"/>
  <c r="F837" i="57" s="1"/>
  <c r="H837" i="57"/>
  <c r="E836" i="57"/>
  <c r="F836" i="57" s="1"/>
  <c r="H836" i="57"/>
  <c r="E835" i="57"/>
  <c r="F835" i="57" s="1"/>
  <c r="H835" i="57"/>
  <c r="E834" i="57"/>
  <c r="F834" i="57" s="1"/>
  <c r="H834" i="57"/>
  <c r="E833" i="57"/>
  <c r="F833" i="57" s="1"/>
  <c r="H833" i="57"/>
  <c r="E832" i="57"/>
  <c r="F832" i="57" s="1"/>
  <c r="H832" i="57"/>
  <c r="E831" i="57"/>
  <c r="F831" i="57" s="1"/>
  <c r="H831" i="57"/>
  <c r="E830" i="57"/>
  <c r="F830" i="57" s="1"/>
  <c r="H830" i="57"/>
  <c r="E829" i="57"/>
  <c r="F829" i="57" s="1"/>
  <c r="H829" i="57"/>
  <c r="E828" i="57"/>
  <c r="F828" i="57" s="1"/>
  <c r="H828" i="57"/>
  <c r="E827" i="57"/>
  <c r="F827" i="57" s="1"/>
  <c r="H827" i="57"/>
  <c r="E826" i="57"/>
  <c r="F826" i="57" s="1"/>
  <c r="H826" i="57"/>
  <c r="E825" i="57"/>
  <c r="F825" i="57" s="1"/>
  <c r="H825" i="57"/>
  <c r="E824" i="57"/>
  <c r="F824" i="57" s="1"/>
  <c r="H824" i="57"/>
  <c r="H116" i="50"/>
  <c r="M116" i="50"/>
  <c r="H115" i="50"/>
  <c r="M115" i="50"/>
  <c r="H114" i="50"/>
  <c r="M114" i="50"/>
  <c r="H113" i="50"/>
  <c r="M113" i="50"/>
  <c r="H112" i="50"/>
  <c r="M112" i="50"/>
  <c r="E823" i="57"/>
  <c r="F823" i="57" s="1"/>
  <c r="H823" i="57"/>
  <c r="E822" i="57"/>
  <c r="F822" i="57" s="1"/>
  <c r="H822" i="57"/>
  <c r="E821" i="57"/>
  <c r="F821" i="57" s="1"/>
  <c r="H821" i="57"/>
  <c r="E820" i="57"/>
  <c r="F820" i="57" s="1"/>
  <c r="H820" i="57"/>
  <c r="E819" i="57"/>
  <c r="F819" i="57" s="1"/>
  <c r="H819" i="57"/>
  <c r="E818" i="57"/>
  <c r="F818" i="57" s="1"/>
  <c r="H818" i="57"/>
  <c r="E817" i="57"/>
  <c r="F817" i="57" s="1"/>
  <c r="H817" i="57"/>
  <c r="H111" i="50"/>
  <c r="M111" i="50"/>
  <c r="H109" i="50"/>
  <c r="M109" i="50"/>
  <c r="H110" i="50"/>
  <c r="M110" i="50"/>
  <c r="E816" i="57"/>
  <c r="F816" i="57" s="1"/>
  <c r="H816" i="57"/>
  <c r="E815" i="57"/>
  <c r="F815" i="57" s="1"/>
  <c r="H815" i="57"/>
  <c r="E814" i="57"/>
  <c r="F814" i="57" s="1"/>
  <c r="H814" i="57"/>
  <c r="E813" i="57"/>
  <c r="F813" i="57" s="1"/>
  <c r="H813" i="57"/>
  <c r="E812" i="57"/>
  <c r="F812" i="57" s="1"/>
  <c r="H812" i="57"/>
  <c r="E811" i="57"/>
  <c r="F811" i="57" s="1"/>
  <c r="H811" i="57"/>
  <c r="E810" i="57"/>
  <c r="F810" i="57" s="1"/>
  <c r="H810" i="57"/>
  <c r="E809" i="57"/>
  <c r="F809" i="57" s="1"/>
  <c r="H809" i="57"/>
  <c r="H108" i="50"/>
  <c r="M108" i="50"/>
  <c r="E808" i="57"/>
  <c r="F808" i="57" s="1"/>
  <c r="H808" i="57"/>
  <c r="E807" i="57"/>
  <c r="F807" i="57" s="1"/>
  <c r="H807" i="57"/>
  <c r="E806" i="57"/>
  <c r="F806" i="57" s="1"/>
  <c r="H806" i="57"/>
  <c r="E805" i="57"/>
  <c r="F805" i="57" s="1"/>
  <c r="H805" i="57"/>
  <c r="E804" i="57"/>
  <c r="F804" i="57" s="1"/>
  <c r="H804" i="57"/>
  <c r="E803" i="57"/>
  <c r="F803" i="57" s="1"/>
  <c r="H803" i="57"/>
  <c r="E802" i="57"/>
  <c r="F802" i="57" s="1"/>
  <c r="H802" i="57"/>
  <c r="E801" i="57"/>
  <c r="F801" i="57" s="1"/>
  <c r="H801" i="57"/>
  <c r="E800" i="57"/>
  <c r="F800" i="57" s="1"/>
  <c r="H800" i="57"/>
  <c r="E799" i="57"/>
  <c r="F799" i="57" s="1"/>
  <c r="H799" i="57"/>
  <c r="E798" i="57"/>
  <c r="F798" i="57" s="1"/>
  <c r="H798" i="57"/>
  <c r="E797" i="57"/>
  <c r="F797" i="57" s="1"/>
  <c r="H797" i="57"/>
  <c r="E796" i="57"/>
  <c r="F796" i="57" s="1"/>
  <c r="H796" i="57"/>
  <c r="E795" i="57"/>
  <c r="F795" i="57" s="1"/>
  <c r="H795" i="57"/>
  <c r="E794" i="57"/>
  <c r="F794" i="57" s="1"/>
  <c r="F66" i="36" s="1"/>
  <c r="I66" i="36" s="1"/>
  <c r="H794" i="57"/>
  <c r="P103" i="50"/>
  <c r="P107" i="50"/>
  <c r="P106" i="50"/>
  <c r="P105" i="50"/>
  <c r="P104" i="50"/>
  <c r="H107" i="50"/>
  <c r="M107" i="50"/>
  <c r="H106" i="50"/>
  <c r="M106" i="50"/>
  <c r="H105" i="50"/>
  <c r="M105" i="50"/>
  <c r="H104" i="50"/>
  <c r="M104" i="50"/>
  <c r="H103" i="50"/>
  <c r="M103" i="50"/>
  <c r="H102" i="50"/>
  <c r="M102" i="50"/>
  <c r="H101" i="50"/>
  <c r="M101" i="50"/>
  <c r="H100" i="50"/>
  <c r="M100" i="50"/>
  <c r="H99" i="50"/>
  <c r="M99" i="50"/>
  <c r="E793" i="57"/>
  <c r="F793" i="57" s="1"/>
  <c r="H793" i="57"/>
  <c r="E792" i="57"/>
  <c r="F792" i="57" s="1"/>
  <c r="H792" i="57"/>
  <c r="E791" i="57"/>
  <c r="F791" i="57" s="1"/>
  <c r="H791" i="57"/>
  <c r="E790" i="57"/>
  <c r="F790" i="57" s="1"/>
  <c r="H790" i="57"/>
  <c r="E789" i="57"/>
  <c r="F789" i="57" s="1"/>
  <c r="H789" i="57"/>
  <c r="D788" i="57"/>
  <c r="H788" i="57"/>
  <c r="E788" i="57"/>
  <c r="F788" i="57" s="1"/>
  <c r="F64" i="36" s="1"/>
  <c r="I64" i="36" s="1"/>
  <c r="H98" i="50"/>
  <c r="M98" i="50"/>
  <c r="H97" i="50"/>
  <c r="M97" i="50"/>
  <c r="H96" i="50"/>
  <c r="M96" i="50"/>
  <c r="E787" i="57"/>
  <c r="F787" i="57" s="1"/>
  <c r="H787" i="57"/>
  <c r="E786" i="57"/>
  <c r="F786" i="57" s="1"/>
  <c r="H786" i="57"/>
  <c r="E785" i="57"/>
  <c r="F785" i="57" s="1"/>
  <c r="H785" i="57"/>
  <c r="E784" i="57"/>
  <c r="F784" i="57" s="1"/>
  <c r="H784" i="57"/>
  <c r="E783" i="57"/>
  <c r="F783" i="57" s="1"/>
  <c r="H783" i="57"/>
  <c r="E782" i="57"/>
  <c r="F782" i="57" s="1"/>
  <c r="F63" i="36" s="1"/>
  <c r="I63" i="36" s="1"/>
  <c r="H782" i="57"/>
  <c r="H95" i="50"/>
  <c r="M95" i="50"/>
  <c r="H94" i="50"/>
  <c r="M94" i="50"/>
  <c r="H92" i="50"/>
  <c r="H93" i="50"/>
  <c r="M92" i="50"/>
  <c r="M93" i="50"/>
  <c r="H91" i="50"/>
  <c r="M91" i="50"/>
  <c r="E781" i="57"/>
  <c r="F781" i="57" s="1"/>
  <c r="H781" i="57"/>
  <c r="E780" i="57"/>
  <c r="F780" i="57" s="1"/>
  <c r="H780" i="57"/>
  <c r="E779" i="57"/>
  <c r="F779" i="57" s="1"/>
  <c r="H779" i="57"/>
  <c r="E778" i="57"/>
  <c r="F778" i="57" s="1"/>
  <c r="H778" i="57"/>
  <c r="E777" i="57"/>
  <c r="F777" i="57" s="1"/>
  <c r="H777" i="57"/>
  <c r="E776" i="57"/>
  <c r="F776" i="57" s="1"/>
  <c r="H776" i="57"/>
  <c r="E775" i="57"/>
  <c r="F775" i="57" s="1"/>
  <c r="H775" i="57"/>
  <c r="E774" i="57"/>
  <c r="F774" i="57" s="1"/>
  <c r="H774" i="57"/>
  <c r="E773" i="57"/>
  <c r="F773" i="57" s="1"/>
  <c r="H773" i="57"/>
  <c r="E772" i="57"/>
  <c r="F772" i="57" s="1"/>
  <c r="H772" i="57"/>
  <c r="H90" i="50"/>
  <c r="M90" i="50"/>
  <c r="H89" i="50"/>
  <c r="M89" i="50"/>
  <c r="H88" i="50"/>
  <c r="M88" i="50"/>
  <c r="H87" i="50"/>
  <c r="M87" i="50"/>
  <c r="H86" i="50"/>
  <c r="M86" i="50"/>
  <c r="E771" i="57"/>
  <c r="F771" i="57" s="1"/>
  <c r="H771" i="57"/>
  <c r="E770" i="57"/>
  <c r="F770" i="57" s="1"/>
  <c r="H770" i="57"/>
  <c r="E769" i="57"/>
  <c r="F769" i="57" s="1"/>
  <c r="F59" i="36" s="1"/>
  <c r="I59" i="36" s="1"/>
  <c r="H769" i="57"/>
  <c r="H84" i="50"/>
  <c r="H85" i="50"/>
  <c r="M84" i="50"/>
  <c r="M85" i="50"/>
  <c r="E768" i="57"/>
  <c r="F768" i="57" s="1"/>
  <c r="H768" i="57"/>
  <c r="E767" i="57"/>
  <c r="F767" i="57" s="1"/>
  <c r="F57" i="36" s="1"/>
  <c r="I57" i="36" s="1"/>
  <c r="H767" i="57"/>
  <c r="H83" i="50"/>
  <c r="M83" i="50"/>
  <c r="H82" i="50"/>
  <c r="M82" i="50"/>
  <c r="H81" i="50"/>
  <c r="M81" i="50"/>
  <c r="F3" i="55"/>
  <c r="G3" i="55"/>
  <c r="B3" i="55"/>
  <c r="E766" i="57"/>
  <c r="F766" i="57" s="1"/>
  <c r="H766" i="57"/>
  <c r="E765" i="57"/>
  <c r="F765" i="57" s="1"/>
  <c r="F56" i="36" s="1"/>
  <c r="I56" i="36" s="1"/>
  <c r="H765" i="57"/>
  <c r="H79" i="50"/>
  <c r="H80" i="50"/>
  <c r="M79" i="50"/>
  <c r="M80" i="50"/>
  <c r="H77" i="50"/>
  <c r="M77" i="50"/>
  <c r="H78" i="50"/>
  <c r="M78" i="50"/>
  <c r="H76" i="50"/>
  <c r="M76" i="50"/>
  <c r="H75" i="50"/>
  <c r="M75" i="50"/>
  <c r="H74" i="50"/>
  <c r="M74" i="50"/>
  <c r="H73" i="50"/>
  <c r="M73" i="50"/>
  <c r="E764" i="57"/>
  <c r="F764" i="57" s="1"/>
  <c r="H764" i="57"/>
  <c r="E763" i="57"/>
  <c r="F763" i="57" s="1"/>
  <c r="H763" i="57"/>
  <c r="E762" i="57"/>
  <c r="F762" i="57" s="1"/>
  <c r="H762" i="57"/>
  <c r="E761" i="57"/>
  <c r="F761" i="57" s="1"/>
  <c r="H761" i="57"/>
  <c r="E760" i="57"/>
  <c r="F760" i="57" s="1"/>
  <c r="H760" i="57"/>
  <c r="E759" i="57"/>
  <c r="F759" i="57" s="1"/>
  <c r="H759" i="57"/>
  <c r="E758" i="57"/>
  <c r="F758" i="57" s="1"/>
  <c r="H758" i="57"/>
  <c r="H72" i="50"/>
  <c r="M72" i="50"/>
  <c r="H71" i="50"/>
  <c r="M71" i="50"/>
  <c r="H70" i="50"/>
  <c r="M70" i="50"/>
  <c r="E757" i="57"/>
  <c r="F757" i="57" s="1"/>
  <c r="H757" i="57"/>
  <c r="E756" i="57"/>
  <c r="F756" i="57" s="1"/>
  <c r="H756" i="57"/>
  <c r="E755" i="57"/>
  <c r="F755" i="57" s="1"/>
  <c r="H755" i="57"/>
  <c r="H69" i="50"/>
  <c r="M69" i="50"/>
  <c r="F17" i="51"/>
  <c r="G17" i="51"/>
  <c r="H17" i="51"/>
  <c r="F16" i="51"/>
  <c r="G16" i="51"/>
  <c r="H16" i="51"/>
  <c r="F15" i="51"/>
  <c r="G15" i="51"/>
  <c r="H15" i="51"/>
  <c r="H68" i="50"/>
  <c r="M68" i="50"/>
  <c r="E754" i="57"/>
  <c r="F754" i="57" s="1"/>
  <c r="H754" i="57"/>
  <c r="E753" i="57"/>
  <c r="F753" i="57" s="1"/>
  <c r="H753" i="57"/>
  <c r="E752" i="57"/>
  <c r="F752" i="57" s="1"/>
  <c r="F53" i="36" s="1"/>
  <c r="I53" i="36" s="1"/>
  <c r="H752" i="57"/>
  <c r="H67" i="50"/>
  <c r="M67" i="50"/>
  <c r="H66" i="50"/>
  <c r="M66" i="50"/>
  <c r="H65" i="50"/>
  <c r="M65" i="50"/>
  <c r="H64" i="50"/>
  <c r="M64" i="50"/>
  <c r="E634" i="57"/>
  <c r="E635" i="57"/>
  <c r="E636" i="57"/>
  <c r="E637" i="57"/>
  <c r="E638" i="57"/>
  <c r="E639" i="57"/>
  <c r="E640" i="57"/>
  <c r="F640" i="57" s="1"/>
  <c r="E641" i="57"/>
  <c r="E642" i="57"/>
  <c r="F642" i="57" s="1"/>
  <c r="E643" i="57"/>
  <c r="E644" i="57"/>
  <c r="F644" i="57" s="1"/>
  <c r="E645" i="57"/>
  <c r="E646" i="57"/>
  <c r="F646" i="57" s="1"/>
  <c r="E647" i="57"/>
  <c r="E648" i="57"/>
  <c r="E649" i="57"/>
  <c r="E650" i="57"/>
  <c r="E651" i="57"/>
  <c r="E652" i="57"/>
  <c r="E653" i="57"/>
  <c r="E654" i="57"/>
  <c r="F654" i="57" s="1"/>
  <c r="E655" i="57"/>
  <c r="E656" i="57"/>
  <c r="F656" i="57" s="1"/>
  <c r="E657" i="57"/>
  <c r="E658" i="57"/>
  <c r="F658" i="57" s="1"/>
  <c r="E659" i="57"/>
  <c r="E660" i="57"/>
  <c r="F660" i="57" s="1"/>
  <c r="E661" i="57"/>
  <c r="E662" i="57"/>
  <c r="F662" i="57" s="1"/>
  <c r="E663" i="57"/>
  <c r="E664" i="57"/>
  <c r="F664" i="57" s="1"/>
  <c r="E665" i="57"/>
  <c r="E666" i="57"/>
  <c r="F666" i="57" s="1"/>
  <c r="E667" i="57"/>
  <c r="E668" i="57"/>
  <c r="F668" i="57" s="1"/>
  <c r="E669" i="57"/>
  <c r="E670" i="57"/>
  <c r="F670" i="57" s="1"/>
  <c r="E671" i="57"/>
  <c r="E672" i="57"/>
  <c r="F672" i="57" s="1"/>
  <c r="E673" i="57"/>
  <c r="E674" i="57"/>
  <c r="F674" i="57" s="1"/>
  <c r="E675" i="57"/>
  <c r="E676" i="57"/>
  <c r="F676" i="57" s="1"/>
  <c r="E677" i="57"/>
  <c r="E678" i="57"/>
  <c r="F678" i="57" s="1"/>
  <c r="E679" i="57"/>
  <c r="E680" i="57"/>
  <c r="F680" i="57" s="1"/>
  <c r="E681" i="57"/>
  <c r="E682" i="57"/>
  <c r="F682" i="57" s="1"/>
  <c r="E683" i="57"/>
  <c r="E684" i="57"/>
  <c r="F684" i="57" s="1"/>
  <c r="E685" i="57"/>
  <c r="E686" i="57"/>
  <c r="F686" i="57" s="1"/>
  <c r="E687" i="57"/>
  <c r="E688" i="57"/>
  <c r="F688" i="57" s="1"/>
  <c r="E689" i="57"/>
  <c r="E690" i="57"/>
  <c r="F690" i="57" s="1"/>
  <c r="E691" i="57"/>
  <c r="E692" i="57"/>
  <c r="F692" i="57" s="1"/>
  <c r="E693" i="57"/>
  <c r="E694" i="57"/>
  <c r="F694" i="57" s="1"/>
  <c r="E695" i="57"/>
  <c r="E696" i="57"/>
  <c r="F696" i="57" s="1"/>
  <c r="E697" i="57"/>
  <c r="E698" i="57"/>
  <c r="F698" i="57" s="1"/>
  <c r="E699" i="57"/>
  <c r="E700" i="57"/>
  <c r="F700" i="57" s="1"/>
  <c r="E701" i="57"/>
  <c r="F701" i="57" s="1"/>
  <c r="E702" i="57"/>
  <c r="F702" i="57" s="1"/>
  <c r="E703" i="57"/>
  <c r="F703" i="57" s="1"/>
  <c r="E704" i="57"/>
  <c r="F704" i="57" s="1"/>
  <c r="E705" i="57"/>
  <c r="F705" i="57" s="1"/>
  <c r="E706" i="57"/>
  <c r="F706" i="57" s="1"/>
  <c r="F36" i="36" s="1"/>
  <c r="I36" i="36" s="1"/>
  <c r="E707" i="57"/>
  <c r="F707" i="57" s="1"/>
  <c r="E708" i="57"/>
  <c r="F708" i="57" s="1"/>
  <c r="E709" i="57"/>
  <c r="F709" i="57" s="1"/>
  <c r="E710" i="57"/>
  <c r="F710" i="57" s="1"/>
  <c r="E711" i="57"/>
  <c r="F711" i="57" s="1"/>
  <c r="E712" i="57"/>
  <c r="F712" i="57" s="1"/>
  <c r="E713" i="57"/>
  <c r="F713" i="57" s="1"/>
  <c r="E714" i="57"/>
  <c r="F714" i="57" s="1"/>
  <c r="E715" i="57"/>
  <c r="F715" i="57" s="1"/>
  <c r="E716" i="57"/>
  <c r="F716" i="57" s="1"/>
  <c r="E717" i="57"/>
  <c r="F717" i="57" s="1"/>
  <c r="E718" i="57"/>
  <c r="F718" i="57" s="1"/>
  <c r="E719" i="57"/>
  <c r="F719" i="57" s="1"/>
  <c r="E720" i="57"/>
  <c r="F720" i="57" s="1"/>
  <c r="E721" i="57"/>
  <c r="F721" i="57" s="1"/>
  <c r="E722" i="57"/>
  <c r="F722" i="57" s="1"/>
  <c r="E723" i="57"/>
  <c r="F723" i="57" s="1"/>
  <c r="E724" i="57"/>
  <c r="F724" i="57" s="1"/>
  <c r="E725" i="57"/>
  <c r="F725" i="57" s="1"/>
  <c r="E726" i="57"/>
  <c r="F726" i="57" s="1"/>
  <c r="E727" i="57"/>
  <c r="F727" i="57" s="1"/>
  <c r="E728" i="57"/>
  <c r="F728" i="57" s="1"/>
  <c r="E729" i="57"/>
  <c r="E730" i="57"/>
  <c r="F730" i="57" s="1"/>
  <c r="E731" i="57"/>
  <c r="F731" i="57" s="1"/>
  <c r="E732" i="57"/>
  <c r="F732" i="57" s="1"/>
  <c r="E733" i="57"/>
  <c r="F733" i="57" s="1"/>
  <c r="E734" i="57"/>
  <c r="F734" i="57" s="1"/>
  <c r="E735" i="57"/>
  <c r="F735" i="57" s="1"/>
  <c r="E736" i="57"/>
  <c r="F736" i="57" s="1"/>
  <c r="E737" i="57"/>
  <c r="F737" i="57" s="1"/>
  <c r="E738" i="57"/>
  <c r="F738" i="57" s="1"/>
  <c r="E739" i="57"/>
  <c r="F739" i="57" s="1"/>
  <c r="E740" i="57"/>
  <c r="E741" i="57"/>
  <c r="E742" i="57"/>
  <c r="E743" i="57"/>
  <c r="E744" i="57"/>
  <c r="F744" i="57" s="1"/>
  <c r="E745" i="57"/>
  <c r="F745" i="57" s="1"/>
  <c r="E746" i="57"/>
  <c r="F746" i="57" s="1"/>
  <c r="E747" i="57"/>
  <c r="F747" i="57" s="1"/>
  <c r="E748" i="57"/>
  <c r="F748" i="57" s="1"/>
  <c r="E749" i="57"/>
  <c r="F749" i="57" s="1"/>
  <c r="E750" i="57"/>
  <c r="F750" i="57" s="1"/>
  <c r="E751" i="57"/>
  <c r="F751" i="57" s="1"/>
  <c r="F740" i="57"/>
  <c r="F741" i="57"/>
  <c r="F742" i="57"/>
  <c r="F47" i="36" s="1"/>
  <c r="I47" i="36" s="1"/>
  <c r="F743" i="57"/>
  <c r="H63" i="50"/>
  <c r="M63" i="50"/>
  <c r="H751" i="57"/>
  <c r="H750" i="57"/>
  <c r="H62" i="50"/>
  <c r="M62" i="50"/>
  <c r="H749" i="57"/>
  <c r="H748" i="57"/>
  <c r="H747" i="57"/>
  <c r="H746" i="57"/>
  <c r="H745" i="57"/>
  <c r="H744" i="57"/>
  <c r="H743" i="57"/>
  <c r="H61" i="50"/>
  <c r="M61" i="50"/>
  <c r="H60" i="50"/>
  <c r="M60" i="50"/>
  <c r="H742" i="57"/>
  <c r="H59" i="50"/>
  <c r="M59" i="50"/>
  <c r="H58" i="50"/>
  <c r="M58" i="50"/>
  <c r="H57" i="50"/>
  <c r="M57" i="50"/>
  <c r="H741" i="57"/>
  <c r="H740" i="57"/>
  <c r="H31" i="36"/>
  <c r="B4" i="55"/>
  <c r="H739" i="57"/>
  <c r="H738" i="57"/>
  <c r="H737" i="57"/>
  <c r="H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8" i="36"/>
  <c r="H29" i="36"/>
  <c r="H30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50" i="36"/>
  <c r="H51" i="36"/>
  <c r="H58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83" i="36"/>
  <c r="H84" i="36"/>
  <c r="H85" i="36"/>
  <c r="H86" i="36"/>
  <c r="H87" i="36"/>
  <c r="H88" i="36"/>
  <c r="H89" i="36"/>
  <c r="H90" i="36"/>
  <c r="H91" i="36"/>
  <c r="H92" i="36"/>
  <c r="H93" i="36"/>
  <c r="H94" i="36"/>
  <c r="H95" i="36"/>
  <c r="H96" i="36"/>
  <c r="H97" i="36"/>
  <c r="H98" i="36"/>
  <c r="H99" i="36"/>
  <c r="H100" i="36"/>
  <c r="H101" i="36"/>
  <c r="H102" i="36"/>
  <c r="H103" i="36"/>
  <c r="H104" i="36"/>
  <c r="H105" i="36"/>
  <c r="H106" i="36"/>
  <c r="H107" i="36"/>
  <c r="H108" i="36"/>
  <c r="H109" i="36"/>
  <c r="H110" i="36"/>
  <c r="H111" i="36"/>
  <c r="H112" i="36"/>
  <c r="H113" i="36"/>
  <c r="H114" i="36"/>
  <c r="H115" i="36"/>
  <c r="H116" i="36"/>
  <c r="H117" i="36"/>
  <c r="H118" i="36"/>
  <c r="H119" i="36"/>
  <c r="H120" i="36"/>
  <c r="H121" i="36"/>
  <c r="H122" i="36"/>
  <c r="H123" i="36"/>
  <c r="H124" i="36"/>
  <c r="H125" i="36"/>
  <c r="H126" i="36"/>
  <c r="H127" i="36"/>
  <c r="H128" i="36"/>
  <c r="H129" i="36"/>
  <c r="H130" i="36"/>
  <c r="H131" i="36"/>
  <c r="H132" i="36"/>
  <c r="H133" i="36"/>
  <c r="H134" i="36"/>
  <c r="H135" i="36"/>
  <c r="H136" i="36"/>
  <c r="H137" i="36"/>
  <c r="H138" i="36"/>
  <c r="H139" i="36"/>
  <c r="H140" i="36"/>
  <c r="H141" i="36"/>
  <c r="H142" i="36"/>
  <c r="H143" i="36"/>
  <c r="H144" i="36"/>
  <c r="H145" i="36"/>
  <c r="H146" i="36"/>
  <c r="H147" i="36"/>
  <c r="H148" i="36"/>
  <c r="H149" i="36"/>
  <c r="H150" i="36"/>
  <c r="H151" i="36"/>
  <c r="H152" i="36"/>
  <c r="H153" i="36"/>
  <c r="H154" i="36"/>
  <c r="H155" i="36"/>
  <c r="H156" i="36"/>
  <c r="H157" i="36"/>
  <c r="H158" i="36"/>
  <c r="H159" i="36"/>
  <c r="H160" i="36"/>
  <c r="H161" i="36"/>
  <c r="H162" i="36"/>
  <c r="H163" i="36"/>
  <c r="H164" i="36"/>
  <c r="H165" i="36"/>
  <c r="H166" i="36"/>
  <c r="H167" i="36"/>
  <c r="H168" i="36"/>
  <c r="H169" i="36"/>
  <c r="H170" i="36"/>
  <c r="H171" i="36"/>
  <c r="H172" i="36"/>
  <c r="H173" i="36"/>
  <c r="H174" i="36"/>
  <c r="H175" i="36"/>
  <c r="H176" i="36"/>
  <c r="H177" i="36"/>
  <c r="H178" i="36"/>
  <c r="H179" i="36"/>
  <c r="H180" i="36"/>
  <c r="H181" i="36"/>
  <c r="H182" i="36"/>
  <c r="H183" i="36"/>
  <c r="H184" i="36"/>
  <c r="H185" i="36"/>
  <c r="H186" i="36"/>
  <c r="H187" i="36"/>
  <c r="H188" i="36"/>
  <c r="H189" i="36"/>
  <c r="H190" i="36"/>
  <c r="H191" i="36"/>
  <c r="H192" i="36"/>
  <c r="H193" i="36"/>
  <c r="H194" i="36"/>
  <c r="H195" i="36"/>
  <c r="H196" i="36"/>
  <c r="H197" i="36"/>
  <c r="H198" i="36"/>
  <c r="H199" i="36"/>
  <c r="H200" i="36"/>
  <c r="H201" i="36"/>
  <c r="H202" i="36"/>
  <c r="H203" i="36"/>
  <c r="H204" i="36"/>
  <c r="H205" i="36"/>
  <c r="H206" i="36"/>
  <c r="H207" i="36"/>
  <c r="H208" i="36"/>
  <c r="H209" i="36"/>
  <c r="H210" i="36"/>
  <c r="H211" i="36"/>
  <c r="H212" i="36"/>
  <c r="H213" i="36"/>
  <c r="H214" i="36"/>
  <c r="H215" i="36"/>
  <c r="H216" i="36"/>
  <c r="H217" i="36"/>
  <c r="H218" i="36"/>
  <c r="H219" i="36"/>
  <c r="H220" i="36"/>
  <c r="H221" i="36"/>
  <c r="H222" i="36"/>
  <c r="H223" i="36"/>
  <c r="H224" i="36"/>
  <c r="H225" i="36"/>
  <c r="H226" i="36"/>
  <c r="H227" i="36"/>
  <c r="H228" i="36"/>
  <c r="H229" i="36"/>
  <c r="H230" i="36"/>
  <c r="H231" i="36"/>
  <c r="H232" i="36"/>
  <c r="H233" i="36"/>
  <c r="H234" i="36"/>
  <c r="H235" i="36"/>
  <c r="H236" i="36"/>
  <c r="H237" i="36"/>
  <c r="H238" i="36"/>
  <c r="H239" i="36"/>
  <c r="H240" i="36"/>
  <c r="H241" i="36"/>
  <c r="H242" i="36"/>
  <c r="H243" i="36"/>
  <c r="H244" i="36"/>
  <c r="H245" i="36"/>
  <c r="H246" i="36"/>
  <c r="H247" i="36"/>
  <c r="H248" i="36"/>
  <c r="H249" i="36"/>
  <c r="H250" i="36"/>
  <c r="H251" i="36"/>
  <c r="H252" i="36"/>
  <c r="H253" i="36"/>
  <c r="H254" i="36"/>
  <c r="H255" i="36"/>
  <c r="H256" i="36"/>
  <c r="H257" i="36"/>
  <c r="H258" i="36"/>
  <c r="H259" i="36"/>
  <c r="H260" i="36"/>
  <c r="H261" i="36"/>
  <c r="H262" i="36"/>
  <c r="H263" i="36"/>
  <c r="H264" i="36"/>
  <c r="H265" i="36"/>
  <c r="H266" i="36"/>
  <c r="H267" i="36"/>
  <c r="H268" i="36"/>
  <c r="H269" i="36"/>
  <c r="H270" i="36"/>
  <c r="H271" i="36"/>
  <c r="H272" i="36"/>
  <c r="H273" i="36"/>
  <c r="H274" i="36"/>
  <c r="H275" i="36"/>
  <c r="H276" i="36"/>
  <c r="H277" i="36"/>
  <c r="H278" i="36"/>
  <c r="H279" i="36"/>
  <c r="H280" i="36"/>
  <c r="H281" i="36"/>
  <c r="H282" i="36"/>
  <c r="H283" i="36"/>
  <c r="H284" i="36"/>
  <c r="H285" i="36"/>
  <c r="H286" i="36"/>
  <c r="H287" i="36"/>
  <c r="H288" i="36"/>
  <c r="H289" i="36"/>
  <c r="H290" i="36"/>
  <c r="H291" i="36"/>
  <c r="H292" i="36"/>
  <c r="H293" i="36"/>
  <c r="H294" i="36"/>
  <c r="H295" i="36"/>
  <c r="H296" i="36"/>
  <c r="H297" i="36"/>
  <c r="H298" i="36"/>
  <c r="H299" i="36"/>
  <c r="H300" i="36"/>
  <c r="H301" i="36"/>
  <c r="H302" i="36"/>
  <c r="H303" i="36"/>
  <c r="H304" i="36"/>
  <c r="H305" i="36"/>
  <c r="H306" i="36"/>
  <c r="H307" i="36"/>
  <c r="H308" i="36"/>
  <c r="H309" i="36"/>
  <c r="H310" i="36"/>
  <c r="H311" i="36"/>
  <c r="H312" i="36"/>
  <c r="H313" i="36"/>
  <c r="H314" i="36"/>
  <c r="H315" i="36"/>
  <c r="H316" i="36"/>
  <c r="H317" i="36"/>
  <c r="H318" i="36"/>
  <c r="H319" i="36"/>
  <c r="H320" i="36"/>
  <c r="H321" i="36"/>
  <c r="H322" i="36"/>
  <c r="H323" i="36"/>
  <c r="H324" i="36"/>
  <c r="H325" i="36"/>
  <c r="H326" i="36"/>
  <c r="H327" i="36"/>
  <c r="H328" i="36"/>
  <c r="H329" i="36"/>
  <c r="H330" i="36"/>
  <c r="H331" i="36"/>
  <c r="H332" i="36"/>
  <c r="H333" i="36"/>
  <c r="H334" i="36"/>
  <c r="H335" i="36"/>
  <c r="H336" i="36"/>
  <c r="H337" i="36"/>
  <c r="H338" i="36"/>
  <c r="H339" i="36"/>
  <c r="H340" i="36"/>
  <c r="H341" i="36"/>
  <c r="H342" i="36"/>
  <c r="H343" i="36"/>
  <c r="H344" i="36"/>
  <c r="H345" i="36"/>
  <c r="H346" i="36"/>
  <c r="H347" i="36"/>
  <c r="H348" i="36"/>
  <c r="H349" i="36"/>
  <c r="H350" i="36"/>
  <c r="H351" i="36"/>
  <c r="H352" i="36"/>
  <c r="H353" i="36"/>
  <c r="H354" i="36"/>
  <c r="H355" i="36"/>
  <c r="H356" i="36"/>
  <c r="H357" i="36"/>
  <c r="H358" i="36"/>
  <c r="H359" i="36"/>
  <c r="H360" i="36"/>
  <c r="H361" i="36"/>
  <c r="H362" i="36"/>
  <c r="H363" i="36"/>
  <c r="H364" i="36"/>
  <c r="H365" i="36"/>
  <c r="H366" i="36"/>
  <c r="H367" i="36"/>
  <c r="D3" i="55"/>
  <c r="Q2" i="36"/>
  <c r="Q3" i="36"/>
  <c r="Q4" i="36"/>
  <c r="Q5" i="36"/>
  <c r="Q6" i="36"/>
  <c r="Q7" i="36"/>
  <c r="Q8" i="36"/>
  <c r="Q9" i="36"/>
  <c r="Q10" i="36"/>
  <c r="Q11" i="36"/>
  <c r="Q12" i="36"/>
  <c r="Q13" i="36"/>
  <c r="Q14" i="36"/>
  <c r="Q15" i="36"/>
  <c r="Q16" i="36"/>
  <c r="Q17" i="36"/>
  <c r="Q21" i="36"/>
  <c r="Q22" i="36"/>
  <c r="Q23" i="36"/>
  <c r="Q25" i="36"/>
  <c r="Q28" i="36"/>
  <c r="Q30" i="36"/>
  <c r="Q32" i="36"/>
  <c r="Q33" i="36"/>
  <c r="Q34" i="36"/>
  <c r="Q35" i="36"/>
  <c r="Q36" i="36"/>
  <c r="Q37" i="36"/>
  <c r="Q39" i="36"/>
  <c r="Q40" i="36"/>
  <c r="Q41" i="36"/>
  <c r="Q43" i="36"/>
  <c r="Q44" i="36"/>
  <c r="Q45" i="36"/>
  <c r="Q46" i="36"/>
  <c r="Q47" i="36"/>
  <c r="Q48" i="36"/>
  <c r="Q49" i="36"/>
  <c r="Q50" i="36"/>
  <c r="Q51" i="36"/>
  <c r="Q52" i="36"/>
  <c r="Q53" i="36"/>
  <c r="Q54" i="36"/>
  <c r="Q55" i="36"/>
  <c r="Q56" i="36"/>
  <c r="Q57" i="36"/>
  <c r="Q58" i="36"/>
  <c r="Q59" i="36"/>
  <c r="Q60" i="36"/>
  <c r="Q61" i="36"/>
  <c r="Q62" i="36"/>
  <c r="Q63" i="36"/>
  <c r="Q64" i="36"/>
  <c r="Q65" i="36"/>
  <c r="Q67" i="36"/>
  <c r="Q68" i="36"/>
  <c r="Q69" i="36"/>
  <c r="Q70" i="36"/>
  <c r="Q71" i="36"/>
  <c r="Q72" i="36"/>
  <c r="Q74" i="36"/>
  <c r="Q75" i="36"/>
  <c r="Q76" i="36"/>
  <c r="Q77" i="36"/>
  <c r="Q78" i="36"/>
  <c r="Q79" i="36"/>
  <c r="Q80" i="36"/>
  <c r="Q81" i="36"/>
  <c r="Q82" i="36"/>
  <c r="Q83" i="36"/>
  <c r="Q84" i="36"/>
  <c r="Q85" i="36"/>
  <c r="Q86" i="36"/>
  <c r="Q87" i="36"/>
  <c r="Q88" i="36"/>
  <c r="Q89" i="36"/>
  <c r="Q90" i="36"/>
  <c r="Q91" i="36"/>
  <c r="Q92" i="36"/>
  <c r="Q93" i="36"/>
  <c r="Q94" i="36"/>
  <c r="Q95" i="36"/>
  <c r="Q96" i="36"/>
  <c r="Q97" i="36"/>
  <c r="Q98" i="36"/>
  <c r="Q99" i="36"/>
  <c r="Q100" i="36"/>
  <c r="Q101" i="36"/>
  <c r="Q102" i="36"/>
  <c r="Q103" i="36"/>
  <c r="Q104" i="36"/>
  <c r="Q105" i="36"/>
  <c r="Q106" i="36"/>
  <c r="Q107" i="36"/>
  <c r="Q108" i="36"/>
  <c r="Q109" i="36"/>
  <c r="Q110" i="36"/>
  <c r="Q111" i="36"/>
  <c r="Q112" i="36"/>
  <c r="Q113" i="36"/>
  <c r="Q114" i="36"/>
  <c r="Q115" i="36"/>
  <c r="Q116" i="36"/>
  <c r="Q117" i="36"/>
  <c r="Q118" i="36"/>
  <c r="Q119" i="36"/>
  <c r="Q120" i="36"/>
  <c r="Q121" i="36"/>
  <c r="Q122" i="36"/>
  <c r="Q123" i="36"/>
  <c r="Q124" i="36"/>
  <c r="Q125" i="36"/>
  <c r="Q126" i="36"/>
  <c r="Q127" i="36"/>
  <c r="Q128" i="36"/>
  <c r="Q129" i="36"/>
  <c r="Q130" i="36"/>
  <c r="Q131" i="36"/>
  <c r="Q132" i="36"/>
  <c r="Q133" i="36"/>
  <c r="Q134" i="36"/>
  <c r="Q135" i="36"/>
  <c r="Q136" i="36"/>
  <c r="Q137" i="36"/>
  <c r="Q138" i="36"/>
  <c r="Q139" i="36"/>
  <c r="Q140" i="36"/>
  <c r="Q141" i="36"/>
  <c r="Q142" i="36"/>
  <c r="Q143" i="36"/>
  <c r="Q144" i="36"/>
  <c r="Q145" i="36"/>
  <c r="Q146" i="36"/>
  <c r="Q147" i="36"/>
  <c r="Q148" i="36"/>
  <c r="Q149" i="36"/>
  <c r="Q150" i="36"/>
  <c r="Q151" i="36"/>
  <c r="Q152" i="36"/>
  <c r="Q153" i="36"/>
  <c r="Q154" i="36"/>
  <c r="Q155" i="36"/>
  <c r="Q156" i="36"/>
  <c r="Q157" i="36"/>
  <c r="Q158" i="36"/>
  <c r="Q159" i="36"/>
  <c r="Q160" i="36"/>
  <c r="Q161" i="36"/>
  <c r="Q162" i="36"/>
  <c r="Q163" i="36"/>
  <c r="Q164" i="36"/>
  <c r="Q165" i="36"/>
  <c r="Q166" i="36"/>
  <c r="Q167" i="36"/>
  <c r="Q168" i="36"/>
  <c r="Q169" i="36"/>
  <c r="Q170" i="36"/>
  <c r="Q171" i="36"/>
  <c r="Q172" i="36"/>
  <c r="Q173" i="36"/>
  <c r="Q174" i="36"/>
  <c r="Q175" i="36"/>
  <c r="Q176" i="36"/>
  <c r="Q177" i="36"/>
  <c r="Q178" i="36"/>
  <c r="Q179" i="36"/>
  <c r="Q180" i="36"/>
  <c r="Q181" i="36"/>
  <c r="Q182" i="36"/>
  <c r="Q183" i="36"/>
  <c r="Q184" i="36"/>
  <c r="Q185" i="36"/>
  <c r="Q186" i="36"/>
  <c r="Q187" i="36"/>
  <c r="Q188" i="36"/>
  <c r="Q189" i="36"/>
  <c r="Q190" i="36"/>
  <c r="Q191" i="36"/>
  <c r="Q192" i="36"/>
  <c r="Q193" i="36"/>
  <c r="Q194" i="36"/>
  <c r="Q195" i="36"/>
  <c r="Q196" i="36"/>
  <c r="Q197" i="36"/>
  <c r="Q198" i="36"/>
  <c r="Q199" i="36"/>
  <c r="Q200" i="36"/>
  <c r="Q201" i="36"/>
  <c r="Q202" i="36"/>
  <c r="Q203" i="36"/>
  <c r="Q204" i="36"/>
  <c r="Q205" i="36"/>
  <c r="Q206" i="36"/>
  <c r="Q207" i="36"/>
  <c r="Q208" i="36"/>
  <c r="Q209" i="36"/>
  <c r="Q210" i="36"/>
  <c r="Q211" i="36"/>
  <c r="Q212" i="36"/>
  <c r="Q213" i="36"/>
  <c r="Q214" i="36"/>
  <c r="Q215" i="36"/>
  <c r="Q216" i="36"/>
  <c r="Q217" i="36"/>
  <c r="Q218" i="36"/>
  <c r="Q219" i="36"/>
  <c r="Q220" i="36"/>
  <c r="Q221" i="36"/>
  <c r="Q222" i="36"/>
  <c r="Q223" i="36"/>
  <c r="Q224" i="36"/>
  <c r="Q225" i="36"/>
  <c r="Q226" i="36"/>
  <c r="Q227" i="36"/>
  <c r="Q228" i="36"/>
  <c r="Q229" i="36"/>
  <c r="Q230" i="36"/>
  <c r="Q231" i="36"/>
  <c r="Q232" i="36"/>
  <c r="Q233" i="36"/>
  <c r="Q234" i="36"/>
  <c r="Q235" i="36"/>
  <c r="Q236" i="36"/>
  <c r="Q237" i="36"/>
  <c r="Q238" i="36"/>
  <c r="Q239" i="36"/>
  <c r="Q240" i="36"/>
  <c r="Q241" i="36"/>
  <c r="Q242" i="36"/>
  <c r="Q243" i="36"/>
  <c r="Q244" i="36"/>
  <c r="Q245" i="36"/>
  <c r="Q246" i="36"/>
  <c r="Q247" i="36"/>
  <c r="Q248" i="36"/>
  <c r="Q249" i="36"/>
  <c r="Q250" i="36"/>
  <c r="Q251" i="36"/>
  <c r="Q252" i="36"/>
  <c r="Q253" i="36"/>
  <c r="Q254" i="36"/>
  <c r="Q255" i="36"/>
  <c r="Q256" i="36"/>
  <c r="Q257" i="36"/>
  <c r="Q258" i="36"/>
  <c r="Q259" i="36"/>
  <c r="Q260" i="36"/>
  <c r="Q261" i="36"/>
  <c r="Q262" i="36"/>
  <c r="Q263" i="36"/>
  <c r="Q264" i="36"/>
  <c r="Q265" i="36"/>
  <c r="Q266" i="36"/>
  <c r="Q267" i="36"/>
  <c r="Q268" i="36"/>
  <c r="Q269" i="36"/>
  <c r="Q270" i="36"/>
  <c r="Q271" i="36"/>
  <c r="Q272" i="36"/>
  <c r="Q273" i="36"/>
  <c r="Q274" i="36"/>
  <c r="Q275" i="36"/>
  <c r="Q276" i="36"/>
  <c r="Q277" i="36"/>
  <c r="Q278" i="36"/>
  <c r="Q279" i="36"/>
  <c r="Q280" i="36"/>
  <c r="Q281" i="36"/>
  <c r="Q282" i="36"/>
  <c r="Q283" i="36"/>
  <c r="Q284" i="36"/>
  <c r="Q285" i="36"/>
  <c r="Q286" i="36"/>
  <c r="Q287" i="36"/>
  <c r="Q288" i="36"/>
  <c r="Q289" i="36"/>
  <c r="Q290" i="36"/>
  <c r="Q291" i="36"/>
  <c r="Q292" i="36"/>
  <c r="Q293" i="36"/>
  <c r="Q294" i="36"/>
  <c r="Q295" i="36"/>
  <c r="Q296" i="36"/>
  <c r="Q297" i="36"/>
  <c r="Q298" i="36"/>
  <c r="Q299" i="36"/>
  <c r="Q300" i="36"/>
  <c r="Q301" i="36"/>
  <c r="Q302" i="36"/>
  <c r="Q303" i="36"/>
  <c r="Q304" i="36"/>
  <c r="Q305" i="36"/>
  <c r="Q306" i="36"/>
  <c r="Q307" i="36"/>
  <c r="Q308" i="36"/>
  <c r="Q309" i="36"/>
  <c r="Q310" i="36"/>
  <c r="Q311" i="36"/>
  <c r="Q312" i="36"/>
  <c r="Q313" i="36"/>
  <c r="Q314" i="36"/>
  <c r="Q315" i="36"/>
  <c r="Q316" i="36"/>
  <c r="Q317" i="36"/>
  <c r="Q318" i="36"/>
  <c r="Q319" i="36"/>
  <c r="Q320" i="36"/>
  <c r="Q321" i="36"/>
  <c r="Q322" i="36"/>
  <c r="Q323" i="36"/>
  <c r="Q324" i="36"/>
  <c r="Q325" i="36"/>
  <c r="Q326" i="36"/>
  <c r="Q327" i="36"/>
  <c r="Q328" i="36"/>
  <c r="Q329" i="36"/>
  <c r="Q330" i="36"/>
  <c r="Q331" i="36"/>
  <c r="Q332" i="36"/>
  <c r="Q333" i="36"/>
  <c r="Q334" i="36"/>
  <c r="Q335" i="36"/>
  <c r="Q336" i="36"/>
  <c r="Q337" i="36"/>
  <c r="Q338" i="36"/>
  <c r="Q339" i="36"/>
  <c r="Q340" i="36"/>
  <c r="Q341" i="36"/>
  <c r="Q342" i="36"/>
  <c r="Q343" i="36"/>
  <c r="Q344" i="36"/>
  <c r="Q345" i="36"/>
  <c r="Q346" i="36"/>
  <c r="Q347" i="36"/>
  <c r="Q348" i="36"/>
  <c r="Q349" i="36"/>
  <c r="Q350" i="36"/>
  <c r="Q351" i="36"/>
  <c r="Q352" i="36"/>
  <c r="Q353" i="36"/>
  <c r="Q354" i="36"/>
  <c r="Q355" i="36"/>
  <c r="Q356" i="36"/>
  <c r="Q357" i="36"/>
  <c r="Q358" i="36"/>
  <c r="Q359" i="36"/>
  <c r="Q360" i="36"/>
  <c r="Q361" i="36"/>
  <c r="Q362" i="36"/>
  <c r="Q363" i="36"/>
  <c r="Q364" i="36"/>
  <c r="Q365" i="36"/>
  <c r="Q366" i="36"/>
  <c r="Q367" i="36"/>
  <c r="G2" i="51"/>
  <c r="H2" i="51"/>
  <c r="Q18" i="36"/>
  <c r="G3" i="51"/>
  <c r="H3" i="51"/>
  <c r="G4" i="51"/>
  <c r="H4" i="51"/>
  <c r="Q19" i="36"/>
  <c r="G5" i="51"/>
  <c r="H5" i="51"/>
  <c r="Q20" i="36"/>
  <c r="G6" i="51"/>
  <c r="H6" i="51"/>
  <c r="Q24" i="36"/>
  <c r="G7" i="51"/>
  <c r="H7" i="51"/>
  <c r="G8" i="51"/>
  <c r="H8" i="51"/>
  <c r="Q26" i="36"/>
  <c r="G9" i="51"/>
  <c r="H9" i="51"/>
  <c r="Q27" i="36"/>
  <c r="G10" i="51"/>
  <c r="H10" i="51"/>
  <c r="G11" i="51"/>
  <c r="H11" i="51"/>
  <c r="Q29" i="36"/>
  <c r="G12" i="51"/>
  <c r="H12" i="51"/>
  <c r="Q31" i="36"/>
  <c r="G13" i="51"/>
  <c r="H13" i="51"/>
  <c r="Q38" i="36"/>
  <c r="G14" i="51"/>
  <c r="H14" i="51"/>
  <c r="Q42" i="36"/>
  <c r="H736" i="57"/>
  <c r="H735" i="57"/>
  <c r="H734" i="57"/>
  <c r="H733" i="57"/>
  <c r="H732" i="57"/>
  <c r="H731" i="57"/>
  <c r="H730" i="57"/>
  <c r="F729" i="57"/>
  <c r="H729" i="57"/>
  <c r="F14" i="51"/>
  <c r="F13" i="51"/>
  <c r="H728" i="57"/>
  <c r="H727" i="57"/>
  <c r="H726" i="57"/>
  <c r="H725" i="57"/>
  <c r="H724" i="57"/>
  <c r="H723" i="57"/>
  <c r="H56" i="50"/>
  <c r="M56" i="50"/>
  <c r="H719" i="57"/>
  <c r="H722" i="57"/>
  <c r="H721" i="57"/>
  <c r="H720" i="57"/>
  <c r="H718" i="57"/>
  <c r="H717" i="57"/>
  <c r="H716" i="57"/>
  <c r="H715" i="57"/>
  <c r="H714" i="57"/>
  <c r="H713" i="57"/>
  <c r="H712" i="57"/>
  <c r="H55" i="50"/>
  <c r="M55" i="50"/>
  <c r="H54" i="50"/>
  <c r="M54" i="50"/>
  <c r="H53" i="50"/>
  <c r="M53" i="50"/>
  <c r="H52" i="50"/>
  <c r="M52" i="50"/>
  <c r="H711" i="57"/>
  <c r="H710" i="57"/>
  <c r="H709" i="57"/>
  <c r="H708" i="57"/>
  <c r="H707" i="57"/>
  <c r="H706" i="57"/>
  <c r="H51" i="50"/>
  <c r="M51" i="50"/>
  <c r="H50" i="50"/>
  <c r="M50" i="50"/>
  <c r="H49" i="50"/>
  <c r="M49" i="50"/>
  <c r="H705" i="57"/>
  <c r="H704" i="57"/>
  <c r="H703" i="57"/>
  <c r="H702" i="57"/>
  <c r="H701" i="57"/>
  <c r="H700" i="57"/>
  <c r="H48" i="50"/>
  <c r="M48" i="50"/>
  <c r="F367" i="36"/>
  <c r="I367" i="36" s="1"/>
  <c r="E367" i="36"/>
  <c r="F366" i="36"/>
  <c r="I366" i="36" s="1"/>
  <c r="E366" i="36"/>
  <c r="F365" i="36"/>
  <c r="I365" i="36" s="1"/>
  <c r="E365" i="36"/>
  <c r="F364" i="36"/>
  <c r="I364" i="36" s="1"/>
  <c r="E364" i="36"/>
  <c r="F363" i="36"/>
  <c r="I363" i="36" s="1"/>
  <c r="E363" i="36"/>
  <c r="F362" i="36"/>
  <c r="I362" i="36" s="1"/>
  <c r="E362" i="36"/>
  <c r="F361" i="36"/>
  <c r="I361" i="36" s="1"/>
  <c r="E361" i="36"/>
  <c r="F360" i="36"/>
  <c r="I360" i="36" s="1"/>
  <c r="E360" i="36"/>
  <c r="F359" i="36"/>
  <c r="I359" i="36" s="1"/>
  <c r="E359" i="36"/>
  <c r="F358" i="36"/>
  <c r="I358" i="36" s="1"/>
  <c r="E358" i="36"/>
  <c r="F357" i="36"/>
  <c r="I357" i="36" s="1"/>
  <c r="E357" i="36"/>
  <c r="F356" i="36"/>
  <c r="I356" i="36" s="1"/>
  <c r="E356" i="36"/>
  <c r="F355" i="36"/>
  <c r="I355" i="36" s="1"/>
  <c r="E355" i="36"/>
  <c r="F354" i="36"/>
  <c r="I354" i="36" s="1"/>
  <c r="E354" i="36"/>
  <c r="F353" i="36"/>
  <c r="I353" i="36" s="1"/>
  <c r="E353" i="36"/>
  <c r="F352" i="36"/>
  <c r="I352" i="36" s="1"/>
  <c r="E352" i="36"/>
  <c r="F351" i="36"/>
  <c r="I351" i="36" s="1"/>
  <c r="E351" i="36"/>
  <c r="F350" i="36"/>
  <c r="I350" i="36" s="1"/>
  <c r="E350" i="36"/>
  <c r="F349" i="36"/>
  <c r="I349" i="36" s="1"/>
  <c r="E349" i="36"/>
  <c r="F348" i="36"/>
  <c r="I348" i="36" s="1"/>
  <c r="E348" i="36"/>
  <c r="F347" i="36"/>
  <c r="I347" i="36" s="1"/>
  <c r="E347" i="36"/>
  <c r="F346" i="36"/>
  <c r="I346" i="36" s="1"/>
  <c r="E346" i="36"/>
  <c r="F345" i="36"/>
  <c r="I345" i="36" s="1"/>
  <c r="E345" i="36"/>
  <c r="F344" i="36"/>
  <c r="I344" i="36" s="1"/>
  <c r="E344" i="36"/>
  <c r="F343" i="36"/>
  <c r="I343" i="36" s="1"/>
  <c r="E343" i="36"/>
  <c r="F342" i="36"/>
  <c r="I342" i="36" s="1"/>
  <c r="E342" i="36"/>
  <c r="F341" i="36"/>
  <c r="I341" i="36" s="1"/>
  <c r="E341" i="36"/>
  <c r="F340" i="36"/>
  <c r="I340" i="36" s="1"/>
  <c r="E340" i="36"/>
  <c r="F339" i="36"/>
  <c r="I339" i="36" s="1"/>
  <c r="E339" i="36"/>
  <c r="F338" i="36"/>
  <c r="I338" i="36" s="1"/>
  <c r="E338" i="36"/>
  <c r="F337" i="36"/>
  <c r="I337" i="36" s="1"/>
  <c r="E337" i="36"/>
  <c r="F336" i="36"/>
  <c r="I336" i="36" s="1"/>
  <c r="E336" i="36"/>
  <c r="F335" i="36"/>
  <c r="I335" i="36" s="1"/>
  <c r="E335" i="36"/>
  <c r="F334" i="36"/>
  <c r="I334" i="36" s="1"/>
  <c r="E334" i="36"/>
  <c r="F333" i="36"/>
  <c r="I333" i="36" s="1"/>
  <c r="E333" i="36"/>
  <c r="F332" i="36"/>
  <c r="I332" i="36" s="1"/>
  <c r="E332" i="36"/>
  <c r="F331" i="36"/>
  <c r="I331" i="36" s="1"/>
  <c r="E331" i="36"/>
  <c r="F330" i="36"/>
  <c r="I330" i="36" s="1"/>
  <c r="E330" i="36"/>
  <c r="F329" i="36"/>
  <c r="I329" i="36" s="1"/>
  <c r="E329" i="36"/>
  <c r="F328" i="36"/>
  <c r="I328" i="36" s="1"/>
  <c r="E328" i="36"/>
  <c r="F327" i="36"/>
  <c r="I327" i="36" s="1"/>
  <c r="E327" i="36"/>
  <c r="F326" i="36"/>
  <c r="I326" i="36" s="1"/>
  <c r="E326" i="36"/>
  <c r="F325" i="36"/>
  <c r="I325" i="36" s="1"/>
  <c r="E325" i="36"/>
  <c r="F324" i="36"/>
  <c r="I324" i="36" s="1"/>
  <c r="E324" i="36"/>
  <c r="F323" i="36"/>
  <c r="I323" i="36" s="1"/>
  <c r="E323" i="36"/>
  <c r="F322" i="36"/>
  <c r="I322" i="36" s="1"/>
  <c r="E322" i="36"/>
  <c r="F321" i="36"/>
  <c r="I321" i="36" s="1"/>
  <c r="E321" i="36"/>
  <c r="F320" i="36"/>
  <c r="I320" i="36" s="1"/>
  <c r="E320" i="36"/>
  <c r="F319" i="36"/>
  <c r="I319" i="36" s="1"/>
  <c r="E319" i="36"/>
  <c r="F318" i="36"/>
  <c r="I318" i="36" s="1"/>
  <c r="E318" i="36"/>
  <c r="F317" i="36"/>
  <c r="I317" i="36" s="1"/>
  <c r="E317" i="36"/>
  <c r="F316" i="36"/>
  <c r="I316" i="36" s="1"/>
  <c r="E316" i="36"/>
  <c r="F315" i="36"/>
  <c r="I315" i="36" s="1"/>
  <c r="E315" i="36"/>
  <c r="F314" i="36"/>
  <c r="I314" i="36" s="1"/>
  <c r="E314" i="36"/>
  <c r="F313" i="36"/>
  <c r="I313" i="36" s="1"/>
  <c r="E313" i="36"/>
  <c r="F312" i="36"/>
  <c r="I312" i="36" s="1"/>
  <c r="E312" i="36"/>
  <c r="F311" i="36"/>
  <c r="I311" i="36" s="1"/>
  <c r="E311" i="36"/>
  <c r="F310" i="36"/>
  <c r="I310" i="36" s="1"/>
  <c r="E310" i="36"/>
  <c r="F309" i="36"/>
  <c r="I309" i="36" s="1"/>
  <c r="E309" i="36"/>
  <c r="F308" i="36"/>
  <c r="I308" i="36" s="1"/>
  <c r="E308" i="36"/>
  <c r="F307" i="36"/>
  <c r="I307" i="36" s="1"/>
  <c r="E307" i="36"/>
  <c r="F306" i="36"/>
  <c r="I306" i="36" s="1"/>
  <c r="E306" i="36"/>
  <c r="F305" i="36"/>
  <c r="I305" i="36" s="1"/>
  <c r="E305" i="36"/>
  <c r="F304" i="36"/>
  <c r="I304" i="36" s="1"/>
  <c r="E304" i="36"/>
  <c r="F303" i="36"/>
  <c r="I303" i="36" s="1"/>
  <c r="E303" i="36"/>
  <c r="F302" i="36"/>
  <c r="I302" i="36" s="1"/>
  <c r="E302" i="36"/>
  <c r="F301" i="36"/>
  <c r="I301" i="36" s="1"/>
  <c r="E301" i="36"/>
  <c r="F300" i="36"/>
  <c r="I300" i="36" s="1"/>
  <c r="E300" i="36"/>
  <c r="F299" i="36"/>
  <c r="I299" i="36" s="1"/>
  <c r="E299" i="36"/>
  <c r="F298" i="36"/>
  <c r="I298" i="36" s="1"/>
  <c r="E298" i="36"/>
  <c r="F297" i="36"/>
  <c r="I297" i="36" s="1"/>
  <c r="E297" i="36"/>
  <c r="F296" i="36"/>
  <c r="I296" i="36" s="1"/>
  <c r="E296" i="36"/>
  <c r="F295" i="36"/>
  <c r="I295" i="36" s="1"/>
  <c r="E295" i="36"/>
  <c r="F294" i="36"/>
  <c r="I294" i="36" s="1"/>
  <c r="E294" i="36"/>
  <c r="F293" i="36"/>
  <c r="I293" i="36" s="1"/>
  <c r="E293" i="36"/>
  <c r="F292" i="36"/>
  <c r="I292" i="36" s="1"/>
  <c r="E292" i="36"/>
  <c r="F291" i="36"/>
  <c r="I291" i="36" s="1"/>
  <c r="E291" i="36"/>
  <c r="F290" i="36"/>
  <c r="I290" i="36" s="1"/>
  <c r="E290" i="36"/>
  <c r="F289" i="36"/>
  <c r="I289" i="36" s="1"/>
  <c r="E289" i="36"/>
  <c r="F288" i="36"/>
  <c r="I288" i="36" s="1"/>
  <c r="E288" i="36"/>
  <c r="F287" i="36"/>
  <c r="I287" i="36" s="1"/>
  <c r="E287" i="36"/>
  <c r="F286" i="36"/>
  <c r="I286" i="36" s="1"/>
  <c r="E286" i="36"/>
  <c r="F285" i="36"/>
  <c r="I285" i="36" s="1"/>
  <c r="E285" i="36"/>
  <c r="F284" i="36"/>
  <c r="I284" i="36" s="1"/>
  <c r="E284" i="36"/>
  <c r="F283" i="36"/>
  <c r="I283" i="36" s="1"/>
  <c r="E283" i="36"/>
  <c r="F282" i="36"/>
  <c r="I282" i="36" s="1"/>
  <c r="E282" i="36"/>
  <c r="F281" i="36"/>
  <c r="I281" i="36" s="1"/>
  <c r="E281" i="36"/>
  <c r="F280" i="36"/>
  <c r="I280" i="36" s="1"/>
  <c r="E280" i="36"/>
  <c r="F279" i="36"/>
  <c r="I279" i="36" s="1"/>
  <c r="E279" i="36"/>
  <c r="F278" i="36"/>
  <c r="I278" i="36" s="1"/>
  <c r="E278" i="36"/>
  <c r="F277" i="36"/>
  <c r="I277" i="36" s="1"/>
  <c r="E277" i="36"/>
  <c r="F276" i="36"/>
  <c r="I276" i="36" s="1"/>
  <c r="E276" i="36"/>
  <c r="F275" i="36"/>
  <c r="I275" i="36" s="1"/>
  <c r="E275" i="36"/>
  <c r="F274" i="36"/>
  <c r="I274" i="36" s="1"/>
  <c r="E274" i="36"/>
  <c r="F273" i="36"/>
  <c r="I273" i="36" s="1"/>
  <c r="E273" i="36"/>
  <c r="F272" i="36"/>
  <c r="I272" i="36" s="1"/>
  <c r="E272" i="36"/>
  <c r="F271" i="36"/>
  <c r="I271" i="36" s="1"/>
  <c r="E271" i="36"/>
  <c r="F270" i="36"/>
  <c r="I270" i="36" s="1"/>
  <c r="E270" i="36"/>
  <c r="F269" i="36"/>
  <c r="I269" i="36" s="1"/>
  <c r="E269" i="36"/>
  <c r="F268" i="36"/>
  <c r="I268" i="36" s="1"/>
  <c r="E268" i="36"/>
  <c r="F267" i="36"/>
  <c r="I267" i="36" s="1"/>
  <c r="E267" i="36"/>
  <c r="F266" i="36"/>
  <c r="I266" i="36" s="1"/>
  <c r="E266" i="36"/>
  <c r="F265" i="36"/>
  <c r="I265" i="36" s="1"/>
  <c r="E265" i="36"/>
  <c r="F264" i="36"/>
  <c r="I264" i="36" s="1"/>
  <c r="E264" i="36"/>
  <c r="F263" i="36"/>
  <c r="I263" i="36" s="1"/>
  <c r="E263" i="36"/>
  <c r="F262" i="36"/>
  <c r="I262" i="36" s="1"/>
  <c r="E262" i="36"/>
  <c r="F261" i="36"/>
  <c r="I261" i="36" s="1"/>
  <c r="E261" i="36"/>
  <c r="F260" i="36"/>
  <c r="I260" i="36" s="1"/>
  <c r="E260" i="36"/>
  <c r="F259" i="36"/>
  <c r="I259" i="36" s="1"/>
  <c r="E259" i="36"/>
  <c r="F258" i="36"/>
  <c r="I258" i="36" s="1"/>
  <c r="E258" i="36"/>
  <c r="F257" i="36"/>
  <c r="I257" i="36" s="1"/>
  <c r="E257" i="36"/>
  <c r="F256" i="36"/>
  <c r="I256" i="36" s="1"/>
  <c r="E256" i="36"/>
  <c r="F255" i="36"/>
  <c r="I255" i="36" s="1"/>
  <c r="E255" i="36"/>
  <c r="F254" i="36"/>
  <c r="I254" i="36" s="1"/>
  <c r="E254" i="36"/>
  <c r="F253" i="36"/>
  <c r="I253" i="36" s="1"/>
  <c r="E253" i="36"/>
  <c r="F252" i="36"/>
  <c r="I252" i="36" s="1"/>
  <c r="E252" i="36"/>
  <c r="F251" i="36"/>
  <c r="I251" i="36" s="1"/>
  <c r="E251" i="36"/>
  <c r="F250" i="36"/>
  <c r="I250" i="36" s="1"/>
  <c r="E250" i="36"/>
  <c r="F249" i="36"/>
  <c r="I249" i="36" s="1"/>
  <c r="E249" i="36"/>
  <c r="F248" i="36"/>
  <c r="I248" i="36" s="1"/>
  <c r="E248" i="36"/>
  <c r="F247" i="36"/>
  <c r="I247" i="36" s="1"/>
  <c r="E247" i="36"/>
  <c r="F246" i="36"/>
  <c r="I246" i="36" s="1"/>
  <c r="E246" i="36"/>
  <c r="F245" i="36"/>
  <c r="I245" i="36" s="1"/>
  <c r="E245" i="36"/>
  <c r="F244" i="36"/>
  <c r="I244" i="36" s="1"/>
  <c r="E244" i="36"/>
  <c r="F243" i="36"/>
  <c r="I243" i="36" s="1"/>
  <c r="E243" i="36"/>
  <c r="F242" i="36"/>
  <c r="I242" i="36" s="1"/>
  <c r="E242" i="36"/>
  <c r="F241" i="36"/>
  <c r="I241" i="36" s="1"/>
  <c r="E241" i="36"/>
  <c r="F240" i="36"/>
  <c r="I240" i="36" s="1"/>
  <c r="E240" i="36"/>
  <c r="F239" i="36"/>
  <c r="I239" i="36" s="1"/>
  <c r="E239" i="36"/>
  <c r="F238" i="36"/>
  <c r="I238" i="36" s="1"/>
  <c r="E238" i="36"/>
  <c r="F237" i="36"/>
  <c r="I237" i="36" s="1"/>
  <c r="E237" i="36"/>
  <c r="F236" i="36"/>
  <c r="I236" i="36" s="1"/>
  <c r="E236" i="36"/>
  <c r="F235" i="36"/>
  <c r="I235" i="36" s="1"/>
  <c r="E235" i="36"/>
  <c r="F234" i="36"/>
  <c r="I234" i="36" s="1"/>
  <c r="E234" i="36"/>
  <c r="F233" i="36"/>
  <c r="I233" i="36" s="1"/>
  <c r="E233" i="36"/>
  <c r="F232" i="36"/>
  <c r="I232" i="36" s="1"/>
  <c r="E232" i="36"/>
  <c r="F231" i="36"/>
  <c r="I231" i="36" s="1"/>
  <c r="E231" i="36"/>
  <c r="F230" i="36"/>
  <c r="I230" i="36" s="1"/>
  <c r="E230" i="36"/>
  <c r="F229" i="36"/>
  <c r="I229" i="36" s="1"/>
  <c r="E229" i="36"/>
  <c r="F228" i="36"/>
  <c r="I228" i="36" s="1"/>
  <c r="E228" i="36"/>
  <c r="F227" i="36"/>
  <c r="I227" i="36" s="1"/>
  <c r="E227" i="36"/>
  <c r="F226" i="36"/>
  <c r="I226" i="36" s="1"/>
  <c r="E226" i="36"/>
  <c r="F225" i="36"/>
  <c r="I225" i="36" s="1"/>
  <c r="E225" i="36"/>
  <c r="F224" i="36"/>
  <c r="I224" i="36" s="1"/>
  <c r="E224" i="36"/>
  <c r="F223" i="36"/>
  <c r="I223" i="36" s="1"/>
  <c r="E223" i="36"/>
  <c r="F222" i="36"/>
  <c r="I222" i="36" s="1"/>
  <c r="E222" i="36"/>
  <c r="F221" i="36"/>
  <c r="I221" i="36" s="1"/>
  <c r="E221" i="36"/>
  <c r="F220" i="36"/>
  <c r="I220" i="36" s="1"/>
  <c r="E220" i="36"/>
  <c r="F219" i="36"/>
  <c r="I219" i="36" s="1"/>
  <c r="E219" i="36"/>
  <c r="F218" i="36"/>
  <c r="I218" i="36" s="1"/>
  <c r="E218" i="36"/>
  <c r="F217" i="36"/>
  <c r="I217" i="36" s="1"/>
  <c r="E217" i="36"/>
  <c r="F216" i="36"/>
  <c r="I216" i="36" s="1"/>
  <c r="E216" i="36"/>
  <c r="F215" i="36"/>
  <c r="I215" i="36" s="1"/>
  <c r="E215" i="36"/>
  <c r="F214" i="36"/>
  <c r="I214" i="36" s="1"/>
  <c r="E214" i="36"/>
  <c r="F213" i="36"/>
  <c r="I213" i="36" s="1"/>
  <c r="E213" i="36"/>
  <c r="F212" i="36"/>
  <c r="I212" i="36" s="1"/>
  <c r="E212" i="36"/>
  <c r="F211" i="36"/>
  <c r="I211" i="36" s="1"/>
  <c r="E211" i="36"/>
  <c r="F210" i="36"/>
  <c r="I210" i="36" s="1"/>
  <c r="E210" i="36"/>
  <c r="F209" i="36"/>
  <c r="I209" i="36" s="1"/>
  <c r="E209" i="36"/>
  <c r="F208" i="36"/>
  <c r="I208" i="36" s="1"/>
  <c r="E208" i="36"/>
  <c r="F207" i="36"/>
  <c r="I207" i="36" s="1"/>
  <c r="E207" i="36"/>
  <c r="F206" i="36"/>
  <c r="I206" i="36" s="1"/>
  <c r="E206" i="36"/>
  <c r="F205" i="36"/>
  <c r="I205" i="36" s="1"/>
  <c r="E205" i="36"/>
  <c r="F204" i="36"/>
  <c r="I204" i="36" s="1"/>
  <c r="E204" i="36"/>
  <c r="F203" i="36"/>
  <c r="I203" i="36" s="1"/>
  <c r="E203" i="36"/>
  <c r="F202" i="36"/>
  <c r="I202" i="36" s="1"/>
  <c r="E202" i="36"/>
  <c r="F201" i="36"/>
  <c r="I201" i="36" s="1"/>
  <c r="E201" i="36"/>
  <c r="F200" i="36"/>
  <c r="I200" i="36" s="1"/>
  <c r="E200" i="36"/>
  <c r="F199" i="36"/>
  <c r="I199" i="36" s="1"/>
  <c r="E199" i="36"/>
  <c r="F198" i="36"/>
  <c r="I198" i="36" s="1"/>
  <c r="E198" i="36"/>
  <c r="F197" i="36"/>
  <c r="I197" i="36" s="1"/>
  <c r="E197" i="36"/>
  <c r="F196" i="36"/>
  <c r="I196" i="36" s="1"/>
  <c r="E196" i="36"/>
  <c r="F195" i="36"/>
  <c r="I195" i="36" s="1"/>
  <c r="E195" i="36"/>
  <c r="F194" i="36"/>
  <c r="I194" i="36" s="1"/>
  <c r="E194" i="36"/>
  <c r="F193" i="36"/>
  <c r="I193" i="36" s="1"/>
  <c r="E193" i="36"/>
  <c r="F192" i="36"/>
  <c r="I192" i="36" s="1"/>
  <c r="E192" i="36"/>
  <c r="F191" i="36"/>
  <c r="I191" i="36" s="1"/>
  <c r="E191" i="36"/>
  <c r="F190" i="36"/>
  <c r="I190" i="36" s="1"/>
  <c r="E190" i="36"/>
  <c r="E189" i="36"/>
  <c r="E188" i="36"/>
  <c r="E187" i="36"/>
  <c r="E186" i="36"/>
  <c r="E185" i="36"/>
  <c r="F184" i="36"/>
  <c r="I184" i="36" s="1"/>
  <c r="E184" i="36"/>
  <c r="F183" i="36"/>
  <c r="I183" i="36" s="1"/>
  <c r="E183" i="36"/>
  <c r="E182" i="36"/>
  <c r="E181" i="36"/>
  <c r="E180" i="36"/>
  <c r="E179" i="36"/>
  <c r="E178" i="36"/>
  <c r="F177" i="36"/>
  <c r="I177" i="36" s="1"/>
  <c r="E177" i="36"/>
  <c r="F176" i="36"/>
  <c r="I176" i="36" s="1"/>
  <c r="E176" i="36"/>
  <c r="F175" i="36"/>
  <c r="I175" i="36" s="1"/>
  <c r="E175" i="36"/>
  <c r="E174" i="36"/>
  <c r="E173" i="36"/>
  <c r="E172" i="36"/>
  <c r="E171" i="36"/>
  <c r="F170" i="36"/>
  <c r="I170" i="36" s="1"/>
  <c r="E170" i="36"/>
  <c r="F169" i="36"/>
  <c r="I169" i="36" s="1"/>
  <c r="E169" i="36"/>
  <c r="E168" i="36"/>
  <c r="E167" i="36"/>
  <c r="F166" i="36"/>
  <c r="I166" i="36" s="1"/>
  <c r="E166" i="36"/>
  <c r="E165" i="36"/>
  <c r="E164" i="36"/>
  <c r="F163" i="36"/>
  <c r="I163" i="36" s="1"/>
  <c r="E163" i="36"/>
  <c r="F162" i="36"/>
  <c r="I162" i="36" s="1"/>
  <c r="E162" i="36"/>
  <c r="F161" i="36"/>
  <c r="I161" i="36" s="1"/>
  <c r="E161" i="36"/>
  <c r="E160" i="36"/>
  <c r="E159" i="36"/>
  <c r="F158" i="36"/>
  <c r="I158" i="36" s="1"/>
  <c r="E158" i="36"/>
  <c r="F157" i="36"/>
  <c r="I157" i="36" s="1"/>
  <c r="E157" i="36"/>
  <c r="F156" i="36"/>
  <c r="I156" i="36" s="1"/>
  <c r="E156" i="36"/>
  <c r="F155" i="36"/>
  <c r="I155" i="36" s="1"/>
  <c r="E155" i="36"/>
  <c r="E154" i="36"/>
  <c r="E153" i="36"/>
  <c r="E152" i="36"/>
  <c r="E151" i="36"/>
  <c r="F150" i="36"/>
  <c r="I150" i="36" s="1"/>
  <c r="E150" i="36"/>
  <c r="F149" i="36"/>
  <c r="I149" i="36" s="1"/>
  <c r="E149" i="36"/>
  <c r="F148" i="36"/>
  <c r="I148" i="36" s="1"/>
  <c r="E148" i="36"/>
  <c r="E147" i="36"/>
  <c r="E146" i="36"/>
  <c r="E145" i="36"/>
  <c r="E144" i="36"/>
  <c r="E143" i="36"/>
  <c r="F142" i="36"/>
  <c r="I142" i="36" s="1"/>
  <c r="E142" i="36"/>
  <c r="F141" i="36"/>
  <c r="I141" i="36" s="1"/>
  <c r="E141" i="36"/>
  <c r="E140" i="36"/>
  <c r="E139" i="36"/>
  <c r="F138" i="36"/>
  <c r="I138" i="36" s="1"/>
  <c r="E138" i="36"/>
  <c r="E137" i="36"/>
  <c r="E136" i="36"/>
  <c r="F135" i="36"/>
  <c r="I135" i="36" s="1"/>
  <c r="E135" i="36"/>
  <c r="F134" i="36"/>
  <c r="I134" i="36" s="1"/>
  <c r="E134" i="36"/>
  <c r="E133" i="36"/>
  <c r="E132" i="36"/>
  <c r="E131" i="36"/>
  <c r="E130" i="36"/>
  <c r="E129" i="36"/>
  <c r="F128" i="36"/>
  <c r="I128" i="36" s="1"/>
  <c r="E128" i="36"/>
  <c r="F127" i="36"/>
  <c r="I127" i="36" s="1"/>
  <c r="E127" i="36"/>
  <c r="E126" i="36"/>
  <c r="E125" i="36"/>
  <c r="E124" i="36"/>
  <c r="E123" i="36"/>
  <c r="E122" i="36"/>
  <c r="F121" i="36"/>
  <c r="I121" i="36" s="1"/>
  <c r="E121" i="36"/>
  <c r="F120" i="36"/>
  <c r="I120" i="36" s="1"/>
  <c r="E120" i="36"/>
  <c r="E119" i="36"/>
  <c r="E118" i="36"/>
  <c r="E117" i="36"/>
  <c r="E116" i="36"/>
  <c r="E115" i="36"/>
  <c r="F114" i="36"/>
  <c r="I114" i="36" s="1"/>
  <c r="E114" i="36"/>
  <c r="F113" i="36"/>
  <c r="I113" i="36" s="1"/>
  <c r="E113" i="36"/>
  <c r="E112" i="36"/>
  <c r="E111" i="36"/>
  <c r="E110" i="36"/>
  <c r="F109" i="36"/>
  <c r="I109" i="36" s="1"/>
  <c r="E109" i="36"/>
  <c r="F108" i="36"/>
  <c r="I108" i="36" s="1"/>
  <c r="E108" i="36"/>
  <c r="F107" i="36"/>
  <c r="I107" i="36" s="1"/>
  <c r="E107" i="36"/>
  <c r="F106" i="36"/>
  <c r="I106" i="36" s="1"/>
  <c r="E106" i="36"/>
  <c r="E105" i="36"/>
  <c r="E104" i="36"/>
  <c r="E103" i="36"/>
  <c r="E102" i="36"/>
  <c r="F101" i="36"/>
  <c r="I101" i="36" s="1"/>
  <c r="E101" i="36"/>
  <c r="F100" i="36"/>
  <c r="I100" i="36" s="1"/>
  <c r="E100" i="36"/>
  <c r="F99" i="36"/>
  <c r="I99" i="36" s="1"/>
  <c r="E99" i="36"/>
  <c r="E98" i="36"/>
  <c r="F97" i="36"/>
  <c r="I97" i="36" s="1"/>
  <c r="E97" i="36"/>
  <c r="E96" i="36"/>
  <c r="E95" i="36"/>
  <c r="F94" i="36"/>
  <c r="I94" i="36" s="1"/>
  <c r="E94" i="36"/>
  <c r="F93" i="36"/>
  <c r="I93" i="36" s="1"/>
  <c r="E93" i="36"/>
  <c r="F92" i="36"/>
  <c r="I92" i="36" s="1"/>
  <c r="E92" i="36"/>
  <c r="F91" i="36"/>
  <c r="I91" i="36" s="1"/>
  <c r="E91" i="36"/>
  <c r="F90" i="36"/>
  <c r="I90" i="36" s="1"/>
  <c r="E90" i="36"/>
  <c r="F89" i="36"/>
  <c r="I89" i="36" s="1"/>
  <c r="E89" i="36"/>
  <c r="F88" i="36"/>
  <c r="I88" i="36" s="1"/>
  <c r="E88" i="36"/>
  <c r="F87" i="36"/>
  <c r="I87" i="36" s="1"/>
  <c r="E87" i="36"/>
  <c r="F86" i="36"/>
  <c r="I86" i="36" s="1"/>
  <c r="E86" i="36"/>
  <c r="F85" i="36"/>
  <c r="I85" i="36" s="1"/>
  <c r="E85" i="36"/>
  <c r="F84" i="36"/>
  <c r="I84" i="36" s="1"/>
  <c r="E84" i="36"/>
  <c r="E83" i="36"/>
  <c r="E82" i="36"/>
  <c r="F81" i="36"/>
  <c r="I81" i="36" s="1"/>
  <c r="E81" i="36"/>
  <c r="F80" i="36"/>
  <c r="I80" i="36" s="1"/>
  <c r="E80" i="36"/>
  <c r="F79" i="36"/>
  <c r="I79" i="36" s="1"/>
  <c r="E79" i="36"/>
  <c r="F78" i="36"/>
  <c r="I78" i="36" s="1"/>
  <c r="E78" i="36"/>
  <c r="F77" i="36"/>
  <c r="I77" i="36" s="1"/>
  <c r="E77" i="36"/>
  <c r="F76" i="36"/>
  <c r="I76" i="36" s="1"/>
  <c r="E76" i="36"/>
  <c r="E75" i="36"/>
  <c r="E74" i="36"/>
  <c r="E73" i="36"/>
  <c r="F72" i="36"/>
  <c r="I72" i="36" s="1"/>
  <c r="E72" i="36"/>
  <c r="F71" i="36"/>
  <c r="I71" i="36" s="1"/>
  <c r="E71" i="36"/>
  <c r="E70" i="36"/>
  <c r="F69" i="36"/>
  <c r="I69" i="36" s="1"/>
  <c r="E69" i="36"/>
  <c r="E68" i="36"/>
  <c r="E67" i="36"/>
  <c r="E66" i="36"/>
  <c r="F65" i="36"/>
  <c r="I65" i="36" s="1"/>
  <c r="E65" i="36"/>
  <c r="E64" i="36"/>
  <c r="E63" i="36"/>
  <c r="E62" i="36"/>
  <c r="F61" i="36"/>
  <c r="I61" i="36" s="1"/>
  <c r="E61" i="36"/>
  <c r="E60" i="36"/>
  <c r="E59" i="36"/>
  <c r="F58" i="36"/>
  <c r="I58" i="36" s="1"/>
  <c r="E58" i="36"/>
  <c r="E57" i="36"/>
  <c r="E56" i="36"/>
  <c r="E55" i="36"/>
  <c r="F54" i="36"/>
  <c r="I54" i="36" s="1"/>
  <c r="E54" i="36"/>
  <c r="E53" i="36"/>
  <c r="E52" i="36"/>
  <c r="F51" i="36"/>
  <c r="I51" i="36" s="1"/>
  <c r="E51" i="36"/>
  <c r="F50" i="36"/>
  <c r="I50" i="36" s="1"/>
  <c r="E50" i="36"/>
  <c r="E49" i="36"/>
  <c r="E48" i="36"/>
  <c r="E47" i="36"/>
  <c r="E46" i="36"/>
  <c r="E45" i="36"/>
  <c r="F44" i="36"/>
  <c r="I44" i="36" s="1"/>
  <c r="E44" i="36"/>
  <c r="F43" i="36"/>
  <c r="I43" i="36" s="1"/>
  <c r="E43" i="36"/>
  <c r="E42" i="36"/>
  <c r="E41" i="36"/>
  <c r="E40" i="36"/>
  <c r="E39" i="36"/>
  <c r="E38" i="36"/>
  <c r="F37" i="36"/>
  <c r="I37" i="36" s="1"/>
  <c r="E37" i="36"/>
  <c r="E36" i="36"/>
  <c r="E35" i="36"/>
  <c r="E34" i="36"/>
  <c r="E33" i="36"/>
  <c r="F699" i="57"/>
  <c r="H699" i="57"/>
  <c r="H698" i="57"/>
  <c r="F697" i="57"/>
  <c r="H697" i="57"/>
  <c r="H696" i="57"/>
  <c r="F695" i="57"/>
  <c r="H695" i="57"/>
  <c r="H694" i="57"/>
  <c r="H47" i="50"/>
  <c r="M47" i="50"/>
  <c r="H46" i="50"/>
  <c r="M46" i="50"/>
  <c r="F693" i="57"/>
  <c r="H693" i="57"/>
  <c r="H692" i="57"/>
  <c r="F691" i="57"/>
  <c r="H691" i="57"/>
  <c r="C367" i="36"/>
  <c r="H44" i="50"/>
  <c r="H45" i="50"/>
  <c r="M44" i="50"/>
  <c r="M45" i="50"/>
  <c r="H43" i="50"/>
  <c r="M43" i="50"/>
  <c r="H42" i="50"/>
  <c r="M42" i="50"/>
  <c r="H41" i="50"/>
  <c r="M41" i="50"/>
  <c r="H690" i="57"/>
  <c r="F689" i="57"/>
  <c r="H689" i="57"/>
  <c r="H688" i="57"/>
  <c r="H40" i="50"/>
  <c r="M40" i="50"/>
  <c r="H38" i="50"/>
  <c r="H39" i="50"/>
  <c r="M38" i="50"/>
  <c r="M39" i="50"/>
  <c r="F2" i="51"/>
  <c r="F3" i="51"/>
  <c r="F4" i="51"/>
  <c r="F5" i="51"/>
  <c r="F6" i="51"/>
  <c r="F7" i="51"/>
  <c r="F8" i="51"/>
  <c r="F9" i="51"/>
  <c r="F10" i="51"/>
  <c r="F11" i="51"/>
  <c r="F12" i="51"/>
  <c r="H37" i="50"/>
  <c r="M37" i="50"/>
  <c r="H36" i="50"/>
  <c r="M36" i="50"/>
  <c r="H35" i="50"/>
  <c r="M35" i="50"/>
  <c r="H34" i="50"/>
  <c r="M34" i="50"/>
  <c r="H33" i="50"/>
  <c r="M33" i="50"/>
  <c r="F687" i="57"/>
  <c r="H687" i="57"/>
  <c r="H686" i="57"/>
  <c r="F685" i="57"/>
  <c r="H685" i="57"/>
  <c r="H684" i="57"/>
  <c r="F683" i="57"/>
  <c r="H683" i="57"/>
  <c r="H682" i="57"/>
  <c r="F681" i="57"/>
  <c r="H681" i="57"/>
  <c r="H680" i="57"/>
  <c r="F679" i="57"/>
  <c r="H679" i="57"/>
  <c r="H678" i="57"/>
  <c r="F677" i="57"/>
  <c r="H677" i="57"/>
  <c r="H676" i="57"/>
  <c r="F675" i="57"/>
  <c r="H675" i="57"/>
  <c r="H674" i="57"/>
  <c r="F673" i="57"/>
  <c r="H673" i="57"/>
  <c r="H672" i="57"/>
  <c r="F671" i="57"/>
  <c r="H671" i="57"/>
  <c r="H670" i="57"/>
  <c r="F669" i="57"/>
  <c r="H669" i="57"/>
  <c r="H668" i="57"/>
  <c r="H30" i="50"/>
  <c r="H31" i="50"/>
  <c r="H32" i="50"/>
  <c r="M30" i="50"/>
  <c r="M31" i="50"/>
  <c r="M32" i="50"/>
  <c r="H29" i="50"/>
  <c r="M29" i="50"/>
  <c r="H27" i="50"/>
  <c r="H28" i="50"/>
  <c r="M27" i="50"/>
  <c r="M28" i="50"/>
  <c r="F667" i="57"/>
  <c r="H667" i="57"/>
  <c r="H666" i="57"/>
  <c r="F665" i="57"/>
  <c r="H665" i="57"/>
  <c r="H664" i="57"/>
  <c r="F663" i="57"/>
  <c r="H663" i="57"/>
  <c r="H25" i="50"/>
  <c r="H26" i="50"/>
  <c r="M25" i="50"/>
  <c r="M26" i="50"/>
  <c r="H24" i="50"/>
  <c r="M24" i="50"/>
  <c r="H23" i="50"/>
  <c r="M23" i="50"/>
  <c r="H22" i="50"/>
  <c r="M22" i="50"/>
  <c r="R21" i="50"/>
  <c r="H21" i="50"/>
  <c r="M21" i="50"/>
  <c r="H20" i="50"/>
  <c r="M20" i="50"/>
  <c r="H19" i="50"/>
  <c r="M19" i="50"/>
  <c r="H662" i="57"/>
  <c r="F661" i="57"/>
  <c r="F24" i="36" s="1"/>
  <c r="I24" i="36" s="1"/>
  <c r="H661" i="57"/>
  <c r="H660" i="57"/>
  <c r="F659" i="57"/>
  <c r="H659" i="57"/>
  <c r="H658" i="57"/>
  <c r="F657" i="57"/>
  <c r="H657" i="57"/>
  <c r="H656" i="57"/>
  <c r="F655" i="57"/>
  <c r="H655" i="57"/>
  <c r="H654" i="57"/>
  <c r="F653" i="57"/>
  <c r="F21" i="36" s="1"/>
  <c r="I21" i="36" s="1"/>
  <c r="H653" i="57"/>
  <c r="C2" i="36"/>
  <c r="F652" i="57"/>
  <c r="H652" i="57"/>
  <c r="F651" i="57"/>
  <c r="H651" i="57"/>
  <c r="F650" i="57"/>
  <c r="H650" i="57"/>
  <c r="F649" i="57"/>
  <c r="H649" i="57"/>
  <c r="F648" i="57"/>
  <c r="F20" i="36" s="1"/>
  <c r="I20" i="36" s="1"/>
  <c r="H648" i="57"/>
  <c r="M12" i="50"/>
  <c r="H16" i="50"/>
  <c r="H17" i="50"/>
  <c r="H18" i="50"/>
  <c r="M16" i="50"/>
  <c r="M17" i="50"/>
  <c r="M18" i="50"/>
  <c r="F647" i="57"/>
  <c r="H647" i="57"/>
  <c r="H646" i="57"/>
  <c r="F645" i="57"/>
  <c r="H645" i="57"/>
  <c r="H644" i="57"/>
  <c r="F643" i="57"/>
  <c r="H643" i="57"/>
  <c r="H642" i="57"/>
  <c r="F641" i="57"/>
  <c r="H641" i="57"/>
  <c r="H640" i="57"/>
  <c r="H15" i="50"/>
  <c r="M15" i="50"/>
  <c r="H14" i="50"/>
  <c r="M14" i="50"/>
  <c r="H13" i="50"/>
  <c r="M13" i="50"/>
  <c r="H12" i="50"/>
  <c r="H11" i="50"/>
  <c r="M11" i="50"/>
  <c r="F639" i="57"/>
  <c r="H639" i="57"/>
  <c r="F638" i="57"/>
  <c r="H638" i="57"/>
  <c r="F637" i="57"/>
  <c r="H637" i="57"/>
  <c r="F636" i="57"/>
  <c r="H636" i="57"/>
  <c r="F635" i="57"/>
  <c r="H635" i="57"/>
  <c r="F634" i="57"/>
  <c r="F18" i="36" s="1"/>
  <c r="I18" i="36" s="1"/>
  <c r="H634" i="57"/>
  <c r="H10" i="50"/>
  <c r="M10" i="50"/>
  <c r="H9" i="50"/>
  <c r="M9" i="50"/>
  <c r="H8" i="50"/>
  <c r="M8" i="50"/>
  <c r="H7" i="50"/>
  <c r="M7" i="50"/>
  <c r="H6" i="50"/>
  <c r="M6" i="50"/>
  <c r="E2" i="36"/>
  <c r="F2" i="36"/>
  <c r="I2" i="36" s="1"/>
  <c r="C3" i="36"/>
  <c r="E3" i="36"/>
  <c r="F3" i="36"/>
  <c r="I3" i="36" s="1"/>
  <c r="C4" i="36"/>
  <c r="E4" i="36"/>
  <c r="C5" i="36"/>
  <c r="F4" i="36"/>
  <c r="I4" i="36" s="1"/>
  <c r="E5" i="36"/>
  <c r="C6" i="36"/>
  <c r="F5" i="36"/>
  <c r="I5" i="36" s="1"/>
  <c r="E6" i="36"/>
  <c r="C7" i="36"/>
  <c r="F6" i="36"/>
  <c r="I6" i="36" s="1"/>
  <c r="F7" i="36"/>
  <c r="I7" i="36" s="1"/>
  <c r="C8" i="36"/>
  <c r="E7" i="36"/>
  <c r="F8" i="36"/>
  <c r="I8" i="36" s="1"/>
  <c r="C9" i="36"/>
  <c r="E8" i="36"/>
  <c r="E9" i="36"/>
  <c r="C10" i="36"/>
  <c r="F9" i="36"/>
  <c r="I9" i="36" s="1"/>
  <c r="E10" i="36"/>
  <c r="C11" i="36"/>
  <c r="F10" i="36"/>
  <c r="I10" i="36" s="1"/>
  <c r="C12" i="36"/>
  <c r="F11" i="36"/>
  <c r="I11" i="36" s="1"/>
  <c r="E11" i="36"/>
  <c r="F12" i="36"/>
  <c r="I12" i="36" s="1"/>
  <c r="C13" i="36"/>
  <c r="E12" i="36"/>
  <c r="E13" i="36"/>
  <c r="F13" i="36"/>
  <c r="I13" i="36" s="1"/>
  <c r="E14" i="36"/>
  <c r="C14" i="36"/>
  <c r="F14" i="36"/>
  <c r="I14" i="36" s="1"/>
  <c r="F15" i="36"/>
  <c r="I15" i="36" s="1"/>
  <c r="C15" i="36"/>
  <c r="C16" i="36"/>
  <c r="E15" i="36"/>
  <c r="E16" i="36"/>
  <c r="C17" i="36"/>
  <c r="F16" i="36"/>
  <c r="I16" i="36" s="1"/>
  <c r="E17" i="36"/>
  <c r="E18" i="36"/>
  <c r="F17" i="36"/>
  <c r="I17" i="36" s="1"/>
  <c r="C18" i="36"/>
  <c r="E19" i="36"/>
  <c r="C19" i="36"/>
  <c r="E20" i="36"/>
  <c r="C22" i="36"/>
  <c r="E21" i="36"/>
  <c r="F22" i="36"/>
  <c r="I22" i="36" s="1"/>
  <c r="E22" i="36"/>
  <c r="E23" i="36"/>
  <c r="C23" i="36"/>
  <c r="F23" i="36"/>
  <c r="I23" i="36" s="1"/>
  <c r="C24" i="36"/>
  <c r="E24" i="36"/>
  <c r="C25" i="36"/>
  <c r="E25" i="36"/>
  <c r="E26" i="36"/>
  <c r="C26" i="36"/>
  <c r="E27" i="36"/>
  <c r="C27" i="36"/>
  <c r="C28" i="36"/>
  <c r="C29" i="36"/>
  <c r="E28" i="36"/>
  <c r="F29" i="36"/>
  <c r="I29" i="36" s="1"/>
  <c r="C30" i="36"/>
  <c r="E29" i="36"/>
  <c r="E30" i="36"/>
  <c r="C31" i="36"/>
  <c r="F30" i="36"/>
  <c r="I30" i="36" s="1"/>
  <c r="E31" i="36"/>
  <c r="C32" i="36"/>
  <c r="E32" i="36"/>
  <c r="F32" i="36"/>
  <c r="I32" i="36" s="1"/>
  <c r="C33" i="36"/>
  <c r="C34" i="36"/>
  <c r="C35" i="36"/>
  <c r="C36" i="36"/>
  <c r="C37" i="36"/>
  <c r="C38" i="36"/>
  <c r="C39" i="36"/>
  <c r="C40" i="36"/>
  <c r="C41" i="36"/>
  <c r="C42" i="36"/>
  <c r="C43" i="36"/>
  <c r="C44" i="36"/>
  <c r="C45" i="36"/>
  <c r="C46" i="36"/>
  <c r="C47" i="36"/>
  <c r="C48" i="36"/>
  <c r="C49" i="36"/>
  <c r="C50" i="36"/>
  <c r="C51" i="36"/>
  <c r="C52" i="36"/>
  <c r="C53" i="36"/>
  <c r="C54" i="36"/>
  <c r="C55" i="36"/>
  <c r="C56" i="36"/>
  <c r="C57" i="36"/>
  <c r="C58" i="36"/>
  <c r="C59" i="36"/>
  <c r="C60" i="36"/>
  <c r="C61" i="36"/>
  <c r="C62" i="36"/>
  <c r="C63" i="36"/>
  <c r="C64" i="36"/>
  <c r="C65" i="36"/>
  <c r="C66" i="36"/>
  <c r="C67" i="36"/>
  <c r="C68" i="36"/>
  <c r="C69" i="36"/>
  <c r="C70" i="36"/>
  <c r="C71" i="36"/>
  <c r="C72" i="36"/>
  <c r="C73" i="36"/>
  <c r="C74" i="36"/>
  <c r="C75" i="36"/>
  <c r="C76" i="36"/>
  <c r="C77" i="36"/>
  <c r="C78" i="36"/>
  <c r="C79" i="36"/>
  <c r="C80" i="36"/>
  <c r="C81" i="36"/>
  <c r="C82" i="36"/>
  <c r="C83" i="36"/>
  <c r="C84" i="36"/>
  <c r="C85" i="36"/>
  <c r="C86" i="36"/>
  <c r="C87" i="36"/>
  <c r="C88" i="36"/>
  <c r="C89" i="36"/>
  <c r="C90" i="36"/>
  <c r="C91" i="36"/>
  <c r="C92" i="36"/>
  <c r="C93" i="36"/>
  <c r="C94" i="36"/>
  <c r="C95" i="36"/>
  <c r="C96" i="36"/>
  <c r="C97" i="36"/>
  <c r="C98" i="36"/>
  <c r="C99" i="36"/>
  <c r="C100" i="36"/>
  <c r="C101" i="36"/>
  <c r="C102" i="36"/>
  <c r="C103" i="36"/>
  <c r="C104" i="36"/>
  <c r="C105" i="36"/>
  <c r="C106" i="36"/>
  <c r="C107" i="36"/>
  <c r="C108" i="36"/>
  <c r="C109" i="36"/>
  <c r="C110" i="36"/>
  <c r="C111" i="36"/>
  <c r="C112" i="36"/>
  <c r="C113" i="36"/>
  <c r="C114" i="36"/>
  <c r="C115" i="36"/>
  <c r="C116" i="36"/>
  <c r="C117" i="36"/>
  <c r="C118" i="36"/>
  <c r="C119" i="36"/>
  <c r="C120" i="36"/>
  <c r="C121" i="36"/>
  <c r="C122" i="36"/>
  <c r="C123" i="36"/>
  <c r="C124" i="36"/>
  <c r="C125" i="36"/>
  <c r="C126" i="36"/>
  <c r="C127" i="36"/>
  <c r="C128" i="36"/>
  <c r="C129" i="36"/>
  <c r="C130" i="36"/>
  <c r="C131" i="36"/>
  <c r="C132" i="36"/>
  <c r="C133" i="36"/>
  <c r="C134" i="36"/>
  <c r="C135" i="36"/>
  <c r="C136" i="36"/>
  <c r="C137" i="36"/>
  <c r="C138" i="36"/>
  <c r="C139" i="36"/>
  <c r="C140" i="36"/>
  <c r="C141" i="36"/>
  <c r="C142" i="36"/>
  <c r="C143" i="36"/>
  <c r="C144" i="36"/>
  <c r="C145" i="36"/>
  <c r="C146" i="36"/>
  <c r="C147" i="36"/>
  <c r="C148" i="36"/>
  <c r="C149" i="36"/>
  <c r="C150" i="36"/>
  <c r="C151" i="36"/>
  <c r="C152" i="36"/>
  <c r="C153" i="36"/>
  <c r="C154" i="36"/>
  <c r="C155" i="36"/>
  <c r="C156" i="36"/>
  <c r="C157" i="36"/>
  <c r="C158" i="36"/>
  <c r="C159" i="36"/>
  <c r="C160" i="36"/>
  <c r="C161" i="36"/>
  <c r="C162" i="36"/>
  <c r="C163" i="36"/>
  <c r="C164" i="36"/>
  <c r="C165" i="36"/>
  <c r="C166" i="36"/>
  <c r="C167" i="36"/>
  <c r="C168" i="36"/>
  <c r="C169" i="36"/>
  <c r="C170" i="36"/>
  <c r="C171" i="36"/>
  <c r="C172" i="36"/>
  <c r="C173" i="36"/>
  <c r="C174" i="36"/>
  <c r="C175" i="36"/>
  <c r="C176" i="36"/>
  <c r="C177" i="36"/>
  <c r="C178" i="36"/>
  <c r="C179" i="36"/>
  <c r="C180" i="36"/>
  <c r="C181" i="36"/>
  <c r="C182" i="36"/>
  <c r="C183" i="36"/>
  <c r="C184" i="36"/>
  <c r="C185" i="36"/>
  <c r="C186" i="36"/>
  <c r="C187" i="36"/>
  <c r="C188" i="36"/>
  <c r="C189" i="36"/>
  <c r="C190" i="36"/>
  <c r="C191" i="36"/>
  <c r="C192" i="36"/>
  <c r="C193" i="36"/>
  <c r="C194" i="36"/>
  <c r="C195" i="36"/>
  <c r="C196" i="36"/>
  <c r="C197" i="36"/>
  <c r="C198" i="36"/>
  <c r="C199" i="36"/>
  <c r="C200" i="36"/>
  <c r="C201" i="36"/>
  <c r="C202" i="36"/>
  <c r="C203" i="36"/>
  <c r="C204" i="36"/>
  <c r="C205" i="36"/>
  <c r="C206" i="36"/>
  <c r="C207" i="36"/>
  <c r="C208" i="36"/>
  <c r="C209" i="36"/>
  <c r="C210" i="36"/>
  <c r="C211" i="36"/>
  <c r="C212" i="36"/>
  <c r="C213" i="36"/>
  <c r="C214" i="36"/>
  <c r="C215" i="36"/>
  <c r="C216" i="36"/>
  <c r="C217" i="36"/>
  <c r="C218" i="36"/>
  <c r="C219" i="36"/>
  <c r="C220" i="36"/>
  <c r="C221" i="36"/>
  <c r="C222" i="36"/>
  <c r="C223" i="36"/>
  <c r="C224" i="36"/>
  <c r="C225" i="36"/>
  <c r="C226" i="36"/>
  <c r="C227" i="36"/>
  <c r="C228" i="36"/>
  <c r="C229" i="36"/>
  <c r="C230" i="36"/>
  <c r="C231" i="36"/>
  <c r="C232" i="36"/>
  <c r="C233" i="36"/>
  <c r="C234" i="36"/>
  <c r="C235" i="36"/>
  <c r="C236" i="36"/>
  <c r="C237" i="36"/>
  <c r="C238" i="36"/>
  <c r="C239" i="36"/>
  <c r="C240" i="36"/>
  <c r="C241" i="36"/>
  <c r="C242" i="36"/>
  <c r="C243" i="36"/>
  <c r="C244" i="36"/>
  <c r="C245" i="36"/>
  <c r="C246" i="36"/>
  <c r="C247" i="36"/>
  <c r="C248" i="36"/>
  <c r="C249" i="36"/>
  <c r="C250" i="36"/>
  <c r="C251" i="36"/>
  <c r="C252" i="36"/>
  <c r="C253" i="36"/>
  <c r="C254" i="36"/>
  <c r="C255" i="36"/>
  <c r="C256" i="36"/>
  <c r="C257" i="36"/>
  <c r="C258" i="36"/>
  <c r="C259" i="36"/>
  <c r="C260" i="36"/>
  <c r="C261" i="36"/>
  <c r="C262" i="36"/>
  <c r="C263" i="36"/>
  <c r="C264" i="36"/>
  <c r="C265" i="36"/>
  <c r="C266" i="36"/>
  <c r="C267" i="36"/>
  <c r="C268" i="36"/>
  <c r="C269" i="36"/>
  <c r="C270" i="36"/>
  <c r="C271" i="36"/>
  <c r="C272" i="36"/>
  <c r="C273" i="36"/>
  <c r="C274" i="36"/>
  <c r="C275" i="36"/>
  <c r="C276" i="36"/>
  <c r="C277" i="36"/>
  <c r="C278" i="36"/>
  <c r="C279" i="36"/>
  <c r="C280" i="36"/>
  <c r="C281" i="36"/>
  <c r="C282" i="36"/>
  <c r="C283" i="36"/>
  <c r="C284" i="36"/>
  <c r="C285" i="36"/>
  <c r="C286" i="36"/>
  <c r="C287" i="36"/>
  <c r="C288" i="36"/>
  <c r="C289" i="36"/>
  <c r="C290" i="36"/>
  <c r="C291" i="36"/>
  <c r="C292" i="36"/>
  <c r="C293" i="36"/>
  <c r="C294" i="36"/>
  <c r="C295" i="36"/>
  <c r="C296" i="36"/>
  <c r="C297" i="36"/>
  <c r="C298" i="36"/>
  <c r="C299" i="36"/>
  <c r="C300" i="36"/>
  <c r="C301" i="36"/>
  <c r="C302" i="36"/>
  <c r="C303" i="36"/>
  <c r="C304" i="36"/>
  <c r="C305" i="36"/>
  <c r="C306" i="36"/>
  <c r="C307" i="36"/>
  <c r="C308" i="36"/>
  <c r="C309" i="36"/>
  <c r="C310" i="36"/>
  <c r="C311" i="36"/>
  <c r="C312" i="36"/>
  <c r="C313" i="36"/>
  <c r="C314" i="36"/>
  <c r="C315" i="36"/>
  <c r="C316" i="36"/>
  <c r="C317" i="36"/>
  <c r="C318" i="36"/>
  <c r="C319" i="36"/>
  <c r="C320" i="36"/>
  <c r="C321" i="36"/>
  <c r="C322" i="36"/>
  <c r="C323" i="36"/>
  <c r="C324" i="36"/>
  <c r="C325" i="36"/>
  <c r="C326" i="36"/>
  <c r="C327" i="36"/>
  <c r="C328" i="36"/>
  <c r="C329" i="36"/>
  <c r="C330" i="36"/>
  <c r="C331" i="36"/>
  <c r="C332" i="36"/>
  <c r="C333" i="36"/>
  <c r="C334" i="36"/>
  <c r="C335" i="36"/>
  <c r="C336" i="36"/>
  <c r="C337" i="36"/>
  <c r="C338" i="36"/>
  <c r="C339" i="36"/>
  <c r="C340" i="36"/>
  <c r="C341" i="36"/>
  <c r="C342" i="36"/>
  <c r="C343" i="36"/>
  <c r="C344" i="36"/>
  <c r="C345" i="36"/>
  <c r="C346" i="36"/>
  <c r="C347" i="36"/>
  <c r="C348" i="36"/>
  <c r="C349" i="36"/>
  <c r="C350" i="36"/>
  <c r="C351" i="36"/>
  <c r="C352" i="36"/>
  <c r="C353" i="36"/>
  <c r="C354" i="36"/>
  <c r="C355" i="36"/>
  <c r="C356" i="36"/>
  <c r="C357" i="36"/>
  <c r="C358" i="36"/>
  <c r="C359" i="36"/>
  <c r="C360" i="36"/>
  <c r="C361" i="36"/>
  <c r="C362" i="36"/>
  <c r="C363" i="36"/>
  <c r="C364" i="36"/>
  <c r="C366" i="36"/>
  <c r="C365" i="36"/>
  <c r="B25" i="72" a="1"/>
  <c r="B39" i="72" a="1"/>
  <c r="B18" i="72" a="1"/>
  <c r="B31" i="72" a="1"/>
  <c r="B22" i="72" a="1"/>
  <c r="B45" i="72" a="1"/>
  <c r="B13" i="72" a="1"/>
  <c r="B23" i="72" a="1"/>
  <c r="B28" i="72" a="1"/>
  <c r="B33" i="72" a="1"/>
  <c r="B15" i="72" a="1"/>
  <c r="B32" i="72" a="1"/>
  <c r="B42" i="72" a="1"/>
  <c r="B34" i="72" a="1"/>
  <c r="B17" i="72" a="1"/>
  <c r="B38" i="72" a="1"/>
  <c r="B21" i="72" a="1"/>
  <c r="B37" i="72" a="1"/>
  <c r="B20" i="72" a="1"/>
  <c r="B19" i="72" a="1"/>
  <c r="B16" i="72" a="1"/>
  <c r="B40" i="72" a="1"/>
  <c r="B11" i="72" a="1"/>
  <c r="B12" i="72" a="1"/>
  <c r="B26" i="72" a="1"/>
  <c r="B29" i="72" a="1"/>
  <c r="B36" i="72" a="1"/>
  <c r="B41" i="72" a="1"/>
  <c r="B35" i="72" a="1"/>
  <c r="B30" i="72" a="1"/>
  <c r="B27" i="72" a="1"/>
  <c r="B44" i="72" a="1"/>
  <c r="B14" i="72" a="1"/>
  <c r="B24" i="72" a="1"/>
  <c r="B43" i="72" a="1"/>
  <c r="A1" i="56" a="1"/>
  <c r="M184" i="57" l="1"/>
  <c r="M952" i="57"/>
  <c r="M177" i="57"/>
  <c r="M918" i="57"/>
  <c r="M886" i="57"/>
  <c r="M139" i="57"/>
  <c r="M1075" i="57"/>
  <c r="M79" i="57"/>
  <c r="M1099" i="57"/>
  <c r="M913" i="57"/>
  <c r="M797" i="57"/>
  <c r="M129" i="57"/>
  <c r="M1046" i="57"/>
  <c r="M865" i="57"/>
  <c r="M135" i="57"/>
  <c r="M1059" i="57"/>
  <c r="M968" i="57"/>
  <c r="M780" i="57"/>
  <c r="M44" i="57"/>
  <c r="M1013" i="57"/>
  <c r="M170" i="57"/>
  <c r="M947" i="57"/>
  <c r="M970" i="57"/>
  <c r="M647" i="57"/>
  <c r="M116" i="57"/>
  <c r="M108" i="57"/>
  <c r="M934" i="57"/>
  <c r="M958" i="57"/>
  <c r="M1025" i="57"/>
  <c r="M905" i="57"/>
  <c r="M419" i="57"/>
  <c r="M83" i="57"/>
  <c r="M1042" i="57"/>
  <c r="M838" i="57"/>
  <c r="M103" i="57"/>
  <c r="M1054" i="57"/>
  <c r="M923" i="57"/>
  <c r="M255" i="57"/>
  <c r="M979" i="57"/>
  <c r="M157" i="57"/>
  <c r="M926" i="57"/>
  <c r="M965" i="57"/>
  <c r="M221" i="57"/>
  <c r="M997" i="57"/>
  <c r="M1070" i="57"/>
  <c r="M358" i="57"/>
  <c r="M828" i="57"/>
  <c r="M145" i="57"/>
  <c r="M894" i="57"/>
  <c r="M412" i="57"/>
  <c r="M53" i="57"/>
  <c r="M945" i="57"/>
  <c r="M812" i="57"/>
  <c r="M88" i="57"/>
  <c r="M1032" i="57"/>
  <c r="M882" i="57"/>
  <c r="M185" i="57"/>
  <c r="M752" i="57"/>
  <c r="M719" i="57"/>
  <c r="M296" i="57"/>
  <c r="M64" i="57"/>
  <c r="M669" i="57"/>
  <c r="M481" i="57"/>
  <c r="M114" i="57"/>
  <c r="M722" i="57"/>
  <c r="M23" i="57"/>
  <c r="M1142" i="57"/>
  <c r="M948" i="57"/>
  <c r="M1067" i="57"/>
  <c r="M1077" i="57"/>
  <c r="M433" i="57"/>
  <c r="M1100" i="57"/>
  <c r="M480" i="57"/>
  <c r="M1007" i="57"/>
  <c r="M407" i="57"/>
  <c r="M1122" i="57"/>
  <c r="M454" i="57"/>
  <c r="M1114" i="57"/>
  <c r="M576" i="57"/>
  <c r="M1016" i="57"/>
  <c r="M258" i="57"/>
  <c r="M759" i="57"/>
  <c r="M1169" i="57"/>
  <c r="M449" i="57"/>
  <c r="M939" i="57"/>
  <c r="M721" i="57"/>
  <c r="M546" i="57"/>
  <c r="M512" i="57"/>
  <c r="M323" i="57"/>
  <c r="M228" i="57"/>
  <c r="M16" i="57"/>
  <c r="M961" i="57"/>
  <c r="M852" i="57"/>
  <c r="M731" i="57"/>
  <c r="M471" i="57"/>
  <c r="M123" i="57"/>
  <c r="M1018" i="57"/>
  <c r="M627" i="57"/>
  <c r="M474" i="57"/>
  <c r="M355" i="57"/>
  <c r="M30" i="57"/>
  <c r="M670" i="57"/>
  <c r="M500" i="57"/>
  <c r="M417" i="57"/>
  <c r="M300" i="57"/>
  <c r="M606" i="57"/>
  <c r="M364" i="57"/>
  <c r="M253" i="57"/>
  <c r="M410" i="57"/>
  <c r="M437" i="57"/>
  <c r="M1020" i="57"/>
  <c r="M214" i="57"/>
  <c r="M1038" i="57"/>
  <c r="M936" i="57"/>
  <c r="M985" i="57"/>
  <c r="M350" i="57"/>
  <c r="M1034" i="57"/>
  <c r="M779" i="57"/>
  <c r="M1052" i="57"/>
  <c r="M197" i="57"/>
  <c r="M940" i="57"/>
  <c r="M34" i="57"/>
  <c r="M507" i="57"/>
  <c r="M1110" i="57"/>
  <c r="M440" i="57"/>
  <c r="M42" i="57"/>
  <c r="M264" i="57"/>
  <c r="M263" i="57"/>
  <c r="M151" i="57"/>
  <c r="M1155" i="57"/>
  <c r="M804" i="57"/>
  <c r="M49" i="57"/>
  <c r="M1191" i="57"/>
  <c r="M122" i="57"/>
  <c r="M899" i="57"/>
  <c r="M791" i="57"/>
  <c r="M158" i="57"/>
  <c r="M1073" i="57"/>
  <c r="M962" i="57"/>
  <c r="M853" i="57"/>
  <c r="M191" i="57"/>
  <c r="M70" i="57"/>
  <c r="M1036" i="57"/>
  <c r="M930" i="57"/>
  <c r="M845" i="57"/>
  <c r="M95" i="57"/>
  <c r="M734" i="57"/>
  <c r="M491" i="57"/>
  <c r="M987" i="57"/>
  <c r="M306" i="57"/>
  <c r="M938" i="57"/>
  <c r="M28" i="57"/>
  <c r="M591" i="57"/>
  <c r="M1147" i="57"/>
  <c r="M312" i="57"/>
  <c r="M628" i="57"/>
  <c r="M426" i="57"/>
  <c r="M51" i="57"/>
  <c r="M917" i="57"/>
  <c r="M1024" i="57"/>
  <c r="M1057" i="57"/>
  <c r="M176" i="57"/>
  <c r="M144" i="57"/>
  <c r="M613" i="57"/>
  <c r="M1063" i="57"/>
  <c r="M87" i="57"/>
  <c r="M714" i="57"/>
  <c r="M803" i="57"/>
  <c r="M1215" i="57"/>
  <c r="M946" i="57"/>
  <c r="M839" i="57"/>
  <c r="M1050" i="57"/>
  <c r="M792" i="57"/>
  <c r="M45" i="57"/>
  <c r="M950" i="57"/>
  <c r="M343" i="57"/>
  <c r="M991" i="57"/>
  <c r="M877" i="57"/>
  <c r="M186" i="57"/>
  <c r="M189" i="57"/>
  <c r="M1080" i="57"/>
  <c r="M644" i="57"/>
  <c r="M588" i="57"/>
  <c r="M310" i="57"/>
  <c r="M1083" i="57"/>
  <c r="M292" i="57"/>
  <c r="M1049" i="57"/>
  <c r="M332" i="57"/>
  <c r="M1136" i="57"/>
  <c r="M1166" i="57"/>
  <c r="M1115" i="57"/>
  <c r="M328" i="57"/>
  <c r="M928" i="57"/>
  <c r="M1176" i="57"/>
  <c r="M665" i="57"/>
  <c r="M889" i="57"/>
  <c r="M745" i="57"/>
  <c r="M683" i="57"/>
  <c r="M389" i="57"/>
  <c r="M259" i="57"/>
  <c r="M4" i="57"/>
  <c r="M892" i="57"/>
  <c r="M539" i="57"/>
  <c r="M482" i="57"/>
  <c r="M424" i="57"/>
  <c r="M267" i="57"/>
  <c r="M3" i="57"/>
  <c r="M851" i="57"/>
  <c r="M730" i="57"/>
  <c r="M584" i="57"/>
  <c r="M511" i="57"/>
  <c r="M314" i="57"/>
  <c r="M147" i="57"/>
  <c r="M10" i="57"/>
  <c r="M798" i="57"/>
  <c r="M1003" i="57"/>
  <c r="M786" i="57"/>
  <c r="M41" i="57"/>
  <c r="M915" i="57"/>
  <c r="M104" i="57"/>
  <c r="M935" i="57"/>
  <c r="M872" i="57"/>
  <c r="M175" i="57"/>
  <c r="M990" i="57"/>
  <c r="M1112" i="57"/>
  <c r="M614" i="57"/>
  <c r="M565" i="57"/>
  <c r="M303" i="57"/>
  <c r="M1069" i="57"/>
  <c r="M207" i="57"/>
  <c r="M1045" i="57"/>
  <c r="M515" i="57"/>
  <c r="M533" i="57"/>
  <c r="M1118" i="57"/>
  <c r="M1017" i="57"/>
  <c r="M250" i="57"/>
  <c r="M545" i="57"/>
  <c r="M1161" i="57"/>
  <c r="M640" i="57"/>
  <c r="M826" i="57"/>
  <c r="M720" i="57"/>
  <c r="M619" i="57"/>
  <c r="M379" i="57"/>
  <c r="M204" i="57"/>
  <c r="M982" i="57"/>
  <c r="M818" i="57"/>
  <c r="M520" i="57"/>
  <c r="M470" i="57"/>
  <c r="M416" i="57"/>
  <c r="M227" i="57"/>
  <c r="M988" i="57"/>
  <c r="M836" i="57"/>
  <c r="M725" i="57"/>
  <c r="M577" i="57"/>
  <c r="M499" i="57"/>
  <c r="M219" i="57"/>
  <c r="M141" i="57"/>
  <c r="AP2" i="78"/>
  <c r="AQ2" i="78" s="1"/>
  <c r="M1055" i="57"/>
  <c r="M866" i="57"/>
  <c r="M96" i="57"/>
  <c r="M860" i="57"/>
  <c r="M781" i="57"/>
  <c r="M1065" i="57"/>
  <c r="M854" i="57"/>
  <c r="M1026" i="57"/>
  <c r="M924" i="57"/>
  <c r="M829" i="57"/>
  <c r="M109" i="57"/>
  <c r="M1053" i="57"/>
  <c r="M1058" i="57"/>
  <c r="M608" i="57"/>
  <c r="M446" i="57"/>
  <c r="M182" i="57"/>
  <c r="M733" i="57"/>
  <c r="M196" i="57"/>
  <c r="M337" i="57"/>
  <c r="M465" i="57"/>
  <c r="M715" i="57"/>
  <c r="M843" i="57"/>
  <c r="M166" i="57"/>
  <c r="M160" i="57"/>
  <c r="M921" i="57"/>
  <c r="M404" i="57"/>
  <c r="M761" i="57"/>
  <c r="M702" i="57"/>
  <c r="M551" i="57"/>
  <c r="M362" i="57"/>
  <c r="M192" i="57"/>
  <c r="M975" i="57"/>
  <c r="M655" i="57"/>
  <c r="M494" i="57"/>
  <c r="M444" i="57"/>
  <c r="M322" i="57"/>
  <c r="M97" i="57"/>
  <c r="M870" i="57"/>
  <c r="M801" i="57"/>
  <c r="M691" i="57"/>
  <c r="M562" i="57"/>
  <c r="M478" i="57"/>
  <c r="M179" i="57"/>
  <c r="M1183" i="57"/>
  <c r="M1109" i="57"/>
  <c r="M967" i="57"/>
  <c r="M737" i="57"/>
  <c r="M664" i="57"/>
  <c r="M538" i="57"/>
  <c r="M126" i="57"/>
  <c r="M18" i="57"/>
  <c r="M1144" i="57"/>
  <c r="M994" i="57"/>
  <c r="M755" i="57"/>
  <c r="M635" i="57"/>
  <c r="M476" i="57"/>
  <c r="M249" i="57"/>
  <c r="M1186" i="57"/>
  <c r="M1097" i="57"/>
  <c r="M981" i="57"/>
  <c r="M744" i="57"/>
  <c r="M531" i="57"/>
  <c r="M266" i="57"/>
  <c r="M85" i="57"/>
  <c r="M1164" i="57"/>
  <c r="M1135" i="57"/>
  <c r="M920" i="57"/>
  <c r="M660" i="57"/>
  <c r="M422" i="57"/>
  <c r="M286" i="57"/>
  <c r="M20" i="57"/>
  <c r="M409" i="57"/>
  <c r="M289" i="57"/>
  <c r="M621" i="57"/>
  <c r="M324" i="57"/>
  <c r="M651" i="57"/>
  <c r="M592" i="57"/>
  <c r="M369" i="57"/>
  <c r="M235" i="57"/>
  <c r="M60" i="57"/>
  <c r="M268" i="57"/>
  <c r="M47" i="57"/>
  <c r="M1062" i="57"/>
  <c r="M1124" i="57"/>
  <c r="M709" i="57"/>
  <c r="M532" i="57"/>
  <c r="M487" i="57"/>
  <c r="M240" i="57"/>
  <c r="M384" i="57"/>
  <c r="M366" i="57"/>
  <c r="M372" i="57"/>
  <c r="M98" i="57"/>
  <c r="M333" i="57"/>
  <c r="M215" i="57"/>
  <c r="M112" i="57"/>
  <c r="M377" i="57"/>
  <c r="M162" i="57"/>
  <c r="M50" i="57"/>
  <c r="M784" i="57"/>
  <c r="M769" i="57"/>
  <c r="M706" i="57"/>
  <c r="M502" i="57"/>
  <c r="M1205" i="57"/>
  <c r="M1139" i="57"/>
  <c r="M1105" i="57"/>
  <c r="M943" i="57"/>
  <c r="M729" i="57"/>
  <c r="M654" i="57"/>
  <c r="M458" i="57"/>
  <c r="M91" i="57"/>
  <c r="M12" i="57"/>
  <c r="M1132" i="57"/>
  <c r="M974" i="57"/>
  <c r="M740" i="57"/>
  <c r="M626" i="57"/>
  <c r="M335" i="57"/>
  <c r="M106" i="57"/>
  <c r="M1180" i="57"/>
  <c r="M1091" i="57"/>
  <c r="M835" i="57"/>
  <c r="M713" i="57"/>
  <c r="M525" i="57"/>
  <c r="M234" i="57"/>
  <c r="M15" i="57"/>
  <c r="M1159" i="57"/>
  <c r="M1101" i="57"/>
  <c r="M748" i="57"/>
  <c r="M544" i="57"/>
  <c r="M396" i="57"/>
  <c r="M242" i="57"/>
  <c r="M911" i="57"/>
  <c r="M329" i="57"/>
  <c r="M261" i="57"/>
  <c r="M505" i="57"/>
  <c r="M732" i="57"/>
  <c r="M641" i="57"/>
  <c r="M452" i="57"/>
  <c r="M356" i="57"/>
  <c r="M92" i="57"/>
  <c r="M586" i="57"/>
  <c r="M212" i="57"/>
  <c r="M1165" i="57"/>
  <c r="M1106" i="57"/>
  <c r="M421" i="57"/>
  <c r="M217" i="57"/>
  <c r="M84" i="57"/>
  <c r="M231" i="57"/>
  <c r="M131" i="57"/>
  <c r="M205" i="57"/>
  <c r="M345" i="57"/>
  <c r="M90" i="57"/>
  <c r="M273" i="57"/>
  <c r="M187" i="57"/>
  <c r="M76" i="57"/>
  <c r="M320" i="57"/>
  <c r="M124" i="57"/>
  <c r="M31" i="57"/>
  <c r="M612" i="57"/>
  <c r="M796" i="57"/>
  <c r="M773" i="57"/>
  <c r="M738" i="57"/>
  <c r="M483" i="57"/>
  <c r="M1209" i="57"/>
  <c r="M1211" i="57"/>
  <c r="M1123" i="57"/>
  <c r="M1008" i="57"/>
  <c r="M842" i="57"/>
  <c r="M701" i="57"/>
  <c r="M649" i="57"/>
  <c r="M443" i="57"/>
  <c r="M39" i="57"/>
  <c r="M1190" i="57"/>
  <c r="M1117" i="57"/>
  <c r="M954" i="57"/>
  <c r="M724" i="57"/>
  <c r="M518" i="57"/>
  <c r="M280" i="57"/>
  <c r="M33" i="57"/>
  <c r="M1175" i="57"/>
  <c r="M1078" i="57"/>
  <c r="M789" i="57"/>
  <c r="M708" i="57"/>
  <c r="M321" i="57"/>
  <c r="M132" i="57"/>
  <c r="M9" i="57"/>
  <c r="M1153" i="57"/>
  <c r="M1023" i="57"/>
  <c r="M742" i="57"/>
  <c r="M469" i="57"/>
  <c r="M387" i="57"/>
  <c r="M100" i="57"/>
  <c r="M418" i="57"/>
  <c r="M315" i="57"/>
  <c r="M661" i="57"/>
  <c r="M375" i="57"/>
  <c r="M399" i="57"/>
  <c r="M637" i="57"/>
  <c r="M436" i="57"/>
  <c r="M307" i="57"/>
  <c r="M73" i="57"/>
  <c r="M445" i="57"/>
  <c r="M55" i="57"/>
  <c r="M1127" i="57"/>
  <c r="M225" i="57"/>
  <c r="M885" i="57"/>
  <c r="M37" i="57"/>
  <c r="M54" i="57"/>
  <c r="M67" i="57"/>
  <c r="M194" i="57"/>
  <c r="M327" i="57"/>
  <c r="M71" i="57"/>
  <c r="M246" i="57"/>
  <c r="M181" i="57"/>
  <c r="M57" i="57"/>
  <c r="M279" i="57"/>
  <c r="M726" i="57"/>
  <c r="M508" i="57"/>
  <c r="M1179" i="57"/>
  <c r="M1141" i="57"/>
  <c r="M1029" i="57"/>
  <c r="M849" i="57"/>
  <c r="M653" i="57"/>
  <c r="M517" i="57"/>
  <c r="M373" i="57"/>
  <c r="M233" i="57"/>
  <c r="M113" i="57"/>
  <c r="M1156" i="57"/>
  <c r="M1096" i="57"/>
  <c r="M788" i="57"/>
  <c r="M676" i="57"/>
  <c r="M604" i="57"/>
  <c r="M468" i="57"/>
  <c r="M216" i="57"/>
  <c r="M120" i="57"/>
  <c r="M1143" i="57"/>
  <c r="M919" i="57"/>
  <c r="M747" i="57"/>
  <c r="M663" i="57"/>
  <c r="M503" i="57"/>
  <c r="M395" i="57"/>
  <c r="M143" i="57"/>
  <c r="M11" i="57"/>
  <c r="M1138" i="57"/>
  <c r="M1090" i="57"/>
  <c r="M782" i="57"/>
  <c r="M634" i="57"/>
  <c r="M526" i="57"/>
  <c r="M442" i="57"/>
  <c r="M274" i="57"/>
  <c r="M631" i="57"/>
  <c r="M370" i="57"/>
  <c r="M146" i="57"/>
  <c r="M400" i="57"/>
  <c r="M140" i="57"/>
  <c r="M645" i="57"/>
  <c r="M391" i="57"/>
  <c r="M301" i="57"/>
  <c r="M130" i="57"/>
  <c r="M624" i="57"/>
  <c r="M340" i="57"/>
  <c r="M202" i="57"/>
  <c r="M331" i="57"/>
  <c r="M244" i="57"/>
  <c r="M428" i="57"/>
  <c r="M1111" i="57"/>
  <c r="M1137" i="57"/>
  <c r="M1181" i="57"/>
  <c r="M1178" i="57"/>
  <c r="M1102" i="57"/>
  <c r="M552" i="57"/>
  <c r="M1030" i="57"/>
  <c r="M1009" i="57"/>
  <c r="M1140" i="57"/>
  <c r="M1044" i="57"/>
  <c r="M94" i="57"/>
  <c r="M573" i="57"/>
  <c r="M496" i="57"/>
  <c r="M173" i="57"/>
  <c r="M138" i="57"/>
  <c r="M59" i="57"/>
  <c r="M995" i="57"/>
  <c r="M802" i="57"/>
  <c r="M607" i="57"/>
  <c r="M564" i="57"/>
  <c r="M156" i="57"/>
  <c r="M1086" i="57"/>
  <c r="M1019" i="57"/>
  <c r="M776" i="57"/>
  <c r="M569" i="57"/>
  <c r="M190" i="57"/>
  <c r="M56" i="57"/>
  <c r="M1199" i="57"/>
  <c r="M1204" i="57"/>
  <c r="M1193" i="57"/>
  <c r="M1194" i="57"/>
  <c r="M1198" i="57"/>
  <c r="M1200" i="57"/>
  <c r="M1189" i="57"/>
  <c r="M1113" i="57"/>
  <c r="M909" i="57"/>
  <c r="M841" i="57"/>
  <c r="M625" i="57"/>
  <c r="M493" i="57"/>
  <c r="M265" i="57"/>
  <c r="M169" i="57"/>
  <c r="M17" i="57"/>
  <c r="M1152" i="57"/>
  <c r="M884" i="57"/>
  <c r="M712" i="57"/>
  <c r="M672" i="57"/>
  <c r="M572" i="57"/>
  <c r="M448" i="57"/>
  <c r="M208" i="57"/>
  <c r="M32" i="57"/>
  <c r="M1131" i="57"/>
  <c r="M875" i="57"/>
  <c r="M743" i="57"/>
  <c r="M659" i="57"/>
  <c r="M475" i="57"/>
  <c r="M311" i="57"/>
  <c r="M35" i="57"/>
  <c r="M1174" i="57"/>
  <c r="M1134" i="57"/>
  <c r="M1022" i="57"/>
  <c r="M758" i="57"/>
  <c r="M582" i="57"/>
  <c r="M498" i="57"/>
  <c r="M402" i="57"/>
  <c r="M26" i="57"/>
  <c r="M601" i="57"/>
  <c r="M349" i="57"/>
  <c r="M506" i="57"/>
  <c r="M308" i="57"/>
  <c r="M136" i="57"/>
  <c r="M615" i="57"/>
  <c r="M357" i="57"/>
  <c r="M276" i="57"/>
  <c r="M916" i="57"/>
  <c r="M609" i="57"/>
  <c r="M269" i="57"/>
  <c r="M152" i="57"/>
  <c r="M302" i="57"/>
  <c r="M237" i="57"/>
  <c r="M341" i="57"/>
  <c r="M1116" i="57"/>
  <c r="M1098" i="57"/>
  <c r="M1157" i="57"/>
  <c r="M1162" i="57"/>
  <c r="M1092" i="57"/>
  <c r="M183" i="57"/>
  <c r="M1172" i="57"/>
  <c r="M1187" i="57"/>
  <c r="M1125" i="57"/>
  <c r="M983" i="57"/>
  <c r="M43" i="57"/>
  <c r="M558" i="57"/>
  <c r="M490" i="57"/>
  <c r="M165" i="57"/>
  <c r="M121" i="57"/>
  <c r="M48" i="57"/>
  <c r="M989" i="57"/>
  <c r="M790" i="57"/>
  <c r="M599" i="57"/>
  <c r="M529" i="57"/>
  <c r="M128" i="57"/>
  <c r="M1082" i="57"/>
  <c r="M944" i="57"/>
  <c r="M772" i="57"/>
  <c r="M547" i="57"/>
  <c r="M134" i="57"/>
  <c r="M38" i="57"/>
  <c r="M1226" i="57"/>
  <c r="M1222" i="57"/>
  <c r="M1218" i="57"/>
  <c r="M1196" i="57"/>
  <c r="M1202" i="57"/>
  <c r="M1203" i="57"/>
  <c r="M1213" i="57"/>
  <c r="M1220" i="57"/>
  <c r="M1217" i="57"/>
  <c r="M1185" i="57"/>
  <c r="M1093" i="57"/>
  <c r="M881" i="57"/>
  <c r="M817" i="57"/>
  <c r="M561" i="57"/>
  <c r="M457" i="57"/>
  <c r="M257" i="57"/>
  <c r="M149" i="57"/>
  <c r="M1182" i="57"/>
  <c r="M1104" i="57"/>
  <c r="M824" i="57"/>
  <c r="M700" i="57"/>
  <c r="M668" i="57"/>
  <c r="M568" i="57"/>
  <c r="M248" i="57"/>
  <c r="M172" i="57"/>
  <c r="M8" i="57"/>
  <c r="M1015" i="57"/>
  <c r="M863" i="57"/>
  <c r="M723" i="57"/>
  <c r="M555" i="57"/>
  <c r="M463" i="57"/>
  <c r="M295" i="57"/>
  <c r="M27" i="57"/>
  <c r="M1158" i="57"/>
  <c r="M1126" i="57"/>
  <c r="M834" i="57"/>
  <c r="M750" i="57"/>
  <c r="M550" i="57"/>
  <c r="M486" i="57"/>
  <c r="M386" i="57"/>
  <c r="M735" i="57"/>
  <c r="M382" i="57"/>
  <c r="M316" i="57"/>
  <c r="M453" i="57"/>
  <c r="M290" i="57"/>
  <c r="M662" i="57"/>
  <c r="M427" i="57"/>
  <c r="M330" i="57"/>
  <c r="M243" i="57"/>
  <c r="M658" i="57"/>
  <c r="M594" i="57"/>
  <c r="M254" i="57"/>
  <c r="M203" i="57"/>
  <c r="M1184" i="57"/>
  <c r="M1094" i="57"/>
  <c r="M1071" i="57"/>
  <c r="M1040" i="57"/>
  <c r="M1145" i="57"/>
  <c r="M972" i="57"/>
  <c r="M1151" i="57"/>
  <c r="M1148" i="57"/>
  <c r="M1167" i="57"/>
  <c r="M1119" i="57"/>
  <c r="M622" i="57"/>
  <c r="M977" i="57"/>
  <c r="M541" i="57"/>
  <c r="M429" i="57"/>
  <c r="M150" i="57"/>
  <c r="M115" i="57"/>
  <c r="M36" i="57"/>
  <c r="M955" i="57"/>
  <c r="M783" i="57"/>
  <c r="M587" i="57"/>
  <c r="M513" i="57"/>
  <c r="M52" i="57"/>
  <c r="M1068" i="57"/>
  <c r="M811" i="57"/>
  <c r="M642" i="57"/>
  <c r="M535" i="57"/>
  <c r="M102" i="57"/>
  <c r="M1227" i="57"/>
  <c r="M1216" i="57"/>
  <c r="M1195" i="57"/>
  <c r="M1201" i="57"/>
  <c r="M1206" i="57"/>
  <c r="M1212" i="57"/>
  <c r="F145" i="36"/>
  <c r="I145" i="36" s="1"/>
  <c r="F171" i="36"/>
  <c r="I171" i="36" s="1"/>
  <c r="F172" i="36"/>
  <c r="I172" i="36" s="1"/>
  <c r="J4" i="56"/>
  <c r="L4" i="56" s="1"/>
  <c r="J5" i="56"/>
  <c r="L5" i="56" s="1"/>
  <c r="J3" i="56"/>
  <c r="L3" i="56" s="1"/>
  <c r="J6" i="56"/>
  <c r="L6" i="56" s="1"/>
  <c r="J7" i="56"/>
  <c r="K4" i="56"/>
  <c r="M5" i="56"/>
  <c r="M8" i="56"/>
  <c r="N8" i="56"/>
  <c r="M6" i="56"/>
  <c r="F46" i="36"/>
  <c r="I46" i="36" s="1"/>
  <c r="F52" i="36"/>
  <c r="I52" i="36" s="1"/>
  <c r="F49" i="36"/>
  <c r="I49" i="36" s="1"/>
  <c r="F45" i="36"/>
  <c r="I45" i="36" s="1"/>
  <c r="F67" i="36"/>
  <c r="I67" i="36" s="1"/>
  <c r="F31" i="36"/>
  <c r="I31" i="36" s="1"/>
  <c r="F28" i="36"/>
  <c r="I28" i="36" s="1"/>
  <c r="F27" i="36"/>
  <c r="I27" i="36" s="1"/>
  <c r="F26" i="36"/>
  <c r="I26" i="36" s="1"/>
  <c r="F146" i="36"/>
  <c r="I146" i="36" s="1"/>
  <c r="F160" i="36"/>
  <c r="I160" i="36" s="1"/>
  <c r="F173" i="36"/>
  <c r="I173" i="36" s="1"/>
  <c r="F174" i="36"/>
  <c r="I174" i="36" s="1"/>
  <c r="F186" i="36"/>
  <c r="I186" i="36" s="1"/>
  <c r="F82" i="36"/>
  <c r="I82" i="36" s="1"/>
  <c r="F159" i="36"/>
  <c r="I159" i="36" s="1"/>
  <c r="F25" i="36"/>
  <c r="I25" i="36" s="1"/>
  <c r="F33" i="36"/>
  <c r="I33" i="36" s="1"/>
  <c r="F73" i="36"/>
  <c r="I73" i="36" s="1"/>
  <c r="F98" i="36"/>
  <c r="I98" i="36" s="1"/>
  <c r="F137" i="36"/>
  <c r="I137" i="36" s="1"/>
  <c r="F152" i="36"/>
  <c r="I152" i="36" s="1"/>
  <c r="F154" i="36"/>
  <c r="I154" i="36" s="1"/>
  <c r="F48" i="36"/>
  <c r="I48" i="36" s="1"/>
  <c r="F62" i="36"/>
  <c r="I62" i="36" s="1"/>
  <c r="F96" i="36"/>
  <c r="I96" i="36" s="1"/>
  <c r="F103" i="36"/>
  <c r="I103" i="36" s="1"/>
  <c r="F105" i="36"/>
  <c r="I105" i="36" s="1"/>
  <c r="F110" i="36"/>
  <c r="I110" i="36" s="1"/>
  <c r="F130" i="36"/>
  <c r="I130" i="36" s="1"/>
  <c r="F143" i="36"/>
  <c r="I143" i="36" s="1"/>
  <c r="F55" i="36"/>
  <c r="I55" i="36" s="1"/>
  <c r="F144" i="36"/>
  <c r="I144" i="36" s="1"/>
  <c r="F147" i="36"/>
  <c r="I147" i="36" s="1"/>
  <c r="F153" i="36"/>
  <c r="I153" i="36" s="1"/>
  <c r="F167" i="36"/>
  <c r="I167" i="36" s="1"/>
  <c r="F182" i="36"/>
  <c r="I182" i="36" s="1"/>
  <c r="F185" i="36"/>
  <c r="I185" i="36" s="1"/>
  <c r="J18" i="56"/>
  <c r="L18" i="56" s="1"/>
  <c r="N30" i="56"/>
  <c r="F34" i="36"/>
  <c r="I34" i="36" s="1"/>
  <c r="F19" i="36"/>
  <c r="I19" i="36" s="1"/>
  <c r="F104" i="36"/>
  <c r="I104" i="36" s="1"/>
  <c r="F181" i="36"/>
  <c r="I181" i="36" s="1"/>
  <c r="F75" i="36"/>
  <c r="I75" i="36" s="1"/>
  <c r="F70" i="36"/>
  <c r="I70" i="36" s="1"/>
  <c r="F42" i="36"/>
  <c r="I42" i="36" s="1"/>
  <c r="F41" i="36"/>
  <c r="I41" i="36" s="1"/>
  <c r="F40" i="36"/>
  <c r="I40" i="36" s="1"/>
  <c r="F39" i="36"/>
  <c r="I39" i="36" s="1"/>
  <c r="F38" i="36"/>
  <c r="I38" i="36" s="1"/>
  <c r="F35" i="36"/>
  <c r="I35" i="36" s="1"/>
  <c r="F60" i="36"/>
  <c r="I60" i="36" s="1"/>
  <c r="F68" i="36"/>
  <c r="I68" i="36" s="1"/>
  <c r="F74" i="36"/>
  <c r="I74" i="36" s="1"/>
  <c r="F83" i="36"/>
  <c r="I83" i="36" s="1"/>
  <c r="F139" i="36"/>
  <c r="I139" i="36" s="1"/>
  <c r="F164" i="36"/>
  <c r="I164" i="36" s="1"/>
  <c r="F178" i="36"/>
  <c r="I178" i="36" s="1"/>
  <c r="F179" i="36"/>
  <c r="I179" i="36" s="1"/>
  <c r="K3" i="56"/>
  <c r="M3" i="56" s="1"/>
  <c r="F189" i="36"/>
  <c r="I189" i="36" s="1"/>
  <c r="F187" i="36"/>
  <c r="I187" i="36" s="1"/>
  <c r="M21" i="56"/>
  <c r="N21" i="56"/>
  <c r="F188" i="36"/>
  <c r="I188" i="36" s="1"/>
  <c r="F180" i="36"/>
  <c r="I180" i="36" s="1"/>
  <c r="F95" i="36"/>
  <c r="I95" i="36" s="1"/>
  <c r="F119" i="36"/>
  <c r="I119" i="36" s="1"/>
  <c r="F129" i="36"/>
  <c r="I129" i="36" s="1"/>
  <c r="K18" i="56"/>
  <c r="K19" i="56"/>
  <c r="N19" i="56" s="1"/>
  <c r="F102" i="36"/>
  <c r="I102" i="36" s="1"/>
  <c r="F115" i="36"/>
  <c r="I115" i="36" s="1"/>
  <c r="F118" i="36"/>
  <c r="I118" i="36" s="1"/>
  <c r="F122" i="36"/>
  <c r="I122" i="36" s="1"/>
  <c r="F124" i="36"/>
  <c r="I124" i="36" s="1"/>
  <c r="F125" i="36"/>
  <c r="I125" i="36" s="1"/>
  <c r="F131" i="36"/>
  <c r="I131" i="36" s="1"/>
  <c r="F132" i="36"/>
  <c r="I132" i="36" s="1"/>
  <c r="F133" i="36"/>
  <c r="I133" i="36" s="1"/>
  <c r="F136" i="36"/>
  <c r="I136" i="36" s="1"/>
  <c r="F111" i="36"/>
  <c r="I111" i="36" s="1"/>
  <c r="F126" i="36"/>
  <c r="I126" i="36" s="1"/>
  <c r="K20" i="56"/>
  <c r="N20" i="56" s="1"/>
  <c r="M30" i="56"/>
  <c r="L20" i="56"/>
  <c r="L30" i="56"/>
  <c r="I1" i="56"/>
  <c r="B29" i="72"/>
  <c r="B40" i="72"/>
  <c r="B12" i="72"/>
  <c r="B23" i="72"/>
  <c r="A1" i="56"/>
  <c r="B11" i="72"/>
  <c r="B43" i="72"/>
  <c r="B14" i="72"/>
  <c r="B21" i="72"/>
  <c r="B19" i="72"/>
  <c r="B22" i="72"/>
  <c r="B30" i="72"/>
  <c r="B34" i="72"/>
  <c r="B33" i="72"/>
  <c r="B20" i="72"/>
  <c r="B25" i="72"/>
  <c r="B38" i="72"/>
  <c r="B35" i="72"/>
  <c r="B26" i="72"/>
  <c r="B32" i="72"/>
  <c r="B16" i="72"/>
  <c r="B42" i="72"/>
  <c r="B45" i="72"/>
  <c r="B15" i="72"/>
  <c r="B28" i="72"/>
  <c r="B39" i="72"/>
  <c r="B36" i="72"/>
  <c r="B44" i="72"/>
  <c r="B27" i="72"/>
  <c r="B41" i="72"/>
  <c r="B31" i="72"/>
  <c r="B24" i="72"/>
  <c r="B13" i="72"/>
  <c r="B18" i="72"/>
  <c r="B37" i="72"/>
  <c r="B17" i="72"/>
  <c r="N6" i="56" l="1"/>
  <c r="N5" i="56"/>
  <c r="J1" i="56"/>
  <c r="N18" i="56"/>
  <c r="L7" i="56"/>
  <c r="N7" i="56"/>
  <c r="M4" i="56"/>
  <c r="N4" i="56"/>
  <c r="G172" i="47"/>
  <c r="G173" i="47"/>
  <c r="G175" i="47"/>
  <c r="G177" i="47"/>
  <c r="G174" i="47"/>
  <c r="G176" i="47"/>
  <c r="G178" i="47"/>
  <c r="N3" i="56"/>
  <c r="M1" i="56"/>
  <c r="M18" i="56"/>
  <c r="M19" i="56"/>
  <c r="K1" i="56"/>
  <c r="M20" i="56"/>
  <c r="L1" i="56"/>
  <c r="G170" i="47"/>
  <c r="G171" i="47"/>
  <c r="G167" i="47"/>
  <c r="G169" i="47"/>
  <c r="G168" i="47"/>
  <c r="G165" i="47"/>
  <c r="G166" i="47"/>
  <c r="G163" i="47"/>
  <c r="G164" i="47"/>
  <c r="G161" i="47"/>
  <c r="G159" i="47"/>
  <c r="G156" i="47"/>
  <c r="G145" i="47"/>
  <c r="G153" i="47"/>
  <c r="G151" i="47"/>
  <c r="G147" i="47"/>
  <c r="G148" i="47"/>
  <c r="G146" i="47"/>
  <c r="G142" i="47"/>
  <c r="G139" i="47"/>
  <c r="G137" i="47"/>
  <c r="G135" i="47"/>
  <c r="G133" i="47"/>
  <c r="G128" i="47"/>
  <c r="G129" i="47"/>
  <c r="G131" i="47"/>
  <c r="G127" i="47"/>
  <c r="G124" i="47"/>
  <c r="G117" i="47"/>
  <c r="G122" i="47"/>
  <c r="G120" i="47"/>
  <c r="G111" i="47"/>
  <c r="G112" i="47"/>
  <c r="G113" i="47"/>
  <c r="G108" i="47"/>
  <c r="G104" i="47"/>
  <c r="G105" i="47"/>
  <c r="G99" i="47"/>
  <c r="G102" i="47"/>
  <c r="G101" i="47"/>
  <c r="G97" i="47"/>
  <c r="G93" i="47"/>
  <c r="G91" i="47"/>
  <c r="G92" i="47"/>
  <c r="G86" i="47"/>
  <c r="G88" i="47"/>
  <c r="G83" i="47"/>
  <c r="G78" i="47"/>
  <c r="G80" i="47"/>
  <c r="G76" i="47"/>
  <c r="G73" i="47"/>
  <c r="G75" i="47"/>
  <c r="G72" i="47"/>
  <c r="G67" i="47"/>
  <c r="G69" i="47"/>
  <c r="G61" i="47"/>
  <c r="G62" i="47"/>
  <c r="G64" i="47"/>
  <c r="G56" i="47"/>
  <c r="G59" i="47"/>
  <c r="G53" i="47"/>
  <c r="G54" i="47"/>
  <c r="G49" i="47"/>
  <c r="G51" i="47"/>
  <c r="G158" i="47"/>
  <c r="G157" i="47"/>
  <c r="G154" i="47"/>
  <c r="G150" i="47"/>
  <c r="G144" i="47"/>
  <c r="G140" i="47"/>
  <c r="G136" i="47"/>
  <c r="G132" i="47"/>
  <c r="G123" i="47"/>
  <c r="G125" i="47"/>
  <c r="G119" i="47"/>
  <c r="G115" i="47"/>
  <c r="G114" i="47"/>
  <c r="G107" i="47"/>
  <c r="G100" i="47"/>
  <c r="G96" i="47"/>
  <c r="G17" i="47"/>
  <c r="G162" i="47"/>
  <c r="G160" i="47"/>
  <c r="G155" i="47"/>
  <c r="G152" i="47"/>
  <c r="G149" i="47"/>
  <c r="G141" i="47"/>
  <c r="G143" i="47"/>
  <c r="G138" i="47"/>
  <c r="G134" i="47"/>
  <c r="G130" i="47"/>
  <c r="G126" i="47"/>
  <c r="G118" i="47"/>
  <c r="G121" i="47"/>
  <c r="G110" i="47"/>
  <c r="G116" i="47"/>
  <c r="G109" i="47"/>
  <c r="G106" i="47"/>
  <c r="G103" i="47"/>
  <c r="G98" i="47"/>
  <c r="G90" i="47"/>
  <c r="G87" i="47"/>
  <c r="G84" i="47"/>
  <c r="G81" i="47"/>
  <c r="G74" i="47"/>
  <c r="G60" i="47"/>
  <c r="G70" i="47"/>
  <c r="G66" i="47"/>
  <c r="G57" i="47"/>
  <c r="G55" i="47"/>
  <c r="G50" i="47"/>
  <c r="G44" i="47"/>
  <c r="G47" i="47"/>
  <c r="G42" i="47"/>
  <c r="G40" i="47"/>
  <c r="G35" i="47"/>
  <c r="G37" i="47"/>
  <c r="G39" i="47"/>
  <c r="G33" i="47"/>
  <c r="G95" i="47"/>
  <c r="G7" i="47"/>
  <c r="G15" i="47"/>
  <c r="G23" i="47"/>
  <c r="G31" i="47"/>
  <c r="G8" i="47"/>
  <c r="G16" i="47"/>
  <c r="G24" i="47"/>
  <c r="G5" i="47"/>
  <c r="G13" i="47"/>
  <c r="G21" i="47"/>
  <c r="G29" i="47"/>
  <c r="G2" i="47"/>
  <c r="G10" i="47"/>
  <c r="G18" i="47"/>
  <c r="G26" i="47"/>
  <c r="G89" i="47"/>
  <c r="G85" i="47"/>
  <c r="G82" i="47"/>
  <c r="G79" i="47"/>
  <c r="G77" i="47"/>
  <c r="G71" i="47"/>
  <c r="G68" i="47"/>
  <c r="G65" i="47"/>
  <c r="G63" i="47"/>
  <c r="G58" i="47"/>
  <c r="G48" i="47"/>
  <c r="G52" i="47"/>
  <c r="G45" i="47"/>
  <c r="G46" i="47"/>
  <c r="G43" i="47"/>
  <c r="G41" i="47"/>
  <c r="G36" i="47"/>
  <c r="G38" i="47"/>
  <c r="G32" i="47"/>
  <c r="G34" i="47"/>
  <c r="G3" i="47"/>
  <c r="G11" i="47"/>
  <c r="G19" i="47"/>
  <c r="G27" i="47"/>
  <c r="G4" i="47"/>
  <c r="G12" i="47"/>
  <c r="G20" i="47"/>
  <c r="G28" i="47"/>
  <c r="G9" i="47"/>
  <c r="G25" i="47"/>
  <c r="G94" i="47"/>
  <c r="G6" i="47"/>
  <c r="G14" i="47"/>
  <c r="G22" i="47"/>
  <c r="G30" i="47"/>
  <c r="N1" i="5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Seyyed Javad Shahidani</author>
  </authors>
  <commentList>
    <comment ref="W1" authorId="0" shapeId="0" xr:uid="{05426BE6-E79B-4D24-A566-EF1399B636E1}">
      <text>
        <r>
          <rPr>
            <b/>
            <sz val="9"/>
            <color indexed="81"/>
            <rFont val="Tahoma"/>
            <family val="2"/>
          </rPr>
          <t>غلاف برداری دستگاه</t>
        </r>
      </text>
    </comment>
    <comment ref="Y51" authorId="0" shapeId="0" xr:uid="{CB215FF9-7A71-4FD2-945D-82C119A608B5}">
      <text>
        <r>
          <rPr>
            <b/>
            <sz val="9"/>
            <color indexed="81"/>
            <rFont val="Tahoma"/>
            <family val="2"/>
          </rPr>
          <t xml:space="preserve">قبلا 1.5 بود
بخاطر حذف دوبل کم کردم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Seyyed Javad Shahidani</author>
  </authors>
  <commentList>
    <comment ref="O1" authorId="0" shapeId="0" xr:uid="{3D8C336A-CD65-4075-95BF-B384FF269FF5}">
      <text>
        <r>
          <rPr>
            <b/>
            <sz val="9"/>
            <color indexed="81"/>
            <rFont val="Tahoma"/>
            <family val="2"/>
          </rPr>
          <t>is included in efficiency caculation?</t>
        </r>
      </text>
    </comment>
    <comment ref="P1" authorId="0" shapeId="0" xr:uid="{D6F87609-6E5C-45F1-BCA5-EC750586EA78}">
      <text>
        <r>
          <rPr>
            <b/>
            <sz val="9"/>
            <color indexed="81"/>
            <rFont val="Tahoma"/>
            <family val="2"/>
          </rPr>
          <t>mount No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Ali Momen Kiaee</author>
  </authors>
  <commentList>
    <comment ref="S7" authorId="0" shapeId="0" xr:uid="{682B7A98-FD8D-4C6C-B3BC-182878C9CFB2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مغزی فاز و نول 10A</t>
        </r>
      </text>
    </comment>
    <comment ref="AE20" authorId="0" shapeId="0" xr:uid="{574EE324-5162-4087-8090-1A5799653CC9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بست زدن و فریت پیچی همزمان انجام می‌شود و مستقل انجام دادن این فرایند هیچ توجیهی ندارد.</t>
        </r>
      </text>
    </comment>
    <comment ref="W21" authorId="0" shapeId="0" xr:uid="{655F947A-3828-4BC9-B4A4-C808551B9930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بست زدن، فریت پیچی و اتصال سیم به سوکت همزمان انجام می‌شود و مستقل انجام دادن این فرایند هیچ توجیهی ندارد.</t>
        </r>
      </text>
    </comment>
    <comment ref="AE21" authorId="0" shapeId="0" xr:uid="{F7EC492C-21C9-4079-B06F-41AB376E92E7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بست زدن و فریت پیچی همزمان انجام می‌شود و مستقل انجام دادن این فرایند هیچ توجیهی ندارد.</t>
        </r>
      </text>
    </comment>
    <comment ref="AC23" authorId="0" shapeId="0" xr:uid="{F432B52B-8124-4C2F-94E9-CF992543DDB2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زمان رد کردن و سشوار کشیدن وارنیش بطور همزمان</t>
        </r>
      </text>
    </comment>
    <comment ref="AD23" authorId="0" shapeId="0" xr:uid="{72D43AC1-A923-400C-BA8E-CF7A797611B9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رد کردن و سشوار وارنیش می‌بایست همزمان انجام شود و در غیر اینصورت توجیه ندارد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<sst xmlns="http://schemas.openxmlformats.org/spreadsheetml/2006/main" count="8935" uniqueCount="1813">
  <si>
    <t>هیمالیا</t>
  </si>
  <si>
    <t>کابل دوشاخه  220  سانتی طوسی</t>
  </si>
  <si>
    <t>دوازده سانت</t>
  </si>
  <si>
    <t>ارت کناری</t>
  </si>
  <si>
    <t>کابل دو شاخه مخصوص کمپرسور اینورتر</t>
  </si>
  <si>
    <t>یک سانت</t>
  </si>
  <si>
    <t>کابل دو شاخه تی وی 1.60 سانتیمتری</t>
  </si>
  <si>
    <t>هفت و نیم</t>
  </si>
  <si>
    <t>کابل دو شاخه تی وی 1.92 سانتیمتری</t>
  </si>
  <si>
    <t>چهل سانت</t>
  </si>
  <si>
    <t>کابل دو شاخه تی وی 1.63 سانتیمتری</t>
  </si>
  <si>
    <t>یازده سانت</t>
  </si>
  <si>
    <t>کابل دوشاخه فریزر صندوقی</t>
  </si>
  <si>
    <t>کابل TV50FCU</t>
  </si>
  <si>
    <t>شصت سانت</t>
  </si>
  <si>
    <t>43gfslu3jfs</t>
  </si>
  <si>
    <t>بیست و پنج سانت</t>
  </si>
  <si>
    <t>2.5 آمپر صاف</t>
  </si>
  <si>
    <t>ندارد</t>
  </si>
  <si>
    <t>نیکسان</t>
  </si>
  <si>
    <t>کابل دو شاخه 220 سانتی طوسی</t>
  </si>
  <si>
    <t>هشت سانت</t>
  </si>
  <si>
    <t>کابل دو شاخه 224 سانتی</t>
  </si>
  <si>
    <t>کابل دوشاخه  224  سانتی طوسی</t>
  </si>
  <si>
    <t>حایر آسا</t>
  </si>
  <si>
    <t>کابل دو شاخه سفید 257  سانتی</t>
  </si>
  <si>
    <t>ده سانت</t>
  </si>
  <si>
    <t>سوراخدار</t>
  </si>
  <si>
    <t>دو سانت</t>
  </si>
  <si>
    <t>پنج سانت</t>
  </si>
  <si>
    <t>كابل تغذيه 393-BRT130-10092</t>
  </si>
  <si>
    <t>کابل دوشاخه دار (combi ref power cord)</t>
  </si>
  <si>
    <t>برفاب</t>
  </si>
  <si>
    <t>کابل دوشاخه ارت دار یخچال فریزر</t>
  </si>
  <si>
    <t>کابل دوشاخه ارت دار یخچال فریزر صندوقی</t>
  </si>
  <si>
    <t>آبسال</t>
  </si>
  <si>
    <t>کابل دوشاخه</t>
  </si>
  <si>
    <t>سپید مطهر</t>
  </si>
  <si>
    <t>کابل دوشاخه ظرفشویی 1/8 ارت دار 1*3 طوسی 30032050</t>
  </si>
  <si>
    <t>کابل دوشاخه لباسشویی ارت دار 1*3 طوسی 30014542</t>
  </si>
  <si>
    <t>سوراخ دار</t>
  </si>
  <si>
    <t>اسنوا</t>
  </si>
  <si>
    <t>کابل دوشاخه طوسی سه در یک ونیم</t>
  </si>
  <si>
    <t>سه سانت</t>
  </si>
  <si>
    <t>کابل دو شاخه سفید  145  سانتی</t>
  </si>
  <si>
    <t>کابل سه رشته دو شاخه گلند پرسی اجاق گاز صادراتی</t>
  </si>
  <si>
    <t>کابل دو شاخه اجاق تکنو ایتالیا</t>
  </si>
  <si>
    <t>کابل برق اجاق تکنو گاز</t>
  </si>
  <si>
    <t>power supply cord</t>
  </si>
  <si>
    <t>سه</t>
  </si>
  <si>
    <t>power suppiy cord sap code</t>
  </si>
  <si>
    <t>بهسار تدبیر</t>
  </si>
  <si>
    <t>یخساران</t>
  </si>
  <si>
    <t>کابل دوشاخه سفید 0.75*3</t>
  </si>
  <si>
    <t>کنار همی</t>
  </si>
  <si>
    <t>پاکشوما</t>
  </si>
  <si>
    <t>کابل برق دوشاخه دوقلو(9/6)</t>
  </si>
  <si>
    <t>گلند پاکشوما</t>
  </si>
  <si>
    <t>ارت کنار همی</t>
  </si>
  <si>
    <t>کابل دو شاخه ظرفشویی 1*3</t>
  </si>
  <si>
    <t>امرسان</t>
  </si>
  <si>
    <t>کابل دوشاخه سفید 224 سانتی</t>
  </si>
  <si>
    <t>پارس</t>
  </si>
  <si>
    <t>اراک تکسوز</t>
  </si>
  <si>
    <t>کابل دو شاخه 0.75*3</t>
  </si>
  <si>
    <t>مطهر ضمیر</t>
  </si>
  <si>
    <t>کابل دو شاخه دو در هفتادو پنج مدل 43 اینچ</t>
  </si>
  <si>
    <t>کابل دوشاخه دو در هفتادو وپنج مدل 32 اینچ</t>
  </si>
  <si>
    <t>چهار سانت</t>
  </si>
  <si>
    <t>کابل دو شاخه دو در هفتادو پنج مدل 50-55 اینچ</t>
  </si>
  <si>
    <t>کابل دو شاخه 0.75*2 مدل 75 اینچ</t>
  </si>
  <si>
    <t>بیست سانت</t>
  </si>
  <si>
    <t>کابل دو شاخه 0.75*2 مدل 65 اینچ</t>
  </si>
  <si>
    <t>رادیویی</t>
  </si>
  <si>
    <t>گلدیران</t>
  </si>
  <si>
    <t>کابل دوشاخه 3*1 فریتدار</t>
  </si>
  <si>
    <t>آیسان خزر</t>
  </si>
  <si>
    <t>تکوین الکترونیک</t>
  </si>
  <si>
    <t>کابل دو شاخه Power cord کد مقصد 3904000794</t>
  </si>
  <si>
    <t>مبین طاها</t>
  </si>
  <si>
    <t>کابل دوشاخه مشکی  110 سانتی</t>
  </si>
  <si>
    <t>کابل برق هود</t>
  </si>
  <si>
    <t>تاکنو گاز</t>
  </si>
  <si>
    <t>کابل دو شاخه 2/2 متری ارت دار0.75*3</t>
  </si>
  <si>
    <t>انرژی</t>
  </si>
  <si>
    <t>كابل دوشاخه</t>
  </si>
  <si>
    <t>زلال کوثر</t>
  </si>
  <si>
    <t>آتش مهر آداک</t>
  </si>
  <si>
    <t>کابل دوشاخه بطول 1/5 متری</t>
  </si>
  <si>
    <t>فریدولین</t>
  </si>
  <si>
    <t>دوشاخه لباسشویی با سر سیم</t>
  </si>
  <si>
    <t>چهارده</t>
  </si>
  <si>
    <t>ارت کنارهمی</t>
  </si>
  <si>
    <t>دوشاخه لباسشویی</t>
  </si>
  <si>
    <t>کابل دوشاخه لباسشویی دو قلو طوسی روشن</t>
  </si>
  <si>
    <t>گرند صنعت</t>
  </si>
  <si>
    <t>مطلق هرمس</t>
  </si>
  <si>
    <t>کابل مشکی هوا پز</t>
  </si>
  <si>
    <t>الکترو پیک</t>
  </si>
  <si>
    <t>کابل دوشاخه الکتروپیک</t>
  </si>
  <si>
    <t>ایران ناسیونال</t>
  </si>
  <si>
    <t>هاردستون</t>
  </si>
  <si>
    <t>کابل دوشاخه مشکی خرد کن و مخلوط کن</t>
  </si>
  <si>
    <t>کابل پاور چرخ گوشت (مشکی)</t>
  </si>
  <si>
    <t>کیا صنعت کاران</t>
  </si>
  <si>
    <t>آذین سریر پاکان</t>
  </si>
  <si>
    <t>ref</t>
  </si>
  <si>
    <t>tv</t>
  </si>
  <si>
    <t>نوع مغزی دوشاخه</t>
  </si>
  <si>
    <t>مدیا</t>
  </si>
  <si>
    <t>packed</t>
  </si>
  <si>
    <t>date</t>
  </si>
  <si>
    <t>molex</t>
  </si>
  <si>
    <t>splice</t>
  </si>
  <si>
    <t>VH</t>
  </si>
  <si>
    <t>YH</t>
  </si>
  <si>
    <t>شنبه</t>
  </si>
  <si>
    <t>یکشنبه</t>
  </si>
  <si>
    <t>دوشنبه</t>
  </si>
  <si>
    <t>سه شنبه</t>
  </si>
  <si>
    <t>چهارشنبه</t>
  </si>
  <si>
    <t>پنجشنبه</t>
  </si>
  <si>
    <t>جمعه</t>
  </si>
  <si>
    <t>-</t>
  </si>
  <si>
    <t>?</t>
  </si>
  <si>
    <t>MI002</t>
  </si>
  <si>
    <t>MI019</t>
  </si>
  <si>
    <t>MI003</t>
  </si>
  <si>
    <t>MI001</t>
  </si>
  <si>
    <t>MI013</t>
  </si>
  <si>
    <t>MI026</t>
  </si>
  <si>
    <t>MI005</t>
  </si>
  <si>
    <t>MI017</t>
  </si>
  <si>
    <t>MI012</t>
  </si>
  <si>
    <t>MI025</t>
  </si>
  <si>
    <t>--</t>
  </si>
  <si>
    <t>MI008</t>
  </si>
  <si>
    <t>MI021</t>
  </si>
  <si>
    <t>MI020</t>
  </si>
  <si>
    <t>MI006</t>
  </si>
  <si>
    <t>MI039</t>
  </si>
  <si>
    <t>MI037</t>
  </si>
  <si>
    <t>MI038</t>
  </si>
  <si>
    <t>MI41</t>
  </si>
  <si>
    <t>MI044</t>
  </si>
  <si>
    <t>MI37</t>
  </si>
  <si>
    <t>MI007</t>
  </si>
  <si>
    <t>MI004</t>
  </si>
  <si>
    <t>MI38</t>
  </si>
  <si>
    <t>Id</t>
  </si>
  <si>
    <t>ph</t>
  </si>
  <si>
    <t>erth</t>
  </si>
  <si>
    <t>dbl</t>
  </si>
  <si>
    <t>p1</t>
  </si>
  <si>
    <t>p2</t>
  </si>
  <si>
    <t>p3</t>
  </si>
  <si>
    <t>s1</t>
  </si>
  <si>
    <t>s2</t>
  </si>
  <si>
    <t>s3</t>
  </si>
  <si>
    <t>MI015</t>
  </si>
  <si>
    <t>MI018</t>
  </si>
  <si>
    <t>type</t>
  </si>
  <si>
    <t>radio</t>
  </si>
  <si>
    <t>6.3ch</t>
  </si>
  <si>
    <t>4.8ch</t>
  </si>
  <si>
    <t>6.3flat</t>
  </si>
  <si>
    <t>nut4</t>
  </si>
  <si>
    <t>nar.p</t>
  </si>
  <si>
    <t>6.3k</t>
  </si>
  <si>
    <t>flag</t>
  </si>
  <si>
    <t>sun</t>
  </si>
  <si>
    <t>tp</t>
  </si>
  <si>
    <t>ts</t>
  </si>
  <si>
    <t>strip</t>
  </si>
  <si>
    <t>strp</t>
  </si>
  <si>
    <t>noStrp</t>
  </si>
  <si>
    <t>frrt</t>
  </si>
  <si>
    <t>1403/11/16</t>
  </si>
  <si>
    <t>1403/10/01</t>
  </si>
  <si>
    <t>day</t>
  </si>
  <si>
    <t>1403/11/13</t>
  </si>
  <si>
    <t>wgt</t>
  </si>
  <si>
    <t>NA</t>
  </si>
  <si>
    <t>productId</t>
  </si>
  <si>
    <t>wtg</t>
  </si>
  <si>
    <t>wPacked</t>
  </si>
  <si>
    <t>1403/10/03</t>
  </si>
  <si>
    <t>product</t>
  </si>
  <si>
    <t>comment</t>
  </si>
  <si>
    <t>num</t>
  </si>
  <si>
    <t>toDate</t>
  </si>
  <si>
    <t>1403/11/15</t>
  </si>
  <si>
    <t>planId</t>
  </si>
  <si>
    <t>plan1</t>
  </si>
  <si>
    <t>plan2</t>
  </si>
  <si>
    <t>num2</t>
  </si>
  <si>
    <t>num1</t>
  </si>
  <si>
    <t>cutted</t>
  </si>
  <si>
    <t>plan</t>
  </si>
  <si>
    <t>1403/10/02</t>
  </si>
  <si>
    <t>emailDate</t>
  </si>
  <si>
    <t>descriptions</t>
  </si>
  <si>
    <t>end</t>
  </si>
  <si>
    <t>rr</t>
  </si>
  <si>
    <t>1403/11/23</t>
  </si>
  <si>
    <t>مادیران</t>
  </si>
  <si>
    <t>prgs</t>
  </si>
  <si>
    <t>1403/11/14</t>
  </si>
  <si>
    <t>Row Labels</t>
  </si>
  <si>
    <t>Grand Total</t>
  </si>
  <si>
    <t>(blank)</t>
  </si>
  <si>
    <t>Sum of num</t>
  </si>
  <si>
    <t>1403/11/27</t>
  </si>
  <si>
    <t>description</t>
  </si>
  <si>
    <t>1403/11/24</t>
  </si>
  <si>
    <t>Closed</t>
  </si>
  <si>
    <t>canceled</t>
  </si>
  <si>
    <t>1403/12/20</t>
  </si>
  <si>
    <t>unCutted</t>
  </si>
  <si>
    <t>cut1</t>
  </si>
  <si>
    <t>cut2</t>
  </si>
  <si>
    <t>cut3</t>
  </si>
  <si>
    <t>cut4</t>
  </si>
  <si>
    <t>cut5</t>
  </si>
  <si>
    <t/>
  </si>
  <si>
    <t>1403/12/16</t>
  </si>
  <si>
    <t>1403/12/19</t>
  </si>
  <si>
    <t>1403/12/21</t>
  </si>
  <si>
    <t>pack re</t>
  </si>
  <si>
    <t>cut re</t>
  </si>
  <si>
    <t>cut ord</t>
  </si>
  <si>
    <t>1404/01/23</t>
  </si>
  <si>
    <t>1404/01/16</t>
  </si>
  <si>
    <t>1404/01/25</t>
  </si>
  <si>
    <t>1404/01/24</t>
  </si>
  <si>
    <t>1404/01/28</t>
  </si>
  <si>
    <t>1404/01/19</t>
  </si>
  <si>
    <t>inLine</t>
  </si>
  <si>
    <t>1404/01/26</t>
  </si>
  <si>
    <t>1403/07/18</t>
  </si>
  <si>
    <t>1404/01/17</t>
  </si>
  <si>
    <t>1404/01/18</t>
  </si>
  <si>
    <t>2f</t>
  </si>
  <si>
    <t>1404/02/05</t>
  </si>
  <si>
    <t>1404/01/01</t>
  </si>
  <si>
    <t>آغاز روز کاری</t>
  </si>
  <si>
    <t>دستور برش</t>
  </si>
  <si>
    <t>بسته بندی</t>
  </si>
  <si>
    <t>کاهش برش بدلیل اینکه محصولات کابل موجودِ پلن نیاز به دوبل نری پرایدی دارند و باید از دپوی رگال در خط جلوگیری کرد</t>
  </si>
  <si>
    <t>cutDate</t>
  </si>
  <si>
    <t>با برش امروز محصولات کابل موجود در پلن تمام می شود</t>
  </si>
  <si>
    <t>کابل تی وی رسید. پلن پیش بینی اردیبهشت 9000 تا رسید.</t>
  </si>
  <si>
    <t>توضیحات</t>
  </si>
  <si>
    <t>1404/01/31</t>
  </si>
  <si>
    <t>1404/02/12</t>
  </si>
  <si>
    <t>1404/02/02</t>
  </si>
  <si>
    <t>1404/02/16</t>
  </si>
  <si>
    <t>1404/02/22</t>
  </si>
  <si>
    <t>1404/02/09</t>
  </si>
  <si>
    <t>1b</t>
  </si>
  <si>
    <t>1404/01/20</t>
  </si>
  <si>
    <t>کابل تی وی امروز رسید.</t>
  </si>
  <si>
    <t>برای مرکز 3</t>
  </si>
  <si>
    <t>پلن قابل برش 3000عدد.</t>
  </si>
  <si>
    <t>پلن قابل برش در ابتدای روز 15800عدد.</t>
  </si>
  <si>
    <t xml:space="preserve">پلن قابل برش در ابتدای صبح 21800عدد. </t>
  </si>
  <si>
    <t>اتمام کابل تی وی. دریافت 32هزار پلن اردیبهشت در پایان دیروز. پلن قابل برش در ابتدای صبح 32000عدد.</t>
  </si>
  <si>
    <t>گلسان 39</t>
  </si>
  <si>
    <t>گلسان 40</t>
  </si>
  <si>
    <t>خورده</t>
  </si>
  <si>
    <t>1404/01/27</t>
  </si>
  <si>
    <t>برش امروز تمام می شود.</t>
  </si>
  <si>
    <t>ساعت کاری روزانه به ثانیه</t>
  </si>
  <si>
    <t>ثانیه</t>
  </si>
  <si>
    <t>عدد محصول</t>
  </si>
  <si>
    <t>1404/01/30</t>
  </si>
  <si>
    <t>مفدار باقیمانده پلن کنسل شد</t>
  </si>
  <si>
    <t>کم آمده بود و برش داده شد توسط احمد سالمی</t>
  </si>
  <si>
    <t>آبیک شهرک صنعتی کاسپین 2 - میدان استاندارد - خیابان پویش 2 - شرکت نوآور ارتباط صنعت - کد پستی 3441152111</t>
  </si>
  <si>
    <t>تبدیل دو عدد 10279 به 10298</t>
  </si>
  <si>
    <t>1404/02/06</t>
  </si>
  <si>
    <t>1404/02/11</t>
  </si>
  <si>
    <t>1404/02/17</t>
  </si>
  <si>
    <t>1404/02/21</t>
  </si>
  <si>
    <t>نوع کابل</t>
  </si>
  <si>
    <t>نام مشتری</t>
  </si>
  <si>
    <t>کد کابل</t>
  </si>
  <si>
    <t>شرح محصول</t>
  </si>
  <si>
    <t>رنگ کابل</t>
  </si>
  <si>
    <t>طول برش</t>
  </si>
  <si>
    <t>طول سیم قهوه ایی</t>
  </si>
  <si>
    <t>طول سیم آبی</t>
  </si>
  <si>
    <t>طول سیم ارت</t>
  </si>
  <si>
    <t>غلافبرداری کوتاه</t>
  </si>
  <si>
    <t>غلافبرداری بلند</t>
  </si>
  <si>
    <t>روکشبرداری قهوه ایی</t>
  </si>
  <si>
    <t>روکشبرداری آبی</t>
  </si>
  <si>
    <t>روکشبرداری زرد</t>
  </si>
  <si>
    <t>روکش مغزی</t>
  </si>
  <si>
    <t>مهاربند</t>
  </si>
  <si>
    <t>سر سیم  قهوه ای</t>
  </si>
  <si>
    <t>سر سیم آبی</t>
  </si>
  <si>
    <t>سر سیم  زرد</t>
  </si>
  <si>
    <t>120030006</t>
  </si>
  <si>
    <t>کابل دوشاخه 3.75</t>
  </si>
  <si>
    <t>سفید چاپ معمولی</t>
  </si>
  <si>
    <t>10</t>
  </si>
  <si>
    <t>2.5</t>
  </si>
  <si>
    <t>3.2</t>
  </si>
  <si>
    <t>6</t>
  </si>
  <si>
    <t>9</t>
  </si>
  <si>
    <t>3*0.75</t>
  </si>
  <si>
    <t>مهره خور 4</t>
  </si>
  <si>
    <t>120030009</t>
  </si>
  <si>
    <t>طوسی چاپ معمولی</t>
  </si>
  <si>
    <t>3*1</t>
  </si>
  <si>
    <t>6.3</t>
  </si>
  <si>
    <t>120030094</t>
  </si>
  <si>
    <t>طوسی روشن</t>
  </si>
  <si>
    <t>16</t>
  </si>
  <si>
    <t>5.5</t>
  </si>
  <si>
    <t>120030039</t>
  </si>
  <si>
    <t>مشکی تخت</t>
  </si>
  <si>
    <t>2</t>
  </si>
  <si>
    <t>2.5 آمپر تخت (مشکی)</t>
  </si>
  <si>
    <t>0</t>
  </si>
  <si>
    <t>8</t>
  </si>
  <si>
    <t>2*0.75</t>
  </si>
  <si>
    <t>VHT</t>
  </si>
  <si>
    <t>دوبل6/3 پشت صاف</t>
  </si>
  <si>
    <t>20</t>
  </si>
  <si>
    <t>3</t>
  </si>
  <si>
    <t>58GfuDuB Hm58fs کدمقصد : 700060009</t>
  </si>
  <si>
    <t>55GFU 9632</t>
  </si>
  <si>
    <t>1.4</t>
  </si>
  <si>
    <t>2.5 آمپر صاف (مشکی)</t>
  </si>
  <si>
    <t>4</t>
  </si>
  <si>
    <t>15</t>
  </si>
  <si>
    <t>نیک سان</t>
  </si>
  <si>
    <t>4.5</t>
  </si>
  <si>
    <t>120100008</t>
  </si>
  <si>
    <t>120100002</t>
  </si>
  <si>
    <t>سیم دوشاخه برق کلیه محصولات  N-DW-  987 -01</t>
  </si>
  <si>
    <t>14.5</t>
  </si>
  <si>
    <t>17</t>
  </si>
  <si>
    <t>سیم دوشاخه برق  NT595MD   N-DW-912-02</t>
  </si>
  <si>
    <t>13</t>
  </si>
  <si>
    <t>357460110</t>
  </si>
  <si>
    <t>357480110</t>
  </si>
  <si>
    <t>مهره خور4</t>
  </si>
  <si>
    <t>12</t>
  </si>
  <si>
    <t>خورشیدی</t>
  </si>
  <si>
    <t>فروزان</t>
  </si>
  <si>
    <t>450</t>
  </si>
  <si>
    <t>470</t>
  </si>
  <si>
    <t>480</t>
  </si>
  <si>
    <t>50</t>
  </si>
  <si>
    <t>molex460</t>
  </si>
  <si>
    <t>120030042</t>
  </si>
  <si>
    <t>كابل دوشاخه دار( power cord) طوسي كد مقصد: 20012187</t>
  </si>
  <si>
    <t>طوسی چاپ خاص</t>
  </si>
  <si>
    <t>23</t>
  </si>
  <si>
    <t>اسپیلایس</t>
  </si>
  <si>
    <t>9.5</t>
  </si>
  <si>
    <t>دوبل مهره خور 5</t>
  </si>
  <si>
    <t>120030010</t>
  </si>
  <si>
    <t>سفید</t>
  </si>
  <si>
    <t>12.5</t>
  </si>
  <si>
    <t>13.5</t>
  </si>
  <si>
    <t>120100014</t>
  </si>
  <si>
    <t>مونتاژ دو شاخه با کابل بخاری 341F</t>
  </si>
  <si>
    <t>120030107</t>
  </si>
  <si>
    <t>5</t>
  </si>
  <si>
    <t>120100047</t>
  </si>
  <si>
    <t>120100083</t>
  </si>
  <si>
    <t>36</t>
  </si>
  <si>
    <t>1.5</t>
  </si>
  <si>
    <t>120110052</t>
  </si>
  <si>
    <t>سفید معمولی</t>
  </si>
  <si>
    <t>205</t>
  </si>
  <si>
    <t>3.1</t>
  </si>
  <si>
    <t>کابل برق ظرفشویی کدمقصد 30026387</t>
  </si>
  <si>
    <t>120100016</t>
  </si>
  <si>
    <t>120030028</t>
  </si>
  <si>
    <t>طوسی بدون چاپ</t>
  </si>
  <si>
    <t>8.7</t>
  </si>
  <si>
    <t>3*1.5</t>
  </si>
  <si>
    <t>اسنوا  10</t>
  </si>
  <si>
    <t>Ket</t>
  </si>
  <si>
    <t>اسنوا  23</t>
  </si>
  <si>
    <t>120030044</t>
  </si>
  <si>
    <t>مشکی بدون چاپ</t>
  </si>
  <si>
    <t>اسنوا  61</t>
  </si>
  <si>
    <t>000000000</t>
  </si>
  <si>
    <t>توسط مشتری</t>
  </si>
  <si>
    <t>اسنوا  78</t>
  </si>
  <si>
    <t>120030008</t>
  </si>
  <si>
    <t>مشکی چاپ معمولی</t>
  </si>
  <si>
    <t>تکنوگاز</t>
  </si>
  <si>
    <t>120030074</t>
  </si>
  <si>
    <t>8.4</t>
  </si>
  <si>
    <t>6.2</t>
  </si>
  <si>
    <t>5.8</t>
  </si>
  <si>
    <t>ket</t>
  </si>
  <si>
    <t>120030095</t>
  </si>
  <si>
    <t>اسنوا  89</t>
  </si>
  <si>
    <t>120110051</t>
  </si>
  <si>
    <t>کابل دو شاخه 2 متری (سفید)</t>
  </si>
  <si>
    <t>14</t>
  </si>
  <si>
    <t>120110001</t>
  </si>
  <si>
    <t>24</t>
  </si>
  <si>
    <t>کابل دوشاخه دوقلو مشترک( 6/5 و 8/5)</t>
  </si>
  <si>
    <t>120100023</t>
  </si>
  <si>
    <t>طوسی روشن معمولی</t>
  </si>
  <si>
    <t>31</t>
  </si>
  <si>
    <t>پاکشوما9.5 سانت</t>
  </si>
  <si>
    <t>کابل دوشاخه مدیا کد مقصد 2WB03110004</t>
  </si>
  <si>
    <t>30</t>
  </si>
  <si>
    <t>33</t>
  </si>
  <si>
    <t>مدیا  یک سانت</t>
  </si>
  <si>
    <t>مادگی 6.3آبکاری</t>
  </si>
  <si>
    <t>6.3دوبل مهره خور ابکاری</t>
  </si>
  <si>
    <t>120040048</t>
  </si>
  <si>
    <t>كابل دو شاخه جارو برقی مشکی 9 متری</t>
  </si>
  <si>
    <t>مشکی</t>
  </si>
  <si>
    <t>10 آمپر تخت</t>
  </si>
  <si>
    <t>2*1</t>
  </si>
  <si>
    <t xml:space="preserve"> 4/8 کلیددار</t>
  </si>
  <si>
    <t>16.5</t>
  </si>
  <si>
    <t>کابل دو شاخه هسته فریتی</t>
  </si>
  <si>
    <t>دوبل 6.3</t>
  </si>
  <si>
    <t>POWER CORD    کدفنی :1210070064</t>
  </si>
  <si>
    <t>19.5</t>
  </si>
  <si>
    <t>یک سانت مدیا</t>
  </si>
  <si>
    <t>6/3آبکاری چاکدار</t>
  </si>
  <si>
    <t>دوبل/6/3آبکاری کلیددار</t>
  </si>
  <si>
    <t>کابل دوشاخه ظرفشویی 1×3 (طول سیم ارت بلندتر)</t>
  </si>
  <si>
    <t>23.5</t>
  </si>
  <si>
    <t>3/6پشت صاف</t>
  </si>
  <si>
    <t>6.7</t>
  </si>
  <si>
    <t>مادگی6/3کلیددار</t>
  </si>
  <si>
    <t>اسپیلایس120100029</t>
  </si>
  <si>
    <t>کابل دوشاخه محصولات تاچ</t>
  </si>
  <si>
    <t>10.5</t>
  </si>
  <si>
    <t>22.6</t>
  </si>
  <si>
    <t>مادگی 6.3 پشت صاف</t>
  </si>
  <si>
    <t>PLUG FOR SIDE BY SIDE  کدمقصد: 11120000010</t>
  </si>
  <si>
    <t>35</t>
  </si>
  <si>
    <t>15.6</t>
  </si>
  <si>
    <t>چهارسانت</t>
  </si>
  <si>
    <t>120110060</t>
  </si>
  <si>
    <t>مجموعه كابل دو شاخه محصولات تاچ</t>
  </si>
  <si>
    <t>22</t>
  </si>
  <si>
    <t>امرسان دو سانت/طرح هیمالیا نه و نیم سانت</t>
  </si>
  <si>
    <t>کابل دوشاخه 2/35 متری ارت دار</t>
  </si>
  <si>
    <t>کابل برد به کمپرسور</t>
  </si>
  <si>
    <t>60</t>
  </si>
  <si>
    <t>200</t>
  </si>
  <si>
    <t>کابل فن و لامپ</t>
  </si>
  <si>
    <t>19</t>
  </si>
  <si>
    <t>00</t>
  </si>
  <si>
    <t>کابل برد فریزر نوفراست 1700</t>
  </si>
  <si>
    <t>4*0.75</t>
  </si>
  <si>
    <t>کابل برد کمپرسور فریزر نوفراست 1700</t>
  </si>
  <si>
    <t>کابل سویچ برد دیجیتال فریزر</t>
  </si>
  <si>
    <t>7</t>
  </si>
  <si>
    <t>کابل هولدر لامپ برد دیجیتال</t>
  </si>
  <si>
    <t>2.5 آمپر صاف (سفید)</t>
  </si>
  <si>
    <t>کابل دوشاخه دو در هفتادو وپنج مدل 49 اینچ</t>
  </si>
  <si>
    <t>کابل برق جدا شونده سری 180 درجه تلویزیون</t>
  </si>
  <si>
    <t>120030073</t>
  </si>
  <si>
    <t>سفید چاپ گلدیران</t>
  </si>
  <si>
    <t>18</t>
  </si>
  <si>
    <t>مهره خور4ابکاری</t>
  </si>
  <si>
    <t>210300185</t>
  </si>
  <si>
    <t>کابل  1*3 oven</t>
  </si>
  <si>
    <t>210300187</t>
  </si>
  <si>
    <t>کابل  1.5*3 oven</t>
  </si>
  <si>
    <t>120030118</t>
  </si>
  <si>
    <t>کابل 1.5*3 ماکرو ویو</t>
  </si>
  <si>
    <t>مادگی 4.8آبکاری</t>
  </si>
  <si>
    <t>مهره خور 4 ابکاری</t>
  </si>
  <si>
    <t>120030119</t>
  </si>
  <si>
    <t>کابل 3.1 ماکرو ویو</t>
  </si>
  <si>
    <t>120030116</t>
  </si>
  <si>
    <t>power cord کد مقصد : 850270446</t>
  </si>
  <si>
    <t>مشکی تخت(ایرانی)</t>
  </si>
  <si>
    <t>مغزي دوشاخه 10 آمپر</t>
  </si>
  <si>
    <t xml:space="preserve"> رادیویی</t>
  </si>
  <si>
    <t>رادیویی98715S</t>
  </si>
  <si>
    <t>120040072</t>
  </si>
  <si>
    <t>power cord  کد مقصد : 950032159</t>
  </si>
  <si>
    <t>مغزي دوشاخه 10آمپر</t>
  </si>
  <si>
    <t>power cord  کد مقصد : 950045920</t>
  </si>
  <si>
    <t>POWER CORD     کد مقصد : 17476000007384</t>
  </si>
  <si>
    <t>15.5</t>
  </si>
  <si>
    <t xml:space="preserve"> power cord کد مقصد : 950091525</t>
  </si>
  <si>
    <t>کابل دو شاخه 75*3</t>
  </si>
  <si>
    <t>11</t>
  </si>
  <si>
    <t>40</t>
  </si>
  <si>
    <t>دو و نیم سانت</t>
  </si>
  <si>
    <t>120030050</t>
  </si>
  <si>
    <t>کابل دو شاخه 1.5*3 لباسشویی</t>
  </si>
  <si>
    <t>طوسی</t>
  </si>
  <si>
    <t>سام الکترنیک</t>
  </si>
  <si>
    <t>POWER CORD - AT (001015-3903)</t>
  </si>
  <si>
    <t>37</t>
  </si>
  <si>
    <t>120030047</t>
  </si>
  <si>
    <t>120030011</t>
  </si>
  <si>
    <t>کابل Powe Supply Cord</t>
  </si>
  <si>
    <t>معلوم نیست</t>
  </si>
  <si>
    <t>دوبل6/3</t>
  </si>
  <si>
    <t>120030121</t>
  </si>
  <si>
    <t xml:space="preserve"> ELECTRICAL WIRING ADDITIONAL POWER SUPPLY1,5METER</t>
  </si>
  <si>
    <t>3.5</t>
  </si>
  <si>
    <t>3*0.75(T2)</t>
  </si>
  <si>
    <t>ایمر گاز</t>
  </si>
  <si>
    <t>120100378</t>
  </si>
  <si>
    <t>120110164</t>
  </si>
  <si>
    <t>70</t>
  </si>
  <si>
    <t>قلع اندود</t>
  </si>
  <si>
    <t>Grill Power Supphy Cord کد مقصد : 30036574</t>
  </si>
  <si>
    <t>مادگی 6.3 آبکاری کلیددار</t>
  </si>
  <si>
    <t>120030105</t>
  </si>
  <si>
    <t>120100019</t>
  </si>
  <si>
    <t>12010023</t>
  </si>
  <si>
    <t>21.4</t>
  </si>
  <si>
    <t>کابل دوشاخه تک شو 3.75</t>
  </si>
  <si>
    <t>کابل دوشاخه سه در هفتادوپنچ مشکی</t>
  </si>
  <si>
    <t>سوریه ای</t>
  </si>
  <si>
    <t>کابل دوشاخه سه در هفتادوپنج مشکی</t>
  </si>
  <si>
    <t>کابل دوشاخه Model-004195</t>
  </si>
  <si>
    <t>power cord for cooker 3*1</t>
  </si>
  <si>
    <t>جود</t>
  </si>
  <si>
    <t>کابل دوشاخه دو در هفتادوپنج لوازم خانگی کوچک</t>
  </si>
  <si>
    <t>مشکی چاپ دار</t>
  </si>
  <si>
    <t>دوو نیم آمپر</t>
  </si>
  <si>
    <t>مطلق هرمس صنعت</t>
  </si>
  <si>
    <t>دو و نیم</t>
  </si>
  <si>
    <t>کابل دو شاخه لباسشویی 0.75*3</t>
  </si>
  <si>
    <t>ریتون</t>
  </si>
  <si>
    <t>کابل دو شاخه کولر 0.75*3</t>
  </si>
  <si>
    <t>کابل دوشاخه (showcase)PTS01-01-00-00-006</t>
  </si>
  <si>
    <t>آرتل</t>
  </si>
  <si>
    <t xml:space="preserve"> مهره خور4آبکار</t>
  </si>
  <si>
    <t>c60001-30pt</t>
  </si>
  <si>
    <t>کابل دوشاخه (showcase)PTS01-01-00-00-005-Cb</t>
  </si>
  <si>
    <t>21</t>
  </si>
  <si>
    <t>کابل دوشاخه (NoFfrost) PTN01-20-00-000-000-Cb</t>
  </si>
  <si>
    <t>130</t>
  </si>
  <si>
    <t>کابل دوشاخه 0.75*3 (Defrost)( 502401000415) Ptr020</t>
  </si>
  <si>
    <t>کابل دوشاخه 0.75*3 (Showcase)</t>
  </si>
  <si>
    <t>سیم و دوشاخه آبمیوه گیری</t>
  </si>
  <si>
    <t>20.8</t>
  </si>
  <si>
    <t>قلع</t>
  </si>
  <si>
    <t>مشکی تخت چاپ ایران</t>
  </si>
  <si>
    <t>8.5</t>
  </si>
  <si>
    <t>کلید دار آبکاری</t>
  </si>
  <si>
    <t>کابل دو شاخه آبمیوه گیری</t>
  </si>
  <si>
    <t>مشکی تخت (53)607</t>
  </si>
  <si>
    <t>2.5 آمپر صاف (تخت)</t>
  </si>
  <si>
    <t>15 سانت (tv)</t>
  </si>
  <si>
    <t>120040049</t>
  </si>
  <si>
    <t>کابل برق هیتر1×2</t>
  </si>
  <si>
    <t>مغزی دوشاخه 10 آمپر</t>
  </si>
  <si>
    <t>6/3چاکدار</t>
  </si>
  <si>
    <t>Power Supply Cord کد مقصد :30040271</t>
  </si>
  <si>
    <t>کیاصنعت کاران</t>
  </si>
  <si>
    <t>ST730569-3</t>
  </si>
  <si>
    <t>ST731079-3</t>
  </si>
  <si>
    <t>کابل دو شاخه 0.75*2 مدل 50-55 اینچ</t>
  </si>
  <si>
    <t>کابل دوشاخه ظرفشویی 1/8 ارت دار 1*3</t>
  </si>
  <si>
    <t>کابل دوشاخه 1*3 لباسشویی طوسی</t>
  </si>
  <si>
    <t>26.5</t>
  </si>
  <si>
    <t>30.5</t>
  </si>
  <si>
    <t>پگاه شعله خراسا</t>
  </si>
  <si>
    <t>مادگی 6/3آبکاری</t>
  </si>
  <si>
    <t>مهره خور4آبکاری</t>
  </si>
  <si>
    <t>کابل برش خورده 0.75*3 چاپ دار</t>
  </si>
  <si>
    <t>نوآور ارتباط</t>
  </si>
  <si>
    <t>کابل غیر قابل ارسال برای مشتری</t>
  </si>
  <si>
    <t>متفرقه</t>
  </si>
  <si>
    <t>کابل 5 متری تزریق شده برای واحد تعمیرات 1.5*3</t>
  </si>
  <si>
    <t>کابل</t>
  </si>
  <si>
    <t>کابل 5 متری تزریق شده برای واحد تعمیرات 0.75*3</t>
  </si>
  <si>
    <t>12030009</t>
  </si>
  <si>
    <t>کابل قابل بازکاری  کد 140500010</t>
  </si>
  <si>
    <t>نوآور به اراک</t>
  </si>
  <si>
    <t>کابل دوشاخه یخچال و فریزر دوقلو کمبی-طرح2  COM-0304-01-00 کد فنی : 1210070101</t>
  </si>
  <si>
    <t>1</t>
  </si>
  <si>
    <t>ترمینال مهره خور 4</t>
  </si>
  <si>
    <t>Electrical Power Cord - BCD 746 (DC-06-031)</t>
  </si>
  <si>
    <t>C60001-03PT</t>
  </si>
  <si>
    <t>مهره خور 4 آبکاری</t>
  </si>
  <si>
    <t>Power cord  assemblyشماره فنی : 8502400445L</t>
  </si>
  <si>
    <t>کابل برق لباسشویی 9 کیلویی آردزیا   كد مقصد: 4412005087</t>
  </si>
  <si>
    <t>سپیدمطهر</t>
  </si>
  <si>
    <t>ST730649-3</t>
  </si>
  <si>
    <t>کابل برق دو شاخه دار یخچال فریزر 482  کد مقصد :  1210070081</t>
  </si>
  <si>
    <t xml:space="preserve"> ST710489-3</t>
  </si>
  <si>
    <t>کابل برق دو شاخه دار یخچال فریزر 650  کد مقصد : 1210070082</t>
  </si>
  <si>
    <t>6.5</t>
  </si>
  <si>
    <t>44</t>
  </si>
  <si>
    <t>34</t>
  </si>
  <si>
    <t>Power cord-TRF-520 کد مقصد12010201025000</t>
  </si>
  <si>
    <t>120110001 VHT</t>
  </si>
  <si>
    <t>مهره خور 4 آبكاري</t>
  </si>
  <si>
    <t>پاورکورد لباسشویی  شماره فنی :12020102016650</t>
  </si>
  <si>
    <t xml:space="preserve"> 6/3 پشت چاكدار آبکاری</t>
  </si>
  <si>
    <t xml:space="preserve"> 6/3 کلیددار آبکاری</t>
  </si>
  <si>
    <t>کابل دوشاخه برق شستشو و خشک کن   کدفنی :1210070106</t>
  </si>
  <si>
    <t>8.5میلیمتر</t>
  </si>
  <si>
    <t xml:space="preserve"> 6/3 چاکدار آبکاری</t>
  </si>
  <si>
    <t>Power cord-TRF-650 کد مقصد : 12010201021750</t>
  </si>
  <si>
    <t>27</t>
  </si>
  <si>
    <t>طرح هیمالیا بیضی</t>
  </si>
  <si>
    <t>120100323</t>
  </si>
  <si>
    <t>مهره خور 4 آبكار</t>
  </si>
  <si>
    <t>76,77,78,79,80,81,82,83,84,85</t>
  </si>
  <si>
    <t>86</t>
  </si>
  <si>
    <t>87,88,89,90,91,92</t>
  </si>
  <si>
    <t>93,94,95,96,97,98,99,100,101</t>
  </si>
  <si>
    <t>102:300,103:300,104:300,105:300,106:300,107:300,108:300,109:300,110:300,111:300</t>
  </si>
  <si>
    <t>112:500,113:500,114:500,115:500,116:500,117:500</t>
  </si>
  <si>
    <t>118:300,119:300,120:300,121:300,122:300,123:300,124:300,125:300,126:300,127:300</t>
  </si>
  <si>
    <t>128:300,129:300,130:300,131:300,132:300,133:300,134:300</t>
  </si>
  <si>
    <t>135:300,136:300,137:300,138:300,139:300,140:300,141:300</t>
  </si>
  <si>
    <t>142:500,143:500,144:495</t>
  </si>
  <si>
    <t>145:300,146:300,147:300,148:300,149:300,150:300,151:300,152:300,153:300,154:300</t>
  </si>
  <si>
    <t>155:300,156:300,157:300,158:300,159:300,160:300,161:300,162:300,163:300,164:300</t>
  </si>
  <si>
    <t>165:500,166:500,167:500,168:500,169:500,170:500,171:500,172:110</t>
  </si>
  <si>
    <t>173:300,174:300,175:300,176:300,177:300,178:300,179:300,180:300,181:300,182:300</t>
  </si>
  <si>
    <t>193:500,194:500,195:500,196:500,197:500,198:500</t>
  </si>
  <si>
    <t>199:500,200:500,201:500,202:500,203:500,204:500,205:500,206:500,207:300</t>
  </si>
  <si>
    <t>208:300,209:300,210:300,211:300,212:300,213:300,214:200</t>
  </si>
  <si>
    <t>215:300,216:300,217:300,218:300,219:300,220:300,221:300,222:300,223:300,224:200</t>
  </si>
  <si>
    <t>225:300,226:300,227:300,228:300,229:300,230:300,231:300,232:300,233:300,234:300</t>
  </si>
  <si>
    <t>235:300,236:300,237:300,238:300,239:300,240:300,241:300,242:300,243:300,244:300</t>
  </si>
  <si>
    <t>ردیف</t>
  </si>
  <si>
    <t>شماره قرقره</t>
  </si>
  <si>
    <t>تعداد</t>
  </si>
  <si>
    <t>ضایعات</t>
  </si>
  <si>
    <t>ساعت</t>
  </si>
  <si>
    <t>تاریخ</t>
  </si>
  <si>
    <t>علت توقف</t>
  </si>
  <si>
    <t>نام و امضاء اپراتور</t>
  </si>
  <si>
    <t>نام و امضاء بازرس</t>
  </si>
  <si>
    <t>نام و امضاء مسئول خط</t>
  </si>
  <si>
    <t>برنامه تولید واحد تزریق دوشاخه</t>
  </si>
  <si>
    <t>NES</t>
  </si>
  <si>
    <t>ایستگاه کاری</t>
  </si>
  <si>
    <t>شروع</t>
  </si>
  <si>
    <t>پایان</t>
  </si>
  <si>
    <t>غلاف برداری دستگاه</t>
  </si>
  <si>
    <t>غلاف برداری دستی</t>
  </si>
  <si>
    <t>کوتاه کردن سیم</t>
  </si>
  <si>
    <t>روکش فاز و نول</t>
  </si>
  <si>
    <t>روکش ارت</t>
  </si>
  <si>
    <t>پرس فاز و نول</t>
  </si>
  <si>
    <t>پرس ارت</t>
  </si>
  <si>
    <t>پرس مغزی</t>
  </si>
  <si>
    <t>تزریق کلگی</t>
  </si>
  <si>
    <t>تزریق مهاربند</t>
  </si>
  <si>
    <t>پرس دوبل</t>
  </si>
  <si>
    <t>سوکت زدن</t>
  </si>
  <si>
    <t>پلیسه گیری</t>
  </si>
  <si>
    <t>فریت پیچی</t>
  </si>
  <si>
    <t>کنترل ظاهری</t>
  </si>
  <si>
    <t>کنترل  HiVoltage</t>
  </si>
  <si>
    <t>امضاء سرپرست</t>
  </si>
  <si>
    <t>245:300,246:300,247:300,248:300,249:300,250:300,251:300,252:300,253:300,254:300,255:300,256:300,257:300,258:100</t>
  </si>
  <si>
    <t>LasBatch =</t>
  </si>
  <si>
    <t>set Last Batch to:</t>
  </si>
  <si>
    <t>259:300,260:300,261:300,262:300,263:300,264:300,265:300,266:300,267:300,268:300</t>
  </si>
  <si>
    <t>send</t>
  </si>
  <si>
    <t>receive</t>
  </si>
  <si>
    <t>mojoodi_III</t>
  </si>
  <si>
    <t>Sum of mojoodi_III</t>
  </si>
  <si>
    <t>size</t>
  </si>
  <si>
    <t>cutId</t>
  </si>
  <si>
    <t>chk</t>
  </si>
  <si>
    <t>1404/02/01</t>
  </si>
  <si>
    <t>270:300,271:300,272:300,273:300,274:300,275:300,276:300,277:300,278:300,279:300</t>
  </si>
  <si>
    <t>تولید اسمی هر نفر روز</t>
  </si>
  <si>
    <t>280:300,281:300,282:300,283:100</t>
  </si>
  <si>
    <t>284:300,285:300,286:300,287:300,288:300,289:300,290:300,291:300,292:300,293:300</t>
  </si>
  <si>
    <t>ارسال با پژو 405</t>
  </si>
  <si>
    <t>1404/02/03</t>
  </si>
  <si>
    <t>294:300,295:300,296:300,297:300,298:300,299:300,300:300,301:300,302:300,303:300</t>
  </si>
  <si>
    <t>304:300,305:300,306:300,307:300,308:300,309:300,310:300,311:300,312:300,313:300</t>
  </si>
  <si>
    <t>314:300,315:300,316:300,317:300,318:300,319:300,320:300,321:300,322:300,323:300</t>
  </si>
  <si>
    <t>1404/01/02</t>
  </si>
  <si>
    <t>1404/01/03</t>
  </si>
  <si>
    <t>1404/01/04</t>
  </si>
  <si>
    <t>1404/01/05</t>
  </si>
  <si>
    <t>1404/01/06</t>
  </si>
  <si>
    <t>1404/01/07</t>
  </si>
  <si>
    <t>1404/01/08</t>
  </si>
  <si>
    <t>1404/01/09</t>
  </si>
  <si>
    <t>1404/01/10</t>
  </si>
  <si>
    <t>1404/01/11</t>
  </si>
  <si>
    <t>1404/01/12</t>
  </si>
  <si>
    <t>1404/01/13</t>
  </si>
  <si>
    <t>1404/01/14</t>
  </si>
  <si>
    <t>1404/01/15</t>
  </si>
  <si>
    <t>1404/01/21</t>
  </si>
  <si>
    <t>1404/01/22</t>
  </si>
  <si>
    <t>1404/01/29</t>
  </si>
  <si>
    <t>1404/02/04</t>
  </si>
  <si>
    <t>1404/02/07</t>
  </si>
  <si>
    <t>1404/02/08</t>
  </si>
  <si>
    <t>1404/02/10</t>
  </si>
  <si>
    <t>1404/02/13</t>
  </si>
  <si>
    <t>1404/02/14</t>
  </si>
  <si>
    <t>1404/02/15</t>
  </si>
  <si>
    <t>1404/02/18</t>
  </si>
  <si>
    <t>1404/02/19</t>
  </si>
  <si>
    <t>1404/02/20</t>
  </si>
  <si>
    <t>1404/02/23</t>
  </si>
  <si>
    <t>1404/02/24</t>
  </si>
  <si>
    <t>1404/02/25</t>
  </si>
  <si>
    <t>1404/02/26</t>
  </si>
  <si>
    <t>1404/02/27</t>
  </si>
  <si>
    <t>1404/02/28</t>
  </si>
  <si>
    <t>1404/02/29</t>
  </si>
  <si>
    <t>1404/02/30</t>
  </si>
  <si>
    <t>1404/02/31</t>
  </si>
  <si>
    <t>1404/03/01</t>
  </si>
  <si>
    <t>1404/03/02</t>
  </si>
  <si>
    <t>1404/03/03</t>
  </si>
  <si>
    <t>1404/03/04</t>
  </si>
  <si>
    <t>1404/03/05</t>
  </si>
  <si>
    <t>1404/03/06</t>
  </si>
  <si>
    <t>1404/03/07</t>
  </si>
  <si>
    <t>1404/03/08</t>
  </si>
  <si>
    <t>1404/03/09</t>
  </si>
  <si>
    <t>1404/03/10</t>
  </si>
  <si>
    <t>1404/03/11</t>
  </si>
  <si>
    <t>1404/03/12</t>
  </si>
  <si>
    <t>1404/03/13</t>
  </si>
  <si>
    <t>1404/03/14</t>
  </si>
  <si>
    <t>1404/03/15</t>
  </si>
  <si>
    <t>1404/03/16</t>
  </si>
  <si>
    <t>1404/03/17</t>
  </si>
  <si>
    <t>1404/03/18</t>
  </si>
  <si>
    <t>1404/03/19</t>
  </si>
  <si>
    <t>1404/03/20</t>
  </si>
  <si>
    <t>1404/03/21</t>
  </si>
  <si>
    <t>1404/03/22</t>
  </si>
  <si>
    <t>1404/03/23</t>
  </si>
  <si>
    <t>1404/03/24</t>
  </si>
  <si>
    <t>1404/03/25</t>
  </si>
  <si>
    <t>1404/03/26</t>
  </si>
  <si>
    <t>1404/03/27</t>
  </si>
  <si>
    <t>1404/03/28</t>
  </si>
  <si>
    <t>1404/03/29</t>
  </si>
  <si>
    <t>1404/03/30</t>
  </si>
  <si>
    <t>1404/03/31</t>
  </si>
  <si>
    <t>1404/04/01</t>
  </si>
  <si>
    <t>1404/04/02</t>
  </si>
  <si>
    <t>1404/04/03</t>
  </si>
  <si>
    <t>1404/04/04</t>
  </si>
  <si>
    <t>1404/04/05</t>
  </si>
  <si>
    <t>1404/04/06</t>
  </si>
  <si>
    <t>1404/04/07</t>
  </si>
  <si>
    <t>1404/04/08</t>
  </si>
  <si>
    <t>1404/04/09</t>
  </si>
  <si>
    <t>1404/04/10</t>
  </si>
  <si>
    <t>1404/04/11</t>
  </si>
  <si>
    <t>1404/04/12</t>
  </si>
  <si>
    <t>1404/04/13</t>
  </si>
  <si>
    <t>1404/04/14</t>
  </si>
  <si>
    <t>1404/04/15</t>
  </si>
  <si>
    <t>1404/04/16</t>
  </si>
  <si>
    <t>1404/04/17</t>
  </si>
  <si>
    <t>1404/04/18</t>
  </si>
  <si>
    <t>1404/04/19</t>
  </si>
  <si>
    <t>1404/04/20</t>
  </si>
  <si>
    <t>1404/04/21</t>
  </si>
  <si>
    <t>1404/04/22</t>
  </si>
  <si>
    <t>1404/04/23</t>
  </si>
  <si>
    <t>1404/04/24</t>
  </si>
  <si>
    <t>1404/04/25</t>
  </si>
  <si>
    <t>1404/04/26</t>
  </si>
  <si>
    <t>1404/04/27</t>
  </si>
  <si>
    <t>1404/04/28</t>
  </si>
  <si>
    <t>1404/04/29</t>
  </si>
  <si>
    <t>1404/04/30</t>
  </si>
  <si>
    <t>1404/04/31</t>
  </si>
  <si>
    <t>1404/05/01</t>
  </si>
  <si>
    <t>1404/05/02</t>
  </si>
  <si>
    <t>1404/05/03</t>
  </si>
  <si>
    <t>1404/05/04</t>
  </si>
  <si>
    <t>1404/05/05</t>
  </si>
  <si>
    <t>1404/05/06</t>
  </si>
  <si>
    <t>1404/05/07</t>
  </si>
  <si>
    <t>1404/05/08</t>
  </si>
  <si>
    <t>1404/05/09</t>
  </si>
  <si>
    <t>1404/05/10</t>
  </si>
  <si>
    <t>1404/05/11</t>
  </si>
  <si>
    <t>1404/05/12</t>
  </si>
  <si>
    <t>1404/05/13</t>
  </si>
  <si>
    <t>1404/05/14</t>
  </si>
  <si>
    <t>1404/05/15</t>
  </si>
  <si>
    <t>1404/05/16</t>
  </si>
  <si>
    <t>1404/05/17</t>
  </si>
  <si>
    <t>1404/05/18</t>
  </si>
  <si>
    <t>1404/05/19</t>
  </si>
  <si>
    <t>1404/05/20</t>
  </si>
  <si>
    <t>1404/05/21</t>
  </si>
  <si>
    <t>1404/05/22</t>
  </si>
  <si>
    <t>1404/05/23</t>
  </si>
  <si>
    <t>1404/05/24</t>
  </si>
  <si>
    <t>1404/05/25</t>
  </si>
  <si>
    <t>1404/05/26</t>
  </si>
  <si>
    <t>1404/05/27</t>
  </si>
  <si>
    <t>1404/05/28</t>
  </si>
  <si>
    <t>1404/05/29</t>
  </si>
  <si>
    <t>1404/05/30</t>
  </si>
  <si>
    <t>1404/05/31</t>
  </si>
  <si>
    <t>1404/06/01</t>
  </si>
  <si>
    <t>1404/06/02</t>
  </si>
  <si>
    <t>1404/06/03</t>
  </si>
  <si>
    <t>1404/06/04</t>
  </si>
  <si>
    <t>1404/06/05</t>
  </si>
  <si>
    <t>1404/06/06</t>
  </si>
  <si>
    <t>1404/06/07</t>
  </si>
  <si>
    <t>1404/06/08</t>
  </si>
  <si>
    <t>1404/06/09</t>
  </si>
  <si>
    <t>1404/06/10</t>
  </si>
  <si>
    <t>1404/06/11</t>
  </si>
  <si>
    <t>1404/06/12</t>
  </si>
  <si>
    <t>1404/06/13</t>
  </si>
  <si>
    <t>1404/06/14</t>
  </si>
  <si>
    <t>1404/06/15</t>
  </si>
  <si>
    <t>1404/06/16</t>
  </si>
  <si>
    <t>1404/06/17</t>
  </si>
  <si>
    <t>1404/06/18</t>
  </si>
  <si>
    <t>1404/06/19</t>
  </si>
  <si>
    <t>1404/06/20</t>
  </si>
  <si>
    <t>1404/06/21</t>
  </si>
  <si>
    <t>1404/06/22</t>
  </si>
  <si>
    <t>1404/06/23</t>
  </si>
  <si>
    <t>1404/06/24</t>
  </si>
  <si>
    <t>1404/06/25</t>
  </si>
  <si>
    <t>1404/06/26</t>
  </si>
  <si>
    <t>1404/06/27</t>
  </si>
  <si>
    <t>1404/06/28</t>
  </si>
  <si>
    <t>1404/06/29</t>
  </si>
  <si>
    <t>1404/06/30</t>
  </si>
  <si>
    <t>1404/06/31</t>
  </si>
  <si>
    <t>1404/07/01</t>
  </si>
  <si>
    <t>1404/07/02</t>
  </si>
  <si>
    <t>1404/07/03</t>
  </si>
  <si>
    <t>1404/07/04</t>
  </si>
  <si>
    <t>1404/07/05</t>
  </si>
  <si>
    <t>1404/07/06</t>
  </si>
  <si>
    <t>1404/07/07</t>
  </si>
  <si>
    <t>1404/07/08</t>
  </si>
  <si>
    <t>1404/07/09</t>
  </si>
  <si>
    <t>1404/07/10</t>
  </si>
  <si>
    <t>1404/07/11</t>
  </si>
  <si>
    <t>1404/07/12</t>
  </si>
  <si>
    <t>1404/07/13</t>
  </si>
  <si>
    <t>1404/07/14</t>
  </si>
  <si>
    <t>1404/07/15</t>
  </si>
  <si>
    <t>1404/07/16</t>
  </si>
  <si>
    <t>1404/07/17</t>
  </si>
  <si>
    <t>1404/07/18</t>
  </si>
  <si>
    <t>1404/07/19</t>
  </si>
  <si>
    <t>1404/07/20</t>
  </si>
  <si>
    <t>1404/07/21</t>
  </si>
  <si>
    <t>1404/07/22</t>
  </si>
  <si>
    <t>1404/07/23</t>
  </si>
  <si>
    <t>1404/07/24</t>
  </si>
  <si>
    <t>1404/07/25</t>
  </si>
  <si>
    <t>1404/07/26</t>
  </si>
  <si>
    <t>1404/07/27</t>
  </si>
  <si>
    <t>1404/07/28</t>
  </si>
  <si>
    <t>1404/07/29</t>
  </si>
  <si>
    <t>1404/07/30</t>
  </si>
  <si>
    <t>1404/08/01</t>
  </si>
  <si>
    <t>1404/08/02</t>
  </si>
  <si>
    <t>1404/08/03</t>
  </si>
  <si>
    <t>1404/08/04</t>
  </si>
  <si>
    <t>1404/08/05</t>
  </si>
  <si>
    <t>1404/08/06</t>
  </si>
  <si>
    <t>1404/08/07</t>
  </si>
  <si>
    <t>1404/08/08</t>
  </si>
  <si>
    <t>1404/08/09</t>
  </si>
  <si>
    <t>1404/08/10</t>
  </si>
  <si>
    <t>1404/08/11</t>
  </si>
  <si>
    <t>1404/08/12</t>
  </si>
  <si>
    <t>1404/08/13</t>
  </si>
  <si>
    <t>1404/08/14</t>
  </si>
  <si>
    <t>1404/08/15</t>
  </si>
  <si>
    <t>1404/08/16</t>
  </si>
  <si>
    <t>1404/08/17</t>
  </si>
  <si>
    <t>1404/08/18</t>
  </si>
  <si>
    <t>1404/08/19</t>
  </si>
  <si>
    <t>1404/08/20</t>
  </si>
  <si>
    <t>1404/08/21</t>
  </si>
  <si>
    <t>1404/08/22</t>
  </si>
  <si>
    <t>1404/08/23</t>
  </si>
  <si>
    <t>1404/08/24</t>
  </si>
  <si>
    <t>1404/08/25</t>
  </si>
  <si>
    <t>1404/08/26</t>
  </si>
  <si>
    <t>1404/08/27</t>
  </si>
  <si>
    <t>1404/08/28</t>
  </si>
  <si>
    <t>1404/08/29</t>
  </si>
  <si>
    <t>1404/08/30</t>
  </si>
  <si>
    <t>1404/09/01</t>
  </si>
  <si>
    <t>1404/09/02</t>
  </si>
  <si>
    <t>1404/09/03</t>
  </si>
  <si>
    <t>1404/09/04</t>
  </si>
  <si>
    <t>1404/09/05</t>
  </si>
  <si>
    <t>1404/09/06</t>
  </si>
  <si>
    <t>1404/09/07</t>
  </si>
  <si>
    <t>1404/09/08</t>
  </si>
  <si>
    <t>1404/09/09</t>
  </si>
  <si>
    <t>1404/09/10</t>
  </si>
  <si>
    <t>1404/09/11</t>
  </si>
  <si>
    <t>1404/09/12</t>
  </si>
  <si>
    <t>1404/09/13</t>
  </si>
  <si>
    <t>1404/09/14</t>
  </si>
  <si>
    <t>1404/09/15</t>
  </si>
  <si>
    <t>1404/09/16</t>
  </si>
  <si>
    <t>1404/09/17</t>
  </si>
  <si>
    <t>1404/09/18</t>
  </si>
  <si>
    <t>1404/09/19</t>
  </si>
  <si>
    <t>1404/09/20</t>
  </si>
  <si>
    <t>1404/09/21</t>
  </si>
  <si>
    <t>1404/09/22</t>
  </si>
  <si>
    <t>1404/09/23</t>
  </si>
  <si>
    <t>1404/09/24</t>
  </si>
  <si>
    <t>1404/09/25</t>
  </si>
  <si>
    <t>1404/09/26</t>
  </si>
  <si>
    <t>1404/09/27</t>
  </si>
  <si>
    <t>1404/09/28</t>
  </si>
  <si>
    <t>1404/09/29</t>
  </si>
  <si>
    <t>1404/09/30</t>
  </si>
  <si>
    <t>1404/10/01</t>
  </si>
  <si>
    <t>1404/10/02</t>
  </si>
  <si>
    <t>1404/10/03</t>
  </si>
  <si>
    <t>1404/10/04</t>
  </si>
  <si>
    <t>1404/10/05</t>
  </si>
  <si>
    <t>1404/10/06</t>
  </si>
  <si>
    <t>1404/10/07</t>
  </si>
  <si>
    <t>1404/10/08</t>
  </si>
  <si>
    <t>1404/10/09</t>
  </si>
  <si>
    <t>1404/10/10</t>
  </si>
  <si>
    <t>1404/10/11</t>
  </si>
  <si>
    <t>1404/10/12</t>
  </si>
  <si>
    <t>1404/10/13</t>
  </si>
  <si>
    <t>1404/10/14</t>
  </si>
  <si>
    <t>1404/10/15</t>
  </si>
  <si>
    <t>1404/10/16</t>
  </si>
  <si>
    <t>1404/10/17</t>
  </si>
  <si>
    <t>1404/10/18</t>
  </si>
  <si>
    <t>1404/10/19</t>
  </si>
  <si>
    <t>1404/10/20</t>
  </si>
  <si>
    <t>1404/10/21</t>
  </si>
  <si>
    <t>1404/10/22</t>
  </si>
  <si>
    <t>1404/10/23</t>
  </si>
  <si>
    <t>1404/10/24</t>
  </si>
  <si>
    <t>1404/10/25</t>
  </si>
  <si>
    <t>1404/10/26</t>
  </si>
  <si>
    <t>1404/10/27</t>
  </si>
  <si>
    <t>1404/10/28</t>
  </si>
  <si>
    <t>1404/10/29</t>
  </si>
  <si>
    <t>1404/10/30</t>
  </si>
  <si>
    <t>1404/11/01</t>
  </si>
  <si>
    <t>1404/11/02</t>
  </si>
  <si>
    <t>1404/11/03</t>
  </si>
  <si>
    <t>1404/11/04</t>
  </si>
  <si>
    <t>1404/11/05</t>
  </si>
  <si>
    <t>1404/11/06</t>
  </si>
  <si>
    <t>1404/11/07</t>
  </si>
  <si>
    <t>1404/11/08</t>
  </si>
  <si>
    <t>1404/11/09</t>
  </si>
  <si>
    <t>1404/11/10</t>
  </si>
  <si>
    <t>1404/11/11</t>
  </si>
  <si>
    <t>1404/11/12</t>
  </si>
  <si>
    <t>1404/11/13</t>
  </si>
  <si>
    <t>1404/11/14</t>
  </si>
  <si>
    <t>1404/11/15</t>
  </si>
  <si>
    <t>1404/11/16</t>
  </si>
  <si>
    <t>1404/11/17</t>
  </si>
  <si>
    <t>1404/11/18</t>
  </si>
  <si>
    <t>1404/11/19</t>
  </si>
  <si>
    <t>1404/11/20</t>
  </si>
  <si>
    <t>1404/11/21</t>
  </si>
  <si>
    <t>1404/11/22</t>
  </si>
  <si>
    <t>1404/11/23</t>
  </si>
  <si>
    <t>1404/11/24</t>
  </si>
  <si>
    <t>1404/11/25</t>
  </si>
  <si>
    <t>1404/11/26</t>
  </si>
  <si>
    <t>1404/11/27</t>
  </si>
  <si>
    <t>1404/11/28</t>
  </si>
  <si>
    <t>1404/11/29</t>
  </si>
  <si>
    <t>1404/11/30</t>
  </si>
  <si>
    <t>1404/12/01</t>
  </si>
  <si>
    <t>1404/12/02</t>
  </si>
  <si>
    <t>1404/12/03</t>
  </si>
  <si>
    <t>1404/12/04</t>
  </si>
  <si>
    <t>1404/12/05</t>
  </si>
  <si>
    <t>1404/12/06</t>
  </si>
  <si>
    <t>1404/12/07</t>
  </si>
  <si>
    <t>1404/12/08</t>
  </si>
  <si>
    <t>1404/12/09</t>
  </si>
  <si>
    <t>1404/12/10</t>
  </si>
  <si>
    <t>1404/12/11</t>
  </si>
  <si>
    <t>1404/12/12</t>
  </si>
  <si>
    <t>1404/12/13</t>
  </si>
  <si>
    <t>1404/12/14</t>
  </si>
  <si>
    <t>1404/12/15</t>
  </si>
  <si>
    <t>1404/12/16</t>
  </si>
  <si>
    <t>1404/12/17</t>
  </si>
  <si>
    <t>1404/12/18</t>
  </si>
  <si>
    <t>1404/12/19</t>
  </si>
  <si>
    <t>1404/12/20</t>
  </si>
  <si>
    <t>1404/12/21</t>
  </si>
  <si>
    <t>1404/12/22</t>
  </si>
  <si>
    <t>1404/12/23</t>
  </si>
  <si>
    <t>1404/12/24</t>
  </si>
  <si>
    <t>1404/12/25</t>
  </si>
  <si>
    <t>1404/12/26</t>
  </si>
  <si>
    <t>1404/12/27</t>
  </si>
  <si>
    <t>1404/12/28</t>
  </si>
  <si>
    <t>1404/12/29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</si>
  <si>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</si>
  <si>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</si>
  <si>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</si>
  <si>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</si>
  <si>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</si>
  <si>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</si>
  <si>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</si>
  <si>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</si>
  <si>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</si>
  <si>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1404/12/30</t>
  </si>
  <si>
    <t>T01</t>
  </si>
  <si>
    <t>T02</t>
  </si>
  <si>
    <t>T03</t>
  </si>
  <si>
    <t>کل برش انجام شده محصولات با اپلیکیتور نری پرایدی است</t>
  </si>
  <si>
    <t>برش محصول با اپلیکیتور کلید دارد</t>
  </si>
  <si>
    <t>TV</t>
  </si>
  <si>
    <t>امروز پلن قابل برش نداشتیم</t>
  </si>
  <si>
    <t>تعطیل</t>
  </si>
  <si>
    <t>Desc</t>
  </si>
  <si>
    <t>cut2re</t>
  </si>
  <si>
    <t>324:250,325:250</t>
  </si>
  <si>
    <t>326:300,327:300,328:300,329:300,330:300,331:300,332:300,333:300,334:300,335:300,336:300,337:300,338:300</t>
  </si>
  <si>
    <t>قابل برش</t>
  </si>
  <si>
    <t>state</t>
  </si>
  <si>
    <t>گل39</t>
  </si>
  <si>
    <t>گل40</t>
  </si>
  <si>
    <t>zClose</t>
  </si>
  <si>
    <t>category</t>
  </si>
  <si>
    <t>Sum of دستور برش</t>
  </si>
  <si>
    <t>Sum of بسته بندی</t>
  </si>
  <si>
    <t>Count of day</t>
  </si>
  <si>
    <t>نلفنی. صحبت از تبدیل 10230 به این محصول شد</t>
  </si>
  <si>
    <t>339:300,340:300,341:300,342:300,343:300,344:300,345:300,346:300,347:300,348:300</t>
  </si>
  <si>
    <t>بهره وری</t>
  </si>
  <si>
    <t>دریافت اپلیکیتور نری پرایدی از شرکت بالا.</t>
  </si>
  <si>
    <t>سایکل تایم تولید هر محصول با ضریب وزنی واحد</t>
  </si>
  <si>
    <t>تعداد نیرو</t>
  </si>
  <si>
    <t>349:500,350:500,351:500,352:500,353:500,354:500</t>
  </si>
  <si>
    <t>batchIds</t>
  </si>
  <si>
    <t>355:500,356:500,357:500,358:500,359:500,360:500</t>
  </si>
  <si>
    <t>3f</t>
  </si>
  <si>
    <t>361:300,362:300,363:300,364:300,365:300,366:300,367:300,368:300,369:300,370:300</t>
  </si>
  <si>
    <t>onWork</t>
  </si>
  <si>
    <t>mounth</t>
  </si>
  <si>
    <t>تلفنی - پیش بینی خرداد</t>
  </si>
  <si>
    <t>371:300,372:300</t>
  </si>
  <si>
    <t>373:300,374:300,375:300,376:300,377:300,378:300,379:300,380:300</t>
  </si>
  <si>
    <t>375:347</t>
  </si>
  <si>
    <t>376:300,377:300,378:300,379:300,380:300,381:300,382:300,383:300,384:300,385:300</t>
  </si>
  <si>
    <t>مراسم روز گارگر 2 ساعت. ارسال برای مرکز3 ساعت 11. دریافت 2900محصول از مرکز3 در آخر وقت. دریافت پلن 45هزارتایی تی وی.</t>
  </si>
  <si>
    <t>برش 4500عدد تی وی و توقف بعلت اتمام کابل تی وی. دریافت پیش بینی خرداد گلسان و نری پرایدی جنعا 9000عدد.</t>
  </si>
  <si>
    <t>برش هیمالیا نری پرایدی.</t>
  </si>
  <si>
    <t>386:300,387:300,388:300,389:300,390:300,391:300,392:300,393:300,394:300,395:300</t>
  </si>
  <si>
    <t>دیدار ریاست جمهوری 10نفر. دریافت پلن 15000تایی و عدم کابل مشکی 75*3.</t>
  </si>
  <si>
    <t>رسیده از مرکز3</t>
  </si>
  <si>
    <t>ارسال 25نفر به شرکت اصلی.</t>
  </si>
  <si>
    <t>CT</t>
  </si>
  <si>
    <t>totalCT</t>
  </si>
  <si>
    <t>personels</t>
  </si>
  <si>
    <t>وزن تولید</t>
  </si>
  <si>
    <t>Average of بهره وری</t>
  </si>
  <si>
    <t>received TimeOut</t>
  </si>
  <si>
    <t>406:300,407:300,408:300,409:300,410:300,411:300,412:300,413:300,414:300,415:300</t>
  </si>
  <si>
    <t>416:300,417:300,418:300,419:300,420:300,421:300,422:300,423:300,424:300,425:300</t>
  </si>
  <si>
    <t>426:300,427:300,428:300,429:300,430:300,431:300,432:300,433:300,434:300,435:300</t>
  </si>
  <si>
    <t>سام</t>
  </si>
  <si>
    <t>436:300,437:300,438:300,439:100</t>
  </si>
  <si>
    <t>440:500,441:500,442:500,443:500,444:500,445:500</t>
  </si>
  <si>
    <t>446:500,447:500,448:500,449:500,450:500,451:500</t>
  </si>
  <si>
    <t>452:500,453:500,454:500,455:500,456:500,457:500</t>
  </si>
  <si>
    <t>458:300,459:300,460:300,461:300,462:300,463:300,464:300,465:300,466:300,467:300</t>
  </si>
  <si>
    <t>468:300,469:300,470:300,471:300,472:300,473:300,474:300,475:300,476:300,477:300</t>
  </si>
  <si>
    <t>478:300,479:300,480:300,481:300,482:300,483:300,484:200</t>
  </si>
  <si>
    <t>485:300,486:300,487:300,488:300,489:300,490:300,491:300,492:300</t>
  </si>
  <si>
    <t>493:300,494:300,495:300,496:300,497:300,498:300,499:300,500:300,501:300,502:300</t>
  </si>
  <si>
    <t>503:300,504:300,505:300,506:300,507:300,508:300,509:300,510:300,511:300,512:300</t>
  </si>
  <si>
    <t>cable</t>
  </si>
  <si>
    <t>513:300,514:300,515:300,516:300,517:300,518:300,519:300,520:300</t>
  </si>
  <si>
    <t>521:500,522:500,523:500,524:500</t>
  </si>
  <si>
    <t>525:500,526:500,527:500,528:500,529:500,530:500,531:500,532:500,533:500,534:500,535:500,536:500</t>
  </si>
  <si>
    <t>537:300,538:300,539:300,540:300</t>
  </si>
  <si>
    <t xml:space="preserve">کابل TV رسید. </t>
  </si>
  <si>
    <t>یکی از خرکهای دستگاه برش خراب شد.</t>
  </si>
  <si>
    <t>توقف تعمیر یک دستگاه برش 3 ساعت.</t>
  </si>
  <si>
    <t xml:space="preserve">ارسال به مرکز3. </t>
  </si>
  <si>
    <t xml:space="preserve">دریافت پلن 116هزارتایی. </t>
  </si>
  <si>
    <t>541:300,542:300,543:300,544:300,545:300,546:300,547:200</t>
  </si>
  <si>
    <t>548:300,549:300,550:300,551:300,552:300,553:100</t>
  </si>
  <si>
    <t>554:500,555:500,556:500,557:500,558:500,559:500</t>
  </si>
  <si>
    <t>560:500,561:500,562:500,563:500,564:500,565:500</t>
  </si>
  <si>
    <t>566:300,567:300,568:300,569:300,570:300,571:300,572:300,573:300,574:300</t>
  </si>
  <si>
    <t>575:300,576:300,577:300,578:300,579:300,580:300,581:300,582:300,583:300</t>
  </si>
  <si>
    <t>584:300,585:300,586:300,587:300,588:300,589:300,590:300,591:300,592:300</t>
  </si>
  <si>
    <t>593:300,594:300,595:300,596:300,597:300,598:300,599:300</t>
  </si>
  <si>
    <t>600:300,601:300,602:300,603:300,604:300,605:300</t>
  </si>
  <si>
    <t>606:300,607:300,608:300,609:300,610:300,611:300,612:300,613:300,614:300,615:300,616:300,617:300,618:300,619:110</t>
  </si>
  <si>
    <t>گلسان</t>
  </si>
  <si>
    <t>620:300,621:300,622:300,623:300,624:300</t>
  </si>
  <si>
    <t>625:300,626:300,627:300,628:300,629:300</t>
  </si>
  <si>
    <t>630:300,631:300,632:300,633:300,634:300,635:300,636:300,637:300</t>
  </si>
  <si>
    <t>1404/0317</t>
  </si>
  <si>
    <t>638:300,639:300,640:300,641:300</t>
  </si>
  <si>
    <t>642:300,643:300,644:300,645:300,646:300</t>
  </si>
  <si>
    <t>647:300,648:300,649:300,650:300,651:300,652:300,653:300,654:300,655:300,656:300</t>
  </si>
  <si>
    <t>657:300,658:300,659:300,660:300,661:300,662:300,663:300,664:300,665:300,666:300</t>
  </si>
  <si>
    <t>667:300,668:300,669:300,670:300,671:300,672:300,673:300</t>
  </si>
  <si>
    <t>674:300,675:300,676:300,677:300,678:300,679:300,680:300</t>
  </si>
  <si>
    <t>681:300,682:300,683:300,684:300,685:300,686:300,687:300</t>
  </si>
  <si>
    <t>no</t>
  </si>
  <si>
    <t>688:300,689:300,690:300,691:300,692:300,693:300,694:300,695:300,696:300,697:300,698:300,699:110</t>
  </si>
  <si>
    <t>700:300,701:300,702:208</t>
  </si>
  <si>
    <t>yes</t>
  </si>
  <si>
    <t>703:500,704:500,705:500,706:500,707:500,708:500,709:500,710:500,711:500,712:500,713:500,714:500,715:500,716:500,717:500,718:500</t>
  </si>
  <si>
    <t>719:300,720:300,721:300,722:300,723:300,724:300,725:300,726:300,727:300,728:300</t>
  </si>
  <si>
    <t>729:300,730:300,731:300,732:300,733:300,734:300,735:300,736:300,737:300,738:300</t>
  </si>
  <si>
    <t>739:300,740:300,741:200</t>
  </si>
  <si>
    <t>742:300,743:300,744:300,745:300,746:300,747:300,748:300,749:300,750:300</t>
  </si>
  <si>
    <t>751:300,752:300,753:300,754:300,755:300</t>
  </si>
  <si>
    <t>756:300,757:200</t>
  </si>
  <si>
    <t>758:300,759:300,760:300,761:300,762:300,763:300,764:210</t>
  </si>
  <si>
    <t>765:300,766:300,767:300,768:300,769:300,770:300,771:300,772:300,773:300,774:300</t>
  </si>
  <si>
    <t>775:300,776:300,777:300,778:300,779:300,780:300,781:300,782:300,783:300,784:300</t>
  </si>
  <si>
    <t>785:300,786:300,787:300,788:300,789:300</t>
  </si>
  <si>
    <t>799:500,800:500,801:500,802:500,803:500,804:153</t>
  </si>
  <si>
    <t>805:300,806:300,807:300,808:300,809:300,810:300,811:300,812:300,813:300,814:300</t>
  </si>
  <si>
    <t>815:300,816:300,817:300,818:300,819:300,820:300,821:300,822:300,823:300,824:300</t>
  </si>
  <si>
    <t>825:300,826:300,827:300,828:300,829:300,830:300,831:300,832:300,833:300</t>
  </si>
  <si>
    <t>834:300,835:300,836:300,837:300,838:300,839:300,840:300,841:300,842:300,843:300</t>
  </si>
  <si>
    <t>844:500,845:500,846:500,847:500,848:500,849:500,850:500,851:500,852:500,853:500</t>
  </si>
  <si>
    <t>854:300,855:300,856:300,857:300,858:300,859:300,860:300,861:300,862:300,863:300</t>
  </si>
  <si>
    <t>864:300,865:300,866:300,867:300,868:300</t>
  </si>
  <si>
    <t>869:300,870:300,871:300,872:300,873:300,874:300,875:300,876:300,877:300,878:300,879:300,880:300,881:300,882:300,883:300,884:300,885:300,886:300,887:300,888:300</t>
  </si>
  <si>
    <t>889:300,890:300,891:300,892:300,893:300</t>
  </si>
  <si>
    <t>894:300,895:300,896:300,897:300,898:300,899:300,900:300,901:300,902:300,903:300</t>
  </si>
  <si>
    <t>904:300,905:300,906:300,907:300,908:300</t>
  </si>
  <si>
    <t>909:500,910:500,911:500,912:500,913:500,914:500,915:500,916:500,917:500,918:500</t>
  </si>
  <si>
    <t>تست قالب در دستگاه 5(9صبح تا 15.30 قالب سه شاخه)</t>
  </si>
  <si>
    <t>919:300,920:300,921:300,922:300,923:300</t>
  </si>
  <si>
    <t>پرس</t>
  </si>
  <si>
    <t>مونتاژ</t>
  </si>
  <si>
    <t>بازگشت نیروهای ارسالی به شرکت اصلی</t>
  </si>
  <si>
    <t>924:300,925:300,926:300,927:300,928:300,929:300,930:300,931:300,932:300,933:300,934:300,935:300,936:300,937:300,938:300,939:300,940:300,941:300,942:300,943:300</t>
  </si>
  <si>
    <t>سیم دوشاخ هواپز</t>
  </si>
  <si>
    <t>944:500,945:500,946:500,947:500,948:500,949:500</t>
  </si>
  <si>
    <t>950:300,951:300,952:300,953:300,954:300,955:300,956:200</t>
  </si>
  <si>
    <t>خرابی یک دستگاه تاباندن. کمبود دستگاه تست.</t>
  </si>
  <si>
    <t>تبدیل به مطهر ضمیر</t>
  </si>
  <si>
    <t>تبدیل از کیا صنعت</t>
  </si>
  <si>
    <t>957:500</t>
  </si>
  <si>
    <t>958:300</t>
  </si>
  <si>
    <t>959:300,960:300,961:300,962:300,963:300,964:300,965:300,966:300,967:300,968:300,969:300,970:300,971:300,972:300,973:300,974:300,975:300,976:300,977:300,978:300</t>
  </si>
  <si>
    <t>خرابی یک دستگاه تاباندن. کمبود دستگاه تست. خرابی اپلیکیتور مغزی.</t>
  </si>
  <si>
    <t>979:300,980:300,981:300,982:300,983:300,984:300,985:300,986:300,987:300,988:300</t>
  </si>
  <si>
    <t>989:300,990:300,991:300,992:300,993:300,994:300,995:300,996:300,997:300,998:300</t>
  </si>
  <si>
    <t>خرابی یک دستگاه تاباندن. کمبود دستگاه تست. خرابی اپلیکیتور مغزی دستی. نبود کابل TV.</t>
  </si>
  <si>
    <t>1403/10/00</t>
  </si>
  <si>
    <t>suffix</t>
  </si>
  <si>
    <t>cut</t>
  </si>
  <si>
    <t>999:300,1000:300,1001:300,1002:300,1003:300,1004:300,1005:300,1006:300,1007:300,1008:300</t>
  </si>
  <si>
    <t>1009:300,1010:300,1011:300,1012:300,1013:300,1014:300,1015:200</t>
  </si>
  <si>
    <t>1016:300,1017:300,1018:300,1019:300,1020:300,1021:300,1022:300,1023:300,1024:300,1025:300,1026:300,1027:300,1028:300,1029:300,1030:300,1031:300,1032:200</t>
  </si>
  <si>
    <t>1033:300,1034:300,1035:300,1036:300,1037:300,1038:300,1039:300,1040:300,1041:300,1042:300,1043:300</t>
  </si>
  <si>
    <t>1044:300,1045:300,1046:300,1047:300,1048:300,1049:300,1050:300,1051:300,1052:300,1053:300,1054:300,1055:300,1056:300,1057:300,1058:300,1059:300,1060:300,1061:300,1062:300,1063:300,1064:300,1065:300,1066:270</t>
  </si>
  <si>
    <t>1067:500,1068:500,1069:500,1070:500,1071:500,1072:500,1073:500,1074:500,1075:500,1076:500,1077:500,1078:500,1079:500,1080:500,1081:500,1082:500</t>
  </si>
  <si>
    <t>tv.kia</t>
  </si>
  <si>
    <t>tv.mthr</t>
  </si>
  <si>
    <t>1094:300,1095:300,1096:300,1097:300,1098:300,1099:300,1100:300,1101:300,1102:300,1103:300,1104:5</t>
  </si>
  <si>
    <t>1105:300,1106:300,1107:300,1108:300,1109:300,1110:300,1111:300,1112:100</t>
  </si>
  <si>
    <t>1113:300,1114:300,1115:300,1116:300,1117:300,1118:300,1119:300,1120:300,1121:300,1122:300,1123:300,1124:300,1125:300,1126:300,1127:300,1128:300,1129:300,1130:300,1131:300,1132:300</t>
  </si>
  <si>
    <t>1133:500,1134:500,1135:500,1136:500,1137:500,1138:500</t>
  </si>
  <si>
    <t>خرابی اپلیکیتور مغزی دستی.</t>
  </si>
  <si>
    <t>available time</t>
  </si>
  <si>
    <t>1139:500</t>
  </si>
  <si>
    <t>1140:300,1141:300,1142:300,1143:300,1144:300</t>
  </si>
  <si>
    <t>1145:300,1146:300,1147:300,1148:300,1149:300,1150:300,1151:300,1152:300,1153:300,1154:300,1155:300,1156:300,1157:300,1158:300,1159:300,1160:300,1161:300,1162:300,1163:300,1164:300</t>
  </si>
  <si>
    <t>1165:500,1166:500,1167:500,1168:500,1169:500,1170:500,1171:500,1172:500,1173:500,1174:500</t>
  </si>
  <si>
    <t>مفقود شدن برگ بچ</t>
  </si>
  <si>
    <t>1175:300</t>
  </si>
  <si>
    <t>1176:300,1177:300,1178:300,1179:300,1180:300,1181:300,1182:300,1183:300,1184:300,1185:300</t>
  </si>
  <si>
    <t>1186:300</t>
  </si>
  <si>
    <t>1187:500,1188:500,1189:500,1190:500,1191:500,1192:500,1193:500,1194:500</t>
  </si>
  <si>
    <t>1195:300,1196:300,1197:300,1198:300,1199:300,1200:300,1201:300,1202:300,1203:300,1204:300,1205:300,1206:300,1207:300,1208:300,1209:300,1210:300,1211:300,1212:300,1213:300</t>
  </si>
  <si>
    <t>1214:300,1215:300,1216:300,1217:300,1218:300,1219:300,1220:300,1221:300,1222:300,1223:300,1224:300,1225:300,1226:300,1227:300,1228:300,1229:300,1230:300,1231:300,1232:300,1233:300,1234:300,1235:300,1236:300,1237:100</t>
  </si>
  <si>
    <t>1240:500,1241:500,1242:500,1243:500,1244:500,1245:500,1246:500,1247:500,1248:500,1249:500,1250:500,1251:500,1252:500,1253:500</t>
  </si>
  <si>
    <t>1254:300,1255:300,1256:300,1257:300,1258:300</t>
  </si>
  <si>
    <t>--------------</t>
  </si>
  <si>
    <t>1259:300,1260:300,1261:300,1262:300,1263:300,1264:300,1265:300,1266:300,1267:300,1268:300,1269:300,1270:300,1271:300,1272:300,1273:300,1274:300,1275:300,1276:300,1277:300,1278:300</t>
  </si>
  <si>
    <t>1279:100</t>
  </si>
  <si>
    <t>1280:300,1281:300,1282:300,1283:300</t>
  </si>
  <si>
    <t>1284:300,1285:300,1286:300,1287:300,1288:300,1289:300,1290:300,1291:300,1292:300,1293:300</t>
  </si>
  <si>
    <t>1294:300,1295:300,1296:300,1297:300,1298:300,1299:300,1300:300,1301:300,1302:300,1303:300</t>
  </si>
  <si>
    <t>1304:300,1305:300,1306:300,1307:300,1308:300,1309:300,1310:300,1311:300,1312:300,1313:300</t>
  </si>
  <si>
    <t>remain</t>
  </si>
  <si>
    <t>4:-5490</t>
  </si>
  <si>
    <t>4:-800</t>
  </si>
  <si>
    <t>4:-50700</t>
  </si>
  <si>
    <t>3:-5000</t>
  </si>
  <si>
    <t>1314:300,1315:300,1316:300,1317:300,1318:300,1319:300,1320:300,1321:300,1322:300,1323:300,1324:300,1325:300,1326:300,1327:300,1328:300,1329:300,1330:300,1331:300,1332:300,1333:300,1334:300,1335:300,1336:300,1337:100</t>
  </si>
  <si>
    <t>3:-5600</t>
  </si>
  <si>
    <t>10:-1753</t>
  </si>
  <si>
    <t>1338:100</t>
  </si>
  <si>
    <t>4:-4890</t>
  </si>
  <si>
    <t>4:-400</t>
  </si>
  <si>
    <t>4:-50500</t>
  </si>
  <si>
    <t>3:-2400</t>
  </si>
  <si>
    <t>3:-5100</t>
  </si>
  <si>
    <t>05/01</t>
  </si>
  <si>
    <t>05/02</t>
  </si>
  <si>
    <t>05/03</t>
  </si>
  <si>
    <t>05/04</t>
  </si>
  <si>
    <t>05/05</t>
  </si>
  <si>
    <t>05/06</t>
  </si>
  <si>
    <t>05/07</t>
  </si>
  <si>
    <t>05/08</t>
  </si>
  <si>
    <t>05/09</t>
  </si>
  <si>
    <t>05/10</t>
  </si>
  <si>
    <t>05/11</t>
  </si>
  <si>
    <t>05/12</t>
  </si>
  <si>
    <t>05/13</t>
  </si>
  <si>
    <t>05/14</t>
  </si>
  <si>
    <t>05/15</t>
  </si>
  <si>
    <t>05/16</t>
  </si>
  <si>
    <t>05/17</t>
  </si>
  <si>
    <t>05/18</t>
  </si>
  <si>
    <t>05/19</t>
  </si>
  <si>
    <t>05/20</t>
  </si>
  <si>
    <t>05/21</t>
  </si>
  <si>
    <t>05/22</t>
  </si>
  <si>
    <t>05/23</t>
  </si>
  <si>
    <t>05/24</t>
  </si>
  <si>
    <t>05/25</t>
  </si>
  <si>
    <t>05/26</t>
  </si>
  <si>
    <t>05/27</t>
  </si>
  <si>
    <t>05/28</t>
  </si>
  <si>
    <t>05/29</t>
  </si>
  <si>
    <t>05/30</t>
  </si>
  <si>
    <t>05/31</t>
  </si>
  <si>
    <t>1342:300,1343:300,1344:300,1345:300,1346:300</t>
  </si>
  <si>
    <t>4:-3840</t>
  </si>
  <si>
    <t>4:-49500</t>
  </si>
  <si>
    <t>4:-7100</t>
  </si>
  <si>
    <t>3:-18500</t>
  </si>
  <si>
    <t>3:-50</t>
  </si>
  <si>
    <t>4:-10360</t>
  </si>
  <si>
    <t>3:-1400</t>
  </si>
  <si>
    <t>1339:300</t>
  </si>
  <si>
    <t>1347:100,1348:100,1349:100,1350:100,1351:100</t>
  </si>
  <si>
    <t>1352:300,1353:300,1354:300,1355:100</t>
  </si>
  <si>
    <t>4:-2440</t>
  </si>
  <si>
    <t>4:-47900</t>
  </si>
  <si>
    <t>3:-4400</t>
  </si>
  <si>
    <t>4:-10335</t>
  </si>
  <si>
    <t>3:-7300</t>
  </si>
  <si>
    <t>3:-100</t>
  </si>
  <si>
    <t>1356:300,1357:300,1358:300,1359:300,1360:300,1361:300,1362:300,1363:300,1364:300,1365:300</t>
  </si>
  <si>
    <t>4:-8450</t>
  </si>
  <si>
    <t>1366:300,1367:300,1368:300,1369:300,1370:300</t>
  </si>
  <si>
    <t>1371:300,1372:300,1373:300,1374:300,1375:300,1376:300,1377:300,1378:300,1379:300,1380:300</t>
  </si>
  <si>
    <t>4:-35000</t>
  </si>
  <si>
    <t>4:-825</t>
  </si>
  <si>
    <t>4:-1240</t>
  </si>
  <si>
    <t>4:-100</t>
  </si>
  <si>
    <t>4:-45700</t>
  </si>
  <si>
    <t>10:-353</t>
  </si>
  <si>
    <t>3:-6000</t>
  </si>
  <si>
    <t>3:-8000</t>
  </si>
  <si>
    <t>1381:100</t>
  </si>
  <si>
    <t>10:+6</t>
  </si>
  <si>
    <t>4:-525</t>
  </si>
  <si>
    <t>4:-440</t>
  </si>
  <si>
    <t>4:-45500</t>
  </si>
  <si>
    <t>3:-17700</t>
  </si>
  <si>
    <t>3:-200</t>
  </si>
  <si>
    <t>1383:300,1384:300,1385:300</t>
  </si>
  <si>
    <t>1386:300,1387:300,1388:300</t>
  </si>
  <si>
    <t>1389:300,1390:300,1391:300,1392:300,1393:300,1394:300,1395:300,1396:300,1397:300,1398:300</t>
  </si>
  <si>
    <t>1399:300,1400:300,1401:300</t>
  </si>
  <si>
    <t>1402:300,1403:300,1404:300,1405:300,1406:300,1407:300,1408:300,1409:300,1410:300,1411:300</t>
  </si>
  <si>
    <t>1412:300</t>
  </si>
  <si>
    <t>4:-225</t>
  </si>
  <si>
    <t>4:-43100</t>
  </si>
  <si>
    <t>4:-7050</t>
  </si>
  <si>
    <t>3:-17100</t>
  </si>
  <si>
    <t>4:-9385</t>
  </si>
  <si>
    <t>1413:300,1414:300,1415:300,1416:300,1417:300,1418:300,1419:300,1420:300,1421:300,1422:300</t>
  </si>
  <si>
    <t>خرابی یک دستگاه تاباندن. کمبود دستگاه تست. خرابی اپلیکیتور مغزی دستی. نبود کابل TV. جشن غدیر</t>
  </si>
  <si>
    <t>ورود کابل TV. خرابی اپلیکیتور مغزی دستی. T01 کابل 75 بود و پلن نداشت.</t>
  </si>
  <si>
    <t>خرابی اپلیکیتور مغزی دستی. تغییر ساعات کاری.</t>
  </si>
  <si>
    <t>اتمام رادیویی</t>
  </si>
  <si>
    <t>کابل 75 محصول 140310007 بخاطر دپو در مهاربند برای T02 تولید نمیشود.</t>
  </si>
  <si>
    <t>4:-41400</t>
  </si>
  <si>
    <t>4:-6700</t>
  </si>
  <si>
    <t>3:-15250</t>
  </si>
  <si>
    <t>4:-8885</t>
  </si>
  <si>
    <t>10:-214</t>
  </si>
  <si>
    <t>1424:65</t>
  </si>
  <si>
    <t>1425:300,1426:300,1427:300,1428:300,1429:300,1430:300,1431:300,1432:300,1433:300,1434:300</t>
  </si>
  <si>
    <t>1435:300,1436:300,1437:300</t>
  </si>
  <si>
    <t>4:-39400</t>
  </si>
  <si>
    <t>3:-14050</t>
  </si>
  <si>
    <t>4:-8485</t>
  </si>
  <si>
    <t>1438:300,1439:100</t>
  </si>
  <si>
    <t>1440:300,1441:300,1442:100</t>
  </si>
  <si>
    <t>4:-38200</t>
  </si>
  <si>
    <t>3:-12350</t>
  </si>
  <si>
    <t>4:-8385</t>
  </si>
  <si>
    <t>4:-5900</t>
  </si>
  <si>
    <t>1443:300,1444:300,1445:300,1446:300,1447:300</t>
  </si>
  <si>
    <t>4:-37300</t>
  </si>
  <si>
    <t>4:-5300</t>
  </si>
  <si>
    <t>4:-7885</t>
  </si>
  <si>
    <t>1448:300,1449:300,1450:300,1451:300,1452:300</t>
  </si>
  <si>
    <t>4:-24500</t>
  </si>
  <si>
    <t>کد مدرک:FR-PL-028-00
تاریخ:</t>
  </si>
  <si>
    <t>برش</t>
  </si>
  <si>
    <t>کنترل الکتریکال</t>
  </si>
  <si>
    <t>امضاء مدیر قسمت:</t>
  </si>
  <si>
    <t>رد کردن وارنیش</t>
  </si>
  <si>
    <t>شماره</t>
  </si>
  <si>
    <t>اپراتور</t>
  </si>
  <si>
    <t>تحویلی</t>
  </si>
  <si>
    <t>بازکاری</t>
  </si>
  <si>
    <t>تولید</t>
  </si>
  <si>
    <t>پرسنلی</t>
  </si>
  <si>
    <t>امضاء</t>
  </si>
  <si>
    <t>چسب</t>
  </si>
  <si>
    <t>سشوار</t>
  </si>
  <si>
    <t>برنامه برش کابل تزریق</t>
  </si>
  <si>
    <t>متاسفانه برگ برش آن پرینت گرفته نشد</t>
  </si>
  <si>
    <t>1453:300,1454:300,1455:300,1456:300,1457:300,1458:300,1459:200</t>
  </si>
  <si>
    <t>کد مدرک: FR-PL-059-00
شماره مدرک:
تاریخ:</t>
  </si>
  <si>
    <t>تعداد برش</t>
  </si>
  <si>
    <t>موارد
کنترل شد</t>
  </si>
  <si>
    <t>متراژ
پلاک قرقره</t>
  </si>
  <si>
    <t>4:-35900</t>
  </si>
  <si>
    <t>4:-4600</t>
  </si>
  <si>
    <t>3:-11500</t>
  </si>
  <si>
    <t>3:-1150</t>
  </si>
  <si>
    <t>4:-7135</t>
  </si>
  <si>
    <t>1460:275</t>
  </si>
  <si>
    <t>طی هماهنگی با مهندس یارکه نیازی به تولید بیشتری نیست</t>
  </si>
  <si>
    <t>1461:75</t>
  </si>
  <si>
    <t>فقط بچ A4 پرینت گرفته شد</t>
  </si>
  <si>
    <t>4:-1850</t>
  </si>
  <si>
    <t>1462:300,1463:300,1464:300,1465:300,1466:300</t>
  </si>
  <si>
    <t>بازکاری(فقط بچ A4 پرینت گرفته شد)</t>
  </si>
  <si>
    <t>4:-21500</t>
  </si>
  <si>
    <t>1467:300,1468:300,1469:300,1470:300,1471:300,1472:300,1473:300,1474:300,1475:300,1476:300</t>
  </si>
  <si>
    <t>4:-35300</t>
  </si>
  <si>
    <t>4:-4300</t>
  </si>
  <si>
    <t>3:-10950</t>
  </si>
  <si>
    <t>4:-6335</t>
  </si>
  <si>
    <t>2:-150</t>
  </si>
  <si>
    <t>1477:300,1478:300,1479:300,1480:300,1481:300,1482:300,1483:300,1484:300,1485:300,1486:300</t>
  </si>
  <si>
    <t>4:-34550</t>
  </si>
  <si>
    <t>3:-10650</t>
  </si>
  <si>
    <t>3:-550</t>
  </si>
  <si>
    <t>4:-5785</t>
  </si>
  <si>
    <t>4:-33450</t>
  </si>
  <si>
    <t>4:-3200</t>
  </si>
  <si>
    <t>3:-9150</t>
  </si>
  <si>
    <t>4:-32000</t>
  </si>
  <si>
    <t>4:-2700</t>
  </si>
  <si>
    <t>3:-7650</t>
  </si>
  <si>
    <t>4:-5135</t>
  </si>
  <si>
    <t>1487:300,1488:300,1489:300,1490:300,1491:300,1492:300,1493:300,1494:300,1495:300,1496:300</t>
  </si>
  <si>
    <t>1497:300,1498:300,1499:300,1500:300,1501:300,1502:300,1503:300,1504:300,1505:300,1506:300</t>
  </si>
  <si>
    <t>3:-6150</t>
  </si>
  <si>
    <t>4:-3385</t>
  </si>
  <si>
    <t>1507:300,1508:300,1509:300,1510:300,1511:300,1512:300</t>
  </si>
  <si>
    <t>4:+75/6:-14000</t>
  </si>
  <si>
    <t>5:0/6:0</t>
  </si>
  <si>
    <t>5:0/6:-15000</t>
  </si>
  <si>
    <t>5:+3/6:-15000</t>
  </si>
  <si>
    <t>1513:300,1514:300,1515:300,1516:300,1517:300,1518:300,1519:300,1520:300,1521:300,1522:300</t>
  </si>
  <si>
    <t>1523:300,1524:300,1525:300,1526:300,1527:300,1528:300,1529:50</t>
  </si>
  <si>
    <t>4:+75/6:-11000</t>
  </si>
  <si>
    <t>5:+3/6:-12000</t>
  </si>
  <si>
    <t>1530:300,1531:300,1532:300,1533:300,1534:300,1535:300,1536:300,1537:300,1538:300,1539:300</t>
  </si>
  <si>
    <t>1540:300,1541:300,1542:300,1543:300,1544:300,1545:300,1546:300,1547:300,1548:300,1549:300</t>
  </si>
  <si>
    <t>1550:300,1551:300,1552:300,1553:300,1554:300,1555:300,1556:300,1557:300,1558:300,1559:300</t>
  </si>
  <si>
    <t>1560:300,1561:300,1562:300,1563:300,1564:300,1565:300,1566:300,1567:300,1568:300,1569:300</t>
  </si>
  <si>
    <t>4:-75/6:-17000</t>
  </si>
  <si>
    <t>5:-400/6:-18000</t>
  </si>
  <si>
    <t>4:-31850</t>
  </si>
  <si>
    <t>4:-2100</t>
  </si>
  <si>
    <t>4:-29150</t>
  </si>
  <si>
    <t>4:-900</t>
  </si>
  <si>
    <t>3:-3150</t>
  </si>
  <si>
    <t>4:-2635</t>
  </si>
  <si>
    <t>کسری مانده از پلن</t>
  </si>
  <si>
    <t>1570:11</t>
  </si>
  <si>
    <t>1571:174</t>
  </si>
  <si>
    <t>1572:26</t>
  </si>
  <si>
    <t>4:-27500</t>
  </si>
  <si>
    <t>3:-2450</t>
  </si>
  <si>
    <t>4:-2035</t>
  </si>
  <si>
    <t>1573:300,1574:300,1575:300,1576:300,1577:300,1578:300</t>
  </si>
  <si>
    <t>6:-17000</t>
  </si>
  <si>
    <t>6:-18000</t>
  </si>
  <si>
    <t>4:-26400</t>
  </si>
  <si>
    <t>6:-16250</t>
  </si>
  <si>
    <t>4:-24600</t>
  </si>
  <si>
    <t>1579:300,1580:300,1581:300,1582:300,1583:300,1584:300,1585:300,1586:300,1587:100</t>
  </si>
  <si>
    <t>1588:300,1589:300,1590:300,1591:100</t>
  </si>
  <si>
    <t>6:-14750</t>
  </si>
  <si>
    <t>6:-17990</t>
  </si>
  <si>
    <t>4:-23400</t>
  </si>
  <si>
    <t>3:-250</t>
  </si>
  <si>
    <t>1593:2</t>
  </si>
  <si>
    <t>کسری مانده از پلن(فقط بچ برش پرینت شد)</t>
  </si>
  <si>
    <t>6:-14675</t>
  </si>
  <si>
    <t>6:-17490</t>
  </si>
  <si>
    <t>4:-22300</t>
  </si>
  <si>
    <t>4:-1835</t>
  </si>
  <si>
    <t>1594:300,1595:300,1596:300,1597:300,1598:300,1599:300,1600:300,1601:300,1602:300,1603:300</t>
  </si>
  <si>
    <t>1604:300,1605:300,1606:300,1607:300,1608:300,1609:300,1610:300,1611:300,1612:300,1613:300</t>
  </si>
  <si>
    <t>4:-12500</t>
  </si>
  <si>
    <t>1614:300,1615:300,1616:300,1617:300,1618:300,1619:300,1620:300,1621:300,1622:300,1623:300</t>
  </si>
  <si>
    <t>6:-14300</t>
  </si>
  <si>
    <t>6:-16990</t>
  </si>
  <si>
    <t>6:-1800</t>
  </si>
  <si>
    <t>4:-335</t>
  </si>
  <si>
    <t>6:-2500</t>
  </si>
  <si>
    <t>6:-15990</t>
  </si>
  <si>
    <t>6:-1900</t>
  </si>
  <si>
    <t>4:-22100</t>
  </si>
  <si>
    <t>4:-50</t>
  </si>
  <si>
    <t>1624:300,1625:300,1626:300,1627:300,1628:300,1629:300,1630:300,1631:300,1632:300,1633:300</t>
  </si>
  <si>
    <t>1634:300,1635:300,1636:300,1637:300,1638:300,1639:300,1640:300,1641:300,1642:300,1643:300</t>
  </si>
  <si>
    <t>1644:300,1645:300,1646:300,1647:300,1648:300,1649:300,1650:300,1651:300,1652:300,1653:300</t>
  </si>
  <si>
    <t>6:-14075</t>
  </si>
  <si>
    <t>6:-15040</t>
  </si>
  <si>
    <t>4:-20400</t>
  </si>
  <si>
    <t>6:-14840</t>
  </si>
  <si>
    <t>6:-1000</t>
  </si>
  <si>
    <t>4:-19500</t>
  </si>
  <si>
    <t>6:-2200</t>
  </si>
  <si>
    <t>4:-135</t>
  </si>
  <si>
    <t>6:-12575</t>
  </si>
  <si>
    <t>6:-14540</t>
  </si>
  <si>
    <t>6:-1225</t>
  </si>
  <si>
    <t>4:-18000</t>
  </si>
  <si>
    <t>molexNak</t>
  </si>
  <si>
    <t>hcb</t>
  </si>
  <si>
    <t>4:-6500</t>
  </si>
  <si>
    <t>1654:300,1655:300,1656:300,1657:300,1658:300,1659:300,1660:300,1661:300,1662:300,1663:300</t>
  </si>
  <si>
    <t>1403/09/13</t>
  </si>
  <si>
    <t>1403/09/17</t>
  </si>
  <si>
    <t>1403/09/18</t>
  </si>
  <si>
    <t>1403/09/19</t>
  </si>
  <si>
    <t>1403/09/20</t>
  </si>
  <si>
    <t>1403/08/12</t>
  </si>
  <si>
    <t>1403/08/13</t>
  </si>
  <si>
    <t>1403/08/14</t>
  </si>
  <si>
    <t>1403/08/15</t>
  </si>
  <si>
    <t>1403/08/22</t>
  </si>
  <si>
    <t>1403/08/23</t>
  </si>
  <si>
    <t>1403/08/26</t>
  </si>
  <si>
    <t>1403/08/27</t>
  </si>
  <si>
    <t>1403/08/28</t>
  </si>
  <si>
    <t>1403/08/29</t>
  </si>
  <si>
    <t>1403/08/30</t>
  </si>
  <si>
    <t>1403/09/03</t>
  </si>
  <si>
    <t>1403/09/04</t>
  </si>
  <si>
    <t>1403/09/05</t>
  </si>
  <si>
    <t>1403/09/06</t>
  </si>
  <si>
    <t>1403/09/07</t>
  </si>
  <si>
    <t>1403/09/10</t>
  </si>
  <si>
    <t>1403/09/11</t>
  </si>
  <si>
    <t>1403/09/12</t>
  </si>
  <si>
    <t>1403/09/21</t>
  </si>
  <si>
    <t>1403/09/24</t>
  </si>
  <si>
    <t>1403/07/22</t>
  </si>
  <si>
    <t>1403/07/23</t>
  </si>
  <si>
    <t>1403/07/24</t>
  </si>
  <si>
    <t>1403/07/25</t>
  </si>
  <si>
    <t>1403/08/02</t>
  </si>
  <si>
    <t>1403/08/05</t>
  </si>
  <si>
    <t>1403/08/07</t>
  </si>
  <si>
    <t>1403/09/14</t>
  </si>
  <si>
    <t>1403/07/28</t>
  </si>
  <si>
    <t>1403/07/30</t>
  </si>
  <si>
    <t>1403/09/22</t>
  </si>
  <si>
    <t>1403/08/09</t>
  </si>
  <si>
    <t>1403/08/16</t>
  </si>
  <si>
    <t>1403/08/20</t>
  </si>
  <si>
    <t>1403/08/21</t>
  </si>
  <si>
    <t>1403/08/19</t>
  </si>
  <si>
    <t>1403/08/01</t>
  </si>
  <si>
    <t>1403/08/06</t>
  </si>
  <si>
    <t>1403/08/08</t>
  </si>
  <si>
    <t>1403/07/29</t>
  </si>
  <si>
    <t>1403/08/10</t>
  </si>
  <si>
    <t>1403/08/17</t>
  </si>
  <si>
    <t>1403/07/21</t>
  </si>
  <si>
    <t>1664:300,1665:300,1666:300,1667:300,1668:300,1669:300,1670:200</t>
  </si>
  <si>
    <t>1671:300,1672:300,1673:300,1674:300,1675:300,1676:300,1677:300,1678:300,1679:300,1680:300</t>
  </si>
  <si>
    <t>6:-11375</t>
  </si>
  <si>
    <t>6:-475</t>
  </si>
  <si>
    <t>6:-400</t>
  </si>
  <si>
    <t>4:-16650</t>
  </si>
  <si>
    <t>6:-700</t>
  </si>
  <si>
    <t>1681:100</t>
  </si>
  <si>
    <t>بعنوان نمونه با ترمینال جدید(فقط بچ تولید)</t>
  </si>
  <si>
    <t>6:-9425</t>
  </si>
  <si>
    <t>6:-13840</t>
  </si>
  <si>
    <t>4:-16000</t>
  </si>
  <si>
    <t>1403/10/04</t>
  </si>
  <si>
    <t>1403/10/05</t>
  </si>
  <si>
    <t>1403/10/08</t>
  </si>
  <si>
    <t>1403/10/09</t>
  </si>
  <si>
    <t>1403/10/10</t>
  </si>
  <si>
    <t>1403/10/11</t>
  </si>
  <si>
    <t>1403/10/12</t>
  </si>
  <si>
    <t>1403/10/15</t>
  </si>
  <si>
    <t>1403/10/16</t>
  </si>
  <si>
    <t>1403/10/17</t>
  </si>
  <si>
    <t>1403/10/18</t>
  </si>
  <si>
    <t>1403/10/19</t>
  </si>
  <si>
    <t>1403/10/22</t>
  </si>
  <si>
    <t>1403/10/23</t>
  </si>
  <si>
    <t>1403/10/24</t>
  </si>
  <si>
    <t>1403/10/25</t>
  </si>
  <si>
    <t>1403/10/26</t>
  </si>
  <si>
    <t>1403/10/29</t>
  </si>
  <si>
    <t>1403/10/30</t>
  </si>
  <si>
    <t>1403/11/01</t>
  </si>
  <si>
    <t>1403/11/03</t>
  </si>
  <si>
    <t>1403/11/02</t>
  </si>
  <si>
    <t>1403/11/04</t>
  </si>
  <si>
    <t>1403/11/06</t>
  </si>
  <si>
    <t>1403/11/07</t>
  </si>
  <si>
    <t>1403/11/08</t>
  </si>
  <si>
    <t>1403/11/10</t>
  </si>
  <si>
    <t>1403/11/17</t>
  </si>
  <si>
    <t>1403/11/20</t>
  </si>
  <si>
    <t>1403/11/21</t>
  </si>
  <si>
    <t>1403/11/28</t>
  </si>
  <si>
    <t>1403/11/29</t>
  </si>
  <si>
    <t>1403/11/30</t>
  </si>
  <si>
    <t>1403/12/01</t>
  </si>
  <si>
    <t>1403/12/02</t>
  </si>
  <si>
    <t>1403/12/04</t>
  </si>
  <si>
    <t>1403/12/05</t>
  </si>
  <si>
    <t>1403/12/06</t>
  </si>
  <si>
    <t>1403/12/07</t>
  </si>
  <si>
    <t>1403/12/08</t>
  </si>
  <si>
    <t>1403/12/09</t>
  </si>
  <si>
    <t>1403/12/11</t>
  </si>
  <si>
    <t>1403/12/12</t>
  </si>
  <si>
    <t>1403/12/13</t>
  </si>
  <si>
    <t>1403/12/14</t>
  </si>
  <si>
    <t>1403/12/15</t>
  </si>
  <si>
    <t>1403/12/18</t>
  </si>
  <si>
    <t>1403/12/22</t>
  </si>
  <si>
    <t>1403/12/23</t>
  </si>
  <si>
    <t>1403/12/25</t>
  </si>
  <si>
    <t>6:-7625</t>
  </si>
  <si>
    <t>6:-12340</t>
  </si>
  <si>
    <t>6:-100</t>
  </si>
  <si>
    <t>4:-15050</t>
  </si>
  <si>
    <t>1682:300,1683:300,1684:300,1685:300,1686:300,1687:300,1688:300,1689:300,1690:300,1691:300</t>
  </si>
  <si>
    <t>نری پرایدی</t>
  </si>
  <si>
    <t>مهره خور</t>
  </si>
  <si>
    <t>6/3کلیددار</t>
  </si>
  <si>
    <t>6/3پشت صاف</t>
  </si>
  <si>
    <t>مادگی نک پک</t>
  </si>
  <si>
    <t>4/8چاکدار</t>
  </si>
  <si>
    <t>پرچمی</t>
  </si>
  <si>
    <t>وای اچ</t>
  </si>
  <si>
    <t>وی اچ</t>
  </si>
  <si>
    <t>HCB: C42002-02RT</t>
  </si>
  <si>
    <t>YY</t>
  </si>
  <si>
    <t>mm</t>
  </si>
  <si>
    <t>MD084</t>
  </si>
  <si>
    <t>MD082</t>
  </si>
  <si>
    <t>TSA/AS109</t>
  </si>
  <si>
    <t>ASG/02</t>
  </si>
  <si>
    <t>TSA/AP109</t>
  </si>
  <si>
    <t>MD038</t>
  </si>
  <si>
    <t>MD071</t>
  </si>
  <si>
    <t>MD083</t>
  </si>
  <si>
    <t>TSA/101</t>
  </si>
  <si>
    <t>MD042</t>
  </si>
  <si>
    <t>MD096</t>
  </si>
  <si>
    <t>DATE</t>
  </si>
  <si>
    <t>MD69</t>
  </si>
  <si>
    <t>MD079</t>
  </si>
  <si>
    <t>6:-6500</t>
  </si>
  <si>
    <t>6:-10640</t>
  </si>
  <si>
    <t>4:-13950</t>
  </si>
  <si>
    <t>1692:300,1693:300,1694:300,1695:300,1696:300,1697:300,1698:300,1699:300,1700:300,1701:300,1702:300,1703:200</t>
  </si>
  <si>
    <t>6:-3350</t>
  </si>
  <si>
    <t>6:-7140</t>
  </si>
  <si>
    <t>1704:300,1705:300,1706:300,1707:300,1708:300,1709:300,1710:200</t>
  </si>
  <si>
    <t>4:-12550</t>
  </si>
  <si>
    <t>1711:300,1712:300,1713:300,1714:300,1715:300,1716:300,1717:300,1718:300,1719:300,1720:300</t>
  </si>
  <si>
    <t>6:-2450</t>
  </si>
  <si>
    <t>6:-5630</t>
  </si>
  <si>
    <t>4:-10950</t>
  </si>
  <si>
    <t>1721:300,1722:300,1723:300,1724:300,1725:300,1726:300,1727:300,1728:300,1729:300,1730:300</t>
  </si>
  <si>
    <t>6:-2000</t>
  </si>
  <si>
    <t>6:-3730</t>
  </si>
  <si>
    <t>4:-9250</t>
  </si>
  <si>
    <t>1731:300,1732:300,1733:300,1734:300,1735:300,1736:300,1737:300,1738:300,1739:200</t>
  </si>
  <si>
    <t>1740:300,1741:300,1742:300,1743:100</t>
  </si>
  <si>
    <t>1744:300,1745:300,1746:300,1747:300,1748:300,1749:300,1750:300,1751:300,1752:300,1753:300</t>
  </si>
  <si>
    <t>1754:300,1755:300,1756:300,1757:300,1758:300,1759:300,1760:300,1761:300,1762:300,1763:300</t>
  </si>
  <si>
    <t>6:+25</t>
  </si>
  <si>
    <t>6:-1930</t>
  </si>
  <si>
    <t>4:-8050</t>
  </si>
  <si>
    <t>1764:300,1765:300,1766:300,1767:300,1768:300,1769:200</t>
  </si>
  <si>
    <t>Sum of pack re</t>
  </si>
  <si>
    <t>واحد</t>
  </si>
  <si>
    <t>بادگیری</t>
  </si>
  <si>
    <t>پرس مغزی اتومات</t>
  </si>
  <si>
    <t>پرس مغزی دستی</t>
  </si>
  <si>
    <t>مونتاژ وارنیش</t>
  </si>
  <si>
    <t>سشوار وارنیش</t>
  </si>
  <si>
    <t>بست کمربندی</t>
  </si>
  <si>
    <t>تست تک نفره</t>
  </si>
  <si>
    <t>دسته کردن</t>
  </si>
  <si>
    <t>140530004</t>
  </si>
  <si>
    <t>141320031</t>
  </si>
  <si>
    <t>141320032</t>
  </si>
  <si>
    <t>total</t>
  </si>
  <si>
    <t>QC</t>
  </si>
  <si>
    <t>MJ</t>
  </si>
  <si>
    <t>PS</t>
  </si>
  <si>
    <t>Ref</t>
  </si>
  <si>
    <t>غلاف دستگاه</t>
  </si>
  <si>
    <t>غلاف دستی</t>
  </si>
  <si>
    <t>غلاف و باد</t>
  </si>
  <si>
    <t>قیچی</t>
  </si>
  <si>
    <t>روکش فاز نول</t>
  </si>
  <si>
    <t>پرس فار نول</t>
  </si>
  <si>
    <t>پرس سه گانه</t>
  </si>
  <si>
    <t>سوکت ارت</t>
  </si>
  <si>
    <t>سوکت فاز نول</t>
  </si>
  <si>
    <t>اسفنج</t>
  </si>
  <si>
    <t>فریت</t>
  </si>
  <si>
    <t>فریت و سوکت</t>
  </si>
  <si>
    <t>تست دو نفره</t>
  </si>
  <si>
    <t>تست چهار نفره</t>
  </si>
  <si>
    <t>لیبل</t>
  </si>
  <si>
    <t>تاباندن</t>
  </si>
  <si>
    <t>کش انداختن</t>
  </si>
  <si>
    <t>w</t>
  </si>
  <si>
    <t>y</t>
  </si>
  <si>
    <t>re</t>
  </si>
  <si>
    <t>rm</t>
  </si>
  <si>
    <t>pe</t>
  </si>
  <si>
    <t>rfn</t>
  </si>
  <si>
    <t>rfne</t>
  </si>
  <si>
    <t>pfn</t>
  </si>
  <si>
    <t>pfne</t>
  </si>
  <si>
    <t>pd</t>
  </si>
  <si>
    <t>ps</t>
  </si>
  <si>
    <t>se</t>
  </si>
  <si>
    <t>sfn</t>
  </si>
  <si>
    <t>sfne</t>
  </si>
  <si>
    <t>ch</t>
  </si>
  <si>
    <t>j</t>
  </si>
  <si>
    <t>f</t>
  </si>
  <si>
    <t>t1</t>
  </si>
  <si>
    <t>t2</t>
  </si>
  <si>
    <t>t3</t>
  </si>
  <si>
    <t>lbl</t>
  </si>
  <si>
    <t>ksh</t>
  </si>
  <si>
    <t>dst</t>
  </si>
  <si>
    <t>pck</t>
  </si>
  <si>
    <t>tbn</t>
  </si>
  <si>
    <t>bst</t>
  </si>
  <si>
    <t>v-s</t>
  </si>
  <si>
    <t>v-m</t>
  </si>
  <si>
    <t>f-s</t>
  </si>
  <si>
    <t>1770:300,1771:300,1772:300,1773:300,1774:300,1775:300,1776:300,1777:300,1778:300,1779:300</t>
  </si>
  <si>
    <t>4:-6550</t>
  </si>
  <si>
    <t>سوکت سه تایی</t>
  </si>
  <si>
    <t>روکش سه تایی</t>
  </si>
  <si>
    <t>pm</t>
  </si>
  <si>
    <t>glf</t>
  </si>
  <si>
    <t>g-w</t>
  </si>
  <si>
    <t>Pck</t>
  </si>
  <si>
    <t>پرس اسپیلایس</t>
  </si>
  <si>
    <t>H.V. دو نفره</t>
  </si>
  <si>
    <t>H.V. تک نفره</t>
  </si>
  <si>
    <t>filter</t>
  </si>
  <si>
    <t>hv1</t>
  </si>
  <si>
    <t>hv2</t>
  </si>
  <si>
    <t>pm!</t>
  </si>
  <si>
    <t>glf!</t>
  </si>
  <si>
    <t>Column1</t>
  </si>
  <si>
    <t>Column2</t>
  </si>
  <si>
    <t>1780:300,1781:300,1782:300,1783:300,1784:300,1785:300,1786:300,1787:300,1788:300,1789:300</t>
  </si>
  <si>
    <t>1790:300,1791:300,1792:300,1793:300,1794:300,1795:300,1796:300,1797:300,1798:300,1799:300</t>
  </si>
  <si>
    <t>1800:300,1801:300,1802:300,1803:300,1804:300,1805:300,1806:300,1807:300,1808:300,1809:300</t>
  </si>
  <si>
    <t>6:-380</t>
  </si>
  <si>
    <t>4:-4750</t>
  </si>
  <si>
    <t>1810:300,1811:300,1812:300,1813:300,1814:300,1815:300,1816:300,1817:300,1818:300,1819:300</t>
  </si>
  <si>
    <t>1820:300,1821:300,1822:300,1823:300,1824:300,1825:300,1826:300,1827:300,1828:300,1829:300,1830:300,1831:300,1832:300,1833:300,1834:300,1835:300,1836:200</t>
  </si>
  <si>
    <t>6:-30</t>
  </si>
  <si>
    <t>4:-2750</t>
  </si>
  <si>
    <t>4:-1250</t>
  </si>
  <si>
    <t>اضافه تولید</t>
  </si>
  <si>
    <t>1837:300,1838:300,1839:300,1840:300,1841:300,1842:300,1843:300,1844:300,1845:300,1846:300</t>
  </si>
  <si>
    <t>4:-150</t>
  </si>
  <si>
    <t>1847:300,1848:300,1849:300,1850:300,1851:300,1852:300,1853:300,1854:300,1855:300,1856:300</t>
  </si>
  <si>
    <t>7:-700</t>
  </si>
  <si>
    <t>7:-27300</t>
  </si>
  <si>
    <t>7:-6775</t>
  </si>
  <si>
    <t>7:-14900</t>
  </si>
  <si>
    <t>1857:300,1858:300,1859:300,1860:300,1861:300,1862:300,1863:300</t>
  </si>
  <si>
    <t>7:-5425</t>
  </si>
  <si>
    <t>7:-11000</t>
  </si>
  <si>
    <t>7:-26100</t>
  </si>
  <si>
    <t>7:-5350</t>
  </si>
  <si>
    <t>7:-9500</t>
  </si>
  <si>
    <t>7:-7500</t>
  </si>
  <si>
    <t>1864:300,1865:300,1866:300,1867:300,1868:300,1869:300,1870:300,1871:300,1872:300,1873:300,1874:300,1875:300,1876:300,1877:300,1878:300,1879:300,1880:200</t>
  </si>
  <si>
    <t>1881:300,1882:300,1883:300,1884:300,1885:300,1886:300,1887:300,1888:300,1889:300,1890:300,1891:300,1892:300,1893:300,1894:300,1895:300,1896:300,1897:300,1898:300,1899:300,1900:300</t>
  </si>
  <si>
    <t>7:-3100</t>
  </si>
  <si>
    <t>7:-6050</t>
  </si>
  <si>
    <t>7:-70000</t>
  </si>
  <si>
    <t>7:-30000</t>
  </si>
  <si>
    <t>7:-24600</t>
  </si>
  <si>
    <t>1911:300,1912:300,1913:300,1914:300,1915:300,1916:300,1917:300,1918:300,1919:300,1920:300</t>
  </si>
  <si>
    <t>1921:300,1922:300,1923:300,1924:300,1925:300,1926:300,1927:300,1928:300,1929:300,1930:300</t>
  </si>
  <si>
    <t>1931:300,1932:300,1933:300,1934:300,1935:300,1936:300,1937:300,1938:300,1939:300,1940:300</t>
  </si>
  <si>
    <t>1941:300,1942:300,1943:300,1944:300,1945:300,1946:300,1947:300,1948:300,1949:300,1950:300</t>
  </si>
  <si>
    <t>1951:300,1952:300,1953:300,1954:300,1955:300,1956:300,1957:300,1958:300,1959:300,1960:300</t>
  </si>
  <si>
    <t>1961:300,1962:300,1963:300,1964:300,1965:300,1966:300,1967:300,1968:300,1969:300,1970:300</t>
  </si>
  <si>
    <t>7:-1000</t>
  </si>
  <si>
    <t>7:-21650</t>
  </si>
  <si>
    <t>7:-5750</t>
  </si>
  <si>
    <t>1971:300,1972:300,1973:300,1974:300,1975:300,1976:300,1977:300,1978:300,1979:300,1980:300</t>
  </si>
  <si>
    <t>1981:300,1982:300,1983:300,1984:300,1985:300</t>
  </si>
  <si>
    <t>1986:300,1987:300,1988:300,1989:300,1990:300,1991:300,1992:300,1993:300</t>
  </si>
  <si>
    <t>7:-25</t>
  </si>
  <si>
    <t>7:-20350</t>
  </si>
  <si>
    <t>1994:300,1995:300,1996:300,1997:300,1998:300,1999:300,2000:300,2001:300,2002:300</t>
  </si>
  <si>
    <t>2003:300,2004:300,2005:300,2006:300,2007:300,2008:300,2009:300</t>
  </si>
  <si>
    <t>2010:300,2011:300,2012:300,2013:300,2014:300,2015:300,2016:300,2017:300,2018:300</t>
  </si>
  <si>
    <t>کابل برق  درب از بالا 7kg</t>
  </si>
  <si>
    <t>3سانت</t>
  </si>
  <si>
    <t>2019:300,2020:200</t>
  </si>
  <si>
    <t>کابل برق  درب از بالا 12kg</t>
  </si>
  <si>
    <t>1سانت مدیا</t>
  </si>
  <si>
    <t>2021:300,2022:300,2023:300,2024:300,2025:300,2026:300,2027:300,2028:300,2029:300,2030:300</t>
  </si>
  <si>
    <t>7:-19550</t>
  </si>
  <si>
    <t>7:-66200</t>
  </si>
  <si>
    <t>7:-28200</t>
  </si>
  <si>
    <t>7:-500</t>
  </si>
  <si>
    <t>7:-27600</t>
  </si>
  <si>
    <t>7:-18350</t>
  </si>
  <si>
    <t>7:-64100</t>
  </si>
  <si>
    <t>7:-4850</t>
  </si>
  <si>
    <t>2031:300,2032:300,2033:300,2034:300,2035:300,2036:300,2037:300</t>
  </si>
  <si>
    <t>2038:300,2039:300,2040:300,2041:300,2042:300,2043:300,2044:200</t>
  </si>
  <si>
    <t>2045:300,2046:300,2047:300,2048:300,2049:300,2050:300,2051:300,2052:300,2053:300</t>
  </si>
  <si>
    <t>7:-300</t>
  </si>
  <si>
    <t>7:-2750/8:-15000</t>
  </si>
  <si>
    <t>7:-17650</t>
  </si>
  <si>
    <t>7:-62150</t>
  </si>
  <si>
    <t>7:-5000</t>
  </si>
  <si>
    <t>2054:300,2055:300,2056:300,2057:300,2058:300,2059:300,2060:300,2061:300</t>
  </si>
  <si>
    <t>2062:300,2063:300,2064:300,2065:300,2066:300,2067:300,2068:300</t>
  </si>
  <si>
    <t>2069:300,2070:300,2071:300,2072:300,2073:300,2074:300,2075:300,2076:300</t>
  </si>
  <si>
    <t>2077:300,2078:300,2079:300,2080:300,2081:300,2082:300,2083:300,2084:300</t>
  </si>
  <si>
    <t>2085:300,2086:300,2087:300,2088:300,2089:300,2090:300,2091:300</t>
  </si>
  <si>
    <t>2092:300,2093:300,2094:300,2095:300,2096:300,2097:300,2098:300,2099:300</t>
  </si>
  <si>
    <t>2100:300,2101:300,2102:300,2103:300,2104:300,2105:300,2106:200</t>
  </si>
  <si>
    <t>7:-16650</t>
  </si>
  <si>
    <t>7:-4700</t>
  </si>
  <si>
    <t>7:-59750</t>
  </si>
  <si>
    <t>7:-27500</t>
  </si>
  <si>
    <t>7:-3200</t>
  </si>
  <si>
    <t>7:-57150</t>
  </si>
  <si>
    <t>7:-1250/8:-15000</t>
  </si>
  <si>
    <t>2107:300,2108:300,2109:300,2110:300,2111:300,2112:300,2113:300,2114:300,2115:300,2116:300</t>
  </si>
  <si>
    <t>2117:300,2118:300,2119:300,2120:300,2121:300,2122:300,2123:300,2124:300,2125:300,2126:300</t>
  </si>
  <si>
    <t>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</si>
</sst>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#,###&quot;$&quot;;#,###&quot;$&quot;;\-"/>
    <numFmt numFmtId="166" formatCode="#,##0\c;#,##0\c;\-"/>
    <numFmt numFmtId="167" formatCode="#,###\i;#,###\+\i;\-"/>
    <numFmt numFmtId="168" formatCode="#,###\p;#,###\p;\-"/>
    <numFmt numFmtId="169" formatCode="\+#.##;\-#,###;00"/>
    <numFmt numFmtId="170" formatCode="\+#,##0;\-#,##0"/>
    <numFmt numFmtId="171" formatCode="00"/>
    <numFmt numFmtId="172" formatCode="0.0"/>
    <numFmt numFmtId="173" formatCode="#\ \ن\ف\ر"/>
    <numFmt numFmtId="174" formatCode="#\ \ث\ا\ن\ی\ه"/>
  </numFmts>
  <fonts count="7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1"/>
      <name val="Arial Narrow"/>
      <family val="2"/>
    </font>
    <font>
      <sz val="10"/>
      <color theme="1"/>
      <name val="Arial Narrow"/>
      <family val="2"/>
    </font>
    <font>
      <sz val="10"/>
      <name val="Arial Narrow"/>
      <family val="2"/>
    </font>
    <font>
      <b/>
      <sz val="9"/>
      <color indexed="81"/>
      <name val="Tahoma"/>
      <family val="2"/>
    </font>
    <font>
      <b/>
      <sz val="12"/>
      <color theme="1"/>
      <name val="Arial Narrow"/>
      <family val="2"/>
    </font>
    <font>
      <sz val="11"/>
      <color theme="1"/>
      <name val="Calibri"/>
      <family val="2"/>
      <scheme val="minor"/>
    </font>
    <font>
      <sz val="13"/>
      <color theme="1"/>
      <name val="B Nazanin"/>
      <charset val="178"/>
    </font>
    <font>
      <sz val="11"/>
      <color theme="1"/>
      <name val="Times New Roman"/>
      <family val="1"/>
    </font>
    <font>
      <sz val="11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1"/>
      <color rgb="FF000000"/>
      <name val="Calibri"/>
      <family val="2"/>
    </font>
    <font>
      <sz val="11"/>
      <color theme="0"/>
      <name val="Times New Roman"/>
      <family val="1"/>
    </font>
    <font>
      <sz val="8"/>
      <color theme="0"/>
      <name val="Times New Roman"/>
      <family val="1"/>
    </font>
    <font>
      <sz val="11"/>
      <color theme="5"/>
      <name val="Calibri"/>
      <family val="2"/>
      <scheme val="minor"/>
    </font>
    <font>
      <sz val="10"/>
      <color theme="5"/>
      <name val="Arial Narrow"/>
      <family val="2"/>
    </font>
    <font>
      <sz val="1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Arial Narrow"/>
      <family val="2"/>
    </font>
    <font>
      <sz val="11"/>
      <color theme="0"/>
      <name val="Arial Narrow"/>
      <family val="2"/>
    </font>
    <font>
      <sz val="10"/>
      <color theme="9" tint="-0.499984740745262"/>
      <name val="Arial Narrow"/>
      <family val="2"/>
    </font>
    <font>
      <b/>
      <sz val="8"/>
      <name val="Arial Narrow"/>
      <family val="2"/>
    </font>
    <font>
      <b/>
      <sz val="10"/>
      <name val="Arial Narrow"/>
      <family val="2"/>
    </font>
    <font>
      <sz val="12"/>
      <color theme="1"/>
      <name val="Arial Narrow"/>
      <family val="2"/>
    </font>
    <font>
      <sz val="10"/>
      <color theme="0"/>
      <name val="Times New Roman"/>
      <family val="1"/>
    </font>
    <font>
      <sz val="14"/>
      <color theme="9" tint="-0.499984740745262"/>
      <name val="Arial Narrow"/>
      <family val="2"/>
    </font>
    <font>
      <sz val="14"/>
      <name val="Arial Narrow"/>
      <family val="2"/>
    </font>
    <font>
      <sz val="14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9"/>
      <name val="Times New Roman"/>
      <family val="1"/>
    </font>
    <font>
      <b/>
      <sz val="10"/>
      <name val="Times New Roman"/>
      <family val="1"/>
    </font>
    <font>
      <b/>
      <sz val="11"/>
      <name val="Arial Narrow"/>
      <family val="2"/>
    </font>
    <font>
      <sz val="10"/>
      <color indexed="23"/>
      <name val="Arial Narrow"/>
      <family val="2"/>
    </font>
    <font>
      <sz val="8"/>
      <color indexed="23"/>
      <name val="Arial Narrow"/>
      <family val="2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sz val="10"/>
      <color rgb="FF0070C0"/>
      <name val="Arial Narrow"/>
      <family val="2"/>
    </font>
    <font>
      <sz val="11"/>
      <color rgb="FF0070C0"/>
      <name val="Calibri"/>
      <family val="2"/>
      <scheme val="minor"/>
    </font>
    <font>
      <sz val="8"/>
      <name val="Arial Narrow"/>
      <family val="2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9" tint="-0.499984740745262"/>
      <name val="B Titr"/>
      <charset val="178"/>
    </font>
    <font>
      <b/>
      <sz val="12"/>
      <color rgb="FFFF0000"/>
      <name val="Times New Roman"/>
      <family val="1"/>
    </font>
    <font>
      <b/>
      <sz val="12"/>
      <color rgb="FFFF0000"/>
      <name val="Arial Narrow"/>
      <family val="2"/>
    </font>
    <font>
      <sz val="12"/>
      <color theme="1"/>
      <name val="Times New Roman"/>
      <family val="1"/>
    </font>
    <font>
      <sz val="12"/>
      <color theme="5"/>
      <name val="Calibri"/>
      <family val="2"/>
      <scheme val="minor"/>
    </font>
    <font>
      <sz val="10"/>
      <color indexed="8"/>
      <name val="Arial Narrow"/>
      <family val="2"/>
    </font>
    <font>
      <sz val="10"/>
      <color indexed="23"/>
      <name val="Calibri Light"/>
      <family val="2"/>
      <scheme val="major"/>
    </font>
    <font>
      <sz val="12"/>
      <name val="Arial Black"/>
      <family val="2"/>
    </font>
    <font>
      <b/>
      <sz val="12"/>
      <name val="Arial Narrow"/>
      <family val="2"/>
    </font>
    <font>
      <sz val="12"/>
      <color theme="9" tint="-0.499984740745262"/>
      <name val="Calibri Light"/>
      <family val="2"/>
      <scheme val="major"/>
    </font>
    <font>
      <sz val="12"/>
      <name val="Calibri Light"/>
      <family val="2"/>
      <scheme val="major"/>
    </font>
    <font>
      <b/>
      <sz val="12"/>
      <name val="Calibri Light"/>
      <family val="2"/>
      <scheme val="major"/>
    </font>
    <font>
      <sz val="10"/>
      <name val="Times New Roman"/>
      <family val="1"/>
    </font>
    <font>
      <b/>
      <sz val="12"/>
      <name val="Arial Black"/>
      <family val="2"/>
    </font>
    <font>
      <b/>
      <sz val="12"/>
      <color theme="0"/>
      <name val="Calibri"/>
      <family val="2"/>
      <scheme val="minor"/>
    </font>
    <font>
      <b/>
      <sz val="11"/>
      <name val="Arial Black"/>
      <family val="2"/>
    </font>
    <font>
      <sz val="14"/>
      <color theme="0"/>
      <name val="Times New Roman"/>
      <family val="1"/>
    </font>
    <font>
      <sz val="14"/>
      <color theme="1"/>
      <name val="Calibri"/>
      <family val="2"/>
      <scheme val="minor"/>
    </font>
    <font>
      <sz val="12"/>
      <color theme="9" tint="-0.499984740745262"/>
      <name val="Arial Black"/>
      <family val="2"/>
    </font>
    <font>
      <sz val="9"/>
      <color theme="1"/>
      <name val="Arial Narrow"/>
      <family val="2"/>
    </font>
    <font>
      <sz val="10"/>
      <color theme="1"/>
      <name val="B Zar"/>
      <charset val="178"/>
    </font>
    <font>
      <sz val="14"/>
      <color theme="1"/>
      <name val="B Titr"/>
      <charset val="178"/>
    </font>
    <font>
      <sz val="12"/>
      <color theme="1"/>
      <name val="B Zar"/>
      <charset val="178"/>
    </font>
    <font>
      <sz val="11"/>
      <color theme="1"/>
      <name val="B Zar"/>
      <charset val="178"/>
    </font>
    <font>
      <sz val="12"/>
      <color theme="1"/>
      <name val="Calibri"/>
      <family val="2"/>
    </font>
    <font>
      <sz val="12"/>
      <color theme="1"/>
      <name val="B Titr"/>
      <charset val="178"/>
    </font>
    <font>
      <sz val="10"/>
      <color indexed="8"/>
      <name val="Calibri"/>
      <family val="2"/>
    </font>
    <font>
      <b/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2"/>
      <name val="B Nazanin"/>
      <charset val="178"/>
    </font>
  </fonts>
  <fills count="2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34998626667073579"/>
      </patternFill>
    </fill>
    <fill>
      <patternFill patternType="solid">
        <fgColor theme="4"/>
        <bgColor theme="0" tint="-0.499984740745262"/>
      </patternFill>
    </fill>
    <fill>
      <patternFill patternType="solid">
        <fgColor theme="9" tint="0.59999389629810485"/>
        <bgColor theme="0" tint="-0.34998626667073579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theme="4"/>
      </patternFill>
    </fill>
    <fill>
      <patternFill patternType="mediumGray">
        <fgColor theme="0" tint="-0.24994659260841701"/>
        <bgColor theme="9" tint="0.59999389629810485"/>
      </patternFill>
    </fill>
    <fill>
      <patternFill patternType="solid">
        <fgColor theme="4"/>
        <bgColor theme="0" tint="-0.24994659260841701"/>
      </patternFill>
    </fill>
    <fill>
      <patternFill patternType="solid">
        <fgColor theme="0"/>
        <bgColor theme="0" tint="-0.24994659260841701"/>
      </patternFill>
    </fill>
    <fill>
      <patternFill patternType="solid">
        <fgColor theme="9" tint="0.59999389629810485"/>
        <bgColor theme="0" tint="-0.24994659260841701"/>
      </patternFill>
    </fill>
    <fill>
      <patternFill patternType="mediumGray">
        <fgColor theme="0" tint="-0.24994659260841701"/>
        <bgColor theme="8" tint="0.399975585192419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mediumGray">
        <fgColor theme="0" tint="-0.24994659260841701"/>
        <bgColor rgb="FF92D050"/>
      </patternFill>
    </fill>
    <fill>
      <patternFill patternType="solid">
        <fgColor rgb="FF92D050"/>
        <bgColor theme="0" tint="-0.24994659260841701"/>
      </patternFill>
    </fill>
    <fill>
      <patternFill patternType="mediumGray">
        <fgColor theme="0" tint="-0.14996795556505021"/>
        <bgColor theme="8" tint="0.39997558519241921"/>
      </patternFill>
    </fill>
    <fill>
      <patternFill patternType="mediumGray">
        <fgColor theme="0" tint="-0.149967955565050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0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theme="0" tint="-0.14996795556505021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n">
        <color theme="4" tint="0.39997558519241921"/>
      </left>
      <right/>
      <top style="thick">
        <color theme="0"/>
      </top>
      <bottom style="thick">
        <color theme="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ck">
        <color theme="0"/>
      </top>
      <bottom style="thin">
        <color theme="4" tint="0.39997558519241921"/>
      </bottom>
      <diagonal/>
    </border>
    <border>
      <left/>
      <right style="thick">
        <color theme="0"/>
      </right>
      <top style="thick">
        <color theme="0"/>
      </top>
      <bottom style="thin">
        <color theme="4" tint="0.39997558519241921"/>
      </bottom>
      <diagonal/>
    </border>
    <border>
      <left style="thick">
        <color theme="0"/>
      </left>
      <right/>
      <top style="thick">
        <color theme="0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ck">
        <color theme="0"/>
      </top>
      <bottom style="thin">
        <color theme="4" tint="0.39997558519241921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 diagonalUp="1">
      <left/>
      <right/>
      <top/>
      <bottom/>
      <diagonal style="thin">
        <color auto="1"/>
      </diagonal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ck">
        <color theme="0"/>
      </left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 style="thin">
        <color auto="1"/>
      </right>
      <top/>
      <bottom/>
      <diagonal/>
    </border>
    <border>
      <left style="thick">
        <color theme="0"/>
      </left>
      <right style="hair">
        <color theme="0" tint="-0.24994659260841701"/>
      </right>
      <top style="thick">
        <color theme="0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 style="thick">
        <color theme="0"/>
      </top>
      <bottom/>
      <diagonal/>
    </border>
    <border>
      <left style="hair">
        <color theme="0" tint="-0.24994659260841701"/>
      </left>
      <right style="thin">
        <color auto="1"/>
      </right>
      <top style="thick">
        <color theme="0"/>
      </top>
      <bottom/>
      <diagonal/>
    </border>
    <border>
      <left style="thick">
        <color theme="0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hair">
        <color theme="0" tint="-0.24994659260841701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hair">
        <color theme="0" tint="-0.24994659260841701"/>
      </left>
      <right style="thin">
        <color auto="1"/>
      </right>
      <top style="thick">
        <color theme="0"/>
      </top>
      <bottom style="thick">
        <color theme="0"/>
      </bottom>
      <diagonal/>
    </border>
    <border>
      <left style="thin">
        <color auto="1"/>
      </left>
      <right style="hair">
        <color theme="0" tint="-0.24994659260841701"/>
      </right>
      <top style="thick">
        <color theme="0"/>
      </top>
      <bottom/>
      <diagonal/>
    </border>
    <border>
      <left style="thin">
        <color auto="1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thin">
        <color auto="1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DashDotDot">
        <color auto="1"/>
      </bottom>
      <diagonal/>
    </border>
    <border>
      <left style="thin">
        <color auto="1"/>
      </left>
      <right style="thin">
        <color indexed="64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hair">
        <color theme="0" tint="-0.2499465926084170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double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4">
    <xf numFmtId="0" fontId="0" fillId="0" borderId="0"/>
    <xf numFmtId="43" fontId="8" fillId="0" borderId="0" applyFont="0" applyFill="0" applyBorder="0" applyAlignment="0" applyProtection="0"/>
    <xf numFmtId="0" fontId="44" fillId="0" borderId="0"/>
    <xf numFmtId="0" fontId="44" fillId="0" borderId="0"/>
  </cellStyleXfs>
  <cellXfs count="623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49" fontId="7" fillId="0" borderId="1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164" fontId="2" fillId="0" borderId="0" xfId="1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top"/>
    </xf>
    <xf numFmtId="3" fontId="2" fillId="0" borderId="0" xfId="1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top"/>
    </xf>
    <xf numFmtId="0" fontId="15" fillId="4" borderId="0" xfId="0" applyFont="1" applyFill="1" applyAlignment="1">
      <alignment horizontal="center" vertical="top"/>
    </xf>
    <xf numFmtId="0" fontId="5" fillId="3" borderId="0" xfId="0" applyFont="1" applyFill="1" applyAlignment="1">
      <alignment horizontal="center" vertical="top"/>
    </xf>
    <xf numFmtId="0" fontId="17" fillId="3" borderId="0" xfId="0" applyFont="1" applyFill="1" applyAlignment="1">
      <alignment horizontal="center" vertical="top"/>
    </xf>
    <xf numFmtId="0" fontId="18" fillId="3" borderId="0" xfId="0" applyFont="1" applyFill="1" applyAlignment="1">
      <alignment horizontal="center" vertical="top"/>
    </xf>
    <xf numFmtId="0" fontId="2" fillId="0" borderId="0" xfId="0" applyFont="1" applyAlignment="1">
      <alignment horizontal="left" vertical="center"/>
    </xf>
    <xf numFmtId="0" fontId="2" fillId="8" borderId="0" xfId="0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6" fillId="0" borderId="0" xfId="0" applyNumberFormat="1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164" fontId="2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6" fillId="4" borderId="0" xfId="0" applyFont="1" applyFill="1" applyAlignment="1">
      <alignment horizontal="left" vertical="top" wrapText="1"/>
    </xf>
    <xf numFmtId="0" fontId="4" fillId="8" borderId="4" xfId="0" applyFont="1" applyFill="1" applyBorder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3" fontId="0" fillId="0" borderId="0" xfId="0" applyNumberFormat="1"/>
    <xf numFmtId="0" fontId="11" fillId="0" borderId="0" xfId="0" applyNumberFormat="1" applyFont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36" fillId="0" borderId="0" xfId="0" applyNumberFormat="1" applyFont="1" applyAlignment="1">
      <alignment horizontal="center" vertical="center"/>
    </xf>
    <xf numFmtId="0" fontId="38" fillId="3" borderId="0" xfId="0" applyFont="1" applyFill="1" applyAlignment="1">
      <alignment horizontal="center" vertical="top"/>
    </xf>
    <xf numFmtId="0" fontId="0" fillId="0" borderId="0" xfId="0" applyAlignment="1">
      <alignment horizontal="left" vertical="center" wrapText="1"/>
    </xf>
    <xf numFmtId="41" fontId="30" fillId="0" borderId="9" xfId="1" applyNumberFormat="1" applyFont="1" applyFill="1" applyBorder="1" applyAlignment="1">
      <alignment horizontal="center" vertical="center"/>
    </xf>
    <xf numFmtId="41" fontId="28" fillId="0" borderId="9" xfId="1" applyNumberFormat="1" applyFont="1" applyFill="1" applyBorder="1" applyAlignment="1">
      <alignment horizontal="center" vertical="center"/>
    </xf>
    <xf numFmtId="170" fontId="40" fillId="0" borderId="9" xfId="1" applyNumberFormat="1" applyFont="1" applyFill="1" applyBorder="1" applyAlignment="1">
      <alignment horizontal="center" vertical="center" textRotation="180" shrinkToFit="1"/>
    </xf>
    <xf numFmtId="41" fontId="40" fillId="0" borderId="9" xfId="1" applyNumberFormat="1" applyFont="1" applyFill="1" applyBorder="1" applyAlignment="1">
      <alignment horizontal="center" vertical="center" textRotation="180" shrinkToFit="1"/>
    </xf>
    <xf numFmtId="0" fontId="41" fillId="0" borderId="0" xfId="0" applyFont="1" applyAlignment="1">
      <alignment horizontal="center" vertical="top"/>
    </xf>
    <xf numFmtId="170" fontId="41" fillId="0" borderId="0" xfId="0" applyNumberFormat="1" applyFont="1" applyAlignment="1">
      <alignment horizontal="center" vertical="top"/>
    </xf>
    <xf numFmtId="14" fontId="25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170" fontId="41" fillId="0" borderId="0" xfId="0" applyNumberFormat="1" applyFont="1" applyAlignment="1">
      <alignment horizontal="center" vertical="center"/>
    </xf>
    <xf numFmtId="14" fontId="42" fillId="0" borderId="0" xfId="0" applyNumberFormat="1" applyFont="1" applyAlignment="1">
      <alignment horizontal="right" vertical="center"/>
    </xf>
    <xf numFmtId="41" fontId="27" fillId="0" borderId="10" xfId="1" applyNumberFormat="1" applyFont="1" applyFill="1" applyBorder="1" applyAlignment="1">
      <alignment horizontal="center" vertical="center"/>
    </xf>
    <xf numFmtId="165" fontId="27" fillId="0" borderId="11" xfId="1" applyNumberFormat="1" applyFont="1" applyFill="1" applyBorder="1" applyAlignment="1">
      <alignment horizontal="center" vertical="center"/>
    </xf>
    <xf numFmtId="0" fontId="25" fillId="8" borderId="0" xfId="0" applyFont="1" applyFill="1" applyBorder="1" applyAlignment="1">
      <alignment horizontal="center" vertical="center"/>
    </xf>
    <xf numFmtId="41" fontId="28" fillId="0" borderId="11" xfId="1" applyNumberFormat="1" applyFont="1" applyFill="1" applyBorder="1" applyAlignment="1">
      <alignment horizontal="center" vertical="center"/>
    </xf>
    <xf numFmtId="169" fontId="30" fillId="0" borderId="10" xfId="1" applyNumberFormat="1" applyFont="1" applyFill="1" applyBorder="1" applyAlignment="1">
      <alignment horizontal="center" vertical="center"/>
    </xf>
    <xf numFmtId="169" fontId="0" fillId="12" borderId="0" xfId="0" applyNumberFormat="1" applyFill="1" applyBorder="1" applyAlignment="1">
      <alignment horizontal="center" vertical="center"/>
    </xf>
    <xf numFmtId="0" fontId="45" fillId="0" borderId="12" xfId="2" applyFont="1" applyBorder="1" applyAlignment="1">
      <alignment horizontal="center" vertical="center"/>
    </xf>
    <xf numFmtId="3" fontId="2" fillId="0" borderId="0" xfId="0" applyNumberFormat="1" applyFont="1" applyFill="1" applyBorder="1" applyAlignment="1">
      <alignment horizontal="center" vertical="center"/>
    </xf>
    <xf numFmtId="165" fontId="27" fillId="0" borderId="13" xfId="1" applyNumberFormat="1" applyFont="1" applyFill="1" applyBorder="1" applyAlignment="1">
      <alignment horizontal="center" vertical="center"/>
    </xf>
    <xf numFmtId="0" fontId="48" fillId="0" borderId="0" xfId="0" applyNumberFormat="1" applyFont="1" applyFill="1" applyBorder="1" applyAlignment="1">
      <alignment horizontal="center" vertical="top" wrapText="1"/>
    </xf>
    <xf numFmtId="0" fontId="49" fillId="0" borderId="0" xfId="0" applyNumberFormat="1" applyFont="1" applyAlignment="1">
      <alignment horizontal="center" vertical="top"/>
    </xf>
    <xf numFmtId="169" fontId="2" fillId="0" borderId="0" xfId="1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69" fontId="16" fillId="0" borderId="0" xfId="0" applyNumberFormat="1" applyFont="1" applyAlignment="1">
      <alignment horizontal="center" vertical="center"/>
    </xf>
    <xf numFmtId="49" fontId="45" fillId="0" borderId="12" xfId="2" applyNumberFormat="1" applyFont="1" applyBorder="1" applyAlignment="1">
      <alignment horizontal="left" vertical="center" wrapText="1"/>
    </xf>
    <xf numFmtId="49" fontId="45" fillId="0" borderId="12" xfId="2" applyNumberFormat="1" applyFont="1" applyFill="1" applyBorder="1" applyAlignment="1">
      <alignment horizontal="left" vertical="center" wrapText="1"/>
    </xf>
    <xf numFmtId="0" fontId="50" fillId="0" borderId="0" xfId="0" applyFont="1" applyAlignment="1">
      <alignment horizontal="center" vertical="top"/>
    </xf>
    <xf numFmtId="0" fontId="0" fillId="0" borderId="0" xfId="0" applyAlignment="1">
      <alignment horizontal="center" vertical="top" wrapText="1"/>
    </xf>
    <xf numFmtId="14" fontId="25" fillId="0" borderId="0" xfId="0" applyNumberFormat="1" applyFont="1" applyFill="1" applyAlignment="1">
      <alignment horizontal="center" vertical="center"/>
    </xf>
    <xf numFmtId="0" fontId="41" fillId="0" borderId="0" xfId="0" applyFont="1" applyFill="1" applyAlignment="1">
      <alignment horizontal="center" vertical="center"/>
    </xf>
    <xf numFmtId="14" fontId="42" fillId="0" borderId="0" xfId="0" applyNumberFormat="1" applyFont="1" applyFill="1" applyAlignment="1">
      <alignment horizontal="right" vertical="center"/>
    </xf>
    <xf numFmtId="0" fontId="0" fillId="0" borderId="0" xfId="0" applyNumberFormat="1"/>
    <xf numFmtId="170" fontId="51" fillId="0" borderId="0" xfId="0" applyNumberFormat="1" applyFont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45" fillId="0" borderId="12" xfId="2" applyFont="1" applyFill="1" applyBorder="1" applyAlignment="1">
      <alignment horizontal="center" vertical="center"/>
    </xf>
    <xf numFmtId="0" fontId="45" fillId="0" borderId="0" xfId="3" applyFont="1" applyBorder="1" applyAlignment="1">
      <alignment horizontal="center" vertical="top" wrapText="1"/>
    </xf>
    <xf numFmtId="0" fontId="45" fillId="0" borderId="0" xfId="3" applyFont="1" applyBorder="1" applyAlignment="1">
      <alignment horizontal="right" vertical="top" wrapText="1"/>
    </xf>
    <xf numFmtId="0" fontId="45" fillId="0" borderId="0" xfId="3" applyFont="1" applyFill="1" applyBorder="1" applyAlignment="1">
      <alignment horizontal="center" vertical="top" wrapText="1"/>
    </xf>
    <xf numFmtId="0" fontId="52" fillId="0" borderId="0" xfId="3" applyFont="1" applyBorder="1" applyAlignment="1">
      <alignment horizontal="center" vertical="center" wrapText="1"/>
    </xf>
    <xf numFmtId="0" fontId="45" fillId="0" borderId="0" xfId="3" applyFont="1" applyBorder="1" applyAlignment="1">
      <alignment horizontal="right" vertical="center"/>
    </xf>
    <xf numFmtId="0" fontId="45" fillId="0" borderId="0" xfId="3" applyFont="1" applyBorder="1" applyAlignment="1">
      <alignment horizontal="center" vertical="center" wrapText="1"/>
    </xf>
    <xf numFmtId="0" fontId="45" fillId="0" borderId="0" xfId="3" applyFont="1" applyFill="1" applyBorder="1" applyAlignment="1">
      <alignment horizontal="center" vertical="center" wrapText="1"/>
    </xf>
    <xf numFmtId="0" fontId="45" fillId="0" borderId="12" xfId="2" applyNumberFormat="1" applyFont="1" applyFill="1" applyBorder="1" applyAlignment="1">
      <alignment horizontal="center" vertical="center"/>
    </xf>
    <xf numFmtId="49" fontId="7" fillId="0" borderId="29" xfId="0" applyNumberFormat="1" applyFont="1" applyBorder="1" applyAlignment="1">
      <alignment horizontal="center" vertical="top"/>
    </xf>
    <xf numFmtId="49" fontId="46" fillId="0" borderId="29" xfId="0" applyNumberFormat="1" applyFont="1" applyBorder="1" applyAlignment="1">
      <alignment horizontal="center" vertical="top" wrapText="1"/>
    </xf>
    <xf numFmtId="3" fontId="12" fillId="0" borderId="29" xfId="0" applyNumberFormat="1" applyFont="1" applyFill="1" applyBorder="1" applyAlignment="1">
      <alignment horizontal="center" vertical="top"/>
    </xf>
    <xf numFmtId="49" fontId="46" fillId="0" borderId="2" xfId="0" applyNumberFormat="1" applyFont="1" applyBorder="1" applyAlignment="1">
      <alignment horizontal="center" vertical="top" textRotation="90" wrapText="1"/>
    </xf>
    <xf numFmtId="0" fontId="9" fillId="0" borderId="29" xfId="0" applyFont="1" applyBorder="1" applyAlignment="1">
      <alignment horizontal="right" vertical="center" wrapText="1"/>
    </xf>
    <xf numFmtId="3" fontId="25" fillId="0" borderId="29" xfId="0" applyNumberFormat="1" applyFont="1" applyBorder="1" applyAlignment="1">
      <alignment horizontal="right" vertical="center" wrapText="1"/>
    </xf>
    <xf numFmtId="3" fontId="25" fillId="0" borderId="29" xfId="1" applyNumberFormat="1" applyFont="1" applyFill="1" applyBorder="1" applyAlignment="1">
      <alignment horizontal="center" vertical="center"/>
    </xf>
    <xf numFmtId="9" fontId="25" fillId="0" borderId="29" xfId="1" applyNumberFormat="1" applyFont="1" applyFill="1" applyBorder="1" applyAlignment="1">
      <alignment horizontal="center" vertical="center"/>
    </xf>
    <xf numFmtId="3" fontId="42" fillId="0" borderId="29" xfId="1" applyNumberFormat="1" applyFont="1" applyFill="1" applyBorder="1" applyAlignment="1">
      <alignment horizontal="right" vertical="center" wrapText="1"/>
    </xf>
    <xf numFmtId="171" fontId="25" fillId="0" borderId="29" xfId="1" applyNumberFormat="1" applyFont="1" applyFill="1" applyBorder="1" applyAlignment="1">
      <alignment horizontal="center" vertical="center"/>
    </xf>
    <xf numFmtId="0" fontId="25" fillId="0" borderId="29" xfId="1" applyNumberFormat="1" applyFont="1" applyFill="1" applyBorder="1" applyAlignment="1">
      <alignment horizontal="center" vertical="center"/>
    </xf>
    <xf numFmtId="0" fontId="45" fillId="0" borderId="0" xfId="3" applyFont="1" applyBorder="1" applyAlignment="1">
      <alignment horizontal="center" vertical="top" textRotation="90"/>
    </xf>
    <xf numFmtId="17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49" fontId="7" fillId="0" borderId="29" xfId="0" applyNumberFormat="1" applyFont="1" applyBorder="1" applyAlignment="1">
      <alignment horizontal="center" vertical="top" textRotation="90" wrapText="1"/>
    </xf>
    <xf numFmtId="49" fontId="7" fillId="0" borderId="2" xfId="0" applyNumberFormat="1" applyFont="1" applyBorder="1" applyAlignment="1">
      <alignment horizontal="center" vertical="top" textRotation="90" wrapText="1"/>
    </xf>
    <xf numFmtId="0" fontId="4" fillId="8" borderId="3" xfId="0" applyFont="1" applyFill="1" applyBorder="1" applyAlignment="1">
      <alignment horizontal="center" vertical="center" wrapText="1"/>
    </xf>
    <xf numFmtId="165" fontId="5" fillId="2" borderId="10" xfId="0" applyNumberFormat="1" applyFont="1" applyFill="1" applyBorder="1" applyAlignment="1">
      <alignment horizontal="center" vertical="center"/>
    </xf>
    <xf numFmtId="166" fontId="5" fillId="2" borderId="13" xfId="0" applyNumberFormat="1" applyFont="1" applyFill="1" applyBorder="1" applyAlignment="1">
      <alignment horizontal="center" vertical="center" readingOrder="1"/>
    </xf>
    <xf numFmtId="168" fontId="22" fillId="2" borderId="13" xfId="0" applyNumberFormat="1" applyFont="1" applyFill="1" applyBorder="1" applyAlignment="1">
      <alignment horizontal="center" vertical="center"/>
    </xf>
    <xf numFmtId="169" fontId="5" fillId="10" borderId="13" xfId="0" applyNumberFormat="1" applyFont="1" applyFill="1" applyBorder="1" applyAlignment="1">
      <alignment horizontal="center" vertical="center" readingOrder="1"/>
    </xf>
    <xf numFmtId="169" fontId="22" fillId="10" borderId="13" xfId="0" applyNumberFormat="1" applyFont="1" applyFill="1" applyBorder="1" applyAlignment="1">
      <alignment horizontal="center" vertical="center"/>
    </xf>
    <xf numFmtId="167" fontId="5" fillId="13" borderId="13" xfId="0" applyNumberFormat="1" applyFont="1" applyFill="1" applyBorder="1" applyAlignment="1">
      <alignment horizontal="center" vertical="center" readingOrder="1"/>
    </xf>
    <xf numFmtId="0" fontId="5" fillId="2" borderId="13" xfId="0" applyFont="1" applyFill="1" applyBorder="1" applyAlignment="1">
      <alignment horizontal="center" vertical="center" readingOrder="1"/>
    </xf>
    <xf numFmtId="170" fontId="34" fillId="0" borderId="13" xfId="0" applyNumberFormat="1" applyFont="1" applyBorder="1" applyAlignment="1">
      <alignment horizontal="left" vertical="top" textRotation="180"/>
    </xf>
    <xf numFmtId="0" fontId="37" fillId="0" borderId="13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54" fillId="2" borderId="11" xfId="0" applyNumberFormat="1" applyFont="1" applyFill="1" applyBorder="1" applyAlignment="1">
      <alignment horizontal="center" vertical="center"/>
    </xf>
    <xf numFmtId="0" fontId="25" fillId="8" borderId="3" xfId="0" applyFont="1" applyFill="1" applyBorder="1" applyAlignment="1">
      <alignment horizontal="center" vertical="center"/>
    </xf>
    <xf numFmtId="165" fontId="27" fillId="0" borderId="10" xfId="1" applyNumberFormat="1" applyFont="1" applyFill="1" applyBorder="1" applyAlignment="1">
      <alignment horizontal="center" vertical="center"/>
    </xf>
    <xf numFmtId="41" fontId="27" fillId="0" borderId="11" xfId="1" applyNumberFormat="1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readingOrder="1"/>
    </xf>
    <xf numFmtId="0" fontId="42" fillId="8" borderId="0" xfId="0" applyFont="1" applyFill="1" applyBorder="1" applyAlignment="1">
      <alignment horizontal="center" vertical="center"/>
    </xf>
    <xf numFmtId="41" fontId="23" fillId="0" borderId="13" xfId="1" applyNumberFormat="1" applyFont="1" applyFill="1" applyBorder="1" applyAlignment="1">
      <alignment horizontal="center" vertical="center" textRotation="180" shrinkToFit="1"/>
    </xf>
    <xf numFmtId="41" fontId="30" fillId="0" borderId="13" xfId="1" applyNumberFormat="1" applyFont="1" applyFill="1" applyBorder="1" applyAlignment="1">
      <alignment horizontal="center" vertical="center"/>
    </xf>
    <xf numFmtId="41" fontId="27" fillId="0" borderId="13" xfId="1" applyNumberFormat="1" applyFont="1" applyFill="1" applyBorder="1" applyAlignment="1">
      <alignment horizontal="center" vertical="center"/>
    </xf>
    <xf numFmtId="49" fontId="31" fillId="9" borderId="3" xfId="0" applyNumberFormat="1" applyFont="1" applyFill="1" applyBorder="1" applyAlignment="1">
      <alignment horizontal="center" vertical="top" wrapText="1"/>
    </xf>
    <xf numFmtId="0" fontId="32" fillId="9" borderId="0" xfId="0" applyNumberFormat="1" applyFont="1" applyFill="1" applyBorder="1" applyAlignment="1">
      <alignment horizontal="center" vertical="top" wrapText="1"/>
    </xf>
    <xf numFmtId="169" fontId="32" fillId="14" borderId="0" xfId="0" applyNumberFormat="1" applyFont="1" applyFill="1" applyBorder="1" applyAlignment="1">
      <alignment horizontal="center" vertical="top" wrapText="1"/>
    </xf>
    <xf numFmtId="49" fontId="32" fillId="9" borderId="3" xfId="0" applyNumberFormat="1" applyFont="1" applyFill="1" applyBorder="1" applyAlignment="1">
      <alignment horizontal="center" vertical="top" wrapText="1"/>
    </xf>
    <xf numFmtId="0" fontId="20" fillId="9" borderId="0" xfId="0" applyNumberFormat="1" applyFont="1" applyFill="1" applyBorder="1" applyAlignment="1">
      <alignment horizontal="center" vertical="top" wrapText="1"/>
    </xf>
    <xf numFmtId="0" fontId="24" fillId="9" borderId="4" xfId="0" applyNumberFormat="1" applyFont="1" applyFill="1" applyBorder="1" applyAlignment="1">
      <alignment horizontal="center" vertical="top" wrapText="1"/>
    </xf>
    <xf numFmtId="49" fontId="33" fillId="0" borderId="0" xfId="0" applyNumberFormat="1" applyFont="1" applyBorder="1" applyAlignment="1">
      <alignment horizontal="center" vertical="top" wrapText="1"/>
    </xf>
    <xf numFmtId="49" fontId="20" fillId="0" borderId="0" xfId="0" applyNumberFormat="1" applyFont="1" applyBorder="1" applyAlignment="1">
      <alignment horizontal="center" vertical="top" wrapText="1"/>
    </xf>
    <xf numFmtId="49" fontId="21" fillId="0" borderId="0" xfId="0" applyNumberFormat="1" applyFont="1" applyBorder="1" applyAlignment="1">
      <alignment horizontal="center" vertical="top" wrapText="1"/>
    </xf>
    <xf numFmtId="49" fontId="24" fillId="9" borderId="0" xfId="0" applyNumberFormat="1" applyFont="1" applyFill="1" applyBorder="1" applyAlignment="1">
      <alignment horizontal="center" vertical="top"/>
    </xf>
    <xf numFmtId="49" fontId="24" fillId="9" borderId="0" xfId="0" applyNumberFormat="1" applyFont="1" applyFill="1" applyBorder="1" applyAlignment="1">
      <alignment horizontal="center" vertical="top" wrapText="1"/>
    </xf>
    <xf numFmtId="49" fontId="24" fillId="9" borderId="4" xfId="0" applyNumberFormat="1" applyFont="1" applyFill="1" applyBorder="1" applyAlignment="1">
      <alignment horizontal="center" vertical="top" wrapText="1"/>
    </xf>
    <xf numFmtId="166" fontId="5" fillId="2" borderId="31" xfId="0" applyNumberFormat="1" applyFont="1" applyFill="1" applyBorder="1" applyAlignment="1">
      <alignment horizontal="center" vertical="center" readingOrder="1"/>
    </xf>
    <xf numFmtId="170" fontId="34" fillId="0" borderId="31" xfId="0" applyNumberFormat="1" applyFont="1" applyBorder="1" applyAlignment="1">
      <alignment horizontal="left" vertical="top" textRotation="180"/>
    </xf>
    <xf numFmtId="0" fontId="59" fillId="9" borderId="30" xfId="0" applyNumberFormat="1" applyFont="1" applyFill="1" applyBorder="1" applyAlignment="1">
      <alignment horizontal="center" vertical="top" wrapText="1"/>
    </xf>
    <xf numFmtId="49" fontId="5" fillId="9" borderId="0" xfId="0" applyNumberFormat="1" applyFont="1" applyFill="1" applyBorder="1" applyAlignment="1">
      <alignment horizontal="center" vertical="top" wrapText="1"/>
    </xf>
    <xf numFmtId="49" fontId="32" fillId="9" borderId="6" xfId="0" applyNumberFormat="1" applyFont="1" applyFill="1" applyBorder="1" applyAlignment="1">
      <alignment horizontal="center" vertical="top" wrapText="1"/>
    </xf>
    <xf numFmtId="0" fontId="55" fillId="0" borderId="0" xfId="0" applyFont="1" applyFill="1" applyBorder="1" applyAlignment="1">
      <alignment horizontal="center" vertical="top"/>
    </xf>
    <xf numFmtId="0" fontId="58" fillId="0" borderId="0" xfId="0" applyFont="1" applyFill="1" applyBorder="1" applyAlignment="1">
      <alignment horizontal="center" vertical="top" wrapText="1"/>
    </xf>
    <xf numFmtId="0" fontId="55" fillId="0" borderId="0" xfId="0" applyFont="1" applyFill="1" applyBorder="1" applyAlignment="1">
      <alignment horizontal="center" vertical="top" wrapText="1"/>
    </xf>
    <xf numFmtId="0" fontId="3" fillId="0" borderId="0" xfId="0" applyFont="1" applyFill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53" fillId="0" borderId="0" xfId="0" applyFont="1" applyFill="1" applyBorder="1" applyAlignment="1">
      <alignment horizontal="center" vertical="center" readingOrder="1"/>
    </xf>
    <xf numFmtId="0" fontId="43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readingOrder="1"/>
    </xf>
    <xf numFmtId="0" fontId="34" fillId="0" borderId="0" xfId="0" applyFont="1" applyFill="1" applyBorder="1" applyAlignment="1">
      <alignment horizontal="center" vertical="center" readingOrder="1"/>
    </xf>
    <xf numFmtId="0" fontId="34" fillId="0" borderId="0" xfId="0" applyFont="1" applyFill="1" applyBorder="1" applyAlignment="1">
      <alignment horizontal="left" vertical="center" readingOrder="1"/>
    </xf>
    <xf numFmtId="170" fontId="35" fillId="0" borderId="0" xfId="0" applyNumberFormat="1" applyFont="1" applyFill="1" applyBorder="1" applyAlignment="1">
      <alignment horizontal="center" vertical="top" wrapText="1"/>
    </xf>
    <xf numFmtId="170" fontId="35" fillId="0" borderId="0" xfId="0" applyNumberFormat="1" applyFont="1" applyFill="1" applyBorder="1" applyAlignment="1">
      <alignment horizontal="center" vertical="top" wrapText="1" shrinkToFit="1"/>
    </xf>
    <xf numFmtId="170" fontId="23" fillId="0" borderId="0" xfId="0" applyNumberFormat="1" applyFont="1" applyFill="1" applyBorder="1" applyAlignment="1">
      <alignment horizontal="center" vertical="top" wrapText="1" shrinkToFit="1"/>
    </xf>
    <xf numFmtId="170" fontId="35" fillId="0" borderId="0" xfId="0" applyNumberFormat="1" applyFont="1" applyFill="1" applyBorder="1" applyAlignment="1">
      <alignment horizontal="center" vertical="center" wrapText="1" shrinkToFit="1"/>
    </xf>
    <xf numFmtId="0" fontId="57" fillId="2" borderId="13" xfId="0" applyFont="1" applyFill="1" applyBorder="1" applyAlignment="1">
      <alignment horizontal="center" vertical="center" readingOrder="1"/>
    </xf>
    <xf numFmtId="41" fontId="56" fillId="0" borderId="13" xfId="1" applyNumberFormat="1" applyFont="1" applyFill="1" applyBorder="1" applyAlignment="1">
      <alignment horizontal="center" vertical="center"/>
    </xf>
    <xf numFmtId="170" fontId="40" fillId="0" borderId="0" xfId="1" applyNumberFormat="1" applyFont="1" applyFill="1" applyBorder="1" applyAlignment="1">
      <alignment horizontal="center" vertical="center" textRotation="180" shrinkToFit="1"/>
    </xf>
    <xf numFmtId="41" fontId="40" fillId="0" borderId="0" xfId="1" applyNumberFormat="1" applyFont="1" applyFill="1" applyBorder="1" applyAlignment="1">
      <alignment horizontal="center" vertical="center" textRotation="180" shrinkToFit="1"/>
    </xf>
    <xf numFmtId="41" fontId="30" fillId="0" borderId="11" xfId="1" applyNumberFormat="1" applyFont="1" applyFill="1" applyBorder="1" applyAlignment="1">
      <alignment horizontal="center" vertical="center"/>
    </xf>
    <xf numFmtId="41" fontId="23" fillId="0" borderId="31" xfId="1" applyNumberFormat="1" applyFont="1" applyFill="1" applyBorder="1" applyAlignment="1">
      <alignment horizontal="center" vertical="center" textRotation="180" shrinkToFit="1"/>
    </xf>
    <xf numFmtId="170" fontId="34" fillId="0" borderId="8" xfId="0" applyNumberFormat="1" applyFont="1" applyBorder="1" applyAlignment="1">
      <alignment horizontal="left" vertical="top" textRotation="180"/>
    </xf>
    <xf numFmtId="41" fontId="23" fillId="0" borderId="0" xfId="1" applyNumberFormat="1" applyFont="1" applyFill="1" applyBorder="1" applyAlignment="1">
      <alignment horizontal="center" vertical="center" textRotation="180" shrinkToFit="1"/>
    </xf>
    <xf numFmtId="41" fontId="28" fillId="0" borderId="0" xfId="1" applyNumberFormat="1" applyFont="1" applyFill="1" applyBorder="1" applyAlignment="1">
      <alignment horizontal="left" vertical="center" textRotation="180"/>
    </xf>
    <xf numFmtId="170" fontId="34" fillId="0" borderId="0" xfId="0" applyNumberFormat="1" applyFont="1" applyFill="1" applyBorder="1" applyAlignment="1">
      <alignment horizontal="left" vertical="top" textRotation="180"/>
    </xf>
    <xf numFmtId="165" fontId="5" fillId="2" borderId="32" xfId="1" applyNumberFormat="1" applyFont="1" applyFill="1" applyBorder="1" applyAlignment="1">
      <alignment horizontal="center" vertical="center"/>
    </xf>
    <xf numFmtId="168" fontId="22" fillId="2" borderId="31" xfId="1" applyNumberFormat="1" applyFont="1" applyFill="1" applyBorder="1" applyAlignment="1">
      <alignment horizontal="center" vertical="center"/>
    </xf>
    <xf numFmtId="169" fontId="5" fillId="10" borderId="31" xfId="1" applyNumberFormat="1" applyFont="1" applyFill="1" applyBorder="1" applyAlignment="1">
      <alignment horizontal="center" vertical="center" readingOrder="1"/>
    </xf>
    <xf numFmtId="169" fontId="22" fillId="10" borderId="31" xfId="1" applyNumberFormat="1" applyFont="1" applyFill="1" applyBorder="1" applyAlignment="1">
      <alignment horizontal="center" vertical="center"/>
    </xf>
    <xf numFmtId="167" fontId="5" fillId="13" borderId="31" xfId="1" applyNumberFormat="1" applyFont="1" applyFill="1" applyBorder="1" applyAlignment="1">
      <alignment horizontal="center" vertical="center" readingOrder="1"/>
    </xf>
    <xf numFmtId="165" fontId="53" fillId="2" borderId="32" xfId="1" applyNumberFormat="1" applyFont="1" applyFill="1" applyBorder="1" applyAlignment="1">
      <alignment horizontal="center" vertical="center" readingOrder="1"/>
    </xf>
    <xf numFmtId="41" fontId="43" fillId="2" borderId="31" xfId="1" applyNumberFormat="1" applyFont="1" applyFill="1" applyBorder="1" applyAlignment="1">
      <alignment horizontal="center" vertical="center"/>
    </xf>
    <xf numFmtId="165" fontId="5" fillId="2" borderId="31" xfId="1" applyNumberFormat="1" applyFont="1" applyFill="1" applyBorder="1" applyAlignment="1">
      <alignment horizontal="center" vertical="center" readingOrder="1"/>
    </xf>
    <xf numFmtId="41" fontId="34" fillId="2" borderId="31" xfId="1" applyNumberFormat="1" applyFont="1" applyFill="1" applyBorder="1" applyAlignment="1">
      <alignment horizontal="center" vertical="center" readingOrder="1"/>
    </xf>
    <xf numFmtId="49" fontId="46" fillId="0" borderId="29" xfId="0" applyNumberFormat="1" applyFont="1" applyBorder="1" applyAlignment="1">
      <alignment horizontal="center" vertical="top" textRotation="90" wrapText="1"/>
    </xf>
    <xf numFmtId="49" fontId="46" fillId="0" borderId="29" xfId="0" applyNumberFormat="1" applyFont="1" applyBorder="1" applyAlignment="1">
      <alignment horizontal="center" vertical="top" textRotation="90" wrapText="1" readingOrder="2"/>
    </xf>
    <xf numFmtId="0" fontId="55" fillId="2" borderId="13" xfId="1" applyNumberFormat="1" applyFont="1" applyFill="1" applyBorder="1" applyAlignment="1">
      <alignment horizontal="center" vertical="center"/>
    </xf>
    <xf numFmtId="0" fontId="60" fillId="2" borderId="11" xfId="1" applyNumberFormat="1" applyFont="1" applyFill="1" applyBorder="1" applyAlignment="1">
      <alignment horizontal="center" vertical="center"/>
    </xf>
    <xf numFmtId="41" fontId="57" fillId="2" borderId="13" xfId="1" applyNumberFormat="1" applyFont="1" applyFill="1" applyBorder="1" applyAlignment="1">
      <alignment horizontal="center" vertical="center" readingOrder="1"/>
    </xf>
    <xf numFmtId="41" fontId="5" fillId="2" borderId="13" xfId="1" applyNumberFormat="1" applyFont="1" applyFill="1" applyBorder="1" applyAlignment="1">
      <alignment horizontal="center" vertical="center" readingOrder="1"/>
    </xf>
    <xf numFmtId="41" fontId="5" fillId="2" borderId="11" xfId="1" applyNumberFormat="1" applyFont="1" applyFill="1" applyBorder="1" applyAlignment="1">
      <alignment horizontal="center" vertical="center" readingOrder="1"/>
    </xf>
    <xf numFmtId="165" fontId="5" fillId="2" borderId="10" xfId="1" applyNumberFormat="1" applyFont="1" applyFill="1" applyBorder="1" applyAlignment="1">
      <alignment horizontal="center" vertical="center"/>
    </xf>
    <xf numFmtId="168" fontId="22" fillId="2" borderId="13" xfId="1" applyNumberFormat="1" applyFont="1" applyFill="1" applyBorder="1" applyAlignment="1">
      <alignment horizontal="center" vertical="center"/>
    </xf>
    <xf numFmtId="169" fontId="5" fillId="10" borderId="13" xfId="1" applyNumberFormat="1" applyFont="1" applyFill="1" applyBorder="1" applyAlignment="1">
      <alignment horizontal="center" vertical="center" readingOrder="1"/>
    </xf>
    <xf numFmtId="169" fontId="22" fillId="10" borderId="13" xfId="1" applyNumberFormat="1" applyFont="1" applyFill="1" applyBorder="1" applyAlignment="1">
      <alignment horizontal="center" vertical="center"/>
    </xf>
    <xf numFmtId="167" fontId="5" fillId="13" borderId="13" xfId="1" applyNumberFormat="1" applyFont="1" applyFill="1" applyBorder="1" applyAlignment="1">
      <alignment horizontal="center" vertical="center" readingOrder="1"/>
    </xf>
    <xf numFmtId="165" fontId="53" fillId="2" borderId="10" xfId="1" applyNumberFormat="1" applyFont="1" applyFill="1" applyBorder="1" applyAlignment="1">
      <alignment horizontal="center" vertical="center" readingOrder="1"/>
    </xf>
    <xf numFmtId="41" fontId="43" fillId="2" borderId="13" xfId="1" applyNumberFormat="1" applyFont="1" applyFill="1" applyBorder="1" applyAlignment="1">
      <alignment horizontal="center" vertical="center"/>
    </xf>
    <xf numFmtId="165" fontId="5" fillId="2" borderId="13" xfId="1" applyNumberFormat="1" applyFont="1" applyFill="1" applyBorder="1" applyAlignment="1">
      <alignment horizontal="center" vertical="center" readingOrder="1"/>
    </xf>
    <xf numFmtId="41" fontId="34" fillId="2" borderId="13" xfId="1" applyNumberFormat="1" applyFont="1" applyFill="1" applyBorder="1" applyAlignment="1">
      <alignment horizontal="center" vertical="center" readingOrder="1"/>
    </xf>
    <xf numFmtId="0" fontId="55" fillId="2" borderId="31" xfId="1" applyNumberFormat="1" applyFont="1" applyFill="1" applyBorder="1" applyAlignment="1">
      <alignment horizontal="center" vertical="center"/>
    </xf>
    <xf numFmtId="0" fontId="0" fillId="0" borderId="34" xfId="0" applyFont="1" applyBorder="1" applyAlignment="1">
      <alignment horizontal="center" vertical="center"/>
    </xf>
    <xf numFmtId="0" fontId="0" fillId="0" borderId="34" xfId="0" applyNumberFormat="1" applyFont="1" applyBorder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0" fontId="0" fillId="0" borderId="35" xfId="0" applyNumberFormat="1" applyFont="1" applyBorder="1" applyAlignment="1">
      <alignment horizontal="center" vertical="center"/>
    </xf>
    <xf numFmtId="169" fontId="16" fillId="0" borderId="0" xfId="0" applyNumberFormat="1" applyFont="1" applyBorder="1" applyAlignment="1">
      <alignment horizontal="center" vertical="center"/>
    </xf>
    <xf numFmtId="0" fontId="36" fillId="0" borderId="0" xfId="0" applyNumberFormat="1" applyFont="1" applyBorder="1" applyAlignment="1">
      <alignment horizontal="center" vertical="center"/>
    </xf>
    <xf numFmtId="41" fontId="57" fillId="2" borderId="36" xfId="1" applyNumberFormat="1" applyFont="1" applyFill="1" applyBorder="1" applyAlignment="1">
      <alignment horizontal="center" vertical="center" readingOrder="1"/>
    </xf>
    <xf numFmtId="0" fontId="5" fillId="2" borderId="8" xfId="0" applyFont="1" applyFill="1" applyBorder="1" applyAlignment="1">
      <alignment horizontal="center" vertical="center" readingOrder="1"/>
    </xf>
    <xf numFmtId="0" fontId="43" fillId="2" borderId="8" xfId="0" applyFont="1" applyFill="1" applyBorder="1" applyAlignment="1">
      <alignment horizontal="center" vertical="center"/>
    </xf>
    <xf numFmtId="0" fontId="34" fillId="2" borderId="8" xfId="0" applyFont="1" applyFill="1" applyBorder="1" applyAlignment="1">
      <alignment horizontal="center" vertical="center" readingOrder="1"/>
    </xf>
    <xf numFmtId="0" fontId="34" fillId="2" borderId="7" xfId="0" applyFont="1" applyFill="1" applyBorder="1" applyAlignment="1">
      <alignment horizontal="left" vertical="center" readingOrder="1"/>
    </xf>
    <xf numFmtId="0" fontId="54" fillId="2" borderId="37" xfId="0" applyNumberFormat="1" applyFont="1" applyFill="1" applyBorder="1" applyAlignment="1">
      <alignment horizontal="center" vertical="center"/>
    </xf>
    <xf numFmtId="0" fontId="57" fillId="2" borderId="36" xfId="0" applyFont="1" applyFill="1" applyBorder="1" applyAlignment="1">
      <alignment horizontal="center" vertical="center" readingOrder="1"/>
    </xf>
    <xf numFmtId="0" fontId="5" fillId="2" borderId="36" xfId="0" applyFont="1" applyFill="1" applyBorder="1" applyAlignment="1">
      <alignment horizontal="center" vertical="center" readingOrder="1"/>
    </xf>
    <xf numFmtId="0" fontId="5" fillId="2" borderId="37" xfId="0" applyFont="1" applyFill="1" applyBorder="1" applyAlignment="1">
      <alignment horizontal="center" vertical="center" readingOrder="1"/>
    </xf>
    <xf numFmtId="165" fontId="5" fillId="2" borderId="38" xfId="0" applyNumberFormat="1" applyFont="1" applyFill="1" applyBorder="1" applyAlignment="1">
      <alignment horizontal="center" vertical="center"/>
    </xf>
    <xf numFmtId="166" fontId="5" fillId="2" borderId="36" xfId="0" applyNumberFormat="1" applyFont="1" applyFill="1" applyBorder="1" applyAlignment="1">
      <alignment horizontal="center" vertical="center" readingOrder="1"/>
    </xf>
    <xf numFmtId="168" fontId="22" fillId="2" borderId="36" xfId="0" applyNumberFormat="1" applyFont="1" applyFill="1" applyBorder="1" applyAlignment="1">
      <alignment horizontal="center" vertical="center"/>
    </xf>
    <xf numFmtId="169" fontId="5" fillId="10" borderId="36" xfId="0" applyNumberFormat="1" applyFont="1" applyFill="1" applyBorder="1" applyAlignment="1">
      <alignment horizontal="center" vertical="center" readingOrder="1"/>
    </xf>
    <xf numFmtId="169" fontId="22" fillId="10" borderId="36" xfId="0" applyNumberFormat="1" applyFont="1" applyFill="1" applyBorder="1" applyAlignment="1">
      <alignment horizontal="center" vertical="center"/>
    </xf>
    <xf numFmtId="167" fontId="5" fillId="13" borderId="36" xfId="0" applyNumberFormat="1" applyFont="1" applyFill="1" applyBorder="1" applyAlignment="1">
      <alignment horizontal="center" vertical="center" readingOrder="1"/>
    </xf>
    <xf numFmtId="41" fontId="30" fillId="0" borderId="40" xfId="1" applyNumberFormat="1" applyFont="1" applyFill="1" applyBorder="1" applyAlignment="1">
      <alignment horizontal="center" vertical="center"/>
    </xf>
    <xf numFmtId="170" fontId="23" fillId="0" borderId="0" xfId="0" applyNumberFormat="1" applyFont="1" applyFill="1" applyBorder="1" applyAlignment="1">
      <alignment horizontal="center" vertical="center" wrapText="1" shrinkToFit="1"/>
    </xf>
    <xf numFmtId="41" fontId="56" fillId="0" borderId="0" xfId="1" applyNumberFormat="1" applyFont="1" applyFill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41" fontId="30" fillId="0" borderId="0" xfId="1" applyNumberFormat="1" applyFont="1" applyFill="1" applyBorder="1" applyAlignment="1">
      <alignment horizontal="center" vertical="center"/>
    </xf>
    <xf numFmtId="41" fontId="27" fillId="0" borderId="8" xfId="1" applyNumberFormat="1" applyFont="1" applyFill="1" applyBorder="1" applyAlignment="1">
      <alignment horizontal="center" vertical="center"/>
    </xf>
    <xf numFmtId="41" fontId="27" fillId="0" borderId="7" xfId="1" applyNumberFormat="1" applyFont="1" applyFill="1" applyBorder="1" applyAlignment="1">
      <alignment horizontal="center" vertical="center"/>
    </xf>
    <xf numFmtId="41" fontId="27" fillId="0" borderId="6" xfId="1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69" fontId="30" fillId="0" borderId="6" xfId="1" applyNumberFormat="1" applyFont="1" applyFill="1" applyBorder="1" applyAlignment="1">
      <alignment horizontal="center" vertical="center"/>
    </xf>
    <xf numFmtId="165" fontId="47" fillId="0" borderId="7" xfId="1" applyNumberFormat="1" applyFont="1" applyFill="1" applyBorder="1" applyAlignment="1">
      <alignment horizontal="right" vertical="center"/>
    </xf>
    <xf numFmtId="165" fontId="47" fillId="0" borderId="8" xfId="1" applyNumberFormat="1" applyFont="1" applyFill="1" applyBorder="1" applyAlignment="1">
      <alignment horizontal="right" vertical="center"/>
    </xf>
    <xf numFmtId="165" fontId="47" fillId="0" borderId="0" xfId="1" applyNumberFormat="1" applyFont="1" applyFill="1" applyBorder="1" applyAlignment="1">
      <alignment horizontal="right" vertical="center"/>
    </xf>
    <xf numFmtId="165" fontId="47" fillId="0" borderId="3" xfId="1" applyNumberFormat="1" applyFont="1" applyFill="1" applyBorder="1" applyAlignment="1">
      <alignment horizontal="right" vertical="center"/>
    </xf>
    <xf numFmtId="41" fontId="28" fillId="0" borderId="4" xfId="1" applyNumberFormat="1" applyFont="1" applyFill="1" applyBorder="1" applyAlignment="1">
      <alignment horizontal="center" vertical="center"/>
    </xf>
    <xf numFmtId="41" fontId="28" fillId="0" borderId="41" xfId="1" applyNumberFormat="1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55" fillId="2" borderId="33" xfId="1" applyNumberFormat="1" applyFont="1" applyFill="1" applyBorder="1" applyAlignment="1">
      <alignment horizontal="center" vertical="center"/>
    </xf>
    <xf numFmtId="165" fontId="53" fillId="0" borderId="0" xfId="1" applyNumberFormat="1" applyFont="1" applyFill="1" applyBorder="1" applyAlignment="1">
      <alignment horizontal="center" vertical="center" readingOrder="1"/>
    </xf>
    <xf numFmtId="41" fontId="43" fillId="0" borderId="0" xfId="1" applyNumberFormat="1" applyFont="1" applyFill="1" applyBorder="1" applyAlignment="1">
      <alignment horizontal="center" vertical="center"/>
    </xf>
    <xf numFmtId="165" fontId="5" fillId="0" borderId="0" xfId="1" applyNumberFormat="1" applyFont="1" applyFill="1" applyBorder="1" applyAlignment="1">
      <alignment horizontal="center" vertical="center" readingOrder="1"/>
    </xf>
    <xf numFmtId="41" fontId="34" fillId="0" borderId="0" xfId="1" applyNumberFormat="1" applyFont="1" applyFill="1" applyBorder="1" applyAlignment="1">
      <alignment horizontal="center" vertical="center" readingOrder="1"/>
    </xf>
    <xf numFmtId="41" fontId="34" fillId="0" borderId="0" xfId="1" applyNumberFormat="1" applyFont="1" applyFill="1" applyBorder="1" applyAlignment="1">
      <alignment horizontal="left" vertical="center" readingOrder="1"/>
    </xf>
    <xf numFmtId="170" fontId="35" fillId="0" borderId="0" xfId="1" applyNumberFormat="1" applyFont="1" applyFill="1" applyBorder="1" applyAlignment="1">
      <alignment horizontal="center" vertical="top" wrapText="1"/>
    </xf>
    <xf numFmtId="170" fontId="35" fillId="0" borderId="0" xfId="1" applyNumberFormat="1" applyFont="1" applyFill="1" applyBorder="1" applyAlignment="1">
      <alignment horizontal="center" vertical="top" wrapText="1" shrinkToFit="1"/>
    </xf>
    <xf numFmtId="170" fontId="35" fillId="0" borderId="0" xfId="1" applyNumberFormat="1" applyFont="1" applyFill="1" applyBorder="1" applyAlignment="1">
      <alignment horizontal="center" vertical="center" wrapText="1" shrinkToFit="1"/>
    </xf>
    <xf numFmtId="170" fontId="23" fillId="0" borderId="0" xfId="1" applyNumberFormat="1" applyFont="1" applyFill="1" applyBorder="1" applyAlignment="1">
      <alignment horizontal="center" vertical="top" wrapText="1" shrinkToFit="1"/>
    </xf>
    <xf numFmtId="0" fontId="61" fillId="16" borderId="34" xfId="0" applyFont="1" applyFill="1" applyBorder="1" applyAlignment="1">
      <alignment horizontal="center" vertical="top"/>
    </xf>
    <xf numFmtId="0" fontId="41" fillId="0" borderId="0" xfId="0" applyNumberFormat="1" applyFont="1" applyAlignment="1">
      <alignment horizontal="center" vertical="center"/>
    </xf>
    <xf numFmtId="4" fontId="41" fillId="0" borderId="0" xfId="0" applyNumberFormat="1" applyFont="1" applyAlignment="1">
      <alignment horizontal="center" vertical="center"/>
    </xf>
    <xf numFmtId="9" fontId="0" fillId="0" borderId="0" xfId="0" applyNumberFormat="1"/>
    <xf numFmtId="49" fontId="7" fillId="0" borderId="29" xfId="0" applyNumberFormat="1" applyFont="1" applyBorder="1" applyAlignment="1">
      <alignment horizontal="center" vertical="top" wrapText="1"/>
    </xf>
    <xf numFmtId="9" fontId="2" fillId="0" borderId="0" xfId="1" applyNumberFormat="1" applyFont="1" applyFill="1" applyBorder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2" fillId="2" borderId="31" xfId="1" applyNumberFormat="1" applyFont="1" applyFill="1" applyBorder="1" applyAlignment="1">
      <alignment horizontal="center" vertical="center"/>
    </xf>
    <xf numFmtId="0" fontId="0" fillId="0" borderId="42" xfId="0" applyFont="1" applyBorder="1" applyAlignment="1">
      <alignment horizontal="center" vertical="center"/>
    </xf>
    <xf numFmtId="0" fontId="2" fillId="0" borderId="35" xfId="0" applyNumberFormat="1" applyFont="1" applyFill="1" applyBorder="1" applyAlignment="1">
      <alignment horizontal="center" vertical="center"/>
    </xf>
    <xf numFmtId="2" fontId="45" fillId="0" borderId="0" xfId="3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41" fontId="57" fillId="17" borderId="31" xfId="1" applyNumberFormat="1" applyFont="1" applyFill="1" applyBorder="1" applyAlignment="1">
      <alignment horizontal="center" vertical="center" readingOrder="1"/>
    </xf>
    <xf numFmtId="41" fontId="5" fillId="17" borderId="31" xfId="1" applyNumberFormat="1" applyFont="1" applyFill="1" applyBorder="1" applyAlignment="1">
      <alignment horizontal="center" vertical="center" readingOrder="1"/>
    </xf>
    <xf numFmtId="41" fontId="5" fillId="17" borderId="5" xfId="1" applyNumberFormat="1" applyFont="1" applyFill="1" applyBorder="1" applyAlignment="1">
      <alignment horizontal="center" vertical="center" readingOrder="1"/>
    </xf>
    <xf numFmtId="41" fontId="57" fillId="17" borderId="13" xfId="1" applyNumberFormat="1" applyFont="1" applyFill="1" applyBorder="1" applyAlignment="1">
      <alignment horizontal="center" vertical="center" readingOrder="1"/>
    </xf>
    <xf numFmtId="41" fontId="5" fillId="17" borderId="13" xfId="1" applyNumberFormat="1" applyFont="1" applyFill="1" applyBorder="1" applyAlignment="1">
      <alignment horizontal="center" vertical="center" readingOrder="1"/>
    </xf>
    <xf numFmtId="41" fontId="5" fillId="17" borderId="11" xfId="1" applyNumberFormat="1" applyFont="1" applyFill="1" applyBorder="1" applyAlignment="1">
      <alignment horizontal="center" vertical="center" readingOrder="1"/>
    </xf>
    <xf numFmtId="0" fontId="0" fillId="15" borderId="0" xfId="0" applyFill="1" applyAlignment="1">
      <alignment horizontal="center" vertical="center"/>
    </xf>
    <xf numFmtId="2" fontId="45" fillId="0" borderId="43" xfId="3" applyNumberFormat="1" applyFont="1" applyFill="1" applyBorder="1" applyAlignment="1">
      <alignment horizontal="center" vertical="center" wrapText="1"/>
    </xf>
    <xf numFmtId="166" fontId="5" fillId="2" borderId="31" xfId="1" applyNumberFormat="1" applyFont="1" applyFill="1" applyBorder="1" applyAlignment="1">
      <alignment horizontal="center" vertical="center" readingOrder="1"/>
    </xf>
    <xf numFmtId="0" fontId="34" fillId="2" borderId="11" xfId="0" applyFont="1" applyFill="1" applyBorder="1" applyAlignment="1">
      <alignment horizontal="center" vertical="center" readingOrder="1"/>
    </xf>
    <xf numFmtId="0" fontId="62" fillId="2" borderId="5" xfId="1" applyNumberFormat="1" applyFont="1" applyFill="1" applyBorder="1" applyAlignment="1">
      <alignment horizontal="center" vertical="center"/>
    </xf>
    <xf numFmtId="0" fontId="62" fillId="2" borderId="11" xfId="1" applyNumberFormat="1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8" borderId="0" xfId="0" applyNumberFormat="1" applyFill="1" applyAlignment="1">
      <alignment horizontal="center" vertical="center"/>
    </xf>
    <xf numFmtId="0" fontId="52" fillId="0" borderId="0" xfId="3" applyFont="1" applyFill="1" applyAlignment="1">
      <alignment horizontal="center" vertical="center" wrapText="1"/>
    </xf>
    <xf numFmtId="0" fontId="45" fillId="0" borderId="0" xfId="3" applyFont="1" applyFill="1" applyAlignment="1">
      <alignment horizontal="right" vertical="center"/>
    </xf>
    <xf numFmtId="0" fontId="45" fillId="0" borderId="0" xfId="3" applyFont="1" applyFill="1" applyAlignment="1">
      <alignment horizontal="center" vertical="center" wrapText="1"/>
    </xf>
    <xf numFmtId="0" fontId="45" fillId="0" borderId="0" xfId="3" applyNumberFormat="1" applyFont="1" applyFill="1" applyAlignment="1">
      <alignment horizontal="center" vertical="center" wrapText="1"/>
    </xf>
    <xf numFmtId="2" fontId="45" fillId="0" borderId="0" xfId="3" applyNumberFormat="1" applyFont="1" applyFill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63" fillId="4" borderId="0" xfId="0" applyFont="1" applyFill="1" applyAlignment="1">
      <alignment horizontal="center" vertical="center" wrapText="1"/>
    </xf>
    <xf numFmtId="0" fontId="64" fillId="0" borderId="0" xfId="0" applyFont="1" applyFill="1" applyBorder="1" applyAlignment="1">
      <alignment horizontal="center" vertical="center"/>
    </xf>
    <xf numFmtId="0" fontId="64" fillId="0" borderId="0" xfId="0" applyFont="1" applyBorder="1" applyAlignment="1">
      <alignment horizontal="center" vertical="center"/>
    </xf>
    <xf numFmtId="0" fontId="63" fillId="4" borderId="0" xfId="0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19" borderId="4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169" fontId="2" fillId="0" borderId="0" xfId="1" applyNumberFormat="1" applyFont="1" applyFill="1" applyBorder="1" applyAlignment="1">
      <alignment horizontal="center" vertical="center"/>
    </xf>
    <xf numFmtId="0" fontId="0" fillId="8" borderId="0" xfId="0" applyNumberFormat="1" applyFill="1" applyBorder="1" applyAlignment="1">
      <alignment horizontal="center" vertical="center"/>
    </xf>
    <xf numFmtId="0" fontId="31" fillId="9" borderId="7" xfId="0" applyNumberFormat="1" applyFont="1" applyFill="1" applyBorder="1" applyAlignment="1">
      <alignment horizontal="center" vertical="top" shrinkToFit="1"/>
    </xf>
    <xf numFmtId="0" fontId="29" fillId="0" borderId="6" xfId="1" applyNumberFormat="1" applyFont="1" applyFill="1" applyBorder="1" applyAlignment="1">
      <alignment horizontal="center" vertical="center"/>
    </xf>
    <xf numFmtId="0" fontId="29" fillId="0" borderId="9" xfId="1" applyNumberFormat="1" applyFont="1" applyFill="1" applyBorder="1" applyAlignment="1">
      <alignment horizontal="center" vertical="center"/>
    </xf>
    <xf numFmtId="0" fontId="65" fillId="0" borderId="13" xfId="1" applyNumberFormat="1" applyFont="1" applyFill="1" applyBorder="1" applyAlignment="1">
      <alignment horizontal="left" vertical="center"/>
    </xf>
    <xf numFmtId="0" fontId="65" fillId="0" borderId="8" xfId="1" applyNumberFormat="1" applyFont="1" applyFill="1" applyBorder="1" applyAlignment="1">
      <alignment horizontal="left" vertical="center"/>
    </xf>
    <xf numFmtId="0" fontId="4" fillId="8" borderId="0" xfId="0" applyNumberFormat="1" applyFont="1" applyFill="1" applyBorder="1" applyAlignment="1">
      <alignment horizontal="center" vertical="center"/>
    </xf>
    <xf numFmtId="0" fontId="55" fillId="2" borderId="13" xfId="0" applyNumberFormat="1" applyFont="1" applyFill="1" applyBorder="1" applyAlignment="1">
      <alignment horizontal="center" vertical="center"/>
    </xf>
    <xf numFmtId="0" fontId="55" fillId="2" borderId="33" xfId="0" applyNumberFormat="1" applyFont="1" applyFill="1" applyBorder="1" applyAlignment="1">
      <alignment horizontal="center" vertical="center"/>
    </xf>
    <xf numFmtId="0" fontId="55" fillId="2" borderId="39" xfId="0" applyNumberFormat="1" applyFont="1" applyFill="1" applyBorder="1" applyAlignment="1">
      <alignment horizontal="center" vertical="center"/>
    </xf>
    <xf numFmtId="0" fontId="25" fillId="8" borderId="0" xfId="0" applyNumberFormat="1" applyFont="1" applyFill="1" applyBorder="1" applyAlignment="1">
      <alignment horizontal="center" vertical="center"/>
    </xf>
    <xf numFmtId="170" fontId="35" fillId="2" borderId="48" xfId="1" applyNumberFormat="1" applyFont="1" applyFill="1" applyBorder="1" applyAlignment="1">
      <alignment horizontal="center" vertical="top" wrapText="1"/>
    </xf>
    <xf numFmtId="170" fontId="35" fillId="13" borderId="49" xfId="1" applyNumberFormat="1" applyFont="1" applyFill="1" applyBorder="1" applyAlignment="1">
      <alignment horizontal="center" vertical="top" wrapText="1" shrinkToFit="1"/>
    </xf>
    <xf numFmtId="170" fontId="35" fillId="2" borderId="49" xfId="1" applyNumberFormat="1" applyFont="1" applyFill="1" applyBorder="1" applyAlignment="1">
      <alignment horizontal="center" vertical="top" wrapText="1" shrinkToFit="1"/>
    </xf>
    <xf numFmtId="170" fontId="35" fillId="2" borderId="49" xfId="1" applyNumberFormat="1" applyFont="1" applyFill="1" applyBorder="1" applyAlignment="1">
      <alignment horizontal="center" vertical="center" wrapText="1" shrinkToFit="1"/>
    </xf>
    <xf numFmtId="170" fontId="35" fillId="13" borderId="50" xfId="1" applyNumberFormat="1" applyFont="1" applyFill="1" applyBorder="1" applyAlignment="1">
      <alignment horizontal="center" vertical="top" wrapText="1" shrinkToFit="1"/>
    </xf>
    <xf numFmtId="170" fontId="35" fillId="2" borderId="51" xfId="1" applyNumberFormat="1" applyFont="1" applyFill="1" applyBorder="1" applyAlignment="1">
      <alignment horizontal="center" vertical="top" wrapText="1"/>
    </xf>
    <xf numFmtId="170" fontId="35" fillId="13" borderId="52" xfId="1" applyNumberFormat="1" applyFont="1" applyFill="1" applyBorder="1" applyAlignment="1">
      <alignment horizontal="center" vertical="top" wrapText="1" shrinkToFit="1"/>
    </xf>
    <xf numFmtId="170" fontId="35" fillId="2" borderId="52" xfId="1" applyNumberFormat="1" applyFont="1" applyFill="1" applyBorder="1" applyAlignment="1">
      <alignment horizontal="center" vertical="top" wrapText="1" shrinkToFit="1"/>
    </xf>
    <xf numFmtId="170" fontId="35" fillId="2" borderId="52" xfId="1" applyNumberFormat="1" applyFont="1" applyFill="1" applyBorder="1" applyAlignment="1">
      <alignment horizontal="center" vertical="center" wrapText="1" shrinkToFit="1"/>
    </xf>
    <xf numFmtId="170" fontId="35" fillId="13" borderId="53" xfId="1" applyNumberFormat="1" applyFont="1" applyFill="1" applyBorder="1" applyAlignment="1">
      <alignment horizontal="center" vertical="top" wrapText="1" shrinkToFit="1"/>
    </xf>
    <xf numFmtId="170" fontId="35" fillId="2" borderId="54" xfId="1" applyNumberFormat="1" applyFont="1" applyFill="1" applyBorder="1" applyAlignment="1">
      <alignment horizontal="center" vertical="top" wrapText="1" shrinkToFit="1"/>
    </xf>
    <xf numFmtId="170" fontId="35" fillId="7" borderId="49" xfId="1" applyNumberFormat="1" applyFont="1" applyFill="1" applyBorder="1" applyAlignment="1">
      <alignment horizontal="center" vertical="top" wrapText="1" shrinkToFit="1"/>
    </xf>
    <xf numFmtId="170" fontId="35" fillId="2" borderId="55" xfId="1" applyNumberFormat="1" applyFont="1" applyFill="1" applyBorder="1" applyAlignment="1">
      <alignment horizontal="center" vertical="top" wrapText="1" shrinkToFit="1"/>
    </xf>
    <xf numFmtId="170" fontId="35" fillId="7" borderId="52" xfId="1" applyNumberFormat="1" applyFont="1" applyFill="1" applyBorder="1" applyAlignment="1">
      <alignment horizontal="center" vertical="top" wrapText="1" shrinkToFit="1"/>
    </xf>
    <xf numFmtId="0" fontId="55" fillId="2" borderId="39" xfId="1" applyNumberFormat="1" applyFont="1" applyFill="1" applyBorder="1" applyAlignment="1">
      <alignment horizontal="center" vertical="center"/>
    </xf>
    <xf numFmtId="0" fontId="62" fillId="2" borderId="37" xfId="1" applyNumberFormat="1" applyFont="1" applyFill="1" applyBorder="1" applyAlignment="1">
      <alignment horizontal="center" vertical="center"/>
    </xf>
    <xf numFmtId="41" fontId="57" fillId="17" borderId="36" xfId="1" applyNumberFormat="1" applyFont="1" applyFill="1" applyBorder="1" applyAlignment="1">
      <alignment horizontal="center" vertical="center" readingOrder="1"/>
    </xf>
    <xf numFmtId="41" fontId="5" fillId="17" borderId="36" xfId="1" applyNumberFormat="1" applyFont="1" applyFill="1" applyBorder="1" applyAlignment="1">
      <alignment horizontal="center" vertical="center" readingOrder="1"/>
    </xf>
    <xf numFmtId="165" fontId="5" fillId="2" borderId="38" xfId="1" applyNumberFormat="1" applyFont="1" applyFill="1" applyBorder="1" applyAlignment="1">
      <alignment horizontal="center" vertical="center"/>
    </xf>
    <xf numFmtId="168" fontId="22" fillId="2" borderId="36" xfId="1" applyNumberFormat="1" applyFont="1" applyFill="1" applyBorder="1" applyAlignment="1">
      <alignment horizontal="center" vertical="center"/>
    </xf>
    <xf numFmtId="169" fontId="5" fillId="10" borderId="36" xfId="1" applyNumberFormat="1" applyFont="1" applyFill="1" applyBorder="1" applyAlignment="1">
      <alignment horizontal="center" vertical="center" readingOrder="1"/>
    </xf>
    <xf numFmtId="169" fontId="22" fillId="10" borderId="36" xfId="1" applyNumberFormat="1" applyFont="1" applyFill="1" applyBorder="1" applyAlignment="1">
      <alignment horizontal="center" vertical="center"/>
    </xf>
    <xf numFmtId="167" fontId="5" fillId="13" borderId="36" xfId="1" applyNumberFormat="1" applyFont="1" applyFill="1" applyBorder="1" applyAlignment="1">
      <alignment horizontal="center" vertical="center" readingOrder="1"/>
    </xf>
    <xf numFmtId="166" fontId="5" fillId="2" borderId="36" xfId="1" applyNumberFormat="1" applyFont="1" applyFill="1" applyBorder="1" applyAlignment="1">
      <alignment horizontal="center" vertical="center" readingOrder="1"/>
    </xf>
    <xf numFmtId="41" fontId="5" fillId="17" borderId="37" xfId="1" applyNumberFormat="1" applyFont="1" applyFill="1" applyBorder="1" applyAlignment="1">
      <alignment horizontal="center" vertical="center" readingOrder="1"/>
    </xf>
    <xf numFmtId="41" fontId="5" fillId="18" borderId="11" xfId="1" applyNumberFormat="1" applyFont="1" applyFill="1" applyBorder="1" applyAlignment="1">
      <alignment horizontal="center" vertical="center" readingOrder="1"/>
    </xf>
    <xf numFmtId="37" fontId="66" fillId="8" borderId="0" xfId="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55" fillId="18" borderId="39" xfId="0" applyNumberFormat="1" applyFont="1" applyFill="1" applyBorder="1" applyAlignment="1">
      <alignment horizontal="center" vertical="center"/>
    </xf>
    <xf numFmtId="0" fontId="62" fillId="18" borderId="37" xfId="1" applyNumberFormat="1" applyFont="1" applyFill="1" applyBorder="1" applyAlignment="1">
      <alignment horizontal="center" vertical="center"/>
    </xf>
    <xf numFmtId="41" fontId="57" fillId="18" borderId="36" xfId="1" applyNumberFormat="1" applyFont="1" applyFill="1" applyBorder="1" applyAlignment="1">
      <alignment horizontal="center" vertical="center" readingOrder="1"/>
    </xf>
    <xf numFmtId="41" fontId="5" fillId="18" borderId="36" xfId="1" applyNumberFormat="1" applyFont="1" applyFill="1" applyBorder="1" applyAlignment="1">
      <alignment horizontal="center" vertical="center" readingOrder="1"/>
    </xf>
    <xf numFmtId="41" fontId="5" fillId="18" borderId="37" xfId="1" applyNumberFormat="1" applyFont="1" applyFill="1" applyBorder="1" applyAlignment="1">
      <alignment horizontal="center" vertical="center" readingOrder="1"/>
    </xf>
    <xf numFmtId="165" fontId="5" fillId="18" borderId="38" xfId="1" applyNumberFormat="1" applyFont="1" applyFill="1" applyBorder="1" applyAlignment="1">
      <alignment horizontal="center" vertical="center"/>
    </xf>
    <xf numFmtId="166" fontId="5" fillId="18" borderId="36" xfId="0" applyNumberFormat="1" applyFont="1" applyFill="1" applyBorder="1" applyAlignment="1">
      <alignment horizontal="center" vertical="center" readingOrder="1"/>
    </xf>
    <xf numFmtId="168" fontId="22" fillId="18" borderId="36" xfId="1" applyNumberFormat="1" applyFont="1" applyFill="1" applyBorder="1" applyAlignment="1">
      <alignment horizontal="center" vertical="center"/>
    </xf>
    <xf numFmtId="169" fontId="5" fillId="20" borderId="36" xfId="1" applyNumberFormat="1" applyFont="1" applyFill="1" applyBorder="1" applyAlignment="1">
      <alignment horizontal="center" vertical="center" readingOrder="1"/>
    </xf>
    <xf numFmtId="169" fontId="22" fillId="20" borderId="36" xfId="1" applyNumberFormat="1" applyFont="1" applyFill="1" applyBorder="1" applyAlignment="1">
      <alignment horizontal="center" vertical="center"/>
    </xf>
    <xf numFmtId="167" fontId="5" fillId="21" borderId="36" xfId="1" applyNumberFormat="1" applyFont="1" applyFill="1" applyBorder="1" applyAlignment="1">
      <alignment horizontal="center" vertical="center" readingOrder="1"/>
    </xf>
    <xf numFmtId="49" fontId="5" fillId="6" borderId="45" xfId="0" applyNumberFormat="1" applyFont="1" applyFill="1" applyBorder="1" applyAlignment="1">
      <alignment horizontal="center" vertical="top" wrapText="1"/>
    </xf>
    <xf numFmtId="49" fontId="5" fillId="11" borderId="46" xfId="0" applyNumberFormat="1" applyFont="1" applyFill="1" applyBorder="1" applyAlignment="1">
      <alignment horizontal="center" vertical="top" wrapText="1"/>
    </xf>
    <xf numFmtId="49" fontId="5" fillId="11" borderId="47" xfId="0" applyNumberFormat="1" applyFont="1" applyFill="1" applyBorder="1" applyAlignment="1">
      <alignment horizontal="center" vertical="top" wrapText="1"/>
    </xf>
    <xf numFmtId="49" fontId="5" fillId="6" borderId="56" xfId="0" applyNumberFormat="1" applyFont="1" applyFill="1" applyBorder="1" applyAlignment="1">
      <alignment horizontal="center" vertical="top" wrapText="1"/>
    </xf>
    <xf numFmtId="49" fontId="5" fillId="6" borderId="46" xfId="0" applyNumberFormat="1" applyFont="1" applyFill="1" applyBorder="1" applyAlignment="1">
      <alignment horizontal="center" vertical="top" wrapText="1"/>
    </xf>
    <xf numFmtId="49" fontId="5" fillId="11" borderId="57" xfId="0" applyNumberFormat="1" applyFont="1" applyFill="1" applyBorder="1" applyAlignment="1">
      <alignment horizontal="center" vertical="top" wrapText="1"/>
    </xf>
    <xf numFmtId="49" fontId="5" fillId="5" borderId="57" xfId="0" applyNumberFormat="1" applyFont="1" applyFill="1" applyBorder="1" applyAlignment="1">
      <alignment horizontal="center" vertical="top" wrapText="1"/>
    </xf>
    <xf numFmtId="49" fontId="5" fillId="6" borderId="57" xfId="0" applyNumberFormat="1" applyFont="1" applyFill="1" applyBorder="1" applyAlignment="1">
      <alignment horizontal="center" vertical="top" wrapText="1"/>
    </xf>
    <xf numFmtId="49" fontId="3" fillId="0" borderId="0" xfId="0" applyNumberFormat="1" applyFont="1" applyBorder="1" applyAlignment="1">
      <alignment horizontal="center" vertical="top" wrapText="1"/>
    </xf>
    <xf numFmtId="166" fontId="5" fillId="2" borderId="13" xfId="1" applyNumberFormat="1" applyFont="1" applyFill="1" applyBorder="1" applyAlignment="1">
      <alignment horizontal="center" vertical="center" readingOrder="1"/>
    </xf>
    <xf numFmtId="0" fontId="62" fillId="2" borderId="36" xfId="1" applyNumberFormat="1" applyFont="1" applyFill="1" applyBorder="1" applyAlignment="1">
      <alignment horizontal="center" vertical="center"/>
    </xf>
    <xf numFmtId="41" fontId="57" fillId="17" borderId="38" xfId="1" applyNumberFormat="1" applyFont="1" applyFill="1" applyBorder="1" applyAlignment="1">
      <alignment horizontal="center" vertical="center" readingOrder="1"/>
    </xf>
    <xf numFmtId="0" fontId="55" fillId="18" borderId="39" xfId="1" applyNumberFormat="1" applyFont="1" applyFill="1" applyBorder="1" applyAlignment="1">
      <alignment horizontal="center" vertical="center"/>
    </xf>
    <xf numFmtId="0" fontId="62" fillId="18" borderId="36" xfId="1" applyNumberFormat="1" applyFont="1" applyFill="1" applyBorder="1" applyAlignment="1">
      <alignment horizontal="center" vertical="center"/>
    </xf>
    <xf numFmtId="41" fontId="57" fillId="18" borderId="38" xfId="1" applyNumberFormat="1" applyFont="1" applyFill="1" applyBorder="1" applyAlignment="1">
      <alignment horizontal="center" vertical="center" readingOrder="1"/>
    </xf>
    <xf numFmtId="166" fontId="5" fillId="18" borderId="36" xfId="1" applyNumberFormat="1" applyFont="1" applyFill="1" applyBorder="1" applyAlignment="1">
      <alignment horizontal="center" vertical="center" readingOrder="1"/>
    </xf>
    <xf numFmtId="0" fontId="62" fillId="2" borderId="13" xfId="1" applyNumberFormat="1" applyFont="1" applyFill="1" applyBorder="1" applyAlignment="1">
      <alignment horizontal="center" vertical="center"/>
    </xf>
    <xf numFmtId="41" fontId="57" fillId="17" borderId="10" xfId="1" applyNumberFormat="1" applyFont="1" applyFill="1" applyBorder="1" applyAlignment="1">
      <alignment horizontal="center" vertical="center" readingOrder="1"/>
    </xf>
    <xf numFmtId="0" fontId="36" fillId="0" borderId="0" xfId="0" applyNumberFormat="1" applyFont="1" applyAlignment="1">
      <alignment horizontal="left" vertical="center"/>
    </xf>
    <xf numFmtId="0" fontId="36" fillId="0" borderId="0" xfId="0" applyNumberFormat="1" applyFont="1" applyBorder="1" applyAlignment="1">
      <alignment horizontal="left" vertical="center"/>
    </xf>
    <xf numFmtId="20" fontId="36" fillId="0" borderId="0" xfId="0" applyNumberFormat="1" applyFont="1" applyAlignment="1">
      <alignment horizontal="left" vertical="center"/>
    </xf>
    <xf numFmtId="41" fontId="57" fillId="18" borderId="13" xfId="1" applyNumberFormat="1" applyFont="1" applyFill="1" applyBorder="1" applyAlignment="1">
      <alignment horizontal="center" vertical="center" readingOrder="1"/>
    </xf>
    <xf numFmtId="0" fontId="0" fillId="23" borderId="0" xfId="0" applyNumberFormat="1" applyFill="1" applyAlignment="1">
      <alignment horizontal="center" vertical="center"/>
    </xf>
    <xf numFmtId="0" fontId="5" fillId="22" borderId="0" xfId="0" applyFont="1" applyFill="1" applyAlignment="1">
      <alignment horizontal="center" vertical="top" textRotation="90"/>
    </xf>
    <xf numFmtId="0" fontId="16" fillId="0" borderId="0" xfId="0" applyNumberFormat="1" applyFont="1" applyBorder="1" applyAlignment="1">
      <alignment horizontal="center" vertical="center"/>
    </xf>
    <xf numFmtId="0" fontId="0" fillId="23" borderId="0" xfId="0" applyNumberFormat="1" applyFill="1" applyBorder="1" applyAlignment="1">
      <alignment horizontal="center" vertical="center"/>
    </xf>
    <xf numFmtId="49" fontId="10" fillId="0" borderId="0" xfId="0" applyNumberFormat="1" applyFont="1" applyAlignment="1">
      <alignment horizontal="center" vertical="top"/>
    </xf>
    <xf numFmtId="49" fontId="0" fillId="0" borderId="0" xfId="0" applyNumberFormat="1" applyAlignment="1">
      <alignment horizontal="left" vertical="center" wrapText="1"/>
    </xf>
    <xf numFmtId="49" fontId="45" fillId="0" borderId="28" xfId="2" applyNumberFormat="1" applyFont="1" applyFill="1" applyBorder="1" applyAlignment="1">
      <alignment horizontal="left" vertical="center" wrapText="1"/>
    </xf>
    <xf numFmtId="49" fontId="0" fillId="0" borderId="34" xfId="0" applyNumberFormat="1" applyFont="1" applyBorder="1" applyAlignment="1">
      <alignment horizontal="left" vertical="center" wrapText="1"/>
    </xf>
    <xf numFmtId="49" fontId="0" fillId="0" borderId="35" xfId="0" applyNumberFormat="1" applyFont="1" applyBorder="1" applyAlignment="1">
      <alignment horizontal="left" vertical="center" wrapText="1"/>
    </xf>
    <xf numFmtId="49" fontId="0" fillId="0" borderId="0" xfId="0" quotePrefix="1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/>
    </xf>
    <xf numFmtId="0" fontId="69" fillId="0" borderId="63" xfId="0" applyFont="1" applyBorder="1" applyAlignment="1">
      <alignment horizontal="center" vertical="center"/>
    </xf>
    <xf numFmtId="0" fontId="69" fillId="0" borderId="59" xfId="0" applyFont="1" applyBorder="1" applyAlignment="1">
      <alignment horizontal="center" vertical="center"/>
    </xf>
    <xf numFmtId="0" fontId="67" fillId="0" borderId="64" xfId="0" applyFont="1" applyBorder="1" applyAlignment="1">
      <alignment horizontal="center" vertical="center"/>
    </xf>
    <xf numFmtId="0" fontId="0" fillId="0" borderId="0" xfId="0" applyFont="1" applyAlignment="1">
      <alignment wrapText="1"/>
    </xf>
    <xf numFmtId="0" fontId="69" fillId="24" borderId="66" xfId="0" applyFont="1" applyFill="1" applyBorder="1" applyAlignment="1">
      <alignment vertical="center"/>
    </xf>
    <xf numFmtId="0" fontId="67" fillId="24" borderId="61" xfId="0" applyFont="1" applyFill="1" applyBorder="1" applyAlignment="1">
      <alignment horizontal="center" vertical="center" wrapText="1"/>
    </xf>
    <xf numFmtId="0" fontId="69" fillId="24" borderId="69" xfId="0" applyFont="1" applyFill="1" applyBorder="1" applyAlignment="1">
      <alignment horizontal="right" vertical="center"/>
    </xf>
    <xf numFmtId="0" fontId="69" fillId="24" borderId="68" xfId="0" applyFont="1" applyFill="1" applyBorder="1" applyAlignment="1">
      <alignment horizontal="right" vertical="center"/>
    </xf>
    <xf numFmtId="0" fontId="69" fillId="24" borderId="70" xfId="0" applyFont="1" applyFill="1" applyBorder="1" applyAlignment="1">
      <alignment horizontal="right" vertical="center"/>
    </xf>
    <xf numFmtId="0" fontId="69" fillId="24" borderId="71" xfId="0" applyFont="1" applyFill="1" applyBorder="1" applyAlignment="1">
      <alignment horizontal="right" vertical="center"/>
    </xf>
    <xf numFmtId="0" fontId="69" fillId="24" borderId="72" xfId="0" applyFont="1" applyFill="1" applyBorder="1" applyAlignment="1">
      <alignment horizontal="right" vertical="center"/>
    </xf>
    <xf numFmtId="0" fontId="69" fillId="24" borderId="73" xfId="0" applyFont="1" applyFill="1" applyBorder="1" applyAlignment="1">
      <alignment horizontal="right" vertical="center"/>
    </xf>
    <xf numFmtId="0" fontId="70" fillId="0" borderId="59" xfId="0" applyFont="1" applyBorder="1" applyAlignment="1">
      <alignment horizontal="center" vertical="center"/>
    </xf>
    <xf numFmtId="0" fontId="69" fillId="24" borderId="74" xfId="0" applyFont="1" applyFill="1" applyBorder="1" applyAlignment="1">
      <alignment horizontal="right" vertical="center"/>
    </xf>
    <xf numFmtId="0" fontId="69" fillId="24" borderId="75" xfId="0" applyFont="1" applyFill="1" applyBorder="1" applyAlignment="1">
      <alignment horizontal="right" vertical="center"/>
    </xf>
    <xf numFmtId="0" fontId="69" fillId="0" borderId="78" xfId="0" applyFont="1" applyBorder="1" applyAlignment="1">
      <alignment horizontal="center" vertical="center"/>
    </xf>
    <xf numFmtId="0" fontId="70" fillId="0" borderId="67" xfId="0" applyFont="1" applyBorder="1" applyAlignment="1">
      <alignment horizontal="center" vertical="center"/>
    </xf>
    <xf numFmtId="0" fontId="69" fillId="0" borderId="67" xfId="0" applyFont="1" applyBorder="1" applyAlignment="1">
      <alignment horizontal="center" vertical="center"/>
    </xf>
    <xf numFmtId="0" fontId="67" fillId="0" borderId="76" xfId="0" applyFont="1" applyBorder="1" applyAlignment="1">
      <alignment horizontal="center" vertical="center"/>
    </xf>
    <xf numFmtId="0" fontId="69" fillId="24" borderId="80" xfId="0" applyFont="1" applyFill="1" applyBorder="1" applyAlignment="1">
      <alignment horizontal="right" vertical="center"/>
    </xf>
    <xf numFmtId="0" fontId="69" fillId="24" borderId="14" xfId="0" applyFont="1" applyFill="1" applyBorder="1" applyAlignment="1">
      <alignment vertical="center"/>
    </xf>
    <xf numFmtId="0" fontId="69" fillId="24" borderId="65" xfId="0" applyFont="1" applyFill="1" applyBorder="1" applyAlignment="1">
      <alignment horizontal="right" vertical="center"/>
    </xf>
    <xf numFmtId="0" fontId="69" fillId="24" borderId="79" xfId="0" applyFont="1" applyFill="1" applyBorder="1" applyAlignment="1">
      <alignment vertical="center"/>
    </xf>
    <xf numFmtId="0" fontId="69" fillId="0" borderId="23" xfId="0" applyFont="1" applyBorder="1" applyAlignment="1">
      <alignment horizontal="right" vertical="top"/>
    </xf>
    <xf numFmtId="0" fontId="69" fillId="0" borderId="24" xfId="0" applyFont="1" applyBorder="1" applyAlignment="1">
      <alignment horizontal="right" vertical="top"/>
    </xf>
    <xf numFmtId="0" fontId="69" fillId="0" borderId="25" xfId="0" applyFont="1" applyBorder="1" applyAlignment="1">
      <alignment horizontal="right" vertical="top"/>
    </xf>
    <xf numFmtId="0" fontId="67" fillId="0" borderId="15" xfId="0" applyFont="1" applyFill="1" applyBorder="1" applyAlignment="1">
      <alignment horizontal="center" vertical="center"/>
    </xf>
    <xf numFmtId="0" fontId="68" fillId="0" borderId="15" xfId="0" applyFont="1" applyFill="1" applyBorder="1" applyAlignment="1">
      <alignment horizontal="center" vertical="center"/>
    </xf>
    <xf numFmtId="0" fontId="67" fillId="0" borderId="15" xfId="0" applyFont="1" applyFill="1" applyBorder="1" applyAlignment="1">
      <alignment horizontal="right" vertical="center" wrapText="1"/>
    </xf>
    <xf numFmtId="0" fontId="0" fillId="0" borderId="0" xfId="0" applyFill="1" applyBorder="1"/>
    <xf numFmtId="0" fontId="67" fillId="0" borderId="0" xfId="0" applyFont="1" applyFill="1" applyBorder="1" applyAlignment="1">
      <alignment horizontal="center" vertical="center"/>
    </xf>
    <xf numFmtId="0" fontId="68" fillId="0" borderId="0" xfId="0" applyFont="1" applyFill="1" applyBorder="1" applyAlignment="1">
      <alignment horizontal="center" vertical="center"/>
    </xf>
    <xf numFmtId="0" fontId="67" fillId="0" borderId="0" xfId="0" applyFont="1" applyFill="1" applyBorder="1" applyAlignment="1">
      <alignment horizontal="right" vertical="center" wrapText="1"/>
    </xf>
    <xf numFmtId="0" fontId="69" fillId="0" borderId="84" xfId="0" applyFont="1" applyBorder="1" applyAlignment="1">
      <alignment horizontal="center" vertical="center"/>
    </xf>
    <xf numFmtId="0" fontId="70" fillId="0" borderId="85" xfId="0" applyFont="1" applyBorder="1" applyAlignment="1">
      <alignment horizontal="center" vertical="center"/>
    </xf>
    <xf numFmtId="0" fontId="69" fillId="0" borderId="85" xfId="0" applyFont="1" applyBorder="1" applyAlignment="1">
      <alignment horizontal="center" vertical="center"/>
    </xf>
    <xf numFmtId="0" fontId="67" fillId="0" borderId="86" xfId="0" applyFont="1" applyBorder="1" applyAlignment="1">
      <alignment horizontal="center" vertical="center"/>
    </xf>
    <xf numFmtId="0" fontId="67" fillId="24" borderId="85" xfId="0" applyFont="1" applyFill="1" applyBorder="1" applyAlignment="1">
      <alignment horizontal="center" vertical="center" wrapText="1"/>
    </xf>
    <xf numFmtId="0" fontId="69" fillId="24" borderId="16" xfId="0" applyFont="1" applyFill="1" applyBorder="1" applyAlignment="1">
      <alignment horizontal="right" vertical="center"/>
    </xf>
    <xf numFmtId="0" fontId="69" fillId="24" borderId="72" xfId="0" applyFont="1" applyFill="1" applyBorder="1" applyAlignment="1">
      <alignment horizontal="left" vertical="center"/>
    </xf>
    <xf numFmtId="0" fontId="69" fillId="0" borderId="0" xfId="0" applyFont="1" applyAlignment="1">
      <alignment vertical="center" readingOrder="2"/>
    </xf>
    <xf numFmtId="0" fontId="69" fillId="0" borderId="0" xfId="0" applyFont="1" applyBorder="1" applyAlignment="1">
      <alignment vertical="center" readingOrder="2"/>
    </xf>
    <xf numFmtId="0" fontId="69" fillId="0" borderId="0" xfId="0" applyFont="1" applyBorder="1" applyAlignment="1">
      <alignment horizontal="right" vertical="center" readingOrder="2"/>
    </xf>
    <xf numFmtId="0" fontId="69" fillId="0" borderId="0" xfId="0" applyFont="1" applyBorder="1" applyAlignment="1">
      <alignment horizontal="center" vertical="center" readingOrder="2"/>
    </xf>
    <xf numFmtId="0" fontId="69" fillId="0" borderId="0" xfId="0" applyFont="1" applyAlignment="1">
      <alignment horizontal="right" vertical="center" readingOrder="2"/>
    </xf>
    <xf numFmtId="0" fontId="69" fillId="0" borderId="18" xfId="0" applyFont="1" applyBorder="1" applyAlignment="1">
      <alignment horizontal="center" vertical="center" readingOrder="2"/>
    </xf>
    <xf numFmtId="0" fontId="69" fillId="0" borderId="14" xfId="0" applyFont="1" applyBorder="1" applyAlignment="1">
      <alignment vertical="center" readingOrder="2"/>
    </xf>
    <xf numFmtId="0" fontId="69" fillId="0" borderId="19" xfId="0" applyFont="1" applyBorder="1" applyAlignment="1">
      <alignment vertical="center" readingOrder="2"/>
    </xf>
    <xf numFmtId="0" fontId="69" fillId="0" borderId="14" xfId="0" applyFont="1" applyBorder="1" applyAlignment="1">
      <alignment vertical="center" wrapText="1" readingOrder="2"/>
    </xf>
    <xf numFmtId="0" fontId="69" fillId="0" borderId="86" xfId="0" applyFont="1" applyBorder="1" applyAlignment="1">
      <alignment vertical="center" readingOrder="2"/>
    </xf>
    <xf numFmtId="0" fontId="69" fillId="0" borderId="20" xfId="0" applyFont="1" applyBorder="1" applyAlignment="1">
      <alignment horizontal="center" vertical="center" readingOrder="2"/>
    </xf>
    <xf numFmtId="0" fontId="69" fillId="0" borderId="21" xfId="0" applyFont="1" applyBorder="1" applyAlignment="1">
      <alignment vertical="center" readingOrder="2"/>
    </xf>
    <xf numFmtId="0" fontId="69" fillId="0" borderId="22" xfId="0" applyFont="1" applyBorder="1" applyAlignment="1">
      <alignment vertical="center" readingOrder="2"/>
    </xf>
    <xf numFmtId="0" fontId="69" fillId="0" borderId="76" xfId="0" applyFont="1" applyBorder="1" applyAlignment="1">
      <alignment vertical="center" readingOrder="2"/>
    </xf>
    <xf numFmtId="0" fontId="69" fillId="0" borderId="64" xfId="0" applyFont="1" applyBorder="1" applyAlignment="1">
      <alignment vertical="center" readingOrder="2"/>
    </xf>
    <xf numFmtId="0" fontId="69" fillId="0" borderId="0" xfId="0" applyFont="1" applyAlignment="1">
      <alignment vertical="top" readingOrder="2"/>
    </xf>
    <xf numFmtId="0" fontId="69" fillId="0" borderId="23" xfId="0" applyFont="1" applyBorder="1" applyAlignment="1">
      <alignment horizontal="right" vertical="center" readingOrder="2"/>
    </xf>
    <xf numFmtId="0" fontId="69" fillId="0" borderId="24" xfId="0" applyFont="1" applyBorder="1" applyAlignment="1">
      <alignment vertical="center" readingOrder="2"/>
    </xf>
    <xf numFmtId="0" fontId="69" fillId="24" borderId="14" xfId="0" applyFont="1" applyFill="1" applyBorder="1" applyAlignment="1">
      <alignment horizontal="center" vertical="center" readingOrder="2"/>
    </xf>
    <xf numFmtId="0" fontId="69" fillId="24" borderId="19" xfId="0" applyFont="1" applyFill="1" applyBorder="1" applyAlignment="1">
      <alignment horizontal="center" vertical="center" readingOrder="2"/>
    </xf>
    <xf numFmtId="0" fontId="69" fillId="0" borderId="87" xfId="0" applyFont="1" applyBorder="1" applyAlignment="1">
      <alignment horizontal="center" vertical="center" readingOrder="2"/>
    </xf>
    <xf numFmtId="0" fontId="69" fillId="0" borderId="77" xfId="0" applyFont="1" applyBorder="1" applyAlignment="1">
      <alignment vertical="center" readingOrder="2"/>
    </xf>
    <xf numFmtId="0" fontId="69" fillId="0" borderId="88" xfId="0" applyFont="1" applyBorder="1" applyAlignment="1">
      <alignment vertical="center" readingOrder="2"/>
    </xf>
    <xf numFmtId="0" fontId="69" fillId="0" borderId="89" xfId="0" applyFont="1" applyBorder="1" applyAlignment="1">
      <alignment vertical="center" readingOrder="2"/>
    </xf>
    <xf numFmtId="0" fontId="69" fillId="0" borderId="59" xfId="0" applyFont="1" applyBorder="1" applyAlignment="1">
      <alignment vertical="center" readingOrder="2"/>
    </xf>
    <xf numFmtId="0" fontId="69" fillId="0" borderId="85" xfId="0" applyFont="1" applyBorder="1" applyAlignment="1">
      <alignment vertical="center" readingOrder="2"/>
    </xf>
    <xf numFmtId="0" fontId="69" fillId="0" borderId="67" xfId="0" applyFont="1" applyBorder="1" applyAlignment="1">
      <alignment vertical="center" readingOrder="2"/>
    </xf>
    <xf numFmtId="0" fontId="69" fillId="0" borderId="25" xfId="0" applyFont="1" applyBorder="1" applyAlignment="1">
      <alignment vertical="top" readingOrder="2"/>
    </xf>
    <xf numFmtId="0" fontId="55" fillId="18" borderId="33" xfId="1" applyNumberFormat="1" applyFont="1" applyFill="1" applyBorder="1" applyAlignment="1">
      <alignment horizontal="center" vertical="center"/>
    </xf>
    <xf numFmtId="0" fontId="62" fillId="18" borderId="13" xfId="1" applyNumberFormat="1" applyFont="1" applyFill="1" applyBorder="1" applyAlignment="1">
      <alignment horizontal="center" vertical="center"/>
    </xf>
    <xf numFmtId="41" fontId="5" fillId="18" borderId="13" xfId="1" applyNumberFormat="1" applyFont="1" applyFill="1" applyBorder="1" applyAlignment="1">
      <alignment horizontal="center" vertical="center" readingOrder="1"/>
    </xf>
    <xf numFmtId="165" fontId="5" fillId="18" borderId="10" xfId="1" applyNumberFormat="1" applyFont="1" applyFill="1" applyBorder="1" applyAlignment="1">
      <alignment horizontal="center" vertical="center"/>
    </xf>
    <xf numFmtId="166" fontId="5" fillId="18" borderId="13" xfId="1" applyNumberFormat="1" applyFont="1" applyFill="1" applyBorder="1" applyAlignment="1">
      <alignment horizontal="center" vertical="center" readingOrder="1"/>
    </xf>
    <xf numFmtId="168" fontId="22" fillId="18" borderId="13" xfId="1" applyNumberFormat="1" applyFont="1" applyFill="1" applyBorder="1" applyAlignment="1">
      <alignment horizontal="center" vertical="center"/>
    </xf>
    <xf numFmtId="169" fontId="5" fillId="20" borderId="13" xfId="1" applyNumberFormat="1" applyFont="1" applyFill="1" applyBorder="1" applyAlignment="1">
      <alignment horizontal="center" vertical="center" readingOrder="1"/>
    </xf>
    <xf numFmtId="169" fontId="22" fillId="20" borderId="13" xfId="1" applyNumberFormat="1" applyFont="1" applyFill="1" applyBorder="1" applyAlignment="1">
      <alignment horizontal="center" vertical="center"/>
    </xf>
    <xf numFmtId="167" fontId="5" fillId="21" borderId="13" xfId="1" applyNumberFormat="1" applyFont="1" applyFill="1" applyBorder="1" applyAlignment="1">
      <alignment horizontal="center" vertical="center" readingOrder="1"/>
    </xf>
    <xf numFmtId="165" fontId="53" fillId="0" borderId="0" xfId="1" applyNumberFormat="1" applyFont="1" applyFill="1" applyBorder="1" applyAlignment="1">
      <alignment horizontal="left" vertical="center" readingOrder="1"/>
    </xf>
    <xf numFmtId="0" fontId="71" fillId="24" borderId="69" xfId="0" applyFont="1" applyFill="1" applyBorder="1" applyAlignment="1">
      <alignment horizontal="right" vertical="center"/>
    </xf>
    <xf numFmtId="0" fontId="71" fillId="24" borderId="82" xfId="0" applyFont="1" applyFill="1" applyBorder="1" applyAlignment="1">
      <alignment vertical="center" readingOrder="2"/>
    </xf>
    <xf numFmtId="0" fontId="71" fillId="24" borderId="66" xfId="0" applyFont="1" applyFill="1" applyBorder="1" applyAlignment="1">
      <alignment vertical="center" readingOrder="2"/>
    </xf>
    <xf numFmtId="0" fontId="71" fillId="24" borderId="65" xfId="0" applyFont="1" applyFill="1" applyBorder="1" applyAlignment="1">
      <alignment horizontal="right" vertical="center" readingOrder="2"/>
    </xf>
    <xf numFmtId="0" fontId="71" fillId="24" borderId="66" xfId="0" applyFont="1" applyFill="1" applyBorder="1" applyAlignment="1">
      <alignment horizontal="right" vertical="center" readingOrder="2"/>
    </xf>
    <xf numFmtId="0" fontId="71" fillId="24" borderId="79" xfId="0" applyFont="1" applyFill="1" applyBorder="1" applyAlignment="1">
      <alignment horizontal="left" vertical="center" readingOrder="2"/>
    </xf>
    <xf numFmtId="0" fontId="71" fillId="24" borderId="74" xfId="0" applyFont="1" applyFill="1" applyBorder="1" applyAlignment="1">
      <alignment vertical="center" readingOrder="2"/>
    </xf>
    <xf numFmtId="0" fontId="71" fillId="24" borderId="71" xfId="0" applyFont="1" applyFill="1" applyBorder="1" applyAlignment="1">
      <alignment vertical="center" readingOrder="2"/>
    </xf>
    <xf numFmtId="0" fontId="71" fillId="24" borderId="70" xfId="0" applyFont="1" applyFill="1" applyBorder="1" applyAlignment="1">
      <alignment vertical="center" readingOrder="2"/>
    </xf>
    <xf numFmtId="0" fontId="71" fillId="24" borderId="71" xfId="0" applyFont="1" applyFill="1" applyBorder="1" applyAlignment="1">
      <alignment horizontal="right" vertical="center" readingOrder="2"/>
    </xf>
    <xf numFmtId="0" fontId="71" fillId="24" borderId="70" xfId="0" applyFont="1" applyFill="1" applyBorder="1" applyAlignment="1">
      <alignment horizontal="right" vertical="center" readingOrder="2"/>
    </xf>
    <xf numFmtId="0" fontId="71" fillId="24" borderId="70" xfId="0" applyFont="1" applyFill="1" applyBorder="1" applyAlignment="1">
      <alignment horizontal="right" vertical="center" indent="1" readingOrder="2"/>
    </xf>
    <xf numFmtId="0" fontId="71" fillId="24" borderId="75" xfId="0" applyFont="1" applyFill="1" applyBorder="1" applyAlignment="1">
      <alignment vertical="center" readingOrder="2"/>
    </xf>
    <xf numFmtId="0" fontId="71" fillId="24" borderId="83" xfId="0" applyFont="1" applyFill="1" applyBorder="1" applyAlignment="1">
      <alignment vertical="center" readingOrder="2"/>
    </xf>
    <xf numFmtId="0" fontId="71" fillId="24" borderId="69" xfId="0" applyFont="1" applyFill="1" applyBorder="1" applyAlignment="1">
      <alignment horizontal="left" vertical="center" readingOrder="2"/>
    </xf>
    <xf numFmtId="0" fontId="71" fillId="24" borderId="69" xfId="0" applyFont="1" applyFill="1" applyBorder="1" applyAlignment="1">
      <alignment vertical="center" readingOrder="2"/>
    </xf>
    <xf numFmtId="0" fontId="71" fillId="24" borderId="73" xfId="0" applyFont="1" applyFill="1" applyBorder="1" applyAlignment="1">
      <alignment vertical="center" readingOrder="2"/>
    </xf>
    <xf numFmtId="0" fontId="71" fillId="24" borderId="69" xfId="0" applyFont="1" applyFill="1" applyBorder="1" applyAlignment="1">
      <alignment horizontal="right" vertical="center" readingOrder="2"/>
    </xf>
    <xf numFmtId="0" fontId="71" fillId="24" borderId="69" xfId="0" applyFont="1" applyFill="1" applyBorder="1" applyAlignment="1">
      <alignment horizontal="center" vertical="center" readingOrder="2"/>
    </xf>
    <xf numFmtId="0" fontId="71" fillId="24" borderId="73" xfId="0" applyFont="1" applyFill="1" applyBorder="1" applyAlignment="1">
      <alignment horizontal="right" vertical="center" indent="1" readingOrder="2"/>
    </xf>
    <xf numFmtId="0" fontId="71" fillId="24" borderId="80" xfId="0" applyFont="1" applyFill="1" applyBorder="1" applyAlignment="1">
      <alignment horizontal="center" vertical="center" readingOrder="2"/>
    </xf>
    <xf numFmtId="3" fontId="0" fillId="19" borderId="44" xfId="0" applyNumberFormat="1" applyFont="1" applyFill="1" applyBorder="1" applyAlignment="1">
      <alignment horizontal="center" vertical="center"/>
    </xf>
    <xf numFmtId="3" fontId="71" fillId="0" borderId="26" xfId="1" applyNumberFormat="1" applyFont="1" applyBorder="1" applyAlignment="1">
      <alignment horizontal="left" readingOrder="1"/>
    </xf>
    <xf numFmtId="0" fontId="71" fillId="0" borderId="26" xfId="0" applyFont="1" applyBorder="1" applyAlignment="1">
      <alignment horizontal="left"/>
    </xf>
    <xf numFmtId="41" fontId="34" fillId="2" borderId="11" xfId="1" applyNumberFormat="1" applyFont="1" applyFill="1" applyBorder="1" applyAlignment="1">
      <alignment horizontal="center" vertical="center" readingOrder="1"/>
    </xf>
    <xf numFmtId="2" fontId="0" fillId="0" borderId="0" xfId="0" applyNumberFormat="1" applyBorder="1" applyAlignment="1">
      <alignment horizontal="center" vertical="center"/>
    </xf>
    <xf numFmtId="0" fontId="39" fillId="0" borderId="0" xfId="0" applyFont="1" applyBorder="1" applyAlignment="1">
      <alignment horizontal="left" vertical="center"/>
    </xf>
    <xf numFmtId="0" fontId="62" fillId="2" borderId="31" xfId="1" applyNumberFormat="1" applyFont="1" applyFill="1" applyBorder="1" applyAlignment="1">
      <alignment horizontal="center" vertical="center"/>
    </xf>
    <xf numFmtId="41" fontId="57" fillId="17" borderId="32" xfId="1" applyNumberFormat="1" applyFont="1" applyFill="1" applyBorder="1" applyAlignment="1">
      <alignment horizontal="center" vertical="center" readingOrder="1"/>
    </xf>
    <xf numFmtId="0" fontId="55" fillId="2" borderId="31" xfId="0" applyNumberFormat="1" applyFont="1" applyFill="1" applyBorder="1" applyAlignment="1">
      <alignment horizontal="center" vertical="center"/>
    </xf>
    <xf numFmtId="0" fontId="62" fillId="2" borderId="31" xfId="0" applyNumberFormat="1" applyFont="1" applyFill="1" applyBorder="1" applyAlignment="1">
      <alignment horizontal="center" vertical="center"/>
    </xf>
    <xf numFmtId="0" fontId="57" fillId="17" borderId="32" xfId="0" applyFont="1" applyFill="1" applyBorder="1" applyAlignment="1">
      <alignment horizontal="center" vertical="center" readingOrder="1"/>
    </xf>
    <xf numFmtId="41" fontId="5" fillId="17" borderId="31" xfId="0" applyNumberFormat="1" applyFont="1" applyFill="1" applyBorder="1" applyAlignment="1">
      <alignment horizontal="center" vertical="center" readingOrder="1"/>
    </xf>
    <xf numFmtId="165" fontId="5" fillId="2" borderId="32" xfId="0" applyNumberFormat="1" applyFont="1" applyFill="1" applyBorder="1" applyAlignment="1">
      <alignment horizontal="center" vertical="center"/>
    </xf>
    <xf numFmtId="168" fontId="22" fillId="2" borderId="31" xfId="0" applyNumberFormat="1" applyFont="1" applyFill="1" applyBorder="1" applyAlignment="1">
      <alignment horizontal="center" vertical="center"/>
    </xf>
    <xf numFmtId="169" fontId="5" fillId="10" borderId="31" xfId="0" applyNumberFormat="1" applyFont="1" applyFill="1" applyBorder="1" applyAlignment="1">
      <alignment horizontal="center" vertical="center" readingOrder="1"/>
    </xf>
    <xf numFmtId="169" fontId="22" fillId="10" borderId="31" xfId="0" applyNumberFormat="1" applyFont="1" applyFill="1" applyBorder="1" applyAlignment="1">
      <alignment horizontal="center" vertical="center"/>
    </xf>
    <xf numFmtId="167" fontId="5" fillId="13" borderId="31" xfId="0" applyNumberFormat="1" applyFont="1" applyFill="1" applyBorder="1" applyAlignment="1">
      <alignment horizontal="center" vertical="center" readingOrder="1"/>
    </xf>
    <xf numFmtId="0" fontId="18" fillId="0" borderId="0" xfId="0" applyFont="1" applyAlignment="1">
      <alignment horizontal="center" vertical="top"/>
    </xf>
    <xf numFmtId="0" fontId="73" fillId="0" borderId="0" xfId="3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74" fillId="16" borderId="67" xfId="0" applyFont="1" applyFill="1" applyBorder="1" applyAlignment="1">
      <alignment horizontal="center" vertical="center"/>
    </xf>
    <xf numFmtId="0" fontId="0" fillId="25" borderId="67" xfId="0" applyFont="1" applyFill="1" applyBorder="1" applyAlignment="1">
      <alignment horizontal="center" vertical="center"/>
    </xf>
    <xf numFmtId="0" fontId="0" fillId="25" borderId="72" xfId="0" applyFont="1" applyFill="1" applyBorder="1" applyAlignment="1">
      <alignment horizontal="center" vertical="center"/>
    </xf>
    <xf numFmtId="0" fontId="0" fillId="0" borderId="67" xfId="0" applyFont="1" applyBorder="1" applyAlignment="1">
      <alignment horizontal="center" vertical="center"/>
    </xf>
    <xf numFmtId="0" fontId="0" fillId="0" borderId="72" xfId="0" applyFont="1" applyBorder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0" fontId="74" fillId="16" borderId="72" xfId="0" applyFont="1" applyFill="1" applyBorder="1" applyAlignment="1">
      <alignment horizontal="center" vertical="center"/>
    </xf>
    <xf numFmtId="0" fontId="0" fillId="25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170" fontId="34" fillId="0" borderId="31" xfId="0" applyNumberFormat="1" applyFont="1" applyFill="1" applyBorder="1" applyAlignment="1">
      <alignment horizontal="left" vertical="top" textRotation="180"/>
    </xf>
    <xf numFmtId="0" fontId="37" fillId="0" borderId="31" xfId="0" applyFont="1" applyFill="1" applyBorder="1" applyAlignment="1">
      <alignment horizontal="center" vertical="center"/>
    </xf>
    <xf numFmtId="0" fontId="19" fillId="0" borderId="31" xfId="0" applyFont="1" applyFill="1" applyBorder="1" applyAlignment="1">
      <alignment horizontal="center" vertical="center"/>
    </xf>
    <xf numFmtId="0" fontId="55" fillId="0" borderId="93" xfId="1" applyNumberFormat="1" applyFont="1" applyFill="1" applyBorder="1" applyAlignment="1">
      <alignment horizontal="center" vertical="center"/>
    </xf>
    <xf numFmtId="0" fontId="62" fillId="0" borderId="93" xfId="1" applyNumberFormat="1" applyFont="1" applyFill="1" applyBorder="1" applyAlignment="1">
      <alignment horizontal="center" vertical="center"/>
    </xf>
    <xf numFmtId="41" fontId="57" fillId="0" borderId="93" xfId="1" applyNumberFormat="1" applyFont="1" applyFill="1" applyBorder="1" applyAlignment="1">
      <alignment horizontal="center" vertical="center" readingOrder="1"/>
    </xf>
    <xf numFmtId="41" fontId="5" fillId="0" borderId="93" xfId="1" applyNumberFormat="1" applyFont="1" applyFill="1" applyBorder="1" applyAlignment="1">
      <alignment horizontal="center" vertical="center" readingOrder="1"/>
    </xf>
    <xf numFmtId="165" fontId="5" fillId="0" borderId="93" xfId="1" applyNumberFormat="1" applyFont="1" applyFill="1" applyBorder="1" applyAlignment="1">
      <alignment horizontal="center" vertical="center"/>
    </xf>
    <xf numFmtId="166" fontId="5" fillId="0" borderId="93" xfId="1" applyNumberFormat="1" applyFont="1" applyFill="1" applyBorder="1" applyAlignment="1">
      <alignment horizontal="center" vertical="center" readingOrder="1"/>
    </xf>
    <xf numFmtId="168" fontId="22" fillId="0" borderId="93" xfId="1" applyNumberFormat="1" applyFont="1" applyFill="1" applyBorder="1" applyAlignment="1">
      <alignment horizontal="center" vertical="center"/>
    </xf>
    <xf numFmtId="169" fontId="5" fillId="0" borderId="93" xfId="1" applyNumberFormat="1" applyFont="1" applyFill="1" applyBorder="1" applyAlignment="1">
      <alignment horizontal="center" vertical="center" readingOrder="1"/>
    </xf>
    <xf numFmtId="169" fontId="22" fillId="0" borderId="93" xfId="1" applyNumberFormat="1" applyFont="1" applyFill="1" applyBorder="1" applyAlignment="1">
      <alignment horizontal="center" vertical="center"/>
    </xf>
    <xf numFmtId="167" fontId="5" fillId="0" borderId="93" xfId="1" applyNumberFormat="1" applyFont="1" applyFill="1" applyBorder="1" applyAlignment="1">
      <alignment horizontal="center" vertical="center" readingOrder="1"/>
    </xf>
    <xf numFmtId="0" fontId="0" fillId="0" borderId="0" xfId="0" applyBorder="1"/>
    <xf numFmtId="0" fontId="11" fillId="26" borderId="95" xfId="0" applyFont="1" applyFill="1" applyBorder="1" applyAlignment="1">
      <alignment horizontal="center" vertical="center"/>
    </xf>
    <xf numFmtId="0" fontId="42" fillId="26" borderId="96" xfId="0" applyFont="1" applyFill="1" applyBorder="1" applyAlignment="1">
      <alignment horizontal="center" vertical="center"/>
    </xf>
    <xf numFmtId="172" fontId="76" fillId="0" borderId="94" xfId="0" applyNumberFormat="1" applyFont="1" applyFill="1" applyBorder="1" applyAlignment="1">
      <alignment horizontal="center" vertical="center"/>
    </xf>
    <xf numFmtId="172" fontId="76" fillId="27" borderId="94" xfId="0" applyNumberFormat="1" applyFont="1" applyFill="1" applyBorder="1" applyAlignment="1">
      <alignment horizontal="center" vertical="center"/>
    </xf>
    <xf numFmtId="174" fontId="75" fillId="26" borderId="2" xfId="0" applyNumberFormat="1" applyFont="1" applyFill="1" applyBorder="1" applyAlignment="1">
      <alignment horizontal="center" vertical="center" textRotation="90" wrapText="1" readingOrder="2"/>
    </xf>
    <xf numFmtId="0" fontId="78" fillId="0" borderId="29" xfId="0" applyFont="1" applyFill="1" applyBorder="1" applyAlignment="1">
      <alignment horizontal="center" vertical="top" textRotation="90" readingOrder="2"/>
    </xf>
    <xf numFmtId="0" fontId="78" fillId="27" borderId="29" xfId="0" applyFont="1" applyFill="1" applyBorder="1" applyAlignment="1">
      <alignment horizontal="center" vertical="top" textRotation="90" readingOrder="2"/>
    </xf>
    <xf numFmtId="0" fontId="58" fillId="27" borderId="29" xfId="0" applyFont="1" applyFill="1" applyBorder="1" applyAlignment="1">
      <alignment horizontal="center" vertical="top" textRotation="90" readingOrder="2"/>
    </xf>
    <xf numFmtId="172" fontId="25" fillId="0" borderId="92" xfId="0" applyNumberFormat="1" applyFont="1" applyFill="1" applyBorder="1" applyAlignment="1">
      <alignment horizontal="center" vertical="center"/>
    </xf>
    <xf numFmtId="172" fontId="25" fillId="27" borderId="92" xfId="0" applyNumberFormat="1" applyFont="1" applyFill="1" applyBorder="1" applyAlignment="1">
      <alignment horizontal="center" vertical="center"/>
    </xf>
    <xf numFmtId="172" fontId="25" fillId="26" borderId="77" xfId="0" applyNumberFormat="1" applyFont="1" applyFill="1" applyBorder="1" applyAlignment="1">
      <alignment horizontal="center" vertical="center"/>
    </xf>
    <xf numFmtId="0" fontId="0" fillId="26" borderId="77" xfId="0" applyFill="1" applyBorder="1"/>
    <xf numFmtId="0" fontId="0" fillId="26" borderId="97" xfId="0" applyFill="1" applyBorder="1"/>
    <xf numFmtId="0" fontId="0" fillId="0" borderId="0" xfId="0" applyFill="1"/>
    <xf numFmtId="9" fontId="25" fillId="26" borderId="95" xfId="0" applyNumberFormat="1" applyFont="1" applyFill="1" applyBorder="1" applyAlignment="1">
      <alignment horizontal="center" vertical="center"/>
    </xf>
    <xf numFmtId="173" fontId="42" fillId="26" borderId="2" xfId="0" applyNumberFormat="1" applyFont="1" applyFill="1" applyBorder="1" applyAlignment="1">
      <alignment horizontal="center" vertical="center" textRotation="90" readingOrder="2"/>
    </xf>
    <xf numFmtId="172" fontId="25" fillId="26" borderId="91" xfId="0" applyNumberFormat="1" applyFont="1" applyFill="1" applyBorder="1" applyAlignment="1">
      <alignment horizontal="center" vertical="center"/>
    </xf>
    <xf numFmtId="3" fontId="75" fillId="26" borderId="0" xfId="0" applyNumberFormat="1" applyFont="1" applyFill="1" applyBorder="1" applyAlignment="1">
      <alignment horizontal="center" vertical="center" textRotation="90" wrapText="1"/>
    </xf>
    <xf numFmtId="0" fontId="25" fillId="26" borderId="98" xfId="0" applyNumberFormat="1" applyFont="1" applyFill="1" applyBorder="1" applyAlignment="1">
      <alignment horizontal="center" vertical="center"/>
    </xf>
    <xf numFmtId="170" fontId="35" fillId="2" borderId="45" xfId="1" applyNumberFormat="1" applyFont="1" applyFill="1" applyBorder="1" applyAlignment="1">
      <alignment horizontal="center" vertical="top" wrapText="1"/>
    </xf>
    <xf numFmtId="170" fontId="35" fillId="13" borderId="46" xfId="1" applyNumberFormat="1" applyFont="1" applyFill="1" applyBorder="1" applyAlignment="1">
      <alignment horizontal="center" vertical="top" wrapText="1" shrinkToFit="1"/>
    </xf>
    <xf numFmtId="170" fontId="35" fillId="13" borderId="47" xfId="1" applyNumberFormat="1" applyFont="1" applyFill="1" applyBorder="1" applyAlignment="1">
      <alignment horizontal="center" vertical="top" wrapText="1" shrinkToFit="1"/>
    </xf>
    <xf numFmtId="170" fontId="35" fillId="2" borderId="99" xfId="1" applyNumberFormat="1" applyFont="1" applyFill="1" applyBorder="1" applyAlignment="1">
      <alignment horizontal="center" vertical="top" wrapText="1" shrinkToFit="1"/>
    </xf>
    <xf numFmtId="170" fontId="35" fillId="2" borderId="46" xfId="1" applyNumberFormat="1" applyFont="1" applyFill="1" applyBorder="1" applyAlignment="1">
      <alignment horizontal="center" vertical="center" wrapText="1" shrinkToFit="1"/>
    </xf>
    <xf numFmtId="170" fontId="35" fillId="7" borderId="46" xfId="1" applyNumberFormat="1" applyFont="1" applyFill="1" applyBorder="1" applyAlignment="1">
      <alignment horizontal="center" vertical="top" wrapText="1" shrinkToFit="1"/>
    </xf>
    <xf numFmtId="170" fontId="35" fillId="2" borderId="46" xfId="1" applyNumberFormat="1" applyFont="1" applyFill="1" applyBorder="1" applyAlignment="1">
      <alignment horizontal="center" vertical="top" wrapText="1" shrinkToFit="1"/>
    </xf>
    <xf numFmtId="41" fontId="34" fillId="2" borderId="5" xfId="1" applyNumberFormat="1" applyFont="1" applyFill="1" applyBorder="1" applyAlignment="1">
      <alignment horizontal="center" vertical="center" readingOrder="1"/>
    </xf>
    <xf numFmtId="2" fontId="39" fillId="0" borderId="0" xfId="0" applyNumberFormat="1" applyFont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20" fontId="39" fillId="0" borderId="0" xfId="0" applyNumberFormat="1" applyFont="1" applyAlignment="1">
      <alignment horizontal="left" vertical="center"/>
    </xf>
    <xf numFmtId="170" fontId="34" fillId="0" borderId="0" xfId="0" applyNumberFormat="1" applyFont="1" applyBorder="1" applyAlignment="1">
      <alignment horizontal="left" vertical="top" textRotation="180"/>
    </xf>
    <xf numFmtId="0" fontId="69" fillId="24" borderId="60" xfId="0" applyFont="1" applyFill="1" applyBorder="1" applyAlignment="1">
      <alignment horizontal="center" vertical="center" readingOrder="2"/>
    </xf>
    <xf numFmtId="0" fontId="69" fillId="24" borderId="84" xfId="0" applyFont="1" applyFill="1" applyBorder="1" applyAlignment="1">
      <alignment horizontal="center" vertical="center" readingOrder="2"/>
    </xf>
    <xf numFmtId="0" fontId="69" fillId="0" borderId="25" xfId="0" applyFont="1" applyBorder="1" applyAlignment="1">
      <alignment vertical="top" readingOrder="2"/>
    </xf>
    <xf numFmtId="0" fontId="69" fillId="0" borderId="24" xfId="0" applyFont="1" applyBorder="1" applyAlignment="1">
      <alignment vertical="top" readingOrder="2"/>
    </xf>
    <xf numFmtId="0" fontId="69" fillId="0" borderId="58" xfId="0" applyFont="1" applyBorder="1" applyAlignment="1">
      <alignment vertical="top" readingOrder="2"/>
    </xf>
    <xf numFmtId="0" fontId="69" fillId="0" borderId="23" xfId="0" applyFont="1" applyBorder="1" applyAlignment="1">
      <alignment vertical="top" readingOrder="2"/>
    </xf>
    <xf numFmtId="0" fontId="69" fillId="24" borderId="61" xfId="0" applyFont="1" applyFill="1" applyBorder="1" applyAlignment="1">
      <alignment horizontal="center" vertical="center" readingOrder="2"/>
    </xf>
    <xf numFmtId="0" fontId="69" fillId="24" borderId="85" xfId="0" applyFont="1" applyFill="1" applyBorder="1" applyAlignment="1">
      <alignment horizontal="center" vertical="center" readingOrder="2"/>
    </xf>
    <xf numFmtId="0" fontId="69" fillId="24" borderId="17" xfId="0" applyFont="1" applyFill="1" applyBorder="1" applyAlignment="1">
      <alignment horizontal="center" vertical="center" readingOrder="2"/>
    </xf>
    <xf numFmtId="0" fontId="69" fillId="24" borderId="27" xfId="0" applyFont="1" applyFill="1" applyBorder="1" applyAlignment="1">
      <alignment horizontal="center" vertical="center" readingOrder="2"/>
    </xf>
    <xf numFmtId="0" fontId="67" fillId="0" borderId="25" xfId="0" applyFont="1" applyBorder="1" applyAlignment="1">
      <alignment horizontal="right" vertical="center" wrapText="1" indent="1" readingOrder="2"/>
    </xf>
    <xf numFmtId="0" fontId="67" fillId="0" borderId="26" xfId="0" applyFont="1" applyBorder="1" applyAlignment="1">
      <alignment horizontal="right" vertical="center" wrapText="1" indent="1" readingOrder="2"/>
    </xf>
    <xf numFmtId="0" fontId="69" fillId="24" borderId="61" xfId="0" applyFont="1" applyFill="1" applyBorder="1" applyAlignment="1">
      <alignment horizontal="center" vertical="center" wrapText="1" readingOrder="2"/>
    </xf>
    <xf numFmtId="0" fontId="69" fillId="24" borderId="85" xfId="0" applyFont="1" applyFill="1" applyBorder="1" applyAlignment="1">
      <alignment horizontal="center" vertical="center" wrapText="1" readingOrder="2"/>
    </xf>
    <xf numFmtId="0" fontId="72" fillId="0" borderId="25" xfId="0" applyFont="1" applyBorder="1" applyAlignment="1">
      <alignment horizontal="center" vertical="center" readingOrder="2"/>
    </xf>
    <xf numFmtId="0" fontId="72" fillId="0" borderId="24" xfId="0" applyFont="1" applyBorder="1" applyAlignment="1">
      <alignment horizontal="center" vertical="center" readingOrder="2"/>
    </xf>
    <xf numFmtId="0" fontId="72" fillId="0" borderId="58" xfId="0" applyFont="1" applyBorder="1" applyAlignment="1">
      <alignment horizontal="center" vertical="center" readingOrder="2"/>
    </xf>
    <xf numFmtId="0" fontId="69" fillId="24" borderId="62" xfId="0" applyFont="1" applyFill="1" applyBorder="1" applyAlignment="1">
      <alignment horizontal="center" vertical="center" wrapText="1" readingOrder="2"/>
    </xf>
    <xf numFmtId="0" fontId="69" fillId="24" borderId="86" xfId="0" applyFont="1" applyFill="1" applyBorder="1" applyAlignment="1">
      <alignment horizontal="center" vertical="center" wrapText="1" readingOrder="2"/>
    </xf>
    <xf numFmtId="0" fontId="67" fillId="24" borderId="62" xfId="0" applyFont="1" applyFill="1" applyBorder="1" applyAlignment="1">
      <alignment horizontal="center" vertical="center" wrapText="1"/>
    </xf>
    <xf numFmtId="0" fontId="67" fillId="24" borderId="86" xfId="0" applyFont="1" applyFill="1" applyBorder="1" applyAlignment="1">
      <alignment horizontal="center" vertical="center" wrapText="1"/>
    </xf>
    <xf numFmtId="0" fontId="67" fillId="24" borderId="61" xfId="0" applyFont="1" applyFill="1" applyBorder="1" applyAlignment="1">
      <alignment horizontal="center" vertical="center" wrapText="1"/>
    </xf>
    <xf numFmtId="0" fontId="67" fillId="24" borderId="85" xfId="0" applyFont="1" applyFill="1" applyBorder="1" applyAlignment="1">
      <alignment horizontal="center" vertical="center" wrapText="1"/>
    </xf>
    <xf numFmtId="0" fontId="68" fillId="0" borderId="25" xfId="0" applyFont="1" applyBorder="1" applyAlignment="1">
      <alignment horizontal="center" vertical="center"/>
    </xf>
    <xf numFmtId="0" fontId="68" fillId="0" borderId="24" xfId="0" applyFont="1" applyBorder="1" applyAlignment="1">
      <alignment horizontal="center" vertical="center"/>
    </xf>
    <xf numFmtId="0" fontId="68" fillId="0" borderId="58" xfId="0" applyFont="1" applyBorder="1" applyAlignment="1">
      <alignment horizontal="center" vertical="center"/>
    </xf>
    <xf numFmtId="0" fontId="67" fillId="0" borderId="23" xfId="0" applyFont="1" applyBorder="1" applyAlignment="1">
      <alignment horizontal="center" vertical="center"/>
    </xf>
    <xf numFmtId="0" fontId="67" fillId="0" borderId="58" xfId="0" applyFont="1" applyBorder="1" applyAlignment="1">
      <alignment horizontal="center" vertical="center"/>
    </xf>
    <xf numFmtId="0" fontId="69" fillId="24" borderId="82" xfId="0" applyFont="1" applyFill="1" applyBorder="1" applyAlignment="1">
      <alignment horizontal="right" vertical="center"/>
    </xf>
    <xf numFmtId="0" fontId="69" fillId="24" borderId="81" xfId="0" applyFont="1" applyFill="1" applyBorder="1" applyAlignment="1">
      <alignment horizontal="right" vertical="center"/>
    </xf>
    <xf numFmtId="0" fontId="67" fillId="0" borderId="25" xfId="0" applyFont="1" applyBorder="1" applyAlignment="1">
      <alignment horizontal="right" vertical="center" wrapText="1" indent="1"/>
    </xf>
    <xf numFmtId="0" fontId="67" fillId="0" borderId="24" xfId="0" applyFont="1" applyBorder="1" applyAlignment="1">
      <alignment horizontal="right" vertical="center" wrapText="1" indent="1"/>
    </xf>
    <xf numFmtId="0" fontId="67" fillId="0" borderId="26" xfId="0" applyFont="1" applyBorder="1" applyAlignment="1">
      <alignment horizontal="right" vertical="center" wrapText="1" indent="1"/>
    </xf>
    <xf numFmtId="0" fontId="67" fillId="24" borderId="60" xfId="0" applyFont="1" applyFill="1" applyBorder="1" applyAlignment="1">
      <alignment horizontal="center" vertical="center" wrapText="1"/>
    </xf>
    <xf numFmtId="0" fontId="67" fillId="24" borderId="84" xfId="0" applyFont="1" applyFill="1" applyBorder="1" applyAlignment="1">
      <alignment horizontal="center" vertical="center" wrapText="1"/>
    </xf>
    <xf numFmtId="172" fontId="76" fillId="0" borderId="92" xfId="0" applyNumberFormat="1" applyFont="1" applyFill="1" applyBorder="1" applyAlignment="1">
      <alignment horizontal="center" vertical="center"/>
    </xf>
    <xf numFmtId="172" fontId="76" fillId="27" borderId="92" xfId="0" applyNumberFormat="1" applyFont="1" applyFill="1" applyBorder="1" applyAlignment="1">
      <alignment horizontal="center" vertical="center"/>
    </xf>
    <xf numFmtId="172" fontId="76" fillId="27" borderId="29" xfId="0" applyNumberFormat="1" applyFont="1" applyFill="1" applyBorder="1" applyAlignment="1">
      <alignment horizontal="center" vertical="center"/>
    </xf>
    <xf numFmtId="0" fontId="2" fillId="26" borderId="77" xfId="0" applyFont="1" applyFill="1" applyBorder="1" applyAlignment="1">
      <alignment horizontal="center" vertical="center"/>
    </xf>
    <xf numFmtId="0" fontId="2" fillId="26" borderId="91" xfId="0" applyFont="1" applyFill="1" applyBorder="1" applyAlignment="1">
      <alignment horizontal="center" vertical="center"/>
    </xf>
    <xf numFmtId="0" fontId="2" fillId="26" borderId="2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172" fontId="76" fillId="0" borderId="29" xfId="0" applyNumberFormat="1" applyFont="1" applyFill="1" applyBorder="1" applyAlignment="1">
      <alignment horizontal="center" vertical="center"/>
    </xf>
    <xf numFmtId="2" fontId="2" fillId="26" borderId="2" xfId="0" applyNumberFormat="1" applyFont="1" applyFill="1" applyBorder="1" applyAlignment="1">
      <alignment horizontal="center" vertical="center"/>
    </xf>
    <xf numFmtId="0" fontId="2" fillId="26" borderId="0" xfId="0" applyNumberFormat="1" applyFont="1" applyFill="1" applyBorder="1" applyAlignment="1">
      <alignment horizontal="center" vertical="center"/>
    </xf>
    <xf numFmtId="2" fontId="2" fillId="26" borderId="77" xfId="0" applyNumberFormat="1" applyFont="1" applyFill="1" applyBorder="1" applyAlignment="1">
      <alignment horizontal="center" vertical="center"/>
    </xf>
    <xf numFmtId="0" fontId="2" fillId="26" borderId="96" xfId="0" applyFont="1" applyFill="1" applyBorder="1" applyAlignment="1">
      <alignment horizontal="center" vertical="center"/>
    </xf>
    <xf numFmtId="0" fontId="2" fillId="26" borderId="101" xfId="0" applyFont="1" applyFill="1" applyBorder="1" applyAlignment="1">
      <alignment horizontal="center" vertical="center"/>
    </xf>
    <xf numFmtId="0" fontId="2" fillId="26" borderId="102" xfId="0" applyFont="1" applyFill="1" applyBorder="1" applyAlignment="1">
      <alignment horizontal="center" vertical="center"/>
    </xf>
    <xf numFmtId="172" fontId="76" fillId="0" borderId="103" xfId="0" applyNumberFormat="1" applyFont="1" applyFill="1" applyBorder="1" applyAlignment="1">
      <alignment horizontal="center" vertical="center"/>
    </xf>
    <xf numFmtId="172" fontId="76" fillId="27" borderId="103" xfId="0" applyNumberFormat="1" applyFont="1" applyFill="1" applyBorder="1" applyAlignment="1">
      <alignment horizontal="center" vertical="center"/>
    </xf>
    <xf numFmtId="2" fontId="2" fillId="26" borderId="101" xfId="0" applyNumberFormat="1" applyFont="1" applyFill="1" applyBorder="1" applyAlignment="1">
      <alignment horizontal="center" vertical="center"/>
    </xf>
    <xf numFmtId="0" fontId="2" fillId="26" borderId="102" xfId="0" applyNumberFormat="1" applyFont="1" applyFill="1" applyBorder="1" applyAlignment="1">
      <alignment horizontal="center" vertical="center"/>
    </xf>
    <xf numFmtId="0" fontId="2" fillId="26" borderId="1" xfId="0" applyNumberFormat="1" applyFont="1" applyFill="1" applyBorder="1" applyAlignment="1">
      <alignment horizontal="center" vertical="center"/>
    </xf>
    <xf numFmtId="0" fontId="2" fillId="26" borderId="14" xfId="0" applyFont="1" applyFill="1" applyBorder="1" applyAlignment="1">
      <alignment horizontal="center" vertical="center"/>
    </xf>
    <xf numFmtId="0" fontId="2" fillId="26" borderId="90" xfId="0" applyFont="1" applyFill="1" applyBorder="1" applyAlignment="1">
      <alignment horizontal="center" vertical="center"/>
    </xf>
    <xf numFmtId="172" fontId="76" fillId="0" borderId="85" xfId="0" applyNumberFormat="1" applyFont="1" applyFill="1" applyBorder="1" applyAlignment="1">
      <alignment horizontal="center" vertical="center"/>
    </xf>
    <xf numFmtId="172" fontId="76" fillId="27" borderId="85" xfId="0" applyNumberFormat="1" applyFont="1" applyFill="1" applyBorder="1" applyAlignment="1">
      <alignment horizontal="center" vertical="center"/>
    </xf>
    <xf numFmtId="2" fontId="2" fillId="26" borderId="14" xfId="0" applyNumberFormat="1" applyFont="1" applyFill="1" applyBorder="1" applyAlignment="1">
      <alignment horizontal="center" vertical="center"/>
    </xf>
    <xf numFmtId="0" fontId="2" fillId="26" borderId="90" xfId="0" applyNumberFormat="1" applyFont="1" applyFill="1" applyBorder="1" applyAlignment="1">
      <alignment horizontal="center" vertical="center"/>
    </xf>
    <xf numFmtId="0" fontId="2" fillId="26" borderId="91" xfId="0" applyNumberFormat="1" applyFont="1" applyFill="1" applyBorder="1" applyAlignment="1">
      <alignment horizontal="center" vertical="center"/>
    </xf>
    <xf numFmtId="0" fontId="2" fillId="26" borderId="95" xfId="0" applyFont="1" applyFill="1" applyBorder="1" applyAlignment="1">
      <alignment horizontal="center" vertical="center"/>
    </xf>
    <xf numFmtId="2" fontId="2" fillId="26" borderId="95" xfId="0" applyNumberFormat="1" applyFont="1" applyFill="1" applyBorder="1" applyAlignment="1">
      <alignment horizontal="center" vertical="center"/>
    </xf>
    <xf numFmtId="0" fontId="2" fillId="26" borderId="96" xfId="0" applyNumberFormat="1" applyFont="1" applyFill="1" applyBorder="1" applyAlignment="1">
      <alignment horizontal="center" vertical="center"/>
    </xf>
    <xf numFmtId="0" fontId="2" fillId="26" borderId="100" xfId="0" applyNumberFormat="1" applyFont="1" applyFill="1" applyBorder="1" applyAlignment="1">
      <alignment horizontal="center" vertical="center"/>
    </xf>
    <xf numFmtId="0" fontId="2" fillId="26" borderId="104" xfId="0" applyFont="1" applyFill="1" applyBorder="1" applyAlignment="1">
      <alignment horizontal="center" vertical="center"/>
    </xf>
    <xf numFmtId="0" fontId="2" fillId="26" borderId="105" xfId="0" applyFont="1" applyFill="1" applyBorder="1" applyAlignment="1">
      <alignment horizontal="center" vertical="center"/>
    </xf>
    <xf numFmtId="172" fontId="76" fillId="0" borderId="106" xfId="0" applyNumberFormat="1" applyFont="1" applyFill="1" applyBorder="1" applyAlignment="1">
      <alignment horizontal="center" vertical="center"/>
    </xf>
    <xf numFmtId="172" fontId="76" fillId="27" borderId="106" xfId="0" applyNumberFormat="1" applyFont="1" applyFill="1" applyBorder="1" applyAlignment="1">
      <alignment horizontal="center" vertical="center"/>
    </xf>
    <xf numFmtId="2" fontId="2" fillId="26" borderId="104" xfId="0" applyNumberFormat="1" applyFont="1" applyFill="1" applyBorder="1" applyAlignment="1">
      <alignment horizontal="center" vertical="center"/>
    </xf>
    <xf numFmtId="0" fontId="2" fillId="26" borderId="105" xfId="0" applyNumberFormat="1" applyFont="1" applyFill="1" applyBorder="1" applyAlignment="1">
      <alignment horizontal="center" vertical="center"/>
    </xf>
  </cellXfs>
  <cellStyles count="4">
    <cellStyle name="Comma" xfId="1" builtinId="3"/>
    <cellStyle name="Normal" xfId="0" builtinId="0"/>
    <cellStyle name="Normal_Sheet1" xfId="2" xr:uid="{E6ADC85F-BF46-4B8A-8E8C-920C2291E79D}"/>
    <cellStyle name="Normal_Sheet3" xfId="3" xr:uid="{7805EC37-0B44-4352-A201-EB0D7C3D820F}"/>
  </cellStyles>
  <dxfs count="31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rgb="FF00B0F0"/>
        </patternFill>
      </fill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Times New Roman"/>
        <family val="1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2" formatCode="0.00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indexed="64"/>
        </bottom>
        <vertical/>
        <horizontal/>
      </border>
    </dxf>
    <dxf>
      <border outline="0"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5"/>
        <name val="Calibri"/>
        <family val="2"/>
        <scheme val="minor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numFmt numFmtId="19" formatCode="m/d/yyyy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top"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mic Sans MS"/>
        <family val="4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71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71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2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2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B Nazanin"/>
        <charset val="178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B Nazanin"/>
        <charset val="17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mic Sans MS"/>
        <family val="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0" readingOrder="0"/>
      <border diagonalUp="0" diagonalDown="0">
        <left style="thick">
          <color theme="0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 style="thick">
          <color theme="0"/>
        </right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Calibri Light"/>
        <family val="2"/>
        <scheme val="maj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 style="thick">
          <color theme="0"/>
        </left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7" formatCode="#,###\i;#,###\+\i;\-"/>
      <fill>
        <patternFill patternType="solid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Arial Narrow"/>
        <family val="2"/>
        <scheme val="none"/>
      </font>
      <numFmt numFmtId="169" formatCode="\+#.##;\-#,###;00"/>
      <fill>
        <patternFill patternType="mediumGray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9" formatCode="\+#.##;\-#,###;00"/>
      <fill>
        <patternFill patternType="mediumGray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Arial Narrow"/>
        <family val="2"/>
        <scheme val="none"/>
      </font>
      <numFmt numFmtId="168" formatCode="#,###\p;#,###\p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6" formatCode="#,##0\c;#,##0\c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5" formatCode="#,###&quot;$&quot;;#,###&quot;$&quot;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 Light"/>
        <family val="2"/>
        <scheme val="maj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 style="thick">
          <color theme="0"/>
        </left>
        <right/>
        <top style="thick">
          <color theme="0"/>
        </top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Black"/>
        <family val="2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</border>
    </dxf>
    <dxf>
      <border outline="0">
        <bottom style="thick">
          <color theme="0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70C0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5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5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alignment horizontal="center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5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5"/>
        <name val="Calibri"/>
        <family val="2"/>
        <scheme val="minor"/>
      </font>
      <numFmt numFmtId="169" formatCode="\+#.##;\-#,###;00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>
          <fgColor indexed="64"/>
          <bgColor theme="8" tint="0.3999755851924192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9" formatCode="\+#.##;\-#,###;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1"/>
        <scheme val="none"/>
      </font>
      <fill>
        <patternFill patternType="solid">
          <fgColor indexed="64"/>
          <bgColor theme="4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 Narrow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 Narrow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 Narrow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D7E0C68E-2162-403F-BD02-7A8CDCF2E0D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0</xdr:row>
          <xdr:rowOff>57150</xdr:rowOff>
        </xdr:from>
        <xdr:to>
          <xdr:col>19</xdr:col>
          <xdr:colOff>619125</xdr:colOff>
          <xdr:row>0</xdr:row>
          <xdr:rowOff>295275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57150</xdr:rowOff>
        </xdr:from>
        <xdr:to>
          <xdr:col>5</xdr:col>
          <xdr:colOff>809625</xdr:colOff>
          <xdr:row>0</xdr:row>
          <xdr:rowOff>304800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2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895350</xdr:colOff>
          <xdr:row>0</xdr:row>
          <xdr:rowOff>47625</xdr:rowOff>
        </xdr:from>
        <xdr:to>
          <xdr:col>5</xdr:col>
          <xdr:colOff>1438275</xdr:colOff>
          <xdr:row>0</xdr:row>
          <xdr:rowOff>295275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2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1600200</xdr:colOff>
          <xdr:row>0</xdr:row>
          <xdr:rowOff>47625</xdr:rowOff>
        </xdr:from>
        <xdr:to>
          <xdr:col>5</xdr:col>
          <xdr:colOff>2143125</xdr:colOff>
          <xdr:row>0</xdr:row>
          <xdr:rowOff>295275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2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66675</xdr:rowOff>
        </xdr:from>
        <xdr:to>
          <xdr:col>17</xdr:col>
          <xdr:colOff>676275</xdr:colOff>
          <xdr:row>0</xdr:row>
          <xdr:rowOff>285750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3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114300</xdr:colOff>
          <xdr:row>0</xdr:row>
          <xdr:rowOff>66675</xdr:rowOff>
        </xdr:from>
        <xdr:to>
          <xdr:col>18</xdr:col>
          <xdr:colOff>647700</xdr:colOff>
          <xdr:row>0</xdr:row>
          <xdr:rowOff>285750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3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114300</xdr:colOff>
          <xdr:row>0</xdr:row>
          <xdr:rowOff>76200</xdr:rowOff>
        </xdr:from>
        <xdr:to>
          <xdr:col>19</xdr:col>
          <xdr:colOff>638175</xdr:colOff>
          <xdr:row>0</xdr:row>
          <xdr:rowOff>276225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03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0</xdr:row>
          <xdr:rowOff>19050</xdr:rowOff>
        </xdr:from>
        <xdr:to>
          <xdr:col>2</xdr:col>
          <xdr:colOff>476250</xdr:colOff>
          <xdr:row>1</xdr:row>
          <xdr:rowOff>0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4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38100</xdr:rowOff>
        </xdr:from>
        <xdr:to>
          <xdr:col>9</xdr:col>
          <xdr:colOff>38100</xdr:colOff>
          <xdr:row>15</xdr:row>
          <xdr:rowOff>238125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04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66675</xdr:rowOff>
        </xdr:from>
        <xdr:to>
          <xdr:col>0</xdr:col>
          <xdr:colOff>1285875</xdr:colOff>
          <xdr:row>0</xdr:row>
          <xdr:rowOff>400050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0A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66675</xdr:rowOff>
        </xdr:from>
        <xdr:to>
          <xdr:col>1</xdr:col>
          <xdr:colOff>1190625</xdr:colOff>
          <xdr:row>0</xdr:row>
          <xdr:rowOff>390525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0A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66675</xdr:rowOff>
        </xdr:from>
        <xdr:to>
          <xdr:col>2</xdr:col>
          <xdr:colOff>1276350</xdr:colOff>
          <xdr:row>0</xdr:row>
          <xdr:rowOff>428625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0A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1209675</xdr:colOff>
          <xdr:row>0</xdr:row>
          <xdr:rowOff>66675</xdr:rowOff>
        </xdr:from>
        <xdr:to>
          <xdr:col>1</xdr:col>
          <xdr:colOff>2133600</xdr:colOff>
          <xdr:row>0</xdr:row>
          <xdr:rowOff>257175</xdr:rowOff>
        </xdr:to>
        <xdr:sp macro="" textlink="">
          <xdr:nvSpPr>
            <xdr:cNvPr id="91137" name="Button 1" descr="refresh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0C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1209675</xdr:colOff>
          <xdr:row>0</xdr:row>
          <xdr:rowOff>66675</xdr:rowOff>
        </xdr:from>
        <xdr:to>
          <xdr:col>1</xdr:col>
          <xdr:colOff>2133600</xdr:colOff>
          <xdr:row>0</xdr:row>
          <xdr:rowOff>257175</xdr:rowOff>
        </xdr:to>
        <xdr:sp macro="" textlink="">
          <xdr:nvSpPr>
            <xdr:cNvPr id="90113" name="Button 1" descr="refresh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D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66675</xdr:rowOff>
        </xdr:from>
        <xdr:to>
          <xdr:col>7</xdr:col>
          <xdr:colOff>981075</xdr:colOff>
          <xdr:row>0</xdr:row>
          <xdr:rowOff>314325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F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setLastBatch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146102</xdr:colOff>
      <xdr:row>0</xdr:row>
      <xdr:rowOff>19050</xdr:rowOff>
    </xdr:from>
    <xdr:to>
      <xdr:col>2</xdr:col>
      <xdr:colOff>153267</xdr:colOff>
      <xdr:row>0</xdr:row>
      <xdr:rowOff>609600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99048258" y="19050"/>
          <a:ext cx="1007290" cy="590550"/>
        </a:xfrm>
        <a:prstGeom prst="rect">
          <a:avLst/>
        </a:prstGeom>
        <a:noFill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19050</xdr:rowOff>
    </xdr:from>
    <xdr:to>
      <xdr:col>1</xdr:col>
      <xdr:colOff>1057274</xdr:colOff>
      <xdr:row>0</xdr:row>
      <xdr:rowOff>514349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65126426" y="19050"/>
          <a:ext cx="1190625" cy="4952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adeghi\timings\tim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perator2\Desktop\&#1576;&#1585;&#1711;%20&#1570;&#1605;&#1575;&#15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ycleTime"/>
      <sheetName val="CT80"/>
      <sheetName val="injection"/>
      <sheetName val="ستونی"/>
      <sheetName val="daily80%"/>
      <sheetName val="regali80%"/>
      <sheetName val="regalFlow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C1" t="str">
            <v>برش</v>
          </cell>
          <cell r="D1" t="str">
            <v>غلاف برداری کابل</v>
          </cell>
          <cell r="E1" t="str">
            <v>غلاف کشی</v>
          </cell>
          <cell r="F1" t="str">
            <v>بادگیری</v>
          </cell>
          <cell r="G1" t="str">
            <v>غلاف کشی و بادگیری</v>
          </cell>
          <cell r="H1" t="str">
            <v>کوتاه کردن سیم</v>
          </cell>
          <cell r="J1" t="str">
            <v>روکش برداری ارت</v>
          </cell>
          <cell r="K1" t="str">
            <v>روکش برداری فار و نول</v>
          </cell>
          <cell r="L1" t="str">
            <v>روکش برداری فاز و نول و ارت</v>
          </cell>
          <cell r="M1" t="str">
            <v>روکش برداری سمت مغزی</v>
          </cell>
          <cell r="N1" t="str">
            <v>پرس ارت</v>
          </cell>
          <cell r="O1" t="str">
            <v>پرس فار و نول</v>
          </cell>
          <cell r="P1" t="str">
            <v>پرس فاز و نول و ارت</v>
          </cell>
          <cell r="Q1" t="str">
            <v>پرس دوبل ارت</v>
          </cell>
          <cell r="R1" t="str">
            <v>پرس اسپیلایس ارت</v>
          </cell>
          <cell r="S1" t="str">
            <v>پرس مغزی اتومات</v>
          </cell>
          <cell r="T1" t="str">
            <v>پرس مغزی دستی</v>
          </cell>
          <cell r="V1" t="str">
            <v>اتصال سوکت ارت</v>
          </cell>
          <cell r="W1" t="str">
            <v>اتصال سوکت فاز و نول</v>
          </cell>
          <cell r="X1" t="str">
            <v>اتصال سوکت فاز و نول و ارت</v>
          </cell>
          <cell r="Y1" t="str">
            <v>چسب زدن</v>
          </cell>
          <cell r="Z1" t="str">
            <v>اسفنج زدن</v>
          </cell>
          <cell r="AA1" t="str">
            <v>فریت پیچی</v>
          </cell>
          <cell r="AB1" t="str">
            <v>فریت و سوکت همزمان</v>
          </cell>
          <cell r="AC1" t="str">
            <v>مونتاژ وارنیش</v>
          </cell>
          <cell r="AD1" t="str">
            <v>سشوار وارنیش</v>
          </cell>
          <cell r="AF1" t="str">
            <v>تست تک نفره</v>
          </cell>
          <cell r="AG1" t="str">
            <v>تست 2 نفره</v>
          </cell>
          <cell r="AH1" t="str">
            <v>تست 4 نفره</v>
          </cell>
          <cell r="AI1" t="str">
            <v>تست High-Voltage</v>
          </cell>
          <cell r="AJ1" t="str">
            <v>لیبل زدن</v>
          </cell>
          <cell r="AK1" t="str">
            <v>تاباندن با دستگاه</v>
          </cell>
          <cell r="AL1" t="str">
            <v>جمع کردن (کش)</v>
          </cell>
          <cell r="AM1" t="str">
            <v>دسته کردن</v>
          </cell>
          <cell r="AN1" t="str">
            <v>بسته بندی کردن</v>
          </cell>
        </row>
        <row r="3">
          <cell r="C3" t="e">
            <v>#REF!</v>
          </cell>
          <cell r="D3" t="e">
            <v>#REF!</v>
          </cell>
          <cell r="E3" t="e">
            <v>#REF!</v>
          </cell>
          <cell r="F3" t="e">
            <v>#REF!</v>
          </cell>
          <cell r="G3" t="e">
            <v>#REF!</v>
          </cell>
          <cell r="H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 t="e">
            <v>#REF!</v>
          </cell>
          <cell r="R3" t="e">
            <v>#REF!</v>
          </cell>
          <cell r="S3" t="e">
            <v>#REF!</v>
          </cell>
          <cell r="T3" t="e">
            <v>#REF!</v>
          </cell>
          <cell r="V3" t="e">
            <v>#REF!</v>
          </cell>
          <cell r="W3" t="e">
            <v>#REF!</v>
          </cell>
          <cell r="X3" t="e">
            <v>#REF!</v>
          </cell>
          <cell r="Y3" t="e">
            <v>#REF!</v>
          </cell>
          <cell r="Z3" t="e">
            <v>#REF!</v>
          </cell>
          <cell r="AA3" t="e">
            <v>#REF!</v>
          </cell>
          <cell r="AB3" t="e">
            <v>#REF!</v>
          </cell>
          <cell r="AC3" t="e">
            <v>#REF!</v>
          </cell>
          <cell r="AD3" t="e">
            <v>#REF!</v>
          </cell>
          <cell r="AF3" t="e">
            <v>#REF!</v>
          </cell>
          <cell r="AG3" t="e">
            <v>#REF!</v>
          </cell>
          <cell r="AH3" t="e">
            <v>#REF!</v>
          </cell>
          <cell r="AI3" t="e">
            <v>#REF!</v>
          </cell>
          <cell r="AJ3" t="e">
            <v>#REF!</v>
          </cell>
          <cell r="AK3" t="e">
            <v>#REF!</v>
          </cell>
          <cell r="AL3" t="e">
            <v>#REF!</v>
          </cell>
          <cell r="AM3" t="e">
            <v>#REF!</v>
          </cell>
          <cell r="AN3" t="e">
            <v>#REF!</v>
          </cell>
        </row>
        <row r="4">
          <cell r="C4" t="e">
            <v>#REF!</v>
          </cell>
          <cell r="D4" t="e">
            <v>#REF!</v>
          </cell>
          <cell r="E4" t="e">
            <v>#REF!</v>
          </cell>
          <cell r="F4" t="e">
            <v>#REF!</v>
          </cell>
          <cell r="G4" t="e">
            <v>#REF!</v>
          </cell>
          <cell r="H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 t="e">
            <v>#REF!</v>
          </cell>
          <cell r="R4" t="e">
            <v>#REF!</v>
          </cell>
          <cell r="S4" t="e">
            <v>#REF!</v>
          </cell>
          <cell r="T4" t="e">
            <v>#REF!</v>
          </cell>
          <cell r="V4" t="e">
            <v>#REF!</v>
          </cell>
          <cell r="W4" t="e">
            <v>#REF!</v>
          </cell>
          <cell r="X4" t="e">
            <v>#REF!</v>
          </cell>
          <cell r="Y4" t="e">
            <v>#REF!</v>
          </cell>
          <cell r="Z4" t="e">
            <v>#REF!</v>
          </cell>
          <cell r="AA4" t="e">
            <v>#REF!</v>
          </cell>
          <cell r="AB4" t="e">
            <v>#REF!</v>
          </cell>
          <cell r="AC4" t="e">
            <v>#REF!</v>
          </cell>
          <cell r="AD4" t="e">
            <v>#REF!</v>
          </cell>
          <cell r="AF4" t="e">
            <v>#REF!</v>
          </cell>
          <cell r="AG4" t="e">
            <v>#REF!</v>
          </cell>
          <cell r="AH4" t="e">
            <v>#REF!</v>
          </cell>
          <cell r="AI4" t="e">
            <v>#REF!</v>
          </cell>
          <cell r="AJ4" t="e">
            <v>#REF!</v>
          </cell>
          <cell r="AK4" t="e">
            <v>#REF!</v>
          </cell>
          <cell r="AL4" t="e">
            <v>#REF!</v>
          </cell>
          <cell r="AM4" t="e">
            <v>#REF!</v>
          </cell>
          <cell r="AN4" t="e">
            <v>#REF!</v>
          </cell>
        </row>
        <row r="5">
          <cell r="C5" t="e">
            <v>#REF!</v>
          </cell>
          <cell r="D5" t="e">
            <v>#REF!</v>
          </cell>
          <cell r="E5" t="e">
            <v>#REF!</v>
          </cell>
          <cell r="F5" t="e">
            <v>#REF!</v>
          </cell>
          <cell r="G5" t="e">
            <v>#REF!</v>
          </cell>
          <cell r="H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 t="e">
            <v>#REF!</v>
          </cell>
          <cell r="R5" t="e">
            <v>#REF!</v>
          </cell>
          <cell r="S5" t="e">
            <v>#REF!</v>
          </cell>
          <cell r="T5" t="e">
            <v>#REF!</v>
          </cell>
          <cell r="V5" t="e">
            <v>#REF!</v>
          </cell>
          <cell r="W5" t="e">
            <v>#REF!</v>
          </cell>
          <cell r="X5" t="e">
            <v>#REF!</v>
          </cell>
          <cell r="Y5" t="e">
            <v>#REF!</v>
          </cell>
          <cell r="Z5" t="e">
            <v>#REF!</v>
          </cell>
          <cell r="AA5" t="e">
            <v>#REF!</v>
          </cell>
          <cell r="AB5" t="e">
            <v>#REF!</v>
          </cell>
          <cell r="AC5" t="e">
            <v>#REF!</v>
          </cell>
          <cell r="AD5" t="e">
            <v>#REF!</v>
          </cell>
          <cell r="AF5" t="e">
            <v>#REF!</v>
          </cell>
          <cell r="AG5" t="e">
            <v>#REF!</v>
          </cell>
          <cell r="AH5" t="e">
            <v>#REF!</v>
          </cell>
          <cell r="AI5" t="e">
            <v>#REF!</v>
          </cell>
          <cell r="AJ5" t="e">
            <v>#REF!</v>
          </cell>
          <cell r="AK5" t="e">
            <v>#REF!</v>
          </cell>
          <cell r="AL5" t="e">
            <v>#REF!</v>
          </cell>
          <cell r="AM5" t="e">
            <v>#REF!</v>
          </cell>
          <cell r="AN5" t="e">
            <v>#REF!</v>
          </cell>
        </row>
        <row r="6">
          <cell r="C6" t="e">
            <v>#REF!</v>
          </cell>
          <cell r="D6" t="e">
            <v>#REF!</v>
          </cell>
          <cell r="E6" t="e">
            <v>#REF!</v>
          </cell>
          <cell r="F6" t="e">
            <v>#REF!</v>
          </cell>
          <cell r="G6" t="e">
            <v>#REF!</v>
          </cell>
          <cell r="H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 t="e">
            <v>#REF!</v>
          </cell>
          <cell r="R6" t="e">
            <v>#REF!</v>
          </cell>
          <cell r="S6" t="e">
            <v>#REF!</v>
          </cell>
          <cell r="T6" t="e">
            <v>#REF!</v>
          </cell>
          <cell r="V6" t="e">
            <v>#REF!</v>
          </cell>
          <cell r="W6" t="e">
            <v>#REF!</v>
          </cell>
          <cell r="X6" t="e">
            <v>#REF!</v>
          </cell>
          <cell r="Y6" t="e">
            <v>#REF!</v>
          </cell>
          <cell r="Z6" t="e">
            <v>#REF!</v>
          </cell>
          <cell r="AA6" t="e">
            <v>#REF!</v>
          </cell>
          <cell r="AB6" t="e">
            <v>#REF!</v>
          </cell>
          <cell r="AC6" t="e">
            <v>#REF!</v>
          </cell>
          <cell r="AD6" t="e">
            <v>#REF!</v>
          </cell>
          <cell r="AF6" t="e">
            <v>#REF!</v>
          </cell>
          <cell r="AG6" t="e">
            <v>#REF!</v>
          </cell>
          <cell r="AH6" t="e">
            <v>#REF!</v>
          </cell>
          <cell r="AI6" t="e">
            <v>#REF!</v>
          </cell>
          <cell r="AJ6" t="e">
            <v>#REF!</v>
          </cell>
          <cell r="AK6" t="e">
            <v>#REF!</v>
          </cell>
          <cell r="AL6" t="e">
            <v>#REF!</v>
          </cell>
          <cell r="AM6" t="e">
            <v>#REF!</v>
          </cell>
          <cell r="AN6" t="e">
            <v>#REF!</v>
          </cell>
        </row>
        <row r="7">
          <cell r="C7" t="e">
            <v>#REF!</v>
          </cell>
          <cell r="D7" t="e">
            <v>#REF!</v>
          </cell>
          <cell r="E7" t="e">
            <v>#REF!</v>
          </cell>
          <cell r="F7" t="e">
            <v>#REF!</v>
          </cell>
          <cell r="G7" t="e">
            <v>#REF!</v>
          </cell>
          <cell r="H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 t="e">
            <v>#REF!</v>
          </cell>
          <cell r="R7" t="e">
            <v>#REF!</v>
          </cell>
          <cell r="S7" t="e">
            <v>#REF!</v>
          </cell>
          <cell r="T7" t="e">
            <v>#REF!</v>
          </cell>
          <cell r="V7" t="e">
            <v>#REF!</v>
          </cell>
          <cell r="W7" t="e">
            <v>#REF!</v>
          </cell>
          <cell r="X7" t="e">
            <v>#REF!</v>
          </cell>
          <cell r="Y7" t="e">
            <v>#REF!</v>
          </cell>
          <cell r="Z7" t="e">
            <v>#REF!</v>
          </cell>
          <cell r="AA7" t="e">
            <v>#REF!</v>
          </cell>
          <cell r="AB7" t="e">
            <v>#REF!</v>
          </cell>
          <cell r="AC7" t="e">
            <v>#REF!</v>
          </cell>
          <cell r="AD7" t="e">
            <v>#REF!</v>
          </cell>
          <cell r="AF7" t="e">
            <v>#REF!</v>
          </cell>
          <cell r="AG7" t="e">
            <v>#REF!</v>
          </cell>
          <cell r="AH7" t="e">
            <v>#REF!</v>
          </cell>
          <cell r="AI7" t="e">
            <v>#REF!</v>
          </cell>
          <cell r="AJ7" t="e">
            <v>#REF!</v>
          </cell>
          <cell r="AK7" t="e">
            <v>#REF!</v>
          </cell>
          <cell r="AL7" t="e">
            <v>#REF!</v>
          </cell>
          <cell r="AM7" t="e">
            <v>#REF!</v>
          </cell>
          <cell r="AN7" t="e">
            <v>#REF!</v>
          </cell>
        </row>
        <row r="8">
          <cell r="C8" t="e">
            <v>#REF!</v>
          </cell>
          <cell r="D8" t="e">
            <v>#REF!</v>
          </cell>
          <cell r="E8" t="e">
            <v>#REF!</v>
          </cell>
          <cell r="F8" t="e">
            <v>#REF!</v>
          </cell>
          <cell r="G8" t="e">
            <v>#REF!</v>
          </cell>
          <cell r="H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 t="e">
            <v>#REF!</v>
          </cell>
          <cell r="R8" t="e">
            <v>#REF!</v>
          </cell>
          <cell r="S8" t="e">
            <v>#REF!</v>
          </cell>
          <cell r="T8" t="e">
            <v>#REF!</v>
          </cell>
          <cell r="V8" t="e">
            <v>#REF!</v>
          </cell>
          <cell r="W8" t="e">
            <v>#REF!</v>
          </cell>
          <cell r="X8" t="e">
            <v>#REF!</v>
          </cell>
          <cell r="Y8" t="e">
            <v>#REF!</v>
          </cell>
          <cell r="Z8" t="e">
            <v>#REF!</v>
          </cell>
          <cell r="AA8" t="e">
            <v>#REF!</v>
          </cell>
          <cell r="AB8" t="e">
            <v>#REF!</v>
          </cell>
          <cell r="AC8" t="e">
            <v>#REF!</v>
          </cell>
          <cell r="AD8" t="e">
            <v>#REF!</v>
          </cell>
          <cell r="AF8" t="e">
            <v>#REF!</v>
          </cell>
          <cell r="AG8" t="e">
            <v>#REF!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  <cell r="AL8" t="e">
            <v>#REF!</v>
          </cell>
          <cell r="AM8" t="e">
            <v>#REF!</v>
          </cell>
          <cell r="AN8" t="e">
            <v>#REF!</v>
          </cell>
        </row>
        <row r="10">
          <cell r="C10" t="e">
            <v>#REF!</v>
          </cell>
          <cell r="D10" t="e">
            <v>#REF!</v>
          </cell>
          <cell r="E10" t="e">
            <v>#REF!</v>
          </cell>
          <cell r="F10" t="e">
            <v>#REF!</v>
          </cell>
          <cell r="G10" t="e">
            <v>#REF!</v>
          </cell>
          <cell r="H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 t="e">
            <v>#REF!</v>
          </cell>
          <cell r="R10" t="e">
            <v>#REF!</v>
          </cell>
          <cell r="S10" t="e">
            <v>#REF!</v>
          </cell>
          <cell r="T10" t="e">
            <v>#REF!</v>
          </cell>
          <cell r="V10" t="e">
            <v>#REF!</v>
          </cell>
          <cell r="W10" t="e">
            <v>#REF!</v>
          </cell>
          <cell r="X10" t="e">
            <v>#REF!</v>
          </cell>
          <cell r="Y10" t="e">
            <v>#REF!</v>
          </cell>
          <cell r="Z10" t="e">
            <v>#REF!</v>
          </cell>
          <cell r="AA10" t="e">
            <v>#REF!</v>
          </cell>
          <cell r="AB10" t="e">
            <v>#REF!</v>
          </cell>
          <cell r="AC10" t="e">
            <v>#REF!</v>
          </cell>
          <cell r="AD10" t="e">
            <v>#REF!</v>
          </cell>
          <cell r="AF10" t="e">
            <v>#REF!</v>
          </cell>
          <cell r="AG10" t="e">
            <v>#REF!</v>
          </cell>
          <cell r="AH10" t="e">
            <v>#REF!</v>
          </cell>
          <cell r="AI10" t="e">
            <v>#REF!</v>
          </cell>
          <cell r="AJ10" t="e">
            <v>#REF!</v>
          </cell>
          <cell r="AK10" t="e">
            <v>#REF!</v>
          </cell>
          <cell r="AL10" t="e">
            <v>#REF!</v>
          </cell>
          <cell r="AM10" t="e">
            <v>#REF!</v>
          </cell>
          <cell r="AN10" t="e">
            <v>#REF!</v>
          </cell>
        </row>
        <row r="11">
          <cell r="C11" t="e">
            <v>#REF!</v>
          </cell>
          <cell r="D11" t="e">
            <v>#REF!</v>
          </cell>
          <cell r="E11" t="e">
            <v>#REF!</v>
          </cell>
          <cell r="F11" t="e">
            <v>#REF!</v>
          </cell>
          <cell r="G11" t="e">
            <v>#REF!</v>
          </cell>
          <cell r="H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 t="e">
            <v>#REF!</v>
          </cell>
          <cell r="R11" t="e">
            <v>#REF!</v>
          </cell>
          <cell r="S11" t="e">
            <v>#REF!</v>
          </cell>
          <cell r="T11" t="e">
            <v>#REF!</v>
          </cell>
          <cell r="V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 t="e">
            <v>#REF!</v>
          </cell>
          <cell r="AD11" t="e">
            <v>#REF!</v>
          </cell>
          <cell r="AF11" t="e">
            <v>#REF!</v>
          </cell>
          <cell r="AG11" t="e">
            <v>#REF!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  <cell r="AL11" t="e">
            <v>#REF!</v>
          </cell>
          <cell r="AM11" t="e">
            <v>#REF!</v>
          </cell>
          <cell r="AN11" t="e">
            <v>#REF!</v>
          </cell>
        </row>
        <row r="12">
          <cell r="C12" t="e">
            <v>#REF!</v>
          </cell>
          <cell r="D12" t="e">
            <v>#REF!</v>
          </cell>
          <cell r="E12" t="e">
            <v>#REF!</v>
          </cell>
          <cell r="F12" t="e">
            <v>#REF!</v>
          </cell>
          <cell r="G12" t="e">
            <v>#REF!</v>
          </cell>
          <cell r="H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 t="e">
            <v>#REF!</v>
          </cell>
          <cell r="R12" t="e">
            <v>#REF!</v>
          </cell>
          <cell r="S12" t="e">
            <v>#REF!</v>
          </cell>
          <cell r="T12" t="e">
            <v>#REF!</v>
          </cell>
          <cell r="V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 t="e">
            <v>#REF!</v>
          </cell>
          <cell r="AD12" t="e">
            <v>#REF!</v>
          </cell>
          <cell r="AF12" t="e">
            <v>#REF!</v>
          </cell>
          <cell r="AG12" t="e">
            <v>#REF!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  <cell r="AL12" t="e">
            <v>#REF!</v>
          </cell>
          <cell r="AM12" t="e">
            <v>#REF!</v>
          </cell>
          <cell r="AN12" t="e">
            <v>#REF!</v>
          </cell>
        </row>
        <row r="13">
          <cell r="C13" t="e">
            <v>#REF!</v>
          </cell>
          <cell r="D13" t="e">
            <v>#REF!</v>
          </cell>
          <cell r="E13" t="e">
            <v>#REF!</v>
          </cell>
          <cell r="F13" t="e">
            <v>#REF!</v>
          </cell>
          <cell r="G13" t="e">
            <v>#REF!</v>
          </cell>
          <cell r="H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 t="e">
            <v>#REF!</v>
          </cell>
          <cell r="R13" t="e">
            <v>#REF!</v>
          </cell>
          <cell r="S13" t="e">
            <v>#REF!</v>
          </cell>
          <cell r="T13" t="e">
            <v>#REF!</v>
          </cell>
          <cell r="V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 t="e">
            <v>#REF!</v>
          </cell>
          <cell r="AD13" t="e">
            <v>#REF!</v>
          </cell>
          <cell r="AF13" t="e">
            <v>#REF!</v>
          </cell>
          <cell r="AG13" t="e">
            <v>#REF!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  <cell r="AL13" t="e">
            <v>#REF!</v>
          </cell>
          <cell r="AM13" t="e">
            <v>#REF!</v>
          </cell>
          <cell r="AN13" t="e">
            <v>#REF!</v>
          </cell>
        </row>
        <row r="14">
          <cell r="C14" t="e">
            <v>#REF!</v>
          </cell>
          <cell r="D14" t="e">
            <v>#REF!</v>
          </cell>
          <cell r="E14" t="e">
            <v>#REF!</v>
          </cell>
          <cell r="F14" t="e">
            <v>#REF!</v>
          </cell>
          <cell r="G14" t="e">
            <v>#REF!</v>
          </cell>
          <cell r="H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 t="e">
            <v>#REF!</v>
          </cell>
          <cell r="R14" t="e">
            <v>#REF!</v>
          </cell>
          <cell r="S14" t="e">
            <v>#REF!</v>
          </cell>
          <cell r="T14" t="e">
            <v>#REF!</v>
          </cell>
          <cell r="V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 t="e">
            <v>#REF!</v>
          </cell>
          <cell r="AD14" t="e">
            <v>#REF!</v>
          </cell>
          <cell r="AF14" t="e">
            <v>#REF!</v>
          </cell>
          <cell r="AG14" t="e">
            <v>#REF!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  <cell r="AL14" t="e">
            <v>#REF!</v>
          </cell>
          <cell r="AM14" t="e">
            <v>#REF!</v>
          </cell>
          <cell r="AN14" t="e">
            <v>#REF!</v>
          </cell>
        </row>
        <row r="15">
          <cell r="C15" t="e">
            <v>#REF!</v>
          </cell>
          <cell r="D15" t="e">
            <v>#REF!</v>
          </cell>
          <cell r="E15" t="e">
            <v>#REF!</v>
          </cell>
          <cell r="F15" t="e">
            <v>#REF!</v>
          </cell>
          <cell r="G15" t="e">
            <v>#REF!</v>
          </cell>
          <cell r="H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 t="e">
            <v>#REF!</v>
          </cell>
          <cell r="R15" t="e">
            <v>#REF!</v>
          </cell>
          <cell r="S15" t="e">
            <v>#REF!</v>
          </cell>
          <cell r="T15" t="e">
            <v>#REF!</v>
          </cell>
          <cell r="V15" t="e">
            <v>#REF!</v>
          </cell>
          <cell r="W15" t="e">
            <v>#REF!</v>
          </cell>
          <cell r="X15" t="e">
            <v>#REF!</v>
          </cell>
          <cell r="Y15" t="e">
            <v>#REF!</v>
          </cell>
          <cell r="Z15" t="e">
            <v>#REF!</v>
          </cell>
          <cell r="AA15" t="e">
            <v>#REF!</v>
          </cell>
          <cell r="AB15" t="e">
            <v>#REF!</v>
          </cell>
          <cell r="AC15" t="e">
            <v>#REF!</v>
          </cell>
          <cell r="AD15" t="e">
            <v>#REF!</v>
          </cell>
          <cell r="AF15" t="e">
            <v>#REF!</v>
          </cell>
          <cell r="AG15" t="e">
            <v>#REF!</v>
          </cell>
          <cell r="AH15" t="e">
            <v>#REF!</v>
          </cell>
          <cell r="AI15" t="e">
            <v>#REF!</v>
          </cell>
          <cell r="AJ15" t="e">
            <v>#REF!</v>
          </cell>
          <cell r="AK15" t="e">
            <v>#REF!</v>
          </cell>
          <cell r="AL15" t="e">
            <v>#REF!</v>
          </cell>
          <cell r="AM15" t="e">
            <v>#REF!</v>
          </cell>
          <cell r="AN15" t="e">
            <v>#REF!</v>
          </cell>
        </row>
        <row r="16">
          <cell r="C16" t="e">
            <v>#REF!</v>
          </cell>
          <cell r="D16" t="e">
            <v>#REF!</v>
          </cell>
          <cell r="E16" t="e">
            <v>#REF!</v>
          </cell>
          <cell r="F16" t="e">
            <v>#REF!</v>
          </cell>
          <cell r="G16" t="e">
            <v>#REF!</v>
          </cell>
          <cell r="H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 t="e">
            <v>#REF!</v>
          </cell>
          <cell r="R16" t="e">
            <v>#REF!</v>
          </cell>
          <cell r="S16" t="e">
            <v>#REF!</v>
          </cell>
          <cell r="T16" t="e">
            <v>#REF!</v>
          </cell>
          <cell r="V16" t="e">
            <v>#REF!</v>
          </cell>
          <cell r="W16" t="e">
            <v>#REF!</v>
          </cell>
          <cell r="X16" t="e">
            <v>#REF!</v>
          </cell>
          <cell r="Y16" t="e">
            <v>#REF!</v>
          </cell>
          <cell r="Z16" t="e">
            <v>#REF!</v>
          </cell>
          <cell r="AA16" t="e">
            <v>#REF!</v>
          </cell>
          <cell r="AB16" t="e">
            <v>#REF!</v>
          </cell>
          <cell r="AC16" t="e">
            <v>#REF!</v>
          </cell>
          <cell r="AD16" t="e">
            <v>#REF!</v>
          </cell>
          <cell r="AF16" t="e">
            <v>#REF!</v>
          </cell>
          <cell r="AG16" t="e">
            <v>#REF!</v>
          </cell>
          <cell r="AH16" t="e">
            <v>#REF!</v>
          </cell>
          <cell r="AI16" t="e">
            <v>#REF!</v>
          </cell>
          <cell r="AJ16" t="e">
            <v>#REF!</v>
          </cell>
          <cell r="AK16" t="e">
            <v>#REF!</v>
          </cell>
          <cell r="AL16" t="e">
            <v>#REF!</v>
          </cell>
          <cell r="AM16" t="e">
            <v>#REF!</v>
          </cell>
          <cell r="AN16" t="e">
            <v>#REF!</v>
          </cell>
        </row>
        <row r="17">
          <cell r="C17" t="e">
            <v>#REF!</v>
          </cell>
          <cell r="D17" t="e">
            <v>#REF!</v>
          </cell>
          <cell r="E17" t="e">
            <v>#REF!</v>
          </cell>
          <cell r="F17" t="e">
            <v>#REF!</v>
          </cell>
          <cell r="G17" t="e">
            <v>#REF!</v>
          </cell>
          <cell r="H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 t="e">
            <v>#REF!</v>
          </cell>
          <cell r="R17" t="e">
            <v>#REF!</v>
          </cell>
          <cell r="S17" t="e">
            <v>#REF!</v>
          </cell>
          <cell r="T17" t="e">
            <v>#REF!</v>
          </cell>
          <cell r="V17" t="e">
            <v>#REF!</v>
          </cell>
          <cell r="W17" t="e">
            <v>#REF!</v>
          </cell>
          <cell r="X17" t="e">
            <v>#REF!</v>
          </cell>
          <cell r="Y17" t="e">
            <v>#REF!</v>
          </cell>
          <cell r="Z17" t="e">
            <v>#REF!</v>
          </cell>
          <cell r="AA17" t="e">
            <v>#REF!</v>
          </cell>
          <cell r="AB17" t="e">
            <v>#REF!</v>
          </cell>
          <cell r="AC17" t="e">
            <v>#REF!</v>
          </cell>
          <cell r="AD17" t="e">
            <v>#REF!</v>
          </cell>
          <cell r="AF17" t="e">
            <v>#REF!</v>
          </cell>
          <cell r="AG17" t="e">
            <v>#REF!</v>
          </cell>
          <cell r="AH17" t="e">
            <v>#REF!</v>
          </cell>
          <cell r="AI17" t="e">
            <v>#REF!</v>
          </cell>
          <cell r="AJ17" t="e">
            <v>#REF!</v>
          </cell>
          <cell r="AK17" t="e">
            <v>#REF!</v>
          </cell>
          <cell r="AL17" t="e">
            <v>#REF!</v>
          </cell>
          <cell r="AM17" t="e">
            <v>#REF!</v>
          </cell>
          <cell r="AN17" t="e">
            <v>#REF!</v>
          </cell>
        </row>
        <row r="18">
          <cell r="C18" t="e">
            <v>#REF!</v>
          </cell>
          <cell r="D18" t="e">
            <v>#REF!</v>
          </cell>
          <cell r="E18" t="e">
            <v>#REF!</v>
          </cell>
          <cell r="F18" t="e">
            <v>#REF!</v>
          </cell>
          <cell r="G18" t="e">
            <v>#REF!</v>
          </cell>
          <cell r="H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 t="e">
            <v>#REF!</v>
          </cell>
          <cell r="R18" t="e">
            <v>#REF!</v>
          </cell>
          <cell r="S18" t="e">
            <v>#REF!</v>
          </cell>
          <cell r="T18" t="e">
            <v>#REF!</v>
          </cell>
          <cell r="V18" t="e">
            <v>#REF!</v>
          </cell>
          <cell r="W18" t="e">
            <v>#REF!</v>
          </cell>
          <cell r="X18" t="e">
            <v>#REF!</v>
          </cell>
          <cell r="Y18" t="e">
            <v>#REF!</v>
          </cell>
          <cell r="Z18" t="e">
            <v>#REF!</v>
          </cell>
          <cell r="AA18" t="e">
            <v>#REF!</v>
          </cell>
          <cell r="AB18" t="e">
            <v>#REF!</v>
          </cell>
          <cell r="AC18" t="e">
            <v>#REF!</v>
          </cell>
          <cell r="AD18" t="e">
            <v>#REF!</v>
          </cell>
          <cell r="AF18" t="e">
            <v>#REF!</v>
          </cell>
          <cell r="AG18" t="e">
            <v>#REF!</v>
          </cell>
          <cell r="AH18" t="e">
            <v>#REF!</v>
          </cell>
          <cell r="AI18" t="e">
            <v>#REF!</v>
          </cell>
          <cell r="AJ18" t="e">
            <v>#REF!</v>
          </cell>
          <cell r="AK18" t="e">
            <v>#REF!</v>
          </cell>
          <cell r="AL18" t="e">
            <v>#REF!</v>
          </cell>
          <cell r="AM18" t="e">
            <v>#REF!</v>
          </cell>
          <cell r="AN18" t="e">
            <v>#REF!</v>
          </cell>
        </row>
        <row r="19">
          <cell r="C19" t="e">
            <v>#REF!</v>
          </cell>
          <cell r="D19" t="e">
            <v>#REF!</v>
          </cell>
          <cell r="E19" t="e">
            <v>#REF!</v>
          </cell>
          <cell r="F19" t="e">
            <v>#REF!</v>
          </cell>
          <cell r="G19" t="e">
            <v>#REF!</v>
          </cell>
          <cell r="H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 t="e">
            <v>#REF!</v>
          </cell>
          <cell r="R19" t="e">
            <v>#REF!</v>
          </cell>
          <cell r="S19" t="e">
            <v>#REF!</v>
          </cell>
          <cell r="T19" t="e">
            <v>#REF!</v>
          </cell>
          <cell r="V19" t="e">
            <v>#REF!</v>
          </cell>
          <cell r="W19" t="e">
            <v>#REF!</v>
          </cell>
          <cell r="X19" t="e">
            <v>#REF!</v>
          </cell>
          <cell r="Y19" t="e">
            <v>#REF!</v>
          </cell>
          <cell r="Z19" t="e">
            <v>#REF!</v>
          </cell>
          <cell r="AA19" t="e">
            <v>#REF!</v>
          </cell>
          <cell r="AB19" t="e">
            <v>#REF!</v>
          </cell>
          <cell r="AC19" t="e">
            <v>#REF!</v>
          </cell>
          <cell r="AD19" t="e">
            <v>#REF!</v>
          </cell>
          <cell r="AF19" t="e">
            <v>#REF!</v>
          </cell>
          <cell r="AG19" t="e">
            <v>#REF!</v>
          </cell>
          <cell r="AH19" t="e">
            <v>#REF!</v>
          </cell>
          <cell r="AI19" t="e">
            <v>#REF!</v>
          </cell>
          <cell r="AJ19" t="e">
            <v>#REF!</v>
          </cell>
          <cell r="AK19" t="e">
            <v>#REF!</v>
          </cell>
          <cell r="AL19" t="e">
            <v>#REF!</v>
          </cell>
          <cell r="AM19" t="e">
            <v>#REF!</v>
          </cell>
          <cell r="AN19" t="e">
            <v>#REF!</v>
          </cell>
        </row>
        <row r="20">
          <cell r="C20" t="e">
            <v>#REF!</v>
          </cell>
          <cell r="D20" t="e">
            <v>#REF!</v>
          </cell>
          <cell r="E20" t="e">
            <v>#REF!</v>
          </cell>
          <cell r="F20" t="e">
            <v>#REF!</v>
          </cell>
          <cell r="G20" t="e">
            <v>#REF!</v>
          </cell>
          <cell r="H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 t="e">
            <v>#REF!</v>
          </cell>
          <cell r="R20" t="e">
            <v>#REF!</v>
          </cell>
          <cell r="S20" t="e">
            <v>#REF!</v>
          </cell>
          <cell r="T20" t="e">
            <v>#REF!</v>
          </cell>
          <cell r="V20" t="e">
            <v>#REF!</v>
          </cell>
          <cell r="W20" t="e">
            <v>#REF!</v>
          </cell>
          <cell r="X20" t="e">
            <v>#REF!</v>
          </cell>
          <cell r="Y20" t="e">
            <v>#REF!</v>
          </cell>
          <cell r="Z20" t="e">
            <v>#REF!</v>
          </cell>
          <cell r="AA20" t="e">
            <v>#REF!</v>
          </cell>
          <cell r="AB20" t="e">
            <v>#REF!</v>
          </cell>
          <cell r="AC20" t="e">
            <v>#REF!</v>
          </cell>
          <cell r="AD20" t="e">
            <v>#REF!</v>
          </cell>
          <cell r="AF20" t="e">
            <v>#REF!</v>
          </cell>
          <cell r="AG20" t="e">
            <v>#REF!</v>
          </cell>
          <cell r="AH20" t="e">
            <v>#REF!</v>
          </cell>
          <cell r="AI20" t="e">
            <v>#REF!</v>
          </cell>
          <cell r="AJ20" t="e">
            <v>#REF!</v>
          </cell>
          <cell r="AK20" t="e">
            <v>#REF!</v>
          </cell>
          <cell r="AL20" t="e">
            <v>#REF!</v>
          </cell>
          <cell r="AM20" t="e">
            <v>#REF!</v>
          </cell>
          <cell r="AN20" t="e">
            <v>#REF!</v>
          </cell>
        </row>
        <row r="21">
          <cell r="C21" t="e">
            <v>#REF!</v>
          </cell>
          <cell r="D21" t="e">
            <v>#REF!</v>
          </cell>
          <cell r="E21" t="e">
            <v>#REF!</v>
          </cell>
          <cell r="F21" t="e">
            <v>#REF!</v>
          </cell>
          <cell r="G21" t="e">
            <v>#REF!</v>
          </cell>
          <cell r="H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 t="e">
            <v>#REF!</v>
          </cell>
          <cell r="R21" t="e">
            <v>#REF!</v>
          </cell>
          <cell r="S21" t="e">
            <v>#REF!</v>
          </cell>
          <cell r="T21" t="e">
            <v>#REF!</v>
          </cell>
          <cell r="V21" t="e">
            <v>#REF!</v>
          </cell>
          <cell r="W21" t="e">
            <v>#REF!</v>
          </cell>
          <cell r="X21" t="e">
            <v>#REF!</v>
          </cell>
          <cell r="Y21" t="e">
            <v>#REF!</v>
          </cell>
          <cell r="Z21" t="e">
            <v>#REF!</v>
          </cell>
          <cell r="AA21" t="e">
            <v>#REF!</v>
          </cell>
          <cell r="AB21" t="e">
            <v>#REF!</v>
          </cell>
          <cell r="AC21" t="e">
            <v>#REF!</v>
          </cell>
          <cell r="AD21" t="e">
            <v>#REF!</v>
          </cell>
          <cell r="AF21" t="e">
            <v>#REF!</v>
          </cell>
          <cell r="AG21" t="e">
            <v>#REF!</v>
          </cell>
          <cell r="AH21" t="e">
            <v>#REF!</v>
          </cell>
          <cell r="AI21" t="e">
            <v>#REF!</v>
          </cell>
          <cell r="AJ21" t="e">
            <v>#REF!</v>
          </cell>
          <cell r="AK21" t="e">
            <v>#REF!</v>
          </cell>
          <cell r="AL21" t="e">
            <v>#REF!</v>
          </cell>
          <cell r="AM21" t="e">
            <v>#REF!</v>
          </cell>
          <cell r="AN21" t="e">
            <v>#REF!</v>
          </cell>
        </row>
        <row r="22">
          <cell r="C22" t="e">
            <v>#REF!</v>
          </cell>
          <cell r="D22" t="e">
            <v>#REF!</v>
          </cell>
          <cell r="E22" t="e">
            <v>#REF!</v>
          </cell>
          <cell r="F22" t="e">
            <v>#REF!</v>
          </cell>
          <cell r="G22" t="e">
            <v>#REF!</v>
          </cell>
          <cell r="H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 t="e">
            <v>#REF!</v>
          </cell>
          <cell r="R22" t="e">
            <v>#REF!</v>
          </cell>
          <cell r="S22" t="e">
            <v>#REF!</v>
          </cell>
          <cell r="T22" t="e">
            <v>#REF!</v>
          </cell>
          <cell r="V22" t="e">
            <v>#REF!</v>
          </cell>
          <cell r="W22" t="e">
            <v>#REF!</v>
          </cell>
          <cell r="X22" t="e">
            <v>#REF!</v>
          </cell>
          <cell r="Y22" t="e">
            <v>#REF!</v>
          </cell>
          <cell r="Z22" t="e">
            <v>#REF!</v>
          </cell>
          <cell r="AA22" t="e">
            <v>#REF!</v>
          </cell>
          <cell r="AB22" t="e">
            <v>#REF!</v>
          </cell>
          <cell r="AC22" t="e">
            <v>#REF!</v>
          </cell>
          <cell r="AD22" t="e">
            <v>#REF!</v>
          </cell>
          <cell r="AF22" t="e">
            <v>#REF!</v>
          </cell>
          <cell r="AG22" t="e">
            <v>#REF!</v>
          </cell>
          <cell r="AH22" t="e">
            <v>#REF!</v>
          </cell>
          <cell r="AI22" t="e">
            <v>#REF!</v>
          </cell>
          <cell r="AJ22" t="e">
            <v>#REF!</v>
          </cell>
          <cell r="AK22" t="e">
            <v>#REF!</v>
          </cell>
          <cell r="AL22" t="e">
            <v>#REF!</v>
          </cell>
          <cell r="AM22" t="e">
            <v>#REF!</v>
          </cell>
          <cell r="AN22" t="e">
            <v>#REF!</v>
          </cell>
        </row>
      </sheetData>
      <sheetData sheetId="5">
        <row r="1">
          <cell r="D1" t="str">
            <v>برش</v>
          </cell>
          <cell r="E1" t="str">
            <v>غلاف برداری کابل</v>
          </cell>
          <cell r="F1" t="str">
            <v>غلاف کشی</v>
          </cell>
          <cell r="G1" t="str">
            <v>بادگیری</v>
          </cell>
          <cell r="H1" t="str">
            <v>غلاف کشی و بادگیری</v>
          </cell>
          <cell r="I1" t="str">
            <v>کوتاه کردن سیم</v>
          </cell>
          <cell r="K1" t="str">
            <v>روکش برداری ارت</v>
          </cell>
          <cell r="L1" t="str">
            <v>روکش برداری فار و نول</v>
          </cell>
          <cell r="M1" t="str">
            <v>روکش برداری فاز و نول و ارت</v>
          </cell>
          <cell r="N1" t="str">
            <v>روکش برداری سمت مغزی</v>
          </cell>
          <cell r="O1" t="str">
            <v>پرس ارت</v>
          </cell>
          <cell r="P1" t="str">
            <v>پرس فار و نول</v>
          </cell>
          <cell r="Q1" t="str">
            <v>پرس فاز و نول و ارت</v>
          </cell>
          <cell r="R1" t="str">
            <v>پرس دوبل ارت</v>
          </cell>
          <cell r="S1" t="str">
            <v>پرس اسپیلایس ارت</v>
          </cell>
          <cell r="T1" t="str">
            <v>پرس مغزی اتومات</v>
          </cell>
          <cell r="U1" t="str">
            <v>پرس مغزی دستی</v>
          </cell>
          <cell r="W1" t="str">
            <v>اتصال سوکت ارت</v>
          </cell>
          <cell r="X1" t="str">
            <v>اتصال سوکت فاز و نول</v>
          </cell>
          <cell r="Y1" t="str">
            <v>اتصال سوکت فاز و نول و ارت</v>
          </cell>
          <cell r="Z1" t="str">
            <v>چسب زدن</v>
          </cell>
          <cell r="AA1" t="str">
            <v>اسفنج زدن</v>
          </cell>
          <cell r="AB1" t="str">
            <v>فریت پیچی</v>
          </cell>
          <cell r="AC1" t="str">
            <v>فریت و سوکت همزمان</v>
          </cell>
          <cell r="AD1" t="str">
            <v>مونتاژ وارنیش</v>
          </cell>
          <cell r="AE1" t="str">
            <v>سشوار وارنیش</v>
          </cell>
          <cell r="AG1" t="str">
            <v>تست تک نفره</v>
          </cell>
          <cell r="AH1" t="str">
            <v>تست 2 نفره</v>
          </cell>
          <cell r="AI1" t="str">
            <v>تست 4 نفره</v>
          </cell>
          <cell r="AJ1" t="str">
            <v>تست High-Voltage</v>
          </cell>
          <cell r="AK1" t="str">
            <v>لیبل زدن</v>
          </cell>
          <cell r="AL1" t="str">
            <v>تاباندن با دستگاه</v>
          </cell>
          <cell r="AM1" t="str">
            <v>جمع کردن (کش)</v>
          </cell>
          <cell r="AN1" t="str">
            <v>دسته کردن</v>
          </cell>
          <cell r="AO1" t="str">
            <v>بسته بندی کردن</v>
          </cell>
        </row>
        <row r="3">
          <cell r="D3" t="e">
            <v>#REF!</v>
          </cell>
          <cell r="E3" t="e">
            <v>#REF!</v>
          </cell>
          <cell r="F3" t="e">
            <v>#REF!</v>
          </cell>
          <cell r="G3" t="e">
            <v>#REF!</v>
          </cell>
          <cell r="H3" t="e">
            <v>#REF!</v>
          </cell>
          <cell r="I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 t="e">
            <v>#REF!</v>
          </cell>
          <cell r="R3" t="e">
            <v>#REF!</v>
          </cell>
          <cell r="S3" t="e">
            <v>#REF!</v>
          </cell>
          <cell r="T3" t="e">
            <v>#REF!</v>
          </cell>
          <cell r="U3" t="e">
            <v>#REF!</v>
          </cell>
          <cell r="W3" t="e">
            <v>#REF!</v>
          </cell>
          <cell r="X3" t="e">
            <v>#REF!</v>
          </cell>
          <cell r="Y3" t="e">
            <v>#REF!</v>
          </cell>
          <cell r="Z3" t="e">
            <v>#REF!</v>
          </cell>
          <cell r="AA3" t="e">
            <v>#REF!</v>
          </cell>
          <cell r="AB3" t="e">
            <v>#REF!</v>
          </cell>
          <cell r="AC3" t="e">
            <v>#REF!</v>
          </cell>
          <cell r="AD3" t="e">
            <v>#REF!</v>
          </cell>
          <cell r="AE3" t="e">
            <v>#REF!</v>
          </cell>
          <cell r="AG3" t="e">
            <v>#REF!</v>
          </cell>
          <cell r="AH3" t="e">
            <v>#REF!</v>
          </cell>
          <cell r="AI3" t="e">
            <v>#REF!</v>
          </cell>
          <cell r="AJ3" t="e">
            <v>#REF!</v>
          </cell>
          <cell r="AK3" t="e">
            <v>#REF!</v>
          </cell>
          <cell r="AL3" t="e">
            <v>#REF!</v>
          </cell>
          <cell r="AM3" t="e">
            <v>#REF!</v>
          </cell>
          <cell r="AN3" t="e">
            <v>#REF!</v>
          </cell>
          <cell r="AO3" t="e">
            <v>#REF!</v>
          </cell>
        </row>
        <row r="4">
          <cell r="D4" t="e">
            <v>#REF!</v>
          </cell>
          <cell r="E4" t="e">
            <v>#REF!</v>
          </cell>
          <cell r="F4" t="e">
            <v>#REF!</v>
          </cell>
          <cell r="G4" t="e">
            <v>#REF!</v>
          </cell>
          <cell r="H4" t="e">
            <v>#REF!</v>
          </cell>
          <cell r="I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 t="e">
            <v>#REF!</v>
          </cell>
          <cell r="R4" t="e">
            <v>#REF!</v>
          </cell>
          <cell r="S4" t="e">
            <v>#REF!</v>
          </cell>
          <cell r="T4" t="e">
            <v>#REF!</v>
          </cell>
          <cell r="U4" t="e">
            <v>#REF!</v>
          </cell>
          <cell r="W4" t="e">
            <v>#REF!</v>
          </cell>
          <cell r="X4" t="e">
            <v>#REF!</v>
          </cell>
          <cell r="Y4" t="e">
            <v>#REF!</v>
          </cell>
          <cell r="Z4" t="e">
            <v>#REF!</v>
          </cell>
          <cell r="AA4" t="e">
            <v>#REF!</v>
          </cell>
          <cell r="AB4" t="e">
            <v>#REF!</v>
          </cell>
          <cell r="AC4" t="e">
            <v>#REF!</v>
          </cell>
          <cell r="AD4" t="e">
            <v>#REF!</v>
          </cell>
          <cell r="AE4" t="e">
            <v>#REF!</v>
          </cell>
          <cell r="AG4" t="e">
            <v>#REF!</v>
          </cell>
          <cell r="AH4" t="e">
            <v>#REF!</v>
          </cell>
          <cell r="AI4" t="e">
            <v>#REF!</v>
          </cell>
          <cell r="AJ4" t="e">
            <v>#REF!</v>
          </cell>
          <cell r="AK4" t="e">
            <v>#REF!</v>
          </cell>
          <cell r="AL4" t="e">
            <v>#REF!</v>
          </cell>
          <cell r="AM4" t="e">
            <v>#REF!</v>
          </cell>
          <cell r="AN4" t="e">
            <v>#REF!</v>
          </cell>
          <cell r="AO4" t="e">
            <v>#REF!</v>
          </cell>
        </row>
        <row r="5">
          <cell r="D5" t="e">
            <v>#REF!</v>
          </cell>
          <cell r="E5" t="e">
            <v>#REF!</v>
          </cell>
          <cell r="F5" t="e">
            <v>#REF!</v>
          </cell>
          <cell r="G5" t="e">
            <v>#REF!</v>
          </cell>
          <cell r="H5" t="e">
            <v>#REF!</v>
          </cell>
          <cell r="I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 t="e">
            <v>#REF!</v>
          </cell>
          <cell r="R5" t="e">
            <v>#REF!</v>
          </cell>
          <cell r="S5" t="e">
            <v>#REF!</v>
          </cell>
          <cell r="T5" t="e">
            <v>#REF!</v>
          </cell>
          <cell r="U5" t="e">
            <v>#REF!</v>
          </cell>
          <cell r="W5" t="e">
            <v>#REF!</v>
          </cell>
          <cell r="X5" t="e">
            <v>#REF!</v>
          </cell>
          <cell r="Y5" t="e">
            <v>#REF!</v>
          </cell>
          <cell r="Z5" t="e">
            <v>#REF!</v>
          </cell>
          <cell r="AA5" t="e">
            <v>#REF!</v>
          </cell>
          <cell r="AB5" t="e">
            <v>#REF!</v>
          </cell>
          <cell r="AC5" t="e">
            <v>#REF!</v>
          </cell>
          <cell r="AD5" t="e">
            <v>#REF!</v>
          </cell>
          <cell r="AE5" t="e">
            <v>#REF!</v>
          </cell>
          <cell r="AG5" t="e">
            <v>#REF!</v>
          </cell>
          <cell r="AH5" t="e">
            <v>#REF!</v>
          </cell>
          <cell r="AI5" t="e">
            <v>#REF!</v>
          </cell>
          <cell r="AJ5" t="e">
            <v>#REF!</v>
          </cell>
          <cell r="AK5" t="e">
            <v>#REF!</v>
          </cell>
          <cell r="AL5" t="e">
            <v>#REF!</v>
          </cell>
          <cell r="AM5" t="e">
            <v>#REF!</v>
          </cell>
          <cell r="AN5" t="e">
            <v>#REF!</v>
          </cell>
          <cell r="AO5" t="e">
            <v>#REF!</v>
          </cell>
        </row>
        <row r="6">
          <cell r="D6" t="e">
            <v>#REF!</v>
          </cell>
          <cell r="E6" t="e">
            <v>#REF!</v>
          </cell>
          <cell r="F6" t="e">
            <v>#REF!</v>
          </cell>
          <cell r="G6" t="e">
            <v>#REF!</v>
          </cell>
          <cell r="H6" t="e">
            <v>#REF!</v>
          </cell>
          <cell r="I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 t="e">
            <v>#REF!</v>
          </cell>
          <cell r="R6" t="e">
            <v>#REF!</v>
          </cell>
          <cell r="S6" t="e">
            <v>#REF!</v>
          </cell>
          <cell r="T6" t="e">
            <v>#REF!</v>
          </cell>
          <cell r="U6" t="e">
            <v>#REF!</v>
          </cell>
          <cell r="W6" t="e">
            <v>#REF!</v>
          </cell>
          <cell r="X6" t="e">
            <v>#REF!</v>
          </cell>
          <cell r="Y6" t="e">
            <v>#REF!</v>
          </cell>
          <cell r="Z6" t="e">
            <v>#REF!</v>
          </cell>
          <cell r="AA6" t="e">
            <v>#REF!</v>
          </cell>
          <cell r="AB6" t="e">
            <v>#REF!</v>
          </cell>
          <cell r="AC6" t="e">
            <v>#REF!</v>
          </cell>
          <cell r="AD6" t="e">
            <v>#REF!</v>
          </cell>
          <cell r="AE6" t="e">
            <v>#REF!</v>
          </cell>
          <cell r="AG6" t="e">
            <v>#REF!</v>
          </cell>
          <cell r="AH6" t="e">
            <v>#REF!</v>
          </cell>
          <cell r="AI6" t="e">
            <v>#REF!</v>
          </cell>
          <cell r="AJ6" t="e">
            <v>#REF!</v>
          </cell>
          <cell r="AK6" t="e">
            <v>#REF!</v>
          </cell>
          <cell r="AL6" t="e">
            <v>#REF!</v>
          </cell>
          <cell r="AM6" t="e">
            <v>#REF!</v>
          </cell>
          <cell r="AN6" t="e">
            <v>#REF!</v>
          </cell>
          <cell r="AO6" t="e">
            <v>#REF!</v>
          </cell>
        </row>
        <row r="7">
          <cell r="D7" t="e">
            <v>#REF!</v>
          </cell>
          <cell r="E7" t="e">
            <v>#REF!</v>
          </cell>
          <cell r="F7" t="e">
            <v>#REF!</v>
          </cell>
          <cell r="G7" t="e">
            <v>#REF!</v>
          </cell>
          <cell r="H7" t="e">
            <v>#REF!</v>
          </cell>
          <cell r="I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 t="e">
            <v>#REF!</v>
          </cell>
          <cell r="R7" t="e">
            <v>#REF!</v>
          </cell>
          <cell r="S7" t="e">
            <v>#REF!</v>
          </cell>
          <cell r="T7" t="e">
            <v>#REF!</v>
          </cell>
          <cell r="U7" t="e">
            <v>#REF!</v>
          </cell>
          <cell r="W7" t="e">
            <v>#REF!</v>
          </cell>
          <cell r="X7" t="e">
            <v>#REF!</v>
          </cell>
          <cell r="Y7" t="e">
            <v>#REF!</v>
          </cell>
          <cell r="Z7" t="e">
            <v>#REF!</v>
          </cell>
          <cell r="AA7" t="e">
            <v>#REF!</v>
          </cell>
          <cell r="AB7" t="e">
            <v>#REF!</v>
          </cell>
          <cell r="AC7" t="e">
            <v>#REF!</v>
          </cell>
          <cell r="AD7" t="e">
            <v>#REF!</v>
          </cell>
          <cell r="AE7" t="e">
            <v>#REF!</v>
          </cell>
          <cell r="AG7" t="e">
            <v>#REF!</v>
          </cell>
          <cell r="AH7" t="e">
            <v>#REF!</v>
          </cell>
          <cell r="AI7" t="e">
            <v>#REF!</v>
          </cell>
          <cell r="AJ7" t="e">
            <v>#REF!</v>
          </cell>
          <cell r="AK7" t="e">
            <v>#REF!</v>
          </cell>
          <cell r="AL7" t="e">
            <v>#REF!</v>
          </cell>
          <cell r="AM7" t="e">
            <v>#REF!</v>
          </cell>
          <cell r="AN7" t="e">
            <v>#REF!</v>
          </cell>
          <cell r="AO7" t="e">
            <v>#REF!</v>
          </cell>
        </row>
        <row r="8">
          <cell r="D8" t="e">
            <v>#REF!</v>
          </cell>
          <cell r="E8" t="e">
            <v>#REF!</v>
          </cell>
          <cell r="F8" t="e">
            <v>#REF!</v>
          </cell>
          <cell r="G8" t="e">
            <v>#REF!</v>
          </cell>
          <cell r="H8" t="e">
            <v>#REF!</v>
          </cell>
          <cell r="I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 t="e">
            <v>#REF!</v>
          </cell>
          <cell r="R8" t="e">
            <v>#REF!</v>
          </cell>
          <cell r="S8" t="e">
            <v>#REF!</v>
          </cell>
          <cell r="T8" t="e">
            <v>#REF!</v>
          </cell>
          <cell r="U8" t="e">
            <v>#REF!</v>
          </cell>
          <cell r="W8" t="e">
            <v>#REF!</v>
          </cell>
          <cell r="X8" t="e">
            <v>#REF!</v>
          </cell>
          <cell r="Y8" t="e">
            <v>#REF!</v>
          </cell>
          <cell r="Z8" t="e">
            <v>#REF!</v>
          </cell>
          <cell r="AA8" t="e">
            <v>#REF!</v>
          </cell>
          <cell r="AB8" t="e">
            <v>#REF!</v>
          </cell>
          <cell r="AC8" t="e">
            <v>#REF!</v>
          </cell>
          <cell r="AD8" t="e">
            <v>#REF!</v>
          </cell>
          <cell r="AE8" t="e">
            <v>#REF!</v>
          </cell>
          <cell r="AG8" t="e">
            <v>#REF!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  <cell r="AL8" t="e">
            <v>#REF!</v>
          </cell>
          <cell r="AM8" t="e">
            <v>#REF!</v>
          </cell>
          <cell r="AN8" t="e">
            <v>#REF!</v>
          </cell>
          <cell r="AO8" t="e">
            <v>#REF!</v>
          </cell>
        </row>
        <row r="10">
          <cell r="D10" t="e">
            <v>#REF!</v>
          </cell>
          <cell r="E10" t="e">
            <v>#REF!</v>
          </cell>
          <cell r="F10" t="e">
            <v>#REF!</v>
          </cell>
          <cell r="G10" t="e">
            <v>#REF!</v>
          </cell>
          <cell r="H10" t="e">
            <v>#REF!</v>
          </cell>
          <cell r="I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 t="e">
            <v>#REF!</v>
          </cell>
          <cell r="R10" t="e">
            <v>#REF!</v>
          </cell>
          <cell r="S10" t="e">
            <v>#REF!</v>
          </cell>
          <cell r="T10" t="e">
            <v>#REF!</v>
          </cell>
          <cell r="U10" t="e">
            <v>#REF!</v>
          </cell>
          <cell r="W10" t="e">
            <v>#REF!</v>
          </cell>
          <cell r="X10" t="e">
            <v>#REF!</v>
          </cell>
          <cell r="Y10" t="e">
            <v>#REF!</v>
          </cell>
          <cell r="Z10" t="e">
            <v>#REF!</v>
          </cell>
          <cell r="AA10" t="e">
            <v>#REF!</v>
          </cell>
          <cell r="AB10" t="e">
            <v>#REF!</v>
          </cell>
          <cell r="AC10" t="e">
            <v>#REF!</v>
          </cell>
          <cell r="AD10" t="e">
            <v>#REF!</v>
          </cell>
          <cell r="AE10" t="e">
            <v>#REF!</v>
          </cell>
          <cell r="AG10" t="e">
            <v>#REF!</v>
          </cell>
          <cell r="AH10" t="e">
            <v>#REF!</v>
          </cell>
          <cell r="AI10" t="e">
            <v>#REF!</v>
          </cell>
          <cell r="AJ10" t="e">
            <v>#REF!</v>
          </cell>
          <cell r="AK10" t="e">
            <v>#REF!</v>
          </cell>
          <cell r="AL10" t="e">
            <v>#REF!</v>
          </cell>
          <cell r="AM10" t="e">
            <v>#REF!</v>
          </cell>
          <cell r="AN10" t="e">
            <v>#REF!</v>
          </cell>
          <cell r="AO10" t="e">
            <v>#REF!</v>
          </cell>
        </row>
        <row r="11">
          <cell r="D11" t="e">
            <v>#REF!</v>
          </cell>
          <cell r="E11" t="e">
            <v>#REF!</v>
          </cell>
          <cell r="F11" t="e">
            <v>#REF!</v>
          </cell>
          <cell r="G11" t="e">
            <v>#REF!</v>
          </cell>
          <cell r="H11" t="e">
            <v>#REF!</v>
          </cell>
          <cell r="I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 t="e">
            <v>#REF!</v>
          </cell>
          <cell r="R11" t="e">
            <v>#REF!</v>
          </cell>
          <cell r="S11" t="e">
            <v>#REF!</v>
          </cell>
          <cell r="T11" t="e">
            <v>#REF!</v>
          </cell>
          <cell r="U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 t="e">
            <v>#REF!</v>
          </cell>
          <cell r="AD11" t="e">
            <v>#REF!</v>
          </cell>
          <cell r="AE11" t="e">
            <v>#REF!</v>
          </cell>
          <cell r="AG11" t="e">
            <v>#REF!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  <cell r="AL11" t="e">
            <v>#REF!</v>
          </cell>
          <cell r="AM11" t="e">
            <v>#REF!</v>
          </cell>
          <cell r="AN11" t="e">
            <v>#REF!</v>
          </cell>
          <cell r="AO11" t="e">
            <v>#REF!</v>
          </cell>
        </row>
        <row r="12">
          <cell r="D12" t="e">
            <v>#REF!</v>
          </cell>
          <cell r="E12" t="e">
            <v>#REF!</v>
          </cell>
          <cell r="F12" t="e">
            <v>#REF!</v>
          </cell>
          <cell r="G12" t="e">
            <v>#REF!</v>
          </cell>
          <cell r="H12" t="e">
            <v>#REF!</v>
          </cell>
          <cell r="I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 t="e">
            <v>#REF!</v>
          </cell>
          <cell r="R12" t="e">
            <v>#REF!</v>
          </cell>
          <cell r="S12" t="e">
            <v>#REF!</v>
          </cell>
          <cell r="T12" t="e">
            <v>#REF!</v>
          </cell>
          <cell r="U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 t="e">
            <v>#REF!</v>
          </cell>
          <cell r="AD12" t="e">
            <v>#REF!</v>
          </cell>
          <cell r="AE12" t="e">
            <v>#REF!</v>
          </cell>
          <cell r="AG12" t="e">
            <v>#REF!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  <cell r="AL12" t="e">
            <v>#REF!</v>
          </cell>
          <cell r="AM12" t="e">
            <v>#REF!</v>
          </cell>
          <cell r="AN12" t="e">
            <v>#REF!</v>
          </cell>
          <cell r="AO12" t="e">
            <v>#REF!</v>
          </cell>
        </row>
        <row r="13">
          <cell r="D13" t="e">
            <v>#REF!</v>
          </cell>
          <cell r="E13" t="e">
            <v>#REF!</v>
          </cell>
          <cell r="F13" t="e">
            <v>#REF!</v>
          </cell>
          <cell r="G13" t="e">
            <v>#REF!</v>
          </cell>
          <cell r="H13" t="e">
            <v>#REF!</v>
          </cell>
          <cell r="I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 t="e">
            <v>#REF!</v>
          </cell>
          <cell r="R13" t="e">
            <v>#REF!</v>
          </cell>
          <cell r="S13" t="e">
            <v>#REF!</v>
          </cell>
          <cell r="T13" t="e">
            <v>#REF!</v>
          </cell>
          <cell r="U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 t="e">
            <v>#REF!</v>
          </cell>
          <cell r="AD13" t="e">
            <v>#REF!</v>
          </cell>
          <cell r="AE13" t="e">
            <v>#REF!</v>
          </cell>
          <cell r="AG13" t="e">
            <v>#REF!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  <cell r="AL13" t="e">
            <v>#REF!</v>
          </cell>
          <cell r="AM13" t="e">
            <v>#REF!</v>
          </cell>
          <cell r="AN13" t="e">
            <v>#REF!</v>
          </cell>
          <cell r="AO13" t="e">
            <v>#REF!</v>
          </cell>
        </row>
        <row r="14">
          <cell r="D14" t="e">
            <v>#REF!</v>
          </cell>
          <cell r="E14" t="e">
            <v>#REF!</v>
          </cell>
          <cell r="F14" t="e">
            <v>#REF!</v>
          </cell>
          <cell r="G14" t="e">
            <v>#REF!</v>
          </cell>
          <cell r="H14" t="e">
            <v>#REF!</v>
          </cell>
          <cell r="I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 t="e">
            <v>#REF!</v>
          </cell>
          <cell r="R14" t="e">
            <v>#REF!</v>
          </cell>
          <cell r="S14" t="e">
            <v>#REF!</v>
          </cell>
          <cell r="T14" t="e">
            <v>#REF!</v>
          </cell>
          <cell r="U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 t="e">
            <v>#REF!</v>
          </cell>
          <cell r="AD14" t="e">
            <v>#REF!</v>
          </cell>
          <cell r="AE14" t="e">
            <v>#REF!</v>
          </cell>
          <cell r="AG14" t="e">
            <v>#REF!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  <cell r="AL14" t="e">
            <v>#REF!</v>
          </cell>
          <cell r="AM14" t="e">
            <v>#REF!</v>
          </cell>
          <cell r="AN14" t="e">
            <v>#REF!</v>
          </cell>
          <cell r="AO14" t="e">
            <v>#REF!</v>
          </cell>
        </row>
        <row r="15">
          <cell r="D15" t="e">
            <v>#REF!</v>
          </cell>
          <cell r="E15" t="e">
            <v>#REF!</v>
          </cell>
          <cell r="F15" t="e">
            <v>#REF!</v>
          </cell>
          <cell r="G15" t="e">
            <v>#REF!</v>
          </cell>
          <cell r="H15" t="e">
            <v>#REF!</v>
          </cell>
          <cell r="I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 t="e">
            <v>#REF!</v>
          </cell>
          <cell r="R15" t="e">
            <v>#REF!</v>
          </cell>
          <cell r="S15" t="e">
            <v>#REF!</v>
          </cell>
          <cell r="T15" t="e">
            <v>#REF!</v>
          </cell>
          <cell r="U15" t="e">
            <v>#REF!</v>
          </cell>
          <cell r="W15" t="e">
            <v>#REF!</v>
          </cell>
          <cell r="X15" t="e">
            <v>#REF!</v>
          </cell>
          <cell r="Y15" t="e">
            <v>#REF!</v>
          </cell>
          <cell r="Z15" t="e">
            <v>#REF!</v>
          </cell>
          <cell r="AA15" t="e">
            <v>#REF!</v>
          </cell>
          <cell r="AB15" t="e">
            <v>#REF!</v>
          </cell>
          <cell r="AC15" t="e">
            <v>#REF!</v>
          </cell>
          <cell r="AD15" t="e">
            <v>#REF!</v>
          </cell>
          <cell r="AE15" t="e">
            <v>#REF!</v>
          </cell>
          <cell r="AG15" t="e">
            <v>#REF!</v>
          </cell>
          <cell r="AH15" t="e">
            <v>#REF!</v>
          </cell>
          <cell r="AI15" t="e">
            <v>#REF!</v>
          </cell>
          <cell r="AJ15" t="e">
            <v>#REF!</v>
          </cell>
          <cell r="AK15" t="e">
            <v>#REF!</v>
          </cell>
          <cell r="AL15" t="e">
            <v>#REF!</v>
          </cell>
          <cell r="AM15" t="e">
            <v>#REF!</v>
          </cell>
          <cell r="AN15" t="e">
            <v>#REF!</v>
          </cell>
          <cell r="AO15" t="e">
            <v>#REF!</v>
          </cell>
        </row>
        <row r="16">
          <cell r="D16" t="e">
            <v>#REF!</v>
          </cell>
          <cell r="E16" t="e">
            <v>#REF!</v>
          </cell>
          <cell r="F16" t="e">
            <v>#REF!</v>
          </cell>
          <cell r="G16" t="e">
            <v>#REF!</v>
          </cell>
          <cell r="H16" t="e">
            <v>#REF!</v>
          </cell>
          <cell r="I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 t="e">
            <v>#REF!</v>
          </cell>
          <cell r="R16" t="e">
            <v>#REF!</v>
          </cell>
          <cell r="S16" t="e">
            <v>#REF!</v>
          </cell>
          <cell r="T16" t="e">
            <v>#REF!</v>
          </cell>
          <cell r="U16" t="e">
            <v>#REF!</v>
          </cell>
          <cell r="W16" t="e">
            <v>#REF!</v>
          </cell>
          <cell r="X16" t="e">
            <v>#REF!</v>
          </cell>
          <cell r="Y16" t="e">
            <v>#REF!</v>
          </cell>
          <cell r="Z16" t="e">
            <v>#REF!</v>
          </cell>
          <cell r="AA16" t="e">
            <v>#REF!</v>
          </cell>
          <cell r="AB16" t="e">
            <v>#REF!</v>
          </cell>
          <cell r="AC16" t="e">
            <v>#REF!</v>
          </cell>
          <cell r="AD16" t="e">
            <v>#REF!</v>
          </cell>
          <cell r="AE16" t="e">
            <v>#REF!</v>
          </cell>
          <cell r="AG16" t="e">
            <v>#REF!</v>
          </cell>
          <cell r="AH16" t="e">
            <v>#REF!</v>
          </cell>
          <cell r="AI16" t="e">
            <v>#REF!</v>
          </cell>
          <cell r="AJ16" t="e">
            <v>#REF!</v>
          </cell>
          <cell r="AK16" t="e">
            <v>#REF!</v>
          </cell>
          <cell r="AL16" t="e">
            <v>#REF!</v>
          </cell>
          <cell r="AM16" t="e">
            <v>#REF!</v>
          </cell>
          <cell r="AN16" t="e">
            <v>#REF!</v>
          </cell>
          <cell r="AO16" t="e">
            <v>#REF!</v>
          </cell>
        </row>
        <row r="17">
          <cell r="D17" t="e">
            <v>#REF!</v>
          </cell>
          <cell r="E17" t="e">
            <v>#REF!</v>
          </cell>
          <cell r="F17" t="e">
            <v>#REF!</v>
          </cell>
          <cell r="G17" t="e">
            <v>#REF!</v>
          </cell>
          <cell r="H17" t="e">
            <v>#REF!</v>
          </cell>
          <cell r="I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 t="e">
            <v>#REF!</v>
          </cell>
          <cell r="R17" t="e">
            <v>#REF!</v>
          </cell>
          <cell r="S17" t="e">
            <v>#REF!</v>
          </cell>
          <cell r="T17" t="e">
            <v>#REF!</v>
          </cell>
          <cell r="U17" t="e">
            <v>#REF!</v>
          </cell>
          <cell r="W17" t="e">
            <v>#REF!</v>
          </cell>
          <cell r="X17" t="e">
            <v>#REF!</v>
          </cell>
          <cell r="Y17" t="e">
            <v>#REF!</v>
          </cell>
          <cell r="Z17" t="e">
            <v>#REF!</v>
          </cell>
          <cell r="AA17" t="e">
            <v>#REF!</v>
          </cell>
          <cell r="AB17" t="e">
            <v>#REF!</v>
          </cell>
          <cell r="AC17" t="e">
            <v>#REF!</v>
          </cell>
          <cell r="AD17" t="e">
            <v>#REF!</v>
          </cell>
          <cell r="AE17" t="e">
            <v>#REF!</v>
          </cell>
          <cell r="AG17" t="e">
            <v>#REF!</v>
          </cell>
          <cell r="AH17" t="e">
            <v>#REF!</v>
          </cell>
          <cell r="AI17" t="e">
            <v>#REF!</v>
          </cell>
          <cell r="AJ17" t="e">
            <v>#REF!</v>
          </cell>
          <cell r="AK17" t="e">
            <v>#REF!</v>
          </cell>
          <cell r="AL17" t="e">
            <v>#REF!</v>
          </cell>
          <cell r="AM17" t="e">
            <v>#REF!</v>
          </cell>
          <cell r="AN17" t="e">
            <v>#REF!</v>
          </cell>
          <cell r="AO17" t="e">
            <v>#REF!</v>
          </cell>
        </row>
        <row r="18">
          <cell r="D18" t="e">
            <v>#REF!</v>
          </cell>
          <cell r="E18" t="e">
            <v>#REF!</v>
          </cell>
          <cell r="F18" t="e">
            <v>#REF!</v>
          </cell>
          <cell r="G18" t="e">
            <v>#REF!</v>
          </cell>
          <cell r="H18" t="e">
            <v>#REF!</v>
          </cell>
          <cell r="I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 t="e">
            <v>#REF!</v>
          </cell>
          <cell r="R18" t="e">
            <v>#REF!</v>
          </cell>
          <cell r="S18" t="e">
            <v>#REF!</v>
          </cell>
          <cell r="T18" t="e">
            <v>#REF!</v>
          </cell>
          <cell r="U18" t="e">
            <v>#REF!</v>
          </cell>
          <cell r="W18" t="e">
            <v>#REF!</v>
          </cell>
          <cell r="X18" t="e">
            <v>#REF!</v>
          </cell>
          <cell r="Y18" t="e">
            <v>#REF!</v>
          </cell>
          <cell r="Z18" t="e">
            <v>#REF!</v>
          </cell>
          <cell r="AA18" t="e">
            <v>#REF!</v>
          </cell>
          <cell r="AB18" t="e">
            <v>#REF!</v>
          </cell>
          <cell r="AC18" t="e">
            <v>#REF!</v>
          </cell>
          <cell r="AD18" t="e">
            <v>#REF!</v>
          </cell>
          <cell r="AE18" t="e">
            <v>#REF!</v>
          </cell>
          <cell r="AG18" t="e">
            <v>#REF!</v>
          </cell>
          <cell r="AH18" t="e">
            <v>#REF!</v>
          </cell>
          <cell r="AI18" t="e">
            <v>#REF!</v>
          </cell>
          <cell r="AJ18" t="e">
            <v>#REF!</v>
          </cell>
          <cell r="AK18" t="e">
            <v>#REF!</v>
          </cell>
          <cell r="AL18" t="e">
            <v>#REF!</v>
          </cell>
          <cell r="AM18" t="e">
            <v>#REF!</v>
          </cell>
          <cell r="AN18" t="e">
            <v>#REF!</v>
          </cell>
          <cell r="AO18" t="e">
            <v>#REF!</v>
          </cell>
        </row>
        <row r="19">
          <cell r="D19" t="e">
            <v>#REF!</v>
          </cell>
          <cell r="E19" t="e">
            <v>#REF!</v>
          </cell>
          <cell r="F19" t="e">
            <v>#REF!</v>
          </cell>
          <cell r="G19" t="e">
            <v>#REF!</v>
          </cell>
          <cell r="H19" t="e">
            <v>#REF!</v>
          </cell>
          <cell r="I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 t="e">
            <v>#REF!</v>
          </cell>
          <cell r="R19" t="e">
            <v>#REF!</v>
          </cell>
          <cell r="S19" t="e">
            <v>#REF!</v>
          </cell>
          <cell r="T19" t="e">
            <v>#REF!</v>
          </cell>
          <cell r="U19" t="e">
            <v>#REF!</v>
          </cell>
          <cell r="W19" t="e">
            <v>#REF!</v>
          </cell>
          <cell r="X19" t="e">
            <v>#REF!</v>
          </cell>
          <cell r="Y19" t="e">
            <v>#REF!</v>
          </cell>
          <cell r="Z19" t="e">
            <v>#REF!</v>
          </cell>
          <cell r="AA19" t="e">
            <v>#REF!</v>
          </cell>
          <cell r="AB19" t="e">
            <v>#REF!</v>
          </cell>
          <cell r="AC19" t="e">
            <v>#REF!</v>
          </cell>
          <cell r="AD19" t="e">
            <v>#REF!</v>
          </cell>
          <cell r="AE19" t="e">
            <v>#REF!</v>
          </cell>
          <cell r="AG19" t="e">
            <v>#REF!</v>
          </cell>
          <cell r="AH19" t="e">
            <v>#REF!</v>
          </cell>
          <cell r="AI19" t="e">
            <v>#REF!</v>
          </cell>
          <cell r="AJ19" t="e">
            <v>#REF!</v>
          </cell>
          <cell r="AK19" t="e">
            <v>#REF!</v>
          </cell>
          <cell r="AL19" t="e">
            <v>#REF!</v>
          </cell>
          <cell r="AM19" t="e">
            <v>#REF!</v>
          </cell>
          <cell r="AN19" t="e">
            <v>#REF!</v>
          </cell>
          <cell r="AO19" t="e">
            <v>#REF!</v>
          </cell>
        </row>
        <row r="20">
          <cell r="D20" t="e">
            <v>#REF!</v>
          </cell>
          <cell r="E20" t="e">
            <v>#REF!</v>
          </cell>
          <cell r="F20" t="e">
            <v>#REF!</v>
          </cell>
          <cell r="G20" t="e">
            <v>#REF!</v>
          </cell>
          <cell r="H20" t="e">
            <v>#REF!</v>
          </cell>
          <cell r="I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 t="e">
            <v>#REF!</v>
          </cell>
          <cell r="R20" t="e">
            <v>#REF!</v>
          </cell>
          <cell r="S20" t="e">
            <v>#REF!</v>
          </cell>
          <cell r="T20" t="e">
            <v>#REF!</v>
          </cell>
          <cell r="U20" t="e">
            <v>#REF!</v>
          </cell>
          <cell r="W20" t="e">
            <v>#REF!</v>
          </cell>
          <cell r="X20" t="e">
            <v>#REF!</v>
          </cell>
          <cell r="Y20" t="e">
            <v>#REF!</v>
          </cell>
          <cell r="Z20" t="e">
            <v>#REF!</v>
          </cell>
          <cell r="AA20" t="e">
            <v>#REF!</v>
          </cell>
          <cell r="AB20" t="e">
            <v>#REF!</v>
          </cell>
          <cell r="AC20" t="e">
            <v>#REF!</v>
          </cell>
          <cell r="AD20" t="e">
            <v>#REF!</v>
          </cell>
          <cell r="AE20" t="e">
            <v>#REF!</v>
          </cell>
          <cell r="AG20" t="e">
            <v>#REF!</v>
          </cell>
          <cell r="AH20" t="e">
            <v>#REF!</v>
          </cell>
          <cell r="AI20" t="e">
            <v>#REF!</v>
          </cell>
          <cell r="AJ20" t="e">
            <v>#REF!</v>
          </cell>
          <cell r="AK20" t="e">
            <v>#REF!</v>
          </cell>
          <cell r="AL20" t="e">
            <v>#REF!</v>
          </cell>
          <cell r="AM20" t="e">
            <v>#REF!</v>
          </cell>
          <cell r="AN20" t="e">
            <v>#REF!</v>
          </cell>
          <cell r="AO20" t="e">
            <v>#REF!</v>
          </cell>
        </row>
        <row r="21">
          <cell r="D21" t="e">
            <v>#REF!</v>
          </cell>
          <cell r="E21" t="e">
            <v>#REF!</v>
          </cell>
          <cell r="F21" t="e">
            <v>#REF!</v>
          </cell>
          <cell r="G21" t="e">
            <v>#REF!</v>
          </cell>
          <cell r="H21" t="e">
            <v>#REF!</v>
          </cell>
          <cell r="I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 t="e">
            <v>#REF!</v>
          </cell>
          <cell r="R21" t="e">
            <v>#REF!</v>
          </cell>
          <cell r="S21" t="e">
            <v>#REF!</v>
          </cell>
          <cell r="T21" t="e">
            <v>#REF!</v>
          </cell>
          <cell r="U21" t="e">
            <v>#REF!</v>
          </cell>
          <cell r="W21" t="e">
            <v>#REF!</v>
          </cell>
          <cell r="X21" t="e">
            <v>#REF!</v>
          </cell>
          <cell r="Y21" t="e">
            <v>#REF!</v>
          </cell>
          <cell r="Z21" t="e">
            <v>#REF!</v>
          </cell>
          <cell r="AA21" t="e">
            <v>#REF!</v>
          </cell>
          <cell r="AB21" t="e">
            <v>#REF!</v>
          </cell>
          <cell r="AC21" t="e">
            <v>#REF!</v>
          </cell>
          <cell r="AD21" t="e">
            <v>#REF!</v>
          </cell>
          <cell r="AE21" t="e">
            <v>#REF!</v>
          </cell>
          <cell r="AG21" t="e">
            <v>#REF!</v>
          </cell>
          <cell r="AH21" t="e">
            <v>#REF!</v>
          </cell>
          <cell r="AI21" t="e">
            <v>#REF!</v>
          </cell>
          <cell r="AJ21" t="e">
            <v>#REF!</v>
          </cell>
          <cell r="AK21" t="e">
            <v>#REF!</v>
          </cell>
          <cell r="AL21" t="e">
            <v>#REF!</v>
          </cell>
          <cell r="AM21" t="e">
            <v>#REF!</v>
          </cell>
          <cell r="AN21" t="e">
            <v>#REF!</v>
          </cell>
          <cell r="AO21" t="e">
            <v>#REF!</v>
          </cell>
        </row>
        <row r="22">
          <cell r="D22" t="e">
            <v>#REF!</v>
          </cell>
          <cell r="E22" t="e">
            <v>#REF!</v>
          </cell>
          <cell r="F22" t="e">
            <v>#REF!</v>
          </cell>
          <cell r="G22" t="e">
            <v>#REF!</v>
          </cell>
          <cell r="H22" t="e">
            <v>#REF!</v>
          </cell>
          <cell r="I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 t="e">
            <v>#REF!</v>
          </cell>
          <cell r="R22" t="e">
            <v>#REF!</v>
          </cell>
          <cell r="S22" t="e">
            <v>#REF!</v>
          </cell>
          <cell r="T22" t="e">
            <v>#REF!</v>
          </cell>
          <cell r="U22" t="e">
            <v>#REF!</v>
          </cell>
          <cell r="W22" t="e">
            <v>#REF!</v>
          </cell>
          <cell r="X22" t="e">
            <v>#REF!</v>
          </cell>
          <cell r="Y22" t="e">
            <v>#REF!</v>
          </cell>
          <cell r="Z22" t="e">
            <v>#REF!</v>
          </cell>
          <cell r="AA22" t="e">
            <v>#REF!</v>
          </cell>
          <cell r="AB22" t="e">
            <v>#REF!</v>
          </cell>
          <cell r="AC22" t="e">
            <v>#REF!</v>
          </cell>
          <cell r="AD22" t="e">
            <v>#REF!</v>
          </cell>
          <cell r="AE22" t="e">
            <v>#REF!</v>
          </cell>
          <cell r="AG22" t="e">
            <v>#REF!</v>
          </cell>
          <cell r="AH22" t="e">
            <v>#REF!</v>
          </cell>
          <cell r="AI22" t="e">
            <v>#REF!</v>
          </cell>
          <cell r="AJ22" t="e">
            <v>#REF!</v>
          </cell>
          <cell r="AK22" t="e">
            <v>#REF!</v>
          </cell>
          <cell r="AL22" t="e">
            <v>#REF!</v>
          </cell>
          <cell r="AM22" t="e">
            <v>#REF!</v>
          </cell>
          <cell r="AN22" t="e">
            <v>#REF!</v>
          </cell>
          <cell r="AO22" t="e">
            <v>#REF!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ثبت تولید"/>
      <sheetName val="ثبت برش"/>
      <sheetName val="فعالیتها"/>
      <sheetName val="آقای نجفی"/>
      <sheetName val="آقای مرتضوی"/>
      <sheetName val="آقای بازیار"/>
      <sheetName val="آقای صدیقی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B2" t="str">
            <v>برش</v>
          </cell>
          <cell r="F2" t="str">
            <v>غلاف برداری دستگاه</v>
          </cell>
        </row>
        <row r="5">
          <cell r="B5" t="str">
            <v>غلاف برداری دستی</v>
          </cell>
          <cell r="F5" t="str">
            <v>باد گرفتن کابل ها</v>
          </cell>
        </row>
        <row r="8">
          <cell r="B8" t="str">
            <v>غلاف برداری دستی و باد</v>
          </cell>
          <cell r="F8" t="str">
            <v>کوتاه کردن سیم</v>
          </cell>
        </row>
        <row r="11">
          <cell r="B11" t="str">
            <v>روکش برداری سمت سر سیم TV</v>
          </cell>
          <cell r="F11" t="str">
            <v>روکش برداری فاز و نول و ارت</v>
          </cell>
        </row>
        <row r="14">
          <cell r="B14" t="str">
            <v>روکش برداری فاز و نول</v>
          </cell>
          <cell r="F14" t="str">
            <v>روکش برداری ارت</v>
          </cell>
        </row>
        <row r="17">
          <cell r="B17" t="str">
            <v>پرس سرسیم فاز و نول و ارت</v>
          </cell>
          <cell r="F17" t="str">
            <v>پرس سرسیم فاز و نول</v>
          </cell>
        </row>
        <row r="20">
          <cell r="B20" t="str">
            <v>پرس سرسیم ارت</v>
          </cell>
          <cell r="F20" t="str">
            <v>پرس دوبل ارت</v>
          </cell>
        </row>
        <row r="23">
          <cell r="B23" t="str">
            <v>پرس اسپیلایس ارت</v>
          </cell>
          <cell r="F23" t="str">
            <v>پرس سر سیم TV</v>
          </cell>
        </row>
        <row r="26">
          <cell r="B26" t="str">
            <v>پرس مغزی دستی</v>
          </cell>
          <cell r="F26" t="str">
            <v>پرس مغزی نیمه اتومات</v>
          </cell>
        </row>
        <row r="29">
          <cell r="B29" t="str">
            <v>پرس مغزی اتومات TV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794.705411226852" createdVersion="7" refreshedVersion="7" minRefreshableVersion="3" recordCount="366" xr:uid="{BBE1E42F-8548-4CA8-A381-16FABFDFD18D}">
  <cacheSource type="worksheet">
    <worksheetSource name="reportTbl"/>
  </cacheSource>
  <cacheFields count="17">
    <cacheField name="date" numFmtId="0">
      <sharedItems count="366">
        <s v="1404/01/01"/>
        <s v="1404/01/02"/>
        <s v="1404/01/03"/>
        <s v="1404/01/04"/>
        <s v="1404/01/05"/>
        <s v="1404/01/06"/>
        <s v="1404/01/07"/>
        <s v="1404/01/08"/>
        <s v="1404/01/09"/>
        <s v="1404/01/10"/>
        <s v="1404/01/11"/>
        <s v="1404/01/12"/>
        <s v="1404/01/13"/>
        <s v="1404/01/14"/>
        <s v="1404/01/15"/>
        <s v="1404/01/16"/>
        <s v="1404/01/17"/>
        <s v="1404/01/18"/>
        <s v="1404/01/19"/>
        <s v="1404/01/20"/>
        <s v="1404/01/21"/>
        <s v="1404/01/22"/>
        <s v="1404/01/23"/>
        <s v="1404/01/24"/>
        <s v="1404/01/25"/>
        <s v="1404/01/26"/>
        <s v="1404/01/27"/>
        <s v="1404/01/28"/>
        <s v="1404/01/29"/>
        <s v="1404/01/30"/>
        <s v="1404/01/31"/>
        <s v="1404/02/01"/>
        <s v="1404/02/02"/>
        <s v="1404/02/03"/>
        <s v="1404/02/04"/>
        <s v="1404/02/05"/>
        <s v="1404/02/06"/>
        <s v="1404/02/07"/>
        <s v="1404/02/08"/>
        <s v="1404/02/09"/>
        <s v="1404/02/10"/>
        <s v="1404/02/11"/>
        <s v="1404/02/12"/>
        <s v="1404/02/13"/>
        <s v="1404/02/14"/>
        <s v="1404/02/15"/>
        <s v="1404/02/16"/>
        <s v="1404/02/17"/>
        <s v="1404/02/18"/>
        <s v="1404/02/19"/>
        <s v="1404/02/20"/>
        <s v="1404/02/21"/>
        <s v="1404/02/22"/>
        <s v="1404/02/23"/>
        <s v="1404/02/24"/>
        <s v="1404/02/25"/>
        <s v="1404/02/26"/>
        <s v="1404/02/27"/>
        <s v="1404/02/28"/>
        <s v="1404/02/29"/>
        <s v="1404/02/30"/>
        <s v="1404/02/31"/>
        <s v="1404/03/01"/>
        <s v="1404/03/02"/>
        <s v="1404/03/03"/>
        <s v="1404/03/04"/>
        <s v="1404/03/05"/>
        <s v="1404/03/06"/>
        <s v="1404/03/07"/>
        <s v="1404/03/08"/>
        <s v="1404/03/09"/>
        <s v="1404/03/10"/>
        <s v="1404/03/11"/>
        <s v="1404/03/12"/>
        <s v="1404/03/13"/>
        <s v="1404/03/14"/>
        <s v="1404/03/15"/>
        <s v="1404/03/16"/>
        <s v="1404/03/17"/>
        <s v="1404/03/18"/>
        <s v="1404/03/19"/>
        <s v="1404/03/20"/>
        <s v="1404/03/21"/>
        <s v="1404/03/22"/>
        <s v="1404/03/23"/>
        <s v="1404/03/24"/>
        <s v="1404/03/25"/>
        <s v="1404/03/26"/>
        <s v="1404/03/27"/>
        <s v="1404/03/28"/>
        <s v="1404/03/29"/>
        <s v="1404/03/30"/>
        <s v="1404/03/31"/>
        <s v="1404/04/01"/>
        <s v="1404/04/02"/>
        <s v="1404/04/03"/>
        <s v="1404/04/04"/>
        <s v="1404/04/05"/>
        <s v="1404/04/06"/>
        <s v="1404/04/07"/>
        <s v="1404/04/08"/>
        <s v="1404/04/09"/>
        <s v="1404/04/10"/>
        <s v="1404/04/11"/>
        <s v="1404/04/12"/>
        <s v="1404/04/13"/>
        <s v="1404/04/14"/>
        <s v="1404/04/15"/>
        <s v="1404/04/16"/>
        <s v="1404/04/17"/>
        <s v="1404/04/18"/>
        <s v="1404/04/19"/>
        <s v="1404/04/20"/>
        <s v="1404/04/21"/>
        <s v="1404/04/22"/>
        <s v="1404/04/23"/>
        <s v="1404/04/24"/>
        <s v="1404/04/25"/>
        <s v="1404/04/26"/>
        <s v="1404/04/27"/>
        <s v="1404/04/28"/>
        <s v="1404/04/29"/>
        <s v="1404/04/30"/>
        <s v="1404/04/31"/>
        <s v="1404/05/01"/>
        <s v="1404/05/02"/>
        <s v="1404/05/03"/>
        <s v="1404/05/04"/>
        <s v="1404/05/05"/>
        <s v="1404/05/06"/>
        <s v="1404/05/07"/>
        <s v="1404/05/08"/>
        <s v="1404/05/09"/>
        <s v="1404/05/10"/>
        <s v="1404/05/11"/>
        <s v="1404/05/12"/>
        <s v="1404/05/13"/>
        <s v="1404/05/14"/>
        <s v="1404/05/15"/>
        <s v="1404/05/16"/>
        <s v="1404/05/17"/>
        <s v="1404/05/18"/>
        <s v="1404/05/19"/>
        <s v="1404/05/20"/>
        <s v="1404/05/21"/>
        <s v="1404/05/22"/>
        <s v="1404/05/23"/>
        <s v="1404/05/24"/>
        <s v="1404/05/25"/>
        <s v="1404/05/26"/>
        <s v="1404/05/27"/>
        <s v="1404/05/28"/>
        <s v="1404/05/29"/>
        <s v="1404/05/30"/>
        <s v="1404/05/31"/>
        <s v="1404/06/01"/>
        <s v="1404/06/02"/>
        <s v="1404/06/03"/>
        <s v="1404/06/04"/>
        <s v="1404/06/05"/>
        <s v="1404/06/06"/>
        <s v="1404/06/07"/>
        <s v="1404/06/08"/>
        <s v="1404/06/09"/>
        <s v="1404/06/10"/>
        <s v="1404/06/11"/>
        <s v="1404/06/12"/>
        <s v="1404/06/13"/>
        <s v="1404/06/14"/>
        <s v="1404/06/15"/>
        <s v="1404/06/16"/>
        <s v="1404/06/17"/>
        <s v="1404/06/18"/>
        <s v="1404/06/19"/>
        <s v="1404/06/20"/>
        <s v="1404/06/21"/>
        <s v="1404/06/22"/>
        <s v="1404/06/23"/>
        <s v="1404/06/24"/>
        <s v="1404/06/25"/>
        <s v="1404/06/26"/>
        <s v="1404/06/27"/>
        <s v="1404/06/28"/>
        <s v="1404/06/29"/>
        <s v="1404/06/30"/>
        <s v="1404/06/31"/>
        <s v="1404/07/01"/>
        <s v="1404/07/02"/>
        <s v="1404/07/03"/>
        <s v="1404/07/04"/>
        <s v="1404/07/05"/>
        <s v="1404/07/06"/>
        <s v="1404/07/07"/>
        <s v="1404/07/08"/>
        <s v="1404/07/09"/>
        <s v="1404/07/10"/>
        <s v="1404/07/11"/>
        <s v="1404/07/12"/>
        <s v="1404/07/13"/>
        <s v="1404/07/14"/>
        <s v="1404/07/15"/>
        <s v="1404/07/16"/>
        <s v="1404/07/17"/>
        <s v="1404/07/18"/>
        <s v="1404/07/19"/>
        <s v="1404/07/20"/>
        <s v="1404/07/21"/>
        <s v="1404/07/22"/>
        <s v="1404/07/23"/>
        <s v="1404/07/24"/>
        <s v="1404/07/25"/>
        <s v="1404/07/26"/>
        <s v="1404/07/27"/>
        <s v="1404/07/28"/>
        <s v="1404/07/29"/>
        <s v="1404/07/30"/>
        <s v="1404/08/01"/>
        <s v="1404/08/02"/>
        <s v="1404/08/03"/>
        <s v="1404/08/04"/>
        <s v="1404/08/05"/>
        <s v="1404/08/06"/>
        <s v="1404/08/07"/>
        <s v="1404/08/08"/>
        <s v="1404/08/09"/>
        <s v="1404/08/10"/>
        <s v="1404/08/11"/>
        <s v="1404/08/12"/>
        <s v="1404/08/13"/>
        <s v="1404/08/14"/>
        <s v="1404/08/15"/>
        <s v="1404/08/16"/>
        <s v="1404/08/17"/>
        <s v="1404/08/18"/>
        <s v="1404/08/19"/>
        <s v="1404/08/20"/>
        <s v="1404/08/21"/>
        <s v="1404/08/22"/>
        <s v="1404/08/23"/>
        <s v="1404/08/24"/>
        <s v="1404/08/25"/>
        <s v="1404/08/26"/>
        <s v="1404/08/27"/>
        <s v="1404/08/28"/>
        <s v="1404/08/29"/>
        <s v="1404/08/30"/>
        <s v="1404/09/01"/>
        <s v="1404/09/02"/>
        <s v="1404/09/03"/>
        <s v="1404/09/04"/>
        <s v="1404/09/05"/>
        <s v="1404/09/06"/>
        <s v="1404/09/07"/>
        <s v="1404/09/08"/>
        <s v="1404/09/09"/>
        <s v="1404/09/10"/>
        <s v="1404/09/11"/>
        <s v="1404/09/12"/>
        <s v="1404/09/13"/>
        <s v="1404/09/14"/>
        <s v="1404/09/15"/>
        <s v="1404/09/16"/>
        <s v="1404/09/17"/>
        <s v="1404/09/18"/>
        <s v="1404/09/19"/>
        <s v="1404/09/20"/>
        <s v="1404/09/21"/>
        <s v="1404/09/22"/>
        <s v="1404/09/23"/>
        <s v="1404/09/24"/>
        <s v="1404/09/25"/>
        <s v="1404/09/26"/>
        <s v="1404/09/27"/>
        <s v="1404/09/28"/>
        <s v="1404/09/29"/>
        <s v="1404/09/30"/>
        <s v="1404/10/01"/>
        <s v="1404/10/02"/>
        <s v="1404/10/03"/>
        <s v="1404/10/04"/>
        <s v="1404/10/05"/>
        <s v="1404/10/06"/>
        <s v="1404/10/07"/>
        <s v="1404/10/08"/>
        <s v="1404/10/09"/>
        <s v="1404/10/10"/>
        <s v="1404/10/11"/>
        <s v="1404/10/12"/>
        <s v="1404/10/13"/>
        <s v="1404/10/14"/>
        <s v="1404/10/15"/>
        <s v="1404/10/16"/>
        <s v="1404/10/17"/>
        <s v="1404/10/18"/>
        <s v="1404/10/19"/>
        <s v="1404/10/20"/>
        <s v="1404/10/21"/>
        <s v="1404/10/22"/>
        <s v="1404/10/23"/>
        <s v="1404/10/24"/>
        <s v="1404/10/25"/>
        <s v="1404/10/26"/>
        <s v="1404/10/27"/>
        <s v="1404/10/28"/>
        <s v="1404/10/29"/>
        <s v="1404/10/30"/>
        <s v="1404/11/01"/>
        <s v="1404/11/02"/>
        <s v="1404/11/03"/>
        <s v="1404/11/04"/>
        <s v="1404/11/05"/>
        <s v="1404/11/06"/>
        <s v="1404/11/07"/>
        <s v="1404/11/08"/>
        <s v="1404/11/09"/>
        <s v="1404/11/10"/>
        <s v="1404/11/11"/>
        <s v="1404/11/12"/>
        <s v="1404/11/13"/>
        <s v="1404/11/14"/>
        <s v="1404/11/15"/>
        <s v="1404/11/16"/>
        <s v="1404/11/17"/>
        <s v="1404/11/18"/>
        <s v="1404/11/19"/>
        <s v="1404/11/20"/>
        <s v="1404/11/21"/>
        <s v="1404/11/22"/>
        <s v="1404/11/23"/>
        <s v="1404/11/24"/>
        <s v="1404/11/25"/>
        <s v="1404/11/26"/>
        <s v="1404/11/27"/>
        <s v="1404/11/28"/>
        <s v="1404/11/29"/>
        <s v="1404/11/30"/>
        <s v="1404/12/01"/>
        <s v="1404/12/02"/>
        <s v="1404/12/03"/>
        <s v="1404/12/04"/>
        <s v="1404/12/05"/>
        <s v="1404/12/06"/>
        <s v="1404/12/07"/>
        <s v="1404/12/08"/>
        <s v="1404/12/09"/>
        <s v="1404/12/10"/>
        <s v="1404/12/11"/>
        <s v="1404/12/12"/>
        <s v="1404/12/13"/>
        <s v="1404/12/14"/>
        <s v="1404/12/15"/>
        <s v="1404/12/16"/>
        <s v="1404/12/17"/>
        <s v="1404/12/18"/>
        <s v="1404/12/19"/>
        <s v="1404/12/20"/>
        <s v="1404/12/21"/>
        <s v="1404/12/22"/>
        <s v="1404/12/23"/>
        <s v="1404/12/24"/>
        <s v="1404/12/25"/>
        <s v="1404/12/26"/>
        <s v="1404/12/27"/>
        <s v="1404/12/28"/>
        <s v="1404/12/29"/>
        <s v="1404/12/30"/>
      </sharedItems>
    </cacheField>
    <cacheField name="day" numFmtId="0">
      <sharedItems/>
    </cacheField>
    <cacheField name="دستور برش" numFmtId="3">
      <sharedItems containsSemiMixedTypes="0" containsString="0" containsNumber="1" containsInteger="1" minValue="0" maxValue="14695"/>
    </cacheField>
    <cacheField name="رسیده از مرکز3" numFmtId="3">
      <sharedItems containsString="0" containsBlank="1" containsNumber="1" containsInteger="1" minValue="300" maxValue="4400"/>
    </cacheField>
    <cacheField name="بسته بندی" numFmtId="3">
      <sharedItems containsSemiMixedTypes="0" containsString="0" containsNumber="1" containsInteger="1" minValue="0" maxValue="8630"/>
    </cacheField>
    <cacheField name="وزن تولید" numFmtId="3">
      <sharedItems containsSemiMixedTypes="0" containsString="0" containsNumber="1" minValue="0" maxValue="20725.379128005588"/>
    </cacheField>
    <cacheField name="personels" numFmtId="3">
      <sharedItems containsBlank="1" containsMixedTypes="1" containsNumber="1" containsInteger="1" minValue="5" maxValue="50"/>
    </cacheField>
    <cacheField name="تعداد نیرو" numFmtId="3">
      <sharedItems containsSemiMixedTypes="0" containsString="0" containsNumber="1" minValue="-0.5" maxValue="43.81818181818182"/>
    </cacheField>
    <cacheField name="بهره وری" numFmtId="9">
      <sharedItems containsSemiMixedTypes="0" containsString="0" containsNumber="1" minValue="-22.186862715753765" maxValue="1.5159195874643923"/>
    </cacheField>
    <cacheField name="توضیحات" numFmtId="3">
      <sharedItems containsBlank="1"/>
    </cacheField>
    <cacheField name="T01" numFmtId="0">
      <sharedItems containsString="0" containsBlank="1" containsNumber="1" containsInteger="1" minValue="0" maxValue="3000"/>
    </cacheField>
    <cacheField name="T02" numFmtId="0">
      <sharedItems containsString="0" containsBlank="1" containsNumber="1" containsInteger="1" minValue="0" maxValue="3600"/>
    </cacheField>
    <cacheField name="T03" numFmtId="0">
      <sharedItems containsString="0" containsBlank="1" containsNumber="1" containsInteger="1" minValue="0" maxValue="2400"/>
    </cacheField>
    <cacheField name="TV" numFmtId="0">
      <sharedItems containsString="0" containsBlank="1" containsNumber="1" containsInteger="1" minValue="0" maxValue="3100"/>
    </cacheField>
    <cacheField name="onWork" numFmtId="0">
      <sharedItems containsSemiMixedTypes="0" containsString="0" containsNumber="1" containsInteger="1" minValue="0" maxValue="1" count="2">
        <n v="0"/>
        <n v="1"/>
      </sharedItems>
    </cacheField>
    <cacheField name="mounth" numFmtId="171">
      <sharedItems containsMixedTypes="1" containsNumber="1" containsInteger="1" minValue="12" maxValue="12" count="13">
        <s v="01"/>
        <s v="02"/>
        <s v="03"/>
        <s v="04"/>
        <s v="05"/>
        <s v="06"/>
        <s v="07"/>
        <s v="08"/>
        <s v="09"/>
        <s v="10"/>
        <s v="11"/>
        <s v="12"/>
        <n v="12"/>
      </sharedItems>
    </cacheField>
    <cacheField name="received TimeOut" numFmtId="3">
      <sharedItems containsSemiMixedTypes="0" containsString="0" containsNumber="1" minValue="0" maxValue="1437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810.439554745368" createdVersion="7" refreshedVersion="7" minRefreshableVersion="3" recordCount="29" xr:uid="{9730261D-7496-4166-B2EA-9E17FE80718C}">
  <cacheSource type="worksheet">
    <worksheetSource name="IIITbl"/>
  </cacheSource>
  <cacheFields count="8">
    <cacheField name="date" numFmtId="14">
      <sharedItems/>
    </cacheField>
    <cacheField name="product" numFmtId="0">
      <sharedItems containsSemiMixedTypes="0" containsString="0" containsNumber="1" containsInteger="1" minValue="140010230" maxValue="140310083" count="5">
        <n v="140030039"/>
        <n v="140220012"/>
        <n v="140010230"/>
        <n v="140310083"/>
        <n v="140310071"/>
      </sharedItems>
    </cacheField>
    <cacheField name="send" numFmtId="170">
      <sharedItems containsString="0" containsBlank="1" containsNumber="1" containsInteger="1" minValue="600" maxValue="5400"/>
    </cacheField>
    <cacheField name="receive" numFmtId="170">
      <sharedItems containsString="0" containsBlank="1" containsNumber="1" containsInteger="1" minValue="300" maxValue="4400"/>
    </cacheField>
    <cacheField name="comment" numFmtId="14">
      <sharedItems containsBlank="1"/>
    </cacheField>
    <cacheField name="mojoodi_III" numFmtId="170">
      <sharedItems containsSemiMixedTypes="0" containsString="0" containsNumber="1" containsInteger="1" minValue="-4400" maxValue="5400"/>
    </cacheField>
    <cacheField name="CT" numFmtId="0">
      <sharedItems containsMixedTypes="1" containsNumber="1" minValue="27.274999999999999" maxValue="48.1"/>
    </cacheField>
    <cacheField name="totalCT" numFmtId="4">
      <sharedItems containsMixedTypes="1" containsNumber="1" minValue="0" maxValue="1437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894.405285069442" createdVersion="7" refreshedVersion="7" minRefreshableVersion="3" recordCount="135" xr:uid="{9455162C-08EE-4C49-A770-44A977A6E39B}">
  <cacheSource type="worksheet">
    <worksheetSource name="plans"/>
  </cacheSource>
  <cacheFields count="7">
    <cacheField name="emailDate" numFmtId="0">
      <sharedItems containsBlank="1"/>
    </cacheField>
    <cacheField name="productId" numFmtId="0">
      <sharedItems containsSemiMixedTypes="0" containsString="0" containsNumber="1" containsInteger="1" minValue="140010117" maxValue="141320055" count="32">
        <n v="140030040"/>
        <n v="140030039"/>
        <n v="140010117"/>
        <n v="140020181"/>
        <n v="140010230"/>
        <n v="140010255"/>
        <n v="140310096"/>
        <n v="140310058"/>
        <n v="141320055"/>
        <n v="140310031"/>
        <n v="140640007"/>
        <n v="140310007"/>
        <n v="140310071"/>
        <n v="140310083"/>
        <n v="140530039"/>
        <n v="140550019"/>
        <n v="140450027"/>
        <n v="140450035"/>
        <n v="140450047"/>
        <n v="140010298" u="1"/>
        <n v="140010295" u="1"/>
        <n v="140310016" u="1"/>
        <n v="140550060" u="1"/>
        <n v="140020196" u="1"/>
        <n v="140010280" u="1"/>
        <n v="140310075" u="1"/>
        <n v="140220012" u="1"/>
        <n v="140090143" u="1"/>
        <n v="140550084" u="1"/>
        <n v="140310017" u="1"/>
        <n v="140450039" u="1"/>
        <n v="140010279" u="1"/>
      </sharedItems>
    </cacheField>
    <cacheField name="planId" numFmtId="0">
      <sharedItems containsMixedTypes="1" containsNumber="1" containsInteger="1" minValue="1" maxValue="13" count="15">
        <n v="8"/>
        <n v="9"/>
        <n v="10"/>
        <s v="1b"/>
        <s v="2f"/>
        <n v="2"/>
        <s v="3f"/>
        <n v="3"/>
        <n v="11"/>
        <n v="4"/>
        <n v="6"/>
        <n v="5"/>
        <n v="13" u="1"/>
        <n v="1" u="1"/>
        <n v="12" u="1"/>
      </sharedItems>
    </cacheField>
    <cacheField name="num" numFmtId="169">
      <sharedItems containsSemiMixedTypes="0" containsString="0" containsNumber="1" containsInteger="1" minValue="-7900" maxValue="15000"/>
    </cacheField>
    <cacheField name="toDate" numFmtId="0">
      <sharedItems containsBlank="1" count="119">
        <m/>
        <s v="1404/02/05"/>
        <s v="1404/01/31"/>
        <s v="1404/02/12"/>
        <s v="1404/02/02"/>
        <s v="1404/02/09"/>
        <s v="1404/02/16"/>
        <s v="1404/02/22"/>
        <s v="1404/02/06"/>
        <s v="1404/02/11"/>
        <s v="1404/02/17"/>
        <s v="1404/02/21"/>
        <s v="1404/02/10"/>
        <s v="1404/02/14"/>
        <s v="1404/02/20"/>
        <s v="1404/02/25"/>
        <s v="1404/02/31"/>
        <s v="1404/03/05"/>
        <s v="1404/02/15"/>
        <s v="1404/02/26"/>
        <s v="1404/03/01"/>
        <s v="1404/03/08"/>
        <s v="1404/03/13"/>
        <s v="1404/02/27"/>
        <s v="1404/03/06"/>
        <s v="1404/03/12"/>
        <s v="1404/03/18"/>
        <s v="1404/03/25"/>
        <s v="1404/03/31"/>
        <s v="1404/03/10"/>
        <s v="1404/03/17"/>
        <s v="1404/03/09"/>
        <s v="1404/03/15"/>
        <s v="1404/03/22"/>
        <s v="1404/03/11"/>
        <s v="1404/0317"/>
        <s v="1404/03/24"/>
        <s v="1404/03/30"/>
        <s v="1403/11/23"/>
        <s v="1404/04/20"/>
        <s v="1404/04/14"/>
        <s v="1404/04/01"/>
        <s v="1404/04/06"/>
        <s v="1404/04/27"/>
        <s v="1404/03/28"/>
        <s v="1404/04/03"/>
        <s v="1404/04/21"/>
        <s v="1404/04/25"/>
        <s v="1404/04/31"/>
        <s v="1404/05/09"/>
        <s v="1404/05/18"/>
        <s v="1404/05/27"/>
        <s v="1404/05/08"/>
        <s v="1404/06/01"/>
        <s v="1404/06/05"/>
        <s v="1404/06/11"/>
        <s v="1404/06/22"/>
        <s v="1404/06/26"/>
        <s v="1404/06/15"/>
        <s v="1404/06/20"/>
        <s v="1403/11/15" u="1"/>
        <s v="1403/11/10" u="1"/>
        <s v="1403/09/04" u="1"/>
        <s v="1403/12/15" u="1"/>
        <s v="1403/12/10" u="1"/>
        <s v="1403/12/05" u="1"/>
        <s v="1404/01/24" u="1"/>
        <s v="1404/01/19" u="1"/>
        <s v="1403/08/27" u="1"/>
        <s v="1403/08/22" u="1"/>
        <s v="1403/10/28" u="1"/>
        <s v="1403/10/23" u="1"/>
        <s v="1403/09/17" u="1"/>
        <s v="1403/11/18" u="1"/>
        <s v="1403/11/13" u="1"/>
        <s v="1403/12/13" u="1"/>
        <s v="1403/11/08" u="1"/>
        <s v="1403/11/03" u="1"/>
        <s v="1403/12/08" u="1"/>
        <s v="1403/12/03" u="1"/>
        <s v="1403/09/30" u="1"/>
        <s v="1403/10/21" u="1"/>
        <s v="1403/10/16" u="1"/>
        <s v="1403/11/16" u="1"/>
        <s v="1403/11/11" u="1"/>
        <s v="1403/10/06" u="1"/>
        <s v="1403/11/06" u="1"/>
        <s v="1403/11/01" u="1"/>
        <s v="1404/01/25" u="1"/>
        <s v="1403/12/29" u="1"/>
        <s v="1403/10/04" u="1"/>
        <s v="1403/12/14" u="1"/>
        <s v="1403/12/04" u="1"/>
        <s v="1404/01/28" u="1"/>
        <s v="1404/01/23" u="1"/>
        <s v="1403/09/26" u="1"/>
        <s v="1403/09/21" u="1"/>
        <s v="1403/11/27" u="1"/>
        <s v="1403/11/22" u="1"/>
        <s v="1403/09/11" u="1"/>
        <s v="1403/10/17" u="1"/>
        <s v="1403/10/12" u="1"/>
        <s v="1403/12/22" u="1"/>
        <s v="1403/11/17" u="1"/>
        <s v="1403/11/12" u="1"/>
        <s v="1403/12/17" u="1"/>
        <s v="1403/12/12" u="1"/>
        <s v="1404/01/26" u="1"/>
        <s v="1404/01/16" u="1"/>
        <s v="1403/11/30" u="1"/>
        <s v="1403/10/25" u="1"/>
        <s v="1403/10/20" u="1"/>
        <s v="1403/08/14" u="1"/>
        <s v="1403/12/30" u="1"/>
        <s v="1403/11/25" u="1"/>
        <s v="1403/11/20" u="1"/>
        <s v="1403/10/10" u="1"/>
        <s v="1403/12/25" u="1"/>
        <s v="1403/12/20" u="1"/>
      </sharedItems>
    </cacheField>
    <cacheField name="descriptions" numFmtId="0">
      <sharedItems containsBlank="1"/>
    </cacheField>
    <cacheField name="prgs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ood Valipour" refreshedDate="45920.33183761574" createdVersion="7" refreshedVersion="7" minRefreshableVersion="3" recordCount="13" xr:uid="{8B6C58D6-AA95-4023-9E26-717210A38053}">
  <cacheSource type="worksheet">
    <worksheetSource ref="A2:N15" sheet="progress"/>
  </cacheSource>
  <cacheFields count="14">
    <cacheField name="productId" numFmtId="0">
      <sharedItems containsString="0" containsBlank="1" containsNumber="1" containsInteger="1" minValue="140010117" maxValue="140310083" count="9">
        <n v="140310007"/>
        <n v="140010230"/>
        <m/>
        <n v="140010117"/>
        <n v="140010255"/>
        <n v="140030039"/>
        <n v="140030040"/>
        <n v="140310071"/>
        <n v="140310083"/>
      </sharedItems>
    </cacheField>
    <cacheField name="planId" numFmtId="0">
      <sharedItems containsString="0" containsBlank="1" containsNumber="1" containsInteger="1" minValue="4" maxValue="7"/>
    </cacheField>
    <cacheField name="category" numFmtId="41">
      <sharedItems containsBlank="1"/>
    </cacheField>
    <cacheField name="ph" numFmtId="41">
      <sharedItems containsBlank="1"/>
    </cacheField>
    <cacheField name="erth" numFmtId="41">
      <sharedItems containsBlank="1"/>
    </cacheField>
    <cacheField name="dbl" numFmtId="41">
      <sharedItems containsBlank="1"/>
    </cacheField>
    <cacheField name="cable" numFmtId="41">
      <sharedItems containsBlank="1"/>
    </cacheField>
    <cacheField name="strip" numFmtId="41">
      <sharedItems containsBlank="1"/>
    </cacheField>
    <cacheField name="plan" numFmtId="165">
      <sharedItems containsString="0" containsBlank="1" containsNumber="1" containsInteger="1" minValue="1000" maxValue="70000"/>
    </cacheField>
    <cacheField name="cut ord" numFmtId="166">
      <sharedItems containsString="0" containsBlank="1" containsNumber="1" containsInteger="1" minValue="0" maxValue="60000"/>
    </cacheField>
    <cacheField name="packed" numFmtId="168">
      <sharedItems containsString="0" containsBlank="1" containsNumber="1" containsInteger="1" minValue="0" maxValue="53450"/>
    </cacheField>
    <cacheField name="cut re" numFmtId="169">
      <sharedItems containsString="0" containsBlank="1" containsNumber="1" containsInteger="1" minValue="-70000" maxValue="0"/>
    </cacheField>
    <cacheField name="pack re" numFmtId="169">
      <sharedItems containsString="0" containsBlank="1" containsNumber="1" containsInteger="1" minValue="-70000" maxValue="-380"/>
    </cacheField>
    <cacheField name="inLine" numFmtId="167">
      <sharedItems containsString="0" containsBlank="1" containsNumber="1" containsInteger="1" minValue="0" maxValue="79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6">
  <r>
    <x v="0"/>
    <s v="جمعه"/>
    <n v="0"/>
    <m/>
    <n v="0"/>
    <n v="0"/>
    <m/>
    <n v="-0.5"/>
    <n v="0"/>
    <s v="تعطیل"/>
    <m/>
    <m/>
    <m/>
    <m/>
    <x v="0"/>
    <x v="0"/>
    <n v="0"/>
  </r>
  <r>
    <x v="1"/>
    <s v="شنبه"/>
    <n v="0"/>
    <m/>
    <n v="0"/>
    <n v="0"/>
    <m/>
    <n v="-0.5"/>
    <n v="0"/>
    <s v="تعطیل"/>
    <m/>
    <m/>
    <m/>
    <m/>
    <x v="0"/>
    <x v="0"/>
    <n v="0"/>
  </r>
  <r>
    <x v="2"/>
    <s v="یکشنبه"/>
    <n v="0"/>
    <m/>
    <n v="0"/>
    <n v="0"/>
    <m/>
    <n v="-0.5"/>
    <n v="0"/>
    <s v="تعطیل"/>
    <m/>
    <m/>
    <m/>
    <m/>
    <x v="0"/>
    <x v="0"/>
    <n v="0"/>
  </r>
  <r>
    <x v="3"/>
    <s v="دوشنبه"/>
    <n v="0"/>
    <m/>
    <n v="0"/>
    <n v="0"/>
    <m/>
    <n v="-0.5"/>
    <n v="0"/>
    <s v="تعطیل"/>
    <m/>
    <m/>
    <m/>
    <m/>
    <x v="0"/>
    <x v="0"/>
    <n v="0"/>
  </r>
  <r>
    <x v="4"/>
    <s v="سه شنبه"/>
    <n v="0"/>
    <m/>
    <n v="0"/>
    <n v="0"/>
    <m/>
    <n v="-0.5"/>
    <n v="0"/>
    <s v="تعطیل"/>
    <m/>
    <m/>
    <m/>
    <m/>
    <x v="0"/>
    <x v="0"/>
    <n v="0"/>
  </r>
  <r>
    <x v="5"/>
    <s v="چهارشنبه"/>
    <n v="0"/>
    <m/>
    <n v="0"/>
    <n v="0"/>
    <m/>
    <n v="-0.5"/>
    <n v="0"/>
    <s v="تعطیل"/>
    <m/>
    <m/>
    <m/>
    <m/>
    <x v="0"/>
    <x v="0"/>
    <n v="0"/>
  </r>
  <r>
    <x v="6"/>
    <s v="پنجشنبه"/>
    <n v="0"/>
    <m/>
    <n v="0"/>
    <n v="0"/>
    <m/>
    <n v="-0.5"/>
    <n v="0"/>
    <m/>
    <m/>
    <m/>
    <m/>
    <m/>
    <x v="0"/>
    <x v="0"/>
    <n v="0"/>
  </r>
  <r>
    <x v="7"/>
    <s v="جمعه"/>
    <n v="0"/>
    <m/>
    <n v="0"/>
    <n v="0"/>
    <m/>
    <n v="-0.5"/>
    <n v="0"/>
    <m/>
    <m/>
    <m/>
    <m/>
    <m/>
    <x v="0"/>
    <x v="0"/>
    <n v="0"/>
  </r>
  <r>
    <x v="8"/>
    <s v="شنبه"/>
    <n v="0"/>
    <m/>
    <n v="0"/>
    <n v="0"/>
    <m/>
    <n v="-0.5"/>
    <n v="0"/>
    <s v="تعطیل"/>
    <m/>
    <m/>
    <m/>
    <m/>
    <x v="0"/>
    <x v="0"/>
    <n v="0"/>
  </r>
  <r>
    <x v="9"/>
    <s v="یکشنبه"/>
    <n v="0"/>
    <m/>
    <n v="0"/>
    <n v="0"/>
    <m/>
    <n v="-0.5"/>
    <n v="0"/>
    <s v="تعطیل"/>
    <m/>
    <m/>
    <m/>
    <m/>
    <x v="0"/>
    <x v="0"/>
    <n v="0"/>
  </r>
  <r>
    <x v="10"/>
    <s v="دوشنبه"/>
    <n v="0"/>
    <m/>
    <n v="0"/>
    <n v="0"/>
    <m/>
    <n v="-0.5"/>
    <n v="0"/>
    <s v="تعطیل"/>
    <m/>
    <m/>
    <m/>
    <m/>
    <x v="0"/>
    <x v="0"/>
    <n v="0"/>
  </r>
  <r>
    <x v="11"/>
    <s v="سه شنبه"/>
    <n v="0"/>
    <m/>
    <n v="0"/>
    <n v="0"/>
    <m/>
    <n v="-0.5"/>
    <n v="0"/>
    <s v="تعطیل"/>
    <m/>
    <m/>
    <m/>
    <m/>
    <x v="0"/>
    <x v="0"/>
    <n v="0"/>
  </r>
  <r>
    <x v="12"/>
    <s v="چهارشنبه"/>
    <n v="0"/>
    <m/>
    <n v="0"/>
    <n v="0"/>
    <m/>
    <n v="-0.5"/>
    <n v="0"/>
    <s v="تعطیل"/>
    <m/>
    <m/>
    <m/>
    <m/>
    <x v="0"/>
    <x v="0"/>
    <n v="0"/>
  </r>
  <r>
    <x v="13"/>
    <s v="پنجشنبه"/>
    <n v="0"/>
    <m/>
    <n v="0"/>
    <n v="0"/>
    <m/>
    <n v="-0.5"/>
    <n v="0"/>
    <m/>
    <m/>
    <m/>
    <m/>
    <m/>
    <x v="0"/>
    <x v="0"/>
    <n v="0"/>
  </r>
  <r>
    <x v="14"/>
    <s v="جمعه"/>
    <n v="0"/>
    <m/>
    <n v="0"/>
    <n v="0"/>
    <m/>
    <n v="-0.5"/>
    <n v="0"/>
    <m/>
    <m/>
    <m/>
    <m/>
    <m/>
    <x v="0"/>
    <x v="0"/>
    <n v="0"/>
  </r>
  <r>
    <x v="15"/>
    <s v="شنبه"/>
    <n v="4700"/>
    <m/>
    <n v="0"/>
    <n v="0"/>
    <n v="50"/>
    <n v="43.81818181818182"/>
    <n v="0"/>
    <s v="آغاز روز کاری"/>
    <n v="900"/>
    <n v="0"/>
    <n v="0"/>
    <n v="0"/>
    <x v="1"/>
    <x v="0"/>
    <n v="0"/>
  </r>
  <r>
    <x v="16"/>
    <s v="یکشنبه"/>
    <n v="6000"/>
    <m/>
    <n v="7275"/>
    <n v="20725.379128005588"/>
    <n v="50"/>
    <n v="43.81818181818182"/>
    <n v="1.5159195874643923"/>
    <s v="کاهش برش بدلیل اینکه محصولات کابل موجودِ پلن نیاز به دوبل نری پرایدی دارند و باید از دپوی رگال در خط جلوگیری کرد"/>
    <n v="1500"/>
    <n v="1800"/>
    <n v="900"/>
    <n v="0"/>
    <x v="1"/>
    <x v="0"/>
    <n v="0"/>
  </r>
  <r>
    <x v="17"/>
    <s v="دوشنبه"/>
    <n v="5500"/>
    <n v="300"/>
    <n v="5556"/>
    <n v="13075.469420333235"/>
    <n v="50"/>
    <n v="43.81818181818182"/>
    <n v="0.95015648218640703"/>
    <s v="با برش امروز محصولات کابل موجود در پلن تمام می شود"/>
    <n v="2400"/>
    <n v="2400"/>
    <n v="2400"/>
    <n v="0"/>
    <x v="1"/>
    <x v="0"/>
    <n v="8182.5"/>
  </r>
  <r>
    <x v="18"/>
    <s v="سه شنبه"/>
    <n v="9000"/>
    <m/>
    <n v="4775"/>
    <n v="8279.639329542053"/>
    <n v="50"/>
    <n v="43.81818181818182"/>
    <n v="0.60559893062864123"/>
    <s v="کابل تی وی رسید. پلن پیش بینی اردیبهشت 9000 تا رسید."/>
    <n v="2400"/>
    <n v="3300"/>
    <n v="0"/>
    <n v="0"/>
    <x v="1"/>
    <x v="0"/>
    <n v="0"/>
  </r>
  <r>
    <x v="19"/>
    <s v="چهارشنبه"/>
    <n v="7930"/>
    <m/>
    <n v="4850"/>
    <n v="6305.227975655991"/>
    <n v="50"/>
    <n v="43.81818181818182"/>
    <n v="0.4611842578459584"/>
    <s v="کابل تی وی امروز رسید."/>
    <n v="0"/>
    <n v="2100"/>
    <n v="0"/>
    <n v="0"/>
    <x v="1"/>
    <x v="0"/>
    <n v="0"/>
  </r>
  <r>
    <x v="20"/>
    <s v="پنجشنبه"/>
    <n v="0"/>
    <m/>
    <n v="0"/>
    <n v="0"/>
    <m/>
    <n v="-0.5"/>
    <n v="0"/>
    <m/>
    <m/>
    <m/>
    <m/>
    <m/>
    <x v="0"/>
    <x v="0"/>
    <n v="0"/>
  </r>
  <r>
    <x v="21"/>
    <s v="جمعه"/>
    <n v="0"/>
    <m/>
    <n v="0"/>
    <n v="0"/>
    <m/>
    <n v="-0.5"/>
    <n v="0"/>
    <m/>
    <m/>
    <m/>
    <m/>
    <m/>
    <x v="0"/>
    <x v="0"/>
    <n v="0"/>
  </r>
  <r>
    <x v="22"/>
    <s v="شنبه"/>
    <n v="0"/>
    <n v="3600"/>
    <n v="4825"/>
    <n v="6676.990422029332"/>
    <n v="50"/>
    <n v="43.81818181818182"/>
    <n v="0.42613028491419941"/>
    <s v="پلن قابل برش 3000عدد."/>
    <n v="2100"/>
    <n v="3000"/>
    <n v="0"/>
    <n v="500"/>
    <x v="1"/>
    <x v="0"/>
    <n v="81825"/>
  </r>
  <r>
    <x v="23"/>
    <s v="یکشنبه"/>
    <n v="14695"/>
    <m/>
    <n v="6768"/>
    <n v="8083.9189863314368"/>
    <n v="50"/>
    <n v="43.81818181818182"/>
    <n v="0.59128332751683577"/>
    <s v="اتمام کابل تی وی. دریافت 32هزار پلن اردیبهشت در پایان دیروز. پلن قابل برش در ابتدای صبح 32000عدد."/>
    <n v="3000"/>
    <n v="2500"/>
    <n v="0"/>
    <n v="2500"/>
    <x v="1"/>
    <x v="0"/>
    <n v="0"/>
  </r>
  <r>
    <x v="24"/>
    <s v="دوشنبه"/>
    <n v="6000"/>
    <m/>
    <n v="7400"/>
    <n v="8086.8502444377937"/>
    <n v="50"/>
    <n v="43.81818181818182"/>
    <n v="0.59149772897853614"/>
    <s v="پلن قابل برش در ابتدای صبح 21800عدد. "/>
    <n v="0"/>
    <n v="2700"/>
    <n v="0"/>
    <n v="2500"/>
    <x v="1"/>
    <x v="0"/>
    <n v="0"/>
  </r>
  <r>
    <x v="25"/>
    <s v="سه شنبه"/>
    <n v="9610"/>
    <n v="4400"/>
    <n v="5725"/>
    <n v="6406.1558415644013"/>
    <n v="50"/>
    <n v="42"/>
    <n v="0.39360466997334698"/>
    <s v="پلن قابل برش در ابتدای روز 15800عدد."/>
    <n v="2500"/>
    <n v="2500"/>
    <n v="0"/>
    <n v="2500"/>
    <x v="1"/>
    <x v="0"/>
    <n v="120010"/>
  </r>
  <r>
    <x v="26"/>
    <s v="چهارشنبه"/>
    <n v="9200"/>
    <m/>
    <n v="8450"/>
    <n v="9978.4395889454245"/>
    <n v="50"/>
    <n v="43.81818181818182"/>
    <n v="0.7298545388138401"/>
    <s v="برش امروز تمام می شود."/>
    <n v="3000"/>
    <n v="3300"/>
    <n v="0"/>
    <n v="2500"/>
    <x v="1"/>
    <x v="0"/>
    <n v="0"/>
  </r>
  <r>
    <x v="27"/>
    <s v="پنجشنبه"/>
    <n v="0"/>
    <m/>
    <n v="0"/>
    <n v="0"/>
    <m/>
    <n v="-0.5"/>
    <n v="0"/>
    <m/>
    <m/>
    <m/>
    <m/>
    <m/>
    <x v="0"/>
    <x v="0"/>
    <n v="0"/>
  </r>
  <r>
    <x v="28"/>
    <s v="جمعه"/>
    <n v="0"/>
    <m/>
    <n v="0"/>
    <n v="0"/>
    <m/>
    <n v="-0.5"/>
    <n v="0"/>
    <m/>
    <m/>
    <m/>
    <m/>
    <m/>
    <x v="0"/>
    <x v="0"/>
    <n v="0"/>
  </r>
  <r>
    <x v="29"/>
    <s v="شنبه"/>
    <n v="10"/>
    <n v="2400"/>
    <n v="8630"/>
    <n v="10037.214406864214"/>
    <n v="48"/>
    <n v="42.045454545454547"/>
    <n v="0.71321079765188733"/>
    <s v="امروز پلن قابل برش نداشتیم"/>
    <n v="3000"/>
    <n v="3300"/>
    <n v="0"/>
    <n v="2700"/>
    <x v="1"/>
    <x v="0"/>
    <n v="65460"/>
  </r>
  <r>
    <x v="30"/>
    <s v="یکشنبه"/>
    <n v="13000"/>
    <m/>
    <n v="7500"/>
    <n v="8307.3929961089489"/>
    <n v="48"/>
    <n v="42.045454545454547"/>
    <n v="0.63324787043853192"/>
    <s v="کل برش انجام شده محصولات با اپلیکیتور نری پرایدی است"/>
    <n v="2800"/>
    <n v="3000"/>
    <n v="0"/>
    <n v="3100"/>
    <x v="1"/>
    <x v="0"/>
    <n v="0"/>
  </r>
  <r>
    <x v="31"/>
    <s v="دوشنبه"/>
    <n v="3000"/>
    <m/>
    <n v="7100"/>
    <n v="7803.2126109947121"/>
    <n v="48"/>
    <n v="42.045454545454547"/>
    <n v="0.59481569859593209"/>
    <s v="برش محصول با اپلیکیتور کلید دارد"/>
    <n v="1500"/>
    <n v="2700"/>
    <n v="600"/>
    <n v="2500"/>
    <x v="1"/>
    <x v="1"/>
    <n v="0"/>
  </r>
  <r>
    <x v="32"/>
    <s v="سه شنبه"/>
    <n v="13000"/>
    <m/>
    <n v="5325"/>
    <n v="6097.2333632644913"/>
    <n v="48"/>
    <n v="42.045454545454547"/>
    <n v="0.4647739723716533"/>
    <s v="کل برش انجام شده محصولات با اپلیکیتور نری پرایدی است"/>
    <n v="0"/>
    <n v="3000"/>
    <n v="2400"/>
    <n v="3000"/>
    <x v="1"/>
    <x v="1"/>
    <n v="0"/>
  </r>
  <r>
    <x v="33"/>
    <s v="چهارشنبه"/>
    <n v="7413"/>
    <m/>
    <n v="8055"/>
    <n v="8838.201137384016"/>
    <n v="48"/>
    <n v="42.045454545454547"/>
    <n v="0.67370979696967237"/>
    <m/>
    <n v="2700"/>
    <n v="3000"/>
    <n v="600"/>
    <n v="2400"/>
    <x v="1"/>
    <x v="1"/>
    <n v="0"/>
  </r>
  <r>
    <x v="34"/>
    <s v="پنجشنبه"/>
    <n v="0"/>
    <m/>
    <n v="1300"/>
    <n v="1750.9727626459141"/>
    <n v="5"/>
    <n v="3.9318181818181817"/>
    <n v="1.4272958323024671"/>
    <s v="دریافت اپلیکیتور نری پرایدی از شرکت بالا."/>
    <m/>
    <m/>
    <m/>
    <m/>
    <x v="0"/>
    <x v="1"/>
    <n v="0"/>
  </r>
  <r>
    <x v="35"/>
    <s v="جمعه"/>
    <n v="0"/>
    <m/>
    <n v="0"/>
    <n v="0"/>
    <m/>
    <n v="-0.5"/>
    <n v="0"/>
    <m/>
    <m/>
    <m/>
    <m/>
    <m/>
    <x v="0"/>
    <x v="1"/>
    <n v="0"/>
  </r>
  <r>
    <x v="36"/>
    <s v="شنبه"/>
    <n v="3000"/>
    <n v="2900"/>
    <n v="7850"/>
    <n v="9536.7754165419519"/>
    <n v="48"/>
    <n v="42.045454545454547"/>
    <n v="0.66425210949950231"/>
    <s v="مراسم روز گارگر 2 ساعت. ارسال برای مرکز3 ساعت 11. دریافت 2900محصول از مرکز3 در آخر وقت. دریافت پلن 45هزارتایی تی وی."/>
    <n v="3000"/>
    <n v="3000"/>
    <n v="0"/>
    <n v="0"/>
    <x v="1"/>
    <x v="1"/>
    <n v="79097.5"/>
  </r>
  <r>
    <x v="37"/>
    <s v="یکشنبه"/>
    <n v="9347"/>
    <m/>
    <n v="5753"/>
    <n v="6897.4897735209015"/>
    <n v="48"/>
    <n v="42.045454545454547"/>
    <n v="0.52577513938482023"/>
    <s v="برش 4500عدد تی وی و توقف بعلت اتمام کابل تی وی. دریافت پیش بینی خرداد گلسان و نری پرایدی جنعا 9000عدد."/>
    <n v="3000"/>
    <n v="3600"/>
    <n v="0"/>
    <n v="0"/>
    <x v="1"/>
    <x v="1"/>
    <n v="0"/>
  </r>
  <r>
    <x v="38"/>
    <s v="دوشنبه"/>
    <n v="3000"/>
    <m/>
    <n v="5875"/>
    <n v="7637.9751571385805"/>
    <n v="48"/>
    <n v="42.045454545454547"/>
    <n v="0.58222013873496359"/>
    <s v="برش هیمالیا نری پرایدی."/>
    <n v="3000"/>
    <n v="3300"/>
    <n v="0"/>
    <n v="2500"/>
    <x v="1"/>
    <x v="1"/>
    <n v="0"/>
  </r>
  <r>
    <x v="39"/>
    <s v="سه شنبه"/>
    <n v="3000"/>
    <m/>
    <n v="6199"/>
    <n v="7597.5356679636825"/>
    <n v="48"/>
    <n v="42.045454545454547"/>
    <n v="0.57913755670066946"/>
    <m/>
    <n v="3000"/>
    <n v="600"/>
    <n v="0"/>
    <n v="2650"/>
    <x v="1"/>
    <x v="1"/>
    <n v="0"/>
  </r>
  <r>
    <x v="40"/>
    <s v="چهارشنبه"/>
    <n v="0"/>
    <n v="3000"/>
    <n v="5372"/>
    <n v="6776.7534670258401"/>
    <n v="48"/>
    <n v="42.045454545454547"/>
    <n v="0.40263555347026159"/>
    <s v="دیدار ریاست جمهوری 10نفر. دریافت پلن 15000تایی و عدم کابل مشکی 75*3."/>
    <n v="2700"/>
    <n v="3200"/>
    <n v="0"/>
    <n v="1150"/>
    <x v="1"/>
    <x v="1"/>
    <n v="143715"/>
  </r>
  <r>
    <x v="41"/>
    <s v="پنجشنبه"/>
    <n v="0"/>
    <m/>
    <n v="0"/>
    <n v="0"/>
    <m/>
    <n v="-0.5"/>
    <n v="0"/>
    <m/>
    <m/>
    <m/>
    <m/>
    <m/>
    <x v="0"/>
    <x v="1"/>
    <n v="0"/>
  </r>
  <r>
    <x v="42"/>
    <s v="جمعه"/>
    <n v="0"/>
    <m/>
    <n v="0"/>
    <n v="0"/>
    <m/>
    <n v="-0.5"/>
    <n v="0"/>
    <m/>
    <m/>
    <m/>
    <m/>
    <m/>
    <x v="0"/>
    <x v="1"/>
    <n v="0"/>
  </r>
  <r>
    <x v="43"/>
    <s v="شنبه"/>
    <n v="0"/>
    <m/>
    <n v="3850"/>
    <n v="5089.7934750074819"/>
    <s v="--"/>
    <n v="20"/>
    <n v="0.81563940436994897"/>
    <s v="ارسال 25نفر به شرکت اصلی."/>
    <n v="3000"/>
    <n v="0"/>
    <n v="0"/>
    <n v="0"/>
    <x v="1"/>
    <x v="1"/>
    <n v="0"/>
  </r>
  <r>
    <x v="44"/>
    <s v="یکشنبه"/>
    <n v="0"/>
    <m/>
    <n v="3750"/>
    <n v="4957.3181682131089"/>
    <s v="--"/>
    <n v="18"/>
    <n v="0.88267804050683418"/>
    <m/>
    <m/>
    <m/>
    <m/>
    <m/>
    <x v="1"/>
    <x v="1"/>
    <n v="0"/>
  </r>
  <r>
    <x v="45"/>
    <s v="دوشنبه"/>
    <n v="6000"/>
    <m/>
    <n v="3450"/>
    <n v="4997.9048189164914"/>
    <m/>
    <n v="17"/>
    <n v="0.94225205556631508"/>
    <m/>
    <m/>
    <m/>
    <m/>
    <m/>
    <x v="1"/>
    <x v="1"/>
    <n v="0"/>
  </r>
  <r>
    <x v="46"/>
    <s v="سه شنبه"/>
    <n v="3000"/>
    <m/>
    <n v="4100"/>
    <n v="4975.0773221590343"/>
    <m/>
    <n v="17"/>
    <n v="0.93794840103057098"/>
    <m/>
    <m/>
    <m/>
    <m/>
    <m/>
    <x v="1"/>
    <x v="1"/>
    <n v="0"/>
  </r>
  <r>
    <x v="47"/>
    <s v="چهارشنبه"/>
    <n v="1000"/>
    <m/>
    <n v="2025"/>
    <n v="2307.0263394193353"/>
    <m/>
    <n v="17"/>
    <n v="0.43494231869640998"/>
    <m/>
    <m/>
    <m/>
    <m/>
    <m/>
    <x v="1"/>
    <x v="1"/>
    <n v="0"/>
  </r>
  <r>
    <x v="48"/>
    <s v="پنجشنبه"/>
    <n v="0"/>
    <m/>
    <n v="0"/>
    <n v="0"/>
    <m/>
    <n v="-0.5"/>
    <n v="0"/>
    <m/>
    <m/>
    <m/>
    <m/>
    <m/>
    <x v="0"/>
    <x v="1"/>
    <n v="0"/>
  </r>
  <r>
    <x v="49"/>
    <s v="جمعه"/>
    <n v="0"/>
    <m/>
    <n v="0"/>
    <n v="0"/>
    <m/>
    <n v="-0.5"/>
    <n v="0"/>
    <m/>
    <m/>
    <m/>
    <m/>
    <m/>
    <x v="0"/>
    <x v="1"/>
    <n v="0"/>
  </r>
  <r>
    <x v="50"/>
    <s v="شنبه"/>
    <n v="3000"/>
    <m/>
    <n v="2175"/>
    <n v="2535.5656988925471"/>
    <m/>
    <n v="24"/>
    <n v="0.24852040548405332"/>
    <s v="کابل TV رسید. "/>
    <m/>
    <m/>
    <m/>
    <m/>
    <x v="1"/>
    <x v="1"/>
    <n v="64859.95"/>
  </r>
  <r>
    <x v="51"/>
    <s v="یکشنبه"/>
    <n v="8400"/>
    <m/>
    <n v="4250"/>
    <n v="5400.4788985333726"/>
    <m/>
    <n v="24"/>
    <n v="0.72118895290831087"/>
    <s v="دریافت پلن 116هزارتایی. "/>
    <m/>
    <m/>
    <m/>
    <m/>
    <x v="1"/>
    <x v="1"/>
    <n v="0"/>
  </r>
  <r>
    <x v="52"/>
    <s v="دوشنبه"/>
    <n v="11000"/>
    <m/>
    <n v="3975"/>
    <n v="5243.3902025341704"/>
    <m/>
    <n v="24"/>
    <n v="0.70021106663008403"/>
    <s v="یکی از خرکهای دستگاه برش خراب شد."/>
    <m/>
    <m/>
    <m/>
    <m/>
    <x v="1"/>
    <x v="1"/>
    <n v="0"/>
  </r>
  <r>
    <x v="53"/>
    <s v="سه شنبه"/>
    <n v="13400"/>
    <m/>
    <n v="4173"/>
    <n v="5135.7402973161725"/>
    <m/>
    <n v="24"/>
    <n v="0.68583531887076388"/>
    <s v="توقف تعمیر یک دستگاه برش 3 ساعت."/>
    <m/>
    <m/>
    <m/>
    <m/>
    <x v="1"/>
    <x v="1"/>
    <n v="0"/>
  </r>
  <r>
    <x v="54"/>
    <s v="چهارشنبه"/>
    <n v="3200"/>
    <m/>
    <n v="3825"/>
    <n v="4553.2774618377734"/>
    <m/>
    <n v="24"/>
    <n v="0.6080522610495861"/>
    <s v="ارسال به مرکز3. "/>
    <m/>
    <m/>
    <m/>
    <m/>
    <x v="1"/>
    <x v="1"/>
    <n v="0"/>
  </r>
  <r>
    <x v="55"/>
    <s v="پنجشنبه"/>
    <n v="14100"/>
    <m/>
    <n v="2875"/>
    <n v="3461.2890352189961"/>
    <m/>
    <n v="-0.5"/>
    <n v="-22.186862715753765"/>
    <m/>
    <m/>
    <m/>
    <m/>
    <m/>
    <x v="0"/>
    <x v="1"/>
    <n v="0"/>
  </r>
  <r>
    <x v="56"/>
    <s v="جمعه"/>
    <n v="0"/>
    <m/>
    <n v="0"/>
    <n v="0"/>
    <m/>
    <n v="-0.5"/>
    <n v="0"/>
    <m/>
    <m/>
    <m/>
    <m/>
    <m/>
    <x v="0"/>
    <x v="1"/>
    <n v="0"/>
  </r>
  <r>
    <x v="57"/>
    <s v="شنبه"/>
    <n v="9510"/>
    <m/>
    <n v="0"/>
    <n v="0"/>
    <m/>
    <n v="27"/>
    <n v="0"/>
    <m/>
    <m/>
    <m/>
    <m/>
    <m/>
    <x v="0"/>
    <x v="1"/>
    <n v="0"/>
  </r>
  <r>
    <x v="58"/>
    <s v="یکشنبه"/>
    <n v="0"/>
    <m/>
    <n v="0"/>
    <n v="0"/>
    <m/>
    <n v="-0.5"/>
    <n v="0"/>
    <m/>
    <m/>
    <m/>
    <m/>
    <m/>
    <x v="0"/>
    <x v="1"/>
    <n v="0"/>
  </r>
  <r>
    <x v="59"/>
    <s v="دوشنبه"/>
    <n v="0"/>
    <m/>
    <n v="0"/>
    <n v="0"/>
    <m/>
    <n v="-0.5"/>
    <n v="0"/>
    <m/>
    <m/>
    <m/>
    <m/>
    <m/>
    <x v="0"/>
    <x v="1"/>
    <n v="0"/>
  </r>
  <r>
    <x v="60"/>
    <s v="سه شنبه"/>
    <n v="0"/>
    <m/>
    <n v="0"/>
    <n v="0"/>
    <m/>
    <n v="-0.5"/>
    <n v="0"/>
    <m/>
    <m/>
    <m/>
    <m/>
    <m/>
    <x v="0"/>
    <x v="1"/>
    <n v="0"/>
  </r>
  <r>
    <x v="61"/>
    <s v="چهارشنبه"/>
    <n v="0"/>
    <m/>
    <n v="0"/>
    <n v="0"/>
    <m/>
    <n v="-0.5"/>
    <n v="0"/>
    <m/>
    <m/>
    <m/>
    <m/>
    <m/>
    <x v="0"/>
    <x v="1"/>
    <n v="0"/>
  </r>
  <r>
    <x v="62"/>
    <s v="پنجشنبه"/>
    <n v="0"/>
    <m/>
    <n v="0"/>
    <n v="0"/>
    <m/>
    <n v="-0.5"/>
    <n v="0"/>
    <m/>
    <m/>
    <m/>
    <m/>
    <m/>
    <x v="0"/>
    <x v="2"/>
    <n v="0"/>
  </r>
  <r>
    <x v="63"/>
    <s v="جمعه"/>
    <n v="0"/>
    <m/>
    <n v="0"/>
    <n v="0"/>
    <m/>
    <n v="-0.5"/>
    <n v="0"/>
    <m/>
    <m/>
    <m/>
    <m/>
    <m/>
    <x v="0"/>
    <x v="2"/>
    <n v="0"/>
  </r>
  <r>
    <x v="64"/>
    <s v="شنبه"/>
    <n v="0"/>
    <m/>
    <n v="0"/>
    <n v="0"/>
    <m/>
    <n v="-0.5"/>
    <n v="0"/>
    <m/>
    <m/>
    <m/>
    <m/>
    <m/>
    <x v="0"/>
    <x v="2"/>
    <n v="0"/>
  </r>
  <r>
    <x v="65"/>
    <s v="یکشنبه"/>
    <n v="0"/>
    <m/>
    <n v="0"/>
    <n v="0"/>
    <m/>
    <n v="-0.5"/>
    <n v="0"/>
    <m/>
    <m/>
    <m/>
    <m/>
    <m/>
    <x v="0"/>
    <x v="2"/>
    <n v="0"/>
  </r>
  <r>
    <x v="66"/>
    <s v="دوشنبه"/>
    <n v="0"/>
    <m/>
    <n v="0"/>
    <n v="0"/>
    <m/>
    <n v="-0.5"/>
    <n v="0"/>
    <m/>
    <m/>
    <m/>
    <m/>
    <m/>
    <x v="0"/>
    <x v="2"/>
    <n v="0"/>
  </r>
  <r>
    <x v="67"/>
    <s v="سه شنبه"/>
    <n v="0"/>
    <m/>
    <n v="0"/>
    <n v="0"/>
    <m/>
    <n v="-0.5"/>
    <n v="0"/>
    <m/>
    <m/>
    <m/>
    <m/>
    <m/>
    <x v="0"/>
    <x v="2"/>
    <n v="0"/>
  </r>
  <r>
    <x v="68"/>
    <s v="چهارشنبه"/>
    <n v="0"/>
    <m/>
    <n v="0"/>
    <n v="0"/>
    <m/>
    <n v="-0.5"/>
    <n v="0"/>
    <m/>
    <m/>
    <m/>
    <m/>
    <m/>
    <x v="0"/>
    <x v="2"/>
    <n v="0"/>
  </r>
  <r>
    <x v="69"/>
    <s v="پنجشنبه"/>
    <n v="0"/>
    <m/>
    <n v="0"/>
    <n v="0"/>
    <m/>
    <n v="-0.5"/>
    <n v="0"/>
    <m/>
    <m/>
    <m/>
    <m/>
    <m/>
    <x v="0"/>
    <x v="2"/>
    <n v="0"/>
  </r>
  <r>
    <x v="70"/>
    <s v="جمعه"/>
    <n v="0"/>
    <m/>
    <n v="0"/>
    <n v="0"/>
    <m/>
    <n v="-0.5"/>
    <n v="0"/>
    <m/>
    <m/>
    <m/>
    <m/>
    <m/>
    <x v="0"/>
    <x v="2"/>
    <n v="0"/>
  </r>
  <r>
    <x v="71"/>
    <s v="شنبه"/>
    <n v="0"/>
    <m/>
    <n v="0"/>
    <n v="0"/>
    <m/>
    <n v="-0.5"/>
    <n v="0"/>
    <m/>
    <m/>
    <m/>
    <m/>
    <m/>
    <x v="0"/>
    <x v="2"/>
    <n v="0"/>
  </r>
  <r>
    <x v="72"/>
    <s v="یکشنبه"/>
    <n v="0"/>
    <m/>
    <n v="0"/>
    <n v="0"/>
    <m/>
    <n v="-0.5"/>
    <n v="0"/>
    <m/>
    <m/>
    <m/>
    <m/>
    <m/>
    <x v="0"/>
    <x v="2"/>
    <n v="0"/>
  </r>
  <r>
    <x v="73"/>
    <s v="دوشنبه"/>
    <n v="0"/>
    <m/>
    <n v="0"/>
    <n v="0"/>
    <m/>
    <n v="-0.5"/>
    <n v="0"/>
    <m/>
    <m/>
    <m/>
    <m/>
    <m/>
    <x v="0"/>
    <x v="2"/>
    <n v="0"/>
  </r>
  <r>
    <x v="74"/>
    <s v="سه شنبه"/>
    <n v="0"/>
    <m/>
    <n v="0"/>
    <n v="0"/>
    <m/>
    <n v="-0.5"/>
    <n v="0"/>
    <m/>
    <m/>
    <m/>
    <m/>
    <m/>
    <x v="0"/>
    <x v="2"/>
    <n v="0"/>
  </r>
  <r>
    <x v="75"/>
    <s v="چهارشنبه"/>
    <n v="0"/>
    <m/>
    <n v="0"/>
    <n v="0"/>
    <m/>
    <n v="-0.5"/>
    <n v="0"/>
    <m/>
    <m/>
    <m/>
    <m/>
    <m/>
    <x v="0"/>
    <x v="2"/>
    <n v="0"/>
  </r>
  <r>
    <x v="76"/>
    <s v="پنجشنبه"/>
    <n v="0"/>
    <m/>
    <n v="0"/>
    <n v="0"/>
    <m/>
    <n v="-0.5"/>
    <n v="0"/>
    <m/>
    <m/>
    <m/>
    <m/>
    <m/>
    <x v="0"/>
    <x v="2"/>
    <n v="0"/>
  </r>
  <r>
    <x v="77"/>
    <s v="جمعه"/>
    <n v="0"/>
    <m/>
    <n v="0"/>
    <n v="0"/>
    <m/>
    <n v="-0.5"/>
    <n v="0"/>
    <m/>
    <m/>
    <m/>
    <m/>
    <m/>
    <x v="0"/>
    <x v="2"/>
    <n v="0"/>
  </r>
  <r>
    <x v="78"/>
    <s v="شنبه"/>
    <n v="0"/>
    <m/>
    <n v="0"/>
    <n v="0"/>
    <m/>
    <n v="-0.5"/>
    <n v="0"/>
    <m/>
    <m/>
    <m/>
    <m/>
    <m/>
    <x v="0"/>
    <x v="2"/>
    <n v="0"/>
  </r>
  <r>
    <x v="79"/>
    <s v="یکشنبه"/>
    <n v="0"/>
    <m/>
    <n v="0"/>
    <n v="0"/>
    <m/>
    <n v="-0.5"/>
    <n v="0"/>
    <m/>
    <m/>
    <m/>
    <m/>
    <m/>
    <x v="0"/>
    <x v="2"/>
    <n v="0"/>
  </r>
  <r>
    <x v="80"/>
    <s v="دوشنبه"/>
    <n v="0"/>
    <m/>
    <n v="0"/>
    <n v="0"/>
    <m/>
    <n v="-0.5"/>
    <n v="0"/>
    <m/>
    <m/>
    <m/>
    <m/>
    <m/>
    <x v="0"/>
    <x v="2"/>
    <n v="0"/>
  </r>
  <r>
    <x v="81"/>
    <s v="سه شنبه"/>
    <n v="0"/>
    <m/>
    <n v="0"/>
    <n v="0"/>
    <m/>
    <n v="-0.5"/>
    <n v="0"/>
    <m/>
    <m/>
    <m/>
    <m/>
    <m/>
    <x v="0"/>
    <x v="2"/>
    <n v="0"/>
  </r>
  <r>
    <x v="82"/>
    <s v="چهارشنبه"/>
    <n v="0"/>
    <m/>
    <n v="0"/>
    <n v="0"/>
    <m/>
    <n v="-0.5"/>
    <n v="0"/>
    <m/>
    <m/>
    <m/>
    <m/>
    <m/>
    <x v="0"/>
    <x v="2"/>
    <n v="0"/>
  </r>
  <r>
    <x v="83"/>
    <s v="پنجشنبه"/>
    <n v="0"/>
    <m/>
    <n v="0"/>
    <n v="0"/>
    <m/>
    <n v="-0.5"/>
    <n v="0"/>
    <m/>
    <m/>
    <m/>
    <m/>
    <m/>
    <x v="0"/>
    <x v="2"/>
    <n v="0"/>
  </r>
  <r>
    <x v="84"/>
    <s v="جمعه"/>
    <n v="0"/>
    <m/>
    <n v="0"/>
    <n v="0"/>
    <m/>
    <n v="-0.5"/>
    <n v="0"/>
    <m/>
    <m/>
    <m/>
    <m/>
    <m/>
    <x v="0"/>
    <x v="2"/>
    <n v="0"/>
  </r>
  <r>
    <x v="85"/>
    <s v="شنبه"/>
    <n v="0"/>
    <m/>
    <n v="0"/>
    <n v="0"/>
    <m/>
    <n v="-0.5"/>
    <n v="0"/>
    <m/>
    <m/>
    <m/>
    <m/>
    <m/>
    <x v="0"/>
    <x v="2"/>
    <n v="0"/>
  </r>
  <r>
    <x v="86"/>
    <s v="یکشنبه"/>
    <n v="0"/>
    <m/>
    <n v="0"/>
    <n v="0"/>
    <m/>
    <n v="-0.5"/>
    <n v="0"/>
    <m/>
    <m/>
    <m/>
    <m/>
    <m/>
    <x v="0"/>
    <x v="2"/>
    <n v="0"/>
  </r>
  <r>
    <x v="87"/>
    <s v="دوشنبه"/>
    <n v="0"/>
    <m/>
    <n v="0"/>
    <n v="0"/>
    <m/>
    <n v="-0.5"/>
    <n v="0"/>
    <m/>
    <m/>
    <m/>
    <m/>
    <m/>
    <x v="0"/>
    <x v="2"/>
    <n v="0"/>
  </r>
  <r>
    <x v="88"/>
    <s v="سه شنبه"/>
    <n v="0"/>
    <m/>
    <n v="0"/>
    <n v="0"/>
    <m/>
    <n v="-0.5"/>
    <n v="0"/>
    <m/>
    <m/>
    <m/>
    <m/>
    <m/>
    <x v="0"/>
    <x v="2"/>
    <n v="0"/>
  </r>
  <r>
    <x v="89"/>
    <s v="چهارشنبه"/>
    <n v="0"/>
    <m/>
    <n v="0"/>
    <n v="0"/>
    <m/>
    <n v="-0.5"/>
    <n v="0"/>
    <m/>
    <m/>
    <m/>
    <m/>
    <m/>
    <x v="0"/>
    <x v="2"/>
    <n v="0"/>
  </r>
  <r>
    <x v="90"/>
    <s v="پنجشنبه"/>
    <n v="0"/>
    <m/>
    <n v="0"/>
    <n v="0"/>
    <m/>
    <n v="-0.5"/>
    <n v="0"/>
    <m/>
    <m/>
    <m/>
    <m/>
    <m/>
    <x v="0"/>
    <x v="2"/>
    <n v="0"/>
  </r>
  <r>
    <x v="91"/>
    <s v="جمعه"/>
    <n v="0"/>
    <m/>
    <n v="0"/>
    <n v="0"/>
    <m/>
    <n v="-0.5"/>
    <n v="0"/>
    <m/>
    <m/>
    <m/>
    <m/>
    <m/>
    <x v="0"/>
    <x v="2"/>
    <n v="0"/>
  </r>
  <r>
    <x v="92"/>
    <s v="شنبه"/>
    <n v="0"/>
    <m/>
    <n v="0"/>
    <n v="0"/>
    <m/>
    <n v="-0.5"/>
    <n v="0"/>
    <m/>
    <m/>
    <m/>
    <m/>
    <m/>
    <x v="0"/>
    <x v="2"/>
    <n v="0"/>
  </r>
  <r>
    <x v="93"/>
    <s v="یکشنبه"/>
    <n v="0"/>
    <m/>
    <n v="0"/>
    <n v="0"/>
    <m/>
    <n v="-0.5"/>
    <n v="0"/>
    <m/>
    <m/>
    <m/>
    <m/>
    <m/>
    <x v="0"/>
    <x v="3"/>
    <n v="0"/>
  </r>
  <r>
    <x v="94"/>
    <s v="دوشنبه"/>
    <n v="0"/>
    <m/>
    <n v="0"/>
    <n v="0"/>
    <m/>
    <n v="-0.5"/>
    <n v="0"/>
    <m/>
    <m/>
    <m/>
    <m/>
    <m/>
    <x v="0"/>
    <x v="3"/>
    <n v="0"/>
  </r>
  <r>
    <x v="95"/>
    <s v="سه شنبه"/>
    <n v="0"/>
    <m/>
    <n v="0"/>
    <n v="0"/>
    <m/>
    <n v="-0.5"/>
    <n v="0"/>
    <m/>
    <m/>
    <m/>
    <m/>
    <m/>
    <x v="0"/>
    <x v="3"/>
    <n v="0"/>
  </r>
  <r>
    <x v="96"/>
    <s v="چهارشنبه"/>
    <n v="0"/>
    <m/>
    <n v="0"/>
    <n v="0"/>
    <m/>
    <n v="-0.5"/>
    <n v="0"/>
    <m/>
    <m/>
    <m/>
    <m/>
    <m/>
    <x v="0"/>
    <x v="3"/>
    <n v="0"/>
  </r>
  <r>
    <x v="97"/>
    <s v="پنجشنبه"/>
    <n v="0"/>
    <m/>
    <n v="0"/>
    <n v="0"/>
    <m/>
    <n v="-0.5"/>
    <n v="0"/>
    <m/>
    <m/>
    <m/>
    <m/>
    <m/>
    <x v="0"/>
    <x v="3"/>
    <n v="0"/>
  </r>
  <r>
    <x v="98"/>
    <s v="جمعه"/>
    <n v="0"/>
    <m/>
    <n v="0"/>
    <n v="0"/>
    <m/>
    <n v="-0.5"/>
    <n v="0"/>
    <m/>
    <m/>
    <m/>
    <m/>
    <m/>
    <x v="0"/>
    <x v="3"/>
    <n v="0"/>
  </r>
  <r>
    <x v="99"/>
    <s v="شنبه"/>
    <n v="0"/>
    <m/>
    <n v="0"/>
    <n v="0"/>
    <m/>
    <n v="-0.5"/>
    <n v="0"/>
    <m/>
    <m/>
    <m/>
    <m/>
    <m/>
    <x v="0"/>
    <x v="3"/>
    <n v="0"/>
  </r>
  <r>
    <x v="100"/>
    <s v="یکشنبه"/>
    <n v="0"/>
    <m/>
    <n v="0"/>
    <n v="0"/>
    <m/>
    <n v="-0.5"/>
    <n v="0"/>
    <m/>
    <m/>
    <m/>
    <m/>
    <m/>
    <x v="0"/>
    <x v="3"/>
    <n v="0"/>
  </r>
  <r>
    <x v="101"/>
    <s v="دوشنبه"/>
    <n v="0"/>
    <m/>
    <n v="0"/>
    <n v="0"/>
    <m/>
    <n v="-0.5"/>
    <n v="0"/>
    <m/>
    <m/>
    <m/>
    <m/>
    <m/>
    <x v="0"/>
    <x v="3"/>
    <n v="0"/>
  </r>
  <r>
    <x v="102"/>
    <s v="سه شنبه"/>
    <n v="0"/>
    <m/>
    <n v="0"/>
    <n v="0"/>
    <m/>
    <n v="-0.5"/>
    <n v="0"/>
    <m/>
    <m/>
    <m/>
    <m/>
    <m/>
    <x v="0"/>
    <x v="3"/>
    <n v="0"/>
  </r>
  <r>
    <x v="103"/>
    <s v="چهارشنبه"/>
    <n v="0"/>
    <m/>
    <n v="0"/>
    <n v="0"/>
    <m/>
    <n v="-0.5"/>
    <n v="0"/>
    <m/>
    <m/>
    <m/>
    <m/>
    <m/>
    <x v="0"/>
    <x v="3"/>
    <n v="0"/>
  </r>
  <r>
    <x v="104"/>
    <s v="پنجشنبه"/>
    <n v="0"/>
    <m/>
    <n v="0"/>
    <n v="0"/>
    <m/>
    <n v="-0.5"/>
    <n v="0"/>
    <m/>
    <m/>
    <m/>
    <m/>
    <m/>
    <x v="0"/>
    <x v="3"/>
    <n v="0"/>
  </r>
  <r>
    <x v="105"/>
    <s v="جمعه"/>
    <n v="0"/>
    <m/>
    <n v="0"/>
    <n v="0"/>
    <m/>
    <n v="-0.5"/>
    <n v="0"/>
    <m/>
    <m/>
    <m/>
    <m/>
    <m/>
    <x v="0"/>
    <x v="3"/>
    <n v="0"/>
  </r>
  <r>
    <x v="106"/>
    <s v="شنبه"/>
    <n v="0"/>
    <m/>
    <n v="0"/>
    <n v="0"/>
    <m/>
    <n v="-0.5"/>
    <n v="0"/>
    <m/>
    <m/>
    <m/>
    <m/>
    <m/>
    <x v="0"/>
    <x v="3"/>
    <n v="0"/>
  </r>
  <r>
    <x v="107"/>
    <s v="یکشنبه"/>
    <n v="0"/>
    <m/>
    <n v="0"/>
    <n v="0"/>
    <m/>
    <n v="-0.5"/>
    <n v="0"/>
    <m/>
    <m/>
    <m/>
    <m/>
    <m/>
    <x v="0"/>
    <x v="3"/>
    <n v="0"/>
  </r>
  <r>
    <x v="108"/>
    <s v="دوشنبه"/>
    <n v="0"/>
    <m/>
    <n v="0"/>
    <n v="0"/>
    <m/>
    <n v="-0.5"/>
    <n v="0"/>
    <m/>
    <m/>
    <m/>
    <m/>
    <m/>
    <x v="0"/>
    <x v="3"/>
    <n v="0"/>
  </r>
  <r>
    <x v="109"/>
    <s v="سه شنبه"/>
    <n v="0"/>
    <m/>
    <n v="0"/>
    <n v="0"/>
    <m/>
    <n v="-0.5"/>
    <n v="0"/>
    <m/>
    <m/>
    <m/>
    <m/>
    <m/>
    <x v="0"/>
    <x v="3"/>
    <n v="0"/>
  </r>
  <r>
    <x v="110"/>
    <s v="چهارشنبه"/>
    <n v="0"/>
    <m/>
    <n v="0"/>
    <n v="0"/>
    <m/>
    <n v="-0.5"/>
    <n v="0"/>
    <m/>
    <m/>
    <m/>
    <m/>
    <m/>
    <x v="0"/>
    <x v="3"/>
    <n v="0"/>
  </r>
  <r>
    <x v="111"/>
    <s v="پنجشنبه"/>
    <n v="0"/>
    <m/>
    <n v="0"/>
    <n v="0"/>
    <m/>
    <n v="-0.5"/>
    <n v="0"/>
    <m/>
    <m/>
    <m/>
    <m/>
    <m/>
    <x v="0"/>
    <x v="3"/>
    <n v="0"/>
  </r>
  <r>
    <x v="112"/>
    <s v="جمعه"/>
    <n v="0"/>
    <m/>
    <n v="0"/>
    <n v="0"/>
    <m/>
    <n v="-0.5"/>
    <n v="0"/>
    <m/>
    <m/>
    <m/>
    <m/>
    <m/>
    <x v="0"/>
    <x v="3"/>
    <n v="0"/>
  </r>
  <r>
    <x v="113"/>
    <s v="شنبه"/>
    <n v="0"/>
    <m/>
    <n v="0"/>
    <n v="0"/>
    <m/>
    <n v="-0.5"/>
    <n v="0"/>
    <m/>
    <m/>
    <m/>
    <m/>
    <m/>
    <x v="0"/>
    <x v="3"/>
    <n v="0"/>
  </r>
  <r>
    <x v="114"/>
    <s v="یکشنبه"/>
    <n v="0"/>
    <m/>
    <n v="0"/>
    <n v="0"/>
    <m/>
    <n v="-0.5"/>
    <n v="0"/>
    <m/>
    <m/>
    <m/>
    <m/>
    <m/>
    <x v="0"/>
    <x v="3"/>
    <n v="0"/>
  </r>
  <r>
    <x v="115"/>
    <s v="دوشنبه"/>
    <n v="0"/>
    <m/>
    <n v="0"/>
    <n v="0"/>
    <m/>
    <n v="-0.5"/>
    <n v="0"/>
    <m/>
    <m/>
    <m/>
    <m/>
    <m/>
    <x v="0"/>
    <x v="3"/>
    <n v="0"/>
  </r>
  <r>
    <x v="116"/>
    <s v="سه شنبه"/>
    <n v="0"/>
    <m/>
    <n v="0"/>
    <n v="0"/>
    <m/>
    <n v="-0.5"/>
    <n v="0"/>
    <m/>
    <m/>
    <m/>
    <m/>
    <m/>
    <x v="0"/>
    <x v="3"/>
    <n v="0"/>
  </r>
  <r>
    <x v="117"/>
    <s v="چهارشنبه"/>
    <n v="0"/>
    <m/>
    <n v="0"/>
    <n v="0"/>
    <m/>
    <n v="-0.5"/>
    <n v="0"/>
    <m/>
    <m/>
    <m/>
    <m/>
    <m/>
    <x v="0"/>
    <x v="3"/>
    <n v="0"/>
  </r>
  <r>
    <x v="118"/>
    <s v="پنجشنبه"/>
    <n v="0"/>
    <m/>
    <n v="0"/>
    <n v="0"/>
    <m/>
    <n v="-0.5"/>
    <n v="0"/>
    <m/>
    <m/>
    <m/>
    <m/>
    <m/>
    <x v="0"/>
    <x v="3"/>
    <n v="0"/>
  </r>
  <r>
    <x v="119"/>
    <s v="جمعه"/>
    <n v="0"/>
    <m/>
    <n v="0"/>
    <n v="0"/>
    <m/>
    <n v="-0.5"/>
    <n v="0"/>
    <m/>
    <m/>
    <m/>
    <m/>
    <m/>
    <x v="0"/>
    <x v="3"/>
    <n v="0"/>
  </r>
  <r>
    <x v="120"/>
    <s v="شنبه"/>
    <n v="0"/>
    <m/>
    <n v="0"/>
    <n v="0"/>
    <m/>
    <n v="-0.5"/>
    <n v="0"/>
    <m/>
    <m/>
    <m/>
    <m/>
    <m/>
    <x v="0"/>
    <x v="3"/>
    <n v="0"/>
  </r>
  <r>
    <x v="121"/>
    <s v="یکشنبه"/>
    <n v="0"/>
    <m/>
    <n v="0"/>
    <n v="0"/>
    <m/>
    <n v="-0.5"/>
    <n v="0"/>
    <m/>
    <m/>
    <m/>
    <m/>
    <m/>
    <x v="0"/>
    <x v="3"/>
    <n v="0"/>
  </r>
  <r>
    <x v="122"/>
    <s v="دوشنبه"/>
    <n v="0"/>
    <m/>
    <n v="0"/>
    <n v="0"/>
    <m/>
    <n v="-0.5"/>
    <n v="0"/>
    <m/>
    <m/>
    <m/>
    <m/>
    <m/>
    <x v="0"/>
    <x v="3"/>
    <n v="0"/>
  </r>
  <r>
    <x v="123"/>
    <s v="سه شنبه"/>
    <n v="0"/>
    <m/>
    <n v="0"/>
    <n v="0"/>
    <m/>
    <n v="-0.5"/>
    <n v="0"/>
    <m/>
    <m/>
    <m/>
    <m/>
    <m/>
    <x v="0"/>
    <x v="3"/>
    <n v="0"/>
  </r>
  <r>
    <x v="124"/>
    <s v="چهارشنبه"/>
    <n v="0"/>
    <m/>
    <n v="0"/>
    <n v="0"/>
    <m/>
    <n v="-0.5"/>
    <n v="0"/>
    <m/>
    <m/>
    <m/>
    <m/>
    <m/>
    <x v="0"/>
    <x v="4"/>
    <n v="0"/>
  </r>
  <r>
    <x v="125"/>
    <s v="پنجشنبه"/>
    <n v="0"/>
    <m/>
    <n v="0"/>
    <n v="0"/>
    <m/>
    <n v="-0.5"/>
    <n v="0"/>
    <m/>
    <m/>
    <m/>
    <m/>
    <m/>
    <x v="0"/>
    <x v="4"/>
    <n v="0"/>
  </r>
  <r>
    <x v="126"/>
    <s v="جمعه"/>
    <n v="0"/>
    <m/>
    <n v="0"/>
    <n v="0"/>
    <m/>
    <n v="-0.5"/>
    <n v="0"/>
    <m/>
    <m/>
    <m/>
    <m/>
    <m/>
    <x v="0"/>
    <x v="4"/>
    <n v="0"/>
  </r>
  <r>
    <x v="127"/>
    <s v="شنبه"/>
    <n v="0"/>
    <m/>
    <n v="0"/>
    <n v="0"/>
    <m/>
    <n v="-0.5"/>
    <n v="0"/>
    <m/>
    <m/>
    <m/>
    <m/>
    <m/>
    <x v="0"/>
    <x v="4"/>
    <n v="0"/>
  </r>
  <r>
    <x v="128"/>
    <s v="یکشنبه"/>
    <n v="0"/>
    <m/>
    <n v="0"/>
    <n v="0"/>
    <m/>
    <n v="-0.5"/>
    <n v="0"/>
    <m/>
    <m/>
    <m/>
    <m/>
    <m/>
    <x v="0"/>
    <x v="4"/>
    <n v="0"/>
  </r>
  <r>
    <x v="129"/>
    <s v="دوشنبه"/>
    <n v="0"/>
    <m/>
    <n v="0"/>
    <n v="0"/>
    <m/>
    <n v="-0.5"/>
    <n v="0"/>
    <m/>
    <m/>
    <m/>
    <m/>
    <m/>
    <x v="0"/>
    <x v="4"/>
    <n v="0"/>
  </r>
  <r>
    <x v="130"/>
    <s v="سه شنبه"/>
    <n v="0"/>
    <m/>
    <n v="0"/>
    <n v="0"/>
    <m/>
    <n v="-0.5"/>
    <n v="0"/>
    <m/>
    <m/>
    <m/>
    <m/>
    <m/>
    <x v="0"/>
    <x v="4"/>
    <n v="0"/>
  </r>
  <r>
    <x v="131"/>
    <s v="چهارشنبه"/>
    <n v="0"/>
    <m/>
    <n v="0"/>
    <n v="0"/>
    <m/>
    <n v="-0.5"/>
    <n v="0"/>
    <m/>
    <m/>
    <m/>
    <m/>
    <m/>
    <x v="0"/>
    <x v="4"/>
    <n v="0"/>
  </r>
  <r>
    <x v="132"/>
    <s v="پنجشنبه"/>
    <n v="0"/>
    <m/>
    <n v="0"/>
    <n v="0"/>
    <m/>
    <n v="-0.5"/>
    <n v="0"/>
    <m/>
    <m/>
    <m/>
    <m/>
    <m/>
    <x v="0"/>
    <x v="4"/>
    <n v="0"/>
  </r>
  <r>
    <x v="133"/>
    <s v="جمعه"/>
    <n v="0"/>
    <m/>
    <n v="0"/>
    <n v="0"/>
    <m/>
    <n v="-0.5"/>
    <n v="0"/>
    <m/>
    <m/>
    <m/>
    <m/>
    <m/>
    <x v="0"/>
    <x v="4"/>
    <n v="0"/>
  </r>
  <r>
    <x v="134"/>
    <s v="شنبه"/>
    <n v="0"/>
    <m/>
    <n v="0"/>
    <n v="0"/>
    <m/>
    <n v="-0.5"/>
    <n v="0"/>
    <m/>
    <m/>
    <m/>
    <m/>
    <m/>
    <x v="0"/>
    <x v="4"/>
    <n v="0"/>
  </r>
  <r>
    <x v="135"/>
    <s v="یکشنبه"/>
    <n v="0"/>
    <m/>
    <n v="0"/>
    <n v="0"/>
    <m/>
    <n v="-0.5"/>
    <n v="0"/>
    <m/>
    <m/>
    <m/>
    <m/>
    <m/>
    <x v="0"/>
    <x v="4"/>
    <n v="0"/>
  </r>
  <r>
    <x v="136"/>
    <s v="دوشنبه"/>
    <n v="0"/>
    <m/>
    <n v="0"/>
    <n v="0"/>
    <m/>
    <n v="-0.5"/>
    <n v="0"/>
    <m/>
    <m/>
    <m/>
    <m/>
    <m/>
    <x v="0"/>
    <x v="4"/>
    <n v="0"/>
  </r>
  <r>
    <x v="137"/>
    <s v="سه شنبه"/>
    <n v="0"/>
    <m/>
    <n v="0"/>
    <n v="0"/>
    <m/>
    <n v="-0.5"/>
    <n v="0"/>
    <m/>
    <m/>
    <m/>
    <m/>
    <m/>
    <x v="0"/>
    <x v="4"/>
    <n v="0"/>
  </r>
  <r>
    <x v="138"/>
    <s v="چهارشنبه"/>
    <n v="0"/>
    <m/>
    <n v="0"/>
    <n v="0"/>
    <m/>
    <n v="-0.5"/>
    <n v="0"/>
    <m/>
    <m/>
    <m/>
    <m/>
    <m/>
    <x v="0"/>
    <x v="4"/>
    <n v="0"/>
  </r>
  <r>
    <x v="139"/>
    <s v="پنجشنبه"/>
    <n v="0"/>
    <m/>
    <n v="0"/>
    <n v="0"/>
    <m/>
    <n v="-0.5"/>
    <n v="0"/>
    <m/>
    <m/>
    <m/>
    <m/>
    <m/>
    <x v="0"/>
    <x v="4"/>
    <n v="0"/>
  </r>
  <r>
    <x v="140"/>
    <s v="جمعه"/>
    <n v="0"/>
    <m/>
    <n v="0"/>
    <n v="0"/>
    <m/>
    <n v="-0.5"/>
    <n v="0"/>
    <m/>
    <m/>
    <m/>
    <m/>
    <m/>
    <x v="0"/>
    <x v="4"/>
    <n v="0"/>
  </r>
  <r>
    <x v="141"/>
    <s v="شنبه"/>
    <n v="0"/>
    <m/>
    <n v="0"/>
    <n v="0"/>
    <m/>
    <n v="-0.5"/>
    <n v="0"/>
    <m/>
    <m/>
    <m/>
    <m/>
    <m/>
    <x v="0"/>
    <x v="4"/>
    <n v="0"/>
  </r>
  <r>
    <x v="142"/>
    <s v="یکشنبه"/>
    <n v="0"/>
    <m/>
    <n v="0"/>
    <n v="0"/>
    <m/>
    <n v="-0.5"/>
    <n v="0"/>
    <m/>
    <m/>
    <m/>
    <m/>
    <m/>
    <x v="0"/>
    <x v="4"/>
    <n v="0"/>
  </r>
  <r>
    <x v="143"/>
    <s v="دوشنبه"/>
    <n v="0"/>
    <m/>
    <n v="0"/>
    <n v="0"/>
    <m/>
    <n v="-0.5"/>
    <n v="0"/>
    <m/>
    <m/>
    <m/>
    <m/>
    <m/>
    <x v="0"/>
    <x v="4"/>
    <n v="0"/>
  </r>
  <r>
    <x v="144"/>
    <s v="سه شنبه"/>
    <n v="0"/>
    <m/>
    <n v="0"/>
    <n v="0"/>
    <m/>
    <n v="-0.5"/>
    <n v="0"/>
    <m/>
    <m/>
    <m/>
    <m/>
    <m/>
    <x v="0"/>
    <x v="4"/>
    <n v="0"/>
  </r>
  <r>
    <x v="145"/>
    <s v="چهارشنبه"/>
    <n v="0"/>
    <m/>
    <n v="0"/>
    <n v="0"/>
    <m/>
    <n v="-0.5"/>
    <n v="0"/>
    <m/>
    <m/>
    <m/>
    <m/>
    <m/>
    <x v="0"/>
    <x v="4"/>
    <n v="0"/>
  </r>
  <r>
    <x v="146"/>
    <s v="پنجشنبه"/>
    <n v="0"/>
    <m/>
    <n v="0"/>
    <n v="0"/>
    <m/>
    <n v="-0.5"/>
    <n v="0"/>
    <m/>
    <m/>
    <m/>
    <m/>
    <m/>
    <x v="0"/>
    <x v="4"/>
    <n v="0"/>
  </r>
  <r>
    <x v="147"/>
    <s v="جمعه"/>
    <n v="0"/>
    <m/>
    <n v="0"/>
    <n v="0"/>
    <m/>
    <n v="-0.5"/>
    <n v="0"/>
    <m/>
    <m/>
    <m/>
    <m/>
    <m/>
    <x v="0"/>
    <x v="4"/>
    <n v="0"/>
  </r>
  <r>
    <x v="148"/>
    <s v="شنبه"/>
    <n v="0"/>
    <m/>
    <n v="0"/>
    <n v="0"/>
    <m/>
    <n v="-0.5"/>
    <n v="0"/>
    <m/>
    <m/>
    <m/>
    <m/>
    <m/>
    <x v="0"/>
    <x v="4"/>
    <n v="0"/>
  </r>
  <r>
    <x v="149"/>
    <s v="یکشنبه"/>
    <n v="0"/>
    <m/>
    <n v="0"/>
    <n v="0"/>
    <m/>
    <n v="-0.5"/>
    <n v="0"/>
    <m/>
    <m/>
    <m/>
    <m/>
    <m/>
    <x v="0"/>
    <x v="4"/>
    <n v="0"/>
  </r>
  <r>
    <x v="150"/>
    <s v="دوشنبه"/>
    <n v="0"/>
    <m/>
    <n v="0"/>
    <n v="0"/>
    <m/>
    <n v="-0.5"/>
    <n v="0"/>
    <m/>
    <m/>
    <m/>
    <m/>
    <m/>
    <x v="0"/>
    <x v="4"/>
    <n v="0"/>
  </r>
  <r>
    <x v="151"/>
    <s v="سه شنبه"/>
    <n v="0"/>
    <m/>
    <n v="0"/>
    <n v="0"/>
    <m/>
    <n v="-0.5"/>
    <n v="0"/>
    <m/>
    <m/>
    <m/>
    <m/>
    <m/>
    <x v="0"/>
    <x v="4"/>
    <n v="0"/>
  </r>
  <r>
    <x v="152"/>
    <s v="چهارشنبه"/>
    <n v="0"/>
    <m/>
    <n v="0"/>
    <n v="0"/>
    <m/>
    <n v="-0.5"/>
    <n v="0"/>
    <m/>
    <m/>
    <m/>
    <m/>
    <m/>
    <x v="0"/>
    <x v="4"/>
    <n v="0"/>
  </r>
  <r>
    <x v="153"/>
    <s v="پنجشنبه"/>
    <n v="0"/>
    <m/>
    <n v="0"/>
    <n v="0"/>
    <m/>
    <n v="-0.5"/>
    <n v="0"/>
    <m/>
    <m/>
    <m/>
    <m/>
    <m/>
    <x v="0"/>
    <x v="4"/>
    <n v="0"/>
  </r>
  <r>
    <x v="154"/>
    <s v="جمعه"/>
    <n v="0"/>
    <m/>
    <n v="0"/>
    <n v="0"/>
    <m/>
    <n v="-0.5"/>
    <n v="0"/>
    <m/>
    <m/>
    <m/>
    <m/>
    <m/>
    <x v="0"/>
    <x v="4"/>
    <n v="0"/>
  </r>
  <r>
    <x v="155"/>
    <s v="شنبه"/>
    <n v="0"/>
    <m/>
    <n v="0"/>
    <n v="0"/>
    <m/>
    <n v="-0.5"/>
    <n v="0"/>
    <m/>
    <m/>
    <m/>
    <m/>
    <m/>
    <x v="0"/>
    <x v="5"/>
    <n v="0"/>
  </r>
  <r>
    <x v="156"/>
    <s v="یکشنبه"/>
    <n v="0"/>
    <m/>
    <n v="0"/>
    <n v="0"/>
    <m/>
    <n v="-0.5"/>
    <n v="0"/>
    <m/>
    <m/>
    <m/>
    <m/>
    <m/>
    <x v="0"/>
    <x v="5"/>
    <n v="0"/>
  </r>
  <r>
    <x v="157"/>
    <s v="دوشنبه"/>
    <n v="0"/>
    <m/>
    <n v="0"/>
    <n v="0"/>
    <m/>
    <n v="-0.5"/>
    <n v="0"/>
    <m/>
    <m/>
    <m/>
    <m/>
    <m/>
    <x v="0"/>
    <x v="5"/>
    <n v="0"/>
  </r>
  <r>
    <x v="158"/>
    <s v="سه شنبه"/>
    <n v="0"/>
    <m/>
    <n v="0"/>
    <n v="0"/>
    <m/>
    <n v="-0.5"/>
    <n v="0"/>
    <m/>
    <m/>
    <m/>
    <m/>
    <m/>
    <x v="0"/>
    <x v="5"/>
    <n v="0"/>
  </r>
  <r>
    <x v="159"/>
    <s v="چهارشنبه"/>
    <n v="0"/>
    <m/>
    <n v="0"/>
    <n v="0"/>
    <m/>
    <n v="-0.5"/>
    <n v="0"/>
    <m/>
    <m/>
    <m/>
    <m/>
    <m/>
    <x v="0"/>
    <x v="5"/>
    <n v="0"/>
  </r>
  <r>
    <x v="160"/>
    <s v="پنجشنبه"/>
    <n v="0"/>
    <m/>
    <n v="0"/>
    <n v="0"/>
    <m/>
    <n v="-0.5"/>
    <n v="0"/>
    <m/>
    <m/>
    <m/>
    <m/>
    <m/>
    <x v="0"/>
    <x v="5"/>
    <n v="0"/>
  </r>
  <r>
    <x v="161"/>
    <s v="جمعه"/>
    <n v="0"/>
    <m/>
    <n v="0"/>
    <n v="0"/>
    <m/>
    <n v="-0.5"/>
    <n v="0"/>
    <m/>
    <m/>
    <m/>
    <m/>
    <m/>
    <x v="0"/>
    <x v="5"/>
    <n v="0"/>
  </r>
  <r>
    <x v="162"/>
    <s v="شنبه"/>
    <n v="0"/>
    <m/>
    <n v="0"/>
    <n v="0"/>
    <m/>
    <n v="-0.5"/>
    <n v="0"/>
    <m/>
    <m/>
    <m/>
    <m/>
    <m/>
    <x v="0"/>
    <x v="5"/>
    <n v="0"/>
  </r>
  <r>
    <x v="163"/>
    <s v="یکشنبه"/>
    <n v="0"/>
    <m/>
    <n v="0"/>
    <n v="0"/>
    <m/>
    <n v="-0.5"/>
    <n v="0"/>
    <m/>
    <m/>
    <m/>
    <m/>
    <m/>
    <x v="0"/>
    <x v="5"/>
    <n v="0"/>
  </r>
  <r>
    <x v="164"/>
    <s v="دوشنبه"/>
    <n v="0"/>
    <m/>
    <n v="0"/>
    <n v="0"/>
    <m/>
    <n v="-0.5"/>
    <n v="0"/>
    <m/>
    <m/>
    <m/>
    <m/>
    <m/>
    <x v="0"/>
    <x v="5"/>
    <n v="0"/>
  </r>
  <r>
    <x v="165"/>
    <s v="سه شنبه"/>
    <n v="0"/>
    <m/>
    <n v="0"/>
    <n v="0"/>
    <m/>
    <n v="-0.5"/>
    <n v="0"/>
    <m/>
    <m/>
    <m/>
    <m/>
    <m/>
    <x v="0"/>
    <x v="5"/>
    <n v="0"/>
  </r>
  <r>
    <x v="166"/>
    <s v="چهارشنبه"/>
    <n v="0"/>
    <m/>
    <n v="0"/>
    <n v="0"/>
    <m/>
    <n v="-0.5"/>
    <n v="0"/>
    <m/>
    <m/>
    <m/>
    <m/>
    <m/>
    <x v="0"/>
    <x v="5"/>
    <n v="0"/>
  </r>
  <r>
    <x v="167"/>
    <s v="پنجشنبه"/>
    <n v="0"/>
    <m/>
    <n v="0"/>
    <n v="0"/>
    <m/>
    <n v="-0.5"/>
    <n v="0"/>
    <m/>
    <m/>
    <m/>
    <m/>
    <m/>
    <x v="0"/>
    <x v="5"/>
    <n v="0"/>
  </r>
  <r>
    <x v="168"/>
    <s v="جمعه"/>
    <n v="0"/>
    <m/>
    <n v="0"/>
    <n v="0"/>
    <m/>
    <n v="-0.5"/>
    <n v="0"/>
    <m/>
    <m/>
    <m/>
    <m/>
    <m/>
    <x v="0"/>
    <x v="5"/>
    <n v="0"/>
  </r>
  <r>
    <x v="169"/>
    <s v="شنبه"/>
    <n v="0"/>
    <m/>
    <n v="0"/>
    <n v="0"/>
    <m/>
    <n v="-0.5"/>
    <n v="0"/>
    <m/>
    <m/>
    <m/>
    <m/>
    <m/>
    <x v="0"/>
    <x v="5"/>
    <n v="0"/>
  </r>
  <r>
    <x v="170"/>
    <s v="یکشنبه"/>
    <n v="0"/>
    <m/>
    <n v="0"/>
    <n v="0"/>
    <m/>
    <n v="-0.5"/>
    <n v="0"/>
    <m/>
    <m/>
    <m/>
    <m/>
    <m/>
    <x v="0"/>
    <x v="5"/>
    <n v="0"/>
  </r>
  <r>
    <x v="171"/>
    <s v="دوشنبه"/>
    <n v="0"/>
    <m/>
    <n v="0"/>
    <n v="0"/>
    <m/>
    <n v="-0.5"/>
    <n v="0"/>
    <m/>
    <m/>
    <m/>
    <m/>
    <m/>
    <x v="0"/>
    <x v="5"/>
    <n v="0"/>
  </r>
  <r>
    <x v="172"/>
    <s v="سه شنبه"/>
    <n v="0"/>
    <m/>
    <n v="0"/>
    <n v="0"/>
    <m/>
    <n v="-0.5"/>
    <n v="0"/>
    <m/>
    <m/>
    <m/>
    <m/>
    <m/>
    <x v="0"/>
    <x v="5"/>
    <n v="0"/>
  </r>
  <r>
    <x v="173"/>
    <s v="چهارشنبه"/>
    <n v="0"/>
    <m/>
    <n v="0"/>
    <n v="0"/>
    <m/>
    <n v="-0.5"/>
    <n v="0"/>
    <m/>
    <m/>
    <m/>
    <m/>
    <m/>
    <x v="0"/>
    <x v="5"/>
    <n v="0"/>
  </r>
  <r>
    <x v="174"/>
    <s v="پنجشنبه"/>
    <n v="0"/>
    <m/>
    <n v="0"/>
    <n v="0"/>
    <m/>
    <n v="-0.5"/>
    <n v="0"/>
    <m/>
    <m/>
    <m/>
    <m/>
    <m/>
    <x v="0"/>
    <x v="5"/>
    <n v="0"/>
  </r>
  <r>
    <x v="175"/>
    <s v="جمعه"/>
    <n v="0"/>
    <m/>
    <n v="0"/>
    <n v="0"/>
    <m/>
    <n v="-0.5"/>
    <n v="0"/>
    <m/>
    <m/>
    <m/>
    <m/>
    <m/>
    <x v="0"/>
    <x v="5"/>
    <n v="0"/>
  </r>
  <r>
    <x v="176"/>
    <s v="شنبه"/>
    <n v="0"/>
    <m/>
    <n v="0"/>
    <n v="0"/>
    <m/>
    <n v="-0.5"/>
    <n v="0"/>
    <m/>
    <m/>
    <m/>
    <m/>
    <m/>
    <x v="0"/>
    <x v="5"/>
    <n v="0"/>
  </r>
  <r>
    <x v="177"/>
    <s v="یکشنبه"/>
    <n v="0"/>
    <m/>
    <n v="0"/>
    <n v="0"/>
    <m/>
    <n v="-0.5"/>
    <n v="0"/>
    <m/>
    <m/>
    <m/>
    <m/>
    <m/>
    <x v="0"/>
    <x v="5"/>
    <n v="0"/>
  </r>
  <r>
    <x v="178"/>
    <s v="دوشنبه"/>
    <n v="0"/>
    <m/>
    <n v="0"/>
    <n v="0"/>
    <m/>
    <n v="-0.5"/>
    <n v="0"/>
    <m/>
    <m/>
    <m/>
    <m/>
    <m/>
    <x v="0"/>
    <x v="5"/>
    <n v="0"/>
  </r>
  <r>
    <x v="179"/>
    <s v="سه شنبه"/>
    <n v="0"/>
    <m/>
    <n v="0"/>
    <n v="0"/>
    <m/>
    <n v="-0.5"/>
    <n v="0"/>
    <m/>
    <m/>
    <m/>
    <m/>
    <m/>
    <x v="0"/>
    <x v="5"/>
    <n v="0"/>
  </r>
  <r>
    <x v="180"/>
    <s v="چهارشنبه"/>
    <n v="0"/>
    <m/>
    <n v="0"/>
    <n v="0"/>
    <m/>
    <n v="-0.5"/>
    <n v="0"/>
    <m/>
    <m/>
    <m/>
    <m/>
    <m/>
    <x v="0"/>
    <x v="5"/>
    <n v="0"/>
  </r>
  <r>
    <x v="181"/>
    <s v="پنجشنبه"/>
    <n v="0"/>
    <m/>
    <n v="0"/>
    <n v="0"/>
    <m/>
    <n v="-0.5"/>
    <n v="0"/>
    <m/>
    <m/>
    <m/>
    <m/>
    <m/>
    <x v="0"/>
    <x v="5"/>
    <n v="0"/>
  </r>
  <r>
    <x v="182"/>
    <s v="جمعه"/>
    <n v="0"/>
    <m/>
    <n v="0"/>
    <n v="0"/>
    <m/>
    <n v="-0.5"/>
    <n v="0"/>
    <m/>
    <m/>
    <m/>
    <m/>
    <m/>
    <x v="0"/>
    <x v="5"/>
    <n v="0"/>
  </r>
  <r>
    <x v="183"/>
    <s v="شنبه"/>
    <n v="0"/>
    <m/>
    <n v="0"/>
    <n v="0"/>
    <m/>
    <n v="-0.5"/>
    <n v="0"/>
    <m/>
    <m/>
    <m/>
    <m/>
    <m/>
    <x v="0"/>
    <x v="5"/>
    <n v="0"/>
  </r>
  <r>
    <x v="184"/>
    <s v="یکشنبه"/>
    <n v="0"/>
    <m/>
    <n v="0"/>
    <n v="0"/>
    <m/>
    <n v="-0.5"/>
    <n v="0"/>
    <m/>
    <m/>
    <m/>
    <m/>
    <m/>
    <x v="0"/>
    <x v="5"/>
    <n v="0"/>
  </r>
  <r>
    <x v="185"/>
    <s v="دوشنبه"/>
    <n v="0"/>
    <m/>
    <n v="0"/>
    <n v="0"/>
    <m/>
    <n v="-0.5"/>
    <n v="0"/>
    <m/>
    <m/>
    <m/>
    <m/>
    <m/>
    <x v="0"/>
    <x v="5"/>
    <n v="0"/>
  </r>
  <r>
    <x v="186"/>
    <s v="سه شنبه"/>
    <n v="0"/>
    <m/>
    <n v="0"/>
    <n v="0"/>
    <m/>
    <n v="-0.5"/>
    <n v="0"/>
    <m/>
    <m/>
    <m/>
    <m/>
    <m/>
    <x v="0"/>
    <x v="6"/>
    <n v="0"/>
  </r>
  <r>
    <x v="187"/>
    <s v="چهارشنبه"/>
    <n v="0"/>
    <m/>
    <n v="0"/>
    <n v="0"/>
    <m/>
    <n v="-0.5"/>
    <n v="0"/>
    <m/>
    <m/>
    <m/>
    <m/>
    <m/>
    <x v="0"/>
    <x v="6"/>
    <n v="0"/>
  </r>
  <r>
    <x v="188"/>
    <s v="پنجشنبه"/>
    <n v="0"/>
    <m/>
    <n v="0"/>
    <n v="0"/>
    <m/>
    <n v="-0.5"/>
    <n v="0"/>
    <m/>
    <m/>
    <m/>
    <m/>
    <m/>
    <x v="0"/>
    <x v="6"/>
    <n v="0"/>
  </r>
  <r>
    <x v="189"/>
    <s v="جمعه"/>
    <n v="0"/>
    <m/>
    <n v="0"/>
    <n v="0"/>
    <m/>
    <n v="-0.5"/>
    <n v="0"/>
    <m/>
    <m/>
    <m/>
    <m/>
    <m/>
    <x v="0"/>
    <x v="6"/>
    <n v="0"/>
  </r>
  <r>
    <x v="190"/>
    <s v="شنبه"/>
    <n v="0"/>
    <m/>
    <n v="0"/>
    <n v="0"/>
    <m/>
    <n v="-0.5"/>
    <n v="0"/>
    <m/>
    <m/>
    <m/>
    <m/>
    <m/>
    <x v="0"/>
    <x v="6"/>
    <n v="0"/>
  </r>
  <r>
    <x v="191"/>
    <s v="یکشنبه"/>
    <n v="0"/>
    <m/>
    <n v="0"/>
    <n v="0"/>
    <m/>
    <n v="-0.5"/>
    <n v="0"/>
    <m/>
    <m/>
    <m/>
    <m/>
    <m/>
    <x v="0"/>
    <x v="6"/>
    <n v="0"/>
  </r>
  <r>
    <x v="192"/>
    <s v="دوشنبه"/>
    <n v="0"/>
    <m/>
    <n v="0"/>
    <n v="0"/>
    <m/>
    <n v="-0.5"/>
    <n v="0"/>
    <m/>
    <m/>
    <m/>
    <m/>
    <m/>
    <x v="0"/>
    <x v="6"/>
    <n v="0"/>
  </r>
  <r>
    <x v="193"/>
    <s v="سه شنبه"/>
    <n v="0"/>
    <m/>
    <n v="0"/>
    <n v="0"/>
    <m/>
    <n v="-0.5"/>
    <n v="0"/>
    <m/>
    <m/>
    <m/>
    <m/>
    <m/>
    <x v="0"/>
    <x v="6"/>
    <n v="0"/>
  </r>
  <r>
    <x v="194"/>
    <s v="چهارشنبه"/>
    <n v="0"/>
    <m/>
    <n v="0"/>
    <n v="0"/>
    <m/>
    <n v="-0.5"/>
    <n v="0"/>
    <m/>
    <m/>
    <m/>
    <m/>
    <m/>
    <x v="0"/>
    <x v="6"/>
    <n v="0"/>
  </r>
  <r>
    <x v="195"/>
    <s v="پنجشنبه"/>
    <n v="0"/>
    <m/>
    <n v="0"/>
    <n v="0"/>
    <m/>
    <n v="-0.5"/>
    <n v="0"/>
    <m/>
    <m/>
    <m/>
    <m/>
    <m/>
    <x v="0"/>
    <x v="6"/>
    <n v="0"/>
  </r>
  <r>
    <x v="196"/>
    <s v="جمعه"/>
    <n v="0"/>
    <m/>
    <n v="0"/>
    <n v="0"/>
    <m/>
    <n v="-0.5"/>
    <n v="0"/>
    <m/>
    <m/>
    <m/>
    <m/>
    <m/>
    <x v="0"/>
    <x v="6"/>
    <n v="0"/>
  </r>
  <r>
    <x v="197"/>
    <s v="شنبه"/>
    <n v="0"/>
    <m/>
    <n v="0"/>
    <n v="0"/>
    <m/>
    <n v="-0.5"/>
    <n v="0"/>
    <m/>
    <m/>
    <m/>
    <m/>
    <m/>
    <x v="0"/>
    <x v="6"/>
    <n v="0"/>
  </r>
  <r>
    <x v="198"/>
    <s v="یکشنبه"/>
    <n v="0"/>
    <m/>
    <n v="0"/>
    <n v="0"/>
    <m/>
    <n v="-0.5"/>
    <n v="0"/>
    <m/>
    <m/>
    <m/>
    <m/>
    <m/>
    <x v="0"/>
    <x v="6"/>
    <n v="0"/>
  </r>
  <r>
    <x v="199"/>
    <s v="دوشنبه"/>
    <n v="0"/>
    <m/>
    <n v="0"/>
    <n v="0"/>
    <m/>
    <n v="-0.5"/>
    <n v="0"/>
    <m/>
    <m/>
    <m/>
    <m/>
    <m/>
    <x v="0"/>
    <x v="6"/>
    <n v="0"/>
  </r>
  <r>
    <x v="200"/>
    <s v="سه شنبه"/>
    <n v="0"/>
    <m/>
    <n v="0"/>
    <n v="0"/>
    <m/>
    <n v="-0.5"/>
    <n v="0"/>
    <m/>
    <m/>
    <m/>
    <m/>
    <m/>
    <x v="0"/>
    <x v="6"/>
    <n v="0"/>
  </r>
  <r>
    <x v="201"/>
    <s v="چهارشنبه"/>
    <n v="0"/>
    <m/>
    <n v="0"/>
    <n v="0"/>
    <m/>
    <n v="-0.5"/>
    <n v="0"/>
    <m/>
    <m/>
    <m/>
    <m/>
    <m/>
    <x v="0"/>
    <x v="6"/>
    <n v="0"/>
  </r>
  <r>
    <x v="202"/>
    <s v="پنجشنبه"/>
    <n v="0"/>
    <m/>
    <n v="0"/>
    <n v="0"/>
    <m/>
    <n v="-0.5"/>
    <n v="0"/>
    <m/>
    <m/>
    <m/>
    <m/>
    <m/>
    <x v="0"/>
    <x v="6"/>
    <n v="0"/>
  </r>
  <r>
    <x v="203"/>
    <s v="جمعه"/>
    <n v="0"/>
    <m/>
    <n v="0"/>
    <n v="0"/>
    <m/>
    <n v="-0.5"/>
    <n v="0"/>
    <m/>
    <m/>
    <m/>
    <m/>
    <m/>
    <x v="0"/>
    <x v="6"/>
    <n v="0"/>
  </r>
  <r>
    <x v="204"/>
    <s v="شنبه"/>
    <n v="0"/>
    <m/>
    <n v="0"/>
    <n v="0"/>
    <m/>
    <n v="-0.5"/>
    <n v="0"/>
    <m/>
    <m/>
    <m/>
    <m/>
    <m/>
    <x v="0"/>
    <x v="6"/>
    <n v="0"/>
  </r>
  <r>
    <x v="205"/>
    <s v="یکشنبه"/>
    <n v="0"/>
    <m/>
    <n v="0"/>
    <n v="0"/>
    <m/>
    <n v="-0.5"/>
    <n v="0"/>
    <m/>
    <m/>
    <m/>
    <m/>
    <m/>
    <x v="0"/>
    <x v="6"/>
    <n v="0"/>
  </r>
  <r>
    <x v="206"/>
    <s v="دوشنبه"/>
    <n v="0"/>
    <m/>
    <n v="0"/>
    <n v="0"/>
    <m/>
    <n v="-0.5"/>
    <n v="0"/>
    <m/>
    <m/>
    <m/>
    <m/>
    <m/>
    <x v="0"/>
    <x v="6"/>
    <n v="0"/>
  </r>
  <r>
    <x v="207"/>
    <s v="سه شنبه"/>
    <n v="0"/>
    <m/>
    <n v="0"/>
    <n v="0"/>
    <m/>
    <n v="-0.5"/>
    <n v="0"/>
    <m/>
    <m/>
    <m/>
    <m/>
    <m/>
    <x v="0"/>
    <x v="6"/>
    <n v="0"/>
  </r>
  <r>
    <x v="208"/>
    <s v="چهارشنبه"/>
    <n v="0"/>
    <m/>
    <n v="0"/>
    <n v="0"/>
    <m/>
    <n v="-0.5"/>
    <n v="0"/>
    <m/>
    <m/>
    <m/>
    <m/>
    <m/>
    <x v="0"/>
    <x v="6"/>
    <n v="0"/>
  </r>
  <r>
    <x v="209"/>
    <s v="پنجشنبه"/>
    <n v="0"/>
    <m/>
    <n v="0"/>
    <n v="0"/>
    <m/>
    <n v="-0.5"/>
    <n v="0"/>
    <m/>
    <m/>
    <m/>
    <m/>
    <m/>
    <x v="0"/>
    <x v="6"/>
    <n v="0"/>
  </r>
  <r>
    <x v="210"/>
    <s v="جمعه"/>
    <n v="0"/>
    <m/>
    <n v="0"/>
    <n v="0"/>
    <m/>
    <n v="-0.5"/>
    <n v="0"/>
    <m/>
    <m/>
    <m/>
    <m/>
    <m/>
    <x v="0"/>
    <x v="6"/>
    <n v="0"/>
  </r>
  <r>
    <x v="211"/>
    <s v="شنبه"/>
    <n v="0"/>
    <m/>
    <n v="0"/>
    <n v="0"/>
    <m/>
    <n v="-0.5"/>
    <n v="0"/>
    <m/>
    <m/>
    <m/>
    <m/>
    <m/>
    <x v="0"/>
    <x v="6"/>
    <n v="0"/>
  </r>
  <r>
    <x v="212"/>
    <s v="یکشنبه"/>
    <n v="0"/>
    <m/>
    <n v="0"/>
    <n v="0"/>
    <m/>
    <n v="-0.5"/>
    <n v="0"/>
    <m/>
    <m/>
    <m/>
    <m/>
    <m/>
    <x v="0"/>
    <x v="6"/>
    <n v="0"/>
  </r>
  <r>
    <x v="213"/>
    <s v="دوشنبه"/>
    <n v="0"/>
    <m/>
    <n v="0"/>
    <n v="0"/>
    <m/>
    <n v="-0.5"/>
    <n v="0"/>
    <m/>
    <m/>
    <m/>
    <m/>
    <m/>
    <x v="0"/>
    <x v="6"/>
    <n v="0"/>
  </r>
  <r>
    <x v="214"/>
    <s v="سه شنبه"/>
    <n v="0"/>
    <m/>
    <n v="0"/>
    <n v="0"/>
    <m/>
    <n v="-0.5"/>
    <n v="0"/>
    <m/>
    <m/>
    <m/>
    <m/>
    <m/>
    <x v="0"/>
    <x v="6"/>
    <n v="0"/>
  </r>
  <r>
    <x v="215"/>
    <s v="چهارشنبه"/>
    <n v="0"/>
    <m/>
    <n v="0"/>
    <n v="0"/>
    <m/>
    <n v="-0.5"/>
    <n v="0"/>
    <m/>
    <m/>
    <m/>
    <m/>
    <m/>
    <x v="0"/>
    <x v="6"/>
    <n v="0"/>
  </r>
  <r>
    <x v="216"/>
    <s v="پنجشنبه"/>
    <n v="0"/>
    <m/>
    <n v="0"/>
    <n v="0"/>
    <m/>
    <n v="-0.5"/>
    <n v="0"/>
    <m/>
    <m/>
    <m/>
    <m/>
    <m/>
    <x v="0"/>
    <x v="7"/>
    <n v="0"/>
  </r>
  <r>
    <x v="217"/>
    <s v="جمعه"/>
    <n v="0"/>
    <m/>
    <n v="0"/>
    <n v="0"/>
    <m/>
    <n v="-0.5"/>
    <n v="0"/>
    <m/>
    <m/>
    <m/>
    <m/>
    <m/>
    <x v="0"/>
    <x v="7"/>
    <n v="0"/>
  </r>
  <r>
    <x v="218"/>
    <s v="شنبه"/>
    <n v="0"/>
    <m/>
    <n v="0"/>
    <n v="0"/>
    <m/>
    <n v="-0.5"/>
    <n v="0"/>
    <m/>
    <m/>
    <m/>
    <m/>
    <m/>
    <x v="0"/>
    <x v="7"/>
    <n v="0"/>
  </r>
  <r>
    <x v="219"/>
    <s v="یکشنبه"/>
    <n v="0"/>
    <m/>
    <n v="0"/>
    <n v="0"/>
    <m/>
    <n v="-0.5"/>
    <n v="0"/>
    <m/>
    <m/>
    <m/>
    <m/>
    <m/>
    <x v="0"/>
    <x v="7"/>
    <n v="0"/>
  </r>
  <r>
    <x v="220"/>
    <s v="دوشنبه"/>
    <n v="0"/>
    <m/>
    <n v="0"/>
    <n v="0"/>
    <m/>
    <n v="-0.5"/>
    <n v="0"/>
    <m/>
    <m/>
    <m/>
    <m/>
    <m/>
    <x v="0"/>
    <x v="7"/>
    <n v="0"/>
  </r>
  <r>
    <x v="221"/>
    <s v="سه شنبه"/>
    <n v="0"/>
    <m/>
    <n v="0"/>
    <n v="0"/>
    <m/>
    <n v="-0.5"/>
    <n v="0"/>
    <m/>
    <m/>
    <m/>
    <m/>
    <m/>
    <x v="0"/>
    <x v="7"/>
    <n v="0"/>
  </r>
  <r>
    <x v="222"/>
    <s v="چهارشنبه"/>
    <n v="0"/>
    <m/>
    <n v="0"/>
    <n v="0"/>
    <m/>
    <n v="-0.5"/>
    <n v="0"/>
    <m/>
    <m/>
    <m/>
    <m/>
    <m/>
    <x v="0"/>
    <x v="7"/>
    <n v="0"/>
  </r>
  <r>
    <x v="223"/>
    <s v="پنجشنبه"/>
    <n v="0"/>
    <m/>
    <n v="0"/>
    <n v="0"/>
    <m/>
    <n v="-0.5"/>
    <n v="0"/>
    <m/>
    <m/>
    <m/>
    <m/>
    <m/>
    <x v="0"/>
    <x v="7"/>
    <n v="0"/>
  </r>
  <r>
    <x v="224"/>
    <s v="جمعه"/>
    <n v="0"/>
    <m/>
    <n v="0"/>
    <n v="0"/>
    <m/>
    <n v="-0.5"/>
    <n v="0"/>
    <m/>
    <m/>
    <m/>
    <m/>
    <m/>
    <x v="0"/>
    <x v="7"/>
    <n v="0"/>
  </r>
  <r>
    <x v="225"/>
    <s v="شنبه"/>
    <n v="0"/>
    <m/>
    <n v="0"/>
    <n v="0"/>
    <m/>
    <n v="-0.5"/>
    <n v="0"/>
    <m/>
    <m/>
    <m/>
    <m/>
    <m/>
    <x v="0"/>
    <x v="7"/>
    <n v="0"/>
  </r>
  <r>
    <x v="226"/>
    <s v="یکشنبه"/>
    <n v="0"/>
    <m/>
    <n v="0"/>
    <n v="0"/>
    <m/>
    <n v="-0.5"/>
    <n v="0"/>
    <m/>
    <m/>
    <m/>
    <m/>
    <m/>
    <x v="0"/>
    <x v="7"/>
    <n v="0"/>
  </r>
  <r>
    <x v="227"/>
    <s v="دوشنبه"/>
    <n v="0"/>
    <m/>
    <n v="0"/>
    <n v="0"/>
    <m/>
    <n v="-0.5"/>
    <n v="0"/>
    <m/>
    <m/>
    <m/>
    <m/>
    <m/>
    <x v="0"/>
    <x v="7"/>
    <n v="0"/>
  </r>
  <r>
    <x v="228"/>
    <s v="سه شنبه"/>
    <n v="0"/>
    <m/>
    <n v="0"/>
    <n v="0"/>
    <m/>
    <n v="-0.5"/>
    <n v="0"/>
    <m/>
    <m/>
    <m/>
    <m/>
    <m/>
    <x v="0"/>
    <x v="7"/>
    <n v="0"/>
  </r>
  <r>
    <x v="229"/>
    <s v="چهارشنبه"/>
    <n v="0"/>
    <m/>
    <n v="0"/>
    <n v="0"/>
    <m/>
    <n v="-0.5"/>
    <n v="0"/>
    <m/>
    <m/>
    <m/>
    <m/>
    <m/>
    <x v="0"/>
    <x v="7"/>
    <n v="0"/>
  </r>
  <r>
    <x v="230"/>
    <s v="پنجشنبه"/>
    <n v="0"/>
    <m/>
    <n v="0"/>
    <n v="0"/>
    <m/>
    <n v="-0.5"/>
    <n v="0"/>
    <m/>
    <m/>
    <m/>
    <m/>
    <m/>
    <x v="0"/>
    <x v="7"/>
    <n v="0"/>
  </r>
  <r>
    <x v="231"/>
    <s v="جمعه"/>
    <n v="0"/>
    <m/>
    <n v="0"/>
    <n v="0"/>
    <m/>
    <n v="-0.5"/>
    <n v="0"/>
    <m/>
    <m/>
    <m/>
    <m/>
    <m/>
    <x v="0"/>
    <x v="7"/>
    <n v="0"/>
  </r>
  <r>
    <x v="232"/>
    <s v="شنبه"/>
    <n v="0"/>
    <m/>
    <n v="0"/>
    <n v="0"/>
    <m/>
    <n v="-0.5"/>
    <n v="0"/>
    <m/>
    <m/>
    <m/>
    <m/>
    <m/>
    <x v="0"/>
    <x v="7"/>
    <n v="0"/>
  </r>
  <r>
    <x v="233"/>
    <s v="یکشنبه"/>
    <n v="0"/>
    <m/>
    <n v="0"/>
    <n v="0"/>
    <m/>
    <n v="-0.5"/>
    <n v="0"/>
    <m/>
    <m/>
    <m/>
    <m/>
    <m/>
    <x v="0"/>
    <x v="7"/>
    <n v="0"/>
  </r>
  <r>
    <x v="234"/>
    <s v="دوشنبه"/>
    <n v="0"/>
    <m/>
    <n v="0"/>
    <n v="0"/>
    <m/>
    <n v="-0.5"/>
    <n v="0"/>
    <m/>
    <m/>
    <m/>
    <m/>
    <m/>
    <x v="0"/>
    <x v="7"/>
    <n v="0"/>
  </r>
  <r>
    <x v="235"/>
    <s v="سه شنبه"/>
    <n v="0"/>
    <m/>
    <n v="0"/>
    <n v="0"/>
    <m/>
    <n v="-0.5"/>
    <n v="0"/>
    <m/>
    <m/>
    <m/>
    <m/>
    <m/>
    <x v="0"/>
    <x v="7"/>
    <n v="0"/>
  </r>
  <r>
    <x v="236"/>
    <s v="چهارشنبه"/>
    <n v="0"/>
    <m/>
    <n v="0"/>
    <n v="0"/>
    <m/>
    <n v="-0.5"/>
    <n v="0"/>
    <m/>
    <m/>
    <m/>
    <m/>
    <m/>
    <x v="0"/>
    <x v="7"/>
    <n v="0"/>
  </r>
  <r>
    <x v="237"/>
    <s v="پنجشنبه"/>
    <n v="0"/>
    <m/>
    <n v="0"/>
    <n v="0"/>
    <m/>
    <n v="-0.5"/>
    <n v="0"/>
    <m/>
    <m/>
    <m/>
    <m/>
    <m/>
    <x v="0"/>
    <x v="7"/>
    <n v="0"/>
  </r>
  <r>
    <x v="238"/>
    <s v="جمعه"/>
    <n v="0"/>
    <m/>
    <n v="0"/>
    <n v="0"/>
    <m/>
    <n v="-0.5"/>
    <n v="0"/>
    <m/>
    <m/>
    <m/>
    <m/>
    <m/>
    <x v="0"/>
    <x v="7"/>
    <n v="0"/>
  </r>
  <r>
    <x v="239"/>
    <s v="شنبه"/>
    <n v="0"/>
    <m/>
    <n v="0"/>
    <n v="0"/>
    <m/>
    <n v="-0.5"/>
    <n v="0"/>
    <m/>
    <m/>
    <m/>
    <m/>
    <m/>
    <x v="0"/>
    <x v="7"/>
    <n v="0"/>
  </r>
  <r>
    <x v="240"/>
    <s v="یکشنبه"/>
    <n v="0"/>
    <m/>
    <n v="0"/>
    <n v="0"/>
    <m/>
    <n v="-0.5"/>
    <n v="0"/>
    <m/>
    <m/>
    <m/>
    <m/>
    <m/>
    <x v="0"/>
    <x v="7"/>
    <n v="0"/>
  </r>
  <r>
    <x v="241"/>
    <s v="دوشنبه"/>
    <n v="0"/>
    <m/>
    <n v="0"/>
    <n v="0"/>
    <m/>
    <n v="-0.5"/>
    <n v="0"/>
    <m/>
    <m/>
    <m/>
    <m/>
    <m/>
    <x v="0"/>
    <x v="7"/>
    <n v="0"/>
  </r>
  <r>
    <x v="242"/>
    <s v="سه شنبه"/>
    <n v="0"/>
    <m/>
    <n v="0"/>
    <n v="0"/>
    <m/>
    <n v="-0.5"/>
    <n v="0"/>
    <m/>
    <m/>
    <m/>
    <m/>
    <m/>
    <x v="0"/>
    <x v="7"/>
    <n v="0"/>
  </r>
  <r>
    <x v="243"/>
    <s v="چهارشنبه"/>
    <n v="0"/>
    <m/>
    <n v="0"/>
    <n v="0"/>
    <m/>
    <n v="-0.5"/>
    <n v="0"/>
    <m/>
    <m/>
    <m/>
    <m/>
    <m/>
    <x v="0"/>
    <x v="7"/>
    <n v="0"/>
  </r>
  <r>
    <x v="244"/>
    <s v="پنجشنبه"/>
    <n v="0"/>
    <m/>
    <n v="0"/>
    <n v="0"/>
    <m/>
    <n v="-0.5"/>
    <n v="0"/>
    <m/>
    <m/>
    <m/>
    <m/>
    <m/>
    <x v="0"/>
    <x v="7"/>
    <n v="0"/>
  </r>
  <r>
    <x v="245"/>
    <s v="جمعه"/>
    <n v="0"/>
    <m/>
    <n v="0"/>
    <n v="0"/>
    <m/>
    <n v="-0.5"/>
    <n v="0"/>
    <m/>
    <m/>
    <m/>
    <m/>
    <m/>
    <x v="0"/>
    <x v="7"/>
    <n v="0"/>
  </r>
  <r>
    <x v="246"/>
    <s v="شنبه"/>
    <n v="0"/>
    <m/>
    <n v="0"/>
    <n v="0"/>
    <m/>
    <n v="-0.5"/>
    <n v="0"/>
    <m/>
    <m/>
    <m/>
    <m/>
    <m/>
    <x v="0"/>
    <x v="8"/>
    <n v="0"/>
  </r>
  <r>
    <x v="247"/>
    <s v="یکشنبه"/>
    <n v="0"/>
    <m/>
    <n v="0"/>
    <n v="0"/>
    <m/>
    <n v="-0.5"/>
    <n v="0"/>
    <m/>
    <m/>
    <m/>
    <m/>
    <m/>
    <x v="0"/>
    <x v="8"/>
    <n v="0"/>
  </r>
  <r>
    <x v="248"/>
    <s v="دوشنبه"/>
    <n v="0"/>
    <m/>
    <n v="0"/>
    <n v="0"/>
    <m/>
    <n v="-0.5"/>
    <n v="0"/>
    <m/>
    <m/>
    <m/>
    <m/>
    <m/>
    <x v="0"/>
    <x v="8"/>
    <n v="0"/>
  </r>
  <r>
    <x v="249"/>
    <s v="سه شنبه"/>
    <n v="0"/>
    <m/>
    <n v="0"/>
    <n v="0"/>
    <m/>
    <n v="-0.5"/>
    <n v="0"/>
    <m/>
    <m/>
    <m/>
    <m/>
    <m/>
    <x v="0"/>
    <x v="8"/>
    <n v="0"/>
  </r>
  <r>
    <x v="250"/>
    <s v="چهارشنبه"/>
    <n v="0"/>
    <m/>
    <n v="0"/>
    <n v="0"/>
    <m/>
    <n v="-0.5"/>
    <n v="0"/>
    <m/>
    <m/>
    <m/>
    <m/>
    <m/>
    <x v="0"/>
    <x v="8"/>
    <n v="0"/>
  </r>
  <r>
    <x v="251"/>
    <s v="پنجشنبه"/>
    <n v="0"/>
    <m/>
    <n v="0"/>
    <n v="0"/>
    <m/>
    <n v="-0.5"/>
    <n v="0"/>
    <m/>
    <m/>
    <m/>
    <m/>
    <m/>
    <x v="0"/>
    <x v="8"/>
    <n v="0"/>
  </r>
  <r>
    <x v="252"/>
    <s v="جمعه"/>
    <n v="0"/>
    <m/>
    <n v="0"/>
    <n v="0"/>
    <m/>
    <n v="-0.5"/>
    <n v="0"/>
    <m/>
    <m/>
    <m/>
    <m/>
    <m/>
    <x v="0"/>
    <x v="8"/>
    <n v="0"/>
  </r>
  <r>
    <x v="253"/>
    <s v="شنبه"/>
    <n v="0"/>
    <m/>
    <n v="0"/>
    <n v="0"/>
    <m/>
    <n v="-0.5"/>
    <n v="0"/>
    <m/>
    <m/>
    <m/>
    <m/>
    <m/>
    <x v="0"/>
    <x v="8"/>
    <n v="0"/>
  </r>
  <r>
    <x v="254"/>
    <s v="یکشنبه"/>
    <n v="0"/>
    <m/>
    <n v="0"/>
    <n v="0"/>
    <m/>
    <n v="-0.5"/>
    <n v="0"/>
    <m/>
    <m/>
    <m/>
    <m/>
    <m/>
    <x v="0"/>
    <x v="8"/>
    <n v="0"/>
  </r>
  <r>
    <x v="255"/>
    <s v="دوشنبه"/>
    <n v="0"/>
    <m/>
    <n v="0"/>
    <n v="0"/>
    <m/>
    <n v="-0.5"/>
    <n v="0"/>
    <m/>
    <m/>
    <m/>
    <m/>
    <m/>
    <x v="0"/>
    <x v="8"/>
    <n v="0"/>
  </r>
  <r>
    <x v="256"/>
    <s v="سه شنبه"/>
    <n v="0"/>
    <m/>
    <n v="0"/>
    <n v="0"/>
    <m/>
    <n v="-0.5"/>
    <n v="0"/>
    <m/>
    <m/>
    <m/>
    <m/>
    <m/>
    <x v="0"/>
    <x v="8"/>
    <n v="0"/>
  </r>
  <r>
    <x v="257"/>
    <s v="چهارشنبه"/>
    <n v="0"/>
    <m/>
    <n v="0"/>
    <n v="0"/>
    <m/>
    <n v="-0.5"/>
    <n v="0"/>
    <m/>
    <m/>
    <m/>
    <m/>
    <m/>
    <x v="0"/>
    <x v="8"/>
    <n v="0"/>
  </r>
  <r>
    <x v="258"/>
    <s v="پنجشنبه"/>
    <n v="0"/>
    <m/>
    <n v="0"/>
    <n v="0"/>
    <m/>
    <n v="-0.5"/>
    <n v="0"/>
    <m/>
    <m/>
    <m/>
    <m/>
    <m/>
    <x v="0"/>
    <x v="8"/>
    <n v="0"/>
  </r>
  <r>
    <x v="259"/>
    <s v="جمعه"/>
    <n v="0"/>
    <m/>
    <n v="0"/>
    <n v="0"/>
    <m/>
    <n v="-0.5"/>
    <n v="0"/>
    <m/>
    <m/>
    <m/>
    <m/>
    <m/>
    <x v="0"/>
    <x v="8"/>
    <n v="0"/>
  </r>
  <r>
    <x v="260"/>
    <s v="شنبه"/>
    <n v="0"/>
    <m/>
    <n v="0"/>
    <n v="0"/>
    <m/>
    <n v="-0.5"/>
    <n v="0"/>
    <m/>
    <m/>
    <m/>
    <m/>
    <m/>
    <x v="0"/>
    <x v="8"/>
    <n v="0"/>
  </r>
  <r>
    <x v="261"/>
    <s v="یکشنبه"/>
    <n v="0"/>
    <m/>
    <n v="0"/>
    <n v="0"/>
    <m/>
    <n v="-0.5"/>
    <n v="0"/>
    <m/>
    <m/>
    <m/>
    <m/>
    <m/>
    <x v="0"/>
    <x v="8"/>
    <n v="0"/>
  </r>
  <r>
    <x v="262"/>
    <s v="دوشنبه"/>
    <n v="0"/>
    <m/>
    <n v="0"/>
    <n v="0"/>
    <m/>
    <n v="-0.5"/>
    <n v="0"/>
    <m/>
    <m/>
    <m/>
    <m/>
    <m/>
    <x v="0"/>
    <x v="8"/>
    <n v="0"/>
  </r>
  <r>
    <x v="263"/>
    <s v="سه شنبه"/>
    <n v="0"/>
    <m/>
    <n v="0"/>
    <n v="0"/>
    <m/>
    <n v="-0.5"/>
    <n v="0"/>
    <m/>
    <m/>
    <m/>
    <m/>
    <m/>
    <x v="0"/>
    <x v="8"/>
    <n v="0"/>
  </r>
  <r>
    <x v="264"/>
    <s v="چهارشنبه"/>
    <n v="0"/>
    <m/>
    <n v="0"/>
    <n v="0"/>
    <m/>
    <n v="-0.5"/>
    <n v="0"/>
    <m/>
    <m/>
    <m/>
    <m/>
    <m/>
    <x v="0"/>
    <x v="8"/>
    <n v="0"/>
  </r>
  <r>
    <x v="265"/>
    <s v="پنجشنبه"/>
    <n v="0"/>
    <m/>
    <n v="0"/>
    <n v="0"/>
    <m/>
    <n v="-0.5"/>
    <n v="0"/>
    <m/>
    <m/>
    <m/>
    <m/>
    <m/>
    <x v="0"/>
    <x v="8"/>
    <n v="0"/>
  </r>
  <r>
    <x v="266"/>
    <s v="جمعه"/>
    <n v="0"/>
    <m/>
    <n v="0"/>
    <n v="0"/>
    <m/>
    <n v="-0.5"/>
    <n v="0"/>
    <m/>
    <m/>
    <m/>
    <m/>
    <m/>
    <x v="0"/>
    <x v="8"/>
    <n v="0"/>
  </r>
  <r>
    <x v="267"/>
    <s v="شنبه"/>
    <n v="0"/>
    <m/>
    <n v="0"/>
    <n v="0"/>
    <m/>
    <n v="-0.5"/>
    <n v="0"/>
    <m/>
    <m/>
    <m/>
    <m/>
    <m/>
    <x v="0"/>
    <x v="8"/>
    <n v="0"/>
  </r>
  <r>
    <x v="268"/>
    <s v="یکشنبه"/>
    <n v="0"/>
    <m/>
    <n v="0"/>
    <n v="0"/>
    <m/>
    <n v="-0.5"/>
    <n v="0"/>
    <m/>
    <m/>
    <m/>
    <m/>
    <m/>
    <x v="0"/>
    <x v="8"/>
    <n v="0"/>
  </r>
  <r>
    <x v="269"/>
    <s v="دوشنبه"/>
    <n v="0"/>
    <m/>
    <n v="0"/>
    <n v="0"/>
    <m/>
    <n v="-0.5"/>
    <n v="0"/>
    <m/>
    <m/>
    <m/>
    <m/>
    <m/>
    <x v="0"/>
    <x v="8"/>
    <n v="0"/>
  </r>
  <r>
    <x v="270"/>
    <s v="سه شنبه"/>
    <n v="0"/>
    <m/>
    <n v="0"/>
    <n v="0"/>
    <m/>
    <n v="-0.5"/>
    <n v="0"/>
    <m/>
    <m/>
    <m/>
    <m/>
    <m/>
    <x v="0"/>
    <x v="8"/>
    <n v="0"/>
  </r>
  <r>
    <x v="271"/>
    <s v="چهارشنبه"/>
    <n v="0"/>
    <m/>
    <n v="0"/>
    <n v="0"/>
    <m/>
    <n v="-0.5"/>
    <n v="0"/>
    <m/>
    <m/>
    <m/>
    <m/>
    <m/>
    <x v="0"/>
    <x v="8"/>
    <n v="0"/>
  </r>
  <r>
    <x v="272"/>
    <s v="پنجشنبه"/>
    <n v="0"/>
    <m/>
    <n v="0"/>
    <n v="0"/>
    <m/>
    <n v="-0.5"/>
    <n v="0"/>
    <m/>
    <m/>
    <m/>
    <m/>
    <m/>
    <x v="0"/>
    <x v="8"/>
    <n v="0"/>
  </r>
  <r>
    <x v="273"/>
    <s v="جمعه"/>
    <n v="0"/>
    <m/>
    <n v="0"/>
    <n v="0"/>
    <m/>
    <n v="-0.5"/>
    <n v="0"/>
    <m/>
    <m/>
    <m/>
    <m/>
    <m/>
    <x v="0"/>
    <x v="8"/>
    <n v="0"/>
  </r>
  <r>
    <x v="274"/>
    <s v="شنبه"/>
    <n v="0"/>
    <m/>
    <n v="0"/>
    <n v="0"/>
    <m/>
    <n v="-0.5"/>
    <n v="0"/>
    <m/>
    <m/>
    <m/>
    <m/>
    <m/>
    <x v="0"/>
    <x v="8"/>
    <n v="0"/>
  </r>
  <r>
    <x v="275"/>
    <s v="یکشنبه"/>
    <n v="0"/>
    <m/>
    <n v="0"/>
    <n v="0"/>
    <m/>
    <n v="-0.5"/>
    <n v="0"/>
    <m/>
    <m/>
    <m/>
    <m/>
    <m/>
    <x v="0"/>
    <x v="8"/>
    <n v="0"/>
  </r>
  <r>
    <x v="276"/>
    <s v="دوشنبه"/>
    <n v="0"/>
    <m/>
    <n v="0"/>
    <n v="0"/>
    <m/>
    <n v="-0.5"/>
    <n v="0"/>
    <m/>
    <m/>
    <m/>
    <m/>
    <m/>
    <x v="0"/>
    <x v="9"/>
    <n v="0"/>
  </r>
  <r>
    <x v="277"/>
    <s v="سه شنبه"/>
    <n v="0"/>
    <m/>
    <n v="0"/>
    <n v="0"/>
    <m/>
    <n v="-0.5"/>
    <n v="0"/>
    <m/>
    <m/>
    <m/>
    <m/>
    <m/>
    <x v="0"/>
    <x v="9"/>
    <n v="0"/>
  </r>
  <r>
    <x v="278"/>
    <s v="چهارشنبه"/>
    <n v="0"/>
    <m/>
    <n v="0"/>
    <n v="0"/>
    <m/>
    <n v="-0.5"/>
    <n v="0"/>
    <m/>
    <m/>
    <m/>
    <m/>
    <m/>
    <x v="0"/>
    <x v="9"/>
    <n v="0"/>
  </r>
  <r>
    <x v="279"/>
    <s v="پنجشنبه"/>
    <n v="0"/>
    <m/>
    <n v="0"/>
    <n v="0"/>
    <m/>
    <n v="-0.5"/>
    <n v="0"/>
    <m/>
    <m/>
    <m/>
    <m/>
    <m/>
    <x v="0"/>
    <x v="9"/>
    <n v="0"/>
  </r>
  <r>
    <x v="280"/>
    <s v="جمعه"/>
    <n v="0"/>
    <m/>
    <n v="0"/>
    <n v="0"/>
    <m/>
    <n v="-0.5"/>
    <n v="0"/>
    <m/>
    <m/>
    <m/>
    <m/>
    <m/>
    <x v="0"/>
    <x v="9"/>
    <n v="0"/>
  </r>
  <r>
    <x v="281"/>
    <s v="شنبه"/>
    <n v="0"/>
    <m/>
    <n v="0"/>
    <n v="0"/>
    <m/>
    <n v="-0.5"/>
    <n v="0"/>
    <m/>
    <m/>
    <m/>
    <m/>
    <m/>
    <x v="0"/>
    <x v="9"/>
    <n v="0"/>
  </r>
  <r>
    <x v="282"/>
    <s v="یکشنبه"/>
    <n v="0"/>
    <m/>
    <n v="0"/>
    <n v="0"/>
    <m/>
    <n v="-0.5"/>
    <n v="0"/>
    <m/>
    <m/>
    <m/>
    <m/>
    <m/>
    <x v="0"/>
    <x v="9"/>
    <n v="0"/>
  </r>
  <r>
    <x v="283"/>
    <s v="دوشنبه"/>
    <n v="0"/>
    <m/>
    <n v="0"/>
    <n v="0"/>
    <m/>
    <n v="-0.5"/>
    <n v="0"/>
    <m/>
    <m/>
    <m/>
    <m/>
    <m/>
    <x v="0"/>
    <x v="9"/>
    <n v="0"/>
  </r>
  <r>
    <x v="284"/>
    <s v="سه شنبه"/>
    <n v="0"/>
    <m/>
    <n v="0"/>
    <n v="0"/>
    <m/>
    <n v="-0.5"/>
    <n v="0"/>
    <m/>
    <m/>
    <m/>
    <m/>
    <m/>
    <x v="0"/>
    <x v="9"/>
    <n v="0"/>
  </r>
  <r>
    <x v="285"/>
    <s v="چهارشنبه"/>
    <n v="0"/>
    <m/>
    <n v="0"/>
    <n v="0"/>
    <m/>
    <n v="-0.5"/>
    <n v="0"/>
    <m/>
    <m/>
    <m/>
    <m/>
    <m/>
    <x v="0"/>
    <x v="9"/>
    <n v="0"/>
  </r>
  <r>
    <x v="286"/>
    <s v="پنجشنبه"/>
    <n v="0"/>
    <m/>
    <n v="0"/>
    <n v="0"/>
    <m/>
    <n v="-0.5"/>
    <n v="0"/>
    <m/>
    <m/>
    <m/>
    <m/>
    <m/>
    <x v="0"/>
    <x v="9"/>
    <n v="0"/>
  </r>
  <r>
    <x v="287"/>
    <s v="جمعه"/>
    <n v="0"/>
    <m/>
    <n v="0"/>
    <n v="0"/>
    <m/>
    <n v="-0.5"/>
    <n v="0"/>
    <m/>
    <m/>
    <m/>
    <m/>
    <m/>
    <x v="0"/>
    <x v="9"/>
    <n v="0"/>
  </r>
  <r>
    <x v="288"/>
    <s v="شنبه"/>
    <n v="0"/>
    <m/>
    <n v="0"/>
    <n v="0"/>
    <m/>
    <n v="-0.5"/>
    <n v="0"/>
    <m/>
    <m/>
    <m/>
    <m/>
    <m/>
    <x v="0"/>
    <x v="9"/>
    <n v="0"/>
  </r>
  <r>
    <x v="289"/>
    <s v="یکشنبه"/>
    <n v="0"/>
    <m/>
    <n v="0"/>
    <n v="0"/>
    <m/>
    <n v="-0.5"/>
    <n v="0"/>
    <m/>
    <m/>
    <m/>
    <m/>
    <m/>
    <x v="0"/>
    <x v="9"/>
    <n v="0"/>
  </r>
  <r>
    <x v="290"/>
    <s v="دوشنبه"/>
    <n v="0"/>
    <m/>
    <n v="0"/>
    <n v="0"/>
    <m/>
    <n v="-0.5"/>
    <n v="0"/>
    <m/>
    <m/>
    <m/>
    <m/>
    <m/>
    <x v="0"/>
    <x v="9"/>
    <n v="0"/>
  </r>
  <r>
    <x v="291"/>
    <s v="سه شنبه"/>
    <n v="0"/>
    <m/>
    <n v="0"/>
    <n v="0"/>
    <m/>
    <n v="-0.5"/>
    <n v="0"/>
    <m/>
    <m/>
    <m/>
    <m/>
    <m/>
    <x v="0"/>
    <x v="9"/>
    <n v="0"/>
  </r>
  <r>
    <x v="292"/>
    <s v="چهارشنبه"/>
    <n v="0"/>
    <m/>
    <n v="0"/>
    <n v="0"/>
    <m/>
    <n v="-0.5"/>
    <n v="0"/>
    <m/>
    <m/>
    <m/>
    <m/>
    <m/>
    <x v="0"/>
    <x v="9"/>
    <n v="0"/>
  </r>
  <r>
    <x v="293"/>
    <s v="پنجشنبه"/>
    <n v="0"/>
    <m/>
    <n v="0"/>
    <n v="0"/>
    <m/>
    <n v="-0.5"/>
    <n v="0"/>
    <m/>
    <m/>
    <m/>
    <m/>
    <m/>
    <x v="0"/>
    <x v="9"/>
    <n v="0"/>
  </r>
  <r>
    <x v="294"/>
    <s v="جمعه"/>
    <n v="0"/>
    <m/>
    <n v="0"/>
    <n v="0"/>
    <m/>
    <n v="-0.5"/>
    <n v="0"/>
    <m/>
    <m/>
    <m/>
    <m/>
    <m/>
    <x v="0"/>
    <x v="9"/>
    <n v="0"/>
  </r>
  <r>
    <x v="295"/>
    <s v="شنبه"/>
    <n v="0"/>
    <m/>
    <n v="0"/>
    <n v="0"/>
    <m/>
    <n v="-0.5"/>
    <n v="0"/>
    <m/>
    <m/>
    <m/>
    <m/>
    <m/>
    <x v="0"/>
    <x v="9"/>
    <n v="0"/>
  </r>
  <r>
    <x v="296"/>
    <s v="یکشنبه"/>
    <n v="0"/>
    <m/>
    <n v="0"/>
    <n v="0"/>
    <m/>
    <n v="-0.5"/>
    <n v="0"/>
    <m/>
    <m/>
    <m/>
    <m/>
    <m/>
    <x v="0"/>
    <x v="9"/>
    <n v="0"/>
  </r>
  <r>
    <x v="297"/>
    <s v="دوشنبه"/>
    <n v="0"/>
    <m/>
    <n v="0"/>
    <n v="0"/>
    <m/>
    <n v="-0.5"/>
    <n v="0"/>
    <m/>
    <m/>
    <m/>
    <m/>
    <m/>
    <x v="0"/>
    <x v="9"/>
    <n v="0"/>
  </r>
  <r>
    <x v="298"/>
    <s v="سه شنبه"/>
    <n v="0"/>
    <m/>
    <n v="0"/>
    <n v="0"/>
    <m/>
    <n v="-0.5"/>
    <n v="0"/>
    <m/>
    <m/>
    <m/>
    <m/>
    <m/>
    <x v="0"/>
    <x v="9"/>
    <n v="0"/>
  </r>
  <r>
    <x v="299"/>
    <s v="چهارشنبه"/>
    <n v="0"/>
    <m/>
    <n v="0"/>
    <n v="0"/>
    <m/>
    <n v="-0.5"/>
    <n v="0"/>
    <m/>
    <m/>
    <m/>
    <m/>
    <m/>
    <x v="0"/>
    <x v="9"/>
    <n v="0"/>
  </r>
  <r>
    <x v="300"/>
    <s v="پنجشنبه"/>
    <n v="0"/>
    <m/>
    <n v="0"/>
    <n v="0"/>
    <m/>
    <n v="-0.5"/>
    <n v="0"/>
    <m/>
    <m/>
    <m/>
    <m/>
    <m/>
    <x v="0"/>
    <x v="9"/>
    <n v="0"/>
  </r>
  <r>
    <x v="301"/>
    <s v="جمعه"/>
    <n v="0"/>
    <m/>
    <n v="0"/>
    <n v="0"/>
    <m/>
    <n v="-0.5"/>
    <n v="0"/>
    <m/>
    <m/>
    <m/>
    <m/>
    <m/>
    <x v="0"/>
    <x v="9"/>
    <n v="0"/>
  </r>
  <r>
    <x v="302"/>
    <s v="شنبه"/>
    <n v="0"/>
    <m/>
    <n v="0"/>
    <n v="0"/>
    <m/>
    <n v="-0.5"/>
    <n v="0"/>
    <m/>
    <m/>
    <m/>
    <m/>
    <m/>
    <x v="0"/>
    <x v="9"/>
    <n v="0"/>
  </r>
  <r>
    <x v="303"/>
    <s v="یکشنبه"/>
    <n v="0"/>
    <m/>
    <n v="0"/>
    <n v="0"/>
    <m/>
    <n v="-0.5"/>
    <n v="0"/>
    <m/>
    <m/>
    <m/>
    <m/>
    <m/>
    <x v="0"/>
    <x v="9"/>
    <n v="0"/>
  </r>
  <r>
    <x v="304"/>
    <s v="دوشنبه"/>
    <n v="0"/>
    <m/>
    <n v="0"/>
    <n v="0"/>
    <m/>
    <n v="-0.5"/>
    <n v="0"/>
    <m/>
    <m/>
    <m/>
    <m/>
    <m/>
    <x v="0"/>
    <x v="9"/>
    <n v="0"/>
  </r>
  <r>
    <x v="305"/>
    <s v="سه شنبه"/>
    <n v="0"/>
    <m/>
    <n v="0"/>
    <n v="0"/>
    <m/>
    <n v="-0.5"/>
    <n v="0"/>
    <m/>
    <m/>
    <m/>
    <m/>
    <m/>
    <x v="0"/>
    <x v="9"/>
    <n v="0"/>
  </r>
  <r>
    <x v="306"/>
    <s v="چهارشنبه"/>
    <n v="0"/>
    <m/>
    <n v="0"/>
    <n v="0"/>
    <m/>
    <n v="-0.5"/>
    <n v="0"/>
    <m/>
    <m/>
    <m/>
    <m/>
    <m/>
    <x v="0"/>
    <x v="10"/>
    <n v="0"/>
  </r>
  <r>
    <x v="307"/>
    <s v="پنجشنبه"/>
    <n v="0"/>
    <m/>
    <n v="0"/>
    <n v="0"/>
    <m/>
    <n v="-0.5"/>
    <n v="0"/>
    <m/>
    <m/>
    <m/>
    <m/>
    <m/>
    <x v="0"/>
    <x v="10"/>
    <n v="0"/>
  </r>
  <r>
    <x v="308"/>
    <s v="جمعه"/>
    <n v="0"/>
    <m/>
    <n v="0"/>
    <n v="0"/>
    <m/>
    <n v="-0.5"/>
    <n v="0"/>
    <m/>
    <m/>
    <m/>
    <m/>
    <m/>
    <x v="0"/>
    <x v="10"/>
    <n v="0"/>
  </r>
  <r>
    <x v="309"/>
    <s v="شنبه"/>
    <n v="0"/>
    <m/>
    <n v="0"/>
    <n v="0"/>
    <m/>
    <n v="-0.5"/>
    <n v="0"/>
    <m/>
    <m/>
    <m/>
    <m/>
    <m/>
    <x v="0"/>
    <x v="10"/>
    <n v="0"/>
  </r>
  <r>
    <x v="310"/>
    <s v="یکشنبه"/>
    <n v="0"/>
    <m/>
    <n v="0"/>
    <n v="0"/>
    <m/>
    <n v="-0.5"/>
    <n v="0"/>
    <m/>
    <m/>
    <m/>
    <m/>
    <m/>
    <x v="0"/>
    <x v="10"/>
    <n v="0"/>
  </r>
  <r>
    <x v="311"/>
    <s v="دوشنبه"/>
    <n v="0"/>
    <m/>
    <n v="0"/>
    <n v="0"/>
    <m/>
    <n v="-0.5"/>
    <n v="0"/>
    <m/>
    <m/>
    <m/>
    <m/>
    <m/>
    <x v="0"/>
    <x v="10"/>
    <n v="0"/>
  </r>
  <r>
    <x v="312"/>
    <s v="سه شنبه"/>
    <n v="0"/>
    <m/>
    <n v="0"/>
    <n v="0"/>
    <m/>
    <n v="-0.5"/>
    <n v="0"/>
    <m/>
    <m/>
    <m/>
    <m/>
    <m/>
    <x v="0"/>
    <x v="10"/>
    <n v="0"/>
  </r>
  <r>
    <x v="313"/>
    <s v="چهارشنبه"/>
    <n v="0"/>
    <m/>
    <n v="0"/>
    <n v="0"/>
    <m/>
    <n v="-0.5"/>
    <n v="0"/>
    <m/>
    <m/>
    <m/>
    <m/>
    <m/>
    <x v="0"/>
    <x v="10"/>
    <n v="0"/>
  </r>
  <r>
    <x v="314"/>
    <s v="پنجشنبه"/>
    <n v="0"/>
    <m/>
    <n v="0"/>
    <n v="0"/>
    <m/>
    <n v="-0.5"/>
    <n v="0"/>
    <m/>
    <m/>
    <m/>
    <m/>
    <m/>
    <x v="0"/>
    <x v="10"/>
    <n v="0"/>
  </r>
  <r>
    <x v="315"/>
    <s v="جمعه"/>
    <n v="0"/>
    <m/>
    <n v="0"/>
    <n v="0"/>
    <m/>
    <n v="-0.5"/>
    <n v="0"/>
    <m/>
    <m/>
    <m/>
    <m/>
    <m/>
    <x v="0"/>
    <x v="10"/>
    <n v="0"/>
  </r>
  <r>
    <x v="316"/>
    <s v="شنبه"/>
    <n v="0"/>
    <m/>
    <n v="0"/>
    <n v="0"/>
    <m/>
    <n v="-0.5"/>
    <n v="0"/>
    <m/>
    <m/>
    <m/>
    <m/>
    <m/>
    <x v="0"/>
    <x v="10"/>
    <n v="0"/>
  </r>
  <r>
    <x v="317"/>
    <s v="یکشنبه"/>
    <n v="0"/>
    <m/>
    <n v="0"/>
    <n v="0"/>
    <m/>
    <n v="-0.5"/>
    <n v="0"/>
    <m/>
    <m/>
    <m/>
    <m/>
    <m/>
    <x v="0"/>
    <x v="10"/>
    <n v="0"/>
  </r>
  <r>
    <x v="318"/>
    <s v="دوشنبه"/>
    <n v="0"/>
    <m/>
    <n v="0"/>
    <n v="0"/>
    <m/>
    <n v="-0.5"/>
    <n v="0"/>
    <m/>
    <m/>
    <m/>
    <m/>
    <m/>
    <x v="0"/>
    <x v="10"/>
    <n v="0"/>
  </r>
  <r>
    <x v="319"/>
    <s v="سه شنبه"/>
    <n v="0"/>
    <m/>
    <n v="0"/>
    <n v="0"/>
    <m/>
    <n v="-0.5"/>
    <n v="0"/>
    <m/>
    <m/>
    <m/>
    <m/>
    <m/>
    <x v="0"/>
    <x v="10"/>
    <n v="0"/>
  </r>
  <r>
    <x v="320"/>
    <s v="چهارشنبه"/>
    <n v="0"/>
    <m/>
    <n v="0"/>
    <n v="0"/>
    <m/>
    <n v="-0.5"/>
    <n v="0"/>
    <m/>
    <m/>
    <m/>
    <m/>
    <m/>
    <x v="0"/>
    <x v="10"/>
    <n v="0"/>
  </r>
  <r>
    <x v="321"/>
    <s v="پنجشنبه"/>
    <n v="0"/>
    <m/>
    <n v="0"/>
    <n v="0"/>
    <m/>
    <n v="-0.5"/>
    <n v="0"/>
    <m/>
    <m/>
    <m/>
    <m/>
    <m/>
    <x v="0"/>
    <x v="10"/>
    <n v="0"/>
  </r>
  <r>
    <x v="322"/>
    <s v="جمعه"/>
    <n v="0"/>
    <m/>
    <n v="0"/>
    <n v="0"/>
    <m/>
    <n v="-0.5"/>
    <n v="0"/>
    <m/>
    <m/>
    <m/>
    <m/>
    <m/>
    <x v="0"/>
    <x v="10"/>
    <n v="0"/>
  </r>
  <r>
    <x v="323"/>
    <s v="شنبه"/>
    <n v="0"/>
    <m/>
    <n v="0"/>
    <n v="0"/>
    <m/>
    <n v="-0.5"/>
    <n v="0"/>
    <m/>
    <m/>
    <m/>
    <m/>
    <m/>
    <x v="0"/>
    <x v="10"/>
    <n v="0"/>
  </r>
  <r>
    <x v="324"/>
    <s v="یکشنبه"/>
    <n v="0"/>
    <m/>
    <n v="0"/>
    <n v="0"/>
    <m/>
    <n v="-0.5"/>
    <n v="0"/>
    <m/>
    <m/>
    <m/>
    <m/>
    <m/>
    <x v="0"/>
    <x v="10"/>
    <n v="0"/>
  </r>
  <r>
    <x v="325"/>
    <s v="دوشنبه"/>
    <n v="0"/>
    <m/>
    <n v="0"/>
    <n v="0"/>
    <m/>
    <n v="-0.5"/>
    <n v="0"/>
    <m/>
    <m/>
    <m/>
    <m/>
    <m/>
    <x v="0"/>
    <x v="10"/>
    <n v="0"/>
  </r>
  <r>
    <x v="326"/>
    <s v="سه شنبه"/>
    <n v="0"/>
    <m/>
    <n v="0"/>
    <n v="0"/>
    <m/>
    <n v="-0.5"/>
    <n v="0"/>
    <m/>
    <m/>
    <m/>
    <m/>
    <m/>
    <x v="0"/>
    <x v="10"/>
    <n v="0"/>
  </r>
  <r>
    <x v="327"/>
    <s v="چهارشنبه"/>
    <n v="0"/>
    <m/>
    <n v="0"/>
    <n v="0"/>
    <m/>
    <n v="-0.5"/>
    <n v="0"/>
    <m/>
    <m/>
    <m/>
    <m/>
    <m/>
    <x v="0"/>
    <x v="10"/>
    <n v="0"/>
  </r>
  <r>
    <x v="328"/>
    <s v="پنجشنبه"/>
    <n v="0"/>
    <m/>
    <n v="0"/>
    <n v="0"/>
    <m/>
    <n v="-0.5"/>
    <n v="0"/>
    <m/>
    <m/>
    <m/>
    <m/>
    <m/>
    <x v="0"/>
    <x v="10"/>
    <n v="0"/>
  </r>
  <r>
    <x v="329"/>
    <s v="جمعه"/>
    <n v="0"/>
    <m/>
    <n v="0"/>
    <n v="0"/>
    <m/>
    <n v="-0.5"/>
    <n v="0"/>
    <m/>
    <m/>
    <m/>
    <m/>
    <m/>
    <x v="0"/>
    <x v="10"/>
    <n v="0"/>
  </r>
  <r>
    <x v="330"/>
    <s v="شنبه"/>
    <n v="0"/>
    <m/>
    <n v="0"/>
    <n v="0"/>
    <m/>
    <n v="-0.5"/>
    <n v="0"/>
    <m/>
    <m/>
    <m/>
    <m/>
    <m/>
    <x v="0"/>
    <x v="10"/>
    <n v="0"/>
  </r>
  <r>
    <x v="331"/>
    <s v="یکشنبه"/>
    <n v="0"/>
    <m/>
    <n v="0"/>
    <n v="0"/>
    <m/>
    <n v="-0.5"/>
    <n v="0"/>
    <m/>
    <m/>
    <m/>
    <m/>
    <m/>
    <x v="0"/>
    <x v="10"/>
    <n v="0"/>
  </r>
  <r>
    <x v="332"/>
    <s v="دوشنبه"/>
    <n v="0"/>
    <m/>
    <n v="0"/>
    <n v="0"/>
    <m/>
    <n v="-0.5"/>
    <n v="0"/>
    <m/>
    <m/>
    <m/>
    <m/>
    <m/>
    <x v="0"/>
    <x v="10"/>
    <n v="0"/>
  </r>
  <r>
    <x v="333"/>
    <s v="سه شنبه"/>
    <n v="0"/>
    <m/>
    <n v="0"/>
    <n v="0"/>
    <m/>
    <n v="-0.5"/>
    <n v="0"/>
    <m/>
    <m/>
    <m/>
    <m/>
    <m/>
    <x v="0"/>
    <x v="10"/>
    <n v="0"/>
  </r>
  <r>
    <x v="334"/>
    <s v="چهارشنبه"/>
    <n v="0"/>
    <m/>
    <n v="0"/>
    <n v="0"/>
    <m/>
    <n v="-0.5"/>
    <n v="0"/>
    <m/>
    <m/>
    <m/>
    <m/>
    <m/>
    <x v="0"/>
    <x v="10"/>
    <n v="0"/>
  </r>
  <r>
    <x v="335"/>
    <s v="پنجشنبه"/>
    <n v="0"/>
    <m/>
    <n v="0"/>
    <n v="0"/>
    <m/>
    <n v="-0.5"/>
    <n v="0"/>
    <m/>
    <m/>
    <m/>
    <m/>
    <m/>
    <x v="0"/>
    <x v="10"/>
    <n v="0"/>
  </r>
  <r>
    <x v="336"/>
    <s v="جمعه"/>
    <n v="0"/>
    <m/>
    <n v="0"/>
    <n v="0"/>
    <m/>
    <n v="-0.5"/>
    <n v="0"/>
    <m/>
    <m/>
    <m/>
    <m/>
    <m/>
    <x v="0"/>
    <x v="11"/>
    <n v="0"/>
  </r>
  <r>
    <x v="337"/>
    <s v="شنبه"/>
    <n v="0"/>
    <m/>
    <n v="0"/>
    <n v="0"/>
    <m/>
    <n v="-0.5"/>
    <n v="0"/>
    <m/>
    <m/>
    <m/>
    <m/>
    <m/>
    <x v="0"/>
    <x v="11"/>
    <n v="0"/>
  </r>
  <r>
    <x v="338"/>
    <s v="یکشنبه"/>
    <n v="0"/>
    <m/>
    <n v="0"/>
    <n v="0"/>
    <m/>
    <n v="-0.5"/>
    <n v="0"/>
    <m/>
    <m/>
    <m/>
    <m/>
    <m/>
    <x v="0"/>
    <x v="11"/>
    <n v="0"/>
  </r>
  <r>
    <x v="339"/>
    <s v="دوشنبه"/>
    <n v="0"/>
    <m/>
    <n v="0"/>
    <n v="0"/>
    <m/>
    <n v="-0.5"/>
    <n v="0"/>
    <m/>
    <m/>
    <m/>
    <m/>
    <m/>
    <x v="0"/>
    <x v="11"/>
    <n v="0"/>
  </r>
  <r>
    <x v="340"/>
    <s v="سه شنبه"/>
    <n v="0"/>
    <m/>
    <n v="0"/>
    <n v="0"/>
    <m/>
    <n v="-0.5"/>
    <n v="0"/>
    <m/>
    <m/>
    <m/>
    <m/>
    <m/>
    <x v="0"/>
    <x v="11"/>
    <n v="0"/>
  </r>
  <r>
    <x v="341"/>
    <s v="چهارشنبه"/>
    <n v="0"/>
    <m/>
    <n v="0"/>
    <n v="0"/>
    <m/>
    <n v="-0.5"/>
    <n v="0"/>
    <m/>
    <m/>
    <m/>
    <m/>
    <m/>
    <x v="0"/>
    <x v="11"/>
    <n v="0"/>
  </r>
  <r>
    <x v="342"/>
    <s v="پنجشنبه"/>
    <n v="0"/>
    <m/>
    <n v="0"/>
    <n v="0"/>
    <m/>
    <n v="-0.5"/>
    <n v="0"/>
    <m/>
    <m/>
    <m/>
    <m/>
    <m/>
    <x v="0"/>
    <x v="11"/>
    <n v="0"/>
  </r>
  <r>
    <x v="343"/>
    <s v="جمعه"/>
    <n v="0"/>
    <m/>
    <n v="0"/>
    <n v="0"/>
    <m/>
    <n v="-0.5"/>
    <n v="0"/>
    <m/>
    <m/>
    <m/>
    <m/>
    <m/>
    <x v="0"/>
    <x v="11"/>
    <n v="0"/>
  </r>
  <r>
    <x v="344"/>
    <s v="شنبه"/>
    <n v="0"/>
    <m/>
    <n v="0"/>
    <n v="0"/>
    <m/>
    <n v="-0.5"/>
    <n v="0"/>
    <m/>
    <m/>
    <m/>
    <m/>
    <m/>
    <x v="0"/>
    <x v="11"/>
    <n v="0"/>
  </r>
  <r>
    <x v="345"/>
    <s v="یکشنبه"/>
    <n v="0"/>
    <m/>
    <n v="0"/>
    <n v="0"/>
    <m/>
    <n v="-0.5"/>
    <n v="0"/>
    <m/>
    <m/>
    <m/>
    <m/>
    <m/>
    <x v="0"/>
    <x v="11"/>
    <n v="0"/>
  </r>
  <r>
    <x v="346"/>
    <s v="دوشنبه"/>
    <n v="0"/>
    <m/>
    <n v="0"/>
    <n v="0"/>
    <m/>
    <n v="-0.5"/>
    <n v="0"/>
    <m/>
    <m/>
    <m/>
    <m/>
    <m/>
    <x v="0"/>
    <x v="11"/>
    <n v="0"/>
  </r>
  <r>
    <x v="347"/>
    <s v="سه شنبه"/>
    <n v="0"/>
    <m/>
    <n v="0"/>
    <n v="0"/>
    <m/>
    <n v="-0.5"/>
    <n v="0"/>
    <m/>
    <m/>
    <m/>
    <m/>
    <m/>
    <x v="0"/>
    <x v="11"/>
    <n v="0"/>
  </r>
  <r>
    <x v="348"/>
    <s v="چهارشنبه"/>
    <n v="0"/>
    <m/>
    <n v="0"/>
    <n v="0"/>
    <m/>
    <n v="-0.5"/>
    <n v="0"/>
    <m/>
    <m/>
    <m/>
    <m/>
    <m/>
    <x v="0"/>
    <x v="11"/>
    <n v="0"/>
  </r>
  <r>
    <x v="349"/>
    <s v="پنجشنبه"/>
    <n v="0"/>
    <m/>
    <n v="0"/>
    <n v="0"/>
    <m/>
    <n v="-0.5"/>
    <n v="0"/>
    <m/>
    <m/>
    <m/>
    <m/>
    <m/>
    <x v="0"/>
    <x v="11"/>
    <n v="0"/>
  </r>
  <r>
    <x v="350"/>
    <s v="جمعه"/>
    <n v="0"/>
    <m/>
    <n v="0"/>
    <n v="0"/>
    <m/>
    <n v="-0.5"/>
    <n v="0"/>
    <m/>
    <m/>
    <m/>
    <m/>
    <m/>
    <x v="0"/>
    <x v="11"/>
    <n v="0"/>
  </r>
  <r>
    <x v="351"/>
    <s v="شنبه"/>
    <n v="0"/>
    <m/>
    <n v="0"/>
    <n v="0"/>
    <m/>
    <n v="-0.5"/>
    <n v="0"/>
    <m/>
    <m/>
    <m/>
    <m/>
    <m/>
    <x v="0"/>
    <x v="11"/>
    <n v="0"/>
  </r>
  <r>
    <x v="352"/>
    <s v="یکشنبه"/>
    <n v="0"/>
    <m/>
    <n v="0"/>
    <n v="0"/>
    <m/>
    <n v="-0.5"/>
    <n v="0"/>
    <m/>
    <m/>
    <m/>
    <m/>
    <m/>
    <x v="0"/>
    <x v="11"/>
    <n v="0"/>
  </r>
  <r>
    <x v="353"/>
    <s v="دوشنبه"/>
    <n v="0"/>
    <m/>
    <n v="0"/>
    <n v="0"/>
    <m/>
    <n v="-0.5"/>
    <n v="0"/>
    <m/>
    <m/>
    <m/>
    <m/>
    <m/>
    <x v="0"/>
    <x v="11"/>
    <n v="0"/>
  </r>
  <r>
    <x v="354"/>
    <s v="سه شنبه"/>
    <n v="0"/>
    <m/>
    <n v="0"/>
    <n v="0"/>
    <m/>
    <n v="-0.5"/>
    <n v="0"/>
    <m/>
    <m/>
    <m/>
    <m/>
    <m/>
    <x v="0"/>
    <x v="11"/>
    <n v="0"/>
  </r>
  <r>
    <x v="355"/>
    <s v="چهارشنبه"/>
    <n v="0"/>
    <m/>
    <n v="0"/>
    <n v="0"/>
    <m/>
    <n v="-0.5"/>
    <n v="0"/>
    <m/>
    <m/>
    <m/>
    <m/>
    <m/>
    <x v="0"/>
    <x v="11"/>
    <n v="0"/>
  </r>
  <r>
    <x v="356"/>
    <s v="پنجشنبه"/>
    <n v="0"/>
    <m/>
    <n v="0"/>
    <n v="0"/>
    <m/>
    <n v="-0.5"/>
    <n v="0"/>
    <m/>
    <m/>
    <m/>
    <m/>
    <m/>
    <x v="0"/>
    <x v="11"/>
    <n v="0"/>
  </r>
  <r>
    <x v="357"/>
    <s v="جمعه"/>
    <n v="0"/>
    <m/>
    <n v="0"/>
    <n v="0"/>
    <m/>
    <n v="-0.5"/>
    <n v="0"/>
    <m/>
    <m/>
    <m/>
    <m/>
    <m/>
    <x v="0"/>
    <x v="11"/>
    <n v="0"/>
  </r>
  <r>
    <x v="358"/>
    <s v="شنبه"/>
    <n v="0"/>
    <m/>
    <n v="0"/>
    <n v="0"/>
    <m/>
    <n v="-0.5"/>
    <n v="0"/>
    <m/>
    <m/>
    <m/>
    <m/>
    <m/>
    <x v="0"/>
    <x v="11"/>
    <n v="0"/>
  </r>
  <r>
    <x v="359"/>
    <s v="یکشنبه"/>
    <n v="0"/>
    <m/>
    <n v="0"/>
    <n v="0"/>
    <m/>
    <n v="-0.5"/>
    <n v="0"/>
    <m/>
    <m/>
    <m/>
    <m/>
    <m/>
    <x v="0"/>
    <x v="11"/>
    <n v="0"/>
  </r>
  <r>
    <x v="360"/>
    <s v="دوشنبه"/>
    <n v="0"/>
    <m/>
    <n v="0"/>
    <n v="0"/>
    <m/>
    <n v="-0.5"/>
    <n v="0"/>
    <m/>
    <m/>
    <m/>
    <m/>
    <m/>
    <x v="0"/>
    <x v="11"/>
    <n v="0"/>
  </r>
  <r>
    <x v="361"/>
    <s v="سه شنبه"/>
    <n v="0"/>
    <m/>
    <n v="0"/>
    <n v="0"/>
    <m/>
    <n v="-0.5"/>
    <n v="0"/>
    <m/>
    <m/>
    <m/>
    <m/>
    <m/>
    <x v="0"/>
    <x v="11"/>
    <n v="0"/>
  </r>
  <r>
    <x v="362"/>
    <s v="چهارشنبه"/>
    <n v="0"/>
    <m/>
    <n v="0"/>
    <n v="0"/>
    <m/>
    <n v="-0.5"/>
    <n v="0"/>
    <m/>
    <m/>
    <m/>
    <m/>
    <m/>
    <x v="0"/>
    <x v="11"/>
    <n v="0"/>
  </r>
  <r>
    <x v="363"/>
    <s v="پنجشنبه"/>
    <n v="0"/>
    <m/>
    <n v="0"/>
    <n v="0"/>
    <m/>
    <n v="-0.5"/>
    <n v="0"/>
    <m/>
    <m/>
    <m/>
    <m/>
    <m/>
    <x v="0"/>
    <x v="11"/>
    <n v="0"/>
  </r>
  <r>
    <x v="364"/>
    <s v="جمعه"/>
    <n v="0"/>
    <m/>
    <n v="0"/>
    <n v="0"/>
    <m/>
    <n v="-0.5"/>
    <n v="0"/>
    <m/>
    <m/>
    <m/>
    <m/>
    <m/>
    <x v="0"/>
    <x v="11"/>
    <n v="0"/>
  </r>
  <r>
    <x v="365"/>
    <s v="شنبه"/>
    <n v="0"/>
    <m/>
    <n v="0"/>
    <n v="0"/>
    <m/>
    <n v="-0.5"/>
    <n v="0"/>
    <m/>
    <m/>
    <m/>
    <m/>
    <m/>
    <x v="0"/>
    <x v="12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s v="1404/01/17"/>
    <x v="0"/>
    <n v="4100"/>
    <m/>
    <m/>
    <n v="4100"/>
    <n v="27.274999999999999"/>
    <n v="0"/>
  </r>
  <r>
    <s v="1404/01/17"/>
    <x v="1"/>
    <n v="600"/>
    <m/>
    <m/>
    <n v="600"/>
    <n v="48.1"/>
    <n v="0"/>
  </r>
  <r>
    <s v="1404/01/18"/>
    <x v="0"/>
    <m/>
    <n v="300"/>
    <m/>
    <n v="-300"/>
    <n v="27.274999999999999"/>
    <n v="8182.5"/>
  </r>
  <r>
    <s v="1404/01/19"/>
    <x v="0"/>
    <n v="3000"/>
    <m/>
    <m/>
    <n v="3000"/>
    <n v="27.274999999999999"/>
    <n v="0"/>
  </r>
  <r>
    <s v="1404/01/23"/>
    <x v="0"/>
    <m/>
    <n v="3000"/>
    <m/>
    <n v="-3000"/>
    <n v="27.274999999999999"/>
    <n v="81825"/>
  </r>
  <r>
    <s v="1404/01/23"/>
    <x v="1"/>
    <m/>
    <n v="600"/>
    <m/>
    <n v="-600"/>
    <n v="48.1"/>
    <n v="28860"/>
  </r>
  <r>
    <s v="1404/01/25"/>
    <x v="0"/>
    <n v="600"/>
    <m/>
    <s v="ارسال با پژو 405"/>
    <n v="600"/>
    <n v="27.274999999999999"/>
    <n v="0"/>
  </r>
  <r>
    <s v="1404/01/26"/>
    <x v="0"/>
    <m/>
    <n v="4400"/>
    <m/>
    <n v="-4400"/>
    <n v="27.274999999999999"/>
    <n v="120010"/>
  </r>
  <r>
    <s v="1404/01/26"/>
    <x v="0"/>
    <n v="2400"/>
    <m/>
    <m/>
    <n v="2400"/>
    <n v="27.274999999999999"/>
    <n v="0"/>
  </r>
  <r>
    <s v="1404/01/28"/>
    <x v="0"/>
    <n v="1500"/>
    <m/>
    <m/>
    <n v="1500"/>
    <n v="27.274999999999999"/>
    <n v="0"/>
  </r>
  <r>
    <s v="1404/01/30"/>
    <x v="0"/>
    <m/>
    <n v="2400"/>
    <m/>
    <n v="-2400"/>
    <n v="27.274999999999999"/>
    <n v="65460"/>
  </r>
  <r>
    <s v="1404/02/06"/>
    <x v="0"/>
    <m/>
    <n v="2900"/>
    <m/>
    <n v="-2900"/>
    <n v="27.274999999999999"/>
    <n v="79097.5"/>
  </r>
  <r>
    <s v="1404/02/10"/>
    <x v="2"/>
    <m/>
    <n v="3000"/>
    <m/>
    <n v="-3000"/>
    <n v="47.905000000000001"/>
    <n v="143715"/>
  </r>
  <r>
    <s v="1404/02/13"/>
    <x v="0"/>
    <n v="2378"/>
    <m/>
    <m/>
    <n v="2378"/>
    <n v="27.274999999999999"/>
    <n v="0"/>
  </r>
  <r>
    <s v="1404/02/20"/>
    <x v="0"/>
    <m/>
    <n v="2378"/>
    <m/>
    <n v="-2378"/>
    <n v="27.274999999999999"/>
    <n v="64859.95"/>
  </r>
  <r>
    <s v="1404/02/20"/>
    <x v="2"/>
    <m/>
    <n v="2100"/>
    <m/>
    <n v="-2100"/>
    <n v="47.905000000000001"/>
    <n v="100600.5"/>
  </r>
  <r>
    <s v="1404/02/31"/>
    <x v="3"/>
    <m/>
    <n v="900"/>
    <m/>
    <n v="-900"/>
    <s v="NA"/>
    <e v="#VALUE!"/>
  </r>
  <r>
    <s v="1404/03/03"/>
    <x v="3"/>
    <m/>
    <n v="1500"/>
    <m/>
    <n v="-1500"/>
    <s v="NA"/>
    <e v="#VALUE!"/>
  </r>
  <r>
    <s v="1404/03/03"/>
    <x v="4"/>
    <m/>
    <n v="1500"/>
    <m/>
    <n v="-1500"/>
    <s v="NA"/>
    <e v="#VALUE!"/>
  </r>
  <r>
    <s v="1404/03/05"/>
    <x v="3"/>
    <m/>
    <n v="600"/>
    <m/>
    <n v="-600"/>
    <s v="NA"/>
    <e v="#VALUE!"/>
  </r>
  <r>
    <s v="1404/03/05"/>
    <x v="4"/>
    <m/>
    <n v="2700"/>
    <m/>
    <n v="-2700"/>
    <s v="NA"/>
    <e v="#VALUE!"/>
  </r>
  <r>
    <s v="1404/03/07"/>
    <x v="4"/>
    <m/>
    <n v="1800"/>
    <m/>
    <n v="-1800"/>
    <s v="NA"/>
    <e v="#VALUE!"/>
  </r>
  <r>
    <s v="1404/03/10"/>
    <x v="4"/>
    <m/>
    <n v="1800"/>
    <m/>
    <n v="-1800"/>
    <s v="NA"/>
    <e v="#VALUE!"/>
  </r>
  <r>
    <s v="1404/02/23"/>
    <x v="3"/>
    <n v="3000"/>
    <m/>
    <m/>
    <n v="3000"/>
    <s v="NA"/>
    <e v="#VALUE!"/>
  </r>
  <r>
    <s v="1404/02/23"/>
    <x v="4"/>
    <n v="3000"/>
    <m/>
    <m/>
    <n v="3000"/>
    <s v="NA"/>
    <e v="#VALUE!"/>
  </r>
  <r>
    <s v="1404/03/03"/>
    <x v="4"/>
    <n v="1200"/>
    <m/>
    <m/>
    <n v="1200"/>
    <s v="NA"/>
    <e v="#VALUE!"/>
  </r>
  <r>
    <s v="1404/03/05"/>
    <x v="4"/>
    <n v="5400"/>
    <m/>
    <m/>
    <n v="5400"/>
    <s v="NA"/>
    <e v="#VALUE!"/>
  </r>
  <r>
    <s v="1404/03/10"/>
    <x v="4"/>
    <n v="5100"/>
    <m/>
    <m/>
    <n v="5100"/>
    <s v="NA"/>
    <e v="#VALUE!"/>
  </r>
  <r>
    <s v="1404/03/11"/>
    <x v="4"/>
    <n v="900"/>
    <m/>
    <m/>
    <n v="900"/>
    <s v="NA"/>
    <e v="#VALUE!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s v="1403/07/18"/>
    <x v="0"/>
    <x v="0"/>
    <n v="8200"/>
    <x v="0"/>
    <m/>
    <n v="0"/>
  </r>
  <r>
    <m/>
    <x v="0"/>
    <x v="1"/>
    <n v="5880"/>
    <x v="0"/>
    <m/>
    <n v="0"/>
  </r>
  <r>
    <m/>
    <x v="0"/>
    <x v="1"/>
    <n v="360"/>
    <x v="0"/>
    <m/>
    <n v="0"/>
  </r>
  <r>
    <m/>
    <x v="0"/>
    <x v="2"/>
    <n v="9000"/>
    <x v="0"/>
    <m/>
    <n v="0"/>
  </r>
  <r>
    <m/>
    <x v="0"/>
    <x v="2"/>
    <n v="1800"/>
    <x v="0"/>
    <m/>
    <n v="0"/>
  </r>
  <r>
    <s v="?"/>
    <x v="0"/>
    <x v="3"/>
    <n v="600"/>
    <x v="0"/>
    <m/>
    <n v="1"/>
  </r>
  <r>
    <s v="1404/01/19"/>
    <x v="0"/>
    <x v="4"/>
    <n v="3000"/>
    <x v="1"/>
    <m/>
    <n v="1"/>
  </r>
  <r>
    <s v="1404/01/19"/>
    <x v="1"/>
    <x v="4"/>
    <n v="3000"/>
    <x v="1"/>
    <m/>
    <n v="1"/>
  </r>
  <r>
    <s v="1404/01/19"/>
    <x v="2"/>
    <x v="4"/>
    <n v="3000"/>
    <x v="1"/>
    <m/>
    <n v="1"/>
  </r>
  <r>
    <s v="1404/01/23"/>
    <x v="1"/>
    <x v="5"/>
    <n v="2000"/>
    <x v="2"/>
    <m/>
    <n v="1"/>
  </r>
  <r>
    <s v="1404/01/23"/>
    <x v="1"/>
    <x v="5"/>
    <n v="3000"/>
    <x v="1"/>
    <m/>
    <n v="1"/>
  </r>
  <r>
    <s v="1404/01/23"/>
    <x v="1"/>
    <x v="5"/>
    <n v="3000"/>
    <x v="3"/>
    <m/>
    <n v="1"/>
  </r>
  <r>
    <s v="1404/01/23"/>
    <x v="0"/>
    <x v="5"/>
    <n v="2000"/>
    <x v="2"/>
    <m/>
    <n v="1"/>
  </r>
  <r>
    <s v="1404/01/23"/>
    <x v="0"/>
    <x v="5"/>
    <n v="3000"/>
    <x v="1"/>
    <m/>
    <n v="1"/>
  </r>
  <r>
    <s v="1404/01/23"/>
    <x v="0"/>
    <x v="5"/>
    <n v="3000"/>
    <x v="3"/>
    <m/>
    <n v="1"/>
  </r>
  <r>
    <s v="1404/01/23"/>
    <x v="3"/>
    <x v="5"/>
    <n v="8000"/>
    <x v="4"/>
    <m/>
    <n v="1"/>
  </r>
  <r>
    <s v="1404/01/23"/>
    <x v="3"/>
    <x v="5"/>
    <n v="3000"/>
    <x v="5"/>
    <m/>
    <n v="1"/>
  </r>
  <r>
    <s v="1404/01/23"/>
    <x v="3"/>
    <x v="5"/>
    <n v="3000"/>
    <x v="6"/>
    <m/>
    <n v="1"/>
  </r>
  <r>
    <s v="1404/01/23"/>
    <x v="3"/>
    <x v="5"/>
    <n v="2000"/>
    <x v="7"/>
    <m/>
    <n v="1"/>
  </r>
  <r>
    <s v="?"/>
    <x v="3"/>
    <x v="5"/>
    <n v="-7900"/>
    <x v="0"/>
    <s v="مفدار باقیمانده پلن کنسل شد"/>
    <n v="1"/>
  </r>
  <r>
    <s v="1404/01/23"/>
    <x v="2"/>
    <x v="5"/>
    <n v="2500"/>
    <x v="8"/>
    <m/>
    <n v="1"/>
  </r>
  <r>
    <s v="1404/01/23"/>
    <x v="2"/>
    <x v="5"/>
    <n v="2500"/>
    <x v="9"/>
    <m/>
    <n v="1"/>
  </r>
  <r>
    <s v="1404/01/23"/>
    <x v="2"/>
    <x v="5"/>
    <n v="2000"/>
    <x v="10"/>
    <m/>
    <n v="1"/>
  </r>
  <r>
    <s v="1404/01/23"/>
    <x v="4"/>
    <x v="5"/>
    <n v="6000"/>
    <x v="8"/>
    <m/>
    <n v="1"/>
  </r>
  <r>
    <s v="1404/01/23"/>
    <x v="4"/>
    <x v="5"/>
    <n v="5000"/>
    <x v="9"/>
    <m/>
    <n v="1"/>
  </r>
  <r>
    <s v="1404/01/23"/>
    <x v="4"/>
    <x v="5"/>
    <n v="6000"/>
    <x v="10"/>
    <m/>
    <n v="1"/>
  </r>
  <r>
    <s v="1404/01/23"/>
    <x v="4"/>
    <x v="5"/>
    <n v="5000"/>
    <x v="11"/>
    <m/>
    <n v="1"/>
  </r>
  <r>
    <s v="1404/01/23"/>
    <x v="5"/>
    <x v="5"/>
    <n v="500"/>
    <x v="8"/>
    <m/>
    <n v="1"/>
  </r>
  <r>
    <s v="1404/01/23"/>
    <x v="5"/>
    <x v="5"/>
    <n v="500"/>
    <x v="10"/>
    <m/>
    <n v="1"/>
  </r>
  <r>
    <s v="1404/02/02"/>
    <x v="6"/>
    <x v="5"/>
    <n v="3000"/>
    <x v="1"/>
    <m/>
    <n v="1"/>
  </r>
  <r>
    <s v="1404/02/03"/>
    <x v="7"/>
    <x v="5"/>
    <n v="2000"/>
    <x v="8"/>
    <s v="نلفنی. صحبت از تبدیل 10230 به این محصول شد"/>
    <n v="1"/>
  </r>
  <r>
    <s v="1404/02/03"/>
    <x v="7"/>
    <x v="5"/>
    <n v="2000"/>
    <x v="12"/>
    <m/>
    <n v="1"/>
  </r>
  <r>
    <s v="1404/02/03"/>
    <x v="7"/>
    <x v="5"/>
    <n v="2000"/>
    <x v="3"/>
    <m/>
    <n v="1"/>
  </r>
  <r>
    <s v="1404/02/04"/>
    <x v="8"/>
    <x v="5"/>
    <n v="5000"/>
    <x v="13"/>
    <m/>
    <n v="1"/>
  </r>
  <r>
    <s v="1404/02/04"/>
    <x v="8"/>
    <x v="5"/>
    <n v="10000"/>
    <x v="14"/>
    <m/>
    <n v="1"/>
  </r>
  <r>
    <s v="1404/02/04"/>
    <x v="8"/>
    <x v="5"/>
    <n v="10000"/>
    <x v="15"/>
    <m/>
    <n v="1"/>
  </r>
  <r>
    <s v="1404/02/04"/>
    <x v="8"/>
    <x v="5"/>
    <n v="10000"/>
    <x v="16"/>
    <m/>
    <n v="1"/>
  </r>
  <r>
    <s v="1404/02/04"/>
    <x v="8"/>
    <x v="5"/>
    <n v="10000"/>
    <x v="17"/>
    <m/>
    <n v="1"/>
  </r>
  <r>
    <s v="1404/02/06"/>
    <x v="1"/>
    <x v="6"/>
    <n v="3000"/>
    <x v="16"/>
    <s v="تلفنی - پیش بینی خرداد"/>
    <n v="1"/>
  </r>
  <r>
    <s v="1404/02/06"/>
    <x v="0"/>
    <x v="6"/>
    <n v="3000"/>
    <x v="16"/>
    <s v="تلفنی - پیش بینی خرداد"/>
    <n v="1"/>
  </r>
  <r>
    <s v="1404/02/06"/>
    <x v="2"/>
    <x v="6"/>
    <n v="3000"/>
    <x v="16"/>
    <s v="تلفنی - پیش بینی خرداد"/>
    <n v="1"/>
  </r>
  <r>
    <s v="1404/02/04"/>
    <x v="9"/>
    <x v="5"/>
    <n v="500"/>
    <x v="18"/>
    <s v="تلفنی - پیش بینی خرداد"/>
    <n v="1"/>
  </r>
  <r>
    <s v="1404/02/15"/>
    <x v="3"/>
    <x v="7"/>
    <n v="2500"/>
    <x v="19"/>
    <m/>
    <n v="1"/>
  </r>
  <r>
    <s v="1404/02/15"/>
    <x v="3"/>
    <x v="7"/>
    <n v="2500"/>
    <x v="20"/>
    <m/>
    <n v="1"/>
  </r>
  <r>
    <s v="1404/02/15"/>
    <x v="3"/>
    <x v="7"/>
    <n v="2500"/>
    <x v="21"/>
    <m/>
    <n v="1"/>
  </r>
  <r>
    <s v="1404/02/15"/>
    <x v="3"/>
    <x v="7"/>
    <n v="2500"/>
    <x v="22"/>
    <m/>
    <n v="1"/>
  </r>
  <r>
    <m/>
    <x v="10"/>
    <x v="5"/>
    <n v="15000"/>
    <x v="0"/>
    <m/>
    <n v="1"/>
  </r>
  <r>
    <s v="1404/02/21"/>
    <x v="11"/>
    <x v="7"/>
    <n v="2000"/>
    <x v="23"/>
    <m/>
    <n v="1"/>
  </r>
  <r>
    <s v="1404/02/21"/>
    <x v="11"/>
    <x v="7"/>
    <n v="2000"/>
    <x v="20"/>
    <m/>
    <n v="1"/>
  </r>
  <r>
    <s v="1404/02/21"/>
    <x v="11"/>
    <x v="7"/>
    <n v="2000"/>
    <x v="24"/>
    <m/>
    <n v="1"/>
  </r>
  <r>
    <s v="1404/02/21"/>
    <x v="11"/>
    <x v="7"/>
    <n v="3000"/>
    <x v="25"/>
    <m/>
    <n v="1"/>
  </r>
  <r>
    <s v="1404/02/21"/>
    <x v="11"/>
    <x v="7"/>
    <n v="1000"/>
    <x v="26"/>
    <m/>
    <n v="1"/>
  </r>
  <r>
    <s v="1404/02/21"/>
    <x v="12"/>
    <x v="7"/>
    <n v="5000"/>
    <x v="23"/>
    <m/>
    <n v="1"/>
  </r>
  <r>
    <s v="1404/02/21"/>
    <x v="12"/>
    <x v="7"/>
    <n v="5000"/>
    <x v="20"/>
    <m/>
    <n v="1"/>
  </r>
  <r>
    <s v="1404/02/21"/>
    <x v="12"/>
    <x v="7"/>
    <n v="12000"/>
    <x v="24"/>
    <m/>
    <n v="1"/>
  </r>
  <r>
    <s v="1404/02/21"/>
    <x v="12"/>
    <x v="7"/>
    <n v="12000"/>
    <x v="25"/>
    <m/>
    <n v="1"/>
  </r>
  <r>
    <s v="1404/02/21"/>
    <x v="12"/>
    <x v="7"/>
    <n v="12000"/>
    <x v="26"/>
    <m/>
    <n v="1"/>
  </r>
  <r>
    <s v="1404/02/21"/>
    <x v="12"/>
    <x v="7"/>
    <n v="12000"/>
    <x v="27"/>
    <m/>
    <n v="1"/>
  </r>
  <r>
    <s v="1404/02/21"/>
    <x v="12"/>
    <x v="7"/>
    <n v="12000"/>
    <x v="28"/>
    <m/>
    <n v="1"/>
  </r>
  <r>
    <s v="1404/02/21"/>
    <x v="13"/>
    <x v="7"/>
    <n v="3000"/>
    <x v="23"/>
    <m/>
    <n v="1"/>
  </r>
  <r>
    <s v="1404/02/21"/>
    <x v="13"/>
    <x v="7"/>
    <n v="3000"/>
    <x v="20"/>
    <m/>
    <n v="1"/>
  </r>
  <r>
    <s v="1404/02/21"/>
    <x v="13"/>
    <x v="7"/>
    <n v="5000"/>
    <x v="24"/>
    <m/>
    <n v="1"/>
  </r>
  <r>
    <s v="1404/02/21"/>
    <x v="13"/>
    <x v="7"/>
    <n v="5000"/>
    <x v="25"/>
    <m/>
    <n v="1"/>
  </r>
  <r>
    <s v="1404/02/21"/>
    <x v="13"/>
    <x v="7"/>
    <n v="5000"/>
    <x v="26"/>
    <m/>
    <n v="1"/>
  </r>
  <r>
    <s v="1404/02/21"/>
    <x v="13"/>
    <x v="7"/>
    <n v="5000"/>
    <x v="27"/>
    <m/>
    <n v="1"/>
  </r>
  <r>
    <s v="1404/02/21"/>
    <x v="13"/>
    <x v="7"/>
    <n v="4000"/>
    <x v="28"/>
    <m/>
    <n v="1"/>
  </r>
  <r>
    <s v="1404/02/21"/>
    <x v="7"/>
    <x v="7"/>
    <n v="2000"/>
    <x v="23"/>
    <m/>
    <n v="1"/>
  </r>
  <r>
    <s v="1404/02/21"/>
    <x v="6"/>
    <x v="7"/>
    <n v="2000"/>
    <x v="23"/>
    <m/>
    <n v="1"/>
  </r>
  <r>
    <s v="1404/02/21"/>
    <x v="6"/>
    <x v="7"/>
    <n v="2000"/>
    <x v="20"/>
    <m/>
    <n v="1"/>
  </r>
  <r>
    <s v="1404/02/23"/>
    <x v="7"/>
    <x v="7"/>
    <n v="2000"/>
    <x v="17"/>
    <m/>
    <n v="1"/>
  </r>
  <r>
    <s v="1404/02/24"/>
    <x v="2"/>
    <x v="7"/>
    <n v="3000"/>
    <x v="20"/>
    <m/>
    <n v="1"/>
  </r>
  <r>
    <s v="1404/02/24"/>
    <x v="2"/>
    <x v="7"/>
    <n v="3000"/>
    <x v="17"/>
    <m/>
    <n v="1"/>
  </r>
  <r>
    <s v="1404/02/24"/>
    <x v="2"/>
    <x v="7"/>
    <n v="3000"/>
    <x v="29"/>
    <m/>
    <n v="1"/>
  </r>
  <r>
    <s v="1404/02/24"/>
    <x v="2"/>
    <x v="7"/>
    <n v="3000"/>
    <x v="30"/>
    <m/>
    <n v="1"/>
  </r>
  <r>
    <s v="1404/02/24"/>
    <x v="4"/>
    <x v="7"/>
    <n v="3000"/>
    <x v="30"/>
    <m/>
    <n v="1"/>
  </r>
  <r>
    <s v="1404/02/24"/>
    <x v="5"/>
    <x v="7"/>
    <n v="500"/>
    <x v="30"/>
    <m/>
    <n v="1"/>
  </r>
  <r>
    <s v="1404/02/24"/>
    <x v="1"/>
    <x v="7"/>
    <n v="900"/>
    <x v="20"/>
    <m/>
    <n v="1"/>
  </r>
  <r>
    <s v="1404/02/24"/>
    <x v="1"/>
    <x v="7"/>
    <n v="2800"/>
    <x v="31"/>
    <m/>
    <n v="1"/>
  </r>
  <r>
    <s v="1404/02/24"/>
    <x v="1"/>
    <x v="7"/>
    <n v="2200"/>
    <x v="32"/>
    <m/>
    <n v="1"/>
  </r>
  <r>
    <s v="1404/02/24"/>
    <x v="1"/>
    <x v="7"/>
    <n v="2400"/>
    <x v="33"/>
    <m/>
    <n v="1"/>
  </r>
  <r>
    <s v="1404/02/24"/>
    <x v="0"/>
    <x v="7"/>
    <n v="1200"/>
    <x v="20"/>
    <m/>
    <n v="1"/>
  </r>
  <r>
    <s v="1404/02/24"/>
    <x v="0"/>
    <x v="7"/>
    <n v="1900"/>
    <x v="31"/>
    <m/>
    <n v="1"/>
  </r>
  <r>
    <s v="1404/02/24"/>
    <x v="0"/>
    <x v="7"/>
    <n v="1300"/>
    <x v="32"/>
    <m/>
    <n v="1"/>
  </r>
  <r>
    <s v="1404/02/28"/>
    <x v="8"/>
    <x v="7"/>
    <n v="3000"/>
    <x v="34"/>
    <m/>
    <n v="1"/>
  </r>
  <r>
    <s v="1404/02/28"/>
    <x v="8"/>
    <x v="7"/>
    <n v="4000"/>
    <x v="35"/>
    <m/>
    <n v="1"/>
  </r>
  <r>
    <s v="1404/02/28"/>
    <x v="8"/>
    <x v="7"/>
    <n v="4000"/>
    <x v="36"/>
    <m/>
    <n v="1"/>
  </r>
  <r>
    <s v="1404/02/28"/>
    <x v="8"/>
    <x v="7"/>
    <n v="4000"/>
    <x v="37"/>
    <m/>
    <n v="1"/>
  </r>
  <r>
    <s v="1404/02/28"/>
    <x v="14"/>
    <x v="7"/>
    <n v="3000"/>
    <x v="34"/>
    <m/>
    <n v="1"/>
  </r>
  <r>
    <s v="1404/02/28"/>
    <x v="14"/>
    <x v="7"/>
    <n v="5000"/>
    <x v="35"/>
    <m/>
    <n v="1"/>
  </r>
  <r>
    <s v="1404/02/28"/>
    <x v="14"/>
    <x v="7"/>
    <n v="5000"/>
    <x v="36"/>
    <m/>
    <n v="1"/>
  </r>
  <r>
    <s v="1404/02/28"/>
    <x v="14"/>
    <x v="7"/>
    <n v="7000"/>
    <x v="37"/>
    <m/>
    <n v="1"/>
  </r>
  <r>
    <s v="1403/10/00"/>
    <x v="15"/>
    <x v="2"/>
    <n v="8864"/>
    <x v="0"/>
    <m/>
    <n v="1"/>
  </r>
  <r>
    <s v="1403/11/13"/>
    <x v="16"/>
    <x v="8"/>
    <n v="6400"/>
    <x v="38"/>
    <s v="مادیران"/>
    <n v="1"/>
  </r>
  <r>
    <s v="1403/11/13"/>
    <x v="17"/>
    <x v="8"/>
    <n v="2800"/>
    <x v="0"/>
    <s v="مادیران"/>
    <n v="1"/>
  </r>
  <r>
    <s v="1404/03/21"/>
    <x v="2"/>
    <x v="9"/>
    <n v="2000"/>
    <x v="39"/>
    <m/>
    <n v="1"/>
  </r>
  <r>
    <s v="1404/03/21"/>
    <x v="4"/>
    <x v="9"/>
    <n v="3000"/>
    <x v="40"/>
    <m/>
    <n v="1"/>
  </r>
  <r>
    <s v="1404/03/21"/>
    <x v="4"/>
    <x v="9"/>
    <n v="6000"/>
    <x v="39"/>
    <m/>
    <n v="1"/>
  </r>
  <r>
    <s v="1404/03/21"/>
    <x v="5"/>
    <x v="9"/>
    <n v="500"/>
    <x v="40"/>
    <m/>
    <n v="1"/>
  </r>
  <r>
    <s v="1404/03/21"/>
    <x v="1"/>
    <x v="9"/>
    <n v="1000"/>
    <x v="41"/>
    <m/>
    <n v="1"/>
  </r>
  <r>
    <s v="1404/03/21"/>
    <x v="1"/>
    <x v="9"/>
    <n v="700"/>
    <x v="42"/>
    <m/>
    <n v="1"/>
  </r>
  <r>
    <s v="1404/03/21"/>
    <x v="1"/>
    <x v="9"/>
    <n v="1700"/>
    <x v="39"/>
    <m/>
    <n v="1"/>
  </r>
  <r>
    <s v="1404/03/21"/>
    <x v="1"/>
    <x v="9"/>
    <n v="1800"/>
    <x v="43"/>
    <m/>
    <n v="1"/>
  </r>
  <r>
    <s v="1404/03/21"/>
    <x v="0"/>
    <x v="9"/>
    <n v="2000"/>
    <x v="41"/>
    <m/>
    <n v="1"/>
  </r>
  <r>
    <s v="1404/03/21"/>
    <x v="0"/>
    <x v="9"/>
    <n v="3600"/>
    <x v="42"/>
    <m/>
    <n v="1"/>
  </r>
  <r>
    <s v="1404/03/21"/>
    <x v="0"/>
    <x v="9"/>
    <n v="400"/>
    <x v="39"/>
    <m/>
    <n v="1"/>
  </r>
  <r>
    <s v="1404/03/21"/>
    <x v="0"/>
    <x v="9"/>
    <n v="300"/>
    <x v="43"/>
    <m/>
    <n v="1"/>
  </r>
  <r>
    <s v="1404/03/21"/>
    <x v="18"/>
    <x v="9"/>
    <n v="5000"/>
    <x v="44"/>
    <m/>
    <n v="1"/>
  </r>
  <r>
    <s v="1404/03/21"/>
    <x v="18"/>
    <x v="9"/>
    <n v="3000"/>
    <x v="28"/>
    <m/>
    <n v="1"/>
  </r>
  <r>
    <s v="1404/03/21"/>
    <x v="18"/>
    <x v="9"/>
    <n v="3000"/>
    <x v="45"/>
    <m/>
    <n v="1"/>
  </r>
  <r>
    <s v="1404/04/10"/>
    <x v="11"/>
    <x v="9"/>
    <n v="10000"/>
    <x v="46"/>
    <m/>
    <n v="1"/>
  </r>
  <r>
    <s v="1404/04/10"/>
    <x v="11"/>
    <x v="9"/>
    <n v="10000"/>
    <x v="47"/>
    <m/>
    <n v="1"/>
  </r>
  <r>
    <s v="1404/04/10"/>
    <x v="11"/>
    <x v="9"/>
    <n v="10000"/>
    <x v="48"/>
    <m/>
    <n v="1"/>
  </r>
  <r>
    <s v="1404/04/10"/>
    <x v="11"/>
    <x v="9"/>
    <n v="10000"/>
    <x v="49"/>
    <m/>
    <n v="1"/>
  </r>
  <r>
    <s v="1404/04/10"/>
    <x v="11"/>
    <x v="9"/>
    <n v="10000"/>
    <x v="50"/>
    <m/>
    <n v="1"/>
  </r>
  <r>
    <s v="1404/04/10"/>
    <x v="11"/>
    <x v="9"/>
    <n v="10000"/>
    <x v="51"/>
    <m/>
    <n v="1"/>
  </r>
  <r>
    <s v="1404/04/21"/>
    <x v="9"/>
    <x v="9"/>
    <n v="8500"/>
    <x v="52"/>
    <m/>
    <n v="1"/>
  </r>
  <r>
    <s v="1404/05/26"/>
    <x v="2"/>
    <x v="10"/>
    <n v="3400"/>
    <x v="53"/>
    <m/>
    <n v="1"/>
  </r>
  <r>
    <s v="1404/05/26"/>
    <x v="2"/>
    <x v="10"/>
    <n v="3400"/>
    <x v="54"/>
    <m/>
    <n v="1"/>
  </r>
  <r>
    <s v="1404/05/26"/>
    <x v="2"/>
    <x v="10"/>
    <n v="3400"/>
    <x v="55"/>
    <m/>
    <n v="1"/>
  </r>
  <r>
    <s v="1404/05/26"/>
    <x v="2"/>
    <x v="10"/>
    <n v="3400"/>
    <x v="56"/>
    <m/>
    <n v="1"/>
  </r>
  <r>
    <s v="1404/05/26"/>
    <x v="2"/>
    <x v="10"/>
    <n v="3400"/>
    <x v="57"/>
    <m/>
    <n v="1"/>
  </r>
  <r>
    <s v="1404/05/26"/>
    <x v="4"/>
    <x v="10"/>
    <n v="3600"/>
    <x v="53"/>
    <m/>
    <n v="1"/>
  </r>
  <r>
    <s v="1404/05/26"/>
    <x v="4"/>
    <x v="10"/>
    <n v="3600"/>
    <x v="54"/>
    <m/>
    <n v="1"/>
  </r>
  <r>
    <s v="1404/05/26"/>
    <x v="4"/>
    <x v="10"/>
    <n v="3600"/>
    <x v="55"/>
    <m/>
    <n v="1"/>
  </r>
  <r>
    <s v="1404/05/26"/>
    <x v="4"/>
    <x v="10"/>
    <n v="3600"/>
    <x v="56"/>
    <m/>
    <n v="1"/>
  </r>
  <r>
    <s v="1404/05/26"/>
    <x v="4"/>
    <x v="10"/>
    <n v="3600"/>
    <x v="57"/>
    <m/>
    <n v="1"/>
  </r>
  <r>
    <s v="1404/05/26"/>
    <x v="5"/>
    <x v="10"/>
    <n v="360"/>
    <x v="53"/>
    <m/>
    <n v="1"/>
  </r>
  <r>
    <s v="1404/05/26"/>
    <x v="5"/>
    <x v="10"/>
    <n v="360"/>
    <x v="54"/>
    <m/>
    <n v="1"/>
  </r>
  <r>
    <s v="1404/05/26"/>
    <x v="5"/>
    <x v="10"/>
    <n v="360"/>
    <x v="55"/>
    <m/>
    <n v="1"/>
  </r>
  <r>
    <s v="1404/05/26"/>
    <x v="5"/>
    <x v="10"/>
    <n v="360"/>
    <x v="56"/>
    <m/>
    <n v="1"/>
  </r>
  <r>
    <s v="1404/05/26"/>
    <x v="5"/>
    <x v="10"/>
    <n v="360"/>
    <x v="57"/>
    <m/>
    <n v="1"/>
  </r>
  <r>
    <s v="1404/05/20"/>
    <x v="4"/>
    <x v="11"/>
    <n v="400"/>
    <x v="57"/>
    <m/>
    <n v="1"/>
  </r>
  <r>
    <s v="1404/05/20"/>
    <x v="5"/>
    <x v="11"/>
    <n v="700"/>
    <x v="57"/>
    <m/>
    <n v="1"/>
  </r>
  <r>
    <s v="1404/05/28"/>
    <x v="1"/>
    <x v="10"/>
    <n v="1000"/>
    <x v="58"/>
    <m/>
    <n v="1"/>
  </r>
  <r>
    <s v="1404/05/28"/>
    <x v="1"/>
    <x v="10"/>
    <n v="800"/>
    <x v="59"/>
    <m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n v="4"/>
    <s v="پاکشوما"/>
    <s v="-"/>
    <s v="nut4"/>
    <s v="-"/>
    <s v="3*0.75"/>
    <s v="strp"/>
    <n v="60000"/>
    <n v="60000"/>
    <n v="53450"/>
    <n v="0"/>
    <n v="-6550"/>
    <n v="6550"/>
  </r>
  <r>
    <x v="1"/>
    <n v="6"/>
    <s v="هیمالیا"/>
    <s v="nar.p"/>
    <s v="-"/>
    <s v="nar.p"/>
    <s v="3*0.75"/>
    <s v="?"/>
    <n v="18000"/>
    <n v="18000"/>
    <n v="17620"/>
    <n v="0"/>
    <n v="-380"/>
    <n v="380"/>
  </r>
  <r>
    <x v="2"/>
    <m/>
    <m/>
    <m/>
    <m/>
    <m/>
    <m/>
    <m/>
    <m/>
    <m/>
    <m/>
    <m/>
    <m/>
    <m/>
  </r>
  <r>
    <x v="3"/>
    <n v="7"/>
    <s v="هیمالیا"/>
    <e v="#VALUE!"/>
    <e v="#VALUE!"/>
    <e v="#VALUE!"/>
    <e v="#VALUE!"/>
    <e v="#VALUE!"/>
    <n v="17000"/>
    <n v="8000"/>
    <n v="25"/>
    <n v="-9000"/>
    <n v="-16975"/>
    <n v="7975"/>
  </r>
  <r>
    <x v="1"/>
    <n v="7"/>
    <s v="هیمالیا"/>
    <m/>
    <m/>
    <m/>
    <m/>
    <m/>
    <n v="18000"/>
    <n v="3000"/>
    <n v="0"/>
    <n v="-15000"/>
    <n v="-18000"/>
    <n v="3000"/>
  </r>
  <r>
    <x v="4"/>
    <n v="7"/>
    <s v="هیمالیا"/>
    <m/>
    <m/>
    <m/>
    <m/>
    <m/>
    <n v="1000"/>
    <n v="1000"/>
    <n v="0"/>
    <n v="0"/>
    <n v="-1000"/>
    <n v="1000"/>
  </r>
  <r>
    <x v="5"/>
    <n v="7"/>
    <s v="گلسان"/>
    <m/>
    <m/>
    <m/>
    <m/>
    <m/>
    <n v="5600"/>
    <n v="5600"/>
    <n v="0"/>
    <n v="0"/>
    <n v="-5600"/>
    <n v="5600"/>
  </r>
  <r>
    <x v="6"/>
    <n v="7"/>
    <s v="گلسان"/>
    <e v="#VALUE!"/>
    <e v="#VALUE!"/>
    <e v="#VALUE!"/>
    <e v="#VALUE!"/>
    <e v="#VALUE!"/>
    <n v="1700"/>
    <n v="1700"/>
    <n v="0"/>
    <n v="0"/>
    <n v="-1700"/>
    <n v="1700"/>
  </r>
  <r>
    <x v="0"/>
    <n v="7"/>
    <s v="پاکشوما"/>
    <m/>
    <m/>
    <m/>
    <m/>
    <m/>
    <n v="30000"/>
    <n v="0"/>
    <n v="0"/>
    <n v="-30000"/>
    <n v="-30000"/>
    <n v="0"/>
  </r>
  <r>
    <x v="7"/>
    <n v="7"/>
    <s v="پاکشوما"/>
    <m/>
    <m/>
    <m/>
    <m/>
    <m/>
    <n v="70000"/>
    <n v="0"/>
    <n v="0"/>
    <n v="-70000"/>
    <n v="-70000"/>
    <n v="0"/>
  </r>
  <r>
    <x v="8"/>
    <n v="7"/>
    <s v="پاکشوما"/>
    <m/>
    <m/>
    <m/>
    <m/>
    <m/>
    <n v="30000"/>
    <n v="0"/>
    <n v="0"/>
    <n v="-30000"/>
    <n v="-30000"/>
    <n v="0"/>
  </r>
  <r>
    <x v="2"/>
    <m/>
    <m/>
    <m/>
    <m/>
    <m/>
    <m/>
    <m/>
    <m/>
    <m/>
    <m/>
    <m/>
    <m/>
    <m/>
  </r>
  <r>
    <x v="2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4222CA-D0A9-45EE-B4EA-93F6B5041E76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3:K9" firstHeaderRow="1" firstDataRow="1" firstDataCol="1"/>
  <pivotFields count="8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numFmtId="170"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mojoodi_III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0151D-53EA-4727-BDC5-68C676A85D5A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3" firstHeaderRow="1" firstDataRow="1" firstDataCol="1"/>
  <pivotFields count="14">
    <pivotField axis="axisRow" showAll="0">
      <items count="10">
        <item x="3"/>
        <item x="1"/>
        <item x="4"/>
        <item x="5"/>
        <item x="6"/>
        <item x="0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ack re" fld="12" baseField="0" baseItem="2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541930-F757-4065-9180-DBD68D558486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26" firstHeaderRow="1" firstDataRow="1" firstDataCol="1"/>
  <pivotFields count="7">
    <pivotField showAll="0" insertBlankRow="1"/>
    <pivotField axis="axisRow" showAll="0" insertBlankRow="1">
      <items count="33">
        <item x="2"/>
        <item x="4"/>
        <item sd="0" x="5"/>
        <item sd="0" x="3"/>
        <item sd="0" m="1" x="23"/>
        <item sd="0" x="1"/>
        <item sd="0" x="0"/>
        <item sd="0" m="1" x="27"/>
        <item sd="0" m="1" x="26"/>
        <item x="7"/>
        <item sd="0" m="1" x="25"/>
        <item sd="0" x="16"/>
        <item sd="0" x="17"/>
        <item sd="0" m="1" x="22"/>
        <item sd="0" m="1" x="28"/>
        <item sd="0" x="11"/>
        <item sd="0" m="1" x="30"/>
        <item sd="0" m="1" x="21"/>
        <item sd="0" m="1" x="29"/>
        <item sd="0" x="9"/>
        <item sd="0" x="8"/>
        <item sd="0" x="6"/>
        <item sd="0" m="1" x="19"/>
        <item sd="0" m="1" x="31"/>
        <item sd="0" m="1" x="24"/>
        <item sd="0" m="1" x="20"/>
        <item x="10"/>
        <item x="12"/>
        <item x="13"/>
        <item x="14"/>
        <item x="15"/>
        <item x="18"/>
        <item t="default" sd="0"/>
      </items>
    </pivotField>
    <pivotField axis="axisRow" multipleItemSelectionAllowed="1" showAll="0" insertBlankRow="1">
      <items count="16">
        <item sd="0" x="0"/>
        <item sd="0" x="1"/>
        <item sd="0" x="2"/>
        <item x="8"/>
        <item m="1" x="14"/>
        <item sd="0" m="1" x="12"/>
        <item m="1" x="13"/>
        <item x="3"/>
        <item x="4"/>
        <item x="5"/>
        <item x="6"/>
        <item x="7"/>
        <item x="9"/>
        <item x="10"/>
        <item x="11"/>
        <item t="default" sd="0"/>
      </items>
    </pivotField>
    <pivotField dataField="1" showAll="0" insertBlankRow="1"/>
    <pivotField axis="axisRow" showAll="0" insertBlankRow="1">
      <items count="120">
        <item m="1" x="112"/>
        <item m="1" x="69"/>
        <item m="1" x="68"/>
        <item m="1" x="62"/>
        <item m="1" x="99"/>
        <item m="1" x="72"/>
        <item m="1" x="96"/>
        <item m="1" x="95"/>
        <item m="1" x="80"/>
        <item m="1" x="90"/>
        <item m="1" x="85"/>
        <item m="1" x="116"/>
        <item m="1" x="101"/>
        <item m="1" x="82"/>
        <item m="1" x="100"/>
        <item m="1" x="111"/>
        <item m="1" x="81"/>
        <item m="1" x="71"/>
        <item m="1" x="110"/>
        <item m="1" x="70"/>
        <item m="1" x="87"/>
        <item m="1" x="77"/>
        <item m="1" x="86"/>
        <item m="1" x="76"/>
        <item m="1" x="61"/>
        <item m="1" x="84"/>
        <item m="1" x="104"/>
        <item m="1" x="74"/>
        <item m="1" x="60"/>
        <item m="1" x="83"/>
        <item m="1" x="103"/>
        <item m="1" x="73"/>
        <item m="1" x="115"/>
        <item m="1" x="98"/>
        <item x="38"/>
        <item m="1" x="114"/>
        <item m="1" x="109"/>
        <item m="1" x="79"/>
        <item m="1" x="78"/>
        <item m="1" x="63"/>
        <item m="1" x="89"/>
        <item m="1" x="113"/>
        <item x="0"/>
        <item m="1" x="97"/>
        <item m="1" x="65"/>
        <item m="1" x="92"/>
        <item m="1" x="91"/>
        <item m="1" x="102"/>
        <item m="1" x="75"/>
        <item m="1" x="106"/>
        <item m="1" x="64"/>
        <item m="1" x="105"/>
        <item m="1" x="118"/>
        <item m="1" x="108"/>
        <item m="1" x="94"/>
        <item m="1" x="88"/>
        <item m="1" x="117"/>
        <item m="1" x="66"/>
        <item m="1" x="93"/>
        <item m="1" x="67"/>
        <item m="1" x="10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showAll="0" insertBlankRow="1"/>
    <pivotField showAll="0" insertBlankRow="1"/>
  </pivotFields>
  <rowFields count="3">
    <field x="1"/>
    <field x="2"/>
    <field x="4"/>
  </rowFields>
  <rowItems count="123">
    <i>
      <x/>
    </i>
    <i r="1">
      <x v="8"/>
    </i>
    <i r="2">
      <x v="61"/>
    </i>
    <i t="blank" r="1">
      <x v="8"/>
    </i>
    <i r="1">
      <x v="9"/>
    </i>
    <i r="2">
      <x v="68"/>
    </i>
    <i r="2">
      <x v="69"/>
    </i>
    <i r="2">
      <x v="70"/>
    </i>
    <i t="blank" r="1">
      <x v="9"/>
    </i>
    <i r="1">
      <x v="10"/>
    </i>
    <i r="2">
      <x v="76"/>
    </i>
    <i t="blank" r="1">
      <x v="10"/>
    </i>
    <i r="1">
      <x v="11"/>
    </i>
    <i r="2">
      <x v="77"/>
    </i>
    <i r="2">
      <x v="80"/>
    </i>
    <i r="2">
      <x v="89"/>
    </i>
    <i r="2">
      <x v="90"/>
    </i>
    <i t="blank" r="1">
      <x v="11"/>
    </i>
    <i r="1">
      <x v="12"/>
    </i>
    <i r="2">
      <x v="98"/>
    </i>
    <i t="blank" r="1">
      <x v="12"/>
    </i>
    <i r="1">
      <x v="13"/>
    </i>
    <i r="2">
      <x v="112"/>
    </i>
    <i r="2">
      <x v="113"/>
    </i>
    <i r="2">
      <x v="114"/>
    </i>
    <i r="2">
      <x v="115"/>
    </i>
    <i r="2">
      <x v="116"/>
    </i>
    <i t="blank" r="1">
      <x v="13"/>
    </i>
    <i>
      <x v="1"/>
    </i>
    <i r="1">
      <x v="9"/>
    </i>
    <i r="2">
      <x v="68"/>
    </i>
    <i r="2">
      <x v="69"/>
    </i>
    <i r="2">
      <x v="70"/>
    </i>
    <i r="2">
      <x v="71"/>
    </i>
    <i t="blank" r="1">
      <x v="9"/>
    </i>
    <i r="1">
      <x v="11"/>
    </i>
    <i r="2">
      <x v="90"/>
    </i>
    <i t="blank" r="1">
      <x v="11"/>
    </i>
    <i r="1">
      <x v="12"/>
    </i>
    <i r="2">
      <x v="98"/>
    </i>
    <i r="2">
      <x v="99"/>
    </i>
    <i t="blank" r="1">
      <x v="12"/>
    </i>
    <i r="1">
      <x v="13"/>
    </i>
    <i r="2">
      <x v="112"/>
    </i>
    <i r="2">
      <x v="113"/>
    </i>
    <i r="2">
      <x v="114"/>
    </i>
    <i r="2">
      <x v="115"/>
    </i>
    <i r="2">
      <x v="116"/>
    </i>
    <i t="blank" r="1">
      <x v="13"/>
    </i>
    <i r="1">
      <x v="14"/>
    </i>
    <i r="2">
      <x v="116"/>
    </i>
    <i t="blank" r="1">
      <x v="14"/>
    </i>
    <i>
      <x v="2"/>
    </i>
    <i t="blank">
      <x v="2"/>
    </i>
    <i>
      <x v="3"/>
    </i>
    <i t="blank">
      <x v="3"/>
    </i>
    <i>
      <x v="5"/>
    </i>
    <i t="blank">
      <x v="5"/>
    </i>
    <i>
      <x v="6"/>
    </i>
    <i t="blank">
      <x v="6"/>
    </i>
    <i>
      <x v="9"/>
    </i>
    <i r="1">
      <x v="9"/>
    </i>
    <i r="2">
      <x v="63"/>
    </i>
    <i r="2">
      <x v="68"/>
    </i>
    <i r="2">
      <x v="72"/>
    </i>
    <i t="blank" r="1">
      <x v="9"/>
    </i>
    <i r="1">
      <x v="11"/>
    </i>
    <i r="2">
      <x v="77"/>
    </i>
    <i r="2">
      <x v="83"/>
    </i>
    <i t="blank" r="1">
      <x v="11"/>
    </i>
    <i>
      <x v="11"/>
    </i>
    <i t="blank">
      <x v="11"/>
    </i>
    <i>
      <x v="12"/>
    </i>
    <i t="blank">
      <x v="12"/>
    </i>
    <i>
      <x v="15"/>
    </i>
    <i t="blank">
      <x v="15"/>
    </i>
    <i>
      <x v="19"/>
    </i>
    <i t="blank">
      <x v="19"/>
    </i>
    <i>
      <x v="20"/>
    </i>
    <i t="blank">
      <x v="20"/>
    </i>
    <i>
      <x v="21"/>
    </i>
    <i t="blank">
      <x v="21"/>
    </i>
    <i>
      <x v="26"/>
    </i>
    <i r="1">
      <x v="9"/>
    </i>
    <i r="2">
      <x v="42"/>
    </i>
    <i t="blank" r="1">
      <x v="9"/>
    </i>
    <i>
      <x v="27"/>
    </i>
    <i r="1">
      <x v="11"/>
    </i>
    <i r="2">
      <x v="80"/>
    </i>
    <i r="2">
      <x v="83"/>
    </i>
    <i r="2">
      <x v="84"/>
    </i>
    <i r="2">
      <x v="85"/>
    </i>
    <i r="2">
      <x v="86"/>
    </i>
    <i r="2">
      <x v="87"/>
    </i>
    <i r="2">
      <x v="88"/>
    </i>
    <i t="blank" r="1">
      <x v="11"/>
    </i>
    <i>
      <x v="28"/>
    </i>
    <i r="1">
      <x v="11"/>
    </i>
    <i r="2">
      <x v="80"/>
    </i>
    <i r="2">
      <x v="83"/>
    </i>
    <i r="2">
      <x v="84"/>
    </i>
    <i r="2">
      <x v="85"/>
    </i>
    <i r="2">
      <x v="86"/>
    </i>
    <i r="2">
      <x v="87"/>
    </i>
    <i r="2">
      <x v="88"/>
    </i>
    <i t="blank" r="1">
      <x v="11"/>
    </i>
    <i>
      <x v="29"/>
    </i>
    <i r="1">
      <x v="11"/>
    </i>
    <i r="2">
      <x v="94"/>
    </i>
    <i r="2">
      <x v="95"/>
    </i>
    <i r="2">
      <x v="96"/>
    </i>
    <i r="2">
      <x v="97"/>
    </i>
    <i t="blank" r="1">
      <x v="11"/>
    </i>
    <i>
      <x v="30"/>
    </i>
    <i r="1">
      <x v="2"/>
    </i>
    <i t="blank" r="1">
      <x v="2"/>
    </i>
    <i>
      <x v="31"/>
    </i>
    <i r="1">
      <x v="12"/>
    </i>
    <i r="2">
      <x v="88"/>
    </i>
    <i r="2">
      <x v="103"/>
    </i>
    <i r="2">
      <x v="104"/>
    </i>
    <i t="blank" r="1">
      <x v="12"/>
    </i>
    <i t="grand">
      <x/>
    </i>
  </rowItems>
  <colItems count="1">
    <i/>
  </colItems>
  <dataFields count="1">
    <dataField name="Sum of num" fld="3" baseField="2" baseItem="0" numFmtId="3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04042B-23D0-4A8E-BD1B-808B0422C522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E23" firstHeaderRow="0" firstDataRow="1" firstDataCol="1" rowPageCount="2" colPageCount="1"/>
  <pivotFields count="17">
    <pivotField axis="axisRow" showAll="0">
      <items count="3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t="default"/>
      </items>
    </pivotField>
    <pivotField dataField="1" showAll="0"/>
    <pivotField dataField="1" numFmtId="3" showAll="0"/>
    <pivotField showAll="0"/>
    <pivotField dataField="1" numFmtId="3" showAll="0"/>
    <pivotField numFmtId="3" showAll="0"/>
    <pivotField showAll="0"/>
    <pivotField showAll="0"/>
    <pivotField dataField="1" numFmtId="9"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h="1" x="0"/>
        <item x="1"/>
        <item t="default"/>
      </items>
    </pivotField>
    <pivotField axis="axisPage" multipleItemSelectionAllowed="1" showAll="0">
      <items count="14">
        <item h="1" x="12"/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numFmtId="3" showAll="0"/>
  </pivotFields>
  <rowFields count="1">
    <field x="0"/>
  </rowFields>
  <rowItems count="19">
    <i>
      <x v="31"/>
    </i>
    <i>
      <x v="32"/>
    </i>
    <i>
      <x v="33"/>
    </i>
    <i>
      <x v="36"/>
    </i>
    <i>
      <x v="37"/>
    </i>
    <i>
      <x v="38"/>
    </i>
    <i>
      <x v="39"/>
    </i>
    <i>
      <x v="40"/>
    </i>
    <i>
      <x v="43"/>
    </i>
    <i>
      <x v="44"/>
    </i>
    <i>
      <x v="45"/>
    </i>
    <i>
      <x v="46"/>
    </i>
    <i>
      <x v="47"/>
    </i>
    <i>
      <x v="50"/>
    </i>
    <i>
      <x v="51"/>
    </i>
    <i>
      <x v="52"/>
    </i>
    <i>
      <x v="53"/>
    </i>
    <i>
      <x v="5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4" hier="-1"/>
    <pageField fld="15" hier="-1"/>
  </pageFields>
  <dataFields count="4">
    <dataField name="Count of day" fld="1" subtotal="count" baseField="0" baseItem="0"/>
    <dataField name="Sum of دستور برش" fld="2" baseField="0" baseItem="0"/>
    <dataField name="Sum of بسته بندی" fld="4" baseField="0" baseItem="0"/>
    <dataField name="Average of بهره وری" fld="8" subtotal="average" baseField="0" baseItem="16" numFmtId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03538F2-2346-4817-9F3C-8CC4B3CA74F7}" name="bom" displayName="bom" ref="A1:AJ145" totalsRowShown="0" headerRowDxfId="312" dataDxfId="311" headerRowCellStyle="Normal_Sheet3" dataCellStyle="Normal_Sheet3">
  <autoFilter ref="A1:AJ145" xr:uid="{230976F5-0DF3-470B-A116-DEB0A8BA6B87}"/>
  <tableColumns count="36">
    <tableColumn id="1" xr3:uid="{6011D70C-02D0-417C-B32F-13BC360C9B84}" name="Id" dataDxfId="310" dataCellStyle="Normal_Sheet3"/>
    <tableColumn id="2" xr3:uid="{E7EA5CA8-283F-4CC1-BE62-E35E4DF30503}" name="کد کابل" dataDxfId="309" dataCellStyle="Normal_Sheet3"/>
    <tableColumn id="3" xr3:uid="{67304A6B-0DA2-4ADB-A703-B833D9CCD615}" name="شرح محصول" dataDxfId="308" dataCellStyle="Normal_Sheet3"/>
    <tableColumn id="4" xr3:uid="{6940E87E-2664-4EC5-9A69-8F689F2FDF4A}" name="رنگ کابل" dataDxfId="307" dataCellStyle="Normal_Sheet3"/>
    <tableColumn id="5" xr3:uid="{67BB6E36-F0E3-4817-997E-2F376C957C63}" name="طول برش" dataDxfId="306" dataCellStyle="Normal_Sheet3"/>
    <tableColumn id="6" xr3:uid="{C71544AB-09C9-46C1-AB1E-D89012D22482}" name="طول سیم قهوه ایی" dataDxfId="305" dataCellStyle="Normal_Sheet3"/>
    <tableColumn id="7" xr3:uid="{E159F7BA-34A4-47EA-9C9B-3059EF287E47}" name="طول سیم آبی" dataDxfId="304" dataCellStyle="Normal_Sheet3"/>
    <tableColumn id="8" xr3:uid="{9CE16680-6AFC-49D2-B73E-0C2F17DF339B}" name="طول سیم ارت" dataDxfId="303" dataCellStyle="Normal_Sheet3"/>
    <tableColumn id="9" xr3:uid="{30F04D4B-0989-414F-AB13-187F24756A8B}" name="غلافبرداری کوتاه" dataDxfId="302" dataCellStyle="Normal_Sheet3"/>
    <tableColumn id="10" xr3:uid="{CF7BBED6-3A26-4910-A9B4-0C83F5045BF7}" name="غلافبرداری بلند" dataDxfId="301" dataCellStyle="Normal_Sheet3"/>
    <tableColumn id="11" xr3:uid="{68745DA8-238F-4802-8F7E-6F4D1A671EFF}" name="نوع مغزی دوشاخه" dataDxfId="300" dataCellStyle="Normal_Sheet3"/>
    <tableColumn id="12" xr3:uid="{DAFA5D6C-6B56-4497-88B0-A4C94BA79C8A}" name="روکشبرداری قهوه ایی" dataDxfId="299" dataCellStyle="Normal_Sheet3"/>
    <tableColumn id="13" xr3:uid="{A1046BC2-DE37-4EA9-8BA6-C934A8C3A9AB}" name="روکشبرداری آبی" dataDxfId="298" dataCellStyle="Normal_Sheet3"/>
    <tableColumn id="14" xr3:uid="{45E0B180-1D4C-4063-8844-9D08BEF0351C}" name="روکشبرداری زرد" dataDxfId="297" dataCellStyle="Normal_Sheet3"/>
    <tableColumn id="15" xr3:uid="{8E1E50DF-8B06-47BE-9A71-E9C1773504FB}" name="روکش مغزی" dataDxfId="296" dataCellStyle="Normal_Sheet3"/>
    <tableColumn id="16" xr3:uid="{6D0ACA82-A890-45A5-8DE8-A69D22632990}" name="نوع کابل" dataDxfId="295" dataCellStyle="Normal_Sheet3"/>
    <tableColumn id="17" xr3:uid="{18C48C2A-5E45-4ACD-8795-5FEB1856B5AE}" name="نام مشتری" dataDxfId="294" dataCellStyle="Normal_Sheet3"/>
    <tableColumn id="18" xr3:uid="{B6CB8760-5C80-44FE-87A4-A0C08C728482}" name="مهاربند" dataDxfId="293" dataCellStyle="Normal_Sheet3"/>
    <tableColumn id="19" xr3:uid="{B6FB20A4-34C1-4051-8D40-E4E128CF5AA8}" name="سر سیم  قهوه ای" dataDxfId="292" dataCellStyle="Normal_Sheet3"/>
    <tableColumn id="20" xr3:uid="{A3FF7FFC-77AB-4339-816C-067CAB7F0A20}" name="سر سیم آبی" dataDxfId="291" dataCellStyle="Normal_Sheet3"/>
    <tableColumn id="21" xr3:uid="{B08DEC83-EDF8-48AE-8018-ED6BAF045C55}" name="سر سیم  زرد" dataDxfId="290" dataCellStyle="Normal_Sheet3"/>
    <tableColumn id="22" xr3:uid="{6A003E08-BFB3-4D73-8ABC-5AD9823D0CD2}" name="type" dataDxfId="289" dataCellStyle="Normal_Sheet3"/>
    <tableColumn id="24" xr3:uid="{304518EF-07F1-4451-9579-0195A353EEA8}" name="strip" dataDxfId="288" dataCellStyle="Normal_Sheet3"/>
    <tableColumn id="25" xr3:uid="{10493CCC-7FC2-49F3-926B-C922EF843A60}" name="frrt" dataDxfId="287" dataCellStyle="Normal_Sheet3"/>
    <tableColumn id="26" xr3:uid="{E1B442E1-BD37-4EA7-93A3-63616627E35E}" name="wgt" dataDxfId="286" dataCellStyle="Normal_Sheet3"/>
    <tableColumn id="27" xr3:uid="{A840790A-24B3-4D6E-92BD-44E528A52337}" name="ph" dataDxfId="285" dataCellStyle="Normal_Sheet3"/>
    <tableColumn id="28" xr3:uid="{78681A1F-FC38-4726-A2EA-B81C13FC1A91}" name="erth" dataDxfId="284" dataCellStyle="Normal_Sheet3"/>
    <tableColumn id="29" xr3:uid="{0E5AE8D2-159B-4054-BB9B-A374162879D9}" name="dbl" dataDxfId="283" dataCellStyle="Normal_Sheet3"/>
    <tableColumn id="30" xr3:uid="{5DA9D2DE-A4E0-452C-995E-C1CADB7509AC}" name="tp" dataDxfId="282" dataCellStyle="Normal_Sheet3"/>
    <tableColumn id="31" xr3:uid="{4B718155-1568-4EAF-9D10-97A3CA604536}" name="p1" dataDxfId="281" dataCellStyle="Normal_Sheet3"/>
    <tableColumn id="32" xr3:uid="{89FE84A5-E6D5-49B1-ADA5-7BDDF7B6CDB8}" name="p2" dataDxfId="280" dataCellStyle="Normal_Sheet3"/>
    <tableColumn id="33" xr3:uid="{19ACEC4E-E48E-42F8-B618-8C6A0B68AF19}" name="p3" dataDxfId="279" dataCellStyle="Normal_Sheet3"/>
    <tableColumn id="34" xr3:uid="{83552E0E-AF03-4457-8456-F502C9BDBDA1}" name="ts" dataDxfId="278" dataCellStyle="Normal_Sheet3"/>
    <tableColumn id="35" xr3:uid="{23A216C6-73BD-4133-9FCB-FFFEF416BDDE}" name="s1" dataDxfId="277" dataCellStyle="Normal_Sheet3"/>
    <tableColumn id="36" xr3:uid="{F5089700-65D5-4D2F-AE72-CDE09DFDEE2C}" name="s2" dataDxfId="276" dataCellStyle="Normal_Sheet3"/>
    <tableColumn id="37" xr3:uid="{22EC6CFA-7049-487E-A9D2-878DF911F345}" name="s3" dataDxfId="275" dataCellStyle="Normal_Sheet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7F4813F-EF92-4E9C-A66D-6313688E3023}" name="plans" displayName="plans" ref="A1:G186" totalsRowShown="0" headerRowDxfId="274">
  <autoFilter ref="A1:G186" xr:uid="{F7F4813F-EF92-4E9C-A66D-6313688E3023}"/>
  <tableColumns count="7">
    <tableColumn id="1" xr3:uid="{60466DA5-28A4-495C-8B12-BCDE5E232E58}" name="emailDate" dataDxfId="273"/>
    <tableColumn id="2" xr3:uid="{72B2F6C2-80BF-4907-9BFA-28506685AF39}" name="productId" dataDxfId="272"/>
    <tableColumn id="7" xr3:uid="{65CC632E-544A-4CB5-A195-0BE26FA768EC}" name="planId" dataDxfId="271"/>
    <tableColumn id="3" xr3:uid="{F421A234-8F63-4086-9919-D5A1DB8A4B70}" name="num" dataDxfId="270" dataCellStyle="Comma"/>
    <tableColumn id="4" xr3:uid="{94F1E9D6-BAF6-4E78-A78D-087C62EB0AF0}" name="toDate" dataDxfId="269"/>
    <tableColumn id="5" xr3:uid="{C7F05BA0-9A4A-4BCE-BD1E-68074BF6D3E0}" name="descriptions" dataDxfId="268"/>
    <tableColumn id="6" xr3:uid="{E8CA84D0-033C-4F78-9A65-7C6154A396B5}" name="prgs" dataDxfId="267">
      <calculatedColumnFormula>COUNTIFS(progress!A:A,plans[[#This Row],[productId]],progress!B:B,plans[[#This Row],[planId]])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4A9621D-84B6-4F97-908C-BD016342B695}" name="cutts" displayName="cutts" ref="A1:P270" totalsRowShown="0" headerRowDxfId="266" dataDxfId="265">
  <autoFilter ref="A1:P270" xr:uid="{8167E6A3-658A-408E-89B5-D18C349D5554}"/>
  <tableColumns count="16">
    <tableColumn id="13" xr3:uid="{DE0A4194-2FE3-44B8-A4FC-9BE335F0454A}" name="cutId" dataDxfId="264"/>
    <tableColumn id="1" xr3:uid="{8E09EF74-88B5-4CED-BAE7-8C246360B202}" name="date" dataDxfId="263"/>
    <tableColumn id="2" xr3:uid="{E1401BFC-D05F-46F5-B67E-84731379C875}" name="productId" dataDxfId="262"/>
    <tableColumn id="3" xr3:uid="{106DB396-B234-426F-A660-CD02ED289518}" name="num" dataDxfId="261"/>
    <tableColumn id="6" xr3:uid="{BD69E640-7658-41EE-AB10-D6905B025713}" name="size" dataDxfId="260"/>
    <tableColumn id="14" xr3:uid="{B382B8D8-4AAB-44B2-BC79-33748A623085}" name="batchIds" dataDxfId="259"/>
    <tableColumn id="11" xr3:uid="{8E072BFE-1713-4ADD-A237-2BE2663BE87A}" name="plan1" dataDxfId="258"/>
    <tableColumn id="10" xr3:uid="{BD827FC0-6F11-4721-A389-C6792136D07A}" name="num1" dataDxfId="257">
      <calculatedColumnFormula>cutts[[#This Row],[num]]-SUM(cutts[[#This Row],[num2]])</calculatedColumnFormula>
    </tableColumn>
    <tableColumn id="8" xr3:uid="{0B644DC9-0610-4BA6-8037-8F2C9A52B098}" name="plan2" dataDxfId="256"/>
    <tableColumn id="5" xr3:uid="{27282D4C-D15C-43FE-AD89-65391E477186}" name="num2" dataDxfId="255"/>
    <tableColumn id="4" xr3:uid="{AE0242F6-2A14-42A5-AE68-2450A52DAB89}" name="cutted" dataDxfId="254"/>
    <tableColumn id="12" xr3:uid="{B2A4DE14-806A-4AE3-9493-6FA09026D36D}" name="cutDate" dataDxfId="253"/>
    <tableColumn id="9" xr3:uid="{C97BA3E4-C2BF-4736-AAC7-36E847826BD8}" name="unCutted" dataDxfId="252">
      <calculatedColumnFormula>cutts[[#This Row],[num]]-cutts[[#This Row],[cutted]]</calculatedColumnFormula>
    </tableColumn>
    <tableColumn id="15" xr3:uid="{E0A63C67-E2F4-411D-A0AF-EF9AA364A6F0}" name="chk" dataDxfId="251"/>
    <tableColumn id="16" xr3:uid="{2D28E115-031D-471D-8DDF-C3824B480622}" name="remain" dataDxfId="250"/>
    <tableColumn id="7" xr3:uid="{5C3BC09E-C16D-40DB-AB5C-C87830C5488F}" name="description" dataDxfId="2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551D60-C034-47E7-B830-C065135DBE39}" name="packes" displayName="packes" ref="A1:Q1227" totalsRowShown="0" headerRowDxfId="248" dataDxfId="247">
  <autoFilter ref="A1:Q1227" xr:uid="{8167E6A3-658A-408E-89B5-D18C349D5554}"/>
  <tableColumns count="17">
    <tableColumn id="12" xr3:uid="{65076807-0B2C-4F6D-9A20-3D1B918FD904}" name="rr" dataDxfId="246"/>
    <tableColumn id="1" xr3:uid="{C195FD0F-6D84-4F24-9281-D2169B5474B6}" name="date" dataDxfId="245"/>
    <tableColumn id="2" xr3:uid="{641E1BAA-BB34-4110-AC55-ADE0F598F0E4}" name="productId" dataDxfId="244"/>
    <tableColumn id="3" xr3:uid="{65258D09-A861-4D87-A6AD-15E0A4A96DD3}" name="num" dataDxfId="243"/>
    <tableColumn id="6" xr3:uid="{D28AA8D9-95C8-4031-AFBD-569C456304F6}" name="wtg" dataDxfId="242">
      <calculatedColumnFormula>_xlfn.XLOOKUP(packes[[#This Row],[productId]],bom[Id],bom[wgt])</calculatedColumnFormula>
    </tableColumn>
    <tableColumn id="5" xr3:uid="{CDBC41C8-AA5E-4713-AE35-335910A9CD73}" name="wPacked" dataDxfId="241">
      <calculatedColumnFormula>packes[[#This Row],[num]]*packes[[#This Row],[wtg]]</calculatedColumnFormula>
    </tableColumn>
    <tableColumn id="11" xr3:uid="{9939AF8E-8418-4AC7-980C-F04560CF9EB6}" name="plan1" dataDxfId="240"/>
    <tableColumn id="10" xr3:uid="{8AAE92AE-D9D1-44D0-844E-EE8F3CA03837}" name="num1" dataDxfId="239">
      <calculatedColumnFormula>packes[[#This Row],[num]]-SUM(packes[[#This Row],[num2]])</calculatedColumnFormula>
    </tableColumn>
    <tableColumn id="8" xr3:uid="{FEB7B03F-CA23-4B69-AFE9-B9A6EFC28C7B}" name="plan2" dataDxfId="238"/>
    <tableColumn id="7" xr3:uid="{FCEB1C45-6FB3-4147-BDE2-94F0CB339A89}" name="num2" dataDxfId="237"/>
    <tableColumn id="4" xr3:uid="{A2682878-D618-4AEC-BB16-F7043D41600A}" name="remain" dataDxfId="236"/>
    <tableColumn id="13" xr3:uid="{A42FA1DA-A0C0-4628-BEF7-2756E9AC443D}" name="description" dataDxfId="235"/>
    <tableColumn id="16" xr3:uid="{9D559CE6-3195-4B06-A482-549A636FDEBA}" name="CT" dataDxfId="234">
      <calculatedColumnFormula>_xlfn.XLOOKUP(packes[[#This Row],[productId]],CT[productId],CT[total],"NA")</calculatedColumnFormula>
    </tableColumn>
    <tableColumn id="9" xr3:uid="{15682058-FD30-4F6F-B4D8-812BB9FBA4D7}" name="ph" dataDxfId="233">
      <calculatedColumnFormula>_xlfn.XLOOKUP(packes[[#This Row],[productId]],bom[Id],bom[ph],"NA")</calculatedColumnFormula>
    </tableColumn>
    <tableColumn id="14" xr3:uid="{EB3B6956-6212-424F-9BC4-573DF95D7B01}" name="erth" dataDxfId="232">
      <calculatedColumnFormula>_xlfn.XLOOKUP(packes[[#This Row],[productId]],bom[Id],bom[erth],"NA")</calculatedColumnFormula>
    </tableColumn>
    <tableColumn id="15" xr3:uid="{3B78795E-653B-43BF-B78B-D9DC8952FDFC}" name="dbl" dataDxfId="231">
      <calculatedColumnFormula>_xlfn.XLOOKUP(packes[[#This Row],[productId]],bom[Id],bom[dbl],"NA")</calculatedColumnFormula>
    </tableColumn>
    <tableColumn id="17" xr3:uid="{B3AE0A65-7231-4E39-9D4B-473666C33974}" name="YY" dataDxfId="230">
      <calculatedColumnFormula>LEFT(packes[[#This Row],[date]],4)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E19A367-B64E-4043-871B-5834E9FBFF33}" name="progress_tbl" displayName="progress_tbl" ref="A2:AZ14" totalsRowShown="0" tableBorderDxfId="229">
  <autoFilter ref="A2:AZ14" xr:uid="{EE19A367-B64E-4043-871B-5834E9FBFF33}"/>
  <sortState xmlns:xlrd2="http://schemas.microsoft.com/office/spreadsheetml/2017/richdata2" ref="A2:AZ2">
    <sortCondition ref="M2"/>
  </sortState>
  <tableColumns count="52">
    <tableColumn id="1" xr3:uid="{389B0A2C-CCC0-4478-A074-3992CC6A4A3C}" name="productId" dataDxfId="228"/>
    <tableColumn id="7" xr3:uid="{4A833F56-DB28-42A0-A12D-D51C9811949C}" name="planId" dataDxfId="227"/>
    <tableColumn id="2" xr3:uid="{D9B43C19-2B87-4470-B942-EA8358354331}" name="category" dataDxfId="226"/>
    <tableColumn id="3" xr3:uid="{822E4635-4D11-4325-BBB8-6C09564A2EB2}" name="ph" dataDxfId="225">
      <calculatedColumnFormula>_xlfn.XLOOKUP(progress_tbl[[#This Row],[productId]],bom[Id],bom[ph],"NA")</calculatedColumnFormula>
    </tableColumn>
    <tableColumn id="4" xr3:uid="{C4537872-ABBE-4DF6-99B6-D13629682C00}" name="erth" dataDxfId="224">
      <calculatedColumnFormula>_xlfn.XLOOKUP(progress_tbl[[#This Row],[productId]],bom[Id],bom[erth],"NA")</calculatedColumnFormula>
    </tableColumn>
    <tableColumn id="5" xr3:uid="{27E03926-245E-4B86-B1B6-9FBA6F64A6F2}" name="dbl" dataDxfId="223">
      <calculatedColumnFormula>_xlfn.XLOOKUP(progress_tbl[[#This Row],[productId]],bom[Id],bom[dbl],"NA")</calculatedColumnFormula>
    </tableColumn>
    <tableColumn id="82" xr3:uid="{54F06A2B-52DE-4504-8090-C9FBF5FD15AC}" name="cable" dataDxfId="222" dataCellStyle="Comma">
      <calculatedColumnFormula>_xlfn.XLOOKUP(progress_tbl[[#This Row],[productId]],bom[Id],bom[نوع کابل],"NA")</calculatedColumnFormula>
    </tableColumn>
    <tableColumn id="83" xr3:uid="{99869948-33AF-47A5-8F8C-49013D8603A2}" name="strip" dataDxfId="221" dataCellStyle="Comma">
      <calculatedColumnFormula>_xlfn.XLOOKUP(progress_tbl[[#This Row],[productId]],bom[Id],bom[strip],"NA")</calculatedColumnFormula>
    </tableColumn>
    <tableColumn id="6" xr3:uid="{F7972523-E3FC-4688-877F-2B651EF3A21A}" name="plan" dataDxfId="220">
      <calculatedColumnFormula>SUMIFS(plans[num],plans[productId],A3,plans[planId],B3)</calculatedColumnFormula>
    </tableColumn>
    <tableColumn id="8" xr3:uid="{0B2ABC3C-5BBC-4360-81BF-5D330611B658}" name="cut ord" dataDxfId="219">
      <calculatedColumnFormula>SUMIFS(cutts[num1],cutts[productId],A3,cutts[plan1],B3)+SUMIFS(cutts[num2],cutts[productId],A3,cutts[plan2],B3)</calculatedColumnFormula>
    </tableColumn>
    <tableColumn id="9" xr3:uid="{2DBEEDF9-EB94-4073-9DCB-68602C109530}" name="packed" dataDxfId="218">
      <calculatedColumnFormula>SUMIFS(packes[num1],packes[productId],A3,packes[plan1],B3)+SUMIFS(packes[num2],packes[productId],A3,packes[plan2],B3)</calculatedColumnFormula>
    </tableColumn>
    <tableColumn id="10" xr3:uid="{C149F0F4-00D7-4DF5-9AB7-CDF697051217}" name="cut re" dataDxfId="217">
      <calculatedColumnFormula>-I3+J3</calculatedColumnFormula>
    </tableColumn>
    <tableColumn id="11" xr3:uid="{B7EB588D-DC53-4B2B-9227-9AD8FAEC32CF}" name="pack re" dataDxfId="216">
      <calculatedColumnFormula>K3-I3</calculatedColumnFormula>
    </tableColumn>
    <tableColumn id="12" xr3:uid="{C696AD46-F680-463E-924E-0841BA4EF811}" name="inLine" dataDxfId="215">
      <calculatedColumnFormula>J3-K3</calculatedColumnFormula>
    </tableColumn>
    <tableColumn id="13" xr3:uid="{C8BE4C38-77B5-4EFB-935F-FA9CCE812F9E}" name="Desc" dataDxfId="214"/>
    <tableColumn id="14" xr3:uid="{FC0B1442-DDB7-4ACC-B2AC-BD1595025FD4}" name="cut1" dataDxfId="213"/>
    <tableColumn id="15" xr3:uid="{BB1292F3-1A4C-4BCB-AA34-02ADD6FECE07}" name="cut2" dataDxfId="212"/>
    <tableColumn id="16" xr3:uid="{046D0E1E-7E6A-4AD9-B19D-30956C2DC360}" name="cut3" dataDxfId="211"/>
    <tableColumn id="17" xr3:uid="{DFF43190-1DB7-4F81-8F20-D7F501EA30E9}" name="cut4" dataDxfId="210"/>
    <tableColumn id="18" xr3:uid="{229EA015-78B8-4F0E-8995-41D8050A6B61}" name="cut5" dataDxfId="209"/>
    <tableColumn id="19" xr3:uid="{FAAA45F7-8865-4F37-A473-7EF131247A17}" name="cut2re" dataDxfId="208"/>
    <tableColumn id="51" xr3:uid="{3940FEAB-6EEF-4DC3-8643-D61E89044836}" name="05/01" dataDxfId="207" dataCellStyle="Comma"/>
    <tableColumn id="52" xr3:uid="{E2D67EDC-3DFE-48A1-9FAC-637E1D4C3E3D}" name="05/02" dataDxfId="206" dataCellStyle="Comma"/>
    <tableColumn id="53" xr3:uid="{2944BB5F-4DA8-4EF0-99CC-89120F8D9183}" name="05/03" dataDxfId="205" dataCellStyle="Comma"/>
    <tableColumn id="54" xr3:uid="{A592C01A-CD1D-495B-913B-8BD38043B85A}" name="05/04" dataDxfId="204" dataCellStyle="Comma"/>
    <tableColumn id="55" xr3:uid="{1F50CCBB-645E-495F-A0F8-1CEF61AC1B72}" name="05/05" dataDxfId="203" dataCellStyle="Comma"/>
    <tableColumn id="56" xr3:uid="{AB656BEF-1DA2-4493-AF6F-400FD7A2CAC9}" name="05/06" dataDxfId="202" dataCellStyle="Comma"/>
    <tableColumn id="57" xr3:uid="{2EE9CEC5-2283-4C8D-8410-33449AF17A7A}" name="05/07" dataDxfId="201" dataCellStyle="Comma"/>
    <tableColumn id="58" xr3:uid="{7737E47F-4F12-41E3-AEDF-1A8A6C808231}" name="05/08" dataDxfId="200" dataCellStyle="Comma"/>
    <tableColumn id="59" xr3:uid="{9BB8A7E8-1387-4011-A96A-20236B6F5864}" name="05/09" dataDxfId="199" dataCellStyle="Comma"/>
    <tableColumn id="60" xr3:uid="{EB58F4A6-0B1C-4516-B219-5A08E179C264}" name="05/10" dataDxfId="198" dataCellStyle="Comma"/>
    <tableColumn id="61" xr3:uid="{5665AE48-2809-4CD0-A287-680F8F719C91}" name="05/11" dataDxfId="197" dataCellStyle="Comma"/>
    <tableColumn id="62" xr3:uid="{C5D48E50-85BF-45B6-A4D3-7DCD5D3CF05A}" name="05/12" dataDxfId="196" dataCellStyle="Comma"/>
    <tableColumn id="63" xr3:uid="{F18AAB69-37B4-4FB9-8F6F-FF0B65A54C41}" name="05/13" dataDxfId="195" dataCellStyle="Comma"/>
    <tableColumn id="64" xr3:uid="{F3F171D9-32C9-4470-82BC-814F42ADB8C2}" name="05/14" dataDxfId="194" dataCellStyle="Comma"/>
    <tableColumn id="65" xr3:uid="{5FAAB91C-6EB8-40B1-9746-3DD5CB79E825}" name="05/15" dataDxfId="193" dataCellStyle="Comma"/>
    <tableColumn id="66" xr3:uid="{6B5F435E-7198-498B-BA28-3358D5AA3E49}" name="05/16" dataDxfId="192" dataCellStyle="Comma"/>
    <tableColumn id="67" xr3:uid="{E360460C-0139-4255-A6B2-50E1CC97CBF4}" name="05/17" dataDxfId="191" dataCellStyle="Comma"/>
    <tableColumn id="68" xr3:uid="{C3C81104-6F49-49ED-8C1E-8C15DB083D0D}" name="05/18" dataDxfId="190" dataCellStyle="Comma"/>
    <tableColumn id="69" xr3:uid="{CDE16A5E-C767-40EA-A2FC-33AB18543D11}" name="05/19" dataDxfId="189" dataCellStyle="Comma"/>
    <tableColumn id="70" xr3:uid="{4EDDA809-4BA7-409D-B361-2B05DD66A3F1}" name="05/20" dataDxfId="188" dataCellStyle="Comma"/>
    <tableColumn id="71" xr3:uid="{D94233DA-8849-4004-BA3C-6321C6E1C080}" name="05/21" dataDxfId="187" dataCellStyle="Comma"/>
    <tableColumn id="72" xr3:uid="{C83E5CE8-D8BE-49E2-8755-9ED2178F7A9B}" name="05/22" dataDxfId="186" dataCellStyle="Comma"/>
    <tableColumn id="73" xr3:uid="{28C77378-32C7-4E0C-9B04-B28F2DBFFF9D}" name="05/23" dataDxfId="185" dataCellStyle="Comma"/>
    <tableColumn id="74" xr3:uid="{BC645E8E-F0D3-42A4-8271-7D5A1860FD82}" name="05/24" dataDxfId="184" dataCellStyle="Comma"/>
    <tableColumn id="75" xr3:uid="{7CFC5BBD-A039-446E-90FE-C1E05767E73C}" name="05/25" dataDxfId="183" dataCellStyle="Comma"/>
    <tableColumn id="76" xr3:uid="{C8267DAA-6804-41A4-8EB8-C72BB2D2DCFB}" name="05/26" dataDxfId="182" dataCellStyle="Comma"/>
    <tableColumn id="77" xr3:uid="{F4308316-1594-44E9-BA89-F2347CFDF3B1}" name="05/27" dataDxfId="181" dataCellStyle="Comma"/>
    <tableColumn id="78" xr3:uid="{35A3AEE0-E1F8-4FF5-BBA8-F8C8B943CE5D}" name="05/28" dataDxfId="180" dataCellStyle="Comma"/>
    <tableColumn id="79" xr3:uid="{D6EF762E-3D2F-4A98-BB8B-9343837070D1}" name="05/29" dataDxfId="179" dataCellStyle="Comma"/>
    <tableColumn id="80" xr3:uid="{43DE6EB4-01AD-44F9-B178-9D1323E3D07F}" name="05/30" dataDxfId="178" dataCellStyle="Comma"/>
    <tableColumn id="81" xr3:uid="{A68956BD-13A8-4BE5-B941-2CE62F53F3C7}" name="05/31" dataDxfId="177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3D675E-C4D9-4D70-855D-E9CA19C9C365}" name="reportTbl" displayName="reportTbl" ref="A1:R367" headerRowDxfId="176" dataDxfId="175" totalsRowDxfId="173" tableBorderDxfId="174">
  <autoFilter ref="A1:R367" xr:uid="{E6F5354C-E187-4D42-8ED4-D308E4B016FE}"/>
  <tableColumns count="18">
    <tableColumn id="1" xr3:uid="{2EBB6AEF-84EE-4CF2-AFCB-495DDB0E8B7D}" name="date" totalsRowLabel="Total" dataDxfId="172" totalsRowDxfId="171"/>
    <tableColumn id="13" xr3:uid="{64485355-3308-49B0-8091-CCEAC1B621D6}" name="day" dataDxfId="170" totalsRowDxfId="169"/>
    <tableColumn id="4" xr3:uid="{EEDC9E02-4611-4D5A-A1EC-3EEB6182A352}" name="دستور برش" dataDxfId="168" totalsRowDxfId="167">
      <calculatedColumnFormula>SUMIF(cutts[date],A2,cutts[num])</calculatedColumnFormula>
    </tableColumn>
    <tableColumn id="15" xr3:uid="{4747D6C2-3453-422B-836E-FE80DD193D64}" name="رسیده از مرکز3" dataDxfId="166" totalsRowDxfId="165"/>
    <tableColumn id="3" xr3:uid="{06C30477-565C-450F-B916-85AAF52DCDE7}" name="بسته بندی" dataDxfId="164" totalsRowDxfId="163" dataCellStyle="Comma"/>
    <tableColumn id="5" xr3:uid="{6FF4CC18-E071-4581-8862-80464FC529BC}" name="وزن تولید" dataDxfId="162" totalsRowDxfId="161" dataCellStyle="Comma"/>
    <tableColumn id="18" xr3:uid="{C15C4F7B-439B-41EC-8BAF-4A8114BEE38E}" name="personels" dataDxfId="160" totalsRowDxfId="159" dataCellStyle="Comma"/>
    <tableColumn id="6" xr3:uid="{175032A6-E445-48CE-BE86-2E94BDCEBFF9}" name="تعداد نیرو" dataDxfId="158" totalsRowDxfId="157" dataCellStyle="Comma">
      <calculatedColumnFormula>reportTbl[[#This Row],[personels]]-reportTbl[[#This Row],[personels]]*2.5/22-0.5</calculatedColumnFormula>
    </tableColumn>
    <tableColumn id="19" xr3:uid="{02471810-A65F-403F-88C8-B3DE1A7FBFAC}" name="بهره وری" dataDxfId="156" totalsRowDxfId="155" dataCellStyle="Comma">
      <calculatedColumnFormula>(reportTbl[[#This Row],[وزن تولید]]*unityCycleTime-reportTbl[[#This Row],[received TimeOut]])/(reportTbl[[#This Row],[available time]]*reportTbl[[#This Row],[تعداد نیرو]])</calculatedColumnFormula>
    </tableColumn>
    <tableColumn id="2" xr3:uid="{763F3705-A0D5-41DE-BA3F-0728E0AA407B}" name="توضیحات" dataDxfId="154" totalsRowDxfId="153"/>
    <tableColumn id="10" xr3:uid="{54AD36AC-434E-4D87-80A8-DF2C9D1245E2}" name="T01" dataDxfId="152" totalsRowDxfId="151" dataCellStyle="Comma"/>
    <tableColumn id="11" xr3:uid="{DC15E9D0-80DE-4FB0-BA74-B7C85A03AFA0}" name="T02" dataDxfId="150" totalsRowDxfId="149" dataCellStyle="Comma"/>
    <tableColumn id="12" xr3:uid="{6CC3AAFE-BB8A-4B00-837C-AE47765CA15A}" name="T03" dataDxfId="148" totalsRowDxfId="147" dataCellStyle="Comma"/>
    <tableColumn id="14" xr3:uid="{2CAB41E2-5D46-49C1-B79C-1C6DC8BEF8D3}" name="TV" dataDxfId="146" totalsRowDxfId="145" dataCellStyle="Comma"/>
    <tableColumn id="9" xr3:uid="{85009C46-7D85-49CC-8890-E4E6833C7984}" name="onWork" dataDxfId="144" totalsRowDxfId="143" dataCellStyle="Comma"/>
    <tableColumn id="7" xr3:uid="{5272290E-28D7-4A8E-8FD6-18C0837BEFD5}" name="mounth" totalsRowFunction="sum" dataDxfId="142" totalsRowDxfId="141" dataCellStyle="Comma"/>
    <tableColumn id="16" xr3:uid="{40B83583-8011-4A38-85E2-872AFEF2B710}" name="received TimeOut" dataDxfId="140" totalsRowDxfId="139" dataCellStyle="Comma">
      <calculatedColumnFormula>_xlfn.XLOOKUP(reportTbl[[#This Row],[date]],IIITbl[date],IIITbl[totalCT],0)</calculatedColumnFormula>
    </tableColumn>
    <tableColumn id="8" xr3:uid="{765D4614-E45F-4504-8B2B-14135D433EA5}" name="available time" dataDxfId="138" totalsRowDxfId="137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3DAAD9E-6F4E-4B88-B509-036A7113FC6D}" name="IIITbl" displayName="IIITbl" ref="A1:H30" totalsRowShown="0" headerRowDxfId="136" dataDxfId="135">
  <autoFilter ref="A1:H30" xr:uid="{07E8C5FB-EE48-4BDE-B19D-12B848553A8A}"/>
  <sortState xmlns:xlrd2="http://schemas.microsoft.com/office/spreadsheetml/2017/richdata2" ref="A2:E12">
    <sortCondition ref="A1:A12"/>
  </sortState>
  <tableColumns count="8">
    <tableColumn id="16" xr3:uid="{F6FE0C83-3F74-402D-A746-5F9BE56EC519}" name="date" dataDxfId="134"/>
    <tableColumn id="1" xr3:uid="{2E5A499E-C543-48E0-A2D5-21BE69841CE8}" name="product" dataDxfId="133"/>
    <tableColumn id="5" xr3:uid="{DC32B105-F5C5-4A2A-B71E-89B5689729B0}" name="send" dataDxfId="132"/>
    <tableColumn id="6" xr3:uid="{6772B633-94B8-4FCB-9A04-80F059539CA7}" name="receive" dataDxfId="131"/>
    <tableColumn id="4" xr3:uid="{FE90CF5B-1E99-4079-BA11-E86B1BEAE359}" name="comment" dataDxfId="130"/>
    <tableColumn id="2" xr3:uid="{7F097E8E-B5A4-4185-BA05-270D6A24E458}" name="mojoodi_III" dataDxfId="129">
      <calculatedColumnFormula>IIITbl[[#This Row],[send]]-IIITbl[[#This Row],[receive]]</calculatedColumnFormula>
    </tableColumn>
    <tableColumn id="3" xr3:uid="{1838BF13-B7BD-4364-820B-D1329A6D7533}" name="CT" dataDxfId="128">
      <calculatedColumnFormula>_xlfn.XLOOKUP(IIITbl[[#This Row],[product]],press_montage_tbl[product],press_montage_tbl[CT],"NA")</calculatedColumnFormula>
    </tableColumn>
    <tableColumn id="7" xr3:uid="{C138B0F6-08C7-4F35-883D-BDFBA6589340}" name="totalCT" dataDxfId="127">
      <calculatedColumnFormula>IIITbl[[#This Row],[receive]]*IIITbl[[#This Row],[CT]]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AA6574-B9EC-4641-8C2D-49818B006D3C}" name="press_montage_tbl" displayName="press_montage_tbl" ref="M1:P7" totalsRowShown="0" dataDxfId="126">
  <autoFilter ref="M1:P7" xr:uid="{D2AA6574-B9EC-4641-8C2D-49818B006D3C}"/>
  <tableColumns count="4">
    <tableColumn id="1" xr3:uid="{525A7B16-52FA-4EA5-AAA5-774EF46C7970}" name="product" dataDxfId="125"/>
    <tableColumn id="2" xr3:uid="{B2A2E21A-4096-402F-AE55-E9ADF2BF5E6B}" name="CT" dataDxfId="124"/>
    <tableColumn id="3" xr3:uid="{A30FA1A4-AA6A-4575-9CC0-FC7FA116D3AB}" name="پرس" dataDxfId="123"/>
    <tableColumn id="4" xr3:uid="{E08749BE-3FC4-4781-BD08-9EB778671B8D}" name="مونتاژ" dataDxfId="1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0C8E916-8643-4AEA-AE15-7770A2C3EF18}" name="CT" displayName="CT" ref="A1:AQ36" totalsRowShown="0" headerRowDxfId="121" dataDxfId="120" tableBorderDxfId="119">
  <tableColumns count="43">
    <tableColumn id="1" xr3:uid="{8D1247E2-13B4-4908-BA51-C517A143CE23}" name="productId" dataDxfId="118"/>
    <tableColumn id="2" xr3:uid="{212BC8CC-C53C-4E2C-956F-06864DBCE772}" name="type" dataDxfId="117"/>
    <tableColumn id="3" xr3:uid="{99D3AA03-F871-4C9F-A0DF-C442D56B2C87}" name="cut" dataDxfId="116"/>
    <tableColumn id="4" xr3:uid="{4E017CF8-AC8B-4467-9063-25D31601AC75}" name="glf" dataDxfId="115"/>
    <tableColumn id="5" xr3:uid="{0ED677AA-B7F5-4B92-BBC0-8708E4DAA217}" name="glf!" dataDxfId="114"/>
    <tableColumn id="6" xr3:uid="{60ED3BF2-5106-4710-9E94-2BDAA599095F}" name="w" dataDxfId="113"/>
    <tableColumn id="7" xr3:uid="{5D1848B7-E47E-4FD7-8D52-97826C09FF6A}" name="g-w" dataDxfId="112"/>
    <tableColumn id="8" xr3:uid="{F7E793BB-5AC9-48C6-955A-F9D5E58A090F}" name="y" dataDxfId="111"/>
    <tableColumn id="9" xr3:uid="{76DED318-4469-4A44-AB4C-F0FB2DDFD25F}" name="re" dataDxfId="110"/>
    <tableColumn id="10" xr3:uid="{4E3CA693-966B-49F4-BB33-591AFF2A1280}" name="rfn" dataDxfId="109"/>
    <tableColumn id="11" xr3:uid="{6D6D5325-3005-46B2-81D4-55516C0BA9F0}" name="rfne" dataDxfId="108"/>
    <tableColumn id="12" xr3:uid="{075E0277-B92A-423E-979E-3DDAA948DAA2}" name="rm" dataDxfId="107"/>
    <tableColumn id="13" xr3:uid="{1FF3CCD6-34A7-45BC-9975-4146288EDA65}" name="pe" dataDxfId="106"/>
    <tableColumn id="14" xr3:uid="{695FF540-1507-40E9-B2F1-3A8BAE69DC88}" name="pfn" dataDxfId="105"/>
    <tableColumn id="15" xr3:uid="{781E6B8F-E01A-46A7-870B-32B12E2EFF5D}" name="pfne" dataDxfId="104"/>
    <tableColumn id="16" xr3:uid="{B5A87698-EA6B-4362-98A5-C763C6A80767}" name="pd" dataDxfId="103"/>
    <tableColumn id="17" xr3:uid="{7C26C9A2-DB37-49FF-8A5B-3847E3FF6DF7}" name="ps" dataDxfId="102"/>
    <tableColumn id="18" xr3:uid="{8592DB77-80B2-4BBC-A834-5B09D5606071}" name="pm" dataDxfId="101"/>
    <tableColumn id="19" xr3:uid="{B1B42EFC-F4AD-49C1-9117-A2BB58C97C66}" name="pm!" dataDxfId="100"/>
    <tableColumn id="43" xr3:uid="{569E30C7-1D76-4C61-A2BB-0C7545FE8170}" name="Column1" dataDxfId="99"/>
    <tableColumn id="42" xr3:uid="{2AB2194D-20A1-4136-BE2E-C00B2324DED6}" name="Column2" dataDxfId="98"/>
    <tableColumn id="20" xr3:uid="{30E61886-F0D7-457F-AB71-5AF414EC42D5}" name="se" dataDxfId="97"/>
    <tableColumn id="21" xr3:uid="{3E611C2A-5412-4871-98DB-4AAE4505E130}" name="sfn" dataDxfId="96"/>
    <tableColumn id="22" xr3:uid="{4B7672EC-7F21-466F-AE01-5CC660F60451}" name="sfne" dataDxfId="95"/>
    <tableColumn id="23" xr3:uid="{49FBF9D3-260E-4920-8889-88D55A2CB80E}" name="ch" dataDxfId="94"/>
    <tableColumn id="24" xr3:uid="{35A634B5-B5A5-4965-AE75-68B1B309001E}" name="j" dataDxfId="93"/>
    <tableColumn id="25" xr3:uid="{5D451DEC-64AD-4401-9F97-CEF1820D5B76}" name="f" dataDxfId="92"/>
    <tableColumn id="26" xr3:uid="{EE495158-592B-4BE7-B3E3-9C9FFB41BAFF}" name="f-s" dataDxfId="91"/>
    <tableColumn id="27" xr3:uid="{38422010-855A-43C7-94B0-162C44586605}" name="v-m" dataDxfId="90"/>
    <tableColumn id="28" xr3:uid="{033DCFAE-7538-4BA1-9241-10A7183D1FB8}" name="v-s" dataDxfId="89"/>
    <tableColumn id="29" xr3:uid="{375029DD-5B22-475D-B056-E55D0ED7BF1F}" name="bst" dataDxfId="88"/>
    <tableColumn id="30" xr3:uid="{F045E4CB-DDE8-4389-98C7-DF6B30319647}" name="t1" dataDxfId="87"/>
    <tableColumn id="31" xr3:uid="{3E8AAC30-C305-4C56-855E-B82D64DDDD16}" name="t2" dataDxfId="86"/>
    <tableColumn id="32" xr3:uid="{73393F26-2EBE-41CD-9BE7-235716C13079}" name="t3" dataDxfId="85"/>
    <tableColumn id="41" xr3:uid="{E192FA1B-B3A9-4337-8F90-C7A56C676A45}" name="hv1" dataDxfId="84"/>
    <tableColumn id="33" xr3:uid="{AE36F878-2950-4CDC-B8ED-917AED39B589}" name="hv2" dataDxfId="83"/>
    <tableColumn id="34" xr3:uid="{BD3D6924-C09F-4BBA-95BC-99ECB8313C1D}" name="lbl" dataDxfId="82"/>
    <tableColumn id="35" xr3:uid="{83A11E5B-8101-40CA-8A7D-6B8332891FA7}" name="tbn" dataDxfId="81"/>
    <tableColumn id="36" xr3:uid="{A70B23E8-FC81-4BAA-8A93-21046233C025}" name="ksh" dataDxfId="80"/>
    <tableColumn id="37" xr3:uid="{841ACE64-B40C-49E6-9C4D-7ACACD055D4E}" name="dst" dataDxfId="79"/>
    <tableColumn id="38" xr3:uid="{15667230-84A1-4BA4-8303-678C6890B750}" name="pck" dataDxfId="78"/>
    <tableColumn id="39" xr3:uid="{592D18C8-F2F1-42FC-A9E6-BD5D89076C4D}" name="total" dataDxfId="77">
      <calculatedColumnFormula>SUM(CT[[#This Row],[cut]:[ps]])+AVERAGE(CT[[#This Row],[pm]:[pm!]])+IF(CT[[#This Row],[sfne]],CT[[#This Row],[sfne]],SUM(CT[[#This Row],[se]:[sfn]]))+SUM(CT[[#This Row],[ch]:[bst]])+CT[[#This Row],[t2]]+SUM(CT[[#This Row],[lbl]:[pck]])</calculatedColumnFormula>
    </tableColumn>
    <tableColumn id="40" xr3:uid="{73D1D2BA-7D29-4928-999E-CC25B7258573}" name="filter" dataDxfId="76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640200-FAC3-45A6-A8F2-34F6BEE8A3EA}" name="Table6" displayName="Table6" ref="A13:R226" totalsRowShown="0" headerRowDxfId="75" dataDxfId="73" headerRowBorderDxfId="74" tableBorderDxfId="72" totalsRowBorderDxfId="71">
  <autoFilter ref="A13:R226" xr:uid="{E0640200-FAC3-45A6-A8F2-34F6BEE8A3EA}"/>
  <tableColumns count="18">
    <tableColumn id="1" xr3:uid="{63AF1141-59D1-4E44-96C3-BD2AB58DCF4D}" name="DATE" dataDxfId="70"/>
    <tableColumn id="17" xr3:uid="{7F4B7D37-24B0-4634-B82A-7D2960C5F24B}" name="YY" dataDxfId="69">
      <calculatedColumnFormula>LEFT(Table6[[#This Row],[DATE]],4)</calculatedColumnFormula>
    </tableColumn>
    <tableColumn id="18" xr3:uid="{B2891100-74A5-4D0E-9C3E-940505EA1DD1}" name="mm" dataDxfId="68">
      <calculatedColumnFormula>MID(Table6[[#This Row],[DATE]],6,2)</calculatedColumnFormula>
    </tableColumn>
    <tableColumn id="2" xr3:uid="{89A1B8A7-B14C-4E22-B03A-D231A94EF7B8}" name="YH" dataDxfId="67"/>
    <tableColumn id="3" xr3:uid="{0181801F-1EE5-4EA1-B24A-83D0A6DAC985}" name="sun" dataDxfId="66"/>
    <tableColumn id="4" xr3:uid="{E21E6A08-58F0-46B9-B5A4-D8971DA73F4C}" name="nar.p" dataDxfId="65"/>
    <tableColumn id="5" xr3:uid="{620F96EA-9823-4262-A0BE-E637157E422E}" name="radio" dataDxfId="64"/>
    <tableColumn id="6" xr3:uid="{8CCCEA79-8CF6-4A3B-A4AE-D98336FED6A6}" name="nut4" dataDxfId="63"/>
    <tableColumn id="7" xr3:uid="{40E9E0AA-E2FE-4998-8CE5-D60E10230B5A}" name="6.3ch" dataDxfId="62"/>
    <tableColumn id="8" xr3:uid="{07B2DB7E-3E12-418B-85CB-6362627F39AE}" name="6.3k" dataDxfId="61"/>
    <tableColumn id="9" xr3:uid="{F96A0850-C026-4F43-87F9-512032F426FC}" name="6.3flat" dataDxfId="60"/>
    <tableColumn id="10" xr3:uid="{1295E592-97E7-419E-A3FD-E04958114321}" name="molex" dataDxfId="59"/>
    <tableColumn id="11" xr3:uid="{558278A9-68ED-49B7-83EC-F38BAEC662AC}" name="splice" dataDxfId="58"/>
    <tableColumn id="12" xr3:uid="{364B1146-C333-43E4-B2F7-F6C297282BF4}" name="4.8ch" dataDxfId="57"/>
    <tableColumn id="13" xr3:uid="{C2261EFD-B36E-44B1-B9E2-B390B8616F99}" name="flag" dataDxfId="56"/>
    <tableColumn id="14" xr3:uid="{5A35A9F4-F6B2-45D0-B21D-F1AC653BCBD6}" name="C60001-03PT" dataDxfId="55"/>
    <tableColumn id="15" xr3:uid="{4D921F1C-EFAD-4C20-961E-E8AAB9B978AC}" name="VH" dataDxfId="54"/>
    <tableColumn id="16" xr3:uid="{1D88962E-52FE-4777-AED6-3E818726487F}" name="hcb" dataDxfId="5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DD0270-0454-466F-9CB2-49B25A455286}" name="inputPlanTbl" displayName="inputPlanTbl" ref="A10:G45" totalsRowShown="0" headerRowDxfId="52" dataDxfId="51">
  <autoFilter ref="A10:G45" xr:uid="{75DD0270-0454-466F-9CB2-49B25A455286}"/>
  <tableColumns count="7">
    <tableColumn id="6" xr3:uid="{E2785E21-A46C-4468-AF4A-442E84F265B6}" name="rr" dataDxfId="50"/>
    <tableColumn id="1" xr3:uid="{FA72C5DF-030A-4E6D-AFDF-5DCC4CA752EC}" name="emailDate" dataDxfId="49">
      <calculatedColumnFormula array="1">J_TODAY(1)</calculatedColumnFormula>
    </tableColumn>
    <tableColumn id="2" xr3:uid="{A5DD8D31-5BE5-43E8-A64E-97C61B46A226}" name="productId" dataDxfId="48">
      <calculatedColumnFormula>$A$3</calculatedColumnFormula>
    </tableColumn>
    <tableColumn id="3" xr3:uid="{F5B4DF9E-129F-404C-8FC8-7F8F6723C397}" name="planId" dataDxfId="47">
      <calculatedColumnFormula>VALUE(MID(inputPlanTbl[[#This Row],[toDate]],6,2))</calculatedColumnFormula>
    </tableColumn>
    <tableColumn id="4" xr3:uid="{D1879B8A-A3D4-42F6-AD7C-9A6D3FFEFA23}" name="num" dataDxfId="46"/>
    <tableColumn id="5" xr3:uid="{184A4BB5-30F1-4C77-B8A0-623C58D5E165}" name="toDate" dataDxfId="45">
      <calculatedColumnFormula>$B$2</calculatedColumnFormula>
    </tableColumn>
    <tableColumn id="7" xr3:uid="{60A48486-0D45-43A5-A80E-80991653398B}" name="suffix" dataDxfId="4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EDDD3F-2941-488E-8F72-6F6510BF67C4}" name="cuttsPivot" displayName="cuttsPivot" ref="A1:B33" totalsRowShown="0" headerRowDxfId="43" dataDxfId="42">
  <autoFilter ref="A1:B33" xr:uid="{3214AB6E-4A7E-4745-A832-2E0A617693E8}"/>
  <tableColumns count="2">
    <tableColumn id="1" xr3:uid="{E208AC2B-4EC6-4D48-A094-C5CC25DD80E6}" name="productId" dataDxfId="41"/>
    <tableColumn id="2" xr3:uid="{E5277277-70A0-4AD3-8E78-91997AF23ABB}" name="description" dataDxfId="4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214AB6E-4A7E-4745-A832-2E0A617693E8}" name="packesPivot" displayName="packesPivot" ref="A1:B38" totalsRowShown="0" headerRowDxfId="39" dataDxfId="38">
  <autoFilter ref="A1:B38" xr:uid="{3214AB6E-4A7E-4745-A832-2E0A617693E8}"/>
  <tableColumns count="2">
    <tableColumn id="1" xr3:uid="{0846CC97-0AE1-462A-A84D-C04F87BFB4F2}" name="productId" dataDxfId="37"/>
    <tableColumn id="2" xr3:uid="{0C986023-4459-47EA-BEC1-88EEA5D594FD}" name="description" dataDxfId="3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27FA82-1DB4-4FAA-B43C-0E01FC868050}" name="state" displayName="state" ref="A6:A8" totalsRowShown="0" headerRowDxfId="35" dataDxfId="34">
  <autoFilter ref="A6:A8" xr:uid="{E327FA82-1DB4-4FAA-B43C-0E01FC868050}"/>
  <tableColumns count="1">
    <tableColumn id="1" xr3:uid="{3F5D3EF2-898A-4189-BE5A-F74B071FF036}" name="state" dataDxfId="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4.xml"/><Relationship Id="rId6" Type="http://schemas.openxmlformats.org/officeDocument/2006/relationships/table" Target="../tables/table1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C821C-6715-48D9-8656-1BF2377616CF}">
  <sheetPr codeName="Sheet15"/>
  <dimension ref="A1:AJ145"/>
  <sheetViews>
    <sheetView zoomScale="120" zoomScaleNormal="120" workbookViewId="0">
      <pane xSplit="1" ySplit="1" topLeftCell="D128" activePane="bottomRight" state="frozen"/>
      <selection pane="topRight" activeCell="B1" sqref="B1"/>
      <selection pane="bottomLeft" activeCell="A2" sqref="A2"/>
      <selection pane="bottomRight" activeCell="M142" sqref="M142"/>
    </sheetView>
  </sheetViews>
  <sheetFormatPr defaultRowHeight="15.95" customHeight="1" x14ac:dyDescent="0.25"/>
  <cols>
    <col min="1" max="2" width="10.7109375" style="23" customWidth="1"/>
    <col min="3" max="3" width="35.7109375" style="23" customWidth="1"/>
    <col min="4" max="4" width="12.7109375" style="23" customWidth="1"/>
    <col min="5" max="5" width="6.7109375" style="23" customWidth="1"/>
    <col min="6" max="10" width="4.7109375" style="23" customWidth="1"/>
    <col min="11" max="11" width="12.7109375" style="23" customWidth="1"/>
    <col min="12" max="15" width="4.7109375" style="23" customWidth="1"/>
    <col min="16" max="16" width="6.7109375" style="23" customWidth="1"/>
    <col min="17" max="17" width="10.5703125" style="23" customWidth="1"/>
    <col min="18" max="18" width="10.7109375" style="23" customWidth="1"/>
    <col min="19" max="21" width="15.7109375" style="65" customWidth="1"/>
    <col min="22" max="25" width="9.140625" style="23" customWidth="1"/>
    <col min="26" max="28" width="9.140625" style="23"/>
    <col min="29" max="36" width="9.140625" style="23" customWidth="1"/>
    <col min="37" max="16384" width="9.140625" style="23"/>
  </cols>
  <sheetData>
    <row r="1" spans="1:36" s="71" customFormat="1" ht="90.75" customHeight="1" x14ac:dyDescent="0.25">
      <c r="A1" s="79" t="s">
        <v>149</v>
      </c>
      <c r="B1" s="79" t="s">
        <v>286</v>
      </c>
      <c r="C1" s="79" t="s">
        <v>287</v>
      </c>
      <c r="D1" s="79" t="s">
        <v>288</v>
      </c>
      <c r="E1" s="79" t="s">
        <v>289</v>
      </c>
      <c r="F1" s="98" t="s">
        <v>290</v>
      </c>
      <c r="G1" s="98" t="s">
        <v>291</v>
      </c>
      <c r="H1" s="98" t="s">
        <v>292</v>
      </c>
      <c r="I1" s="98" t="s">
        <v>293</v>
      </c>
      <c r="J1" s="98" t="s">
        <v>294</v>
      </c>
      <c r="K1" s="79" t="s">
        <v>108</v>
      </c>
      <c r="L1" s="98" t="s">
        <v>295</v>
      </c>
      <c r="M1" s="98" t="s">
        <v>296</v>
      </c>
      <c r="N1" s="98" t="s">
        <v>297</v>
      </c>
      <c r="O1" s="98" t="s">
        <v>298</v>
      </c>
      <c r="P1" s="79" t="s">
        <v>284</v>
      </c>
      <c r="Q1" s="79" t="s">
        <v>285</v>
      </c>
      <c r="R1" s="79" t="s">
        <v>299</v>
      </c>
      <c r="S1" s="80" t="s">
        <v>300</v>
      </c>
      <c r="T1" s="80" t="s">
        <v>301</v>
      </c>
      <c r="U1" s="80" t="s">
        <v>302</v>
      </c>
      <c r="V1" s="81" t="s">
        <v>161</v>
      </c>
      <c r="W1" s="81" t="s">
        <v>173</v>
      </c>
      <c r="X1" s="81" t="s">
        <v>176</v>
      </c>
      <c r="Y1" s="81" t="s">
        <v>181</v>
      </c>
      <c r="Z1" s="81" t="s">
        <v>150</v>
      </c>
      <c r="AA1" s="81" t="s">
        <v>151</v>
      </c>
      <c r="AB1" s="81" t="s">
        <v>152</v>
      </c>
      <c r="AC1" s="81" t="s">
        <v>171</v>
      </c>
      <c r="AD1" s="81" t="s">
        <v>153</v>
      </c>
      <c r="AE1" s="81" t="s">
        <v>154</v>
      </c>
      <c r="AF1" s="81" t="s">
        <v>155</v>
      </c>
      <c r="AG1" s="81" t="s">
        <v>172</v>
      </c>
      <c r="AH1" s="81" t="s">
        <v>156</v>
      </c>
      <c r="AI1" s="81" t="s">
        <v>157</v>
      </c>
      <c r="AJ1" s="81" t="s">
        <v>158</v>
      </c>
    </row>
    <row r="2" spans="1:36" ht="15.95" customHeight="1" x14ac:dyDescent="0.25">
      <c r="A2" s="82">
        <v>140000006</v>
      </c>
      <c r="B2" s="82" t="s">
        <v>303</v>
      </c>
      <c r="C2" s="83" t="s">
        <v>304</v>
      </c>
      <c r="D2" s="83" t="s">
        <v>305</v>
      </c>
      <c r="E2" s="84">
        <v>200</v>
      </c>
      <c r="F2" s="84" t="s">
        <v>306</v>
      </c>
      <c r="G2" s="84" t="s">
        <v>306</v>
      </c>
      <c r="H2" s="84" t="s">
        <v>306</v>
      </c>
      <c r="I2" s="84" t="s">
        <v>307</v>
      </c>
      <c r="J2" s="84" t="s">
        <v>306</v>
      </c>
      <c r="K2" s="83" t="s">
        <v>92</v>
      </c>
      <c r="L2" s="84" t="s">
        <v>308</v>
      </c>
      <c r="M2" s="84" t="s">
        <v>308</v>
      </c>
      <c r="N2" s="84" t="s">
        <v>309</v>
      </c>
      <c r="O2" s="84" t="s">
        <v>310</v>
      </c>
      <c r="P2" s="82" t="s">
        <v>311</v>
      </c>
      <c r="Q2" s="84" t="s">
        <v>95</v>
      </c>
      <c r="R2" s="83" t="s">
        <v>28</v>
      </c>
      <c r="S2" s="83" t="s">
        <v>114</v>
      </c>
      <c r="T2" s="83" t="s">
        <v>114</v>
      </c>
      <c r="U2" s="83" t="s">
        <v>312</v>
      </c>
      <c r="V2" s="85" t="s">
        <v>182</v>
      </c>
      <c r="W2" s="85" t="s">
        <v>182</v>
      </c>
      <c r="X2" s="85" t="s">
        <v>182</v>
      </c>
      <c r="Y2" s="254" t="s">
        <v>182</v>
      </c>
      <c r="Z2" s="85" t="s">
        <v>182</v>
      </c>
      <c r="AA2" s="85" t="s">
        <v>182</v>
      </c>
      <c r="AB2" s="85" t="s">
        <v>182</v>
      </c>
      <c r="AC2" s="85" t="s">
        <v>182</v>
      </c>
      <c r="AD2" s="85" t="s">
        <v>182</v>
      </c>
      <c r="AE2" s="85" t="s">
        <v>182</v>
      </c>
      <c r="AF2" s="85" t="s">
        <v>182</v>
      </c>
      <c r="AG2" s="85" t="s">
        <v>182</v>
      </c>
      <c r="AH2" s="85" t="s">
        <v>182</v>
      </c>
      <c r="AI2" s="85" t="s">
        <v>182</v>
      </c>
      <c r="AJ2" s="85" t="s">
        <v>182</v>
      </c>
    </row>
    <row r="3" spans="1:36" ht="15.95" customHeight="1" x14ac:dyDescent="0.25">
      <c r="A3" s="82">
        <v>140010092</v>
      </c>
      <c r="B3" s="82" t="s">
        <v>313</v>
      </c>
      <c r="C3" s="83" t="s">
        <v>1</v>
      </c>
      <c r="D3" s="83" t="s">
        <v>314</v>
      </c>
      <c r="E3" s="84">
        <v>220</v>
      </c>
      <c r="F3" s="84" t="s">
        <v>224</v>
      </c>
      <c r="G3" s="84" t="s">
        <v>224</v>
      </c>
      <c r="H3" s="84" t="s">
        <v>224</v>
      </c>
      <c r="I3" s="84" t="s">
        <v>307</v>
      </c>
      <c r="J3" s="84" t="s">
        <v>306</v>
      </c>
      <c r="K3" s="83" t="s">
        <v>3</v>
      </c>
      <c r="L3" s="84" t="s">
        <v>309</v>
      </c>
      <c r="M3" s="84" t="s">
        <v>309</v>
      </c>
      <c r="N3" s="84" t="s">
        <v>309</v>
      </c>
      <c r="O3" s="84" t="s">
        <v>309</v>
      </c>
      <c r="P3" s="82" t="s">
        <v>315</v>
      </c>
      <c r="Q3" s="84" t="s">
        <v>0</v>
      </c>
      <c r="R3" s="83" t="s">
        <v>2</v>
      </c>
      <c r="S3" s="83" t="s">
        <v>316</v>
      </c>
      <c r="T3" s="83" t="s">
        <v>316</v>
      </c>
      <c r="U3" s="83" t="s">
        <v>316</v>
      </c>
      <c r="V3" s="85" t="s">
        <v>106</v>
      </c>
      <c r="W3" s="85" t="s">
        <v>124</v>
      </c>
      <c r="X3" s="85">
        <v>0</v>
      </c>
      <c r="Y3" s="254">
        <v>1.0004988526389305</v>
      </c>
      <c r="Z3" s="85">
        <v>0</v>
      </c>
      <c r="AA3" s="85">
        <v>0</v>
      </c>
      <c r="AB3" s="85">
        <v>0</v>
      </c>
      <c r="AC3" s="85">
        <v>0</v>
      </c>
      <c r="AD3" s="85">
        <v>0</v>
      </c>
      <c r="AE3" s="85">
        <v>0</v>
      </c>
      <c r="AF3" s="85">
        <v>0</v>
      </c>
      <c r="AG3" s="85">
        <v>0</v>
      </c>
      <c r="AH3" s="85">
        <v>0</v>
      </c>
      <c r="AI3" s="85">
        <v>0</v>
      </c>
      <c r="AJ3" s="85">
        <v>0</v>
      </c>
    </row>
    <row r="4" spans="1:36" ht="15.95" customHeight="1" x14ac:dyDescent="0.25">
      <c r="A4" s="82">
        <v>140010117</v>
      </c>
      <c r="B4" s="82" t="s">
        <v>317</v>
      </c>
      <c r="C4" s="83" t="s">
        <v>1</v>
      </c>
      <c r="D4" s="83" t="s">
        <v>318</v>
      </c>
      <c r="E4" s="84">
        <v>220</v>
      </c>
      <c r="F4" s="84" t="s">
        <v>224</v>
      </c>
      <c r="G4" s="84" t="s">
        <v>224</v>
      </c>
      <c r="H4" s="84" t="s">
        <v>224</v>
      </c>
      <c r="I4" s="84" t="s">
        <v>307</v>
      </c>
      <c r="J4" s="84" t="s">
        <v>306</v>
      </c>
      <c r="K4" s="83" t="s">
        <v>3</v>
      </c>
      <c r="L4" s="84" t="s">
        <v>309</v>
      </c>
      <c r="M4" s="84" t="s">
        <v>309</v>
      </c>
      <c r="N4" s="84" t="s">
        <v>309</v>
      </c>
      <c r="O4" s="84" t="s">
        <v>309</v>
      </c>
      <c r="P4" s="82" t="s">
        <v>311</v>
      </c>
      <c r="Q4" s="84" t="s">
        <v>0</v>
      </c>
      <c r="R4" s="83" t="s">
        <v>2</v>
      </c>
      <c r="S4" s="83" t="s">
        <v>316</v>
      </c>
      <c r="T4" s="83" t="s">
        <v>316</v>
      </c>
      <c r="U4" s="83" t="s">
        <v>316</v>
      </c>
      <c r="V4" s="85" t="s">
        <v>106</v>
      </c>
      <c r="W4" s="85" t="s">
        <v>124</v>
      </c>
      <c r="X4" s="85">
        <v>0</v>
      </c>
      <c r="Y4" s="254">
        <v>1</v>
      </c>
      <c r="Z4" s="85" t="s">
        <v>167</v>
      </c>
      <c r="AA4" s="85" t="s">
        <v>123</v>
      </c>
      <c r="AB4" s="85" t="s">
        <v>167</v>
      </c>
      <c r="AC4" s="85">
        <v>6.9</v>
      </c>
      <c r="AD4" s="85" t="s">
        <v>126</v>
      </c>
      <c r="AE4" s="85" t="s">
        <v>127</v>
      </c>
      <c r="AF4" s="85">
        <v>0</v>
      </c>
      <c r="AG4" s="85">
        <v>12.96</v>
      </c>
      <c r="AH4" s="85" t="s">
        <v>128</v>
      </c>
      <c r="AI4" s="85" t="s">
        <v>129</v>
      </c>
      <c r="AJ4" s="85" t="s">
        <v>130</v>
      </c>
    </row>
    <row r="5" spans="1:36" ht="15.95" customHeight="1" x14ac:dyDescent="0.25">
      <c r="A5" s="82">
        <v>140010230</v>
      </c>
      <c r="B5" s="82" t="s">
        <v>317</v>
      </c>
      <c r="C5" s="83" t="s">
        <v>4</v>
      </c>
      <c r="D5" s="83" t="s">
        <v>318</v>
      </c>
      <c r="E5" s="84">
        <v>215</v>
      </c>
      <c r="F5" s="84" t="s">
        <v>319</v>
      </c>
      <c r="G5" s="84" t="s">
        <v>319</v>
      </c>
      <c r="H5" s="84" t="s">
        <v>320</v>
      </c>
      <c r="I5" s="84" t="s">
        <v>307</v>
      </c>
      <c r="J5" s="84" t="s">
        <v>319</v>
      </c>
      <c r="K5" s="83" t="s">
        <v>3</v>
      </c>
      <c r="L5" s="84" t="s">
        <v>309</v>
      </c>
      <c r="M5" s="84" t="s">
        <v>309</v>
      </c>
      <c r="N5" s="84" t="s">
        <v>309</v>
      </c>
      <c r="O5" s="84" t="s">
        <v>307</v>
      </c>
      <c r="P5" s="82" t="s">
        <v>311</v>
      </c>
      <c r="Q5" s="84" t="s">
        <v>0</v>
      </c>
      <c r="R5" s="83" t="s">
        <v>5</v>
      </c>
      <c r="S5" s="83" t="s">
        <v>316</v>
      </c>
      <c r="T5" s="83" t="s">
        <v>316</v>
      </c>
      <c r="U5" s="83" t="s">
        <v>316</v>
      </c>
      <c r="V5" s="85" t="s">
        <v>106</v>
      </c>
      <c r="W5" s="85" t="s">
        <v>124</v>
      </c>
      <c r="X5" s="85">
        <v>0</v>
      </c>
      <c r="Y5" s="254">
        <v>1.4486680634540554</v>
      </c>
      <c r="Z5" s="85" t="s">
        <v>167</v>
      </c>
      <c r="AA5" s="85" t="s">
        <v>123</v>
      </c>
      <c r="AB5" s="85" t="s">
        <v>167</v>
      </c>
      <c r="AC5" s="85">
        <v>6.9</v>
      </c>
      <c r="AD5" s="85" t="s">
        <v>126</v>
      </c>
      <c r="AE5" s="85" t="s">
        <v>127</v>
      </c>
      <c r="AF5" s="85">
        <v>0</v>
      </c>
      <c r="AG5" s="85">
        <v>12.96</v>
      </c>
      <c r="AH5" s="85" t="s">
        <v>128</v>
      </c>
      <c r="AI5" s="85" t="s">
        <v>130</v>
      </c>
      <c r="AJ5" s="85">
        <v>0</v>
      </c>
    </row>
    <row r="6" spans="1:36" ht="15.95" customHeight="1" x14ac:dyDescent="0.25">
      <c r="A6" s="82">
        <v>140010235</v>
      </c>
      <c r="B6" s="82" t="s">
        <v>321</v>
      </c>
      <c r="C6" s="83" t="s">
        <v>6</v>
      </c>
      <c r="D6" s="83" t="s">
        <v>322</v>
      </c>
      <c r="E6" s="84">
        <v>160</v>
      </c>
      <c r="F6" s="84" t="s">
        <v>224</v>
      </c>
      <c r="G6" s="84" t="s">
        <v>224</v>
      </c>
      <c r="H6" s="84" t="s">
        <v>224</v>
      </c>
      <c r="I6" s="84" t="s">
        <v>323</v>
      </c>
      <c r="J6" s="84" t="s">
        <v>323</v>
      </c>
      <c r="K6" s="83" t="s">
        <v>324</v>
      </c>
      <c r="L6" s="84" t="s">
        <v>308</v>
      </c>
      <c r="M6" s="84" t="s">
        <v>308</v>
      </c>
      <c r="N6" s="84" t="s">
        <v>325</v>
      </c>
      <c r="O6" s="84" t="s">
        <v>326</v>
      </c>
      <c r="P6" s="82" t="s">
        <v>327</v>
      </c>
      <c r="Q6" s="84" t="s">
        <v>0</v>
      </c>
      <c r="R6" s="83" t="s">
        <v>7</v>
      </c>
      <c r="S6" s="83" t="s">
        <v>328</v>
      </c>
      <c r="T6" s="83" t="s">
        <v>328</v>
      </c>
      <c r="U6" s="83" t="s">
        <v>325</v>
      </c>
      <c r="V6" s="85" t="s">
        <v>107</v>
      </c>
      <c r="W6" s="85" t="s">
        <v>124</v>
      </c>
      <c r="X6" s="85">
        <v>0</v>
      </c>
      <c r="Y6" s="254">
        <v>0.93784296118926469</v>
      </c>
      <c r="Z6" s="85" t="s">
        <v>114</v>
      </c>
      <c r="AA6" s="85" t="s">
        <v>123</v>
      </c>
      <c r="AB6" s="85" t="s">
        <v>123</v>
      </c>
      <c r="AC6" s="85">
        <v>0</v>
      </c>
      <c r="AD6" s="85">
        <v>0</v>
      </c>
      <c r="AE6" s="85">
        <v>0</v>
      </c>
      <c r="AF6" s="85">
        <v>0</v>
      </c>
      <c r="AG6" s="85">
        <v>0</v>
      </c>
      <c r="AH6" s="85">
        <v>0</v>
      </c>
      <c r="AI6" s="85">
        <v>0</v>
      </c>
      <c r="AJ6" s="85">
        <v>0</v>
      </c>
    </row>
    <row r="7" spans="1:36" ht="15.95" customHeight="1" x14ac:dyDescent="0.25">
      <c r="A7" s="82">
        <v>140010236</v>
      </c>
      <c r="B7" s="82" t="s">
        <v>321</v>
      </c>
      <c r="C7" s="83" t="s">
        <v>8</v>
      </c>
      <c r="D7" s="83" t="s">
        <v>322</v>
      </c>
      <c r="E7" s="84">
        <v>192</v>
      </c>
      <c r="F7" s="84" t="s">
        <v>224</v>
      </c>
      <c r="G7" s="84" t="s">
        <v>224</v>
      </c>
      <c r="H7" s="84" t="s">
        <v>224</v>
      </c>
      <c r="I7" s="84" t="s">
        <v>323</v>
      </c>
      <c r="J7" s="84" t="s">
        <v>323</v>
      </c>
      <c r="K7" s="83" t="s">
        <v>324</v>
      </c>
      <c r="L7" s="84" t="s">
        <v>308</v>
      </c>
      <c r="M7" s="84" t="s">
        <v>308</v>
      </c>
      <c r="N7" s="84" t="s">
        <v>325</v>
      </c>
      <c r="O7" s="84" t="s">
        <v>326</v>
      </c>
      <c r="P7" s="82" t="s">
        <v>327</v>
      </c>
      <c r="Q7" s="84" t="s">
        <v>0</v>
      </c>
      <c r="R7" s="83" t="s">
        <v>9</v>
      </c>
      <c r="S7" s="83" t="s">
        <v>328</v>
      </c>
      <c r="T7" s="83" t="s">
        <v>328</v>
      </c>
      <c r="U7" s="83" t="s">
        <v>325</v>
      </c>
      <c r="V7" s="85" t="s">
        <v>107</v>
      </c>
      <c r="W7" s="85" t="s">
        <v>124</v>
      </c>
      <c r="X7" s="85">
        <v>0</v>
      </c>
      <c r="Y7" s="254">
        <v>0.93784296118926469</v>
      </c>
      <c r="Z7" s="85" t="s">
        <v>114</v>
      </c>
      <c r="AA7" s="85" t="s">
        <v>123</v>
      </c>
      <c r="AB7" s="85" t="s">
        <v>123</v>
      </c>
      <c r="AC7" s="85">
        <v>0</v>
      </c>
      <c r="AD7" s="85">
        <v>0</v>
      </c>
      <c r="AE7" s="85">
        <v>0</v>
      </c>
      <c r="AF7" s="85">
        <v>0</v>
      </c>
      <c r="AG7" s="85">
        <v>0</v>
      </c>
      <c r="AH7" s="85">
        <v>0</v>
      </c>
      <c r="AI7" s="85">
        <v>0</v>
      </c>
      <c r="AJ7" s="85">
        <v>0</v>
      </c>
    </row>
    <row r="8" spans="1:36" ht="15.95" customHeight="1" x14ac:dyDescent="0.25">
      <c r="A8" s="82">
        <v>140010237</v>
      </c>
      <c r="B8" s="82" t="s">
        <v>321</v>
      </c>
      <c r="C8" s="83" t="s">
        <v>10</v>
      </c>
      <c r="D8" s="83" t="s">
        <v>322</v>
      </c>
      <c r="E8" s="84">
        <v>163</v>
      </c>
      <c r="F8" s="84" t="s">
        <v>224</v>
      </c>
      <c r="G8" s="84" t="s">
        <v>224</v>
      </c>
      <c r="H8" s="84" t="s">
        <v>224</v>
      </c>
      <c r="I8" s="84" t="s">
        <v>323</v>
      </c>
      <c r="J8" s="84" t="s">
        <v>323</v>
      </c>
      <c r="K8" s="83" t="s">
        <v>324</v>
      </c>
      <c r="L8" s="84" t="s">
        <v>308</v>
      </c>
      <c r="M8" s="84" t="s">
        <v>308</v>
      </c>
      <c r="N8" s="84" t="s">
        <v>325</v>
      </c>
      <c r="O8" s="84" t="s">
        <v>326</v>
      </c>
      <c r="P8" s="82" t="s">
        <v>327</v>
      </c>
      <c r="Q8" s="84" t="s">
        <v>0</v>
      </c>
      <c r="R8" s="83" t="s">
        <v>11</v>
      </c>
      <c r="S8" s="83" t="s">
        <v>328</v>
      </c>
      <c r="T8" s="83" t="s">
        <v>328</v>
      </c>
      <c r="U8" s="83" t="s">
        <v>325</v>
      </c>
      <c r="V8" s="85" t="s">
        <v>107</v>
      </c>
      <c r="W8" s="85" t="s">
        <v>124</v>
      </c>
      <c r="X8" s="85">
        <v>0</v>
      </c>
      <c r="Y8" s="254">
        <v>1.501346902125112</v>
      </c>
      <c r="Z8" s="85" t="s">
        <v>114</v>
      </c>
      <c r="AA8" s="85" t="s">
        <v>123</v>
      </c>
      <c r="AB8" s="85" t="s">
        <v>123</v>
      </c>
      <c r="AC8" s="85">
        <v>0</v>
      </c>
      <c r="AD8" s="85">
        <v>0</v>
      </c>
      <c r="AE8" s="85">
        <v>0</v>
      </c>
      <c r="AF8" s="85">
        <v>0</v>
      </c>
      <c r="AG8" s="85">
        <v>0</v>
      </c>
      <c r="AH8" s="85">
        <v>0</v>
      </c>
      <c r="AI8" s="85">
        <v>0</v>
      </c>
      <c r="AJ8" s="85">
        <v>0</v>
      </c>
    </row>
    <row r="9" spans="1:36" ht="15.95" customHeight="1" x14ac:dyDescent="0.25">
      <c r="A9" s="82">
        <v>140010255</v>
      </c>
      <c r="B9" s="82" t="s">
        <v>317</v>
      </c>
      <c r="C9" s="83" t="s">
        <v>12</v>
      </c>
      <c r="D9" s="83" t="s">
        <v>318</v>
      </c>
      <c r="E9" s="84">
        <v>220</v>
      </c>
      <c r="F9" s="84" t="s">
        <v>224</v>
      </c>
      <c r="G9" s="84" t="s">
        <v>224</v>
      </c>
      <c r="H9" s="84" t="s">
        <v>224</v>
      </c>
      <c r="I9" s="84" t="s">
        <v>307</v>
      </c>
      <c r="J9" s="84" t="s">
        <v>306</v>
      </c>
      <c r="K9" s="83" t="s">
        <v>3</v>
      </c>
      <c r="L9" s="84" t="s">
        <v>306</v>
      </c>
      <c r="M9" s="84" t="s">
        <v>306</v>
      </c>
      <c r="N9" s="84" t="s">
        <v>309</v>
      </c>
      <c r="O9" s="84" t="s">
        <v>307</v>
      </c>
      <c r="P9" s="82" t="s">
        <v>311</v>
      </c>
      <c r="Q9" s="84" t="s">
        <v>0</v>
      </c>
      <c r="R9" s="83" t="s">
        <v>2</v>
      </c>
      <c r="S9" s="83" t="s">
        <v>325</v>
      </c>
      <c r="T9" s="83" t="s">
        <v>325</v>
      </c>
      <c r="U9" s="83" t="s">
        <v>329</v>
      </c>
      <c r="V9" s="85" t="s">
        <v>106</v>
      </c>
      <c r="W9" s="85" t="s">
        <v>124</v>
      </c>
      <c r="X9" s="85">
        <v>0</v>
      </c>
      <c r="Y9" s="254">
        <v>1</v>
      </c>
      <c r="Z9" s="85" t="s">
        <v>123</v>
      </c>
      <c r="AA9" s="85" t="s">
        <v>123</v>
      </c>
      <c r="AB9" s="85" t="s">
        <v>165</v>
      </c>
      <c r="AC9" s="85">
        <v>6.9</v>
      </c>
      <c r="AD9" s="85" t="s">
        <v>126</v>
      </c>
      <c r="AE9" s="85" t="s">
        <v>127</v>
      </c>
      <c r="AF9" s="85">
        <v>0</v>
      </c>
      <c r="AG9" s="85">
        <v>12.96</v>
      </c>
      <c r="AH9" s="85" t="s">
        <v>128</v>
      </c>
      <c r="AI9" s="85" t="s">
        <v>129</v>
      </c>
      <c r="AJ9" s="85" t="s">
        <v>130</v>
      </c>
    </row>
    <row r="10" spans="1:36" ht="15.95" customHeight="1" x14ac:dyDescent="0.25">
      <c r="A10" s="82">
        <v>140010260</v>
      </c>
      <c r="B10" s="82" t="s">
        <v>321</v>
      </c>
      <c r="C10" s="83" t="s">
        <v>13</v>
      </c>
      <c r="D10" s="83" t="s">
        <v>322</v>
      </c>
      <c r="E10" s="84">
        <v>212</v>
      </c>
      <c r="F10" s="84" t="s">
        <v>224</v>
      </c>
      <c r="G10" s="84" t="s">
        <v>224</v>
      </c>
      <c r="H10" s="84" t="s">
        <v>224</v>
      </c>
      <c r="I10" s="84" t="s">
        <v>330</v>
      </c>
      <c r="J10" s="84" t="s">
        <v>330</v>
      </c>
      <c r="K10" s="83" t="s">
        <v>324</v>
      </c>
      <c r="L10" s="84" t="s">
        <v>308</v>
      </c>
      <c r="M10" s="84" t="s">
        <v>308</v>
      </c>
      <c r="N10" s="84" t="s">
        <v>325</v>
      </c>
      <c r="O10" s="84" t="s">
        <v>307</v>
      </c>
      <c r="P10" s="82" t="s">
        <v>327</v>
      </c>
      <c r="Q10" s="84" t="s">
        <v>0</v>
      </c>
      <c r="R10" s="83" t="s">
        <v>14</v>
      </c>
      <c r="S10" s="83" t="s">
        <v>328</v>
      </c>
      <c r="T10" s="83" t="s">
        <v>328</v>
      </c>
      <c r="U10" s="83" t="s">
        <v>325</v>
      </c>
      <c r="V10" s="85" t="s">
        <v>107</v>
      </c>
      <c r="W10" s="85" t="s">
        <v>124</v>
      </c>
      <c r="X10" s="85">
        <v>0</v>
      </c>
      <c r="Y10" s="254">
        <v>1.501346902125112</v>
      </c>
      <c r="Z10" s="85" t="s">
        <v>114</v>
      </c>
      <c r="AA10" s="85" t="s">
        <v>123</v>
      </c>
      <c r="AB10" s="85" t="s">
        <v>123</v>
      </c>
      <c r="AC10" s="85">
        <v>0</v>
      </c>
      <c r="AD10" s="85">
        <v>0</v>
      </c>
      <c r="AE10" s="85">
        <v>0</v>
      </c>
      <c r="AF10" s="85">
        <v>0</v>
      </c>
      <c r="AG10" s="85">
        <v>0</v>
      </c>
      <c r="AH10" s="85">
        <v>0</v>
      </c>
      <c r="AI10" s="85">
        <v>0</v>
      </c>
      <c r="AJ10" s="85">
        <v>0</v>
      </c>
    </row>
    <row r="11" spans="1:36" ht="15.95" customHeight="1" x14ac:dyDescent="0.25">
      <c r="A11" s="82">
        <v>140010279</v>
      </c>
      <c r="B11" s="82" t="s">
        <v>321</v>
      </c>
      <c r="C11" s="83" t="s">
        <v>15</v>
      </c>
      <c r="D11" s="83" t="s">
        <v>322</v>
      </c>
      <c r="E11" s="84">
        <v>177</v>
      </c>
      <c r="F11" s="84" t="s">
        <v>224</v>
      </c>
      <c r="G11" s="84" t="s">
        <v>224</v>
      </c>
      <c r="H11" s="84" t="s">
        <v>224</v>
      </c>
      <c r="I11" s="84" t="s">
        <v>323</v>
      </c>
      <c r="J11" s="84" t="s">
        <v>307</v>
      </c>
      <c r="K11" s="83" t="s">
        <v>324</v>
      </c>
      <c r="L11" s="84" t="s">
        <v>331</v>
      </c>
      <c r="M11" s="84" t="s">
        <v>331</v>
      </c>
      <c r="N11" s="84" t="s">
        <v>325</v>
      </c>
      <c r="O11" s="84" t="s">
        <v>310</v>
      </c>
      <c r="P11" s="82" t="s">
        <v>327</v>
      </c>
      <c r="Q11" s="84" t="s">
        <v>0</v>
      </c>
      <c r="R11" s="83" t="s">
        <v>16</v>
      </c>
      <c r="S11" s="83" t="s">
        <v>328</v>
      </c>
      <c r="T11" s="83" t="s">
        <v>328</v>
      </c>
      <c r="U11" s="83" t="s">
        <v>325</v>
      </c>
      <c r="V11" s="85" t="s">
        <v>107</v>
      </c>
      <c r="W11" s="85" t="s">
        <v>124</v>
      </c>
      <c r="X11" s="85">
        <v>0</v>
      </c>
      <c r="Y11" s="254">
        <v>1.0675446473111843</v>
      </c>
      <c r="Z11" s="85" t="s">
        <v>114</v>
      </c>
      <c r="AA11" s="85" t="s">
        <v>123</v>
      </c>
      <c r="AB11" s="85" t="s">
        <v>123</v>
      </c>
      <c r="AC11" s="85">
        <v>0</v>
      </c>
      <c r="AD11" s="85">
        <v>0</v>
      </c>
      <c r="AE11" s="85">
        <v>0</v>
      </c>
      <c r="AF11" s="85">
        <v>0</v>
      </c>
      <c r="AG11" s="85">
        <v>0</v>
      </c>
      <c r="AH11" s="85">
        <v>0</v>
      </c>
      <c r="AI11" s="85">
        <v>0</v>
      </c>
      <c r="AJ11" s="85">
        <v>0</v>
      </c>
    </row>
    <row r="12" spans="1:36" ht="15.95" customHeight="1" x14ac:dyDescent="0.25">
      <c r="A12" s="82">
        <v>140010280</v>
      </c>
      <c r="B12" s="82" t="s">
        <v>321</v>
      </c>
      <c r="C12" s="83" t="s">
        <v>332</v>
      </c>
      <c r="D12" s="83" t="s">
        <v>322</v>
      </c>
      <c r="E12" s="84">
        <v>192</v>
      </c>
      <c r="F12" s="84" t="s">
        <v>224</v>
      </c>
      <c r="G12" s="84" t="s">
        <v>224</v>
      </c>
      <c r="H12" s="84" t="s">
        <v>224</v>
      </c>
      <c r="I12" s="84" t="s">
        <v>323</v>
      </c>
      <c r="J12" s="84" t="s">
        <v>323</v>
      </c>
      <c r="K12" s="83" t="s">
        <v>324</v>
      </c>
      <c r="L12" s="84" t="s">
        <v>308</v>
      </c>
      <c r="M12" s="84" t="s">
        <v>308</v>
      </c>
      <c r="N12" s="84" t="s">
        <v>325</v>
      </c>
      <c r="O12" s="84" t="s">
        <v>310</v>
      </c>
      <c r="P12" s="82" t="s">
        <v>327</v>
      </c>
      <c r="Q12" s="84" t="s">
        <v>0</v>
      </c>
      <c r="R12" s="83" t="s">
        <v>9</v>
      </c>
      <c r="S12" s="83" t="s">
        <v>328</v>
      </c>
      <c r="T12" s="83" t="s">
        <v>328</v>
      </c>
      <c r="U12" s="83" t="s">
        <v>325</v>
      </c>
      <c r="V12" s="85" t="s">
        <v>107</v>
      </c>
      <c r="W12" s="85" t="s">
        <v>124</v>
      </c>
      <c r="X12" s="85">
        <v>0</v>
      </c>
      <c r="Y12" s="254">
        <v>1.0775217000897934</v>
      </c>
      <c r="Z12" s="85" t="s">
        <v>114</v>
      </c>
      <c r="AA12" s="85" t="s">
        <v>123</v>
      </c>
      <c r="AB12" s="85" t="s">
        <v>123</v>
      </c>
      <c r="AC12" s="85">
        <v>0</v>
      </c>
      <c r="AD12" s="85">
        <v>0</v>
      </c>
      <c r="AE12" s="85">
        <v>0</v>
      </c>
      <c r="AF12" s="85">
        <v>0</v>
      </c>
      <c r="AG12" s="85">
        <v>0</v>
      </c>
      <c r="AH12" s="85">
        <v>0</v>
      </c>
      <c r="AI12" s="85">
        <v>0</v>
      </c>
      <c r="AJ12" s="85">
        <v>0</v>
      </c>
    </row>
    <row r="13" spans="1:36" ht="15.95" customHeight="1" x14ac:dyDescent="0.25">
      <c r="A13" s="82">
        <v>140010281</v>
      </c>
      <c r="B13" s="82" t="s">
        <v>321</v>
      </c>
      <c r="C13" s="83" t="s">
        <v>13</v>
      </c>
      <c r="D13" s="83" t="s">
        <v>322</v>
      </c>
      <c r="E13" s="84">
        <v>212</v>
      </c>
      <c r="F13" s="84" t="s">
        <v>224</v>
      </c>
      <c r="G13" s="84" t="s">
        <v>224</v>
      </c>
      <c r="H13" s="84" t="s">
        <v>224</v>
      </c>
      <c r="I13" s="84" t="s">
        <v>330</v>
      </c>
      <c r="J13" s="84" t="s">
        <v>330</v>
      </c>
      <c r="K13" s="83" t="s">
        <v>324</v>
      </c>
      <c r="L13" s="84" t="s">
        <v>308</v>
      </c>
      <c r="M13" s="84" t="s">
        <v>308</v>
      </c>
      <c r="N13" s="84" t="s">
        <v>325</v>
      </c>
      <c r="O13" s="84" t="s">
        <v>307</v>
      </c>
      <c r="P13" s="82" t="s">
        <v>327</v>
      </c>
      <c r="Q13" s="84" t="s">
        <v>0</v>
      </c>
      <c r="R13" s="83" t="s">
        <v>14</v>
      </c>
      <c r="S13" s="83" t="s">
        <v>328</v>
      </c>
      <c r="T13" s="83" t="s">
        <v>328</v>
      </c>
      <c r="U13" s="83" t="s">
        <v>325</v>
      </c>
      <c r="V13" s="85" t="s">
        <v>107</v>
      </c>
      <c r="W13" s="85" t="s">
        <v>124</v>
      </c>
      <c r="X13" s="85">
        <v>0</v>
      </c>
      <c r="Y13" s="254">
        <v>1.0775217000897934</v>
      </c>
      <c r="Z13" s="85" t="s">
        <v>114</v>
      </c>
      <c r="AA13" s="85" t="s">
        <v>123</v>
      </c>
      <c r="AB13" s="85" t="s">
        <v>123</v>
      </c>
      <c r="AC13" s="85">
        <v>0</v>
      </c>
      <c r="AD13" s="85">
        <v>0</v>
      </c>
      <c r="AE13" s="85">
        <v>0</v>
      </c>
      <c r="AF13" s="85">
        <v>0</v>
      </c>
      <c r="AG13" s="85">
        <v>0</v>
      </c>
      <c r="AH13" s="85">
        <v>0</v>
      </c>
      <c r="AI13" s="85">
        <v>0</v>
      </c>
      <c r="AJ13" s="85">
        <v>0</v>
      </c>
    </row>
    <row r="14" spans="1:36" ht="15.95" customHeight="1" x14ac:dyDescent="0.25">
      <c r="A14" s="82">
        <v>140010282</v>
      </c>
      <c r="B14" s="82" t="s">
        <v>321</v>
      </c>
      <c r="C14" s="83" t="s">
        <v>10</v>
      </c>
      <c r="D14" s="83" t="s">
        <v>322</v>
      </c>
      <c r="E14" s="84">
        <v>163</v>
      </c>
      <c r="F14" s="84" t="s">
        <v>224</v>
      </c>
      <c r="G14" s="84" t="s">
        <v>224</v>
      </c>
      <c r="H14" s="84" t="s">
        <v>224</v>
      </c>
      <c r="I14" s="84" t="s">
        <v>323</v>
      </c>
      <c r="J14" s="84" t="s">
        <v>307</v>
      </c>
      <c r="K14" s="83" t="s">
        <v>324</v>
      </c>
      <c r="L14" s="84" t="s">
        <v>308</v>
      </c>
      <c r="M14" s="84" t="s">
        <v>308</v>
      </c>
      <c r="N14" s="84" t="s">
        <v>325</v>
      </c>
      <c r="O14" s="84" t="s">
        <v>326</v>
      </c>
      <c r="P14" s="82" t="s">
        <v>327</v>
      </c>
      <c r="Q14" s="84" t="s">
        <v>0</v>
      </c>
      <c r="R14" s="83" t="s">
        <v>11</v>
      </c>
      <c r="S14" s="83" t="s">
        <v>328</v>
      </c>
      <c r="T14" s="83" t="s">
        <v>328</v>
      </c>
      <c r="U14" s="83" t="s">
        <v>325</v>
      </c>
      <c r="V14" s="85" t="s">
        <v>107</v>
      </c>
      <c r="W14" s="85" t="s">
        <v>124</v>
      </c>
      <c r="X14" s="85">
        <v>0</v>
      </c>
      <c r="Y14" s="254">
        <v>1.0775217000897934</v>
      </c>
      <c r="Z14" s="85" t="s">
        <v>114</v>
      </c>
      <c r="AA14" s="85" t="s">
        <v>123</v>
      </c>
      <c r="AB14" s="85" t="s">
        <v>123</v>
      </c>
      <c r="AC14" s="85">
        <v>0</v>
      </c>
      <c r="AD14" s="85">
        <v>0</v>
      </c>
      <c r="AE14" s="85">
        <v>0</v>
      </c>
      <c r="AF14" s="85">
        <v>0</v>
      </c>
      <c r="AG14" s="85">
        <v>0</v>
      </c>
      <c r="AH14" s="85">
        <v>0</v>
      </c>
      <c r="AI14" s="85">
        <v>0</v>
      </c>
      <c r="AJ14" s="85">
        <v>0</v>
      </c>
    </row>
    <row r="15" spans="1:36" ht="15.95" customHeight="1" x14ac:dyDescent="0.25">
      <c r="A15" s="82">
        <v>140010295</v>
      </c>
      <c r="B15" s="82" t="s">
        <v>321</v>
      </c>
      <c r="C15" s="83" t="s">
        <v>333</v>
      </c>
      <c r="D15" s="83" t="s">
        <v>322</v>
      </c>
      <c r="E15" s="84">
        <v>150</v>
      </c>
      <c r="F15" s="84" t="s">
        <v>224</v>
      </c>
      <c r="G15" s="84" t="s">
        <v>224</v>
      </c>
      <c r="H15" s="84" t="s">
        <v>224</v>
      </c>
      <c r="I15" s="84" t="s">
        <v>334</v>
      </c>
      <c r="J15" s="84" t="s">
        <v>307</v>
      </c>
      <c r="K15" s="83" t="s">
        <v>335</v>
      </c>
      <c r="L15" s="84" t="s">
        <v>336</v>
      </c>
      <c r="M15" s="84" t="s">
        <v>336</v>
      </c>
      <c r="N15" s="84" t="s">
        <v>325</v>
      </c>
      <c r="O15" s="84" t="s">
        <v>310</v>
      </c>
      <c r="P15" s="82" t="s">
        <v>327</v>
      </c>
      <c r="Q15" s="84" t="s">
        <v>0</v>
      </c>
      <c r="R15" s="83" t="s">
        <v>325</v>
      </c>
      <c r="S15" s="83" t="s">
        <v>73</v>
      </c>
      <c r="T15" s="83" t="s">
        <v>73</v>
      </c>
      <c r="U15" s="83" t="s">
        <v>325</v>
      </c>
      <c r="V15" s="85" t="s">
        <v>107</v>
      </c>
      <c r="W15" s="85" t="s">
        <v>124</v>
      </c>
      <c r="X15" s="85">
        <v>0</v>
      </c>
      <c r="Y15" s="254">
        <v>1.1274069639828395</v>
      </c>
      <c r="Z15" s="85" t="s">
        <v>114</v>
      </c>
      <c r="AA15" s="85" t="s">
        <v>123</v>
      </c>
      <c r="AB15" s="85" t="s">
        <v>123</v>
      </c>
      <c r="AC15" s="85">
        <v>7.29</v>
      </c>
      <c r="AD15" s="85" t="s">
        <v>131</v>
      </c>
      <c r="AE15" s="85">
        <v>0</v>
      </c>
      <c r="AF15" s="85">
        <v>0</v>
      </c>
      <c r="AG15" s="85">
        <v>6.93</v>
      </c>
      <c r="AH15" s="85" t="s">
        <v>132</v>
      </c>
      <c r="AI15" s="85">
        <v>0</v>
      </c>
      <c r="AJ15" s="85">
        <v>0</v>
      </c>
    </row>
    <row r="16" spans="1:36" ht="15.95" customHeight="1" x14ac:dyDescent="0.25">
      <c r="A16" s="82">
        <v>140020007</v>
      </c>
      <c r="B16" s="82" t="s">
        <v>317</v>
      </c>
      <c r="C16" s="83" t="s">
        <v>20</v>
      </c>
      <c r="D16" s="83" t="s">
        <v>318</v>
      </c>
      <c r="E16" s="84">
        <v>220</v>
      </c>
      <c r="F16" s="84" t="s">
        <v>224</v>
      </c>
      <c r="G16" s="84" t="s">
        <v>224</v>
      </c>
      <c r="H16" s="84" t="s">
        <v>224</v>
      </c>
      <c r="I16" s="84" t="s">
        <v>307</v>
      </c>
      <c r="J16" s="84" t="s">
        <v>337</v>
      </c>
      <c r="K16" s="83" t="s">
        <v>3</v>
      </c>
      <c r="L16" s="84" t="s">
        <v>331</v>
      </c>
      <c r="M16" s="84" t="s">
        <v>331</v>
      </c>
      <c r="N16" s="84" t="s">
        <v>309</v>
      </c>
      <c r="O16" s="84" t="s">
        <v>309</v>
      </c>
      <c r="P16" s="82" t="s">
        <v>311</v>
      </c>
      <c r="Q16" s="84" t="s">
        <v>338</v>
      </c>
      <c r="R16" s="83" t="s">
        <v>21</v>
      </c>
      <c r="S16" s="83" t="s">
        <v>114</v>
      </c>
      <c r="T16" s="83" t="s">
        <v>114</v>
      </c>
      <c r="U16" s="83" t="s">
        <v>312</v>
      </c>
      <c r="V16" s="85" t="s">
        <v>106</v>
      </c>
      <c r="W16" s="85" t="s">
        <v>124</v>
      </c>
      <c r="X16" s="85">
        <v>0</v>
      </c>
      <c r="Y16" s="254">
        <v>1.0615584156440188</v>
      </c>
      <c r="Z16" s="85" t="s">
        <v>114</v>
      </c>
      <c r="AA16" s="85">
        <v>0</v>
      </c>
      <c r="AB16" s="85">
        <v>0</v>
      </c>
      <c r="AC16" s="85">
        <v>0</v>
      </c>
      <c r="AD16" s="85">
        <v>0</v>
      </c>
      <c r="AE16" s="85">
        <v>0</v>
      </c>
      <c r="AF16" s="85">
        <v>0</v>
      </c>
      <c r="AG16" s="85">
        <v>0</v>
      </c>
      <c r="AH16" s="85">
        <v>0</v>
      </c>
      <c r="AI16" s="85">
        <v>0</v>
      </c>
      <c r="AJ16" s="85">
        <v>0</v>
      </c>
    </row>
    <row r="17" spans="1:36" ht="15.95" customHeight="1" x14ac:dyDescent="0.25">
      <c r="A17" s="82">
        <v>140020091</v>
      </c>
      <c r="B17" s="82" t="s">
        <v>313</v>
      </c>
      <c r="C17" s="83" t="s">
        <v>20</v>
      </c>
      <c r="D17" s="83" t="s">
        <v>314</v>
      </c>
      <c r="E17" s="84">
        <v>220</v>
      </c>
      <c r="F17" s="84" t="s">
        <v>224</v>
      </c>
      <c r="G17" s="84" t="s">
        <v>224</v>
      </c>
      <c r="H17" s="84" t="s">
        <v>224</v>
      </c>
      <c r="I17" s="84" t="s">
        <v>307</v>
      </c>
      <c r="J17" s="84" t="s">
        <v>306</v>
      </c>
      <c r="K17" s="83" t="s">
        <v>3</v>
      </c>
      <c r="L17" s="84" t="s">
        <v>339</v>
      </c>
      <c r="M17" s="84" t="s">
        <v>339</v>
      </c>
      <c r="N17" s="84" t="s">
        <v>309</v>
      </c>
      <c r="O17" s="84" t="s">
        <v>309</v>
      </c>
      <c r="P17" s="82" t="s">
        <v>311</v>
      </c>
      <c r="Q17" s="84" t="s">
        <v>338</v>
      </c>
      <c r="R17" s="83" t="s">
        <v>2</v>
      </c>
      <c r="S17" s="83" t="s">
        <v>340</v>
      </c>
      <c r="T17" s="83" t="s">
        <v>341</v>
      </c>
      <c r="U17" s="83" t="s">
        <v>312</v>
      </c>
      <c r="V17" s="85" t="s">
        <v>106</v>
      </c>
      <c r="W17" s="85" t="s">
        <v>124</v>
      </c>
      <c r="X17" s="85">
        <v>0</v>
      </c>
      <c r="Y17" s="254">
        <v>1.0615584156440188</v>
      </c>
      <c r="Z17" s="85" t="s">
        <v>112</v>
      </c>
      <c r="AA17" s="485" t="s">
        <v>1473</v>
      </c>
      <c r="AB17" s="85">
        <v>0</v>
      </c>
      <c r="AC17" s="85">
        <v>0</v>
      </c>
      <c r="AD17" s="85">
        <v>0</v>
      </c>
      <c r="AE17" s="85">
        <v>0</v>
      </c>
      <c r="AF17" s="85">
        <v>0</v>
      </c>
      <c r="AG17" s="85">
        <v>0</v>
      </c>
      <c r="AH17" s="85">
        <v>0</v>
      </c>
      <c r="AI17" s="85">
        <v>0</v>
      </c>
      <c r="AJ17" s="85">
        <v>0</v>
      </c>
    </row>
    <row r="18" spans="1:36" ht="15.95" customHeight="1" x14ac:dyDescent="0.25">
      <c r="A18" s="82">
        <v>140020181</v>
      </c>
      <c r="B18" s="82" t="s">
        <v>317</v>
      </c>
      <c r="C18" s="83" t="s">
        <v>342</v>
      </c>
      <c r="D18" s="83" t="s">
        <v>318</v>
      </c>
      <c r="E18" s="84">
        <v>223</v>
      </c>
      <c r="F18" s="84" t="s">
        <v>343</v>
      </c>
      <c r="G18" s="84" t="s">
        <v>343</v>
      </c>
      <c r="H18" s="84" t="s">
        <v>344</v>
      </c>
      <c r="I18" s="84" t="s">
        <v>307</v>
      </c>
      <c r="J18" s="84" t="s">
        <v>344</v>
      </c>
      <c r="K18" s="83" t="s">
        <v>3</v>
      </c>
      <c r="L18" s="84" t="s">
        <v>308</v>
      </c>
      <c r="M18" s="84" t="s">
        <v>308</v>
      </c>
      <c r="N18" s="84" t="s">
        <v>309</v>
      </c>
      <c r="O18" s="84" t="s">
        <v>309</v>
      </c>
      <c r="P18" s="82" t="s">
        <v>311</v>
      </c>
      <c r="Q18" s="84" t="s">
        <v>338</v>
      </c>
      <c r="R18" s="83" t="s">
        <v>21</v>
      </c>
      <c r="S18" s="83" t="s">
        <v>114</v>
      </c>
      <c r="T18" s="83" t="s">
        <v>114</v>
      </c>
      <c r="U18" s="83" t="s">
        <v>312</v>
      </c>
      <c r="V18" s="85" t="s">
        <v>106</v>
      </c>
      <c r="W18" s="85" t="s">
        <v>175</v>
      </c>
      <c r="X18" s="85">
        <v>0</v>
      </c>
      <c r="Y18" s="254">
        <v>1.2670857028833682</v>
      </c>
      <c r="Z18" s="85" t="s">
        <v>114</v>
      </c>
      <c r="AA18" s="85" t="s">
        <v>166</v>
      </c>
      <c r="AB18" s="85" t="s">
        <v>123</v>
      </c>
      <c r="AC18" s="85">
        <v>0</v>
      </c>
      <c r="AD18" s="85" t="s">
        <v>126</v>
      </c>
      <c r="AE18" s="85" t="s">
        <v>127</v>
      </c>
      <c r="AF18" s="85">
        <v>0</v>
      </c>
      <c r="AG18" s="85">
        <v>0</v>
      </c>
      <c r="AH18" s="85" t="s">
        <v>128</v>
      </c>
      <c r="AI18" s="85" t="s">
        <v>129</v>
      </c>
      <c r="AJ18" s="85">
        <v>0</v>
      </c>
    </row>
    <row r="19" spans="1:36" ht="15.95" customHeight="1" x14ac:dyDescent="0.25">
      <c r="A19" s="82">
        <v>140020196</v>
      </c>
      <c r="B19" s="82" t="s">
        <v>317</v>
      </c>
      <c r="C19" s="83" t="s">
        <v>345</v>
      </c>
      <c r="D19" s="83" t="s">
        <v>318</v>
      </c>
      <c r="E19" s="84">
        <v>223</v>
      </c>
      <c r="F19" s="84" t="s">
        <v>346</v>
      </c>
      <c r="G19" s="84" t="s">
        <v>346</v>
      </c>
      <c r="H19" s="84" t="s">
        <v>337</v>
      </c>
      <c r="I19" s="84" t="s">
        <v>307</v>
      </c>
      <c r="J19" s="84" t="s">
        <v>337</v>
      </c>
      <c r="K19" s="83" t="s">
        <v>3</v>
      </c>
      <c r="L19" s="84" t="s">
        <v>339</v>
      </c>
      <c r="M19" s="84" t="s">
        <v>339</v>
      </c>
      <c r="N19" s="84" t="s">
        <v>309</v>
      </c>
      <c r="O19" s="84" t="s">
        <v>310</v>
      </c>
      <c r="P19" s="82" t="s">
        <v>311</v>
      </c>
      <c r="Q19" s="84" t="s">
        <v>19</v>
      </c>
      <c r="R19" s="83" t="s">
        <v>26</v>
      </c>
      <c r="S19" s="83" t="s">
        <v>347</v>
      </c>
      <c r="T19" s="83" t="s">
        <v>348</v>
      </c>
      <c r="U19" s="83" t="s">
        <v>349</v>
      </c>
      <c r="V19" s="85" t="s">
        <v>107</v>
      </c>
      <c r="W19" s="85" t="s">
        <v>124</v>
      </c>
      <c r="X19" s="85">
        <v>0</v>
      </c>
      <c r="Y19" s="254">
        <v>1.506534969569989</v>
      </c>
      <c r="Z19" s="85" t="s">
        <v>112</v>
      </c>
      <c r="AA19" s="85" t="s">
        <v>166</v>
      </c>
      <c r="AB19" s="85" t="s">
        <v>123</v>
      </c>
      <c r="AC19" s="85">
        <v>0</v>
      </c>
      <c r="AD19" s="85" t="s">
        <v>126</v>
      </c>
      <c r="AE19" s="85" t="s">
        <v>127</v>
      </c>
      <c r="AF19" s="85">
        <v>0</v>
      </c>
      <c r="AG19" s="85">
        <v>0</v>
      </c>
      <c r="AH19" s="85" t="s">
        <v>128</v>
      </c>
      <c r="AI19" s="85" t="s">
        <v>129</v>
      </c>
      <c r="AJ19" s="85">
        <v>0</v>
      </c>
    </row>
    <row r="20" spans="1:36" ht="15.95" customHeight="1" x14ac:dyDescent="0.25">
      <c r="A20" s="82">
        <v>140030039</v>
      </c>
      <c r="B20" s="82" t="s">
        <v>317</v>
      </c>
      <c r="C20" s="83" t="s">
        <v>22</v>
      </c>
      <c r="D20" s="83" t="s">
        <v>318</v>
      </c>
      <c r="E20" s="84">
        <v>224</v>
      </c>
      <c r="F20" s="84" t="s">
        <v>326</v>
      </c>
      <c r="G20" s="84" t="s">
        <v>326</v>
      </c>
      <c r="H20" s="84" t="s">
        <v>350</v>
      </c>
      <c r="I20" s="84" t="s">
        <v>307</v>
      </c>
      <c r="J20" s="84" t="s">
        <v>350</v>
      </c>
      <c r="K20" s="83" t="s">
        <v>3</v>
      </c>
      <c r="L20" s="84" t="s">
        <v>331</v>
      </c>
      <c r="M20" s="84" t="s">
        <v>331</v>
      </c>
      <c r="N20" s="84" t="s">
        <v>309</v>
      </c>
      <c r="O20" s="84" t="s">
        <v>309</v>
      </c>
      <c r="P20" s="82" t="s">
        <v>311</v>
      </c>
      <c r="Q20" s="84" t="s">
        <v>267</v>
      </c>
      <c r="R20" s="83" t="s">
        <v>2</v>
      </c>
      <c r="S20" s="83" t="s">
        <v>115</v>
      </c>
      <c r="T20" s="83" t="s">
        <v>115</v>
      </c>
      <c r="U20" s="83" t="s">
        <v>351</v>
      </c>
      <c r="V20" s="85" t="s">
        <v>106</v>
      </c>
      <c r="W20" s="85" t="s">
        <v>175</v>
      </c>
      <c r="X20" s="85">
        <v>0</v>
      </c>
      <c r="Y20" s="254">
        <v>1.1413748378728923</v>
      </c>
      <c r="Z20" s="85" t="s">
        <v>115</v>
      </c>
      <c r="AA20" s="85" t="s">
        <v>170</v>
      </c>
      <c r="AB20" s="85" t="s">
        <v>123</v>
      </c>
      <c r="AC20" s="85">
        <v>0</v>
      </c>
      <c r="AD20" s="85" t="s">
        <v>126</v>
      </c>
      <c r="AE20" s="85" t="s">
        <v>127</v>
      </c>
      <c r="AF20" s="85">
        <v>0</v>
      </c>
      <c r="AG20" s="85">
        <v>0</v>
      </c>
      <c r="AH20" s="85" t="s">
        <v>128</v>
      </c>
      <c r="AI20" s="85" t="s">
        <v>129</v>
      </c>
      <c r="AJ20" s="85" t="s">
        <v>130</v>
      </c>
    </row>
    <row r="21" spans="1:36" ht="15.95" customHeight="1" x14ac:dyDescent="0.25">
      <c r="A21" s="82">
        <v>140030040</v>
      </c>
      <c r="B21" s="82" t="s">
        <v>317</v>
      </c>
      <c r="C21" s="83" t="s">
        <v>23</v>
      </c>
      <c r="D21" s="83" t="s">
        <v>318</v>
      </c>
      <c r="E21" s="84">
        <v>224</v>
      </c>
      <c r="F21" s="84" t="s">
        <v>326</v>
      </c>
      <c r="G21" s="84" t="s">
        <v>326</v>
      </c>
      <c r="H21" s="84" t="s">
        <v>350</v>
      </c>
      <c r="I21" s="84" t="s">
        <v>307</v>
      </c>
      <c r="J21" s="84" t="s">
        <v>350</v>
      </c>
      <c r="K21" s="83" t="s">
        <v>3</v>
      </c>
      <c r="L21" s="84" t="s">
        <v>331</v>
      </c>
      <c r="M21" s="84" t="s">
        <v>331</v>
      </c>
      <c r="N21" s="84" t="s">
        <v>309</v>
      </c>
      <c r="O21" s="84" t="s">
        <v>309</v>
      </c>
      <c r="P21" s="82" t="s">
        <v>311</v>
      </c>
      <c r="Q21" s="84" t="s">
        <v>268</v>
      </c>
      <c r="R21" s="83" t="s">
        <v>2</v>
      </c>
      <c r="S21" s="83" t="s">
        <v>115</v>
      </c>
      <c r="T21" s="83" t="s">
        <v>115</v>
      </c>
      <c r="U21" s="83" t="s">
        <v>351</v>
      </c>
      <c r="V21" s="85" t="s">
        <v>106</v>
      </c>
      <c r="W21" s="85" t="s">
        <v>175</v>
      </c>
      <c r="X21" s="85">
        <v>0</v>
      </c>
      <c r="Y21" s="254">
        <v>1.1092487279257708</v>
      </c>
      <c r="Z21" s="85" t="s">
        <v>115</v>
      </c>
      <c r="AA21" s="85" t="s">
        <v>170</v>
      </c>
      <c r="AB21" s="85" t="s">
        <v>123</v>
      </c>
      <c r="AC21" s="85">
        <v>6.9</v>
      </c>
      <c r="AD21" s="85" t="s">
        <v>126</v>
      </c>
      <c r="AE21" s="85" t="s">
        <v>127</v>
      </c>
      <c r="AF21" s="85">
        <v>0</v>
      </c>
      <c r="AG21" s="85">
        <v>12.96</v>
      </c>
      <c r="AH21" s="85" t="s">
        <v>128</v>
      </c>
      <c r="AI21" s="85" t="s">
        <v>129</v>
      </c>
      <c r="AJ21" s="85" t="s">
        <v>130</v>
      </c>
    </row>
    <row r="22" spans="1:36" ht="15.95" customHeight="1" x14ac:dyDescent="0.25">
      <c r="A22" s="82">
        <v>140040012</v>
      </c>
      <c r="B22" s="82" t="s">
        <v>313</v>
      </c>
      <c r="C22" s="83" t="s">
        <v>1</v>
      </c>
      <c r="D22" s="83" t="s">
        <v>314</v>
      </c>
      <c r="E22" s="84">
        <v>220</v>
      </c>
      <c r="F22" s="84" t="s">
        <v>224</v>
      </c>
      <c r="G22" s="84" t="s">
        <v>224</v>
      </c>
      <c r="H22" s="84" t="s">
        <v>224</v>
      </c>
      <c r="I22" s="84" t="s">
        <v>307</v>
      </c>
      <c r="J22" s="84" t="s">
        <v>306</v>
      </c>
      <c r="K22" s="83" t="s">
        <v>3</v>
      </c>
      <c r="L22" s="84" t="s">
        <v>309</v>
      </c>
      <c r="M22" s="84" t="s">
        <v>309</v>
      </c>
      <c r="N22" s="84" t="s">
        <v>309</v>
      </c>
      <c r="O22" s="84" t="s">
        <v>309</v>
      </c>
      <c r="P22" s="82" t="s">
        <v>311</v>
      </c>
      <c r="Q22" s="84" t="s">
        <v>352</v>
      </c>
      <c r="R22" s="83" t="s">
        <v>18</v>
      </c>
      <c r="S22" s="83" t="s">
        <v>353</v>
      </c>
      <c r="T22" s="83" t="s">
        <v>354</v>
      </c>
      <c r="U22" s="83" t="s">
        <v>355</v>
      </c>
      <c r="V22" s="85" t="s">
        <v>182</v>
      </c>
      <c r="W22" s="85" t="s">
        <v>182</v>
      </c>
      <c r="X22" s="85" t="s">
        <v>182</v>
      </c>
      <c r="Y22" s="254" t="s">
        <v>182</v>
      </c>
      <c r="Z22" s="85" t="s">
        <v>182</v>
      </c>
      <c r="AA22" s="85" t="s">
        <v>182</v>
      </c>
      <c r="AB22" s="85" t="s">
        <v>182</v>
      </c>
      <c r="AC22" s="85" t="s">
        <v>182</v>
      </c>
      <c r="AD22" s="85" t="s">
        <v>182</v>
      </c>
      <c r="AE22" s="85" t="s">
        <v>182</v>
      </c>
      <c r="AF22" s="85" t="s">
        <v>182</v>
      </c>
      <c r="AG22" s="85" t="s">
        <v>182</v>
      </c>
      <c r="AH22" s="85" t="s">
        <v>182</v>
      </c>
      <c r="AI22" s="85" t="s">
        <v>182</v>
      </c>
      <c r="AJ22" s="85" t="s">
        <v>182</v>
      </c>
    </row>
    <row r="23" spans="1:36" ht="15.95" customHeight="1" x14ac:dyDescent="0.25">
      <c r="A23" s="82">
        <v>140090014</v>
      </c>
      <c r="B23" s="82" t="s">
        <v>303</v>
      </c>
      <c r="C23" s="83" t="s">
        <v>25</v>
      </c>
      <c r="D23" s="83" t="s">
        <v>305</v>
      </c>
      <c r="E23" s="84">
        <v>257</v>
      </c>
      <c r="F23" s="84" t="s">
        <v>337</v>
      </c>
      <c r="G23" s="84" t="s">
        <v>337</v>
      </c>
      <c r="H23" s="84" t="s">
        <v>356</v>
      </c>
      <c r="I23" s="84" t="s">
        <v>307</v>
      </c>
      <c r="J23" s="84" t="s">
        <v>356</v>
      </c>
      <c r="K23" s="83" t="s">
        <v>27</v>
      </c>
      <c r="L23" s="84" t="s">
        <v>339</v>
      </c>
      <c r="M23" s="84" t="s">
        <v>339</v>
      </c>
      <c r="N23" s="84" t="s">
        <v>309</v>
      </c>
      <c r="O23" s="84" t="s">
        <v>309</v>
      </c>
      <c r="P23" s="82" t="s">
        <v>311</v>
      </c>
      <c r="Q23" s="84" t="s">
        <v>24</v>
      </c>
      <c r="R23" s="83" t="s">
        <v>26</v>
      </c>
      <c r="S23" s="83" t="s">
        <v>357</v>
      </c>
      <c r="T23" s="83" t="s">
        <v>357</v>
      </c>
      <c r="U23" s="83" t="s">
        <v>351</v>
      </c>
      <c r="V23" s="85" t="s">
        <v>106</v>
      </c>
      <c r="W23" s="85" t="s">
        <v>124</v>
      </c>
      <c r="X23" s="85">
        <v>0</v>
      </c>
      <c r="Y23" s="254">
        <v>1.5105257906814327</v>
      </c>
      <c r="Z23" s="85" t="s">
        <v>112</v>
      </c>
      <c r="AA23" s="85" t="s">
        <v>170</v>
      </c>
      <c r="AB23" s="85">
        <v>0</v>
      </c>
      <c r="AC23" s="85">
        <v>0</v>
      </c>
      <c r="AD23" s="85">
        <v>0</v>
      </c>
      <c r="AE23" s="85">
        <v>0</v>
      </c>
      <c r="AF23" s="85">
        <v>0</v>
      </c>
      <c r="AG23" s="85">
        <v>0</v>
      </c>
      <c r="AH23" s="85">
        <v>0</v>
      </c>
      <c r="AI23" s="85">
        <v>0</v>
      </c>
      <c r="AJ23" s="85">
        <v>0</v>
      </c>
    </row>
    <row r="24" spans="1:36" ht="15.95" customHeight="1" x14ac:dyDescent="0.25">
      <c r="A24" s="82">
        <v>140090037</v>
      </c>
      <c r="B24" s="82" t="s">
        <v>358</v>
      </c>
      <c r="C24" s="83" t="s">
        <v>359</v>
      </c>
      <c r="D24" s="83" t="s">
        <v>360</v>
      </c>
      <c r="E24" s="84">
        <v>227</v>
      </c>
      <c r="F24" s="84" t="s">
        <v>361</v>
      </c>
      <c r="G24" s="84" t="s">
        <v>361</v>
      </c>
      <c r="H24" s="84" t="s">
        <v>361</v>
      </c>
      <c r="I24" s="84" t="s">
        <v>307</v>
      </c>
      <c r="J24" s="84" t="s">
        <v>361</v>
      </c>
      <c r="K24" s="83" t="s">
        <v>27</v>
      </c>
      <c r="L24" s="84" t="s">
        <v>339</v>
      </c>
      <c r="M24" s="84" t="s">
        <v>339</v>
      </c>
      <c r="N24" s="84" t="s">
        <v>309</v>
      </c>
      <c r="O24" s="84" t="s">
        <v>310</v>
      </c>
      <c r="P24" s="82" t="s">
        <v>311</v>
      </c>
      <c r="Q24" s="84" t="s">
        <v>24</v>
      </c>
      <c r="R24" s="83" t="s">
        <v>28</v>
      </c>
      <c r="S24" s="83" t="s">
        <v>357</v>
      </c>
      <c r="T24" s="83" t="s">
        <v>357</v>
      </c>
      <c r="U24" s="83" t="s">
        <v>362</v>
      </c>
      <c r="V24" s="85" t="s">
        <v>106</v>
      </c>
      <c r="W24" s="85" t="s">
        <v>124</v>
      </c>
      <c r="X24" s="85">
        <v>0</v>
      </c>
      <c r="Y24" s="254">
        <v>1.530479896238651</v>
      </c>
      <c r="Z24" s="85" t="s">
        <v>112</v>
      </c>
      <c r="AA24" s="85" t="s">
        <v>170</v>
      </c>
      <c r="AB24" s="85">
        <v>0</v>
      </c>
      <c r="AC24" s="85">
        <v>0</v>
      </c>
      <c r="AD24" s="85">
        <v>0</v>
      </c>
      <c r="AE24" s="85">
        <v>0</v>
      </c>
      <c r="AF24" s="85">
        <v>0</v>
      </c>
      <c r="AG24" s="85">
        <v>0</v>
      </c>
      <c r="AH24" s="85">
        <v>0</v>
      </c>
      <c r="AI24" s="85">
        <v>0</v>
      </c>
      <c r="AJ24" s="85">
        <v>0</v>
      </c>
    </row>
    <row r="25" spans="1:36" ht="15.95" customHeight="1" x14ac:dyDescent="0.25">
      <c r="A25" s="82">
        <v>140090075</v>
      </c>
      <c r="B25" s="82" t="s">
        <v>303</v>
      </c>
      <c r="C25" s="83" t="s">
        <v>25</v>
      </c>
      <c r="D25" s="83" t="s">
        <v>305</v>
      </c>
      <c r="E25" s="84">
        <v>257</v>
      </c>
      <c r="F25" s="84" t="s">
        <v>363</v>
      </c>
      <c r="G25" s="84" t="s">
        <v>363</v>
      </c>
      <c r="H25" s="84" t="s">
        <v>356</v>
      </c>
      <c r="I25" s="84" t="s">
        <v>307</v>
      </c>
      <c r="J25" s="84" t="s">
        <v>356</v>
      </c>
      <c r="K25" s="83" t="s">
        <v>27</v>
      </c>
      <c r="L25" s="84" t="s">
        <v>339</v>
      </c>
      <c r="M25" s="84" t="s">
        <v>339</v>
      </c>
      <c r="N25" s="84" t="s">
        <v>309</v>
      </c>
      <c r="O25" s="84" t="s">
        <v>310</v>
      </c>
      <c r="P25" s="82" t="s">
        <v>311</v>
      </c>
      <c r="Q25" s="84" t="s">
        <v>24</v>
      </c>
      <c r="R25" s="83" t="s">
        <v>29</v>
      </c>
      <c r="S25" s="83" t="s">
        <v>357</v>
      </c>
      <c r="T25" s="83" t="s">
        <v>357</v>
      </c>
      <c r="U25" s="83" t="s">
        <v>351</v>
      </c>
      <c r="V25" s="85" t="s">
        <v>106</v>
      </c>
      <c r="W25" s="85" t="s">
        <v>124</v>
      </c>
      <c r="X25" s="85">
        <v>0</v>
      </c>
      <c r="Y25" s="254">
        <v>1.530479896238651</v>
      </c>
      <c r="Z25" s="85" t="s">
        <v>112</v>
      </c>
      <c r="AA25" s="85" t="s">
        <v>170</v>
      </c>
      <c r="AB25" s="85">
        <v>0</v>
      </c>
      <c r="AC25" s="85">
        <v>0</v>
      </c>
      <c r="AD25" s="85">
        <v>0</v>
      </c>
      <c r="AE25" s="85">
        <v>0</v>
      </c>
      <c r="AF25" s="85">
        <v>0</v>
      </c>
      <c r="AG25" s="85">
        <v>0</v>
      </c>
      <c r="AH25" s="85">
        <v>0</v>
      </c>
      <c r="AI25" s="85">
        <v>0</v>
      </c>
      <c r="AJ25" s="85">
        <v>0</v>
      </c>
    </row>
    <row r="26" spans="1:36" ht="15.95" customHeight="1" x14ac:dyDescent="0.25">
      <c r="A26" s="82">
        <v>140090098</v>
      </c>
      <c r="B26" s="82" t="s">
        <v>303</v>
      </c>
      <c r="C26" s="83" t="s">
        <v>30</v>
      </c>
      <c r="D26" s="83" t="s">
        <v>305</v>
      </c>
      <c r="E26" s="84">
        <v>187</v>
      </c>
      <c r="F26" s="84" t="s">
        <v>224</v>
      </c>
      <c r="G26" s="84" t="s">
        <v>224</v>
      </c>
      <c r="H26" s="84" t="s">
        <v>224</v>
      </c>
      <c r="I26" s="84" t="s">
        <v>307</v>
      </c>
      <c r="J26" s="84" t="s">
        <v>330</v>
      </c>
      <c r="K26" s="83" t="s">
        <v>3</v>
      </c>
      <c r="L26" s="84" t="s">
        <v>339</v>
      </c>
      <c r="M26" s="84" t="s">
        <v>339</v>
      </c>
      <c r="N26" s="84" t="s">
        <v>309</v>
      </c>
      <c r="O26" s="84" t="s">
        <v>310</v>
      </c>
      <c r="P26" s="82" t="s">
        <v>311</v>
      </c>
      <c r="Q26" s="84" t="s">
        <v>24</v>
      </c>
      <c r="R26" s="83" t="s">
        <v>26</v>
      </c>
      <c r="S26" s="83" t="s">
        <v>357</v>
      </c>
      <c r="T26" s="83" t="s">
        <v>357</v>
      </c>
      <c r="U26" s="83" t="s">
        <v>351</v>
      </c>
      <c r="V26" s="85" t="s">
        <v>106</v>
      </c>
      <c r="W26" s="85" t="s">
        <v>124</v>
      </c>
      <c r="X26" s="85">
        <v>0</v>
      </c>
      <c r="Y26" s="254">
        <v>1.1014666267584556</v>
      </c>
      <c r="Z26" s="85" t="s">
        <v>112</v>
      </c>
      <c r="AA26" s="85" t="s">
        <v>170</v>
      </c>
      <c r="AB26" s="85">
        <v>0</v>
      </c>
      <c r="AC26" s="85">
        <v>0</v>
      </c>
      <c r="AD26" s="85">
        <v>0</v>
      </c>
      <c r="AE26" s="85">
        <v>0</v>
      </c>
      <c r="AF26" s="85">
        <v>0</v>
      </c>
      <c r="AG26" s="85">
        <v>0</v>
      </c>
      <c r="AH26" s="85">
        <v>0</v>
      </c>
      <c r="AI26" s="85">
        <v>0</v>
      </c>
      <c r="AJ26" s="85">
        <v>0</v>
      </c>
    </row>
    <row r="27" spans="1:36" ht="15.95" customHeight="1" x14ac:dyDescent="0.25">
      <c r="A27" s="82">
        <v>140090143</v>
      </c>
      <c r="B27" s="82" t="s">
        <v>317</v>
      </c>
      <c r="C27" s="83" t="s">
        <v>31</v>
      </c>
      <c r="D27" s="83" t="s">
        <v>318</v>
      </c>
      <c r="E27" s="84">
        <v>227</v>
      </c>
      <c r="F27" s="84" t="s">
        <v>224</v>
      </c>
      <c r="G27" s="84" t="s">
        <v>224</v>
      </c>
      <c r="H27" s="84" t="s">
        <v>224</v>
      </c>
      <c r="I27" s="84" t="s">
        <v>307</v>
      </c>
      <c r="J27" s="84" t="s">
        <v>361</v>
      </c>
      <c r="K27" s="83" t="s">
        <v>27</v>
      </c>
      <c r="L27" s="84" t="s">
        <v>339</v>
      </c>
      <c r="M27" s="84" t="s">
        <v>339</v>
      </c>
      <c r="N27" s="84" t="s">
        <v>309</v>
      </c>
      <c r="O27" s="84" t="s">
        <v>310</v>
      </c>
      <c r="P27" s="82" t="s">
        <v>311</v>
      </c>
      <c r="Q27" s="84" t="s">
        <v>24</v>
      </c>
      <c r="R27" s="83" t="s">
        <v>28</v>
      </c>
      <c r="S27" s="83" t="s">
        <v>357</v>
      </c>
      <c r="T27" s="83" t="s">
        <v>357</v>
      </c>
      <c r="U27" s="83" t="s">
        <v>362</v>
      </c>
      <c r="V27" s="85" t="s">
        <v>106</v>
      </c>
      <c r="W27" s="85" t="s">
        <v>124</v>
      </c>
      <c r="X27" s="85">
        <v>0</v>
      </c>
      <c r="Y27" s="254">
        <v>2.7237354085603114</v>
      </c>
      <c r="Z27" s="85" t="s">
        <v>112</v>
      </c>
      <c r="AA27" s="85" t="s">
        <v>123</v>
      </c>
      <c r="AB27" s="85" t="s">
        <v>113</v>
      </c>
      <c r="AC27" s="85">
        <v>6.9</v>
      </c>
      <c r="AD27" s="85" t="s">
        <v>125</v>
      </c>
      <c r="AE27" s="85" t="s">
        <v>126</v>
      </c>
      <c r="AF27" s="85" t="s">
        <v>127</v>
      </c>
      <c r="AG27" s="85">
        <v>12.96</v>
      </c>
      <c r="AH27" s="85" t="s">
        <v>128</v>
      </c>
      <c r="AI27" s="85" t="s">
        <v>129</v>
      </c>
      <c r="AJ27" s="85" t="s">
        <v>130</v>
      </c>
    </row>
    <row r="28" spans="1:36" ht="15.95" customHeight="1" x14ac:dyDescent="0.25">
      <c r="A28" s="82">
        <v>140120021</v>
      </c>
      <c r="B28" s="82" t="s">
        <v>313</v>
      </c>
      <c r="C28" s="83" t="s">
        <v>33</v>
      </c>
      <c r="D28" s="83" t="s">
        <v>314</v>
      </c>
      <c r="E28" s="84">
        <v>223</v>
      </c>
      <c r="F28" s="84" t="s">
        <v>337</v>
      </c>
      <c r="G28" s="84" t="s">
        <v>337</v>
      </c>
      <c r="H28" s="84" t="s">
        <v>337</v>
      </c>
      <c r="I28" s="84" t="s">
        <v>307</v>
      </c>
      <c r="J28" s="84" t="s">
        <v>337</v>
      </c>
      <c r="K28" s="83" t="s">
        <v>27</v>
      </c>
      <c r="L28" s="84" t="s">
        <v>306</v>
      </c>
      <c r="M28" s="84" t="s">
        <v>306</v>
      </c>
      <c r="N28" s="84" t="s">
        <v>309</v>
      </c>
      <c r="O28" s="84" t="s">
        <v>309</v>
      </c>
      <c r="P28" s="82" t="s">
        <v>311</v>
      </c>
      <c r="Q28" s="84" t="s">
        <v>32</v>
      </c>
      <c r="R28" s="83" t="s">
        <v>18</v>
      </c>
      <c r="S28" s="83" t="s">
        <v>325</v>
      </c>
      <c r="T28" s="83" t="s">
        <v>325</v>
      </c>
      <c r="U28" s="83" t="s">
        <v>364</v>
      </c>
      <c r="V28" s="85" t="s">
        <v>106</v>
      </c>
      <c r="W28" s="85" t="s">
        <v>124</v>
      </c>
      <c r="X28" s="85">
        <v>0</v>
      </c>
      <c r="Y28" s="254">
        <v>0.82809538062456345</v>
      </c>
      <c r="Z28" s="85">
        <v>0</v>
      </c>
      <c r="AA28" s="85">
        <v>0</v>
      </c>
      <c r="AB28" s="85">
        <v>0</v>
      </c>
      <c r="AC28" s="85">
        <v>0</v>
      </c>
      <c r="AD28" s="85">
        <v>0</v>
      </c>
      <c r="AE28" s="85">
        <v>0</v>
      </c>
      <c r="AF28" s="85">
        <v>0</v>
      </c>
      <c r="AG28" s="85">
        <v>0</v>
      </c>
      <c r="AH28" s="85">
        <v>0</v>
      </c>
      <c r="AI28" s="85">
        <v>0</v>
      </c>
      <c r="AJ28" s="85">
        <v>0</v>
      </c>
    </row>
    <row r="29" spans="1:36" ht="15.95" customHeight="1" x14ac:dyDescent="0.25">
      <c r="A29" s="82">
        <v>140120058</v>
      </c>
      <c r="B29" s="82" t="s">
        <v>313</v>
      </c>
      <c r="C29" s="83" t="s">
        <v>34</v>
      </c>
      <c r="D29" s="83" t="s">
        <v>314</v>
      </c>
      <c r="E29" s="84">
        <v>223</v>
      </c>
      <c r="F29" s="84" t="s">
        <v>337</v>
      </c>
      <c r="G29" s="84" t="s">
        <v>337</v>
      </c>
      <c r="H29" s="84" t="s">
        <v>337</v>
      </c>
      <c r="I29" s="84" t="s">
        <v>307</v>
      </c>
      <c r="J29" s="84" t="s">
        <v>337</v>
      </c>
      <c r="K29" s="83" t="s">
        <v>27</v>
      </c>
      <c r="L29" s="84" t="s">
        <v>306</v>
      </c>
      <c r="M29" s="84" t="s">
        <v>306</v>
      </c>
      <c r="N29" s="84" t="s">
        <v>306</v>
      </c>
      <c r="O29" s="84" t="s">
        <v>309</v>
      </c>
      <c r="P29" s="82" t="s">
        <v>311</v>
      </c>
      <c r="Q29" s="84" t="s">
        <v>32</v>
      </c>
      <c r="R29" s="83" t="s">
        <v>18</v>
      </c>
      <c r="S29" s="83" t="s">
        <v>325</v>
      </c>
      <c r="T29" s="83" t="s">
        <v>325</v>
      </c>
      <c r="U29" s="83" t="s">
        <v>325</v>
      </c>
      <c r="V29" s="85" t="s">
        <v>106</v>
      </c>
      <c r="W29" s="85" t="s">
        <v>124</v>
      </c>
      <c r="X29" s="85">
        <v>0</v>
      </c>
      <c r="Y29" s="254">
        <v>0.74827895839568992</v>
      </c>
      <c r="Z29" s="85">
        <v>0</v>
      </c>
      <c r="AA29" s="85">
        <v>0</v>
      </c>
      <c r="AB29" s="85">
        <v>0</v>
      </c>
      <c r="AC29" s="85">
        <v>0</v>
      </c>
      <c r="AD29" s="85">
        <v>0</v>
      </c>
      <c r="AE29" s="85">
        <v>0</v>
      </c>
      <c r="AF29" s="85">
        <v>0</v>
      </c>
      <c r="AG29" s="85">
        <v>0</v>
      </c>
      <c r="AH29" s="85">
        <v>0</v>
      </c>
      <c r="AI29" s="85">
        <v>0</v>
      </c>
      <c r="AJ29" s="85">
        <v>0</v>
      </c>
    </row>
    <row r="30" spans="1:36" ht="15.95" customHeight="1" x14ac:dyDescent="0.25">
      <c r="A30" s="82">
        <v>140160010</v>
      </c>
      <c r="B30" s="82" t="s">
        <v>365</v>
      </c>
      <c r="C30" s="83" t="s">
        <v>36</v>
      </c>
      <c r="D30" s="83" t="s">
        <v>366</v>
      </c>
      <c r="E30" s="84">
        <v>167</v>
      </c>
      <c r="F30" s="84" t="s">
        <v>367</v>
      </c>
      <c r="G30" s="84" t="s">
        <v>367</v>
      </c>
      <c r="H30" s="84" t="s">
        <v>368</v>
      </c>
      <c r="I30" s="84" t="s">
        <v>307</v>
      </c>
      <c r="J30" s="84" t="s">
        <v>368</v>
      </c>
      <c r="K30" s="83" t="s">
        <v>27</v>
      </c>
      <c r="L30" s="84" t="s">
        <v>309</v>
      </c>
      <c r="M30" s="84" t="s">
        <v>309</v>
      </c>
      <c r="N30" s="84" t="s">
        <v>309</v>
      </c>
      <c r="O30" s="84" t="s">
        <v>309</v>
      </c>
      <c r="P30" s="82" t="s">
        <v>315</v>
      </c>
      <c r="Q30" s="84" t="s">
        <v>35</v>
      </c>
      <c r="R30" s="83" t="s">
        <v>307</v>
      </c>
      <c r="S30" s="83" t="s">
        <v>369</v>
      </c>
      <c r="T30" s="83" t="s">
        <v>369</v>
      </c>
      <c r="U30" s="83" t="s">
        <v>369</v>
      </c>
      <c r="V30" s="85" t="s">
        <v>106</v>
      </c>
      <c r="W30" s="85" t="s">
        <v>124</v>
      </c>
      <c r="X30" s="85">
        <v>0</v>
      </c>
      <c r="Y30" s="254">
        <v>1.3069939139978051</v>
      </c>
      <c r="Z30" s="85">
        <v>0</v>
      </c>
      <c r="AA30" s="85">
        <v>0</v>
      </c>
      <c r="AB30" s="85">
        <v>0</v>
      </c>
      <c r="AC30" s="85">
        <v>0</v>
      </c>
      <c r="AD30" s="85">
        <v>0</v>
      </c>
      <c r="AE30" s="85">
        <v>0</v>
      </c>
      <c r="AF30" s="85">
        <v>0</v>
      </c>
      <c r="AG30" s="85">
        <v>0</v>
      </c>
      <c r="AH30" s="85">
        <v>0</v>
      </c>
      <c r="AI30" s="85">
        <v>0</v>
      </c>
      <c r="AJ30" s="85">
        <v>0</v>
      </c>
    </row>
    <row r="31" spans="1:36" ht="15.95" customHeight="1" x14ac:dyDescent="0.25">
      <c r="A31" s="82">
        <v>140160015</v>
      </c>
      <c r="B31" s="82" t="s">
        <v>303</v>
      </c>
      <c r="C31" s="83" t="s">
        <v>370</v>
      </c>
      <c r="D31" s="83" t="s">
        <v>305</v>
      </c>
      <c r="E31" s="84">
        <v>160</v>
      </c>
      <c r="F31" s="84" t="s">
        <v>224</v>
      </c>
      <c r="G31" s="84" t="s">
        <v>224</v>
      </c>
      <c r="H31" s="84" t="s">
        <v>224</v>
      </c>
      <c r="I31" s="84" t="s">
        <v>307</v>
      </c>
      <c r="J31" s="84" t="s">
        <v>350</v>
      </c>
      <c r="K31" s="83" t="s">
        <v>27</v>
      </c>
      <c r="L31" s="84" t="s">
        <v>309</v>
      </c>
      <c r="M31" s="84" t="s">
        <v>309</v>
      </c>
      <c r="N31" s="84" t="s">
        <v>309</v>
      </c>
      <c r="O31" s="84" t="s">
        <v>309</v>
      </c>
      <c r="P31" s="82" t="s">
        <v>315</v>
      </c>
      <c r="Q31" s="84" t="s">
        <v>35</v>
      </c>
      <c r="R31" s="83" t="s">
        <v>43</v>
      </c>
      <c r="S31" s="83" t="s">
        <v>309</v>
      </c>
      <c r="T31" s="83" t="s">
        <v>309</v>
      </c>
      <c r="U31" s="83" t="s">
        <v>309</v>
      </c>
      <c r="V31" s="85" t="s">
        <v>182</v>
      </c>
      <c r="W31" s="85" t="s">
        <v>182</v>
      </c>
      <c r="X31" s="85" t="s">
        <v>182</v>
      </c>
      <c r="Y31" s="254" t="s">
        <v>182</v>
      </c>
      <c r="Z31" s="85" t="s">
        <v>182</v>
      </c>
      <c r="AA31" s="85" t="s">
        <v>182</v>
      </c>
      <c r="AB31" s="85" t="s">
        <v>182</v>
      </c>
      <c r="AC31" s="85" t="s">
        <v>182</v>
      </c>
      <c r="AD31" s="85" t="s">
        <v>182</v>
      </c>
      <c r="AE31" s="85" t="s">
        <v>182</v>
      </c>
      <c r="AF31" s="85" t="s">
        <v>182</v>
      </c>
      <c r="AG31" s="85" t="s">
        <v>182</v>
      </c>
      <c r="AH31" s="85" t="s">
        <v>182</v>
      </c>
      <c r="AI31" s="85" t="s">
        <v>182</v>
      </c>
      <c r="AJ31" s="85" t="s">
        <v>182</v>
      </c>
    </row>
    <row r="32" spans="1:36" ht="15.95" customHeight="1" x14ac:dyDescent="0.25">
      <c r="A32" s="82">
        <v>140220011</v>
      </c>
      <c r="B32" s="82" t="s">
        <v>371</v>
      </c>
      <c r="C32" s="83" t="s">
        <v>38</v>
      </c>
      <c r="D32" s="83" t="s">
        <v>318</v>
      </c>
      <c r="E32" s="84">
        <v>183</v>
      </c>
      <c r="F32" s="84" t="s">
        <v>310</v>
      </c>
      <c r="G32" s="84" t="s">
        <v>310</v>
      </c>
      <c r="H32" s="84" t="s">
        <v>350</v>
      </c>
      <c r="I32" s="84" t="s">
        <v>307</v>
      </c>
      <c r="J32" s="84" t="s">
        <v>350</v>
      </c>
      <c r="K32" s="83" t="s">
        <v>27</v>
      </c>
      <c r="L32" s="84" t="s">
        <v>372</v>
      </c>
      <c r="M32" s="84" t="s">
        <v>372</v>
      </c>
      <c r="N32" s="84" t="s">
        <v>372</v>
      </c>
      <c r="O32" s="84" t="s">
        <v>310</v>
      </c>
      <c r="P32" s="82" t="s">
        <v>315</v>
      </c>
      <c r="Q32" s="84" t="s">
        <v>37</v>
      </c>
      <c r="R32" s="83" t="s">
        <v>325</v>
      </c>
      <c r="S32" s="83" t="s">
        <v>373</v>
      </c>
      <c r="T32" s="83" t="s">
        <v>373</v>
      </c>
      <c r="U32" s="83" t="s">
        <v>374</v>
      </c>
      <c r="V32" s="85" t="s">
        <v>106</v>
      </c>
      <c r="W32" s="85" t="s">
        <v>124</v>
      </c>
      <c r="X32" s="85">
        <v>0</v>
      </c>
      <c r="Y32" s="254">
        <v>1.207223386211713</v>
      </c>
      <c r="Z32" s="85" t="s">
        <v>168</v>
      </c>
      <c r="AA32" s="85" t="s">
        <v>169</v>
      </c>
      <c r="AB32" s="85">
        <v>0</v>
      </c>
      <c r="AC32" s="85">
        <v>0</v>
      </c>
      <c r="AD32" s="85">
        <v>0</v>
      </c>
      <c r="AE32" s="85">
        <v>0</v>
      </c>
      <c r="AF32" s="85">
        <v>0</v>
      </c>
      <c r="AG32" s="85">
        <v>0</v>
      </c>
      <c r="AH32" s="85">
        <v>0</v>
      </c>
      <c r="AI32" s="85">
        <v>0</v>
      </c>
      <c r="AJ32" s="85">
        <v>0</v>
      </c>
    </row>
    <row r="33" spans="1:36" ht="15.95" customHeight="1" x14ac:dyDescent="0.25">
      <c r="A33" s="82">
        <v>140220012</v>
      </c>
      <c r="B33" s="82" t="s">
        <v>371</v>
      </c>
      <c r="C33" s="83" t="s">
        <v>39</v>
      </c>
      <c r="D33" s="83" t="s">
        <v>318</v>
      </c>
      <c r="E33" s="84">
        <v>192</v>
      </c>
      <c r="F33" s="84" t="s">
        <v>337</v>
      </c>
      <c r="G33" s="84" t="s">
        <v>337</v>
      </c>
      <c r="H33" s="84" t="s">
        <v>375</v>
      </c>
      <c r="I33" s="84" t="s">
        <v>307</v>
      </c>
      <c r="J33" s="84" t="s">
        <v>375</v>
      </c>
      <c r="K33" s="83" t="s">
        <v>27</v>
      </c>
      <c r="L33" s="84" t="s">
        <v>372</v>
      </c>
      <c r="M33" s="84" t="s">
        <v>372</v>
      </c>
      <c r="N33" s="84" t="s">
        <v>309</v>
      </c>
      <c r="O33" s="84" t="s">
        <v>310</v>
      </c>
      <c r="P33" s="82" t="s">
        <v>315</v>
      </c>
      <c r="Q33" s="84" t="s">
        <v>37</v>
      </c>
      <c r="R33" s="83" t="s">
        <v>376</v>
      </c>
      <c r="S33" s="83" t="s">
        <v>374</v>
      </c>
      <c r="T33" s="83" t="s">
        <v>374</v>
      </c>
      <c r="U33" s="83" t="s">
        <v>377</v>
      </c>
      <c r="V33" s="85" t="s">
        <v>106</v>
      </c>
      <c r="W33" s="85" t="s">
        <v>174</v>
      </c>
      <c r="X33" s="85">
        <v>0</v>
      </c>
      <c r="Y33" s="254">
        <v>1.9455252918287937</v>
      </c>
      <c r="Z33" s="85" t="s">
        <v>169</v>
      </c>
      <c r="AA33" s="85" t="s">
        <v>170</v>
      </c>
      <c r="AB33" s="85" t="s">
        <v>123</v>
      </c>
      <c r="AC33" s="85">
        <v>6.9</v>
      </c>
      <c r="AD33" s="85" t="s">
        <v>125</v>
      </c>
      <c r="AE33" s="85" t="s">
        <v>126</v>
      </c>
      <c r="AF33" s="85" t="s">
        <v>127</v>
      </c>
      <c r="AG33" s="85">
        <v>14.45</v>
      </c>
      <c r="AH33" s="85" t="s">
        <v>133</v>
      </c>
      <c r="AI33" s="85" t="s">
        <v>134</v>
      </c>
      <c r="AJ33" s="85">
        <v>0</v>
      </c>
    </row>
    <row r="34" spans="1:36" ht="15.95" customHeight="1" x14ac:dyDescent="0.25">
      <c r="A34" s="82">
        <v>140220013</v>
      </c>
      <c r="B34" s="82" t="s">
        <v>313</v>
      </c>
      <c r="C34" s="83" t="s">
        <v>48</v>
      </c>
      <c r="D34" s="83" t="s">
        <v>378</v>
      </c>
      <c r="E34" s="84">
        <v>172</v>
      </c>
      <c r="F34" s="84" t="s">
        <v>224</v>
      </c>
      <c r="G34" s="84" t="s">
        <v>224</v>
      </c>
      <c r="H34" s="84" t="s">
        <v>224</v>
      </c>
      <c r="I34" s="84" t="s">
        <v>379</v>
      </c>
      <c r="J34" s="84" t="s">
        <v>368</v>
      </c>
      <c r="K34" s="83" t="s">
        <v>40</v>
      </c>
      <c r="L34" s="84" t="s">
        <v>309</v>
      </c>
      <c r="M34" s="84" t="s">
        <v>309</v>
      </c>
      <c r="N34" s="84" t="s">
        <v>309</v>
      </c>
      <c r="O34" s="84" t="s">
        <v>309</v>
      </c>
      <c r="P34" s="82" t="s">
        <v>380</v>
      </c>
      <c r="Q34" s="84" t="s">
        <v>37</v>
      </c>
      <c r="R34" s="83" t="s">
        <v>224</v>
      </c>
      <c r="S34" s="83" t="s">
        <v>325</v>
      </c>
      <c r="T34" s="83" t="s">
        <v>325</v>
      </c>
      <c r="U34" s="83" t="s">
        <v>325</v>
      </c>
      <c r="V34" s="85" t="s">
        <v>182</v>
      </c>
      <c r="W34" s="85" t="s">
        <v>182</v>
      </c>
      <c r="X34" s="85" t="s">
        <v>182</v>
      </c>
      <c r="Y34" s="254" t="s">
        <v>182</v>
      </c>
      <c r="Z34" s="85" t="s">
        <v>182</v>
      </c>
      <c r="AA34" s="85" t="s">
        <v>182</v>
      </c>
      <c r="AB34" s="85" t="s">
        <v>182</v>
      </c>
      <c r="AC34" s="85" t="s">
        <v>182</v>
      </c>
      <c r="AD34" s="85" t="s">
        <v>182</v>
      </c>
      <c r="AE34" s="85" t="s">
        <v>182</v>
      </c>
      <c r="AF34" s="85" t="s">
        <v>182</v>
      </c>
      <c r="AG34" s="85" t="s">
        <v>182</v>
      </c>
      <c r="AH34" s="85" t="s">
        <v>182</v>
      </c>
      <c r="AI34" s="85" t="s">
        <v>182</v>
      </c>
      <c r="AJ34" s="85" t="s">
        <v>182</v>
      </c>
    </row>
    <row r="35" spans="1:36" ht="15.95" customHeight="1" x14ac:dyDescent="0.25">
      <c r="A35" s="82">
        <v>140220018</v>
      </c>
      <c r="B35" s="82" t="s">
        <v>371</v>
      </c>
      <c r="C35" s="83" t="s">
        <v>381</v>
      </c>
      <c r="D35" s="83" t="s">
        <v>318</v>
      </c>
      <c r="E35" s="84">
        <v>170</v>
      </c>
      <c r="F35" s="84" t="s">
        <v>310</v>
      </c>
      <c r="G35" s="84" t="s">
        <v>310</v>
      </c>
      <c r="H35" s="84" t="s">
        <v>343</v>
      </c>
      <c r="I35" s="84" t="s">
        <v>307</v>
      </c>
      <c r="J35" s="84" t="s">
        <v>343</v>
      </c>
      <c r="K35" s="83" t="s">
        <v>27</v>
      </c>
      <c r="L35" s="84" t="s">
        <v>309</v>
      </c>
      <c r="M35" s="84" t="s">
        <v>309</v>
      </c>
      <c r="N35" s="84" t="s">
        <v>309</v>
      </c>
      <c r="O35" s="84" t="s">
        <v>310</v>
      </c>
      <c r="P35" s="82" t="s">
        <v>315</v>
      </c>
      <c r="Q35" s="84" t="s">
        <v>37</v>
      </c>
      <c r="R35" s="83" t="s">
        <v>109</v>
      </c>
      <c r="S35" s="83" t="s">
        <v>382</v>
      </c>
      <c r="T35" s="83" t="s">
        <v>382</v>
      </c>
      <c r="U35" s="83" t="s">
        <v>382</v>
      </c>
      <c r="V35" s="85" t="s">
        <v>106</v>
      </c>
      <c r="W35" s="85" t="s">
        <v>124</v>
      </c>
      <c r="X35" s="85">
        <v>0</v>
      </c>
      <c r="Y35" s="254">
        <v>1.4067644417838969</v>
      </c>
      <c r="Z35" s="85" t="s">
        <v>163</v>
      </c>
      <c r="AA35" s="85" t="s">
        <v>163</v>
      </c>
      <c r="AB35" s="85" t="s">
        <v>123</v>
      </c>
      <c r="AC35" s="85">
        <v>0</v>
      </c>
      <c r="AD35" s="85">
        <v>0</v>
      </c>
      <c r="AE35" s="85">
        <v>0</v>
      </c>
      <c r="AF35" s="85">
        <v>0</v>
      </c>
      <c r="AG35" s="85">
        <v>0</v>
      </c>
      <c r="AH35" s="85">
        <v>0</v>
      </c>
      <c r="AI35" s="85">
        <v>0</v>
      </c>
      <c r="AJ35" s="85">
        <v>0</v>
      </c>
    </row>
    <row r="36" spans="1:36" ht="15.95" customHeight="1" x14ac:dyDescent="0.25">
      <c r="A36" s="82">
        <v>140230010</v>
      </c>
      <c r="B36" s="82" t="s">
        <v>383</v>
      </c>
      <c r="C36" s="83" t="s">
        <v>42</v>
      </c>
      <c r="D36" s="83" t="s">
        <v>384</v>
      </c>
      <c r="E36" s="84">
        <v>200</v>
      </c>
      <c r="F36" s="84" t="s">
        <v>224</v>
      </c>
      <c r="G36" s="84" t="s">
        <v>224</v>
      </c>
      <c r="H36" s="84" t="s">
        <v>224</v>
      </c>
      <c r="I36" s="84" t="s">
        <v>307</v>
      </c>
      <c r="J36" s="84" t="s">
        <v>385</v>
      </c>
      <c r="K36" s="83" t="s">
        <v>27</v>
      </c>
      <c r="L36" s="84" t="s">
        <v>339</v>
      </c>
      <c r="M36" s="84" t="s">
        <v>339</v>
      </c>
      <c r="N36" s="84" t="s">
        <v>339</v>
      </c>
      <c r="O36" s="84" t="s">
        <v>309</v>
      </c>
      <c r="P36" s="82" t="s">
        <v>386</v>
      </c>
      <c r="Q36" s="84" t="s">
        <v>387</v>
      </c>
      <c r="R36" s="83" t="s">
        <v>43</v>
      </c>
      <c r="S36" s="83" t="s">
        <v>388</v>
      </c>
      <c r="T36" s="83" t="s">
        <v>388</v>
      </c>
      <c r="U36" s="83" t="s">
        <v>388</v>
      </c>
      <c r="V36" s="85" t="s">
        <v>106</v>
      </c>
      <c r="W36" s="85" t="s">
        <v>124</v>
      </c>
      <c r="X36" s="85">
        <v>0</v>
      </c>
      <c r="Y36" s="254">
        <v>1.0615584156440188</v>
      </c>
      <c r="Z36" s="85">
        <v>0</v>
      </c>
      <c r="AA36" s="85">
        <v>0</v>
      </c>
      <c r="AB36" s="85">
        <v>0</v>
      </c>
      <c r="AC36" s="85">
        <v>0</v>
      </c>
      <c r="AD36" s="85">
        <v>0</v>
      </c>
      <c r="AE36" s="85">
        <v>0</v>
      </c>
      <c r="AF36" s="85">
        <v>0</v>
      </c>
      <c r="AG36" s="85">
        <v>0</v>
      </c>
      <c r="AH36" s="85">
        <v>0</v>
      </c>
      <c r="AI36" s="85">
        <v>0</v>
      </c>
      <c r="AJ36" s="85">
        <v>0</v>
      </c>
    </row>
    <row r="37" spans="1:36" ht="15.95" customHeight="1" x14ac:dyDescent="0.25">
      <c r="A37" s="82">
        <v>140230023</v>
      </c>
      <c r="B37" s="82" t="s">
        <v>365</v>
      </c>
      <c r="C37" s="83" t="s">
        <v>44</v>
      </c>
      <c r="D37" s="83" t="s">
        <v>305</v>
      </c>
      <c r="E37" s="84">
        <v>145</v>
      </c>
      <c r="F37" s="84" t="s">
        <v>224</v>
      </c>
      <c r="G37" s="84" t="s">
        <v>224</v>
      </c>
      <c r="H37" s="84" t="s">
        <v>224</v>
      </c>
      <c r="I37" s="84" t="s">
        <v>307</v>
      </c>
      <c r="J37" s="84" t="s">
        <v>385</v>
      </c>
      <c r="K37" s="83" t="s">
        <v>27</v>
      </c>
      <c r="L37" s="84" t="s">
        <v>339</v>
      </c>
      <c r="M37" s="84" t="s">
        <v>339</v>
      </c>
      <c r="N37" s="84" t="s">
        <v>339</v>
      </c>
      <c r="O37" s="84" t="s">
        <v>310</v>
      </c>
      <c r="P37" s="82" t="s">
        <v>315</v>
      </c>
      <c r="Q37" s="84" t="s">
        <v>389</v>
      </c>
      <c r="R37" s="83" t="s">
        <v>43</v>
      </c>
      <c r="S37" s="83" t="s">
        <v>388</v>
      </c>
      <c r="T37" s="83" t="s">
        <v>388</v>
      </c>
      <c r="U37" s="83" t="s">
        <v>388</v>
      </c>
      <c r="V37" s="85" t="s">
        <v>106</v>
      </c>
      <c r="W37" s="85" t="s">
        <v>124</v>
      </c>
      <c r="X37" s="85">
        <v>0</v>
      </c>
      <c r="Y37" s="254">
        <v>1.0615584156440188</v>
      </c>
      <c r="Z37" s="85">
        <v>0</v>
      </c>
      <c r="AA37" s="85">
        <v>0</v>
      </c>
      <c r="AB37" s="85">
        <v>0</v>
      </c>
      <c r="AC37" s="85">
        <v>0</v>
      </c>
      <c r="AD37" s="85">
        <v>0</v>
      </c>
      <c r="AE37" s="85">
        <v>0</v>
      </c>
      <c r="AF37" s="85">
        <v>0</v>
      </c>
      <c r="AG37" s="85">
        <v>0</v>
      </c>
      <c r="AH37" s="85">
        <v>0</v>
      </c>
      <c r="AI37" s="85">
        <v>0</v>
      </c>
      <c r="AJ37" s="85">
        <v>0</v>
      </c>
    </row>
    <row r="38" spans="1:36" ht="15.95" customHeight="1" x14ac:dyDescent="0.25">
      <c r="A38" s="82">
        <v>140230061</v>
      </c>
      <c r="B38" s="82" t="s">
        <v>390</v>
      </c>
      <c r="C38" s="83" t="s">
        <v>45</v>
      </c>
      <c r="D38" s="83" t="s">
        <v>391</v>
      </c>
      <c r="E38" s="84">
        <v>145</v>
      </c>
      <c r="F38" s="84" t="s">
        <v>224</v>
      </c>
      <c r="G38" s="84" t="s">
        <v>224</v>
      </c>
      <c r="H38" s="84" t="s">
        <v>224</v>
      </c>
      <c r="I38" s="84" t="s">
        <v>307</v>
      </c>
      <c r="J38" s="84" t="s">
        <v>385</v>
      </c>
      <c r="K38" s="83" t="s">
        <v>27</v>
      </c>
      <c r="L38" s="84" t="s">
        <v>339</v>
      </c>
      <c r="M38" s="84" t="s">
        <v>339</v>
      </c>
      <c r="N38" s="84" t="s">
        <v>339</v>
      </c>
      <c r="O38" s="84" t="s">
        <v>309</v>
      </c>
      <c r="P38" s="82" t="s">
        <v>315</v>
      </c>
      <c r="Q38" s="84" t="s">
        <v>392</v>
      </c>
      <c r="R38" s="83" t="s">
        <v>43</v>
      </c>
      <c r="S38" s="83" t="s">
        <v>388</v>
      </c>
      <c r="T38" s="83" t="s">
        <v>388</v>
      </c>
      <c r="U38" s="83" t="s">
        <v>388</v>
      </c>
      <c r="V38" s="85" t="s">
        <v>106</v>
      </c>
      <c r="W38" s="85" t="s">
        <v>124</v>
      </c>
      <c r="X38" s="85">
        <v>0</v>
      </c>
      <c r="Y38" s="254">
        <v>1.0615584156440188</v>
      </c>
      <c r="Z38" s="85">
        <v>0</v>
      </c>
      <c r="AA38" s="85">
        <v>0</v>
      </c>
      <c r="AB38" s="85">
        <v>0</v>
      </c>
      <c r="AC38" s="85">
        <v>0</v>
      </c>
      <c r="AD38" s="85">
        <v>0</v>
      </c>
      <c r="AE38" s="85">
        <v>0</v>
      </c>
      <c r="AF38" s="85">
        <v>0</v>
      </c>
      <c r="AG38" s="85">
        <v>0</v>
      </c>
      <c r="AH38" s="85">
        <v>0</v>
      </c>
      <c r="AI38" s="85">
        <v>0</v>
      </c>
      <c r="AJ38" s="85">
        <v>0</v>
      </c>
    </row>
    <row r="39" spans="1:36" ht="15.95" customHeight="1" x14ac:dyDescent="0.25">
      <c r="A39" s="82">
        <v>140230078</v>
      </c>
      <c r="B39" s="82" t="s">
        <v>393</v>
      </c>
      <c r="C39" s="83" t="s">
        <v>46</v>
      </c>
      <c r="D39" s="83" t="s">
        <v>394</v>
      </c>
      <c r="E39" s="84">
        <v>134</v>
      </c>
      <c r="F39" s="84" t="s">
        <v>224</v>
      </c>
      <c r="G39" s="84" t="s">
        <v>224</v>
      </c>
      <c r="H39" s="84" t="s">
        <v>224</v>
      </c>
      <c r="I39" s="84" t="s">
        <v>307</v>
      </c>
      <c r="J39" s="84" t="s">
        <v>385</v>
      </c>
      <c r="K39" s="83" t="s">
        <v>27</v>
      </c>
      <c r="L39" s="84" t="s">
        <v>339</v>
      </c>
      <c r="M39" s="84" t="s">
        <v>339</v>
      </c>
      <c r="N39" s="84" t="s">
        <v>339</v>
      </c>
      <c r="O39" s="84" t="s">
        <v>309</v>
      </c>
      <c r="P39" s="82" t="s">
        <v>311</v>
      </c>
      <c r="Q39" s="84" t="s">
        <v>395</v>
      </c>
      <c r="R39" s="83" t="s">
        <v>18</v>
      </c>
      <c r="S39" s="83" t="s">
        <v>325</v>
      </c>
      <c r="T39" s="83" t="s">
        <v>325</v>
      </c>
      <c r="U39" s="83" t="s">
        <v>325</v>
      </c>
      <c r="V39" s="85" t="s">
        <v>106</v>
      </c>
      <c r="W39" s="85" t="s">
        <v>124</v>
      </c>
      <c r="X39" s="85">
        <v>0</v>
      </c>
      <c r="Y39" s="254">
        <v>1.0276364361967474</v>
      </c>
      <c r="Z39" s="85">
        <v>0</v>
      </c>
      <c r="AA39" s="85">
        <v>0</v>
      </c>
      <c r="AB39" s="85">
        <v>0</v>
      </c>
      <c r="AC39" s="85">
        <v>0</v>
      </c>
      <c r="AD39" s="85">
        <v>0</v>
      </c>
      <c r="AE39" s="85">
        <v>0</v>
      </c>
      <c r="AF39" s="85">
        <v>0</v>
      </c>
      <c r="AG39" s="85">
        <v>0</v>
      </c>
      <c r="AH39" s="85">
        <v>0</v>
      </c>
      <c r="AI39" s="85">
        <v>0</v>
      </c>
      <c r="AJ39" s="85">
        <v>0</v>
      </c>
    </row>
    <row r="40" spans="1:36" ht="15.95" customHeight="1" x14ac:dyDescent="0.25">
      <c r="A40" s="82">
        <v>140230080</v>
      </c>
      <c r="B40" s="82" t="s">
        <v>396</v>
      </c>
      <c r="C40" s="83" t="s">
        <v>47</v>
      </c>
      <c r="D40" s="83" t="s">
        <v>397</v>
      </c>
      <c r="E40" s="84">
        <v>110</v>
      </c>
      <c r="F40" s="84" t="s">
        <v>224</v>
      </c>
      <c r="G40" s="84" t="s">
        <v>224</v>
      </c>
      <c r="H40" s="84" t="s">
        <v>224</v>
      </c>
      <c r="I40" s="84" t="s">
        <v>307</v>
      </c>
      <c r="J40" s="84" t="s">
        <v>372</v>
      </c>
      <c r="K40" s="83" t="s">
        <v>27</v>
      </c>
      <c r="L40" s="84" t="s">
        <v>309</v>
      </c>
      <c r="M40" s="84" t="s">
        <v>309</v>
      </c>
      <c r="N40" s="84" t="s">
        <v>309</v>
      </c>
      <c r="O40" s="84" t="s">
        <v>309</v>
      </c>
      <c r="P40" s="82" t="s">
        <v>311</v>
      </c>
      <c r="Q40" s="84" t="s">
        <v>398</v>
      </c>
      <c r="R40" s="83" t="s">
        <v>18</v>
      </c>
      <c r="S40" s="83" t="s">
        <v>351</v>
      </c>
      <c r="T40" s="83" t="s">
        <v>351</v>
      </c>
      <c r="U40" s="83" t="s">
        <v>351</v>
      </c>
      <c r="V40" s="85" t="s">
        <v>106</v>
      </c>
      <c r="W40" s="85" t="s">
        <v>124</v>
      </c>
      <c r="X40" s="85">
        <v>0</v>
      </c>
      <c r="Y40" s="254">
        <v>1.0316272573081913</v>
      </c>
      <c r="Z40" s="85">
        <v>0</v>
      </c>
      <c r="AA40" s="85">
        <v>0</v>
      </c>
      <c r="AB40" s="85">
        <v>0</v>
      </c>
      <c r="AC40" s="85">
        <v>0</v>
      </c>
      <c r="AD40" s="85">
        <v>0</v>
      </c>
      <c r="AE40" s="85">
        <v>0</v>
      </c>
      <c r="AF40" s="85">
        <v>0</v>
      </c>
      <c r="AG40" s="85">
        <v>0</v>
      </c>
      <c r="AH40" s="85">
        <v>0</v>
      </c>
      <c r="AI40" s="85">
        <v>0</v>
      </c>
      <c r="AJ40" s="85">
        <v>0</v>
      </c>
    </row>
    <row r="41" spans="1:36" ht="15.95" customHeight="1" x14ac:dyDescent="0.25">
      <c r="A41" s="82">
        <v>140230082</v>
      </c>
      <c r="B41" s="82" t="s">
        <v>399</v>
      </c>
      <c r="C41" s="83" t="s">
        <v>48</v>
      </c>
      <c r="D41" s="83" t="s">
        <v>360</v>
      </c>
      <c r="E41" s="84">
        <v>203</v>
      </c>
      <c r="F41" s="84" t="s">
        <v>400</v>
      </c>
      <c r="G41" s="84" t="s">
        <v>401</v>
      </c>
      <c r="H41" s="84" t="s">
        <v>402</v>
      </c>
      <c r="I41" s="84" t="s">
        <v>400</v>
      </c>
      <c r="J41" s="84" t="s">
        <v>310</v>
      </c>
      <c r="K41" s="83" t="s">
        <v>18</v>
      </c>
      <c r="L41" s="84" t="s">
        <v>339</v>
      </c>
      <c r="M41" s="84" t="s">
        <v>339</v>
      </c>
      <c r="N41" s="84" t="s">
        <v>339</v>
      </c>
      <c r="O41" s="84" t="s">
        <v>310</v>
      </c>
      <c r="P41" s="82" t="s">
        <v>315</v>
      </c>
      <c r="Q41" s="84" t="s">
        <v>41</v>
      </c>
      <c r="R41" s="83" t="s">
        <v>49</v>
      </c>
      <c r="S41" s="83" t="s">
        <v>403</v>
      </c>
      <c r="T41" s="83" t="s">
        <v>403</v>
      </c>
      <c r="U41" s="83" t="s">
        <v>403</v>
      </c>
      <c r="V41" s="85" t="s">
        <v>106</v>
      </c>
      <c r="W41" s="85" t="s">
        <v>124</v>
      </c>
      <c r="X41" s="85">
        <v>0</v>
      </c>
      <c r="Y41" s="254">
        <v>0.73251521500548733</v>
      </c>
      <c r="Z41" s="85">
        <v>0</v>
      </c>
      <c r="AA41" s="85">
        <v>0</v>
      </c>
      <c r="AB41" s="85">
        <v>0</v>
      </c>
      <c r="AC41" s="85">
        <v>0</v>
      </c>
      <c r="AD41" s="85">
        <v>0</v>
      </c>
      <c r="AE41" s="85">
        <v>0</v>
      </c>
      <c r="AF41" s="85">
        <v>0</v>
      </c>
      <c r="AG41" s="85">
        <v>0</v>
      </c>
      <c r="AH41" s="85">
        <v>0</v>
      </c>
      <c r="AI41" s="85">
        <v>0</v>
      </c>
      <c r="AJ41" s="85">
        <v>0</v>
      </c>
    </row>
    <row r="42" spans="1:36" ht="15.95" customHeight="1" x14ac:dyDescent="0.25">
      <c r="A42" s="82">
        <v>140230089</v>
      </c>
      <c r="B42" s="82" t="s">
        <v>404</v>
      </c>
      <c r="C42" s="83" t="s">
        <v>50</v>
      </c>
      <c r="D42" s="83" t="s">
        <v>305</v>
      </c>
      <c r="E42" s="84">
        <v>200</v>
      </c>
      <c r="F42" s="84" t="s">
        <v>224</v>
      </c>
      <c r="G42" s="84" t="s">
        <v>224</v>
      </c>
      <c r="H42" s="84" t="s">
        <v>224</v>
      </c>
      <c r="I42" s="84" t="s">
        <v>307</v>
      </c>
      <c r="J42" s="84" t="s">
        <v>385</v>
      </c>
      <c r="K42" s="83" t="s">
        <v>27</v>
      </c>
      <c r="L42" s="84" t="s">
        <v>339</v>
      </c>
      <c r="M42" s="84" t="s">
        <v>339</v>
      </c>
      <c r="N42" s="84" t="s">
        <v>339</v>
      </c>
      <c r="O42" s="84" t="s">
        <v>310</v>
      </c>
      <c r="P42" s="82" t="s">
        <v>386</v>
      </c>
      <c r="Q42" s="84" t="s">
        <v>405</v>
      </c>
      <c r="R42" s="83" t="s">
        <v>43</v>
      </c>
      <c r="S42" s="83" t="s">
        <v>406</v>
      </c>
      <c r="T42" s="83" t="s">
        <v>406</v>
      </c>
      <c r="U42" s="83" t="s">
        <v>406</v>
      </c>
      <c r="V42" s="85" t="s">
        <v>106</v>
      </c>
      <c r="W42" s="85" t="s">
        <v>124</v>
      </c>
      <c r="X42" s="85">
        <v>0</v>
      </c>
      <c r="Y42" s="254">
        <v>1.0316272573081913</v>
      </c>
      <c r="Z42" s="85">
        <v>0</v>
      </c>
      <c r="AA42" s="85">
        <v>0</v>
      </c>
      <c r="AB42" s="85">
        <v>0</v>
      </c>
      <c r="AC42" s="85">
        <v>0</v>
      </c>
      <c r="AD42" s="85">
        <v>0</v>
      </c>
      <c r="AE42" s="85">
        <v>0</v>
      </c>
      <c r="AF42" s="85">
        <v>0</v>
      </c>
      <c r="AG42" s="85">
        <v>0</v>
      </c>
      <c r="AH42" s="85">
        <v>0</v>
      </c>
      <c r="AI42" s="85">
        <v>0</v>
      </c>
      <c r="AJ42" s="85">
        <v>0</v>
      </c>
    </row>
    <row r="43" spans="1:36" ht="15.95" customHeight="1" x14ac:dyDescent="0.25">
      <c r="A43" s="82">
        <v>140240004</v>
      </c>
      <c r="B43" s="82" t="s">
        <v>303</v>
      </c>
      <c r="C43" s="83" t="s">
        <v>407</v>
      </c>
      <c r="D43" s="83" t="s">
        <v>305</v>
      </c>
      <c r="E43" s="84">
        <v>200</v>
      </c>
      <c r="F43" s="84" t="s">
        <v>330</v>
      </c>
      <c r="G43" s="84" t="s">
        <v>330</v>
      </c>
      <c r="H43" s="84" t="s">
        <v>330</v>
      </c>
      <c r="I43" s="84" t="s">
        <v>307</v>
      </c>
      <c r="J43" s="84" t="s">
        <v>330</v>
      </c>
      <c r="K43" s="83" t="s">
        <v>3</v>
      </c>
      <c r="L43" s="84" t="s">
        <v>308</v>
      </c>
      <c r="M43" s="84" t="s">
        <v>408</v>
      </c>
      <c r="N43" s="84" t="s">
        <v>309</v>
      </c>
      <c r="O43" s="84" t="s">
        <v>310</v>
      </c>
      <c r="P43" s="82" t="s">
        <v>311</v>
      </c>
      <c r="Q43" s="84" t="s">
        <v>51</v>
      </c>
      <c r="R43" s="83" t="s">
        <v>18</v>
      </c>
      <c r="S43" s="83" t="s">
        <v>409</v>
      </c>
      <c r="T43" s="83" t="s">
        <v>18</v>
      </c>
      <c r="U43" s="83" t="s">
        <v>312</v>
      </c>
      <c r="V43" s="85" t="s">
        <v>106</v>
      </c>
      <c r="W43" s="85" t="s">
        <v>124</v>
      </c>
      <c r="X43" s="85">
        <v>0</v>
      </c>
      <c r="Y43" s="254">
        <v>1.1413748378728923</v>
      </c>
      <c r="Z43" s="85" t="s">
        <v>114</v>
      </c>
      <c r="AA43" s="85" t="s">
        <v>166</v>
      </c>
      <c r="AB43" s="85" t="s">
        <v>123</v>
      </c>
      <c r="AC43" s="85">
        <v>0</v>
      </c>
      <c r="AD43" s="85" t="s">
        <v>126</v>
      </c>
      <c r="AE43" s="85" t="s">
        <v>127</v>
      </c>
      <c r="AF43" s="85">
        <v>0</v>
      </c>
      <c r="AG43" s="85" t="s">
        <v>135</v>
      </c>
      <c r="AH43" s="85" t="s">
        <v>135</v>
      </c>
      <c r="AI43" s="85">
        <v>0</v>
      </c>
      <c r="AJ43" s="85">
        <v>0</v>
      </c>
    </row>
    <row r="44" spans="1:36" ht="15.95" customHeight="1" x14ac:dyDescent="0.25">
      <c r="A44" s="82">
        <v>140280032</v>
      </c>
      <c r="B44" s="82" t="s">
        <v>303</v>
      </c>
      <c r="C44" s="83" t="s">
        <v>53</v>
      </c>
      <c r="D44" s="83" t="s">
        <v>305</v>
      </c>
      <c r="E44" s="84">
        <v>237</v>
      </c>
      <c r="F44" s="84" t="s">
        <v>350</v>
      </c>
      <c r="G44" s="84" t="s">
        <v>350</v>
      </c>
      <c r="H44" s="84" t="s">
        <v>410</v>
      </c>
      <c r="I44" s="84" t="s">
        <v>307</v>
      </c>
      <c r="J44" s="84" t="s">
        <v>410</v>
      </c>
      <c r="K44" s="83" t="s">
        <v>54</v>
      </c>
      <c r="L44" s="84" t="s">
        <v>339</v>
      </c>
      <c r="M44" s="84" t="s">
        <v>339</v>
      </c>
      <c r="N44" s="84" t="s">
        <v>309</v>
      </c>
      <c r="O44" s="84" t="s">
        <v>309</v>
      </c>
      <c r="P44" s="82" t="s">
        <v>311</v>
      </c>
      <c r="Q44" s="84" t="s">
        <v>52</v>
      </c>
      <c r="R44" s="83" t="s">
        <v>26</v>
      </c>
      <c r="S44" s="83" t="s">
        <v>339</v>
      </c>
      <c r="T44" s="83" t="s">
        <v>339</v>
      </c>
      <c r="U44" s="83" t="s">
        <v>312</v>
      </c>
      <c r="V44" s="85" t="s">
        <v>106</v>
      </c>
      <c r="W44" s="85" t="s">
        <v>124</v>
      </c>
      <c r="X44" s="85">
        <v>0</v>
      </c>
      <c r="Y44" s="254">
        <v>1.1812830489873292</v>
      </c>
      <c r="Z44" s="85">
        <v>0</v>
      </c>
      <c r="AA44" s="85">
        <v>0</v>
      </c>
      <c r="AB44" s="85">
        <v>0</v>
      </c>
      <c r="AC44" s="85">
        <v>0</v>
      </c>
      <c r="AD44" s="85">
        <v>0</v>
      </c>
      <c r="AE44" s="85">
        <v>0</v>
      </c>
      <c r="AF44" s="85">
        <v>0</v>
      </c>
      <c r="AG44" s="85">
        <v>0</v>
      </c>
      <c r="AH44" s="85">
        <v>0</v>
      </c>
      <c r="AI44" s="85">
        <v>0</v>
      </c>
      <c r="AJ44" s="85">
        <v>0</v>
      </c>
    </row>
    <row r="45" spans="1:36" ht="15.95" customHeight="1" x14ac:dyDescent="0.25">
      <c r="A45" s="82">
        <v>140310006</v>
      </c>
      <c r="B45" s="82" t="s">
        <v>313</v>
      </c>
      <c r="C45" s="83" t="s">
        <v>411</v>
      </c>
      <c r="D45" s="83" t="s">
        <v>314</v>
      </c>
      <c r="E45" s="84">
        <v>190</v>
      </c>
      <c r="F45" s="84" t="s">
        <v>224</v>
      </c>
      <c r="G45" s="84" t="s">
        <v>224</v>
      </c>
      <c r="H45" s="84" t="s">
        <v>224</v>
      </c>
      <c r="I45" s="84" t="s">
        <v>307</v>
      </c>
      <c r="J45" s="84" t="s">
        <v>319</v>
      </c>
      <c r="K45" s="83" t="s">
        <v>58</v>
      </c>
      <c r="L45" s="84" t="s">
        <v>330</v>
      </c>
      <c r="M45" s="84" t="s">
        <v>330</v>
      </c>
      <c r="N45" s="84" t="s">
        <v>309</v>
      </c>
      <c r="O45" s="84" t="s">
        <v>309</v>
      </c>
      <c r="P45" s="82" t="s">
        <v>311</v>
      </c>
      <c r="Q45" s="84" t="s">
        <v>55</v>
      </c>
      <c r="R45" s="83" t="s">
        <v>57</v>
      </c>
      <c r="S45" s="83" t="s">
        <v>325</v>
      </c>
      <c r="T45" s="83" t="s">
        <v>325</v>
      </c>
      <c r="U45" s="83" t="s">
        <v>412</v>
      </c>
      <c r="V45" s="85" t="s">
        <v>182</v>
      </c>
      <c r="W45" s="85" t="s">
        <v>182</v>
      </c>
      <c r="X45" s="85" t="s">
        <v>182</v>
      </c>
      <c r="Y45" s="254" t="s">
        <v>182</v>
      </c>
      <c r="Z45" s="85" t="s">
        <v>182</v>
      </c>
      <c r="AA45" s="85" t="s">
        <v>182</v>
      </c>
      <c r="AB45" s="85" t="s">
        <v>182</v>
      </c>
      <c r="AC45" s="85" t="s">
        <v>182</v>
      </c>
      <c r="AD45" s="85" t="s">
        <v>182</v>
      </c>
      <c r="AE45" s="85" t="s">
        <v>182</v>
      </c>
      <c r="AF45" s="85" t="s">
        <v>182</v>
      </c>
      <c r="AG45" s="85" t="s">
        <v>182</v>
      </c>
      <c r="AH45" s="85" t="s">
        <v>182</v>
      </c>
      <c r="AI45" s="85" t="s">
        <v>182</v>
      </c>
      <c r="AJ45" s="85" t="s">
        <v>182</v>
      </c>
    </row>
    <row r="46" spans="1:36" ht="15.95" customHeight="1" x14ac:dyDescent="0.25">
      <c r="A46" s="82">
        <v>140310007</v>
      </c>
      <c r="B46" s="82" t="s">
        <v>317</v>
      </c>
      <c r="C46" s="83" t="s">
        <v>56</v>
      </c>
      <c r="D46" s="83" t="s">
        <v>413</v>
      </c>
      <c r="E46" s="84">
        <v>215</v>
      </c>
      <c r="F46" s="84" t="s">
        <v>410</v>
      </c>
      <c r="G46" s="84" t="s">
        <v>410</v>
      </c>
      <c r="H46" s="84" t="s">
        <v>414</v>
      </c>
      <c r="I46" s="84" t="s">
        <v>307</v>
      </c>
      <c r="J46" s="84" t="s">
        <v>414</v>
      </c>
      <c r="K46" s="83" t="s">
        <v>58</v>
      </c>
      <c r="L46" s="84" t="s">
        <v>337</v>
      </c>
      <c r="M46" s="84" t="s">
        <v>337</v>
      </c>
      <c r="N46" s="84" t="s">
        <v>309</v>
      </c>
      <c r="O46" s="84" t="s">
        <v>309</v>
      </c>
      <c r="P46" s="82" t="s">
        <v>311</v>
      </c>
      <c r="Q46" s="84" t="s">
        <v>55</v>
      </c>
      <c r="R46" s="83" t="s">
        <v>415</v>
      </c>
      <c r="S46" s="83" t="s">
        <v>325</v>
      </c>
      <c r="T46" s="83" t="s">
        <v>325</v>
      </c>
      <c r="U46" s="83" t="s">
        <v>312</v>
      </c>
      <c r="V46" s="85" t="s">
        <v>106</v>
      </c>
      <c r="W46" s="85" t="s">
        <v>174</v>
      </c>
      <c r="X46" s="85">
        <v>0</v>
      </c>
      <c r="Y46" s="254">
        <v>1.1413748378728923</v>
      </c>
      <c r="Z46" s="85" t="s">
        <v>123</v>
      </c>
      <c r="AA46" s="85" t="s">
        <v>166</v>
      </c>
      <c r="AB46" s="85" t="s">
        <v>123</v>
      </c>
      <c r="AC46" s="85">
        <v>6.9</v>
      </c>
      <c r="AD46" s="85" t="s">
        <v>126</v>
      </c>
      <c r="AE46" s="85" t="s">
        <v>127</v>
      </c>
      <c r="AF46" s="85">
        <v>0</v>
      </c>
      <c r="AG46" s="85">
        <v>14</v>
      </c>
      <c r="AH46" s="85" t="s">
        <v>136</v>
      </c>
      <c r="AI46" s="85" t="s">
        <v>137</v>
      </c>
      <c r="AJ46" s="85">
        <v>0</v>
      </c>
    </row>
    <row r="47" spans="1:36" ht="15.95" customHeight="1" x14ac:dyDescent="0.25">
      <c r="A47" s="82">
        <v>140310009</v>
      </c>
      <c r="B47" s="82" t="s">
        <v>371</v>
      </c>
      <c r="C47" s="83" t="s">
        <v>416</v>
      </c>
      <c r="D47" s="83" t="s">
        <v>413</v>
      </c>
      <c r="E47" s="84">
        <v>191</v>
      </c>
      <c r="F47" s="84" t="s">
        <v>417</v>
      </c>
      <c r="G47" s="84" t="s">
        <v>417</v>
      </c>
      <c r="H47" s="84" t="s">
        <v>418</v>
      </c>
      <c r="I47" s="84" t="s">
        <v>307</v>
      </c>
      <c r="J47" s="84" t="s">
        <v>418</v>
      </c>
      <c r="K47" s="83" t="s">
        <v>27</v>
      </c>
      <c r="L47" s="84" t="s">
        <v>309</v>
      </c>
      <c r="M47" s="84" t="s">
        <v>309</v>
      </c>
      <c r="N47" s="84" t="s">
        <v>309</v>
      </c>
      <c r="O47" s="84" t="s">
        <v>309</v>
      </c>
      <c r="P47" s="82" t="s">
        <v>315</v>
      </c>
      <c r="Q47" s="84" t="s">
        <v>55</v>
      </c>
      <c r="R47" s="83" t="s">
        <v>419</v>
      </c>
      <c r="S47" s="83" t="s">
        <v>420</v>
      </c>
      <c r="T47" s="83" t="s">
        <v>420</v>
      </c>
      <c r="U47" s="83" t="s">
        <v>421</v>
      </c>
      <c r="V47" s="85" t="s">
        <v>106</v>
      </c>
      <c r="W47" s="85" t="s">
        <v>124</v>
      </c>
      <c r="X47" s="85">
        <v>0</v>
      </c>
      <c r="Y47" s="254" t="s">
        <v>182</v>
      </c>
      <c r="Z47" s="85">
        <v>0</v>
      </c>
      <c r="AA47" s="85">
        <v>0</v>
      </c>
      <c r="AB47" s="85">
        <v>0</v>
      </c>
      <c r="AC47" s="85">
        <v>0</v>
      </c>
      <c r="AD47" s="85">
        <v>0</v>
      </c>
      <c r="AE47" s="85">
        <v>0</v>
      </c>
      <c r="AF47" s="85">
        <v>0</v>
      </c>
      <c r="AG47" s="85">
        <v>0</v>
      </c>
      <c r="AH47" s="85">
        <v>0</v>
      </c>
      <c r="AI47" s="85">
        <v>0</v>
      </c>
      <c r="AJ47" s="85">
        <v>0</v>
      </c>
    </row>
    <row r="48" spans="1:36" ht="15.95" customHeight="1" x14ac:dyDescent="0.25">
      <c r="A48" s="82">
        <v>140310012</v>
      </c>
      <c r="B48" s="82" t="s">
        <v>422</v>
      </c>
      <c r="C48" s="83" t="s">
        <v>423</v>
      </c>
      <c r="D48" s="83" t="s">
        <v>424</v>
      </c>
      <c r="E48" s="84">
        <v>900</v>
      </c>
      <c r="F48" s="84" t="s">
        <v>372</v>
      </c>
      <c r="G48" s="84" t="s">
        <v>372</v>
      </c>
      <c r="H48" s="84" t="s">
        <v>325</v>
      </c>
      <c r="I48" s="84" t="s">
        <v>323</v>
      </c>
      <c r="J48" s="84" t="s">
        <v>372</v>
      </c>
      <c r="K48" s="83" t="s">
        <v>425</v>
      </c>
      <c r="L48" s="84" t="s">
        <v>372</v>
      </c>
      <c r="M48" s="84" t="s">
        <v>372</v>
      </c>
      <c r="N48" s="84" t="s">
        <v>325</v>
      </c>
      <c r="O48" s="84" t="s">
        <v>309</v>
      </c>
      <c r="P48" s="82" t="s">
        <v>426</v>
      </c>
      <c r="Q48" s="84" t="s">
        <v>55</v>
      </c>
      <c r="R48" s="83" t="s">
        <v>325</v>
      </c>
      <c r="S48" s="83" t="s">
        <v>427</v>
      </c>
      <c r="T48" s="83" t="s">
        <v>427</v>
      </c>
      <c r="U48" s="83" t="s">
        <v>325</v>
      </c>
      <c r="V48" s="85" t="s">
        <v>107</v>
      </c>
      <c r="W48" s="85" t="s">
        <v>175</v>
      </c>
      <c r="X48" s="85">
        <v>0</v>
      </c>
      <c r="Y48" s="254">
        <v>1.4007782101167314</v>
      </c>
      <c r="Z48" s="85" t="s">
        <v>164</v>
      </c>
      <c r="AA48" s="85" t="s">
        <v>123</v>
      </c>
      <c r="AB48" s="85" t="s">
        <v>123</v>
      </c>
      <c r="AC48" s="85">
        <v>0</v>
      </c>
      <c r="AD48" s="85" t="s">
        <v>147</v>
      </c>
      <c r="AE48" s="85">
        <v>0</v>
      </c>
      <c r="AF48" s="85">
        <v>0</v>
      </c>
      <c r="AG48" s="85">
        <v>0</v>
      </c>
      <c r="AH48" s="85">
        <v>0</v>
      </c>
      <c r="AI48" s="85">
        <v>0</v>
      </c>
      <c r="AJ48" s="85">
        <v>0</v>
      </c>
    </row>
    <row r="49" spans="1:36" ht="15.95" customHeight="1" x14ac:dyDescent="0.25">
      <c r="A49" s="82">
        <v>140310028</v>
      </c>
      <c r="B49" s="82" t="s">
        <v>371</v>
      </c>
      <c r="C49" s="83" t="s">
        <v>59</v>
      </c>
      <c r="D49" s="83" t="s">
        <v>318</v>
      </c>
      <c r="E49" s="84">
        <v>178</v>
      </c>
      <c r="F49" s="84" t="s">
        <v>310</v>
      </c>
      <c r="G49" s="84" t="s">
        <v>310</v>
      </c>
      <c r="H49" s="84" t="s">
        <v>428</v>
      </c>
      <c r="I49" s="84" t="s">
        <v>307</v>
      </c>
      <c r="J49" s="84" t="s">
        <v>428</v>
      </c>
      <c r="K49" s="83" t="s">
        <v>27</v>
      </c>
      <c r="L49" s="84" t="s">
        <v>337</v>
      </c>
      <c r="M49" s="84" t="s">
        <v>337</v>
      </c>
      <c r="N49" s="84" t="s">
        <v>337</v>
      </c>
      <c r="O49" s="84" t="s">
        <v>309</v>
      </c>
      <c r="P49" s="82" t="s">
        <v>315</v>
      </c>
      <c r="Q49" s="84" t="s">
        <v>55</v>
      </c>
      <c r="R49" s="83" t="s">
        <v>18</v>
      </c>
      <c r="S49" s="83" t="s">
        <v>325</v>
      </c>
      <c r="T49" s="83" t="s">
        <v>325</v>
      </c>
      <c r="U49" s="83" t="s">
        <v>325</v>
      </c>
      <c r="V49" s="85" t="s">
        <v>106</v>
      </c>
      <c r="W49" s="85" t="s">
        <v>124</v>
      </c>
      <c r="X49" s="85">
        <v>0</v>
      </c>
      <c r="Y49" s="254">
        <v>0.95041404769031235</v>
      </c>
      <c r="Z49" s="85" t="s">
        <v>123</v>
      </c>
      <c r="AA49" s="85" t="s">
        <v>123</v>
      </c>
      <c r="AB49" s="85" t="s">
        <v>123</v>
      </c>
      <c r="AC49" s="85">
        <v>0</v>
      </c>
      <c r="AD49" s="85">
        <v>0</v>
      </c>
      <c r="AE49" s="85">
        <v>0</v>
      </c>
      <c r="AF49" s="85">
        <v>0</v>
      </c>
      <c r="AG49" s="85">
        <v>0</v>
      </c>
      <c r="AH49" s="85">
        <v>0</v>
      </c>
      <c r="AI49" s="85">
        <v>0</v>
      </c>
      <c r="AJ49" s="85">
        <v>0</v>
      </c>
    </row>
    <row r="50" spans="1:36" ht="15.95" customHeight="1" x14ac:dyDescent="0.25">
      <c r="A50" s="82">
        <v>140310058</v>
      </c>
      <c r="B50" s="82" t="s">
        <v>313</v>
      </c>
      <c r="C50" s="83" t="s">
        <v>429</v>
      </c>
      <c r="D50" s="83" t="s">
        <v>314</v>
      </c>
      <c r="E50" s="84">
        <v>215</v>
      </c>
      <c r="F50" s="84" t="s">
        <v>319</v>
      </c>
      <c r="G50" s="84" t="s">
        <v>319</v>
      </c>
      <c r="H50" s="84" t="s">
        <v>320</v>
      </c>
      <c r="I50" s="84" t="s">
        <v>307</v>
      </c>
      <c r="J50" s="84" t="s">
        <v>319</v>
      </c>
      <c r="K50" s="83" t="s">
        <v>3</v>
      </c>
      <c r="L50" s="84" t="s">
        <v>309</v>
      </c>
      <c r="M50" s="84" t="s">
        <v>309</v>
      </c>
      <c r="N50" s="84" t="s">
        <v>309</v>
      </c>
      <c r="O50" s="84" t="s">
        <v>307</v>
      </c>
      <c r="P50" s="82" t="s">
        <v>311</v>
      </c>
      <c r="Q50" s="84" t="s">
        <v>55</v>
      </c>
      <c r="R50" s="83" t="s">
        <v>5</v>
      </c>
      <c r="S50" s="83" t="s">
        <v>316</v>
      </c>
      <c r="T50" s="83" t="s">
        <v>316</v>
      </c>
      <c r="U50" s="83" t="s">
        <v>430</v>
      </c>
      <c r="V50" s="85" t="s">
        <v>106</v>
      </c>
      <c r="W50" s="85" t="s">
        <v>175</v>
      </c>
      <c r="X50" s="85">
        <v>0</v>
      </c>
      <c r="Y50" s="254">
        <v>1.3469021251122417</v>
      </c>
      <c r="Z50" s="85" t="s">
        <v>167</v>
      </c>
      <c r="AA50" s="85" t="s">
        <v>167</v>
      </c>
      <c r="AB50" s="85" t="s">
        <v>167</v>
      </c>
      <c r="AC50" s="85">
        <v>6.9</v>
      </c>
      <c r="AD50" s="85" t="s">
        <v>125</v>
      </c>
      <c r="AE50" s="85" t="s">
        <v>126</v>
      </c>
      <c r="AF50" s="85" t="s">
        <v>127</v>
      </c>
      <c r="AG50" s="85">
        <v>12.96</v>
      </c>
      <c r="AH50" s="85" t="s">
        <v>128</v>
      </c>
      <c r="AI50" s="85" t="s">
        <v>130</v>
      </c>
      <c r="AJ50" s="85">
        <v>0</v>
      </c>
    </row>
    <row r="51" spans="1:36" ht="15.95" customHeight="1" x14ac:dyDescent="0.25">
      <c r="A51" s="82">
        <v>140310071</v>
      </c>
      <c r="B51" s="82" t="s">
        <v>371</v>
      </c>
      <c r="C51" s="83" t="s">
        <v>431</v>
      </c>
      <c r="D51" s="83" t="s">
        <v>318</v>
      </c>
      <c r="E51" s="84">
        <v>183</v>
      </c>
      <c r="F51" s="84" t="s">
        <v>432</v>
      </c>
      <c r="G51" s="84" t="s">
        <v>432</v>
      </c>
      <c r="H51" s="84" t="s">
        <v>410</v>
      </c>
      <c r="I51" s="84" t="s">
        <v>307</v>
      </c>
      <c r="J51" s="84" t="s">
        <v>410</v>
      </c>
      <c r="K51" s="83" t="s">
        <v>27</v>
      </c>
      <c r="L51" s="84" t="s">
        <v>309</v>
      </c>
      <c r="M51" s="84" t="s">
        <v>309</v>
      </c>
      <c r="N51" s="84" t="s">
        <v>309</v>
      </c>
      <c r="O51" s="84" t="s">
        <v>310</v>
      </c>
      <c r="P51" s="82" t="s">
        <v>315</v>
      </c>
      <c r="Q51" s="84" t="s">
        <v>55</v>
      </c>
      <c r="R51" s="83" t="s">
        <v>433</v>
      </c>
      <c r="S51" s="83" t="s">
        <v>434</v>
      </c>
      <c r="T51" s="83" t="s">
        <v>434</v>
      </c>
      <c r="U51" s="83" t="s">
        <v>435</v>
      </c>
      <c r="V51" s="85" t="s">
        <v>106</v>
      </c>
      <c r="W51" s="85" t="s">
        <v>175</v>
      </c>
      <c r="X51" s="85">
        <v>0</v>
      </c>
      <c r="Y51" s="263">
        <v>1.3</v>
      </c>
      <c r="Z51" s="85" t="s">
        <v>163</v>
      </c>
      <c r="AA51" s="85" t="s">
        <v>168</v>
      </c>
      <c r="AB51" s="85" t="s">
        <v>123</v>
      </c>
      <c r="AC51" s="85">
        <v>6.9</v>
      </c>
      <c r="AD51" s="85" t="s">
        <v>125</v>
      </c>
      <c r="AE51" s="85" t="s">
        <v>126</v>
      </c>
      <c r="AF51" s="85" t="s">
        <v>127</v>
      </c>
      <c r="AG51" s="85">
        <v>12.78</v>
      </c>
      <c r="AH51" s="85" t="s">
        <v>146</v>
      </c>
      <c r="AI51" s="85">
        <v>0</v>
      </c>
      <c r="AJ51" s="85">
        <v>0</v>
      </c>
    </row>
    <row r="52" spans="1:36" ht="15.95" customHeight="1" x14ac:dyDescent="0.25">
      <c r="A52" s="82">
        <v>140310083</v>
      </c>
      <c r="B52" s="82" t="s">
        <v>371</v>
      </c>
      <c r="C52" s="83" t="s">
        <v>436</v>
      </c>
      <c r="D52" s="83" t="s">
        <v>318</v>
      </c>
      <c r="E52" s="84">
        <v>185</v>
      </c>
      <c r="F52" s="84" t="s">
        <v>310</v>
      </c>
      <c r="G52" s="84" t="s">
        <v>310</v>
      </c>
      <c r="H52" s="84" t="s">
        <v>437</v>
      </c>
      <c r="I52" s="84" t="s">
        <v>307</v>
      </c>
      <c r="J52" s="84" t="s">
        <v>437</v>
      </c>
      <c r="K52" s="83" t="s">
        <v>27</v>
      </c>
      <c r="L52" s="84" t="s">
        <v>309</v>
      </c>
      <c r="M52" s="84" t="s">
        <v>309</v>
      </c>
      <c r="N52" s="84" t="s">
        <v>309</v>
      </c>
      <c r="O52" s="84" t="s">
        <v>310</v>
      </c>
      <c r="P52" s="82" t="s">
        <v>315</v>
      </c>
      <c r="Q52" s="84" t="s">
        <v>55</v>
      </c>
      <c r="R52" s="83" t="s">
        <v>325</v>
      </c>
      <c r="S52" s="83" t="s">
        <v>438</v>
      </c>
      <c r="T52" s="83" t="s">
        <v>438</v>
      </c>
      <c r="U52" s="83" t="s">
        <v>438</v>
      </c>
      <c r="V52" s="85" t="s">
        <v>106</v>
      </c>
      <c r="W52" s="85" t="s">
        <v>175</v>
      </c>
      <c r="X52" s="85">
        <v>0</v>
      </c>
      <c r="Y52" s="254">
        <v>1.3369250723336326</v>
      </c>
      <c r="Z52" s="85" t="s">
        <v>165</v>
      </c>
      <c r="AA52" s="85" t="s">
        <v>165</v>
      </c>
      <c r="AB52" s="85" t="s">
        <v>123</v>
      </c>
      <c r="AC52" s="85">
        <v>0</v>
      </c>
      <c r="AD52" s="85" t="s">
        <v>145</v>
      </c>
      <c r="AE52" s="85" t="s">
        <v>140</v>
      </c>
      <c r="AF52" s="85">
        <v>0</v>
      </c>
      <c r="AG52" s="85">
        <v>0</v>
      </c>
      <c r="AH52" s="85" t="s">
        <v>135</v>
      </c>
      <c r="AI52" s="85">
        <v>0</v>
      </c>
      <c r="AJ52" s="85">
        <v>0</v>
      </c>
    </row>
    <row r="53" spans="1:36" ht="15.95" customHeight="1" x14ac:dyDescent="0.25">
      <c r="A53" s="82">
        <v>140350045</v>
      </c>
      <c r="B53" s="82" t="s">
        <v>303</v>
      </c>
      <c r="C53" s="83" t="s">
        <v>61</v>
      </c>
      <c r="D53" s="83" t="s">
        <v>305</v>
      </c>
      <c r="E53" s="84">
        <v>224</v>
      </c>
      <c r="F53" s="84" t="s">
        <v>336</v>
      </c>
      <c r="G53" s="84" t="s">
        <v>336</v>
      </c>
      <c r="H53" s="84" t="s">
        <v>336</v>
      </c>
      <c r="I53" s="84" t="s">
        <v>307</v>
      </c>
      <c r="J53" s="84" t="s">
        <v>336</v>
      </c>
      <c r="K53" s="83" t="s">
        <v>27</v>
      </c>
      <c r="L53" s="84" t="s">
        <v>337</v>
      </c>
      <c r="M53" s="84" t="s">
        <v>309</v>
      </c>
      <c r="N53" s="84" t="s">
        <v>439</v>
      </c>
      <c r="O53" s="84" t="s">
        <v>326</v>
      </c>
      <c r="P53" s="82" t="s">
        <v>311</v>
      </c>
      <c r="Q53" s="84" t="s">
        <v>60</v>
      </c>
      <c r="R53" s="83" t="s">
        <v>18</v>
      </c>
      <c r="S53" s="83" t="s">
        <v>325</v>
      </c>
      <c r="T53" s="83" t="s">
        <v>440</v>
      </c>
      <c r="U53" s="83" t="s">
        <v>441</v>
      </c>
      <c r="V53" s="85" t="s">
        <v>106</v>
      </c>
      <c r="W53" s="85" t="s">
        <v>124</v>
      </c>
      <c r="X53" s="85">
        <v>0</v>
      </c>
      <c r="Y53" s="254">
        <v>1.2353586750473908</v>
      </c>
      <c r="Z53" s="85">
        <v>0</v>
      </c>
      <c r="AA53" s="85">
        <v>0</v>
      </c>
      <c r="AB53" s="85">
        <v>0</v>
      </c>
      <c r="AC53" s="85">
        <v>0</v>
      </c>
      <c r="AD53" s="85">
        <v>0</v>
      </c>
      <c r="AE53" s="85">
        <v>0</v>
      </c>
      <c r="AF53" s="85">
        <v>0</v>
      </c>
      <c r="AG53" s="85">
        <v>0</v>
      </c>
      <c r="AH53" s="85">
        <v>0</v>
      </c>
      <c r="AI53" s="85">
        <v>0</v>
      </c>
      <c r="AJ53" s="85">
        <v>0</v>
      </c>
    </row>
    <row r="54" spans="1:36" ht="15.95" customHeight="1" x14ac:dyDescent="0.25">
      <c r="A54" s="82">
        <v>140350046</v>
      </c>
      <c r="B54" s="82" t="s">
        <v>303</v>
      </c>
      <c r="C54" s="83" t="s">
        <v>442</v>
      </c>
      <c r="D54" s="83" t="s">
        <v>305</v>
      </c>
      <c r="E54" s="84">
        <v>227</v>
      </c>
      <c r="F54" s="84" t="s">
        <v>443</v>
      </c>
      <c r="G54" s="84" t="s">
        <v>443</v>
      </c>
      <c r="H54" s="84" t="s">
        <v>444</v>
      </c>
      <c r="I54" s="84" t="s">
        <v>307</v>
      </c>
      <c r="J54" s="84" t="s">
        <v>444</v>
      </c>
      <c r="K54" s="83" t="s">
        <v>54</v>
      </c>
      <c r="L54" s="84" t="s">
        <v>339</v>
      </c>
      <c r="M54" s="84" t="s">
        <v>339</v>
      </c>
      <c r="N54" s="84" t="s">
        <v>309</v>
      </c>
      <c r="O54" s="84" t="s">
        <v>310</v>
      </c>
      <c r="P54" s="82" t="s">
        <v>311</v>
      </c>
      <c r="Q54" s="84" t="s">
        <v>60</v>
      </c>
      <c r="R54" s="83" t="s">
        <v>43</v>
      </c>
      <c r="S54" s="83" t="s">
        <v>341</v>
      </c>
      <c r="T54" s="83" t="s">
        <v>341</v>
      </c>
      <c r="U54" s="83" t="s">
        <v>445</v>
      </c>
      <c r="V54" s="85" t="s">
        <v>106</v>
      </c>
      <c r="W54" s="85" t="s">
        <v>124</v>
      </c>
      <c r="X54" s="85">
        <v>0</v>
      </c>
      <c r="Y54" s="254">
        <v>1.4965579167913798</v>
      </c>
      <c r="Z54" s="85">
        <v>0</v>
      </c>
      <c r="AA54" s="85">
        <v>0</v>
      </c>
      <c r="AB54" s="85">
        <v>0</v>
      </c>
      <c r="AC54" s="85">
        <v>0</v>
      </c>
      <c r="AD54" s="85">
        <v>0</v>
      </c>
      <c r="AE54" s="85">
        <v>0</v>
      </c>
      <c r="AF54" s="85">
        <v>0</v>
      </c>
      <c r="AG54" s="85">
        <v>0</v>
      </c>
      <c r="AH54" s="85">
        <v>0</v>
      </c>
      <c r="AI54" s="85">
        <v>0</v>
      </c>
      <c r="AJ54" s="85">
        <v>0</v>
      </c>
    </row>
    <row r="55" spans="1:36" ht="15.95" customHeight="1" x14ac:dyDescent="0.25">
      <c r="A55" s="82">
        <v>140350080</v>
      </c>
      <c r="B55" s="82" t="s">
        <v>303</v>
      </c>
      <c r="C55" s="83" t="s">
        <v>446</v>
      </c>
      <c r="D55" s="83" t="s">
        <v>366</v>
      </c>
      <c r="E55" s="84">
        <v>247</v>
      </c>
      <c r="F55" s="84" t="s">
        <v>447</v>
      </c>
      <c r="G55" s="84" t="s">
        <v>447</v>
      </c>
      <c r="H55" s="84" t="s">
        <v>448</v>
      </c>
      <c r="I55" s="84" t="s">
        <v>307</v>
      </c>
      <c r="J55" s="84" t="s">
        <v>447</v>
      </c>
      <c r="K55" s="83" t="s">
        <v>27</v>
      </c>
      <c r="L55" s="84" t="s">
        <v>339</v>
      </c>
      <c r="M55" s="84" t="s">
        <v>339</v>
      </c>
      <c r="N55" s="84" t="s">
        <v>309</v>
      </c>
      <c r="O55" s="84" t="s">
        <v>309</v>
      </c>
      <c r="P55" s="82" t="s">
        <v>311</v>
      </c>
      <c r="Q55" s="84" t="s">
        <v>60</v>
      </c>
      <c r="R55" s="83" t="s">
        <v>449</v>
      </c>
      <c r="S55" s="83" t="s">
        <v>450</v>
      </c>
      <c r="T55" s="83" t="s">
        <v>450</v>
      </c>
      <c r="U55" s="83" t="s">
        <v>312</v>
      </c>
      <c r="V55" s="85" t="s">
        <v>182</v>
      </c>
      <c r="W55" s="85" t="s">
        <v>182</v>
      </c>
      <c r="X55" s="85" t="s">
        <v>182</v>
      </c>
      <c r="Y55" s="254" t="s">
        <v>182</v>
      </c>
      <c r="Z55" s="85" t="s">
        <v>182</v>
      </c>
      <c r="AA55" s="85" t="s">
        <v>182</v>
      </c>
      <c r="AB55" s="85" t="s">
        <v>182</v>
      </c>
      <c r="AC55" s="85" t="s">
        <v>182</v>
      </c>
      <c r="AD55" s="85" t="s">
        <v>182</v>
      </c>
      <c r="AE55" s="85" t="s">
        <v>182</v>
      </c>
      <c r="AF55" s="85" t="s">
        <v>182</v>
      </c>
      <c r="AG55" s="85" t="s">
        <v>182</v>
      </c>
      <c r="AH55" s="85" t="s">
        <v>182</v>
      </c>
      <c r="AI55" s="85" t="s">
        <v>182</v>
      </c>
      <c r="AJ55" s="85" t="s">
        <v>182</v>
      </c>
    </row>
    <row r="56" spans="1:36" ht="15.95" customHeight="1" x14ac:dyDescent="0.25">
      <c r="A56" s="82">
        <v>140350081</v>
      </c>
      <c r="B56" s="82" t="s">
        <v>303</v>
      </c>
      <c r="C56" s="83" t="s">
        <v>451</v>
      </c>
      <c r="D56" s="83" t="s">
        <v>305</v>
      </c>
      <c r="E56" s="84">
        <v>229</v>
      </c>
      <c r="F56" s="84" t="s">
        <v>306</v>
      </c>
      <c r="G56" s="84" t="s">
        <v>306</v>
      </c>
      <c r="H56" s="84" t="s">
        <v>452</v>
      </c>
      <c r="I56" s="84" t="s">
        <v>307</v>
      </c>
      <c r="J56" s="84" t="s">
        <v>452</v>
      </c>
      <c r="K56" s="83" t="s">
        <v>27</v>
      </c>
      <c r="L56" s="84" t="s">
        <v>339</v>
      </c>
      <c r="M56" s="84" t="s">
        <v>339</v>
      </c>
      <c r="N56" s="84" t="s">
        <v>309</v>
      </c>
      <c r="O56" s="84" t="s">
        <v>310</v>
      </c>
      <c r="P56" s="82" t="s">
        <v>311</v>
      </c>
      <c r="Q56" s="84" t="s">
        <v>60</v>
      </c>
      <c r="R56" s="83" t="s">
        <v>453</v>
      </c>
      <c r="S56" s="83" t="s">
        <v>357</v>
      </c>
      <c r="T56" s="83" t="s">
        <v>357</v>
      </c>
      <c r="U56" s="83" t="s">
        <v>351</v>
      </c>
      <c r="V56" s="85" t="s">
        <v>106</v>
      </c>
      <c r="W56" s="85" t="s">
        <v>124</v>
      </c>
      <c r="X56" s="85">
        <v>0</v>
      </c>
      <c r="Y56" s="254">
        <v>1.6262596029132994</v>
      </c>
      <c r="Z56" s="85">
        <v>0</v>
      </c>
      <c r="AA56" s="85">
        <v>0</v>
      </c>
      <c r="AB56" s="85">
        <v>0</v>
      </c>
      <c r="AC56" s="85">
        <v>0</v>
      </c>
      <c r="AD56" s="85">
        <v>0</v>
      </c>
      <c r="AE56" s="85">
        <v>0</v>
      </c>
      <c r="AF56" s="85">
        <v>0</v>
      </c>
      <c r="AG56" s="85">
        <v>0</v>
      </c>
      <c r="AH56" s="85">
        <v>0</v>
      </c>
      <c r="AI56" s="85">
        <v>0</v>
      </c>
      <c r="AJ56" s="85">
        <v>0</v>
      </c>
    </row>
    <row r="57" spans="1:36" ht="15.95" customHeight="1" x14ac:dyDescent="0.25">
      <c r="A57" s="82">
        <v>140490001</v>
      </c>
      <c r="B57" s="82" t="s">
        <v>303</v>
      </c>
      <c r="C57" s="83" t="s">
        <v>454</v>
      </c>
      <c r="D57" s="83" t="s">
        <v>305</v>
      </c>
      <c r="E57" s="84">
        <v>235</v>
      </c>
      <c r="F57" s="84" t="s">
        <v>224</v>
      </c>
      <c r="G57" s="84" t="s">
        <v>224</v>
      </c>
      <c r="H57" s="84" t="s">
        <v>224</v>
      </c>
      <c r="I57" s="84" t="s">
        <v>307</v>
      </c>
      <c r="J57" s="84" t="s">
        <v>330</v>
      </c>
      <c r="K57" s="83" t="s">
        <v>3</v>
      </c>
      <c r="L57" s="84" t="s">
        <v>309</v>
      </c>
      <c r="M57" s="84" t="s">
        <v>309</v>
      </c>
      <c r="N57" s="84" t="s">
        <v>309</v>
      </c>
      <c r="O57" s="84" t="s">
        <v>309</v>
      </c>
      <c r="P57" s="82" t="s">
        <v>311</v>
      </c>
      <c r="Q57" s="84" t="s">
        <v>62</v>
      </c>
      <c r="R57" s="83" t="s">
        <v>325</v>
      </c>
      <c r="S57" s="83" t="s">
        <v>325</v>
      </c>
      <c r="T57" s="83" t="s">
        <v>325</v>
      </c>
      <c r="U57" s="83" t="s">
        <v>325</v>
      </c>
      <c r="V57" s="85" t="s">
        <v>182</v>
      </c>
      <c r="W57" s="85" t="s">
        <v>182</v>
      </c>
      <c r="X57" s="85" t="s">
        <v>182</v>
      </c>
      <c r="Y57" s="254" t="s">
        <v>182</v>
      </c>
      <c r="Z57" s="85" t="s">
        <v>182</v>
      </c>
      <c r="AA57" s="85" t="s">
        <v>182</v>
      </c>
      <c r="AB57" s="85" t="s">
        <v>182</v>
      </c>
      <c r="AC57" s="85" t="s">
        <v>182</v>
      </c>
      <c r="AD57" s="85" t="s">
        <v>182</v>
      </c>
      <c r="AE57" s="85" t="s">
        <v>182</v>
      </c>
      <c r="AF57" s="85" t="s">
        <v>182</v>
      </c>
      <c r="AG57" s="85" t="s">
        <v>182</v>
      </c>
      <c r="AH57" s="85" t="s">
        <v>182</v>
      </c>
      <c r="AI57" s="85" t="s">
        <v>182</v>
      </c>
      <c r="AJ57" s="85" t="s">
        <v>182</v>
      </c>
    </row>
    <row r="58" spans="1:36" ht="15.95" customHeight="1" x14ac:dyDescent="0.25">
      <c r="A58" s="82">
        <v>140490003</v>
      </c>
      <c r="B58" s="82" t="s">
        <v>303</v>
      </c>
      <c r="C58" s="83" t="s">
        <v>455</v>
      </c>
      <c r="D58" s="83" t="s">
        <v>305</v>
      </c>
      <c r="E58" s="84">
        <v>255</v>
      </c>
      <c r="F58" s="84" t="s">
        <v>224</v>
      </c>
      <c r="G58" s="84" t="s">
        <v>224</v>
      </c>
      <c r="H58" s="84" t="s">
        <v>224</v>
      </c>
      <c r="I58" s="84" t="s">
        <v>456</v>
      </c>
      <c r="J58" s="84" t="s">
        <v>457</v>
      </c>
      <c r="K58" s="83" t="s">
        <v>325</v>
      </c>
      <c r="L58" s="84" t="s">
        <v>325</v>
      </c>
      <c r="M58" s="84" t="s">
        <v>325</v>
      </c>
      <c r="N58" s="84" t="s">
        <v>325</v>
      </c>
      <c r="O58" s="84" t="s">
        <v>325</v>
      </c>
      <c r="P58" s="82" t="s">
        <v>311</v>
      </c>
      <c r="Q58" s="84" t="s">
        <v>62</v>
      </c>
      <c r="R58" s="83" t="s">
        <v>325</v>
      </c>
      <c r="S58" s="83" t="s">
        <v>325</v>
      </c>
      <c r="T58" s="83" t="s">
        <v>325</v>
      </c>
      <c r="U58" s="83" t="s">
        <v>325</v>
      </c>
      <c r="V58" s="85" t="s">
        <v>182</v>
      </c>
      <c r="W58" s="85" t="s">
        <v>182</v>
      </c>
      <c r="X58" s="85" t="s">
        <v>182</v>
      </c>
      <c r="Y58" s="254" t="s">
        <v>182</v>
      </c>
      <c r="Z58" s="85" t="s">
        <v>182</v>
      </c>
      <c r="AA58" s="85" t="s">
        <v>182</v>
      </c>
      <c r="AB58" s="85" t="s">
        <v>182</v>
      </c>
      <c r="AC58" s="85" t="s">
        <v>182</v>
      </c>
      <c r="AD58" s="85" t="s">
        <v>182</v>
      </c>
      <c r="AE58" s="85" t="s">
        <v>182</v>
      </c>
      <c r="AF58" s="85" t="s">
        <v>182</v>
      </c>
      <c r="AG58" s="85" t="s">
        <v>182</v>
      </c>
      <c r="AH58" s="85" t="s">
        <v>182</v>
      </c>
      <c r="AI58" s="85" t="s">
        <v>182</v>
      </c>
      <c r="AJ58" s="85" t="s">
        <v>182</v>
      </c>
    </row>
    <row r="59" spans="1:36" ht="15.95" customHeight="1" x14ac:dyDescent="0.25">
      <c r="A59" s="82">
        <v>140490005</v>
      </c>
      <c r="B59" s="82" t="s">
        <v>303</v>
      </c>
      <c r="C59" s="83" t="s">
        <v>458</v>
      </c>
      <c r="D59" s="83" t="s">
        <v>305</v>
      </c>
      <c r="E59" s="84">
        <v>120</v>
      </c>
      <c r="F59" s="84" t="s">
        <v>224</v>
      </c>
      <c r="G59" s="84" t="s">
        <v>224</v>
      </c>
      <c r="H59" s="84" t="s">
        <v>224</v>
      </c>
      <c r="I59" s="84" t="s">
        <v>459</v>
      </c>
      <c r="J59" s="84" t="s">
        <v>410</v>
      </c>
      <c r="K59" s="83" t="s">
        <v>325</v>
      </c>
      <c r="L59" s="84" t="s">
        <v>460</v>
      </c>
      <c r="M59" s="84" t="s">
        <v>325</v>
      </c>
      <c r="N59" s="84" t="s">
        <v>325</v>
      </c>
      <c r="O59" s="84" t="s">
        <v>325</v>
      </c>
      <c r="P59" s="82" t="s">
        <v>311</v>
      </c>
      <c r="Q59" s="84" t="s">
        <v>62</v>
      </c>
      <c r="R59" s="83" t="s">
        <v>325</v>
      </c>
      <c r="S59" s="83" t="s">
        <v>460</v>
      </c>
      <c r="T59" s="83" t="s">
        <v>325</v>
      </c>
      <c r="U59" s="83" t="s">
        <v>325</v>
      </c>
      <c r="V59" s="85" t="s">
        <v>182</v>
      </c>
      <c r="W59" s="85" t="s">
        <v>182</v>
      </c>
      <c r="X59" s="85" t="s">
        <v>182</v>
      </c>
      <c r="Y59" s="254" t="s">
        <v>182</v>
      </c>
      <c r="Z59" s="85" t="s">
        <v>182</v>
      </c>
      <c r="AA59" s="85" t="s">
        <v>182</v>
      </c>
      <c r="AB59" s="85" t="s">
        <v>182</v>
      </c>
      <c r="AC59" s="85" t="s">
        <v>182</v>
      </c>
      <c r="AD59" s="85" t="s">
        <v>182</v>
      </c>
      <c r="AE59" s="85" t="s">
        <v>182</v>
      </c>
      <c r="AF59" s="85" t="s">
        <v>182</v>
      </c>
      <c r="AG59" s="85" t="s">
        <v>182</v>
      </c>
      <c r="AH59" s="85" t="s">
        <v>182</v>
      </c>
      <c r="AI59" s="85" t="s">
        <v>182</v>
      </c>
      <c r="AJ59" s="85" t="s">
        <v>182</v>
      </c>
    </row>
    <row r="60" spans="1:36" ht="15.95" customHeight="1" x14ac:dyDescent="0.25">
      <c r="A60" s="82">
        <v>140490006</v>
      </c>
      <c r="B60" s="82" t="s">
        <v>303</v>
      </c>
      <c r="C60" s="83" t="s">
        <v>461</v>
      </c>
      <c r="D60" s="83" t="s">
        <v>305</v>
      </c>
      <c r="E60" s="84">
        <v>122</v>
      </c>
      <c r="F60" s="84" t="s">
        <v>224</v>
      </c>
      <c r="G60" s="84" t="s">
        <v>224</v>
      </c>
      <c r="H60" s="84" t="s">
        <v>224</v>
      </c>
      <c r="I60" s="84" t="s">
        <v>306</v>
      </c>
      <c r="J60" s="84" t="s">
        <v>306</v>
      </c>
      <c r="K60" s="83" t="s">
        <v>325</v>
      </c>
      <c r="L60" s="84" t="s">
        <v>308</v>
      </c>
      <c r="M60" s="84" t="s">
        <v>308</v>
      </c>
      <c r="N60" s="84" t="s">
        <v>308</v>
      </c>
      <c r="O60" s="84" t="s">
        <v>309</v>
      </c>
      <c r="P60" s="82" t="s">
        <v>462</v>
      </c>
      <c r="Q60" s="84" t="s">
        <v>62</v>
      </c>
      <c r="R60" s="83" t="s">
        <v>325</v>
      </c>
      <c r="S60" s="83" t="s">
        <v>325</v>
      </c>
      <c r="T60" s="83" t="s">
        <v>325</v>
      </c>
      <c r="U60" s="83" t="s">
        <v>325</v>
      </c>
      <c r="V60" s="85" t="s">
        <v>182</v>
      </c>
      <c r="W60" s="85" t="s">
        <v>182</v>
      </c>
      <c r="X60" s="85" t="s">
        <v>182</v>
      </c>
      <c r="Y60" s="254" t="s">
        <v>182</v>
      </c>
      <c r="Z60" s="85" t="s">
        <v>182</v>
      </c>
      <c r="AA60" s="85" t="s">
        <v>182</v>
      </c>
      <c r="AB60" s="85" t="s">
        <v>182</v>
      </c>
      <c r="AC60" s="85" t="s">
        <v>182</v>
      </c>
      <c r="AD60" s="85" t="s">
        <v>182</v>
      </c>
      <c r="AE60" s="85" t="s">
        <v>182</v>
      </c>
      <c r="AF60" s="85" t="s">
        <v>182</v>
      </c>
      <c r="AG60" s="85" t="s">
        <v>182</v>
      </c>
      <c r="AH60" s="85" t="s">
        <v>182</v>
      </c>
      <c r="AI60" s="85" t="s">
        <v>182</v>
      </c>
      <c r="AJ60" s="85" t="s">
        <v>182</v>
      </c>
    </row>
    <row r="61" spans="1:36" ht="15.95" customHeight="1" x14ac:dyDescent="0.25">
      <c r="A61" s="82">
        <v>140490007</v>
      </c>
      <c r="B61" s="82" t="s">
        <v>303</v>
      </c>
      <c r="C61" s="83" t="s">
        <v>463</v>
      </c>
      <c r="D61" s="83" t="s">
        <v>305</v>
      </c>
      <c r="E61" s="84">
        <v>192</v>
      </c>
      <c r="F61" s="84" t="s">
        <v>224</v>
      </c>
      <c r="G61" s="84" t="s">
        <v>224</v>
      </c>
      <c r="H61" s="84" t="s">
        <v>224</v>
      </c>
      <c r="I61" s="84" t="s">
        <v>309</v>
      </c>
      <c r="J61" s="84" t="s">
        <v>309</v>
      </c>
      <c r="K61" s="83" t="s">
        <v>325</v>
      </c>
      <c r="L61" s="84" t="s">
        <v>325</v>
      </c>
      <c r="M61" s="84" t="s">
        <v>325</v>
      </c>
      <c r="N61" s="84" t="s">
        <v>325</v>
      </c>
      <c r="O61" s="84" t="s">
        <v>325</v>
      </c>
      <c r="P61" s="82" t="s">
        <v>311</v>
      </c>
      <c r="Q61" s="84" t="s">
        <v>62</v>
      </c>
      <c r="R61" s="83" t="s">
        <v>325</v>
      </c>
      <c r="S61" s="83" t="s">
        <v>325</v>
      </c>
      <c r="T61" s="83" t="s">
        <v>325</v>
      </c>
      <c r="U61" s="83" t="s">
        <v>325</v>
      </c>
      <c r="V61" s="85" t="s">
        <v>182</v>
      </c>
      <c r="W61" s="85" t="s">
        <v>182</v>
      </c>
      <c r="X61" s="85" t="s">
        <v>182</v>
      </c>
      <c r="Y61" s="254" t="s">
        <v>182</v>
      </c>
      <c r="Z61" s="85" t="s">
        <v>182</v>
      </c>
      <c r="AA61" s="85" t="s">
        <v>182</v>
      </c>
      <c r="AB61" s="85" t="s">
        <v>182</v>
      </c>
      <c r="AC61" s="85" t="s">
        <v>182</v>
      </c>
      <c r="AD61" s="85" t="s">
        <v>182</v>
      </c>
      <c r="AE61" s="85" t="s">
        <v>182</v>
      </c>
      <c r="AF61" s="85" t="s">
        <v>182</v>
      </c>
      <c r="AG61" s="85" t="s">
        <v>182</v>
      </c>
      <c r="AH61" s="85" t="s">
        <v>182</v>
      </c>
      <c r="AI61" s="85" t="s">
        <v>182</v>
      </c>
      <c r="AJ61" s="85" t="s">
        <v>182</v>
      </c>
    </row>
    <row r="62" spans="1:36" ht="15.95" customHeight="1" x14ac:dyDescent="0.25">
      <c r="A62" s="82">
        <v>140490008</v>
      </c>
      <c r="B62" s="82" t="s">
        <v>303</v>
      </c>
      <c r="C62" s="83" t="s">
        <v>464</v>
      </c>
      <c r="D62" s="83" t="s">
        <v>305</v>
      </c>
      <c r="E62" s="84">
        <v>30</v>
      </c>
      <c r="F62" s="84" t="s">
        <v>224</v>
      </c>
      <c r="G62" s="84" t="s">
        <v>224</v>
      </c>
      <c r="H62" s="84" t="s">
        <v>224</v>
      </c>
      <c r="I62" s="84" t="s">
        <v>372</v>
      </c>
      <c r="J62" s="84" t="s">
        <v>465</v>
      </c>
      <c r="K62" s="83" t="s">
        <v>325</v>
      </c>
      <c r="L62" s="84" t="s">
        <v>308</v>
      </c>
      <c r="M62" s="84" t="s">
        <v>308</v>
      </c>
      <c r="N62" s="84" t="s">
        <v>325</v>
      </c>
      <c r="O62" s="84" t="s">
        <v>309</v>
      </c>
      <c r="P62" s="82" t="s">
        <v>327</v>
      </c>
      <c r="Q62" s="84" t="s">
        <v>62</v>
      </c>
      <c r="R62" s="83" t="s">
        <v>325</v>
      </c>
      <c r="S62" s="83" t="s">
        <v>325</v>
      </c>
      <c r="T62" s="83" t="s">
        <v>325</v>
      </c>
      <c r="U62" s="83" t="s">
        <v>325</v>
      </c>
      <c r="V62" s="85" t="s">
        <v>182</v>
      </c>
      <c r="W62" s="85" t="s">
        <v>182</v>
      </c>
      <c r="X62" s="85" t="s">
        <v>182</v>
      </c>
      <c r="Y62" s="254" t="s">
        <v>182</v>
      </c>
      <c r="Z62" s="85" t="s">
        <v>182</v>
      </c>
      <c r="AA62" s="85" t="s">
        <v>182</v>
      </c>
      <c r="AB62" s="85" t="s">
        <v>182</v>
      </c>
      <c r="AC62" s="85" t="s">
        <v>182</v>
      </c>
      <c r="AD62" s="85" t="s">
        <v>182</v>
      </c>
      <c r="AE62" s="85" t="s">
        <v>182</v>
      </c>
      <c r="AF62" s="85" t="s">
        <v>182</v>
      </c>
      <c r="AG62" s="85" t="s">
        <v>182</v>
      </c>
      <c r="AH62" s="85" t="s">
        <v>182</v>
      </c>
      <c r="AI62" s="85" t="s">
        <v>182</v>
      </c>
      <c r="AJ62" s="85" t="s">
        <v>182</v>
      </c>
    </row>
    <row r="63" spans="1:36" ht="15.95" customHeight="1" x14ac:dyDescent="0.25">
      <c r="A63" s="82">
        <v>140490009</v>
      </c>
      <c r="B63" s="82" t="s">
        <v>303</v>
      </c>
      <c r="C63" s="83" t="s">
        <v>466</v>
      </c>
      <c r="D63" s="83" t="s">
        <v>305</v>
      </c>
      <c r="E63" s="84">
        <v>30</v>
      </c>
      <c r="F63" s="84" t="s">
        <v>224</v>
      </c>
      <c r="G63" s="84" t="s">
        <v>224</v>
      </c>
      <c r="H63" s="84" t="s">
        <v>224</v>
      </c>
      <c r="I63" s="84" t="s">
        <v>372</v>
      </c>
      <c r="J63" s="84" t="s">
        <v>465</v>
      </c>
      <c r="K63" s="83" t="s">
        <v>325</v>
      </c>
      <c r="L63" s="84" t="s">
        <v>308</v>
      </c>
      <c r="M63" s="84" t="s">
        <v>308</v>
      </c>
      <c r="N63" s="84" t="s">
        <v>325</v>
      </c>
      <c r="O63" s="84" t="s">
        <v>309</v>
      </c>
      <c r="P63" s="82" t="s">
        <v>327</v>
      </c>
      <c r="Q63" s="84" t="s">
        <v>62</v>
      </c>
      <c r="R63" s="83" t="s">
        <v>325</v>
      </c>
      <c r="S63" s="83" t="s">
        <v>325</v>
      </c>
      <c r="T63" s="83" t="s">
        <v>325</v>
      </c>
      <c r="U63" s="83" t="s">
        <v>325</v>
      </c>
      <c r="V63" s="85" t="s">
        <v>182</v>
      </c>
      <c r="W63" s="85" t="s">
        <v>182</v>
      </c>
      <c r="X63" s="85" t="s">
        <v>182</v>
      </c>
      <c r="Y63" s="254" t="s">
        <v>182</v>
      </c>
      <c r="Z63" s="85" t="s">
        <v>182</v>
      </c>
      <c r="AA63" s="85" t="s">
        <v>182</v>
      </c>
      <c r="AB63" s="85" t="s">
        <v>182</v>
      </c>
      <c r="AC63" s="85" t="s">
        <v>182</v>
      </c>
      <c r="AD63" s="85" t="s">
        <v>182</v>
      </c>
      <c r="AE63" s="85" t="s">
        <v>182</v>
      </c>
      <c r="AF63" s="85" t="s">
        <v>182</v>
      </c>
      <c r="AG63" s="85" t="s">
        <v>182</v>
      </c>
      <c r="AH63" s="85" t="s">
        <v>182</v>
      </c>
      <c r="AI63" s="85" t="s">
        <v>182</v>
      </c>
      <c r="AJ63" s="85" t="s">
        <v>182</v>
      </c>
    </row>
    <row r="64" spans="1:36" ht="15.95" customHeight="1" x14ac:dyDescent="0.25">
      <c r="A64" s="82">
        <v>140500010</v>
      </c>
      <c r="B64" s="82" t="s">
        <v>313</v>
      </c>
      <c r="C64" s="83" t="s">
        <v>64</v>
      </c>
      <c r="D64" s="83" t="s">
        <v>314</v>
      </c>
      <c r="E64" s="84">
        <v>200</v>
      </c>
      <c r="F64" s="84" t="s">
        <v>224</v>
      </c>
      <c r="G64" s="84" t="s">
        <v>224</v>
      </c>
      <c r="H64" s="84" t="s">
        <v>224</v>
      </c>
      <c r="I64" s="84" t="s">
        <v>307</v>
      </c>
      <c r="J64" s="84" t="s">
        <v>337</v>
      </c>
      <c r="K64" s="83" t="s">
        <v>3</v>
      </c>
      <c r="L64" s="84" t="s">
        <v>306</v>
      </c>
      <c r="M64" s="84" t="s">
        <v>306</v>
      </c>
      <c r="N64" s="84" t="s">
        <v>306</v>
      </c>
      <c r="O64" s="84" t="s">
        <v>309</v>
      </c>
      <c r="P64" s="82" t="s">
        <v>311</v>
      </c>
      <c r="Q64" s="84" t="s">
        <v>63</v>
      </c>
      <c r="R64" s="83" t="s">
        <v>18</v>
      </c>
      <c r="S64" s="83" t="s">
        <v>325</v>
      </c>
      <c r="T64" s="83" t="s">
        <v>325</v>
      </c>
      <c r="U64" s="83" t="s">
        <v>325</v>
      </c>
      <c r="V64" s="85" t="s">
        <v>106</v>
      </c>
      <c r="W64" s="85" t="s">
        <v>124</v>
      </c>
      <c r="X64" s="85">
        <v>0</v>
      </c>
      <c r="Y64" s="254">
        <v>1.0675446473111843</v>
      </c>
      <c r="Z64" s="85">
        <v>0</v>
      </c>
      <c r="AA64" s="85">
        <v>0</v>
      </c>
      <c r="AB64" s="85">
        <v>0</v>
      </c>
      <c r="AC64" s="85">
        <v>0</v>
      </c>
      <c r="AD64" s="85">
        <v>0</v>
      </c>
      <c r="AE64" s="85">
        <v>0</v>
      </c>
      <c r="AF64" s="85">
        <v>0</v>
      </c>
      <c r="AG64" s="85">
        <v>0</v>
      </c>
      <c r="AH64" s="85">
        <v>0</v>
      </c>
      <c r="AI64" s="85">
        <v>0</v>
      </c>
      <c r="AJ64" s="85">
        <v>0</v>
      </c>
    </row>
    <row r="65" spans="1:36" ht="15.95" customHeight="1" x14ac:dyDescent="0.25">
      <c r="A65" s="82">
        <v>140530001</v>
      </c>
      <c r="B65" s="82" t="s">
        <v>321</v>
      </c>
      <c r="C65" s="83" t="s">
        <v>66</v>
      </c>
      <c r="D65" s="83" t="s">
        <v>322</v>
      </c>
      <c r="E65" s="84">
        <v>221</v>
      </c>
      <c r="F65" s="84" t="s">
        <v>224</v>
      </c>
      <c r="G65" s="84" t="s">
        <v>224</v>
      </c>
      <c r="H65" s="84" t="s">
        <v>224</v>
      </c>
      <c r="I65" s="84" t="s">
        <v>323</v>
      </c>
      <c r="J65" s="84" t="s">
        <v>307</v>
      </c>
      <c r="K65" s="83" t="s">
        <v>467</v>
      </c>
      <c r="L65" s="84" t="s">
        <v>308</v>
      </c>
      <c r="M65" s="84" t="s">
        <v>308</v>
      </c>
      <c r="N65" s="84" t="s">
        <v>325</v>
      </c>
      <c r="O65" s="84" t="s">
        <v>309</v>
      </c>
      <c r="P65" s="82" t="s">
        <v>327</v>
      </c>
      <c r="Q65" s="84" t="s">
        <v>65</v>
      </c>
      <c r="R65" s="83" t="s">
        <v>9</v>
      </c>
      <c r="S65" s="83" t="s">
        <v>328</v>
      </c>
      <c r="T65" s="83" t="s">
        <v>328</v>
      </c>
      <c r="U65" s="83" t="s">
        <v>325</v>
      </c>
      <c r="V65" s="85" t="s">
        <v>107</v>
      </c>
      <c r="W65" s="85" t="s">
        <v>124</v>
      </c>
      <c r="X65" s="85">
        <v>0</v>
      </c>
      <c r="Y65" s="254">
        <v>1.0575675945325751</v>
      </c>
      <c r="Z65" s="85" t="s">
        <v>114</v>
      </c>
      <c r="AA65" s="85">
        <v>0</v>
      </c>
      <c r="AB65" s="85">
        <v>0</v>
      </c>
      <c r="AC65" s="85">
        <v>0</v>
      </c>
      <c r="AD65" s="85">
        <v>0</v>
      </c>
      <c r="AE65" s="85">
        <v>0</v>
      </c>
      <c r="AF65" s="85">
        <v>0</v>
      </c>
      <c r="AG65" s="85">
        <v>0</v>
      </c>
      <c r="AH65" s="85">
        <v>0</v>
      </c>
      <c r="AI65" s="85">
        <v>0</v>
      </c>
      <c r="AJ65" s="85">
        <v>0</v>
      </c>
    </row>
    <row r="66" spans="1:36" ht="15.95" customHeight="1" x14ac:dyDescent="0.25">
      <c r="A66" s="82">
        <v>140530002</v>
      </c>
      <c r="B66" s="82" t="s">
        <v>321</v>
      </c>
      <c r="C66" s="83" t="s">
        <v>468</v>
      </c>
      <c r="D66" s="83" t="s">
        <v>322</v>
      </c>
      <c r="E66" s="84">
        <v>189</v>
      </c>
      <c r="F66" s="84" t="s">
        <v>224</v>
      </c>
      <c r="G66" s="84" t="s">
        <v>224</v>
      </c>
      <c r="H66" s="84" t="s">
        <v>224</v>
      </c>
      <c r="I66" s="84" t="s">
        <v>323</v>
      </c>
      <c r="J66" s="84" t="s">
        <v>307</v>
      </c>
      <c r="K66" s="83" t="s">
        <v>467</v>
      </c>
      <c r="L66" s="84" t="s">
        <v>308</v>
      </c>
      <c r="M66" s="84" t="s">
        <v>308</v>
      </c>
      <c r="N66" s="84" t="s">
        <v>325</v>
      </c>
      <c r="O66" s="84" t="s">
        <v>309</v>
      </c>
      <c r="P66" s="82" t="s">
        <v>327</v>
      </c>
      <c r="Q66" s="84" t="s">
        <v>65</v>
      </c>
      <c r="R66" s="83" t="s">
        <v>21</v>
      </c>
      <c r="S66" s="83" t="s">
        <v>328</v>
      </c>
      <c r="T66" s="83" t="s">
        <v>328</v>
      </c>
      <c r="U66" s="83" t="s">
        <v>325</v>
      </c>
      <c r="V66" s="85" t="s">
        <v>182</v>
      </c>
      <c r="W66" s="85" t="s">
        <v>182</v>
      </c>
      <c r="X66" s="85" t="s">
        <v>182</v>
      </c>
      <c r="Y66" s="254" t="s">
        <v>182</v>
      </c>
      <c r="Z66" s="85" t="s">
        <v>182</v>
      </c>
      <c r="AA66" s="85" t="s">
        <v>182</v>
      </c>
      <c r="AB66" s="85" t="s">
        <v>182</v>
      </c>
      <c r="AC66" s="85" t="s">
        <v>182</v>
      </c>
      <c r="AD66" s="85" t="s">
        <v>182</v>
      </c>
      <c r="AE66" s="85" t="s">
        <v>182</v>
      </c>
      <c r="AF66" s="85" t="s">
        <v>182</v>
      </c>
      <c r="AG66" s="85" t="s">
        <v>182</v>
      </c>
      <c r="AH66" s="85" t="s">
        <v>182</v>
      </c>
      <c r="AI66" s="85" t="s">
        <v>182</v>
      </c>
      <c r="AJ66" s="85" t="s">
        <v>182</v>
      </c>
    </row>
    <row r="67" spans="1:36" ht="15.95" customHeight="1" x14ac:dyDescent="0.25">
      <c r="A67" s="82">
        <v>140530003</v>
      </c>
      <c r="B67" s="82" t="s">
        <v>321</v>
      </c>
      <c r="C67" s="83" t="s">
        <v>67</v>
      </c>
      <c r="D67" s="83" t="s">
        <v>322</v>
      </c>
      <c r="E67" s="84">
        <v>185</v>
      </c>
      <c r="F67" s="84" t="s">
        <v>224</v>
      </c>
      <c r="G67" s="84" t="s">
        <v>224</v>
      </c>
      <c r="H67" s="84" t="s">
        <v>224</v>
      </c>
      <c r="I67" s="84" t="s">
        <v>323</v>
      </c>
      <c r="J67" s="84" t="s">
        <v>307</v>
      </c>
      <c r="K67" s="83" t="s">
        <v>467</v>
      </c>
      <c r="L67" s="84" t="s">
        <v>308</v>
      </c>
      <c r="M67" s="84" t="s">
        <v>308</v>
      </c>
      <c r="N67" s="84" t="s">
        <v>325</v>
      </c>
      <c r="O67" s="84" t="s">
        <v>309</v>
      </c>
      <c r="P67" s="82" t="s">
        <v>327</v>
      </c>
      <c r="Q67" s="84" t="s">
        <v>65</v>
      </c>
      <c r="R67" s="83" t="s">
        <v>68</v>
      </c>
      <c r="S67" s="83" t="s">
        <v>328</v>
      </c>
      <c r="T67" s="83" t="s">
        <v>328</v>
      </c>
      <c r="U67" s="83" t="s">
        <v>325</v>
      </c>
      <c r="V67" s="85" t="s">
        <v>107</v>
      </c>
      <c r="W67" s="85" t="s">
        <v>124</v>
      </c>
      <c r="X67" s="85">
        <v>0</v>
      </c>
      <c r="Y67" s="254">
        <v>1.0575675945325751</v>
      </c>
      <c r="Z67" s="85" t="s">
        <v>114</v>
      </c>
      <c r="AA67" s="85">
        <v>0</v>
      </c>
      <c r="AB67" s="85">
        <v>0</v>
      </c>
      <c r="AC67" s="85">
        <v>0</v>
      </c>
      <c r="AD67" s="85">
        <v>0</v>
      </c>
      <c r="AE67" s="85">
        <v>0</v>
      </c>
      <c r="AF67" s="85">
        <v>0</v>
      </c>
      <c r="AG67" s="85">
        <v>0</v>
      </c>
      <c r="AH67" s="85">
        <v>0</v>
      </c>
      <c r="AI67" s="85">
        <v>0</v>
      </c>
      <c r="AJ67" s="85">
        <v>0</v>
      </c>
    </row>
    <row r="68" spans="1:36" ht="15.95" customHeight="1" x14ac:dyDescent="0.25">
      <c r="A68" s="82">
        <v>140530004</v>
      </c>
      <c r="B68" s="82" t="s">
        <v>321</v>
      </c>
      <c r="C68" s="83" t="s">
        <v>69</v>
      </c>
      <c r="D68" s="83" t="s">
        <v>322</v>
      </c>
      <c r="E68" s="84">
        <v>192</v>
      </c>
      <c r="F68" s="84" t="s">
        <v>224</v>
      </c>
      <c r="G68" s="84" t="s">
        <v>224</v>
      </c>
      <c r="H68" s="84" t="s">
        <v>224</v>
      </c>
      <c r="I68" s="84" t="s">
        <v>323</v>
      </c>
      <c r="J68" s="84" t="s">
        <v>307</v>
      </c>
      <c r="K68" s="83" t="s">
        <v>467</v>
      </c>
      <c r="L68" s="84" t="s">
        <v>308</v>
      </c>
      <c r="M68" s="84" t="s">
        <v>308</v>
      </c>
      <c r="N68" s="84" t="s">
        <v>325</v>
      </c>
      <c r="O68" s="84" t="s">
        <v>310</v>
      </c>
      <c r="P68" s="82" t="s">
        <v>327</v>
      </c>
      <c r="Q68" s="84" t="s">
        <v>65</v>
      </c>
      <c r="R68" s="83" t="s">
        <v>11</v>
      </c>
      <c r="S68" s="83" t="s">
        <v>328</v>
      </c>
      <c r="T68" s="83" t="s">
        <v>328</v>
      </c>
      <c r="U68" s="83" t="s">
        <v>325</v>
      </c>
      <c r="V68" s="85" t="s">
        <v>107</v>
      </c>
      <c r="W68" s="85" t="s">
        <v>124</v>
      </c>
      <c r="X68" s="85">
        <v>0</v>
      </c>
      <c r="Y68" s="254">
        <v>1.0575675945325751</v>
      </c>
      <c r="Z68" s="85" t="s">
        <v>114</v>
      </c>
      <c r="AA68" s="85" t="s">
        <v>123</v>
      </c>
      <c r="AB68" s="85" t="s">
        <v>123</v>
      </c>
      <c r="AC68" s="85">
        <v>7.29</v>
      </c>
      <c r="AD68" s="85" t="s">
        <v>131</v>
      </c>
      <c r="AE68" s="85" t="s">
        <v>131</v>
      </c>
      <c r="AF68" s="85">
        <v>0</v>
      </c>
      <c r="AG68" s="85">
        <v>6.89</v>
      </c>
      <c r="AH68" s="85" t="s">
        <v>138</v>
      </c>
      <c r="AI68" s="85" t="s">
        <v>139</v>
      </c>
      <c r="AJ68" s="85">
        <v>0</v>
      </c>
    </row>
    <row r="69" spans="1:36" ht="15.95" customHeight="1" x14ac:dyDescent="0.25">
      <c r="A69" s="82">
        <v>140530005</v>
      </c>
      <c r="B69" s="82" t="s">
        <v>321</v>
      </c>
      <c r="C69" s="83" t="s">
        <v>70</v>
      </c>
      <c r="D69" s="83" t="s">
        <v>322</v>
      </c>
      <c r="E69" s="84">
        <v>221</v>
      </c>
      <c r="F69" s="84" t="s">
        <v>224</v>
      </c>
      <c r="G69" s="84" t="s">
        <v>224</v>
      </c>
      <c r="H69" s="84" t="s">
        <v>224</v>
      </c>
      <c r="I69" s="84" t="s">
        <v>323</v>
      </c>
      <c r="J69" s="84" t="s">
        <v>307</v>
      </c>
      <c r="K69" s="83" t="s">
        <v>467</v>
      </c>
      <c r="L69" s="84" t="s">
        <v>308</v>
      </c>
      <c r="M69" s="84" t="s">
        <v>308</v>
      </c>
      <c r="N69" s="84" t="s">
        <v>325</v>
      </c>
      <c r="O69" s="84" t="s">
        <v>309</v>
      </c>
      <c r="P69" s="82" t="s">
        <v>327</v>
      </c>
      <c r="Q69" s="84" t="s">
        <v>65</v>
      </c>
      <c r="R69" s="83" t="s">
        <v>71</v>
      </c>
      <c r="S69" s="83" t="s">
        <v>328</v>
      </c>
      <c r="T69" s="83" t="s">
        <v>328</v>
      </c>
      <c r="U69" s="83" t="s">
        <v>325</v>
      </c>
      <c r="V69" s="85" t="s">
        <v>107</v>
      </c>
      <c r="W69" s="85" t="s">
        <v>124</v>
      </c>
      <c r="X69" s="85">
        <v>0</v>
      </c>
      <c r="Y69" s="254">
        <v>1.0575675945325751</v>
      </c>
      <c r="Z69" s="85" t="s">
        <v>114</v>
      </c>
      <c r="AA69" s="85">
        <v>0</v>
      </c>
      <c r="AB69" s="85">
        <v>0</v>
      </c>
      <c r="AC69" s="85">
        <v>0</v>
      </c>
      <c r="AD69" s="85">
        <v>0</v>
      </c>
      <c r="AE69" s="85">
        <v>0</v>
      </c>
      <c r="AF69" s="85">
        <v>0</v>
      </c>
      <c r="AG69" s="85">
        <v>0</v>
      </c>
      <c r="AH69" s="85">
        <v>0</v>
      </c>
      <c r="AI69" s="85">
        <v>0</v>
      </c>
      <c r="AJ69" s="85">
        <v>0</v>
      </c>
    </row>
    <row r="70" spans="1:36" ht="15.95" customHeight="1" x14ac:dyDescent="0.25">
      <c r="A70" s="82">
        <v>140530006</v>
      </c>
      <c r="B70" s="82" t="s">
        <v>321</v>
      </c>
      <c r="C70" s="83" t="s">
        <v>72</v>
      </c>
      <c r="D70" s="83" t="s">
        <v>322</v>
      </c>
      <c r="E70" s="84">
        <v>212</v>
      </c>
      <c r="F70" s="84" t="s">
        <v>224</v>
      </c>
      <c r="G70" s="84" t="s">
        <v>224</v>
      </c>
      <c r="H70" s="84" t="s">
        <v>224</v>
      </c>
      <c r="I70" s="84" t="s">
        <v>323</v>
      </c>
      <c r="J70" s="84" t="s">
        <v>307</v>
      </c>
      <c r="K70" s="83" t="s">
        <v>467</v>
      </c>
      <c r="L70" s="84" t="s">
        <v>308</v>
      </c>
      <c r="M70" s="84" t="s">
        <v>308</v>
      </c>
      <c r="N70" s="84" t="s">
        <v>325</v>
      </c>
      <c r="O70" s="84" t="s">
        <v>309</v>
      </c>
      <c r="P70" s="82" t="s">
        <v>327</v>
      </c>
      <c r="Q70" s="84" t="s">
        <v>65</v>
      </c>
      <c r="R70" s="83" t="s">
        <v>11</v>
      </c>
      <c r="S70" s="83" t="s">
        <v>328</v>
      </c>
      <c r="T70" s="83" t="s">
        <v>328</v>
      </c>
      <c r="U70" s="83" t="s">
        <v>325</v>
      </c>
      <c r="V70" s="85" t="s">
        <v>107</v>
      </c>
      <c r="W70" s="85" t="s">
        <v>124</v>
      </c>
      <c r="X70" s="85">
        <v>0</v>
      </c>
      <c r="Y70" s="254">
        <v>1.0575675945325751</v>
      </c>
      <c r="Z70" s="85" t="s">
        <v>114</v>
      </c>
      <c r="AA70" s="85">
        <v>0</v>
      </c>
      <c r="AB70" s="85">
        <v>0</v>
      </c>
      <c r="AC70" s="85">
        <v>0</v>
      </c>
      <c r="AD70" s="85">
        <v>0</v>
      </c>
      <c r="AE70" s="85">
        <v>0</v>
      </c>
      <c r="AF70" s="85">
        <v>0</v>
      </c>
      <c r="AG70" s="85">
        <v>0</v>
      </c>
      <c r="AH70" s="85">
        <v>0</v>
      </c>
      <c r="AI70" s="85">
        <v>0</v>
      </c>
      <c r="AJ70" s="85">
        <v>0</v>
      </c>
    </row>
    <row r="71" spans="1:36" ht="15.95" customHeight="1" x14ac:dyDescent="0.25">
      <c r="A71" s="82">
        <v>140530039</v>
      </c>
      <c r="B71" s="82" t="s">
        <v>321</v>
      </c>
      <c r="C71" s="83" t="s">
        <v>469</v>
      </c>
      <c r="D71" s="83" t="s">
        <v>322</v>
      </c>
      <c r="E71" s="84">
        <v>180</v>
      </c>
      <c r="F71" s="84" t="s">
        <v>224</v>
      </c>
      <c r="G71" s="84" t="s">
        <v>224</v>
      </c>
      <c r="H71" s="84" t="s">
        <v>224</v>
      </c>
      <c r="I71" s="84" t="s">
        <v>334</v>
      </c>
      <c r="J71" s="84" t="s">
        <v>307</v>
      </c>
      <c r="K71" s="83" t="s">
        <v>335</v>
      </c>
      <c r="L71" s="84" t="s">
        <v>336</v>
      </c>
      <c r="M71" s="84" t="s">
        <v>336</v>
      </c>
      <c r="N71" s="84" t="s">
        <v>336</v>
      </c>
      <c r="O71" s="84" t="s">
        <v>310</v>
      </c>
      <c r="P71" s="82" t="s">
        <v>327</v>
      </c>
      <c r="Q71" s="84" t="s">
        <v>65</v>
      </c>
      <c r="R71" s="83" t="s">
        <v>73</v>
      </c>
      <c r="S71" s="83" t="s">
        <v>73</v>
      </c>
      <c r="T71" s="83" t="s">
        <v>73</v>
      </c>
      <c r="U71" s="83" t="s">
        <v>224</v>
      </c>
      <c r="V71" s="85" t="s">
        <v>107</v>
      </c>
      <c r="W71" s="85" t="s">
        <v>124</v>
      </c>
      <c r="X71" s="85">
        <v>0</v>
      </c>
      <c r="Y71" s="254">
        <v>1.1274069639828395</v>
      </c>
      <c r="Z71" s="85" t="s">
        <v>162</v>
      </c>
      <c r="AA71" s="85" t="s">
        <v>123</v>
      </c>
      <c r="AB71" s="85" t="s">
        <v>123</v>
      </c>
      <c r="AC71" s="85">
        <v>7.29</v>
      </c>
      <c r="AD71" s="85" t="s">
        <v>131</v>
      </c>
      <c r="AE71" s="85" t="s">
        <v>131</v>
      </c>
      <c r="AF71" s="85">
        <v>0</v>
      </c>
      <c r="AG71" s="85">
        <v>6.93</v>
      </c>
      <c r="AH71" s="85" t="s">
        <v>132</v>
      </c>
      <c r="AI71" s="85">
        <v>0</v>
      </c>
      <c r="AJ71" s="85">
        <v>0</v>
      </c>
    </row>
    <row r="72" spans="1:36" ht="15.95" customHeight="1" x14ac:dyDescent="0.25">
      <c r="A72" s="82">
        <v>140550019</v>
      </c>
      <c r="B72" s="82" t="s">
        <v>470</v>
      </c>
      <c r="C72" s="83" t="s">
        <v>75</v>
      </c>
      <c r="D72" s="83" t="s">
        <v>471</v>
      </c>
      <c r="E72" s="84">
        <v>196</v>
      </c>
      <c r="F72" s="84" t="s">
        <v>472</v>
      </c>
      <c r="G72" s="84" t="s">
        <v>472</v>
      </c>
      <c r="H72" s="84" t="s">
        <v>417</v>
      </c>
      <c r="I72" s="84" t="s">
        <v>307</v>
      </c>
      <c r="J72" s="84" t="s">
        <v>417</v>
      </c>
      <c r="K72" s="83" t="s">
        <v>27</v>
      </c>
      <c r="L72" s="84" t="s">
        <v>309</v>
      </c>
      <c r="M72" s="84" t="s">
        <v>309</v>
      </c>
      <c r="N72" s="84" t="s">
        <v>309</v>
      </c>
      <c r="O72" s="84" t="s">
        <v>309</v>
      </c>
      <c r="P72" s="82" t="s">
        <v>315</v>
      </c>
      <c r="Q72" s="84" t="s">
        <v>74</v>
      </c>
      <c r="R72" s="83" t="s">
        <v>49</v>
      </c>
      <c r="S72" s="83" t="s">
        <v>382</v>
      </c>
      <c r="T72" s="83" t="s">
        <v>382</v>
      </c>
      <c r="U72" s="83" t="s">
        <v>473</v>
      </c>
      <c r="V72" s="85" t="s">
        <v>106</v>
      </c>
      <c r="W72" s="85" t="s">
        <v>174</v>
      </c>
      <c r="X72" s="85">
        <v>0</v>
      </c>
      <c r="Y72" s="254">
        <v>2.6938042502244834</v>
      </c>
      <c r="Z72" s="85" t="s">
        <v>163</v>
      </c>
      <c r="AA72" s="85" t="s">
        <v>166</v>
      </c>
      <c r="AB72" s="85" t="s">
        <v>123</v>
      </c>
      <c r="AC72" s="85">
        <v>0</v>
      </c>
      <c r="AD72" s="85" t="s">
        <v>140</v>
      </c>
      <c r="AE72" s="85" t="s">
        <v>141</v>
      </c>
      <c r="AF72" s="85">
        <v>0</v>
      </c>
      <c r="AG72" s="85">
        <v>0</v>
      </c>
      <c r="AH72" s="85" t="s">
        <v>128</v>
      </c>
      <c r="AI72" s="85">
        <v>0</v>
      </c>
      <c r="AJ72" s="85">
        <v>0</v>
      </c>
    </row>
    <row r="73" spans="1:36" ht="15.95" customHeight="1" x14ac:dyDescent="0.25">
      <c r="A73" s="82">
        <v>140550038</v>
      </c>
      <c r="B73" s="82" t="s">
        <v>474</v>
      </c>
      <c r="C73" s="83" t="s">
        <v>475</v>
      </c>
      <c r="D73" s="83" t="s">
        <v>424</v>
      </c>
      <c r="E73" s="84">
        <v>0</v>
      </c>
      <c r="F73" s="84" t="s">
        <v>224</v>
      </c>
      <c r="G73" s="84" t="s">
        <v>224</v>
      </c>
      <c r="H73" s="84" t="s">
        <v>224</v>
      </c>
      <c r="I73" s="84" t="s">
        <v>307</v>
      </c>
      <c r="J73" s="84" t="s">
        <v>325</v>
      </c>
      <c r="K73" s="83" t="s">
        <v>27</v>
      </c>
      <c r="L73" s="84" t="s">
        <v>325</v>
      </c>
      <c r="M73" s="84" t="s">
        <v>325</v>
      </c>
      <c r="N73" s="84" t="s">
        <v>325</v>
      </c>
      <c r="O73" s="84" t="s">
        <v>325</v>
      </c>
      <c r="P73" s="82" t="s">
        <v>315</v>
      </c>
      <c r="Q73" s="84" t="s">
        <v>74</v>
      </c>
      <c r="R73" s="83" t="s">
        <v>325</v>
      </c>
      <c r="S73" s="83" t="s">
        <v>325</v>
      </c>
      <c r="T73" s="83" t="s">
        <v>325</v>
      </c>
      <c r="U73" s="83" t="s">
        <v>325</v>
      </c>
      <c r="V73" s="85" t="s">
        <v>182</v>
      </c>
      <c r="W73" s="85" t="s">
        <v>182</v>
      </c>
      <c r="X73" s="85" t="s">
        <v>182</v>
      </c>
      <c r="Y73" s="254" t="s">
        <v>182</v>
      </c>
      <c r="Z73" s="85" t="s">
        <v>182</v>
      </c>
      <c r="AA73" s="85" t="s">
        <v>182</v>
      </c>
      <c r="AB73" s="85" t="s">
        <v>182</v>
      </c>
      <c r="AC73" s="85" t="s">
        <v>182</v>
      </c>
      <c r="AD73" s="85" t="s">
        <v>182</v>
      </c>
      <c r="AE73" s="85" t="s">
        <v>182</v>
      </c>
      <c r="AF73" s="85" t="s">
        <v>182</v>
      </c>
      <c r="AG73" s="85" t="s">
        <v>182</v>
      </c>
      <c r="AH73" s="85" t="s">
        <v>182</v>
      </c>
      <c r="AI73" s="85" t="s">
        <v>182</v>
      </c>
      <c r="AJ73" s="85" t="s">
        <v>182</v>
      </c>
    </row>
    <row r="74" spans="1:36" ht="15.95" customHeight="1" x14ac:dyDescent="0.25">
      <c r="A74" s="82">
        <v>140550039</v>
      </c>
      <c r="B74" s="82" t="s">
        <v>476</v>
      </c>
      <c r="C74" s="83" t="s">
        <v>477</v>
      </c>
      <c r="D74" s="83" t="s">
        <v>424</v>
      </c>
      <c r="E74" s="84">
        <v>0</v>
      </c>
      <c r="F74" s="84" t="s">
        <v>224</v>
      </c>
      <c r="G74" s="84" t="s">
        <v>224</v>
      </c>
      <c r="H74" s="84" t="s">
        <v>224</v>
      </c>
      <c r="I74" s="84" t="s">
        <v>307</v>
      </c>
      <c r="J74" s="84" t="s">
        <v>325</v>
      </c>
      <c r="K74" s="83" t="s">
        <v>27</v>
      </c>
      <c r="L74" s="84" t="s">
        <v>325</v>
      </c>
      <c r="M74" s="84" t="s">
        <v>325</v>
      </c>
      <c r="N74" s="84" t="s">
        <v>325</v>
      </c>
      <c r="O74" s="84" t="s">
        <v>325</v>
      </c>
      <c r="P74" s="82" t="s">
        <v>386</v>
      </c>
      <c r="Q74" s="84" t="s">
        <v>74</v>
      </c>
      <c r="R74" s="83" t="s">
        <v>325</v>
      </c>
      <c r="S74" s="83" t="s">
        <v>325</v>
      </c>
      <c r="T74" s="83" t="s">
        <v>325</v>
      </c>
      <c r="U74" s="83" t="s">
        <v>325</v>
      </c>
      <c r="V74" s="85" t="s">
        <v>182</v>
      </c>
      <c r="W74" s="85" t="s">
        <v>182</v>
      </c>
      <c r="X74" s="85" t="s">
        <v>182</v>
      </c>
      <c r="Y74" s="254" t="s">
        <v>182</v>
      </c>
      <c r="Z74" s="85" t="s">
        <v>182</v>
      </c>
      <c r="AA74" s="85" t="s">
        <v>182</v>
      </c>
      <c r="AB74" s="85" t="s">
        <v>182</v>
      </c>
      <c r="AC74" s="85" t="s">
        <v>182</v>
      </c>
      <c r="AD74" s="85" t="s">
        <v>182</v>
      </c>
      <c r="AE74" s="85" t="s">
        <v>182</v>
      </c>
      <c r="AF74" s="85" t="s">
        <v>182</v>
      </c>
      <c r="AG74" s="85" t="s">
        <v>182</v>
      </c>
      <c r="AH74" s="85" t="s">
        <v>182</v>
      </c>
      <c r="AI74" s="85" t="s">
        <v>182</v>
      </c>
      <c r="AJ74" s="85" t="s">
        <v>182</v>
      </c>
    </row>
    <row r="75" spans="1:36" ht="15.95" customHeight="1" x14ac:dyDescent="0.25">
      <c r="A75" s="82">
        <v>140550042</v>
      </c>
      <c r="B75" s="82" t="s">
        <v>478</v>
      </c>
      <c r="C75" s="83" t="s">
        <v>479</v>
      </c>
      <c r="D75" s="83" t="s">
        <v>424</v>
      </c>
      <c r="E75" s="84">
        <v>128</v>
      </c>
      <c r="F75" s="84" t="s">
        <v>306</v>
      </c>
      <c r="G75" s="84" t="s">
        <v>306</v>
      </c>
      <c r="H75" s="84" t="s">
        <v>337</v>
      </c>
      <c r="I75" s="84" t="s">
        <v>307</v>
      </c>
      <c r="J75" s="84" t="s">
        <v>337</v>
      </c>
      <c r="K75" s="83" t="s">
        <v>27</v>
      </c>
      <c r="L75" s="84" t="s">
        <v>372</v>
      </c>
      <c r="M75" s="84" t="s">
        <v>372</v>
      </c>
      <c r="N75" s="84" t="s">
        <v>309</v>
      </c>
      <c r="O75" s="84" t="s">
        <v>310</v>
      </c>
      <c r="P75" s="82" t="s">
        <v>386</v>
      </c>
      <c r="Q75" s="84" t="s">
        <v>74</v>
      </c>
      <c r="R75" s="83" t="s">
        <v>28</v>
      </c>
      <c r="S75" s="83" t="s">
        <v>480</v>
      </c>
      <c r="T75" s="83" t="s">
        <v>480</v>
      </c>
      <c r="U75" s="83" t="s">
        <v>481</v>
      </c>
      <c r="V75" s="85" t="s">
        <v>106</v>
      </c>
      <c r="W75" s="85" t="s">
        <v>124</v>
      </c>
      <c r="X75" s="85">
        <v>0</v>
      </c>
      <c r="Y75" s="254">
        <v>1.9056170807143569</v>
      </c>
      <c r="Z75" s="85" t="s">
        <v>164</v>
      </c>
      <c r="AA75" s="85" t="s">
        <v>166</v>
      </c>
      <c r="AB75" s="85" t="s">
        <v>123</v>
      </c>
      <c r="AC75" s="85">
        <v>0</v>
      </c>
      <c r="AD75" s="85">
        <v>0</v>
      </c>
      <c r="AE75" s="85">
        <v>0</v>
      </c>
      <c r="AF75" s="85">
        <v>0</v>
      </c>
      <c r="AG75" s="85">
        <v>0</v>
      </c>
      <c r="AH75" s="85">
        <v>0</v>
      </c>
      <c r="AI75" s="85">
        <v>0</v>
      </c>
      <c r="AJ75" s="85">
        <v>0</v>
      </c>
    </row>
    <row r="76" spans="1:36" ht="15.95" customHeight="1" x14ac:dyDescent="0.25">
      <c r="A76" s="82">
        <v>140550043</v>
      </c>
      <c r="B76" s="82" t="s">
        <v>482</v>
      </c>
      <c r="C76" s="83" t="s">
        <v>483</v>
      </c>
      <c r="D76" s="83" t="s">
        <v>424</v>
      </c>
      <c r="E76" s="84">
        <v>126</v>
      </c>
      <c r="F76" s="84" t="s">
        <v>326</v>
      </c>
      <c r="G76" s="84" t="s">
        <v>326</v>
      </c>
      <c r="H76" s="84" t="s">
        <v>346</v>
      </c>
      <c r="I76" s="84" t="s">
        <v>307</v>
      </c>
      <c r="J76" s="84" t="s">
        <v>346</v>
      </c>
      <c r="K76" s="83" t="s">
        <v>27</v>
      </c>
      <c r="L76" s="84" t="s">
        <v>372</v>
      </c>
      <c r="M76" s="84" t="s">
        <v>372</v>
      </c>
      <c r="N76" s="84" t="s">
        <v>309</v>
      </c>
      <c r="O76" s="84" t="s">
        <v>310</v>
      </c>
      <c r="P76" s="82" t="s">
        <v>315</v>
      </c>
      <c r="Q76" s="84" t="s">
        <v>74</v>
      </c>
      <c r="R76" s="83" t="s">
        <v>28</v>
      </c>
      <c r="S76" s="83" t="s">
        <v>480</v>
      </c>
      <c r="T76" s="83" t="s">
        <v>480</v>
      </c>
      <c r="U76" s="83" t="s">
        <v>481</v>
      </c>
      <c r="V76" s="85" t="s">
        <v>106</v>
      </c>
      <c r="W76" s="85" t="s">
        <v>124</v>
      </c>
      <c r="X76" s="85">
        <v>0</v>
      </c>
      <c r="Y76" s="254">
        <v>1.9056170807143569</v>
      </c>
      <c r="Z76" s="85" t="s">
        <v>164</v>
      </c>
      <c r="AA76" s="85" t="s">
        <v>166</v>
      </c>
      <c r="AB76" s="85" t="s">
        <v>123</v>
      </c>
      <c r="AC76" s="85">
        <v>0</v>
      </c>
      <c r="AD76" s="85">
        <v>0</v>
      </c>
      <c r="AE76" s="85">
        <v>0</v>
      </c>
      <c r="AF76" s="85">
        <v>0</v>
      </c>
      <c r="AG76" s="85">
        <v>0</v>
      </c>
      <c r="AH76" s="85">
        <v>0</v>
      </c>
      <c r="AI76" s="85">
        <v>0</v>
      </c>
      <c r="AJ76" s="85">
        <v>0</v>
      </c>
    </row>
    <row r="77" spans="1:36" ht="15.95" customHeight="1" x14ac:dyDescent="0.25">
      <c r="A77" s="82">
        <v>140550049</v>
      </c>
      <c r="B77" s="82" t="s">
        <v>478</v>
      </c>
      <c r="C77" s="83" t="s">
        <v>479</v>
      </c>
      <c r="D77" s="83" t="s">
        <v>424</v>
      </c>
      <c r="E77" s="84">
        <v>126</v>
      </c>
      <c r="F77" s="84" t="s">
        <v>326</v>
      </c>
      <c r="G77" s="84" t="s">
        <v>326</v>
      </c>
      <c r="H77" s="84" t="s">
        <v>346</v>
      </c>
      <c r="I77" s="84" t="s">
        <v>307</v>
      </c>
      <c r="J77" s="84" t="s">
        <v>346</v>
      </c>
      <c r="K77" s="83" t="s">
        <v>27</v>
      </c>
      <c r="L77" s="84" t="s">
        <v>372</v>
      </c>
      <c r="M77" s="84" t="s">
        <v>372</v>
      </c>
      <c r="N77" s="84" t="s">
        <v>309</v>
      </c>
      <c r="O77" s="84" t="s">
        <v>310</v>
      </c>
      <c r="P77" s="82" t="s">
        <v>386</v>
      </c>
      <c r="Q77" s="84" t="s">
        <v>74</v>
      </c>
      <c r="R77" s="83" t="s">
        <v>28</v>
      </c>
      <c r="S77" s="83" t="s">
        <v>480</v>
      </c>
      <c r="T77" s="83" t="s">
        <v>480</v>
      </c>
      <c r="U77" s="83" t="s">
        <v>481</v>
      </c>
      <c r="V77" s="85" t="s">
        <v>106</v>
      </c>
      <c r="W77" s="85" t="s">
        <v>124</v>
      </c>
      <c r="X77" s="85">
        <v>0</v>
      </c>
      <c r="Y77" s="254">
        <v>1.9056170807143569</v>
      </c>
      <c r="Z77" s="85" t="s">
        <v>164</v>
      </c>
      <c r="AA77" s="85" t="s">
        <v>166</v>
      </c>
      <c r="AB77" s="85" t="s">
        <v>123</v>
      </c>
      <c r="AC77" s="85">
        <v>0</v>
      </c>
      <c r="AD77" s="85">
        <v>0</v>
      </c>
      <c r="AE77" s="85">
        <v>0</v>
      </c>
      <c r="AF77" s="85">
        <v>0</v>
      </c>
      <c r="AG77" s="85">
        <v>0</v>
      </c>
      <c r="AH77" s="85">
        <v>0</v>
      </c>
      <c r="AI77" s="85">
        <v>0</v>
      </c>
      <c r="AJ77" s="85">
        <v>0</v>
      </c>
    </row>
    <row r="78" spans="1:36" ht="15.95" customHeight="1" x14ac:dyDescent="0.25">
      <c r="A78" s="82">
        <v>140550060</v>
      </c>
      <c r="B78" s="82" t="s">
        <v>484</v>
      </c>
      <c r="C78" s="83" t="s">
        <v>485</v>
      </c>
      <c r="D78" s="83" t="s">
        <v>486</v>
      </c>
      <c r="E78" s="84">
        <v>161</v>
      </c>
      <c r="F78" s="84" t="s">
        <v>224</v>
      </c>
      <c r="G78" s="84" t="s">
        <v>224</v>
      </c>
      <c r="H78" s="84" t="s">
        <v>224</v>
      </c>
      <c r="I78" s="84" t="s">
        <v>323</v>
      </c>
      <c r="J78" s="84" t="s">
        <v>334</v>
      </c>
      <c r="K78" s="83" t="s">
        <v>487</v>
      </c>
      <c r="L78" s="84" t="s">
        <v>336</v>
      </c>
      <c r="M78" s="84" t="s">
        <v>336</v>
      </c>
      <c r="N78" s="84" t="s">
        <v>224</v>
      </c>
      <c r="O78" s="84" t="s">
        <v>310</v>
      </c>
      <c r="P78" s="82" t="s">
        <v>327</v>
      </c>
      <c r="Q78" s="84" t="s">
        <v>74</v>
      </c>
      <c r="R78" s="83" t="s">
        <v>325</v>
      </c>
      <c r="S78" s="83" t="s">
        <v>488</v>
      </c>
      <c r="T78" s="83" t="s">
        <v>489</v>
      </c>
      <c r="U78" s="83" t="s">
        <v>325</v>
      </c>
      <c r="V78" s="85" t="s">
        <v>107</v>
      </c>
      <c r="W78" s="85" t="s">
        <v>175</v>
      </c>
      <c r="X78" s="85">
        <v>0</v>
      </c>
      <c r="Y78" s="254">
        <v>1.1972463334331038</v>
      </c>
      <c r="Z78" s="85" t="s">
        <v>162</v>
      </c>
      <c r="AA78" s="85" t="s">
        <v>123</v>
      </c>
      <c r="AB78" s="85" t="s">
        <v>123</v>
      </c>
      <c r="AC78" s="85">
        <v>0</v>
      </c>
      <c r="AD78" s="85" t="s">
        <v>147</v>
      </c>
      <c r="AE78" s="85">
        <v>0</v>
      </c>
      <c r="AF78" s="85">
        <v>0</v>
      </c>
      <c r="AG78" s="85">
        <v>0</v>
      </c>
      <c r="AH78" s="85" t="s">
        <v>159</v>
      </c>
      <c r="AI78" s="85">
        <v>0</v>
      </c>
      <c r="AJ78" s="85">
        <v>0</v>
      </c>
    </row>
    <row r="79" spans="1:36" ht="15.95" customHeight="1" x14ac:dyDescent="0.25">
      <c r="A79" s="82">
        <v>140550062</v>
      </c>
      <c r="B79" s="82" t="s">
        <v>490</v>
      </c>
      <c r="C79" s="83" t="s">
        <v>491</v>
      </c>
      <c r="D79" s="83" t="s">
        <v>486</v>
      </c>
      <c r="E79" s="84">
        <v>190</v>
      </c>
      <c r="F79" s="84" t="s">
        <v>224</v>
      </c>
      <c r="G79" s="84" t="s">
        <v>224</v>
      </c>
      <c r="H79" s="84" t="s">
        <v>224</v>
      </c>
      <c r="I79" s="84" t="s">
        <v>323</v>
      </c>
      <c r="J79" s="84" t="s">
        <v>323</v>
      </c>
      <c r="K79" s="83" t="s">
        <v>492</v>
      </c>
      <c r="L79" s="84" t="s">
        <v>308</v>
      </c>
      <c r="M79" s="84" t="s">
        <v>308</v>
      </c>
      <c r="N79" s="84" t="s">
        <v>224</v>
      </c>
      <c r="O79" s="84" t="s">
        <v>310</v>
      </c>
      <c r="P79" s="82" t="s">
        <v>327</v>
      </c>
      <c r="Q79" s="84" t="s">
        <v>74</v>
      </c>
      <c r="R79" s="83" t="s">
        <v>325</v>
      </c>
      <c r="S79" s="83" t="s">
        <v>328</v>
      </c>
      <c r="T79" s="83" t="s">
        <v>328</v>
      </c>
      <c r="U79" s="83" t="s">
        <v>325</v>
      </c>
      <c r="V79" s="85" t="s">
        <v>107</v>
      </c>
      <c r="W79" s="85" t="s">
        <v>175</v>
      </c>
      <c r="X79" s="85">
        <v>0</v>
      </c>
      <c r="Y79" s="254">
        <v>1.5763743390202534</v>
      </c>
      <c r="Z79" s="85" t="s">
        <v>114</v>
      </c>
      <c r="AA79" s="85" t="s">
        <v>123</v>
      </c>
      <c r="AB79" s="85" t="s">
        <v>123</v>
      </c>
      <c r="AC79" s="85">
        <v>0</v>
      </c>
      <c r="AD79" s="85">
        <v>0</v>
      </c>
      <c r="AE79" s="85">
        <v>0</v>
      </c>
      <c r="AF79" s="85">
        <v>0</v>
      </c>
      <c r="AG79" s="85">
        <v>0</v>
      </c>
      <c r="AH79" s="85">
        <v>0</v>
      </c>
      <c r="AI79" s="85">
        <v>0</v>
      </c>
      <c r="AJ79" s="85">
        <v>0</v>
      </c>
    </row>
    <row r="80" spans="1:36" ht="15.95" customHeight="1" x14ac:dyDescent="0.25">
      <c r="A80" s="82">
        <v>140550063</v>
      </c>
      <c r="B80" s="82" t="s">
        <v>490</v>
      </c>
      <c r="C80" s="83" t="s">
        <v>493</v>
      </c>
      <c r="D80" s="83" t="s">
        <v>486</v>
      </c>
      <c r="E80" s="84">
        <v>229</v>
      </c>
      <c r="F80" s="84" t="s">
        <v>224</v>
      </c>
      <c r="G80" s="84" t="s">
        <v>224</v>
      </c>
      <c r="H80" s="84" t="s">
        <v>224</v>
      </c>
      <c r="I80" s="84" t="s">
        <v>323</v>
      </c>
      <c r="J80" s="84" t="s">
        <v>307</v>
      </c>
      <c r="K80" s="83" t="s">
        <v>492</v>
      </c>
      <c r="L80" s="84" t="s">
        <v>308</v>
      </c>
      <c r="M80" s="84" t="s">
        <v>308</v>
      </c>
      <c r="N80" s="84" t="s">
        <v>224</v>
      </c>
      <c r="O80" s="84" t="s">
        <v>310</v>
      </c>
      <c r="P80" s="82" t="s">
        <v>327</v>
      </c>
      <c r="Q80" s="84" t="s">
        <v>74</v>
      </c>
      <c r="R80" s="83" t="s">
        <v>325</v>
      </c>
      <c r="S80" s="83" t="s">
        <v>328</v>
      </c>
      <c r="T80" s="83" t="s">
        <v>328</v>
      </c>
      <c r="U80" s="83" t="s">
        <v>325</v>
      </c>
      <c r="V80" s="85" t="s">
        <v>107</v>
      </c>
      <c r="W80" s="85" t="s">
        <v>124</v>
      </c>
      <c r="X80" s="85">
        <v>0</v>
      </c>
      <c r="Y80" s="254">
        <v>1.5763743390202534</v>
      </c>
      <c r="Z80" s="85" t="s">
        <v>114</v>
      </c>
      <c r="AA80" s="85" t="s">
        <v>123</v>
      </c>
      <c r="AB80" s="85" t="s">
        <v>123</v>
      </c>
      <c r="AC80" s="85">
        <v>0</v>
      </c>
      <c r="AD80" s="85" t="s">
        <v>160</v>
      </c>
      <c r="AE80" s="85">
        <v>0</v>
      </c>
      <c r="AF80" s="85">
        <v>0</v>
      </c>
      <c r="AG80" s="85">
        <v>0</v>
      </c>
      <c r="AH80" s="85">
        <v>0</v>
      </c>
      <c r="AI80" s="85">
        <v>0</v>
      </c>
      <c r="AJ80" s="85">
        <v>0</v>
      </c>
    </row>
    <row r="81" spans="1:36" ht="15.95" customHeight="1" x14ac:dyDescent="0.25">
      <c r="A81" s="82">
        <v>140550064</v>
      </c>
      <c r="B81" s="82" t="s">
        <v>365</v>
      </c>
      <c r="C81" s="83" t="s">
        <v>494</v>
      </c>
      <c r="D81" s="83" t="s">
        <v>366</v>
      </c>
      <c r="E81" s="84">
        <v>172</v>
      </c>
      <c r="F81" s="84" t="s">
        <v>443</v>
      </c>
      <c r="G81" s="84" t="s">
        <v>443</v>
      </c>
      <c r="H81" s="84" t="s">
        <v>495</v>
      </c>
      <c r="I81" s="84" t="s">
        <v>307</v>
      </c>
      <c r="J81" s="84" t="s">
        <v>495</v>
      </c>
      <c r="K81" s="83" t="s">
        <v>27</v>
      </c>
      <c r="L81" s="84" t="s">
        <v>337</v>
      </c>
      <c r="M81" s="84" t="s">
        <v>337</v>
      </c>
      <c r="N81" s="84" t="s">
        <v>337</v>
      </c>
      <c r="O81" s="84" t="s">
        <v>310</v>
      </c>
      <c r="P81" s="82" t="s">
        <v>315</v>
      </c>
      <c r="Q81" s="84" t="s">
        <v>74</v>
      </c>
      <c r="R81" s="83" t="s">
        <v>325</v>
      </c>
      <c r="S81" s="83" t="s">
        <v>325</v>
      </c>
      <c r="T81" s="83" t="s">
        <v>325</v>
      </c>
      <c r="U81" s="83" t="s">
        <v>325</v>
      </c>
      <c r="V81" s="85" t="s">
        <v>182</v>
      </c>
      <c r="W81" s="85" t="s">
        <v>182</v>
      </c>
      <c r="X81" s="85" t="s">
        <v>182</v>
      </c>
      <c r="Y81" s="254" t="s">
        <v>182</v>
      </c>
      <c r="Z81" s="85" t="s">
        <v>182</v>
      </c>
      <c r="AA81" s="85" t="s">
        <v>182</v>
      </c>
      <c r="AB81" s="85" t="s">
        <v>182</v>
      </c>
      <c r="AC81" s="85" t="s">
        <v>182</v>
      </c>
      <c r="AD81" s="85" t="s">
        <v>182</v>
      </c>
      <c r="AE81" s="85" t="s">
        <v>182</v>
      </c>
      <c r="AF81" s="85" t="s">
        <v>182</v>
      </c>
      <c r="AG81" s="85" t="s">
        <v>182</v>
      </c>
      <c r="AH81" s="85" t="s">
        <v>182</v>
      </c>
      <c r="AI81" s="85" t="s">
        <v>182</v>
      </c>
      <c r="AJ81" s="85" t="s">
        <v>182</v>
      </c>
    </row>
    <row r="82" spans="1:36" ht="15.95" customHeight="1" x14ac:dyDescent="0.25">
      <c r="A82" s="82">
        <v>140550079</v>
      </c>
      <c r="B82" s="82" t="s">
        <v>490</v>
      </c>
      <c r="C82" s="83" t="s">
        <v>496</v>
      </c>
      <c r="D82" s="83" t="s">
        <v>486</v>
      </c>
      <c r="E82" s="84">
        <v>259</v>
      </c>
      <c r="F82" s="84" t="s">
        <v>224</v>
      </c>
      <c r="G82" s="84" t="s">
        <v>224</v>
      </c>
      <c r="H82" s="84" t="s">
        <v>224</v>
      </c>
      <c r="I82" s="84" t="s">
        <v>323</v>
      </c>
      <c r="J82" s="84" t="s">
        <v>323</v>
      </c>
      <c r="K82" s="83" t="s">
        <v>492</v>
      </c>
      <c r="L82" s="84" t="s">
        <v>308</v>
      </c>
      <c r="M82" s="84" t="s">
        <v>308</v>
      </c>
      <c r="N82" s="84" t="s">
        <v>224</v>
      </c>
      <c r="O82" s="84" t="s">
        <v>310</v>
      </c>
      <c r="P82" s="82" t="s">
        <v>327</v>
      </c>
      <c r="Q82" s="84" t="s">
        <v>74</v>
      </c>
      <c r="R82" s="83" t="s">
        <v>325</v>
      </c>
      <c r="S82" s="83" t="s">
        <v>328</v>
      </c>
      <c r="T82" s="83" t="s">
        <v>328</v>
      </c>
      <c r="U82" s="83" t="s">
        <v>325</v>
      </c>
      <c r="V82" s="85" t="s">
        <v>182</v>
      </c>
      <c r="W82" s="85" t="s">
        <v>182</v>
      </c>
      <c r="X82" s="85" t="s">
        <v>182</v>
      </c>
      <c r="Y82" s="254" t="s">
        <v>182</v>
      </c>
      <c r="Z82" s="85" t="s">
        <v>182</v>
      </c>
      <c r="AA82" s="85" t="s">
        <v>182</v>
      </c>
      <c r="AB82" s="85" t="s">
        <v>182</v>
      </c>
      <c r="AC82" s="85" t="s">
        <v>182</v>
      </c>
      <c r="AD82" s="85" t="s">
        <v>182</v>
      </c>
      <c r="AE82" s="85" t="s">
        <v>182</v>
      </c>
      <c r="AF82" s="85" t="s">
        <v>182</v>
      </c>
      <c r="AG82" s="85" t="s">
        <v>182</v>
      </c>
      <c r="AH82" s="85" t="s">
        <v>182</v>
      </c>
      <c r="AI82" s="85" t="s">
        <v>182</v>
      </c>
      <c r="AJ82" s="85" t="s">
        <v>182</v>
      </c>
    </row>
    <row r="83" spans="1:36" ht="15.95" customHeight="1" x14ac:dyDescent="0.25">
      <c r="A83" s="82">
        <v>140590009</v>
      </c>
      <c r="B83" s="82" t="s">
        <v>303</v>
      </c>
      <c r="C83" s="83" t="s">
        <v>497</v>
      </c>
      <c r="D83" s="83" t="s">
        <v>305</v>
      </c>
      <c r="E83" s="84">
        <v>199</v>
      </c>
      <c r="F83" s="84" t="s">
        <v>310</v>
      </c>
      <c r="G83" s="84" t="s">
        <v>310</v>
      </c>
      <c r="H83" s="84" t="s">
        <v>310</v>
      </c>
      <c r="I83" s="84" t="s">
        <v>307</v>
      </c>
      <c r="J83" s="84" t="s">
        <v>310</v>
      </c>
      <c r="K83" s="83" t="s">
        <v>92</v>
      </c>
      <c r="L83" s="84" t="s">
        <v>308</v>
      </c>
      <c r="M83" s="84" t="s">
        <v>308</v>
      </c>
      <c r="N83" s="84" t="s">
        <v>309</v>
      </c>
      <c r="O83" s="84" t="s">
        <v>310</v>
      </c>
      <c r="P83" s="82" t="s">
        <v>311</v>
      </c>
      <c r="Q83" s="84" t="s">
        <v>76</v>
      </c>
      <c r="R83" s="83" t="s">
        <v>325</v>
      </c>
      <c r="S83" s="83" t="s">
        <v>114</v>
      </c>
      <c r="T83" s="83" t="s">
        <v>114</v>
      </c>
      <c r="U83" s="83" t="s">
        <v>312</v>
      </c>
      <c r="V83" s="85" t="s">
        <v>106</v>
      </c>
      <c r="W83" s="85" t="s">
        <v>124</v>
      </c>
      <c r="X83" s="85">
        <v>0</v>
      </c>
      <c r="Y83" s="254">
        <v>1.0775217000897934</v>
      </c>
      <c r="Z83" s="85">
        <v>0</v>
      </c>
      <c r="AA83" s="85">
        <v>0</v>
      </c>
      <c r="AB83" s="85">
        <v>0</v>
      </c>
      <c r="AC83" s="85">
        <v>0</v>
      </c>
      <c r="AD83" s="85">
        <v>0</v>
      </c>
      <c r="AE83" s="85">
        <v>0</v>
      </c>
      <c r="AF83" s="85">
        <v>0</v>
      </c>
      <c r="AG83" s="85">
        <v>0</v>
      </c>
      <c r="AH83" s="85">
        <v>0</v>
      </c>
      <c r="AI83" s="85">
        <v>0</v>
      </c>
      <c r="AJ83" s="85">
        <v>0</v>
      </c>
    </row>
    <row r="84" spans="1:36" ht="15.95" customHeight="1" x14ac:dyDescent="0.25">
      <c r="A84" s="82">
        <v>140640007</v>
      </c>
      <c r="B84" s="82" t="s">
        <v>396</v>
      </c>
      <c r="C84" s="83" t="s">
        <v>78</v>
      </c>
      <c r="D84" s="83" t="s">
        <v>397</v>
      </c>
      <c r="E84" s="84">
        <v>248</v>
      </c>
      <c r="F84" s="84" t="s">
        <v>498</v>
      </c>
      <c r="G84" s="84" t="s">
        <v>498</v>
      </c>
      <c r="H84" s="84" t="s">
        <v>499</v>
      </c>
      <c r="I84" s="84" t="s">
        <v>307</v>
      </c>
      <c r="J84" s="84" t="s">
        <v>499</v>
      </c>
      <c r="K84" s="83" t="s">
        <v>27</v>
      </c>
      <c r="L84" s="84" t="s">
        <v>339</v>
      </c>
      <c r="M84" s="84" t="s">
        <v>339</v>
      </c>
      <c r="N84" s="84" t="s">
        <v>309</v>
      </c>
      <c r="O84" s="84" t="s">
        <v>309</v>
      </c>
      <c r="P84" s="82" t="s">
        <v>311</v>
      </c>
      <c r="Q84" s="84" t="s">
        <v>77</v>
      </c>
      <c r="R84" s="83" t="s">
        <v>500</v>
      </c>
      <c r="S84" s="83" t="s">
        <v>341</v>
      </c>
      <c r="T84" s="83" t="s">
        <v>341</v>
      </c>
      <c r="U84" s="83" t="s">
        <v>377</v>
      </c>
      <c r="V84" s="85" t="s">
        <v>106</v>
      </c>
      <c r="W84" s="85" t="s">
        <v>124</v>
      </c>
      <c r="X84" s="85">
        <v>0</v>
      </c>
      <c r="Y84" s="254">
        <v>1.1413748378728923</v>
      </c>
      <c r="Z84" s="85" t="s">
        <v>112</v>
      </c>
      <c r="AA84" s="85" t="s">
        <v>170</v>
      </c>
      <c r="AB84" s="85">
        <v>0</v>
      </c>
      <c r="AC84" s="85">
        <v>0</v>
      </c>
      <c r="AD84" s="85">
        <v>0</v>
      </c>
      <c r="AE84" s="85">
        <v>0</v>
      </c>
      <c r="AF84" s="85">
        <v>0</v>
      </c>
      <c r="AG84" s="85">
        <v>0</v>
      </c>
      <c r="AH84" s="85">
        <v>0</v>
      </c>
      <c r="AI84" s="85">
        <v>0</v>
      </c>
      <c r="AJ84" s="85">
        <v>0</v>
      </c>
    </row>
    <row r="85" spans="1:36" ht="15.95" customHeight="1" x14ac:dyDescent="0.25">
      <c r="A85" s="82">
        <v>140640026</v>
      </c>
      <c r="B85" s="82" t="s">
        <v>501</v>
      </c>
      <c r="C85" s="83" t="s">
        <v>502</v>
      </c>
      <c r="D85" s="83" t="s">
        <v>503</v>
      </c>
      <c r="E85" s="84">
        <v>188</v>
      </c>
      <c r="F85" s="84" t="s">
        <v>330</v>
      </c>
      <c r="G85" s="84" t="s">
        <v>330</v>
      </c>
      <c r="H85" s="84" t="s">
        <v>499</v>
      </c>
      <c r="I85" s="84" t="s">
        <v>307</v>
      </c>
      <c r="J85" s="84" t="s">
        <v>499</v>
      </c>
      <c r="K85" s="83" t="s">
        <v>27</v>
      </c>
      <c r="L85" s="84" t="s">
        <v>309</v>
      </c>
      <c r="M85" s="84" t="s">
        <v>309</v>
      </c>
      <c r="N85" s="84" t="s">
        <v>309</v>
      </c>
      <c r="O85" s="84" t="s">
        <v>309</v>
      </c>
      <c r="P85" s="82" t="s">
        <v>386</v>
      </c>
      <c r="Q85" s="84" t="s">
        <v>504</v>
      </c>
      <c r="R85" s="83" t="s">
        <v>43</v>
      </c>
      <c r="S85" s="83" t="s">
        <v>341</v>
      </c>
      <c r="T85" s="83" t="s">
        <v>341</v>
      </c>
      <c r="U85" s="83" t="s">
        <v>377</v>
      </c>
      <c r="V85" s="85" t="s">
        <v>182</v>
      </c>
      <c r="W85" s="85" t="s">
        <v>182</v>
      </c>
      <c r="X85" s="85" t="s">
        <v>182</v>
      </c>
      <c r="Y85" s="254" t="s">
        <v>182</v>
      </c>
      <c r="Z85" s="85" t="s">
        <v>182</v>
      </c>
      <c r="AA85" s="85" t="s">
        <v>182</v>
      </c>
      <c r="AB85" s="85" t="s">
        <v>182</v>
      </c>
      <c r="AC85" s="85" t="s">
        <v>182</v>
      </c>
      <c r="AD85" s="85" t="s">
        <v>182</v>
      </c>
      <c r="AE85" s="85" t="s">
        <v>182</v>
      </c>
      <c r="AF85" s="85" t="s">
        <v>182</v>
      </c>
      <c r="AG85" s="85" t="s">
        <v>182</v>
      </c>
      <c r="AH85" s="85" t="s">
        <v>182</v>
      </c>
      <c r="AI85" s="85" t="s">
        <v>182</v>
      </c>
      <c r="AJ85" s="85" t="s">
        <v>182</v>
      </c>
    </row>
    <row r="86" spans="1:36" ht="15.95" customHeight="1" x14ac:dyDescent="0.25">
      <c r="A86" s="82">
        <v>140640035</v>
      </c>
      <c r="B86" s="82" t="s">
        <v>396</v>
      </c>
      <c r="C86" s="83" t="s">
        <v>505</v>
      </c>
      <c r="D86" s="83" t="s">
        <v>397</v>
      </c>
      <c r="E86" s="84">
        <v>248</v>
      </c>
      <c r="F86" s="84" t="s">
        <v>310</v>
      </c>
      <c r="G86" s="84" t="s">
        <v>310</v>
      </c>
      <c r="H86" s="84" t="s">
        <v>506</v>
      </c>
      <c r="I86" s="84" t="s">
        <v>307</v>
      </c>
      <c r="J86" s="84" t="s">
        <v>506</v>
      </c>
      <c r="K86" s="83" t="s">
        <v>27</v>
      </c>
      <c r="L86" s="84" t="s">
        <v>339</v>
      </c>
      <c r="M86" s="84" t="s">
        <v>339</v>
      </c>
      <c r="N86" s="84" t="s">
        <v>309</v>
      </c>
      <c r="O86" s="84" t="s">
        <v>310</v>
      </c>
      <c r="P86" s="82" t="s">
        <v>311</v>
      </c>
      <c r="Q86" s="84" t="s">
        <v>77</v>
      </c>
      <c r="R86" s="83" t="s">
        <v>500</v>
      </c>
      <c r="S86" s="83" t="s">
        <v>341</v>
      </c>
      <c r="T86" s="83" t="s">
        <v>341</v>
      </c>
      <c r="U86" s="83" t="s">
        <v>377</v>
      </c>
      <c r="V86" s="85" t="s">
        <v>106</v>
      </c>
      <c r="W86" s="85" t="s">
        <v>124</v>
      </c>
      <c r="X86" s="85">
        <v>0</v>
      </c>
      <c r="Y86" s="254">
        <v>1.9654793973860121</v>
      </c>
      <c r="Z86" s="85" t="s">
        <v>112</v>
      </c>
      <c r="AA86" s="85" t="s">
        <v>170</v>
      </c>
      <c r="AB86" s="85" t="s">
        <v>123</v>
      </c>
      <c r="AC86" s="85">
        <v>0</v>
      </c>
      <c r="AD86" s="85">
        <v>0</v>
      </c>
      <c r="AE86" s="85">
        <v>0</v>
      </c>
      <c r="AF86" s="85">
        <v>0</v>
      </c>
      <c r="AG86" s="85">
        <v>0</v>
      </c>
      <c r="AH86" s="85">
        <v>0</v>
      </c>
      <c r="AI86" s="85">
        <v>0</v>
      </c>
      <c r="AJ86" s="85">
        <v>0</v>
      </c>
    </row>
    <row r="87" spans="1:36" ht="15.95" customHeight="1" x14ac:dyDescent="0.25">
      <c r="A87" s="82">
        <v>140670001</v>
      </c>
      <c r="B87" s="82" t="s">
        <v>507</v>
      </c>
      <c r="C87" s="83" t="s">
        <v>80</v>
      </c>
      <c r="D87" s="83" t="s">
        <v>391</v>
      </c>
      <c r="E87" s="84">
        <v>110</v>
      </c>
      <c r="F87" s="84" t="s">
        <v>224</v>
      </c>
      <c r="G87" s="84" t="s">
        <v>224</v>
      </c>
      <c r="H87" s="84" t="s">
        <v>224</v>
      </c>
      <c r="I87" s="84" t="s">
        <v>307</v>
      </c>
      <c r="J87" s="84" t="s">
        <v>336</v>
      </c>
      <c r="K87" s="83" t="s">
        <v>27</v>
      </c>
      <c r="L87" s="84" t="s">
        <v>309</v>
      </c>
      <c r="M87" s="84" t="s">
        <v>309</v>
      </c>
      <c r="N87" s="84" t="s">
        <v>309</v>
      </c>
      <c r="O87" s="84" t="s">
        <v>309</v>
      </c>
      <c r="P87" s="82" t="s">
        <v>311</v>
      </c>
      <c r="Q87" s="84" t="s">
        <v>86</v>
      </c>
      <c r="R87" s="83" t="s">
        <v>18</v>
      </c>
      <c r="S87" s="83" t="s">
        <v>312</v>
      </c>
      <c r="T87" s="83" t="s">
        <v>312</v>
      </c>
      <c r="U87" s="83" t="s">
        <v>312</v>
      </c>
      <c r="V87" s="85" t="s">
        <v>106</v>
      </c>
      <c r="W87" s="85" t="s">
        <v>124</v>
      </c>
      <c r="X87" s="85">
        <v>0</v>
      </c>
      <c r="Y87" s="254">
        <v>1.0615584156440188</v>
      </c>
      <c r="Z87" s="85">
        <v>0</v>
      </c>
      <c r="AA87" s="85">
        <v>0</v>
      </c>
      <c r="AB87" s="85">
        <v>0</v>
      </c>
      <c r="AC87" s="85">
        <v>0</v>
      </c>
      <c r="AD87" s="85">
        <v>0</v>
      </c>
      <c r="AE87" s="85">
        <v>0</v>
      </c>
      <c r="AF87" s="85">
        <v>0</v>
      </c>
      <c r="AG87" s="85">
        <v>0</v>
      </c>
      <c r="AH87" s="85">
        <v>0</v>
      </c>
      <c r="AI87" s="85">
        <v>0</v>
      </c>
      <c r="AJ87" s="85">
        <v>0</v>
      </c>
    </row>
    <row r="88" spans="1:36" ht="15.95" customHeight="1" x14ac:dyDescent="0.25">
      <c r="A88" s="82">
        <v>140670004</v>
      </c>
      <c r="B88" s="82" t="s">
        <v>396</v>
      </c>
      <c r="C88" s="83" t="s">
        <v>81</v>
      </c>
      <c r="D88" s="83" t="s">
        <v>397</v>
      </c>
      <c r="E88" s="84">
        <v>180</v>
      </c>
      <c r="F88" s="84" t="s">
        <v>224</v>
      </c>
      <c r="G88" s="84" t="s">
        <v>224</v>
      </c>
      <c r="H88" s="84" t="s">
        <v>224</v>
      </c>
      <c r="I88" s="84" t="s">
        <v>372</v>
      </c>
      <c r="J88" s="84" t="s">
        <v>465</v>
      </c>
      <c r="K88" s="83" t="s">
        <v>18</v>
      </c>
      <c r="L88" s="84" t="s">
        <v>308</v>
      </c>
      <c r="M88" s="84" t="s">
        <v>308</v>
      </c>
      <c r="N88" s="84" t="s">
        <v>309</v>
      </c>
      <c r="O88" s="84" t="s">
        <v>306</v>
      </c>
      <c r="P88" s="82" t="s">
        <v>311</v>
      </c>
      <c r="Q88" s="84" t="s">
        <v>79</v>
      </c>
      <c r="R88" s="83" t="s">
        <v>18</v>
      </c>
      <c r="S88" s="83" t="s">
        <v>325</v>
      </c>
      <c r="T88" s="83" t="s">
        <v>325</v>
      </c>
      <c r="U88" s="83" t="s">
        <v>312</v>
      </c>
      <c r="V88" s="85" t="s">
        <v>106</v>
      </c>
      <c r="W88" s="85" t="s">
        <v>124</v>
      </c>
      <c r="X88" s="85">
        <v>0</v>
      </c>
      <c r="Y88" s="254">
        <v>0.42442901925660548</v>
      </c>
      <c r="Z88" s="85">
        <v>0</v>
      </c>
      <c r="AA88" s="85">
        <v>0</v>
      </c>
      <c r="AB88" s="85">
        <v>0</v>
      </c>
      <c r="AC88" s="85">
        <v>0</v>
      </c>
      <c r="AD88" s="85">
        <v>0</v>
      </c>
      <c r="AE88" s="85">
        <v>0</v>
      </c>
      <c r="AF88" s="85">
        <v>0</v>
      </c>
      <c r="AG88" s="85">
        <v>0</v>
      </c>
      <c r="AH88" s="85">
        <v>0</v>
      </c>
      <c r="AI88" s="85">
        <v>0</v>
      </c>
      <c r="AJ88" s="85">
        <v>0</v>
      </c>
    </row>
    <row r="89" spans="1:36" ht="15.95" customHeight="1" x14ac:dyDescent="0.25">
      <c r="A89" s="82">
        <v>140670007</v>
      </c>
      <c r="B89" s="82" t="s">
        <v>396</v>
      </c>
      <c r="C89" s="83" t="s">
        <v>80</v>
      </c>
      <c r="D89" s="83" t="s">
        <v>397</v>
      </c>
      <c r="E89" s="84">
        <v>110</v>
      </c>
      <c r="F89" s="84" t="s">
        <v>224</v>
      </c>
      <c r="G89" s="84" t="s">
        <v>224</v>
      </c>
      <c r="H89" s="84" t="s">
        <v>224</v>
      </c>
      <c r="I89" s="84" t="s">
        <v>307</v>
      </c>
      <c r="J89" s="84" t="s">
        <v>336</v>
      </c>
      <c r="K89" s="83" t="s">
        <v>27</v>
      </c>
      <c r="L89" s="84" t="s">
        <v>309</v>
      </c>
      <c r="M89" s="84" t="s">
        <v>309</v>
      </c>
      <c r="N89" s="84" t="s">
        <v>309</v>
      </c>
      <c r="O89" s="84" t="s">
        <v>309</v>
      </c>
      <c r="P89" s="82" t="s">
        <v>311</v>
      </c>
      <c r="Q89" s="84" t="s">
        <v>79</v>
      </c>
      <c r="R89" s="83" t="s">
        <v>18</v>
      </c>
      <c r="S89" s="83" t="s">
        <v>312</v>
      </c>
      <c r="T89" s="83" t="s">
        <v>312</v>
      </c>
      <c r="U89" s="83" t="s">
        <v>312</v>
      </c>
      <c r="V89" s="85" t="s">
        <v>106</v>
      </c>
      <c r="W89" s="85" t="s">
        <v>124</v>
      </c>
      <c r="X89" s="85">
        <v>0</v>
      </c>
      <c r="Y89" s="254">
        <v>1.0615584156440188</v>
      </c>
      <c r="Z89" s="85">
        <v>0</v>
      </c>
      <c r="AA89" s="85">
        <v>0</v>
      </c>
      <c r="AB89" s="85">
        <v>0</v>
      </c>
      <c r="AC89" s="85">
        <v>0</v>
      </c>
      <c r="AD89" s="85">
        <v>0</v>
      </c>
      <c r="AE89" s="85">
        <v>0</v>
      </c>
      <c r="AF89" s="85">
        <v>0</v>
      </c>
      <c r="AG89" s="85">
        <v>0</v>
      </c>
      <c r="AH89" s="85">
        <v>0</v>
      </c>
      <c r="AI89" s="85">
        <v>0</v>
      </c>
      <c r="AJ89" s="85">
        <v>0</v>
      </c>
    </row>
    <row r="90" spans="1:36" ht="15.95" customHeight="1" x14ac:dyDescent="0.25">
      <c r="A90" s="82">
        <v>140670012</v>
      </c>
      <c r="B90" s="82" t="s">
        <v>508</v>
      </c>
      <c r="C90" s="83" t="s">
        <v>509</v>
      </c>
      <c r="D90" s="83" t="s">
        <v>424</v>
      </c>
      <c r="E90" s="84">
        <v>152</v>
      </c>
      <c r="F90" s="84" t="s">
        <v>224</v>
      </c>
      <c r="G90" s="84" t="s">
        <v>224</v>
      </c>
      <c r="H90" s="84" t="s">
        <v>224</v>
      </c>
      <c r="I90" s="84" t="s">
        <v>307</v>
      </c>
      <c r="J90" s="84" t="s">
        <v>330</v>
      </c>
      <c r="K90" s="83" t="s">
        <v>27</v>
      </c>
      <c r="L90" s="84" t="s">
        <v>309</v>
      </c>
      <c r="M90" s="84" t="s">
        <v>309</v>
      </c>
      <c r="N90" s="84" t="s">
        <v>309</v>
      </c>
      <c r="O90" s="84" t="s">
        <v>309</v>
      </c>
      <c r="P90" s="82" t="s">
        <v>315</v>
      </c>
      <c r="Q90" s="84" t="s">
        <v>41</v>
      </c>
      <c r="R90" s="83" t="s">
        <v>510</v>
      </c>
      <c r="S90" s="83" t="s">
        <v>373</v>
      </c>
      <c r="T90" s="83" t="s">
        <v>373</v>
      </c>
      <c r="U90" s="83" t="s">
        <v>373</v>
      </c>
      <c r="V90" s="85" t="s">
        <v>182</v>
      </c>
      <c r="W90" s="85" t="s">
        <v>182</v>
      </c>
      <c r="X90" s="85" t="s">
        <v>182</v>
      </c>
      <c r="Y90" s="254" t="s">
        <v>182</v>
      </c>
      <c r="Z90" s="85" t="s">
        <v>182</v>
      </c>
      <c r="AA90" s="85" t="s">
        <v>182</v>
      </c>
      <c r="AB90" s="85" t="s">
        <v>182</v>
      </c>
      <c r="AC90" s="85" t="s">
        <v>182</v>
      </c>
      <c r="AD90" s="85" t="s">
        <v>182</v>
      </c>
      <c r="AE90" s="85" t="s">
        <v>182</v>
      </c>
      <c r="AF90" s="85" t="s">
        <v>182</v>
      </c>
      <c r="AG90" s="85" t="s">
        <v>182</v>
      </c>
      <c r="AH90" s="85" t="s">
        <v>182</v>
      </c>
      <c r="AI90" s="85" t="s">
        <v>182</v>
      </c>
      <c r="AJ90" s="85" t="s">
        <v>182</v>
      </c>
    </row>
    <row r="91" spans="1:36" ht="15.95" customHeight="1" x14ac:dyDescent="0.25">
      <c r="A91" s="82">
        <v>140680007</v>
      </c>
      <c r="B91" s="82" t="s">
        <v>313</v>
      </c>
      <c r="C91" s="83" t="s">
        <v>83</v>
      </c>
      <c r="D91" s="83" t="s">
        <v>314</v>
      </c>
      <c r="E91" s="84">
        <v>225</v>
      </c>
      <c r="F91" s="84" t="s">
        <v>306</v>
      </c>
      <c r="G91" s="84" t="s">
        <v>306</v>
      </c>
      <c r="H91" s="84" t="s">
        <v>337</v>
      </c>
      <c r="I91" s="84" t="s">
        <v>307</v>
      </c>
      <c r="J91" s="84" t="s">
        <v>337</v>
      </c>
      <c r="K91" s="83" t="s">
        <v>3</v>
      </c>
      <c r="L91" s="84" t="s">
        <v>309</v>
      </c>
      <c r="M91" s="84" t="s">
        <v>309</v>
      </c>
      <c r="N91" s="84" t="s">
        <v>309</v>
      </c>
      <c r="O91" s="84" t="s">
        <v>309</v>
      </c>
      <c r="P91" s="82" t="s">
        <v>311</v>
      </c>
      <c r="Q91" s="84" t="s">
        <v>82</v>
      </c>
      <c r="R91" s="83" t="s">
        <v>2</v>
      </c>
      <c r="S91" s="83" t="s">
        <v>316</v>
      </c>
      <c r="T91" s="83" t="s">
        <v>316</v>
      </c>
      <c r="U91" s="83" t="s">
        <v>511</v>
      </c>
      <c r="V91" s="85" t="s">
        <v>106</v>
      </c>
      <c r="W91" s="85" t="s">
        <v>174</v>
      </c>
      <c r="X91" s="85">
        <v>0</v>
      </c>
      <c r="Y91" s="254">
        <v>1.0698393694502644</v>
      </c>
      <c r="Z91" s="85" t="s">
        <v>167</v>
      </c>
      <c r="AA91" s="85" t="s">
        <v>123</v>
      </c>
      <c r="AB91" s="85" t="s">
        <v>167</v>
      </c>
      <c r="AC91" s="85">
        <v>6.9</v>
      </c>
      <c r="AD91" s="85" t="s">
        <v>126</v>
      </c>
      <c r="AE91" s="85" t="s">
        <v>127</v>
      </c>
      <c r="AF91" s="85">
        <v>0</v>
      </c>
      <c r="AG91" s="85">
        <v>12.96</v>
      </c>
      <c r="AH91" s="85" t="s">
        <v>128</v>
      </c>
      <c r="AI91" s="85" t="s">
        <v>129</v>
      </c>
      <c r="AJ91" s="85" t="s">
        <v>130</v>
      </c>
    </row>
    <row r="92" spans="1:36" ht="15.95" customHeight="1" x14ac:dyDescent="0.25">
      <c r="A92" s="82">
        <v>140760004</v>
      </c>
      <c r="B92" s="82" t="s">
        <v>512</v>
      </c>
      <c r="C92" s="83" t="s">
        <v>513</v>
      </c>
      <c r="D92" s="83" t="s">
        <v>366</v>
      </c>
      <c r="E92" s="84">
        <v>152</v>
      </c>
      <c r="F92" s="84" t="s">
        <v>309</v>
      </c>
      <c r="G92" s="84" t="s">
        <v>309</v>
      </c>
      <c r="H92" s="84" t="s">
        <v>326</v>
      </c>
      <c r="I92" s="84" t="s">
        <v>307</v>
      </c>
      <c r="J92" s="84" t="s">
        <v>326</v>
      </c>
      <c r="K92" s="83" t="s">
        <v>27</v>
      </c>
      <c r="L92" s="84" t="s">
        <v>339</v>
      </c>
      <c r="M92" s="84" t="s">
        <v>339</v>
      </c>
      <c r="N92" s="84" t="s">
        <v>514</v>
      </c>
      <c r="O92" s="84" t="s">
        <v>309</v>
      </c>
      <c r="P92" s="82" t="s">
        <v>515</v>
      </c>
      <c r="Q92" s="84" t="s">
        <v>516</v>
      </c>
      <c r="R92" s="83" t="s">
        <v>325</v>
      </c>
      <c r="S92" s="83" t="s">
        <v>517</v>
      </c>
      <c r="T92" s="83" t="s">
        <v>517</v>
      </c>
      <c r="U92" s="83" t="s">
        <v>518</v>
      </c>
      <c r="V92" s="85" t="s">
        <v>182</v>
      </c>
      <c r="W92" s="85" t="s">
        <v>182</v>
      </c>
      <c r="X92" s="85" t="s">
        <v>182</v>
      </c>
      <c r="Y92" s="254" t="s">
        <v>182</v>
      </c>
      <c r="Z92" s="85" t="s">
        <v>182</v>
      </c>
      <c r="AA92" s="85" t="s">
        <v>182</v>
      </c>
      <c r="AB92" s="85" t="s">
        <v>182</v>
      </c>
      <c r="AC92" s="85" t="s">
        <v>182</v>
      </c>
      <c r="AD92" s="85" t="s">
        <v>182</v>
      </c>
      <c r="AE92" s="85" t="s">
        <v>182</v>
      </c>
      <c r="AF92" s="85" t="s">
        <v>182</v>
      </c>
      <c r="AG92" s="85" t="s">
        <v>182</v>
      </c>
      <c r="AH92" s="85" t="s">
        <v>182</v>
      </c>
      <c r="AI92" s="85" t="s">
        <v>182</v>
      </c>
      <c r="AJ92" s="85" t="s">
        <v>182</v>
      </c>
    </row>
    <row r="93" spans="1:36" ht="15.95" customHeight="1" x14ac:dyDescent="0.25">
      <c r="A93" s="82">
        <v>140830001</v>
      </c>
      <c r="B93" s="82" t="s">
        <v>303</v>
      </c>
      <c r="C93" s="83" t="s">
        <v>85</v>
      </c>
      <c r="D93" s="83" t="s">
        <v>366</v>
      </c>
      <c r="E93" s="84">
        <v>257</v>
      </c>
      <c r="F93" s="84" t="s">
        <v>224</v>
      </c>
      <c r="G93" s="84" t="s">
        <v>224</v>
      </c>
      <c r="H93" s="84" t="s">
        <v>224</v>
      </c>
      <c r="I93" s="84" t="s">
        <v>307</v>
      </c>
      <c r="J93" s="84" t="s">
        <v>519</v>
      </c>
      <c r="K93" s="83" t="s">
        <v>3</v>
      </c>
      <c r="L93" s="84" t="s">
        <v>372</v>
      </c>
      <c r="M93" s="84" t="s">
        <v>372</v>
      </c>
      <c r="N93" s="84" t="s">
        <v>372</v>
      </c>
      <c r="O93" s="84" t="s">
        <v>465</v>
      </c>
      <c r="P93" s="82" t="s">
        <v>311</v>
      </c>
      <c r="Q93" s="84" t="s">
        <v>84</v>
      </c>
      <c r="R93" s="83" t="s">
        <v>18</v>
      </c>
      <c r="S93" s="83" t="s">
        <v>520</v>
      </c>
      <c r="T93" s="83" t="s">
        <v>520</v>
      </c>
      <c r="U93" s="83" t="s">
        <v>312</v>
      </c>
      <c r="V93" s="85" t="s">
        <v>106</v>
      </c>
      <c r="W93" s="85" t="s">
        <v>124</v>
      </c>
      <c r="X93" s="85">
        <v>0</v>
      </c>
      <c r="Y93" s="254">
        <v>1.2970168612191959</v>
      </c>
      <c r="Z93" s="85">
        <v>0</v>
      </c>
      <c r="AA93" s="85">
        <v>0</v>
      </c>
      <c r="AB93" s="85">
        <v>0</v>
      </c>
      <c r="AC93" s="85">
        <v>0</v>
      </c>
      <c r="AD93" s="85">
        <v>0</v>
      </c>
      <c r="AE93" s="85">
        <v>0</v>
      </c>
      <c r="AF93" s="85">
        <v>0</v>
      </c>
      <c r="AG93" s="85">
        <v>0</v>
      </c>
      <c r="AH93" s="85">
        <v>0</v>
      </c>
      <c r="AI93" s="85">
        <v>0</v>
      </c>
      <c r="AJ93" s="85">
        <v>0</v>
      </c>
    </row>
    <row r="94" spans="1:36" ht="15.95" customHeight="1" x14ac:dyDescent="0.25">
      <c r="A94" s="82">
        <v>140850002</v>
      </c>
      <c r="B94" s="82" t="s">
        <v>508</v>
      </c>
      <c r="C94" s="83" t="s">
        <v>521</v>
      </c>
      <c r="D94" s="83" t="s">
        <v>424</v>
      </c>
      <c r="E94" s="84">
        <v>153</v>
      </c>
      <c r="F94" s="84" t="s">
        <v>336</v>
      </c>
      <c r="G94" s="84" t="s">
        <v>336</v>
      </c>
      <c r="H94" s="84" t="s">
        <v>309</v>
      </c>
      <c r="I94" s="84" t="s">
        <v>307</v>
      </c>
      <c r="J94" s="84" t="s">
        <v>309</v>
      </c>
      <c r="K94" s="83" t="s">
        <v>27</v>
      </c>
      <c r="L94" s="84" t="s">
        <v>372</v>
      </c>
      <c r="M94" s="84" t="s">
        <v>372</v>
      </c>
      <c r="N94" s="84" t="s">
        <v>372</v>
      </c>
      <c r="O94" s="84" t="s">
        <v>309</v>
      </c>
      <c r="P94" s="82" t="s">
        <v>315</v>
      </c>
      <c r="Q94" s="84" t="s">
        <v>86</v>
      </c>
      <c r="R94" s="83" t="s">
        <v>18</v>
      </c>
      <c r="S94" s="83" t="s">
        <v>522</v>
      </c>
      <c r="T94" s="83" t="s">
        <v>522</v>
      </c>
      <c r="U94" s="83" t="s">
        <v>522</v>
      </c>
      <c r="V94" s="85" t="s">
        <v>106</v>
      </c>
      <c r="W94" s="85" t="s">
        <v>124</v>
      </c>
      <c r="X94" s="85">
        <v>0</v>
      </c>
      <c r="Y94" s="254">
        <v>1</v>
      </c>
      <c r="Z94" s="85">
        <v>0</v>
      </c>
      <c r="AA94" s="85">
        <v>0</v>
      </c>
      <c r="AB94" s="85">
        <v>0</v>
      </c>
      <c r="AC94" s="85">
        <v>0</v>
      </c>
      <c r="AD94" s="85">
        <v>0</v>
      </c>
      <c r="AE94" s="85">
        <v>0</v>
      </c>
      <c r="AF94" s="85">
        <v>0</v>
      </c>
      <c r="AG94" s="85">
        <v>0</v>
      </c>
      <c r="AH94" s="85">
        <v>0</v>
      </c>
      <c r="AI94" s="85">
        <v>0</v>
      </c>
      <c r="AJ94" s="85">
        <v>0</v>
      </c>
    </row>
    <row r="95" spans="1:36" ht="15.95" customHeight="1" x14ac:dyDescent="0.25">
      <c r="A95" s="82">
        <v>140860001</v>
      </c>
      <c r="B95" s="82" t="s">
        <v>523</v>
      </c>
      <c r="C95" s="83" t="s">
        <v>88</v>
      </c>
      <c r="D95" s="83" t="s">
        <v>397</v>
      </c>
      <c r="E95" s="84">
        <v>150</v>
      </c>
      <c r="F95" s="84" t="s">
        <v>224</v>
      </c>
      <c r="G95" s="84" t="s">
        <v>224</v>
      </c>
      <c r="H95" s="84" t="s">
        <v>224</v>
      </c>
      <c r="I95" s="84" t="s">
        <v>307</v>
      </c>
      <c r="J95" s="84" t="s">
        <v>372</v>
      </c>
      <c r="K95" s="83" t="s">
        <v>27</v>
      </c>
      <c r="L95" s="84" t="s">
        <v>309</v>
      </c>
      <c r="M95" s="84" t="s">
        <v>309</v>
      </c>
      <c r="N95" s="84" t="s">
        <v>309</v>
      </c>
      <c r="O95" s="84" t="s">
        <v>309</v>
      </c>
      <c r="P95" s="82" t="s">
        <v>311</v>
      </c>
      <c r="Q95" s="84" t="s">
        <v>87</v>
      </c>
      <c r="R95" s="83" t="s">
        <v>337</v>
      </c>
      <c r="S95" s="83" t="s">
        <v>524</v>
      </c>
      <c r="T95" s="83" t="s">
        <v>369</v>
      </c>
      <c r="U95" s="83" t="s">
        <v>525</v>
      </c>
      <c r="V95" s="85" t="s">
        <v>106</v>
      </c>
      <c r="W95" s="85" t="s">
        <v>124</v>
      </c>
      <c r="X95" s="85">
        <v>0</v>
      </c>
      <c r="Y95" s="254">
        <v>12.885164122518209</v>
      </c>
      <c r="Z95" s="85">
        <v>0</v>
      </c>
      <c r="AA95" s="85">
        <v>0</v>
      </c>
      <c r="AB95" s="85">
        <v>0</v>
      </c>
      <c r="AC95" s="85">
        <v>0</v>
      </c>
      <c r="AD95" s="85">
        <v>0</v>
      </c>
      <c r="AE95" s="85">
        <v>0</v>
      </c>
      <c r="AF95" s="85">
        <v>0</v>
      </c>
      <c r="AG95" s="85">
        <v>0</v>
      </c>
      <c r="AH95" s="85">
        <v>0</v>
      </c>
      <c r="AI95" s="85">
        <v>0</v>
      </c>
      <c r="AJ95" s="85">
        <v>0</v>
      </c>
    </row>
    <row r="96" spans="1:36" ht="15.95" customHeight="1" x14ac:dyDescent="0.25">
      <c r="A96" s="82">
        <v>140890002</v>
      </c>
      <c r="B96" s="82" t="s">
        <v>303</v>
      </c>
      <c r="C96" s="83" t="s">
        <v>90</v>
      </c>
      <c r="D96" s="83" t="s">
        <v>305</v>
      </c>
      <c r="E96" s="84">
        <v>200</v>
      </c>
      <c r="F96" s="84" t="s">
        <v>224</v>
      </c>
      <c r="G96" s="84" t="s">
        <v>224</v>
      </c>
      <c r="H96" s="84" t="s">
        <v>224</v>
      </c>
      <c r="I96" s="84" t="s">
        <v>307</v>
      </c>
      <c r="J96" s="84" t="s">
        <v>526</v>
      </c>
      <c r="K96" s="83" t="s">
        <v>92</v>
      </c>
      <c r="L96" s="84" t="s">
        <v>459</v>
      </c>
      <c r="M96" s="84" t="s">
        <v>459</v>
      </c>
      <c r="N96" s="84" t="s">
        <v>309</v>
      </c>
      <c r="O96" s="84" t="s">
        <v>326</v>
      </c>
      <c r="P96" s="82" t="s">
        <v>311</v>
      </c>
      <c r="Q96" s="84" t="s">
        <v>89</v>
      </c>
      <c r="R96" s="83" t="s">
        <v>91</v>
      </c>
      <c r="S96" s="83" t="s">
        <v>325</v>
      </c>
      <c r="T96" s="83" t="s">
        <v>325</v>
      </c>
      <c r="U96" s="83" t="s">
        <v>312</v>
      </c>
      <c r="V96" s="85" t="s">
        <v>106</v>
      </c>
      <c r="W96" s="85" t="s">
        <v>124</v>
      </c>
      <c r="X96" s="85">
        <v>0</v>
      </c>
      <c r="Y96" s="254">
        <v>0.97775117230370145</v>
      </c>
      <c r="Z96" s="85">
        <v>0</v>
      </c>
      <c r="AA96" s="85">
        <v>0</v>
      </c>
      <c r="AB96" s="85">
        <v>0</v>
      </c>
      <c r="AC96" s="85">
        <v>0</v>
      </c>
      <c r="AD96" s="85">
        <v>0</v>
      </c>
      <c r="AE96" s="85">
        <v>0</v>
      </c>
      <c r="AF96" s="85">
        <v>0</v>
      </c>
      <c r="AG96" s="85">
        <v>0</v>
      </c>
      <c r="AH96" s="85">
        <v>0</v>
      </c>
      <c r="AI96" s="85">
        <v>0</v>
      </c>
      <c r="AJ96" s="85">
        <v>0</v>
      </c>
    </row>
    <row r="97" spans="1:36" ht="15.95" customHeight="1" x14ac:dyDescent="0.25">
      <c r="A97" s="82">
        <v>140890003</v>
      </c>
      <c r="B97" s="82" t="s">
        <v>303</v>
      </c>
      <c r="C97" s="83" t="s">
        <v>93</v>
      </c>
      <c r="D97" s="83" t="s">
        <v>305</v>
      </c>
      <c r="E97" s="84">
        <v>200</v>
      </c>
      <c r="F97" s="84" t="s">
        <v>224</v>
      </c>
      <c r="G97" s="84" t="s">
        <v>224</v>
      </c>
      <c r="H97" s="84" t="s">
        <v>224</v>
      </c>
      <c r="I97" s="84" t="s">
        <v>307</v>
      </c>
      <c r="J97" s="84" t="s">
        <v>526</v>
      </c>
      <c r="K97" s="83" t="s">
        <v>3</v>
      </c>
      <c r="L97" s="84" t="s">
        <v>334</v>
      </c>
      <c r="M97" s="84" t="s">
        <v>334</v>
      </c>
      <c r="N97" s="84" t="s">
        <v>334</v>
      </c>
      <c r="O97" s="84" t="s">
        <v>309</v>
      </c>
      <c r="P97" s="82" t="s">
        <v>311</v>
      </c>
      <c r="Q97" s="84" t="s">
        <v>89</v>
      </c>
      <c r="R97" s="83" t="s">
        <v>91</v>
      </c>
      <c r="S97" s="83" t="s">
        <v>325</v>
      </c>
      <c r="T97" s="83" t="s">
        <v>325</v>
      </c>
      <c r="U97" s="83" t="s">
        <v>325</v>
      </c>
      <c r="V97" s="85" t="s">
        <v>106</v>
      </c>
      <c r="W97" s="85" t="s">
        <v>124</v>
      </c>
      <c r="X97" s="85">
        <v>0</v>
      </c>
      <c r="Y97" s="254">
        <v>1.1233163723436097</v>
      </c>
      <c r="Z97" s="85">
        <v>0</v>
      </c>
      <c r="AA97" s="85">
        <v>0</v>
      </c>
      <c r="AB97" s="85">
        <v>0</v>
      </c>
      <c r="AC97" s="85">
        <v>0</v>
      </c>
      <c r="AD97" s="85">
        <v>0</v>
      </c>
      <c r="AE97" s="85">
        <v>0</v>
      </c>
      <c r="AF97" s="85">
        <v>0</v>
      </c>
      <c r="AG97" s="85">
        <v>0</v>
      </c>
      <c r="AH97" s="85">
        <v>0</v>
      </c>
      <c r="AI97" s="85">
        <v>0</v>
      </c>
      <c r="AJ97" s="85">
        <v>0</v>
      </c>
    </row>
    <row r="98" spans="1:36" ht="15.95" customHeight="1" x14ac:dyDescent="0.25">
      <c r="A98" s="82">
        <v>140890004</v>
      </c>
      <c r="B98" s="82" t="s">
        <v>317</v>
      </c>
      <c r="C98" s="83" t="s">
        <v>94</v>
      </c>
      <c r="D98" s="83" t="s">
        <v>318</v>
      </c>
      <c r="E98" s="84">
        <v>200</v>
      </c>
      <c r="F98" s="84" t="s">
        <v>224</v>
      </c>
      <c r="G98" s="84" t="s">
        <v>224</v>
      </c>
      <c r="H98" s="84" t="s">
        <v>224</v>
      </c>
      <c r="I98" s="84" t="s">
        <v>307</v>
      </c>
      <c r="J98" s="84" t="s">
        <v>526</v>
      </c>
      <c r="K98" s="83" t="s">
        <v>3</v>
      </c>
      <c r="L98" s="84" t="s">
        <v>334</v>
      </c>
      <c r="M98" s="84" t="s">
        <v>334</v>
      </c>
      <c r="N98" s="84" t="s">
        <v>334</v>
      </c>
      <c r="O98" s="84" t="s">
        <v>309</v>
      </c>
      <c r="P98" s="82" t="s">
        <v>311</v>
      </c>
      <c r="Q98" s="84" t="s">
        <v>89</v>
      </c>
      <c r="R98" s="83" t="s">
        <v>91</v>
      </c>
      <c r="S98" s="83" t="s">
        <v>325</v>
      </c>
      <c r="T98" s="83" t="s">
        <v>325</v>
      </c>
      <c r="U98" s="83" t="s">
        <v>325</v>
      </c>
      <c r="V98" s="85" t="s">
        <v>106</v>
      </c>
      <c r="W98" s="85" t="s">
        <v>124</v>
      </c>
      <c r="X98" s="85">
        <v>0</v>
      </c>
      <c r="Y98" s="254">
        <v>0.96857228374738091</v>
      </c>
      <c r="Z98" s="85">
        <v>0</v>
      </c>
      <c r="AA98" s="85">
        <v>0</v>
      </c>
      <c r="AB98" s="85">
        <v>0</v>
      </c>
      <c r="AC98" s="85">
        <v>0</v>
      </c>
      <c r="AD98" s="85">
        <v>0</v>
      </c>
      <c r="AE98" s="85">
        <v>0</v>
      </c>
      <c r="AF98" s="85">
        <v>0</v>
      </c>
      <c r="AG98" s="85">
        <v>0</v>
      </c>
      <c r="AH98" s="85">
        <v>0</v>
      </c>
      <c r="AI98" s="85">
        <v>0</v>
      </c>
      <c r="AJ98" s="85">
        <v>0</v>
      </c>
    </row>
    <row r="99" spans="1:36" ht="15.95" customHeight="1" x14ac:dyDescent="0.25">
      <c r="A99" s="82">
        <v>140890005</v>
      </c>
      <c r="B99" s="82" t="s">
        <v>317</v>
      </c>
      <c r="C99" s="83" t="s">
        <v>527</v>
      </c>
      <c r="D99" s="83" t="s">
        <v>318</v>
      </c>
      <c r="E99" s="84">
        <v>200</v>
      </c>
      <c r="F99" s="84" t="s">
        <v>224</v>
      </c>
      <c r="G99" s="84" t="s">
        <v>224</v>
      </c>
      <c r="H99" s="84" t="s">
        <v>224</v>
      </c>
      <c r="I99" s="84" t="s">
        <v>307</v>
      </c>
      <c r="J99" s="84" t="s">
        <v>526</v>
      </c>
      <c r="K99" s="83" t="s">
        <v>92</v>
      </c>
      <c r="L99" s="84" t="s">
        <v>459</v>
      </c>
      <c r="M99" s="84" t="s">
        <v>459</v>
      </c>
      <c r="N99" s="84" t="s">
        <v>309</v>
      </c>
      <c r="O99" s="84" t="s">
        <v>326</v>
      </c>
      <c r="P99" s="82" t="s">
        <v>311</v>
      </c>
      <c r="Q99" s="84" t="s">
        <v>89</v>
      </c>
      <c r="R99" s="83" t="s">
        <v>91</v>
      </c>
      <c r="S99" s="83" t="s">
        <v>325</v>
      </c>
      <c r="T99" s="83" t="s">
        <v>325</v>
      </c>
      <c r="U99" s="83" t="s">
        <v>312</v>
      </c>
      <c r="V99" s="85" t="s">
        <v>106</v>
      </c>
      <c r="W99" s="85" t="s">
        <v>124</v>
      </c>
      <c r="X99" s="85">
        <v>0</v>
      </c>
      <c r="Y99" s="254">
        <v>1.0076823306395291</v>
      </c>
      <c r="Z99" s="85">
        <v>0</v>
      </c>
      <c r="AA99" s="85">
        <v>0</v>
      </c>
      <c r="AB99" s="85">
        <v>0</v>
      </c>
      <c r="AC99" s="85">
        <v>0</v>
      </c>
      <c r="AD99" s="85">
        <v>0</v>
      </c>
      <c r="AE99" s="85">
        <v>0</v>
      </c>
      <c r="AF99" s="85">
        <v>0</v>
      </c>
      <c r="AG99" s="85">
        <v>0</v>
      </c>
      <c r="AH99" s="85">
        <v>0</v>
      </c>
      <c r="AI99" s="85">
        <v>0</v>
      </c>
      <c r="AJ99" s="85">
        <v>0</v>
      </c>
    </row>
    <row r="100" spans="1:36" ht="15.95" customHeight="1" x14ac:dyDescent="0.25">
      <c r="A100" s="82">
        <v>141000006</v>
      </c>
      <c r="B100" s="82" t="s">
        <v>303</v>
      </c>
      <c r="C100" s="83" t="s">
        <v>304</v>
      </c>
      <c r="D100" s="83" t="s">
        <v>366</v>
      </c>
      <c r="E100" s="84">
        <v>200</v>
      </c>
      <c r="F100" s="84" t="s">
        <v>306</v>
      </c>
      <c r="G100" s="84" t="s">
        <v>306</v>
      </c>
      <c r="H100" s="84" t="s">
        <v>306</v>
      </c>
      <c r="I100" s="84" t="s">
        <v>307</v>
      </c>
      <c r="J100" s="84" t="s">
        <v>306</v>
      </c>
      <c r="K100" s="83" t="s">
        <v>92</v>
      </c>
      <c r="L100" s="84" t="s">
        <v>308</v>
      </c>
      <c r="M100" s="84" t="s">
        <v>308</v>
      </c>
      <c r="N100" s="84" t="s">
        <v>309</v>
      </c>
      <c r="O100" s="84" t="s">
        <v>310</v>
      </c>
      <c r="P100" s="82" t="s">
        <v>311</v>
      </c>
      <c r="Q100" s="84" t="s">
        <v>95</v>
      </c>
      <c r="R100" s="83" t="s">
        <v>28</v>
      </c>
      <c r="S100" s="83" t="s">
        <v>114</v>
      </c>
      <c r="T100" s="83" t="s">
        <v>114</v>
      </c>
      <c r="U100" s="83" t="s">
        <v>312</v>
      </c>
      <c r="V100" s="85" t="s">
        <v>106</v>
      </c>
      <c r="W100" s="85" t="s">
        <v>124</v>
      </c>
      <c r="X100" s="85">
        <v>0</v>
      </c>
      <c r="Y100" s="254" t="s">
        <v>182</v>
      </c>
      <c r="Z100" s="85">
        <v>0</v>
      </c>
      <c r="AA100" s="85">
        <v>0</v>
      </c>
      <c r="AB100" s="85">
        <v>0</v>
      </c>
      <c r="AC100" s="85">
        <v>0</v>
      </c>
      <c r="AD100" s="85">
        <v>0</v>
      </c>
      <c r="AE100" s="85">
        <v>0</v>
      </c>
      <c r="AF100" s="85">
        <v>0</v>
      </c>
      <c r="AG100" s="85">
        <v>0</v>
      </c>
      <c r="AH100" s="85">
        <v>0</v>
      </c>
      <c r="AI100" s="85">
        <v>0</v>
      </c>
      <c r="AJ100" s="85">
        <v>0</v>
      </c>
    </row>
    <row r="101" spans="1:36" ht="15.95" customHeight="1" x14ac:dyDescent="0.25">
      <c r="A101" s="82">
        <v>141030001</v>
      </c>
      <c r="B101" s="82" t="s">
        <v>396</v>
      </c>
      <c r="C101" s="83" t="s">
        <v>528</v>
      </c>
      <c r="D101" s="83" t="s">
        <v>397</v>
      </c>
      <c r="E101" s="84">
        <v>195</v>
      </c>
      <c r="F101" s="84" t="s">
        <v>224</v>
      </c>
      <c r="G101" s="84" t="s">
        <v>224</v>
      </c>
      <c r="H101" s="84" t="s">
        <v>224</v>
      </c>
      <c r="I101" s="84" t="s">
        <v>307</v>
      </c>
      <c r="J101" s="84" t="s">
        <v>465</v>
      </c>
      <c r="K101" s="83" t="s">
        <v>27</v>
      </c>
      <c r="L101" s="84" t="s">
        <v>309</v>
      </c>
      <c r="M101" s="84" t="s">
        <v>309</v>
      </c>
      <c r="N101" s="84" t="s">
        <v>309</v>
      </c>
      <c r="O101" s="84" t="s">
        <v>309</v>
      </c>
      <c r="P101" s="82" t="s">
        <v>311</v>
      </c>
      <c r="Q101" s="84" t="s">
        <v>529</v>
      </c>
      <c r="R101" s="83" t="s">
        <v>18</v>
      </c>
      <c r="S101" s="83" t="s">
        <v>325</v>
      </c>
      <c r="T101" s="83" t="s">
        <v>325</v>
      </c>
      <c r="U101" s="83" t="s">
        <v>325</v>
      </c>
      <c r="V101" s="85" t="s">
        <v>182</v>
      </c>
      <c r="W101" s="85" t="s">
        <v>182</v>
      </c>
      <c r="X101" s="85" t="s">
        <v>182</v>
      </c>
      <c r="Y101" s="254" t="s">
        <v>182</v>
      </c>
      <c r="Z101" s="85" t="s">
        <v>182</v>
      </c>
      <c r="AA101" s="85" t="s">
        <v>182</v>
      </c>
      <c r="AB101" s="85" t="s">
        <v>182</v>
      </c>
      <c r="AC101" s="85" t="s">
        <v>182</v>
      </c>
      <c r="AD101" s="85" t="s">
        <v>182</v>
      </c>
      <c r="AE101" s="85" t="s">
        <v>182</v>
      </c>
      <c r="AF101" s="85" t="s">
        <v>182</v>
      </c>
      <c r="AG101" s="85" t="s">
        <v>182</v>
      </c>
      <c r="AH101" s="85" t="s">
        <v>182</v>
      </c>
      <c r="AI101" s="85" t="s">
        <v>182</v>
      </c>
      <c r="AJ101" s="85" t="s">
        <v>182</v>
      </c>
    </row>
    <row r="102" spans="1:36" ht="15.95" customHeight="1" x14ac:dyDescent="0.25">
      <c r="A102" s="82">
        <v>141030003</v>
      </c>
      <c r="B102" s="82" t="s">
        <v>396</v>
      </c>
      <c r="C102" s="83" t="s">
        <v>530</v>
      </c>
      <c r="D102" s="83" t="s">
        <v>397</v>
      </c>
      <c r="E102" s="84">
        <v>160</v>
      </c>
      <c r="F102" s="84" t="s">
        <v>224</v>
      </c>
      <c r="G102" s="84" t="s">
        <v>224</v>
      </c>
      <c r="H102" s="84" t="s">
        <v>224</v>
      </c>
      <c r="I102" s="84" t="s">
        <v>307</v>
      </c>
      <c r="J102" s="84" t="s">
        <v>385</v>
      </c>
      <c r="K102" s="83" t="s">
        <v>27</v>
      </c>
      <c r="L102" s="84" t="s">
        <v>309</v>
      </c>
      <c r="M102" s="84" t="s">
        <v>309</v>
      </c>
      <c r="N102" s="84" t="s">
        <v>309</v>
      </c>
      <c r="O102" s="84" t="s">
        <v>309</v>
      </c>
      <c r="P102" s="82" t="s">
        <v>311</v>
      </c>
      <c r="Q102" s="84" t="s">
        <v>529</v>
      </c>
      <c r="R102" s="83" t="s">
        <v>18</v>
      </c>
      <c r="S102" s="83" t="s">
        <v>325</v>
      </c>
      <c r="T102" s="83" t="s">
        <v>325</v>
      </c>
      <c r="U102" s="83" t="s">
        <v>325</v>
      </c>
      <c r="V102" s="85" t="s">
        <v>182</v>
      </c>
      <c r="W102" s="85" t="s">
        <v>182</v>
      </c>
      <c r="X102" s="85" t="s">
        <v>182</v>
      </c>
      <c r="Y102" s="254" t="s">
        <v>182</v>
      </c>
      <c r="Z102" s="85" t="s">
        <v>182</v>
      </c>
      <c r="AA102" s="85" t="s">
        <v>182</v>
      </c>
      <c r="AB102" s="85" t="s">
        <v>182</v>
      </c>
      <c r="AC102" s="85" t="s">
        <v>182</v>
      </c>
      <c r="AD102" s="85" t="s">
        <v>182</v>
      </c>
      <c r="AE102" s="85" t="s">
        <v>182</v>
      </c>
      <c r="AF102" s="85" t="s">
        <v>182</v>
      </c>
      <c r="AG102" s="85" t="s">
        <v>182</v>
      </c>
      <c r="AH102" s="85" t="s">
        <v>182</v>
      </c>
      <c r="AI102" s="85" t="s">
        <v>182</v>
      </c>
      <c r="AJ102" s="85" t="s">
        <v>182</v>
      </c>
    </row>
    <row r="103" spans="1:36" ht="15.95" customHeight="1" x14ac:dyDescent="0.25">
      <c r="A103" s="82">
        <v>141030028</v>
      </c>
      <c r="B103" s="82" t="s">
        <v>396</v>
      </c>
      <c r="C103" s="83" t="s">
        <v>531</v>
      </c>
      <c r="D103" s="83" t="s">
        <v>397</v>
      </c>
      <c r="E103" s="84">
        <v>195</v>
      </c>
      <c r="F103" s="84" t="s">
        <v>224</v>
      </c>
      <c r="G103" s="84" t="s">
        <v>224</v>
      </c>
      <c r="H103" s="84" t="s">
        <v>224</v>
      </c>
      <c r="I103" s="84" t="s">
        <v>307</v>
      </c>
      <c r="J103" s="84" t="s">
        <v>385</v>
      </c>
      <c r="K103" s="83" t="s">
        <v>27</v>
      </c>
      <c r="L103" s="84" t="s">
        <v>309</v>
      </c>
      <c r="M103" s="84" t="s">
        <v>309</v>
      </c>
      <c r="N103" s="84" t="s">
        <v>309</v>
      </c>
      <c r="O103" s="84" t="s">
        <v>309</v>
      </c>
      <c r="P103" s="82" t="s">
        <v>386</v>
      </c>
      <c r="Q103" s="84" t="s">
        <v>529</v>
      </c>
      <c r="R103" s="83" t="s">
        <v>18</v>
      </c>
      <c r="S103" s="83" t="s">
        <v>325</v>
      </c>
      <c r="T103" s="83" t="s">
        <v>325</v>
      </c>
      <c r="U103" s="83" t="s">
        <v>325</v>
      </c>
      <c r="V103" s="85" t="s">
        <v>182</v>
      </c>
      <c r="W103" s="85" t="s">
        <v>182</v>
      </c>
      <c r="X103" s="85" t="s">
        <v>182</v>
      </c>
      <c r="Y103" s="254" t="s">
        <v>182</v>
      </c>
      <c r="Z103" s="85" t="s">
        <v>182</v>
      </c>
      <c r="AA103" s="85" t="s">
        <v>182</v>
      </c>
      <c r="AB103" s="85" t="s">
        <v>182</v>
      </c>
      <c r="AC103" s="85" t="s">
        <v>182</v>
      </c>
      <c r="AD103" s="85" t="s">
        <v>182</v>
      </c>
      <c r="AE103" s="85" t="s">
        <v>182</v>
      </c>
      <c r="AF103" s="85" t="s">
        <v>182</v>
      </c>
      <c r="AG103" s="85" t="s">
        <v>182</v>
      </c>
      <c r="AH103" s="85" t="s">
        <v>182</v>
      </c>
      <c r="AI103" s="85" t="s">
        <v>182</v>
      </c>
      <c r="AJ103" s="85" t="s">
        <v>182</v>
      </c>
    </row>
    <row r="104" spans="1:36" ht="15.95" customHeight="1" x14ac:dyDescent="0.25">
      <c r="A104" s="82">
        <v>141030029</v>
      </c>
      <c r="B104" s="82" t="s">
        <v>325</v>
      </c>
      <c r="C104" s="83" t="s">
        <v>532</v>
      </c>
      <c r="D104" s="83" t="s">
        <v>424</v>
      </c>
      <c r="E104" s="84">
        <v>195</v>
      </c>
      <c r="F104" s="84" t="s">
        <v>224</v>
      </c>
      <c r="G104" s="84" t="s">
        <v>224</v>
      </c>
      <c r="H104" s="84" t="s">
        <v>224</v>
      </c>
      <c r="I104" s="84" t="s">
        <v>307</v>
      </c>
      <c r="J104" s="84" t="s">
        <v>465</v>
      </c>
      <c r="K104" s="83" t="s">
        <v>27</v>
      </c>
      <c r="L104" s="84" t="s">
        <v>309</v>
      </c>
      <c r="M104" s="84" t="s">
        <v>309</v>
      </c>
      <c r="N104" s="84" t="s">
        <v>309</v>
      </c>
      <c r="O104" s="84" t="s">
        <v>309</v>
      </c>
      <c r="P104" s="82" t="s">
        <v>315</v>
      </c>
      <c r="Q104" s="84" t="s">
        <v>533</v>
      </c>
      <c r="R104" s="83" t="s">
        <v>18</v>
      </c>
      <c r="S104" s="83" t="s">
        <v>325</v>
      </c>
      <c r="T104" s="83" t="s">
        <v>325</v>
      </c>
      <c r="U104" s="83" t="s">
        <v>325</v>
      </c>
      <c r="V104" s="85" t="s">
        <v>182</v>
      </c>
      <c r="W104" s="85" t="s">
        <v>182</v>
      </c>
      <c r="X104" s="85" t="s">
        <v>182</v>
      </c>
      <c r="Y104" s="254" t="s">
        <v>182</v>
      </c>
      <c r="Z104" s="85" t="s">
        <v>182</v>
      </c>
      <c r="AA104" s="85" t="s">
        <v>182</v>
      </c>
      <c r="AB104" s="85" t="s">
        <v>182</v>
      </c>
      <c r="AC104" s="85" t="s">
        <v>182</v>
      </c>
      <c r="AD104" s="85" t="s">
        <v>182</v>
      </c>
      <c r="AE104" s="85" t="s">
        <v>182</v>
      </c>
      <c r="AF104" s="85" t="s">
        <v>182</v>
      </c>
      <c r="AG104" s="85" t="s">
        <v>182</v>
      </c>
      <c r="AH104" s="85" t="s">
        <v>182</v>
      </c>
      <c r="AI104" s="85" t="s">
        <v>182</v>
      </c>
      <c r="AJ104" s="85" t="s">
        <v>182</v>
      </c>
    </row>
    <row r="105" spans="1:36" ht="15.95" customHeight="1" x14ac:dyDescent="0.25">
      <c r="A105" s="82">
        <v>141060001</v>
      </c>
      <c r="B105" s="82" t="s">
        <v>321</v>
      </c>
      <c r="C105" s="83" t="s">
        <v>534</v>
      </c>
      <c r="D105" s="83" t="s">
        <v>535</v>
      </c>
      <c r="E105" s="84">
        <v>155</v>
      </c>
      <c r="F105" s="84" t="s">
        <v>224</v>
      </c>
      <c r="G105" s="84" t="s">
        <v>224</v>
      </c>
      <c r="H105" s="84" t="s">
        <v>224</v>
      </c>
      <c r="I105" s="84" t="s">
        <v>307</v>
      </c>
      <c r="J105" s="84" t="s">
        <v>410</v>
      </c>
      <c r="K105" s="83" t="s">
        <v>536</v>
      </c>
      <c r="L105" s="84" t="s">
        <v>306</v>
      </c>
      <c r="M105" s="84" t="s">
        <v>514</v>
      </c>
      <c r="N105" s="84" t="s">
        <v>325</v>
      </c>
      <c r="O105" s="84" t="s">
        <v>307</v>
      </c>
      <c r="P105" s="82" t="s">
        <v>327</v>
      </c>
      <c r="Q105" s="84" t="s">
        <v>537</v>
      </c>
      <c r="R105" s="83" t="s">
        <v>538</v>
      </c>
      <c r="S105" s="83" t="s">
        <v>114</v>
      </c>
      <c r="T105" s="83" t="s">
        <v>114</v>
      </c>
      <c r="U105" s="83" t="s">
        <v>325</v>
      </c>
      <c r="V105" s="85" t="s">
        <v>182</v>
      </c>
      <c r="W105" s="85" t="s">
        <v>182</v>
      </c>
      <c r="X105" s="85" t="s">
        <v>182</v>
      </c>
      <c r="Y105" s="254" t="s">
        <v>182</v>
      </c>
      <c r="Z105" s="85" t="s">
        <v>182</v>
      </c>
      <c r="AA105" s="85" t="s">
        <v>182</v>
      </c>
      <c r="AB105" s="85" t="s">
        <v>182</v>
      </c>
      <c r="AC105" s="85" t="s">
        <v>182</v>
      </c>
      <c r="AD105" s="85" t="s">
        <v>182</v>
      </c>
      <c r="AE105" s="85" t="s">
        <v>182</v>
      </c>
      <c r="AF105" s="85" t="s">
        <v>182</v>
      </c>
      <c r="AG105" s="85" t="s">
        <v>182</v>
      </c>
      <c r="AH105" s="85" t="s">
        <v>182</v>
      </c>
      <c r="AI105" s="85" t="s">
        <v>182</v>
      </c>
      <c r="AJ105" s="85" t="s">
        <v>182</v>
      </c>
    </row>
    <row r="106" spans="1:36" ht="15.95" customHeight="1" x14ac:dyDescent="0.25">
      <c r="A106" s="82">
        <v>141060005</v>
      </c>
      <c r="B106" s="82" t="s">
        <v>396</v>
      </c>
      <c r="C106" s="83" t="s">
        <v>97</v>
      </c>
      <c r="D106" s="83" t="s">
        <v>535</v>
      </c>
      <c r="E106" s="84">
        <v>112</v>
      </c>
      <c r="F106" s="84" t="s">
        <v>224</v>
      </c>
      <c r="G106" s="84" t="s">
        <v>224</v>
      </c>
      <c r="H106" s="84" t="s">
        <v>224</v>
      </c>
      <c r="I106" s="84" t="s">
        <v>307</v>
      </c>
      <c r="J106" s="84" t="s">
        <v>372</v>
      </c>
      <c r="K106" s="83" t="s">
        <v>40</v>
      </c>
      <c r="L106" s="84" t="s">
        <v>306</v>
      </c>
      <c r="M106" s="84" t="s">
        <v>306</v>
      </c>
      <c r="N106" s="84" t="s">
        <v>306</v>
      </c>
      <c r="O106" s="84" t="s">
        <v>326</v>
      </c>
      <c r="P106" s="82" t="s">
        <v>311</v>
      </c>
      <c r="Q106" s="84" t="s">
        <v>96</v>
      </c>
      <c r="R106" s="83" t="s">
        <v>18</v>
      </c>
      <c r="S106" s="83" t="s">
        <v>224</v>
      </c>
      <c r="T106" s="83" t="s">
        <v>224</v>
      </c>
      <c r="U106" s="83" t="s">
        <v>224</v>
      </c>
      <c r="V106" s="85" t="s">
        <v>106</v>
      </c>
      <c r="W106" s="85" t="s">
        <v>124</v>
      </c>
      <c r="X106" s="85">
        <v>0</v>
      </c>
      <c r="Y106" s="254">
        <v>0.77821011673151752</v>
      </c>
      <c r="Z106" s="85">
        <v>0</v>
      </c>
      <c r="AA106" s="85">
        <v>0</v>
      </c>
      <c r="AB106" s="85">
        <v>0</v>
      </c>
      <c r="AC106" s="85">
        <v>0</v>
      </c>
      <c r="AD106" s="85">
        <v>0</v>
      </c>
      <c r="AE106" s="85">
        <v>0</v>
      </c>
      <c r="AF106" s="85">
        <v>0</v>
      </c>
      <c r="AG106" s="85">
        <v>0</v>
      </c>
      <c r="AH106" s="85">
        <v>0</v>
      </c>
      <c r="AI106" s="85">
        <v>0</v>
      </c>
      <c r="AJ106" s="85">
        <v>0</v>
      </c>
    </row>
    <row r="107" spans="1:36" ht="15.95" customHeight="1" x14ac:dyDescent="0.25">
      <c r="A107" s="82">
        <v>141130001</v>
      </c>
      <c r="B107" s="82" t="s">
        <v>303</v>
      </c>
      <c r="C107" s="83" t="s">
        <v>539</v>
      </c>
      <c r="D107" s="83" t="s">
        <v>366</v>
      </c>
      <c r="E107" s="84">
        <v>175</v>
      </c>
      <c r="F107" s="84" t="s">
        <v>224</v>
      </c>
      <c r="G107" s="84" t="s">
        <v>224</v>
      </c>
      <c r="H107" s="84" t="s">
        <v>224</v>
      </c>
      <c r="I107" s="84" t="s">
        <v>307</v>
      </c>
      <c r="J107" s="84" t="s">
        <v>306</v>
      </c>
      <c r="K107" s="83" t="s">
        <v>58</v>
      </c>
      <c r="L107" s="84" t="s">
        <v>325</v>
      </c>
      <c r="M107" s="84" t="s">
        <v>325</v>
      </c>
      <c r="N107" s="84" t="s">
        <v>325</v>
      </c>
      <c r="O107" s="84" t="s">
        <v>325</v>
      </c>
      <c r="P107" s="82" t="s">
        <v>311</v>
      </c>
      <c r="Q107" s="84" t="s">
        <v>540</v>
      </c>
      <c r="R107" s="83" t="s">
        <v>330</v>
      </c>
      <c r="S107" s="83" t="s">
        <v>325</v>
      </c>
      <c r="T107" s="83" t="s">
        <v>325</v>
      </c>
      <c r="U107" s="83" t="s">
        <v>325</v>
      </c>
      <c r="V107" s="85" t="s">
        <v>182</v>
      </c>
      <c r="W107" s="85" t="s">
        <v>182</v>
      </c>
      <c r="X107" s="85" t="s">
        <v>182</v>
      </c>
      <c r="Y107" s="254" t="s">
        <v>182</v>
      </c>
      <c r="Z107" s="85" t="s">
        <v>182</v>
      </c>
      <c r="AA107" s="85" t="s">
        <v>182</v>
      </c>
      <c r="AB107" s="85" t="s">
        <v>182</v>
      </c>
      <c r="AC107" s="85" t="s">
        <v>182</v>
      </c>
      <c r="AD107" s="85" t="s">
        <v>182</v>
      </c>
      <c r="AE107" s="85" t="s">
        <v>182</v>
      </c>
      <c r="AF107" s="85" t="s">
        <v>182</v>
      </c>
      <c r="AG107" s="85" t="s">
        <v>182</v>
      </c>
      <c r="AH107" s="85" t="s">
        <v>182</v>
      </c>
      <c r="AI107" s="85" t="s">
        <v>182</v>
      </c>
      <c r="AJ107" s="85" t="s">
        <v>182</v>
      </c>
    </row>
    <row r="108" spans="1:36" ht="15.95" customHeight="1" x14ac:dyDescent="0.25">
      <c r="A108" s="82">
        <v>141130002</v>
      </c>
      <c r="B108" s="82" t="s">
        <v>303</v>
      </c>
      <c r="C108" s="83" t="s">
        <v>541</v>
      </c>
      <c r="D108" s="83" t="s">
        <v>366</v>
      </c>
      <c r="E108" s="84">
        <v>220</v>
      </c>
      <c r="F108" s="84" t="s">
        <v>224</v>
      </c>
      <c r="G108" s="84" t="s">
        <v>224</v>
      </c>
      <c r="H108" s="84" t="s">
        <v>224</v>
      </c>
      <c r="I108" s="84" t="s">
        <v>307</v>
      </c>
      <c r="J108" s="84" t="s">
        <v>306</v>
      </c>
      <c r="K108" s="83" t="s">
        <v>58</v>
      </c>
      <c r="L108" s="84" t="s">
        <v>337</v>
      </c>
      <c r="M108" s="84" t="s">
        <v>337</v>
      </c>
      <c r="N108" s="84" t="s">
        <v>337</v>
      </c>
      <c r="O108" s="84" t="s">
        <v>309</v>
      </c>
      <c r="P108" s="82" t="s">
        <v>311</v>
      </c>
      <c r="Q108" s="84" t="s">
        <v>540</v>
      </c>
      <c r="R108" s="83" t="s">
        <v>18</v>
      </c>
      <c r="S108" s="83" t="s">
        <v>325</v>
      </c>
      <c r="T108" s="83" t="s">
        <v>325</v>
      </c>
      <c r="U108" s="83" t="s">
        <v>325</v>
      </c>
      <c r="V108" s="85" t="s">
        <v>182</v>
      </c>
      <c r="W108" s="85" t="s">
        <v>182</v>
      </c>
      <c r="X108" s="85" t="s">
        <v>182</v>
      </c>
      <c r="Y108" s="254" t="s">
        <v>182</v>
      </c>
      <c r="Z108" s="85" t="s">
        <v>182</v>
      </c>
      <c r="AA108" s="85" t="s">
        <v>182</v>
      </c>
      <c r="AB108" s="85" t="s">
        <v>182</v>
      </c>
      <c r="AC108" s="85" t="s">
        <v>182</v>
      </c>
      <c r="AD108" s="85" t="s">
        <v>182</v>
      </c>
      <c r="AE108" s="85" t="s">
        <v>182</v>
      </c>
      <c r="AF108" s="85" t="s">
        <v>182</v>
      </c>
      <c r="AG108" s="85" t="s">
        <v>182</v>
      </c>
      <c r="AH108" s="85" t="s">
        <v>182</v>
      </c>
      <c r="AI108" s="85" t="s">
        <v>182</v>
      </c>
      <c r="AJ108" s="85" t="s">
        <v>182</v>
      </c>
    </row>
    <row r="109" spans="1:36" ht="15.95" customHeight="1" x14ac:dyDescent="0.25">
      <c r="A109" s="82">
        <v>141170009</v>
      </c>
      <c r="B109" s="82" t="s">
        <v>396</v>
      </c>
      <c r="C109" s="83" t="s">
        <v>542</v>
      </c>
      <c r="D109" s="83" t="s">
        <v>397</v>
      </c>
      <c r="E109" s="84">
        <v>206</v>
      </c>
      <c r="F109" s="84" t="s">
        <v>224</v>
      </c>
      <c r="G109" s="84" t="s">
        <v>224</v>
      </c>
      <c r="H109" s="84" t="s">
        <v>224</v>
      </c>
      <c r="I109" s="84" t="s">
        <v>307</v>
      </c>
      <c r="J109" s="84" t="s">
        <v>472</v>
      </c>
      <c r="K109" s="83" t="s">
        <v>27</v>
      </c>
      <c r="L109" s="84" t="s">
        <v>309</v>
      </c>
      <c r="M109" s="84" t="s">
        <v>339</v>
      </c>
      <c r="N109" s="84" t="s">
        <v>339</v>
      </c>
      <c r="O109" s="84" t="s">
        <v>309</v>
      </c>
      <c r="P109" s="82" t="s">
        <v>311</v>
      </c>
      <c r="Q109" s="84" t="s">
        <v>543</v>
      </c>
      <c r="R109" s="83" t="s">
        <v>472</v>
      </c>
      <c r="S109" s="83" t="s">
        <v>544</v>
      </c>
      <c r="T109" s="83" t="s">
        <v>545</v>
      </c>
      <c r="U109" s="83" t="s">
        <v>545</v>
      </c>
      <c r="V109" s="85" t="s">
        <v>182</v>
      </c>
      <c r="W109" s="85" t="s">
        <v>182</v>
      </c>
      <c r="X109" s="85" t="s">
        <v>182</v>
      </c>
      <c r="Y109" s="254" t="s">
        <v>182</v>
      </c>
      <c r="Z109" s="85" t="s">
        <v>182</v>
      </c>
      <c r="AA109" s="85" t="s">
        <v>182</v>
      </c>
      <c r="AB109" s="85" t="s">
        <v>182</v>
      </c>
      <c r="AC109" s="85" t="s">
        <v>182</v>
      </c>
      <c r="AD109" s="85" t="s">
        <v>182</v>
      </c>
      <c r="AE109" s="85" t="s">
        <v>182</v>
      </c>
      <c r="AF109" s="85" t="s">
        <v>182</v>
      </c>
      <c r="AG109" s="85" t="s">
        <v>182</v>
      </c>
      <c r="AH109" s="85" t="s">
        <v>182</v>
      </c>
      <c r="AI109" s="85" t="s">
        <v>182</v>
      </c>
      <c r="AJ109" s="85" t="s">
        <v>182</v>
      </c>
    </row>
    <row r="110" spans="1:36" ht="15.95" customHeight="1" x14ac:dyDescent="0.25">
      <c r="A110" s="82">
        <v>141170010</v>
      </c>
      <c r="B110" s="82" t="s">
        <v>325</v>
      </c>
      <c r="C110" s="83" t="s">
        <v>546</v>
      </c>
      <c r="D110" s="83" t="s">
        <v>424</v>
      </c>
      <c r="E110" s="84">
        <v>208</v>
      </c>
      <c r="F110" s="84" t="s">
        <v>224</v>
      </c>
      <c r="G110" s="84" t="s">
        <v>224</v>
      </c>
      <c r="H110" s="84" t="s">
        <v>224</v>
      </c>
      <c r="I110" s="84" t="s">
        <v>307</v>
      </c>
      <c r="J110" s="84" t="s">
        <v>472</v>
      </c>
      <c r="K110" s="83" t="s">
        <v>27</v>
      </c>
      <c r="L110" s="84" t="s">
        <v>339</v>
      </c>
      <c r="M110" s="84" t="s">
        <v>339</v>
      </c>
      <c r="N110" s="84" t="s">
        <v>309</v>
      </c>
      <c r="O110" s="84" t="s">
        <v>309</v>
      </c>
      <c r="P110" s="82" t="s">
        <v>315</v>
      </c>
      <c r="Q110" s="84" t="s">
        <v>543</v>
      </c>
      <c r="R110" s="83" t="s">
        <v>547</v>
      </c>
      <c r="S110" s="83" t="s">
        <v>325</v>
      </c>
      <c r="T110" s="83" t="s">
        <v>325</v>
      </c>
      <c r="U110" s="83" t="s">
        <v>325</v>
      </c>
      <c r="V110" s="85" t="s">
        <v>182</v>
      </c>
      <c r="W110" s="85" t="s">
        <v>182</v>
      </c>
      <c r="X110" s="85" t="s">
        <v>182</v>
      </c>
      <c r="Y110" s="254" t="s">
        <v>182</v>
      </c>
      <c r="Z110" s="85" t="s">
        <v>182</v>
      </c>
      <c r="AA110" s="85" t="s">
        <v>182</v>
      </c>
      <c r="AB110" s="85" t="s">
        <v>182</v>
      </c>
      <c r="AC110" s="85" t="s">
        <v>182</v>
      </c>
      <c r="AD110" s="85" t="s">
        <v>182</v>
      </c>
      <c r="AE110" s="85" t="s">
        <v>182</v>
      </c>
      <c r="AF110" s="85" t="s">
        <v>182</v>
      </c>
      <c r="AG110" s="85" t="s">
        <v>182</v>
      </c>
      <c r="AH110" s="85" t="s">
        <v>182</v>
      </c>
      <c r="AI110" s="85" t="s">
        <v>182</v>
      </c>
      <c r="AJ110" s="85" t="s">
        <v>182</v>
      </c>
    </row>
    <row r="111" spans="1:36" ht="15.95" customHeight="1" x14ac:dyDescent="0.25">
      <c r="A111" s="82">
        <v>141170016</v>
      </c>
      <c r="B111" s="82" t="s">
        <v>317</v>
      </c>
      <c r="C111" s="83" t="s">
        <v>548</v>
      </c>
      <c r="D111" s="83" t="s">
        <v>318</v>
      </c>
      <c r="E111" s="84">
        <v>220</v>
      </c>
      <c r="F111" s="84" t="s">
        <v>224</v>
      </c>
      <c r="G111" s="84" t="s">
        <v>224</v>
      </c>
      <c r="H111" s="84" t="s">
        <v>224</v>
      </c>
      <c r="I111" s="84" t="s">
        <v>307</v>
      </c>
      <c r="J111" s="84" t="s">
        <v>549</v>
      </c>
      <c r="K111" s="83" t="s">
        <v>27</v>
      </c>
      <c r="L111" s="84" t="s">
        <v>339</v>
      </c>
      <c r="M111" s="84" t="s">
        <v>339</v>
      </c>
      <c r="N111" s="84" t="s">
        <v>309</v>
      </c>
      <c r="O111" s="84" t="s">
        <v>309</v>
      </c>
      <c r="P111" s="82" t="s">
        <v>311</v>
      </c>
      <c r="Q111" s="84" t="s">
        <v>543</v>
      </c>
      <c r="R111" s="83" t="s">
        <v>28</v>
      </c>
      <c r="S111" s="83" t="s">
        <v>325</v>
      </c>
      <c r="T111" s="83" t="s">
        <v>325</v>
      </c>
      <c r="U111" s="83" t="s">
        <v>325</v>
      </c>
      <c r="V111" s="85" t="s">
        <v>182</v>
      </c>
      <c r="W111" s="85" t="s">
        <v>182</v>
      </c>
      <c r="X111" s="85" t="s">
        <v>182</v>
      </c>
      <c r="Y111" s="254" t="s">
        <v>182</v>
      </c>
      <c r="Z111" s="85" t="s">
        <v>182</v>
      </c>
      <c r="AA111" s="85" t="s">
        <v>182</v>
      </c>
      <c r="AB111" s="85" t="s">
        <v>182</v>
      </c>
      <c r="AC111" s="85" t="s">
        <v>182</v>
      </c>
      <c r="AD111" s="85" t="s">
        <v>182</v>
      </c>
      <c r="AE111" s="85" t="s">
        <v>182</v>
      </c>
      <c r="AF111" s="85" t="s">
        <v>182</v>
      </c>
      <c r="AG111" s="85" t="s">
        <v>182</v>
      </c>
      <c r="AH111" s="85" t="s">
        <v>182</v>
      </c>
      <c r="AI111" s="85" t="s">
        <v>182</v>
      </c>
      <c r="AJ111" s="85" t="s">
        <v>182</v>
      </c>
    </row>
    <row r="112" spans="1:36" ht="15.95" customHeight="1" x14ac:dyDescent="0.25">
      <c r="A112" s="82">
        <v>141170021</v>
      </c>
      <c r="B112" s="82" t="s">
        <v>396</v>
      </c>
      <c r="C112" s="83" t="s">
        <v>550</v>
      </c>
      <c r="D112" s="83" t="s">
        <v>397</v>
      </c>
      <c r="E112" s="84">
        <v>206</v>
      </c>
      <c r="F112" s="84" t="s">
        <v>224</v>
      </c>
      <c r="G112" s="84" t="s">
        <v>224</v>
      </c>
      <c r="H112" s="84" t="s">
        <v>224</v>
      </c>
      <c r="I112" s="84" t="s">
        <v>307</v>
      </c>
      <c r="J112" s="84" t="s">
        <v>472</v>
      </c>
      <c r="K112" s="83" t="s">
        <v>27</v>
      </c>
      <c r="L112" s="84" t="s">
        <v>309</v>
      </c>
      <c r="M112" s="84" t="s">
        <v>339</v>
      </c>
      <c r="N112" s="84" t="s">
        <v>339</v>
      </c>
      <c r="O112" s="84" t="s">
        <v>309</v>
      </c>
      <c r="P112" s="82" t="s">
        <v>311</v>
      </c>
      <c r="Q112" s="84" t="s">
        <v>543</v>
      </c>
      <c r="R112" s="83" t="s">
        <v>472</v>
      </c>
      <c r="S112" s="83" t="s">
        <v>544</v>
      </c>
      <c r="T112" s="83" t="s">
        <v>545</v>
      </c>
      <c r="U112" s="83" t="s">
        <v>545</v>
      </c>
      <c r="V112" s="85" t="s">
        <v>182</v>
      </c>
      <c r="W112" s="85" t="s">
        <v>182</v>
      </c>
      <c r="X112" s="85" t="s">
        <v>182</v>
      </c>
      <c r="Y112" s="254" t="s">
        <v>182</v>
      </c>
      <c r="Z112" s="85" t="s">
        <v>182</v>
      </c>
      <c r="AA112" s="85" t="s">
        <v>182</v>
      </c>
      <c r="AB112" s="85" t="s">
        <v>182</v>
      </c>
      <c r="AC112" s="85" t="s">
        <v>182</v>
      </c>
      <c r="AD112" s="85" t="s">
        <v>182</v>
      </c>
      <c r="AE112" s="85" t="s">
        <v>182</v>
      </c>
      <c r="AF112" s="85" t="s">
        <v>182</v>
      </c>
      <c r="AG112" s="85" t="s">
        <v>182</v>
      </c>
      <c r="AH112" s="85" t="s">
        <v>182</v>
      </c>
      <c r="AI112" s="85" t="s">
        <v>182</v>
      </c>
      <c r="AJ112" s="85" t="s">
        <v>182</v>
      </c>
    </row>
    <row r="113" spans="1:36" ht="15.95" customHeight="1" x14ac:dyDescent="0.25">
      <c r="A113" s="82">
        <v>141170022</v>
      </c>
      <c r="B113" s="82" t="s">
        <v>396</v>
      </c>
      <c r="C113" s="83" t="s">
        <v>551</v>
      </c>
      <c r="D113" s="83" t="s">
        <v>397</v>
      </c>
      <c r="E113" s="84">
        <v>206</v>
      </c>
      <c r="F113" s="84" t="s">
        <v>224</v>
      </c>
      <c r="G113" s="84" t="s">
        <v>224</v>
      </c>
      <c r="H113" s="84" t="s">
        <v>224</v>
      </c>
      <c r="I113" s="84" t="s">
        <v>307</v>
      </c>
      <c r="J113" s="84" t="s">
        <v>472</v>
      </c>
      <c r="K113" s="83" t="s">
        <v>27</v>
      </c>
      <c r="L113" s="84" t="s">
        <v>309</v>
      </c>
      <c r="M113" s="84" t="s">
        <v>339</v>
      </c>
      <c r="N113" s="84" t="s">
        <v>339</v>
      </c>
      <c r="O113" s="84" t="s">
        <v>309</v>
      </c>
      <c r="P113" s="82" t="s">
        <v>311</v>
      </c>
      <c r="Q113" s="84" t="s">
        <v>543</v>
      </c>
      <c r="R113" s="83" t="s">
        <v>459</v>
      </c>
      <c r="S113" s="83" t="s">
        <v>544</v>
      </c>
      <c r="T113" s="83" t="s">
        <v>545</v>
      </c>
      <c r="U113" s="83" t="s">
        <v>545</v>
      </c>
      <c r="V113" s="85" t="s">
        <v>182</v>
      </c>
      <c r="W113" s="85" t="s">
        <v>182</v>
      </c>
      <c r="X113" s="85" t="s">
        <v>182</v>
      </c>
      <c r="Y113" s="254" t="s">
        <v>182</v>
      </c>
      <c r="Z113" s="85" t="s">
        <v>182</v>
      </c>
      <c r="AA113" s="85" t="s">
        <v>182</v>
      </c>
      <c r="AB113" s="85" t="s">
        <v>182</v>
      </c>
      <c r="AC113" s="85" t="s">
        <v>182</v>
      </c>
      <c r="AD113" s="85" t="s">
        <v>182</v>
      </c>
      <c r="AE113" s="85" t="s">
        <v>182</v>
      </c>
      <c r="AF113" s="85" t="s">
        <v>182</v>
      </c>
      <c r="AG113" s="85" t="s">
        <v>182</v>
      </c>
      <c r="AH113" s="85" t="s">
        <v>182</v>
      </c>
      <c r="AI113" s="85" t="s">
        <v>182</v>
      </c>
      <c r="AJ113" s="85" t="s">
        <v>182</v>
      </c>
    </row>
    <row r="114" spans="1:36" ht="15.95" customHeight="1" x14ac:dyDescent="0.25">
      <c r="A114" s="82">
        <v>141200050</v>
      </c>
      <c r="B114" s="82" t="s">
        <v>321</v>
      </c>
      <c r="C114" s="83" t="s">
        <v>99</v>
      </c>
      <c r="D114" s="83" t="s">
        <v>322</v>
      </c>
      <c r="E114" s="84">
        <v>100</v>
      </c>
      <c r="F114" s="84" t="s">
        <v>224</v>
      </c>
      <c r="G114" s="84" t="s">
        <v>224</v>
      </c>
      <c r="H114" s="84" t="s">
        <v>224</v>
      </c>
      <c r="I114" s="84" t="s">
        <v>323</v>
      </c>
      <c r="J114" s="84" t="s">
        <v>334</v>
      </c>
      <c r="K114" s="83" t="s">
        <v>335</v>
      </c>
      <c r="L114" s="84" t="s">
        <v>336</v>
      </c>
      <c r="M114" s="84" t="s">
        <v>336</v>
      </c>
      <c r="N114" s="84" t="s">
        <v>325</v>
      </c>
      <c r="O114" s="84" t="s">
        <v>310</v>
      </c>
      <c r="P114" s="82" t="s">
        <v>327</v>
      </c>
      <c r="Q114" s="84" t="s">
        <v>98</v>
      </c>
      <c r="R114" s="83" t="s">
        <v>325</v>
      </c>
      <c r="S114" s="83" t="s">
        <v>73</v>
      </c>
      <c r="T114" s="83" t="s">
        <v>73</v>
      </c>
      <c r="U114" s="83" t="s">
        <v>325</v>
      </c>
      <c r="V114" s="85" t="s">
        <v>107</v>
      </c>
      <c r="W114" s="85" t="s">
        <v>124</v>
      </c>
      <c r="X114" s="85">
        <v>0</v>
      </c>
      <c r="Y114" s="254">
        <v>1.0475905417539659</v>
      </c>
      <c r="Z114" s="85">
        <v>0</v>
      </c>
      <c r="AA114" s="85">
        <v>0</v>
      </c>
      <c r="AB114" s="85">
        <v>0</v>
      </c>
      <c r="AC114" s="85">
        <v>0</v>
      </c>
      <c r="AD114" s="85">
        <v>0</v>
      </c>
      <c r="AE114" s="85">
        <v>0</v>
      </c>
      <c r="AF114" s="85">
        <v>0</v>
      </c>
      <c r="AG114" s="85">
        <v>0</v>
      </c>
      <c r="AH114" s="85">
        <v>0</v>
      </c>
      <c r="AI114" s="85">
        <v>0</v>
      </c>
      <c r="AJ114" s="85">
        <v>0</v>
      </c>
    </row>
    <row r="115" spans="1:36" ht="15.95" customHeight="1" x14ac:dyDescent="0.25">
      <c r="A115" s="82">
        <v>141270007</v>
      </c>
      <c r="B115" s="82" t="s">
        <v>321</v>
      </c>
      <c r="C115" s="83" t="s">
        <v>552</v>
      </c>
      <c r="D115" s="83" t="s">
        <v>322</v>
      </c>
      <c r="E115" s="84">
        <v>116</v>
      </c>
      <c r="F115" s="84" t="s">
        <v>224</v>
      </c>
      <c r="G115" s="84" t="s">
        <v>224</v>
      </c>
      <c r="H115" s="84" t="s">
        <v>224</v>
      </c>
      <c r="I115" s="84" t="s">
        <v>323</v>
      </c>
      <c r="J115" s="84" t="s">
        <v>553</v>
      </c>
      <c r="K115" s="83" t="s">
        <v>335</v>
      </c>
      <c r="L115" s="84" t="s">
        <v>498</v>
      </c>
      <c r="M115" s="84" t="s">
        <v>498</v>
      </c>
      <c r="N115" s="84" t="s">
        <v>325</v>
      </c>
      <c r="O115" s="84" t="s">
        <v>310</v>
      </c>
      <c r="P115" s="82" t="s">
        <v>327</v>
      </c>
      <c r="Q115" s="84" t="s">
        <v>100</v>
      </c>
      <c r="R115" s="83" t="s">
        <v>339</v>
      </c>
      <c r="S115" s="83" t="s">
        <v>554</v>
      </c>
      <c r="T115" s="83" t="s">
        <v>325</v>
      </c>
      <c r="U115" s="83" t="s">
        <v>325</v>
      </c>
      <c r="V115" s="85" t="s">
        <v>107</v>
      </c>
      <c r="W115" s="85" t="s">
        <v>124</v>
      </c>
      <c r="X115" s="85">
        <v>0</v>
      </c>
      <c r="Y115" s="254">
        <v>0</v>
      </c>
      <c r="Z115" s="85">
        <v>0</v>
      </c>
      <c r="AA115" s="85">
        <v>0</v>
      </c>
      <c r="AB115" s="85">
        <v>0</v>
      </c>
      <c r="AC115" s="85">
        <v>0</v>
      </c>
      <c r="AD115" s="85">
        <v>0</v>
      </c>
      <c r="AE115" s="85">
        <v>0</v>
      </c>
      <c r="AF115" s="85">
        <v>0</v>
      </c>
      <c r="AG115" s="85">
        <v>0</v>
      </c>
      <c r="AH115" s="85">
        <v>0</v>
      </c>
      <c r="AI115" s="85">
        <v>0</v>
      </c>
      <c r="AJ115" s="85">
        <v>0</v>
      </c>
    </row>
    <row r="116" spans="1:36" ht="15.95" customHeight="1" x14ac:dyDescent="0.25">
      <c r="A116" s="82">
        <v>141300004</v>
      </c>
      <c r="B116" s="82" t="s">
        <v>490</v>
      </c>
      <c r="C116" s="83" t="s">
        <v>102</v>
      </c>
      <c r="D116" s="83" t="s">
        <v>555</v>
      </c>
      <c r="E116" s="84">
        <v>130</v>
      </c>
      <c r="F116" s="84" t="s">
        <v>224</v>
      </c>
      <c r="G116" s="84" t="s">
        <v>224</v>
      </c>
      <c r="H116" s="84" t="s">
        <v>224</v>
      </c>
      <c r="I116" s="84" t="s">
        <v>307</v>
      </c>
      <c r="J116" s="84" t="s">
        <v>336</v>
      </c>
      <c r="K116" s="83" t="s">
        <v>335</v>
      </c>
      <c r="L116" s="84" t="s">
        <v>306</v>
      </c>
      <c r="M116" s="84" t="s">
        <v>306</v>
      </c>
      <c r="N116" s="84" t="s">
        <v>18</v>
      </c>
      <c r="O116" s="84" t="s">
        <v>556</v>
      </c>
      <c r="P116" s="82" t="s">
        <v>327</v>
      </c>
      <c r="Q116" s="84" t="s">
        <v>101</v>
      </c>
      <c r="R116" s="83" t="s">
        <v>18</v>
      </c>
      <c r="S116" s="83" t="s">
        <v>18</v>
      </c>
      <c r="T116" s="83" t="s">
        <v>18</v>
      </c>
      <c r="U116" s="83" t="s">
        <v>18</v>
      </c>
      <c r="V116" s="85" t="s">
        <v>107</v>
      </c>
      <c r="W116" s="85" t="s">
        <v>124</v>
      </c>
      <c r="X116" s="85">
        <v>0</v>
      </c>
      <c r="Y116" s="254">
        <v>0.89793475007482781</v>
      </c>
      <c r="Z116" s="85">
        <v>0</v>
      </c>
      <c r="AA116" s="85">
        <v>0</v>
      </c>
      <c r="AB116" s="85">
        <v>0</v>
      </c>
      <c r="AC116" s="85">
        <v>0</v>
      </c>
      <c r="AD116" s="85">
        <v>0</v>
      </c>
      <c r="AE116" s="85">
        <v>0</v>
      </c>
      <c r="AF116" s="85">
        <v>0</v>
      </c>
      <c r="AG116" s="85">
        <v>0</v>
      </c>
      <c r="AH116" s="85">
        <v>0</v>
      </c>
      <c r="AI116" s="85">
        <v>0</v>
      </c>
      <c r="AJ116" s="85">
        <v>0</v>
      </c>
    </row>
    <row r="117" spans="1:36" ht="15.95" customHeight="1" x14ac:dyDescent="0.25">
      <c r="A117" s="82">
        <v>141300008</v>
      </c>
      <c r="B117" s="82" t="s">
        <v>321</v>
      </c>
      <c r="C117" s="83" t="s">
        <v>103</v>
      </c>
      <c r="D117" s="83" t="s">
        <v>322</v>
      </c>
      <c r="E117" s="84">
        <v>149</v>
      </c>
      <c r="F117" s="84" t="s">
        <v>224</v>
      </c>
      <c r="G117" s="84" t="s">
        <v>224</v>
      </c>
      <c r="H117" s="84" t="s">
        <v>224</v>
      </c>
      <c r="I117" s="84" t="s">
        <v>307</v>
      </c>
      <c r="J117" s="84" t="s">
        <v>437</v>
      </c>
      <c r="K117" s="83" t="s">
        <v>335</v>
      </c>
      <c r="L117" s="84" t="s">
        <v>372</v>
      </c>
      <c r="M117" s="84" t="s">
        <v>306</v>
      </c>
      <c r="N117" s="84" t="s">
        <v>18</v>
      </c>
      <c r="O117" s="84" t="s">
        <v>310</v>
      </c>
      <c r="P117" s="82" t="s">
        <v>327</v>
      </c>
      <c r="Q117" s="84" t="s">
        <v>101</v>
      </c>
      <c r="R117" s="83" t="s">
        <v>29</v>
      </c>
      <c r="S117" s="83" t="s">
        <v>557</v>
      </c>
      <c r="T117" s="83" t="s">
        <v>18</v>
      </c>
      <c r="U117" s="83" t="s">
        <v>18</v>
      </c>
      <c r="V117" s="85" t="s">
        <v>107</v>
      </c>
      <c r="W117" s="85" t="s">
        <v>124</v>
      </c>
      <c r="X117" s="85">
        <v>0</v>
      </c>
      <c r="Y117" s="254">
        <v>1.0775217000897934</v>
      </c>
      <c r="Z117" s="85">
        <v>0</v>
      </c>
      <c r="AA117" s="85">
        <v>0</v>
      </c>
      <c r="AB117" s="85">
        <v>0</v>
      </c>
      <c r="AC117" s="85">
        <v>0</v>
      </c>
      <c r="AD117" s="85">
        <v>0</v>
      </c>
      <c r="AE117" s="85">
        <v>0</v>
      </c>
      <c r="AF117" s="85">
        <v>0</v>
      </c>
      <c r="AG117" s="85">
        <v>0</v>
      </c>
      <c r="AH117" s="85">
        <v>0</v>
      </c>
      <c r="AI117" s="85">
        <v>0</v>
      </c>
      <c r="AJ117" s="85">
        <v>0</v>
      </c>
    </row>
    <row r="118" spans="1:36" ht="15.95" customHeight="1" x14ac:dyDescent="0.25">
      <c r="A118" s="82">
        <v>141300014</v>
      </c>
      <c r="B118" s="82" t="s">
        <v>490</v>
      </c>
      <c r="C118" s="83" t="s">
        <v>558</v>
      </c>
      <c r="D118" s="83" t="s">
        <v>559</v>
      </c>
      <c r="E118" s="84">
        <v>150</v>
      </c>
      <c r="F118" s="84" t="s">
        <v>224</v>
      </c>
      <c r="G118" s="84" t="s">
        <v>224</v>
      </c>
      <c r="H118" s="84" t="s">
        <v>224</v>
      </c>
      <c r="I118" s="84" t="s">
        <v>307</v>
      </c>
      <c r="J118" s="84" t="s">
        <v>337</v>
      </c>
      <c r="K118" s="83" t="s">
        <v>560</v>
      </c>
      <c r="L118" s="84" t="s">
        <v>306</v>
      </c>
      <c r="M118" s="84" t="s">
        <v>306</v>
      </c>
      <c r="N118" s="84" t="s">
        <v>325</v>
      </c>
      <c r="O118" s="84" t="s">
        <v>310</v>
      </c>
      <c r="P118" s="82" t="s">
        <v>327</v>
      </c>
      <c r="Q118" s="84" t="s">
        <v>101</v>
      </c>
      <c r="R118" s="83" t="s">
        <v>561</v>
      </c>
      <c r="S118" s="83" t="s">
        <v>325</v>
      </c>
      <c r="T118" s="83" t="s">
        <v>325</v>
      </c>
      <c r="U118" s="83" t="s">
        <v>325</v>
      </c>
      <c r="V118" s="85" t="s">
        <v>182</v>
      </c>
      <c r="W118" s="85" t="s">
        <v>182</v>
      </c>
      <c r="X118" s="85" t="s">
        <v>182</v>
      </c>
      <c r="Y118" s="254" t="s">
        <v>182</v>
      </c>
      <c r="Z118" s="85" t="s">
        <v>182</v>
      </c>
      <c r="AA118" s="85" t="s">
        <v>182</v>
      </c>
      <c r="AB118" s="85" t="s">
        <v>182</v>
      </c>
      <c r="AC118" s="85" t="s">
        <v>182</v>
      </c>
      <c r="AD118" s="85" t="s">
        <v>182</v>
      </c>
      <c r="AE118" s="85" t="s">
        <v>182</v>
      </c>
      <c r="AF118" s="85" t="s">
        <v>182</v>
      </c>
      <c r="AG118" s="85" t="s">
        <v>182</v>
      </c>
      <c r="AH118" s="85" t="s">
        <v>182</v>
      </c>
      <c r="AI118" s="85" t="s">
        <v>182</v>
      </c>
      <c r="AJ118" s="85" t="s">
        <v>182</v>
      </c>
    </row>
    <row r="119" spans="1:36" ht="15.95" customHeight="1" x14ac:dyDescent="0.25">
      <c r="A119" s="82">
        <v>141300015</v>
      </c>
      <c r="B119" s="82" t="s">
        <v>562</v>
      </c>
      <c r="C119" s="83" t="s">
        <v>563</v>
      </c>
      <c r="D119" s="83" t="s">
        <v>366</v>
      </c>
      <c r="E119" s="84">
        <v>150</v>
      </c>
      <c r="F119" s="84" t="s">
        <v>372</v>
      </c>
      <c r="G119" s="84" t="s">
        <v>372</v>
      </c>
      <c r="H119" s="84" t="s">
        <v>325</v>
      </c>
      <c r="I119" s="84" t="s">
        <v>307</v>
      </c>
      <c r="J119" s="84" t="s">
        <v>372</v>
      </c>
      <c r="K119" s="83" t="s">
        <v>564</v>
      </c>
      <c r="L119" s="84" t="s">
        <v>309</v>
      </c>
      <c r="M119" s="84" t="s">
        <v>337</v>
      </c>
      <c r="N119" s="84" t="s">
        <v>325</v>
      </c>
      <c r="O119" s="84" t="s">
        <v>309</v>
      </c>
      <c r="P119" s="82" t="s">
        <v>426</v>
      </c>
      <c r="Q119" s="84" t="s">
        <v>101</v>
      </c>
      <c r="R119" s="83" t="s">
        <v>325</v>
      </c>
      <c r="S119" s="83" t="s">
        <v>325</v>
      </c>
      <c r="T119" s="83" t="s">
        <v>565</v>
      </c>
      <c r="U119" s="83" t="s">
        <v>325</v>
      </c>
      <c r="V119" s="85" t="s">
        <v>182</v>
      </c>
      <c r="W119" s="85" t="s">
        <v>182</v>
      </c>
      <c r="X119" s="85" t="s">
        <v>182</v>
      </c>
      <c r="Y119" s="254" t="s">
        <v>182</v>
      </c>
      <c r="Z119" s="85" t="s">
        <v>182</v>
      </c>
      <c r="AA119" s="85" t="s">
        <v>182</v>
      </c>
      <c r="AB119" s="85" t="s">
        <v>182</v>
      </c>
      <c r="AC119" s="85" t="s">
        <v>182</v>
      </c>
      <c r="AD119" s="85" t="s">
        <v>182</v>
      </c>
      <c r="AE119" s="85" t="s">
        <v>182</v>
      </c>
      <c r="AF119" s="85" t="s">
        <v>182</v>
      </c>
      <c r="AG119" s="85" t="s">
        <v>182</v>
      </c>
      <c r="AH119" s="85" t="s">
        <v>182</v>
      </c>
      <c r="AI119" s="85" t="s">
        <v>182</v>
      </c>
      <c r="AJ119" s="85" t="s">
        <v>182</v>
      </c>
    </row>
    <row r="120" spans="1:36" ht="15.95" customHeight="1" x14ac:dyDescent="0.25">
      <c r="A120" s="82">
        <v>141320018</v>
      </c>
      <c r="B120" s="82" t="s">
        <v>508</v>
      </c>
      <c r="C120" s="83" t="s">
        <v>566</v>
      </c>
      <c r="D120" s="83" t="s">
        <v>424</v>
      </c>
      <c r="E120" s="84">
        <v>88</v>
      </c>
      <c r="F120" s="84" t="s">
        <v>309</v>
      </c>
      <c r="G120" s="84" t="s">
        <v>372</v>
      </c>
      <c r="H120" s="84" t="s">
        <v>309</v>
      </c>
      <c r="I120" s="84" t="s">
        <v>307</v>
      </c>
      <c r="J120" s="84" t="s">
        <v>309</v>
      </c>
      <c r="K120" s="83" t="s">
        <v>27</v>
      </c>
      <c r="L120" s="84" t="s">
        <v>309</v>
      </c>
      <c r="M120" s="84" t="s">
        <v>372</v>
      </c>
      <c r="N120" s="84" t="s">
        <v>309</v>
      </c>
      <c r="O120" s="84" t="s">
        <v>309</v>
      </c>
      <c r="P120" s="82" t="s">
        <v>315</v>
      </c>
      <c r="Q120" s="84" t="s">
        <v>567</v>
      </c>
      <c r="R120" s="83" t="s">
        <v>18</v>
      </c>
      <c r="S120" s="83" t="s">
        <v>568</v>
      </c>
      <c r="T120" s="83" t="s">
        <v>569</v>
      </c>
      <c r="U120" s="83" t="s">
        <v>568</v>
      </c>
      <c r="V120" s="85" t="s">
        <v>106</v>
      </c>
      <c r="W120" s="85" t="s">
        <v>124</v>
      </c>
      <c r="X120" s="85">
        <v>0</v>
      </c>
      <c r="Y120" s="254">
        <v>1.4466726528983338</v>
      </c>
      <c r="Z120" s="85">
        <v>0</v>
      </c>
      <c r="AA120" s="85">
        <v>0</v>
      </c>
      <c r="AB120" s="85">
        <v>0</v>
      </c>
      <c r="AC120" s="85">
        <v>0</v>
      </c>
      <c r="AD120" s="85">
        <v>0</v>
      </c>
      <c r="AE120" s="85">
        <v>0</v>
      </c>
      <c r="AF120" s="85">
        <v>0</v>
      </c>
      <c r="AG120" s="85">
        <v>0</v>
      </c>
      <c r="AH120" s="85">
        <v>0</v>
      </c>
      <c r="AI120" s="85">
        <v>0</v>
      </c>
      <c r="AJ120" s="85">
        <v>0</v>
      </c>
    </row>
    <row r="121" spans="1:36" ht="15.95" customHeight="1" x14ac:dyDescent="0.25">
      <c r="A121" s="82">
        <v>141320031</v>
      </c>
      <c r="B121" s="82" t="s">
        <v>321</v>
      </c>
      <c r="C121" s="83" t="s">
        <v>570</v>
      </c>
      <c r="D121" s="83" t="s">
        <v>322</v>
      </c>
      <c r="E121" s="84">
        <v>192</v>
      </c>
      <c r="F121" s="84" t="s">
        <v>224</v>
      </c>
      <c r="G121" s="84" t="s">
        <v>224</v>
      </c>
      <c r="H121" s="84" t="s">
        <v>224</v>
      </c>
      <c r="I121" s="84" t="s">
        <v>323</v>
      </c>
      <c r="J121" s="84" t="s">
        <v>307</v>
      </c>
      <c r="K121" s="83" t="s">
        <v>17</v>
      </c>
      <c r="L121" s="84" t="s">
        <v>308</v>
      </c>
      <c r="M121" s="84" t="s">
        <v>308</v>
      </c>
      <c r="N121" s="84" t="s">
        <v>325</v>
      </c>
      <c r="O121" s="84" t="s">
        <v>310</v>
      </c>
      <c r="P121" s="82" t="s">
        <v>327</v>
      </c>
      <c r="Q121" s="84" t="s">
        <v>104</v>
      </c>
      <c r="R121" s="83" t="s">
        <v>11</v>
      </c>
      <c r="S121" s="83" t="s">
        <v>328</v>
      </c>
      <c r="T121" s="83" t="s">
        <v>328</v>
      </c>
      <c r="U121" s="83" t="s">
        <v>325</v>
      </c>
      <c r="V121" s="85" t="s">
        <v>107</v>
      </c>
      <c r="W121" s="85" t="s">
        <v>124</v>
      </c>
      <c r="X121" s="85">
        <v>0</v>
      </c>
      <c r="Y121" s="254">
        <v>1.0575675945325751</v>
      </c>
      <c r="Z121" s="85">
        <v>0</v>
      </c>
      <c r="AA121" s="85">
        <v>0</v>
      </c>
      <c r="AB121" s="85">
        <v>0</v>
      </c>
      <c r="AC121" s="85">
        <v>0</v>
      </c>
      <c r="AD121" s="85">
        <v>0</v>
      </c>
      <c r="AE121" s="85">
        <v>0</v>
      </c>
      <c r="AF121" s="85">
        <v>0</v>
      </c>
      <c r="AG121" s="85">
        <v>0</v>
      </c>
      <c r="AH121" s="85">
        <v>0</v>
      </c>
      <c r="AI121" s="85">
        <v>0</v>
      </c>
      <c r="AJ121" s="85">
        <v>0</v>
      </c>
    </row>
    <row r="122" spans="1:36" ht="15.95" customHeight="1" x14ac:dyDescent="0.25">
      <c r="A122" s="82">
        <v>141320032</v>
      </c>
      <c r="B122" s="82" t="s">
        <v>321</v>
      </c>
      <c r="C122" s="83" t="s">
        <v>70</v>
      </c>
      <c r="D122" s="83" t="s">
        <v>322</v>
      </c>
      <c r="E122" s="84">
        <v>221</v>
      </c>
      <c r="F122" s="84" t="s">
        <v>224</v>
      </c>
      <c r="G122" s="84" t="s">
        <v>224</v>
      </c>
      <c r="H122" s="84" t="s">
        <v>224</v>
      </c>
      <c r="I122" s="84" t="s">
        <v>323</v>
      </c>
      <c r="J122" s="84" t="s">
        <v>307</v>
      </c>
      <c r="K122" s="83" t="s">
        <v>17</v>
      </c>
      <c r="L122" s="84" t="s">
        <v>308</v>
      </c>
      <c r="M122" s="84" t="s">
        <v>308</v>
      </c>
      <c r="N122" s="84" t="s">
        <v>325</v>
      </c>
      <c r="O122" s="84" t="s">
        <v>309</v>
      </c>
      <c r="P122" s="82" t="s">
        <v>327</v>
      </c>
      <c r="Q122" s="84" t="s">
        <v>104</v>
      </c>
      <c r="R122" s="83" t="s">
        <v>71</v>
      </c>
      <c r="S122" s="83" t="s">
        <v>328</v>
      </c>
      <c r="T122" s="83" t="s">
        <v>328</v>
      </c>
      <c r="U122" s="83" t="s">
        <v>325</v>
      </c>
      <c r="V122" s="85" t="s">
        <v>107</v>
      </c>
      <c r="W122" s="85" t="s">
        <v>124</v>
      </c>
      <c r="X122" s="85">
        <v>0</v>
      </c>
      <c r="Y122" s="254">
        <v>1.0575675945325751</v>
      </c>
      <c r="Z122" s="85">
        <v>0</v>
      </c>
      <c r="AA122" s="85">
        <v>0</v>
      </c>
      <c r="AB122" s="85">
        <v>0</v>
      </c>
      <c r="AC122" s="85">
        <v>0</v>
      </c>
      <c r="AD122" s="85">
        <v>0</v>
      </c>
      <c r="AE122" s="85">
        <v>0</v>
      </c>
      <c r="AF122" s="85">
        <v>0</v>
      </c>
      <c r="AG122" s="85">
        <v>0</v>
      </c>
      <c r="AH122" s="85">
        <v>0</v>
      </c>
      <c r="AI122" s="85">
        <v>0</v>
      </c>
      <c r="AJ122" s="85">
        <v>0</v>
      </c>
    </row>
    <row r="123" spans="1:36" ht="15.95" customHeight="1" x14ac:dyDescent="0.25">
      <c r="A123" s="82">
        <v>141320033</v>
      </c>
      <c r="B123" s="82" t="s">
        <v>321</v>
      </c>
      <c r="C123" s="83" t="s">
        <v>72</v>
      </c>
      <c r="D123" s="83" t="s">
        <v>322</v>
      </c>
      <c r="E123" s="84">
        <v>212</v>
      </c>
      <c r="F123" s="84" t="s">
        <v>224</v>
      </c>
      <c r="G123" s="84" t="s">
        <v>224</v>
      </c>
      <c r="H123" s="84" t="s">
        <v>224</v>
      </c>
      <c r="I123" s="84" t="s">
        <v>323</v>
      </c>
      <c r="J123" s="84" t="s">
        <v>307</v>
      </c>
      <c r="K123" s="83" t="s">
        <v>17</v>
      </c>
      <c r="L123" s="84" t="s">
        <v>308</v>
      </c>
      <c r="M123" s="84" t="s">
        <v>308</v>
      </c>
      <c r="N123" s="84" t="s">
        <v>325</v>
      </c>
      <c r="O123" s="84" t="s">
        <v>309</v>
      </c>
      <c r="P123" s="82" t="s">
        <v>327</v>
      </c>
      <c r="Q123" s="84" t="s">
        <v>104</v>
      </c>
      <c r="R123" s="83" t="s">
        <v>11</v>
      </c>
      <c r="S123" s="83" t="s">
        <v>328</v>
      </c>
      <c r="T123" s="83" t="s">
        <v>328</v>
      </c>
      <c r="U123" s="83" t="s">
        <v>325</v>
      </c>
      <c r="V123" s="85" t="s">
        <v>107</v>
      </c>
      <c r="W123" s="85" t="s">
        <v>124</v>
      </c>
      <c r="X123" s="85">
        <v>0</v>
      </c>
      <c r="Y123" s="254">
        <v>1.0575675945325751</v>
      </c>
      <c r="Z123" s="85">
        <v>0</v>
      </c>
      <c r="AA123" s="85">
        <v>0</v>
      </c>
      <c r="AB123" s="85">
        <v>0</v>
      </c>
      <c r="AC123" s="85">
        <v>0</v>
      </c>
      <c r="AD123" s="85">
        <v>0</v>
      </c>
      <c r="AE123" s="85">
        <v>0</v>
      </c>
      <c r="AF123" s="85">
        <v>0</v>
      </c>
      <c r="AG123" s="85">
        <v>0</v>
      </c>
      <c r="AH123" s="85">
        <v>0</v>
      </c>
      <c r="AI123" s="85">
        <v>0</v>
      </c>
      <c r="AJ123" s="85">
        <v>0</v>
      </c>
    </row>
    <row r="124" spans="1:36" ht="15.95" customHeight="1" x14ac:dyDescent="0.25">
      <c r="A124" s="82">
        <v>141320055</v>
      </c>
      <c r="B124" s="82" t="s">
        <v>321</v>
      </c>
      <c r="C124" s="83" t="s">
        <v>469</v>
      </c>
      <c r="D124" s="83" t="s">
        <v>322</v>
      </c>
      <c r="E124" s="84">
        <v>180</v>
      </c>
      <c r="F124" s="84" t="s">
        <v>224</v>
      </c>
      <c r="G124" s="84" t="s">
        <v>224</v>
      </c>
      <c r="H124" s="84" t="s">
        <v>224</v>
      </c>
      <c r="I124" s="84" t="s">
        <v>334</v>
      </c>
      <c r="J124" s="84" t="s">
        <v>307</v>
      </c>
      <c r="K124" s="83" t="s">
        <v>335</v>
      </c>
      <c r="L124" s="84" t="s">
        <v>336</v>
      </c>
      <c r="M124" s="84" t="s">
        <v>336</v>
      </c>
      <c r="N124" s="84" t="s">
        <v>336</v>
      </c>
      <c r="O124" s="84" t="s">
        <v>310</v>
      </c>
      <c r="P124" s="82" t="s">
        <v>327</v>
      </c>
      <c r="Q124" s="84" t="s">
        <v>104</v>
      </c>
      <c r="R124" s="83" t="s">
        <v>73</v>
      </c>
      <c r="S124" s="83" t="s">
        <v>73</v>
      </c>
      <c r="T124" s="83" t="s">
        <v>73</v>
      </c>
      <c r="U124" s="83" t="s">
        <v>224</v>
      </c>
      <c r="V124" s="85" t="s">
        <v>107</v>
      </c>
      <c r="W124" s="85" t="s">
        <v>124</v>
      </c>
      <c r="X124" s="85">
        <v>0</v>
      </c>
      <c r="Y124" s="254">
        <v>1.1274069639828395</v>
      </c>
      <c r="Z124" s="85">
        <v>0</v>
      </c>
      <c r="AA124" s="85">
        <v>0</v>
      </c>
      <c r="AB124" s="85">
        <v>0</v>
      </c>
      <c r="AC124" s="85">
        <v>0</v>
      </c>
      <c r="AD124" s="85">
        <v>0</v>
      </c>
      <c r="AE124" s="85">
        <v>0</v>
      </c>
      <c r="AF124" s="85">
        <v>0</v>
      </c>
      <c r="AG124" s="85">
        <v>0</v>
      </c>
      <c r="AH124" s="85">
        <v>0</v>
      </c>
      <c r="AI124" s="85">
        <v>0</v>
      </c>
      <c r="AJ124" s="85">
        <v>0</v>
      </c>
    </row>
    <row r="125" spans="1:36" ht="15.95" customHeight="1" x14ac:dyDescent="0.25">
      <c r="A125" s="82">
        <v>141650001</v>
      </c>
      <c r="B125" s="82" t="s">
        <v>371</v>
      </c>
      <c r="C125" s="83" t="s">
        <v>571</v>
      </c>
      <c r="D125" s="83" t="s">
        <v>318</v>
      </c>
      <c r="E125" s="84">
        <v>183</v>
      </c>
      <c r="F125" s="84" t="s">
        <v>310</v>
      </c>
      <c r="G125" s="84" t="s">
        <v>310</v>
      </c>
      <c r="H125" s="84" t="s">
        <v>350</v>
      </c>
      <c r="I125" s="84" t="s">
        <v>307</v>
      </c>
      <c r="J125" s="84" t="s">
        <v>350</v>
      </c>
      <c r="K125" s="83" t="s">
        <v>27</v>
      </c>
      <c r="L125" s="84" t="s">
        <v>372</v>
      </c>
      <c r="M125" s="84" t="s">
        <v>372</v>
      </c>
      <c r="N125" s="84" t="s">
        <v>372</v>
      </c>
      <c r="O125" s="84" t="s">
        <v>310</v>
      </c>
      <c r="P125" s="82" t="s">
        <v>315</v>
      </c>
      <c r="Q125" s="84" t="s">
        <v>105</v>
      </c>
      <c r="R125" s="83" t="s">
        <v>325</v>
      </c>
      <c r="S125" s="83" t="s">
        <v>373</v>
      </c>
      <c r="T125" s="83" t="s">
        <v>373</v>
      </c>
      <c r="U125" s="83" t="s">
        <v>374</v>
      </c>
      <c r="V125" s="85" t="s">
        <v>106</v>
      </c>
      <c r="W125" s="85" t="s">
        <v>175</v>
      </c>
      <c r="X125" s="85">
        <v>0</v>
      </c>
      <c r="Y125" s="254">
        <v>1.207223386211713</v>
      </c>
      <c r="Z125" s="85" t="s">
        <v>168</v>
      </c>
      <c r="AA125" s="85" t="s">
        <v>169</v>
      </c>
      <c r="AB125" s="85" t="s">
        <v>123</v>
      </c>
      <c r="AC125" s="85">
        <v>6.9</v>
      </c>
      <c r="AD125" s="85" t="s">
        <v>125</v>
      </c>
      <c r="AE125" s="85" t="s">
        <v>126</v>
      </c>
      <c r="AF125" s="85" t="s">
        <v>127</v>
      </c>
      <c r="AG125" s="85">
        <v>0</v>
      </c>
      <c r="AH125" s="85">
        <v>0</v>
      </c>
      <c r="AI125" s="85">
        <v>0</v>
      </c>
      <c r="AJ125" s="85">
        <v>0</v>
      </c>
    </row>
    <row r="126" spans="1:36" ht="15.95" customHeight="1" x14ac:dyDescent="0.25">
      <c r="A126" s="82">
        <v>141670001</v>
      </c>
      <c r="B126" s="82" t="s">
        <v>371</v>
      </c>
      <c r="C126" s="83" t="s">
        <v>572</v>
      </c>
      <c r="D126" s="83" t="s">
        <v>318</v>
      </c>
      <c r="E126" s="84">
        <v>192</v>
      </c>
      <c r="F126" s="84" t="s">
        <v>573</v>
      </c>
      <c r="G126" s="84" t="s">
        <v>573</v>
      </c>
      <c r="H126" s="84" t="s">
        <v>574</v>
      </c>
      <c r="I126" s="84" t="s">
        <v>307</v>
      </c>
      <c r="J126" s="84" t="s">
        <v>574</v>
      </c>
      <c r="K126" s="83" t="s">
        <v>27</v>
      </c>
      <c r="L126" s="84" t="s">
        <v>309</v>
      </c>
      <c r="M126" s="84" t="s">
        <v>309</v>
      </c>
      <c r="N126" s="84" t="s">
        <v>309</v>
      </c>
      <c r="O126" s="84" t="s">
        <v>310</v>
      </c>
      <c r="P126" s="82" t="s">
        <v>315</v>
      </c>
      <c r="Q126" s="84" t="s">
        <v>575</v>
      </c>
      <c r="R126" s="83" t="s">
        <v>514</v>
      </c>
      <c r="S126" s="83" t="s">
        <v>576</v>
      </c>
      <c r="T126" s="83" t="s">
        <v>576</v>
      </c>
      <c r="U126" s="83" t="s">
        <v>577</v>
      </c>
      <c r="V126" s="85" t="s">
        <v>182</v>
      </c>
      <c r="W126" s="85" t="s">
        <v>182</v>
      </c>
      <c r="X126" s="85" t="s">
        <v>182</v>
      </c>
      <c r="Y126" s="254" t="s">
        <v>182</v>
      </c>
      <c r="Z126" s="85" t="s">
        <v>182</v>
      </c>
      <c r="AA126" s="85" t="s">
        <v>182</v>
      </c>
      <c r="AB126" s="85" t="s">
        <v>182</v>
      </c>
      <c r="AC126" s="85" t="s">
        <v>182</v>
      </c>
      <c r="AD126" s="85" t="s">
        <v>182</v>
      </c>
      <c r="AE126" s="85" t="s">
        <v>182</v>
      </c>
      <c r="AF126" s="85" t="s">
        <v>182</v>
      </c>
      <c r="AG126" s="85" t="s">
        <v>182</v>
      </c>
      <c r="AH126" s="85" t="s">
        <v>182</v>
      </c>
      <c r="AI126" s="85" t="s">
        <v>182</v>
      </c>
      <c r="AJ126" s="85" t="s">
        <v>182</v>
      </c>
    </row>
    <row r="127" spans="1:36" ht="15.95" customHeight="1" x14ac:dyDescent="0.25">
      <c r="A127" s="82">
        <v>15217530001</v>
      </c>
      <c r="B127" s="82" t="s">
        <v>396</v>
      </c>
      <c r="C127" s="83" t="s">
        <v>578</v>
      </c>
      <c r="D127" s="83" t="s">
        <v>397</v>
      </c>
      <c r="E127" s="84">
        <v>0</v>
      </c>
      <c r="F127" s="84" t="s">
        <v>224</v>
      </c>
      <c r="G127" s="84" t="s">
        <v>224</v>
      </c>
      <c r="H127" s="84" t="s">
        <v>224</v>
      </c>
      <c r="I127" s="84" t="s">
        <v>325</v>
      </c>
      <c r="J127" s="84" t="s">
        <v>325</v>
      </c>
      <c r="K127" s="83" t="s">
        <v>325</v>
      </c>
      <c r="L127" s="84" t="s">
        <v>325</v>
      </c>
      <c r="M127" s="84" t="s">
        <v>325</v>
      </c>
      <c r="N127" s="84" t="s">
        <v>325</v>
      </c>
      <c r="O127" s="84" t="s">
        <v>325</v>
      </c>
      <c r="P127" s="82" t="s">
        <v>311</v>
      </c>
      <c r="Q127" s="84" t="s">
        <v>579</v>
      </c>
      <c r="R127" s="83" t="s">
        <v>325</v>
      </c>
      <c r="S127" s="83" t="s">
        <v>325</v>
      </c>
      <c r="T127" s="83" t="s">
        <v>325</v>
      </c>
      <c r="U127" s="83" t="s">
        <v>325</v>
      </c>
      <c r="V127" s="85" t="s">
        <v>182</v>
      </c>
      <c r="W127" s="85" t="s">
        <v>182</v>
      </c>
      <c r="X127" s="85" t="s">
        <v>182</v>
      </c>
      <c r="Y127" s="254" t="s">
        <v>182</v>
      </c>
      <c r="Z127" s="85" t="s">
        <v>182</v>
      </c>
      <c r="AA127" s="85" t="s">
        <v>182</v>
      </c>
      <c r="AB127" s="85" t="s">
        <v>182</v>
      </c>
      <c r="AC127" s="85" t="s">
        <v>182</v>
      </c>
      <c r="AD127" s="85" t="s">
        <v>182</v>
      </c>
      <c r="AE127" s="85" t="s">
        <v>182</v>
      </c>
      <c r="AF127" s="85" t="s">
        <v>182</v>
      </c>
      <c r="AG127" s="85" t="s">
        <v>182</v>
      </c>
      <c r="AH127" s="85" t="s">
        <v>182</v>
      </c>
      <c r="AI127" s="85" t="s">
        <v>182</v>
      </c>
      <c r="AJ127" s="85" t="s">
        <v>182</v>
      </c>
    </row>
    <row r="128" spans="1:36" ht="15.95" customHeight="1" x14ac:dyDescent="0.25">
      <c r="A128" s="82">
        <v>159010000</v>
      </c>
      <c r="B128" s="82" t="s">
        <v>313</v>
      </c>
      <c r="C128" s="83" t="s">
        <v>580</v>
      </c>
      <c r="D128" s="83" t="s">
        <v>314</v>
      </c>
      <c r="E128" s="84">
        <v>0</v>
      </c>
      <c r="F128" s="84" t="s">
        <v>224</v>
      </c>
      <c r="G128" s="84" t="s">
        <v>224</v>
      </c>
      <c r="H128" s="84" t="s">
        <v>224</v>
      </c>
      <c r="I128" s="84" t="s">
        <v>325</v>
      </c>
      <c r="J128" s="84" t="s">
        <v>325</v>
      </c>
      <c r="K128" s="83" t="s">
        <v>325</v>
      </c>
      <c r="L128" s="84" t="s">
        <v>325</v>
      </c>
      <c r="M128" s="84" t="s">
        <v>325</v>
      </c>
      <c r="N128" s="84" t="s">
        <v>325</v>
      </c>
      <c r="O128" s="84" t="s">
        <v>325</v>
      </c>
      <c r="P128" s="82" t="s">
        <v>327</v>
      </c>
      <c r="Q128" s="84" t="s">
        <v>581</v>
      </c>
      <c r="R128" s="83" t="s">
        <v>18</v>
      </c>
      <c r="S128" s="83" t="s">
        <v>325</v>
      </c>
      <c r="T128" s="83" t="s">
        <v>325</v>
      </c>
      <c r="U128" s="83" t="s">
        <v>325</v>
      </c>
      <c r="V128" s="85" t="s">
        <v>182</v>
      </c>
      <c r="W128" s="85" t="s">
        <v>182</v>
      </c>
      <c r="X128" s="85" t="s">
        <v>182</v>
      </c>
      <c r="Y128" s="254" t="s">
        <v>182</v>
      </c>
      <c r="Z128" s="85" t="s">
        <v>182</v>
      </c>
      <c r="AA128" s="85" t="s">
        <v>182</v>
      </c>
      <c r="AB128" s="85" t="s">
        <v>182</v>
      </c>
      <c r="AC128" s="85" t="s">
        <v>182</v>
      </c>
      <c r="AD128" s="85" t="s">
        <v>182</v>
      </c>
      <c r="AE128" s="85" t="s">
        <v>182</v>
      </c>
      <c r="AF128" s="85" t="s">
        <v>182</v>
      </c>
      <c r="AG128" s="85" t="s">
        <v>182</v>
      </c>
      <c r="AH128" s="85" t="s">
        <v>182</v>
      </c>
      <c r="AI128" s="85" t="s">
        <v>182</v>
      </c>
      <c r="AJ128" s="85" t="s">
        <v>182</v>
      </c>
    </row>
    <row r="129" spans="1:36" ht="15.95" customHeight="1" x14ac:dyDescent="0.25">
      <c r="A129" s="82">
        <v>159999994</v>
      </c>
      <c r="B129" s="82" t="s">
        <v>224</v>
      </c>
      <c r="C129" s="83" t="s">
        <v>582</v>
      </c>
      <c r="D129" s="83" t="s">
        <v>583</v>
      </c>
      <c r="E129" s="84">
        <v>0</v>
      </c>
      <c r="F129" s="84" t="s">
        <v>224</v>
      </c>
      <c r="G129" s="84" t="s">
        <v>224</v>
      </c>
      <c r="H129" s="84" t="s">
        <v>224</v>
      </c>
      <c r="I129" s="84" t="s">
        <v>307</v>
      </c>
      <c r="J129" s="84" t="s">
        <v>325</v>
      </c>
      <c r="K129" s="83" t="s">
        <v>3</v>
      </c>
      <c r="L129" s="84" t="s">
        <v>325</v>
      </c>
      <c r="M129" s="84" t="s">
        <v>325</v>
      </c>
      <c r="N129" s="84" t="s">
        <v>325</v>
      </c>
      <c r="O129" s="84" t="s">
        <v>325</v>
      </c>
      <c r="P129" s="82" t="s">
        <v>325</v>
      </c>
      <c r="Q129" s="84" t="s">
        <v>579</v>
      </c>
      <c r="R129" s="83" t="s">
        <v>325</v>
      </c>
      <c r="S129" s="83" t="s">
        <v>325</v>
      </c>
      <c r="T129" s="83" t="s">
        <v>325</v>
      </c>
      <c r="U129" s="83" t="s">
        <v>325</v>
      </c>
      <c r="V129" s="85" t="s">
        <v>182</v>
      </c>
      <c r="W129" s="85" t="s">
        <v>182</v>
      </c>
      <c r="X129" s="85" t="s">
        <v>182</v>
      </c>
      <c r="Y129" s="254" t="s">
        <v>182</v>
      </c>
      <c r="Z129" s="85" t="s">
        <v>182</v>
      </c>
      <c r="AA129" s="85" t="s">
        <v>182</v>
      </c>
      <c r="AB129" s="85" t="s">
        <v>182</v>
      </c>
      <c r="AC129" s="85" t="s">
        <v>182</v>
      </c>
      <c r="AD129" s="85" t="s">
        <v>182</v>
      </c>
      <c r="AE129" s="85" t="s">
        <v>182</v>
      </c>
      <c r="AF129" s="85" t="s">
        <v>182</v>
      </c>
      <c r="AG129" s="85" t="s">
        <v>182</v>
      </c>
      <c r="AH129" s="85" t="s">
        <v>182</v>
      </c>
      <c r="AI129" s="85" t="s">
        <v>182</v>
      </c>
      <c r="AJ129" s="85" t="s">
        <v>182</v>
      </c>
    </row>
    <row r="130" spans="1:36" ht="15.95" customHeight="1" x14ac:dyDescent="0.25">
      <c r="A130" s="82">
        <v>159999995</v>
      </c>
      <c r="B130" s="82" t="s">
        <v>224</v>
      </c>
      <c r="C130" s="83" t="s">
        <v>584</v>
      </c>
      <c r="D130" s="83" t="s">
        <v>583</v>
      </c>
      <c r="E130" s="84">
        <v>0</v>
      </c>
      <c r="F130" s="84" t="s">
        <v>224</v>
      </c>
      <c r="G130" s="84" t="s">
        <v>224</v>
      </c>
      <c r="H130" s="84" t="s">
        <v>224</v>
      </c>
      <c r="I130" s="84" t="s">
        <v>307</v>
      </c>
      <c r="J130" s="84" t="s">
        <v>325</v>
      </c>
      <c r="K130" s="83" t="s">
        <v>3</v>
      </c>
      <c r="L130" s="84" t="s">
        <v>325</v>
      </c>
      <c r="M130" s="84" t="s">
        <v>325</v>
      </c>
      <c r="N130" s="84" t="s">
        <v>325</v>
      </c>
      <c r="O130" s="84" t="s">
        <v>325</v>
      </c>
      <c r="P130" s="82" t="s">
        <v>325</v>
      </c>
      <c r="Q130" s="84" t="s">
        <v>579</v>
      </c>
      <c r="R130" s="83" t="s">
        <v>325</v>
      </c>
      <c r="S130" s="83" t="s">
        <v>325</v>
      </c>
      <c r="T130" s="83" t="s">
        <v>325</v>
      </c>
      <c r="U130" s="83" t="s">
        <v>325</v>
      </c>
      <c r="V130" s="85" t="s">
        <v>182</v>
      </c>
      <c r="W130" s="85" t="s">
        <v>182</v>
      </c>
      <c r="X130" s="85" t="s">
        <v>182</v>
      </c>
      <c r="Y130" s="254" t="s">
        <v>182</v>
      </c>
      <c r="Z130" s="85" t="s">
        <v>182</v>
      </c>
      <c r="AA130" s="85" t="s">
        <v>182</v>
      </c>
      <c r="AB130" s="85" t="s">
        <v>182</v>
      </c>
      <c r="AC130" s="85" t="s">
        <v>182</v>
      </c>
      <c r="AD130" s="85" t="s">
        <v>182</v>
      </c>
      <c r="AE130" s="85" t="s">
        <v>182</v>
      </c>
      <c r="AF130" s="85" t="s">
        <v>182</v>
      </c>
      <c r="AG130" s="85" t="s">
        <v>182</v>
      </c>
      <c r="AH130" s="85" t="s">
        <v>182</v>
      </c>
      <c r="AI130" s="85" t="s">
        <v>182</v>
      </c>
      <c r="AJ130" s="85" t="s">
        <v>182</v>
      </c>
    </row>
    <row r="131" spans="1:36" ht="15.95" customHeight="1" x14ac:dyDescent="0.25">
      <c r="A131" s="82">
        <v>20625530006</v>
      </c>
      <c r="B131" s="82" t="s">
        <v>585</v>
      </c>
      <c r="C131" s="83" t="s">
        <v>586</v>
      </c>
      <c r="D131" s="83" t="s">
        <v>314</v>
      </c>
      <c r="E131" s="84">
        <v>0</v>
      </c>
      <c r="F131" s="84" t="s">
        <v>224</v>
      </c>
      <c r="G131" s="84" t="s">
        <v>224</v>
      </c>
      <c r="H131" s="84" t="s">
        <v>224</v>
      </c>
      <c r="I131" s="84" t="s">
        <v>325</v>
      </c>
      <c r="J131" s="84" t="s">
        <v>325</v>
      </c>
      <c r="K131" s="83" t="s">
        <v>325</v>
      </c>
      <c r="L131" s="84" t="s">
        <v>325</v>
      </c>
      <c r="M131" s="84" t="s">
        <v>325</v>
      </c>
      <c r="N131" s="84" t="s">
        <v>325</v>
      </c>
      <c r="O131" s="84" t="s">
        <v>325</v>
      </c>
      <c r="P131" s="82" t="s">
        <v>311</v>
      </c>
      <c r="Q131" s="84" t="s">
        <v>587</v>
      </c>
      <c r="R131" s="83" t="s">
        <v>325</v>
      </c>
      <c r="S131" s="83" t="s">
        <v>325</v>
      </c>
      <c r="T131" s="83" t="s">
        <v>325</v>
      </c>
      <c r="U131" s="83" t="s">
        <v>325</v>
      </c>
      <c r="V131" s="85" t="s">
        <v>182</v>
      </c>
      <c r="W131" s="85" t="s">
        <v>182</v>
      </c>
      <c r="X131" s="85" t="s">
        <v>182</v>
      </c>
      <c r="Y131" s="254" t="s">
        <v>182</v>
      </c>
      <c r="Z131" s="85" t="s">
        <v>182</v>
      </c>
      <c r="AA131" s="85" t="s">
        <v>182</v>
      </c>
      <c r="AB131" s="85" t="s">
        <v>182</v>
      </c>
      <c r="AC131" s="85" t="s">
        <v>182</v>
      </c>
      <c r="AD131" s="85" t="s">
        <v>182</v>
      </c>
      <c r="AE131" s="85" t="s">
        <v>182</v>
      </c>
      <c r="AF131" s="85" t="s">
        <v>182</v>
      </c>
      <c r="AG131" s="85" t="s">
        <v>182</v>
      </c>
      <c r="AH131" s="85" t="s">
        <v>182</v>
      </c>
      <c r="AI131" s="85" t="s">
        <v>182</v>
      </c>
      <c r="AJ131" s="85" t="s">
        <v>182</v>
      </c>
    </row>
    <row r="132" spans="1:36" ht="15.95" customHeight="1" x14ac:dyDescent="0.25">
      <c r="A132" s="82">
        <v>140310075</v>
      </c>
      <c r="B132" s="82" t="s">
        <v>317</v>
      </c>
      <c r="C132" s="83" t="s">
        <v>588</v>
      </c>
      <c r="D132" s="83" t="s">
        <v>318</v>
      </c>
      <c r="E132" s="84">
        <v>219</v>
      </c>
      <c r="F132" s="84" t="s">
        <v>330</v>
      </c>
      <c r="G132" s="84" t="s">
        <v>330</v>
      </c>
      <c r="H132" s="84" t="s">
        <v>495</v>
      </c>
      <c r="I132" s="84" t="s">
        <v>307</v>
      </c>
      <c r="J132" s="84" t="s">
        <v>330</v>
      </c>
      <c r="K132" s="83" t="s">
        <v>27</v>
      </c>
      <c r="L132" s="84" t="s">
        <v>339</v>
      </c>
      <c r="M132" s="84" t="s">
        <v>339</v>
      </c>
      <c r="N132" s="84" t="s">
        <v>309</v>
      </c>
      <c r="O132" s="84" t="s">
        <v>309</v>
      </c>
      <c r="P132" s="82" t="s">
        <v>311</v>
      </c>
      <c r="Q132" s="84" t="s">
        <v>55</v>
      </c>
      <c r="R132" s="83" t="s">
        <v>589</v>
      </c>
      <c r="S132" s="83" t="s">
        <v>341</v>
      </c>
      <c r="T132" s="83" t="s">
        <v>341</v>
      </c>
      <c r="U132" s="83" t="s">
        <v>590</v>
      </c>
      <c r="V132" s="85" t="s">
        <v>106</v>
      </c>
      <c r="W132" s="85" t="s">
        <v>124</v>
      </c>
      <c r="X132" s="85" t="s">
        <v>176</v>
      </c>
      <c r="Y132" s="254">
        <v>1.6063054973560809</v>
      </c>
      <c r="Z132" s="85" t="s">
        <v>112</v>
      </c>
      <c r="AA132" s="85" t="s">
        <v>166</v>
      </c>
      <c r="AB132" s="85" t="s">
        <v>123</v>
      </c>
      <c r="AC132" s="85">
        <v>0</v>
      </c>
      <c r="AD132" s="85" t="s">
        <v>142</v>
      </c>
      <c r="AE132" s="85" t="s">
        <v>140</v>
      </c>
      <c r="AF132" s="85">
        <v>0</v>
      </c>
      <c r="AG132" s="85">
        <v>0</v>
      </c>
      <c r="AH132" s="85" t="s">
        <v>143</v>
      </c>
      <c r="AI132" s="85" t="s">
        <v>127</v>
      </c>
      <c r="AJ132" s="85" t="s">
        <v>144</v>
      </c>
    </row>
    <row r="133" spans="1:36" ht="15.95" customHeight="1" x14ac:dyDescent="0.25">
      <c r="A133" s="82">
        <v>140310031</v>
      </c>
      <c r="B133" s="82" t="s">
        <v>396</v>
      </c>
      <c r="C133" s="83" t="s">
        <v>591</v>
      </c>
      <c r="D133" s="83" t="s">
        <v>424</v>
      </c>
      <c r="E133" s="84">
        <v>203</v>
      </c>
      <c r="F133" s="84" t="s">
        <v>331</v>
      </c>
      <c r="G133" s="84" t="s">
        <v>331</v>
      </c>
      <c r="H133" s="84" t="s">
        <v>417</v>
      </c>
      <c r="I133" s="84" t="s">
        <v>323</v>
      </c>
      <c r="J133" s="84" t="s">
        <v>331</v>
      </c>
      <c r="K133" s="83" t="s">
        <v>40</v>
      </c>
      <c r="L133" s="84" t="s">
        <v>339</v>
      </c>
      <c r="M133" s="84" t="s">
        <v>339</v>
      </c>
      <c r="N133" s="84" t="s">
        <v>439</v>
      </c>
      <c r="O133" s="84" t="s">
        <v>309</v>
      </c>
      <c r="P133" s="82" t="s">
        <v>311</v>
      </c>
      <c r="Q133" s="84" t="s">
        <v>55</v>
      </c>
      <c r="R133" s="83" t="s">
        <v>337</v>
      </c>
      <c r="S133" s="83" t="s">
        <v>592</v>
      </c>
      <c r="T133" s="83" t="s">
        <v>592</v>
      </c>
      <c r="U133" s="83" t="s">
        <v>593</v>
      </c>
      <c r="V133" s="85" t="s">
        <v>106</v>
      </c>
      <c r="W133" s="85" t="s">
        <v>174</v>
      </c>
      <c r="X133" s="85">
        <v>0</v>
      </c>
      <c r="Y133" s="254">
        <v>1.9455252918287937</v>
      </c>
      <c r="Z133" s="85">
        <v>461</v>
      </c>
      <c r="AA133" s="85" t="s">
        <v>166</v>
      </c>
      <c r="AB133" s="85" t="s">
        <v>123</v>
      </c>
      <c r="AC133" s="85">
        <v>0</v>
      </c>
      <c r="AD133" s="85" t="s">
        <v>148</v>
      </c>
      <c r="AE133" s="85" t="s">
        <v>140</v>
      </c>
      <c r="AF133" s="85">
        <v>0</v>
      </c>
      <c r="AG133" s="85">
        <v>0</v>
      </c>
      <c r="AH133" s="85" t="s">
        <v>129</v>
      </c>
      <c r="AI133" s="85">
        <v>0</v>
      </c>
      <c r="AJ133" s="85">
        <v>0</v>
      </c>
    </row>
    <row r="134" spans="1:36" ht="15.95" customHeight="1" x14ac:dyDescent="0.25">
      <c r="A134" s="82">
        <v>140550084</v>
      </c>
      <c r="B134" s="82" t="s">
        <v>484</v>
      </c>
      <c r="C134" s="83" t="s">
        <v>594</v>
      </c>
      <c r="D134" s="83" t="s">
        <v>424</v>
      </c>
      <c r="E134" s="84">
        <v>190</v>
      </c>
      <c r="F134" s="84" t="s">
        <v>224</v>
      </c>
      <c r="G134" s="84" t="s">
        <v>224</v>
      </c>
      <c r="H134" s="84" t="s">
        <v>224</v>
      </c>
      <c r="I134" s="84" t="s">
        <v>323</v>
      </c>
      <c r="J134" s="84" t="s">
        <v>323</v>
      </c>
      <c r="K134" s="83" t="s">
        <v>492</v>
      </c>
      <c r="L134" s="84" t="s">
        <v>308</v>
      </c>
      <c r="M134" s="84" t="s">
        <v>308</v>
      </c>
      <c r="N134" s="84" t="s">
        <v>224</v>
      </c>
      <c r="O134" s="84" t="s">
        <v>310</v>
      </c>
      <c r="P134" s="82" t="s">
        <v>327</v>
      </c>
      <c r="Q134" s="84" t="s">
        <v>74</v>
      </c>
      <c r="R134" s="83" t="s">
        <v>325</v>
      </c>
      <c r="S134" s="83" t="s">
        <v>114</v>
      </c>
      <c r="T134" s="83" t="s">
        <v>114</v>
      </c>
      <c r="U134" s="83" t="s">
        <v>325</v>
      </c>
      <c r="V134" s="85" t="s">
        <v>107</v>
      </c>
      <c r="W134" s="85" t="s">
        <v>175</v>
      </c>
      <c r="X134" s="85">
        <v>0</v>
      </c>
      <c r="Y134" s="254">
        <v>1.5763743390202534</v>
      </c>
      <c r="Z134" s="85" t="s">
        <v>114</v>
      </c>
      <c r="AA134" s="85" t="s">
        <v>123</v>
      </c>
      <c r="AB134" s="85" t="s">
        <v>123</v>
      </c>
      <c r="AC134" s="85">
        <v>0</v>
      </c>
      <c r="AD134" s="85">
        <v>0</v>
      </c>
      <c r="AE134" s="85">
        <v>0</v>
      </c>
      <c r="AF134" s="85">
        <v>0</v>
      </c>
      <c r="AG134" s="85">
        <v>0</v>
      </c>
      <c r="AH134" s="85">
        <v>0</v>
      </c>
      <c r="AI134" s="85">
        <v>0</v>
      </c>
      <c r="AJ134" s="85">
        <v>0</v>
      </c>
    </row>
    <row r="135" spans="1:36" ht="15.95" customHeight="1" x14ac:dyDescent="0.25">
      <c r="A135" s="82">
        <v>140220019</v>
      </c>
      <c r="B135" s="82" t="s">
        <v>501</v>
      </c>
      <c r="C135" s="83" t="s">
        <v>595</v>
      </c>
      <c r="D135" s="83" t="s">
        <v>503</v>
      </c>
      <c r="E135" s="84">
        <v>197</v>
      </c>
      <c r="F135" s="84" t="s">
        <v>337</v>
      </c>
      <c r="G135" s="84" t="s">
        <v>337</v>
      </c>
      <c r="H135" s="84" t="s">
        <v>375</v>
      </c>
      <c r="I135" s="84" t="s">
        <v>307</v>
      </c>
      <c r="J135" s="84" t="s">
        <v>375</v>
      </c>
      <c r="K135" s="83" t="s">
        <v>27</v>
      </c>
      <c r="L135" s="84" t="s">
        <v>372</v>
      </c>
      <c r="M135" s="84" t="s">
        <v>372</v>
      </c>
      <c r="N135" s="84" t="s">
        <v>309</v>
      </c>
      <c r="O135" s="84" t="s">
        <v>309</v>
      </c>
      <c r="P135" s="82" t="s">
        <v>386</v>
      </c>
      <c r="Q135" s="84" t="s">
        <v>596</v>
      </c>
      <c r="R135" s="83" t="s">
        <v>376</v>
      </c>
      <c r="S135" s="83" t="s">
        <v>597</v>
      </c>
      <c r="T135" s="83" t="s">
        <v>597</v>
      </c>
      <c r="U135" s="83" t="s">
        <v>351</v>
      </c>
      <c r="V135" s="85" t="s">
        <v>182</v>
      </c>
      <c r="W135" s="85" t="s">
        <v>182</v>
      </c>
      <c r="X135" s="85" t="s">
        <v>182</v>
      </c>
      <c r="Y135" s="254" t="s">
        <v>182</v>
      </c>
      <c r="Z135" s="85" t="s">
        <v>182</v>
      </c>
      <c r="AA135" s="85" t="s">
        <v>182</v>
      </c>
      <c r="AB135" s="85" t="s">
        <v>182</v>
      </c>
      <c r="AC135" s="85" t="s">
        <v>182</v>
      </c>
      <c r="AD135" s="85" t="s">
        <v>182</v>
      </c>
      <c r="AE135" s="85" t="s">
        <v>182</v>
      </c>
      <c r="AF135" s="85" t="s">
        <v>182</v>
      </c>
      <c r="AG135" s="85" t="s">
        <v>182</v>
      </c>
      <c r="AH135" s="85" t="s">
        <v>182</v>
      </c>
      <c r="AI135" s="85" t="s">
        <v>182</v>
      </c>
      <c r="AJ135" s="85" t="s">
        <v>182</v>
      </c>
    </row>
    <row r="136" spans="1:36" ht="15.95" customHeight="1" x14ac:dyDescent="0.25">
      <c r="A136" s="82">
        <v>140310016</v>
      </c>
      <c r="B136" s="82" t="s">
        <v>396</v>
      </c>
      <c r="C136" s="83" t="s">
        <v>598</v>
      </c>
      <c r="D136" s="83" t="s">
        <v>424</v>
      </c>
      <c r="E136" s="84">
        <v>2185</v>
      </c>
      <c r="F136" s="84" t="s">
        <v>331</v>
      </c>
      <c r="G136" s="84" t="s">
        <v>331</v>
      </c>
      <c r="H136" s="84" t="s">
        <v>573</v>
      </c>
      <c r="I136" s="84" t="s">
        <v>307</v>
      </c>
      <c r="J136" s="84" t="s">
        <v>573</v>
      </c>
      <c r="K136" s="83" t="s">
        <v>27</v>
      </c>
      <c r="L136" s="84" t="s">
        <v>339</v>
      </c>
      <c r="M136" s="84" t="s">
        <v>339</v>
      </c>
      <c r="N136" s="84" t="s">
        <v>309</v>
      </c>
      <c r="O136" s="84" t="s">
        <v>309</v>
      </c>
      <c r="P136" s="82" t="s">
        <v>311</v>
      </c>
      <c r="Q136" s="84" t="s">
        <v>55</v>
      </c>
      <c r="R136" s="83" t="s">
        <v>337</v>
      </c>
      <c r="S136" s="83" t="s">
        <v>592</v>
      </c>
      <c r="T136" s="83" t="s">
        <v>592</v>
      </c>
      <c r="U136" s="83" t="s">
        <v>599</v>
      </c>
      <c r="V136" s="85" t="s">
        <v>106</v>
      </c>
      <c r="W136" s="85" t="s">
        <v>174</v>
      </c>
      <c r="X136" s="85">
        <v>0</v>
      </c>
      <c r="Y136" s="254">
        <v>3</v>
      </c>
      <c r="Z136" s="85" t="s">
        <v>1474</v>
      </c>
      <c r="AA136" s="85">
        <v>0</v>
      </c>
      <c r="AB136" s="85" t="s">
        <v>113</v>
      </c>
      <c r="AC136" s="85">
        <v>0</v>
      </c>
      <c r="AD136" s="85">
        <v>0</v>
      </c>
      <c r="AE136" s="85">
        <v>0</v>
      </c>
      <c r="AF136" s="85">
        <v>0</v>
      </c>
      <c r="AG136" s="85">
        <v>0</v>
      </c>
      <c r="AH136" s="85">
        <v>0</v>
      </c>
      <c r="AI136" s="85">
        <v>0</v>
      </c>
      <c r="AJ136" s="85">
        <v>0</v>
      </c>
    </row>
    <row r="137" spans="1:36" ht="15.95" customHeight="1" x14ac:dyDescent="0.25">
      <c r="A137" s="82">
        <v>140310017</v>
      </c>
      <c r="B137" s="82" t="s">
        <v>396</v>
      </c>
      <c r="C137" s="83" t="s">
        <v>600</v>
      </c>
      <c r="D137" s="83" t="s">
        <v>424</v>
      </c>
      <c r="E137" s="84">
        <v>245</v>
      </c>
      <c r="F137" s="84" t="s">
        <v>601</v>
      </c>
      <c r="G137" s="84" t="s">
        <v>602</v>
      </c>
      <c r="H137" s="84" t="s">
        <v>603</v>
      </c>
      <c r="I137" s="84" t="s">
        <v>307</v>
      </c>
      <c r="J137" s="84" t="s">
        <v>602</v>
      </c>
      <c r="K137" s="83" t="s">
        <v>27</v>
      </c>
      <c r="L137" s="84" t="s">
        <v>308</v>
      </c>
      <c r="M137" s="84" t="s">
        <v>309</v>
      </c>
      <c r="N137" s="84" t="s">
        <v>309</v>
      </c>
      <c r="O137" s="84" t="s">
        <v>309</v>
      </c>
      <c r="P137" s="82" t="s">
        <v>311</v>
      </c>
      <c r="Q137" s="84" t="s">
        <v>55</v>
      </c>
      <c r="R137" s="83" t="s">
        <v>410</v>
      </c>
      <c r="S137" s="83" t="s">
        <v>409</v>
      </c>
      <c r="T137" s="83" t="s">
        <v>382</v>
      </c>
      <c r="U137" s="83" t="s">
        <v>599</v>
      </c>
      <c r="V137" s="85" t="s">
        <v>106</v>
      </c>
      <c r="W137" s="85" t="s">
        <v>174</v>
      </c>
      <c r="X137" s="85">
        <v>0</v>
      </c>
      <c r="Y137" s="254">
        <v>5</v>
      </c>
      <c r="Z137" s="85" t="s">
        <v>1474</v>
      </c>
      <c r="AA137" s="85">
        <v>0</v>
      </c>
      <c r="AB137" s="85" t="s">
        <v>113</v>
      </c>
      <c r="AC137" s="85">
        <v>0</v>
      </c>
      <c r="AD137" s="85">
        <v>0</v>
      </c>
      <c r="AE137" s="85">
        <v>0</v>
      </c>
      <c r="AF137" s="85">
        <v>0</v>
      </c>
      <c r="AG137" s="85">
        <v>0</v>
      </c>
      <c r="AH137" s="85">
        <v>0</v>
      </c>
      <c r="AI137" s="85">
        <v>0</v>
      </c>
      <c r="AJ137" s="85">
        <v>0</v>
      </c>
    </row>
    <row r="138" spans="1:36" ht="15.95" customHeight="1" x14ac:dyDescent="0.25">
      <c r="A138" s="82">
        <v>140450027</v>
      </c>
      <c r="B138" s="82" t="s">
        <v>317</v>
      </c>
      <c r="C138" s="83" t="s">
        <v>604</v>
      </c>
      <c r="D138" s="83" t="s">
        <v>318</v>
      </c>
      <c r="E138" s="84">
        <v>219</v>
      </c>
      <c r="F138" s="84" t="s">
        <v>495</v>
      </c>
      <c r="G138" s="84" t="s">
        <v>495</v>
      </c>
      <c r="H138" s="84" t="s">
        <v>361</v>
      </c>
      <c r="I138" s="84" t="s">
        <v>323</v>
      </c>
      <c r="J138" s="84" t="s">
        <v>361</v>
      </c>
      <c r="K138" s="83" t="s">
        <v>27</v>
      </c>
      <c r="L138" s="84" t="s">
        <v>308</v>
      </c>
      <c r="M138" s="84" t="s">
        <v>308</v>
      </c>
      <c r="N138" s="84" t="s">
        <v>309</v>
      </c>
      <c r="O138" s="84" t="s">
        <v>309</v>
      </c>
      <c r="P138" s="82" t="s">
        <v>311</v>
      </c>
      <c r="Q138" s="84" t="s">
        <v>205</v>
      </c>
      <c r="R138" s="83" t="s">
        <v>589</v>
      </c>
      <c r="S138" s="83" t="s">
        <v>605</v>
      </c>
      <c r="T138" s="83" t="s">
        <v>409</v>
      </c>
      <c r="U138" s="83" t="s">
        <v>606</v>
      </c>
      <c r="V138" s="85" t="s">
        <v>106</v>
      </c>
      <c r="W138" s="85" t="s">
        <v>175</v>
      </c>
      <c r="X138" s="85" t="s">
        <v>1138</v>
      </c>
      <c r="Y138" s="254">
        <v>1.5264890751272073</v>
      </c>
      <c r="Z138" s="85" t="s">
        <v>114</v>
      </c>
      <c r="AA138" s="85" t="s">
        <v>166</v>
      </c>
      <c r="AB138" s="85">
        <v>0</v>
      </c>
      <c r="AC138" s="85">
        <v>0</v>
      </c>
      <c r="AD138" s="85">
        <v>0</v>
      </c>
      <c r="AE138" s="85">
        <v>0</v>
      </c>
      <c r="AF138" s="85">
        <v>0</v>
      </c>
      <c r="AG138" s="85">
        <v>0</v>
      </c>
      <c r="AH138" s="85">
        <v>0</v>
      </c>
      <c r="AI138" s="85">
        <v>0</v>
      </c>
      <c r="AJ138" s="85">
        <v>0</v>
      </c>
    </row>
    <row r="139" spans="1:36" ht="15.95" customHeight="1" x14ac:dyDescent="0.25">
      <c r="A139" s="82">
        <v>140450039</v>
      </c>
      <c r="B139" s="82" t="s">
        <v>371</v>
      </c>
      <c r="C139" s="83" t="s">
        <v>607</v>
      </c>
      <c r="D139" s="83" t="s">
        <v>318</v>
      </c>
      <c r="E139" s="84">
        <v>176</v>
      </c>
      <c r="F139" s="84" t="s">
        <v>310</v>
      </c>
      <c r="G139" s="84" t="s">
        <v>310</v>
      </c>
      <c r="H139" s="84" t="s">
        <v>350</v>
      </c>
      <c r="I139" s="84" t="s">
        <v>323</v>
      </c>
      <c r="J139" s="84" t="s">
        <v>350</v>
      </c>
      <c r="K139" s="83" t="s">
        <v>27</v>
      </c>
      <c r="L139" s="84" t="s">
        <v>309</v>
      </c>
      <c r="M139" s="84" t="s">
        <v>309</v>
      </c>
      <c r="N139" s="84" t="s">
        <v>309</v>
      </c>
      <c r="O139" s="84" t="s">
        <v>309</v>
      </c>
      <c r="P139" s="82" t="s">
        <v>315</v>
      </c>
      <c r="Q139" s="84" t="s">
        <v>205</v>
      </c>
      <c r="R139" s="83" t="s">
        <v>331</v>
      </c>
      <c r="S139" s="83" t="s">
        <v>608</v>
      </c>
      <c r="T139" s="83" t="s">
        <v>608</v>
      </c>
      <c r="U139" s="83" t="s">
        <v>609</v>
      </c>
      <c r="V139" s="85" t="s">
        <v>106</v>
      </c>
      <c r="W139" s="85" t="s">
        <v>175</v>
      </c>
      <c r="X139" s="85">
        <v>0</v>
      </c>
      <c r="Y139" s="254">
        <v>0</v>
      </c>
      <c r="Z139" s="85" t="s">
        <v>163</v>
      </c>
      <c r="AA139" s="85" t="s">
        <v>163</v>
      </c>
      <c r="AB139" s="85" t="s">
        <v>123</v>
      </c>
      <c r="AC139" s="85">
        <v>0</v>
      </c>
      <c r="AD139" s="85">
        <v>0</v>
      </c>
      <c r="AE139" s="85">
        <v>0</v>
      </c>
      <c r="AF139" s="85">
        <v>0</v>
      </c>
      <c r="AG139" s="85">
        <v>0</v>
      </c>
      <c r="AH139" s="85">
        <v>0</v>
      </c>
      <c r="AI139" s="85">
        <v>0</v>
      </c>
      <c r="AJ139" s="85">
        <v>0</v>
      </c>
    </row>
    <row r="140" spans="1:36" ht="15.95" customHeight="1" x14ac:dyDescent="0.25">
      <c r="A140" s="82">
        <v>140310096</v>
      </c>
      <c r="B140" s="82" t="s">
        <v>371</v>
      </c>
      <c r="C140" s="83" t="s">
        <v>610</v>
      </c>
      <c r="D140" s="83" t="s">
        <v>318</v>
      </c>
      <c r="E140" s="84">
        <v>192</v>
      </c>
      <c r="F140" s="84" t="s">
        <v>432</v>
      </c>
      <c r="G140" s="84" t="s">
        <v>432</v>
      </c>
      <c r="H140" s="84" t="s">
        <v>418</v>
      </c>
      <c r="I140" s="84" t="s">
        <v>323</v>
      </c>
      <c r="J140" s="84" t="s">
        <v>418</v>
      </c>
      <c r="K140" s="83" t="s">
        <v>27</v>
      </c>
      <c r="L140" s="84" t="s">
        <v>309</v>
      </c>
      <c r="M140" s="84" t="s">
        <v>309</v>
      </c>
      <c r="N140" s="84" t="s">
        <v>309</v>
      </c>
      <c r="O140" s="84" t="s">
        <v>309</v>
      </c>
      <c r="P140" s="82" t="s">
        <v>315</v>
      </c>
      <c r="Q140" s="84" t="s">
        <v>55</v>
      </c>
      <c r="R140" s="83" t="s">
        <v>611</v>
      </c>
      <c r="S140" s="83" t="s">
        <v>612</v>
      </c>
      <c r="T140" s="83" t="s">
        <v>612</v>
      </c>
      <c r="U140" s="83" t="s">
        <v>609</v>
      </c>
      <c r="V140" s="85">
        <v>0</v>
      </c>
      <c r="W140" s="85" t="s">
        <v>174</v>
      </c>
      <c r="X140" s="85">
        <v>0</v>
      </c>
      <c r="Y140" s="263">
        <v>1.3</v>
      </c>
      <c r="Z140" s="85" t="s">
        <v>163</v>
      </c>
      <c r="AA140" s="85" t="s">
        <v>168</v>
      </c>
      <c r="AB140" s="85">
        <v>0</v>
      </c>
      <c r="AC140" s="85">
        <v>0</v>
      </c>
      <c r="AD140" s="85">
        <v>0</v>
      </c>
      <c r="AE140" s="85">
        <v>0</v>
      </c>
      <c r="AF140" s="85">
        <v>0</v>
      </c>
      <c r="AG140" s="85">
        <v>0</v>
      </c>
      <c r="AH140" s="85">
        <v>0</v>
      </c>
      <c r="AI140" s="85">
        <v>0</v>
      </c>
      <c r="AJ140" s="85">
        <v>0</v>
      </c>
    </row>
    <row r="141" spans="1:36" ht="15.95" customHeight="1" x14ac:dyDescent="0.25">
      <c r="A141" s="82">
        <v>140310091</v>
      </c>
      <c r="B141" s="82">
        <v>120030006</v>
      </c>
      <c r="C141" s="83" t="s">
        <v>1774</v>
      </c>
      <c r="D141" s="83" t="s">
        <v>366</v>
      </c>
      <c r="E141" s="84">
        <v>151</v>
      </c>
      <c r="F141" s="84">
        <v>11</v>
      </c>
      <c r="G141" s="84">
        <v>11</v>
      </c>
      <c r="H141" s="84">
        <v>11</v>
      </c>
      <c r="I141" s="84">
        <v>2</v>
      </c>
      <c r="J141" s="84">
        <v>11</v>
      </c>
      <c r="K141" s="83" t="s">
        <v>27</v>
      </c>
      <c r="L141" s="84">
        <v>13</v>
      </c>
      <c r="M141" s="84">
        <v>13</v>
      </c>
      <c r="N141" s="84">
        <v>13</v>
      </c>
      <c r="O141" s="84">
        <v>6</v>
      </c>
      <c r="P141" s="82" t="s">
        <v>311</v>
      </c>
      <c r="Q141" s="84" t="s">
        <v>55</v>
      </c>
      <c r="R141" s="83" t="s">
        <v>1775</v>
      </c>
      <c r="S141" s="83" t="s">
        <v>123</v>
      </c>
      <c r="T141" s="83" t="s">
        <v>123</v>
      </c>
      <c r="U141" s="83" t="s">
        <v>123</v>
      </c>
      <c r="V141" s="85" t="s">
        <v>106</v>
      </c>
      <c r="W141" s="85" t="s">
        <v>175</v>
      </c>
      <c r="X141" s="85">
        <v>0</v>
      </c>
      <c r="Y141" s="254"/>
      <c r="Z141" s="85" t="s">
        <v>123</v>
      </c>
      <c r="AA141" s="85" t="s">
        <v>123</v>
      </c>
      <c r="AB141" s="85" t="s">
        <v>123</v>
      </c>
      <c r="AC141" s="85" t="s">
        <v>123</v>
      </c>
      <c r="AD141" s="85" t="s">
        <v>123</v>
      </c>
      <c r="AE141" s="85" t="s">
        <v>123</v>
      </c>
      <c r="AF141" s="85" t="s">
        <v>123</v>
      </c>
      <c r="AG141" s="85">
        <v>0</v>
      </c>
      <c r="AH141" s="85">
        <v>0</v>
      </c>
      <c r="AI141" s="85">
        <v>0</v>
      </c>
      <c r="AJ141" s="85">
        <v>0</v>
      </c>
    </row>
    <row r="142" spans="1:36" ht="15.95" customHeight="1" x14ac:dyDescent="0.25">
      <c r="A142" s="82">
        <v>140310097</v>
      </c>
      <c r="B142" s="82">
        <v>120030094</v>
      </c>
      <c r="C142" s="83" t="s">
        <v>1777</v>
      </c>
      <c r="D142" s="83" t="s">
        <v>318</v>
      </c>
      <c r="E142" s="84">
        <v>232</v>
      </c>
      <c r="F142" s="84">
        <v>42</v>
      </c>
      <c r="G142" s="84">
        <v>42</v>
      </c>
      <c r="H142" s="84">
        <v>42</v>
      </c>
      <c r="I142" s="84">
        <v>2</v>
      </c>
      <c r="J142" s="84">
        <v>42</v>
      </c>
      <c r="K142" s="83" t="s">
        <v>27</v>
      </c>
      <c r="L142" s="84">
        <v>13</v>
      </c>
      <c r="M142" s="84">
        <v>13</v>
      </c>
      <c r="N142" s="84">
        <v>6</v>
      </c>
      <c r="O142" s="84">
        <v>6</v>
      </c>
      <c r="P142" s="82" t="s">
        <v>311</v>
      </c>
      <c r="Q142" s="84" t="s">
        <v>55</v>
      </c>
      <c r="R142" s="83" t="s">
        <v>1778</v>
      </c>
      <c r="S142" s="83" t="s">
        <v>123</v>
      </c>
      <c r="T142" s="83" t="s">
        <v>123</v>
      </c>
      <c r="U142" s="83" t="s">
        <v>349</v>
      </c>
      <c r="V142" s="85" t="s">
        <v>106</v>
      </c>
      <c r="W142" s="85" t="s">
        <v>174</v>
      </c>
      <c r="X142" s="85"/>
      <c r="Y142" s="254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</row>
    <row r="143" spans="1:36" ht="15.95" customHeight="1" x14ac:dyDescent="0.25">
      <c r="A143" s="82">
        <v>140450035</v>
      </c>
      <c r="B143" s="82" t="s">
        <v>317</v>
      </c>
      <c r="C143" s="83" t="s">
        <v>613</v>
      </c>
      <c r="D143" s="83" t="s">
        <v>318</v>
      </c>
      <c r="E143" s="84">
        <v>225</v>
      </c>
      <c r="F143" s="84" t="s">
        <v>614</v>
      </c>
      <c r="G143" s="84" t="s">
        <v>614</v>
      </c>
      <c r="H143" s="84" t="s">
        <v>547</v>
      </c>
      <c r="I143" s="84" t="s">
        <v>323</v>
      </c>
      <c r="J143" s="84" t="s">
        <v>614</v>
      </c>
      <c r="K143" s="83" t="s">
        <v>27</v>
      </c>
      <c r="L143" s="84" t="s">
        <v>514</v>
      </c>
      <c r="M143" s="84" t="s">
        <v>514</v>
      </c>
      <c r="N143" s="84" t="s">
        <v>309</v>
      </c>
      <c r="O143" s="84" t="s">
        <v>309</v>
      </c>
      <c r="P143" s="82" t="s">
        <v>311</v>
      </c>
      <c r="Q143" s="84" t="s">
        <v>205</v>
      </c>
      <c r="R143" s="83" t="s">
        <v>615</v>
      </c>
      <c r="S143" s="83" t="s">
        <v>616</v>
      </c>
      <c r="T143" s="83" t="s">
        <v>616</v>
      </c>
      <c r="U143" s="83" t="s">
        <v>617</v>
      </c>
      <c r="V143" s="85" t="s">
        <v>106</v>
      </c>
      <c r="W143" s="85" t="s">
        <v>175</v>
      </c>
      <c r="X143" s="85" t="s">
        <v>1141</v>
      </c>
      <c r="Y143" s="254">
        <v>1.6761448668063454</v>
      </c>
      <c r="Z143" s="85" t="s">
        <v>1474</v>
      </c>
      <c r="AA143" s="85" t="s">
        <v>166</v>
      </c>
      <c r="AB143" s="85">
        <v>0</v>
      </c>
      <c r="AC143" s="85">
        <v>0</v>
      </c>
      <c r="AD143" s="85">
        <v>0</v>
      </c>
      <c r="AE143" s="85">
        <v>0</v>
      </c>
      <c r="AF143" s="85">
        <v>0</v>
      </c>
      <c r="AG143" s="85">
        <v>0</v>
      </c>
      <c r="AH143" s="85">
        <v>0</v>
      </c>
      <c r="AI143" s="85">
        <v>0</v>
      </c>
      <c r="AJ143" s="85">
        <v>0</v>
      </c>
    </row>
    <row r="144" spans="1:36" ht="15.95" customHeight="1" x14ac:dyDescent="0.25">
      <c r="A144" s="82">
        <v>140010298</v>
      </c>
      <c r="B144" s="82"/>
      <c r="C144" s="83"/>
      <c r="D144" s="83"/>
      <c r="E144" s="84"/>
      <c r="F144" s="84"/>
      <c r="G144" s="84"/>
      <c r="H144" s="84"/>
      <c r="I144" s="84"/>
      <c r="J144" s="84"/>
      <c r="K144" s="83"/>
      <c r="L144" s="84"/>
      <c r="M144" s="84"/>
      <c r="N144" s="84"/>
      <c r="O144" s="84"/>
      <c r="P144" s="82"/>
      <c r="Q144" s="84"/>
      <c r="R144" s="83"/>
      <c r="S144" s="83"/>
      <c r="T144" s="83"/>
      <c r="U144" s="83"/>
      <c r="V144" s="85" t="s">
        <v>107</v>
      </c>
      <c r="W144" s="85" t="s">
        <v>124</v>
      </c>
      <c r="X144" s="85">
        <v>0</v>
      </c>
      <c r="Y144" s="254">
        <v>1.2471315973261499</v>
      </c>
      <c r="Z144" s="85">
        <v>0</v>
      </c>
      <c r="AA144" s="85">
        <v>0</v>
      </c>
      <c r="AB144" s="85">
        <v>0</v>
      </c>
      <c r="AC144" s="85">
        <v>0</v>
      </c>
      <c r="AD144" s="85">
        <v>0</v>
      </c>
      <c r="AE144" s="85">
        <v>0</v>
      </c>
      <c r="AF144" s="85">
        <v>0</v>
      </c>
      <c r="AG144" s="85">
        <v>0</v>
      </c>
      <c r="AH144" s="85">
        <v>0</v>
      </c>
      <c r="AI144" s="85">
        <v>0</v>
      </c>
      <c r="AJ144" s="85">
        <v>0</v>
      </c>
    </row>
    <row r="145" spans="1:36" ht="15.95" customHeight="1" x14ac:dyDescent="0.25">
      <c r="A145" s="270">
        <v>140450047</v>
      </c>
      <c r="B145" s="270">
        <v>120030011</v>
      </c>
      <c r="C145" s="271" t="s">
        <v>1172</v>
      </c>
      <c r="D145" s="271" t="s">
        <v>424</v>
      </c>
      <c r="E145" s="272">
        <v>140</v>
      </c>
      <c r="F145" s="272">
        <v>5</v>
      </c>
      <c r="G145" s="272">
        <v>5</v>
      </c>
      <c r="H145" s="272">
        <v>6</v>
      </c>
      <c r="I145" s="272">
        <v>2.5</v>
      </c>
      <c r="J145" s="272">
        <v>6</v>
      </c>
      <c r="K145" s="271" t="s">
        <v>27</v>
      </c>
      <c r="L145" s="272">
        <v>12</v>
      </c>
      <c r="M145" s="272">
        <v>12</v>
      </c>
      <c r="N145" s="272">
        <v>12</v>
      </c>
      <c r="O145" s="272">
        <v>6</v>
      </c>
      <c r="P145" s="270" t="s">
        <v>315</v>
      </c>
      <c r="Q145" s="272" t="s">
        <v>205</v>
      </c>
      <c r="R145" s="271">
        <v>0</v>
      </c>
      <c r="S145" s="271">
        <v>0</v>
      </c>
      <c r="T145" s="271">
        <v>0</v>
      </c>
      <c r="U145" s="271">
        <v>0</v>
      </c>
      <c r="V145" s="273" t="s">
        <v>106</v>
      </c>
      <c r="W145" s="273"/>
      <c r="X145" s="273"/>
      <c r="Y145" s="274"/>
      <c r="Z145" s="273" t="s">
        <v>123</v>
      </c>
      <c r="AA145" s="273" t="s">
        <v>123</v>
      </c>
      <c r="AB145" s="273" t="s">
        <v>123</v>
      </c>
      <c r="AC145" s="273"/>
      <c r="AD145" s="273"/>
      <c r="AE145" s="273"/>
      <c r="AF145" s="273"/>
      <c r="AG145" s="273"/>
      <c r="AH145" s="273"/>
      <c r="AI145" s="273"/>
      <c r="AJ145" s="273"/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B38AF-E85D-498A-BE43-3A6B42D133DF}">
  <sheetPr codeName="Sheet1"/>
  <dimension ref="A1:G1871"/>
  <sheetViews>
    <sheetView zoomScaleNormal="100" workbookViewId="0">
      <pane ySplit="1" topLeftCell="A156" activePane="bottomLeft" state="frozen"/>
      <selection pane="bottomLeft" activeCell="G162" sqref="B162:G162"/>
    </sheetView>
  </sheetViews>
  <sheetFormatPr defaultRowHeight="16.5" x14ac:dyDescent="0.25"/>
  <cols>
    <col min="1" max="1" width="10.7109375" style="18" customWidth="1"/>
    <col min="2" max="3" width="10.7109375" style="2" customWidth="1"/>
    <col min="4" max="4" width="10.7109375" style="9" customWidth="1"/>
    <col min="5" max="5" width="10.7109375" style="2" customWidth="1"/>
    <col min="6" max="6" width="55.85546875" style="65" bestFit="1" customWidth="1"/>
    <col min="7" max="7" width="9.140625" style="23" bestFit="1" customWidth="1"/>
    <col min="8" max="8" width="10.7109375" style="1" bestFit="1" customWidth="1"/>
    <col min="9" max="13" width="13" style="1" bestFit="1" customWidth="1"/>
    <col min="14" max="16384" width="9.140625" style="1"/>
  </cols>
  <sheetData>
    <row r="1" spans="1:7" s="11" customFormat="1" ht="27" customHeight="1" x14ac:dyDescent="0.25">
      <c r="A1" s="28" t="s">
        <v>200</v>
      </c>
      <c r="B1" s="13" t="s">
        <v>183</v>
      </c>
      <c r="C1" s="14" t="s">
        <v>192</v>
      </c>
      <c r="D1" s="13" t="s">
        <v>189</v>
      </c>
      <c r="E1" s="13" t="s">
        <v>190</v>
      </c>
      <c r="F1" s="13" t="s">
        <v>201</v>
      </c>
      <c r="G1" s="13" t="s">
        <v>206</v>
      </c>
    </row>
    <row r="2" spans="1:7" x14ac:dyDescent="0.25">
      <c r="A2" s="18" t="s">
        <v>239</v>
      </c>
      <c r="B2" s="24">
        <v>140030040</v>
      </c>
      <c r="C2" s="24">
        <v>8</v>
      </c>
      <c r="D2" s="64">
        <v>8200</v>
      </c>
      <c r="E2" s="24"/>
      <c r="F2" s="10"/>
      <c r="G2" s="36">
        <f ca="1">COUNTIFS(progress!A:A,plans[[#This Row],[productId]],progress!B:B,plans[[#This Row],[planId]])</f>
        <v>1</v>
      </c>
    </row>
    <row r="3" spans="1:7" x14ac:dyDescent="0.25">
      <c r="B3" s="24">
        <v>140030040</v>
      </c>
      <c r="C3" s="24">
        <v>9</v>
      </c>
      <c r="D3" s="64">
        <v>5880</v>
      </c>
      <c r="E3" s="24"/>
      <c r="F3" s="10"/>
      <c r="G3" s="36">
        <f ca="1">COUNTIFS(progress!A:A,plans[[#This Row],[productId]],progress!B:B,plans[[#This Row],[planId]])</f>
        <v>0</v>
      </c>
    </row>
    <row r="4" spans="1:7" x14ac:dyDescent="0.25">
      <c r="B4" s="24">
        <v>140030040</v>
      </c>
      <c r="C4" s="24">
        <v>9</v>
      </c>
      <c r="D4" s="64">
        <v>360</v>
      </c>
      <c r="E4" s="24"/>
      <c r="F4" s="10"/>
      <c r="G4" s="36">
        <f ca="1">COUNTIFS(progress!A:A,plans[[#This Row],[productId]],progress!B:B,plans[[#This Row],[planId]])</f>
        <v>0</v>
      </c>
    </row>
    <row r="5" spans="1:7" x14ac:dyDescent="0.25">
      <c r="B5" s="24">
        <v>140030040</v>
      </c>
      <c r="C5" s="24">
        <v>10</v>
      </c>
      <c r="D5" s="64">
        <v>9000</v>
      </c>
      <c r="E5" s="24"/>
      <c r="F5" s="10"/>
      <c r="G5" s="36">
        <f ca="1">COUNTIFS(progress!A:A,plans[[#This Row],[productId]],progress!B:B,plans[[#This Row],[planId]])</f>
        <v>0</v>
      </c>
    </row>
    <row r="6" spans="1:7" x14ac:dyDescent="0.25">
      <c r="B6" s="24">
        <v>140030040</v>
      </c>
      <c r="C6" s="24">
        <v>10</v>
      </c>
      <c r="D6" s="64">
        <v>1800</v>
      </c>
      <c r="E6" s="24"/>
      <c r="F6" s="10"/>
      <c r="G6" s="36">
        <f ca="1">COUNTIFS(progress!A:A,plans[[#This Row],[productId]],progress!B:B,plans[[#This Row],[planId]])</f>
        <v>0</v>
      </c>
    </row>
    <row r="7" spans="1:7" s="23" customFormat="1" x14ac:dyDescent="0.25">
      <c r="A7" s="18" t="s">
        <v>124</v>
      </c>
      <c r="B7" s="24">
        <v>140030040</v>
      </c>
      <c r="C7" s="24" t="s">
        <v>259</v>
      </c>
      <c r="D7" s="64">
        <v>600</v>
      </c>
      <c r="E7" s="24"/>
      <c r="F7" s="145"/>
      <c r="G7" s="36">
        <f ca="1">COUNTIFS(progress!A:A,plans[[#This Row],[productId]],progress!B:B,plans[[#This Row],[planId]])</f>
        <v>1</v>
      </c>
    </row>
    <row r="8" spans="1:7" x14ac:dyDescent="0.25">
      <c r="A8" s="18" t="s">
        <v>236</v>
      </c>
      <c r="B8" s="24">
        <v>140030040</v>
      </c>
      <c r="C8" s="24" t="s">
        <v>242</v>
      </c>
      <c r="D8" s="64">
        <v>3000</v>
      </c>
      <c r="E8" s="24" t="s">
        <v>243</v>
      </c>
      <c r="F8" s="145"/>
      <c r="G8" s="36">
        <f ca="1">COUNTIFS(progress!A:A,plans[[#This Row],[productId]],progress!B:B,plans[[#This Row],[planId]])</f>
        <v>1</v>
      </c>
    </row>
    <row r="9" spans="1:7" x14ac:dyDescent="0.25">
      <c r="A9" s="18" t="s">
        <v>236</v>
      </c>
      <c r="B9" s="24">
        <v>140030039</v>
      </c>
      <c r="C9" s="24" t="s">
        <v>242</v>
      </c>
      <c r="D9" s="64">
        <v>3000</v>
      </c>
      <c r="E9" s="24" t="s">
        <v>243</v>
      </c>
      <c r="F9" s="145"/>
      <c r="G9" s="36">
        <f ca="1">COUNTIFS(progress!A:A,plans[[#This Row],[productId]],progress!B:B,plans[[#This Row],[planId]])</f>
        <v>1</v>
      </c>
    </row>
    <row r="10" spans="1:7" x14ac:dyDescent="0.25">
      <c r="A10" s="18" t="s">
        <v>236</v>
      </c>
      <c r="B10" s="24">
        <v>140010117</v>
      </c>
      <c r="C10" s="24" t="s">
        <v>242</v>
      </c>
      <c r="D10" s="64">
        <v>3000</v>
      </c>
      <c r="E10" s="24" t="s">
        <v>243</v>
      </c>
      <c r="F10" s="145"/>
      <c r="G10" s="36">
        <f ca="1">COUNTIFS(progress!A:A,plans[[#This Row],[productId]],progress!B:B,plans[[#This Row],[planId]])</f>
        <v>1</v>
      </c>
    </row>
    <row r="11" spans="1:7" x14ac:dyDescent="0.25">
      <c r="A11" s="18" t="s">
        <v>231</v>
      </c>
      <c r="B11" s="24">
        <v>140030039</v>
      </c>
      <c r="C11" s="24">
        <v>2</v>
      </c>
      <c r="D11" s="64">
        <v>2000</v>
      </c>
      <c r="E11" s="24" t="s">
        <v>253</v>
      </c>
      <c r="F11" s="145"/>
      <c r="G11" s="36">
        <f ca="1">COUNTIFS(progress!A:A,plans[[#This Row],[productId]],progress!B:B,plans[[#This Row],[planId]])</f>
        <v>1</v>
      </c>
    </row>
    <row r="12" spans="1:7" x14ac:dyDescent="0.25">
      <c r="A12" s="18" t="s">
        <v>231</v>
      </c>
      <c r="B12" s="24">
        <v>140030039</v>
      </c>
      <c r="C12" s="24">
        <v>2</v>
      </c>
      <c r="D12" s="64">
        <v>3000</v>
      </c>
      <c r="E12" s="24" t="s">
        <v>243</v>
      </c>
      <c r="F12" s="145"/>
      <c r="G12" s="36">
        <f ca="1">COUNTIFS(progress!A:A,plans[[#This Row],[productId]],progress!B:B,plans[[#This Row],[planId]])</f>
        <v>1</v>
      </c>
    </row>
    <row r="13" spans="1:7" x14ac:dyDescent="0.25">
      <c r="A13" s="18" t="s">
        <v>231</v>
      </c>
      <c r="B13" s="24">
        <v>140030039</v>
      </c>
      <c r="C13" s="24">
        <v>2</v>
      </c>
      <c r="D13" s="64">
        <v>3000</v>
      </c>
      <c r="E13" s="24" t="s">
        <v>254</v>
      </c>
      <c r="F13" s="145"/>
      <c r="G13" s="36">
        <f ca="1">COUNTIFS(progress!A:A,plans[[#This Row],[productId]],progress!B:B,plans[[#This Row],[planId]])</f>
        <v>1</v>
      </c>
    </row>
    <row r="14" spans="1:7" x14ac:dyDescent="0.25">
      <c r="A14" s="18" t="s">
        <v>231</v>
      </c>
      <c r="B14" s="24">
        <v>140030040</v>
      </c>
      <c r="C14" s="24">
        <v>2</v>
      </c>
      <c r="D14" s="64">
        <v>2000</v>
      </c>
      <c r="E14" s="24" t="s">
        <v>253</v>
      </c>
      <c r="F14" s="145"/>
      <c r="G14" s="36">
        <f ca="1">COUNTIFS(progress!A:A,plans[[#This Row],[productId]],progress!B:B,plans[[#This Row],[planId]])</f>
        <v>1</v>
      </c>
    </row>
    <row r="15" spans="1:7" x14ac:dyDescent="0.25">
      <c r="A15" s="18" t="s">
        <v>231</v>
      </c>
      <c r="B15" s="24">
        <v>140030040</v>
      </c>
      <c r="C15" s="24">
        <v>2</v>
      </c>
      <c r="D15" s="64">
        <v>3000</v>
      </c>
      <c r="E15" s="24" t="s">
        <v>243</v>
      </c>
      <c r="F15" s="145"/>
      <c r="G15" s="36">
        <f ca="1">COUNTIFS(progress!A:A,plans[[#This Row],[productId]],progress!B:B,plans[[#This Row],[planId]])</f>
        <v>1</v>
      </c>
    </row>
    <row r="16" spans="1:7" x14ac:dyDescent="0.25">
      <c r="A16" s="18" t="s">
        <v>231</v>
      </c>
      <c r="B16" s="24">
        <v>140030040</v>
      </c>
      <c r="C16" s="24">
        <v>2</v>
      </c>
      <c r="D16" s="64">
        <v>3000</v>
      </c>
      <c r="E16" s="24" t="s">
        <v>254</v>
      </c>
      <c r="F16" s="145"/>
      <c r="G16" s="36">
        <f ca="1">COUNTIFS(progress!A:A,plans[[#This Row],[productId]],progress!B:B,plans[[#This Row],[planId]])</f>
        <v>1</v>
      </c>
    </row>
    <row r="17" spans="1:7" x14ac:dyDescent="0.25">
      <c r="A17" s="18" t="s">
        <v>231</v>
      </c>
      <c r="B17" s="24">
        <v>140020181</v>
      </c>
      <c r="C17" s="24">
        <v>2</v>
      </c>
      <c r="D17" s="64">
        <v>8000</v>
      </c>
      <c r="E17" s="24" t="s">
        <v>255</v>
      </c>
      <c r="F17" s="145"/>
      <c r="G17" s="36">
        <f ca="1">COUNTIFS(progress!A:A,plans[[#This Row],[productId]],progress!B:B,plans[[#This Row],[planId]])</f>
        <v>1</v>
      </c>
    </row>
    <row r="18" spans="1:7" x14ac:dyDescent="0.25">
      <c r="A18" s="18" t="s">
        <v>231</v>
      </c>
      <c r="B18" s="24">
        <v>140020181</v>
      </c>
      <c r="C18" s="24">
        <v>2</v>
      </c>
      <c r="D18" s="64">
        <v>3000</v>
      </c>
      <c r="E18" s="24" t="s">
        <v>258</v>
      </c>
      <c r="F18" s="145"/>
      <c r="G18" s="36">
        <f ca="1">COUNTIFS(progress!A:A,plans[[#This Row],[productId]],progress!B:B,plans[[#This Row],[planId]])</f>
        <v>1</v>
      </c>
    </row>
    <row r="19" spans="1:7" x14ac:dyDescent="0.25">
      <c r="A19" s="18" t="s">
        <v>231</v>
      </c>
      <c r="B19" s="24">
        <v>140020181</v>
      </c>
      <c r="C19" s="24">
        <v>2</v>
      </c>
      <c r="D19" s="64">
        <v>3000</v>
      </c>
      <c r="E19" s="24" t="s">
        <v>256</v>
      </c>
      <c r="F19" s="145"/>
      <c r="G19" s="36">
        <f ca="1">COUNTIFS(progress!A:A,plans[[#This Row],[productId]],progress!B:B,plans[[#This Row],[planId]])</f>
        <v>1</v>
      </c>
    </row>
    <row r="20" spans="1:7" x14ac:dyDescent="0.25">
      <c r="A20" s="18" t="s">
        <v>231</v>
      </c>
      <c r="B20" s="24">
        <v>140020181</v>
      </c>
      <c r="C20" s="24">
        <v>2</v>
      </c>
      <c r="D20" s="64">
        <v>2000</v>
      </c>
      <c r="E20" s="24" t="s">
        <v>257</v>
      </c>
      <c r="F20" s="145"/>
      <c r="G20" s="36">
        <f ca="1">COUNTIFS(progress!A:A,plans[[#This Row],[productId]],progress!B:B,plans[[#This Row],[planId]])</f>
        <v>1</v>
      </c>
    </row>
    <row r="21" spans="1:7" x14ac:dyDescent="0.25">
      <c r="A21" s="18" t="s">
        <v>124</v>
      </c>
      <c r="B21" s="24">
        <v>140020181</v>
      </c>
      <c r="C21" s="24">
        <v>2</v>
      </c>
      <c r="D21" s="64">
        <v>-7900</v>
      </c>
      <c r="E21" s="24"/>
      <c r="F21" s="145" t="s">
        <v>276</v>
      </c>
      <c r="G21" s="36">
        <f ca="1">COUNTIFS(progress!A:A,plans[[#This Row],[productId]],progress!B:B,plans[[#This Row],[planId]])</f>
        <v>1</v>
      </c>
    </row>
    <row r="22" spans="1:7" x14ac:dyDescent="0.25">
      <c r="A22" s="18" t="s">
        <v>231</v>
      </c>
      <c r="B22" s="24">
        <v>140010117</v>
      </c>
      <c r="C22" s="24">
        <v>2</v>
      </c>
      <c r="D22" s="64">
        <v>2500</v>
      </c>
      <c r="E22" s="24" t="s">
        <v>280</v>
      </c>
      <c r="F22" s="145"/>
      <c r="G22" s="36">
        <f ca="1">COUNTIFS(progress!A:A,plans[[#This Row],[productId]],progress!B:B,plans[[#This Row],[planId]])</f>
        <v>1</v>
      </c>
    </row>
    <row r="23" spans="1:7" x14ac:dyDescent="0.25">
      <c r="A23" s="18" t="s">
        <v>231</v>
      </c>
      <c r="B23" s="24">
        <v>140010117</v>
      </c>
      <c r="C23" s="24">
        <v>2</v>
      </c>
      <c r="D23" s="64">
        <v>2500</v>
      </c>
      <c r="E23" s="24" t="s">
        <v>281</v>
      </c>
      <c r="F23" s="145"/>
      <c r="G23" s="36">
        <f ca="1">COUNTIFS(progress!A:A,plans[[#This Row],[productId]],progress!B:B,plans[[#This Row],[planId]])</f>
        <v>1</v>
      </c>
    </row>
    <row r="24" spans="1:7" x14ac:dyDescent="0.25">
      <c r="A24" s="18" t="s">
        <v>231</v>
      </c>
      <c r="B24" s="24">
        <v>140010117</v>
      </c>
      <c r="C24" s="24">
        <v>2</v>
      </c>
      <c r="D24" s="64">
        <v>2000</v>
      </c>
      <c r="E24" s="24" t="s">
        <v>282</v>
      </c>
      <c r="F24" s="145"/>
      <c r="G24" s="36">
        <f ca="1">COUNTIFS(progress!A:A,plans[[#This Row],[productId]],progress!B:B,plans[[#This Row],[planId]])</f>
        <v>1</v>
      </c>
    </row>
    <row r="25" spans="1:7" x14ac:dyDescent="0.25">
      <c r="A25" s="18" t="s">
        <v>231</v>
      </c>
      <c r="B25" s="24">
        <v>140010230</v>
      </c>
      <c r="C25" s="24">
        <v>2</v>
      </c>
      <c r="D25" s="64">
        <v>6000</v>
      </c>
      <c r="E25" s="24" t="s">
        <v>280</v>
      </c>
      <c r="F25" s="145"/>
      <c r="G25" s="36">
        <f ca="1">COUNTIFS(progress!A:A,plans[[#This Row],[productId]],progress!B:B,plans[[#This Row],[planId]])</f>
        <v>1</v>
      </c>
    </row>
    <row r="26" spans="1:7" x14ac:dyDescent="0.25">
      <c r="A26" s="18" t="s">
        <v>231</v>
      </c>
      <c r="B26" s="24">
        <v>140010230</v>
      </c>
      <c r="C26" s="24">
        <v>2</v>
      </c>
      <c r="D26" s="64">
        <v>5000</v>
      </c>
      <c r="E26" s="24" t="s">
        <v>281</v>
      </c>
      <c r="F26" s="145"/>
      <c r="G26" s="36">
        <f ca="1">COUNTIFS(progress!A:A,plans[[#This Row],[productId]],progress!B:B,plans[[#This Row],[planId]])</f>
        <v>1</v>
      </c>
    </row>
    <row r="27" spans="1:7" x14ac:dyDescent="0.25">
      <c r="A27" s="18" t="s">
        <v>231</v>
      </c>
      <c r="B27" s="24">
        <v>140010230</v>
      </c>
      <c r="C27" s="24">
        <v>2</v>
      </c>
      <c r="D27" s="64">
        <v>6000</v>
      </c>
      <c r="E27" s="24" t="s">
        <v>282</v>
      </c>
      <c r="F27" s="145"/>
      <c r="G27" s="36">
        <f ca="1">COUNTIFS(progress!A:A,plans[[#This Row],[productId]],progress!B:B,plans[[#This Row],[planId]])</f>
        <v>1</v>
      </c>
    </row>
    <row r="28" spans="1:7" x14ac:dyDescent="0.25">
      <c r="A28" s="18" t="s">
        <v>231</v>
      </c>
      <c r="B28" s="24">
        <v>140010230</v>
      </c>
      <c r="C28" s="24">
        <v>2</v>
      </c>
      <c r="D28" s="64">
        <v>5000</v>
      </c>
      <c r="E28" s="24" t="s">
        <v>283</v>
      </c>
      <c r="F28" s="145"/>
      <c r="G28" s="36">
        <f ca="1">COUNTIFS(progress!A:A,plans[[#This Row],[productId]],progress!B:B,plans[[#This Row],[planId]])</f>
        <v>1</v>
      </c>
    </row>
    <row r="29" spans="1:7" x14ac:dyDescent="0.25">
      <c r="A29" s="18" t="s">
        <v>231</v>
      </c>
      <c r="B29" s="24">
        <v>140010255</v>
      </c>
      <c r="C29" s="24">
        <v>2</v>
      </c>
      <c r="D29" s="64">
        <v>500</v>
      </c>
      <c r="E29" s="24" t="s">
        <v>280</v>
      </c>
      <c r="F29" s="145"/>
      <c r="G29" s="36">
        <f ca="1">COUNTIFS(progress!A:A,plans[[#This Row],[productId]],progress!B:B,plans[[#This Row],[planId]])</f>
        <v>1</v>
      </c>
    </row>
    <row r="30" spans="1:7" x14ac:dyDescent="0.25">
      <c r="A30" s="18" t="s">
        <v>231</v>
      </c>
      <c r="B30" s="24">
        <v>140010255</v>
      </c>
      <c r="C30" s="24">
        <v>2</v>
      </c>
      <c r="D30" s="64">
        <v>500</v>
      </c>
      <c r="E30" s="24" t="s">
        <v>282</v>
      </c>
      <c r="F30" s="145"/>
      <c r="G30" s="36">
        <f ca="1">COUNTIFS(progress!A:A,plans[[#This Row],[productId]],progress!B:B,plans[[#This Row],[planId]])</f>
        <v>1</v>
      </c>
    </row>
    <row r="31" spans="1:7" x14ac:dyDescent="0.25">
      <c r="A31" s="18" t="s">
        <v>255</v>
      </c>
      <c r="B31" s="24">
        <v>140310096</v>
      </c>
      <c r="C31" s="24">
        <v>2</v>
      </c>
      <c r="D31" s="64">
        <v>3000</v>
      </c>
      <c r="E31" s="24" t="s">
        <v>243</v>
      </c>
      <c r="F31" s="145"/>
      <c r="G31" s="36">
        <f ca="1">COUNTIFS(progress!A:A,plans[[#This Row],[productId]],progress!B:B,plans[[#This Row],[planId]])</f>
        <v>1</v>
      </c>
    </row>
    <row r="32" spans="1:7" x14ac:dyDescent="0.25">
      <c r="A32" s="18" t="s">
        <v>687</v>
      </c>
      <c r="B32" s="24">
        <v>140310058</v>
      </c>
      <c r="C32" s="24">
        <v>2</v>
      </c>
      <c r="D32" s="64">
        <v>2000</v>
      </c>
      <c r="E32" s="24" t="s">
        <v>280</v>
      </c>
      <c r="F32" s="145" t="s">
        <v>1061</v>
      </c>
      <c r="G32" s="36">
        <f ca="1">COUNTIFS(progress!A:A,plans[[#This Row],[productId]],progress!B:B,plans[[#This Row],[planId]])</f>
        <v>1</v>
      </c>
    </row>
    <row r="33" spans="1:7" x14ac:dyDescent="0.25">
      <c r="A33" s="18" t="s">
        <v>687</v>
      </c>
      <c r="B33" s="24">
        <v>140310058</v>
      </c>
      <c r="C33" s="24">
        <v>2</v>
      </c>
      <c r="D33" s="64">
        <v>2000</v>
      </c>
      <c r="E33" s="24" t="s">
        <v>711</v>
      </c>
      <c r="F33" s="145"/>
      <c r="G33" s="36">
        <f ca="1">COUNTIFS(progress!A:A,plans[[#This Row],[productId]],progress!B:B,plans[[#This Row],[planId]])</f>
        <v>1</v>
      </c>
    </row>
    <row r="34" spans="1:7" x14ac:dyDescent="0.25">
      <c r="A34" s="18" t="s">
        <v>687</v>
      </c>
      <c r="B34" s="24">
        <v>140310058</v>
      </c>
      <c r="C34" s="24">
        <v>2</v>
      </c>
      <c r="D34" s="64">
        <v>2000</v>
      </c>
      <c r="E34" s="24" t="s">
        <v>254</v>
      </c>
      <c r="F34" s="145"/>
      <c r="G34" s="36">
        <f ca="1">COUNTIFS(progress!A:A,plans[[#This Row],[productId]],progress!B:B,plans[[#This Row],[planId]])</f>
        <v>1</v>
      </c>
    </row>
    <row r="35" spans="1:7" x14ac:dyDescent="0.25">
      <c r="A35" s="18" t="s">
        <v>708</v>
      </c>
      <c r="B35" s="24">
        <v>141320055</v>
      </c>
      <c r="C35" s="24">
        <v>2</v>
      </c>
      <c r="D35" s="64">
        <v>5000</v>
      </c>
      <c r="E35" s="24" t="s">
        <v>713</v>
      </c>
      <c r="F35" s="145"/>
      <c r="G35" s="36">
        <f ca="1">COUNTIFS(progress!A:A,plans[[#This Row],[productId]],progress!B:B,plans[[#This Row],[planId]])</f>
        <v>1</v>
      </c>
    </row>
    <row r="36" spans="1:7" x14ac:dyDescent="0.25">
      <c r="A36" s="18" t="s">
        <v>708</v>
      </c>
      <c r="B36" s="24">
        <v>141320055</v>
      </c>
      <c r="C36" s="24">
        <v>2</v>
      </c>
      <c r="D36" s="64">
        <v>10000</v>
      </c>
      <c r="E36" s="24" t="s">
        <v>717</v>
      </c>
      <c r="F36" s="145"/>
      <c r="G36" s="36">
        <f ca="1">COUNTIFS(progress!A:A,plans[[#This Row],[productId]],progress!B:B,plans[[#This Row],[planId]])</f>
        <v>1</v>
      </c>
    </row>
    <row r="37" spans="1:7" x14ac:dyDescent="0.25">
      <c r="A37" s="18" t="s">
        <v>708</v>
      </c>
      <c r="B37" s="24">
        <v>141320055</v>
      </c>
      <c r="C37" s="24">
        <v>2</v>
      </c>
      <c r="D37" s="64">
        <v>10000</v>
      </c>
      <c r="E37" s="24" t="s">
        <v>720</v>
      </c>
      <c r="F37" s="145"/>
      <c r="G37" s="36">
        <f ca="1">COUNTIFS(progress!A:A,plans[[#This Row],[productId]],progress!B:B,plans[[#This Row],[planId]])</f>
        <v>1</v>
      </c>
    </row>
    <row r="38" spans="1:7" x14ac:dyDescent="0.25">
      <c r="A38" s="18" t="s">
        <v>708</v>
      </c>
      <c r="B38" s="24">
        <v>141320055</v>
      </c>
      <c r="C38" s="24">
        <v>2</v>
      </c>
      <c r="D38" s="64">
        <v>10000</v>
      </c>
      <c r="E38" s="24" t="s">
        <v>726</v>
      </c>
      <c r="F38" s="145"/>
      <c r="G38" s="36">
        <f ca="1">COUNTIFS(progress!A:A,plans[[#This Row],[productId]],progress!B:B,plans[[#This Row],[planId]])</f>
        <v>1</v>
      </c>
    </row>
    <row r="39" spans="1:7" x14ac:dyDescent="0.25">
      <c r="A39" s="18" t="s">
        <v>708</v>
      </c>
      <c r="B39" s="24">
        <v>141320055</v>
      </c>
      <c r="C39" s="24">
        <v>2</v>
      </c>
      <c r="D39" s="64">
        <v>10000</v>
      </c>
      <c r="E39" s="24" t="s">
        <v>731</v>
      </c>
      <c r="F39" s="145"/>
      <c r="G39" s="36">
        <f ca="1">COUNTIFS(progress!A:A,plans[[#This Row],[productId]],progress!B:B,plans[[#This Row],[planId]])</f>
        <v>1</v>
      </c>
    </row>
    <row r="40" spans="1:7" x14ac:dyDescent="0.25">
      <c r="A40" s="18" t="s">
        <v>280</v>
      </c>
      <c r="B40" s="24">
        <v>140030039</v>
      </c>
      <c r="C40" s="24" t="s">
        <v>1070</v>
      </c>
      <c r="D40" s="64">
        <v>3000</v>
      </c>
      <c r="E40" s="24" t="s">
        <v>726</v>
      </c>
      <c r="F40" s="145" t="s">
        <v>1074</v>
      </c>
      <c r="G40" s="36">
        <f ca="1">COUNTIFS(progress!A:A,plans[[#This Row],[productId]],progress!B:B,plans[[#This Row],[planId]])</f>
        <v>1</v>
      </c>
    </row>
    <row r="41" spans="1:7" x14ac:dyDescent="0.25">
      <c r="A41" s="18" t="s">
        <v>280</v>
      </c>
      <c r="B41" s="24">
        <v>140030040</v>
      </c>
      <c r="C41" s="24" t="s">
        <v>1070</v>
      </c>
      <c r="D41" s="64">
        <v>3000</v>
      </c>
      <c r="E41" s="24" t="s">
        <v>726</v>
      </c>
      <c r="F41" s="145" t="s">
        <v>1074</v>
      </c>
      <c r="G41" s="36">
        <f ca="1">COUNTIFS(progress!A:A,plans[[#This Row],[productId]],progress!B:B,plans[[#This Row],[planId]])</f>
        <v>1</v>
      </c>
    </row>
    <row r="42" spans="1:7" x14ac:dyDescent="0.25">
      <c r="A42" s="18" t="s">
        <v>280</v>
      </c>
      <c r="B42" s="24">
        <v>140010117</v>
      </c>
      <c r="C42" s="24" t="s">
        <v>1070</v>
      </c>
      <c r="D42" s="64">
        <v>3000</v>
      </c>
      <c r="E42" s="24" t="s">
        <v>726</v>
      </c>
      <c r="F42" s="145" t="s">
        <v>1074</v>
      </c>
      <c r="G42" s="36">
        <f ca="1">COUNTIFS(progress!A:A,plans[[#This Row],[productId]],progress!B:B,plans[[#This Row],[planId]])</f>
        <v>1</v>
      </c>
    </row>
    <row r="43" spans="1:7" x14ac:dyDescent="0.25">
      <c r="A43" s="18" t="s">
        <v>708</v>
      </c>
      <c r="B43" s="24">
        <v>140310031</v>
      </c>
      <c r="C43" s="24">
        <v>2</v>
      </c>
      <c r="D43" s="64">
        <v>500</v>
      </c>
      <c r="E43" s="24" t="s">
        <v>714</v>
      </c>
      <c r="F43" s="145" t="s">
        <v>1074</v>
      </c>
      <c r="G43" s="36">
        <f ca="1">COUNTIFS(progress!A:A,plans[[#This Row],[productId]],progress!B:B,plans[[#This Row],[planId]])</f>
        <v>1</v>
      </c>
    </row>
    <row r="44" spans="1:7" x14ac:dyDescent="0.25">
      <c r="A44" s="18" t="s">
        <v>714</v>
      </c>
      <c r="B44" s="24">
        <v>140020181</v>
      </c>
      <c r="C44" s="24">
        <v>3</v>
      </c>
      <c r="D44" s="64">
        <v>2500</v>
      </c>
      <c r="E44" s="24" t="s">
        <v>721</v>
      </c>
      <c r="F44" s="145"/>
      <c r="G44" s="36">
        <f ca="1">COUNTIFS(progress!A:A,plans[[#This Row],[productId]],progress!B:B,plans[[#This Row],[planId]])</f>
        <v>1</v>
      </c>
    </row>
    <row r="45" spans="1:7" x14ac:dyDescent="0.25">
      <c r="A45" s="18" t="s">
        <v>714</v>
      </c>
      <c r="B45" s="24">
        <v>140020181</v>
      </c>
      <c r="C45" s="24">
        <v>3</v>
      </c>
      <c r="D45" s="64">
        <v>2500</v>
      </c>
      <c r="E45" s="24" t="s">
        <v>727</v>
      </c>
      <c r="F45" s="145"/>
      <c r="G45" s="36">
        <f ca="1">COUNTIFS(progress!A:A,plans[[#This Row],[productId]],progress!B:B,plans[[#This Row],[planId]])</f>
        <v>1</v>
      </c>
    </row>
    <row r="46" spans="1:7" x14ac:dyDescent="0.25">
      <c r="A46" s="18" t="s">
        <v>714</v>
      </c>
      <c r="B46" s="24">
        <v>140020181</v>
      </c>
      <c r="C46" s="24">
        <v>3</v>
      </c>
      <c r="D46" s="64">
        <v>2500</v>
      </c>
      <c r="E46" s="24" t="s">
        <v>734</v>
      </c>
      <c r="F46" s="145"/>
      <c r="G46" s="36">
        <f ca="1">COUNTIFS(progress!A:A,plans[[#This Row],[productId]],progress!B:B,plans[[#This Row],[planId]])</f>
        <v>1</v>
      </c>
    </row>
    <row r="47" spans="1:7" ht="17.25" thickBot="1" x14ac:dyDescent="0.3">
      <c r="A47" s="18" t="s">
        <v>714</v>
      </c>
      <c r="B47" s="24">
        <v>140020181</v>
      </c>
      <c r="C47" s="24">
        <v>3</v>
      </c>
      <c r="D47" s="64">
        <v>2500</v>
      </c>
      <c r="E47" s="24" t="s">
        <v>739</v>
      </c>
      <c r="F47" s="145"/>
      <c r="G47" s="36">
        <f ca="1">COUNTIFS(progress!A:A,plans[[#This Row],[productId]],progress!B:B,plans[[#This Row],[planId]])</f>
        <v>1</v>
      </c>
    </row>
    <row r="48" spans="1:7" ht="17.25" thickTop="1" x14ac:dyDescent="0.25">
      <c r="B48" s="251">
        <v>140640007</v>
      </c>
      <c r="C48" s="24">
        <v>2</v>
      </c>
      <c r="D48" s="64">
        <v>15000</v>
      </c>
      <c r="E48" s="24"/>
      <c r="F48" s="145"/>
      <c r="G48" s="36">
        <f ca="1">COUNTIFS(progress!A:A,plans[[#This Row],[productId]],progress!B:B,plans[[#This Row],[planId]])</f>
        <v>1</v>
      </c>
    </row>
    <row r="49" spans="1:7" x14ac:dyDescent="0.25">
      <c r="A49" s="18" t="s">
        <v>283</v>
      </c>
      <c r="B49" s="24">
        <v>140310007</v>
      </c>
      <c r="C49" s="24">
        <v>3</v>
      </c>
      <c r="D49" s="64">
        <v>2000</v>
      </c>
      <c r="E49" s="24" t="s">
        <v>722</v>
      </c>
      <c r="F49" s="145"/>
      <c r="G49" s="36">
        <f ca="1">COUNTIFS(progress!A:A,plans[[#This Row],[productId]],progress!B:B,plans[[#This Row],[planId]])</f>
        <v>1</v>
      </c>
    </row>
    <row r="50" spans="1:7" x14ac:dyDescent="0.25">
      <c r="A50" s="18" t="s">
        <v>283</v>
      </c>
      <c r="B50" s="24">
        <v>140310007</v>
      </c>
      <c r="C50" s="24">
        <v>3</v>
      </c>
      <c r="D50" s="64">
        <v>2000</v>
      </c>
      <c r="E50" s="24" t="s">
        <v>727</v>
      </c>
      <c r="F50" s="145"/>
      <c r="G50" s="36">
        <f ca="1">COUNTIFS(progress!A:A,plans[[#This Row],[productId]],progress!B:B,plans[[#This Row],[planId]])</f>
        <v>1</v>
      </c>
    </row>
    <row r="51" spans="1:7" x14ac:dyDescent="0.25">
      <c r="A51" s="18" t="s">
        <v>283</v>
      </c>
      <c r="B51" s="24">
        <v>140310007</v>
      </c>
      <c r="C51" s="24">
        <v>3</v>
      </c>
      <c r="D51" s="64">
        <v>2000</v>
      </c>
      <c r="E51" s="24" t="s">
        <v>732</v>
      </c>
      <c r="F51" s="145"/>
      <c r="G51" s="36">
        <f ca="1">COUNTIFS(progress!A:A,plans[[#This Row],[productId]],progress!B:B,plans[[#This Row],[planId]])</f>
        <v>1</v>
      </c>
    </row>
    <row r="52" spans="1:7" x14ac:dyDescent="0.25">
      <c r="A52" s="18" t="s">
        <v>283</v>
      </c>
      <c r="B52" s="24">
        <v>140310007</v>
      </c>
      <c r="C52" s="24">
        <v>3</v>
      </c>
      <c r="D52" s="64">
        <v>3000</v>
      </c>
      <c r="E52" s="24" t="s">
        <v>738</v>
      </c>
      <c r="F52" s="145"/>
      <c r="G52" s="36">
        <f ca="1">COUNTIFS(progress!A:A,plans[[#This Row],[productId]],progress!B:B,plans[[#This Row],[planId]])</f>
        <v>1</v>
      </c>
    </row>
    <row r="53" spans="1:7" x14ac:dyDescent="0.25">
      <c r="A53" s="18" t="s">
        <v>283</v>
      </c>
      <c r="B53" s="24">
        <v>140310007</v>
      </c>
      <c r="C53" s="24">
        <v>3</v>
      </c>
      <c r="D53" s="64">
        <v>1000</v>
      </c>
      <c r="E53" s="24" t="s">
        <v>744</v>
      </c>
      <c r="F53" s="145"/>
      <c r="G53" s="36">
        <f ca="1">COUNTIFS(progress!A:A,plans[[#This Row],[productId]],progress!B:B,plans[[#This Row],[planId]])</f>
        <v>1</v>
      </c>
    </row>
    <row r="54" spans="1:7" x14ac:dyDescent="0.25">
      <c r="A54" s="18" t="s">
        <v>283</v>
      </c>
      <c r="B54" s="24">
        <v>140310071</v>
      </c>
      <c r="C54" s="24">
        <v>3</v>
      </c>
      <c r="D54" s="64">
        <v>5000</v>
      </c>
      <c r="E54" s="24" t="s">
        <v>722</v>
      </c>
      <c r="F54" s="145"/>
      <c r="G54" s="36">
        <f ca="1">COUNTIFS(progress!A:A,plans[[#This Row],[productId]],progress!B:B,plans[[#This Row],[planId]])</f>
        <v>1</v>
      </c>
    </row>
    <row r="55" spans="1:7" x14ac:dyDescent="0.25">
      <c r="A55" s="18" t="s">
        <v>283</v>
      </c>
      <c r="B55" s="24">
        <v>140310071</v>
      </c>
      <c r="C55" s="24">
        <v>3</v>
      </c>
      <c r="D55" s="64">
        <v>5000</v>
      </c>
      <c r="E55" s="24" t="s">
        <v>727</v>
      </c>
      <c r="F55" s="145"/>
      <c r="G55" s="36">
        <f ca="1">COUNTIFS(progress!A:A,plans[[#This Row],[productId]],progress!B:B,plans[[#This Row],[planId]])</f>
        <v>1</v>
      </c>
    </row>
    <row r="56" spans="1:7" x14ac:dyDescent="0.25">
      <c r="A56" s="18" t="s">
        <v>283</v>
      </c>
      <c r="B56" s="24">
        <v>140310071</v>
      </c>
      <c r="C56" s="24">
        <v>3</v>
      </c>
      <c r="D56" s="64">
        <v>12000</v>
      </c>
      <c r="E56" s="24" t="s">
        <v>732</v>
      </c>
      <c r="F56" s="145"/>
      <c r="G56" s="36">
        <f ca="1">COUNTIFS(progress!A:A,plans[[#This Row],[productId]],progress!B:B,plans[[#This Row],[planId]])</f>
        <v>1</v>
      </c>
    </row>
    <row r="57" spans="1:7" x14ac:dyDescent="0.25">
      <c r="A57" s="18" t="s">
        <v>283</v>
      </c>
      <c r="B57" s="24">
        <v>140310071</v>
      </c>
      <c r="C57" s="24">
        <v>3</v>
      </c>
      <c r="D57" s="64">
        <v>12000</v>
      </c>
      <c r="E57" s="24" t="s">
        <v>738</v>
      </c>
      <c r="F57" s="145"/>
      <c r="G57" s="36">
        <f ca="1">COUNTIFS(progress!A:A,plans[[#This Row],[productId]],progress!B:B,plans[[#This Row],[planId]])</f>
        <v>1</v>
      </c>
    </row>
    <row r="58" spans="1:7" x14ac:dyDescent="0.25">
      <c r="A58" s="18" t="s">
        <v>283</v>
      </c>
      <c r="B58" s="24">
        <v>140310071</v>
      </c>
      <c r="C58" s="24">
        <v>3</v>
      </c>
      <c r="D58" s="64">
        <v>12000</v>
      </c>
      <c r="E58" s="24" t="s">
        <v>744</v>
      </c>
      <c r="F58" s="145"/>
      <c r="G58" s="36">
        <f ca="1">COUNTIFS(progress!A:A,plans[[#This Row],[productId]],progress!B:B,plans[[#This Row],[planId]])</f>
        <v>1</v>
      </c>
    </row>
    <row r="59" spans="1:7" x14ac:dyDescent="0.25">
      <c r="A59" s="18" t="s">
        <v>283</v>
      </c>
      <c r="B59" s="24">
        <v>140310071</v>
      </c>
      <c r="C59" s="24">
        <v>3</v>
      </c>
      <c r="D59" s="64">
        <v>12000</v>
      </c>
      <c r="E59" s="24" t="s">
        <v>751</v>
      </c>
      <c r="F59" s="145"/>
      <c r="G59" s="36">
        <f ca="1">COUNTIFS(progress!A:A,plans[[#This Row],[productId]],progress!B:B,plans[[#This Row],[planId]])</f>
        <v>1</v>
      </c>
    </row>
    <row r="60" spans="1:7" s="23" customFormat="1" x14ac:dyDescent="0.25">
      <c r="A60" s="18" t="s">
        <v>283</v>
      </c>
      <c r="B60" s="24">
        <v>140310071</v>
      </c>
      <c r="C60" s="24">
        <v>3</v>
      </c>
      <c r="D60" s="64">
        <v>12000</v>
      </c>
      <c r="E60" s="24" t="s">
        <v>757</v>
      </c>
      <c r="F60" s="145"/>
      <c r="G60" s="36">
        <f ca="1">COUNTIFS(progress!A:A,plans[[#This Row],[productId]],progress!B:B,plans[[#This Row],[planId]])</f>
        <v>1</v>
      </c>
    </row>
    <row r="61" spans="1:7" x14ac:dyDescent="0.25">
      <c r="A61" s="18" t="s">
        <v>283</v>
      </c>
      <c r="B61" s="24">
        <v>140310083</v>
      </c>
      <c r="C61" s="24">
        <v>3</v>
      </c>
      <c r="D61" s="64">
        <v>3000</v>
      </c>
      <c r="E61" s="24" t="s">
        <v>722</v>
      </c>
      <c r="F61" s="145"/>
      <c r="G61" s="36">
        <f ca="1">COUNTIFS(progress!A:A,plans[[#This Row],[productId]],progress!B:B,plans[[#This Row],[planId]])</f>
        <v>1</v>
      </c>
    </row>
    <row r="62" spans="1:7" x14ac:dyDescent="0.25">
      <c r="A62" s="18" t="s">
        <v>283</v>
      </c>
      <c r="B62" s="24">
        <v>140310083</v>
      </c>
      <c r="C62" s="24">
        <v>3</v>
      </c>
      <c r="D62" s="64">
        <v>3000</v>
      </c>
      <c r="E62" s="24" t="s">
        <v>727</v>
      </c>
      <c r="F62" s="145"/>
      <c r="G62" s="36">
        <f ca="1">COUNTIFS(progress!A:A,plans[[#This Row],[productId]],progress!B:B,plans[[#This Row],[planId]])</f>
        <v>1</v>
      </c>
    </row>
    <row r="63" spans="1:7" x14ac:dyDescent="0.25">
      <c r="A63" s="18" t="s">
        <v>283</v>
      </c>
      <c r="B63" s="24">
        <v>140310083</v>
      </c>
      <c r="C63" s="24">
        <v>3</v>
      </c>
      <c r="D63" s="64">
        <v>5000</v>
      </c>
      <c r="E63" s="24" t="s">
        <v>732</v>
      </c>
      <c r="F63" s="145"/>
      <c r="G63" s="36">
        <f ca="1">COUNTIFS(progress!A:A,plans[[#This Row],[productId]],progress!B:B,plans[[#This Row],[planId]])</f>
        <v>1</v>
      </c>
    </row>
    <row r="64" spans="1:7" x14ac:dyDescent="0.25">
      <c r="A64" s="18" t="s">
        <v>283</v>
      </c>
      <c r="B64" s="24">
        <v>140310083</v>
      </c>
      <c r="C64" s="24">
        <v>3</v>
      </c>
      <c r="D64" s="64">
        <v>5000</v>
      </c>
      <c r="E64" s="24" t="s">
        <v>738</v>
      </c>
      <c r="F64" s="145"/>
      <c r="G64" s="36">
        <f ca="1">COUNTIFS(progress!A:A,plans[[#This Row],[productId]],progress!B:B,plans[[#This Row],[planId]])</f>
        <v>1</v>
      </c>
    </row>
    <row r="65" spans="1:7" x14ac:dyDescent="0.25">
      <c r="A65" s="18" t="s">
        <v>283</v>
      </c>
      <c r="B65" s="24">
        <v>140310083</v>
      </c>
      <c r="C65" s="24">
        <v>3</v>
      </c>
      <c r="D65" s="64">
        <v>5000</v>
      </c>
      <c r="E65" s="24" t="s">
        <v>744</v>
      </c>
      <c r="F65" s="145"/>
      <c r="G65" s="36">
        <f ca="1">COUNTIFS(progress!A:A,plans[[#This Row],[productId]],progress!B:B,plans[[#This Row],[planId]])</f>
        <v>1</v>
      </c>
    </row>
    <row r="66" spans="1:7" x14ac:dyDescent="0.25">
      <c r="A66" s="18" t="s">
        <v>283</v>
      </c>
      <c r="B66" s="24">
        <v>140310083</v>
      </c>
      <c r="C66" s="24">
        <v>3</v>
      </c>
      <c r="D66" s="64">
        <v>5000</v>
      </c>
      <c r="E66" s="24" t="s">
        <v>751</v>
      </c>
      <c r="F66" s="145"/>
      <c r="G66" s="36">
        <f ca="1">COUNTIFS(progress!A:A,plans[[#This Row],[productId]],progress!B:B,plans[[#This Row],[planId]])</f>
        <v>1</v>
      </c>
    </row>
    <row r="67" spans="1:7" s="23" customFormat="1" x14ac:dyDescent="0.25">
      <c r="A67" s="18" t="s">
        <v>283</v>
      </c>
      <c r="B67" s="24">
        <v>140310083</v>
      </c>
      <c r="C67" s="24">
        <v>3</v>
      </c>
      <c r="D67" s="64">
        <v>4000</v>
      </c>
      <c r="E67" s="24" t="s">
        <v>757</v>
      </c>
      <c r="F67" s="145"/>
      <c r="G67" s="36">
        <f ca="1">COUNTIFS(progress!A:A,plans[[#This Row],[productId]],progress!B:B,plans[[#This Row],[planId]])</f>
        <v>1</v>
      </c>
    </row>
    <row r="68" spans="1:7" x14ac:dyDescent="0.25">
      <c r="A68" s="18" t="s">
        <v>283</v>
      </c>
      <c r="B68" s="24">
        <v>140310058</v>
      </c>
      <c r="C68" s="24">
        <v>3</v>
      </c>
      <c r="D68" s="64">
        <v>2000</v>
      </c>
      <c r="E68" s="24" t="s">
        <v>722</v>
      </c>
      <c r="F68" s="145"/>
      <c r="G68" s="36">
        <f ca="1">COUNTIFS(progress!A:A,plans[[#This Row],[productId]],progress!B:B,plans[[#This Row],[planId]])</f>
        <v>1</v>
      </c>
    </row>
    <row r="69" spans="1:7" x14ac:dyDescent="0.25">
      <c r="A69" s="18" t="s">
        <v>283</v>
      </c>
      <c r="B69" s="24">
        <v>140310096</v>
      </c>
      <c r="C69" s="24">
        <v>3</v>
      </c>
      <c r="D69" s="64">
        <v>2000</v>
      </c>
      <c r="E69" s="24" t="s">
        <v>722</v>
      </c>
      <c r="F69" s="145"/>
      <c r="G69" s="36">
        <f ca="1">COUNTIFS(progress!A:A,plans[[#This Row],[productId]],progress!B:B,plans[[#This Row],[planId]])</f>
        <v>1</v>
      </c>
    </row>
    <row r="70" spans="1:7" x14ac:dyDescent="0.25">
      <c r="A70" s="18" t="s">
        <v>283</v>
      </c>
      <c r="B70" s="24">
        <v>140310096</v>
      </c>
      <c r="C70" s="24">
        <v>3</v>
      </c>
      <c r="D70" s="64">
        <v>2000</v>
      </c>
      <c r="E70" s="24" t="s">
        <v>727</v>
      </c>
      <c r="F70" s="145"/>
      <c r="G70" s="36">
        <f ca="1">COUNTIFS(progress!A:A,plans[[#This Row],[productId]],progress!B:B,plans[[#This Row],[planId]])</f>
        <v>1</v>
      </c>
    </row>
    <row r="71" spans="1:7" x14ac:dyDescent="0.25">
      <c r="A71" s="18" t="s">
        <v>718</v>
      </c>
      <c r="B71" s="24">
        <v>140310058</v>
      </c>
      <c r="C71" s="24">
        <v>3</v>
      </c>
      <c r="D71" s="64">
        <v>2000</v>
      </c>
      <c r="E71" s="24" t="s">
        <v>731</v>
      </c>
      <c r="F71" s="145"/>
      <c r="G71" s="36">
        <f ca="1">COUNTIFS(progress!A:A,plans[[#This Row],[productId]],progress!B:B,plans[[#This Row],[planId]])</f>
        <v>1</v>
      </c>
    </row>
    <row r="72" spans="1:7" x14ac:dyDescent="0.25">
      <c r="A72" s="18" t="s">
        <v>719</v>
      </c>
      <c r="B72" s="24">
        <v>140010117</v>
      </c>
      <c r="C72" s="24">
        <v>3</v>
      </c>
      <c r="D72" s="64">
        <v>3000</v>
      </c>
      <c r="E72" s="24" t="s">
        <v>727</v>
      </c>
      <c r="F72" s="145"/>
      <c r="G72" s="36">
        <f ca="1">COUNTIFS(progress!A:A,plans[[#This Row],[productId]],progress!B:B,plans[[#This Row],[planId]])</f>
        <v>1</v>
      </c>
    </row>
    <row r="73" spans="1:7" x14ac:dyDescent="0.25">
      <c r="A73" s="18" t="s">
        <v>719</v>
      </c>
      <c r="B73" s="24">
        <v>140010117</v>
      </c>
      <c r="C73" s="24">
        <v>3</v>
      </c>
      <c r="D73" s="64">
        <v>3000</v>
      </c>
      <c r="E73" s="24" t="s">
        <v>731</v>
      </c>
      <c r="F73" s="145"/>
      <c r="G73" s="36">
        <f ca="1">COUNTIFS(progress!A:A,plans[[#This Row],[productId]],progress!B:B,plans[[#This Row],[planId]])</f>
        <v>1</v>
      </c>
    </row>
    <row r="74" spans="1:7" x14ac:dyDescent="0.25">
      <c r="A74" s="18" t="s">
        <v>719</v>
      </c>
      <c r="B74" s="24">
        <v>140010117</v>
      </c>
      <c r="C74" s="24">
        <v>3</v>
      </c>
      <c r="D74" s="64">
        <v>3000</v>
      </c>
      <c r="E74" s="24" t="s">
        <v>736</v>
      </c>
      <c r="F74" s="145"/>
      <c r="G74" s="36">
        <f ca="1">COUNTIFS(progress!A:A,plans[[#This Row],[productId]],progress!B:B,plans[[#This Row],[planId]])</f>
        <v>1</v>
      </c>
    </row>
    <row r="75" spans="1:7" x14ac:dyDescent="0.25">
      <c r="A75" s="18" t="s">
        <v>719</v>
      </c>
      <c r="B75" s="24">
        <v>140010117</v>
      </c>
      <c r="C75" s="24">
        <v>3</v>
      </c>
      <c r="D75" s="64">
        <v>3000</v>
      </c>
      <c r="E75" s="24" t="s">
        <v>743</v>
      </c>
      <c r="F75" s="145"/>
      <c r="G75" s="36">
        <f ca="1">COUNTIFS(progress!A:A,plans[[#This Row],[productId]],progress!B:B,plans[[#This Row],[planId]])</f>
        <v>1</v>
      </c>
    </row>
    <row r="76" spans="1:7" x14ac:dyDescent="0.25">
      <c r="A76" s="18" t="s">
        <v>719</v>
      </c>
      <c r="B76" s="24">
        <v>140010230</v>
      </c>
      <c r="C76" s="24">
        <v>3</v>
      </c>
      <c r="D76" s="64">
        <v>3000</v>
      </c>
      <c r="E76" s="24" t="s">
        <v>743</v>
      </c>
      <c r="F76" s="145"/>
      <c r="G76" s="36">
        <f ca="1">COUNTIFS(progress!A:A,plans[[#This Row],[productId]],progress!B:B,plans[[#This Row],[planId]])</f>
        <v>1</v>
      </c>
    </row>
    <row r="77" spans="1:7" s="23" customFormat="1" x14ac:dyDescent="0.25">
      <c r="A77" s="18" t="s">
        <v>719</v>
      </c>
      <c r="B77" s="24">
        <v>140010255</v>
      </c>
      <c r="C77" s="24">
        <v>3</v>
      </c>
      <c r="D77" s="64">
        <v>500</v>
      </c>
      <c r="E77" s="24" t="s">
        <v>743</v>
      </c>
      <c r="F77" s="145"/>
      <c r="G77" s="36">
        <f ca="1">COUNTIFS(progress!A:A,plans[[#This Row],[productId]],progress!B:B,plans[[#This Row],[planId]])</f>
        <v>1</v>
      </c>
    </row>
    <row r="78" spans="1:7" x14ac:dyDescent="0.25">
      <c r="A78" s="18" t="s">
        <v>719</v>
      </c>
      <c r="B78" s="24">
        <v>140030039</v>
      </c>
      <c r="C78" s="24">
        <v>3</v>
      </c>
      <c r="D78" s="64">
        <v>900</v>
      </c>
      <c r="E78" s="24" t="s">
        <v>727</v>
      </c>
      <c r="F78" s="145"/>
      <c r="G78" s="36">
        <f ca="1">COUNTIFS(progress!A:A,plans[[#This Row],[productId]],progress!B:B,plans[[#This Row],[planId]])</f>
        <v>1</v>
      </c>
    </row>
    <row r="79" spans="1:7" x14ac:dyDescent="0.25">
      <c r="A79" s="18" t="s">
        <v>719</v>
      </c>
      <c r="B79" s="24">
        <v>140030039</v>
      </c>
      <c r="C79" s="24">
        <v>3</v>
      </c>
      <c r="D79" s="64">
        <v>2800</v>
      </c>
      <c r="E79" s="24" t="s">
        <v>735</v>
      </c>
      <c r="F79" s="145"/>
      <c r="G79" s="36">
        <f ca="1">COUNTIFS(progress!A:A,plans[[#This Row],[productId]],progress!B:B,plans[[#This Row],[planId]])</f>
        <v>1</v>
      </c>
    </row>
    <row r="80" spans="1:7" x14ac:dyDescent="0.25">
      <c r="A80" s="18" t="s">
        <v>719</v>
      </c>
      <c r="B80" s="24">
        <v>140030039</v>
      </c>
      <c r="C80" s="24">
        <v>3</v>
      </c>
      <c r="D80" s="64">
        <v>2200</v>
      </c>
      <c r="E80" s="24" t="s">
        <v>741</v>
      </c>
      <c r="F80" s="145"/>
      <c r="G80" s="36">
        <f ca="1">COUNTIFS(progress!A:A,plans[[#This Row],[productId]],progress!B:B,plans[[#This Row],[planId]])</f>
        <v>1</v>
      </c>
    </row>
    <row r="81" spans="1:7" x14ac:dyDescent="0.25">
      <c r="A81" s="18" t="s">
        <v>719</v>
      </c>
      <c r="B81" s="24">
        <v>140030039</v>
      </c>
      <c r="C81" s="24">
        <v>3</v>
      </c>
      <c r="D81" s="64">
        <v>2400</v>
      </c>
      <c r="E81" s="24" t="s">
        <v>748</v>
      </c>
      <c r="F81" s="145"/>
      <c r="G81" s="36">
        <f ca="1">COUNTIFS(progress!A:A,plans[[#This Row],[productId]],progress!B:B,plans[[#This Row],[planId]])</f>
        <v>1</v>
      </c>
    </row>
    <row r="82" spans="1:7" x14ac:dyDescent="0.25">
      <c r="A82" s="18" t="s">
        <v>719</v>
      </c>
      <c r="B82" s="24">
        <v>140030040</v>
      </c>
      <c r="C82" s="24">
        <v>3</v>
      </c>
      <c r="D82" s="64">
        <v>1200</v>
      </c>
      <c r="E82" s="24" t="s">
        <v>727</v>
      </c>
      <c r="F82" s="145"/>
      <c r="G82" s="36">
        <f ca="1">COUNTIFS(progress!A:A,plans[[#This Row],[productId]],progress!B:B,plans[[#This Row],[planId]])</f>
        <v>1</v>
      </c>
    </row>
    <row r="83" spans="1:7" x14ac:dyDescent="0.25">
      <c r="A83" s="18" t="s">
        <v>719</v>
      </c>
      <c r="B83" s="24">
        <v>140030040</v>
      </c>
      <c r="C83" s="24">
        <v>3</v>
      </c>
      <c r="D83" s="64">
        <v>1900</v>
      </c>
      <c r="E83" s="24" t="s">
        <v>735</v>
      </c>
      <c r="F83" s="145"/>
      <c r="G83" s="36">
        <f ca="1">COUNTIFS(progress!A:A,plans[[#This Row],[productId]],progress!B:B,plans[[#This Row],[planId]])</f>
        <v>1</v>
      </c>
    </row>
    <row r="84" spans="1:7" x14ac:dyDescent="0.25">
      <c r="A84" s="18" t="s">
        <v>719</v>
      </c>
      <c r="B84" s="24">
        <v>140030040</v>
      </c>
      <c r="C84" s="24">
        <v>3</v>
      </c>
      <c r="D84" s="64">
        <v>1300</v>
      </c>
      <c r="E84" s="24" t="s">
        <v>741</v>
      </c>
      <c r="F84" s="145"/>
      <c r="G84" s="36">
        <f ca="1">COUNTIFS(progress!A:A,plans[[#This Row],[productId]],progress!B:B,plans[[#This Row],[planId]])</f>
        <v>1</v>
      </c>
    </row>
    <row r="85" spans="1:7" x14ac:dyDescent="0.25">
      <c r="A85" s="18" t="s">
        <v>723</v>
      </c>
      <c r="B85" s="24">
        <v>141320055</v>
      </c>
      <c r="C85" s="24">
        <v>3</v>
      </c>
      <c r="D85" s="64">
        <v>3000</v>
      </c>
      <c r="E85" s="24" t="s">
        <v>737</v>
      </c>
      <c r="F85" s="145"/>
      <c r="G85" s="36">
        <f ca="1">COUNTIFS(progress!A:A,plans[[#This Row],[productId]],progress!B:B,plans[[#This Row],[planId]])</f>
        <v>1</v>
      </c>
    </row>
    <row r="86" spans="1:7" x14ac:dyDescent="0.25">
      <c r="A86" s="18" t="s">
        <v>723</v>
      </c>
      <c r="B86" s="24">
        <v>141320055</v>
      </c>
      <c r="C86" s="24">
        <v>3</v>
      </c>
      <c r="D86" s="64">
        <v>4000</v>
      </c>
      <c r="E86" s="24" t="s">
        <v>1130</v>
      </c>
      <c r="F86" s="145"/>
      <c r="G86" s="36">
        <f ca="1">COUNTIFS(progress!A:A,plans[[#This Row],[productId]],progress!B:B,plans[[#This Row],[planId]])</f>
        <v>1</v>
      </c>
    </row>
    <row r="87" spans="1:7" x14ac:dyDescent="0.25">
      <c r="A87" s="18" t="s">
        <v>723</v>
      </c>
      <c r="B87" s="24">
        <v>141320055</v>
      </c>
      <c r="C87" s="24">
        <v>3</v>
      </c>
      <c r="D87" s="64">
        <v>4000</v>
      </c>
      <c r="E87" s="24" t="s">
        <v>750</v>
      </c>
      <c r="F87" s="145"/>
      <c r="G87" s="36">
        <f ca="1">COUNTIFS(progress!A:A,plans[[#This Row],[productId]],progress!B:B,plans[[#This Row],[planId]])</f>
        <v>1</v>
      </c>
    </row>
    <row r="88" spans="1:7" x14ac:dyDescent="0.25">
      <c r="A88" s="18" t="s">
        <v>723</v>
      </c>
      <c r="B88" s="24">
        <v>141320055</v>
      </c>
      <c r="C88" s="24">
        <v>3</v>
      </c>
      <c r="D88" s="64">
        <v>4000</v>
      </c>
      <c r="E88" s="24" t="s">
        <v>756</v>
      </c>
      <c r="F88" s="145"/>
      <c r="G88" s="36">
        <f ca="1">COUNTIFS(progress!A:A,plans[[#This Row],[productId]],progress!B:B,plans[[#This Row],[planId]])</f>
        <v>1</v>
      </c>
    </row>
    <row r="89" spans="1:7" x14ac:dyDescent="0.25">
      <c r="A89" s="18" t="s">
        <v>723</v>
      </c>
      <c r="B89" s="24">
        <v>140530039</v>
      </c>
      <c r="C89" s="24">
        <v>3</v>
      </c>
      <c r="D89" s="64">
        <v>3000</v>
      </c>
      <c r="E89" s="24" t="s">
        <v>737</v>
      </c>
      <c r="F89" s="145"/>
      <c r="G89" s="36">
        <f ca="1">COUNTIFS(progress!A:A,plans[[#This Row],[productId]],progress!B:B,plans[[#This Row],[planId]])</f>
        <v>1</v>
      </c>
    </row>
    <row r="90" spans="1:7" x14ac:dyDescent="0.25">
      <c r="A90" s="18" t="s">
        <v>723</v>
      </c>
      <c r="B90" s="24">
        <v>140530039</v>
      </c>
      <c r="C90" s="24">
        <v>3</v>
      </c>
      <c r="D90" s="64">
        <v>5000</v>
      </c>
      <c r="E90" s="24" t="s">
        <v>1130</v>
      </c>
      <c r="F90" s="145"/>
      <c r="G90" s="36">
        <f ca="1">COUNTIFS(progress!A:A,plans[[#This Row],[productId]],progress!B:B,plans[[#This Row],[planId]])</f>
        <v>1</v>
      </c>
    </row>
    <row r="91" spans="1:7" x14ac:dyDescent="0.25">
      <c r="A91" s="18" t="s">
        <v>723</v>
      </c>
      <c r="B91" s="24">
        <v>140530039</v>
      </c>
      <c r="C91" s="24">
        <v>3</v>
      </c>
      <c r="D91" s="64">
        <v>5000</v>
      </c>
      <c r="E91" s="24" t="s">
        <v>750</v>
      </c>
      <c r="F91" s="145"/>
      <c r="G91" s="36">
        <f ca="1">COUNTIFS(progress!A:A,plans[[#This Row],[productId]],progress!B:B,plans[[#This Row],[planId]])</f>
        <v>1</v>
      </c>
    </row>
    <row r="92" spans="1:7" x14ac:dyDescent="0.25">
      <c r="A92" s="18" t="s">
        <v>723</v>
      </c>
      <c r="B92" s="24">
        <v>140530039</v>
      </c>
      <c r="C92" s="24">
        <v>3</v>
      </c>
      <c r="D92" s="64">
        <v>7000</v>
      </c>
      <c r="E92" s="24" t="s">
        <v>756</v>
      </c>
      <c r="F92" s="145"/>
      <c r="G92" s="36">
        <f ca="1">COUNTIFS(progress!A:A,plans[[#This Row],[productId]],progress!B:B,plans[[#This Row],[planId]])</f>
        <v>1</v>
      </c>
    </row>
    <row r="93" spans="1:7" x14ac:dyDescent="0.25">
      <c r="A93" s="18" t="s">
        <v>1185</v>
      </c>
      <c r="B93" s="24">
        <v>140550019</v>
      </c>
      <c r="C93" s="24">
        <v>10</v>
      </c>
      <c r="D93" s="64">
        <v>8864</v>
      </c>
      <c r="E93" s="24"/>
      <c r="F93" s="145"/>
      <c r="G93" s="36">
        <f ca="1">COUNTIFS(progress!A:A,plans[[#This Row],[productId]],progress!B:B,plans[[#This Row],[planId]])</f>
        <v>1</v>
      </c>
    </row>
    <row r="94" spans="1:7" x14ac:dyDescent="0.25">
      <c r="A94" s="18" t="s">
        <v>180</v>
      </c>
      <c r="B94" s="24">
        <v>140450027</v>
      </c>
      <c r="C94" s="24">
        <v>11</v>
      </c>
      <c r="D94" s="64">
        <v>6400</v>
      </c>
      <c r="E94" s="24" t="s">
        <v>204</v>
      </c>
      <c r="F94" s="145" t="s">
        <v>205</v>
      </c>
      <c r="G94" s="36">
        <f ca="1">COUNTIFS(progress!A:A,plans[[#This Row],[productId]],progress!B:B,plans[[#This Row],[planId]])</f>
        <v>1</v>
      </c>
    </row>
    <row r="95" spans="1:7" x14ac:dyDescent="0.25">
      <c r="A95" s="18" t="s">
        <v>180</v>
      </c>
      <c r="B95" s="24">
        <v>140450035</v>
      </c>
      <c r="C95" s="24">
        <v>11</v>
      </c>
      <c r="D95" s="64">
        <v>2800</v>
      </c>
      <c r="E95" s="24"/>
      <c r="F95" s="145" t="s">
        <v>205</v>
      </c>
      <c r="G95" s="36">
        <f ca="1">COUNTIFS(progress!A:A,plans[[#This Row],[productId]],progress!B:B,plans[[#This Row],[planId]])</f>
        <v>1</v>
      </c>
    </row>
    <row r="96" spans="1:7" x14ac:dyDescent="0.25">
      <c r="A96" s="18" t="s">
        <v>747</v>
      </c>
      <c r="B96" s="24">
        <v>140010117</v>
      </c>
      <c r="C96" s="24">
        <v>4</v>
      </c>
      <c r="D96" s="64">
        <v>2000</v>
      </c>
      <c r="E96" s="24" t="s">
        <v>777</v>
      </c>
      <c r="F96" s="145"/>
      <c r="G96" s="36">
        <f ca="1">COUNTIFS(progress!A:A,plans[[#This Row],[productId]],progress!B:B,plans[[#This Row],[planId]])</f>
        <v>1</v>
      </c>
    </row>
    <row r="97" spans="1:7" x14ac:dyDescent="0.25">
      <c r="A97" s="18" t="s">
        <v>747</v>
      </c>
      <c r="B97" s="24">
        <v>140010230</v>
      </c>
      <c r="C97" s="24">
        <v>4</v>
      </c>
      <c r="D97" s="64">
        <v>3000</v>
      </c>
      <c r="E97" s="24" t="s">
        <v>771</v>
      </c>
      <c r="F97" s="145"/>
      <c r="G97" s="36">
        <f ca="1">COUNTIFS(progress!A:A,plans[[#This Row],[productId]],progress!B:B,plans[[#This Row],[planId]])</f>
        <v>1</v>
      </c>
    </row>
    <row r="98" spans="1:7" x14ac:dyDescent="0.25">
      <c r="A98" s="18" t="s">
        <v>747</v>
      </c>
      <c r="B98" s="24">
        <v>140010230</v>
      </c>
      <c r="C98" s="24">
        <v>4</v>
      </c>
      <c r="D98" s="64">
        <v>6000</v>
      </c>
      <c r="E98" s="24" t="s">
        <v>777</v>
      </c>
      <c r="F98" s="145"/>
      <c r="G98" s="36">
        <f ca="1">COUNTIFS(progress!A:A,plans[[#This Row],[productId]],progress!B:B,plans[[#This Row],[planId]])</f>
        <v>1</v>
      </c>
    </row>
    <row r="99" spans="1:7" x14ac:dyDescent="0.25">
      <c r="A99" s="18" t="s">
        <v>747</v>
      </c>
      <c r="B99" s="24">
        <v>140010255</v>
      </c>
      <c r="C99" s="24">
        <v>4</v>
      </c>
      <c r="D99" s="64">
        <v>500</v>
      </c>
      <c r="E99" s="24" t="s">
        <v>771</v>
      </c>
      <c r="F99" s="145"/>
      <c r="G99" s="36">
        <f ca="1">COUNTIFS(progress!A:A,plans[[#This Row],[productId]],progress!B:B,plans[[#This Row],[planId]])</f>
        <v>1</v>
      </c>
    </row>
    <row r="100" spans="1:7" x14ac:dyDescent="0.25">
      <c r="A100" s="18" t="s">
        <v>747</v>
      </c>
      <c r="B100" s="24">
        <v>140030039</v>
      </c>
      <c r="C100" s="24">
        <v>4</v>
      </c>
      <c r="D100" s="64">
        <v>1000</v>
      </c>
      <c r="E100" s="24" t="s">
        <v>758</v>
      </c>
      <c r="F100" s="145"/>
      <c r="G100" s="36">
        <f ca="1">COUNTIFS(progress!A:A,plans[[#This Row],[productId]],progress!B:B,plans[[#This Row],[planId]])</f>
        <v>1</v>
      </c>
    </row>
    <row r="101" spans="1:7" x14ac:dyDescent="0.25">
      <c r="A101" s="18" t="s">
        <v>747</v>
      </c>
      <c r="B101" s="24">
        <v>140030039</v>
      </c>
      <c r="C101" s="24">
        <v>4</v>
      </c>
      <c r="D101" s="64">
        <v>700</v>
      </c>
      <c r="E101" s="24" t="s">
        <v>763</v>
      </c>
      <c r="F101" s="145"/>
      <c r="G101" s="36">
        <f ca="1">COUNTIFS(progress!A:A,plans[[#This Row],[productId]],progress!B:B,plans[[#This Row],[planId]])</f>
        <v>1</v>
      </c>
    </row>
    <row r="102" spans="1:7" x14ac:dyDescent="0.25">
      <c r="A102" s="18" t="s">
        <v>747</v>
      </c>
      <c r="B102" s="24">
        <v>140030039</v>
      </c>
      <c r="C102" s="24">
        <v>4</v>
      </c>
      <c r="D102" s="64">
        <v>1700</v>
      </c>
      <c r="E102" s="24" t="s">
        <v>777</v>
      </c>
      <c r="F102" s="145"/>
      <c r="G102" s="36">
        <f ca="1">COUNTIFS(progress!A:A,plans[[#This Row],[productId]],progress!B:B,plans[[#This Row],[planId]])</f>
        <v>1</v>
      </c>
    </row>
    <row r="103" spans="1:7" x14ac:dyDescent="0.25">
      <c r="A103" s="18" t="s">
        <v>747</v>
      </c>
      <c r="B103" s="24">
        <v>140030039</v>
      </c>
      <c r="C103" s="24">
        <v>4</v>
      </c>
      <c r="D103" s="64">
        <v>1800</v>
      </c>
      <c r="E103" s="24" t="s">
        <v>784</v>
      </c>
      <c r="F103" s="145"/>
      <c r="G103" s="36">
        <f ca="1">COUNTIFS(progress!A:A,plans[[#This Row],[productId]],progress!B:B,plans[[#This Row],[planId]])</f>
        <v>1</v>
      </c>
    </row>
    <row r="104" spans="1:7" x14ac:dyDescent="0.25">
      <c r="A104" s="18" t="s">
        <v>747</v>
      </c>
      <c r="B104" s="24">
        <v>140030040</v>
      </c>
      <c r="C104" s="24">
        <v>4</v>
      </c>
      <c r="D104" s="64">
        <v>2000</v>
      </c>
      <c r="E104" s="24" t="s">
        <v>758</v>
      </c>
      <c r="F104" s="145"/>
      <c r="G104" s="36">
        <f ca="1">COUNTIFS(progress!A:A,plans[[#This Row],[productId]],progress!B:B,plans[[#This Row],[planId]])</f>
        <v>1</v>
      </c>
    </row>
    <row r="105" spans="1:7" x14ac:dyDescent="0.25">
      <c r="A105" s="18" t="s">
        <v>747</v>
      </c>
      <c r="B105" s="24">
        <v>140030040</v>
      </c>
      <c r="C105" s="24">
        <v>4</v>
      </c>
      <c r="D105" s="64">
        <v>3600</v>
      </c>
      <c r="E105" s="24" t="s">
        <v>763</v>
      </c>
      <c r="F105" s="145"/>
      <c r="G105" s="36">
        <f ca="1">COUNTIFS(progress!A:A,plans[[#This Row],[productId]],progress!B:B,plans[[#This Row],[planId]])</f>
        <v>1</v>
      </c>
    </row>
    <row r="106" spans="1:7" x14ac:dyDescent="0.25">
      <c r="A106" s="18" t="s">
        <v>747</v>
      </c>
      <c r="B106" s="24">
        <v>140030040</v>
      </c>
      <c r="C106" s="24">
        <v>4</v>
      </c>
      <c r="D106" s="64">
        <v>400</v>
      </c>
      <c r="E106" s="24" t="s">
        <v>777</v>
      </c>
      <c r="F106" s="145"/>
      <c r="G106" s="36">
        <f ca="1">COUNTIFS(progress!A:A,plans[[#This Row],[productId]],progress!B:B,plans[[#This Row],[planId]])</f>
        <v>1</v>
      </c>
    </row>
    <row r="107" spans="1:7" x14ac:dyDescent="0.25">
      <c r="A107" s="18" t="s">
        <v>747</v>
      </c>
      <c r="B107" s="24">
        <v>140030040</v>
      </c>
      <c r="C107" s="24">
        <v>4</v>
      </c>
      <c r="D107" s="64">
        <v>300</v>
      </c>
      <c r="E107" s="24" t="s">
        <v>784</v>
      </c>
      <c r="F107" s="145"/>
      <c r="G107" s="36">
        <f ca="1">COUNTIFS(progress!A:A,plans[[#This Row],[productId]],progress!B:B,plans[[#This Row],[planId]])</f>
        <v>1</v>
      </c>
    </row>
    <row r="108" spans="1:7" x14ac:dyDescent="0.25">
      <c r="A108" s="282" t="s">
        <v>747</v>
      </c>
      <c r="B108" s="283">
        <v>140450047</v>
      </c>
      <c r="C108" s="283">
        <v>4</v>
      </c>
      <c r="D108" s="284">
        <v>5000</v>
      </c>
      <c r="E108" s="283" t="s">
        <v>754</v>
      </c>
      <c r="F108" s="145"/>
      <c r="G108" s="36">
        <f ca="1">COUNTIFS(progress!A:A,plans[[#This Row],[productId]],progress!B:B,plans[[#This Row],[planId]])</f>
        <v>1</v>
      </c>
    </row>
    <row r="109" spans="1:7" x14ac:dyDescent="0.25">
      <c r="A109" s="282" t="s">
        <v>747</v>
      </c>
      <c r="B109" s="283">
        <v>140450047</v>
      </c>
      <c r="C109" s="283">
        <v>4</v>
      </c>
      <c r="D109" s="284">
        <v>3000</v>
      </c>
      <c r="E109" s="283" t="s">
        <v>757</v>
      </c>
      <c r="F109" s="145"/>
      <c r="G109" s="36">
        <f ca="1">COUNTIFS(progress!A:A,plans[[#This Row],[productId]],progress!B:B,plans[[#This Row],[planId]])</f>
        <v>1</v>
      </c>
    </row>
    <row r="110" spans="1:7" x14ac:dyDescent="0.25">
      <c r="A110" s="282" t="s">
        <v>747</v>
      </c>
      <c r="B110" s="283">
        <v>140450047</v>
      </c>
      <c r="C110" s="283">
        <v>4</v>
      </c>
      <c r="D110" s="284">
        <v>3000</v>
      </c>
      <c r="E110" s="283" t="s">
        <v>760</v>
      </c>
      <c r="F110" s="145"/>
      <c r="G110" s="36">
        <f ca="1">COUNTIFS(progress!A:A,plans[[#This Row],[productId]],progress!B:B,plans[[#This Row],[planId]])</f>
        <v>1</v>
      </c>
    </row>
    <row r="111" spans="1:7" x14ac:dyDescent="0.25">
      <c r="A111" s="18" t="s">
        <v>767</v>
      </c>
      <c r="B111" s="24">
        <v>140310007</v>
      </c>
      <c r="C111" s="24">
        <v>4</v>
      </c>
      <c r="D111" s="64">
        <v>10000</v>
      </c>
      <c r="E111" s="24" t="s">
        <v>778</v>
      </c>
      <c r="F111" s="145"/>
      <c r="G111" s="36">
        <f ca="1">COUNTIFS(progress!A:A,plans[[#This Row],[productId]],progress!B:B,plans[[#This Row],[planId]])</f>
        <v>1</v>
      </c>
    </row>
    <row r="112" spans="1:7" x14ac:dyDescent="0.25">
      <c r="A112" s="18" t="s">
        <v>767</v>
      </c>
      <c r="B112" s="24">
        <v>140310007</v>
      </c>
      <c r="C112" s="24">
        <v>4</v>
      </c>
      <c r="D112" s="64">
        <v>10000</v>
      </c>
      <c r="E112" s="24" t="s">
        <v>782</v>
      </c>
      <c r="F112" s="145"/>
      <c r="G112" s="36">
        <f ca="1">COUNTIFS(progress!A:A,plans[[#This Row],[productId]],progress!B:B,plans[[#This Row],[planId]])</f>
        <v>1</v>
      </c>
    </row>
    <row r="113" spans="1:7" x14ac:dyDescent="0.25">
      <c r="A113" s="18" t="s">
        <v>767</v>
      </c>
      <c r="B113" s="24">
        <v>140310007</v>
      </c>
      <c r="C113" s="24">
        <v>4</v>
      </c>
      <c r="D113" s="64">
        <v>10000</v>
      </c>
      <c r="E113" s="24" t="s">
        <v>788</v>
      </c>
      <c r="F113" s="145"/>
      <c r="G113" s="36">
        <f ca="1">COUNTIFS(progress!A:A,plans[[#This Row],[productId]],progress!B:B,plans[[#This Row],[planId]])</f>
        <v>1</v>
      </c>
    </row>
    <row r="114" spans="1:7" x14ac:dyDescent="0.25">
      <c r="A114" s="18" t="s">
        <v>767</v>
      </c>
      <c r="B114" s="24">
        <v>140310007</v>
      </c>
      <c r="C114" s="24">
        <v>4</v>
      </c>
      <c r="D114" s="64">
        <v>10000</v>
      </c>
      <c r="E114" s="24" t="s">
        <v>797</v>
      </c>
      <c r="F114" s="145"/>
      <c r="G114" s="36">
        <f ca="1">COUNTIFS(progress!A:A,plans[[#This Row],[productId]],progress!B:B,plans[[#This Row],[planId]])</f>
        <v>1</v>
      </c>
    </row>
    <row r="115" spans="1:7" x14ac:dyDescent="0.25">
      <c r="A115" s="18" t="s">
        <v>767</v>
      </c>
      <c r="B115" s="24">
        <v>140310007</v>
      </c>
      <c r="C115" s="24">
        <v>4</v>
      </c>
      <c r="D115" s="64">
        <v>10000</v>
      </c>
      <c r="E115" s="24" t="s">
        <v>806</v>
      </c>
      <c r="F115" s="145"/>
      <c r="G115" s="36">
        <f ca="1">COUNTIFS(progress!A:A,plans[[#This Row],[productId]],progress!B:B,plans[[#This Row],[planId]])</f>
        <v>1</v>
      </c>
    </row>
    <row r="116" spans="1:7" x14ac:dyDescent="0.25">
      <c r="A116" s="18" t="s">
        <v>767</v>
      </c>
      <c r="B116" s="24">
        <v>140310007</v>
      </c>
      <c r="C116" s="24">
        <v>4</v>
      </c>
      <c r="D116" s="64">
        <v>10000</v>
      </c>
      <c r="E116" s="24" t="s">
        <v>815</v>
      </c>
      <c r="F116" s="145"/>
      <c r="G116" s="36">
        <f ca="1">COUNTIFS(progress!A:A,plans[[#This Row],[productId]],progress!B:B,plans[[#This Row],[planId]])</f>
        <v>1</v>
      </c>
    </row>
    <row r="117" spans="1:7" x14ac:dyDescent="0.25">
      <c r="A117" s="18" t="s">
        <v>778</v>
      </c>
      <c r="B117" s="24">
        <v>140310031</v>
      </c>
      <c r="C117" s="24">
        <v>4</v>
      </c>
      <c r="D117" s="64">
        <v>8500</v>
      </c>
      <c r="E117" s="24" t="s">
        <v>796</v>
      </c>
      <c r="F117" s="145"/>
      <c r="G117" s="36">
        <f ca="1">COUNTIFS(progress!A:A,plans[[#This Row],[productId]],progress!B:B,plans[[#This Row],[planId]])</f>
        <v>1</v>
      </c>
    </row>
    <row r="118" spans="1:7" x14ac:dyDescent="0.25">
      <c r="A118" s="18" t="s">
        <v>814</v>
      </c>
      <c r="B118" s="24">
        <v>140010117</v>
      </c>
      <c r="C118" s="24">
        <v>6</v>
      </c>
      <c r="D118" s="64">
        <v>3400</v>
      </c>
      <c r="E118" s="24" t="s">
        <v>820</v>
      </c>
      <c r="F118" s="145"/>
      <c r="G118" s="36">
        <f ca="1">COUNTIFS(progress!A:A,plans[[#This Row],[productId]],progress!B:B,plans[[#This Row],[planId]])</f>
        <v>1</v>
      </c>
    </row>
    <row r="119" spans="1:7" x14ac:dyDescent="0.25">
      <c r="A119" s="18" t="s">
        <v>814</v>
      </c>
      <c r="B119" s="24">
        <v>140010117</v>
      </c>
      <c r="C119" s="24">
        <v>6</v>
      </c>
      <c r="D119" s="64">
        <v>3400</v>
      </c>
      <c r="E119" s="24" t="s">
        <v>824</v>
      </c>
      <c r="F119" s="145"/>
      <c r="G119" s="36">
        <f ca="1">COUNTIFS(progress!A:A,plans[[#This Row],[productId]],progress!B:B,plans[[#This Row],[planId]])</f>
        <v>1</v>
      </c>
    </row>
    <row r="120" spans="1:7" x14ac:dyDescent="0.25">
      <c r="A120" s="18" t="s">
        <v>814</v>
      </c>
      <c r="B120" s="24">
        <v>140010117</v>
      </c>
      <c r="C120" s="24">
        <v>6</v>
      </c>
      <c r="D120" s="64">
        <v>3400</v>
      </c>
      <c r="E120" s="24" t="s">
        <v>830</v>
      </c>
      <c r="F120" s="145"/>
      <c r="G120" s="36">
        <f ca="1">COUNTIFS(progress!A:A,plans[[#This Row],[productId]],progress!B:B,plans[[#This Row],[planId]])</f>
        <v>1</v>
      </c>
    </row>
    <row r="121" spans="1:7" x14ac:dyDescent="0.25">
      <c r="A121" s="18" t="s">
        <v>814</v>
      </c>
      <c r="B121" s="24">
        <v>140010117</v>
      </c>
      <c r="C121" s="24">
        <v>6</v>
      </c>
      <c r="D121" s="64">
        <v>3400</v>
      </c>
      <c r="E121" s="24" t="s">
        <v>841</v>
      </c>
      <c r="F121" s="145"/>
      <c r="G121" s="36">
        <f ca="1">COUNTIFS(progress!A:A,plans[[#This Row],[productId]],progress!B:B,plans[[#This Row],[planId]])</f>
        <v>1</v>
      </c>
    </row>
    <row r="122" spans="1:7" x14ac:dyDescent="0.25">
      <c r="A122" s="18" t="s">
        <v>814</v>
      </c>
      <c r="B122" s="24">
        <v>140010117</v>
      </c>
      <c r="C122" s="24">
        <v>6</v>
      </c>
      <c r="D122" s="64">
        <v>3400</v>
      </c>
      <c r="E122" s="24" t="s">
        <v>845</v>
      </c>
      <c r="F122" s="145"/>
      <c r="G122" s="36">
        <f ca="1">COUNTIFS(progress!A:A,plans[[#This Row],[productId]],progress!B:B,plans[[#This Row],[planId]])</f>
        <v>1</v>
      </c>
    </row>
    <row r="123" spans="1:7" x14ac:dyDescent="0.25">
      <c r="A123" s="18" t="s">
        <v>814</v>
      </c>
      <c r="B123" s="24">
        <v>140010230</v>
      </c>
      <c r="C123" s="24">
        <v>6</v>
      </c>
      <c r="D123" s="64">
        <v>3600</v>
      </c>
      <c r="E123" s="24" t="s">
        <v>820</v>
      </c>
      <c r="F123" s="145"/>
      <c r="G123" s="36">
        <f ca="1">COUNTIFS(progress!A:A,plans[[#This Row],[productId]],progress!B:B,plans[[#This Row],[planId]])</f>
        <v>1</v>
      </c>
    </row>
    <row r="124" spans="1:7" x14ac:dyDescent="0.25">
      <c r="A124" s="18" t="s">
        <v>814</v>
      </c>
      <c r="B124" s="24">
        <v>140010230</v>
      </c>
      <c r="C124" s="24">
        <v>6</v>
      </c>
      <c r="D124" s="64">
        <v>3600</v>
      </c>
      <c r="E124" s="24" t="s">
        <v>824</v>
      </c>
      <c r="F124" s="145"/>
      <c r="G124" s="36">
        <f ca="1">COUNTIFS(progress!A:A,plans[[#This Row],[productId]],progress!B:B,plans[[#This Row],[planId]])</f>
        <v>1</v>
      </c>
    </row>
    <row r="125" spans="1:7" x14ac:dyDescent="0.25">
      <c r="A125" s="18" t="s">
        <v>814</v>
      </c>
      <c r="B125" s="24">
        <v>140010230</v>
      </c>
      <c r="C125" s="24">
        <v>6</v>
      </c>
      <c r="D125" s="64">
        <v>3600</v>
      </c>
      <c r="E125" s="24" t="s">
        <v>830</v>
      </c>
      <c r="F125" s="145"/>
      <c r="G125" s="36">
        <f ca="1">COUNTIFS(progress!A:A,plans[[#This Row],[productId]],progress!B:B,plans[[#This Row],[planId]])</f>
        <v>1</v>
      </c>
    </row>
    <row r="126" spans="1:7" x14ac:dyDescent="0.25">
      <c r="A126" s="18" t="s">
        <v>814</v>
      </c>
      <c r="B126" s="24">
        <v>140010230</v>
      </c>
      <c r="C126" s="24">
        <v>6</v>
      </c>
      <c r="D126" s="64">
        <v>3600</v>
      </c>
      <c r="E126" s="24" t="s">
        <v>841</v>
      </c>
      <c r="F126" s="145"/>
      <c r="G126" s="36">
        <f ca="1">COUNTIFS(progress!A:A,plans[[#This Row],[productId]],progress!B:B,plans[[#This Row],[planId]])</f>
        <v>1</v>
      </c>
    </row>
    <row r="127" spans="1:7" x14ac:dyDescent="0.25">
      <c r="A127" s="18" t="s">
        <v>814</v>
      </c>
      <c r="B127" s="24">
        <v>140010230</v>
      </c>
      <c r="C127" s="24">
        <v>6</v>
      </c>
      <c r="D127" s="64">
        <v>3600</v>
      </c>
      <c r="E127" s="24" t="s">
        <v>845</v>
      </c>
      <c r="F127" s="145"/>
      <c r="G127" s="36">
        <f ca="1">COUNTIFS(progress!A:A,plans[[#This Row],[productId]],progress!B:B,plans[[#This Row],[planId]])</f>
        <v>1</v>
      </c>
    </row>
    <row r="128" spans="1:7" x14ac:dyDescent="0.25">
      <c r="A128" s="18" t="s">
        <v>814</v>
      </c>
      <c r="B128" s="24">
        <v>140010255</v>
      </c>
      <c r="C128" s="24">
        <v>6</v>
      </c>
      <c r="D128" s="64">
        <v>360</v>
      </c>
      <c r="E128" s="24" t="s">
        <v>820</v>
      </c>
      <c r="F128" s="145"/>
      <c r="G128" s="36">
        <f ca="1">COUNTIFS(progress!A:A,plans[[#This Row],[productId]],progress!B:B,plans[[#This Row],[planId]])</f>
        <v>1</v>
      </c>
    </row>
    <row r="129" spans="1:7" x14ac:dyDescent="0.25">
      <c r="A129" s="18" t="s">
        <v>814</v>
      </c>
      <c r="B129" s="24">
        <v>140010255</v>
      </c>
      <c r="C129" s="24">
        <v>6</v>
      </c>
      <c r="D129" s="64">
        <v>360</v>
      </c>
      <c r="E129" s="24" t="s">
        <v>824</v>
      </c>
      <c r="F129" s="145"/>
      <c r="G129" s="36">
        <f ca="1">COUNTIFS(progress!A:A,plans[[#This Row],[productId]],progress!B:B,plans[[#This Row],[planId]])</f>
        <v>1</v>
      </c>
    </row>
    <row r="130" spans="1:7" x14ac:dyDescent="0.25">
      <c r="A130" s="18" t="s">
        <v>814</v>
      </c>
      <c r="B130" s="24">
        <v>140010255</v>
      </c>
      <c r="C130" s="24">
        <v>6</v>
      </c>
      <c r="D130" s="64">
        <v>360</v>
      </c>
      <c r="E130" s="24" t="s">
        <v>830</v>
      </c>
      <c r="F130" s="145"/>
      <c r="G130" s="36">
        <f ca="1">COUNTIFS(progress!A:A,plans[[#This Row],[productId]],progress!B:B,plans[[#This Row],[planId]])</f>
        <v>1</v>
      </c>
    </row>
    <row r="131" spans="1:7" x14ac:dyDescent="0.25">
      <c r="A131" s="18" t="s">
        <v>814</v>
      </c>
      <c r="B131" s="24">
        <v>140010255</v>
      </c>
      <c r="C131" s="24">
        <v>6</v>
      </c>
      <c r="D131" s="64">
        <v>360</v>
      </c>
      <c r="E131" s="24" t="s">
        <v>841</v>
      </c>
      <c r="F131" s="145"/>
      <c r="G131" s="36">
        <f ca="1">COUNTIFS(progress!A:A,plans[[#This Row],[productId]],progress!B:B,plans[[#This Row],[planId]])</f>
        <v>1</v>
      </c>
    </row>
    <row r="132" spans="1:7" x14ac:dyDescent="0.25">
      <c r="A132" s="18" t="s">
        <v>814</v>
      </c>
      <c r="B132" s="24">
        <v>140010255</v>
      </c>
      <c r="C132" s="24">
        <v>6</v>
      </c>
      <c r="D132" s="64">
        <v>360</v>
      </c>
      <c r="E132" s="24" t="s">
        <v>845</v>
      </c>
      <c r="F132" s="145"/>
      <c r="G132" s="36">
        <f ca="1">COUNTIFS(progress!A:A,plans[[#This Row],[productId]],progress!B:B,plans[[#This Row],[planId]])</f>
        <v>1</v>
      </c>
    </row>
    <row r="133" spans="1:7" x14ac:dyDescent="0.25">
      <c r="A133" s="18" t="s">
        <v>808</v>
      </c>
      <c r="B133" s="24">
        <v>140010230</v>
      </c>
      <c r="C133" s="24">
        <v>5</v>
      </c>
      <c r="D133" s="64">
        <v>400</v>
      </c>
      <c r="E133" s="24" t="s">
        <v>845</v>
      </c>
      <c r="F133" s="145"/>
      <c r="G133" s="36">
        <f ca="1">COUNTIFS(progress!A:A,plans[[#This Row],[productId]],progress!B:B,plans[[#This Row],[planId]])</f>
        <v>1</v>
      </c>
    </row>
    <row r="134" spans="1:7" x14ac:dyDescent="0.25">
      <c r="A134" s="18" t="s">
        <v>808</v>
      </c>
      <c r="B134" s="24">
        <v>140010255</v>
      </c>
      <c r="C134" s="24">
        <v>5</v>
      </c>
      <c r="D134" s="64">
        <v>700</v>
      </c>
      <c r="E134" s="24" t="s">
        <v>845</v>
      </c>
      <c r="F134" s="145"/>
      <c r="G134" s="36">
        <f ca="1">COUNTIFS(progress!A:A,plans[[#This Row],[productId]],progress!B:B,plans[[#This Row],[planId]])</f>
        <v>1</v>
      </c>
    </row>
    <row r="135" spans="1:7" x14ac:dyDescent="0.25">
      <c r="A135" s="18" t="s">
        <v>816</v>
      </c>
      <c r="B135" s="24">
        <v>140030039</v>
      </c>
      <c r="C135" s="24">
        <v>6</v>
      </c>
      <c r="D135" s="64">
        <v>1000</v>
      </c>
      <c r="E135" s="24" t="s">
        <v>834</v>
      </c>
      <c r="F135" s="145"/>
      <c r="G135" s="36">
        <f ca="1">COUNTIFS(progress!A:A,plans[[#This Row],[productId]],progress!B:B,plans[[#This Row],[planId]])</f>
        <v>1</v>
      </c>
    </row>
    <row r="136" spans="1:7" x14ac:dyDescent="0.25">
      <c r="A136" s="18" t="s">
        <v>816</v>
      </c>
      <c r="B136" s="24">
        <v>140030039</v>
      </c>
      <c r="C136" s="24">
        <v>6</v>
      </c>
      <c r="D136" s="64">
        <v>800</v>
      </c>
      <c r="E136" s="24" t="s">
        <v>839</v>
      </c>
      <c r="F136" s="145"/>
      <c r="G136" s="36">
        <f ca="1">COUNTIFS(progress!A:A,plans[[#This Row],[productId]],progress!B:B,plans[[#This Row],[planId]])</f>
        <v>1</v>
      </c>
    </row>
    <row r="137" spans="1:7" x14ac:dyDescent="0.25">
      <c r="A137" s="18" t="s">
        <v>822</v>
      </c>
      <c r="B137" s="24">
        <v>140010255</v>
      </c>
      <c r="C137" s="24">
        <v>6</v>
      </c>
      <c r="D137" s="64">
        <v>500</v>
      </c>
      <c r="E137" s="24" t="s">
        <v>827</v>
      </c>
      <c r="F137" s="145"/>
      <c r="G137" s="36">
        <f ca="1">COUNTIFS(progress!A:A,plans[[#This Row],[productId]],progress!B:B,plans[[#This Row],[planId]])</f>
        <v>1</v>
      </c>
    </row>
    <row r="138" spans="1:7" x14ac:dyDescent="0.25">
      <c r="A138" s="18" t="s">
        <v>822</v>
      </c>
      <c r="B138" s="24">
        <v>140010255</v>
      </c>
      <c r="C138" s="24">
        <v>6</v>
      </c>
      <c r="D138" s="64">
        <v>500</v>
      </c>
      <c r="E138" s="24" t="s">
        <v>831</v>
      </c>
      <c r="F138" s="145"/>
      <c r="G138" s="36">
        <f ca="1">COUNTIFS(progress!A:A,plans[[#This Row],[productId]],progress!B:B,plans[[#This Row],[planId]])</f>
        <v>1</v>
      </c>
    </row>
    <row r="139" spans="1:7" x14ac:dyDescent="0.25">
      <c r="A139" s="18" t="s">
        <v>820</v>
      </c>
      <c r="B139" s="24">
        <v>140310096</v>
      </c>
      <c r="C139" s="24">
        <v>6</v>
      </c>
      <c r="D139" s="64">
        <v>1500</v>
      </c>
      <c r="E139" s="24" t="s">
        <v>824</v>
      </c>
      <c r="F139" s="145"/>
      <c r="G139" s="36">
        <f ca="1">COUNTIFS(progress!A:A,plans[[#This Row],[productId]],progress!B:B,plans[[#This Row],[planId]])</f>
        <v>1</v>
      </c>
    </row>
    <row r="140" spans="1:7" x14ac:dyDescent="0.25">
      <c r="A140" s="18" t="s">
        <v>820</v>
      </c>
      <c r="B140" s="24">
        <v>140310096</v>
      </c>
      <c r="C140" s="24">
        <v>6</v>
      </c>
      <c r="D140" s="64">
        <v>1000</v>
      </c>
      <c r="E140" s="24" t="s">
        <v>828</v>
      </c>
      <c r="F140" s="145"/>
      <c r="G140" s="36">
        <f ca="1">COUNTIFS(progress!A:A,plans[[#This Row],[productId]],progress!B:B,plans[[#This Row],[planId]])</f>
        <v>1</v>
      </c>
    </row>
    <row r="141" spans="1:7" s="23" customFormat="1" x14ac:dyDescent="0.25">
      <c r="A141" s="18" t="s">
        <v>837</v>
      </c>
      <c r="B141" s="24">
        <v>140010117</v>
      </c>
      <c r="C141" s="24">
        <v>7</v>
      </c>
      <c r="D141" s="64">
        <v>4250</v>
      </c>
      <c r="E141" s="18" t="s">
        <v>856</v>
      </c>
      <c r="F141" s="145"/>
      <c r="G141" s="36">
        <f ca="1">COUNTIFS(progress!A:A,plans[[#This Row],[productId]],progress!B:B,plans[[#This Row],[planId]])</f>
        <v>1</v>
      </c>
    </row>
    <row r="142" spans="1:7" s="23" customFormat="1" x14ac:dyDescent="0.25">
      <c r="A142" s="18" t="s">
        <v>837</v>
      </c>
      <c r="B142" s="24">
        <v>140010117</v>
      </c>
      <c r="C142" s="24">
        <v>7</v>
      </c>
      <c r="D142" s="64">
        <v>4250</v>
      </c>
      <c r="E142" s="18" t="s">
        <v>862</v>
      </c>
      <c r="F142" s="145"/>
      <c r="G142" s="36">
        <f ca="1">COUNTIFS(progress!A:A,plans[[#This Row],[productId]],progress!B:B,plans[[#This Row],[planId]])</f>
        <v>1</v>
      </c>
    </row>
    <row r="143" spans="1:7" s="23" customFormat="1" x14ac:dyDescent="0.25">
      <c r="A143" s="18" t="s">
        <v>837</v>
      </c>
      <c r="B143" s="24">
        <v>140010117</v>
      </c>
      <c r="C143" s="24">
        <v>7</v>
      </c>
      <c r="D143" s="64">
        <v>4250</v>
      </c>
      <c r="E143" s="18" t="s">
        <v>868</v>
      </c>
      <c r="F143" s="145"/>
      <c r="G143" s="36">
        <f ca="1">COUNTIFS(progress!A:A,plans[[#This Row],[productId]],progress!B:B,plans[[#This Row],[planId]])</f>
        <v>1</v>
      </c>
    </row>
    <row r="144" spans="1:7" s="23" customFormat="1" x14ac:dyDescent="0.25">
      <c r="A144" s="18" t="s">
        <v>837</v>
      </c>
      <c r="B144" s="24">
        <v>140010117</v>
      </c>
      <c r="C144" s="24">
        <v>7</v>
      </c>
      <c r="D144" s="64">
        <v>4250</v>
      </c>
      <c r="E144" s="18" t="s">
        <v>872</v>
      </c>
      <c r="F144" s="145"/>
      <c r="G144" s="36">
        <f ca="1">COUNTIFS(progress!A:A,plans[[#This Row],[productId]],progress!B:B,plans[[#This Row],[planId]])</f>
        <v>1</v>
      </c>
    </row>
    <row r="145" spans="1:7" s="23" customFormat="1" x14ac:dyDescent="0.25">
      <c r="A145" s="18" t="s">
        <v>837</v>
      </c>
      <c r="B145" s="24">
        <v>140010230</v>
      </c>
      <c r="C145" s="24">
        <v>7</v>
      </c>
      <c r="D145" s="64">
        <v>3600</v>
      </c>
      <c r="E145" s="18" t="s">
        <v>850</v>
      </c>
      <c r="F145" s="145"/>
      <c r="G145" s="36">
        <f ca="1">COUNTIFS(progress!A:A,plans[[#This Row],[productId]],progress!B:B,plans[[#This Row],[planId]])</f>
        <v>1</v>
      </c>
    </row>
    <row r="146" spans="1:7" s="23" customFormat="1" x14ac:dyDescent="0.25">
      <c r="A146" s="18" t="s">
        <v>837</v>
      </c>
      <c r="B146" s="24">
        <v>140010230</v>
      </c>
      <c r="C146" s="24">
        <v>7</v>
      </c>
      <c r="D146" s="64">
        <v>3600</v>
      </c>
      <c r="E146" s="18" t="s">
        <v>856</v>
      </c>
      <c r="F146" s="145"/>
      <c r="G146" s="36">
        <f ca="1">COUNTIFS(progress!A:A,plans[[#This Row],[productId]],progress!B:B,plans[[#This Row],[planId]])</f>
        <v>1</v>
      </c>
    </row>
    <row r="147" spans="1:7" s="23" customFormat="1" x14ac:dyDescent="0.25">
      <c r="A147" s="18" t="s">
        <v>837</v>
      </c>
      <c r="B147" s="24">
        <v>140010230</v>
      </c>
      <c r="C147" s="24">
        <v>7</v>
      </c>
      <c r="D147" s="64">
        <v>3600</v>
      </c>
      <c r="E147" s="18" t="s">
        <v>862</v>
      </c>
      <c r="F147" s="145"/>
      <c r="G147" s="36">
        <f ca="1">COUNTIFS(progress!A:A,plans[[#This Row],[productId]],progress!B:B,plans[[#This Row],[planId]])</f>
        <v>1</v>
      </c>
    </row>
    <row r="148" spans="1:7" s="23" customFormat="1" x14ac:dyDescent="0.25">
      <c r="A148" s="18" t="s">
        <v>837</v>
      </c>
      <c r="B148" s="24">
        <v>140010230</v>
      </c>
      <c r="C148" s="24">
        <v>7</v>
      </c>
      <c r="D148" s="64">
        <v>3600</v>
      </c>
      <c r="E148" s="18" t="s">
        <v>868</v>
      </c>
      <c r="F148" s="145"/>
      <c r="G148" s="36">
        <f ca="1">COUNTIFS(progress!A:A,plans[[#This Row],[productId]],progress!B:B,plans[[#This Row],[planId]])</f>
        <v>1</v>
      </c>
    </row>
    <row r="149" spans="1:7" s="23" customFormat="1" x14ac:dyDescent="0.25">
      <c r="A149" s="18" t="s">
        <v>837</v>
      </c>
      <c r="B149" s="24">
        <v>140010230</v>
      </c>
      <c r="C149" s="24">
        <v>7</v>
      </c>
      <c r="D149" s="64">
        <v>3600</v>
      </c>
      <c r="E149" s="18" t="s">
        <v>872</v>
      </c>
      <c r="F149" s="145"/>
      <c r="G149" s="36">
        <f ca="1">COUNTIFS(progress!A:A,plans[[#This Row],[productId]],progress!B:B,plans[[#This Row],[planId]])</f>
        <v>1</v>
      </c>
    </row>
    <row r="150" spans="1:7" s="23" customFormat="1" x14ac:dyDescent="0.25">
      <c r="A150" s="18" t="s">
        <v>837</v>
      </c>
      <c r="B150" s="24">
        <v>140010255</v>
      </c>
      <c r="C150" s="24">
        <v>7</v>
      </c>
      <c r="D150" s="64">
        <v>500</v>
      </c>
      <c r="E150" s="18" t="s">
        <v>868</v>
      </c>
      <c r="F150" s="145"/>
      <c r="G150" s="36">
        <f ca="1">COUNTIFS(progress!A:A,plans[[#This Row],[productId]],progress!B:B,plans[[#This Row],[planId]])</f>
        <v>1</v>
      </c>
    </row>
    <row r="151" spans="1:7" s="23" customFormat="1" x14ac:dyDescent="0.25">
      <c r="A151" s="18" t="s">
        <v>837</v>
      </c>
      <c r="B151" s="24">
        <v>140010255</v>
      </c>
      <c r="C151" s="24">
        <v>7</v>
      </c>
      <c r="D151" s="64">
        <v>500</v>
      </c>
      <c r="E151" s="18" t="s">
        <v>872</v>
      </c>
      <c r="F151" s="145"/>
      <c r="G151" s="36">
        <f ca="1">COUNTIFS(progress!A:A,plans[[#This Row],[productId]],progress!B:B,plans[[#This Row],[planId]])</f>
        <v>1</v>
      </c>
    </row>
    <row r="152" spans="1:7" s="23" customFormat="1" x14ac:dyDescent="0.25">
      <c r="A152" s="18" t="s">
        <v>843</v>
      </c>
      <c r="B152" s="24">
        <v>140030039</v>
      </c>
      <c r="C152" s="24">
        <v>7</v>
      </c>
      <c r="D152" s="64">
        <v>1000</v>
      </c>
      <c r="E152" s="18" t="s">
        <v>851</v>
      </c>
      <c r="F152" s="145"/>
      <c r="G152" s="36">
        <f ca="1">COUNTIFS(progress!A:A,plans[[#This Row],[productId]],progress!B:B,plans[[#This Row],[planId]])</f>
        <v>1</v>
      </c>
    </row>
    <row r="153" spans="1:7" s="23" customFormat="1" x14ac:dyDescent="0.25">
      <c r="A153" s="18" t="s">
        <v>843</v>
      </c>
      <c r="B153" s="24">
        <v>140030039</v>
      </c>
      <c r="C153" s="24">
        <v>7</v>
      </c>
      <c r="D153" s="64">
        <v>2000</v>
      </c>
      <c r="E153" s="18" t="s">
        <v>862</v>
      </c>
      <c r="F153" s="145"/>
      <c r="G153" s="36">
        <f ca="1">COUNTIFS(progress!A:A,plans[[#This Row],[productId]],progress!B:B,plans[[#This Row],[planId]])</f>
        <v>1</v>
      </c>
    </row>
    <row r="154" spans="1:7" s="23" customFormat="1" x14ac:dyDescent="0.25">
      <c r="A154" s="18" t="s">
        <v>843</v>
      </c>
      <c r="B154" s="24">
        <v>140030039</v>
      </c>
      <c r="C154" s="24">
        <v>7</v>
      </c>
      <c r="D154" s="64">
        <v>2600</v>
      </c>
      <c r="E154" s="18" t="s">
        <v>869</v>
      </c>
      <c r="F154" s="145"/>
      <c r="G154" s="36">
        <f ca="1">COUNTIFS(progress!A:A,plans[[#This Row],[productId]],progress!B:B,plans[[#This Row],[planId]])</f>
        <v>1</v>
      </c>
    </row>
    <row r="155" spans="1:7" s="23" customFormat="1" x14ac:dyDescent="0.25">
      <c r="A155" s="18" t="s">
        <v>843</v>
      </c>
      <c r="B155" s="24">
        <v>140030040</v>
      </c>
      <c r="C155" s="24">
        <v>7</v>
      </c>
      <c r="D155" s="64">
        <v>1700</v>
      </c>
      <c r="E155" s="18" t="s">
        <v>869</v>
      </c>
      <c r="F155" s="145"/>
      <c r="G155" s="36">
        <f ca="1">COUNTIFS(progress!A:A,plans[[#This Row],[productId]],progress!B:B,plans[[#This Row],[planId]])</f>
        <v>1</v>
      </c>
    </row>
    <row r="156" spans="1:7" s="23" customFormat="1" x14ac:dyDescent="0.25">
      <c r="A156" s="18" t="s">
        <v>846</v>
      </c>
      <c r="B156" s="24">
        <v>140310007</v>
      </c>
      <c r="C156" s="24">
        <v>7</v>
      </c>
      <c r="D156" s="64">
        <v>30000</v>
      </c>
      <c r="E156" s="18" t="s">
        <v>880</v>
      </c>
      <c r="F156" s="145"/>
      <c r="G156" s="36">
        <f ca="1">COUNTIFS(progress!A:A,plans[[#This Row],[productId]],progress!B:B,plans[[#This Row],[planId]])</f>
        <v>1</v>
      </c>
    </row>
    <row r="157" spans="1:7" s="23" customFormat="1" x14ac:dyDescent="0.25">
      <c r="A157" s="18" t="s">
        <v>846</v>
      </c>
      <c r="B157" s="24">
        <v>140310071</v>
      </c>
      <c r="C157" s="24">
        <v>7</v>
      </c>
      <c r="D157" s="64">
        <v>70000</v>
      </c>
      <c r="E157" s="18" t="s">
        <v>880</v>
      </c>
      <c r="F157" s="145"/>
      <c r="G157" s="36">
        <f ca="1">COUNTIFS(progress!A:A,plans[[#This Row],[productId]],progress!B:B,plans[[#This Row],[planId]])</f>
        <v>1</v>
      </c>
    </row>
    <row r="158" spans="1:7" s="23" customFormat="1" x14ac:dyDescent="0.25">
      <c r="A158" s="18" t="s">
        <v>846</v>
      </c>
      <c r="B158" s="24">
        <v>140310083</v>
      </c>
      <c r="C158" s="24">
        <v>7</v>
      </c>
      <c r="D158" s="64">
        <v>30000</v>
      </c>
      <c r="E158" s="24" t="s">
        <v>880</v>
      </c>
      <c r="F158" s="145"/>
      <c r="G158" s="36">
        <f ca="1">COUNTIFS(progress!A:A,plans[[#This Row],[productId]],progress!B:B,plans[[#This Row],[planId]])</f>
        <v>1</v>
      </c>
    </row>
    <row r="159" spans="1:7" x14ac:dyDescent="0.25">
      <c r="A159" s="18" t="s">
        <v>867</v>
      </c>
      <c r="B159" s="24">
        <v>140310097</v>
      </c>
      <c r="C159" s="24">
        <v>7</v>
      </c>
      <c r="D159" s="64">
        <v>2000</v>
      </c>
      <c r="E159" s="24" t="s">
        <v>872</v>
      </c>
      <c r="F159" s="145"/>
      <c r="G159" s="36">
        <f ca="1">COUNTIFS(progress!A:A,plans[[#This Row],[productId]],progress!B:B,plans[[#This Row],[planId]])</f>
        <v>1</v>
      </c>
    </row>
    <row r="160" spans="1:7" x14ac:dyDescent="0.25">
      <c r="A160" s="18" t="s">
        <v>867</v>
      </c>
      <c r="B160" s="24">
        <v>140310097</v>
      </c>
      <c r="C160" s="24">
        <v>7</v>
      </c>
      <c r="D160" s="64">
        <v>2000</v>
      </c>
      <c r="E160" s="24" t="s">
        <v>876</v>
      </c>
      <c r="F160" s="145"/>
      <c r="G160" s="36">
        <f ca="1">COUNTIFS(progress!A:A,plans[[#This Row],[productId]],progress!B:B,plans[[#This Row],[planId]])</f>
        <v>1</v>
      </c>
    </row>
    <row r="161" spans="1:7" x14ac:dyDescent="0.25">
      <c r="A161" s="18" t="s">
        <v>867</v>
      </c>
      <c r="B161" s="24">
        <v>140310097</v>
      </c>
      <c r="C161" s="24">
        <v>7</v>
      </c>
      <c r="D161" s="64">
        <v>1000</v>
      </c>
      <c r="E161" s="24" t="s">
        <v>878</v>
      </c>
      <c r="F161" s="145"/>
      <c r="G161" s="36">
        <f ca="1">COUNTIFS(progress!A:A,plans[[#This Row],[productId]],progress!B:B,plans[[#This Row],[planId]])</f>
        <v>1</v>
      </c>
    </row>
    <row r="162" spans="1:7" x14ac:dyDescent="0.25">
      <c r="A162" s="18" t="s">
        <v>869</v>
      </c>
      <c r="B162" s="24">
        <v>140310091</v>
      </c>
      <c r="C162" s="24">
        <v>7</v>
      </c>
      <c r="D162" s="64">
        <v>500</v>
      </c>
      <c r="E162" s="18" t="s">
        <v>869</v>
      </c>
      <c r="F162" s="145"/>
      <c r="G162" s="36">
        <f ca="1">COUNTIFS(progress!A:A,plans[[#This Row],[productId]],progress!B:B,plans[[#This Row],[planId]])</f>
        <v>2</v>
      </c>
    </row>
    <row r="163" spans="1:7" s="23" customFormat="1" x14ac:dyDescent="0.25">
      <c r="A163" s="18" t="s">
        <v>871</v>
      </c>
      <c r="B163" s="24">
        <v>140010117</v>
      </c>
      <c r="C163" s="24">
        <v>8</v>
      </c>
      <c r="D163" s="64">
        <v>3000</v>
      </c>
      <c r="E163" s="24" t="s">
        <v>886</v>
      </c>
      <c r="F163" s="145"/>
      <c r="G163" s="36">
        <f ca="1">COUNTIFS(progress!A:A,plans[[#This Row],[productId]],progress!B:B,plans[[#This Row],[planId]])</f>
        <v>1</v>
      </c>
    </row>
    <row r="164" spans="1:7" s="23" customFormat="1" x14ac:dyDescent="0.25">
      <c r="A164" s="18" t="s">
        <v>871</v>
      </c>
      <c r="B164" s="24">
        <v>140010117</v>
      </c>
      <c r="C164" s="24">
        <v>8</v>
      </c>
      <c r="D164" s="64">
        <v>3000</v>
      </c>
      <c r="E164" s="18" t="s">
        <v>892</v>
      </c>
      <c r="F164" s="145"/>
      <c r="G164" s="36">
        <f ca="1">COUNTIFS(progress!A:A,plans[[#This Row],[productId]],progress!B:B,plans[[#This Row],[planId]])</f>
        <v>1</v>
      </c>
    </row>
    <row r="165" spans="1:7" s="23" customFormat="1" x14ac:dyDescent="0.25">
      <c r="A165" s="18" t="s">
        <v>871</v>
      </c>
      <c r="B165" s="24">
        <v>140010117</v>
      </c>
      <c r="C165" s="24">
        <v>8</v>
      </c>
      <c r="D165" s="64">
        <v>3000</v>
      </c>
      <c r="E165" s="24" t="s">
        <v>898</v>
      </c>
      <c r="F165" s="145"/>
      <c r="G165" s="36">
        <f ca="1">COUNTIFS(progress!A:A,plans[[#This Row],[productId]],progress!B:B,plans[[#This Row],[planId]])</f>
        <v>1</v>
      </c>
    </row>
    <row r="166" spans="1:7" s="23" customFormat="1" x14ac:dyDescent="0.25">
      <c r="A166" s="18" t="s">
        <v>871</v>
      </c>
      <c r="B166" s="24">
        <v>140010117</v>
      </c>
      <c r="C166" s="24">
        <v>8</v>
      </c>
      <c r="D166" s="64">
        <v>3000</v>
      </c>
      <c r="E166" s="18" t="s">
        <v>904</v>
      </c>
      <c r="F166" s="145"/>
      <c r="G166" s="36">
        <f ca="1">COUNTIFS(progress!A:A,plans[[#This Row],[productId]],progress!B:B,plans[[#This Row],[planId]])</f>
        <v>1</v>
      </c>
    </row>
    <row r="167" spans="1:7" x14ac:dyDescent="0.25">
      <c r="A167" s="18" t="s">
        <v>871</v>
      </c>
      <c r="B167" s="24">
        <v>140010230</v>
      </c>
      <c r="C167" s="24">
        <v>8</v>
      </c>
      <c r="D167" s="64">
        <v>5000</v>
      </c>
      <c r="E167" s="18" t="s">
        <v>892</v>
      </c>
      <c r="F167" s="145"/>
      <c r="G167" s="36">
        <f ca="1">COUNTIFS(progress!A:A,plans[[#This Row],[productId]],progress!B:B,plans[[#This Row],[planId]])</f>
        <v>1</v>
      </c>
    </row>
    <row r="168" spans="1:7" x14ac:dyDescent="0.25">
      <c r="A168" s="18" t="s">
        <v>871</v>
      </c>
      <c r="B168" s="24">
        <v>140010230</v>
      </c>
      <c r="C168" s="24">
        <v>8</v>
      </c>
      <c r="D168" s="64">
        <v>5000</v>
      </c>
      <c r="E168" s="24" t="s">
        <v>898</v>
      </c>
      <c r="F168" s="145"/>
      <c r="G168" s="36">
        <f ca="1">COUNTIFS(progress!A:A,plans[[#This Row],[productId]],progress!B:B,plans[[#This Row],[planId]])</f>
        <v>1</v>
      </c>
    </row>
    <row r="169" spans="1:7" x14ac:dyDescent="0.25">
      <c r="A169" s="18" t="s">
        <v>871</v>
      </c>
      <c r="B169" s="24">
        <v>140010230</v>
      </c>
      <c r="C169" s="24">
        <v>8</v>
      </c>
      <c r="D169" s="64">
        <v>5000</v>
      </c>
      <c r="E169" s="18" t="s">
        <v>904</v>
      </c>
      <c r="F169" s="145"/>
      <c r="G169" s="36">
        <f ca="1">COUNTIFS(progress!A:A,plans[[#This Row],[productId]],progress!B:B,plans[[#This Row],[planId]])</f>
        <v>1</v>
      </c>
    </row>
    <row r="170" spans="1:7" x14ac:dyDescent="0.25">
      <c r="A170" s="18" t="s">
        <v>872</v>
      </c>
      <c r="B170" s="24">
        <v>140310091</v>
      </c>
      <c r="C170" s="24">
        <v>7</v>
      </c>
      <c r="D170" s="64">
        <v>2000</v>
      </c>
      <c r="E170" s="18" t="s">
        <v>872</v>
      </c>
      <c r="F170" s="145"/>
      <c r="G170" s="36">
        <f ca="1">COUNTIFS(progress!A:A,plans[[#This Row],[productId]],progress!B:B,plans[[#This Row],[planId]])</f>
        <v>2</v>
      </c>
    </row>
    <row r="171" spans="1:7" s="23" customFormat="1" x14ac:dyDescent="0.25">
      <c r="A171" s="18" t="s">
        <v>874</v>
      </c>
      <c r="B171" s="24">
        <v>140030039</v>
      </c>
      <c r="C171" s="24">
        <v>8</v>
      </c>
      <c r="D171" s="64">
        <v>2500</v>
      </c>
      <c r="E171" s="18" t="s">
        <v>883</v>
      </c>
      <c r="F171" s="145"/>
      <c r="G171" s="36">
        <f ca="1">COUNTIFS(progress!A:A,plans[[#This Row],[productId]],progress!B:B,plans[[#This Row],[planId]])</f>
        <v>1</v>
      </c>
    </row>
    <row r="172" spans="1:7" s="23" customFormat="1" x14ac:dyDescent="0.25">
      <c r="A172" s="18" t="s">
        <v>874</v>
      </c>
      <c r="B172" s="24">
        <v>140030039</v>
      </c>
      <c r="C172" s="24">
        <v>8</v>
      </c>
      <c r="D172" s="64">
        <v>2500</v>
      </c>
      <c r="E172" s="18" t="s">
        <v>890</v>
      </c>
      <c r="F172" s="145"/>
      <c r="G172" s="36">
        <f ca="1">COUNTIFS(progress!A:A,plans[[#This Row],[productId]],progress!B:B,plans[[#This Row],[planId]])</f>
        <v>1</v>
      </c>
    </row>
    <row r="173" spans="1:7" s="23" customFormat="1" x14ac:dyDescent="0.25">
      <c r="A173" s="18" t="s">
        <v>874</v>
      </c>
      <c r="B173" s="24">
        <v>140030039</v>
      </c>
      <c r="C173" s="24">
        <v>8</v>
      </c>
      <c r="D173" s="64">
        <v>2500</v>
      </c>
      <c r="E173" s="18" t="s">
        <v>897</v>
      </c>
      <c r="F173" s="145"/>
      <c r="G173" s="36">
        <f ca="1">COUNTIFS(progress!A:A,plans[[#This Row],[productId]],progress!B:B,plans[[#This Row],[planId]])</f>
        <v>1</v>
      </c>
    </row>
    <row r="174" spans="1:7" s="23" customFormat="1" x14ac:dyDescent="0.25">
      <c r="A174" s="18" t="s">
        <v>874</v>
      </c>
      <c r="B174" s="24">
        <v>140030039</v>
      </c>
      <c r="C174" s="24">
        <v>8</v>
      </c>
      <c r="D174" s="64">
        <v>1000</v>
      </c>
      <c r="E174" s="18" t="s">
        <v>904</v>
      </c>
      <c r="F174" s="145"/>
      <c r="G174" s="36">
        <f ca="1">COUNTIFS(progress!A:A,plans[[#This Row],[productId]],progress!B:B,plans[[#This Row],[planId]])</f>
        <v>1</v>
      </c>
    </row>
    <row r="175" spans="1:7" s="23" customFormat="1" x14ac:dyDescent="0.25">
      <c r="A175" s="18" t="s">
        <v>874</v>
      </c>
      <c r="B175" s="24">
        <v>140030040</v>
      </c>
      <c r="C175" s="24">
        <v>8</v>
      </c>
      <c r="D175" s="64">
        <v>1000</v>
      </c>
      <c r="E175" s="18" t="s">
        <v>883</v>
      </c>
      <c r="F175" s="145"/>
      <c r="G175" s="36">
        <f ca="1">COUNTIFS(progress!A:A,plans[[#This Row],[productId]],progress!B:B,plans[[#This Row],[planId]])</f>
        <v>1</v>
      </c>
    </row>
    <row r="176" spans="1:7" s="23" customFormat="1" x14ac:dyDescent="0.25">
      <c r="A176" s="18" t="s">
        <v>874</v>
      </c>
      <c r="B176" s="24">
        <v>140030040</v>
      </c>
      <c r="C176" s="24">
        <v>8</v>
      </c>
      <c r="D176" s="64">
        <v>3000</v>
      </c>
      <c r="E176" s="18" t="s">
        <v>890</v>
      </c>
      <c r="F176" s="145"/>
      <c r="G176" s="36">
        <f ca="1">COUNTIFS(progress!A:A,plans[[#This Row],[productId]],progress!B:B,plans[[#This Row],[planId]])</f>
        <v>1</v>
      </c>
    </row>
    <row r="177" spans="1:7" s="23" customFormat="1" x14ac:dyDescent="0.25">
      <c r="A177" s="18" t="s">
        <v>874</v>
      </c>
      <c r="B177" s="24">
        <v>140030040</v>
      </c>
      <c r="C177" s="24">
        <v>8</v>
      </c>
      <c r="D177" s="64">
        <v>3000</v>
      </c>
      <c r="E177" s="18" t="s">
        <v>897</v>
      </c>
      <c r="F177" s="145"/>
      <c r="G177" s="36">
        <f ca="1">COUNTIFS(progress!A:A,plans[[#This Row],[productId]],progress!B:B,plans[[#This Row],[planId]])</f>
        <v>1</v>
      </c>
    </row>
    <row r="178" spans="1:7" s="23" customFormat="1" x14ac:dyDescent="0.25">
      <c r="A178" s="18" t="s">
        <v>874</v>
      </c>
      <c r="B178" s="24">
        <v>140030040</v>
      </c>
      <c r="C178" s="24">
        <v>8</v>
      </c>
      <c r="D178" s="64">
        <v>1400</v>
      </c>
      <c r="E178" s="18" t="s">
        <v>904</v>
      </c>
      <c r="F178" s="145"/>
      <c r="G178" s="36">
        <f ca="1">COUNTIFS(progress!A:A,plans[[#This Row],[productId]],progress!B:B,plans[[#This Row],[planId]])</f>
        <v>1</v>
      </c>
    </row>
    <row r="179" spans="1:7" s="23" customFormat="1" x14ac:dyDescent="0.25">
      <c r="A179" s="18"/>
      <c r="B179" s="24"/>
      <c r="C179" s="24"/>
      <c r="D179" s="64"/>
      <c r="E179" s="18"/>
      <c r="F179" s="145"/>
      <c r="G179" s="36"/>
    </row>
    <row r="180" spans="1:7" x14ac:dyDescent="0.25">
      <c r="B180" s="24"/>
      <c r="C180" s="24"/>
      <c r="D180" s="64"/>
      <c r="E180" s="24"/>
      <c r="F180" s="145"/>
      <c r="G180" s="36"/>
    </row>
    <row r="181" spans="1:7" x14ac:dyDescent="0.25">
      <c r="B181" s="24"/>
      <c r="C181" s="24"/>
      <c r="D181" s="64"/>
      <c r="E181" s="24"/>
      <c r="F181" s="145"/>
      <c r="G181" s="36"/>
    </row>
    <row r="182" spans="1:7" x14ac:dyDescent="0.25">
      <c r="B182" s="24"/>
      <c r="C182" s="24"/>
      <c r="D182" s="64"/>
      <c r="E182" s="24"/>
      <c r="F182" s="145"/>
      <c r="G182" s="36"/>
    </row>
    <row r="183" spans="1:7" x14ac:dyDescent="0.25">
      <c r="B183" s="24"/>
      <c r="C183" s="24"/>
      <c r="D183" s="64"/>
      <c r="E183" s="24"/>
      <c r="F183" s="145"/>
      <c r="G183" s="36"/>
    </row>
    <row r="184" spans="1:7" x14ac:dyDescent="0.25">
      <c r="B184" s="24"/>
      <c r="C184" s="24"/>
      <c r="D184" s="64"/>
      <c r="E184" s="24"/>
      <c r="F184" s="145"/>
      <c r="G184" s="36"/>
    </row>
    <row r="185" spans="1:7" x14ac:dyDescent="0.25">
      <c r="B185" s="24"/>
      <c r="C185" s="24"/>
      <c r="D185" s="64"/>
      <c r="E185" s="24"/>
      <c r="F185" s="145"/>
      <c r="G185" s="36"/>
    </row>
    <row r="186" spans="1:7" x14ac:dyDescent="0.25">
      <c r="B186" s="24"/>
      <c r="C186" s="24"/>
      <c r="D186" s="64"/>
      <c r="E186" s="24"/>
      <c r="F186" s="145"/>
      <c r="G186" s="36"/>
    </row>
    <row r="187" spans="1:7" x14ac:dyDescent="0.25">
      <c r="B187" s="24"/>
      <c r="C187" s="24"/>
      <c r="D187" s="26"/>
      <c r="E187" s="24"/>
      <c r="F187" s="145"/>
      <c r="G187" s="36"/>
    </row>
    <row r="188" spans="1:7" x14ac:dyDescent="0.25">
      <c r="B188" s="24"/>
      <c r="C188" s="24"/>
      <c r="D188" s="26"/>
      <c r="E188" s="24"/>
      <c r="F188" s="145"/>
      <c r="G188" s="36"/>
    </row>
    <row r="189" spans="1:7" x14ac:dyDescent="0.25">
      <c r="B189" s="24"/>
      <c r="C189" s="24"/>
      <c r="D189" s="26"/>
      <c r="E189" s="24"/>
      <c r="F189" s="145"/>
      <c r="G189" s="36"/>
    </row>
    <row r="190" spans="1:7" x14ac:dyDescent="0.25">
      <c r="B190" s="24"/>
      <c r="C190" s="24"/>
      <c r="D190" s="26"/>
      <c r="E190" s="24"/>
      <c r="F190" s="145"/>
      <c r="G190" s="36"/>
    </row>
    <row r="191" spans="1:7" x14ac:dyDescent="0.25">
      <c r="B191" s="24"/>
      <c r="C191" s="24"/>
      <c r="D191" s="26"/>
      <c r="E191" s="24"/>
      <c r="F191" s="145"/>
      <c r="G191" s="36"/>
    </row>
    <row r="192" spans="1:7" x14ac:dyDescent="0.25">
      <c r="B192" s="24"/>
      <c r="C192" s="24"/>
      <c r="D192" s="26"/>
      <c r="E192" s="24"/>
      <c r="F192" s="145"/>
      <c r="G192" s="36"/>
    </row>
    <row r="193" spans="2:7" x14ac:dyDescent="0.25">
      <c r="B193" s="24"/>
      <c r="C193" s="24"/>
      <c r="D193" s="26"/>
      <c r="E193" s="24"/>
      <c r="F193" s="145"/>
      <c r="G193" s="36"/>
    </row>
    <row r="194" spans="2:7" x14ac:dyDescent="0.25">
      <c r="B194" s="24"/>
      <c r="C194" s="24"/>
      <c r="D194" s="26"/>
      <c r="E194" s="24"/>
      <c r="F194" s="145"/>
      <c r="G194" s="36"/>
    </row>
    <row r="195" spans="2:7" x14ac:dyDescent="0.25">
      <c r="B195" s="24"/>
      <c r="C195" s="24"/>
      <c r="D195" s="26"/>
      <c r="E195" s="24"/>
      <c r="F195" s="145"/>
      <c r="G195" s="36"/>
    </row>
    <row r="196" spans="2:7" x14ac:dyDescent="0.25">
      <c r="B196" s="24"/>
      <c r="C196" s="24"/>
      <c r="D196" s="26"/>
      <c r="E196" s="24"/>
      <c r="F196" s="145"/>
      <c r="G196" s="36"/>
    </row>
    <row r="197" spans="2:7" x14ac:dyDescent="0.25">
      <c r="B197" s="24"/>
      <c r="C197" s="24"/>
      <c r="D197" s="26"/>
      <c r="E197" s="24"/>
      <c r="F197" s="145"/>
      <c r="G197" s="36"/>
    </row>
    <row r="198" spans="2:7" x14ac:dyDescent="0.25">
      <c r="B198" s="24"/>
      <c r="C198" s="24"/>
      <c r="D198" s="26"/>
      <c r="E198" s="24"/>
      <c r="F198" s="145"/>
      <c r="G198" s="36"/>
    </row>
    <row r="199" spans="2:7" x14ac:dyDescent="0.25">
      <c r="B199" s="24"/>
      <c r="C199" s="24"/>
      <c r="D199" s="26"/>
      <c r="E199" s="24"/>
      <c r="F199" s="145"/>
      <c r="G199" s="36"/>
    </row>
    <row r="200" spans="2:7" x14ac:dyDescent="0.25">
      <c r="B200" s="24"/>
      <c r="C200" s="24"/>
      <c r="D200" s="26"/>
      <c r="E200" s="24"/>
      <c r="F200" s="145"/>
      <c r="G200" s="36"/>
    </row>
    <row r="201" spans="2:7" x14ac:dyDescent="0.25">
      <c r="B201" s="24"/>
      <c r="C201" s="24"/>
      <c r="D201" s="26"/>
      <c r="E201" s="24"/>
      <c r="F201" s="145"/>
      <c r="G201" s="36"/>
    </row>
    <row r="202" spans="2:7" x14ac:dyDescent="0.25">
      <c r="B202" s="24"/>
      <c r="C202" s="24"/>
      <c r="D202" s="26"/>
      <c r="E202" s="24"/>
      <c r="F202" s="145"/>
      <c r="G202" s="36"/>
    </row>
    <row r="203" spans="2:7" x14ac:dyDescent="0.25">
      <c r="B203" s="24"/>
      <c r="C203" s="24"/>
      <c r="D203" s="26"/>
      <c r="E203" s="24"/>
      <c r="F203" s="145"/>
      <c r="G203" s="36"/>
    </row>
    <row r="204" spans="2:7" x14ac:dyDescent="0.25">
      <c r="B204" s="24"/>
      <c r="C204" s="24"/>
      <c r="D204" s="26"/>
      <c r="E204" s="24"/>
      <c r="F204" s="145"/>
      <c r="G204" s="36"/>
    </row>
    <row r="205" spans="2:7" x14ac:dyDescent="0.25">
      <c r="B205" s="24"/>
      <c r="C205" s="24"/>
      <c r="D205" s="26"/>
      <c r="E205" s="24"/>
      <c r="F205" s="145"/>
      <c r="G205" s="36"/>
    </row>
    <row r="206" spans="2:7" x14ac:dyDescent="0.25">
      <c r="B206" s="24"/>
      <c r="C206" s="24"/>
      <c r="D206" s="26"/>
      <c r="E206" s="24"/>
      <c r="F206" s="145"/>
      <c r="G206" s="36"/>
    </row>
    <row r="207" spans="2:7" x14ac:dyDescent="0.25">
      <c r="B207" s="24"/>
      <c r="C207" s="24"/>
      <c r="D207" s="26"/>
      <c r="E207" s="24"/>
      <c r="F207" s="145"/>
      <c r="G207" s="36"/>
    </row>
    <row r="208" spans="2:7" x14ac:dyDescent="0.25">
      <c r="B208" s="24"/>
      <c r="C208" s="24"/>
      <c r="D208" s="26"/>
      <c r="E208" s="24"/>
      <c r="F208" s="145"/>
      <c r="G208" s="36"/>
    </row>
    <row r="209" spans="2:7" x14ac:dyDescent="0.25">
      <c r="B209" s="24"/>
      <c r="C209" s="24"/>
      <c r="D209" s="26"/>
      <c r="E209" s="24"/>
      <c r="F209" s="145"/>
      <c r="G209" s="36"/>
    </row>
    <row r="210" spans="2:7" x14ac:dyDescent="0.25">
      <c r="B210" s="24"/>
      <c r="C210" s="24"/>
      <c r="D210" s="26"/>
      <c r="E210" s="24"/>
      <c r="F210" s="145"/>
      <c r="G210" s="36"/>
    </row>
    <row r="211" spans="2:7" x14ac:dyDescent="0.25">
      <c r="B211" s="24"/>
      <c r="C211" s="24"/>
      <c r="D211" s="26"/>
      <c r="E211" s="24"/>
      <c r="F211" s="145"/>
      <c r="G211" s="36"/>
    </row>
    <row r="212" spans="2:7" x14ac:dyDescent="0.25">
      <c r="B212" s="24"/>
      <c r="C212" s="24"/>
      <c r="D212" s="26"/>
      <c r="E212" s="24"/>
      <c r="F212" s="145"/>
      <c r="G212" s="36"/>
    </row>
    <row r="213" spans="2:7" x14ac:dyDescent="0.25">
      <c r="B213" s="24"/>
      <c r="C213" s="24"/>
      <c r="D213" s="26"/>
      <c r="E213" s="24"/>
      <c r="F213" s="145"/>
      <c r="G213" s="36"/>
    </row>
    <row r="214" spans="2:7" x14ac:dyDescent="0.25">
      <c r="B214" s="24"/>
      <c r="C214" s="24"/>
      <c r="D214" s="26"/>
      <c r="E214" s="24"/>
      <c r="F214" s="145"/>
      <c r="G214" s="36"/>
    </row>
    <row r="215" spans="2:7" x14ac:dyDescent="0.25">
      <c r="B215" s="24"/>
      <c r="C215" s="24"/>
      <c r="D215" s="26"/>
      <c r="E215" s="24"/>
      <c r="F215" s="145"/>
      <c r="G215" s="36"/>
    </row>
    <row r="216" spans="2:7" x14ac:dyDescent="0.25">
      <c r="B216" s="24"/>
      <c r="C216" s="24"/>
      <c r="D216" s="26"/>
      <c r="E216" s="24"/>
      <c r="F216" s="145"/>
      <c r="G216" s="36"/>
    </row>
    <row r="217" spans="2:7" x14ac:dyDescent="0.25">
      <c r="B217" s="24"/>
      <c r="C217" s="24"/>
      <c r="D217" s="26"/>
      <c r="E217" s="24"/>
      <c r="F217" s="145"/>
      <c r="G217" s="36"/>
    </row>
    <row r="218" spans="2:7" x14ac:dyDescent="0.25">
      <c r="B218" s="24"/>
      <c r="C218" s="24"/>
      <c r="D218" s="26"/>
      <c r="E218" s="24"/>
      <c r="F218" s="145"/>
      <c r="G218" s="36"/>
    </row>
    <row r="219" spans="2:7" x14ac:dyDescent="0.25">
      <c r="B219" s="24"/>
      <c r="C219" s="24"/>
      <c r="D219" s="26"/>
      <c r="E219" s="24"/>
      <c r="F219" s="145"/>
      <c r="G219" s="36"/>
    </row>
    <row r="220" spans="2:7" x14ac:dyDescent="0.25">
      <c r="B220" s="24"/>
      <c r="C220" s="24"/>
      <c r="D220" s="26"/>
      <c r="E220" s="24"/>
      <c r="F220" s="145"/>
      <c r="G220" s="36"/>
    </row>
    <row r="221" spans="2:7" x14ac:dyDescent="0.25">
      <c r="B221" s="24"/>
      <c r="C221" s="24"/>
      <c r="D221" s="26"/>
      <c r="E221" s="24"/>
      <c r="F221" s="145"/>
      <c r="G221" s="36"/>
    </row>
    <row r="222" spans="2:7" x14ac:dyDescent="0.25">
      <c r="B222" s="24"/>
      <c r="C222" s="24"/>
      <c r="D222" s="26"/>
      <c r="E222" s="24"/>
      <c r="F222" s="145"/>
      <c r="G222" s="36"/>
    </row>
    <row r="223" spans="2:7" x14ac:dyDescent="0.25">
      <c r="B223" s="24"/>
      <c r="C223" s="24"/>
      <c r="D223" s="26"/>
      <c r="E223" s="24"/>
      <c r="F223" s="145"/>
      <c r="G223" s="36"/>
    </row>
    <row r="224" spans="2:7" x14ac:dyDescent="0.25">
      <c r="B224" s="24"/>
      <c r="C224" s="24"/>
      <c r="D224" s="26"/>
      <c r="E224" s="24"/>
      <c r="F224" s="145"/>
      <c r="G224" s="36"/>
    </row>
    <row r="225" spans="2:7" x14ac:dyDescent="0.25">
      <c r="B225" s="24"/>
      <c r="C225" s="24"/>
      <c r="D225" s="26"/>
      <c r="E225" s="24"/>
      <c r="F225" s="145"/>
      <c r="G225" s="36"/>
    </row>
    <row r="226" spans="2:7" x14ac:dyDescent="0.25">
      <c r="B226" s="24"/>
      <c r="C226" s="24"/>
      <c r="D226" s="26"/>
      <c r="E226" s="24"/>
      <c r="F226" s="145"/>
      <c r="G226" s="36"/>
    </row>
    <row r="227" spans="2:7" x14ac:dyDescent="0.25">
      <c r="B227" s="24"/>
      <c r="C227" s="24"/>
      <c r="D227" s="26"/>
      <c r="E227" s="24"/>
      <c r="F227" s="145"/>
      <c r="G227" s="36"/>
    </row>
    <row r="228" spans="2:7" x14ac:dyDescent="0.25">
      <c r="B228" s="24"/>
      <c r="C228" s="24"/>
      <c r="D228" s="26"/>
      <c r="E228" s="24"/>
      <c r="F228" s="145"/>
      <c r="G228" s="36"/>
    </row>
    <row r="229" spans="2:7" x14ac:dyDescent="0.25">
      <c r="B229" s="24"/>
      <c r="C229" s="24"/>
      <c r="D229" s="26"/>
      <c r="E229" s="24"/>
      <c r="F229" s="145"/>
      <c r="G229" s="36"/>
    </row>
    <row r="230" spans="2:7" x14ac:dyDescent="0.25">
      <c r="B230" s="24"/>
      <c r="C230" s="24"/>
      <c r="D230" s="26"/>
      <c r="E230" s="24"/>
      <c r="F230" s="145"/>
      <c r="G230" s="36"/>
    </row>
    <row r="231" spans="2:7" x14ac:dyDescent="0.25">
      <c r="B231" s="24"/>
      <c r="C231" s="24"/>
      <c r="D231" s="26"/>
      <c r="E231" s="24"/>
      <c r="F231" s="145"/>
      <c r="G231" s="36"/>
    </row>
    <row r="232" spans="2:7" x14ac:dyDescent="0.25">
      <c r="B232" s="24"/>
      <c r="C232" s="24"/>
      <c r="D232" s="26"/>
      <c r="E232" s="24"/>
      <c r="F232" s="145"/>
      <c r="G232" s="36"/>
    </row>
    <row r="233" spans="2:7" x14ac:dyDescent="0.25">
      <c r="B233" s="24"/>
      <c r="C233" s="24"/>
      <c r="D233" s="26"/>
      <c r="E233" s="24"/>
      <c r="F233" s="145"/>
      <c r="G233" s="36"/>
    </row>
    <row r="234" spans="2:7" x14ac:dyDescent="0.25">
      <c r="B234" s="24"/>
      <c r="C234" s="24"/>
      <c r="D234" s="26"/>
      <c r="E234" s="24"/>
      <c r="F234" s="145"/>
      <c r="G234" s="36"/>
    </row>
    <row r="235" spans="2:7" x14ac:dyDescent="0.25">
      <c r="B235" s="24"/>
      <c r="C235" s="24"/>
      <c r="D235" s="26"/>
      <c r="E235" s="24"/>
      <c r="F235" s="145"/>
      <c r="G235" s="36"/>
    </row>
    <row r="236" spans="2:7" x14ac:dyDescent="0.25">
      <c r="B236" s="24"/>
      <c r="C236" s="24"/>
      <c r="D236" s="26"/>
      <c r="E236" s="24"/>
      <c r="F236" s="145"/>
      <c r="G236" s="36"/>
    </row>
    <row r="237" spans="2:7" x14ac:dyDescent="0.25">
      <c r="B237" s="24"/>
      <c r="C237" s="24"/>
      <c r="D237" s="26"/>
      <c r="E237" s="24"/>
      <c r="F237" s="145"/>
      <c r="G237" s="36"/>
    </row>
    <row r="238" spans="2:7" x14ac:dyDescent="0.25">
      <c r="B238" s="24"/>
      <c r="C238" s="24"/>
      <c r="D238" s="26"/>
      <c r="E238" s="24"/>
      <c r="F238" s="145"/>
      <c r="G238" s="36"/>
    </row>
    <row r="239" spans="2:7" x14ac:dyDescent="0.25">
      <c r="B239" s="24"/>
      <c r="C239" s="24"/>
      <c r="D239" s="26"/>
      <c r="E239" s="24"/>
      <c r="F239" s="145"/>
      <c r="G239" s="36"/>
    </row>
    <row r="240" spans="2:7" x14ac:dyDescent="0.25">
      <c r="B240" s="24"/>
      <c r="C240" s="24"/>
      <c r="D240" s="26"/>
      <c r="E240" s="24"/>
      <c r="F240" s="145"/>
      <c r="G240" s="36"/>
    </row>
    <row r="241" spans="2:7" x14ac:dyDescent="0.25">
      <c r="B241" s="24"/>
      <c r="C241" s="24"/>
      <c r="D241" s="26"/>
      <c r="E241" s="24"/>
      <c r="F241" s="145"/>
      <c r="G241" s="36"/>
    </row>
    <row r="242" spans="2:7" x14ac:dyDescent="0.25">
      <c r="B242" s="24"/>
      <c r="C242" s="24"/>
      <c r="D242" s="26"/>
      <c r="E242" s="24"/>
      <c r="F242" s="145"/>
      <c r="G242" s="36"/>
    </row>
    <row r="243" spans="2:7" x14ac:dyDescent="0.25">
      <c r="B243" s="24"/>
      <c r="C243" s="24"/>
      <c r="D243" s="26"/>
      <c r="E243" s="24"/>
      <c r="F243" s="145"/>
      <c r="G243" s="36"/>
    </row>
    <row r="244" spans="2:7" x14ac:dyDescent="0.25">
      <c r="B244" s="24"/>
      <c r="C244" s="24"/>
      <c r="D244" s="26"/>
      <c r="E244" s="24"/>
      <c r="F244" s="145"/>
      <c r="G244" s="36"/>
    </row>
    <row r="245" spans="2:7" x14ac:dyDescent="0.25">
      <c r="B245" s="24"/>
      <c r="C245" s="24"/>
      <c r="D245" s="26"/>
      <c r="E245" s="24"/>
      <c r="F245" s="145"/>
      <c r="G245" s="36"/>
    </row>
    <row r="246" spans="2:7" x14ac:dyDescent="0.25">
      <c r="B246" s="24"/>
      <c r="C246" s="24"/>
      <c r="D246" s="26"/>
      <c r="E246" s="24"/>
      <c r="F246" s="145"/>
      <c r="G246" s="36"/>
    </row>
    <row r="247" spans="2:7" x14ac:dyDescent="0.25">
      <c r="B247" s="24"/>
      <c r="C247" s="24"/>
      <c r="D247" s="26"/>
      <c r="E247" s="24"/>
      <c r="F247" s="145"/>
      <c r="G247" s="36"/>
    </row>
    <row r="248" spans="2:7" x14ac:dyDescent="0.25">
      <c r="B248" s="24"/>
      <c r="C248" s="24"/>
      <c r="D248" s="26"/>
      <c r="E248" s="24"/>
      <c r="F248" s="145"/>
      <c r="G248" s="36"/>
    </row>
    <row r="249" spans="2:7" x14ac:dyDescent="0.25">
      <c r="B249" s="24"/>
      <c r="C249" s="24"/>
      <c r="D249" s="26"/>
      <c r="E249" s="24"/>
      <c r="F249" s="145"/>
      <c r="G249" s="36"/>
    </row>
    <row r="250" spans="2:7" x14ac:dyDescent="0.25">
      <c r="B250" s="24"/>
      <c r="C250" s="24"/>
      <c r="D250" s="26"/>
      <c r="E250" s="24"/>
      <c r="F250" s="145"/>
      <c r="G250" s="36"/>
    </row>
    <row r="251" spans="2:7" x14ac:dyDescent="0.25">
      <c r="B251" s="24"/>
      <c r="C251" s="24"/>
      <c r="D251" s="26"/>
      <c r="E251" s="24"/>
      <c r="F251" s="145"/>
      <c r="G251" s="36"/>
    </row>
    <row r="252" spans="2:7" x14ac:dyDescent="0.25">
      <c r="B252" s="24"/>
      <c r="C252" s="24"/>
      <c r="D252" s="26"/>
      <c r="E252" s="24"/>
      <c r="F252" s="145"/>
      <c r="G252" s="36"/>
    </row>
    <row r="253" spans="2:7" x14ac:dyDescent="0.25">
      <c r="B253" s="24"/>
      <c r="C253" s="24"/>
      <c r="D253" s="26"/>
      <c r="E253" s="24"/>
      <c r="F253" s="145"/>
      <c r="G253" s="36"/>
    </row>
    <row r="254" spans="2:7" x14ac:dyDescent="0.25">
      <c r="B254" s="24"/>
      <c r="C254" s="24"/>
      <c r="D254" s="26"/>
      <c r="E254" s="24"/>
      <c r="F254" s="145"/>
      <c r="G254" s="36"/>
    </row>
    <row r="255" spans="2:7" x14ac:dyDescent="0.25">
      <c r="B255" s="24"/>
      <c r="C255" s="24"/>
      <c r="D255" s="26"/>
      <c r="E255" s="24"/>
      <c r="F255" s="145"/>
      <c r="G255" s="36"/>
    </row>
    <row r="256" spans="2:7" x14ac:dyDescent="0.25">
      <c r="B256" s="24"/>
      <c r="C256" s="24"/>
      <c r="D256" s="26"/>
      <c r="E256" s="24"/>
      <c r="F256" s="145"/>
      <c r="G256" s="36"/>
    </row>
    <row r="257" spans="2:7" x14ac:dyDescent="0.25">
      <c r="B257" s="24"/>
      <c r="C257" s="24"/>
      <c r="D257" s="26"/>
      <c r="E257" s="24"/>
      <c r="F257" s="145"/>
      <c r="G257" s="36"/>
    </row>
    <row r="258" spans="2:7" x14ac:dyDescent="0.25">
      <c r="B258" s="24"/>
      <c r="C258" s="24"/>
      <c r="D258" s="26"/>
      <c r="E258" s="24"/>
      <c r="F258" s="145"/>
      <c r="G258" s="36"/>
    </row>
    <row r="259" spans="2:7" x14ac:dyDescent="0.25">
      <c r="B259" s="24"/>
      <c r="C259" s="24"/>
      <c r="D259" s="26"/>
      <c r="E259" s="24"/>
      <c r="F259" s="145"/>
      <c r="G259" s="36"/>
    </row>
    <row r="260" spans="2:7" x14ac:dyDescent="0.25">
      <c r="B260" s="24"/>
      <c r="C260" s="24"/>
      <c r="D260" s="26"/>
      <c r="E260" s="24"/>
      <c r="F260" s="145"/>
      <c r="G260" s="36"/>
    </row>
    <row r="261" spans="2:7" x14ac:dyDescent="0.25">
      <c r="B261" s="24"/>
      <c r="C261" s="24"/>
      <c r="D261" s="26"/>
      <c r="E261" s="24"/>
      <c r="F261" s="145"/>
      <c r="G261" s="36"/>
    </row>
    <row r="262" spans="2:7" x14ac:dyDescent="0.25">
      <c r="B262" s="24"/>
      <c r="C262" s="24"/>
      <c r="D262" s="26"/>
      <c r="E262" s="24"/>
      <c r="F262" s="145"/>
      <c r="G262" s="36"/>
    </row>
    <row r="263" spans="2:7" x14ac:dyDescent="0.25">
      <c r="B263" s="24"/>
      <c r="C263" s="24"/>
      <c r="D263" s="26"/>
      <c r="E263" s="24"/>
      <c r="F263" s="145"/>
      <c r="G263" s="36"/>
    </row>
    <row r="264" spans="2:7" x14ac:dyDescent="0.25">
      <c r="B264" s="24"/>
      <c r="C264" s="24"/>
      <c r="D264" s="26"/>
      <c r="E264" s="24"/>
      <c r="F264" s="145"/>
      <c r="G264" s="36"/>
    </row>
    <row r="265" spans="2:7" x14ac:dyDescent="0.25">
      <c r="B265" s="24"/>
      <c r="C265" s="24"/>
      <c r="D265" s="26"/>
      <c r="E265" s="24"/>
      <c r="F265" s="145"/>
      <c r="G265" s="36"/>
    </row>
    <row r="266" spans="2:7" x14ac:dyDescent="0.25">
      <c r="B266" s="24"/>
      <c r="C266" s="24"/>
      <c r="D266" s="26"/>
      <c r="E266" s="24"/>
      <c r="F266" s="145"/>
      <c r="G266" s="36"/>
    </row>
    <row r="267" spans="2:7" x14ac:dyDescent="0.25">
      <c r="B267" s="24"/>
      <c r="C267" s="24"/>
      <c r="D267" s="26"/>
      <c r="E267" s="24"/>
      <c r="F267" s="145"/>
      <c r="G267" s="36"/>
    </row>
    <row r="268" spans="2:7" x14ac:dyDescent="0.25">
      <c r="B268" s="24"/>
      <c r="C268" s="24"/>
      <c r="D268" s="26"/>
      <c r="E268" s="24"/>
      <c r="F268" s="145"/>
      <c r="G268" s="36"/>
    </row>
    <row r="269" spans="2:7" x14ac:dyDescent="0.25">
      <c r="B269" s="24"/>
      <c r="C269" s="24"/>
      <c r="D269" s="26"/>
      <c r="E269" s="24"/>
      <c r="F269" s="145"/>
      <c r="G269" s="36"/>
    </row>
    <row r="270" spans="2:7" x14ac:dyDescent="0.25">
      <c r="B270" s="24"/>
      <c r="C270" s="24"/>
      <c r="D270" s="26"/>
      <c r="E270" s="24"/>
      <c r="F270" s="145"/>
      <c r="G270" s="36"/>
    </row>
    <row r="271" spans="2:7" x14ac:dyDescent="0.25">
      <c r="B271" s="24"/>
      <c r="C271" s="24"/>
      <c r="D271" s="26"/>
      <c r="E271" s="24"/>
      <c r="F271" s="145"/>
      <c r="G271" s="36"/>
    </row>
    <row r="272" spans="2:7" x14ac:dyDescent="0.25">
      <c r="B272" s="24"/>
      <c r="C272" s="24"/>
      <c r="D272" s="26"/>
      <c r="E272" s="24"/>
      <c r="F272" s="145"/>
      <c r="G272" s="36"/>
    </row>
    <row r="273" spans="2:7" x14ac:dyDescent="0.25">
      <c r="B273" s="24"/>
      <c r="C273" s="24"/>
      <c r="D273" s="26"/>
      <c r="E273" s="24"/>
      <c r="F273" s="145"/>
      <c r="G273" s="36"/>
    </row>
    <row r="274" spans="2:7" x14ac:dyDescent="0.25">
      <c r="B274" s="24"/>
      <c r="C274" s="24"/>
      <c r="D274" s="26"/>
      <c r="E274" s="24"/>
      <c r="F274" s="145"/>
      <c r="G274" s="36"/>
    </row>
    <row r="275" spans="2:7" x14ac:dyDescent="0.25">
      <c r="B275" s="24"/>
      <c r="C275" s="24"/>
      <c r="D275" s="26"/>
      <c r="E275" s="24"/>
      <c r="F275" s="145"/>
      <c r="G275" s="36"/>
    </row>
    <row r="276" spans="2:7" x14ac:dyDescent="0.25">
      <c r="B276" s="24"/>
      <c r="C276" s="24"/>
      <c r="D276" s="26"/>
      <c r="E276" s="24"/>
      <c r="F276" s="145"/>
      <c r="G276" s="36"/>
    </row>
    <row r="277" spans="2:7" x14ac:dyDescent="0.25">
      <c r="B277" s="24"/>
      <c r="C277" s="24"/>
      <c r="D277" s="26"/>
      <c r="E277" s="24"/>
      <c r="F277" s="145"/>
      <c r="G277" s="36"/>
    </row>
    <row r="278" spans="2:7" x14ac:dyDescent="0.25">
      <c r="B278" s="24"/>
      <c r="C278" s="24"/>
      <c r="D278" s="26"/>
      <c r="E278" s="24"/>
      <c r="F278" s="145"/>
      <c r="G278" s="36"/>
    </row>
    <row r="279" spans="2:7" x14ac:dyDescent="0.25">
      <c r="B279" s="24"/>
      <c r="C279" s="24"/>
      <c r="D279" s="26"/>
      <c r="E279" s="24"/>
      <c r="F279" s="145"/>
      <c r="G279" s="36"/>
    </row>
    <row r="280" spans="2:7" x14ac:dyDescent="0.25">
      <c r="B280" s="24"/>
      <c r="C280" s="24"/>
      <c r="D280" s="26"/>
      <c r="E280" s="24"/>
      <c r="F280" s="145"/>
      <c r="G280" s="36"/>
    </row>
    <row r="281" spans="2:7" x14ac:dyDescent="0.25">
      <c r="B281" s="24"/>
      <c r="C281" s="24"/>
      <c r="D281" s="26"/>
      <c r="E281" s="24"/>
      <c r="F281" s="145"/>
      <c r="G281" s="36"/>
    </row>
    <row r="282" spans="2:7" x14ac:dyDescent="0.25">
      <c r="B282" s="24"/>
      <c r="C282" s="24"/>
      <c r="D282" s="26"/>
      <c r="E282" s="24"/>
      <c r="F282" s="145"/>
      <c r="G282" s="36"/>
    </row>
    <row r="283" spans="2:7" x14ac:dyDescent="0.25">
      <c r="B283" s="24"/>
      <c r="C283" s="24"/>
      <c r="D283" s="26"/>
      <c r="E283" s="24"/>
      <c r="F283" s="145"/>
      <c r="G283" s="36"/>
    </row>
    <row r="284" spans="2:7" x14ac:dyDescent="0.25">
      <c r="B284" s="24"/>
      <c r="C284" s="24"/>
      <c r="D284" s="26"/>
      <c r="E284" s="24"/>
      <c r="F284" s="145"/>
      <c r="G284" s="36"/>
    </row>
    <row r="285" spans="2:7" x14ac:dyDescent="0.25">
      <c r="B285" s="24"/>
      <c r="C285" s="24"/>
      <c r="D285" s="26"/>
      <c r="E285" s="24"/>
      <c r="F285" s="145"/>
      <c r="G285" s="36"/>
    </row>
    <row r="286" spans="2:7" x14ac:dyDescent="0.25">
      <c r="B286" s="24"/>
      <c r="C286" s="24"/>
      <c r="D286" s="26"/>
      <c r="E286" s="24"/>
      <c r="F286" s="145"/>
      <c r="G286" s="36"/>
    </row>
    <row r="287" spans="2:7" x14ac:dyDescent="0.25">
      <c r="B287" s="24"/>
      <c r="C287" s="24"/>
      <c r="D287" s="26"/>
      <c r="E287" s="24"/>
      <c r="F287" s="145"/>
      <c r="G287" s="36"/>
    </row>
    <row r="288" spans="2:7" x14ac:dyDescent="0.25">
      <c r="B288" s="24"/>
      <c r="C288" s="24"/>
      <c r="D288" s="26"/>
      <c r="E288" s="24"/>
      <c r="F288" s="145"/>
      <c r="G288" s="36"/>
    </row>
    <row r="289" spans="2:7" x14ac:dyDescent="0.25">
      <c r="B289" s="24"/>
      <c r="C289" s="24"/>
      <c r="D289" s="26"/>
      <c r="E289" s="24"/>
      <c r="F289" s="145"/>
      <c r="G289" s="36"/>
    </row>
    <row r="290" spans="2:7" x14ac:dyDescent="0.25">
      <c r="B290" s="24"/>
      <c r="C290" s="24"/>
      <c r="D290" s="26"/>
      <c r="E290" s="24"/>
      <c r="F290" s="145"/>
      <c r="G290" s="36"/>
    </row>
    <row r="291" spans="2:7" x14ac:dyDescent="0.25">
      <c r="B291" s="24"/>
      <c r="C291" s="24"/>
      <c r="D291" s="26"/>
      <c r="E291" s="24"/>
      <c r="F291" s="145"/>
      <c r="G291" s="36"/>
    </row>
    <row r="292" spans="2:7" x14ac:dyDescent="0.25">
      <c r="B292" s="24"/>
      <c r="C292" s="24"/>
      <c r="D292" s="26"/>
      <c r="E292" s="24"/>
      <c r="F292" s="145"/>
      <c r="G292" s="36"/>
    </row>
    <row r="293" spans="2:7" x14ac:dyDescent="0.25">
      <c r="B293" s="24"/>
      <c r="C293" s="24"/>
      <c r="D293" s="26"/>
      <c r="E293" s="24"/>
      <c r="F293" s="145"/>
      <c r="G293" s="36"/>
    </row>
    <row r="294" spans="2:7" x14ac:dyDescent="0.25">
      <c r="B294" s="24"/>
      <c r="C294" s="24"/>
      <c r="D294" s="26"/>
      <c r="E294" s="24"/>
      <c r="F294" s="145"/>
      <c r="G294" s="36"/>
    </row>
    <row r="295" spans="2:7" x14ac:dyDescent="0.25">
      <c r="B295" s="24"/>
      <c r="C295" s="24"/>
      <c r="D295" s="26"/>
      <c r="E295" s="24"/>
      <c r="F295" s="145"/>
      <c r="G295" s="36"/>
    </row>
    <row r="296" spans="2:7" x14ac:dyDescent="0.25">
      <c r="B296" s="24"/>
      <c r="C296" s="24"/>
      <c r="D296" s="26"/>
      <c r="E296" s="24"/>
      <c r="F296" s="145"/>
      <c r="G296" s="36"/>
    </row>
    <row r="297" spans="2:7" x14ac:dyDescent="0.25">
      <c r="B297" s="24"/>
      <c r="C297" s="24"/>
      <c r="D297" s="26"/>
      <c r="E297" s="24"/>
      <c r="F297" s="145"/>
      <c r="G297" s="36"/>
    </row>
    <row r="298" spans="2:7" x14ac:dyDescent="0.25">
      <c r="B298" s="24"/>
      <c r="C298" s="24"/>
      <c r="D298" s="26"/>
      <c r="E298" s="24"/>
      <c r="F298" s="145"/>
      <c r="G298" s="36"/>
    </row>
    <row r="299" spans="2:7" x14ac:dyDescent="0.25">
      <c r="B299" s="24"/>
      <c r="C299" s="24"/>
      <c r="D299" s="26"/>
      <c r="E299" s="24"/>
      <c r="F299" s="145"/>
      <c r="G299" s="36"/>
    </row>
    <row r="300" spans="2:7" x14ac:dyDescent="0.25">
      <c r="B300" s="24"/>
      <c r="C300" s="24"/>
      <c r="D300" s="26"/>
      <c r="E300" s="24"/>
      <c r="F300" s="145"/>
      <c r="G300" s="36"/>
    </row>
    <row r="301" spans="2:7" x14ac:dyDescent="0.25">
      <c r="B301" s="24"/>
      <c r="C301" s="24"/>
      <c r="D301" s="26"/>
      <c r="E301" s="24"/>
      <c r="F301" s="145"/>
      <c r="G301" s="36"/>
    </row>
    <row r="302" spans="2:7" x14ac:dyDescent="0.25">
      <c r="B302" s="24"/>
      <c r="C302" s="24"/>
      <c r="D302" s="26"/>
      <c r="E302" s="24"/>
      <c r="F302" s="145"/>
      <c r="G302" s="36"/>
    </row>
    <row r="303" spans="2:7" x14ac:dyDescent="0.25">
      <c r="B303" s="24"/>
      <c r="C303" s="24"/>
      <c r="D303" s="26"/>
      <c r="E303" s="24"/>
      <c r="F303" s="145"/>
      <c r="G303" s="36"/>
    </row>
    <row r="304" spans="2:7" x14ac:dyDescent="0.25">
      <c r="B304" s="24"/>
      <c r="C304" s="24"/>
      <c r="D304" s="26"/>
      <c r="E304" s="24"/>
      <c r="F304" s="145"/>
      <c r="G304" s="36"/>
    </row>
    <row r="305" spans="2:7" x14ac:dyDescent="0.25">
      <c r="B305" s="24"/>
      <c r="C305" s="24"/>
      <c r="D305" s="26"/>
      <c r="E305" s="24"/>
      <c r="F305" s="145"/>
      <c r="G305" s="36"/>
    </row>
    <row r="306" spans="2:7" x14ac:dyDescent="0.25">
      <c r="B306" s="24"/>
      <c r="C306" s="24"/>
      <c r="D306" s="26"/>
      <c r="E306" s="24"/>
      <c r="F306" s="145"/>
      <c r="G306" s="36"/>
    </row>
    <row r="307" spans="2:7" x14ac:dyDescent="0.25">
      <c r="B307" s="24"/>
      <c r="C307" s="24"/>
      <c r="D307" s="26"/>
      <c r="E307" s="24"/>
      <c r="F307" s="145"/>
      <c r="G307" s="36"/>
    </row>
    <row r="308" spans="2:7" x14ac:dyDescent="0.25">
      <c r="B308" s="24"/>
      <c r="C308" s="24"/>
      <c r="D308" s="26"/>
      <c r="E308" s="24"/>
      <c r="F308" s="145"/>
      <c r="G308" s="36"/>
    </row>
    <row r="309" spans="2:7" x14ac:dyDescent="0.25">
      <c r="B309" s="24"/>
      <c r="C309" s="24"/>
      <c r="D309" s="26"/>
      <c r="E309" s="24"/>
      <c r="F309" s="145"/>
      <c r="G309" s="36"/>
    </row>
    <row r="310" spans="2:7" x14ac:dyDescent="0.25">
      <c r="B310" s="24"/>
      <c r="C310" s="24"/>
      <c r="D310" s="26"/>
      <c r="E310" s="24"/>
      <c r="F310" s="145"/>
      <c r="G310" s="36"/>
    </row>
    <row r="311" spans="2:7" x14ac:dyDescent="0.25">
      <c r="B311" s="24"/>
      <c r="C311" s="24"/>
      <c r="D311" s="26"/>
      <c r="E311" s="24"/>
      <c r="F311" s="145"/>
      <c r="G311" s="36"/>
    </row>
    <row r="312" spans="2:7" x14ac:dyDescent="0.25">
      <c r="B312" s="24"/>
      <c r="C312" s="24"/>
      <c r="D312" s="26"/>
      <c r="E312" s="24"/>
      <c r="F312" s="145"/>
      <c r="G312" s="36"/>
    </row>
    <row r="313" spans="2:7" x14ac:dyDescent="0.25">
      <c r="B313" s="24"/>
      <c r="C313" s="24"/>
      <c r="D313" s="26"/>
      <c r="E313" s="24"/>
      <c r="F313" s="145"/>
      <c r="G313" s="36"/>
    </row>
    <row r="314" spans="2:7" x14ac:dyDescent="0.25">
      <c r="B314" s="24"/>
      <c r="C314" s="24"/>
      <c r="D314" s="26"/>
      <c r="E314" s="24"/>
      <c r="F314" s="145"/>
      <c r="G314" s="36"/>
    </row>
    <row r="315" spans="2:7" x14ac:dyDescent="0.25">
      <c r="B315" s="24"/>
      <c r="C315" s="24"/>
      <c r="D315" s="26"/>
      <c r="E315" s="24"/>
      <c r="F315" s="145"/>
      <c r="G315" s="36"/>
    </row>
    <row r="316" spans="2:7" x14ac:dyDescent="0.25">
      <c r="B316" s="24"/>
      <c r="C316" s="24"/>
      <c r="D316" s="26"/>
      <c r="E316" s="24"/>
      <c r="F316" s="145"/>
      <c r="G316" s="36"/>
    </row>
    <row r="317" spans="2:7" x14ac:dyDescent="0.25">
      <c r="B317" s="24"/>
      <c r="C317" s="24"/>
      <c r="D317" s="26"/>
      <c r="E317" s="24"/>
      <c r="F317" s="145"/>
      <c r="G317" s="36"/>
    </row>
    <row r="318" spans="2:7" x14ac:dyDescent="0.25">
      <c r="B318" s="24"/>
      <c r="C318" s="24"/>
      <c r="D318" s="26"/>
      <c r="E318" s="24"/>
      <c r="F318" s="145"/>
      <c r="G318" s="36"/>
    </row>
    <row r="319" spans="2:7" x14ac:dyDescent="0.25">
      <c r="B319" s="24"/>
      <c r="C319" s="24"/>
      <c r="D319" s="26"/>
      <c r="E319" s="24"/>
      <c r="F319" s="145"/>
      <c r="G319" s="36"/>
    </row>
    <row r="320" spans="2:7" x14ac:dyDescent="0.25">
      <c r="B320" s="24"/>
      <c r="C320" s="24"/>
      <c r="D320" s="26"/>
      <c r="E320" s="24"/>
      <c r="F320" s="145"/>
      <c r="G320" s="36"/>
    </row>
    <row r="321" spans="2:7" x14ac:dyDescent="0.25">
      <c r="B321" s="24"/>
      <c r="C321" s="24"/>
      <c r="D321" s="26"/>
      <c r="E321" s="24"/>
      <c r="F321" s="145"/>
      <c r="G321" s="36"/>
    </row>
    <row r="322" spans="2:7" x14ac:dyDescent="0.25">
      <c r="B322" s="24"/>
      <c r="C322" s="24"/>
      <c r="D322" s="26"/>
      <c r="E322" s="24"/>
      <c r="F322" s="145"/>
      <c r="G322" s="36"/>
    </row>
    <row r="323" spans="2:7" x14ac:dyDescent="0.25">
      <c r="B323" s="24"/>
      <c r="C323" s="24"/>
      <c r="D323" s="26"/>
      <c r="E323" s="24"/>
      <c r="F323" s="145"/>
      <c r="G323" s="36"/>
    </row>
    <row r="324" spans="2:7" x14ac:dyDescent="0.25">
      <c r="B324" s="24"/>
      <c r="C324" s="24"/>
      <c r="D324" s="26"/>
      <c r="E324" s="24"/>
      <c r="F324" s="145"/>
      <c r="G324" s="36"/>
    </row>
    <row r="325" spans="2:7" x14ac:dyDescent="0.25">
      <c r="B325" s="24"/>
      <c r="C325" s="24"/>
      <c r="D325" s="26"/>
      <c r="E325" s="24"/>
      <c r="F325" s="145"/>
      <c r="G325" s="36"/>
    </row>
    <row r="326" spans="2:7" x14ac:dyDescent="0.25">
      <c r="B326" s="24"/>
      <c r="C326" s="24"/>
      <c r="D326" s="26"/>
      <c r="E326" s="24"/>
      <c r="F326" s="145"/>
      <c r="G326" s="36"/>
    </row>
    <row r="327" spans="2:7" x14ac:dyDescent="0.25">
      <c r="B327" s="24"/>
      <c r="C327" s="24"/>
      <c r="D327" s="26"/>
      <c r="E327" s="24"/>
      <c r="F327" s="145"/>
      <c r="G327" s="36"/>
    </row>
    <row r="328" spans="2:7" x14ac:dyDescent="0.25">
      <c r="B328" s="24"/>
      <c r="C328" s="24"/>
      <c r="D328" s="26"/>
      <c r="E328" s="24"/>
      <c r="F328" s="145"/>
      <c r="G328" s="36"/>
    </row>
    <row r="329" spans="2:7" x14ac:dyDescent="0.25">
      <c r="B329" s="24"/>
      <c r="C329" s="24"/>
      <c r="D329" s="26"/>
      <c r="E329" s="24"/>
      <c r="F329" s="145"/>
      <c r="G329" s="36"/>
    </row>
    <row r="330" spans="2:7" x14ac:dyDescent="0.25">
      <c r="B330" s="24"/>
      <c r="C330" s="24"/>
      <c r="D330" s="26"/>
      <c r="E330" s="24"/>
      <c r="F330" s="145"/>
      <c r="G330" s="36"/>
    </row>
    <row r="331" spans="2:7" x14ac:dyDescent="0.25">
      <c r="B331" s="24"/>
      <c r="C331" s="24"/>
      <c r="D331" s="26"/>
      <c r="E331" s="24"/>
      <c r="F331" s="145"/>
      <c r="G331" s="36"/>
    </row>
    <row r="332" spans="2:7" x14ac:dyDescent="0.25">
      <c r="B332" s="24"/>
      <c r="C332" s="24"/>
      <c r="D332" s="26"/>
      <c r="E332" s="24"/>
      <c r="F332" s="145"/>
      <c r="G332" s="36"/>
    </row>
    <row r="333" spans="2:7" x14ac:dyDescent="0.25">
      <c r="B333" s="24"/>
      <c r="C333" s="24"/>
      <c r="D333" s="26"/>
      <c r="E333" s="24"/>
      <c r="F333" s="145"/>
      <c r="G333" s="36"/>
    </row>
    <row r="334" spans="2:7" x14ac:dyDescent="0.25">
      <c r="B334" s="24"/>
      <c r="C334" s="24"/>
      <c r="D334" s="26"/>
      <c r="E334" s="24"/>
      <c r="F334" s="145"/>
      <c r="G334" s="36"/>
    </row>
    <row r="335" spans="2:7" x14ac:dyDescent="0.25">
      <c r="B335" s="24"/>
      <c r="C335" s="24"/>
      <c r="D335" s="26"/>
      <c r="E335" s="24"/>
      <c r="F335" s="145"/>
      <c r="G335" s="36"/>
    </row>
    <row r="336" spans="2:7" x14ac:dyDescent="0.25">
      <c r="B336" s="24"/>
      <c r="C336" s="24"/>
      <c r="D336" s="26"/>
      <c r="E336" s="24"/>
      <c r="F336" s="145"/>
      <c r="G336" s="36"/>
    </row>
    <row r="337" spans="2:7" x14ac:dyDescent="0.25">
      <c r="B337" s="24"/>
      <c r="C337" s="24"/>
      <c r="D337" s="26"/>
      <c r="E337" s="24"/>
      <c r="F337" s="145"/>
      <c r="G337" s="36"/>
    </row>
    <row r="338" spans="2:7" x14ac:dyDescent="0.25">
      <c r="B338" s="24"/>
      <c r="C338" s="24"/>
      <c r="D338" s="26"/>
      <c r="E338" s="24"/>
      <c r="F338" s="145"/>
      <c r="G338" s="36"/>
    </row>
    <row r="339" spans="2:7" x14ac:dyDescent="0.25">
      <c r="B339" s="24"/>
      <c r="C339" s="24"/>
      <c r="D339" s="26"/>
      <c r="E339" s="24"/>
      <c r="F339" s="145"/>
      <c r="G339" s="36"/>
    </row>
    <row r="340" spans="2:7" x14ac:dyDescent="0.25">
      <c r="B340" s="24"/>
      <c r="C340" s="24"/>
      <c r="D340" s="26"/>
      <c r="E340" s="24"/>
      <c r="F340" s="145"/>
      <c r="G340" s="36"/>
    </row>
    <row r="341" spans="2:7" x14ac:dyDescent="0.25">
      <c r="B341" s="24"/>
      <c r="C341" s="24"/>
      <c r="D341" s="26"/>
      <c r="E341" s="24"/>
      <c r="F341" s="145"/>
      <c r="G341" s="36"/>
    </row>
    <row r="342" spans="2:7" x14ac:dyDescent="0.25">
      <c r="B342" s="24"/>
      <c r="C342" s="24"/>
      <c r="D342" s="26"/>
      <c r="E342" s="24"/>
      <c r="F342" s="145"/>
      <c r="G342" s="36"/>
    </row>
    <row r="343" spans="2:7" x14ac:dyDescent="0.25">
      <c r="B343" s="24"/>
      <c r="C343" s="24"/>
      <c r="D343" s="26"/>
      <c r="E343" s="24"/>
      <c r="F343" s="145"/>
      <c r="G343" s="36"/>
    </row>
    <row r="344" spans="2:7" x14ac:dyDescent="0.25">
      <c r="B344" s="24"/>
      <c r="C344" s="24"/>
      <c r="D344" s="26"/>
      <c r="E344" s="24"/>
      <c r="F344" s="145"/>
      <c r="G344" s="36"/>
    </row>
    <row r="345" spans="2:7" x14ac:dyDescent="0.25">
      <c r="B345" s="24"/>
      <c r="C345" s="24"/>
      <c r="D345" s="26"/>
      <c r="E345" s="24"/>
      <c r="F345" s="145"/>
      <c r="G345" s="36"/>
    </row>
    <row r="346" spans="2:7" x14ac:dyDescent="0.25">
      <c r="B346" s="24"/>
      <c r="C346" s="24"/>
      <c r="D346" s="26"/>
      <c r="E346" s="24"/>
      <c r="F346" s="145"/>
      <c r="G346" s="36"/>
    </row>
    <row r="347" spans="2:7" x14ac:dyDescent="0.25">
      <c r="B347" s="24"/>
      <c r="C347" s="24"/>
      <c r="D347" s="26"/>
      <c r="E347" s="24"/>
      <c r="F347" s="145"/>
      <c r="G347" s="36"/>
    </row>
    <row r="348" spans="2:7" x14ac:dyDescent="0.25">
      <c r="B348" s="24"/>
      <c r="C348" s="24"/>
      <c r="D348" s="26"/>
      <c r="E348" s="24"/>
      <c r="F348" s="145"/>
      <c r="G348" s="36"/>
    </row>
    <row r="349" spans="2:7" x14ac:dyDescent="0.25">
      <c r="B349" s="24"/>
      <c r="C349" s="24"/>
      <c r="D349" s="26"/>
      <c r="E349" s="24"/>
      <c r="F349" s="145"/>
      <c r="G349" s="36"/>
    </row>
    <row r="350" spans="2:7" x14ac:dyDescent="0.25">
      <c r="B350" s="24"/>
      <c r="C350" s="24"/>
      <c r="D350" s="26"/>
      <c r="E350" s="24"/>
      <c r="F350" s="145"/>
      <c r="G350" s="36"/>
    </row>
    <row r="351" spans="2:7" x14ac:dyDescent="0.25">
      <c r="B351" s="24"/>
      <c r="C351" s="24"/>
      <c r="D351" s="26"/>
      <c r="E351" s="24"/>
      <c r="F351" s="145"/>
      <c r="G351" s="36"/>
    </row>
    <row r="352" spans="2:7" x14ac:dyDescent="0.25">
      <c r="B352" s="24"/>
      <c r="C352" s="24"/>
      <c r="D352" s="26"/>
      <c r="E352" s="24"/>
      <c r="F352" s="145"/>
      <c r="G352" s="36"/>
    </row>
    <row r="353" spans="2:7" x14ac:dyDescent="0.25">
      <c r="B353" s="24"/>
      <c r="C353" s="24"/>
      <c r="D353" s="26"/>
      <c r="E353" s="24"/>
      <c r="F353" s="145"/>
      <c r="G353" s="36"/>
    </row>
    <row r="354" spans="2:7" x14ac:dyDescent="0.25">
      <c r="B354" s="24"/>
      <c r="C354" s="24"/>
      <c r="D354" s="26"/>
      <c r="E354" s="24"/>
      <c r="F354" s="145"/>
      <c r="G354" s="36"/>
    </row>
    <row r="355" spans="2:7" x14ac:dyDescent="0.25">
      <c r="B355" s="24"/>
      <c r="C355" s="24"/>
      <c r="D355" s="26"/>
      <c r="E355" s="24"/>
      <c r="F355" s="145"/>
      <c r="G355" s="36"/>
    </row>
    <row r="356" spans="2:7" x14ac:dyDescent="0.25">
      <c r="B356" s="24"/>
      <c r="C356" s="24"/>
      <c r="D356" s="26"/>
      <c r="E356" s="24"/>
      <c r="F356" s="145"/>
      <c r="G356" s="36"/>
    </row>
    <row r="357" spans="2:7" x14ac:dyDescent="0.25">
      <c r="B357" s="24"/>
      <c r="C357" s="24"/>
      <c r="D357" s="26"/>
      <c r="E357" s="24"/>
      <c r="F357" s="145"/>
      <c r="G357" s="36"/>
    </row>
    <row r="358" spans="2:7" x14ac:dyDescent="0.25">
      <c r="B358" s="24"/>
      <c r="C358" s="24"/>
      <c r="D358" s="26"/>
      <c r="E358" s="24"/>
      <c r="F358" s="145"/>
      <c r="G358" s="36"/>
    </row>
    <row r="359" spans="2:7" x14ac:dyDescent="0.25">
      <c r="B359" s="24"/>
      <c r="C359" s="24"/>
      <c r="D359" s="26"/>
      <c r="E359" s="24"/>
      <c r="F359" s="145"/>
      <c r="G359" s="36"/>
    </row>
    <row r="360" spans="2:7" x14ac:dyDescent="0.25">
      <c r="B360" s="24"/>
      <c r="C360" s="24"/>
      <c r="D360" s="26"/>
      <c r="E360" s="24"/>
      <c r="F360" s="145"/>
      <c r="G360" s="36"/>
    </row>
    <row r="361" spans="2:7" x14ac:dyDescent="0.25">
      <c r="B361" s="24"/>
      <c r="C361" s="24"/>
      <c r="D361" s="26"/>
      <c r="E361" s="24"/>
      <c r="F361" s="145"/>
      <c r="G361" s="36"/>
    </row>
    <row r="362" spans="2:7" x14ac:dyDescent="0.25">
      <c r="B362" s="24"/>
      <c r="C362" s="24"/>
      <c r="D362" s="26"/>
      <c r="E362" s="24"/>
      <c r="F362" s="145"/>
      <c r="G362" s="36"/>
    </row>
    <row r="363" spans="2:7" x14ac:dyDescent="0.25">
      <c r="B363" s="24"/>
      <c r="C363" s="24"/>
      <c r="D363" s="26"/>
      <c r="E363" s="24"/>
      <c r="F363" s="145"/>
      <c r="G363" s="36"/>
    </row>
    <row r="364" spans="2:7" x14ac:dyDescent="0.25">
      <c r="B364" s="24"/>
      <c r="C364" s="24"/>
      <c r="D364" s="26"/>
      <c r="E364" s="24"/>
      <c r="F364" s="145"/>
      <c r="G364" s="36"/>
    </row>
    <row r="365" spans="2:7" x14ac:dyDescent="0.25">
      <c r="B365" s="24"/>
      <c r="C365" s="24"/>
      <c r="D365" s="26"/>
      <c r="E365" s="24"/>
      <c r="F365" s="145"/>
      <c r="G365" s="36"/>
    </row>
    <row r="366" spans="2:7" x14ac:dyDescent="0.25">
      <c r="B366" s="24"/>
      <c r="C366" s="24"/>
      <c r="D366" s="26"/>
      <c r="E366" s="24"/>
      <c r="F366" s="145"/>
      <c r="G366" s="36"/>
    </row>
    <row r="367" spans="2:7" x14ac:dyDescent="0.25">
      <c r="B367" s="24"/>
      <c r="C367" s="24"/>
      <c r="D367" s="26"/>
      <c r="E367" s="24"/>
      <c r="F367" s="145"/>
      <c r="G367" s="36"/>
    </row>
    <row r="368" spans="2:7" x14ac:dyDescent="0.25">
      <c r="B368" s="24"/>
      <c r="C368" s="24"/>
      <c r="D368" s="26"/>
      <c r="E368" s="24"/>
      <c r="F368" s="145"/>
      <c r="G368" s="36"/>
    </row>
    <row r="369" spans="2:7" x14ac:dyDescent="0.25">
      <c r="B369" s="24"/>
      <c r="C369" s="24"/>
      <c r="D369" s="26"/>
      <c r="E369" s="24"/>
      <c r="F369" s="145"/>
      <c r="G369" s="36"/>
    </row>
    <row r="370" spans="2:7" x14ac:dyDescent="0.25">
      <c r="B370" s="24"/>
      <c r="C370" s="24"/>
      <c r="D370" s="26"/>
      <c r="E370" s="24"/>
      <c r="F370" s="145"/>
      <c r="G370" s="36"/>
    </row>
    <row r="371" spans="2:7" x14ac:dyDescent="0.25">
      <c r="B371" s="24"/>
      <c r="C371" s="24"/>
      <c r="D371" s="26"/>
      <c r="E371" s="24"/>
      <c r="F371" s="145"/>
      <c r="G371" s="36"/>
    </row>
    <row r="372" spans="2:7" x14ac:dyDescent="0.25">
      <c r="B372" s="24"/>
      <c r="C372" s="24"/>
      <c r="D372" s="26"/>
      <c r="E372" s="24"/>
      <c r="F372" s="145"/>
      <c r="G372" s="36"/>
    </row>
    <row r="373" spans="2:7" x14ac:dyDescent="0.25">
      <c r="B373" s="24"/>
      <c r="C373" s="24"/>
      <c r="D373" s="26"/>
      <c r="E373" s="24"/>
      <c r="F373" s="145"/>
      <c r="G373" s="36"/>
    </row>
    <row r="374" spans="2:7" x14ac:dyDescent="0.25">
      <c r="B374" s="24"/>
      <c r="C374" s="24"/>
      <c r="D374" s="26"/>
      <c r="E374" s="24"/>
      <c r="F374" s="145"/>
      <c r="G374" s="36"/>
    </row>
    <row r="375" spans="2:7" x14ac:dyDescent="0.25">
      <c r="B375" s="24"/>
      <c r="C375" s="24"/>
      <c r="D375" s="26"/>
      <c r="E375" s="24"/>
      <c r="F375" s="145"/>
      <c r="G375" s="36"/>
    </row>
    <row r="376" spans="2:7" x14ac:dyDescent="0.25">
      <c r="B376" s="24"/>
      <c r="C376" s="24"/>
      <c r="D376" s="26"/>
      <c r="E376" s="24"/>
      <c r="F376" s="145"/>
      <c r="G376" s="36"/>
    </row>
    <row r="377" spans="2:7" x14ac:dyDescent="0.25">
      <c r="B377" s="24"/>
      <c r="C377" s="24"/>
      <c r="D377" s="26"/>
      <c r="E377" s="24"/>
      <c r="F377" s="145"/>
      <c r="G377" s="36"/>
    </row>
    <row r="378" spans="2:7" x14ac:dyDescent="0.25">
      <c r="B378" s="24"/>
      <c r="C378" s="24"/>
      <c r="D378" s="26"/>
      <c r="E378" s="24"/>
      <c r="F378" s="145"/>
      <c r="G378" s="36"/>
    </row>
    <row r="379" spans="2:7" x14ac:dyDescent="0.25">
      <c r="B379" s="24"/>
      <c r="C379" s="24"/>
      <c r="D379" s="26"/>
      <c r="E379" s="24"/>
      <c r="F379" s="145"/>
      <c r="G379" s="36"/>
    </row>
    <row r="380" spans="2:7" x14ac:dyDescent="0.25">
      <c r="B380" s="24"/>
      <c r="C380" s="24"/>
      <c r="D380" s="26"/>
      <c r="E380" s="24"/>
      <c r="F380" s="145"/>
      <c r="G380" s="36"/>
    </row>
    <row r="381" spans="2:7" x14ac:dyDescent="0.25">
      <c r="B381" s="24"/>
      <c r="C381" s="24"/>
      <c r="D381" s="26"/>
      <c r="E381" s="24"/>
      <c r="F381" s="145"/>
      <c r="G381" s="36"/>
    </row>
    <row r="382" spans="2:7" x14ac:dyDescent="0.25">
      <c r="B382" s="24"/>
      <c r="C382" s="24"/>
      <c r="D382" s="26"/>
      <c r="E382" s="24"/>
      <c r="F382" s="145"/>
      <c r="G382" s="36"/>
    </row>
    <row r="383" spans="2:7" x14ac:dyDescent="0.25">
      <c r="B383" s="24"/>
      <c r="C383" s="24"/>
      <c r="D383" s="26"/>
      <c r="E383" s="24"/>
      <c r="F383" s="145"/>
      <c r="G383" s="36"/>
    </row>
    <row r="384" spans="2:7" x14ac:dyDescent="0.25">
      <c r="B384" s="24"/>
      <c r="C384" s="24"/>
      <c r="D384" s="26"/>
      <c r="E384" s="24"/>
      <c r="F384" s="145"/>
      <c r="G384" s="36"/>
    </row>
    <row r="385" spans="2:7" x14ac:dyDescent="0.25">
      <c r="B385" s="24"/>
      <c r="C385" s="24"/>
      <c r="D385" s="26"/>
      <c r="E385" s="24"/>
      <c r="F385" s="145"/>
      <c r="G385" s="36"/>
    </row>
    <row r="386" spans="2:7" x14ac:dyDescent="0.25">
      <c r="B386" s="24"/>
      <c r="C386" s="24"/>
      <c r="D386" s="26"/>
      <c r="E386" s="24"/>
      <c r="F386" s="145"/>
      <c r="G386" s="36"/>
    </row>
    <row r="387" spans="2:7" x14ac:dyDescent="0.25">
      <c r="B387" s="24"/>
      <c r="C387" s="24"/>
      <c r="D387" s="26"/>
      <c r="E387" s="24"/>
      <c r="F387" s="145"/>
      <c r="G387" s="36"/>
    </row>
    <row r="388" spans="2:7" x14ac:dyDescent="0.25">
      <c r="B388" s="24"/>
      <c r="C388" s="24"/>
      <c r="D388" s="26"/>
      <c r="E388" s="24"/>
      <c r="F388" s="145"/>
      <c r="G388" s="36"/>
    </row>
    <row r="389" spans="2:7" x14ac:dyDescent="0.25">
      <c r="B389" s="24"/>
      <c r="C389" s="24"/>
      <c r="D389" s="26"/>
      <c r="E389" s="24"/>
      <c r="F389" s="145"/>
      <c r="G389" s="36"/>
    </row>
    <row r="390" spans="2:7" x14ac:dyDescent="0.25">
      <c r="B390" s="24"/>
      <c r="C390" s="24"/>
      <c r="D390" s="26"/>
      <c r="E390" s="24"/>
      <c r="F390" s="145"/>
      <c r="G390" s="36"/>
    </row>
    <row r="391" spans="2:7" x14ac:dyDescent="0.25">
      <c r="B391" s="24"/>
      <c r="C391" s="24"/>
      <c r="D391" s="26"/>
      <c r="E391" s="24"/>
      <c r="F391" s="145"/>
      <c r="G391" s="36"/>
    </row>
    <row r="392" spans="2:7" x14ac:dyDescent="0.25">
      <c r="B392" s="24"/>
      <c r="C392" s="24"/>
      <c r="D392" s="26"/>
      <c r="E392" s="24"/>
      <c r="F392" s="145"/>
      <c r="G392" s="36"/>
    </row>
    <row r="393" spans="2:7" x14ac:dyDescent="0.25">
      <c r="B393" s="24"/>
      <c r="C393" s="24"/>
      <c r="D393" s="26"/>
      <c r="E393" s="24"/>
      <c r="F393" s="145"/>
      <c r="G393" s="36"/>
    </row>
    <row r="394" spans="2:7" x14ac:dyDescent="0.25">
      <c r="B394" s="24"/>
      <c r="C394" s="24"/>
      <c r="D394" s="26"/>
      <c r="E394" s="24"/>
      <c r="F394" s="145"/>
      <c r="G394" s="36"/>
    </row>
    <row r="395" spans="2:7" x14ac:dyDescent="0.25">
      <c r="B395" s="24"/>
      <c r="C395" s="24"/>
      <c r="D395" s="26"/>
      <c r="E395" s="24"/>
      <c r="F395" s="145"/>
      <c r="G395" s="36"/>
    </row>
    <row r="396" spans="2:7" x14ac:dyDescent="0.25">
      <c r="B396" s="24"/>
      <c r="C396" s="24"/>
      <c r="D396" s="26"/>
      <c r="E396" s="24"/>
      <c r="F396" s="145"/>
      <c r="G396" s="36"/>
    </row>
    <row r="397" spans="2:7" x14ac:dyDescent="0.25">
      <c r="B397" s="24"/>
      <c r="C397" s="24"/>
      <c r="D397" s="26"/>
      <c r="E397" s="24"/>
      <c r="F397" s="145"/>
      <c r="G397" s="36"/>
    </row>
    <row r="398" spans="2:7" x14ac:dyDescent="0.25">
      <c r="B398" s="24"/>
      <c r="C398" s="24"/>
      <c r="D398" s="26"/>
      <c r="E398" s="24"/>
      <c r="F398" s="145"/>
      <c r="G398" s="36"/>
    </row>
    <row r="399" spans="2:7" x14ac:dyDescent="0.25">
      <c r="B399" s="24"/>
      <c r="C399" s="24"/>
      <c r="D399" s="26"/>
      <c r="E399" s="24"/>
      <c r="F399" s="145"/>
      <c r="G399" s="36"/>
    </row>
    <row r="400" spans="2:7" x14ac:dyDescent="0.25">
      <c r="B400" s="24"/>
      <c r="C400" s="24"/>
      <c r="D400" s="26"/>
      <c r="E400" s="24"/>
      <c r="F400" s="145"/>
      <c r="G400" s="36"/>
    </row>
    <row r="401" spans="2:7" x14ac:dyDescent="0.25">
      <c r="B401" s="24"/>
      <c r="C401" s="24"/>
      <c r="D401" s="26"/>
      <c r="E401" s="24"/>
      <c r="F401" s="145"/>
      <c r="G401" s="36"/>
    </row>
    <row r="402" spans="2:7" x14ac:dyDescent="0.25">
      <c r="B402" s="24"/>
      <c r="C402" s="24"/>
      <c r="D402" s="26"/>
      <c r="E402" s="24"/>
      <c r="F402" s="145"/>
      <c r="G402" s="36"/>
    </row>
    <row r="403" spans="2:7" x14ac:dyDescent="0.25">
      <c r="B403" s="24"/>
      <c r="C403" s="24"/>
      <c r="D403" s="26"/>
      <c r="E403" s="24"/>
      <c r="F403" s="145"/>
      <c r="G403" s="36"/>
    </row>
    <row r="404" spans="2:7" x14ac:dyDescent="0.25">
      <c r="B404" s="24"/>
      <c r="C404" s="24"/>
      <c r="D404" s="26"/>
      <c r="E404" s="24"/>
      <c r="F404" s="145"/>
      <c r="G404" s="36"/>
    </row>
    <row r="405" spans="2:7" x14ac:dyDescent="0.25">
      <c r="B405" s="24"/>
      <c r="C405" s="24"/>
      <c r="D405" s="26"/>
      <c r="E405" s="24"/>
      <c r="F405" s="145"/>
      <c r="G405" s="36"/>
    </row>
    <row r="406" spans="2:7" x14ac:dyDescent="0.25">
      <c r="B406" s="24"/>
      <c r="C406" s="24"/>
      <c r="D406" s="26"/>
      <c r="E406" s="24"/>
      <c r="F406" s="145"/>
      <c r="G406" s="36"/>
    </row>
    <row r="407" spans="2:7" x14ac:dyDescent="0.25">
      <c r="B407" s="24"/>
      <c r="C407" s="24"/>
      <c r="D407" s="26"/>
      <c r="E407" s="24"/>
      <c r="F407" s="145"/>
      <c r="G407" s="36"/>
    </row>
    <row r="408" spans="2:7" x14ac:dyDescent="0.25">
      <c r="B408" s="24"/>
      <c r="C408" s="24"/>
      <c r="D408" s="26"/>
      <c r="E408" s="24"/>
      <c r="F408" s="145"/>
      <c r="G408" s="36"/>
    </row>
    <row r="409" spans="2:7" x14ac:dyDescent="0.25">
      <c r="B409" s="24"/>
      <c r="C409" s="24"/>
      <c r="D409" s="26"/>
      <c r="E409" s="24"/>
      <c r="F409" s="145"/>
      <c r="G409" s="36"/>
    </row>
    <row r="410" spans="2:7" x14ac:dyDescent="0.25">
      <c r="B410" s="24"/>
      <c r="C410" s="24"/>
      <c r="D410" s="26"/>
      <c r="E410" s="24"/>
      <c r="F410" s="145"/>
      <c r="G410" s="36"/>
    </row>
    <row r="411" spans="2:7" x14ac:dyDescent="0.25">
      <c r="B411" s="24"/>
      <c r="C411" s="24"/>
      <c r="D411" s="26"/>
      <c r="E411" s="24"/>
      <c r="F411" s="145"/>
      <c r="G411" s="36"/>
    </row>
    <row r="412" spans="2:7" x14ac:dyDescent="0.25">
      <c r="B412" s="24"/>
      <c r="C412" s="24"/>
      <c r="D412" s="26"/>
      <c r="E412" s="24"/>
      <c r="F412" s="145"/>
      <c r="G412" s="36"/>
    </row>
    <row r="413" spans="2:7" x14ac:dyDescent="0.25">
      <c r="B413" s="24"/>
      <c r="C413" s="24"/>
      <c r="D413" s="26"/>
      <c r="E413" s="24"/>
      <c r="F413" s="145"/>
      <c r="G413" s="36"/>
    </row>
    <row r="414" spans="2:7" x14ac:dyDescent="0.25">
      <c r="B414" s="24"/>
      <c r="C414" s="24"/>
      <c r="D414" s="26"/>
      <c r="E414" s="24"/>
      <c r="F414" s="145"/>
      <c r="G414" s="36"/>
    </row>
    <row r="415" spans="2:7" x14ac:dyDescent="0.25">
      <c r="B415" s="24"/>
      <c r="C415" s="24"/>
      <c r="D415" s="26"/>
      <c r="E415" s="24"/>
      <c r="F415" s="145"/>
      <c r="G415" s="36"/>
    </row>
    <row r="416" spans="2:7" x14ac:dyDescent="0.25">
      <c r="B416" s="24"/>
      <c r="C416" s="24"/>
      <c r="D416" s="26"/>
      <c r="E416" s="24"/>
      <c r="F416" s="145"/>
      <c r="G416" s="36"/>
    </row>
    <row r="417" spans="2:7" x14ac:dyDescent="0.25">
      <c r="B417" s="24"/>
      <c r="C417" s="24"/>
      <c r="D417" s="26"/>
      <c r="E417" s="24"/>
      <c r="F417" s="145"/>
      <c r="G417" s="36"/>
    </row>
    <row r="418" spans="2:7" x14ac:dyDescent="0.25">
      <c r="B418" s="24"/>
      <c r="C418" s="24"/>
      <c r="D418" s="26"/>
      <c r="E418" s="24"/>
      <c r="F418" s="145"/>
      <c r="G418" s="36"/>
    </row>
    <row r="419" spans="2:7" x14ac:dyDescent="0.25">
      <c r="B419" s="24"/>
      <c r="C419" s="24"/>
      <c r="D419" s="26"/>
      <c r="E419" s="24"/>
      <c r="F419" s="145"/>
      <c r="G419" s="36"/>
    </row>
    <row r="420" spans="2:7" x14ac:dyDescent="0.25">
      <c r="B420" s="24"/>
      <c r="C420" s="24"/>
      <c r="D420" s="26"/>
      <c r="E420" s="24"/>
      <c r="F420" s="145"/>
      <c r="G420" s="36"/>
    </row>
    <row r="421" spans="2:7" x14ac:dyDescent="0.25">
      <c r="B421" s="24"/>
      <c r="C421" s="24"/>
      <c r="D421" s="26"/>
      <c r="E421" s="24"/>
      <c r="F421" s="145"/>
      <c r="G421" s="36"/>
    </row>
    <row r="422" spans="2:7" x14ac:dyDescent="0.25">
      <c r="B422" s="24"/>
      <c r="C422" s="24"/>
      <c r="D422" s="26"/>
      <c r="E422" s="24"/>
      <c r="F422" s="145"/>
      <c r="G422" s="36"/>
    </row>
    <row r="423" spans="2:7" x14ac:dyDescent="0.25">
      <c r="B423" s="24"/>
      <c r="C423" s="24"/>
      <c r="D423" s="26"/>
      <c r="E423" s="24"/>
      <c r="F423" s="145"/>
      <c r="G423" s="36"/>
    </row>
    <row r="424" spans="2:7" x14ac:dyDescent="0.25">
      <c r="B424" s="24"/>
      <c r="C424" s="24"/>
      <c r="D424" s="26"/>
      <c r="E424" s="24"/>
      <c r="F424" s="145"/>
      <c r="G424" s="36"/>
    </row>
    <row r="425" spans="2:7" x14ac:dyDescent="0.25">
      <c r="B425" s="24"/>
      <c r="C425" s="24"/>
      <c r="D425" s="26"/>
      <c r="E425" s="24"/>
      <c r="F425" s="145"/>
      <c r="G425" s="36"/>
    </row>
    <row r="426" spans="2:7" x14ac:dyDescent="0.25">
      <c r="B426" s="24"/>
      <c r="C426" s="24"/>
      <c r="D426" s="26"/>
      <c r="E426" s="24"/>
      <c r="F426" s="145"/>
      <c r="G426" s="36"/>
    </row>
    <row r="427" spans="2:7" x14ac:dyDescent="0.25">
      <c r="B427" s="24"/>
      <c r="C427" s="24"/>
      <c r="D427" s="26"/>
      <c r="E427" s="24"/>
      <c r="F427" s="145"/>
      <c r="G427" s="36"/>
    </row>
    <row r="428" spans="2:7" x14ac:dyDescent="0.25">
      <c r="B428" s="24"/>
      <c r="C428" s="24"/>
      <c r="D428" s="26"/>
      <c r="E428" s="24"/>
      <c r="F428" s="145"/>
      <c r="G428" s="36"/>
    </row>
    <row r="429" spans="2:7" x14ac:dyDescent="0.25">
      <c r="B429" s="24"/>
      <c r="C429" s="24"/>
      <c r="D429" s="26"/>
      <c r="E429" s="24"/>
      <c r="F429" s="145"/>
      <c r="G429" s="36"/>
    </row>
    <row r="430" spans="2:7" x14ac:dyDescent="0.25">
      <c r="B430" s="24"/>
      <c r="C430" s="24"/>
      <c r="D430" s="26"/>
      <c r="E430" s="24"/>
      <c r="F430" s="145"/>
      <c r="G430" s="36"/>
    </row>
    <row r="431" spans="2:7" x14ac:dyDescent="0.25">
      <c r="B431" s="24"/>
      <c r="C431" s="24"/>
      <c r="D431" s="26"/>
      <c r="E431" s="24"/>
      <c r="F431" s="145"/>
      <c r="G431" s="36"/>
    </row>
    <row r="432" spans="2:7" x14ac:dyDescent="0.25">
      <c r="B432" s="24"/>
      <c r="C432" s="24"/>
      <c r="D432" s="26"/>
      <c r="E432" s="24"/>
      <c r="F432" s="145"/>
      <c r="G432" s="36"/>
    </row>
    <row r="433" spans="2:7" x14ac:dyDescent="0.25">
      <c r="B433" s="24"/>
      <c r="C433" s="24"/>
      <c r="D433" s="26"/>
      <c r="E433" s="24"/>
      <c r="F433" s="145"/>
      <c r="G433" s="36"/>
    </row>
    <row r="434" spans="2:7" x14ac:dyDescent="0.25">
      <c r="B434" s="24"/>
      <c r="C434" s="24"/>
      <c r="D434" s="26"/>
      <c r="E434" s="24"/>
      <c r="F434" s="145"/>
      <c r="G434" s="36"/>
    </row>
    <row r="435" spans="2:7" x14ac:dyDescent="0.25">
      <c r="B435" s="24"/>
      <c r="C435" s="24"/>
      <c r="D435" s="26"/>
      <c r="E435" s="24"/>
      <c r="F435" s="145"/>
      <c r="G435" s="36"/>
    </row>
    <row r="436" spans="2:7" x14ac:dyDescent="0.25">
      <c r="B436" s="24"/>
      <c r="C436" s="24"/>
      <c r="D436" s="26"/>
      <c r="E436" s="24"/>
      <c r="F436" s="145"/>
      <c r="G436" s="36"/>
    </row>
    <row r="437" spans="2:7" x14ac:dyDescent="0.25">
      <c r="B437" s="24"/>
      <c r="C437" s="24"/>
      <c r="D437" s="26"/>
      <c r="E437" s="24"/>
      <c r="F437" s="145"/>
      <c r="G437" s="36"/>
    </row>
    <row r="438" spans="2:7" x14ac:dyDescent="0.25">
      <c r="B438" s="24"/>
      <c r="C438" s="24"/>
      <c r="D438" s="26"/>
      <c r="E438" s="24"/>
      <c r="F438" s="145"/>
      <c r="G438" s="36"/>
    </row>
    <row r="439" spans="2:7" x14ac:dyDescent="0.25">
      <c r="B439" s="24"/>
      <c r="C439" s="24"/>
      <c r="D439" s="26"/>
      <c r="E439" s="24"/>
      <c r="F439" s="145"/>
      <c r="G439" s="36"/>
    </row>
    <row r="440" spans="2:7" x14ac:dyDescent="0.25">
      <c r="B440" s="24"/>
      <c r="C440" s="24"/>
      <c r="D440" s="26"/>
      <c r="E440" s="24"/>
      <c r="F440" s="145"/>
      <c r="G440" s="36"/>
    </row>
    <row r="441" spans="2:7" x14ac:dyDescent="0.25">
      <c r="B441" s="24"/>
      <c r="C441" s="24"/>
      <c r="D441" s="26"/>
      <c r="E441" s="24"/>
      <c r="F441" s="145"/>
      <c r="G441" s="36"/>
    </row>
    <row r="442" spans="2:7" x14ac:dyDescent="0.25">
      <c r="B442" s="24"/>
      <c r="C442" s="24"/>
      <c r="D442" s="26"/>
      <c r="E442" s="24"/>
      <c r="F442" s="145"/>
      <c r="G442" s="36"/>
    </row>
    <row r="443" spans="2:7" x14ac:dyDescent="0.25">
      <c r="B443" s="24"/>
      <c r="C443" s="24"/>
      <c r="D443" s="26"/>
      <c r="E443" s="24"/>
      <c r="F443" s="145"/>
      <c r="G443" s="36"/>
    </row>
    <row r="444" spans="2:7" x14ac:dyDescent="0.25">
      <c r="B444" s="24"/>
      <c r="C444" s="24"/>
      <c r="D444" s="26"/>
      <c r="E444" s="24"/>
      <c r="F444" s="145"/>
      <c r="G444" s="36"/>
    </row>
    <row r="445" spans="2:7" x14ac:dyDescent="0.25">
      <c r="B445" s="24"/>
      <c r="C445" s="24"/>
      <c r="D445" s="26"/>
      <c r="E445" s="24"/>
      <c r="F445" s="145"/>
      <c r="G445" s="36"/>
    </row>
    <row r="446" spans="2:7" x14ac:dyDescent="0.25">
      <c r="B446" s="24"/>
      <c r="C446" s="24"/>
      <c r="D446" s="26"/>
      <c r="E446" s="24"/>
      <c r="F446" s="145"/>
      <c r="G446" s="36"/>
    </row>
    <row r="447" spans="2:7" x14ac:dyDescent="0.25">
      <c r="B447" s="24"/>
      <c r="C447" s="24"/>
      <c r="D447" s="26"/>
      <c r="E447" s="24"/>
      <c r="F447" s="145"/>
      <c r="G447" s="36"/>
    </row>
    <row r="448" spans="2:7" x14ac:dyDescent="0.25">
      <c r="B448" s="24"/>
      <c r="C448" s="24"/>
      <c r="D448" s="26"/>
      <c r="E448" s="24"/>
      <c r="F448" s="145"/>
      <c r="G448" s="36"/>
    </row>
    <row r="449" spans="2:7" x14ac:dyDescent="0.25">
      <c r="B449" s="24"/>
      <c r="C449" s="24"/>
      <c r="D449" s="26"/>
      <c r="E449" s="24"/>
      <c r="F449" s="145"/>
      <c r="G449" s="36"/>
    </row>
    <row r="450" spans="2:7" x14ac:dyDescent="0.25">
      <c r="B450" s="24"/>
      <c r="C450" s="24"/>
      <c r="D450" s="26"/>
      <c r="E450" s="24"/>
      <c r="F450" s="145"/>
      <c r="G450" s="36"/>
    </row>
    <row r="451" spans="2:7" x14ac:dyDescent="0.25">
      <c r="B451" s="24"/>
      <c r="C451" s="24"/>
      <c r="D451" s="26"/>
      <c r="E451" s="24"/>
      <c r="F451" s="145"/>
      <c r="G451" s="36"/>
    </row>
    <row r="452" spans="2:7" x14ac:dyDescent="0.25">
      <c r="B452" s="24"/>
      <c r="C452" s="24"/>
      <c r="D452" s="26"/>
      <c r="E452" s="24"/>
      <c r="F452" s="145"/>
      <c r="G452" s="36"/>
    </row>
    <row r="453" spans="2:7" x14ac:dyDescent="0.25">
      <c r="B453" s="24"/>
      <c r="C453" s="24"/>
      <c r="D453" s="26"/>
      <c r="E453" s="24"/>
      <c r="F453" s="145"/>
      <c r="G453" s="36"/>
    </row>
    <row r="454" spans="2:7" x14ac:dyDescent="0.25">
      <c r="B454" s="24"/>
      <c r="C454" s="24"/>
      <c r="D454" s="26"/>
      <c r="E454" s="24"/>
      <c r="F454" s="145"/>
      <c r="G454" s="36"/>
    </row>
    <row r="455" spans="2:7" x14ac:dyDescent="0.25">
      <c r="B455" s="24"/>
      <c r="C455" s="24"/>
      <c r="D455" s="26"/>
      <c r="E455" s="24"/>
      <c r="F455" s="145"/>
      <c r="G455" s="36"/>
    </row>
    <row r="456" spans="2:7" x14ac:dyDescent="0.25">
      <c r="B456" s="24"/>
      <c r="C456" s="24"/>
      <c r="D456" s="26"/>
      <c r="E456" s="24"/>
      <c r="F456" s="145"/>
      <c r="G456" s="36"/>
    </row>
    <row r="457" spans="2:7" x14ac:dyDescent="0.25">
      <c r="B457" s="24"/>
      <c r="C457" s="24"/>
      <c r="D457" s="26"/>
      <c r="E457" s="24"/>
      <c r="F457" s="145"/>
      <c r="G457" s="36"/>
    </row>
    <row r="458" spans="2:7" x14ac:dyDescent="0.25">
      <c r="B458" s="24"/>
      <c r="C458" s="24"/>
      <c r="D458" s="26"/>
      <c r="E458" s="24"/>
      <c r="F458" s="145"/>
      <c r="G458" s="36"/>
    </row>
    <row r="459" spans="2:7" x14ac:dyDescent="0.25">
      <c r="B459" s="24"/>
      <c r="C459" s="24"/>
      <c r="D459" s="26"/>
      <c r="E459" s="24"/>
      <c r="F459" s="145"/>
      <c r="G459" s="36"/>
    </row>
    <row r="460" spans="2:7" x14ac:dyDescent="0.25">
      <c r="B460" s="24"/>
      <c r="C460" s="24"/>
      <c r="D460" s="26"/>
      <c r="E460" s="24"/>
      <c r="F460" s="145"/>
      <c r="G460" s="36"/>
    </row>
    <row r="461" spans="2:7" x14ac:dyDescent="0.25">
      <c r="B461" s="24"/>
      <c r="C461" s="24"/>
      <c r="D461" s="26"/>
      <c r="E461" s="24"/>
      <c r="F461" s="145"/>
      <c r="G461" s="36"/>
    </row>
    <row r="462" spans="2:7" x14ac:dyDescent="0.25">
      <c r="B462" s="24"/>
      <c r="C462" s="24"/>
      <c r="D462" s="26"/>
      <c r="E462" s="24"/>
      <c r="F462" s="145"/>
      <c r="G462" s="36"/>
    </row>
    <row r="463" spans="2:7" x14ac:dyDescent="0.25">
      <c r="B463" s="24"/>
      <c r="C463" s="24"/>
      <c r="D463" s="26"/>
      <c r="E463" s="24"/>
      <c r="F463" s="145"/>
      <c r="G463" s="36"/>
    </row>
    <row r="464" spans="2:7" x14ac:dyDescent="0.25">
      <c r="B464" s="24"/>
      <c r="C464" s="24"/>
      <c r="D464" s="26"/>
      <c r="E464" s="24"/>
      <c r="F464" s="145"/>
      <c r="G464" s="36"/>
    </row>
    <row r="465" spans="2:7" x14ac:dyDescent="0.25">
      <c r="B465" s="24"/>
      <c r="C465" s="24"/>
      <c r="D465" s="26"/>
      <c r="E465" s="24"/>
      <c r="F465" s="145"/>
      <c r="G465" s="36"/>
    </row>
    <row r="466" spans="2:7" x14ac:dyDescent="0.25">
      <c r="B466" s="24"/>
      <c r="C466" s="24"/>
      <c r="D466" s="26"/>
      <c r="E466" s="24"/>
      <c r="F466" s="145"/>
      <c r="G466" s="36"/>
    </row>
    <row r="467" spans="2:7" x14ac:dyDescent="0.25">
      <c r="B467" s="24"/>
      <c r="C467" s="24"/>
      <c r="D467" s="26"/>
      <c r="E467" s="24"/>
      <c r="F467" s="145"/>
      <c r="G467" s="36"/>
    </row>
    <row r="468" spans="2:7" x14ac:dyDescent="0.25">
      <c r="B468" s="24"/>
      <c r="C468" s="24"/>
      <c r="D468" s="26"/>
      <c r="E468" s="24"/>
      <c r="F468" s="145"/>
      <c r="G468" s="36"/>
    </row>
    <row r="469" spans="2:7" x14ac:dyDescent="0.25">
      <c r="B469" s="24"/>
      <c r="C469" s="24"/>
      <c r="D469" s="26"/>
      <c r="E469" s="24"/>
      <c r="F469" s="145"/>
      <c r="G469" s="36"/>
    </row>
    <row r="470" spans="2:7" x14ac:dyDescent="0.25">
      <c r="B470" s="24"/>
      <c r="C470" s="24"/>
      <c r="D470" s="26"/>
      <c r="E470" s="24"/>
      <c r="F470" s="145"/>
      <c r="G470" s="36"/>
    </row>
    <row r="471" spans="2:7" x14ac:dyDescent="0.25">
      <c r="B471" s="24"/>
      <c r="C471" s="24"/>
      <c r="D471" s="26"/>
      <c r="E471" s="24"/>
      <c r="F471" s="145"/>
      <c r="G471" s="36"/>
    </row>
    <row r="472" spans="2:7" x14ac:dyDescent="0.25">
      <c r="B472" s="24"/>
      <c r="C472" s="24"/>
      <c r="D472" s="26"/>
      <c r="E472" s="24"/>
      <c r="F472" s="145"/>
      <c r="G472" s="36"/>
    </row>
    <row r="473" spans="2:7" x14ac:dyDescent="0.25">
      <c r="B473" s="24"/>
      <c r="C473" s="24"/>
      <c r="D473" s="26"/>
      <c r="E473" s="24"/>
      <c r="F473" s="145"/>
      <c r="G473" s="36"/>
    </row>
    <row r="474" spans="2:7" x14ac:dyDescent="0.25">
      <c r="B474" s="24"/>
      <c r="C474" s="24"/>
      <c r="D474" s="26"/>
      <c r="E474" s="24"/>
      <c r="F474" s="145"/>
      <c r="G474" s="36"/>
    </row>
    <row r="475" spans="2:7" x14ac:dyDescent="0.25">
      <c r="B475" s="24"/>
      <c r="C475" s="24"/>
      <c r="D475" s="26"/>
      <c r="E475" s="24"/>
      <c r="F475" s="145"/>
      <c r="G475" s="36"/>
    </row>
    <row r="476" spans="2:7" x14ac:dyDescent="0.25">
      <c r="B476" s="24"/>
      <c r="C476" s="24"/>
      <c r="D476" s="26"/>
      <c r="E476" s="24"/>
      <c r="F476" s="145"/>
      <c r="G476" s="36"/>
    </row>
    <row r="477" spans="2:7" x14ac:dyDescent="0.25">
      <c r="B477" s="24"/>
      <c r="C477" s="24"/>
      <c r="D477" s="26"/>
      <c r="E477" s="24"/>
      <c r="F477" s="145"/>
      <c r="G477" s="36"/>
    </row>
    <row r="478" spans="2:7" x14ac:dyDescent="0.25">
      <c r="B478" s="24"/>
      <c r="C478" s="24"/>
      <c r="D478" s="26"/>
      <c r="E478" s="24"/>
      <c r="F478" s="145"/>
      <c r="G478" s="36"/>
    </row>
    <row r="479" spans="2:7" x14ac:dyDescent="0.25">
      <c r="B479" s="24"/>
      <c r="C479" s="24"/>
      <c r="D479" s="26"/>
      <c r="E479" s="24"/>
      <c r="F479" s="145"/>
      <c r="G479" s="36"/>
    </row>
    <row r="480" spans="2:7" x14ac:dyDescent="0.25">
      <c r="B480" s="24"/>
      <c r="C480" s="24"/>
      <c r="D480" s="26"/>
      <c r="E480" s="24"/>
      <c r="F480" s="145"/>
      <c r="G480" s="36"/>
    </row>
    <row r="481" spans="2:7" x14ac:dyDescent="0.25">
      <c r="B481" s="24"/>
      <c r="C481" s="24"/>
      <c r="D481" s="26"/>
      <c r="E481" s="24"/>
      <c r="F481" s="145"/>
      <c r="G481" s="36"/>
    </row>
    <row r="482" spans="2:7" x14ac:dyDescent="0.25">
      <c r="B482" s="24"/>
      <c r="C482" s="24"/>
      <c r="D482" s="26"/>
      <c r="E482" s="24"/>
      <c r="F482" s="145"/>
      <c r="G482" s="36"/>
    </row>
    <row r="483" spans="2:7" x14ac:dyDescent="0.25">
      <c r="B483" s="24"/>
      <c r="C483" s="24"/>
      <c r="D483" s="26"/>
      <c r="E483" s="24"/>
      <c r="F483" s="145"/>
      <c r="G483" s="36"/>
    </row>
    <row r="484" spans="2:7" x14ac:dyDescent="0.25">
      <c r="B484" s="24"/>
      <c r="C484" s="24"/>
      <c r="D484" s="26"/>
      <c r="E484" s="24"/>
      <c r="F484" s="145"/>
      <c r="G484" s="36"/>
    </row>
    <row r="485" spans="2:7" x14ac:dyDescent="0.25">
      <c r="B485" s="24"/>
      <c r="C485" s="24"/>
      <c r="D485" s="26"/>
      <c r="E485" s="24"/>
      <c r="F485" s="145"/>
      <c r="G485" s="36"/>
    </row>
    <row r="486" spans="2:7" x14ac:dyDescent="0.25">
      <c r="B486" s="24"/>
      <c r="C486" s="24"/>
      <c r="D486" s="26"/>
      <c r="E486" s="24"/>
      <c r="F486" s="145"/>
      <c r="G486" s="36"/>
    </row>
    <row r="487" spans="2:7" x14ac:dyDescent="0.25">
      <c r="B487" s="24"/>
      <c r="C487" s="24"/>
      <c r="D487" s="26"/>
      <c r="E487" s="24"/>
      <c r="F487" s="145"/>
      <c r="G487" s="36"/>
    </row>
    <row r="488" spans="2:7" x14ac:dyDescent="0.25">
      <c r="B488" s="24"/>
      <c r="C488" s="24"/>
      <c r="D488" s="26"/>
      <c r="E488" s="24"/>
      <c r="F488" s="145"/>
      <c r="G488" s="36"/>
    </row>
    <row r="489" spans="2:7" x14ac:dyDescent="0.25">
      <c r="B489" s="24"/>
      <c r="C489" s="24"/>
      <c r="D489" s="26"/>
      <c r="E489" s="24"/>
      <c r="F489" s="145"/>
      <c r="G489" s="36"/>
    </row>
    <row r="490" spans="2:7" x14ac:dyDescent="0.25">
      <c r="B490" s="24"/>
      <c r="C490" s="24"/>
      <c r="D490" s="26"/>
      <c r="E490" s="24"/>
      <c r="F490" s="145"/>
      <c r="G490" s="36"/>
    </row>
    <row r="491" spans="2:7" x14ac:dyDescent="0.25">
      <c r="B491" s="24"/>
      <c r="C491" s="24"/>
      <c r="D491" s="26"/>
      <c r="E491" s="24"/>
      <c r="F491" s="145"/>
      <c r="G491" s="36"/>
    </row>
    <row r="492" spans="2:7" x14ac:dyDescent="0.25">
      <c r="B492" s="24"/>
      <c r="C492" s="24"/>
      <c r="D492" s="26"/>
      <c r="E492" s="24"/>
      <c r="F492" s="145"/>
      <c r="G492" s="36"/>
    </row>
    <row r="493" spans="2:7" x14ac:dyDescent="0.25">
      <c r="B493" s="24"/>
      <c r="C493" s="24"/>
      <c r="D493" s="26"/>
      <c r="E493" s="24"/>
      <c r="F493" s="145"/>
      <c r="G493" s="36"/>
    </row>
    <row r="494" spans="2:7" x14ac:dyDescent="0.25">
      <c r="B494" s="24"/>
      <c r="C494" s="24"/>
      <c r="D494" s="26"/>
      <c r="E494" s="24"/>
      <c r="F494" s="145"/>
      <c r="G494" s="36"/>
    </row>
    <row r="495" spans="2:7" x14ac:dyDescent="0.25">
      <c r="B495" s="24"/>
      <c r="C495" s="24"/>
      <c r="D495" s="26"/>
      <c r="E495" s="24"/>
      <c r="F495" s="145"/>
      <c r="G495" s="36"/>
    </row>
    <row r="496" spans="2:7" x14ac:dyDescent="0.25">
      <c r="B496" s="24"/>
      <c r="C496" s="24"/>
      <c r="D496" s="26"/>
      <c r="E496" s="24"/>
      <c r="F496" s="145"/>
      <c r="G496" s="36"/>
    </row>
    <row r="497" spans="2:7" x14ac:dyDescent="0.25">
      <c r="B497" s="24"/>
      <c r="C497" s="24"/>
      <c r="D497" s="26"/>
      <c r="E497" s="24"/>
      <c r="F497" s="145"/>
      <c r="G497" s="36"/>
    </row>
    <row r="498" spans="2:7" x14ac:dyDescent="0.25">
      <c r="B498" s="24"/>
      <c r="C498" s="24"/>
      <c r="D498" s="26"/>
      <c r="E498" s="24"/>
      <c r="F498" s="145"/>
      <c r="G498" s="36"/>
    </row>
    <row r="499" spans="2:7" x14ac:dyDescent="0.25">
      <c r="B499" s="24"/>
      <c r="C499" s="24"/>
      <c r="D499" s="26"/>
      <c r="E499" s="24"/>
      <c r="F499" s="145"/>
      <c r="G499" s="36"/>
    </row>
    <row r="500" spans="2:7" x14ac:dyDescent="0.25">
      <c r="B500" s="24"/>
      <c r="C500" s="24"/>
      <c r="D500" s="26"/>
      <c r="E500" s="24"/>
      <c r="F500" s="145"/>
      <c r="G500" s="36"/>
    </row>
    <row r="501" spans="2:7" x14ac:dyDescent="0.25">
      <c r="B501" s="24"/>
      <c r="C501" s="24"/>
      <c r="D501" s="26"/>
      <c r="E501" s="24"/>
      <c r="F501" s="145"/>
      <c r="G501" s="36"/>
    </row>
    <row r="502" spans="2:7" x14ac:dyDescent="0.25">
      <c r="B502" s="24"/>
      <c r="C502" s="24"/>
      <c r="D502" s="26"/>
      <c r="E502" s="24"/>
      <c r="F502" s="145"/>
      <c r="G502" s="36"/>
    </row>
    <row r="503" spans="2:7" x14ac:dyDescent="0.25">
      <c r="B503" s="24"/>
      <c r="C503" s="24"/>
      <c r="D503" s="26"/>
      <c r="E503" s="24"/>
      <c r="F503" s="145"/>
      <c r="G503" s="36"/>
    </row>
    <row r="504" spans="2:7" x14ac:dyDescent="0.25">
      <c r="B504" s="24"/>
      <c r="C504" s="24"/>
      <c r="D504" s="26"/>
      <c r="E504" s="24"/>
      <c r="F504" s="145"/>
      <c r="G504" s="36"/>
    </row>
    <row r="505" spans="2:7" x14ac:dyDescent="0.25">
      <c r="B505" s="24"/>
      <c r="C505" s="24"/>
      <c r="D505" s="26"/>
      <c r="E505" s="24"/>
      <c r="F505" s="145"/>
      <c r="G505" s="36"/>
    </row>
    <row r="506" spans="2:7" x14ac:dyDescent="0.25">
      <c r="B506" s="24"/>
      <c r="C506" s="24"/>
      <c r="D506" s="26"/>
      <c r="E506" s="24"/>
      <c r="F506" s="145"/>
      <c r="G506" s="36"/>
    </row>
    <row r="507" spans="2:7" x14ac:dyDescent="0.25">
      <c r="B507" s="24"/>
      <c r="C507" s="24"/>
      <c r="D507" s="26"/>
      <c r="E507" s="24"/>
      <c r="F507" s="145"/>
      <c r="G507" s="36"/>
    </row>
    <row r="508" spans="2:7" x14ac:dyDescent="0.25">
      <c r="B508" s="24"/>
      <c r="C508" s="24"/>
      <c r="D508" s="26"/>
      <c r="E508" s="24"/>
      <c r="F508" s="145"/>
      <c r="G508" s="36"/>
    </row>
    <row r="509" spans="2:7" x14ac:dyDescent="0.25">
      <c r="B509" s="24"/>
      <c r="C509" s="24"/>
      <c r="D509" s="26"/>
      <c r="E509" s="24"/>
      <c r="F509" s="145"/>
      <c r="G509" s="36"/>
    </row>
    <row r="510" spans="2:7" x14ac:dyDescent="0.25">
      <c r="B510" s="24"/>
      <c r="C510" s="24"/>
      <c r="D510" s="26"/>
      <c r="E510" s="24"/>
      <c r="F510" s="145"/>
      <c r="G510" s="36"/>
    </row>
    <row r="511" spans="2:7" x14ac:dyDescent="0.25">
      <c r="B511" s="24"/>
      <c r="C511" s="24"/>
      <c r="D511" s="26"/>
      <c r="E511" s="24"/>
      <c r="F511" s="145"/>
      <c r="G511" s="36"/>
    </row>
    <row r="512" spans="2:7" x14ac:dyDescent="0.25">
      <c r="B512" s="24"/>
      <c r="C512" s="24"/>
      <c r="D512" s="26"/>
      <c r="E512" s="24"/>
      <c r="F512" s="145"/>
      <c r="G512" s="36"/>
    </row>
    <row r="513" spans="2:7" x14ac:dyDescent="0.25">
      <c r="B513" s="24"/>
      <c r="C513" s="24"/>
      <c r="D513" s="26"/>
      <c r="E513" s="24"/>
      <c r="F513" s="145"/>
      <c r="G513" s="36"/>
    </row>
    <row r="514" spans="2:7" x14ac:dyDescent="0.25">
      <c r="B514" s="24"/>
      <c r="C514" s="24"/>
      <c r="D514" s="26"/>
      <c r="E514" s="24"/>
      <c r="F514" s="145"/>
      <c r="G514" s="36"/>
    </row>
    <row r="515" spans="2:7" x14ac:dyDescent="0.25">
      <c r="B515" s="24"/>
      <c r="C515" s="24"/>
      <c r="D515" s="26"/>
      <c r="E515" s="24"/>
      <c r="F515" s="145"/>
      <c r="G515" s="36"/>
    </row>
    <row r="516" spans="2:7" x14ac:dyDescent="0.25">
      <c r="B516" s="24"/>
      <c r="C516" s="24"/>
      <c r="D516" s="26"/>
      <c r="E516" s="24"/>
      <c r="F516" s="145"/>
      <c r="G516" s="36"/>
    </row>
    <row r="517" spans="2:7" x14ac:dyDescent="0.25">
      <c r="B517" s="24"/>
      <c r="C517" s="24"/>
      <c r="D517" s="26"/>
      <c r="E517" s="24"/>
      <c r="F517" s="145"/>
      <c r="G517" s="36"/>
    </row>
    <row r="518" spans="2:7" x14ac:dyDescent="0.25">
      <c r="B518" s="24"/>
      <c r="C518" s="24"/>
      <c r="D518" s="26"/>
      <c r="E518" s="24"/>
      <c r="F518" s="145"/>
      <c r="G518" s="36"/>
    </row>
    <row r="519" spans="2:7" x14ac:dyDescent="0.25">
      <c r="B519" s="24"/>
      <c r="C519" s="24"/>
      <c r="D519" s="26"/>
      <c r="E519" s="24"/>
      <c r="F519" s="145"/>
      <c r="G519" s="36"/>
    </row>
    <row r="520" spans="2:7" x14ac:dyDescent="0.25">
      <c r="B520" s="24"/>
      <c r="C520" s="24"/>
      <c r="D520" s="26"/>
      <c r="E520" s="24"/>
      <c r="F520" s="145"/>
      <c r="G520" s="36"/>
    </row>
    <row r="521" spans="2:7" x14ac:dyDescent="0.25">
      <c r="B521" s="24"/>
      <c r="C521" s="24"/>
      <c r="D521" s="26"/>
      <c r="E521" s="24"/>
      <c r="F521" s="145"/>
      <c r="G521" s="36"/>
    </row>
    <row r="522" spans="2:7" x14ac:dyDescent="0.25">
      <c r="B522" s="24"/>
      <c r="C522" s="24"/>
      <c r="D522" s="26"/>
      <c r="E522" s="24"/>
      <c r="F522" s="145"/>
      <c r="G522" s="36"/>
    </row>
    <row r="523" spans="2:7" x14ac:dyDescent="0.25">
      <c r="B523" s="24"/>
      <c r="C523" s="24"/>
      <c r="D523" s="26"/>
      <c r="E523" s="24"/>
      <c r="F523" s="145"/>
      <c r="G523" s="36"/>
    </row>
    <row r="524" spans="2:7" x14ac:dyDescent="0.25">
      <c r="B524" s="24"/>
      <c r="C524" s="24"/>
      <c r="D524" s="26"/>
      <c r="E524" s="24"/>
      <c r="F524" s="145"/>
      <c r="G524" s="36"/>
    </row>
    <row r="525" spans="2:7" x14ac:dyDescent="0.25">
      <c r="B525" s="24"/>
      <c r="C525" s="24"/>
      <c r="D525" s="26"/>
      <c r="E525" s="24"/>
      <c r="F525" s="145"/>
      <c r="G525" s="36"/>
    </row>
    <row r="526" spans="2:7" x14ac:dyDescent="0.25">
      <c r="B526" s="24"/>
      <c r="C526" s="24"/>
      <c r="D526" s="26"/>
      <c r="E526" s="24"/>
      <c r="F526" s="145"/>
      <c r="G526" s="36"/>
    </row>
    <row r="527" spans="2:7" x14ac:dyDescent="0.25">
      <c r="B527" s="24"/>
      <c r="C527" s="24"/>
      <c r="D527" s="26"/>
      <c r="E527" s="24"/>
      <c r="F527" s="145"/>
      <c r="G527" s="36"/>
    </row>
    <row r="528" spans="2:7" x14ac:dyDescent="0.25">
      <c r="B528" s="24"/>
      <c r="C528" s="24"/>
      <c r="D528" s="26"/>
      <c r="E528" s="24"/>
      <c r="F528" s="145"/>
      <c r="G528" s="36"/>
    </row>
    <row r="529" spans="2:7" x14ac:dyDescent="0.25">
      <c r="B529" s="24"/>
      <c r="C529" s="24"/>
      <c r="D529" s="26"/>
      <c r="E529" s="24"/>
      <c r="F529" s="145"/>
      <c r="G529" s="36"/>
    </row>
    <row r="530" spans="2:7" x14ac:dyDescent="0.25">
      <c r="B530" s="24"/>
      <c r="C530" s="24"/>
      <c r="D530" s="26"/>
      <c r="E530" s="24"/>
      <c r="F530" s="145"/>
      <c r="G530" s="36"/>
    </row>
    <row r="531" spans="2:7" x14ac:dyDescent="0.25">
      <c r="B531" s="24"/>
      <c r="C531" s="24"/>
      <c r="D531" s="26"/>
      <c r="E531" s="24"/>
      <c r="F531" s="145"/>
      <c r="G531" s="36"/>
    </row>
    <row r="532" spans="2:7" x14ac:dyDescent="0.25">
      <c r="B532" s="24"/>
      <c r="C532" s="24"/>
      <c r="D532" s="26"/>
      <c r="E532" s="24"/>
      <c r="F532" s="145"/>
      <c r="G532" s="36"/>
    </row>
    <row r="533" spans="2:7" x14ac:dyDescent="0.25">
      <c r="B533" s="24"/>
      <c r="C533" s="24"/>
      <c r="D533" s="26"/>
      <c r="E533" s="24"/>
      <c r="F533" s="145"/>
      <c r="G533" s="36"/>
    </row>
    <row r="534" spans="2:7" x14ac:dyDescent="0.25">
      <c r="B534" s="24"/>
      <c r="C534" s="24"/>
      <c r="D534" s="26"/>
      <c r="E534" s="24"/>
      <c r="F534" s="145"/>
      <c r="G534" s="36"/>
    </row>
    <row r="535" spans="2:7" x14ac:dyDescent="0.25">
      <c r="B535" s="24"/>
      <c r="C535" s="24"/>
      <c r="D535" s="26"/>
      <c r="E535" s="24"/>
      <c r="F535" s="145"/>
      <c r="G535" s="36"/>
    </row>
    <row r="536" spans="2:7" x14ac:dyDescent="0.25">
      <c r="B536" s="24"/>
      <c r="C536" s="24"/>
      <c r="D536" s="26"/>
      <c r="E536" s="24"/>
      <c r="F536" s="145"/>
      <c r="G536" s="36"/>
    </row>
    <row r="537" spans="2:7" x14ac:dyDescent="0.25">
      <c r="B537" s="24"/>
      <c r="C537" s="24"/>
      <c r="D537" s="26"/>
      <c r="E537" s="24"/>
      <c r="F537" s="145"/>
      <c r="G537" s="36"/>
    </row>
    <row r="538" spans="2:7" x14ac:dyDescent="0.25">
      <c r="B538" s="24"/>
      <c r="C538" s="24"/>
      <c r="D538" s="26"/>
      <c r="E538" s="24"/>
      <c r="F538" s="145"/>
      <c r="G538" s="36"/>
    </row>
    <row r="539" spans="2:7" x14ac:dyDescent="0.25">
      <c r="B539" s="24"/>
      <c r="C539" s="24"/>
      <c r="D539" s="26"/>
      <c r="E539" s="24"/>
      <c r="F539" s="145"/>
      <c r="G539" s="36"/>
    </row>
    <row r="540" spans="2:7" x14ac:dyDescent="0.25">
      <c r="B540" s="24"/>
      <c r="C540" s="24"/>
      <c r="D540" s="26"/>
      <c r="E540" s="24"/>
      <c r="F540" s="145"/>
      <c r="G540" s="36"/>
    </row>
    <row r="541" spans="2:7" x14ac:dyDescent="0.25">
      <c r="B541" s="24"/>
      <c r="C541" s="24"/>
      <c r="D541" s="26"/>
      <c r="E541" s="24"/>
      <c r="F541" s="145"/>
      <c r="G541" s="36"/>
    </row>
    <row r="542" spans="2:7" x14ac:dyDescent="0.25">
      <c r="B542" s="24"/>
      <c r="C542" s="24"/>
      <c r="D542" s="26"/>
      <c r="E542" s="24"/>
      <c r="F542" s="145"/>
      <c r="G542" s="36"/>
    </row>
    <row r="543" spans="2:7" x14ac:dyDescent="0.25">
      <c r="B543" s="24"/>
      <c r="C543" s="24"/>
      <c r="D543" s="26"/>
      <c r="E543" s="24"/>
      <c r="F543" s="145"/>
      <c r="G543" s="36"/>
    </row>
    <row r="544" spans="2:7" x14ac:dyDescent="0.25">
      <c r="B544" s="24"/>
      <c r="C544" s="24"/>
      <c r="D544" s="26"/>
      <c r="E544" s="24"/>
      <c r="F544" s="145"/>
      <c r="G544" s="36"/>
    </row>
    <row r="545" spans="2:7" x14ac:dyDescent="0.25">
      <c r="B545" s="24"/>
      <c r="C545" s="24"/>
      <c r="D545" s="26"/>
      <c r="E545" s="24"/>
      <c r="F545" s="145"/>
      <c r="G545" s="36"/>
    </row>
    <row r="546" spans="2:7" x14ac:dyDescent="0.25">
      <c r="B546" s="24"/>
      <c r="C546" s="24"/>
      <c r="D546" s="26"/>
      <c r="E546" s="24"/>
      <c r="F546" s="145"/>
      <c r="G546" s="36"/>
    </row>
    <row r="547" spans="2:7" x14ac:dyDescent="0.25">
      <c r="B547" s="24"/>
      <c r="C547" s="24"/>
      <c r="D547" s="26"/>
      <c r="E547" s="24"/>
      <c r="F547" s="145"/>
      <c r="G547" s="36"/>
    </row>
    <row r="548" spans="2:7" x14ac:dyDescent="0.25">
      <c r="B548" s="24"/>
      <c r="C548" s="24"/>
      <c r="D548" s="26"/>
      <c r="E548" s="24"/>
      <c r="F548" s="145"/>
      <c r="G548" s="36"/>
    </row>
    <row r="549" spans="2:7" x14ac:dyDescent="0.25">
      <c r="B549" s="24"/>
      <c r="C549" s="24"/>
      <c r="D549" s="26"/>
      <c r="E549" s="24"/>
      <c r="F549" s="145"/>
      <c r="G549" s="36"/>
    </row>
    <row r="550" spans="2:7" x14ac:dyDescent="0.25">
      <c r="B550" s="24"/>
      <c r="C550" s="24"/>
      <c r="D550" s="26"/>
      <c r="E550" s="24"/>
      <c r="F550" s="145"/>
      <c r="G550" s="36"/>
    </row>
    <row r="551" spans="2:7" x14ac:dyDescent="0.25">
      <c r="B551" s="24"/>
      <c r="C551" s="24"/>
      <c r="D551" s="26"/>
      <c r="E551" s="24"/>
      <c r="F551" s="145"/>
      <c r="G551" s="36"/>
    </row>
    <row r="552" spans="2:7" x14ac:dyDescent="0.25">
      <c r="B552" s="24"/>
      <c r="C552" s="24"/>
      <c r="D552" s="26"/>
      <c r="E552" s="24"/>
      <c r="F552" s="145"/>
      <c r="G552" s="36"/>
    </row>
    <row r="553" spans="2:7" x14ac:dyDescent="0.25">
      <c r="B553" s="24"/>
      <c r="C553" s="24"/>
      <c r="D553" s="26"/>
      <c r="E553" s="24"/>
      <c r="F553" s="145"/>
      <c r="G553" s="36"/>
    </row>
    <row r="554" spans="2:7" x14ac:dyDescent="0.25">
      <c r="B554" s="24"/>
      <c r="C554" s="24"/>
      <c r="D554" s="26"/>
      <c r="E554" s="24"/>
      <c r="F554" s="145"/>
      <c r="G554" s="36"/>
    </row>
    <row r="555" spans="2:7" x14ac:dyDescent="0.25">
      <c r="B555" s="24"/>
      <c r="C555" s="24"/>
      <c r="D555" s="26"/>
      <c r="E555" s="24"/>
      <c r="F555" s="145"/>
      <c r="G555" s="36"/>
    </row>
    <row r="556" spans="2:7" x14ac:dyDescent="0.25">
      <c r="B556" s="24"/>
      <c r="C556" s="24"/>
      <c r="D556" s="26"/>
      <c r="E556" s="24"/>
      <c r="F556" s="145"/>
      <c r="G556" s="36"/>
    </row>
    <row r="557" spans="2:7" x14ac:dyDescent="0.25">
      <c r="B557" s="24"/>
      <c r="C557" s="24"/>
      <c r="D557" s="26"/>
      <c r="E557" s="24"/>
      <c r="F557" s="145"/>
      <c r="G557" s="36"/>
    </row>
    <row r="558" spans="2:7" x14ac:dyDescent="0.25">
      <c r="B558" s="24"/>
      <c r="C558" s="24"/>
      <c r="D558" s="26"/>
      <c r="E558" s="24"/>
      <c r="F558" s="145"/>
      <c r="G558" s="36"/>
    </row>
    <row r="559" spans="2:7" x14ac:dyDescent="0.25">
      <c r="B559" s="24"/>
      <c r="C559" s="24"/>
      <c r="D559" s="26"/>
      <c r="E559" s="24"/>
      <c r="F559" s="145"/>
      <c r="G559" s="36"/>
    </row>
    <row r="560" spans="2:7" x14ac:dyDescent="0.25">
      <c r="B560" s="24"/>
      <c r="C560" s="24"/>
      <c r="D560" s="26"/>
      <c r="E560" s="24"/>
      <c r="F560" s="145"/>
      <c r="G560" s="36"/>
    </row>
    <row r="561" spans="2:7" x14ac:dyDescent="0.25">
      <c r="B561" s="24"/>
      <c r="C561" s="24"/>
      <c r="D561" s="26"/>
      <c r="E561" s="24"/>
      <c r="F561" s="145"/>
      <c r="G561" s="36"/>
    </row>
    <row r="562" spans="2:7" x14ac:dyDescent="0.25">
      <c r="B562" s="24"/>
      <c r="C562" s="24"/>
      <c r="D562" s="26"/>
      <c r="E562" s="24"/>
      <c r="F562" s="145"/>
      <c r="G562" s="36"/>
    </row>
    <row r="563" spans="2:7" x14ac:dyDescent="0.25">
      <c r="B563" s="24"/>
      <c r="C563" s="24"/>
      <c r="D563" s="26"/>
      <c r="E563" s="24"/>
      <c r="F563" s="145"/>
      <c r="G563" s="36"/>
    </row>
    <row r="564" spans="2:7" x14ac:dyDescent="0.25">
      <c r="B564" s="24"/>
      <c r="C564" s="24"/>
      <c r="D564" s="26"/>
      <c r="E564" s="24"/>
      <c r="F564" s="145"/>
      <c r="G564" s="36"/>
    </row>
    <row r="565" spans="2:7" x14ac:dyDescent="0.25">
      <c r="B565" s="24"/>
      <c r="C565" s="24"/>
      <c r="D565" s="26"/>
      <c r="E565" s="24"/>
      <c r="F565" s="145"/>
      <c r="G565" s="36"/>
    </row>
    <row r="566" spans="2:7" x14ac:dyDescent="0.25">
      <c r="B566" s="24"/>
      <c r="C566" s="24"/>
      <c r="D566" s="26"/>
      <c r="E566" s="24"/>
      <c r="F566" s="145"/>
      <c r="G566" s="36"/>
    </row>
    <row r="567" spans="2:7" x14ac:dyDescent="0.25">
      <c r="B567" s="24"/>
      <c r="C567" s="24"/>
      <c r="D567" s="26"/>
      <c r="E567" s="24"/>
      <c r="F567" s="145"/>
      <c r="G567" s="36"/>
    </row>
    <row r="568" spans="2:7" x14ac:dyDescent="0.25">
      <c r="B568" s="24"/>
      <c r="C568" s="24"/>
      <c r="D568" s="26"/>
      <c r="E568" s="24"/>
      <c r="F568" s="145"/>
      <c r="G568" s="36"/>
    </row>
    <row r="569" spans="2:7" x14ac:dyDescent="0.25">
      <c r="B569" s="24"/>
      <c r="C569" s="24"/>
      <c r="D569" s="26"/>
      <c r="E569" s="24"/>
      <c r="F569" s="145"/>
      <c r="G569" s="36"/>
    </row>
    <row r="570" spans="2:7" x14ac:dyDescent="0.25">
      <c r="B570" s="24"/>
      <c r="C570" s="24"/>
      <c r="D570" s="26"/>
      <c r="E570" s="24"/>
      <c r="F570" s="145"/>
      <c r="G570" s="36"/>
    </row>
    <row r="571" spans="2:7" x14ac:dyDescent="0.25">
      <c r="B571" s="24"/>
      <c r="C571" s="24"/>
      <c r="D571" s="26"/>
      <c r="E571" s="24"/>
      <c r="F571" s="145"/>
      <c r="G571" s="36"/>
    </row>
    <row r="572" spans="2:7" x14ac:dyDescent="0.25">
      <c r="B572" s="24"/>
      <c r="C572" s="24"/>
      <c r="D572" s="26"/>
      <c r="E572" s="24"/>
      <c r="F572" s="145"/>
      <c r="G572" s="36"/>
    </row>
    <row r="573" spans="2:7" x14ac:dyDescent="0.25">
      <c r="B573" s="24"/>
      <c r="C573" s="24"/>
      <c r="D573" s="26"/>
      <c r="E573" s="24"/>
      <c r="F573" s="145"/>
      <c r="G573" s="36"/>
    </row>
    <row r="574" spans="2:7" x14ac:dyDescent="0.25">
      <c r="B574" s="24"/>
      <c r="C574" s="24"/>
      <c r="D574" s="26"/>
      <c r="E574" s="24"/>
      <c r="F574" s="145"/>
      <c r="G574" s="36"/>
    </row>
    <row r="575" spans="2:7" x14ac:dyDescent="0.25">
      <c r="B575" s="24"/>
      <c r="C575" s="24"/>
      <c r="D575" s="26"/>
      <c r="E575" s="24"/>
      <c r="F575" s="145"/>
      <c r="G575" s="36"/>
    </row>
    <row r="576" spans="2:7" x14ac:dyDescent="0.25">
      <c r="B576" s="24"/>
      <c r="C576" s="24"/>
      <c r="D576" s="26"/>
      <c r="E576" s="24"/>
      <c r="F576" s="145"/>
      <c r="G576" s="36"/>
    </row>
    <row r="577" spans="2:7" x14ac:dyDescent="0.25">
      <c r="B577" s="24"/>
      <c r="C577" s="24"/>
      <c r="D577" s="26"/>
      <c r="E577" s="24"/>
      <c r="F577" s="145"/>
      <c r="G577" s="36"/>
    </row>
    <row r="578" spans="2:7" x14ac:dyDescent="0.25">
      <c r="B578" s="24"/>
      <c r="C578" s="24"/>
      <c r="D578" s="26"/>
      <c r="E578" s="24"/>
      <c r="F578" s="145"/>
      <c r="G578" s="36"/>
    </row>
    <row r="579" spans="2:7" x14ac:dyDescent="0.25">
      <c r="B579" s="24"/>
      <c r="C579" s="24"/>
      <c r="D579" s="26"/>
      <c r="E579" s="24"/>
      <c r="F579" s="145"/>
      <c r="G579" s="36"/>
    </row>
    <row r="580" spans="2:7" x14ac:dyDescent="0.25">
      <c r="B580" s="24"/>
      <c r="C580" s="24"/>
      <c r="D580" s="26"/>
      <c r="E580" s="24"/>
      <c r="F580" s="145"/>
      <c r="G580" s="36"/>
    </row>
    <row r="581" spans="2:7" x14ac:dyDescent="0.25">
      <c r="B581" s="24"/>
      <c r="C581" s="24"/>
      <c r="D581" s="26"/>
      <c r="E581" s="24"/>
      <c r="F581" s="145"/>
      <c r="G581" s="36"/>
    </row>
    <row r="582" spans="2:7" x14ac:dyDescent="0.25">
      <c r="B582" s="24"/>
      <c r="C582" s="24"/>
      <c r="D582" s="26"/>
      <c r="E582" s="24"/>
      <c r="F582" s="145"/>
      <c r="G582" s="36"/>
    </row>
    <row r="583" spans="2:7" x14ac:dyDescent="0.25">
      <c r="B583" s="24"/>
      <c r="C583" s="24"/>
      <c r="D583" s="26"/>
      <c r="E583" s="24"/>
      <c r="F583" s="145"/>
      <c r="G583" s="36"/>
    </row>
    <row r="584" spans="2:7" x14ac:dyDescent="0.25">
      <c r="B584" s="24"/>
      <c r="C584" s="24"/>
      <c r="D584" s="26"/>
      <c r="E584" s="24"/>
      <c r="F584" s="145"/>
      <c r="G584" s="36"/>
    </row>
    <row r="585" spans="2:7" x14ac:dyDescent="0.25">
      <c r="B585" s="24"/>
      <c r="C585" s="24"/>
      <c r="D585" s="26"/>
      <c r="E585" s="24"/>
      <c r="F585" s="145"/>
      <c r="G585" s="36"/>
    </row>
    <row r="586" spans="2:7" x14ac:dyDescent="0.25">
      <c r="B586" s="24"/>
      <c r="C586" s="24"/>
      <c r="D586" s="26"/>
      <c r="E586" s="24"/>
      <c r="F586" s="145"/>
      <c r="G586" s="36"/>
    </row>
    <row r="587" spans="2:7" x14ac:dyDescent="0.25">
      <c r="B587" s="24"/>
      <c r="C587" s="24"/>
      <c r="D587" s="26"/>
      <c r="E587" s="24"/>
      <c r="F587" s="145"/>
      <c r="G587" s="36"/>
    </row>
    <row r="588" spans="2:7" x14ac:dyDescent="0.25">
      <c r="B588" s="24"/>
      <c r="C588" s="24"/>
      <c r="D588" s="26"/>
      <c r="E588" s="24"/>
      <c r="F588" s="145"/>
      <c r="G588" s="36"/>
    </row>
    <row r="589" spans="2:7" x14ac:dyDescent="0.25">
      <c r="B589" s="24"/>
      <c r="C589" s="24"/>
      <c r="D589" s="26"/>
      <c r="E589" s="24"/>
      <c r="F589" s="145"/>
      <c r="G589" s="36"/>
    </row>
    <row r="590" spans="2:7" x14ac:dyDescent="0.25">
      <c r="B590" s="24"/>
      <c r="C590" s="24"/>
      <c r="D590" s="26"/>
      <c r="E590" s="24"/>
      <c r="F590" s="145"/>
      <c r="G590" s="36"/>
    </row>
    <row r="591" spans="2:7" x14ac:dyDescent="0.25">
      <c r="B591" s="24"/>
      <c r="C591" s="24"/>
      <c r="D591" s="26"/>
      <c r="E591" s="24"/>
      <c r="F591" s="145"/>
      <c r="G591" s="36"/>
    </row>
    <row r="592" spans="2:7" x14ac:dyDescent="0.25">
      <c r="B592" s="24"/>
      <c r="C592" s="24"/>
      <c r="D592" s="26"/>
      <c r="E592" s="24"/>
      <c r="F592" s="145"/>
      <c r="G592" s="36"/>
    </row>
    <row r="593" spans="2:7" x14ac:dyDescent="0.25">
      <c r="B593" s="24"/>
      <c r="C593" s="24"/>
      <c r="D593" s="26"/>
      <c r="E593" s="24"/>
      <c r="F593" s="145"/>
      <c r="G593" s="36"/>
    </row>
    <row r="594" spans="2:7" x14ac:dyDescent="0.25">
      <c r="B594" s="24"/>
      <c r="C594" s="24"/>
      <c r="D594" s="26"/>
      <c r="E594" s="24"/>
      <c r="F594" s="145"/>
      <c r="G594" s="36"/>
    </row>
    <row r="595" spans="2:7" x14ac:dyDescent="0.25">
      <c r="B595" s="24"/>
      <c r="C595" s="24"/>
      <c r="D595" s="26"/>
      <c r="E595" s="24"/>
      <c r="F595" s="145"/>
      <c r="G595" s="36"/>
    </row>
    <row r="596" spans="2:7" x14ac:dyDescent="0.25">
      <c r="B596" s="24"/>
      <c r="C596" s="24"/>
      <c r="D596" s="26"/>
      <c r="E596" s="24"/>
      <c r="F596" s="145"/>
      <c r="G596" s="36"/>
    </row>
    <row r="597" spans="2:7" x14ac:dyDescent="0.25">
      <c r="B597" s="24"/>
      <c r="C597" s="24"/>
      <c r="D597" s="26"/>
      <c r="E597" s="24"/>
      <c r="F597" s="145"/>
      <c r="G597" s="36"/>
    </row>
    <row r="598" spans="2:7" x14ac:dyDescent="0.25">
      <c r="B598" s="24"/>
      <c r="C598" s="24"/>
      <c r="D598" s="26"/>
      <c r="E598" s="24"/>
      <c r="F598" s="145"/>
      <c r="G598" s="36"/>
    </row>
    <row r="599" spans="2:7" x14ac:dyDescent="0.25">
      <c r="B599" s="24"/>
      <c r="C599" s="24"/>
      <c r="D599" s="26"/>
      <c r="E599" s="24"/>
      <c r="F599" s="145"/>
      <c r="G599" s="36"/>
    </row>
    <row r="600" spans="2:7" x14ac:dyDescent="0.25">
      <c r="B600" s="24"/>
      <c r="C600" s="24"/>
      <c r="D600" s="26"/>
      <c r="E600" s="24"/>
      <c r="F600" s="145"/>
      <c r="G600" s="36"/>
    </row>
    <row r="601" spans="2:7" x14ac:dyDescent="0.25">
      <c r="B601" s="24"/>
      <c r="C601" s="24"/>
      <c r="D601" s="26"/>
      <c r="E601" s="24"/>
      <c r="F601" s="145"/>
      <c r="G601" s="36"/>
    </row>
    <row r="602" spans="2:7" x14ac:dyDescent="0.25">
      <c r="B602" s="24"/>
      <c r="C602" s="24"/>
      <c r="D602" s="26"/>
      <c r="E602" s="24"/>
      <c r="F602" s="145"/>
      <c r="G602" s="36"/>
    </row>
    <row r="603" spans="2:7" x14ac:dyDescent="0.25">
      <c r="B603" s="24"/>
      <c r="C603" s="24"/>
      <c r="D603" s="26"/>
      <c r="E603" s="24"/>
      <c r="F603" s="145"/>
      <c r="G603" s="36"/>
    </row>
    <row r="604" spans="2:7" x14ac:dyDescent="0.25">
      <c r="B604" s="24"/>
      <c r="C604" s="24"/>
      <c r="D604" s="26"/>
      <c r="E604" s="24"/>
      <c r="F604" s="145"/>
      <c r="G604" s="36"/>
    </row>
    <row r="605" spans="2:7" x14ac:dyDescent="0.25">
      <c r="B605" s="24"/>
      <c r="C605" s="24"/>
      <c r="D605" s="26"/>
      <c r="E605" s="24"/>
      <c r="F605" s="145"/>
      <c r="G605" s="36"/>
    </row>
    <row r="606" spans="2:7" x14ac:dyDescent="0.25">
      <c r="B606" s="24"/>
      <c r="C606" s="24"/>
      <c r="D606" s="26"/>
      <c r="E606" s="24"/>
      <c r="F606" s="145"/>
      <c r="G606" s="36"/>
    </row>
    <row r="607" spans="2:7" x14ac:dyDescent="0.25">
      <c r="B607" s="24"/>
      <c r="C607" s="24"/>
      <c r="D607" s="26"/>
      <c r="E607" s="24"/>
      <c r="F607" s="145"/>
      <c r="G607" s="36"/>
    </row>
    <row r="608" spans="2:7" x14ac:dyDescent="0.25">
      <c r="B608" s="24"/>
      <c r="C608" s="24"/>
      <c r="D608" s="26"/>
      <c r="E608" s="24"/>
      <c r="F608" s="145"/>
      <c r="G608" s="36"/>
    </row>
    <row r="609" spans="2:7" x14ac:dyDescent="0.25">
      <c r="B609" s="24"/>
      <c r="C609" s="24"/>
      <c r="D609" s="26"/>
      <c r="E609" s="24"/>
      <c r="F609" s="145"/>
      <c r="G609" s="36"/>
    </row>
    <row r="610" spans="2:7" x14ac:dyDescent="0.25">
      <c r="B610" s="24"/>
      <c r="C610" s="24"/>
      <c r="D610" s="26"/>
      <c r="E610" s="24"/>
      <c r="F610" s="145"/>
      <c r="G610" s="36"/>
    </row>
    <row r="611" spans="2:7" x14ac:dyDescent="0.25">
      <c r="B611" s="24"/>
      <c r="C611" s="24"/>
      <c r="D611" s="26"/>
      <c r="E611" s="24"/>
      <c r="F611" s="145"/>
      <c r="G611" s="36"/>
    </row>
    <row r="612" spans="2:7" x14ac:dyDescent="0.25">
      <c r="B612" s="24"/>
      <c r="C612" s="24"/>
      <c r="D612" s="26"/>
      <c r="E612" s="24"/>
      <c r="F612" s="145"/>
      <c r="G612" s="36"/>
    </row>
    <row r="613" spans="2:7" x14ac:dyDescent="0.25">
      <c r="B613" s="24"/>
      <c r="C613" s="24"/>
      <c r="D613" s="26"/>
      <c r="E613" s="24"/>
      <c r="F613" s="145"/>
      <c r="G613" s="36"/>
    </row>
    <row r="614" spans="2:7" x14ac:dyDescent="0.25">
      <c r="B614" s="24"/>
      <c r="C614" s="24"/>
      <c r="D614" s="26"/>
      <c r="E614" s="24"/>
      <c r="F614" s="145"/>
      <c r="G614" s="36"/>
    </row>
    <row r="615" spans="2:7" x14ac:dyDescent="0.25">
      <c r="B615" s="24"/>
      <c r="C615" s="24"/>
      <c r="D615" s="26"/>
      <c r="E615" s="24"/>
      <c r="F615" s="145"/>
      <c r="G615" s="36"/>
    </row>
    <row r="616" spans="2:7" x14ac:dyDescent="0.25">
      <c r="B616" s="24"/>
      <c r="C616" s="24"/>
      <c r="D616" s="26"/>
      <c r="E616" s="24"/>
      <c r="F616" s="145"/>
      <c r="G616" s="36"/>
    </row>
    <row r="617" spans="2:7" x14ac:dyDescent="0.25">
      <c r="B617" s="24"/>
      <c r="C617" s="24"/>
      <c r="D617" s="26"/>
      <c r="E617" s="24"/>
      <c r="F617" s="145"/>
      <c r="G617" s="36"/>
    </row>
    <row r="618" spans="2:7" x14ac:dyDescent="0.25">
      <c r="B618" s="24"/>
      <c r="C618" s="24"/>
      <c r="D618" s="26"/>
      <c r="E618" s="24"/>
      <c r="F618" s="145"/>
      <c r="G618" s="36"/>
    </row>
    <row r="619" spans="2:7" x14ac:dyDescent="0.25">
      <c r="B619" s="24"/>
      <c r="C619" s="24"/>
      <c r="D619" s="26"/>
      <c r="E619" s="24"/>
      <c r="F619" s="145"/>
      <c r="G619" s="36"/>
    </row>
    <row r="620" spans="2:7" x14ac:dyDescent="0.25">
      <c r="B620" s="24"/>
      <c r="C620" s="24"/>
      <c r="D620" s="26"/>
      <c r="E620" s="24"/>
      <c r="F620" s="145"/>
      <c r="G620" s="36"/>
    </row>
    <row r="621" spans="2:7" x14ac:dyDescent="0.25">
      <c r="B621" s="24"/>
      <c r="C621" s="24"/>
      <c r="D621" s="26"/>
      <c r="E621" s="24"/>
      <c r="F621" s="145"/>
      <c r="G621" s="36"/>
    </row>
    <row r="622" spans="2:7" x14ac:dyDescent="0.25">
      <c r="B622" s="24"/>
      <c r="C622" s="24"/>
      <c r="D622" s="26"/>
      <c r="E622" s="24"/>
      <c r="F622" s="145"/>
      <c r="G622" s="36"/>
    </row>
    <row r="623" spans="2:7" x14ac:dyDescent="0.25">
      <c r="B623" s="24"/>
      <c r="C623" s="24"/>
      <c r="D623" s="26"/>
      <c r="E623" s="24"/>
      <c r="F623" s="145"/>
      <c r="G623" s="36"/>
    </row>
    <row r="624" spans="2:7" x14ac:dyDescent="0.25">
      <c r="B624" s="24"/>
      <c r="C624" s="24"/>
      <c r="D624" s="26"/>
      <c r="E624" s="24"/>
      <c r="F624" s="145"/>
      <c r="G624" s="36"/>
    </row>
    <row r="625" spans="2:7" x14ac:dyDescent="0.25">
      <c r="B625" s="24"/>
      <c r="C625" s="24"/>
      <c r="D625" s="26"/>
      <c r="E625" s="24"/>
      <c r="F625" s="145"/>
      <c r="G625" s="36"/>
    </row>
    <row r="626" spans="2:7" x14ac:dyDescent="0.25">
      <c r="B626" s="24"/>
      <c r="C626" s="24"/>
      <c r="D626" s="26"/>
      <c r="E626" s="24"/>
      <c r="F626" s="145"/>
      <c r="G626" s="36"/>
    </row>
    <row r="627" spans="2:7" x14ac:dyDescent="0.25">
      <c r="B627" s="24"/>
      <c r="C627" s="24"/>
      <c r="D627" s="26"/>
      <c r="E627" s="24"/>
      <c r="F627" s="145"/>
      <c r="G627" s="36"/>
    </row>
    <row r="628" spans="2:7" x14ac:dyDescent="0.25">
      <c r="B628" s="24"/>
      <c r="C628" s="24"/>
      <c r="D628" s="26"/>
      <c r="E628" s="24"/>
      <c r="F628" s="145"/>
      <c r="G628" s="36"/>
    </row>
    <row r="629" spans="2:7" x14ac:dyDescent="0.25">
      <c r="B629" s="24"/>
      <c r="C629" s="24"/>
      <c r="D629" s="26"/>
      <c r="E629" s="24"/>
      <c r="F629" s="145"/>
      <c r="G629" s="36"/>
    </row>
    <row r="630" spans="2:7" x14ac:dyDescent="0.25">
      <c r="B630" s="24"/>
      <c r="C630" s="24"/>
      <c r="D630" s="26"/>
      <c r="E630" s="24"/>
      <c r="F630" s="145"/>
      <c r="G630" s="36"/>
    </row>
    <row r="631" spans="2:7" x14ac:dyDescent="0.25">
      <c r="B631" s="24"/>
      <c r="C631" s="24"/>
      <c r="D631" s="26"/>
      <c r="E631" s="24"/>
      <c r="F631" s="145"/>
      <c r="G631" s="36"/>
    </row>
    <row r="632" spans="2:7" x14ac:dyDescent="0.25">
      <c r="B632" s="24"/>
      <c r="C632" s="24"/>
      <c r="D632" s="26"/>
      <c r="E632" s="24"/>
      <c r="F632" s="145"/>
      <c r="G632" s="36"/>
    </row>
    <row r="633" spans="2:7" x14ac:dyDescent="0.25">
      <c r="B633" s="24"/>
      <c r="C633" s="24"/>
      <c r="D633" s="26"/>
      <c r="E633" s="24"/>
      <c r="F633" s="145"/>
      <c r="G633" s="36"/>
    </row>
    <row r="634" spans="2:7" x14ac:dyDescent="0.25">
      <c r="B634" s="24"/>
      <c r="C634" s="24"/>
      <c r="D634" s="26"/>
      <c r="E634" s="24"/>
      <c r="F634" s="145"/>
      <c r="G634" s="36"/>
    </row>
    <row r="635" spans="2:7" x14ac:dyDescent="0.25">
      <c r="B635" s="24"/>
      <c r="C635" s="24"/>
      <c r="D635" s="26"/>
      <c r="E635" s="24"/>
      <c r="F635" s="145"/>
      <c r="G635" s="36"/>
    </row>
    <row r="636" spans="2:7" x14ac:dyDescent="0.25">
      <c r="B636" s="24"/>
      <c r="C636" s="24"/>
      <c r="D636" s="26"/>
      <c r="E636" s="24"/>
      <c r="F636" s="145"/>
      <c r="G636" s="36"/>
    </row>
    <row r="637" spans="2:7" x14ac:dyDescent="0.25">
      <c r="B637" s="24"/>
      <c r="C637" s="24"/>
      <c r="D637" s="26"/>
      <c r="E637" s="24"/>
      <c r="F637" s="145"/>
      <c r="G637" s="36"/>
    </row>
    <row r="638" spans="2:7" x14ac:dyDescent="0.25">
      <c r="B638" s="24"/>
      <c r="C638" s="24"/>
      <c r="D638" s="26"/>
      <c r="E638" s="24"/>
      <c r="F638" s="145"/>
      <c r="G638" s="36"/>
    </row>
    <row r="639" spans="2:7" x14ac:dyDescent="0.25">
      <c r="B639" s="24"/>
      <c r="C639" s="24"/>
      <c r="D639" s="26"/>
      <c r="E639" s="24"/>
      <c r="F639" s="145"/>
      <c r="G639" s="36"/>
    </row>
    <row r="640" spans="2:7" x14ac:dyDescent="0.25">
      <c r="B640" s="24"/>
      <c r="C640" s="24"/>
      <c r="D640" s="26"/>
      <c r="E640" s="24"/>
      <c r="F640" s="145"/>
      <c r="G640" s="36"/>
    </row>
    <row r="641" spans="2:7" x14ac:dyDescent="0.25">
      <c r="B641" s="24"/>
      <c r="C641" s="24"/>
      <c r="D641" s="26"/>
      <c r="E641" s="24"/>
      <c r="F641" s="145"/>
      <c r="G641" s="36"/>
    </row>
    <row r="642" spans="2:7" x14ac:dyDescent="0.25">
      <c r="B642" s="24"/>
      <c r="C642" s="24"/>
      <c r="D642" s="26"/>
      <c r="E642" s="24"/>
      <c r="F642" s="145"/>
      <c r="G642" s="36"/>
    </row>
    <row r="643" spans="2:7" x14ac:dyDescent="0.25">
      <c r="B643" s="24"/>
      <c r="C643" s="24"/>
      <c r="D643" s="26"/>
      <c r="E643" s="24"/>
      <c r="F643" s="145"/>
      <c r="G643" s="36"/>
    </row>
    <row r="644" spans="2:7" x14ac:dyDescent="0.25">
      <c r="B644" s="24"/>
      <c r="C644" s="24"/>
      <c r="D644" s="26"/>
      <c r="E644" s="24"/>
      <c r="F644" s="145"/>
      <c r="G644" s="36"/>
    </row>
    <row r="645" spans="2:7" x14ac:dyDescent="0.25">
      <c r="B645" s="24"/>
      <c r="C645" s="24"/>
      <c r="D645" s="26"/>
      <c r="E645" s="24"/>
      <c r="F645" s="145"/>
      <c r="G645" s="36"/>
    </row>
    <row r="646" spans="2:7" x14ac:dyDescent="0.25">
      <c r="B646" s="24"/>
      <c r="C646" s="24"/>
      <c r="D646" s="26"/>
      <c r="E646" s="24"/>
      <c r="F646" s="145"/>
      <c r="G646" s="36"/>
    </row>
    <row r="647" spans="2:7" x14ac:dyDescent="0.25">
      <c r="B647" s="24"/>
      <c r="C647" s="24"/>
      <c r="D647" s="26"/>
      <c r="E647" s="24"/>
      <c r="F647" s="145"/>
      <c r="G647" s="36"/>
    </row>
    <row r="648" spans="2:7" x14ac:dyDescent="0.25">
      <c r="B648" s="24"/>
      <c r="C648" s="24"/>
      <c r="D648" s="26"/>
      <c r="E648" s="24"/>
      <c r="F648" s="145"/>
      <c r="G648" s="36"/>
    </row>
    <row r="649" spans="2:7" x14ac:dyDescent="0.25">
      <c r="B649" s="24"/>
      <c r="C649" s="24"/>
      <c r="D649" s="26"/>
      <c r="E649" s="24"/>
      <c r="F649" s="145"/>
      <c r="G649" s="36"/>
    </row>
    <row r="650" spans="2:7" x14ac:dyDescent="0.25">
      <c r="B650" s="24"/>
      <c r="C650" s="24"/>
      <c r="D650" s="26"/>
      <c r="E650" s="24"/>
      <c r="F650" s="145"/>
      <c r="G650" s="36"/>
    </row>
    <row r="651" spans="2:7" x14ac:dyDescent="0.25">
      <c r="B651" s="24"/>
      <c r="C651" s="24"/>
      <c r="D651" s="26"/>
      <c r="E651" s="24"/>
      <c r="F651" s="145"/>
      <c r="G651" s="36"/>
    </row>
    <row r="652" spans="2:7" x14ac:dyDescent="0.25">
      <c r="B652" s="24"/>
      <c r="C652" s="24"/>
      <c r="D652" s="26"/>
      <c r="E652" s="24"/>
      <c r="F652" s="145"/>
      <c r="G652" s="36"/>
    </row>
    <row r="653" spans="2:7" x14ac:dyDescent="0.25">
      <c r="B653" s="24"/>
      <c r="C653" s="24"/>
      <c r="D653" s="26"/>
      <c r="E653" s="24"/>
      <c r="F653" s="145"/>
      <c r="G653" s="36"/>
    </row>
    <row r="654" spans="2:7" x14ac:dyDescent="0.25">
      <c r="B654" s="24"/>
      <c r="C654" s="24"/>
      <c r="D654" s="26"/>
      <c r="E654" s="24"/>
      <c r="F654" s="145"/>
      <c r="G654" s="36"/>
    </row>
    <row r="655" spans="2:7" x14ac:dyDescent="0.25">
      <c r="B655" s="24"/>
      <c r="C655" s="24"/>
      <c r="D655" s="26"/>
      <c r="E655" s="24"/>
      <c r="F655" s="145"/>
      <c r="G655" s="36"/>
    </row>
    <row r="656" spans="2:7" x14ac:dyDescent="0.25">
      <c r="B656" s="24"/>
      <c r="C656" s="24"/>
      <c r="D656" s="26"/>
      <c r="E656" s="24"/>
      <c r="F656" s="145"/>
      <c r="G656" s="36"/>
    </row>
    <row r="657" spans="2:7" x14ac:dyDescent="0.25">
      <c r="B657" s="24"/>
      <c r="C657" s="24"/>
      <c r="D657" s="26"/>
      <c r="E657" s="24"/>
      <c r="F657" s="145"/>
      <c r="G657" s="36"/>
    </row>
    <row r="658" spans="2:7" x14ac:dyDescent="0.25">
      <c r="B658" s="24"/>
      <c r="C658" s="24"/>
      <c r="D658" s="26"/>
      <c r="E658" s="24"/>
      <c r="F658" s="145"/>
      <c r="G658" s="36"/>
    </row>
    <row r="659" spans="2:7" x14ac:dyDescent="0.25">
      <c r="B659" s="24"/>
      <c r="C659" s="24"/>
      <c r="D659" s="26"/>
      <c r="E659" s="24"/>
      <c r="F659" s="145"/>
      <c r="G659" s="36"/>
    </row>
    <row r="660" spans="2:7" x14ac:dyDescent="0.25">
      <c r="B660" s="24"/>
      <c r="C660" s="24"/>
      <c r="D660" s="26"/>
      <c r="E660" s="24"/>
      <c r="F660" s="145"/>
      <c r="G660" s="36"/>
    </row>
    <row r="661" spans="2:7" x14ac:dyDescent="0.25">
      <c r="B661" s="24"/>
      <c r="C661" s="24"/>
      <c r="D661" s="26"/>
      <c r="E661" s="24"/>
      <c r="F661" s="145"/>
      <c r="G661" s="36"/>
    </row>
    <row r="662" spans="2:7" x14ac:dyDescent="0.25">
      <c r="B662" s="24"/>
      <c r="C662" s="24"/>
      <c r="D662" s="26"/>
      <c r="E662" s="24"/>
      <c r="F662" s="145"/>
      <c r="G662" s="36"/>
    </row>
    <row r="663" spans="2:7" x14ac:dyDescent="0.25">
      <c r="B663" s="24"/>
      <c r="C663" s="24"/>
      <c r="D663" s="26"/>
      <c r="E663" s="24"/>
      <c r="F663" s="145"/>
      <c r="G663" s="36"/>
    </row>
    <row r="664" spans="2:7" x14ac:dyDescent="0.25">
      <c r="B664" s="24"/>
      <c r="C664" s="24"/>
      <c r="D664" s="26"/>
      <c r="E664" s="24"/>
      <c r="F664" s="145"/>
      <c r="G664" s="36"/>
    </row>
    <row r="665" spans="2:7" x14ac:dyDescent="0.25">
      <c r="B665" s="24"/>
      <c r="C665" s="24"/>
      <c r="D665" s="26"/>
      <c r="E665" s="24"/>
      <c r="F665" s="145"/>
      <c r="G665" s="36"/>
    </row>
    <row r="666" spans="2:7" x14ac:dyDescent="0.25">
      <c r="B666" s="24"/>
      <c r="C666" s="24"/>
      <c r="D666" s="26"/>
      <c r="E666" s="24"/>
      <c r="F666" s="145"/>
      <c r="G666" s="36"/>
    </row>
    <row r="667" spans="2:7" x14ac:dyDescent="0.25">
      <c r="B667" s="24"/>
      <c r="C667" s="24"/>
      <c r="D667" s="26"/>
      <c r="E667" s="24"/>
      <c r="F667" s="145"/>
      <c r="G667" s="36"/>
    </row>
    <row r="668" spans="2:7" x14ac:dyDescent="0.25">
      <c r="B668" s="24"/>
      <c r="C668" s="24"/>
      <c r="D668" s="26"/>
      <c r="E668" s="24"/>
      <c r="F668" s="145"/>
      <c r="G668" s="36"/>
    </row>
    <row r="669" spans="2:7" x14ac:dyDescent="0.25">
      <c r="B669" s="24"/>
      <c r="C669" s="24"/>
      <c r="D669" s="26"/>
      <c r="E669" s="24"/>
      <c r="F669" s="145"/>
      <c r="G669" s="36"/>
    </row>
    <row r="670" spans="2:7" x14ac:dyDescent="0.25">
      <c r="B670" s="24"/>
      <c r="C670" s="24"/>
      <c r="D670" s="26"/>
      <c r="E670" s="24"/>
      <c r="F670" s="145"/>
      <c r="G670" s="36"/>
    </row>
    <row r="671" spans="2:7" x14ac:dyDescent="0.25">
      <c r="B671" s="24"/>
      <c r="C671" s="24"/>
      <c r="D671" s="26"/>
      <c r="E671" s="24"/>
      <c r="F671" s="145"/>
      <c r="G671" s="36"/>
    </row>
    <row r="672" spans="2:7" x14ac:dyDescent="0.25">
      <c r="B672" s="24"/>
      <c r="C672" s="24"/>
      <c r="D672" s="26"/>
      <c r="E672" s="24"/>
      <c r="F672" s="145"/>
      <c r="G672" s="36"/>
    </row>
    <row r="673" spans="2:7" x14ac:dyDescent="0.25">
      <c r="B673" s="24"/>
      <c r="C673" s="24"/>
      <c r="D673" s="26"/>
      <c r="E673" s="24"/>
      <c r="F673" s="145"/>
      <c r="G673" s="36"/>
    </row>
    <row r="674" spans="2:7" x14ac:dyDescent="0.25">
      <c r="B674" s="24"/>
      <c r="C674" s="24"/>
      <c r="D674" s="26"/>
      <c r="E674" s="24"/>
      <c r="F674" s="145"/>
      <c r="G674" s="36"/>
    </row>
    <row r="675" spans="2:7" x14ac:dyDescent="0.25">
      <c r="B675" s="24"/>
      <c r="C675" s="24"/>
      <c r="D675" s="26"/>
      <c r="E675" s="24"/>
      <c r="F675" s="145"/>
      <c r="G675" s="36"/>
    </row>
    <row r="676" spans="2:7" x14ac:dyDescent="0.25">
      <c r="B676" s="24"/>
      <c r="C676" s="24"/>
      <c r="D676" s="26"/>
      <c r="E676" s="24"/>
      <c r="F676" s="145"/>
      <c r="G676" s="36"/>
    </row>
    <row r="677" spans="2:7" x14ac:dyDescent="0.25">
      <c r="B677" s="24"/>
      <c r="C677" s="24"/>
      <c r="D677" s="26"/>
      <c r="E677" s="24"/>
      <c r="F677" s="145"/>
      <c r="G677" s="36"/>
    </row>
    <row r="678" spans="2:7" x14ac:dyDescent="0.25">
      <c r="B678" s="24"/>
      <c r="C678" s="24"/>
      <c r="D678" s="26"/>
      <c r="E678" s="24"/>
      <c r="F678" s="145"/>
      <c r="G678" s="36"/>
    </row>
    <row r="679" spans="2:7" x14ac:dyDescent="0.25">
      <c r="B679" s="24"/>
      <c r="C679" s="24"/>
      <c r="D679" s="26"/>
      <c r="E679" s="24"/>
      <c r="F679" s="145"/>
      <c r="G679" s="36"/>
    </row>
    <row r="680" spans="2:7" x14ac:dyDescent="0.25">
      <c r="B680" s="24"/>
      <c r="C680" s="24"/>
      <c r="D680" s="26"/>
      <c r="E680" s="24"/>
      <c r="F680" s="145"/>
      <c r="G680" s="36"/>
    </row>
    <row r="681" spans="2:7" x14ac:dyDescent="0.25">
      <c r="B681" s="24"/>
      <c r="C681" s="24"/>
      <c r="D681" s="26"/>
      <c r="E681" s="24"/>
      <c r="F681" s="145"/>
      <c r="G681" s="36"/>
    </row>
    <row r="682" spans="2:7" x14ac:dyDescent="0.25">
      <c r="B682" s="24"/>
      <c r="C682" s="24"/>
      <c r="D682" s="26"/>
      <c r="E682" s="24"/>
      <c r="F682" s="145"/>
      <c r="G682" s="36"/>
    </row>
    <row r="683" spans="2:7" x14ac:dyDescent="0.25">
      <c r="B683" s="24"/>
      <c r="C683" s="24"/>
      <c r="D683" s="26"/>
      <c r="E683" s="24"/>
      <c r="F683" s="145"/>
      <c r="G683" s="36"/>
    </row>
    <row r="684" spans="2:7" x14ac:dyDescent="0.25">
      <c r="B684" s="24"/>
      <c r="C684" s="24"/>
      <c r="D684" s="26"/>
      <c r="E684" s="24"/>
      <c r="F684" s="145"/>
      <c r="G684" s="36"/>
    </row>
    <row r="685" spans="2:7" x14ac:dyDescent="0.25">
      <c r="B685" s="24"/>
      <c r="C685" s="24"/>
      <c r="D685" s="26"/>
      <c r="E685" s="24"/>
      <c r="F685" s="145"/>
      <c r="G685" s="36"/>
    </row>
    <row r="686" spans="2:7" x14ac:dyDescent="0.25">
      <c r="B686" s="24"/>
      <c r="C686" s="24"/>
      <c r="D686" s="26"/>
      <c r="E686" s="24"/>
      <c r="F686" s="145"/>
      <c r="G686" s="36"/>
    </row>
    <row r="687" spans="2:7" x14ac:dyDescent="0.25">
      <c r="B687" s="24"/>
      <c r="C687" s="24"/>
      <c r="D687" s="26"/>
      <c r="E687" s="24"/>
      <c r="F687" s="145"/>
      <c r="G687" s="36"/>
    </row>
    <row r="688" spans="2:7" x14ac:dyDescent="0.25">
      <c r="B688" s="24"/>
      <c r="C688" s="24"/>
      <c r="D688" s="26"/>
      <c r="E688" s="24"/>
      <c r="F688" s="145"/>
      <c r="G688" s="36"/>
    </row>
    <row r="689" spans="2:7" x14ac:dyDescent="0.25">
      <c r="B689" s="24"/>
      <c r="C689" s="24"/>
      <c r="D689" s="26"/>
      <c r="E689" s="24"/>
      <c r="F689" s="145"/>
      <c r="G689" s="36"/>
    </row>
    <row r="690" spans="2:7" x14ac:dyDescent="0.25">
      <c r="B690" s="24"/>
      <c r="C690" s="24"/>
      <c r="D690" s="26"/>
      <c r="E690" s="24"/>
      <c r="F690" s="145"/>
      <c r="G690" s="36"/>
    </row>
    <row r="691" spans="2:7" x14ac:dyDescent="0.25">
      <c r="B691" s="24"/>
      <c r="C691" s="24"/>
      <c r="D691" s="26"/>
      <c r="E691" s="24"/>
      <c r="F691" s="145"/>
      <c r="G691" s="36"/>
    </row>
    <row r="692" spans="2:7" x14ac:dyDescent="0.25">
      <c r="B692" s="24"/>
      <c r="C692" s="24"/>
      <c r="D692" s="26"/>
      <c r="E692" s="24"/>
      <c r="F692" s="145"/>
      <c r="G692" s="36"/>
    </row>
    <row r="693" spans="2:7" x14ac:dyDescent="0.25">
      <c r="B693" s="24"/>
      <c r="C693" s="24"/>
      <c r="D693" s="26"/>
      <c r="E693" s="24"/>
      <c r="F693" s="145"/>
      <c r="G693" s="36"/>
    </row>
    <row r="694" spans="2:7" x14ac:dyDescent="0.25">
      <c r="B694" s="24"/>
      <c r="C694" s="24"/>
      <c r="D694" s="26"/>
      <c r="E694" s="24"/>
      <c r="F694" s="145"/>
      <c r="G694" s="36"/>
    </row>
    <row r="695" spans="2:7" x14ac:dyDescent="0.25">
      <c r="B695" s="24"/>
      <c r="C695" s="24"/>
      <c r="D695" s="26"/>
      <c r="E695" s="24"/>
      <c r="F695" s="145"/>
      <c r="G695" s="36"/>
    </row>
    <row r="696" spans="2:7" x14ac:dyDescent="0.25">
      <c r="B696" s="24"/>
      <c r="C696" s="24"/>
      <c r="D696" s="26"/>
      <c r="E696" s="24"/>
      <c r="F696" s="145"/>
      <c r="G696" s="36"/>
    </row>
    <row r="697" spans="2:7" x14ac:dyDescent="0.25">
      <c r="B697" s="24"/>
      <c r="C697" s="24"/>
      <c r="D697" s="26"/>
      <c r="E697" s="24"/>
      <c r="F697" s="145"/>
      <c r="G697" s="36"/>
    </row>
    <row r="698" spans="2:7" x14ac:dyDescent="0.25">
      <c r="B698" s="24"/>
      <c r="C698" s="24"/>
      <c r="D698" s="26"/>
      <c r="E698" s="24"/>
      <c r="F698" s="145"/>
      <c r="G698" s="36"/>
    </row>
    <row r="699" spans="2:7" x14ac:dyDescent="0.25">
      <c r="B699" s="24"/>
      <c r="C699" s="24"/>
      <c r="D699" s="26"/>
      <c r="E699" s="24"/>
      <c r="F699" s="145"/>
      <c r="G699" s="36"/>
    </row>
    <row r="700" spans="2:7" x14ac:dyDescent="0.25">
      <c r="B700" s="24"/>
      <c r="C700" s="24"/>
      <c r="D700" s="26"/>
      <c r="E700" s="24"/>
      <c r="F700" s="145"/>
      <c r="G700" s="36"/>
    </row>
    <row r="701" spans="2:7" x14ac:dyDescent="0.25">
      <c r="B701" s="24"/>
      <c r="C701" s="24"/>
      <c r="D701" s="26"/>
      <c r="E701" s="24"/>
      <c r="F701" s="145"/>
      <c r="G701" s="36"/>
    </row>
    <row r="702" spans="2:7" x14ac:dyDescent="0.25">
      <c r="B702" s="24"/>
      <c r="C702" s="24"/>
      <c r="D702" s="26"/>
      <c r="E702" s="24"/>
      <c r="F702" s="145"/>
      <c r="G702" s="36"/>
    </row>
    <row r="703" spans="2:7" x14ac:dyDescent="0.25">
      <c r="B703" s="24"/>
      <c r="C703" s="24"/>
      <c r="D703" s="26"/>
      <c r="E703" s="24"/>
      <c r="F703" s="145"/>
      <c r="G703" s="36"/>
    </row>
    <row r="704" spans="2:7" x14ac:dyDescent="0.25">
      <c r="B704" s="24"/>
      <c r="C704" s="24"/>
      <c r="D704" s="26"/>
      <c r="E704" s="24"/>
      <c r="F704" s="145"/>
      <c r="G704" s="36"/>
    </row>
    <row r="705" spans="2:7" x14ac:dyDescent="0.25">
      <c r="B705" s="24"/>
      <c r="C705" s="24"/>
      <c r="D705" s="26"/>
      <c r="E705" s="24"/>
      <c r="F705" s="145"/>
      <c r="G705" s="36"/>
    </row>
    <row r="706" spans="2:7" x14ac:dyDescent="0.25">
      <c r="B706" s="24"/>
      <c r="C706" s="24"/>
      <c r="D706" s="26"/>
      <c r="E706" s="24"/>
      <c r="F706" s="145"/>
      <c r="G706" s="36"/>
    </row>
    <row r="707" spans="2:7" x14ac:dyDescent="0.25">
      <c r="B707" s="24"/>
      <c r="C707" s="24"/>
      <c r="D707" s="26"/>
      <c r="E707" s="24"/>
      <c r="F707" s="145"/>
      <c r="G707" s="36"/>
    </row>
    <row r="708" spans="2:7" x14ac:dyDescent="0.25">
      <c r="B708" s="24"/>
      <c r="C708" s="24"/>
      <c r="D708" s="26"/>
      <c r="E708" s="24"/>
      <c r="F708" s="145"/>
      <c r="G708" s="36"/>
    </row>
    <row r="709" spans="2:7" x14ac:dyDescent="0.25">
      <c r="B709" s="24"/>
      <c r="C709" s="24"/>
      <c r="D709" s="26"/>
      <c r="E709" s="24"/>
      <c r="F709" s="145"/>
      <c r="G709" s="36"/>
    </row>
    <row r="710" spans="2:7" x14ac:dyDescent="0.25">
      <c r="B710" s="24"/>
      <c r="C710" s="24"/>
      <c r="D710" s="26"/>
      <c r="E710" s="24"/>
      <c r="F710" s="145"/>
      <c r="G710" s="36"/>
    </row>
    <row r="711" spans="2:7" x14ac:dyDescent="0.25">
      <c r="B711" s="24"/>
      <c r="C711" s="24"/>
      <c r="D711" s="26"/>
      <c r="E711" s="24"/>
      <c r="F711" s="145"/>
      <c r="G711" s="36"/>
    </row>
    <row r="712" spans="2:7" x14ac:dyDescent="0.25">
      <c r="B712" s="24"/>
      <c r="C712" s="24"/>
      <c r="D712" s="26"/>
      <c r="E712" s="24"/>
      <c r="F712" s="145"/>
      <c r="G712" s="36"/>
    </row>
    <row r="713" spans="2:7" x14ac:dyDescent="0.25">
      <c r="B713" s="24"/>
      <c r="C713" s="24"/>
      <c r="D713" s="26"/>
      <c r="E713" s="24"/>
      <c r="F713" s="145"/>
      <c r="G713" s="36"/>
    </row>
    <row r="714" spans="2:7" x14ac:dyDescent="0.25">
      <c r="B714" s="24"/>
      <c r="C714" s="24"/>
      <c r="D714" s="26"/>
      <c r="E714" s="24"/>
      <c r="F714" s="145"/>
      <c r="G714" s="36"/>
    </row>
    <row r="715" spans="2:7" x14ac:dyDescent="0.25">
      <c r="B715" s="24"/>
      <c r="C715" s="24"/>
      <c r="D715" s="26"/>
      <c r="E715" s="24"/>
      <c r="F715" s="145"/>
      <c r="G715" s="36"/>
    </row>
    <row r="716" spans="2:7" x14ac:dyDescent="0.25">
      <c r="B716" s="24"/>
      <c r="C716" s="24"/>
      <c r="D716" s="26"/>
      <c r="E716" s="24"/>
      <c r="F716" s="145"/>
      <c r="G716" s="36"/>
    </row>
    <row r="717" spans="2:7" x14ac:dyDescent="0.25">
      <c r="B717" s="24"/>
      <c r="C717" s="24"/>
      <c r="D717" s="26"/>
      <c r="E717" s="24"/>
      <c r="F717" s="145"/>
      <c r="G717" s="36"/>
    </row>
    <row r="718" spans="2:7" x14ac:dyDescent="0.25">
      <c r="B718" s="24"/>
      <c r="C718" s="24"/>
      <c r="D718" s="26"/>
      <c r="E718" s="24"/>
      <c r="F718" s="145"/>
      <c r="G718" s="36"/>
    </row>
    <row r="719" spans="2:7" x14ac:dyDescent="0.25">
      <c r="B719" s="24"/>
      <c r="C719" s="24"/>
      <c r="D719" s="26"/>
      <c r="E719" s="24"/>
      <c r="F719" s="145"/>
      <c r="G719" s="36"/>
    </row>
    <row r="720" spans="2:7" x14ac:dyDescent="0.25">
      <c r="B720" s="24"/>
      <c r="C720" s="24"/>
      <c r="D720" s="26"/>
      <c r="E720" s="24"/>
      <c r="F720" s="145"/>
      <c r="G720" s="36"/>
    </row>
    <row r="721" spans="2:7" x14ac:dyDescent="0.25">
      <c r="B721" s="24"/>
      <c r="C721" s="24"/>
      <c r="D721" s="26"/>
      <c r="E721" s="24"/>
      <c r="F721" s="145"/>
      <c r="G721" s="36"/>
    </row>
    <row r="722" spans="2:7" x14ac:dyDescent="0.25">
      <c r="B722" s="24"/>
      <c r="C722" s="24"/>
      <c r="D722" s="26"/>
      <c r="E722" s="24"/>
      <c r="F722" s="145"/>
      <c r="G722" s="36"/>
    </row>
    <row r="723" spans="2:7" x14ac:dyDescent="0.25">
      <c r="B723" s="24"/>
      <c r="C723" s="24"/>
      <c r="D723" s="26"/>
      <c r="E723" s="24"/>
      <c r="F723" s="145"/>
      <c r="G723" s="36"/>
    </row>
    <row r="724" spans="2:7" x14ac:dyDescent="0.25">
      <c r="B724" s="24"/>
      <c r="C724" s="24"/>
      <c r="D724" s="26"/>
      <c r="E724" s="24"/>
      <c r="F724" s="145"/>
      <c r="G724" s="36"/>
    </row>
    <row r="725" spans="2:7" x14ac:dyDescent="0.25">
      <c r="B725" s="24"/>
      <c r="C725" s="24"/>
      <c r="D725" s="26"/>
      <c r="E725" s="24"/>
      <c r="F725" s="145"/>
      <c r="G725" s="36"/>
    </row>
    <row r="726" spans="2:7" x14ac:dyDescent="0.25">
      <c r="B726" s="24"/>
      <c r="C726" s="24"/>
      <c r="D726" s="26"/>
      <c r="E726" s="24"/>
      <c r="F726" s="145"/>
      <c r="G726" s="36"/>
    </row>
    <row r="727" spans="2:7" x14ac:dyDescent="0.25">
      <c r="B727" s="24"/>
      <c r="C727" s="24"/>
      <c r="D727" s="26"/>
      <c r="E727" s="24"/>
      <c r="F727" s="145"/>
      <c r="G727" s="36"/>
    </row>
    <row r="728" spans="2:7" x14ac:dyDescent="0.25">
      <c r="B728" s="24"/>
      <c r="C728" s="24"/>
      <c r="D728" s="26"/>
      <c r="E728" s="24"/>
      <c r="F728" s="145"/>
      <c r="G728" s="36"/>
    </row>
    <row r="729" spans="2:7" x14ac:dyDescent="0.25">
      <c r="B729" s="24"/>
      <c r="C729" s="24"/>
      <c r="D729" s="26"/>
      <c r="E729" s="24"/>
      <c r="F729" s="145"/>
      <c r="G729" s="36"/>
    </row>
    <row r="730" spans="2:7" x14ac:dyDescent="0.25">
      <c r="B730" s="24"/>
      <c r="C730" s="24"/>
      <c r="D730" s="26"/>
      <c r="E730" s="24"/>
      <c r="F730" s="145"/>
      <c r="G730" s="36"/>
    </row>
    <row r="731" spans="2:7" x14ac:dyDescent="0.25">
      <c r="B731" s="24"/>
      <c r="C731" s="24"/>
      <c r="D731" s="26"/>
      <c r="E731" s="24"/>
      <c r="F731" s="145"/>
      <c r="G731" s="36"/>
    </row>
    <row r="732" spans="2:7" x14ac:dyDescent="0.25">
      <c r="B732" s="24"/>
      <c r="C732" s="24"/>
      <c r="D732" s="26"/>
      <c r="E732" s="24"/>
      <c r="F732" s="145"/>
      <c r="G732" s="36"/>
    </row>
    <row r="733" spans="2:7" x14ac:dyDescent="0.25">
      <c r="B733" s="24"/>
      <c r="C733" s="24"/>
      <c r="D733" s="26"/>
      <c r="E733" s="24"/>
      <c r="F733" s="145"/>
      <c r="G733" s="36"/>
    </row>
    <row r="734" spans="2:7" x14ac:dyDescent="0.25">
      <c r="B734" s="24"/>
      <c r="C734" s="24"/>
      <c r="D734" s="26"/>
      <c r="E734" s="24"/>
      <c r="F734" s="145"/>
      <c r="G734" s="36"/>
    </row>
    <row r="735" spans="2:7" x14ac:dyDescent="0.25">
      <c r="B735" s="24"/>
      <c r="C735" s="24"/>
      <c r="D735" s="26"/>
      <c r="E735" s="24"/>
      <c r="F735" s="145"/>
      <c r="G735" s="36"/>
    </row>
    <row r="736" spans="2:7" x14ac:dyDescent="0.25">
      <c r="B736" s="24"/>
      <c r="C736" s="24"/>
      <c r="D736" s="26"/>
      <c r="E736" s="24"/>
      <c r="F736" s="145"/>
      <c r="G736" s="36"/>
    </row>
    <row r="737" spans="2:7" x14ac:dyDescent="0.25">
      <c r="B737" s="24"/>
      <c r="C737" s="24"/>
      <c r="D737" s="26"/>
      <c r="E737" s="24"/>
      <c r="F737" s="145"/>
      <c r="G737" s="36"/>
    </row>
    <row r="738" spans="2:7" x14ac:dyDescent="0.25">
      <c r="B738" s="24"/>
      <c r="C738" s="24"/>
      <c r="D738" s="26"/>
      <c r="E738" s="24"/>
      <c r="F738" s="145"/>
      <c r="G738" s="36"/>
    </row>
    <row r="739" spans="2:7" x14ac:dyDescent="0.25">
      <c r="B739" s="24"/>
      <c r="C739" s="24"/>
      <c r="D739" s="26"/>
      <c r="E739" s="24"/>
      <c r="F739" s="145"/>
      <c r="G739" s="36"/>
    </row>
    <row r="740" spans="2:7" x14ac:dyDescent="0.25">
      <c r="B740" s="24"/>
      <c r="C740" s="24"/>
      <c r="D740" s="26"/>
      <c r="E740" s="24"/>
      <c r="F740" s="145"/>
      <c r="G740" s="36"/>
    </row>
    <row r="741" spans="2:7" x14ac:dyDescent="0.25">
      <c r="B741" s="24"/>
      <c r="C741" s="24"/>
      <c r="D741" s="26"/>
      <c r="E741" s="24"/>
      <c r="F741" s="145"/>
      <c r="G741" s="36"/>
    </row>
    <row r="742" spans="2:7" x14ac:dyDescent="0.25">
      <c r="B742" s="24"/>
      <c r="C742" s="24"/>
      <c r="D742" s="26"/>
      <c r="E742" s="24"/>
      <c r="F742" s="145"/>
      <c r="G742" s="36"/>
    </row>
    <row r="743" spans="2:7" x14ac:dyDescent="0.25">
      <c r="B743" s="24"/>
      <c r="C743" s="24"/>
      <c r="D743" s="26"/>
      <c r="E743" s="24"/>
      <c r="F743" s="145"/>
      <c r="G743" s="36"/>
    </row>
    <row r="744" spans="2:7" x14ac:dyDescent="0.25">
      <c r="B744" s="24"/>
      <c r="C744" s="24"/>
      <c r="D744" s="26"/>
      <c r="E744" s="24"/>
      <c r="F744" s="145"/>
      <c r="G744" s="36"/>
    </row>
    <row r="745" spans="2:7" x14ac:dyDescent="0.25">
      <c r="B745" s="24"/>
      <c r="C745" s="24"/>
      <c r="D745" s="26"/>
      <c r="E745" s="24"/>
      <c r="F745" s="145"/>
      <c r="G745" s="36"/>
    </row>
    <row r="746" spans="2:7" x14ac:dyDescent="0.25">
      <c r="B746" s="24"/>
      <c r="C746" s="24"/>
      <c r="D746" s="26"/>
      <c r="E746" s="24"/>
      <c r="F746" s="145"/>
      <c r="G746" s="36"/>
    </row>
    <row r="747" spans="2:7" x14ac:dyDescent="0.25">
      <c r="B747" s="24"/>
      <c r="C747" s="24"/>
      <c r="D747" s="26"/>
      <c r="E747" s="24"/>
      <c r="F747" s="145"/>
      <c r="G747" s="36"/>
    </row>
    <row r="748" spans="2:7" x14ac:dyDescent="0.25">
      <c r="B748" s="24"/>
      <c r="C748" s="24"/>
      <c r="D748" s="26"/>
      <c r="E748" s="24"/>
      <c r="F748" s="145"/>
      <c r="G748" s="36"/>
    </row>
    <row r="749" spans="2:7" x14ac:dyDescent="0.25">
      <c r="B749" s="24"/>
      <c r="C749" s="24"/>
      <c r="D749" s="26"/>
      <c r="E749" s="24"/>
      <c r="F749" s="145"/>
      <c r="G749" s="36"/>
    </row>
    <row r="750" spans="2:7" x14ac:dyDescent="0.25">
      <c r="B750" s="24"/>
      <c r="C750" s="24"/>
      <c r="D750" s="26"/>
      <c r="E750" s="24"/>
      <c r="F750" s="145"/>
      <c r="G750" s="36"/>
    </row>
    <row r="751" spans="2:7" x14ac:dyDescent="0.25">
      <c r="B751" s="24"/>
      <c r="C751" s="24"/>
      <c r="D751" s="26"/>
      <c r="E751" s="24"/>
      <c r="F751" s="145"/>
      <c r="G751" s="36"/>
    </row>
    <row r="752" spans="2:7" x14ac:dyDescent="0.25">
      <c r="B752" s="24"/>
      <c r="C752" s="24"/>
      <c r="D752" s="26"/>
      <c r="E752" s="24"/>
      <c r="F752" s="145"/>
      <c r="G752" s="36"/>
    </row>
    <row r="753" spans="2:7" x14ac:dyDescent="0.25">
      <c r="B753" s="24"/>
      <c r="C753" s="24"/>
      <c r="D753" s="26"/>
      <c r="E753" s="24"/>
      <c r="F753" s="145"/>
      <c r="G753" s="36"/>
    </row>
    <row r="754" spans="2:7" x14ac:dyDescent="0.25">
      <c r="B754" s="24"/>
      <c r="C754" s="24"/>
      <c r="D754" s="26"/>
      <c r="E754" s="24"/>
      <c r="F754" s="145"/>
      <c r="G754" s="36"/>
    </row>
    <row r="755" spans="2:7" x14ac:dyDescent="0.25">
      <c r="B755" s="24"/>
      <c r="C755" s="24"/>
      <c r="D755" s="26"/>
      <c r="E755" s="24"/>
      <c r="F755" s="145"/>
      <c r="G755" s="36"/>
    </row>
    <row r="756" spans="2:7" x14ac:dyDescent="0.25">
      <c r="B756" s="24"/>
      <c r="C756" s="24"/>
      <c r="D756" s="26"/>
      <c r="E756" s="24"/>
      <c r="F756" s="145"/>
      <c r="G756" s="36"/>
    </row>
    <row r="757" spans="2:7" x14ac:dyDescent="0.25">
      <c r="B757" s="24"/>
      <c r="C757" s="24"/>
      <c r="D757" s="26"/>
      <c r="E757" s="24"/>
      <c r="F757" s="145"/>
      <c r="G757" s="36"/>
    </row>
    <row r="758" spans="2:7" x14ac:dyDescent="0.25">
      <c r="B758" s="24"/>
      <c r="C758" s="24"/>
      <c r="D758" s="26"/>
      <c r="E758" s="24"/>
      <c r="F758" s="145"/>
      <c r="G758" s="36"/>
    </row>
    <row r="759" spans="2:7" x14ac:dyDescent="0.25">
      <c r="B759" s="24"/>
      <c r="C759" s="24"/>
      <c r="D759" s="26"/>
      <c r="E759" s="24"/>
      <c r="F759" s="145"/>
      <c r="G759" s="36"/>
    </row>
    <row r="760" spans="2:7" x14ac:dyDescent="0.25">
      <c r="B760" s="24"/>
      <c r="C760" s="24"/>
      <c r="D760" s="26"/>
      <c r="E760" s="24"/>
      <c r="F760" s="145"/>
      <c r="G760" s="36"/>
    </row>
    <row r="761" spans="2:7" x14ac:dyDescent="0.25">
      <c r="B761" s="24"/>
      <c r="C761" s="24"/>
      <c r="D761" s="26"/>
      <c r="E761" s="24"/>
      <c r="F761" s="145"/>
      <c r="G761" s="36"/>
    </row>
    <row r="762" spans="2:7" x14ac:dyDescent="0.25">
      <c r="B762" s="24"/>
      <c r="C762" s="24"/>
      <c r="D762" s="26"/>
      <c r="E762" s="24"/>
      <c r="F762" s="145"/>
      <c r="G762" s="36"/>
    </row>
    <row r="763" spans="2:7" x14ac:dyDescent="0.25">
      <c r="B763" s="24"/>
      <c r="C763" s="24"/>
      <c r="D763" s="26"/>
      <c r="E763" s="24"/>
      <c r="F763" s="145"/>
      <c r="G763" s="36"/>
    </row>
    <row r="764" spans="2:7" x14ac:dyDescent="0.25">
      <c r="B764" s="24"/>
      <c r="C764" s="24"/>
      <c r="D764" s="26"/>
      <c r="E764" s="24"/>
      <c r="F764" s="145"/>
      <c r="G764" s="36"/>
    </row>
    <row r="765" spans="2:7" x14ac:dyDescent="0.25">
      <c r="B765" s="24"/>
      <c r="C765" s="24"/>
      <c r="D765" s="26"/>
      <c r="E765" s="24"/>
      <c r="F765" s="145"/>
      <c r="G765" s="36"/>
    </row>
    <row r="766" spans="2:7" x14ac:dyDescent="0.25">
      <c r="B766" s="24"/>
      <c r="C766" s="24"/>
      <c r="D766" s="26"/>
      <c r="E766" s="24"/>
      <c r="F766" s="145"/>
      <c r="G766" s="36"/>
    </row>
    <row r="767" spans="2:7" x14ac:dyDescent="0.25">
      <c r="B767" s="24"/>
      <c r="C767" s="24"/>
      <c r="D767" s="26"/>
      <c r="E767" s="24"/>
      <c r="F767" s="145"/>
      <c r="G767" s="36"/>
    </row>
    <row r="768" spans="2:7" x14ac:dyDescent="0.25">
      <c r="B768" s="24"/>
      <c r="C768" s="24"/>
      <c r="D768" s="26"/>
      <c r="E768" s="24"/>
      <c r="F768" s="145"/>
      <c r="G768" s="36"/>
    </row>
    <row r="769" spans="2:7" x14ac:dyDescent="0.25">
      <c r="B769" s="24"/>
      <c r="C769" s="24"/>
      <c r="D769" s="26"/>
      <c r="E769" s="24"/>
      <c r="F769" s="145"/>
      <c r="G769" s="36"/>
    </row>
    <row r="770" spans="2:7" x14ac:dyDescent="0.25">
      <c r="B770" s="24"/>
      <c r="C770" s="24"/>
      <c r="D770" s="26"/>
      <c r="E770" s="24"/>
      <c r="F770" s="145"/>
      <c r="G770" s="36"/>
    </row>
    <row r="771" spans="2:7" x14ac:dyDescent="0.25">
      <c r="B771" s="24"/>
      <c r="C771" s="24"/>
      <c r="D771" s="26"/>
      <c r="E771" s="24"/>
      <c r="F771" s="145"/>
      <c r="G771" s="36"/>
    </row>
    <row r="772" spans="2:7" x14ac:dyDescent="0.25">
      <c r="B772" s="24"/>
      <c r="C772" s="24"/>
      <c r="D772" s="26"/>
      <c r="E772" s="24"/>
      <c r="F772" s="145"/>
      <c r="G772" s="36"/>
    </row>
    <row r="773" spans="2:7" x14ac:dyDescent="0.25">
      <c r="B773" s="24"/>
      <c r="C773" s="24"/>
      <c r="D773" s="26"/>
      <c r="E773" s="24"/>
      <c r="F773" s="145"/>
      <c r="G773" s="36"/>
    </row>
    <row r="774" spans="2:7" x14ac:dyDescent="0.25">
      <c r="B774" s="24"/>
      <c r="C774" s="24"/>
      <c r="D774" s="26"/>
      <c r="E774" s="24"/>
      <c r="F774" s="145"/>
      <c r="G774" s="36"/>
    </row>
    <row r="775" spans="2:7" x14ac:dyDescent="0.25">
      <c r="B775" s="24"/>
      <c r="C775" s="24"/>
      <c r="D775" s="26"/>
      <c r="E775" s="24"/>
      <c r="F775" s="145"/>
      <c r="G775" s="36"/>
    </row>
    <row r="776" spans="2:7" x14ac:dyDescent="0.25">
      <c r="B776" s="24"/>
      <c r="C776" s="24"/>
      <c r="D776" s="26"/>
      <c r="E776" s="24"/>
      <c r="F776" s="145"/>
      <c r="G776" s="36"/>
    </row>
    <row r="777" spans="2:7" x14ac:dyDescent="0.25">
      <c r="B777" s="24"/>
      <c r="C777" s="24"/>
      <c r="D777" s="26"/>
      <c r="E777" s="24"/>
      <c r="F777" s="145"/>
      <c r="G777" s="36"/>
    </row>
    <row r="778" spans="2:7" x14ac:dyDescent="0.25">
      <c r="B778" s="24"/>
      <c r="C778" s="24"/>
      <c r="D778" s="26"/>
      <c r="E778" s="24"/>
      <c r="F778" s="145"/>
      <c r="G778" s="36"/>
    </row>
    <row r="779" spans="2:7" x14ac:dyDescent="0.25">
      <c r="B779" s="24"/>
      <c r="C779" s="24"/>
      <c r="D779" s="26"/>
      <c r="E779" s="24"/>
      <c r="F779" s="145"/>
      <c r="G779" s="36"/>
    </row>
    <row r="780" spans="2:7" x14ac:dyDescent="0.25">
      <c r="B780" s="24"/>
      <c r="C780" s="24"/>
      <c r="D780" s="26"/>
      <c r="E780" s="24"/>
      <c r="F780" s="145"/>
      <c r="G780" s="36"/>
    </row>
    <row r="781" spans="2:7" x14ac:dyDescent="0.25">
      <c r="B781" s="24"/>
      <c r="C781" s="24"/>
      <c r="D781" s="26"/>
      <c r="E781" s="24"/>
      <c r="F781" s="145"/>
      <c r="G781" s="36"/>
    </row>
    <row r="782" spans="2:7" x14ac:dyDescent="0.25">
      <c r="B782" s="24"/>
      <c r="C782" s="24"/>
      <c r="D782" s="26"/>
      <c r="E782" s="24"/>
      <c r="F782" s="145"/>
      <c r="G782" s="36"/>
    </row>
    <row r="783" spans="2:7" x14ac:dyDescent="0.25">
      <c r="B783" s="24"/>
      <c r="C783" s="24"/>
      <c r="D783" s="26"/>
      <c r="E783" s="24"/>
      <c r="F783" s="145"/>
      <c r="G783" s="36"/>
    </row>
    <row r="784" spans="2:7" x14ac:dyDescent="0.25">
      <c r="B784" s="24"/>
      <c r="C784" s="24"/>
      <c r="D784" s="26"/>
      <c r="E784" s="24"/>
      <c r="F784" s="145"/>
      <c r="G784" s="36"/>
    </row>
    <row r="785" spans="2:7" x14ac:dyDescent="0.25">
      <c r="B785" s="24"/>
      <c r="C785" s="24"/>
      <c r="D785" s="26"/>
      <c r="E785" s="24"/>
      <c r="F785" s="145"/>
      <c r="G785" s="36"/>
    </row>
    <row r="786" spans="2:7" x14ac:dyDescent="0.25">
      <c r="B786" s="24"/>
      <c r="C786" s="24"/>
      <c r="D786" s="26"/>
      <c r="E786" s="24"/>
      <c r="F786" s="145"/>
      <c r="G786" s="36"/>
    </row>
    <row r="787" spans="2:7" x14ac:dyDescent="0.25">
      <c r="B787" s="24"/>
      <c r="C787" s="24"/>
      <c r="D787" s="26"/>
      <c r="E787" s="24"/>
      <c r="F787" s="145"/>
      <c r="G787" s="36"/>
    </row>
    <row r="788" spans="2:7" x14ac:dyDescent="0.25">
      <c r="B788" s="24"/>
      <c r="C788" s="24"/>
      <c r="D788" s="26"/>
      <c r="E788" s="24"/>
      <c r="F788" s="145"/>
      <c r="G788" s="36"/>
    </row>
    <row r="789" spans="2:7" x14ac:dyDescent="0.25">
      <c r="B789" s="24"/>
      <c r="C789" s="24"/>
      <c r="D789" s="26"/>
      <c r="E789" s="24"/>
      <c r="F789" s="145"/>
      <c r="G789" s="36"/>
    </row>
    <row r="790" spans="2:7" x14ac:dyDescent="0.25">
      <c r="B790" s="24"/>
      <c r="C790" s="24"/>
      <c r="D790" s="26"/>
      <c r="E790" s="24"/>
      <c r="F790" s="145"/>
      <c r="G790" s="36"/>
    </row>
    <row r="791" spans="2:7" x14ac:dyDescent="0.25">
      <c r="B791" s="24"/>
      <c r="C791" s="24"/>
      <c r="D791" s="26"/>
      <c r="E791" s="24"/>
      <c r="F791" s="145"/>
      <c r="G791" s="36"/>
    </row>
    <row r="792" spans="2:7" x14ac:dyDescent="0.25">
      <c r="B792" s="24"/>
      <c r="C792" s="24"/>
      <c r="D792" s="26"/>
      <c r="E792" s="24"/>
      <c r="F792" s="145"/>
      <c r="G792" s="36"/>
    </row>
    <row r="793" spans="2:7" x14ac:dyDescent="0.25">
      <c r="B793" s="24"/>
      <c r="C793" s="24"/>
      <c r="D793" s="26"/>
      <c r="E793" s="24"/>
      <c r="F793" s="145"/>
      <c r="G793" s="36"/>
    </row>
    <row r="794" spans="2:7" x14ac:dyDescent="0.25">
      <c r="B794" s="24"/>
      <c r="C794" s="24"/>
      <c r="D794" s="26"/>
      <c r="E794" s="24"/>
      <c r="F794" s="145"/>
      <c r="G794" s="36"/>
    </row>
    <row r="795" spans="2:7" x14ac:dyDescent="0.25">
      <c r="B795" s="24"/>
      <c r="C795" s="24"/>
      <c r="D795" s="26"/>
      <c r="E795" s="24"/>
      <c r="F795" s="145"/>
      <c r="G795" s="36"/>
    </row>
    <row r="796" spans="2:7" x14ac:dyDescent="0.25">
      <c r="B796" s="24"/>
      <c r="C796" s="24"/>
      <c r="D796" s="26"/>
      <c r="E796" s="24"/>
      <c r="F796" s="145"/>
      <c r="G796" s="36"/>
    </row>
    <row r="797" spans="2:7" x14ac:dyDescent="0.25">
      <c r="B797" s="24"/>
      <c r="C797" s="24"/>
      <c r="D797" s="26"/>
      <c r="E797" s="24"/>
      <c r="F797" s="145"/>
      <c r="G797" s="36"/>
    </row>
    <row r="798" spans="2:7" x14ac:dyDescent="0.25">
      <c r="B798" s="24"/>
      <c r="C798" s="24"/>
      <c r="D798" s="26"/>
      <c r="E798" s="24"/>
      <c r="F798" s="145"/>
      <c r="G798" s="36"/>
    </row>
    <row r="799" spans="2:7" x14ac:dyDescent="0.25">
      <c r="B799" s="24"/>
      <c r="C799" s="24"/>
      <c r="D799" s="26"/>
      <c r="E799" s="24"/>
      <c r="F799" s="145"/>
      <c r="G799" s="36"/>
    </row>
    <row r="800" spans="2:7" x14ac:dyDescent="0.25">
      <c r="B800" s="24"/>
      <c r="C800" s="24"/>
      <c r="D800" s="26"/>
      <c r="E800" s="24"/>
      <c r="F800" s="145"/>
      <c r="G800" s="36"/>
    </row>
    <row r="801" spans="2:7" x14ac:dyDescent="0.25">
      <c r="B801" s="24"/>
      <c r="C801" s="24"/>
      <c r="D801" s="26"/>
      <c r="E801" s="24"/>
      <c r="F801" s="145"/>
      <c r="G801" s="36"/>
    </row>
    <row r="802" spans="2:7" x14ac:dyDescent="0.25">
      <c r="B802" s="24"/>
      <c r="C802" s="24"/>
      <c r="D802" s="26"/>
      <c r="E802" s="24"/>
      <c r="F802" s="145"/>
      <c r="G802" s="36"/>
    </row>
    <row r="803" spans="2:7" x14ac:dyDescent="0.25">
      <c r="B803" s="24"/>
      <c r="C803" s="24"/>
      <c r="D803" s="26"/>
      <c r="E803" s="24"/>
      <c r="F803" s="145"/>
      <c r="G803" s="36"/>
    </row>
    <row r="804" spans="2:7" x14ac:dyDescent="0.25">
      <c r="B804" s="24"/>
      <c r="C804" s="24"/>
      <c r="D804" s="26"/>
      <c r="E804" s="24"/>
      <c r="F804" s="145"/>
      <c r="G804" s="36"/>
    </row>
    <row r="805" spans="2:7" x14ac:dyDescent="0.25">
      <c r="B805" s="24"/>
      <c r="C805" s="24"/>
      <c r="D805" s="26"/>
      <c r="E805" s="24"/>
      <c r="F805" s="145"/>
      <c r="G805" s="36"/>
    </row>
    <row r="806" spans="2:7" x14ac:dyDescent="0.25">
      <c r="B806" s="24"/>
      <c r="C806" s="24"/>
      <c r="D806" s="26"/>
      <c r="E806" s="24"/>
      <c r="F806" s="145"/>
      <c r="G806" s="36"/>
    </row>
    <row r="807" spans="2:7" x14ac:dyDescent="0.25">
      <c r="B807" s="24"/>
      <c r="C807" s="24"/>
      <c r="D807" s="26"/>
      <c r="E807" s="24"/>
      <c r="F807" s="145"/>
      <c r="G807" s="36"/>
    </row>
    <row r="808" spans="2:7" x14ac:dyDescent="0.25">
      <c r="B808" s="24"/>
      <c r="C808" s="24"/>
      <c r="D808" s="26"/>
      <c r="E808" s="24"/>
      <c r="F808" s="145"/>
      <c r="G808" s="36"/>
    </row>
    <row r="809" spans="2:7" x14ac:dyDescent="0.25">
      <c r="B809" s="24"/>
      <c r="C809" s="24"/>
      <c r="D809" s="26"/>
      <c r="E809" s="24"/>
      <c r="F809" s="145"/>
      <c r="G809" s="36"/>
    </row>
    <row r="810" spans="2:7" x14ac:dyDescent="0.25">
      <c r="B810" s="24"/>
      <c r="C810" s="24"/>
      <c r="D810" s="26"/>
      <c r="E810" s="24"/>
      <c r="F810" s="145"/>
      <c r="G810" s="36"/>
    </row>
    <row r="811" spans="2:7" x14ac:dyDescent="0.25">
      <c r="B811" s="24"/>
      <c r="C811" s="24"/>
      <c r="D811" s="26"/>
      <c r="E811" s="24"/>
      <c r="F811" s="145"/>
      <c r="G811" s="36"/>
    </row>
    <row r="812" spans="2:7" x14ac:dyDescent="0.25">
      <c r="B812" s="24"/>
      <c r="C812" s="24"/>
      <c r="D812" s="26"/>
      <c r="E812" s="24"/>
      <c r="F812" s="145"/>
      <c r="G812" s="36"/>
    </row>
    <row r="813" spans="2:7" x14ac:dyDescent="0.25">
      <c r="B813" s="24"/>
      <c r="C813" s="24"/>
      <c r="D813" s="26"/>
      <c r="E813" s="24"/>
      <c r="F813" s="145"/>
      <c r="G813" s="36"/>
    </row>
    <row r="814" spans="2:7" x14ac:dyDescent="0.25">
      <c r="B814" s="24"/>
      <c r="C814" s="24"/>
      <c r="D814" s="26"/>
      <c r="E814" s="24"/>
      <c r="F814" s="145"/>
      <c r="G814" s="36"/>
    </row>
    <row r="815" spans="2:7" x14ac:dyDescent="0.25">
      <c r="B815" s="24"/>
      <c r="C815" s="24"/>
      <c r="D815" s="26"/>
      <c r="E815" s="24"/>
      <c r="F815" s="145"/>
      <c r="G815" s="36"/>
    </row>
    <row r="816" spans="2:7" x14ac:dyDescent="0.25">
      <c r="B816" s="24"/>
      <c r="C816" s="24"/>
      <c r="D816" s="26"/>
      <c r="E816" s="24"/>
      <c r="F816" s="145"/>
      <c r="G816" s="36"/>
    </row>
    <row r="817" spans="2:7" x14ac:dyDescent="0.25">
      <c r="B817" s="24"/>
      <c r="C817" s="24"/>
      <c r="D817" s="26"/>
      <c r="E817" s="24"/>
      <c r="F817" s="145"/>
      <c r="G817" s="36"/>
    </row>
    <row r="818" spans="2:7" x14ac:dyDescent="0.25">
      <c r="B818" s="24"/>
      <c r="C818" s="24"/>
      <c r="D818" s="26"/>
      <c r="E818" s="24"/>
      <c r="F818" s="145"/>
      <c r="G818" s="36"/>
    </row>
    <row r="819" spans="2:7" x14ac:dyDescent="0.25">
      <c r="B819" s="24"/>
      <c r="C819" s="24"/>
      <c r="D819" s="26"/>
      <c r="E819" s="24"/>
      <c r="F819" s="145"/>
      <c r="G819" s="36"/>
    </row>
    <row r="820" spans="2:7" x14ac:dyDescent="0.25">
      <c r="B820" s="24"/>
      <c r="C820" s="24"/>
      <c r="D820" s="26"/>
      <c r="E820" s="24"/>
      <c r="F820" s="145"/>
      <c r="G820" s="36"/>
    </row>
    <row r="821" spans="2:7" x14ac:dyDescent="0.25">
      <c r="B821" s="24"/>
      <c r="C821" s="24"/>
      <c r="D821" s="26"/>
      <c r="E821" s="24"/>
      <c r="F821" s="145"/>
      <c r="G821" s="36"/>
    </row>
    <row r="822" spans="2:7" x14ac:dyDescent="0.25">
      <c r="B822" s="24"/>
      <c r="C822" s="24"/>
      <c r="D822" s="26"/>
      <c r="E822" s="24"/>
      <c r="F822" s="145"/>
      <c r="G822" s="36"/>
    </row>
    <row r="823" spans="2:7" x14ac:dyDescent="0.25">
      <c r="B823" s="24"/>
      <c r="C823" s="24"/>
      <c r="D823" s="26"/>
      <c r="E823" s="24"/>
      <c r="F823" s="145"/>
      <c r="G823" s="36"/>
    </row>
    <row r="824" spans="2:7" x14ac:dyDescent="0.25">
      <c r="B824" s="24"/>
      <c r="C824" s="24"/>
      <c r="D824" s="26"/>
      <c r="E824" s="24"/>
      <c r="F824" s="145"/>
      <c r="G824" s="36"/>
    </row>
    <row r="825" spans="2:7" x14ac:dyDescent="0.25">
      <c r="B825" s="24"/>
      <c r="C825" s="24"/>
      <c r="D825" s="26"/>
      <c r="E825" s="24"/>
      <c r="F825" s="145"/>
      <c r="G825" s="36"/>
    </row>
    <row r="826" spans="2:7" x14ac:dyDescent="0.25">
      <c r="B826" s="24"/>
      <c r="C826" s="24"/>
      <c r="D826" s="26"/>
      <c r="E826" s="24"/>
      <c r="F826" s="145"/>
      <c r="G826" s="36"/>
    </row>
    <row r="827" spans="2:7" x14ac:dyDescent="0.25">
      <c r="B827" s="24"/>
      <c r="C827" s="24"/>
      <c r="D827" s="26"/>
      <c r="E827" s="24"/>
      <c r="F827" s="145"/>
      <c r="G827" s="36"/>
    </row>
    <row r="828" spans="2:7" x14ac:dyDescent="0.25">
      <c r="B828" s="24"/>
      <c r="C828" s="24"/>
      <c r="D828" s="26"/>
      <c r="E828" s="24"/>
      <c r="F828" s="145"/>
      <c r="G828" s="36"/>
    </row>
    <row r="829" spans="2:7" x14ac:dyDescent="0.25">
      <c r="B829" s="24"/>
      <c r="C829" s="24"/>
      <c r="D829" s="26"/>
      <c r="E829" s="24"/>
      <c r="F829" s="145"/>
      <c r="G829" s="36"/>
    </row>
    <row r="830" spans="2:7" x14ac:dyDescent="0.25">
      <c r="B830" s="24"/>
      <c r="C830" s="24"/>
      <c r="D830" s="26"/>
      <c r="E830" s="24"/>
      <c r="F830" s="145"/>
      <c r="G830" s="36"/>
    </row>
    <row r="831" spans="2:7" x14ac:dyDescent="0.25">
      <c r="B831" s="24"/>
      <c r="C831" s="24"/>
      <c r="D831" s="26"/>
      <c r="E831" s="24"/>
      <c r="F831" s="145"/>
      <c r="G831" s="36"/>
    </row>
    <row r="832" spans="2:7" x14ac:dyDescent="0.25">
      <c r="B832" s="24"/>
      <c r="C832" s="24"/>
      <c r="D832" s="26"/>
      <c r="E832" s="24"/>
      <c r="F832" s="145"/>
      <c r="G832" s="36"/>
    </row>
    <row r="833" spans="2:7" x14ac:dyDescent="0.25">
      <c r="B833" s="24"/>
      <c r="C833" s="24"/>
      <c r="D833" s="26"/>
      <c r="E833" s="24"/>
      <c r="F833" s="145"/>
      <c r="G833" s="36"/>
    </row>
    <row r="834" spans="2:7" x14ac:dyDescent="0.25">
      <c r="B834" s="24"/>
      <c r="C834" s="24"/>
      <c r="D834" s="26"/>
      <c r="E834" s="24"/>
      <c r="F834" s="145"/>
      <c r="G834" s="36"/>
    </row>
    <row r="835" spans="2:7" x14ac:dyDescent="0.25">
      <c r="B835" s="24"/>
      <c r="C835" s="24"/>
      <c r="D835" s="26"/>
      <c r="E835" s="24"/>
      <c r="F835" s="145"/>
      <c r="G835" s="36"/>
    </row>
    <row r="836" spans="2:7" x14ac:dyDescent="0.25">
      <c r="B836" s="24"/>
      <c r="C836" s="24"/>
      <c r="D836" s="26"/>
      <c r="E836" s="24"/>
      <c r="F836" s="145"/>
      <c r="G836" s="36"/>
    </row>
    <row r="837" spans="2:7" x14ac:dyDescent="0.25">
      <c r="B837" s="24"/>
      <c r="C837" s="24"/>
      <c r="D837" s="26"/>
      <c r="E837" s="24"/>
      <c r="F837" s="145"/>
      <c r="G837" s="36"/>
    </row>
    <row r="838" spans="2:7" x14ac:dyDescent="0.25">
      <c r="B838" s="24"/>
      <c r="C838" s="24"/>
      <c r="D838" s="26"/>
      <c r="E838" s="24"/>
      <c r="F838" s="145"/>
      <c r="G838" s="36"/>
    </row>
    <row r="839" spans="2:7" x14ac:dyDescent="0.25">
      <c r="B839" s="24"/>
      <c r="C839" s="24"/>
      <c r="D839" s="26"/>
      <c r="E839" s="24"/>
      <c r="F839" s="145"/>
      <c r="G839" s="36"/>
    </row>
    <row r="840" spans="2:7" x14ac:dyDescent="0.25">
      <c r="B840" s="24"/>
      <c r="C840" s="24"/>
      <c r="D840" s="26"/>
      <c r="E840" s="24"/>
      <c r="F840" s="145"/>
      <c r="G840" s="36"/>
    </row>
    <row r="841" spans="2:7" x14ac:dyDescent="0.25">
      <c r="B841" s="24"/>
      <c r="C841" s="24"/>
      <c r="D841" s="26"/>
      <c r="E841" s="24"/>
      <c r="F841" s="145"/>
      <c r="G841" s="36"/>
    </row>
    <row r="842" spans="2:7" x14ac:dyDescent="0.25">
      <c r="B842" s="24"/>
      <c r="C842" s="24"/>
      <c r="D842" s="26"/>
      <c r="E842" s="24"/>
      <c r="F842" s="145"/>
      <c r="G842" s="36"/>
    </row>
    <row r="843" spans="2:7" x14ac:dyDescent="0.25">
      <c r="B843" s="24"/>
      <c r="C843" s="24"/>
      <c r="D843" s="26"/>
      <c r="E843" s="24"/>
      <c r="F843" s="145"/>
      <c r="G843" s="36"/>
    </row>
    <row r="844" spans="2:7" x14ac:dyDescent="0.25">
      <c r="B844" s="24"/>
      <c r="C844" s="24"/>
      <c r="D844" s="26"/>
      <c r="E844" s="24"/>
      <c r="F844" s="145"/>
      <c r="G844" s="36"/>
    </row>
    <row r="845" spans="2:7" x14ac:dyDescent="0.25">
      <c r="B845" s="24"/>
      <c r="C845" s="24"/>
      <c r="D845" s="26"/>
      <c r="E845" s="24"/>
      <c r="F845" s="145"/>
      <c r="G845" s="36"/>
    </row>
    <row r="846" spans="2:7" x14ac:dyDescent="0.25">
      <c r="B846" s="24"/>
      <c r="C846" s="24"/>
      <c r="D846" s="26"/>
      <c r="E846" s="24"/>
      <c r="F846" s="145"/>
      <c r="G846" s="36"/>
    </row>
    <row r="847" spans="2:7" x14ac:dyDescent="0.25">
      <c r="B847" s="24"/>
      <c r="C847" s="24"/>
      <c r="D847" s="26"/>
      <c r="E847" s="24"/>
      <c r="F847" s="145"/>
      <c r="G847" s="36"/>
    </row>
    <row r="848" spans="2:7" x14ac:dyDescent="0.25">
      <c r="B848" s="24"/>
      <c r="C848" s="24"/>
      <c r="D848" s="26"/>
      <c r="E848" s="24"/>
      <c r="F848" s="145"/>
      <c r="G848" s="36"/>
    </row>
    <row r="849" spans="2:7" x14ac:dyDescent="0.25">
      <c r="B849" s="24"/>
      <c r="C849" s="24"/>
      <c r="D849" s="26"/>
      <c r="E849" s="24"/>
      <c r="F849" s="145"/>
      <c r="G849" s="36"/>
    </row>
    <row r="850" spans="2:7" x14ac:dyDescent="0.25">
      <c r="B850" s="24"/>
      <c r="C850" s="24"/>
      <c r="D850" s="26"/>
      <c r="E850" s="24"/>
      <c r="F850" s="145"/>
      <c r="G850" s="36"/>
    </row>
    <row r="851" spans="2:7" x14ac:dyDescent="0.25">
      <c r="B851" s="24"/>
      <c r="C851" s="24"/>
      <c r="D851" s="26"/>
      <c r="E851" s="24"/>
      <c r="F851" s="145"/>
      <c r="G851" s="36"/>
    </row>
    <row r="852" spans="2:7" x14ac:dyDescent="0.25">
      <c r="B852" s="24"/>
      <c r="C852" s="24"/>
      <c r="D852" s="26"/>
      <c r="E852" s="24"/>
      <c r="F852" s="145"/>
      <c r="G852" s="36"/>
    </row>
    <row r="853" spans="2:7" x14ac:dyDescent="0.25">
      <c r="B853" s="24"/>
      <c r="C853" s="24"/>
      <c r="D853" s="26"/>
      <c r="E853" s="24"/>
      <c r="F853" s="145"/>
      <c r="G853" s="36"/>
    </row>
    <row r="854" spans="2:7" x14ac:dyDescent="0.25">
      <c r="B854" s="24"/>
      <c r="C854" s="24"/>
      <c r="D854" s="26"/>
      <c r="E854" s="24"/>
      <c r="F854" s="145"/>
      <c r="G854" s="36"/>
    </row>
    <row r="855" spans="2:7" x14ac:dyDescent="0.25">
      <c r="B855" s="24"/>
      <c r="C855" s="24"/>
      <c r="D855" s="26"/>
      <c r="E855" s="24"/>
      <c r="F855" s="145"/>
      <c r="G855" s="36"/>
    </row>
    <row r="856" spans="2:7" x14ac:dyDescent="0.25">
      <c r="B856" s="24"/>
      <c r="C856" s="24"/>
      <c r="D856" s="26"/>
      <c r="E856" s="24"/>
      <c r="F856" s="145"/>
      <c r="G856" s="36"/>
    </row>
    <row r="857" spans="2:7" x14ac:dyDescent="0.25">
      <c r="B857" s="24"/>
      <c r="C857" s="24"/>
      <c r="D857" s="26"/>
      <c r="E857" s="24"/>
      <c r="F857" s="145"/>
      <c r="G857" s="36"/>
    </row>
    <row r="858" spans="2:7" x14ac:dyDescent="0.25">
      <c r="B858" s="24"/>
      <c r="C858" s="24"/>
      <c r="D858" s="26"/>
      <c r="E858" s="24"/>
      <c r="F858" s="145"/>
      <c r="G858" s="36"/>
    </row>
    <row r="859" spans="2:7" x14ac:dyDescent="0.25">
      <c r="B859" s="24"/>
      <c r="C859" s="24"/>
      <c r="D859" s="26"/>
      <c r="E859" s="24"/>
      <c r="F859" s="145"/>
      <c r="G859" s="36"/>
    </row>
    <row r="860" spans="2:7" x14ac:dyDescent="0.25">
      <c r="B860" s="24"/>
      <c r="C860" s="24"/>
      <c r="D860" s="26"/>
      <c r="E860" s="24"/>
      <c r="F860" s="145"/>
      <c r="G860" s="36"/>
    </row>
    <row r="861" spans="2:7" x14ac:dyDescent="0.25">
      <c r="B861" s="24"/>
      <c r="C861" s="24"/>
      <c r="D861" s="26"/>
      <c r="E861" s="24"/>
      <c r="F861" s="145"/>
      <c r="G861" s="36"/>
    </row>
    <row r="862" spans="2:7" x14ac:dyDescent="0.25">
      <c r="B862" s="24"/>
      <c r="C862" s="24"/>
      <c r="D862" s="26"/>
      <c r="E862" s="24"/>
      <c r="F862" s="145"/>
      <c r="G862" s="36"/>
    </row>
    <row r="863" spans="2:7" x14ac:dyDescent="0.25">
      <c r="B863" s="24"/>
      <c r="C863" s="24"/>
      <c r="D863" s="26"/>
      <c r="E863" s="24"/>
      <c r="F863" s="145"/>
      <c r="G863" s="36"/>
    </row>
    <row r="864" spans="2:7" x14ac:dyDescent="0.25">
      <c r="B864" s="24"/>
      <c r="C864" s="24"/>
      <c r="D864" s="26"/>
      <c r="E864" s="24"/>
      <c r="F864" s="145"/>
      <c r="G864" s="36"/>
    </row>
    <row r="865" spans="2:7" x14ac:dyDescent="0.25">
      <c r="B865" s="24"/>
      <c r="C865" s="24"/>
      <c r="D865" s="26"/>
      <c r="E865" s="24"/>
      <c r="F865" s="145"/>
      <c r="G865" s="36"/>
    </row>
    <row r="866" spans="2:7" x14ac:dyDescent="0.25">
      <c r="B866" s="24"/>
      <c r="C866" s="24"/>
      <c r="D866" s="26"/>
      <c r="E866" s="24"/>
      <c r="F866" s="145"/>
      <c r="G866" s="36"/>
    </row>
    <row r="867" spans="2:7" x14ac:dyDescent="0.25">
      <c r="B867" s="24"/>
      <c r="C867" s="24"/>
      <c r="D867" s="26"/>
      <c r="E867" s="24"/>
      <c r="F867" s="145"/>
      <c r="G867" s="36"/>
    </row>
    <row r="868" spans="2:7" x14ac:dyDescent="0.25">
      <c r="B868" s="24"/>
      <c r="C868" s="24"/>
      <c r="D868" s="26"/>
      <c r="E868" s="24"/>
      <c r="F868" s="145"/>
      <c r="G868" s="36"/>
    </row>
    <row r="869" spans="2:7" x14ac:dyDescent="0.25">
      <c r="B869" s="24"/>
      <c r="C869" s="24"/>
      <c r="D869" s="26"/>
      <c r="E869" s="24"/>
      <c r="F869" s="145"/>
      <c r="G869" s="36"/>
    </row>
    <row r="870" spans="2:7" x14ac:dyDescent="0.25">
      <c r="B870" s="24"/>
      <c r="C870" s="24"/>
      <c r="D870" s="26"/>
      <c r="E870" s="24"/>
      <c r="F870" s="145"/>
      <c r="G870" s="36"/>
    </row>
    <row r="871" spans="2:7" x14ac:dyDescent="0.25">
      <c r="B871" s="24"/>
      <c r="C871" s="24"/>
      <c r="D871" s="26"/>
      <c r="E871" s="24"/>
      <c r="F871" s="145"/>
      <c r="G871" s="36"/>
    </row>
    <row r="872" spans="2:7" x14ac:dyDescent="0.25">
      <c r="B872" s="24"/>
      <c r="C872" s="24"/>
      <c r="D872" s="26"/>
      <c r="E872" s="24"/>
      <c r="F872" s="145"/>
      <c r="G872" s="36"/>
    </row>
    <row r="873" spans="2:7" x14ac:dyDescent="0.25">
      <c r="B873" s="24"/>
      <c r="C873" s="24"/>
      <c r="D873" s="26"/>
      <c r="E873" s="24"/>
      <c r="F873" s="145"/>
      <c r="G873" s="36"/>
    </row>
    <row r="874" spans="2:7" x14ac:dyDescent="0.25">
      <c r="B874" s="24"/>
      <c r="C874" s="24"/>
      <c r="D874" s="26"/>
      <c r="E874" s="24"/>
      <c r="F874" s="145"/>
      <c r="G874" s="36"/>
    </row>
    <row r="875" spans="2:7" x14ac:dyDescent="0.25">
      <c r="B875" s="24"/>
      <c r="C875" s="24"/>
      <c r="D875" s="26"/>
      <c r="E875" s="24"/>
      <c r="F875" s="145"/>
      <c r="G875" s="36"/>
    </row>
    <row r="876" spans="2:7" x14ac:dyDescent="0.25">
      <c r="B876" s="24"/>
      <c r="C876" s="24"/>
      <c r="D876" s="26"/>
      <c r="E876" s="24"/>
      <c r="F876" s="145"/>
      <c r="G876" s="36"/>
    </row>
    <row r="877" spans="2:7" x14ac:dyDescent="0.25">
      <c r="B877" s="24"/>
      <c r="C877" s="24"/>
      <c r="D877" s="26"/>
      <c r="E877" s="24"/>
      <c r="F877" s="145"/>
      <c r="G877" s="36"/>
    </row>
    <row r="878" spans="2:7" x14ac:dyDescent="0.25">
      <c r="B878" s="24"/>
      <c r="C878" s="24"/>
      <c r="D878" s="26"/>
      <c r="E878" s="24"/>
      <c r="F878" s="145"/>
      <c r="G878" s="36"/>
    </row>
    <row r="879" spans="2:7" x14ac:dyDescent="0.25">
      <c r="B879" s="24"/>
      <c r="C879" s="24"/>
      <c r="D879" s="26"/>
      <c r="E879" s="24"/>
      <c r="F879" s="145"/>
      <c r="G879" s="36"/>
    </row>
    <row r="880" spans="2:7" x14ac:dyDescent="0.25">
      <c r="B880" s="24"/>
      <c r="C880" s="24"/>
      <c r="D880" s="26"/>
      <c r="E880" s="24"/>
      <c r="F880" s="145"/>
      <c r="G880" s="36"/>
    </row>
    <row r="881" spans="2:7" x14ac:dyDescent="0.25">
      <c r="B881" s="24"/>
      <c r="C881" s="24"/>
      <c r="D881" s="26"/>
      <c r="E881" s="24"/>
      <c r="F881" s="145"/>
      <c r="G881" s="36"/>
    </row>
    <row r="882" spans="2:7" x14ac:dyDescent="0.25">
      <c r="B882" s="24"/>
      <c r="C882" s="24"/>
      <c r="D882" s="26"/>
      <c r="E882" s="24"/>
      <c r="F882" s="145"/>
      <c r="G882" s="36"/>
    </row>
    <row r="883" spans="2:7" x14ac:dyDescent="0.25">
      <c r="B883" s="24"/>
      <c r="C883" s="24"/>
      <c r="D883" s="26"/>
      <c r="E883" s="24"/>
      <c r="F883" s="145"/>
      <c r="G883" s="36"/>
    </row>
    <row r="884" spans="2:7" x14ac:dyDescent="0.25">
      <c r="B884" s="24"/>
      <c r="C884" s="24"/>
      <c r="D884" s="26"/>
      <c r="E884" s="24"/>
      <c r="F884" s="145"/>
      <c r="G884" s="36"/>
    </row>
    <row r="885" spans="2:7" x14ac:dyDescent="0.25">
      <c r="B885" s="24"/>
      <c r="C885" s="24"/>
      <c r="D885" s="26"/>
      <c r="E885" s="24"/>
      <c r="F885" s="145"/>
      <c r="G885" s="36"/>
    </row>
    <row r="886" spans="2:7" x14ac:dyDescent="0.25">
      <c r="B886" s="24"/>
      <c r="C886" s="24"/>
      <c r="D886" s="26"/>
      <c r="E886" s="24"/>
      <c r="F886" s="145"/>
      <c r="G886" s="36"/>
    </row>
    <row r="887" spans="2:7" x14ac:dyDescent="0.25">
      <c r="B887" s="24"/>
      <c r="C887" s="24"/>
      <c r="D887" s="26"/>
      <c r="E887" s="24"/>
      <c r="F887" s="145"/>
      <c r="G887" s="36"/>
    </row>
    <row r="888" spans="2:7" x14ac:dyDescent="0.25">
      <c r="B888" s="24"/>
      <c r="C888" s="24"/>
      <c r="D888" s="26"/>
      <c r="E888" s="24"/>
      <c r="F888" s="145"/>
      <c r="G888" s="36"/>
    </row>
    <row r="889" spans="2:7" x14ac:dyDescent="0.25">
      <c r="B889" s="24"/>
      <c r="C889" s="24"/>
      <c r="D889" s="26"/>
      <c r="E889" s="24"/>
      <c r="F889" s="145"/>
      <c r="G889" s="36"/>
    </row>
    <row r="890" spans="2:7" x14ac:dyDescent="0.25">
      <c r="B890" s="24"/>
      <c r="C890" s="24"/>
      <c r="D890" s="26"/>
      <c r="E890" s="24"/>
      <c r="F890" s="145"/>
      <c r="G890" s="36"/>
    </row>
    <row r="891" spans="2:7" x14ac:dyDescent="0.25">
      <c r="B891" s="24"/>
      <c r="C891" s="24"/>
      <c r="D891" s="26"/>
      <c r="E891" s="24"/>
      <c r="F891" s="145"/>
      <c r="G891" s="36"/>
    </row>
    <row r="892" spans="2:7" x14ac:dyDescent="0.25">
      <c r="B892" s="24"/>
      <c r="C892" s="24"/>
      <c r="D892" s="26"/>
      <c r="E892" s="24"/>
      <c r="F892" s="145"/>
      <c r="G892" s="36"/>
    </row>
    <row r="893" spans="2:7" x14ac:dyDescent="0.25">
      <c r="B893" s="24"/>
      <c r="C893" s="24"/>
      <c r="D893" s="26"/>
      <c r="E893" s="24"/>
      <c r="F893" s="145"/>
      <c r="G893" s="36"/>
    </row>
    <row r="894" spans="2:7" x14ac:dyDescent="0.25">
      <c r="B894" s="24"/>
      <c r="C894" s="24"/>
      <c r="D894" s="26"/>
      <c r="E894" s="24"/>
      <c r="F894" s="145"/>
      <c r="G894" s="36"/>
    </row>
    <row r="895" spans="2:7" x14ac:dyDescent="0.25">
      <c r="B895" s="24"/>
      <c r="C895" s="24"/>
      <c r="D895" s="26"/>
      <c r="E895" s="24"/>
      <c r="F895" s="145"/>
      <c r="G895" s="36"/>
    </row>
    <row r="896" spans="2:7" x14ac:dyDescent="0.25">
      <c r="B896" s="24"/>
      <c r="C896" s="24"/>
      <c r="D896" s="26"/>
      <c r="E896" s="24"/>
      <c r="F896" s="145"/>
      <c r="G896" s="36"/>
    </row>
    <row r="897" spans="2:7" x14ac:dyDescent="0.25">
      <c r="B897" s="24"/>
      <c r="C897" s="24"/>
      <c r="D897" s="26"/>
      <c r="E897" s="24"/>
      <c r="F897" s="145"/>
      <c r="G897" s="36"/>
    </row>
    <row r="898" spans="2:7" x14ac:dyDescent="0.25">
      <c r="B898" s="24"/>
      <c r="C898" s="24"/>
      <c r="D898" s="26"/>
      <c r="E898" s="24"/>
      <c r="F898" s="145"/>
      <c r="G898" s="36"/>
    </row>
    <row r="899" spans="2:7" x14ac:dyDescent="0.25">
      <c r="B899" s="24"/>
      <c r="C899" s="24"/>
      <c r="D899" s="26"/>
      <c r="E899" s="24"/>
      <c r="F899" s="145"/>
      <c r="G899" s="36"/>
    </row>
    <row r="900" spans="2:7" x14ac:dyDescent="0.25">
      <c r="B900" s="24"/>
      <c r="C900" s="24"/>
      <c r="D900" s="26"/>
      <c r="E900" s="24"/>
      <c r="F900" s="145"/>
      <c r="G900" s="36"/>
    </row>
    <row r="901" spans="2:7" x14ac:dyDescent="0.25">
      <c r="B901" s="24"/>
      <c r="C901" s="24"/>
      <c r="D901" s="26"/>
      <c r="E901" s="24"/>
      <c r="F901" s="145"/>
      <c r="G901" s="36"/>
    </row>
    <row r="902" spans="2:7" x14ac:dyDescent="0.25">
      <c r="B902" s="24"/>
      <c r="C902" s="24"/>
      <c r="D902" s="26"/>
      <c r="E902" s="24"/>
      <c r="F902" s="145"/>
      <c r="G902" s="36"/>
    </row>
    <row r="903" spans="2:7" x14ac:dyDescent="0.25">
      <c r="B903" s="24"/>
      <c r="C903" s="24"/>
      <c r="D903" s="26"/>
      <c r="E903" s="24"/>
      <c r="F903" s="145"/>
      <c r="G903" s="36"/>
    </row>
    <row r="904" spans="2:7" x14ac:dyDescent="0.25">
      <c r="B904" s="24"/>
      <c r="C904" s="24"/>
      <c r="D904" s="26"/>
      <c r="E904" s="24"/>
      <c r="F904" s="145"/>
      <c r="G904" s="36"/>
    </row>
    <row r="905" spans="2:7" x14ac:dyDescent="0.25">
      <c r="B905" s="24"/>
      <c r="C905" s="24"/>
      <c r="D905" s="26"/>
      <c r="E905" s="24"/>
      <c r="F905" s="145"/>
      <c r="G905" s="36"/>
    </row>
    <row r="906" spans="2:7" x14ac:dyDescent="0.25">
      <c r="B906" s="24"/>
      <c r="C906" s="24"/>
      <c r="D906" s="26"/>
      <c r="E906" s="24"/>
      <c r="F906" s="145"/>
      <c r="G906" s="36"/>
    </row>
    <row r="907" spans="2:7" x14ac:dyDescent="0.25">
      <c r="B907" s="24"/>
      <c r="C907" s="24"/>
      <c r="D907" s="26"/>
      <c r="E907" s="24"/>
      <c r="F907" s="145"/>
      <c r="G907" s="36"/>
    </row>
    <row r="908" spans="2:7" x14ac:dyDescent="0.25">
      <c r="B908" s="24"/>
      <c r="C908" s="24"/>
      <c r="D908" s="26"/>
      <c r="E908" s="24"/>
      <c r="F908" s="145"/>
      <c r="G908" s="36"/>
    </row>
    <row r="909" spans="2:7" x14ac:dyDescent="0.25">
      <c r="B909" s="24"/>
      <c r="C909" s="24"/>
      <c r="D909" s="26"/>
      <c r="E909" s="24"/>
      <c r="F909" s="145"/>
      <c r="G909" s="36"/>
    </row>
    <row r="910" spans="2:7" x14ac:dyDescent="0.25">
      <c r="B910" s="24"/>
      <c r="C910" s="24"/>
      <c r="D910" s="26"/>
      <c r="E910" s="24"/>
      <c r="F910" s="145"/>
      <c r="G910" s="36"/>
    </row>
    <row r="911" spans="2:7" x14ac:dyDescent="0.25">
      <c r="B911" s="24"/>
      <c r="C911" s="24"/>
      <c r="D911" s="26"/>
      <c r="E911" s="24"/>
      <c r="F911" s="145"/>
      <c r="G911" s="36"/>
    </row>
    <row r="912" spans="2:7" x14ac:dyDescent="0.25">
      <c r="B912" s="24"/>
      <c r="C912" s="24"/>
      <c r="D912" s="26"/>
      <c r="E912" s="24"/>
      <c r="F912" s="145"/>
      <c r="G912" s="36"/>
    </row>
    <row r="913" spans="2:7" x14ac:dyDescent="0.25">
      <c r="B913" s="24"/>
      <c r="C913" s="24"/>
      <c r="D913" s="26"/>
      <c r="E913" s="24"/>
      <c r="F913" s="145"/>
      <c r="G913" s="36"/>
    </row>
    <row r="914" spans="2:7" x14ac:dyDescent="0.25">
      <c r="B914" s="24"/>
      <c r="C914" s="24"/>
      <c r="D914" s="26"/>
      <c r="E914" s="24"/>
      <c r="F914" s="145"/>
      <c r="G914" s="36"/>
    </row>
    <row r="915" spans="2:7" x14ac:dyDescent="0.25">
      <c r="B915" s="24"/>
      <c r="C915" s="24"/>
      <c r="D915" s="26"/>
      <c r="E915" s="24"/>
      <c r="F915" s="145"/>
      <c r="G915" s="36"/>
    </row>
    <row r="916" spans="2:7" x14ac:dyDescent="0.25">
      <c r="B916" s="24"/>
      <c r="C916" s="24"/>
      <c r="D916" s="26"/>
      <c r="E916" s="24"/>
      <c r="F916" s="145"/>
      <c r="G916" s="36"/>
    </row>
    <row r="917" spans="2:7" x14ac:dyDescent="0.25">
      <c r="B917" s="24"/>
      <c r="C917" s="24"/>
      <c r="D917" s="26"/>
      <c r="E917" s="24"/>
      <c r="F917" s="145"/>
      <c r="G917" s="36"/>
    </row>
    <row r="918" spans="2:7" x14ac:dyDescent="0.25">
      <c r="B918" s="24"/>
      <c r="C918" s="24"/>
      <c r="D918" s="26"/>
      <c r="E918" s="24"/>
      <c r="F918" s="145"/>
      <c r="G918" s="36"/>
    </row>
    <row r="919" spans="2:7" x14ac:dyDescent="0.25">
      <c r="B919" s="24"/>
      <c r="C919" s="24"/>
      <c r="D919" s="26"/>
      <c r="E919" s="24"/>
      <c r="F919" s="145"/>
      <c r="G919" s="36"/>
    </row>
    <row r="920" spans="2:7" x14ac:dyDescent="0.25">
      <c r="B920" s="24"/>
      <c r="C920" s="24"/>
      <c r="D920" s="26"/>
      <c r="E920" s="24"/>
      <c r="F920" s="145"/>
      <c r="G920" s="36"/>
    </row>
    <row r="921" spans="2:7" x14ac:dyDescent="0.25">
      <c r="B921" s="24"/>
      <c r="C921" s="24"/>
      <c r="D921" s="26"/>
      <c r="E921" s="24"/>
      <c r="F921" s="145"/>
      <c r="G921" s="36"/>
    </row>
    <row r="922" spans="2:7" x14ac:dyDescent="0.25">
      <c r="B922" s="24"/>
      <c r="C922" s="24"/>
      <c r="D922" s="26"/>
      <c r="E922" s="24"/>
      <c r="F922" s="145"/>
      <c r="G922" s="36"/>
    </row>
    <row r="923" spans="2:7" x14ac:dyDescent="0.25">
      <c r="B923" s="24"/>
      <c r="C923" s="24"/>
      <c r="D923" s="26"/>
      <c r="E923" s="24"/>
      <c r="F923" s="145"/>
      <c r="G923" s="36"/>
    </row>
    <row r="924" spans="2:7" x14ac:dyDescent="0.25">
      <c r="B924" s="24"/>
      <c r="C924" s="24"/>
      <c r="D924" s="26"/>
      <c r="E924" s="24"/>
      <c r="F924" s="145"/>
      <c r="G924" s="36"/>
    </row>
    <row r="925" spans="2:7" x14ac:dyDescent="0.25">
      <c r="B925" s="24"/>
      <c r="C925" s="24"/>
      <c r="D925" s="26"/>
      <c r="E925" s="24"/>
      <c r="F925" s="145"/>
      <c r="G925" s="36"/>
    </row>
    <row r="926" spans="2:7" x14ac:dyDescent="0.25">
      <c r="B926" s="24"/>
      <c r="C926" s="24"/>
      <c r="D926" s="26"/>
      <c r="E926" s="24"/>
      <c r="F926" s="145"/>
      <c r="G926" s="36"/>
    </row>
    <row r="927" spans="2:7" x14ac:dyDescent="0.25">
      <c r="B927" s="24"/>
      <c r="C927" s="24"/>
      <c r="D927" s="26"/>
      <c r="E927" s="24"/>
      <c r="F927" s="145"/>
      <c r="G927" s="36"/>
    </row>
    <row r="928" spans="2:7" x14ac:dyDescent="0.25">
      <c r="B928" s="24"/>
      <c r="C928" s="24"/>
      <c r="D928" s="26"/>
      <c r="E928" s="24"/>
      <c r="F928" s="145"/>
      <c r="G928" s="36"/>
    </row>
    <row r="929" spans="2:7" x14ac:dyDescent="0.25">
      <c r="B929" s="24"/>
      <c r="C929" s="24"/>
      <c r="D929" s="26"/>
      <c r="E929" s="24"/>
      <c r="F929" s="145"/>
      <c r="G929" s="36"/>
    </row>
    <row r="930" spans="2:7" x14ac:dyDescent="0.25">
      <c r="B930" s="24"/>
      <c r="C930" s="24"/>
      <c r="D930" s="26"/>
      <c r="E930" s="24"/>
      <c r="F930" s="145"/>
      <c r="G930" s="36"/>
    </row>
    <row r="931" spans="2:7" x14ac:dyDescent="0.25">
      <c r="B931" s="24"/>
      <c r="C931" s="24"/>
      <c r="D931" s="26"/>
      <c r="E931" s="24"/>
      <c r="F931" s="145"/>
      <c r="G931" s="36"/>
    </row>
    <row r="932" spans="2:7" x14ac:dyDescent="0.25">
      <c r="B932" s="24"/>
      <c r="C932" s="24"/>
      <c r="D932" s="26"/>
      <c r="E932" s="24"/>
      <c r="F932" s="145"/>
      <c r="G932" s="36"/>
    </row>
    <row r="933" spans="2:7" x14ac:dyDescent="0.25">
      <c r="B933" s="24"/>
      <c r="C933" s="24"/>
      <c r="D933" s="26"/>
      <c r="E933" s="24"/>
      <c r="F933" s="145"/>
      <c r="G933" s="36"/>
    </row>
    <row r="934" spans="2:7" x14ac:dyDescent="0.25">
      <c r="B934" s="24"/>
      <c r="C934" s="24"/>
      <c r="D934" s="26"/>
      <c r="E934" s="24"/>
      <c r="F934" s="145"/>
      <c r="G934" s="36"/>
    </row>
    <row r="935" spans="2:7" x14ac:dyDescent="0.25">
      <c r="B935" s="24"/>
      <c r="C935" s="24"/>
      <c r="D935" s="26"/>
      <c r="E935" s="24"/>
      <c r="F935" s="145"/>
      <c r="G935" s="36"/>
    </row>
    <row r="936" spans="2:7" x14ac:dyDescent="0.25">
      <c r="B936" s="24"/>
      <c r="C936" s="24"/>
      <c r="D936" s="26"/>
      <c r="E936" s="24"/>
      <c r="F936" s="145"/>
      <c r="G936" s="36"/>
    </row>
    <row r="937" spans="2:7" x14ac:dyDescent="0.25">
      <c r="B937" s="24"/>
      <c r="C937" s="24"/>
      <c r="D937" s="26"/>
      <c r="E937" s="24"/>
      <c r="F937" s="145"/>
      <c r="G937" s="36"/>
    </row>
    <row r="938" spans="2:7" x14ac:dyDescent="0.25">
      <c r="B938" s="24"/>
      <c r="C938" s="24"/>
      <c r="D938" s="26"/>
      <c r="E938" s="24"/>
      <c r="F938" s="145"/>
      <c r="G938" s="36"/>
    </row>
    <row r="939" spans="2:7" x14ac:dyDescent="0.25">
      <c r="B939" s="24"/>
      <c r="C939" s="24"/>
      <c r="D939" s="26"/>
      <c r="E939" s="24"/>
      <c r="F939" s="145"/>
      <c r="G939" s="36"/>
    </row>
    <row r="940" spans="2:7" x14ac:dyDescent="0.25">
      <c r="B940" s="24"/>
      <c r="C940" s="24"/>
      <c r="D940" s="26"/>
      <c r="E940" s="24"/>
      <c r="F940" s="145"/>
      <c r="G940" s="36"/>
    </row>
    <row r="941" spans="2:7" x14ac:dyDescent="0.25">
      <c r="B941" s="24"/>
      <c r="C941" s="24"/>
      <c r="D941" s="26"/>
      <c r="E941" s="24"/>
      <c r="F941" s="145"/>
      <c r="G941" s="36"/>
    </row>
    <row r="942" spans="2:7" x14ac:dyDescent="0.25">
      <c r="B942" s="24"/>
      <c r="C942" s="24"/>
      <c r="D942" s="26"/>
      <c r="E942" s="24"/>
      <c r="F942" s="145"/>
      <c r="G942" s="36"/>
    </row>
    <row r="943" spans="2:7" x14ac:dyDescent="0.25">
      <c r="B943" s="24"/>
      <c r="C943" s="24"/>
      <c r="D943" s="26"/>
      <c r="E943" s="24"/>
      <c r="F943" s="145"/>
      <c r="G943" s="36"/>
    </row>
    <row r="944" spans="2:7" x14ac:dyDescent="0.25">
      <c r="B944" s="24"/>
      <c r="C944" s="24"/>
      <c r="D944" s="26"/>
      <c r="E944" s="24"/>
      <c r="F944" s="145"/>
      <c r="G944" s="36"/>
    </row>
    <row r="945" spans="2:7" x14ac:dyDescent="0.25">
      <c r="B945" s="24"/>
      <c r="C945" s="24"/>
      <c r="D945" s="26"/>
      <c r="E945" s="24"/>
      <c r="F945" s="145"/>
      <c r="G945" s="36"/>
    </row>
    <row r="946" spans="2:7" x14ac:dyDescent="0.25">
      <c r="B946" s="24"/>
      <c r="C946" s="24"/>
      <c r="D946" s="26"/>
      <c r="E946" s="24"/>
      <c r="F946" s="145"/>
      <c r="G946" s="36"/>
    </row>
    <row r="947" spans="2:7" x14ac:dyDescent="0.25">
      <c r="B947" s="24"/>
      <c r="C947" s="24"/>
      <c r="D947" s="26"/>
      <c r="E947" s="24"/>
      <c r="F947" s="145"/>
      <c r="G947" s="36"/>
    </row>
    <row r="948" spans="2:7" x14ac:dyDescent="0.25">
      <c r="B948" s="24"/>
      <c r="C948" s="24"/>
      <c r="D948" s="26"/>
      <c r="E948" s="24"/>
      <c r="F948" s="145"/>
      <c r="G948" s="36"/>
    </row>
    <row r="949" spans="2:7" x14ac:dyDescent="0.25">
      <c r="B949" s="24"/>
      <c r="C949" s="24"/>
      <c r="D949" s="26"/>
      <c r="E949" s="24"/>
      <c r="F949" s="145"/>
      <c r="G949" s="36"/>
    </row>
    <row r="950" spans="2:7" x14ac:dyDescent="0.25">
      <c r="B950" s="24"/>
      <c r="C950" s="24"/>
      <c r="D950" s="26"/>
      <c r="E950" s="24"/>
      <c r="F950" s="145"/>
      <c r="G950" s="36"/>
    </row>
    <row r="951" spans="2:7" x14ac:dyDescent="0.25">
      <c r="B951" s="24"/>
      <c r="C951" s="24"/>
      <c r="D951" s="26"/>
      <c r="E951" s="24"/>
      <c r="F951" s="145"/>
      <c r="G951" s="36"/>
    </row>
    <row r="952" spans="2:7" x14ac:dyDescent="0.25">
      <c r="B952" s="24"/>
      <c r="C952" s="24"/>
      <c r="D952" s="26"/>
      <c r="E952" s="24"/>
      <c r="F952" s="145"/>
      <c r="G952" s="36"/>
    </row>
    <row r="953" spans="2:7" x14ac:dyDescent="0.25">
      <c r="B953" s="24"/>
      <c r="C953" s="24"/>
      <c r="D953" s="26"/>
      <c r="E953" s="24"/>
      <c r="F953" s="145"/>
      <c r="G953" s="36"/>
    </row>
    <row r="954" spans="2:7" x14ac:dyDescent="0.25">
      <c r="B954" s="24"/>
      <c r="C954" s="24"/>
      <c r="D954" s="26"/>
      <c r="E954" s="24"/>
      <c r="F954" s="145"/>
      <c r="G954" s="36"/>
    </row>
    <row r="955" spans="2:7" x14ac:dyDescent="0.25">
      <c r="B955" s="24"/>
      <c r="C955" s="24"/>
      <c r="D955" s="26"/>
      <c r="E955" s="24"/>
      <c r="F955" s="145"/>
      <c r="G955" s="36"/>
    </row>
    <row r="956" spans="2:7" x14ac:dyDescent="0.25">
      <c r="B956" s="24"/>
      <c r="C956" s="24"/>
      <c r="D956" s="26"/>
      <c r="E956" s="24"/>
      <c r="F956" s="145"/>
      <c r="G956" s="36"/>
    </row>
    <row r="957" spans="2:7" x14ac:dyDescent="0.25">
      <c r="B957" s="24"/>
      <c r="C957" s="24"/>
      <c r="D957" s="26"/>
      <c r="E957" s="24"/>
      <c r="F957" s="145"/>
      <c r="G957" s="36"/>
    </row>
    <row r="958" spans="2:7" x14ac:dyDescent="0.25">
      <c r="B958" s="24"/>
      <c r="C958" s="24"/>
      <c r="D958" s="26"/>
      <c r="E958" s="24"/>
      <c r="F958" s="145"/>
      <c r="G958" s="36"/>
    </row>
    <row r="959" spans="2:7" x14ac:dyDescent="0.25">
      <c r="B959" s="24"/>
      <c r="C959" s="24"/>
      <c r="D959" s="26"/>
      <c r="E959" s="24"/>
      <c r="F959" s="145"/>
      <c r="G959" s="36"/>
    </row>
    <row r="960" spans="2:7" x14ac:dyDescent="0.25">
      <c r="B960" s="24"/>
      <c r="C960" s="24"/>
      <c r="D960" s="26"/>
      <c r="E960" s="24"/>
      <c r="F960" s="145"/>
      <c r="G960" s="36"/>
    </row>
    <row r="961" spans="2:7" x14ac:dyDescent="0.25">
      <c r="B961" s="24"/>
      <c r="C961" s="24"/>
      <c r="D961" s="26"/>
      <c r="E961" s="24"/>
      <c r="F961" s="145"/>
      <c r="G961" s="36"/>
    </row>
    <row r="962" spans="2:7" x14ac:dyDescent="0.25">
      <c r="B962" s="24"/>
      <c r="C962" s="24"/>
      <c r="D962" s="26"/>
      <c r="E962" s="24"/>
      <c r="F962" s="145"/>
      <c r="G962" s="36"/>
    </row>
    <row r="963" spans="2:7" x14ac:dyDescent="0.25">
      <c r="B963" s="24"/>
      <c r="C963" s="24"/>
      <c r="D963" s="26"/>
      <c r="E963" s="24"/>
      <c r="F963" s="145"/>
      <c r="G963" s="36"/>
    </row>
    <row r="964" spans="2:7" x14ac:dyDescent="0.25">
      <c r="B964" s="24"/>
      <c r="C964" s="24"/>
      <c r="D964" s="26"/>
      <c r="E964" s="24"/>
      <c r="F964" s="145"/>
      <c r="G964" s="36"/>
    </row>
    <row r="965" spans="2:7" x14ac:dyDescent="0.25">
      <c r="B965" s="24"/>
      <c r="C965" s="24"/>
      <c r="D965" s="26"/>
      <c r="E965" s="24"/>
      <c r="F965" s="145"/>
      <c r="G965" s="36"/>
    </row>
    <row r="966" spans="2:7" x14ac:dyDescent="0.25">
      <c r="B966" s="24"/>
      <c r="C966" s="24"/>
      <c r="D966" s="26"/>
      <c r="E966" s="24"/>
      <c r="F966" s="145"/>
      <c r="G966" s="36"/>
    </row>
    <row r="967" spans="2:7" x14ac:dyDescent="0.25">
      <c r="B967" s="24"/>
      <c r="C967" s="24"/>
      <c r="D967" s="26"/>
      <c r="E967" s="24"/>
      <c r="F967" s="145"/>
      <c r="G967" s="36"/>
    </row>
    <row r="968" spans="2:7" x14ac:dyDescent="0.25">
      <c r="B968" s="24"/>
      <c r="C968" s="24"/>
      <c r="D968" s="26"/>
      <c r="E968" s="24"/>
      <c r="F968" s="145"/>
      <c r="G968" s="36"/>
    </row>
    <row r="969" spans="2:7" x14ac:dyDescent="0.25">
      <c r="B969" s="24"/>
      <c r="C969" s="24"/>
      <c r="D969" s="26"/>
      <c r="E969" s="24"/>
      <c r="F969" s="145"/>
      <c r="G969" s="36"/>
    </row>
    <row r="970" spans="2:7" x14ac:dyDescent="0.25">
      <c r="B970" s="24"/>
      <c r="C970" s="24"/>
      <c r="D970" s="26"/>
      <c r="E970" s="24"/>
      <c r="F970" s="145"/>
      <c r="G970" s="36"/>
    </row>
    <row r="971" spans="2:7" x14ac:dyDescent="0.25">
      <c r="B971" s="24"/>
      <c r="C971" s="24"/>
      <c r="D971" s="26"/>
      <c r="E971" s="24"/>
      <c r="F971" s="145"/>
      <c r="G971" s="36"/>
    </row>
    <row r="972" spans="2:7" x14ac:dyDescent="0.25">
      <c r="B972" s="24"/>
      <c r="C972" s="24"/>
      <c r="D972" s="26"/>
      <c r="E972" s="24"/>
      <c r="F972" s="145"/>
      <c r="G972" s="36"/>
    </row>
    <row r="973" spans="2:7" x14ac:dyDescent="0.25">
      <c r="B973" s="24"/>
      <c r="C973" s="24"/>
      <c r="D973" s="26"/>
      <c r="E973" s="24"/>
      <c r="F973" s="145"/>
      <c r="G973" s="36"/>
    </row>
    <row r="974" spans="2:7" x14ac:dyDescent="0.25">
      <c r="B974" s="24"/>
      <c r="C974" s="24"/>
      <c r="D974" s="26"/>
      <c r="E974" s="24"/>
      <c r="F974" s="145"/>
      <c r="G974" s="36"/>
    </row>
    <row r="975" spans="2:7" x14ac:dyDescent="0.25">
      <c r="B975" s="24"/>
      <c r="C975" s="24"/>
      <c r="D975" s="26"/>
      <c r="E975" s="24"/>
      <c r="F975" s="145"/>
      <c r="G975" s="36"/>
    </row>
    <row r="976" spans="2:7" x14ac:dyDescent="0.25">
      <c r="B976" s="24"/>
      <c r="C976" s="24"/>
      <c r="D976" s="26"/>
      <c r="E976" s="24"/>
      <c r="F976" s="145"/>
      <c r="G976" s="36"/>
    </row>
    <row r="977" spans="2:7" x14ac:dyDescent="0.25">
      <c r="B977" s="24"/>
      <c r="C977" s="24"/>
      <c r="D977" s="26"/>
      <c r="E977" s="24"/>
      <c r="F977" s="145"/>
      <c r="G977" s="36"/>
    </row>
    <row r="978" spans="2:7" x14ac:dyDescent="0.25">
      <c r="B978" s="24"/>
      <c r="C978" s="24"/>
      <c r="D978" s="26"/>
      <c r="E978" s="24"/>
      <c r="F978" s="145"/>
      <c r="G978" s="36"/>
    </row>
    <row r="979" spans="2:7" x14ac:dyDescent="0.25">
      <c r="B979" s="24"/>
      <c r="C979" s="24"/>
      <c r="D979" s="26"/>
      <c r="E979" s="24"/>
      <c r="F979" s="145"/>
      <c r="G979" s="36"/>
    </row>
    <row r="980" spans="2:7" x14ac:dyDescent="0.25">
      <c r="B980" s="24"/>
      <c r="C980" s="24"/>
      <c r="D980" s="26"/>
      <c r="E980" s="24"/>
      <c r="F980" s="145"/>
      <c r="G980" s="36"/>
    </row>
    <row r="981" spans="2:7" x14ac:dyDescent="0.25">
      <c r="B981" s="24"/>
      <c r="C981" s="24"/>
      <c r="D981" s="26"/>
      <c r="E981" s="24"/>
      <c r="F981" s="145"/>
      <c r="G981" s="36"/>
    </row>
    <row r="982" spans="2:7" x14ac:dyDescent="0.25">
      <c r="B982" s="24"/>
      <c r="C982" s="24"/>
      <c r="D982" s="26"/>
      <c r="E982" s="24"/>
      <c r="F982" s="145"/>
      <c r="G982" s="36"/>
    </row>
    <row r="983" spans="2:7" x14ac:dyDescent="0.25">
      <c r="B983" s="24"/>
      <c r="C983" s="24"/>
      <c r="D983" s="26"/>
      <c r="E983" s="24"/>
      <c r="F983" s="145"/>
      <c r="G983" s="36"/>
    </row>
    <row r="984" spans="2:7" x14ac:dyDescent="0.25">
      <c r="B984" s="24"/>
      <c r="C984" s="24"/>
      <c r="D984" s="26"/>
      <c r="E984" s="24"/>
      <c r="F984" s="145"/>
      <c r="G984" s="36"/>
    </row>
    <row r="985" spans="2:7" x14ac:dyDescent="0.25">
      <c r="B985" s="24"/>
      <c r="C985" s="24"/>
      <c r="D985" s="26"/>
      <c r="E985" s="24"/>
      <c r="F985" s="145"/>
      <c r="G985" s="36"/>
    </row>
    <row r="986" spans="2:7" x14ac:dyDescent="0.25">
      <c r="B986" s="24"/>
      <c r="C986" s="24"/>
      <c r="D986" s="26"/>
      <c r="E986" s="24"/>
      <c r="F986" s="145"/>
      <c r="G986" s="36"/>
    </row>
    <row r="987" spans="2:7" x14ac:dyDescent="0.25">
      <c r="B987" s="24"/>
      <c r="C987" s="24"/>
      <c r="D987" s="26"/>
      <c r="E987" s="24"/>
      <c r="F987" s="145"/>
      <c r="G987" s="36"/>
    </row>
    <row r="988" spans="2:7" x14ac:dyDescent="0.25">
      <c r="B988" s="24"/>
      <c r="C988" s="24"/>
      <c r="D988" s="26"/>
      <c r="E988" s="24"/>
      <c r="F988" s="145"/>
      <c r="G988" s="36"/>
    </row>
    <row r="989" spans="2:7" x14ac:dyDescent="0.25">
      <c r="B989" s="24"/>
      <c r="C989" s="24"/>
      <c r="D989" s="26"/>
      <c r="E989" s="24"/>
      <c r="F989" s="145"/>
      <c r="G989" s="36"/>
    </row>
    <row r="990" spans="2:7" x14ac:dyDescent="0.25">
      <c r="B990" s="24"/>
      <c r="C990" s="24"/>
      <c r="D990" s="26"/>
      <c r="E990" s="24"/>
      <c r="F990" s="145"/>
      <c r="G990" s="36"/>
    </row>
    <row r="991" spans="2:7" x14ac:dyDescent="0.25">
      <c r="B991" s="24"/>
      <c r="C991" s="24"/>
      <c r="D991" s="26"/>
      <c r="E991" s="24"/>
      <c r="F991" s="145"/>
      <c r="G991" s="36"/>
    </row>
    <row r="992" spans="2:7" x14ac:dyDescent="0.25">
      <c r="B992" s="24"/>
      <c r="C992" s="24"/>
      <c r="D992" s="26"/>
      <c r="E992" s="24"/>
      <c r="F992" s="145"/>
      <c r="G992" s="36"/>
    </row>
    <row r="993" spans="2:7" x14ac:dyDescent="0.25">
      <c r="B993" s="24"/>
      <c r="C993" s="24"/>
      <c r="D993" s="26"/>
      <c r="E993" s="24"/>
      <c r="F993" s="145"/>
      <c r="G993" s="36"/>
    </row>
    <row r="994" spans="2:7" x14ac:dyDescent="0.25">
      <c r="B994" s="24"/>
      <c r="C994" s="24"/>
      <c r="D994" s="26"/>
      <c r="E994" s="24"/>
      <c r="F994" s="145"/>
      <c r="G994" s="36"/>
    </row>
    <row r="995" spans="2:7" x14ac:dyDescent="0.25">
      <c r="B995" s="24"/>
      <c r="C995" s="24"/>
      <c r="D995" s="26"/>
      <c r="E995" s="24"/>
      <c r="F995" s="145"/>
      <c r="G995" s="36"/>
    </row>
    <row r="996" spans="2:7" x14ac:dyDescent="0.25">
      <c r="B996" s="24"/>
      <c r="C996" s="24"/>
      <c r="D996" s="26"/>
      <c r="E996" s="24"/>
      <c r="F996" s="145"/>
      <c r="G996" s="36"/>
    </row>
    <row r="997" spans="2:7" x14ac:dyDescent="0.25">
      <c r="B997" s="24"/>
      <c r="C997" s="24"/>
      <c r="D997" s="26"/>
      <c r="E997" s="24"/>
      <c r="F997" s="145"/>
      <c r="G997" s="36"/>
    </row>
    <row r="998" spans="2:7" x14ac:dyDescent="0.25">
      <c r="B998" s="24"/>
      <c r="C998" s="24"/>
      <c r="D998" s="26"/>
      <c r="E998" s="24"/>
      <c r="F998" s="145"/>
      <c r="G998" s="36"/>
    </row>
    <row r="999" spans="2:7" x14ac:dyDescent="0.25">
      <c r="B999" s="24"/>
      <c r="C999" s="24"/>
      <c r="D999" s="26"/>
      <c r="E999" s="24"/>
      <c r="F999" s="145"/>
      <c r="G999" s="36"/>
    </row>
    <row r="1000" spans="2:7" x14ac:dyDescent="0.25">
      <c r="B1000" s="24"/>
      <c r="C1000" s="24"/>
      <c r="D1000" s="26"/>
      <c r="E1000" s="24"/>
      <c r="F1000" s="145"/>
      <c r="G1000" s="36"/>
    </row>
    <row r="1001" spans="2:7" x14ac:dyDescent="0.25">
      <c r="B1001" s="24"/>
      <c r="C1001" s="24"/>
      <c r="D1001" s="26"/>
      <c r="E1001" s="24"/>
      <c r="F1001" s="145"/>
      <c r="G1001" s="36"/>
    </row>
    <row r="1002" spans="2:7" x14ac:dyDescent="0.25">
      <c r="B1002" s="24"/>
      <c r="C1002" s="24"/>
      <c r="D1002" s="26"/>
      <c r="E1002" s="24"/>
      <c r="F1002" s="145"/>
      <c r="G1002" s="36"/>
    </row>
    <row r="1003" spans="2:7" x14ac:dyDescent="0.25">
      <c r="B1003" s="24"/>
      <c r="C1003" s="24"/>
      <c r="D1003" s="26"/>
      <c r="E1003" s="24"/>
      <c r="F1003" s="145"/>
      <c r="G1003" s="36"/>
    </row>
    <row r="1004" spans="2:7" x14ac:dyDescent="0.25">
      <c r="B1004" s="24"/>
      <c r="C1004" s="24"/>
      <c r="D1004" s="26"/>
      <c r="E1004" s="24"/>
      <c r="F1004" s="145"/>
      <c r="G1004" s="36"/>
    </row>
    <row r="1005" spans="2:7" x14ac:dyDescent="0.25">
      <c r="B1005" s="24"/>
      <c r="C1005" s="24"/>
      <c r="D1005" s="26"/>
      <c r="E1005" s="24"/>
      <c r="F1005" s="145"/>
      <c r="G1005" s="36"/>
    </row>
    <row r="1006" spans="2:7" x14ac:dyDescent="0.25">
      <c r="B1006" s="24"/>
      <c r="C1006" s="24"/>
      <c r="D1006" s="26"/>
      <c r="E1006" s="24"/>
      <c r="F1006" s="145"/>
      <c r="G1006" s="36"/>
    </row>
    <row r="1007" spans="2:7" x14ac:dyDescent="0.25">
      <c r="B1007" s="24"/>
      <c r="C1007" s="24"/>
      <c r="D1007" s="26"/>
      <c r="E1007" s="24"/>
      <c r="F1007" s="145"/>
      <c r="G1007" s="36"/>
    </row>
    <row r="1008" spans="2:7" x14ac:dyDescent="0.25">
      <c r="B1008" s="24"/>
      <c r="C1008" s="24"/>
      <c r="D1008" s="26"/>
      <c r="E1008" s="24"/>
      <c r="F1008" s="145"/>
      <c r="G1008" s="36"/>
    </row>
    <row r="1009" spans="2:7" x14ac:dyDescent="0.25">
      <c r="B1009" s="24"/>
      <c r="C1009" s="24"/>
      <c r="D1009" s="26"/>
      <c r="E1009" s="24"/>
      <c r="F1009" s="145"/>
      <c r="G1009" s="36"/>
    </row>
    <row r="1010" spans="2:7" x14ac:dyDescent="0.25">
      <c r="B1010" s="24"/>
      <c r="C1010" s="24"/>
      <c r="D1010" s="26"/>
      <c r="E1010" s="24"/>
      <c r="F1010" s="145"/>
      <c r="G1010" s="36"/>
    </row>
    <row r="1011" spans="2:7" x14ac:dyDescent="0.25">
      <c r="B1011" s="24"/>
      <c r="C1011" s="24"/>
      <c r="D1011" s="26"/>
      <c r="E1011" s="24"/>
      <c r="F1011" s="145"/>
      <c r="G1011" s="36"/>
    </row>
    <row r="1012" spans="2:7" x14ac:dyDescent="0.25">
      <c r="B1012" s="24"/>
      <c r="C1012" s="24"/>
      <c r="D1012" s="26"/>
      <c r="E1012" s="24"/>
      <c r="F1012" s="145"/>
      <c r="G1012" s="36"/>
    </row>
    <row r="1013" spans="2:7" x14ac:dyDescent="0.25">
      <c r="B1013" s="24"/>
      <c r="C1013" s="24"/>
      <c r="D1013" s="26"/>
      <c r="E1013" s="24"/>
      <c r="F1013" s="145"/>
      <c r="G1013" s="36"/>
    </row>
    <row r="1014" spans="2:7" x14ac:dyDescent="0.25">
      <c r="B1014" s="24"/>
      <c r="C1014" s="24"/>
      <c r="D1014" s="26"/>
      <c r="E1014" s="24"/>
      <c r="F1014" s="145"/>
      <c r="G1014" s="36"/>
    </row>
    <row r="1015" spans="2:7" x14ac:dyDescent="0.25">
      <c r="B1015" s="24"/>
      <c r="C1015" s="24"/>
      <c r="D1015" s="26"/>
      <c r="E1015" s="24"/>
      <c r="F1015" s="145"/>
      <c r="G1015" s="36"/>
    </row>
    <row r="1016" spans="2:7" x14ac:dyDescent="0.25">
      <c r="B1016" s="24"/>
      <c r="C1016" s="24"/>
      <c r="D1016" s="26"/>
      <c r="E1016" s="24"/>
      <c r="F1016" s="145"/>
      <c r="G1016" s="36"/>
    </row>
    <row r="1017" spans="2:7" x14ac:dyDescent="0.25">
      <c r="B1017" s="24"/>
      <c r="C1017" s="24"/>
      <c r="D1017" s="26"/>
      <c r="E1017" s="24"/>
      <c r="F1017" s="145"/>
      <c r="G1017" s="36"/>
    </row>
    <row r="1018" spans="2:7" x14ac:dyDescent="0.25">
      <c r="B1018" s="24"/>
      <c r="C1018" s="24"/>
      <c r="D1018" s="26"/>
      <c r="E1018" s="24"/>
      <c r="F1018" s="145"/>
      <c r="G1018" s="36"/>
    </row>
    <row r="1019" spans="2:7" x14ac:dyDescent="0.25">
      <c r="B1019" s="24"/>
      <c r="C1019" s="24"/>
      <c r="D1019" s="26"/>
      <c r="E1019" s="24"/>
      <c r="F1019" s="145"/>
      <c r="G1019" s="36"/>
    </row>
    <row r="1020" spans="2:7" x14ac:dyDescent="0.25">
      <c r="B1020" s="24"/>
      <c r="C1020" s="24"/>
      <c r="D1020" s="26"/>
      <c r="E1020" s="24"/>
      <c r="F1020" s="145"/>
      <c r="G1020" s="36"/>
    </row>
    <row r="1021" spans="2:7" x14ac:dyDescent="0.25">
      <c r="B1021" s="24"/>
      <c r="C1021" s="24"/>
      <c r="D1021" s="26"/>
      <c r="E1021" s="24"/>
      <c r="F1021" s="145"/>
      <c r="G1021" s="36"/>
    </row>
    <row r="1022" spans="2:7" x14ac:dyDescent="0.25">
      <c r="B1022" s="24"/>
      <c r="C1022" s="24"/>
      <c r="D1022" s="26"/>
      <c r="E1022" s="24"/>
      <c r="F1022" s="145"/>
      <c r="G1022" s="36"/>
    </row>
    <row r="1023" spans="2:7" x14ac:dyDescent="0.25">
      <c r="B1023" s="24"/>
      <c r="C1023" s="24"/>
      <c r="D1023" s="26"/>
      <c r="E1023" s="24"/>
      <c r="F1023" s="145"/>
      <c r="G1023" s="36"/>
    </row>
    <row r="1024" spans="2:7" x14ac:dyDescent="0.25">
      <c r="B1024" s="24"/>
      <c r="C1024" s="24"/>
      <c r="D1024" s="26"/>
      <c r="E1024" s="24"/>
      <c r="F1024" s="145"/>
      <c r="G1024" s="36"/>
    </row>
    <row r="1025" spans="2:7" x14ac:dyDescent="0.25">
      <c r="B1025" s="24"/>
      <c r="C1025" s="24"/>
      <c r="D1025" s="26"/>
      <c r="E1025" s="24"/>
      <c r="F1025" s="145"/>
      <c r="G1025" s="36"/>
    </row>
    <row r="1026" spans="2:7" x14ac:dyDescent="0.25">
      <c r="B1026" s="24"/>
      <c r="C1026" s="24"/>
      <c r="D1026" s="26"/>
      <c r="E1026" s="24"/>
      <c r="F1026" s="145"/>
      <c r="G1026" s="36"/>
    </row>
    <row r="1027" spans="2:7" x14ac:dyDescent="0.25">
      <c r="B1027" s="24"/>
      <c r="C1027" s="24"/>
      <c r="D1027" s="26"/>
      <c r="E1027" s="24"/>
      <c r="F1027" s="145"/>
      <c r="G1027" s="36"/>
    </row>
    <row r="1028" spans="2:7" x14ac:dyDescent="0.25">
      <c r="B1028" s="24"/>
      <c r="C1028" s="24"/>
      <c r="D1028" s="26"/>
      <c r="E1028" s="24"/>
      <c r="F1028" s="145"/>
      <c r="G1028" s="36"/>
    </row>
    <row r="1029" spans="2:7" x14ac:dyDescent="0.25">
      <c r="B1029" s="24"/>
      <c r="C1029" s="24"/>
      <c r="D1029" s="26"/>
      <c r="E1029" s="24"/>
      <c r="F1029" s="145"/>
      <c r="G1029" s="36"/>
    </row>
    <row r="1030" spans="2:7" x14ac:dyDescent="0.25">
      <c r="B1030" s="24"/>
      <c r="C1030" s="24"/>
      <c r="D1030" s="26"/>
      <c r="E1030" s="24"/>
      <c r="F1030" s="145"/>
      <c r="G1030" s="36"/>
    </row>
    <row r="1031" spans="2:7" x14ac:dyDescent="0.25">
      <c r="B1031" s="24"/>
      <c r="C1031" s="24"/>
      <c r="D1031" s="26"/>
      <c r="E1031" s="24"/>
      <c r="F1031" s="145"/>
      <c r="G1031" s="36"/>
    </row>
    <row r="1032" spans="2:7" x14ac:dyDescent="0.25">
      <c r="B1032" s="24"/>
      <c r="C1032" s="24"/>
      <c r="D1032" s="26"/>
      <c r="E1032" s="24"/>
      <c r="F1032" s="145"/>
      <c r="G1032" s="36"/>
    </row>
    <row r="1033" spans="2:7" x14ac:dyDescent="0.25">
      <c r="B1033" s="24"/>
      <c r="C1033" s="24"/>
      <c r="D1033" s="26"/>
      <c r="E1033" s="24"/>
      <c r="F1033" s="145"/>
      <c r="G1033" s="36"/>
    </row>
    <row r="1034" spans="2:7" x14ac:dyDescent="0.25">
      <c r="B1034" s="24"/>
      <c r="C1034" s="24"/>
      <c r="D1034" s="26"/>
      <c r="E1034" s="24"/>
      <c r="F1034" s="145"/>
      <c r="G1034" s="36"/>
    </row>
    <row r="1035" spans="2:7" x14ac:dyDescent="0.25">
      <c r="B1035" s="24"/>
      <c r="C1035" s="24"/>
      <c r="D1035" s="26"/>
      <c r="E1035" s="24"/>
      <c r="F1035" s="145"/>
      <c r="G1035" s="36"/>
    </row>
    <row r="1036" spans="2:7" x14ac:dyDescent="0.25">
      <c r="B1036" s="24"/>
      <c r="C1036" s="24"/>
      <c r="D1036" s="26"/>
      <c r="E1036" s="24"/>
      <c r="F1036" s="145"/>
      <c r="G1036" s="36"/>
    </row>
    <row r="1037" spans="2:7" x14ac:dyDescent="0.25">
      <c r="B1037" s="24"/>
      <c r="C1037" s="24"/>
      <c r="D1037" s="26"/>
      <c r="E1037" s="24"/>
      <c r="F1037" s="145"/>
      <c r="G1037" s="36"/>
    </row>
    <row r="1038" spans="2:7" x14ac:dyDescent="0.25">
      <c r="B1038" s="24"/>
      <c r="C1038" s="24"/>
      <c r="D1038" s="26"/>
      <c r="E1038" s="24"/>
      <c r="F1038" s="145"/>
      <c r="G1038" s="36"/>
    </row>
    <row r="1039" spans="2:7" x14ac:dyDescent="0.25">
      <c r="B1039" s="24"/>
      <c r="C1039" s="24"/>
      <c r="D1039" s="26"/>
      <c r="E1039" s="24"/>
      <c r="F1039" s="145"/>
      <c r="G1039" s="36"/>
    </row>
    <row r="1040" spans="2:7" x14ac:dyDescent="0.25">
      <c r="B1040" s="24"/>
      <c r="C1040" s="24"/>
      <c r="D1040" s="26"/>
      <c r="E1040" s="24"/>
      <c r="F1040" s="145"/>
      <c r="G1040" s="36"/>
    </row>
    <row r="1041" spans="2:7" x14ac:dyDescent="0.25">
      <c r="B1041" s="24"/>
      <c r="C1041" s="24"/>
      <c r="D1041" s="26"/>
      <c r="E1041" s="24"/>
      <c r="F1041" s="145"/>
      <c r="G1041" s="36"/>
    </row>
    <row r="1042" spans="2:7" x14ac:dyDescent="0.25">
      <c r="B1042" s="24"/>
      <c r="C1042" s="24"/>
      <c r="D1042" s="26"/>
      <c r="E1042" s="24"/>
      <c r="F1042" s="145"/>
      <c r="G1042" s="36"/>
    </row>
    <row r="1043" spans="2:7" x14ac:dyDescent="0.25">
      <c r="B1043" s="24"/>
      <c r="C1043" s="24"/>
      <c r="D1043" s="26"/>
      <c r="E1043" s="24"/>
      <c r="F1043" s="145"/>
      <c r="G1043" s="36"/>
    </row>
    <row r="1044" spans="2:7" x14ac:dyDescent="0.25">
      <c r="B1044" s="24"/>
      <c r="C1044" s="24"/>
      <c r="D1044" s="26"/>
      <c r="E1044" s="24"/>
      <c r="F1044" s="145"/>
      <c r="G1044" s="36"/>
    </row>
    <row r="1045" spans="2:7" x14ac:dyDescent="0.25">
      <c r="B1045" s="24"/>
      <c r="C1045" s="24"/>
      <c r="D1045" s="26"/>
      <c r="E1045" s="24"/>
      <c r="F1045" s="145"/>
      <c r="G1045" s="36"/>
    </row>
    <row r="1046" spans="2:7" x14ac:dyDescent="0.25">
      <c r="B1046" s="24"/>
      <c r="C1046" s="24"/>
      <c r="D1046" s="26"/>
      <c r="E1046" s="24"/>
      <c r="F1046" s="145"/>
      <c r="G1046" s="36"/>
    </row>
    <row r="1047" spans="2:7" x14ac:dyDescent="0.25">
      <c r="B1047" s="24"/>
      <c r="C1047" s="24"/>
      <c r="D1047" s="26"/>
      <c r="E1047" s="24"/>
      <c r="F1047" s="145"/>
      <c r="G1047" s="36"/>
    </row>
    <row r="1048" spans="2:7" x14ac:dyDescent="0.25">
      <c r="B1048" s="24"/>
      <c r="C1048" s="24"/>
      <c r="D1048" s="26"/>
      <c r="E1048" s="24"/>
      <c r="F1048" s="145"/>
      <c r="G1048" s="36"/>
    </row>
    <row r="1049" spans="2:7" x14ac:dyDescent="0.25">
      <c r="B1049" s="24"/>
      <c r="C1049" s="24"/>
      <c r="D1049" s="26"/>
      <c r="E1049" s="24"/>
      <c r="F1049" s="145"/>
      <c r="G1049" s="36"/>
    </row>
    <row r="1050" spans="2:7" x14ac:dyDescent="0.25">
      <c r="B1050" s="24"/>
      <c r="C1050" s="24"/>
      <c r="D1050" s="26"/>
      <c r="E1050" s="24"/>
      <c r="F1050" s="145"/>
      <c r="G1050" s="36"/>
    </row>
    <row r="1051" spans="2:7" x14ac:dyDescent="0.25">
      <c r="B1051" s="24"/>
      <c r="C1051" s="24"/>
      <c r="D1051" s="26"/>
      <c r="E1051" s="24"/>
      <c r="F1051" s="145"/>
      <c r="G1051" s="36"/>
    </row>
    <row r="1052" spans="2:7" x14ac:dyDescent="0.25">
      <c r="B1052" s="24"/>
      <c r="C1052" s="24"/>
      <c r="D1052" s="26"/>
      <c r="E1052" s="24"/>
      <c r="F1052" s="145"/>
      <c r="G1052" s="36"/>
    </row>
    <row r="1053" spans="2:7" x14ac:dyDescent="0.25">
      <c r="B1053" s="24"/>
      <c r="C1053" s="24"/>
      <c r="D1053" s="26"/>
      <c r="E1053" s="24"/>
      <c r="F1053" s="145"/>
      <c r="G1053" s="36"/>
    </row>
    <row r="1054" spans="2:7" x14ac:dyDescent="0.25">
      <c r="B1054" s="24"/>
      <c r="C1054" s="24"/>
      <c r="D1054" s="26"/>
      <c r="E1054" s="24"/>
      <c r="F1054" s="145"/>
      <c r="G1054" s="36"/>
    </row>
    <row r="1055" spans="2:7" x14ac:dyDescent="0.25">
      <c r="B1055" s="24"/>
      <c r="C1055" s="24"/>
      <c r="D1055" s="26"/>
      <c r="E1055" s="24"/>
      <c r="F1055" s="145"/>
      <c r="G1055" s="36"/>
    </row>
    <row r="1056" spans="2:7" x14ac:dyDescent="0.25">
      <c r="B1056" s="24"/>
      <c r="C1056" s="24"/>
      <c r="D1056" s="26"/>
      <c r="E1056" s="24"/>
      <c r="F1056" s="145"/>
      <c r="G1056" s="36"/>
    </row>
    <row r="1057" spans="2:7" x14ac:dyDescent="0.25">
      <c r="B1057" s="24"/>
      <c r="C1057" s="24"/>
      <c r="D1057" s="26"/>
      <c r="E1057" s="24"/>
      <c r="F1057" s="145"/>
      <c r="G1057" s="36"/>
    </row>
    <row r="1058" spans="2:7" x14ac:dyDescent="0.25">
      <c r="B1058" s="24"/>
      <c r="C1058" s="24"/>
      <c r="D1058" s="26"/>
      <c r="E1058" s="24"/>
      <c r="F1058" s="145"/>
      <c r="G1058" s="36"/>
    </row>
    <row r="1059" spans="2:7" x14ac:dyDescent="0.25">
      <c r="B1059" s="24"/>
      <c r="C1059" s="24"/>
      <c r="D1059" s="26"/>
      <c r="E1059" s="24"/>
      <c r="F1059" s="145"/>
      <c r="G1059" s="36"/>
    </row>
    <row r="1060" spans="2:7" x14ac:dyDescent="0.25">
      <c r="B1060" s="24"/>
      <c r="C1060" s="24"/>
      <c r="D1060" s="26"/>
      <c r="E1060" s="24"/>
      <c r="F1060" s="145"/>
      <c r="G1060" s="36"/>
    </row>
    <row r="1061" spans="2:7" x14ac:dyDescent="0.25">
      <c r="B1061" s="24"/>
      <c r="C1061" s="24"/>
      <c r="D1061" s="26"/>
      <c r="E1061" s="24"/>
      <c r="F1061" s="145"/>
      <c r="G1061" s="36"/>
    </row>
    <row r="1062" spans="2:7" x14ac:dyDescent="0.25">
      <c r="B1062" s="24"/>
      <c r="C1062" s="24"/>
      <c r="D1062" s="26"/>
      <c r="E1062" s="24"/>
      <c r="F1062" s="145"/>
      <c r="G1062" s="36"/>
    </row>
    <row r="1063" spans="2:7" x14ac:dyDescent="0.25">
      <c r="B1063" s="24"/>
      <c r="C1063" s="24"/>
      <c r="D1063" s="26"/>
      <c r="E1063" s="24"/>
      <c r="F1063" s="145"/>
      <c r="G1063" s="36"/>
    </row>
    <row r="1064" spans="2:7" x14ac:dyDescent="0.25">
      <c r="B1064" s="24"/>
      <c r="C1064" s="24"/>
      <c r="D1064" s="26"/>
      <c r="E1064" s="24"/>
      <c r="F1064" s="145"/>
      <c r="G1064" s="36"/>
    </row>
    <row r="1065" spans="2:7" x14ac:dyDescent="0.25">
      <c r="B1065" s="24"/>
      <c r="C1065" s="24"/>
      <c r="D1065" s="26"/>
      <c r="E1065" s="24"/>
      <c r="F1065" s="145"/>
      <c r="G1065" s="36"/>
    </row>
    <row r="1066" spans="2:7" x14ac:dyDescent="0.25">
      <c r="B1066" s="24"/>
      <c r="C1066" s="24"/>
      <c r="D1066" s="26"/>
      <c r="E1066" s="24"/>
      <c r="F1066" s="145"/>
      <c r="G1066" s="36"/>
    </row>
    <row r="1067" spans="2:7" x14ac:dyDescent="0.25">
      <c r="B1067" s="24"/>
      <c r="C1067" s="24"/>
      <c r="D1067" s="26"/>
      <c r="E1067" s="24"/>
      <c r="F1067" s="145"/>
      <c r="G1067" s="36"/>
    </row>
    <row r="1068" spans="2:7" x14ac:dyDescent="0.25">
      <c r="B1068" s="24"/>
      <c r="C1068" s="24"/>
      <c r="D1068" s="26"/>
      <c r="E1068" s="24"/>
      <c r="F1068" s="145"/>
      <c r="G1068" s="36"/>
    </row>
    <row r="1069" spans="2:7" x14ac:dyDescent="0.25">
      <c r="B1069" s="24"/>
      <c r="C1069" s="24"/>
      <c r="D1069" s="26"/>
      <c r="E1069" s="24"/>
      <c r="F1069" s="145"/>
      <c r="G1069" s="36"/>
    </row>
    <row r="1070" spans="2:7" x14ac:dyDescent="0.25">
      <c r="B1070" s="24"/>
      <c r="C1070" s="24"/>
      <c r="D1070" s="26"/>
      <c r="E1070" s="24"/>
      <c r="F1070" s="145"/>
      <c r="G1070" s="36"/>
    </row>
    <row r="1071" spans="2:7" x14ac:dyDescent="0.25">
      <c r="B1071" s="24"/>
      <c r="C1071" s="24"/>
      <c r="D1071" s="26"/>
      <c r="E1071" s="24"/>
      <c r="F1071" s="145"/>
      <c r="G1071" s="36"/>
    </row>
    <row r="1072" spans="2:7" x14ac:dyDescent="0.25">
      <c r="B1072" s="24"/>
      <c r="C1072" s="24"/>
      <c r="D1072" s="26"/>
      <c r="E1072" s="24"/>
      <c r="F1072" s="145"/>
      <c r="G1072" s="36"/>
    </row>
    <row r="1073" spans="2:7" x14ac:dyDescent="0.25">
      <c r="B1073" s="24"/>
      <c r="C1073" s="24"/>
      <c r="D1073" s="26"/>
      <c r="E1073" s="24"/>
      <c r="F1073" s="145"/>
      <c r="G1073" s="36"/>
    </row>
    <row r="1074" spans="2:7" x14ac:dyDescent="0.25">
      <c r="B1074" s="24"/>
      <c r="C1074" s="24"/>
      <c r="D1074" s="26"/>
      <c r="E1074" s="24"/>
      <c r="F1074" s="145"/>
      <c r="G1074" s="36"/>
    </row>
    <row r="1075" spans="2:7" x14ac:dyDescent="0.25">
      <c r="B1075" s="24"/>
      <c r="C1075" s="24"/>
      <c r="D1075" s="26"/>
      <c r="E1075" s="24"/>
      <c r="F1075" s="145"/>
      <c r="G1075" s="36"/>
    </row>
    <row r="1076" spans="2:7" x14ac:dyDescent="0.25">
      <c r="B1076" s="24"/>
      <c r="C1076" s="24"/>
      <c r="D1076" s="26"/>
      <c r="E1076" s="24"/>
      <c r="F1076" s="145"/>
      <c r="G1076" s="36"/>
    </row>
    <row r="1077" spans="2:7" x14ac:dyDescent="0.25">
      <c r="B1077" s="24"/>
      <c r="C1077" s="24"/>
      <c r="D1077" s="26"/>
      <c r="E1077" s="24"/>
      <c r="F1077" s="145"/>
      <c r="G1077" s="36"/>
    </row>
    <row r="1078" spans="2:7" x14ac:dyDescent="0.25">
      <c r="B1078" s="24"/>
      <c r="C1078" s="24"/>
      <c r="D1078" s="26"/>
      <c r="E1078" s="24"/>
      <c r="F1078" s="145"/>
      <c r="G1078" s="36"/>
    </row>
    <row r="1079" spans="2:7" x14ac:dyDescent="0.25">
      <c r="B1079" s="24"/>
      <c r="C1079" s="24"/>
      <c r="D1079" s="26"/>
      <c r="E1079" s="24"/>
      <c r="F1079" s="145"/>
      <c r="G1079" s="36"/>
    </row>
    <row r="1080" spans="2:7" x14ac:dyDescent="0.25">
      <c r="B1080" s="24"/>
      <c r="C1080" s="24"/>
      <c r="D1080" s="26"/>
      <c r="E1080" s="24"/>
      <c r="F1080" s="145"/>
      <c r="G1080" s="36"/>
    </row>
    <row r="1081" spans="2:7" x14ac:dyDescent="0.25">
      <c r="B1081" s="24"/>
      <c r="C1081" s="24"/>
      <c r="D1081" s="26"/>
      <c r="E1081" s="24"/>
      <c r="F1081" s="145"/>
      <c r="G1081" s="36"/>
    </row>
    <row r="1082" spans="2:7" x14ac:dyDescent="0.25">
      <c r="B1082" s="24"/>
      <c r="C1082" s="24"/>
      <c r="D1082" s="26"/>
      <c r="E1082" s="24"/>
      <c r="F1082" s="145"/>
      <c r="G1082" s="36"/>
    </row>
    <row r="1083" spans="2:7" x14ac:dyDescent="0.25">
      <c r="B1083" s="24"/>
      <c r="C1083" s="24"/>
      <c r="D1083" s="26"/>
      <c r="E1083" s="24"/>
      <c r="F1083" s="145"/>
      <c r="G1083" s="36"/>
    </row>
    <row r="1084" spans="2:7" x14ac:dyDescent="0.25">
      <c r="B1084" s="24"/>
      <c r="C1084" s="24"/>
      <c r="D1084" s="26"/>
      <c r="E1084" s="24"/>
      <c r="F1084" s="145"/>
      <c r="G1084" s="36"/>
    </row>
    <row r="1085" spans="2:7" x14ac:dyDescent="0.25">
      <c r="B1085" s="24"/>
      <c r="C1085" s="24"/>
      <c r="D1085" s="26"/>
      <c r="E1085" s="24"/>
      <c r="F1085" s="145"/>
      <c r="G1085" s="36"/>
    </row>
    <row r="1086" spans="2:7" x14ac:dyDescent="0.25">
      <c r="B1086" s="24"/>
      <c r="C1086" s="24"/>
      <c r="D1086" s="26"/>
      <c r="E1086" s="24"/>
      <c r="F1086" s="145"/>
      <c r="G1086" s="36"/>
    </row>
    <row r="1087" spans="2:7" x14ac:dyDescent="0.25">
      <c r="B1087" s="24"/>
      <c r="C1087" s="24"/>
      <c r="D1087" s="26"/>
      <c r="E1087" s="24"/>
      <c r="F1087" s="145"/>
      <c r="G1087" s="36"/>
    </row>
    <row r="1088" spans="2:7" x14ac:dyDescent="0.25">
      <c r="B1088" s="24"/>
      <c r="C1088" s="24"/>
      <c r="D1088" s="26"/>
      <c r="E1088" s="24"/>
      <c r="F1088" s="145"/>
      <c r="G1088" s="36"/>
    </row>
    <row r="1089" spans="2:7" x14ac:dyDescent="0.25">
      <c r="B1089" s="24"/>
      <c r="C1089" s="24"/>
      <c r="D1089" s="26"/>
      <c r="E1089" s="24"/>
      <c r="F1089" s="145"/>
      <c r="G1089" s="36"/>
    </row>
    <row r="1090" spans="2:7" x14ac:dyDescent="0.25">
      <c r="B1090" s="24"/>
      <c r="C1090" s="24"/>
      <c r="D1090" s="26"/>
      <c r="E1090" s="24"/>
      <c r="F1090" s="145"/>
      <c r="G1090" s="36"/>
    </row>
    <row r="1091" spans="2:7" x14ac:dyDescent="0.25">
      <c r="B1091" s="24"/>
      <c r="C1091" s="24"/>
      <c r="D1091" s="26"/>
      <c r="E1091" s="24"/>
      <c r="F1091" s="145"/>
      <c r="G1091" s="36"/>
    </row>
    <row r="1092" spans="2:7" x14ac:dyDescent="0.25">
      <c r="B1092" s="24"/>
      <c r="C1092" s="24"/>
      <c r="D1092" s="26"/>
      <c r="E1092" s="24"/>
      <c r="F1092" s="145"/>
      <c r="G1092" s="36"/>
    </row>
    <row r="1093" spans="2:7" x14ac:dyDescent="0.25">
      <c r="B1093" s="24"/>
      <c r="C1093" s="24"/>
      <c r="D1093" s="26"/>
      <c r="E1093" s="24"/>
      <c r="F1093" s="145"/>
      <c r="G1093" s="36"/>
    </row>
    <row r="1094" spans="2:7" x14ac:dyDescent="0.25">
      <c r="B1094" s="24"/>
      <c r="C1094" s="24"/>
      <c r="D1094" s="26"/>
      <c r="E1094" s="24"/>
      <c r="F1094" s="145"/>
      <c r="G1094" s="36"/>
    </row>
    <row r="1095" spans="2:7" x14ac:dyDescent="0.25">
      <c r="B1095" s="24"/>
      <c r="C1095" s="24"/>
      <c r="D1095" s="26"/>
      <c r="E1095" s="24"/>
      <c r="F1095" s="145"/>
      <c r="G1095" s="36"/>
    </row>
    <row r="1096" spans="2:7" x14ac:dyDescent="0.25">
      <c r="B1096" s="24"/>
      <c r="C1096" s="24"/>
      <c r="D1096" s="26"/>
      <c r="E1096" s="24"/>
      <c r="F1096" s="145"/>
      <c r="G1096" s="36"/>
    </row>
    <row r="1097" spans="2:7" x14ac:dyDescent="0.25">
      <c r="B1097" s="24"/>
      <c r="C1097" s="24"/>
      <c r="D1097" s="26"/>
      <c r="E1097" s="24"/>
      <c r="F1097" s="145"/>
      <c r="G1097" s="36"/>
    </row>
    <row r="1098" spans="2:7" x14ac:dyDescent="0.25">
      <c r="B1098" s="24"/>
      <c r="C1098" s="24"/>
      <c r="D1098" s="26"/>
      <c r="E1098" s="24"/>
      <c r="F1098" s="145"/>
      <c r="G1098" s="36"/>
    </row>
    <row r="1099" spans="2:7" x14ac:dyDescent="0.25">
      <c r="B1099" s="24"/>
      <c r="C1099" s="24"/>
      <c r="D1099" s="26"/>
      <c r="E1099" s="24"/>
      <c r="F1099" s="145"/>
      <c r="G1099" s="36"/>
    </row>
    <row r="1100" spans="2:7" x14ac:dyDescent="0.25">
      <c r="B1100" s="24"/>
      <c r="C1100" s="24"/>
      <c r="D1100" s="26"/>
      <c r="E1100" s="24"/>
      <c r="F1100" s="145"/>
      <c r="G1100" s="36"/>
    </row>
    <row r="1101" spans="2:7" x14ac:dyDescent="0.25">
      <c r="B1101" s="24"/>
      <c r="C1101" s="24"/>
      <c r="D1101" s="26"/>
      <c r="E1101" s="24"/>
      <c r="F1101" s="145"/>
      <c r="G1101" s="36"/>
    </row>
    <row r="1102" spans="2:7" x14ac:dyDescent="0.25">
      <c r="B1102" s="24"/>
      <c r="C1102" s="24"/>
      <c r="D1102" s="26"/>
      <c r="E1102" s="24"/>
      <c r="F1102" s="145"/>
      <c r="G1102" s="36"/>
    </row>
    <row r="1103" spans="2:7" x14ac:dyDescent="0.25">
      <c r="B1103" s="24"/>
      <c r="C1103" s="24"/>
      <c r="D1103" s="26"/>
      <c r="E1103" s="24"/>
      <c r="F1103" s="145"/>
      <c r="G1103" s="36"/>
    </row>
    <row r="1104" spans="2:7" x14ac:dyDescent="0.25">
      <c r="B1104" s="24"/>
      <c r="C1104" s="24"/>
      <c r="D1104" s="26"/>
      <c r="E1104" s="24"/>
      <c r="F1104" s="145"/>
      <c r="G1104" s="36"/>
    </row>
    <row r="1105" spans="2:7" x14ac:dyDescent="0.25">
      <c r="B1105" s="24"/>
      <c r="C1105" s="24"/>
      <c r="D1105" s="26"/>
      <c r="E1105" s="24"/>
      <c r="F1105" s="145"/>
      <c r="G1105" s="36"/>
    </row>
    <row r="1106" spans="2:7" x14ac:dyDescent="0.25">
      <c r="B1106" s="24"/>
      <c r="C1106" s="24"/>
      <c r="D1106" s="26"/>
      <c r="E1106" s="24"/>
      <c r="F1106" s="145"/>
      <c r="G1106" s="36"/>
    </row>
    <row r="1107" spans="2:7" x14ac:dyDescent="0.25">
      <c r="B1107" s="24"/>
      <c r="C1107" s="24"/>
      <c r="D1107" s="26"/>
      <c r="E1107" s="24"/>
      <c r="F1107" s="145"/>
      <c r="G1107" s="36"/>
    </row>
    <row r="1108" spans="2:7" x14ac:dyDescent="0.25">
      <c r="B1108" s="24"/>
      <c r="C1108" s="24"/>
      <c r="D1108" s="26"/>
      <c r="E1108" s="24"/>
      <c r="F1108" s="145"/>
      <c r="G1108" s="36"/>
    </row>
    <row r="1109" spans="2:7" x14ac:dyDescent="0.25">
      <c r="B1109" s="24"/>
      <c r="C1109" s="24"/>
      <c r="D1109" s="26"/>
      <c r="E1109" s="24"/>
      <c r="F1109" s="145"/>
      <c r="G1109" s="36"/>
    </row>
    <row r="1110" spans="2:7" x14ac:dyDescent="0.25">
      <c r="B1110" s="24"/>
      <c r="C1110" s="24"/>
      <c r="D1110" s="26"/>
      <c r="E1110" s="24"/>
      <c r="F1110" s="145"/>
      <c r="G1110" s="36"/>
    </row>
    <row r="1111" spans="2:7" x14ac:dyDescent="0.25">
      <c r="B1111" s="24"/>
      <c r="C1111" s="24"/>
      <c r="D1111" s="26"/>
      <c r="E1111" s="24"/>
      <c r="F1111" s="145"/>
      <c r="G1111" s="36"/>
    </row>
    <row r="1112" spans="2:7" x14ac:dyDescent="0.25">
      <c r="B1112" s="24"/>
      <c r="C1112" s="24"/>
      <c r="D1112" s="26"/>
      <c r="E1112" s="24"/>
      <c r="F1112" s="145"/>
      <c r="G1112" s="36"/>
    </row>
    <row r="1113" spans="2:7" x14ac:dyDescent="0.25">
      <c r="B1113" s="24"/>
      <c r="C1113" s="24"/>
      <c r="D1113" s="26"/>
      <c r="E1113" s="24"/>
      <c r="F1113" s="145"/>
      <c r="G1113" s="36"/>
    </row>
    <row r="1114" spans="2:7" x14ac:dyDescent="0.25">
      <c r="B1114" s="24"/>
      <c r="C1114" s="24"/>
      <c r="D1114" s="26"/>
      <c r="E1114" s="24"/>
      <c r="F1114" s="145"/>
      <c r="G1114" s="36"/>
    </row>
    <row r="1115" spans="2:7" x14ac:dyDescent="0.25">
      <c r="B1115" s="24"/>
      <c r="C1115" s="24"/>
      <c r="D1115" s="26"/>
      <c r="E1115" s="24"/>
      <c r="F1115" s="145"/>
      <c r="G1115" s="36"/>
    </row>
    <row r="1116" spans="2:7" x14ac:dyDescent="0.25">
      <c r="B1116" s="24"/>
      <c r="C1116" s="24"/>
      <c r="D1116" s="26"/>
      <c r="E1116" s="24"/>
      <c r="F1116" s="145"/>
      <c r="G1116" s="36"/>
    </row>
    <row r="1117" spans="2:7" x14ac:dyDescent="0.25">
      <c r="B1117" s="24"/>
      <c r="C1117" s="24"/>
      <c r="D1117" s="26"/>
      <c r="E1117" s="24"/>
      <c r="F1117" s="145"/>
      <c r="G1117" s="36"/>
    </row>
    <row r="1118" spans="2:7" x14ac:dyDescent="0.25">
      <c r="B1118" s="24"/>
      <c r="C1118" s="24"/>
      <c r="D1118" s="26"/>
      <c r="E1118" s="24"/>
      <c r="F1118" s="145"/>
      <c r="G1118" s="36"/>
    </row>
    <row r="1119" spans="2:7" x14ac:dyDescent="0.25">
      <c r="B1119" s="24"/>
      <c r="C1119" s="24"/>
      <c r="D1119" s="26"/>
      <c r="E1119" s="24"/>
      <c r="F1119" s="145"/>
      <c r="G1119" s="36"/>
    </row>
    <row r="1120" spans="2:7" x14ac:dyDescent="0.25">
      <c r="B1120" s="24"/>
      <c r="C1120" s="24"/>
      <c r="D1120" s="26"/>
      <c r="E1120" s="24"/>
      <c r="F1120" s="145"/>
      <c r="G1120" s="36"/>
    </row>
    <row r="1121" spans="2:7" x14ac:dyDescent="0.25">
      <c r="B1121" s="24"/>
      <c r="C1121" s="24"/>
      <c r="D1121" s="26"/>
      <c r="E1121" s="24"/>
      <c r="F1121" s="145"/>
      <c r="G1121" s="36"/>
    </row>
    <row r="1122" spans="2:7" x14ac:dyDescent="0.25">
      <c r="B1122" s="24"/>
      <c r="C1122" s="24"/>
      <c r="D1122" s="26"/>
      <c r="E1122" s="24"/>
      <c r="F1122" s="145"/>
      <c r="G1122" s="36"/>
    </row>
    <row r="1123" spans="2:7" x14ac:dyDescent="0.25">
      <c r="B1123" s="24"/>
      <c r="C1123" s="24"/>
      <c r="D1123" s="26"/>
      <c r="E1123" s="24"/>
      <c r="F1123" s="145"/>
      <c r="G1123" s="36"/>
    </row>
    <row r="1124" spans="2:7" x14ac:dyDescent="0.25">
      <c r="B1124" s="24"/>
      <c r="C1124" s="24"/>
      <c r="D1124" s="26"/>
      <c r="E1124" s="24"/>
      <c r="F1124" s="145"/>
      <c r="G1124" s="36"/>
    </row>
    <row r="1125" spans="2:7" x14ac:dyDescent="0.25">
      <c r="B1125" s="24"/>
      <c r="C1125" s="24"/>
      <c r="D1125" s="26"/>
      <c r="E1125" s="24"/>
      <c r="F1125" s="145"/>
      <c r="G1125" s="36"/>
    </row>
    <row r="1126" spans="2:7" x14ac:dyDescent="0.25">
      <c r="B1126" s="24"/>
      <c r="C1126" s="24"/>
      <c r="D1126" s="26"/>
      <c r="E1126" s="24"/>
      <c r="F1126" s="145"/>
      <c r="G1126" s="36"/>
    </row>
    <row r="1127" spans="2:7" x14ac:dyDescent="0.25">
      <c r="B1127" s="24"/>
      <c r="C1127" s="24"/>
      <c r="D1127" s="26"/>
      <c r="E1127" s="24"/>
      <c r="F1127" s="145"/>
      <c r="G1127" s="36"/>
    </row>
    <row r="1128" spans="2:7" x14ac:dyDescent="0.25">
      <c r="B1128" s="24"/>
      <c r="C1128" s="24"/>
      <c r="D1128" s="26"/>
      <c r="E1128" s="24"/>
      <c r="F1128" s="145"/>
      <c r="G1128" s="36"/>
    </row>
    <row r="1129" spans="2:7" x14ac:dyDescent="0.25">
      <c r="B1129" s="24"/>
      <c r="C1129" s="24"/>
      <c r="D1129" s="26"/>
      <c r="E1129" s="24"/>
      <c r="F1129" s="145"/>
      <c r="G1129" s="36"/>
    </row>
    <row r="1130" spans="2:7" x14ac:dyDescent="0.25">
      <c r="B1130" s="24"/>
      <c r="C1130" s="24"/>
      <c r="D1130" s="26"/>
      <c r="E1130" s="24"/>
      <c r="F1130" s="145"/>
      <c r="G1130" s="36"/>
    </row>
    <row r="1131" spans="2:7" x14ac:dyDescent="0.25">
      <c r="B1131" s="24"/>
      <c r="C1131" s="24"/>
      <c r="D1131" s="26"/>
      <c r="E1131" s="24"/>
      <c r="F1131" s="145"/>
      <c r="G1131" s="36"/>
    </row>
    <row r="1132" spans="2:7" x14ac:dyDescent="0.25">
      <c r="B1132" s="24"/>
      <c r="C1132" s="24"/>
      <c r="D1132" s="26"/>
      <c r="E1132" s="24"/>
      <c r="F1132" s="145"/>
      <c r="G1132" s="36"/>
    </row>
    <row r="1133" spans="2:7" x14ac:dyDescent="0.25">
      <c r="B1133" s="24"/>
      <c r="C1133" s="24"/>
      <c r="D1133" s="26"/>
      <c r="E1133" s="24"/>
      <c r="F1133" s="145"/>
      <c r="G1133" s="36"/>
    </row>
    <row r="1134" spans="2:7" x14ac:dyDescent="0.25">
      <c r="B1134" s="24"/>
      <c r="C1134" s="24"/>
      <c r="D1134" s="26"/>
      <c r="E1134" s="24"/>
      <c r="F1134" s="145"/>
      <c r="G1134" s="36"/>
    </row>
    <row r="1135" spans="2:7" x14ac:dyDescent="0.25">
      <c r="B1135" s="24"/>
      <c r="C1135" s="24"/>
      <c r="D1135" s="26"/>
      <c r="E1135" s="24"/>
      <c r="F1135" s="145"/>
      <c r="G1135" s="36"/>
    </row>
    <row r="1136" spans="2:7" x14ac:dyDescent="0.25">
      <c r="B1136" s="24"/>
      <c r="C1136" s="24"/>
      <c r="D1136" s="26"/>
      <c r="E1136" s="24"/>
      <c r="F1136" s="145"/>
      <c r="G1136" s="36"/>
    </row>
    <row r="1137" spans="2:7" x14ac:dyDescent="0.25">
      <c r="B1137" s="24"/>
      <c r="C1137" s="24"/>
      <c r="D1137" s="26"/>
      <c r="E1137" s="24"/>
      <c r="F1137" s="145"/>
      <c r="G1137" s="36"/>
    </row>
    <row r="1138" spans="2:7" x14ac:dyDescent="0.25">
      <c r="B1138" s="24"/>
      <c r="C1138" s="24"/>
      <c r="D1138" s="26"/>
      <c r="E1138" s="24"/>
      <c r="F1138" s="145"/>
      <c r="G1138" s="36"/>
    </row>
    <row r="1139" spans="2:7" x14ac:dyDescent="0.25">
      <c r="B1139" s="24"/>
      <c r="C1139" s="24"/>
      <c r="D1139" s="26"/>
      <c r="E1139" s="24"/>
      <c r="F1139" s="145"/>
      <c r="G1139" s="36"/>
    </row>
    <row r="1140" spans="2:7" x14ac:dyDescent="0.25">
      <c r="B1140" s="24"/>
      <c r="C1140" s="24"/>
      <c r="D1140" s="26"/>
      <c r="E1140" s="24"/>
      <c r="F1140" s="145"/>
      <c r="G1140" s="36"/>
    </row>
    <row r="1141" spans="2:7" x14ac:dyDescent="0.25">
      <c r="B1141" s="24"/>
      <c r="C1141" s="24"/>
      <c r="D1141" s="26"/>
      <c r="E1141" s="24"/>
      <c r="F1141" s="145"/>
      <c r="G1141" s="36"/>
    </row>
    <row r="1142" spans="2:7" x14ac:dyDescent="0.25">
      <c r="B1142" s="24"/>
      <c r="C1142" s="24"/>
      <c r="D1142" s="26"/>
      <c r="E1142" s="24"/>
      <c r="F1142" s="145"/>
      <c r="G1142" s="36"/>
    </row>
    <row r="1143" spans="2:7" x14ac:dyDescent="0.25">
      <c r="B1143" s="24"/>
      <c r="C1143" s="24"/>
      <c r="D1143" s="26"/>
      <c r="E1143" s="24"/>
      <c r="F1143" s="145"/>
      <c r="G1143" s="36"/>
    </row>
    <row r="1144" spans="2:7" x14ac:dyDescent="0.25">
      <c r="B1144" s="24"/>
      <c r="C1144" s="24"/>
      <c r="D1144" s="26"/>
      <c r="E1144" s="24"/>
      <c r="F1144" s="145"/>
      <c r="G1144" s="36"/>
    </row>
    <row r="1145" spans="2:7" x14ac:dyDescent="0.25">
      <c r="B1145" s="24"/>
      <c r="C1145" s="24"/>
      <c r="D1145" s="26"/>
      <c r="E1145" s="24"/>
      <c r="F1145" s="145"/>
      <c r="G1145" s="36"/>
    </row>
    <row r="1146" spans="2:7" x14ac:dyDescent="0.25">
      <c r="B1146" s="24"/>
      <c r="C1146" s="24"/>
      <c r="D1146" s="26"/>
      <c r="E1146" s="24"/>
      <c r="F1146" s="145"/>
      <c r="G1146" s="36"/>
    </row>
    <row r="1147" spans="2:7" x14ac:dyDescent="0.25">
      <c r="B1147" s="24"/>
      <c r="C1147" s="24"/>
      <c r="D1147" s="26"/>
      <c r="E1147" s="24"/>
      <c r="F1147" s="145"/>
      <c r="G1147" s="36"/>
    </row>
    <row r="1148" spans="2:7" x14ac:dyDescent="0.25">
      <c r="B1148" s="24"/>
      <c r="C1148" s="24"/>
      <c r="D1148" s="26"/>
      <c r="E1148" s="24"/>
      <c r="F1148" s="145"/>
      <c r="G1148" s="36"/>
    </row>
    <row r="1149" spans="2:7" x14ac:dyDescent="0.25">
      <c r="B1149" s="24"/>
      <c r="C1149" s="24"/>
      <c r="D1149" s="26"/>
      <c r="E1149" s="24"/>
      <c r="F1149" s="145"/>
      <c r="G1149" s="36"/>
    </row>
    <row r="1150" spans="2:7" x14ac:dyDescent="0.25">
      <c r="B1150" s="24"/>
      <c r="C1150" s="24"/>
      <c r="D1150" s="26"/>
      <c r="E1150" s="24"/>
      <c r="F1150" s="145"/>
      <c r="G1150" s="36"/>
    </row>
    <row r="1151" spans="2:7" x14ac:dyDescent="0.25">
      <c r="B1151" s="24"/>
      <c r="C1151" s="24"/>
      <c r="D1151" s="26"/>
      <c r="E1151" s="24"/>
      <c r="F1151" s="145"/>
      <c r="G1151" s="36"/>
    </row>
    <row r="1152" spans="2:7" x14ac:dyDescent="0.25">
      <c r="B1152" s="24"/>
      <c r="C1152" s="24"/>
      <c r="D1152" s="26"/>
      <c r="E1152" s="24"/>
      <c r="F1152" s="145"/>
      <c r="G1152" s="36"/>
    </row>
    <row r="1153" spans="2:7" x14ac:dyDescent="0.25">
      <c r="B1153" s="24"/>
      <c r="C1153" s="24"/>
      <c r="D1153" s="26"/>
      <c r="E1153" s="24"/>
      <c r="F1153" s="145"/>
      <c r="G1153" s="36"/>
    </row>
    <row r="1154" spans="2:7" x14ac:dyDescent="0.25">
      <c r="B1154" s="24"/>
      <c r="C1154" s="24"/>
      <c r="D1154" s="26"/>
      <c r="E1154" s="24"/>
      <c r="F1154" s="145"/>
      <c r="G1154" s="36"/>
    </row>
    <row r="1155" spans="2:7" x14ac:dyDescent="0.25">
      <c r="B1155" s="24"/>
      <c r="C1155" s="24"/>
      <c r="D1155" s="26"/>
      <c r="E1155" s="24"/>
      <c r="F1155" s="145"/>
      <c r="G1155" s="36"/>
    </row>
    <row r="1156" spans="2:7" x14ac:dyDescent="0.25">
      <c r="B1156" s="24"/>
      <c r="C1156" s="24"/>
      <c r="D1156" s="26"/>
      <c r="E1156" s="24"/>
      <c r="F1156" s="145"/>
      <c r="G1156" s="36"/>
    </row>
    <row r="1157" spans="2:7" x14ac:dyDescent="0.25">
      <c r="B1157" s="24"/>
      <c r="C1157" s="24"/>
      <c r="D1157" s="26"/>
      <c r="E1157" s="24"/>
      <c r="F1157" s="145"/>
      <c r="G1157" s="36"/>
    </row>
    <row r="1158" spans="2:7" x14ac:dyDescent="0.25">
      <c r="B1158" s="24"/>
      <c r="C1158" s="24"/>
      <c r="D1158" s="26"/>
      <c r="E1158" s="24"/>
      <c r="F1158" s="145"/>
      <c r="G1158" s="36"/>
    </row>
    <row r="1159" spans="2:7" x14ac:dyDescent="0.25">
      <c r="B1159" s="24"/>
      <c r="C1159" s="24"/>
      <c r="D1159" s="26"/>
      <c r="E1159" s="24"/>
      <c r="F1159" s="145"/>
      <c r="G1159" s="36"/>
    </row>
    <row r="1160" spans="2:7" x14ac:dyDescent="0.25">
      <c r="B1160" s="24"/>
      <c r="C1160" s="24"/>
      <c r="D1160" s="26"/>
      <c r="E1160" s="24"/>
      <c r="F1160" s="145"/>
      <c r="G1160" s="36"/>
    </row>
    <row r="1161" spans="2:7" x14ac:dyDescent="0.25">
      <c r="B1161" s="24"/>
      <c r="C1161" s="24"/>
      <c r="D1161" s="26"/>
      <c r="E1161" s="24"/>
      <c r="F1161" s="145"/>
      <c r="G1161" s="36"/>
    </row>
    <row r="1162" spans="2:7" x14ac:dyDescent="0.25">
      <c r="B1162" s="24"/>
      <c r="C1162" s="24"/>
      <c r="D1162" s="26"/>
      <c r="E1162" s="24"/>
      <c r="F1162" s="145"/>
      <c r="G1162" s="36"/>
    </row>
    <row r="1163" spans="2:7" x14ac:dyDescent="0.25">
      <c r="B1163" s="24"/>
      <c r="C1163" s="24"/>
      <c r="D1163" s="26"/>
      <c r="E1163" s="24"/>
      <c r="F1163" s="145"/>
      <c r="G1163" s="36"/>
    </row>
    <row r="1164" spans="2:7" x14ac:dyDescent="0.25">
      <c r="B1164" s="24"/>
      <c r="C1164" s="24"/>
      <c r="D1164" s="26"/>
      <c r="E1164" s="24"/>
      <c r="F1164" s="145"/>
      <c r="G1164" s="36"/>
    </row>
    <row r="1165" spans="2:7" x14ac:dyDescent="0.25">
      <c r="B1165" s="24"/>
      <c r="C1165" s="24"/>
      <c r="D1165" s="26"/>
      <c r="E1165" s="24"/>
      <c r="F1165" s="145"/>
      <c r="G1165" s="36"/>
    </row>
    <row r="1166" spans="2:7" x14ac:dyDescent="0.25">
      <c r="B1166" s="24"/>
      <c r="C1166" s="24"/>
      <c r="D1166" s="26"/>
      <c r="E1166" s="24"/>
      <c r="F1166" s="145"/>
      <c r="G1166" s="36"/>
    </row>
    <row r="1167" spans="2:7" x14ac:dyDescent="0.25">
      <c r="B1167" s="24"/>
      <c r="C1167" s="24"/>
      <c r="D1167" s="26"/>
      <c r="E1167" s="24"/>
      <c r="F1167" s="145"/>
      <c r="G1167" s="36"/>
    </row>
    <row r="1168" spans="2:7" x14ac:dyDescent="0.25">
      <c r="B1168" s="24"/>
      <c r="C1168" s="24"/>
      <c r="D1168" s="26"/>
      <c r="E1168" s="24"/>
      <c r="F1168" s="145"/>
      <c r="G1168" s="36"/>
    </row>
    <row r="1169" spans="2:7" x14ac:dyDescent="0.25">
      <c r="B1169" s="24"/>
      <c r="C1169" s="24"/>
      <c r="D1169" s="26"/>
      <c r="E1169" s="24"/>
      <c r="F1169" s="145"/>
      <c r="G1169" s="36"/>
    </row>
    <row r="1170" spans="2:7" x14ac:dyDescent="0.25">
      <c r="B1170" s="24"/>
      <c r="C1170" s="24"/>
      <c r="D1170" s="26"/>
      <c r="E1170" s="24"/>
      <c r="F1170" s="145"/>
      <c r="G1170" s="36"/>
    </row>
    <row r="1171" spans="2:7" x14ac:dyDescent="0.25">
      <c r="B1171" s="24"/>
      <c r="C1171" s="24"/>
      <c r="D1171" s="26"/>
      <c r="E1171" s="24"/>
      <c r="F1171" s="145"/>
      <c r="G1171" s="36"/>
    </row>
    <row r="1172" spans="2:7" x14ac:dyDescent="0.25">
      <c r="B1172" s="24"/>
      <c r="C1172" s="24"/>
      <c r="D1172" s="26"/>
      <c r="E1172" s="24"/>
      <c r="F1172" s="145"/>
      <c r="G1172" s="36"/>
    </row>
    <row r="1173" spans="2:7" x14ac:dyDescent="0.25">
      <c r="B1173" s="24"/>
      <c r="C1173" s="24"/>
      <c r="D1173" s="26"/>
      <c r="E1173" s="24"/>
      <c r="F1173" s="145"/>
      <c r="G1173" s="36"/>
    </row>
    <row r="1174" spans="2:7" x14ac:dyDescent="0.25">
      <c r="B1174" s="24"/>
      <c r="C1174" s="24"/>
      <c r="D1174" s="26"/>
      <c r="E1174" s="24"/>
      <c r="F1174" s="145"/>
      <c r="G1174" s="36"/>
    </row>
    <row r="1175" spans="2:7" x14ac:dyDescent="0.25">
      <c r="B1175" s="24"/>
      <c r="C1175" s="24"/>
      <c r="D1175" s="26"/>
      <c r="E1175" s="24"/>
      <c r="F1175" s="145"/>
      <c r="G1175" s="36"/>
    </row>
    <row r="1176" spans="2:7" x14ac:dyDescent="0.25">
      <c r="B1176" s="24"/>
      <c r="C1176" s="24"/>
      <c r="D1176" s="26"/>
      <c r="E1176" s="24"/>
      <c r="F1176" s="145"/>
      <c r="G1176" s="36"/>
    </row>
    <row r="1177" spans="2:7" x14ac:dyDescent="0.25">
      <c r="B1177" s="24"/>
      <c r="C1177" s="24"/>
      <c r="D1177" s="26"/>
      <c r="E1177" s="24"/>
      <c r="F1177" s="145"/>
      <c r="G1177" s="36"/>
    </row>
    <row r="1178" spans="2:7" x14ac:dyDescent="0.25">
      <c r="B1178" s="24"/>
      <c r="C1178" s="24"/>
      <c r="D1178" s="26"/>
      <c r="E1178" s="24"/>
      <c r="F1178" s="145"/>
      <c r="G1178" s="36"/>
    </row>
    <row r="1179" spans="2:7" x14ac:dyDescent="0.25">
      <c r="B1179" s="24"/>
      <c r="C1179" s="24"/>
      <c r="D1179" s="26"/>
      <c r="E1179" s="24"/>
      <c r="F1179" s="145"/>
      <c r="G1179" s="36"/>
    </row>
    <row r="1180" spans="2:7" x14ac:dyDescent="0.25">
      <c r="B1180" s="24"/>
      <c r="C1180" s="24"/>
      <c r="D1180" s="26"/>
      <c r="E1180" s="24"/>
      <c r="F1180" s="145"/>
      <c r="G1180" s="36"/>
    </row>
    <row r="1181" spans="2:7" x14ac:dyDescent="0.25">
      <c r="B1181" s="24"/>
      <c r="C1181" s="24"/>
      <c r="D1181" s="26"/>
      <c r="E1181" s="24"/>
      <c r="F1181" s="145"/>
      <c r="G1181" s="36"/>
    </row>
    <row r="1182" spans="2:7" x14ac:dyDescent="0.25">
      <c r="B1182" s="24"/>
      <c r="C1182" s="24"/>
      <c r="D1182" s="26"/>
      <c r="E1182" s="24"/>
      <c r="F1182" s="145"/>
      <c r="G1182" s="36"/>
    </row>
    <row r="1183" spans="2:7" x14ac:dyDescent="0.25">
      <c r="B1183" s="24"/>
      <c r="C1183" s="24"/>
      <c r="D1183" s="26"/>
      <c r="E1183" s="24"/>
      <c r="F1183" s="145"/>
      <c r="G1183" s="36"/>
    </row>
    <row r="1184" spans="2:7" x14ac:dyDescent="0.25">
      <c r="B1184" s="24"/>
      <c r="C1184" s="24"/>
      <c r="D1184" s="26"/>
      <c r="E1184" s="24"/>
      <c r="F1184" s="145"/>
      <c r="G1184" s="36"/>
    </row>
    <row r="1185" spans="2:7" x14ac:dyDescent="0.25">
      <c r="B1185" s="24"/>
      <c r="C1185" s="24"/>
      <c r="D1185" s="26"/>
      <c r="E1185" s="24"/>
      <c r="F1185" s="145"/>
      <c r="G1185" s="36"/>
    </row>
    <row r="1186" spans="2:7" x14ac:dyDescent="0.25">
      <c r="B1186" s="24"/>
      <c r="C1186" s="24"/>
      <c r="D1186" s="26"/>
      <c r="E1186" s="24"/>
      <c r="F1186" s="145"/>
      <c r="G1186" s="36"/>
    </row>
    <row r="1187" spans="2:7" x14ac:dyDescent="0.25">
      <c r="B1187" s="24"/>
      <c r="C1187" s="24"/>
      <c r="D1187" s="26"/>
      <c r="E1187" s="24"/>
      <c r="F1187" s="145"/>
      <c r="G1187" s="36"/>
    </row>
    <row r="1188" spans="2:7" x14ac:dyDescent="0.25">
      <c r="B1188" s="24"/>
      <c r="C1188" s="24"/>
      <c r="D1188" s="26"/>
      <c r="E1188" s="24"/>
      <c r="F1188" s="145"/>
      <c r="G1188" s="36"/>
    </row>
    <row r="1189" spans="2:7" x14ac:dyDescent="0.25">
      <c r="B1189" s="24"/>
      <c r="C1189" s="24"/>
      <c r="D1189" s="26"/>
      <c r="E1189" s="24"/>
      <c r="F1189" s="145"/>
      <c r="G1189" s="36"/>
    </row>
    <row r="1190" spans="2:7" x14ac:dyDescent="0.25">
      <c r="B1190" s="24"/>
      <c r="C1190" s="24"/>
      <c r="D1190" s="26"/>
      <c r="E1190" s="24"/>
      <c r="F1190" s="145"/>
      <c r="G1190" s="36"/>
    </row>
    <row r="1191" spans="2:7" x14ac:dyDescent="0.25">
      <c r="B1191" s="24"/>
      <c r="C1191" s="24"/>
      <c r="D1191" s="26"/>
      <c r="E1191" s="24"/>
      <c r="F1191" s="145"/>
      <c r="G1191" s="36"/>
    </row>
    <row r="1192" spans="2:7" x14ac:dyDescent="0.25">
      <c r="B1192" s="24"/>
      <c r="C1192" s="24"/>
      <c r="D1192" s="26"/>
      <c r="E1192" s="24"/>
      <c r="F1192" s="145"/>
      <c r="G1192" s="36"/>
    </row>
    <row r="1193" spans="2:7" x14ac:dyDescent="0.25">
      <c r="B1193" s="24"/>
      <c r="C1193" s="24"/>
      <c r="D1193" s="26"/>
      <c r="E1193" s="24"/>
      <c r="F1193" s="145"/>
      <c r="G1193" s="36"/>
    </row>
    <row r="1194" spans="2:7" x14ac:dyDescent="0.25">
      <c r="B1194" s="24"/>
      <c r="C1194" s="24"/>
      <c r="D1194" s="26"/>
      <c r="E1194" s="24"/>
      <c r="F1194" s="145"/>
      <c r="G1194" s="36"/>
    </row>
    <row r="1195" spans="2:7" x14ac:dyDescent="0.25">
      <c r="B1195" s="24"/>
      <c r="C1195" s="24"/>
      <c r="D1195" s="26"/>
      <c r="E1195" s="24"/>
      <c r="F1195" s="145"/>
      <c r="G1195" s="36"/>
    </row>
    <row r="1196" spans="2:7" x14ac:dyDescent="0.25">
      <c r="B1196" s="24"/>
      <c r="C1196" s="24"/>
      <c r="D1196" s="26"/>
      <c r="E1196" s="24"/>
      <c r="F1196" s="145"/>
      <c r="G1196" s="36"/>
    </row>
    <row r="1197" spans="2:7" x14ac:dyDescent="0.25">
      <c r="B1197" s="24"/>
      <c r="C1197" s="24"/>
      <c r="D1197" s="26"/>
      <c r="E1197" s="24"/>
      <c r="F1197" s="145"/>
      <c r="G1197" s="36"/>
    </row>
    <row r="1198" spans="2:7" x14ac:dyDescent="0.25">
      <c r="B1198" s="24"/>
      <c r="C1198" s="24"/>
      <c r="D1198" s="26"/>
      <c r="E1198" s="24"/>
      <c r="F1198" s="145"/>
      <c r="G1198" s="36"/>
    </row>
    <row r="1199" spans="2:7" x14ac:dyDescent="0.25">
      <c r="B1199" s="24"/>
      <c r="C1199" s="24"/>
      <c r="D1199" s="26"/>
      <c r="E1199" s="24"/>
      <c r="F1199" s="145"/>
      <c r="G1199" s="36"/>
    </row>
    <row r="1200" spans="2:7" x14ac:dyDescent="0.25">
      <c r="B1200" s="24"/>
      <c r="C1200" s="24"/>
      <c r="D1200" s="26"/>
      <c r="E1200" s="24"/>
      <c r="F1200" s="145"/>
      <c r="G1200" s="36"/>
    </row>
    <row r="1201" spans="2:7" x14ac:dyDescent="0.25">
      <c r="B1201" s="24"/>
      <c r="C1201" s="24"/>
      <c r="D1201" s="26"/>
      <c r="E1201" s="24"/>
      <c r="F1201" s="145"/>
      <c r="G1201" s="36"/>
    </row>
    <row r="1202" spans="2:7" x14ac:dyDescent="0.25">
      <c r="B1202" s="24"/>
      <c r="C1202" s="24"/>
      <c r="D1202" s="26"/>
      <c r="E1202" s="24"/>
      <c r="F1202" s="145"/>
      <c r="G1202" s="36"/>
    </row>
    <row r="1203" spans="2:7" x14ac:dyDescent="0.25">
      <c r="B1203" s="24"/>
      <c r="C1203" s="24"/>
      <c r="D1203" s="26"/>
      <c r="E1203" s="24"/>
      <c r="F1203" s="145"/>
      <c r="G1203" s="36"/>
    </row>
    <row r="1204" spans="2:7" x14ac:dyDescent="0.25">
      <c r="B1204" s="24"/>
      <c r="C1204" s="24"/>
      <c r="D1204" s="26"/>
      <c r="E1204" s="24"/>
      <c r="F1204" s="145"/>
      <c r="G1204" s="36"/>
    </row>
    <row r="1205" spans="2:7" x14ac:dyDescent="0.25">
      <c r="B1205" s="24"/>
      <c r="C1205" s="24"/>
      <c r="D1205" s="26"/>
      <c r="E1205" s="24"/>
      <c r="F1205" s="145"/>
      <c r="G1205" s="36"/>
    </row>
    <row r="1206" spans="2:7" x14ac:dyDescent="0.25">
      <c r="B1206" s="24"/>
      <c r="C1206" s="24"/>
      <c r="D1206" s="26"/>
      <c r="E1206" s="24"/>
      <c r="F1206" s="145"/>
      <c r="G1206" s="36"/>
    </row>
    <row r="1207" spans="2:7" x14ac:dyDescent="0.25">
      <c r="B1207" s="24"/>
      <c r="C1207" s="24"/>
      <c r="D1207" s="26"/>
      <c r="E1207" s="24"/>
      <c r="F1207" s="145"/>
      <c r="G1207" s="36"/>
    </row>
    <row r="1208" spans="2:7" x14ac:dyDescent="0.25">
      <c r="B1208" s="24"/>
      <c r="C1208" s="24"/>
      <c r="D1208" s="26"/>
      <c r="E1208" s="24"/>
      <c r="F1208" s="145"/>
      <c r="G1208" s="36"/>
    </row>
    <row r="1209" spans="2:7" x14ac:dyDescent="0.25">
      <c r="B1209" s="24"/>
      <c r="C1209" s="24"/>
      <c r="D1209" s="26"/>
      <c r="E1209" s="24"/>
      <c r="F1209" s="145"/>
      <c r="G1209" s="36"/>
    </row>
    <row r="1210" spans="2:7" x14ac:dyDescent="0.25">
      <c r="B1210" s="24"/>
      <c r="C1210" s="24"/>
      <c r="D1210" s="26"/>
      <c r="E1210" s="24"/>
      <c r="F1210" s="145"/>
      <c r="G1210" s="36"/>
    </row>
    <row r="1211" spans="2:7" x14ac:dyDescent="0.25">
      <c r="B1211" s="24"/>
      <c r="C1211" s="24"/>
      <c r="D1211" s="26"/>
      <c r="E1211" s="24"/>
      <c r="F1211" s="145"/>
      <c r="G1211" s="36"/>
    </row>
    <row r="1212" spans="2:7" x14ac:dyDescent="0.25">
      <c r="B1212" s="24"/>
      <c r="C1212" s="24"/>
      <c r="D1212" s="26"/>
      <c r="E1212" s="24"/>
      <c r="F1212" s="145"/>
      <c r="G1212" s="36"/>
    </row>
    <row r="1213" spans="2:7" x14ac:dyDescent="0.25">
      <c r="B1213" s="24"/>
      <c r="C1213" s="24"/>
      <c r="D1213" s="26"/>
      <c r="E1213" s="24"/>
      <c r="F1213" s="145"/>
      <c r="G1213" s="36"/>
    </row>
    <row r="1214" spans="2:7" x14ac:dyDescent="0.25">
      <c r="B1214" s="24"/>
      <c r="C1214" s="24"/>
      <c r="D1214" s="26"/>
      <c r="E1214" s="24"/>
      <c r="F1214" s="145"/>
      <c r="G1214" s="36"/>
    </row>
    <row r="1215" spans="2:7" x14ac:dyDescent="0.25">
      <c r="B1215" s="24"/>
      <c r="C1215" s="24"/>
      <c r="D1215" s="26"/>
      <c r="E1215" s="24"/>
      <c r="F1215" s="145"/>
      <c r="G1215" s="36"/>
    </row>
    <row r="1216" spans="2:7" x14ac:dyDescent="0.25">
      <c r="B1216" s="24"/>
      <c r="C1216" s="24"/>
      <c r="D1216" s="26"/>
      <c r="E1216" s="24"/>
      <c r="F1216" s="145"/>
      <c r="G1216" s="36"/>
    </row>
    <row r="1217" spans="2:7" x14ac:dyDescent="0.25">
      <c r="B1217" s="24"/>
      <c r="C1217" s="24"/>
      <c r="D1217" s="26"/>
      <c r="E1217" s="24"/>
      <c r="F1217" s="145"/>
      <c r="G1217" s="36"/>
    </row>
    <row r="1218" spans="2:7" x14ac:dyDescent="0.25">
      <c r="B1218" s="24"/>
      <c r="C1218" s="24"/>
      <c r="D1218" s="26"/>
      <c r="E1218" s="24"/>
      <c r="F1218" s="145"/>
      <c r="G1218" s="36"/>
    </row>
    <row r="1219" spans="2:7" x14ac:dyDescent="0.25">
      <c r="B1219" s="24"/>
      <c r="C1219" s="24"/>
      <c r="D1219" s="26"/>
      <c r="E1219" s="24"/>
      <c r="F1219" s="145"/>
      <c r="G1219" s="36"/>
    </row>
    <row r="1220" spans="2:7" x14ac:dyDescent="0.25">
      <c r="B1220" s="24"/>
      <c r="C1220" s="24"/>
      <c r="D1220" s="26"/>
      <c r="E1220" s="24"/>
      <c r="F1220" s="145"/>
      <c r="G1220" s="36"/>
    </row>
    <row r="1221" spans="2:7" x14ac:dyDescent="0.25">
      <c r="B1221" s="24"/>
      <c r="C1221" s="24"/>
      <c r="D1221" s="26"/>
      <c r="E1221" s="24"/>
      <c r="F1221" s="145"/>
      <c r="G1221" s="36"/>
    </row>
    <row r="1222" spans="2:7" x14ac:dyDescent="0.25">
      <c r="B1222" s="24"/>
      <c r="C1222" s="24"/>
      <c r="D1222" s="26"/>
      <c r="E1222" s="24"/>
      <c r="F1222" s="145"/>
      <c r="G1222" s="36"/>
    </row>
    <row r="1223" spans="2:7" x14ac:dyDescent="0.25">
      <c r="B1223" s="24"/>
      <c r="C1223" s="24"/>
      <c r="D1223" s="26"/>
      <c r="E1223" s="24"/>
      <c r="F1223" s="145"/>
      <c r="G1223" s="36"/>
    </row>
    <row r="1224" spans="2:7" x14ac:dyDescent="0.25">
      <c r="B1224" s="24"/>
      <c r="C1224" s="24"/>
      <c r="D1224" s="26"/>
      <c r="E1224" s="24"/>
      <c r="F1224" s="145"/>
      <c r="G1224" s="36"/>
    </row>
    <row r="1225" spans="2:7" x14ac:dyDescent="0.25">
      <c r="B1225" s="24"/>
      <c r="C1225" s="24"/>
      <c r="D1225" s="26"/>
      <c r="E1225" s="24"/>
      <c r="F1225" s="145"/>
      <c r="G1225" s="36"/>
    </row>
    <row r="1226" spans="2:7" x14ac:dyDescent="0.25">
      <c r="B1226" s="24"/>
      <c r="C1226" s="24"/>
      <c r="D1226" s="26"/>
      <c r="E1226" s="24"/>
      <c r="F1226" s="145"/>
      <c r="G1226" s="36"/>
    </row>
    <row r="1227" spans="2:7" x14ac:dyDescent="0.25">
      <c r="B1227" s="24"/>
      <c r="C1227" s="24"/>
      <c r="D1227" s="26"/>
      <c r="E1227" s="24"/>
      <c r="F1227" s="145"/>
      <c r="G1227" s="36"/>
    </row>
    <row r="1228" spans="2:7" x14ac:dyDescent="0.25">
      <c r="B1228" s="24"/>
      <c r="C1228" s="24"/>
      <c r="D1228" s="26"/>
      <c r="E1228" s="24"/>
      <c r="F1228" s="145"/>
      <c r="G1228" s="36"/>
    </row>
    <row r="1229" spans="2:7" x14ac:dyDescent="0.25">
      <c r="B1229" s="24"/>
      <c r="C1229" s="24"/>
      <c r="D1229" s="26"/>
      <c r="E1229" s="24"/>
      <c r="F1229" s="145"/>
      <c r="G1229" s="36"/>
    </row>
    <row r="1230" spans="2:7" x14ac:dyDescent="0.25">
      <c r="B1230" s="24"/>
      <c r="C1230" s="24"/>
      <c r="D1230" s="26"/>
      <c r="E1230" s="24"/>
      <c r="F1230" s="145"/>
      <c r="G1230" s="36"/>
    </row>
    <row r="1231" spans="2:7" x14ac:dyDescent="0.25">
      <c r="B1231" s="24"/>
      <c r="C1231" s="24"/>
      <c r="D1231" s="26"/>
      <c r="E1231" s="24"/>
      <c r="F1231" s="145"/>
      <c r="G1231" s="36"/>
    </row>
    <row r="1232" spans="2:7" x14ac:dyDescent="0.25">
      <c r="B1232" s="24"/>
      <c r="C1232" s="24"/>
      <c r="D1232" s="26"/>
      <c r="E1232" s="24"/>
      <c r="F1232" s="145"/>
      <c r="G1232" s="36"/>
    </row>
    <row r="1233" spans="2:7" x14ac:dyDescent="0.25">
      <c r="B1233" s="24"/>
      <c r="C1233" s="24"/>
      <c r="D1233" s="26"/>
      <c r="E1233" s="24"/>
      <c r="F1233" s="145"/>
      <c r="G1233" s="36"/>
    </row>
    <row r="1234" spans="2:7" x14ac:dyDescent="0.25">
      <c r="B1234" s="24"/>
      <c r="C1234" s="24"/>
      <c r="D1234" s="26"/>
      <c r="E1234" s="24"/>
      <c r="F1234" s="145"/>
      <c r="G1234" s="36"/>
    </row>
    <row r="1235" spans="2:7" x14ac:dyDescent="0.25">
      <c r="B1235" s="24"/>
      <c r="C1235" s="24"/>
      <c r="D1235" s="26"/>
      <c r="E1235" s="24"/>
      <c r="F1235" s="145"/>
      <c r="G1235" s="36"/>
    </row>
    <row r="1236" spans="2:7" x14ac:dyDescent="0.25">
      <c r="B1236" s="24"/>
      <c r="C1236" s="24"/>
      <c r="D1236" s="26"/>
      <c r="E1236" s="24"/>
      <c r="F1236" s="145"/>
      <c r="G1236" s="36"/>
    </row>
    <row r="1237" spans="2:7" x14ac:dyDescent="0.25">
      <c r="B1237" s="24"/>
      <c r="C1237" s="24"/>
      <c r="D1237" s="26"/>
      <c r="E1237" s="24"/>
      <c r="F1237" s="145"/>
      <c r="G1237" s="36"/>
    </row>
    <row r="1238" spans="2:7" x14ac:dyDescent="0.25">
      <c r="B1238" s="24"/>
      <c r="C1238" s="24"/>
      <c r="D1238" s="26"/>
      <c r="E1238" s="24"/>
      <c r="F1238" s="145"/>
      <c r="G1238" s="36"/>
    </row>
    <row r="1239" spans="2:7" x14ac:dyDescent="0.25">
      <c r="B1239" s="24"/>
      <c r="C1239" s="24"/>
      <c r="D1239" s="26"/>
      <c r="E1239" s="24"/>
      <c r="F1239" s="145"/>
      <c r="G1239" s="36"/>
    </row>
    <row r="1240" spans="2:7" x14ac:dyDescent="0.25">
      <c r="B1240" s="24"/>
      <c r="C1240" s="24"/>
      <c r="D1240" s="26"/>
      <c r="E1240" s="24"/>
      <c r="F1240" s="145"/>
      <c r="G1240" s="36"/>
    </row>
    <row r="1241" spans="2:7" x14ac:dyDescent="0.25">
      <c r="B1241" s="24"/>
      <c r="C1241" s="24"/>
      <c r="D1241" s="26"/>
      <c r="E1241" s="24"/>
      <c r="F1241" s="145"/>
      <c r="G1241" s="36"/>
    </row>
    <row r="1242" spans="2:7" x14ac:dyDescent="0.25">
      <c r="B1242" s="24"/>
      <c r="C1242" s="24"/>
      <c r="D1242" s="26"/>
      <c r="E1242" s="24"/>
      <c r="F1242" s="145"/>
      <c r="G1242" s="36"/>
    </row>
    <row r="1243" spans="2:7" x14ac:dyDescent="0.25">
      <c r="B1243" s="24"/>
      <c r="C1243" s="24"/>
      <c r="D1243" s="26"/>
      <c r="E1243" s="24"/>
      <c r="F1243" s="145"/>
      <c r="G1243" s="36"/>
    </row>
    <row r="1244" spans="2:7" x14ac:dyDescent="0.25">
      <c r="B1244" s="24"/>
      <c r="C1244" s="24"/>
      <c r="D1244" s="26"/>
      <c r="E1244" s="24"/>
      <c r="F1244" s="145"/>
      <c r="G1244" s="36"/>
    </row>
    <row r="1245" spans="2:7" x14ac:dyDescent="0.25">
      <c r="B1245" s="24"/>
      <c r="C1245" s="24"/>
      <c r="D1245" s="26"/>
      <c r="E1245" s="24"/>
      <c r="F1245" s="145"/>
      <c r="G1245" s="36"/>
    </row>
    <row r="1246" spans="2:7" x14ac:dyDescent="0.25">
      <c r="B1246" s="24"/>
      <c r="C1246" s="24"/>
      <c r="D1246" s="26"/>
      <c r="E1246" s="24"/>
      <c r="F1246" s="145"/>
      <c r="G1246" s="36"/>
    </row>
    <row r="1247" spans="2:7" x14ac:dyDescent="0.25">
      <c r="B1247" s="24"/>
      <c r="C1247" s="24"/>
      <c r="D1247" s="26"/>
      <c r="E1247" s="24"/>
      <c r="F1247" s="145"/>
      <c r="G1247" s="36"/>
    </row>
    <row r="1248" spans="2:7" x14ac:dyDescent="0.25">
      <c r="B1248" s="24"/>
      <c r="C1248" s="24"/>
      <c r="D1248" s="26"/>
      <c r="E1248" s="24"/>
      <c r="F1248" s="145"/>
      <c r="G1248" s="36"/>
    </row>
    <row r="1249" spans="2:7" x14ac:dyDescent="0.25">
      <c r="B1249" s="24"/>
      <c r="C1249" s="24"/>
      <c r="D1249" s="26"/>
      <c r="E1249" s="24"/>
      <c r="F1249" s="145"/>
      <c r="G1249" s="36"/>
    </row>
    <row r="1250" spans="2:7" x14ac:dyDescent="0.25">
      <c r="B1250" s="24"/>
      <c r="C1250" s="24"/>
      <c r="D1250" s="26"/>
      <c r="E1250" s="24"/>
      <c r="F1250" s="145"/>
      <c r="G1250" s="36"/>
    </row>
    <row r="1251" spans="2:7" x14ac:dyDescent="0.25">
      <c r="B1251" s="24"/>
      <c r="C1251" s="24"/>
      <c r="D1251" s="26"/>
      <c r="E1251" s="24"/>
      <c r="F1251" s="145"/>
      <c r="G1251" s="36"/>
    </row>
    <row r="1252" spans="2:7" x14ac:dyDescent="0.25">
      <c r="B1252" s="24"/>
      <c r="C1252" s="24"/>
      <c r="D1252" s="26"/>
      <c r="E1252" s="24"/>
      <c r="F1252" s="145"/>
      <c r="G1252" s="36"/>
    </row>
    <row r="1253" spans="2:7" x14ac:dyDescent="0.25">
      <c r="B1253" s="24"/>
      <c r="C1253" s="24"/>
      <c r="D1253" s="26"/>
      <c r="E1253" s="24"/>
      <c r="F1253" s="145"/>
      <c r="G1253" s="36"/>
    </row>
    <row r="1254" spans="2:7" x14ac:dyDescent="0.25">
      <c r="B1254" s="24"/>
      <c r="C1254" s="24"/>
      <c r="D1254" s="26"/>
      <c r="E1254" s="24"/>
      <c r="F1254" s="145"/>
      <c r="G1254" s="36"/>
    </row>
    <row r="1255" spans="2:7" x14ac:dyDescent="0.25">
      <c r="B1255" s="24"/>
      <c r="C1255" s="24"/>
      <c r="D1255" s="26"/>
      <c r="E1255" s="24"/>
      <c r="F1255" s="145"/>
      <c r="G1255" s="36"/>
    </row>
    <row r="1256" spans="2:7" x14ac:dyDescent="0.25">
      <c r="B1256" s="24"/>
      <c r="C1256" s="24"/>
      <c r="D1256" s="26"/>
      <c r="E1256" s="24"/>
      <c r="F1256" s="145"/>
      <c r="G1256" s="36"/>
    </row>
    <row r="1257" spans="2:7" x14ac:dyDescent="0.25">
      <c r="B1257" s="24"/>
      <c r="C1257" s="24"/>
      <c r="D1257" s="26"/>
      <c r="E1257" s="24"/>
      <c r="F1257" s="145"/>
      <c r="G1257" s="36"/>
    </row>
    <row r="1258" spans="2:7" x14ac:dyDescent="0.25">
      <c r="B1258" s="24"/>
      <c r="C1258" s="24"/>
      <c r="D1258" s="26"/>
      <c r="E1258" s="24"/>
      <c r="F1258" s="145"/>
      <c r="G1258" s="36"/>
    </row>
    <row r="1259" spans="2:7" x14ac:dyDescent="0.25">
      <c r="B1259" s="24"/>
      <c r="C1259" s="24"/>
      <c r="D1259" s="26"/>
      <c r="E1259" s="24"/>
      <c r="F1259" s="145"/>
      <c r="G1259" s="36"/>
    </row>
    <row r="1260" spans="2:7" x14ac:dyDescent="0.25">
      <c r="B1260" s="24"/>
      <c r="C1260" s="24"/>
      <c r="D1260" s="26"/>
      <c r="E1260" s="24"/>
      <c r="F1260" s="145"/>
      <c r="G1260" s="36"/>
    </row>
    <row r="1261" spans="2:7" x14ac:dyDescent="0.25">
      <c r="B1261" s="24"/>
      <c r="C1261" s="24"/>
      <c r="D1261" s="26"/>
      <c r="E1261" s="24"/>
      <c r="F1261" s="145"/>
      <c r="G1261" s="36"/>
    </row>
    <row r="1262" spans="2:7" x14ac:dyDescent="0.25">
      <c r="B1262" s="24"/>
      <c r="C1262" s="24"/>
      <c r="D1262" s="26"/>
      <c r="E1262" s="24"/>
      <c r="F1262" s="145"/>
      <c r="G1262" s="36"/>
    </row>
    <row r="1263" spans="2:7" x14ac:dyDescent="0.25">
      <c r="B1263" s="24"/>
      <c r="C1263" s="24"/>
      <c r="D1263" s="26"/>
      <c r="E1263" s="24"/>
      <c r="F1263" s="145"/>
      <c r="G1263" s="36"/>
    </row>
    <row r="1264" spans="2:7" x14ac:dyDescent="0.25">
      <c r="B1264" s="24"/>
      <c r="C1264" s="24"/>
      <c r="D1264" s="26"/>
      <c r="E1264" s="24"/>
      <c r="F1264" s="145"/>
      <c r="G1264" s="36"/>
    </row>
    <row r="1265" spans="2:7" x14ac:dyDescent="0.25">
      <c r="B1265" s="24"/>
      <c r="C1265" s="24"/>
      <c r="D1265" s="26"/>
      <c r="E1265" s="24"/>
      <c r="F1265" s="145"/>
      <c r="G1265" s="36"/>
    </row>
    <row r="1266" spans="2:7" x14ac:dyDescent="0.25">
      <c r="B1266" s="24"/>
      <c r="C1266" s="24"/>
      <c r="D1266" s="26"/>
      <c r="E1266" s="24"/>
      <c r="F1266" s="145"/>
      <c r="G1266" s="36"/>
    </row>
    <row r="1267" spans="2:7" x14ac:dyDescent="0.25">
      <c r="B1267" s="24"/>
      <c r="C1267" s="24"/>
      <c r="D1267" s="26"/>
      <c r="E1267" s="24"/>
      <c r="F1267" s="145"/>
      <c r="G1267" s="36"/>
    </row>
    <row r="1268" spans="2:7" x14ac:dyDescent="0.25">
      <c r="B1268" s="24"/>
      <c r="C1268" s="24"/>
      <c r="D1268" s="26"/>
      <c r="E1268" s="24"/>
      <c r="F1268" s="145"/>
      <c r="G1268" s="36"/>
    </row>
    <row r="1269" spans="2:7" x14ac:dyDescent="0.25">
      <c r="B1269" s="24"/>
      <c r="C1269" s="24"/>
      <c r="D1269" s="26"/>
      <c r="E1269" s="24"/>
      <c r="F1269" s="145"/>
      <c r="G1269" s="36"/>
    </row>
    <row r="1270" spans="2:7" x14ac:dyDescent="0.25">
      <c r="B1270" s="24"/>
      <c r="C1270" s="24"/>
      <c r="D1270" s="26"/>
      <c r="E1270" s="24"/>
      <c r="F1270" s="145"/>
      <c r="G1270" s="36"/>
    </row>
    <row r="1271" spans="2:7" x14ac:dyDescent="0.25">
      <c r="B1271" s="24"/>
      <c r="C1271" s="24"/>
      <c r="D1271" s="26"/>
      <c r="E1271" s="24"/>
      <c r="F1271" s="145"/>
      <c r="G1271" s="36"/>
    </row>
    <row r="1272" spans="2:7" x14ac:dyDescent="0.25">
      <c r="B1272" s="24"/>
      <c r="C1272" s="24"/>
      <c r="D1272" s="26"/>
      <c r="E1272" s="24"/>
      <c r="F1272" s="145"/>
      <c r="G1272" s="36"/>
    </row>
    <row r="1273" spans="2:7" x14ac:dyDescent="0.25">
      <c r="B1273" s="24"/>
      <c r="C1273" s="24"/>
      <c r="D1273" s="26"/>
      <c r="E1273" s="24"/>
      <c r="F1273" s="145"/>
      <c r="G1273" s="36"/>
    </row>
    <row r="1274" spans="2:7" x14ac:dyDescent="0.25">
      <c r="B1274" s="24"/>
      <c r="C1274" s="24"/>
      <c r="D1274" s="26"/>
      <c r="E1274" s="24"/>
      <c r="F1274" s="145"/>
      <c r="G1274" s="36"/>
    </row>
    <row r="1275" spans="2:7" x14ac:dyDescent="0.25">
      <c r="B1275" s="24"/>
      <c r="C1275" s="24"/>
      <c r="D1275" s="26"/>
      <c r="E1275" s="24"/>
      <c r="F1275" s="145"/>
      <c r="G1275" s="36"/>
    </row>
    <row r="1276" spans="2:7" x14ac:dyDescent="0.25">
      <c r="B1276" s="24"/>
      <c r="C1276" s="24"/>
      <c r="D1276" s="26"/>
      <c r="E1276" s="24"/>
      <c r="F1276" s="145"/>
      <c r="G1276" s="36"/>
    </row>
    <row r="1277" spans="2:7" x14ac:dyDescent="0.25">
      <c r="B1277" s="24"/>
      <c r="C1277" s="24"/>
      <c r="D1277" s="26"/>
      <c r="E1277" s="24"/>
      <c r="F1277" s="145"/>
      <c r="G1277" s="36"/>
    </row>
    <row r="1278" spans="2:7" x14ac:dyDescent="0.25">
      <c r="B1278" s="24"/>
      <c r="C1278" s="24"/>
      <c r="D1278" s="26"/>
      <c r="E1278" s="24"/>
      <c r="F1278" s="145"/>
      <c r="G1278" s="36"/>
    </row>
    <row r="1279" spans="2:7" x14ac:dyDescent="0.25">
      <c r="B1279" s="24"/>
      <c r="C1279" s="24"/>
      <c r="D1279" s="26"/>
      <c r="E1279" s="24"/>
      <c r="F1279" s="145"/>
      <c r="G1279" s="36"/>
    </row>
    <row r="1280" spans="2:7" x14ac:dyDescent="0.25">
      <c r="B1280" s="24"/>
      <c r="C1280" s="24"/>
      <c r="D1280" s="26"/>
      <c r="E1280" s="24"/>
      <c r="F1280" s="145"/>
      <c r="G1280" s="36"/>
    </row>
    <row r="1281" spans="2:7" x14ac:dyDescent="0.25">
      <c r="B1281" s="24"/>
      <c r="C1281" s="24"/>
      <c r="D1281" s="26"/>
      <c r="E1281" s="24"/>
      <c r="F1281" s="145"/>
      <c r="G1281" s="36"/>
    </row>
    <row r="1282" spans="2:7" x14ac:dyDescent="0.25">
      <c r="B1282" s="24"/>
      <c r="C1282" s="24"/>
      <c r="D1282" s="26"/>
      <c r="E1282" s="24"/>
      <c r="F1282" s="145"/>
      <c r="G1282" s="36"/>
    </row>
    <row r="1283" spans="2:7" x14ac:dyDescent="0.25">
      <c r="B1283" s="24"/>
      <c r="C1283" s="24"/>
      <c r="D1283" s="26"/>
      <c r="E1283" s="24"/>
      <c r="F1283" s="145"/>
      <c r="G1283" s="36"/>
    </row>
    <row r="1284" spans="2:7" x14ac:dyDescent="0.25">
      <c r="B1284" s="24"/>
      <c r="C1284" s="24"/>
      <c r="D1284" s="26"/>
      <c r="E1284" s="24"/>
      <c r="F1284" s="145"/>
      <c r="G1284" s="36"/>
    </row>
    <row r="1285" spans="2:7" x14ac:dyDescent="0.25">
      <c r="B1285" s="24"/>
      <c r="C1285" s="24"/>
      <c r="D1285" s="26"/>
      <c r="E1285" s="24"/>
      <c r="F1285" s="145"/>
      <c r="G1285" s="36"/>
    </row>
    <row r="1286" spans="2:7" x14ac:dyDescent="0.25">
      <c r="B1286" s="24"/>
      <c r="C1286" s="24"/>
      <c r="D1286" s="26"/>
      <c r="E1286" s="24"/>
      <c r="F1286" s="145"/>
      <c r="G1286" s="36"/>
    </row>
    <row r="1287" spans="2:7" x14ac:dyDescent="0.25">
      <c r="B1287" s="24"/>
      <c r="C1287" s="24"/>
      <c r="D1287" s="26"/>
      <c r="E1287" s="24"/>
      <c r="F1287" s="145"/>
      <c r="G1287" s="36"/>
    </row>
    <row r="1288" spans="2:7" x14ac:dyDescent="0.25">
      <c r="B1288" s="24"/>
      <c r="C1288" s="24"/>
      <c r="D1288" s="26"/>
      <c r="E1288" s="24"/>
      <c r="F1288" s="145"/>
      <c r="G1288" s="36"/>
    </row>
    <row r="1289" spans="2:7" x14ac:dyDescent="0.25">
      <c r="B1289" s="24"/>
      <c r="C1289" s="24"/>
      <c r="D1289" s="26"/>
      <c r="E1289" s="24"/>
      <c r="F1289" s="145"/>
      <c r="G1289" s="36"/>
    </row>
    <row r="1290" spans="2:7" x14ac:dyDescent="0.25">
      <c r="B1290" s="24"/>
      <c r="C1290" s="24"/>
      <c r="D1290" s="26"/>
      <c r="E1290" s="24"/>
      <c r="F1290" s="145"/>
      <c r="G1290" s="36"/>
    </row>
    <row r="1291" spans="2:7" x14ac:dyDescent="0.25">
      <c r="B1291" s="24"/>
      <c r="C1291" s="24"/>
      <c r="D1291" s="26"/>
      <c r="E1291" s="24"/>
      <c r="F1291" s="145"/>
      <c r="G1291" s="36"/>
    </row>
    <row r="1292" spans="2:7" x14ac:dyDescent="0.25">
      <c r="B1292" s="24"/>
      <c r="C1292" s="24"/>
      <c r="D1292" s="26"/>
      <c r="E1292" s="24"/>
      <c r="F1292" s="145"/>
      <c r="G1292" s="36"/>
    </row>
    <row r="1293" spans="2:7" x14ac:dyDescent="0.25">
      <c r="B1293" s="24"/>
      <c r="C1293" s="24"/>
      <c r="D1293" s="26"/>
      <c r="E1293" s="24"/>
      <c r="F1293" s="145"/>
      <c r="G1293" s="36"/>
    </row>
    <row r="1294" spans="2:7" x14ac:dyDescent="0.25">
      <c r="B1294" s="24"/>
      <c r="C1294" s="24"/>
      <c r="D1294" s="26"/>
      <c r="E1294" s="24"/>
      <c r="F1294" s="145"/>
      <c r="G1294" s="36"/>
    </row>
    <row r="1295" spans="2:7" x14ac:dyDescent="0.25">
      <c r="B1295" s="24"/>
      <c r="C1295" s="24"/>
      <c r="D1295" s="26"/>
      <c r="E1295" s="24"/>
      <c r="F1295" s="145"/>
      <c r="G1295" s="36"/>
    </row>
    <row r="1296" spans="2:7" x14ac:dyDescent="0.25">
      <c r="B1296" s="24"/>
      <c r="C1296" s="24"/>
      <c r="D1296" s="26"/>
      <c r="E1296" s="24"/>
      <c r="F1296" s="145"/>
      <c r="G1296" s="36"/>
    </row>
    <row r="1297" spans="2:7" x14ac:dyDescent="0.25">
      <c r="B1297" s="24"/>
      <c r="C1297" s="24"/>
      <c r="D1297" s="26"/>
      <c r="E1297" s="24"/>
      <c r="F1297" s="145"/>
      <c r="G1297" s="36"/>
    </row>
    <row r="1298" spans="2:7" x14ac:dyDescent="0.25">
      <c r="B1298" s="24"/>
      <c r="C1298" s="24"/>
      <c r="D1298" s="26"/>
      <c r="E1298" s="24"/>
      <c r="F1298" s="145"/>
      <c r="G1298" s="36"/>
    </row>
    <row r="1299" spans="2:7" x14ac:dyDescent="0.25">
      <c r="B1299" s="24"/>
      <c r="C1299" s="24"/>
      <c r="D1299" s="26"/>
      <c r="E1299" s="24"/>
      <c r="F1299" s="145"/>
      <c r="G1299" s="36"/>
    </row>
    <row r="1300" spans="2:7" x14ac:dyDescent="0.25">
      <c r="B1300" s="24"/>
      <c r="C1300" s="24"/>
      <c r="D1300" s="26"/>
      <c r="E1300" s="24"/>
      <c r="F1300" s="145"/>
      <c r="G1300" s="36"/>
    </row>
    <row r="1301" spans="2:7" x14ac:dyDescent="0.25">
      <c r="B1301" s="24"/>
      <c r="C1301" s="24"/>
      <c r="D1301" s="26"/>
      <c r="E1301" s="24"/>
      <c r="F1301" s="145"/>
      <c r="G1301" s="36"/>
    </row>
    <row r="1302" spans="2:7" x14ac:dyDescent="0.25">
      <c r="B1302" s="24"/>
      <c r="C1302" s="24"/>
      <c r="D1302" s="26"/>
      <c r="E1302" s="24"/>
      <c r="F1302" s="145"/>
      <c r="G1302" s="36"/>
    </row>
    <row r="1303" spans="2:7" x14ac:dyDescent="0.25">
      <c r="B1303" s="24"/>
      <c r="C1303" s="24"/>
      <c r="D1303" s="26"/>
      <c r="E1303" s="24"/>
      <c r="F1303" s="145"/>
      <c r="G1303" s="36"/>
    </row>
    <row r="1304" spans="2:7" x14ac:dyDescent="0.25">
      <c r="B1304" s="24"/>
      <c r="C1304" s="24"/>
      <c r="D1304" s="26"/>
      <c r="E1304" s="24"/>
      <c r="F1304" s="145"/>
      <c r="G1304" s="36"/>
    </row>
    <row r="1305" spans="2:7" x14ac:dyDescent="0.25">
      <c r="B1305" s="24"/>
      <c r="C1305" s="24"/>
      <c r="D1305" s="26"/>
      <c r="E1305" s="24"/>
      <c r="F1305" s="145"/>
      <c r="G1305" s="36"/>
    </row>
    <row r="1306" spans="2:7" x14ac:dyDescent="0.25">
      <c r="B1306" s="24"/>
      <c r="C1306" s="24"/>
      <c r="D1306" s="26"/>
      <c r="E1306" s="24"/>
      <c r="F1306" s="145"/>
      <c r="G1306" s="36"/>
    </row>
    <row r="1307" spans="2:7" x14ac:dyDescent="0.25">
      <c r="B1307" s="24"/>
      <c r="C1307" s="24"/>
      <c r="D1307" s="26"/>
      <c r="E1307" s="24"/>
      <c r="F1307" s="145"/>
      <c r="G1307" s="36"/>
    </row>
    <row r="1308" spans="2:7" x14ac:dyDescent="0.25">
      <c r="B1308" s="24"/>
      <c r="C1308" s="24"/>
      <c r="D1308" s="26"/>
      <c r="E1308" s="24"/>
      <c r="F1308" s="145"/>
      <c r="G1308" s="36"/>
    </row>
    <row r="1309" spans="2:7" x14ac:dyDescent="0.25">
      <c r="B1309" s="24"/>
      <c r="C1309" s="24"/>
      <c r="D1309" s="26"/>
      <c r="E1309" s="24"/>
      <c r="F1309" s="145"/>
      <c r="G1309" s="36"/>
    </row>
    <row r="1310" spans="2:7" x14ac:dyDescent="0.25">
      <c r="B1310" s="24"/>
      <c r="C1310" s="24"/>
      <c r="D1310" s="26"/>
      <c r="E1310" s="24"/>
      <c r="F1310" s="145"/>
      <c r="G1310" s="36"/>
    </row>
    <row r="1311" spans="2:7" x14ac:dyDescent="0.25">
      <c r="B1311" s="24"/>
      <c r="C1311" s="24"/>
      <c r="D1311" s="26"/>
      <c r="E1311" s="24"/>
      <c r="F1311" s="145"/>
      <c r="G1311" s="36"/>
    </row>
    <row r="1312" spans="2:7" x14ac:dyDescent="0.25">
      <c r="B1312" s="24"/>
      <c r="C1312" s="24"/>
      <c r="D1312" s="26"/>
      <c r="E1312" s="24"/>
      <c r="F1312" s="145"/>
      <c r="G1312" s="36"/>
    </row>
    <row r="1313" spans="2:7" x14ac:dyDescent="0.25">
      <c r="B1313" s="24"/>
      <c r="C1313" s="24"/>
      <c r="D1313" s="26"/>
      <c r="E1313" s="24"/>
      <c r="F1313" s="145"/>
      <c r="G1313" s="36"/>
    </row>
    <row r="1314" spans="2:7" x14ac:dyDescent="0.25">
      <c r="B1314" s="24"/>
      <c r="C1314" s="24"/>
      <c r="D1314" s="26"/>
      <c r="E1314" s="24"/>
      <c r="F1314" s="145"/>
      <c r="G1314" s="36"/>
    </row>
    <row r="1315" spans="2:7" x14ac:dyDescent="0.25">
      <c r="B1315" s="24"/>
      <c r="C1315" s="24"/>
      <c r="D1315" s="26"/>
      <c r="E1315" s="24"/>
      <c r="F1315" s="145"/>
      <c r="G1315" s="36"/>
    </row>
    <row r="1316" spans="2:7" x14ac:dyDescent="0.25">
      <c r="B1316" s="24"/>
      <c r="C1316" s="24"/>
      <c r="D1316" s="26"/>
      <c r="E1316" s="24"/>
      <c r="F1316" s="145"/>
      <c r="G1316" s="36"/>
    </row>
    <row r="1317" spans="2:7" x14ac:dyDescent="0.25">
      <c r="B1317" s="24"/>
      <c r="C1317" s="24"/>
      <c r="D1317" s="26"/>
      <c r="E1317" s="24"/>
      <c r="F1317" s="145"/>
      <c r="G1317" s="36"/>
    </row>
    <row r="1318" spans="2:7" x14ac:dyDescent="0.25">
      <c r="B1318" s="24"/>
      <c r="C1318" s="24"/>
      <c r="D1318" s="26"/>
      <c r="E1318" s="24"/>
      <c r="F1318" s="145"/>
      <c r="G1318" s="36"/>
    </row>
    <row r="1319" spans="2:7" x14ac:dyDescent="0.25">
      <c r="B1319" s="24"/>
      <c r="C1319" s="24"/>
      <c r="D1319" s="26"/>
      <c r="E1319" s="24"/>
      <c r="F1319" s="145"/>
      <c r="G1319" s="36"/>
    </row>
    <row r="1320" spans="2:7" x14ac:dyDescent="0.25">
      <c r="B1320" s="24"/>
      <c r="C1320" s="24"/>
      <c r="D1320" s="26"/>
      <c r="E1320" s="24"/>
      <c r="F1320" s="145"/>
      <c r="G1320" s="36"/>
    </row>
    <row r="1321" spans="2:7" x14ac:dyDescent="0.25">
      <c r="B1321" s="24"/>
      <c r="C1321" s="24"/>
      <c r="D1321" s="26"/>
      <c r="E1321" s="24"/>
      <c r="F1321" s="145"/>
      <c r="G1321" s="36"/>
    </row>
    <row r="1322" spans="2:7" x14ac:dyDescent="0.25">
      <c r="B1322" s="24"/>
      <c r="C1322" s="24"/>
      <c r="D1322" s="26"/>
      <c r="E1322" s="24"/>
      <c r="F1322" s="145"/>
      <c r="G1322" s="36"/>
    </row>
    <row r="1323" spans="2:7" x14ac:dyDescent="0.25">
      <c r="B1323" s="24"/>
      <c r="C1323" s="24"/>
      <c r="D1323" s="26"/>
      <c r="E1323" s="24"/>
      <c r="F1323" s="145"/>
      <c r="G1323" s="36"/>
    </row>
    <row r="1324" spans="2:7" x14ac:dyDescent="0.25">
      <c r="B1324" s="24"/>
      <c r="C1324" s="24"/>
      <c r="D1324" s="26"/>
      <c r="E1324" s="24"/>
      <c r="F1324" s="145"/>
      <c r="G1324" s="36"/>
    </row>
    <row r="1325" spans="2:7" x14ac:dyDescent="0.25">
      <c r="B1325" s="24"/>
      <c r="C1325" s="24"/>
      <c r="D1325" s="26"/>
      <c r="E1325" s="24"/>
      <c r="F1325" s="145"/>
      <c r="G1325" s="36"/>
    </row>
    <row r="1326" spans="2:7" x14ac:dyDescent="0.25">
      <c r="B1326" s="24"/>
      <c r="C1326" s="24"/>
      <c r="D1326" s="26"/>
      <c r="E1326" s="24"/>
      <c r="F1326" s="145"/>
      <c r="G1326" s="36"/>
    </row>
    <row r="1327" spans="2:7" x14ac:dyDescent="0.25">
      <c r="B1327" s="24"/>
      <c r="C1327" s="24"/>
      <c r="D1327" s="26"/>
      <c r="E1327" s="24"/>
      <c r="F1327" s="145"/>
      <c r="G1327" s="36"/>
    </row>
    <row r="1328" spans="2:7" x14ac:dyDescent="0.25">
      <c r="B1328" s="24"/>
      <c r="C1328" s="24"/>
      <c r="D1328" s="26"/>
      <c r="E1328" s="24"/>
      <c r="F1328" s="145"/>
      <c r="G1328" s="36"/>
    </row>
    <row r="1329" spans="2:7" x14ac:dyDescent="0.25">
      <c r="B1329" s="24"/>
      <c r="C1329" s="24"/>
      <c r="D1329" s="26"/>
      <c r="E1329" s="24"/>
      <c r="F1329" s="145"/>
      <c r="G1329" s="36"/>
    </row>
    <row r="1330" spans="2:7" x14ac:dyDescent="0.25">
      <c r="B1330" s="24"/>
      <c r="C1330" s="24"/>
      <c r="D1330" s="26"/>
      <c r="E1330" s="24"/>
      <c r="F1330" s="145"/>
      <c r="G1330" s="36"/>
    </row>
    <row r="1331" spans="2:7" x14ac:dyDescent="0.25">
      <c r="B1331" s="24"/>
      <c r="C1331" s="24"/>
      <c r="D1331" s="26"/>
      <c r="E1331" s="24"/>
      <c r="F1331" s="145"/>
      <c r="G1331" s="36"/>
    </row>
    <row r="1332" spans="2:7" x14ac:dyDescent="0.25">
      <c r="B1332" s="24"/>
      <c r="C1332" s="24"/>
      <c r="D1332" s="26"/>
      <c r="E1332" s="24"/>
      <c r="F1332" s="145"/>
      <c r="G1332" s="36"/>
    </row>
    <row r="1333" spans="2:7" x14ac:dyDescent="0.25">
      <c r="B1333" s="24"/>
      <c r="C1333" s="24"/>
      <c r="D1333" s="26"/>
      <c r="E1333" s="24"/>
      <c r="F1333" s="145"/>
      <c r="G1333" s="36"/>
    </row>
    <row r="1334" spans="2:7" x14ac:dyDescent="0.25">
      <c r="B1334" s="24"/>
      <c r="C1334" s="24"/>
      <c r="D1334" s="26"/>
      <c r="E1334" s="24"/>
      <c r="F1334" s="145"/>
      <c r="G1334" s="36"/>
    </row>
    <row r="1335" spans="2:7" x14ac:dyDescent="0.25">
      <c r="B1335" s="24"/>
      <c r="C1335" s="24"/>
      <c r="D1335" s="26"/>
      <c r="E1335" s="24"/>
      <c r="F1335" s="145"/>
      <c r="G1335" s="36"/>
    </row>
    <row r="1336" spans="2:7" x14ac:dyDescent="0.25">
      <c r="B1336" s="24"/>
      <c r="C1336" s="24"/>
      <c r="D1336" s="26"/>
      <c r="E1336" s="24"/>
      <c r="F1336" s="145"/>
      <c r="G1336" s="36"/>
    </row>
    <row r="1337" spans="2:7" x14ac:dyDescent="0.25">
      <c r="B1337" s="24"/>
      <c r="C1337" s="24"/>
      <c r="D1337" s="26"/>
      <c r="E1337" s="24"/>
      <c r="F1337" s="145"/>
      <c r="G1337" s="36"/>
    </row>
    <row r="1338" spans="2:7" x14ac:dyDescent="0.25">
      <c r="B1338" s="24"/>
      <c r="C1338" s="24"/>
      <c r="D1338" s="26"/>
      <c r="E1338" s="24"/>
      <c r="F1338" s="145"/>
      <c r="G1338" s="36"/>
    </row>
    <row r="1339" spans="2:7" x14ac:dyDescent="0.25">
      <c r="B1339" s="24"/>
      <c r="C1339" s="24"/>
      <c r="D1339" s="26"/>
      <c r="E1339" s="24"/>
      <c r="F1339" s="145"/>
      <c r="G1339" s="36"/>
    </row>
    <row r="1340" spans="2:7" x14ac:dyDescent="0.25">
      <c r="B1340" s="24"/>
      <c r="C1340" s="24"/>
      <c r="D1340" s="26"/>
      <c r="E1340" s="24"/>
      <c r="F1340" s="145"/>
      <c r="G1340" s="36"/>
    </row>
    <row r="1341" spans="2:7" x14ac:dyDescent="0.25">
      <c r="B1341" s="24"/>
      <c r="C1341" s="24"/>
      <c r="D1341" s="26"/>
      <c r="E1341" s="24"/>
      <c r="F1341" s="145"/>
      <c r="G1341" s="36"/>
    </row>
    <row r="1342" spans="2:7" x14ac:dyDescent="0.25">
      <c r="B1342" s="24"/>
      <c r="C1342" s="24"/>
      <c r="D1342" s="26"/>
      <c r="E1342" s="24"/>
      <c r="F1342" s="145"/>
      <c r="G1342" s="36"/>
    </row>
    <row r="1343" spans="2:7" x14ac:dyDescent="0.25">
      <c r="B1343" s="24"/>
      <c r="C1343" s="24"/>
      <c r="D1343" s="26"/>
      <c r="E1343" s="24"/>
      <c r="F1343" s="145"/>
      <c r="G1343" s="36"/>
    </row>
    <row r="1344" spans="2:7" x14ac:dyDescent="0.25">
      <c r="B1344" s="24"/>
      <c r="C1344" s="24"/>
      <c r="D1344" s="26"/>
      <c r="E1344" s="24"/>
      <c r="F1344" s="145"/>
      <c r="G1344" s="36"/>
    </row>
    <row r="1345" spans="2:7" x14ac:dyDescent="0.25">
      <c r="B1345" s="24"/>
      <c r="C1345" s="24"/>
      <c r="D1345" s="26"/>
      <c r="E1345" s="24"/>
      <c r="F1345" s="145"/>
      <c r="G1345" s="36"/>
    </row>
    <row r="1346" spans="2:7" x14ac:dyDescent="0.25">
      <c r="B1346" s="24"/>
      <c r="C1346" s="24"/>
      <c r="D1346" s="26"/>
      <c r="E1346" s="24"/>
      <c r="F1346" s="145"/>
      <c r="G1346" s="36"/>
    </row>
    <row r="1347" spans="2:7" x14ac:dyDescent="0.25">
      <c r="B1347" s="24"/>
      <c r="C1347" s="24"/>
      <c r="D1347" s="26"/>
      <c r="E1347" s="24"/>
      <c r="F1347" s="145"/>
      <c r="G1347" s="36"/>
    </row>
    <row r="1348" spans="2:7" x14ac:dyDescent="0.25">
      <c r="B1348" s="24"/>
      <c r="C1348" s="24"/>
      <c r="D1348" s="26"/>
      <c r="E1348" s="24"/>
      <c r="F1348" s="145"/>
      <c r="G1348" s="36"/>
    </row>
    <row r="1349" spans="2:7" x14ac:dyDescent="0.25">
      <c r="B1349" s="24"/>
      <c r="C1349" s="24"/>
      <c r="D1349" s="26"/>
      <c r="E1349" s="24"/>
      <c r="F1349" s="145"/>
      <c r="G1349" s="36"/>
    </row>
    <row r="1350" spans="2:7" x14ac:dyDescent="0.25">
      <c r="B1350" s="24"/>
      <c r="C1350" s="24"/>
      <c r="D1350" s="26"/>
      <c r="E1350" s="24"/>
      <c r="F1350" s="145"/>
      <c r="G1350" s="36"/>
    </row>
    <row r="1351" spans="2:7" x14ac:dyDescent="0.25">
      <c r="B1351" s="24"/>
      <c r="C1351" s="24"/>
      <c r="D1351" s="26"/>
      <c r="E1351" s="24"/>
      <c r="F1351" s="145"/>
      <c r="G1351" s="36"/>
    </row>
    <row r="1352" spans="2:7" x14ac:dyDescent="0.25">
      <c r="B1352" s="24"/>
      <c r="C1352" s="24"/>
      <c r="D1352" s="26"/>
      <c r="E1352" s="24"/>
      <c r="F1352" s="145"/>
      <c r="G1352" s="36"/>
    </row>
    <row r="1353" spans="2:7" x14ac:dyDescent="0.25">
      <c r="B1353" s="24"/>
      <c r="C1353" s="24"/>
      <c r="D1353" s="26"/>
      <c r="E1353" s="24"/>
      <c r="F1353" s="145"/>
      <c r="G1353" s="36"/>
    </row>
    <row r="1354" spans="2:7" x14ac:dyDescent="0.25">
      <c r="B1354" s="24"/>
      <c r="C1354" s="24"/>
      <c r="D1354" s="26"/>
      <c r="E1354" s="24"/>
      <c r="F1354" s="145"/>
      <c r="G1354" s="36"/>
    </row>
    <row r="1355" spans="2:7" x14ac:dyDescent="0.25">
      <c r="B1355" s="24"/>
      <c r="C1355" s="24"/>
      <c r="D1355" s="26"/>
      <c r="E1355" s="24"/>
      <c r="F1355" s="145"/>
      <c r="G1355" s="36"/>
    </row>
    <row r="1356" spans="2:7" x14ac:dyDescent="0.25">
      <c r="B1356" s="24"/>
      <c r="C1356" s="24"/>
      <c r="D1356" s="26"/>
      <c r="E1356" s="24"/>
      <c r="F1356" s="145"/>
      <c r="G1356" s="36"/>
    </row>
    <row r="1357" spans="2:7" x14ac:dyDescent="0.25">
      <c r="B1357" s="24"/>
      <c r="C1357" s="24"/>
      <c r="D1357" s="26"/>
      <c r="E1357" s="24"/>
      <c r="F1357" s="145"/>
      <c r="G1357" s="36"/>
    </row>
    <row r="1358" spans="2:7" x14ac:dyDescent="0.25">
      <c r="B1358" s="24"/>
      <c r="C1358" s="24"/>
      <c r="D1358" s="26"/>
      <c r="E1358" s="24"/>
      <c r="F1358" s="145"/>
      <c r="G1358" s="36"/>
    </row>
    <row r="1359" spans="2:7" x14ac:dyDescent="0.25">
      <c r="B1359" s="24"/>
      <c r="C1359" s="24"/>
      <c r="D1359" s="26"/>
      <c r="E1359" s="24"/>
      <c r="F1359" s="145"/>
      <c r="G1359" s="36"/>
    </row>
    <row r="1360" spans="2:7" x14ac:dyDescent="0.25">
      <c r="B1360" s="24"/>
      <c r="C1360" s="24"/>
      <c r="D1360" s="26"/>
      <c r="E1360" s="24"/>
      <c r="F1360" s="145"/>
      <c r="G1360" s="36"/>
    </row>
    <row r="1361" spans="2:7" x14ac:dyDescent="0.25">
      <c r="B1361" s="24"/>
      <c r="C1361" s="24"/>
      <c r="D1361" s="26"/>
      <c r="E1361" s="24"/>
      <c r="F1361" s="145"/>
      <c r="G1361" s="36"/>
    </row>
    <row r="1362" spans="2:7" x14ac:dyDescent="0.25">
      <c r="B1362" s="24"/>
      <c r="C1362" s="24"/>
      <c r="D1362" s="26"/>
      <c r="E1362" s="24"/>
      <c r="F1362" s="145"/>
      <c r="G1362" s="36"/>
    </row>
    <row r="1363" spans="2:7" x14ac:dyDescent="0.25">
      <c r="B1363" s="24"/>
      <c r="C1363" s="24"/>
      <c r="D1363" s="26"/>
      <c r="E1363" s="24"/>
      <c r="F1363" s="145"/>
      <c r="G1363" s="36"/>
    </row>
    <row r="1364" spans="2:7" x14ac:dyDescent="0.25">
      <c r="B1364" s="24"/>
      <c r="C1364" s="24"/>
      <c r="D1364" s="26"/>
      <c r="E1364" s="24"/>
      <c r="F1364" s="145"/>
      <c r="G1364" s="36"/>
    </row>
    <row r="1365" spans="2:7" x14ac:dyDescent="0.25">
      <c r="B1365" s="24"/>
      <c r="C1365" s="24"/>
      <c r="D1365" s="26"/>
      <c r="E1365" s="24"/>
      <c r="F1365" s="145"/>
      <c r="G1365" s="36"/>
    </row>
    <row r="1366" spans="2:7" x14ac:dyDescent="0.25">
      <c r="B1366" s="24"/>
      <c r="C1366" s="24"/>
      <c r="D1366" s="26"/>
      <c r="E1366" s="24"/>
      <c r="F1366" s="145"/>
      <c r="G1366" s="36"/>
    </row>
    <row r="1367" spans="2:7" x14ac:dyDescent="0.25">
      <c r="B1367" s="24"/>
      <c r="C1367" s="24"/>
      <c r="D1367" s="26"/>
      <c r="E1367" s="24"/>
      <c r="F1367" s="145"/>
      <c r="G1367" s="36"/>
    </row>
    <row r="1368" spans="2:7" x14ac:dyDescent="0.25">
      <c r="B1368" s="24"/>
      <c r="C1368" s="24"/>
      <c r="D1368" s="26"/>
      <c r="E1368" s="24"/>
      <c r="F1368" s="145"/>
      <c r="G1368" s="36"/>
    </row>
    <row r="1369" spans="2:7" x14ac:dyDescent="0.25">
      <c r="B1369" s="24"/>
      <c r="C1369" s="24"/>
      <c r="D1369" s="26"/>
      <c r="E1369" s="24"/>
      <c r="F1369" s="145"/>
      <c r="G1369" s="36"/>
    </row>
    <row r="1370" spans="2:7" x14ac:dyDescent="0.25">
      <c r="B1370" s="24"/>
      <c r="C1370" s="24"/>
      <c r="D1370" s="26"/>
      <c r="E1370" s="24"/>
      <c r="F1370" s="145"/>
      <c r="G1370" s="36"/>
    </row>
    <row r="1371" spans="2:7" x14ac:dyDescent="0.25">
      <c r="B1371" s="24"/>
      <c r="C1371" s="24"/>
      <c r="D1371" s="26"/>
      <c r="E1371" s="24"/>
      <c r="F1371" s="145"/>
      <c r="G1371" s="36"/>
    </row>
    <row r="1372" spans="2:7" x14ac:dyDescent="0.25">
      <c r="B1372" s="24"/>
      <c r="C1372" s="24"/>
      <c r="D1372" s="26"/>
      <c r="E1372" s="24"/>
      <c r="F1372" s="145"/>
      <c r="G1372" s="36"/>
    </row>
    <row r="1373" spans="2:7" x14ac:dyDescent="0.25">
      <c r="B1373" s="24"/>
      <c r="C1373" s="24"/>
      <c r="D1373" s="26"/>
      <c r="E1373" s="24"/>
      <c r="F1373" s="145"/>
      <c r="G1373" s="36"/>
    </row>
    <row r="1374" spans="2:7" x14ac:dyDescent="0.25">
      <c r="B1374" s="24"/>
      <c r="C1374" s="24"/>
      <c r="D1374" s="26"/>
      <c r="E1374" s="24"/>
      <c r="F1374" s="145"/>
      <c r="G1374" s="36"/>
    </row>
    <row r="1375" spans="2:7" x14ac:dyDescent="0.25">
      <c r="B1375" s="24"/>
      <c r="C1375" s="24"/>
      <c r="D1375" s="26"/>
      <c r="E1375" s="24"/>
      <c r="F1375" s="145"/>
      <c r="G1375" s="36"/>
    </row>
    <row r="1376" spans="2:7" x14ac:dyDescent="0.25">
      <c r="B1376" s="24"/>
      <c r="C1376" s="24"/>
      <c r="D1376" s="26"/>
      <c r="E1376" s="24"/>
      <c r="F1376" s="145"/>
      <c r="G1376" s="36"/>
    </row>
    <row r="1377" spans="2:7" x14ac:dyDescent="0.25">
      <c r="B1377" s="24"/>
      <c r="C1377" s="24"/>
      <c r="D1377" s="26"/>
      <c r="E1377" s="24"/>
      <c r="F1377" s="145"/>
      <c r="G1377" s="36"/>
    </row>
    <row r="1378" spans="2:7" x14ac:dyDescent="0.25">
      <c r="B1378" s="24"/>
      <c r="C1378" s="24"/>
      <c r="D1378" s="26"/>
      <c r="E1378" s="24"/>
      <c r="F1378" s="145"/>
      <c r="G1378" s="36"/>
    </row>
    <row r="1379" spans="2:7" x14ac:dyDescent="0.25">
      <c r="B1379" s="24"/>
      <c r="C1379" s="24"/>
      <c r="D1379" s="26"/>
      <c r="E1379" s="24"/>
      <c r="F1379" s="145"/>
      <c r="G1379" s="36"/>
    </row>
    <row r="1380" spans="2:7" x14ac:dyDescent="0.25">
      <c r="B1380" s="24"/>
      <c r="C1380" s="24"/>
      <c r="D1380" s="26"/>
      <c r="E1380" s="24"/>
      <c r="F1380" s="145"/>
      <c r="G1380" s="36"/>
    </row>
    <row r="1381" spans="2:7" x14ac:dyDescent="0.25">
      <c r="B1381" s="24"/>
      <c r="C1381" s="24"/>
      <c r="D1381" s="26"/>
      <c r="E1381" s="24"/>
      <c r="F1381" s="145"/>
      <c r="G1381" s="36"/>
    </row>
    <row r="1382" spans="2:7" x14ac:dyDescent="0.25">
      <c r="B1382" s="24"/>
      <c r="C1382" s="24"/>
      <c r="D1382" s="26"/>
      <c r="E1382" s="24"/>
      <c r="F1382" s="145"/>
      <c r="G1382" s="36"/>
    </row>
    <row r="1383" spans="2:7" x14ac:dyDescent="0.25">
      <c r="B1383" s="24"/>
      <c r="C1383" s="24"/>
      <c r="D1383" s="26"/>
      <c r="E1383" s="24"/>
      <c r="F1383" s="145"/>
      <c r="G1383" s="36"/>
    </row>
    <row r="1384" spans="2:7" x14ac:dyDescent="0.25">
      <c r="B1384" s="24"/>
      <c r="C1384" s="24"/>
      <c r="D1384" s="26"/>
      <c r="E1384" s="24"/>
      <c r="F1384" s="145"/>
      <c r="G1384" s="36"/>
    </row>
    <row r="1385" spans="2:7" x14ac:dyDescent="0.25">
      <c r="B1385" s="24"/>
      <c r="C1385" s="24"/>
      <c r="D1385" s="26"/>
      <c r="E1385" s="24"/>
      <c r="F1385" s="145"/>
      <c r="G1385" s="36"/>
    </row>
    <row r="1386" spans="2:7" x14ac:dyDescent="0.25">
      <c r="B1386" s="24"/>
      <c r="C1386" s="24"/>
      <c r="D1386" s="26"/>
      <c r="E1386" s="24"/>
      <c r="F1386" s="145"/>
      <c r="G1386" s="36"/>
    </row>
    <row r="1387" spans="2:7" x14ac:dyDescent="0.25">
      <c r="B1387" s="24"/>
      <c r="C1387" s="24"/>
      <c r="D1387" s="26"/>
      <c r="E1387" s="24"/>
      <c r="F1387" s="145"/>
      <c r="G1387" s="36"/>
    </row>
    <row r="1388" spans="2:7" x14ac:dyDescent="0.25">
      <c r="B1388" s="24"/>
      <c r="C1388" s="24"/>
      <c r="D1388" s="26"/>
      <c r="E1388" s="24"/>
      <c r="F1388" s="145"/>
      <c r="G1388" s="36"/>
    </row>
    <row r="1389" spans="2:7" x14ac:dyDescent="0.25">
      <c r="B1389" s="24"/>
      <c r="C1389" s="24"/>
      <c r="D1389" s="26"/>
      <c r="E1389" s="24"/>
      <c r="F1389" s="145"/>
      <c r="G1389" s="36"/>
    </row>
    <row r="1390" spans="2:7" x14ac:dyDescent="0.25">
      <c r="B1390" s="24"/>
      <c r="C1390" s="24"/>
      <c r="D1390" s="26"/>
      <c r="E1390" s="24"/>
      <c r="F1390" s="145"/>
      <c r="G1390" s="36"/>
    </row>
    <row r="1391" spans="2:7" x14ac:dyDescent="0.25">
      <c r="B1391" s="24"/>
      <c r="C1391" s="24"/>
      <c r="D1391" s="26"/>
      <c r="E1391" s="24"/>
      <c r="F1391" s="145"/>
      <c r="G1391" s="36"/>
    </row>
    <row r="1392" spans="2:7" x14ac:dyDescent="0.25">
      <c r="B1392" s="24"/>
      <c r="C1392" s="24"/>
      <c r="D1392" s="26"/>
      <c r="E1392" s="24"/>
      <c r="F1392" s="145"/>
      <c r="G1392" s="36"/>
    </row>
    <row r="1393" spans="2:7" x14ac:dyDescent="0.25">
      <c r="B1393" s="24"/>
      <c r="C1393" s="24"/>
      <c r="D1393" s="26"/>
      <c r="E1393" s="24"/>
      <c r="F1393" s="145"/>
      <c r="G1393" s="36"/>
    </row>
    <row r="1394" spans="2:7" x14ac:dyDescent="0.25">
      <c r="B1394" s="24"/>
      <c r="C1394" s="24"/>
      <c r="D1394" s="26"/>
      <c r="E1394" s="24"/>
      <c r="F1394" s="145"/>
      <c r="G1394" s="36"/>
    </row>
    <row r="1395" spans="2:7" x14ac:dyDescent="0.25">
      <c r="B1395" s="24"/>
      <c r="C1395" s="24"/>
      <c r="D1395" s="26"/>
      <c r="E1395" s="24"/>
      <c r="F1395" s="145"/>
      <c r="G1395" s="36"/>
    </row>
    <row r="1396" spans="2:7" x14ac:dyDescent="0.25">
      <c r="B1396" s="24"/>
      <c r="C1396" s="24"/>
      <c r="D1396" s="26"/>
      <c r="E1396" s="24"/>
      <c r="F1396" s="145"/>
      <c r="G1396" s="36"/>
    </row>
    <row r="1397" spans="2:7" x14ac:dyDescent="0.25">
      <c r="B1397" s="24"/>
      <c r="C1397" s="24"/>
      <c r="D1397" s="26"/>
      <c r="E1397" s="24"/>
      <c r="F1397" s="145"/>
      <c r="G1397" s="36"/>
    </row>
    <row r="1398" spans="2:7" x14ac:dyDescent="0.25">
      <c r="B1398" s="24"/>
      <c r="C1398" s="24"/>
      <c r="D1398" s="26"/>
      <c r="E1398" s="24"/>
      <c r="F1398" s="145"/>
      <c r="G1398" s="36"/>
    </row>
    <row r="1399" spans="2:7" x14ac:dyDescent="0.25">
      <c r="B1399" s="24"/>
      <c r="C1399" s="24"/>
      <c r="D1399" s="26"/>
      <c r="E1399" s="24"/>
      <c r="F1399" s="145"/>
      <c r="G1399" s="36"/>
    </row>
    <row r="1400" spans="2:7" x14ac:dyDescent="0.25">
      <c r="B1400" s="24"/>
      <c r="C1400" s="24"/>
      <c r="D1400" s="26"/>
      <c r="E1400" s="24"/>
      <c r="F1400" s="145"/>
      <c r="G1400" s="36"/>
    </row>
    <row r="1401" spans="2:7" x14ac:dyDescent="0.25">
      <c r="B1401" s="24"/>
      <c r="C1401" s="24"/>
      <c r="D1401" s="26"/>
      <c r="E1401" s="24"/>
      <c r="F1401" s="145"/>
      <c r="G1401" s="36"/>
    </row>
    <row r="1402" spans="2:7" x14ac:dyDescent="0.25">
      <c r="B1402" s="24"/>
      <c r="C1402" s="24"/>
      <c r="D1402" s="26"/>
      <c r="E1402" s="24"/>
      <c r="F1402" s="145"/>
      <c r="G1402" s="36"/>
    </row>
    <row r="1403" spans="2:7" x14ac:dyDescent="0.25">
      <c r="B1403" s="24"/>
      <c r="C1403" s="24"/>
      <c r="D1403" s="26"/>
      <c r="E1403" s="24"/>
      <c r="F1403" s="145"/>
      <c r="G1403" s="36"/>
    </row>
    <row r="1404" spans="2:7" x14ac:dyDescent="0.25">
      <c r="B1404" s="24"/>
      <c r="C1404" s="24"/>
      <c r="D1404" s="26"/>
      <c r="E1404" s="24"/>
      <c r="F1404" s="145"/>
      <c r="G1404" s="36"/>
    </row>
    <row r="1405" spans="2:7" x14ac:dyDescent="0.25">
      <c r="B1405" s="24"/>
      <c r="C1405" s="24"/>
      <c r="D1405" s="26"/>
      <c r="E1405" s="24"/>
      <c r="F1405" s="145"/>
      <c r="G1405" s="36"/>
    </row>
    <row r="1406" spans="2:7" x14ac:dyDescent="0.25">
      <c r="B1406" s="24"/>
      <c r="C1406" s="24"/>
      <c r="D1406" s="26"/>
      <c r="E1406" s="24"/>
      <c r="F1406" s="145"/>
      <c r="G1406" s="36"/>
    </row>
    <row r="1407" spans="2:7" x14ac:dyDescent="0.25">
      <c r="B1407" s="24"/>
      <c r="C1407" s="24"/>
      <c r="D1407" s="26"/>
      <c r="E1407" s="24"/>
      <c r="F1407" s="145"/>
      <c r="G1407" s="36"/>
    </row>
    <row r="1408" spans="2:7" x14ac:dyDescent="0.25">
      <c r="B1408" s="24"/>
      <c r="C1408" s="24"/>
      <c r="D1408" s="26"/>
      <c r="E1408" s="24"/>
      <c r="F1408" s="145"/>
      <c r="G1408" s="36"/>
    </row>
    <row r="1409" spans="2:7" x14ac:dyDescent="0.25">
      <c r="B1409" s="24"/>
      <c r="C1409" s="24"/>
      <c r="D1409" s="26"/>
      <c r="E1409" s="24"/>
      <c r="F1409" s="145"/>
      <c r="G1409" s="36"/>
    </row>
    <row r="1410" spans="2:7" x14ac:dyDescent="0.25">
      <c r="B1410" s="24"/>
      <c r="C1410" s="24"/>
      <c r="D1410" s="26"/>
      <c r="E1410" s="24"/>
      <c r="F1410" s="145"/>
      <c r="G1410" s="36"/>
    </row>
    <row r="1411" spans="2:7" x14ac:dyDescent="0.25">
      <c r="B1411" s="24"/>
      <c r="C1411" s="24"/>
      <c r="D1411" s="26"/>
      <c r="E1411" s="24"/>
      <c r="F1411" s="145"/>
      <c r="G1411" s="36"/>
    </row>
    <row r="1412" spans="2:7" x14ac:dyDescent="0.25">
      <c r="B1412" s="24"/>
      <c r="C1412" s="24"/>
      <c r="D1412" s="26"/>
      <c r="E1412" s="24"/>
      <c r="F1412" s="145"/>
      <c r="G1412" s="36"/>
    </row>
    <row r="1413" spans="2:7" x14ac:dyDescent="0.25">
      <c r="B1413" s="24"/>
      <c r="C1413" s="24"/>
      <c r="D1413" s="26"/>
      <c r="E1413" s="24"/>
      <c r="F1413" s="145"/>
      <c r="G1413" s="36"/>
    </row>
    <row r="1414" spans="2:7" x14ac:dyDescent="0.25">
      <c r="B1414" s="24"/>
      <c r="C1414" s="24"/>
      <c r="D1414" s="26"/>
      <c r="E1414" s="24"/>
      <c r="F1414" s="145"/>
      <c r="G1414" s="36"/>
    </row>
    <row r="1415" spans="2:7" x14ac:dyDescent="0.25">
      <c r="B1415" s="24"/>
      <c r="C1415" s="24"/>
      <c r="D1415" s="26"/>
      <c r="E1415" s="24"/>
      <c r="F1415" s="145"/>
      <c r="G1415" s="36"/>
    </row>
    <row r="1416" spans="2:7" x14ac:dyDescent="0.25">
      <c r="B1416" s="24"/>
      <c r="C1416" s="24"/>
      <c r="D1416" s="26"/>
      <c r="E1416" s="24"/>
      <c r="F1416" s="145"/>
      <c r="G1416" s="36"/>
    </row>
    <row r="1417" spans="2:7" x14ac:dyDescent="0.25">
      <c r="B1417" s="24"/>
      <c r="C1417" s="24"/>
      <c r="D1417" s="26"/>
      <c r="E1417" s="24"/>
      <c r="F1417" s="145"/>
      <c r="G1417" s="36"/>
    </row>
    <row r="1418" spans="2:7" x14ac:dyDescent="0.25">
      <c r="B1418" s="24"/>
      <c r="C1418" s="24"/>
      <c r="D1418" s="26"/>
      <c r="E1418" s="24"/>
      <c r="F1418" s="145"/>
      <c r="G1418" s="36"/>
    </row>
    <row r="1419" spans="2:7" x14ac:dyDescent="0.25">
      <c r="B1419" s="24"/>
      <c r="C1419" s="24"/>
      <c r="D1419" s="26"/>
      <c r="E1419" s="24"/>
      <c r="F1419" s="145"/>
      <c r="G1419" s="36"/>
    </row>
    <row r="1420" spans="2:7" x14ac:dyDescent="0.25">
      <c r="B1420" s="24"/>
      <c r="C1420" s="24"/>
      <c r="D1420" s="26"/>
      <c r="E1420" s="24"/>
      <c r="F1420" s="145"/>
      <c r="G1420" s="36"/>
    </row>
    <row r="1421" spans="2:7" x14ac:dyDescent="0.25">
      <c r="B1421" s="24"/>
      <c r="C1421" s="24"/>
      <c r="D1421" s="26"/>
      <c r="E1421" s="24"/>
      <c r="F1421" s="145"/>
      <c r="G1421" s="36"/>
    </row>
    <row r="1422" spans="2:7" x14ac:dyDescent="0.25">
      <c r="B1422" s="24"/>
      <c r="C1422" s="24"/>
      <c r="D1422" s="26"/>
      <c r="E1422" s="24"/>
      <c r="F1422" s="145"/>
      <c r="G1422" s="36"/>
    </row>
    <row r="1423" spans="2:7" x14ac:dyDescent="0.25">
      <c r="B1423" s="24"/>
      <c r="C1423" s="24"/>
      <c r="D1423" s="26"/>
      <c r="E1423" s="24"/>
      <c r="F1423" s="145"/>
      <c r="G1423" s="36"/>
    </row>
    <row r="1424" spans="2:7" x14ac:dyDescent="0.25">
      <c r="B1424" s="24"/>
      <c r="C1424" s="24"/>
      <c r="D1424" s="26"/>
      <c r="E1424" s="24"/>
      <c r="F1424" s="145"/>
      <c r="G1424" s="36"/>
    </row>
    <row r="1425" spans="2:7" x14ac:dyDescent="0.25">
      <c r="B1425" s="24"/>
      <c r="C1425" s="24"/>
      <c r="D1425" s="26"/>
      <c r="E1425" s="24"/>
      <c r="F1425" s="145"/>
      <c r="G1425" s="36"/>
    </row>
    <row r="1426" spans="2:7" x14ac:dyDescent="0.25">
      <c r="B1426" s="24"/>
      <c r="C1426" s="24"/>
      <c r="D1426" s="26"/>
      <c r="E1426" s="24"/>
      <c r="F1426" s="145"/>
      <c r="G1426" s="36"/>
    </row>
    <row r="1427" spans="2:7" x14ac:dyDescent="0.25">
      <c r="B1427" s="24"/>
      <c r="C1427" s="24"/>
      <c r="D1427" s="26"/>
      <c r="E1427" s="24"/>
      <c r="F1427" s="145"/>
      <c r="G1427" s="36"/>
    </row>
    <row r="1428" spans="2:7" x14ac:dyDescent="0.25">
      <c r="B1428" s="24"/>
      <c r="C1428" s="24"/>
      <c r="D1428" s="26"/>
      <c r="E1428" s="24"/>
      <c r="F1428" s="145"/>
      <c r="G1428" s="36"/>
    </row>
    <row r="1429" spans="2:7" x14ac:dyDescent="0.25">
      <c r="B1429" s="24"/>
      <c r="C1429" s="24"/>
      <c r="D1429" s="26"/>
      <c r="E1429" s="24"/>
      <c r="F1429" s="145"/>
      <c r="G1429" s="36"/>
    </row>
    <row r="1430" spans="2:7" x14ac:dyDescent="0.25">
      <c r="B1430" s="24"/>
      <c r="C1430" s="24"/>
      <c r="D1430" s="26"/>
      <c r="E1430" s="24"/>
      <c r="F1430" s="145"/>
      <c r="G1430" s="36"/>
    </row>
    <row r="1431" spans="2:7" x14ac:dyDescent="0.25">
      <c r="B1431" s="24"/>
      <c r="C1431" s="24"/>
      <c r="D1431" s="26"/>
      <c r="E1431" s="24"/>
      <c r="F1431" s="145"/>
      <c r="G1431" s="36"/>
    </row>
    <row r="1432" spans="2:7" x14ac:dyDescent="0.25">
      <c r="B1432" s="24"/>
      <c r="C1432" s="24"/>
      <c r="D1432" s="26"/>
      <c r="E1432" s="24"/>
      <c r="F1432" s="145"/>
      <c r="G1432" s="36"/>
    </row>
    <row r="1433" spans="2:7" x14ac:dyDescent="0.25">
      <c r="B1433" s="24"/>
      <c r="C1433" s="24"/>
      <c r="D1433" s="26"/>
      <c r="E1433" s="24"/>
      <c r="F1433" s="145"/>
      <c r="G1433" s="36"/>
    </row>
    <row r="1434" spans="2:7" x14ac:dyDescent="0.25">
      <c r="B1434" s="24"/>
      <c r="C1434" s="24"/>
      <c r="D1434" s="26"/>
      <c r="E1434" s="24"/>
      <c r="F1434" s="145"/>
      <c r="G1434" s="36"/>
    </row>
    <row r="1435" spans="2:7" x14ac:dyDescent="0.25">
      <c r="B1435" s="24"/>
      <c r="C1435" s="24"/>
      <c r="D1435" s="26"/>
      <c r="E1435" s="24"/>
      <c r="F1435" s="145"/>
      <c r="G1435" s="36"/>
    </row>
    <row r="1436" spans="2:7" x14ac:dyDescent="0.25">
      <c r="B1436" s="24"/>
      <c r="C1436" s="24"/>
      <c r="D1436" s="26"/>
      <c r="E1436" s="24"/>
      <c r="F1436" s="145"/>
      <c r="G1436" s="36"/>
    </row>
    <row r="1437" spans="2:7" x14ac:dyDescent="0.25">
      <c r="B1437" s="24"/>
      <c r="C1437" s="24"/>
      <c r="D1437" s="26"/>
      <c r="E1437" s="24"/>
      <c r="F1437" s="145"/>
      <c r="G1437" s="36"/>
    </row>
    <row r="1438" spans="2:7" x14ac:dyDescent="0.25">
      <c r="B1438" s="24"/>
      <c r="C1438" s="24"/>
      <c r="D1438" s="26"/>
      <c r="E1438" s="24"/>
      <c r="F1438" s="145"/>
      <c r="G1438" s="36"/>
    </row>
    <row r="1439" spans="2:7" x14ac:dyDescent="0.25">
      <c r="B1439" s="24"/>
      <c r="C1439" s="24"/>
      <c r="D1439" s="26"/>
      <c r="E1439" s="24"/>
      <c r="F1439" s="145"/>
      <c r="G1439" s="36"/>
    </row>
    <row r="1440" spans="2:7" x14ac:dyDescent="0.25">
      <c r="B1440" s="24"/>
      <c r="C1440" s="24"/>
      <c r="D1440" s="26"/>
      <c r="E1440" s="24"/>
      <c r="F1440" s="145"/>
      <c r="G1440" s="36"/>
    </row>
    <row r="1441" spans="2:7" x14ac:dyDescent="0.25">
      <c r="B1441" s="24"/>
      <c r="C1441" s="24"/>
      <c r="D1441" s="26"/>
      <c r="E1441" s="24"/>
      <c r="F1441" s="145"/>
      <c r="G1441" s="36"/>
    </row>
    <row r="1442" spans="2:7" x14ac:dyDescent="0.25">
      <c r="B1442" s="24"/>
      <c r="C1442" s="24"/>
      <c r="D1442" s="26"/>
      <c r="E1442" s="24"/>
      <c r="F1442" s="145"/>
      <c r="G1442" s="36"/>
    </row>
    <row r="1443" spans="2:7" x14ac:dyDescent="0.25">
      <c r="B1443" s="24"/>
      <c r="C1443" s="24"/>
      <c r="D1443" s="26"/>
      <c r="E1443" s="24"/>
      <c r="F1443" s="145"/>
      <c r="G1443" s="36"/>
    </row>
    <row r="1444" spans="2:7" x14ac:dyDescent="0.25">
      <c r="B1444" s="24"/>
      <c r="C1444" s="24"/>
      <c r="D1444" s="26"/>
      <c r="E1444" s="24"/>
      <c r="F1444" s="145"/>
      <c r="G1444" s="36"/>
    </row>
    <row r="1445" spans="2:7" x14ac:dyDescent="0.25">
      <c r="B1445" s="24"/>
      <c r="C1445" s="24"/>
      <c r="D1445" s="26"/>
      <c r="E1445" s="24"/>
      <c r="F1445" s="145"/>
      <c r="G1445" s="36"/>
    </row>
    <row r="1446" spans="2:7" x14ac:dyDescent="0.25">
      <c r="B1446" s="24"/>
      <c r="C1446" s="24"/>
      <c r="D1446" s="26"/>
      <c r="E1446" s="24"/>
      <c r="F1446" s="145"/>
      <c r="G1446" s="36"/>
    </row>
    <row r="1447" spans="2:7" x14ac:dyDescent="0.25">
      <c r="B1447" s="24"/>
      <c r="C1447" s="24"/>
      <c r="D1447" s="26"/>
      <c r="E1447" s="24"/>
      <c r="F1447" s="145"/>
      <c r="G1447" s="36"/>
    </row>
    <row r="1448" spans="2:7" x14ac:dyDescent="0.25">
      <c r="B1448" s="24"/>
      <c r="C1448" s="24"/>
      <c r="D1448" s="26"/>
      <c r="E1448" s="24"/>
      <c r="F1448" s="145"/>
      <c r="G1448" s="36"/>
    </row>
    <row r="1449" spans="2:7" x14ac:dyDescent="0.25">
      <c r="B1449" s="24"/>
      <c r="C1449" s="24"/>
      <c r="D1449" s="26"/>
      <c r="E1449" s="24"/>
      <c r="F1449" s="145"/>
      <c r="G1449" s="36"/>
    </row>
    <row r="1450" spans="2:7" x14ac:dyDescent="0.25">
      <c r="B1450" s="24"/>
      <c r="C1450" s="24"/>
      <c r="D1450" s="26"/>
      <c r="E1450" s="24"/>
      <c r="F1450" s="145"/>
      <c r="G1450" s="36"/>
    </row>
    <row r="1451" spans="2:7" x14ac:dyDescent="0.25">
      <c r="B1451" s="24"/>
      <c r="C1451" s="24"/>
      <c r="D1451" s="26"/>
      <c r="E1451" s="24"/>
      <c r="F1451" s="145"/>
      <c r="G1451" s="36"/>
    </row>
    <row r="1452" spans="2:7" x14ac:dyDescent="0.25">
      <c r="B1452" s="24"/>
      <c r="C1452" s="24"/>
      <c r="D1452" s="26"/>
      <c r="E1452" s="24"/>
      <c r="F1452" s="145"/>
      <c r="G1452" s="36"/>
    </row>
    <row r="1453" spans="2:7" x14ac:dyDescent="0.25">
      <c r="B1453" s="24"/>
      <c r="C1453" s="24"/>
      <c r="D1453" s="26"/>
      <c r="E1453" s="24"/>
      <c r="F1453" s="145"/>
      <c r="G1453" s="36"/>
    </row>
    <row r="1454" spans="2:7" x14ac:dyDescent="0.25">
      <c r="B1454" s="24"/>
      <c r="C1454" s="24"/>
      <c r="D1454" s="26"/>
      <c r="E1454" s="24"/>
      <c r="F1454" s="145"/>
      <c r="G1454" s="36"/>
    </row>
    <row r="1455" spans="2:7" x14ac:dyDescent="0.25">
      <c r="B1455" s="24"/>
      <c r="C1455" s="24"/>
      <c r="D1455" s="26"/>
      <c r="E1455" s="24"/>
      <c r="F1455" s="145"/>
      <c r="G1455" s="36"/>
    </row>
    <row r="1456" spans="2:7" x14ac:dyDescent="0.25">
      <c r="B1456" s="24"/>
      <c r="C1456" s="24"/>
      <c r="D1456" s="26"/>
      <c r="E1456" s="24"/>
      <c r="F1456" s="145"/>
      <c r="G1456" s="36"/>
    </row>
    <row r="1457" spans="2:7" x14ac:dyDescent="0.25">
      <c r="B1457" s="24"/>
      <c r="C1457" s="24"/>
      <c r="D1457" s="26"/>
      <c r="E1457" s="24"/>
      <c r="F1457" s="145"/>
      <c r="G1457" s="36"/>
    </row>
    <row r="1458" spans="2:7" x14ac:dyDescent="0.25">
      <c r="B1458" s="24"/>
      <c r="C1458" s="24"/>
      <c r="D1458" s="26"/>
      <c r="E1458" s="24"/>
      <c r="F1458" s="145"/>
      <c r="G1458" s="36"/>
    </row>
    <row r="1459" spans="2:7" x14ac:dyDescent="0.25">
      <c r="B1459" s="24"/>
      <c r="C1459" s="24"/>
      <c r="D1459" s="26"/>
      <c r="E1459" s="24"/>
      <c r="F1459" s="145"/>
      <c r="G1459" s="36"/>
    </row>
    <row r="1460" spans="2:7" x14ac:dyDescent="0.25">
      <c r="B1460" s="24"/>
      <c r="C1460" s="24"/>
      <c r="D1460" s="26"/>
      <c r="E1460" s="24"/>
      <c r="F1460" s="145"/>
      <c r="G1460" s="36"/>
    </row>
    <row r="1461" spans="2:7" x14ac:dyDescent="0.25">
      <c r="B1461" s="24"/>
      <c r="C1461" s="24"/>
      <c r="D1461" s="26"/>
      <c r="E1461" s="24"/>
      <c r="F1461" s="145"/>
      <c r="G1461" s="36"/>
    </row>
    <row r="1462" spans="2:7" x14ac:dyDescent="0.25">
      <c r="B1462" s="24"/>
      <c r="C1462" s="24"/>
      <c r="D1462" s="26"/>
      <c r="E1462" s="24"/>
      <c r="F1462" s="145"/>
      <c r="G1462" s="36"/>
    </row>
    <row r="1463" spans="2:7" x14ac:dyDescent="0.25">
      <c r="B1463" s="24"/>
      <c r="C1463" s="24"/>
      <c r="D1463" s="26"/>
      <c r="E1463" s="24"/>
      <c r="F1463" s="145"/>
      <c r="G1463" s="36"/>
    </row>
    <row r="1464" spans="2:7" x14ac:dyDescent="0.25">
      <c r="B1464" s="24"/>
      <c r="C1464" s="24"/>
      <c r="D1464" s="26"/>
      <c r="E1464" s="24"/>
      <c r="F1464" s="145"/>
      <c r="G1464" s="36"/>
    </row>
    <row r="1465" spans="2:7" x14ac:dyDescent="0.25">
      <c r="B1465" s="24"/>
      <c r="C1465" s="24"/>
      <c r="D1465" s="26"/>
      <c r="E1465" s="24"/>
      <c r="F1465" s="145"/>
      <c r="G1465" s="36"/>
    </row>
    <row r="1466" spans="2:7" x14ac:dyDescent="0.25">
      <c r="B1466" s="24"/>
      <c r="C1466" s="24"/>
      <c r="D1466" s="26"/>
      <c r="E1466" s="24"/>
      <c r="F1466" s="145"/>
      <c r="G1466" s="36"/>
    </row>
    <row r="1467" spans="2:7" x14ac:dyDescent="0.25">
      <c r="B1467" s="24"/>
      <c r="C1467" s="24"/>
      <c r="D1467" s="26"/>
      <c r="E1467" s="24"/>
      <c r="F1467" s="145"/>
      <c r="G1467" s="36"/>
    </row>
    <row r="1468" spans="2:7" x14ac:dyDescent="0.25">
      <c r="B1468" s="24"/>
      <c r="C1468" s="24"/>
      <c r="D1468" s="26"/>
      <c r="E1468" s="24"/>
      <c r="F1468" s="145"/>
      <c r="G1468" s="36"/>
    </row>
    <row r="1469" spans="2:7" x14ac:dyDescent="0.25">
      <c r="B1469" s="24"/>
      <c r="C1469" s="24"/>
      <c r="D1469" s="26"/>
      <c r="E1469" s="24"/>
      <c r="F1469" s="145"/>
      <c r="G1469" s="36"/>
    </row>
    <row r="1470" spans="2:7" x14ac:dyDescent="0.25">
      <c r="B1470" s="24"/>
      <c r="C1470" s="24"/>
      <c r="D1470" s="26"/>
      <c r="E1470" s="24"/>
      <c r="F1470" s="145"/>
      <c r="G1470" s="36"/>
    </row>
    <row r="1471" spans="2:7" x14ac:dyDescent="0.25">
      <c r="B1471" s="24"/>
      <c r="C1471" s="24"/>
      <c r="D1471" s="26"/>
      <c r="E1471" s="24"/>
      <c r="F1471" s="145"/>
      <c r="G1471" s="36"/>
    </row>
    <row r="1472" spans="2:7" x14ac:dyDescent="0.25">
      <c r="B1472" s="24"/>
      <c r="C1472" s="24"/>
      <c r="D1472" s="26"/>
      <c r="E1472" s="24"/>
      <c r="F1472" s="145"/>
      <c r="G1472" s="36"/>
    </row>
    <row r="1473" spans="2:7" x14ac:dyDescent="0.25">
      <c r="B1473" s="24"/>
      <c r="C1473" s="24"/>
      <c r="D1473" s="26"/>
      <c r="E1473" s="24"/>
      <c r="F1473" s="145"/>
      <c r="G1473" s="36"/>
    </row>
    <row r="1474" spans="2:7" x14ac:dyDescent="0.25">
      <c r="B1474" s="24"/>
      <c r="C1474" s="24"/>
      <c r="D1474" s="26"/>
      <c r="E1474" s="24"/>
      <c r="F1474" s="145"/>
      <c r="G1474" s="36"/>
    </row>
    <row r="1475" spans="2:7" x14ac:dyDescent="0.25">
      <c r="B1475" s="24"/>
      <c r="C1475" s="24"/>
      <c r="D1475" s="26"/>
      <c r="E1475" s="24"/>
      <c r="F1475" s="145"/>
      <c r="G1475" s="36"/>
    </row>
    <row r="1476" spans="2:7" x14ac:dyDescent="0.25">
      <c r="B1476" s="24"/>
      <c r="C1476" s="24"/>
      <c r="D1476" s="26"/>
      <c r="E1476" s="24"/>
      <c r="F1476" s="145"/>
      <c r="G1476" s="36"/>
    </row>
    <row r="1477" spans="2:7" x14ac:dyDescent="0.25">
      <c r="B1477" s="24"/>
      <c r="C1477" s="24"/>
      <c r="D1477" s="26"/>
      <c r="E1477" s="24"/>
      <c r="F1477" s="145"/>
      <c r="G1477" s="36"/>
    </row>
    <row r="1478" spans="2:7" x14ac:dyDescent="0.25">
      <c r="B1478" s="24"/>
      <c r="C1478" s="24"/>
      <c r="D1478" s="26"/>
      <c r="E1478" s="24"/>
      <c r="F1478" s="145"/>
      <c r="G1478" s="36"/>
    </row>
    <row r="1479" spans="2:7" x14ac:dyDescent="0.25">
      <c r="B1479" s="24"/>
      <c r="C1479" s="24"/>
      <c r="D1479" s="26"/>
      <c r="E1479" s="24"/>
      <c r="F1479" s="145"/>
      <c r="G1479" s="36"/>
    </row>
    <row r="1480" spans="2:7" x14ac:dyDescent="0.25">
      <c r="B1480" s="24"/>
      <c r="C1480" s="24"/>
      <c r="D1480" s="26"/>
      <c r="E1480" s="24"/>
      <c r="F1480" s="145"/>
      <c r="G1480" s="36"/>
    </row>
    <row r="1481" spans="2:7" x14ac:dyDescent="0.25">
      <c r="B1481" s="24"/>
      <c r="C1481" s="24"/>
      <c r="D1481" s="26"/>
      <c r="E1481" s="24"/>
      <c r="F1481" s="145"/>
      <c r="G1481" s="36"/>
    </row>
    <row r="1482" spans="2:7" x14ac:dyDescent="0.25">
      <c r="B1482" s="24"/>
      <c r="C1482" s="24"/>
      <c r="D1482" s="26"/>
      <c r="E1482" s="24"/>
      <c r="F1482" s="145"/>
      <c r="G1482" s="36"/>
    </row>
    <row r="1483" spans="2:7" x14ac:dyDescent="0.25">
      <c r="B1483" s="24"/>
      <c r="C1483" s="24"/>
      <c r="D1483" s="26"/>
      <c r="E1483" s="24"/>
      <c r="F1483" s="145"/>
      <c r="G1483" s="36"/>
    </row>
    <row r="1484" spans="2:7" x14ac:dyDescent="0.25">
      <c r="B1484" s="24"/>
      <c r="C1484" s="24"/>
      <c r="D1484" s="26"/>
      <c r="E1484" s="24"/>
      <c r="F1484" s="145"/>
      <c r="G1484" s="36"/>
    </row>
    <row r="1485" spans="2:7" x14ac:dyDescent="0.25">
      <c r="B1485" s="24"/>
      <c r="C1485" s="24"/>
      <c r="D1485" s="26"/>
      <c r="E1485" s="24"/>
      <c r="F1485" s="145"/>
      <c r="G1485" s="36"/>
    </row>
    <row r="1486" spans="2:7" x14ac:dyDescent="0.25">
      <c r="B1486" s="24"/>
      <c r="C1486" s="24"/>
      <c r="D1486" s="26"/>
      <c r="E1486" s="24"/>
      <c r="F1486" s="145"/>
      <c r="G1486" s="36"/>
    </row>
    <row r="1487" spans="2:7" x14ac:dyDescent="0.25">
      <c r="B1487" s="24"/>
      <c r="C1487" s="24"/>
      <c r="D1487" s="26"/>
      <c r="E1487" s="24"/>
      <c r="F1487" s="145"/>
      <c r="G1487" s="36"/>
    </row>
    <row r="1488" spans="2:7" x14ac:dyDescent="0.25">
      <c r="B1488" s="24"/>
      <c r="C1488" s="24"/>
      <c r="D1488" s="26"/>
      <c r="E1488" s="24"/>
      <c r="F1488" s="145"/>
      <c r="G1488" s="36"/>
    </row>
    <row r="1489" spans="2:7" x14ac:dyDescent="0.25">
      <c r="B1489" s="24"/>
      <c r="C1489" s="24"/>
      <c r="D1489" s="26"/>
      <c r="E1489" s="24"/>
      <c r="F1489" s="145"/>
      <c r="G1489" s="36"/>
    </row>
    <row r="1490" spans="2:7" x14ac:dyDescent="0.25">
      <c r="B1490" s="24"/>
      <c r="C1490" s="24"/>
      <c r="D1490" s="26"/>
      <c r="E1490" s="24"/>
      <c r="F1490" s="145"/>
      <c r="G1490" s="36"/>
    </row>
    <row r="1491" spans="2:7" x14ac:dyDescent="0.25">
      <c r="B1491" s="24"/>
      <c r="C1491" s="24"/>
      <c r="D1491" s="26"/>
      <c r="E1491" s="24"/>
      <c r="F1491" s="145"/>
      <c r="G1491" s="36"/>
    </row>
    <row r="1492" spans="2:7" x14ac:dyDescent="0.25">
      <c r="B1492" s="24"/>
      <c r="C1492" s="24"/>
      <c r="D1492" s="26"/>
      <c r="E1492" s="24"/>
      <c r="F1492" s="145"/>
      <c r="G1492" s="36"/>
    </row>
    <row r="1493" spans="2:7" x14ac:dyDescent="0.25">
      <c r="B1493" s="24"/>
      <c r="C1493" s="24"/>
      <c r="D1493" s="26"/>
      <c r="E1493" s="24"/>
      <c r="F1493" s="145"/>
      <c r="G1493" s="36"/>
    </row>
    <row r="1494" spans="2:7" x14ac:dyDescent="0.25">
      <c r="B1494" s="24"/>
      <c r="C1494" s="24"/>
      <c r="D1494" s="26"/>
      <c r="E1494" s="24"/>
      <c r="F1494" s="145"/>
      <c r="G1494" s="36"/>
    </row>
    <row r="1495" spans="2:7" x14ac:dyDescent="0.25">
      <c r="B1495" s="24"/>
      <c r="C1495" s="24"/>
      <c r="D1495" s="26"/>
      <c r="E1495" s="24"/>
      <c r="F1495" s="145"/>
      <c r="G1495" s="36"/>
    </row>
    <row r="1496" spans="2:7" x14ac:dyDescent="0.25">
      <c r="B1496" s="24"/>
      <c r="C1496" s="24"/>
      <c r="D1496" s="26"/>
      <c r="E1496" s="24"/>
      <c r="F1496" s="145"/>
      <c r="G1496" s="36"/>
    </row>
    <row r="1497" spans="2:7" x14ac:dyDescent="0.25">
      <c r="B1497" s="24"/>
      <c r="C1497" s="24"/>
      <c r="D1497" s="26"/>
      <c r="E1497" s="24"/>
      <c r="F1497" s="145"/>
      <c r="G1497" s="36"/>
    </row>
    <row r="1498" spans="2:7" x14ac:dyDescent="0.25">
      <c r="B1498" s="24"/>
      <c r="C1498" s="24"/>
      <c r="D1498" s="26"/>
      <c r="E1498" s="24"/>
      <c r="F1498" s="145"/>
      <c r="G1498" s="36"/>
    </row>
    <row r="1499" spans="2:7" x14ac:dyDescent="0.25">
      <c r="B1499" s="24"/>
      <c r="C1499" s="24"/>
      <c r="D1499" s="26"/>
      <c r="E1499" s="24"/>
      <c r="F1499" s="145"/>
      <c r="G1499" s="36"/>
    </row>
    <row r="1500" spans="2:7" x14ac:dyDescent="0.25">
      <c r="B1500" s="24"/>
      <c r="C1500" s="24"/>
      <c r="D1500" s="26"/>
      <c r="E1500" s="24"/>
      <c r="F1500" s="145"/>
      <c r="G1500" s="36"/>
    </row>
    <row r="1501" spans="2:7" x14ac:dyDescent="0.25">
      <c r="B1501" s="24"/>
      <c r="C1501" s="24"/>
      <c r="D1501" s="26"/>
      <c r="E1501" s="24"/>
      <c r="F1501" s="145"/>
      <c r="G1501" s="36"/>
    </row>
    <row r="1502" spans="2:7" x14ac:dyDescent="0.25">
      <c r="B1502" s="24"/>
      <c r="C1502" s="24"/>
      <c r="D1502" s="26"/>
      <c r="E1502" s="24"/>
      <c r="F1502" s="145"/>
      <c r="G1502" s="36"/>
    </row>
    <row r="1503" spans="2:7" x14ac:dyDescent="0.25">
      <c r="B1503" s="24"/>
      <c r="C1503" s="24"/>
      <c r="D1503" s="26"/>
      <c r="E1503" s="24"/>
      <c r="F1503" s="145"/>
      <c r="G1503" s="36"/>
    </row>
    <row r="1504" spans="2:7" x14ac:dyDescent="0.25">
      <c r="B1504" s="24"/>
      <c r="C1504" s="24"/>
      <c r="D1504" s="26"/>
      <c r="E1504" s="24"/>
      <c r="F1504" s="145"/>
      <c r="G1504" s="36"/>
    </row>
    <row r="1505" spans="2:7" x14ac:dyDescent="0.25">
      <c r="B1505" s="24"/>
      <c r="C1505" s="24"/>
      <c r="D1505" s="26"/>
      <c r="E1505" s="24"/>
      <c r="F1505" s="145"/>
      <c r="G1505" s="36"/>
    </row>
    <row r="1506" spans="2:7" x14ac:dyDescent="0.25">
      <c r="B1506" s="24"/>
      <c r="C1506" s="24"/>
      <c r="D1506" s="26"/>
      <c r="E1506" s="24"/>
      <c r="F1506" s="145"/>
      <c r="G1506" s="36"/>
    </row>
    <row r="1507" spans="2:7" x14ac:dyDescent="0.25">
      <c r="B1507" s="24"/>
      <c r="C1507" s="24"/>
      <c r="D1507" s="26"/>
      <c r="E1507" s="24"/>
      <c r="F1507" s="145"/>
      <c r="G1507" s="36"/>
    </row>
    <row r="1508" spans="2:7" x14ac:dyDescent="0.25">
      <c r="B1508" s="24"/>
      <c r="C1508" s="24"/>
      <c r="D1508" s="26"/>
      <c r="E1508" s="24"/>
      <c r="F1508" s="145"/>
      <c r="G1508" s="36"/>
    </row>
    <row r="1509" spans="2:7" x14ac:dyDescent="0.25">
      <c r="B1509" s="24"/>
      <c r="C1509" s="24"/>
      <c r="D1509" s="26"/>
      <c r="E1509" s="24"/>
      <c r="F1509" s="145"/>
      <c r="G1509" s="36"/>
    </row>
    <row r="1510" spans="2:7" x14ac:dyDescent="0.25">
      <c r="B1510" s="24"/>
      <c r="C1510" s="24"/>
      <c r="D1510" s="26"/>
      <c r="E1510" s="24"/>
      <c r="F1510" s="145"/>
      <c r="G1510" s="36"/>
    </row>
    <row r="1511" spans="2:7" x14ac:dyDescent="0.25">
      <c r="B1511" s="24"/>
      <c r="C1511" s="24"/>
      <c r="D1511" s="26"/>
      <c r="E1511" s="24"/>
      <c r="F1511" s="145"/>
      <c r="G1511" s="36"/>
    </row>
    <row r="1512" spans="2:7" x14ac:dyDescent="0.25">
      <c r="B1512" s="24"/>
      <c r="C1512" s="24"/>
      <c r="D1512" s="26"/>
      <c r="E1512" s="24"/>
      <c r="F1512" s="145"/>
      <c r="G1512" s="36"/>
    </row>
    <row r="1513" spans="2:7" x14ac:dyDescent="0.25">
      <c r="B1513" s="24"/>
      <c r="C1513" s="24"/>
      <c r="D1513" s="26"/>
      <c r="E1513" s="24"/>
      <c r="F1513" s="145"/>
      <c r="G1513" s="36"/>
    </row>
    <row r="1514" spans="2:7" x14ac:dyDescent="0.25">
      <c r="B1514" s="24"/>
      <c r="C1514" s="24"/>
      <c r="D1514" s="26"/>
      <c r="E1514" s="24"/>
      <c r="F1514" s="145"/>
      <c r="G1514" s="36"/>
    </row>
    <row r="1515" spans="2:7" x14ac:dyDescent="0.25">
      <c r="B1515" s="24"/>
      <c r="C1515" s="24"/>
      <c r="D1515" s="26"/>
      <c r="E1515" s="24"/>
      <c r="F1515" s="145"/>
      <c r="G1515" s="36"/>
    </row>
    <row r="1516" spans="2:7" x14ac:dyDescent="0.25">
      <c r="B1516" s="24"/>
      <c r="C1516" s="24"/>
      <c r="D1516" s="26"/>
      <c r="E1516" s="24"/>
      <c r="F1516" s="145"/>
      <c r="G1516" s="36"/>
    </row>
    <row r="1517" spans="2:7" x14ac:dyDescent="0.25">
      <c r="B1517" s="24"/>
      <c r="C1517" s="24"/>
      <c r="D1517" s="26"/>
      <c r="E1517" s="24"/>
      <c r="F1517" s="145"/>
      <c r="G1517" s="36"/>
    </row>
    <row r="1518" spans="2:7" x14ac:dyDescent="0.25">
      <c r="B1518" s="24"/>
      <c r="C1518" s="24"/>
      <c r="D1518" s="26"/>
      <c r="E1518" s="24"/>
      <c r="F1518" s="145"/>
      <c r="G1518" s="36"/>
    </row>
    <row r="1519" spans="2:7" x14ac:dyDescent="0.25">
      <c r="B1519" s="24"/>
      <c r="C1519" s="24"/>
      <c r="D1519" s="26"/>
      <c r="E1519" s="24"/>
      <c r="F1519" s="145"/>
      <c r="G1519" s="36"/>
    </row>
    <row r="1520" spans="2:7" x14ac:dyDescent="0.25">
      <c r="B1520" s="24"/>
      <c r="C1520" s="24"/>
      <c r="D1520" s="26"/>
      <c r="E1520" s="24"/>
      <c r="F1520" s="145"/>
      <c r="G1520" s="36"/>
    </row>
    <row r="1521" spans="2:7" x14ac:dyDescent="0.25">
      <c r="B1521" s="24"/>
      <c r="C1521" s="24"/>
      <c r="D1521" s="26"/>
      <c r="E1521" s="24"/>
      <c r="F1521" s="145"/>
      <c r="G1521" s="36"/>
    </row>
    <row r="1522" spans="2:7" x14ac:dyDescent="0.25">
      <c r="B1522" s="24"/>
      <c r="C1522" s="24"/>
      <c r="D1522" s="26"/>
      <c r="E1522" s="24"/>
      <c r="F1522" s="145"/>
      <c r="G1522" s="36"/>
    </row>
    <row r="1523" spans="2:7" x14ac:dyDescent="0.25">
      <c r="B1523" s="24"/>
      <c r="C1523" s="24"/>
      <c r="D1523" s="26"/>
      <c r="E1523" s="24"/>
      <c r="F1523" s="145"/>
      <c r="G1523" s="36"/>
    </row>
    <row r="1524" spans="2:7" x14ac:dyDescent="0.25">
      <c r="B1524" s="24"/>
      <c r="C1524" s="24"/>
      <c r="D1524" s="26"/>
      <c r="E1524" s="24"/>
      <c r="F1524" s="145"/>
      <c r="G1524" s="36"/>
    </row>
    <row r="1525" spans="2:7" x14ac:dyDescent="0.25">
      <c r="B1525" s="24"/>
      <c r="C1525" s="24"/>
      <c r="D1525" s="26"/>
      <c r="E1525" s="24"/>
      <c r="F1525" s="145"/>
      <c r="G1525" s="36"/>
    </row>
    <row r="1526" spans="2:7" x14ac:dyDescent="0.25">
      <c r="B1526" s="24"/>
      <c r="C1526" s="24"/>
      <c r="D1526" s="26"/>
      <c r="E1526" s="24"/>
      <c r="F1526" s="145"/>
      <c r="G1526" s="36"/>
    </row>
    <row r="1527" spans="2:7" x14ac:dyDescent="0.25">
      <c r="B1527" s="24"/>
      <c r="C1527" s="24"/>
      <c r="D1527" s="26"/>
      <c r="E1527" s="24"/>
      <c r="F1527" s="145"/>
      <c r="G1527" s="36"/>
    </row>
    <row r="1528" spans="2:7" x14ac:dyDescent="0.25">
      <c r="B1528" s="24"/>
      <c r="C1528" s="24"/>
      <c r="D1528" s="26"/>
      <c r="E1528" s="24"/>
      <c r="F1528" s="145"/>
      <c r="G1528" s="36"/>
    </row>
    <row r="1529" spans="2:7" x14ac:dyDescent="0.25">
      <c r="B1529" s="24"/>
      <c r="C1529" s="24"/>
      <c r="D1529" s="26"/>
      <c r="E1529" s="24"/>
      <c r="F1529" s="145"/>
      <c r="G1529" s="36"/>
    </row>
    <row r="1530" spans="2:7" x14ac:dyDescent="0.25">
      <c r="B1530" s="24"/>
      <c r="C1530" s="24"/>
      <c r="D1530" s="26"/>
      <c r="E1530" s="24"/>
      <c r="F1530" s="145"/>
      <c r="G1530" s="36"/>
    </row>
    <row r="1531" spans="2:7" x14ac:dyDescent="0.25">
      <c r="B1531" s="24"/>
      <c r="C1531" s="24"/>
      <c r="D1531" s="26"/>
      <c r="E1531" s="24"/>
      <c r="F1531" s="145"/>
      <c r="G1531" s="36"/>
    </row>
    <row r="1532" spans="2:7" x14ac:dyDescent="0.25">
      <c r="B1532" s="24"/>
      <c r="C1532" s="24"/>
      <c r="D1532" s="26"/>
      <c r="E1532" s="24"/>
      <c r="F1532" s="145"/>
      <c r="G1532" s="36"/>
    </row>
    <row r="1533" spans="2:7" x14ac:dyDescent="0.25">
      <c r="B1533" s="24"/>
      <c r="C1533" s="24"/>
      <c r="D1533" s="26"/>
      <c r="E1533" s="24"/>
      <c r="F1533" s="145"/>
      <c r="G1533" s="36"/>
    </row>
    <row r="1534" spans="2:7" x14ac:dyDescent="0.25">
      <c r="B1534" s="24"/>
      <c r="C1534" s="24"/>
      <c r="D1534" s="26"/>
      <c r="E1534" s="24"/>
      <c r="F1534" s="145"/>
      <c r="G1534" s="36"/>
    </row>
    <row r="1535" spans="2:7" x14ac:dyDescent="0.25">
      <c r="B1535" s="24"/>
      <c r="C1535" s="24"/>
      <c r="D1535" s="26"/>
      <c r="E1535" s="24"/>
      <c r="F1535" s="145"/>
      <c r="G1535" s="36"/>
    </row>
    <row r="1536" spans="2:7" x14ac:dyDescent="0.25">
      <c r="B1536" s="24"/>
      <c r="C1536" s="24"/>
      <c r="D1536" s="26"/>
      <c r="E1536" s="24"/>
      <c r="F1536" s="145"/>
      <c r="G1536" s="36"/>
    </row>
    <row r="1537" spans="2:7" x14ac:dyDescent="0.25">
      <c r="B1537" s="24"/>
      <c r="C1537" s="24"/>
      <c r="D1537" s="26"/>
      <c r="E1537" s="24"/>
      <c r="F1537" s="145"/>
      <c r="G1537" s="36"/>
    </row>
    <row r="1538" spans="2:7" x14ac:dyDescent="0.25">
      <c r="B1538" s="24"/>
      <c r="C1538" s="24"/>
      <c r="D1538" s="26"/>
      <c r="E1538" s="24"/>
      <c r="F1538" s="145"/>
      <c r="G1538" s="36"/>
    </row>
    <row r="1539" spans="2:7" x14ac:dyDescent="0.25">
      <c r="B1539" s="24"/>
      <c r="C1539" s="24"/>
      <c r="D1539" s="26"/>
      <c r="E1539" s="24"/>
      <c r="F1539" s="145"/>
      <c r="G1539" s="36"/>
    </row>
    <row r="1540" spans="2:7" x14ac:dyDescent="0.25">
      <c r="B1540" s="24"/>
      <c r="C1540" s="24"/>
      <c r="D1540" s="26"/>
      <c r="E1540" s="24"/>
      <c r="F1540" s="145"/>
      <c r="G1540" s="36"/>
    </row>
    <row r="1541" spans="2:7" x14ac:dyDescent="0.25">
      <c r="B1541" s="24"/>
      <c r="C1541" s="24"/>
      <c r="D1541" s="26"/>
      <c r="E1541" s="24"/>
      <c r="F1541" s="145"/>
      <c r="G1541" s="36"/>
    </row>
    <row r="1542" spans="2:7" x14ac:dyDescent="0.25">
      <c r="B1542" s="24"/>
      <c r="C1542" s="24"/>
      <c r="D1542" s="26"/>
      <c r="E1542" s="24"/>
      <c r="F1542" s="145"/>
      <c r="G1542" s="36"/>
    </row>
    <row r="1543" spans="2:7" x14ac:dyDescent="0.25">
      <c r="B1543" s="24"/>
      <c r="C1543" s="24"/>
      <c r="D1543" s="26"/>
      <c r="E1543" s="24"/>
      <c r="F1543" s="145"/>
      <c r="G1543" s="36"/>
    </row>
    <row r="1544" spans="2:7" x14ac:dyDescent="0.25">
      <c r="B1544" s="24"/>
      <c r="C1544" s="24"/>
      <c r="D1544" s="26"/>
      <c r="E1544" s="24"/>
      <c r="F1544" s="145"/>
      <c r="G1544" s="36"/>
    </row>
    <row r="1545" spans="2:7" x14ac:dyDescent="0.25">
      <c r="B1545" s="24"/>
      <c r="C1545" s="24"/>
      <c r="D1545" s="26"/>
      <c r="E1545" s="24"/>
      <c r="F1545" s="145"/>
      <c r="G1545" s="36"/>
    </row>
    <row r="1546" spans="2:7" x14ac:dyDescent="0.25">
      <c r="B1546" s="24"/>
      <c r="C1546" s="24"/>
      <c r="D1546" s="26"/>
      <c r="E1546" s="24"/>
      <c r="F1546" s="145"/>
      <c r="G1546" s="36"/>
    </row>
    <row r="1547" spans="2:7" x14ac:dyDescent="0.25">
      <c r="B1547" s="24"/>
      <c r="C1547" s="24"/>
      <c r="D1547" s="26"/>
      <c r="E1547" s="24"/>
      <c r="F1547" s="145"/>
      <c r="G1547" s="36"/>
    </row>
    <row r="1548" spans="2:7" x14ac:dyDescent="0.25">
      <c r="B1548" s="24"/>
      <c r="C1548" s="24"/>
      <c r="D1548" s="26"/>
      <c r="E1548" s="24"/>
      <c r="F1548" s="145"/>
      <c r="G1548" s="36"/>
    </row>
    <row r="1549" spans="2:7" x14ac:dyDescent="0.25">
      <c r="B1549" s="24"/>
      <c r="C1549" s="24"/>
      <c r="D1549" s="26"/>
      <c r="E1549" s="24"/>
      <c r="F1549" s="145"/>
      <c r="G1549" s="36"/>
    </row>
    <row r="1550" spans="2:7" x14ac:dyDescent="0.25">
      <c r="B1550" s="24"/>
      <c r="C1550" s="24"/>
      <c r="D1550" s="26"/>
      <c r="E1550" s="24"/>
      <c r="F1550" s="145"/>
      <c r="G1550" s="36"/>
    </row>
    <row r="1551" spans="2:7" x14ac:dyDescent="0.25">
      <c r="B1551" s="24"/>
      <c r="C1551" s="24"/>
      <c r="D1551" s="26"/>
      <c r="E1551" s="24"/>
      <c r="F1551" s="145"/>
      <c r="G1551" s="36"/>
    </row>
    <row r="1552" spans="2:7" x14ac:dyDescent="0.25">
      <c r="B1552" s="24"/>
      <c r="C1552" s="24"/>
      <c r="D1552" s="26"/>
      <c r="E1552" s="24"/>
      <c r="F1552" s="145"/>
      <c r="G1552" s="36"/>
    </row>
    <row r="1553" spans="2:7" x14ac:dyDescent="0.25">
      <c r="B1553" s="24"/>
      <c r="C1553" s="24"/>
      <c r="D1553" s="26"/>
      <c r="E1553" s="24"/>
      <c r="F1553" s="145"/>
      <c r="G1553" s="36"/>
    </row>
    <row r="1554" spans="2:7" x14ac:dyDescent="0.25">
      <c r="B1554" s="24"/>
      <c r="C1554" s="24"/>
      <c r="D1554" s="26"/>
      <c r="E1554" s="24"/>
      <c r="F1554" s="145"/>
      <c r="G1554" s="36"/>
    </row>
    <row r="1555" spans="2:7" x14ac:dyDescent="0.25">
      <c r="B1555" s="24"/>
      <c r="C1555" s="24"/>
      <c r="D1555" s="26"/>
      <c r="E1555" s="24"/>
      <c r="F1555" s="145"/>
      <c r="G1555" s="36"/>
    </row>
    <row r="1556" spans="2:7" x14ac:dyDescent="0.25">
      <c r="B1556" s="24"/>
      <c r="C1556" s="24"/>
      <c r="D1556" s="26"/>
      <c r="E1556" s="24"/>
      <c r="F1556" s="145"/>
      <c r="G1556" s="36"/>
    </row>
    <row r="1557" spans="2:7" x14ac:dyDescent="0.25">
      <c r="B1557" s="24"/>
      <c r="C1557" s="24"/>
      <c r="D1557" s="26"/>
      <c r="E1557" s="24"/>
      <c r="F1557" s="145"/>
      <c r="G1557" s="36"/>
    </row>
    <row r="1558" spans="2:7" x14ac:dyDescent="0.25">
      <c r="B1558" s="24"/>
      <c r="C1558" s="24"/>
      <c r="D1558" s="26"/>
      <c r="E1558" s="24"/>
      <c r="F1558" s="145"/>
      <c r="G1558" s="36"/>
    </row>
    <row r="1559" spans="2:7" x14ac:dyDescent="0.25">
      <c r="B1559" s="24"/>
      <c r="C1559" s="24"/>
      <c r="D1559" s="26"/>
      <c r="E1559" s="24"/>
      <c r="F1559" s="145"/>
      <c r="G1559" s="36"/>
    </row>
    <row r="1560" spans="2:7" x14ac:dyDescent="0.25">
      <c r="B1560" s="24"/>
      <c r="C1560" s="24"/>
      <c r="D1560" s="26"/>
      <c r="E1560" s="24"/>
      <c r="F1560" s="145"/>
      <c r="G1560" s="36"/>
    </row>
    <row r="1561" spans="2:7" x14ac:dyDescent="0.25">
      <c r="B1561" s="24"/>
      <c r="C1561" s="24"/>
      <c r="D1561" s="26"/>
      <c r="E1561" s="24"/>
      <c r="F1561" s="145"/>
      <c r="G1561" s="36"/>
    </row>
    <row r="1562" spans="2:7" x14ac:dyDescent="0.25">
      <c r="B1562" s="24"/>
      <c r="C1562" s="24"/>
      <c r="D1562" s="26"/>
      <c r="E1562" s="24"/>
      <c r="F1562" s="145"/>
      <c r="G1562" s="36"/>
    </row>
    <row r="1563" spans="2:7" x14ac:dyDescent="0.25">
      <c r="B1563" s="24"/>
      <c r="C1563" s="24"/>
      <c r="D1563" s="26"/>
      <c r="E1563" s="24"/>
      <c r="F1563" s="145"/>
      <c r="G1563" s="36"/>
    </row>
    <row r="1564" spans="2:7" x14ac:dyDescent="0.25">
      <c r="B1564" s="24"/>
      <c r="C1564" s="24"/>
      <c r="D1564" s="26"/>
      <c r="E1564" s="24"/>
      <c r="F1564" s="145"/>
      <c r="G1564" s="36"/>
    </row>
    <row r="1565" spans="2:7" x14ac:dyDescent="0.25">
      <c r="B1565" s="24"/>
      <c r="C1565" s="24"/>
      <c r="D1565" s="26"/>
      <c r="E1565" s="24"/>
      <c r="F1565" s="145"/>
      <c r="G1565" s="36"/>
    </row>
    <row r="1566" spans="2:7" x14ac:dyDescent="0.25">
      <c r="B1566" s="24"/>
      <c r="C1566" s="24"/>
      <c r="D1566" s="26"/>
      <c r="E1566" s="24"/>
      <c r="F1566" s="145"/>
      <c r="G1566" s="36"/>
    </row>
    <row r="1567" spans="2:7" x14ac:dyDescent="0.25">
      <c r="B1567" s="24"/>
      <c r="C1567" s="24"/>
      <c r="D1567" s="26"/>
      <c r="E1567" s="24"/>
      <c r="F1567" s="145"/>
      <c r="G1567" s="36"/>
    </row>
    <row r="1568" spans="2:7" x14ac:dyDescent="0.25">
      <c r="B1568" s="24"/>
      <c r="C1568" s="24"/>
      <c r="D1568" s="26"/>
      <c r="E1568" s="24"/>
      <c r="F1568" s="145"/>
      <c r="G1568" s="36"/>
    </row>
    <row r="1569" spans="2:7" x14ac:dyDescent="0.25">
      <c r="B1569" s="24"/>
      <c r="C1569" s="24"/>
      <c r="D1569" s="26"/>
      <c r="E1569" s="24"/>
      <c r="F1569" s="145"/>
      <c r="G1569" s="36"/>
    </row>
    <row r="1570" spans="2:7" x14ac:dyDescent="0.25">
      <c r="B1570" s="24"/>
      <c r="C1570" s="24"/>
      <c r="D1570" s="26"/>
      <c r="E1570" s="24"/>
      <c r="F1570" s="145"/>
      <c r="G1570" s="36"/>
    </row>
    <row r="1571" spans="2:7" x14ac:dyDescent="0.25">
      <c r="B1571" s="24"/>
      <c r="C1571" s="24"/>
      <c r="D1571" s="26"/>
      <c r="E1571" s="24"/>
      <c r="F1571" s="145"/>
      <c r="G1571" s="36"/>
    </row>
    <row r="1572" spans="2:7" x14ac:dyDescent="0.25">
      <c r="B1572" s="24"/>
      <c r="C1572" s="24"/>
      <c r="D1572" s="26"/>
      <c r="E1572" s="24"/>
      <c r="F1572" s="145"/>
      <c r="G1572" s="36"/>
    </row>
    <row r="1573" spans="2:7" x14ac:dyDescent="0.25">
      <c r="B1573" s="24"/>
      <c r="C1573" s="24"/>
      <c r="D1573" s="26"/>
      <c r="E1573" s="24"/>
      <c r="F1573" s="145"/>
      <c r="G1573" s="36"/>
    </row>
    <row r="1574" spans="2:7" x14ac:dyDescent="0.25">
      <c r="B1574" s="24"/>
      <c r="C1574" s="24"/>
      <c r="D1574" s="26"/>
      <c r="E1574" s="24"/>
      <c r="F1574" s="145"/>
      <c r="G1574" s="36"/>
    </row>
    <row r="1575" spans="2:7" x14ac:dyDescent="0.25">
      <c r="B1575" s="24"/>
      <c r="C1575" s="24"/>
      <c r="D1575" s="26"/>
      <c r="E1575" s="24"/>
      <c r="F1575" s="145"/>
      <c r="G1575" s="36"/>
    </row>
    <row r="1576" spans="2:7" x14ac:dyDescent="0.25">
      <c r="B1576" s="24"/>
      <c r="C1576" s="24"/>
      <c r="D1576" s="26"/>
      <c r="E1576" s="24"/>
      <c r="F1576" s="145"/>
      <c r="G1576" s="36"/>
    </row>
    <row r="1577" spans="2:7" x14ac:dyDescent="0.25">
      <c r="B1577" s="24"/>
      <c r="C1577" s="24"/>
      <c r="D1577" s="26"/>
      <c r="E1577" s="24"/>
      <c r="F1577" s="145"/>
      <c r="G1577" s="36"/>
    </row>
    <row r="1578" spans="2:7" x14ac:dyDescent="0.25">
      <c r="B1578" s="24"/>
      <c r="C1578" s="24"/>
      <c r="D1578" s="26"/>
      <c r="E1578" s="24"/>
      <c r="F1578" s="145"/>
      <c r="G1578" s="36"/>
    </row>
    <row r="1579" spans="2:7" x14ac:dyDescent="0.25">
      <c r="B1579" s="24"/>
      <c r="C1579" s="24"/>
      <c r="D1579" s="26"/>
      <c r="E1579" s="24"/>
      <c r="F1579" s="145"/>
      <c r="G1579" s="36"/>
    </row>
    <row r="1580" spans="2:7" x14ac:dyDescent="0.25">
      <c r="B1580" s="24"/>
      <c r="C1580" s="24"/>
      <c r="D1580" s="26"/>
      <c r="E1580" s="24"/>
      <c r="F1580" s="145"/>
      <c r="G1580" s="36"/>
    </row>
    <row r="1581" spans="2:7" x14ac:dyDescent="0.25">
      <c r="B1581" s="24"/>
      <c r="C1581" s="24"/>
      <c r="D1581" s="26"/>
      <c r="E1581" s="24"/>
      <c r="F1581" s="145"/>
      <c r="G1581" s="36"/>
    </row>
    <row r="1582" spans="2:7" x14ac:dyDescent="0.25">
      <c r="B1582" s="24"/>
      <c r="C1582" s="24"/>
      <c r="D1582" s="26"/>
      <c r="E1582" s="24"/>
      <c r="F1582" s="145"/>
      <c r="G1582" s="36"/>
    </row>
    <row r="1583" spans="2:7" x14ac:dyDescent="0.25">
      <c r="B1583" s="24"/>
      <c r="C1583" s="24"/>
      <c r="D1583" s="26"/>
      <c r="E1583" s="24"/>
      <c r="F1583" s="145"/>
      <c r="G1583" s="36"/>
    </row>
    <row r="1584" spans="2:7" x14ac:dyDescent="0.25">
      <c r="B1584" s="24"/>
      <c r="C1584" s="24"/>
      <c r="D1584" s="26"/>
      <c r="E1584" s="24"/>
      <c r="F1584" s="145"/>
      <c r="G1584" s="36"/>
    </row>
    <row r="1585" spans="2:7" x14ac:dyDescent="0.25">
      <c r="B1585" s="24"/>
      <c r="C1585" s="24"/>
      <c r="D1585" s="26"/>
      <c r="E1585" s="24"/>
      <c r="F1585" s="145"/>
      <c r="G1585" s="36"/>
    </row>
    <row r="1586" spans="2:7" x14ac:dyDescent="0.25">
      <c r="B1586" s="24"/>
      <c r="C1586" s="24"/>
      <c r="D1586" s="26"/>
      <c r="E1586" s="24"/>
      <c r="F1586" s="145"/>
      <c r="G1586" s="36"/>
    </row>
    <row r="1587" spans="2:7" x14ac:dyDescent="0.25">
      <c r="B1587" s="24"/>
      <c r="C1587" s="24"/>
      <c r="D1587" s="26"/>
      <c r="E1587" s="24"/>
      <c r="F1587" s="145"/>
      <c r="G1587" s="36"/>
    </row>
    <row r="1588" spans="2:7" x14ac:dyDescent="0.25">
      <c r="B1588" s="24"/>
      <c r="C1588" s="24"/>
      <c r="D1588" s="26"/>
      <c r="E1588" s="24"/>
      <c r="F1588" s="145"/>
      <c r="G1588" s="36"/>
    </row>
    <row r="1589" spans="2:7" x14ac:dyDescent="0.25">
      <c r="B1589" s="24"/>
      <c r="C1589" s="24"/>
      <c r="D1589" s="26"/>
      <c r="E1589" s="24"/>
      <c r="F1589" s="145"/>
      <c r="G1589" s="36"/>
    </row>
    <row r="1590" spans="2:7" x14ac:dyDescent="0.25">
      <c r="B1590" s="24"/>
      <c r="C1590" s="24"/>
      <c r="D1590" s="26"/>
      <c r="E1590" s="24"/>
      <c r="F1590" s="145"/>
      <c r="G1590" s="36"/>
    </row>
    <row r="1591" spans="2:7" x14ac:dyDescent="0.25">
      <c r="B1591" s="24"/>
      <c r="C1591" s="24"/>
      <c r="D1591" s="26"/>
      <c r="E1591" s="24"/>
      <c r="F1591" s="145"/>
      <c r="G1591" s="36"/>
    </row>
    <row r="1592" spans="2:7" x14ac:dyDescent="0.25">
      <c r="B1592" s="24"/>
      <c r="C1592" s="24"/>
      <c r="D1592" s="26"/>
      <c r="E1592" s="24"/>
      <c r="F1592" s="145"/>
      <c r="G1592" s="36"/>
    </row>
    <row r="1593" spans="2:7" x14ac:dyDescent="0.25">
      <c r="B1593" s="24"/>
      <c r="C1593" s="24"/>
      <c r="D1593" s="26"/>
      <c r="E1593" s="24"/>
      <c r="F1593" s="145"/>
      <c r="G1593" s="36"/>
    </row>
    <row r="1594" spans="2:7" x14ac:dyDescent="0.25">
      <c r="B1594" s="24"/>
      <c r="C1594" s="24"/>
      <c r="D1594" s="26"/>
      <c r="E1594" s="24"/>
      <c r="F1594" s="145"/>
      <c r="G1594" s="36"/>
    </row>
    <row r="1595" spans="2:7" x14ac:dyDescent="0.25">
      <c r="B1595" s="24"/>
      <c r="C1595" s="24"/>
      <c r="D1595" s="26"/>
      <c r="E1595" s="24"/>
      <c r="F1595" s="145"/>
      <c r="G1595" s="36"/>
    </row>
    <row r="1596" spans="2:7" x14ac:dyDescent="0.25">
      <c r="B1596" s="24"/>
      <c r="C1596" s="24"/>
      <c r="D1596" s="26"/>
      <c r="E1596" s="24"/>
      <c r="F1596" s="145"/>
      <c r="G1596" s="36"/>
    </row>
    <row r="1597" spans="2:7" x14ac:dyDescent="0.25">
      <c r="B1597" s="24"/>
      <c r="C1597" s="24"/>
      <c r="D1597" s="26"/>
      <c r="E1597" s="24"/>
      <c r="F1597" s="145"/>
      <c r="G1597" s="36"/>
    </row>
    <row r="1598" spans="2:7" x14ac:dyDescent="0.25">
      <c r="B1598" s="24"/>
      <c r="C1598" s="24"/>
      <c r="D1598" s="26"/>
      <c r="E1598" s="24"/>
      <c r="F1598" s="145"/>
      <c r="G1598" s="36"/>
    </row>
    <row r="1599" spans="2:7" x14ac:dyDescent="0.25">
      <c r="B1599" s="24"/>
      <c r="C1599" s="24"/>
      <c r="D1599" s="26"/>
      <c r="E1599" s="24"/>
      <c r="F1599" s="145"/>
      <c r="G1599" s="36"/>
    </row>
    <row r="1600" spans="2:7" x14ac:dyDescent="0.25">
      <c r="B1600" s="24"/>
      <c r="C1600" s="24"/>
      <c r="D1600" s="26"/>
      <c r="E1600" s="24"/>
      <c r="F1600" s="145"/>
      <c r="G1600" s="36"/>
    </row>
    <row r="1601" spans="2:7" x14ac:dyDescent="0.25">
      <c r="B1601" s="24"/>
      <c r="C1601" s="24"/>
      <c r="D1601" s="26"/>
      <c r="E1601" s="24"/>
      <c r="F1601" s="145"/>
      <c r="G1601" s="36"/>
    </row>
    <row r="1602" spans="2:7" x14ac:dyDescent="0.25">
      <c r="B1602" s="24"/>
      <c r="C1602" s="24"/>
      <c r="D1602" s="26"/>
      <c r="E1602" s="24"/>
      <c r="F1602" s="145"/>
      <c r="G1602" s="36"/>
    </row>
    <row r="1603" spans="2:7" x14ac:dyDescent="0.25">
      <c r="B1603" s="24"/>
      <c r="C1603" s="24"/>
      <c r="D1603" s="26"/>
      <c r="E1603" s="24"/>
      <c r="F1603" s="145"/>
      <c r="G1603" s="36"/>
    </row>
    <row r="1604" spans="2:7" x14ac:dyDescent="0.25">
      <c r="B1604" s="24"/>
      <c r="C1604" s="24"/>
      <c r="D1604" s="26"/>
      <c r="E1604" s="24"/>
      <c r="F1604" s="145"/>
      <c r="G1604" s="36"/>
    </row>
    <row r="1605" spans="2:7" x14ac:dyDescent="0.25">
      <c r="B1605" s="24"/>
      <c r="C1605" s="24"/>
      <c r="D1605" s="26"/>
      <c r="E1605" s="24"/>
      <c r="F1605" s="145"/>
      <c r="G1605" s="36"/>
    </row>
    <row r="1606" spans="2:7" x14ac:dyDescent="0.25">
      <c r="B1606" s="24"/>
      <c r="C1606" s="24"/>
      <c r="D1606" s="26"/>
      <c r="E1606" s="24"/>
      <c r="F1606" s="145"/>
      <c r="G1606" s="36"/>
    </row>
    <row r="1607" spans="2:7" x14ac:dyDescent="0.25">
      <c r="B1607" s="24"/>
      <c r="C1607" s="24"/>
      <c r="D1607" s="26"/>
      <c r="E1607" s="24"/>
      <c r="F1607" s="145"/>
      <c r="G1607" s="36"/>
    </row>
    <row r="1608" spans="2:7" x14ac:dyDescent="0.25">
      <c r="B1608" s="24"/>
      <c r="C1608" s="24"/>
      <c r="D1608" s="26"/>
      <c r="E1608" s="24"/>
      <c r="F1608" s="145"/>
      <c r="G1608" s="36"/>
    </row>
    <row r="1609" spans="2:7" x14ac:dyDescent="0.25">
      <c r="B1609" s="24"/>
      <c r="C1609" s="24"/>
      <c r="D1609" s="26"/>
      <c r="E1609" s="24"/>
      <c r="F1609" s="145"/>
      <c r="G1609" s="36"/>
    </row>
    <row r="1610" spans="2:7" x14ac:dyDescent="0.25">
      <c r="B1610" s="24"/>
      <c r="C1610" s="24"/>
      <c r="D1610" s="26"/>
      <c r="E1610" s="24"/>
      <c r="F1610" s="145"/>
      <c r="G1610" s="36"/>
    </row>
    <row r="1611" spans="2:7" x14ac:dyDescent="0.25">
      <c r="B1611" s="24"/>
      <c r="C1611" s="24"/>
      <c r="D1611" s="26"/>
      <c r="E1611" s="24"/>
      <c r="F1611" s="145"/>
      <c r="G1611" s="36"/>
    </row>
    <row r="1612" spans="2:7" x14ac:dyDescent="0.25">
      <c r="B1612" s="24"/>
      <c r="C1612" s="24"/>
      <c r="D1612" s="26"/>
      <c r="E1612" s="24"/>
      <c r="F1612" s="145"/>
      <c r="G1612" s="36"/>
    </row>
    <row r="1613" spans="2:7" x14ac:dyDescent="0.25">
      <c r="B1613" s="24"/>
      <c r="C1613" s="24"/>
      <c r="D1613" s="26"/>
      <c r="E1613" s="24"/>
      <c r="F1613" s="145"/>
      <c r="G1613" s="36"/>
    </row>
    <row r="1614" spans="2:7" x14ac:dyDescent="0.25">
      <c r="B1614" s="24"/>
      <c r="C1614" s="24"/>
      <c r="D1614" s="26"/>
      <c r="E1614" s="24"/>
      <c r="F1614" s="145"/>
      <c r="G1614" s="36"/>
    </row>
    <row r="1615" spans="2:7" x14ac:dyDescent="0.25">
      <c r="B1615" s="24"/>
      <c r="C1615" s="24"/>
      <c r="D1615" s="26"/>
      <c r="E1615" s="24"/>
      <c r="F1615" s="145"/>
      <c r="G1615" s="36"/>
    </row>
    <row r="1616" spans="2:7" x14ac:dyDescent="0.25">
      <c r="B1616" s="24"/>
      <c r="C1616" s="24"/>
      <c r="D1616" s="26"/>
      <c r="E1616" s="24"/>
      <c r="F1616" s="145"/>
      <c r="G1616" s="36"/>
    </row>
    <row r="1617" spans="2:7" x14ac:dyDescent="0.25">
      <c r="B1617" s="24"/>
      <c r="C1617" s="24"/>
      <c r="D1617" s="26"/>
      <c r="E1617" s="24"/>
      <c r="F1617" s="145"/>
      <c r="G1617" s="36"/>
    </row>
    <row r="1618" spans="2:7" x14ac:dyDescent="0.25">
      <c r="B1618" s="24"/>
      <c r="C1618" s="24"/>
      <c r="D1618" s="26"/>
      <c r="E1618" s="24"/>
      <c r="F1618" s="145"/>
      <c r="G1618" s="36"/>
    </row>
    <row r="1619" spans="2:7" x14ac:dyDescent="0.25">
      <c r="B1619" s="24"/>
      <c r="C1619" s="24"/>
      <c r="D1619" s="26"/>
      <c r="E1619" s="24"/>
      <c r="F1619" s="145"/>
      <c r="G1619" s="36"/>
    </row>
    <row r="1620" spans="2:7" x14ac:dyDescent="0.25">
      <c r="B1620" s="24"/>
      <c r="C1620" s="24"/>
      <c r="D1620" s="26"/>
      <c r="E1620" s="24"/>
      <c r="F1620" s="145"/>
      <c r="G1620" s="36"/>
    </row>
    <row r="1621" spans="2:7" x14ac:dyDescent="0.25">
      <c r="B1621" s="24"/>
      <c r="C1621" s="24"/>
      <c r="D1621" s="26"/>
      <c r="E1621" s="24"/>
      <c r="F1621" s="145"/>
      <c r="G1621" s="36"/>
    </row>
    <row r="1622" spans="2:7" x14ac:dyDescent="0.25">
      <c r="B1622" s="24"/>
      <c r="C1622" s="24"/>
      <c r="D1622" s="26"/>
      <c r="E1622" s="24"/>
      <c r="F1622" s="145"/>
      <c r="G1622" s="36"/>
    </row>
    <row r="1623" spans="2:7" x14ac:dyDescent="0.25">
      <c r="B1623" s="24"/>
      <c r="C1623" s="24"/>
      <c r="D1623" s="26"/>
      <c r="E1623" s="24"/>
      <c r="F1623" s="145"/>
      <c r="G1623" s="36"/>
    </row>
    <row r="1624" spans="2:7" x14ac:dyDescent="0.25">
      <c r="B1624" s="24"/>
      <c r="C1624" s="24"/>
      <c r="D1624" s="26"/>
      <c r="E1624" s="24"/>
      <c r="F1624" s="145"/>
      <c r="G1624" s="36"/>
    </row>
    <row r="1625" spans="2:7" x14ac:dyDescent="0.25">
      <c r="B1625" s="24"/>
      <c r="C1625" s="24"/>
      <c r="D1625" s="26"/>
      <c r="E1625" s="24"/>
      <c r="F1625" s="145"/>
      <c r="G1625" s="36"/>
    </row>
    <row r="1626" spans="2:7" x14ac:dyDescent="0.25">
      <c r="B1626" s="24"/>
      <c r="C1626" s="24"/>
      <c r="D1626" s="26"/>
      <c r="E1626" s="24"/>
      <c r="F1626" s="145"/>
      <c r="G1626" s="36"/>
    </row>
    <row r="1627" spans="2:7" x14ac:dyDescent="0.25">
      <c r="B1627" s="24"/>
      <c r="C1627" s="24"/>
      <c r="D1627" s="26"/>
      <c r="E1627" s="24"/>
      <c r="F1627" s="145"/>
      <c r="G1627" s="36"/>
    </row>
    <row r="1628" spans="2:7" x14ac:dyDescent="0.25">
      <c r="B1628" s="24"/>
      <c r="C1628" s="24"/>
      <c r="D1628" s="26"/>
      <c r="E1628" s="24"/>
      <c r="F1628" s="145"/>
      <c r="G1628" s="36"/>
    </row>
    <row r="1629" spans="2:7" x14ac:dyDescent="0.25">
      <c r="B1629" s="24"/>
      <c r="C1629" s="24"/>
      <c r="D1629" s="26"/>
      <c r="E1629" s="24"/>
      <c r="F1629" s="145"/>
      <c r="G1629" s="36"/>
    </row>
    <row r="1630" spans="2:7" x14ac:dyDescent="0.25">
      <c r="B1630" s="24"/>
      <c r="C1630" s="24"/>
      <c r="D1630" s="26"/>
      <c r="E1630" s="24"/>
      <c r="F1630" s="145"/>
      <c r="G1630" s="36"/>
    </row>
    <row r="1631" spans="2:7" x14ac:dyDescent="0.25">
      <c r="B1631" s="24"/>
      <c r="C1631" s="24"/>
      <c r="D1631" s="26"/>
      <c r="E1631" s="24"/>
      <c r="F1631" s="145"/>
      <c r="G1631" s="36"/>
    </row>
    <row r="1632" spans="2:7" x14ac:dyDescent="0.25">
      <c r="B1632" s="24"/>
      <c r="C1632" s="24"/>
      <c r="D1632" s="26"/>
      <c r="E1632" s="24"/>
      <c r="F1632" s="145"/>
      <c r="G1632" s="36"/>
    </row>
    <row r="1633" spans="2:7" x14ac:dyDescent="0.25">
      <c r="B1633" s="24"/>
      <c r="C1633" s="24"/>
      <c r="D1633" s="26"/>
      <c r="E1633" s="24"/>
      <c r="F1633" s="145"/>
      <c r="G1633" s="36"/>
    </row>
    <row r="1634" spans="2:7" x14ac:dyDescent="0.25">
      <c r="B1634" s="24"/>
      <c r="C1634" s="24"/>
      <c r="D1634" s="26"/>
      <c r="E1634" s="24"/>
      <c r="F1634" s="145"/>
      <c r="G1634" s="36"/>
    </row>
    <row r="1635" spans="2:7" x14ac:dyDescent="0.25">
      <c r="B1635" s="24"/>
      <c r="C1635" s="24"/>
      <c r="D1635" s="26"/>
      <c r="E1635" s="24"/>
      <c r="F1635" s="145"/>
      <c r="G1635" s="36"/>
    </row>
    <row r="1636" spans="2:7" x14ac:dyDescent="0.25">
      <c r="B1636" s="24"/>
      <c r="C1636" s="24"/>
      <c r="D1636" s="26"/>
      <c r="E1636" s="24"/>
      <c r="F1636" s="145"/>
      <c r="G1636" s="36"/>
    </row>
    <row r="1637" spans="2:7" x14ac:dyDescent="0.25">
      <c r="B1637" s="24"/>
      <c r="C1637" s="24"/>
      <c r="D1637" s="26"/>
      <c r="E1637" s="24"/>
      <c r="F1637" s="145"/>
      <c r="G1637" s="36"/>
    </row>
    <row r="1638" spans="2:7" x14ac:dyDescent="0.25">
      <c r="B1638" s="24"/>
      <c r="C1638" s="24"/>
      <c r="D1638" s="26"/>
      <c r="E1638" s="24"/>
      <c r="F1638" s="145"/>
      <c r="G1638" s="36"/>
    </row>
    <row r="1639" spans="2:7" x14ac:dyDescent="0.25">
      <c r="B1639" s="24"/>
      <c r="C1639" s="24"/>
      <c r="D1639" s="26"/>
      <c r="E1639" s="24"/>
      <c r="F1639" s="145"/>
      <c r="G1639" s="36"/>
    </row>
    <row r="1640" spans="2:7" x14ac:dyDescent="0.25">
      <c r="B1640" s="24"/>
      <c r="C1640" s="24"/>
      <c r="D1640" s="26"/>
      <c r="E1640" s="24"/>
      <c r="F1640" s="145"/>
      <c r="G1640" s="36"/>
    </row>
    <row r="1641" spans="2:7" x14ac:dyDescent="0.25">
      <c r="B1641" s="24"/>
      <c r="C1641" s="24"/>
      <c r="D1641" s="26"/>
      <c r="E1641" s="24"/>
      <c r="F1641" s="145"/>
      <c r="G1641" s="36"/>
    </row>
    <row r="1642" spans="2:7" x14ac:dyDescent="0.25">
      <c r="B1642" s="24"/>
      <c r="C1642" s="24"/>
      <c r="D1642" s="26"/>
      <c r="E1642" s="24"/>
      <c r="F1642" s="145"/>
      <c r="G1642" s="36"/>
    </row>
    <row r="1643" spans="2:7" x14ac:dyDescent="0.25">
      <c r="B1643" s="24"/>
      <c r="C1643" s="24"/>
      <c r="D1643" s="26"/>
      <c r="E1643" s="24"/>
      <c r="F1643" s="145"/>
      <c r="G1643" s="36"/>
    </row>
    <row r="1644" spans="2:7" x14ac:dyDescent="0.25">
      <c r="B1644" s="24"/>
      <c r="C1644" s="24"/>
      <c r="D1644" s="26"/>
      <c r="E1644" s="24"/>
      <c r="F1644" s="145"/>
      <c r="G1644" s="36"/>
    </row>
    <row r="1645" spans="2:7" x14ac:dyDescent="0.25">
      <c r="B1645" s="24"/>
      <c r="C1645" s="24"/>
      <c r="D1645" s="26"/>
      <c r="E1645" s="24"/>
      <c r="F1645" s="145"/>
      <c r="G1645" s="36"/>
    </row>
    <row r="1646" spans="2:7" x14ac:dyDescent="0.25">
      <c r="B1646" s="24"/>
      <c r="C1646" s="24"/>
      <c r="D1646" s="26"/>
      <c r="E1646" s="24"/>
      <c r="F1646" s="145"/>
      <c r="G1646" s="36"/>
    </row>
    <row r="1647" spans="2:7" x14ac:dyDescent="0.25">
      <c r="B1647" s="24"/>
      <c r="C1647" s="24"/>
      <c r="D1647" s="26"/>
      <c r="E1647" s="24"/>
      <c r="F1647" s="145"/>
      <c r="G1647" s="36"/>
    </row>
    <row r="1648" spans="2:7" x14ac:dyDescent="0.25">
      <c r="B1648" s="24"/>
      <c r="C1648" s="24"/>
      <c r="D1648" s="26"/>
      <c r="E1648" s="24"/>
      <c r="F1648" s="145"/>
      <c r="G1648" s="36"/>
    </row>
    <row r="1649" spans="2:7" x14ac:dyDescent="0.25">
      <c r="B1649" s="24"/>
      <c r="C1649" s="24"/>
      <c r="D1649" s="26"/>
      <c r="E1649" s="24"/>
      <c r="F1649" s="145"/>
      <c r="G1649" s="36"/>
    </row>
    <row r="1650" spans="2:7" x14ac:dyDescent="0.25">
      <c r="B1650" s="24"/>
      <c r="C1650" s="24"/>
      <c r="D1650" s="26"/>
      <c r="E1650" s="24"/>
      <c r="F1650" s="145"/>
      <c r="G1650" s="36"/>
    </row>
    <row r="1651" spans="2:7" x14ac:dyDescent="0.25">
      <c r="B1651" s="24"/>
      <c r="C1651" s="24"/>
      <c r="D1651" s="26"/>
      <c r="E1651" s="24"/>
      <c r="F1651" s="145"/>
      <c r="G1651" s="36"/>
    </row>
    <row r="1652" spans="2:7" x14ac:dyDescent="0.25">
      <c r="B1652" s="24"/>
      <c r="C1652" s="24"/>
      <c r="D1652" s="26"/>
      <c r="E1652" s="24"/>
      <c r="F1652" s="145"/>
      <c r="G1652" s="36"/>
    </row>
    <row r="1653" spans="2:7" x14ac:dyDescent="0.25">
      <c r="B1653" s="24"/>
      <c r="C1653" s="24"/>
      <c r="D1653" s="26"/>
      <c r="E1653" s="24"/>
      <c r="F1653" s="145"/>
      <c r="G1653" s="36"/>
    </row>
    <row r="1654" spans="2:7" x14ac:dyDescent="0.25">
      <c r="B1654" s="24"/>
      <c r="C1654" s="24"/>
      <c r="D1654" s="26"/>
      <c r="E1654" s="24"/>
      <c r="F1654" s="145"/>
      <c r="G1654" s="36"/>
    </row>
    <row r="1655" spans="2:7" x14ac:dyDescent="0.25">
      <c r="B1655" s="24"/>
      <c r="C1655" s="24"/>
      <c r="D1655" s="26"/>
      <c r="E1655" s="24"/>
      <c r="F1655" s="145"/>
      <c r="G1655" s="36"/>
    </row>
    <row r="1656" spans="2:7" x14ac:dyDescent="0.25">
      <c r="B1656" s="24"/>
      <c r="C1656" s="24"/>
      <c r="D1656" s="26"/>
      <c r="E1656" s="24"/>
      <c r="F1656" s="145"/>
      <c r="G1656" s="36"/>
    </row>
    <row r="1657" spans="2:7" x14ac:dyDescent="0.25">
      <c r="B1657" s="24"/>
      <c r="C1657" s="24"/>
      <c r="D1657" s="26"/>
      <c r="E1657" s="24"/>
      <c r="F1657" s="145"/>
      <c r="G1657" s="36"/>
    </row>
    <row r="1658" spans="2:7" x14ac:dyDescent="0.25">
      <c r="B1658" s="24"/>
      <c r="C1658" s="24"/>
      <c r="D1658" s="26"/>
      <c r="E1658" s="24"/>
      <c r="F1658" s="145"/>
      <c r="G1658" s="36"/>
    </row>
    <row r="1659" spans="2:7" x14ac:dyDescent="0.25">
      <c r="B1659" s="24"/>
      <c r="C1659" s="24"/>
      <c r="D1659" s="26"/>
      <c r="E1659" s="24"/>
      <c r="F1659" s="145"/>
      <c r="G1659" s="36"/>
    </row>
    <row r="1660" spans="2:7" x14ac:dyDescent="0.25">
      <c r="B1660" s="24"/>
      <c r="C1660" s="24"/>
      <c r="D1660" s="26"/>
      <c r="E1660" s="24"/>
      <c r="F1660" s="145"/>
      <c r="G1660" s="36"/>
    </row>
    <row r="1661" spans="2:7" x14ac:dyDescent="0.25">
      <c r="B1661" s="24"/>
      <c r="C1661" s="24"/>
      <c r="D1661" s="26"/>
      <c r="E1661" s="24"/>
      <c r="F1661" s="145"/>
      <c r="G1661" s="36"/>
    </row>
    <row r="1662" spans="2:7" x14ac:dyDescent="0.25">
      <c r="B1662" s="24"/>
      <c r="C1662" s="24"/>
      <c r="D1662" s="26"/>
      <c r="E1662" s="24"/>
      <c r="F1662" s="145"/>
      <c r="G1662" s="36"/>
    </row>
    <row r="1663" spans="2:7" x14ac:dyDescent="0.25">
      <c r="B1663" s="24"/>
      <c r="C1663" s="24"/>
      <c r="D1663" s="26"/>
      <c r="E1663" s="24"/>
      <c r="F1663" s="145"/>
      <c r="G1663" s="36"/>
    </row>
    <row r="1664" spans="2:7" x14ac:dyDescent="0.25">
      <c r="B1664" s="24"/>
      <c r="C1664" s="24"/>
      <c r="D1664" s="26"/>
      <c r="E1664" s="24"/>
      <c r="F1664" s="145"/>
      <c r="G1664" s="36"/>
    </row>
    <row r="1665" spans="2:7" x14ac:dyDescent="0.25">
      <c r="B1665" s="24"/>
      <c r="C1665" s="24"/>
      <c r="D1665" s="26"/>
      <c r="E1665" s="24"/>
      <c r="F1665" s="145"/>
      <c r="G1665" s="36"/>
    </row>
    <row r="1666" spans="2:7" x14ac:dyDescent="0.25">
      <c r="B1666" s="24"/>
      <c r="C1666" s="24"/>
      <c r="D1666" s="26"/>
      <c r="E1666" s="24"/>
      <c r="F1666" s="145"/>
      <c r="G1666" s="36"/>
    </row>
    <row r="1667" spans="2:7" x14ac:dyDescent="0.25">
      <c r="B1667" s="24"/>
      <c r="C1667" s="24"/>
      <c r="D1667" s="26"/>
      <c r="E1667" s="24"/>
      <c r="F1667" s="145"/>
      <c r="G1667" s="36"/>
    </row>
    <row r="1668" spans="2:7" x14ac:dyDescent="0.25">
      <c r="B1668" s="24"/>
      <c r="C1668" s="24"/>
      <c r="D1668" s="26"/>
      <c r="E1668" s="24"/>
      <c r="F1668" s="145"/>
      <c r="G1668" s="36"/>
    </row>
    <row r="1669" spans="2:7" x14ac:dyDescent="0.25">
      <c r="B1669" s="24"/>
      <c r="C1669" s="24"/>
      <c r="D1669" s="26"/>
      <c r="E1669" s="24"/>
      <c r="F1669" s="145"/>
      <c r="G1669" s="36"/>
    </row>
    <row r="1670" spans="2:7" x14ac:dyDescent="0.25">
      <c r="B1670" s="24"/>
      <c r="C1670" s="24"/>
      <c r="D1670" s="26"/>
      <c r="E1670" s="24"/>
      <c r="F1670" s="145"/>
      <c r="G1670" s="36"/>
    </row>
    <row r="1671" spans="2:7" x14ac:dyDescent="0.25">
      <c r="B1671" s="24"/>
      <c r="C1671" s="24"/>
      <c r="D1671" s="26"/>
      <c r="E1671" s="24"/>
      <c r="F1671" s="145"/>
      <c r="G1671" s="36"/>
    </row>
    <row r="1672" spans="2:7" x14ac:dyDescent="0.25">
      <c r="B1672" s="24"/>
      <c r="C1672" s="24"/>
      <c r="D1672" s="26"/>
      <c r="E1672" s="24"/>
      <c r="F1672" s="145"/>
      <c r="G1672" s="36"/>
    </row>
    <row r="1673" spans="2:7" x14ac:dyDescent="0.25">
      <c r="B1673" s="24"/>
      <c r="C1673" s="24"/>
      <c r="D1673" s="26"/>
      <c r="E1673" s="24"/>
      <c r="F1673" s="145"/>
      <c r="G1673" s="36"/>
    </row>
    <row r="1674" spans="2:7" x14ac:dyDescent="0.25">
      <c r="B1674" s="24"/>
      <c r="C1674" s="24"/>
      <c r="D1674" s="26"/>
      <c r="E1674" s="24"/>
      <c r="F1674" s="145"/>
      <c r="G1674" s="36"/>
    </row>
    <row r="1675" spans="2:7" x14ac:dyDescent="0.25">
      <c r="B1675" s="24"/>
      <c r="C1675" s="24"/>
      <c r="D1675" s="26"/>
      <c r="E1675" s="24"/>
      <c r="F1675" s="145"/>
      <c r="G1675" s="36"/>
    </row>
    <row r="1676" spans="2:7" x14ac:dyDescent="0.25">
      <c r="B1676" s="24"/>
      <c r="C1676" s="24"/>
      <c r="D1676" s="26"/>
      <c r="E1676" s="24"/>
      <c r="F1676" s="145"/>
      <c r="G1676" s="36"/>
    </row>
    <row r="1677" spans="2:7" x14ac:dyDescent="0.25">
      <c r="B1677" s="24"/>
      <c r="C1677" s="24"/>
      <c r="D1677" s="26"/>
      <c r="E1677" s="24"/>
      <c r="F1677" s="145"/>
      <c r="G1677" s="36"/>
    </row>
    <row r="1678" spans="2:7" x14ac:dyDescent="0.25">
      <c r="B1678" s="24"/>
      <c r="C1678" s="24"/>
      <c r="D1678" s="26"/>
      <c r="E1678" s="24"/>
      <c r="F1678" s="145"/>
      <c r="G1678" s="36"/>
    </row>
    <row r="1679" spans="2:7" x14ac:dyDescent="0.25">
      <c r="B1679" s="24"/>
      <c r="C1679" s="24"/>
      <c r="D1679" s="26"/>
      <c r="E1679" s="24"/>
      <c r="F1679" s="145"/>
      <c r="G1679" s="36"/>
    </row>
    <row r="1680" spans="2:7" x14ac:dyDescent="0.25">
      <c r="B1680" s="24"/>
      <c r="C1680" s="24"/>
      <c r="D1680" s="26"/>
      <c r="E1680" s="24"/>
      <c r="F1680" s="145"/>
      <c r="G1680" s="36"/>
    </row>
    <row r="1681" spans="2:7" x14ac:dyDescent="0.25">
      <c r="B1681" s="24"/>
      <c r="C1681" s="24"/>
      <c r="D1681" s="26"/>
      <c r="E1681" s="24"/>
      <c r="F1681" s="145"/>
      <c r="G1681" s="36"/>
    </row>
    <row r="1682" spans="2:7" x14ac:dyDescent="0.25">
      <c r="B1682" s="24"/>
      <c r="C1682" s="24"/>
      <c r="D1682" s="26"/>
      <c r="E1682" s="24"/>
      <c r="F1682" s="145"/>
      <c r="G1682" s="36"/>
    </row>
    <row r="1683" spans="2:7" x14ac:dyDescent="0.25">
      <c r="B1683" s="24"/>
      <c r="C1683" s="24"/>
      <c r="D1683" s="26"/>
      <c r="E1683" s="24"/>
      <c r="F1683" s="145"/>
      <c r="G1683" s="36"/>
    </row>
    <row r="1684" spans="2:7" x14ac:dyDescent="0.25">
      <c r="B1684" s="24"/>
      <c r="C1684" s="24"/>
      <c r="D1684" s="26"/>
      <c r="E1684" s="24"/>
      <c r="F1684" s="145"/>
      <c r="G1684" s="36"/>
    </row>
    <row r="1685" spans="2:7" x14ac:dyDescent="0.25">
      <c r="B1685" s="24"/>
      <c r="C1685" s="24"/>
      <c r="D1685" s="26"/>
      <c r="E1685" s="24"/>
      <c r="F1685" s="145"/>
      <c r="G1685" s="36"/>
    </row>
    <row r="1686" spans="2:7" x14ac:dyDescent="0.25">
      <c r="B1686" s="24"/>
      <c r="C1686" s="24"/>
      <c r="D1686" s="26"/>
      <c r="E1686" s="24"/>
      <c r="F1686" s="145"/>
      <c r="G1686" s="36"/>
    </row>
    <row r="1687" spans="2:7" x14ac:dyDescent="0.25">
      <c r="B1687" s="24"/>
      <c r="C1687" s="24"/>
      <c r="D1687" s="26"/>
      <c r="E1687" s="24"/>
      <c r="F1687" s="145"/>
      <c r="G1687" s="36"/>
    </row>
    <row r="1688" spans="2:7" x14ac:dyDescent="0.25">
      <c r="B1688" s="24"/>
      <c r="C1688" s="24"/>
      <c r="D1688" s="26"/>
      <c r="E1688" s="24"/>
      <c r="F1688" s="145"/>
      <c r="G1688" s="36"/>
    </row>
    <row r="1689" spans="2:7" x14ac:dyDescent="0.25">
      <c r="B1689" s="24"/>
      <c r="C1689" s="24"/>
      <c r="D1689" s="26"/>
      <c r="E1689" s="24"/>
      <c r="F1689" s="145"/>
      <c r="G1689" s="36"/>
    </row>
    <row r="1690" spans="2:7" x14ac:dyDescent="0.25">
      <c r="B1690" s="24"/>
      <c r="C1690" s="24"/>
      <c r="D1690" s="26"/>
      <c r="E1690" s="24"/>
      <c r="F1690" s="145"/>
      <c r="G1690" s="36"/>
    </row>
    <row r="1691" spans="2:7" x14ac:dyDescent="0.25">
      <c r="B1691" s="24"/>
      <c r="C1691" s="24"/>
      <c r="D1691" s="26"/>
      <c r="E1691" s="24"/>
      <c r="F1691" s="145"/>
      <c r="G1691" s="36"/>
    </row>
    <row r="1692" spans="2:7" x14ac:dyDescent="0.25">
      <c r="B1692" s="24"/>
      <c r="C1692" s="24"/>
      <c r="D1692" s="26"/>
      <c r="E1692" s="24"/>
      <c r="F1692" s="145"/>
      <c r="G1692" s="36"/>
    </row>
    <row r="1693" spans="2:7" x14ac:dyDescent="0.25">
      <c r="B1693" s="24"/>
      <c r="C1693" s="24"/>
      <c r="D1693" s="26"/>
      <c r="E1693" s="24"/>
      <c r="F1693" s="145"/>
      <c r="G1693" s="36"/>
    </row>
    <row r="1694" spans="2:7" x14ac:dyDescent="0.25">
      <c r="B1694" s="24"/>
      <c r="C1694" s="24"/>
      <c r="D1694" s="26"/>
      <c r="E1694" s="24"/>
      <c r="F1694" s="145"/>
      <c r="G1694" s="36"/>
    </row>
    <row r="1695" spans="2:7" x14ac:dyDescent="0.25">
      <c r="B1695" s="24"/>
      <c r="C1695" s="24"/>
      <c r="D1695" s="26"/>
      <c r="E1695" s="24"/>
      <c r="F1695" s="145"/>
      <c r="G1695" s="36"/>
    </row>
    <row r="1696" spans="2:7" x14ac:dyDescent="0.25">
      <c r="B1696" s="24"/>
      <c r="C1696" s="24"/>
      <c r="D1696" s="26"/>
      <c r="E1696" s="24"/>
      <c r="F1696" s="145"/>
      <c r="G1696" s="36"/>
    </row>
    <row r="1697" spans="2:7" x14ac:dyDescent="0.25">
      <c r="B1697" s="24"/>
      <c r="C1697" s="24"/>
      <c r="D1697" s="26"/>
      <c r="E1697" s="24"/>
      <c r="F1697" s="145"/>
      <c r="G1697" s="36"/>
    </row>
    <row r="1698" spans="2:7" x14ac:dyDescent="0.25">
      <c r="B1698" s="24"/>
      <c r="C1698" s="24"/>
      <c r="D1698" s="26"/>
      <c r="E1698" s="24"/>
      <c r="F1698" s="145"/>
      <c r="G1698" s="36"/>
    </row>
    <row r="1699" spans="2:7" x14ac:dyDescent="0.25">
      <c r="B1699" s="24"/>
      <c r="C1699" s="24"/>
      <c r="D1699" s="26"/>
      <c r="E1699" s="24"/>
      <c r="F1699" s="145"/>
      <c r="G1699" s="36"/>
    </row>
    <row r="1700" spans="2:7" x14ac:dyDescent="0.25">
      <c r="B1700" s="24"/>
      <c r="C1700" s="24"/>
      <c r="D1700" s="26"/>
      <c r="E1700" s="24"/>
      <c r="F1700" s="145"/>
      <c r="G1700" s="36"/>
    </row>
    <row r="1701" spans="2:7" x14ac:dyDescent="0.25">
      <c r="B1701" s="24"/>
      <c r="C1701" s="24"/>
      <c r="D1701" s="26"/>
      <c r="E1701" s="24"/>
      <c r="F1701" s="145"/>
      <c r="G1701" s="36"/>
    </row>
    <row r="1702" spans="2:7" x14ac:dyDescent="0.25">
      <c r="B1702" s="24"/>
      <c r="C1702" s="24"/>
      <c r="D1702" s="26"/>
      <c r="E1702" s="24"/>
      <c r="F1702" s="145"/>
      <c r="G1702" s="36"/>
    </row>
    <row r="1703" spans="2:7" x14ac:dyDescent="0.25">
      <c r="B1703" s="24"/>
      <c r="C1703" s="24"/>
      <c r="D1703" s="26"/>
      <c r="E1703" s="24"/>
      <c r="F1703" s="145"/>
      <c r="G1703" s="36"/>
    </row>
    <row r="1704" spans="2:7" x14ac:dyDescent="0.25">
      <c r="B1704" s="24"/>
      <c r="C1704" s="24"/>
      <c r="D1704" s="26"/>
      <c r="E1704" s="24"/>
      <c r="F1704" s="145"/>
      <c r="G1704" s="36"/>
    </row>
    <row r="1705" spans="2:7" x14ac:dyDescent="0.25">
      <c r="B1705" s="24"/>
      <c r="C1705" s="24"/>
      <c r="D1705" s="26"/>
      <c r="E1705" s="24"/>
      <c r="F1705" s="145"/>
      <c r="G1705" s="36"/>
    </row>
    <row r="1706" spans="2:7" x14ac:dyDescent="0.25">
      <c r="B1706" s="24"/>
      <c r="C1706" s="24"/>
      <c r="D1706" s="26"/>
      <c r="E1706" s="24"/>
      <c r="F1706" s="145"/>
      <c r="G1706" s="36"/>
    </row>
    <row r="1707" spans="2:7" x14ac:dyDescent="0.25">
      <c r="B1707" s="24"/>
      <c r="C1707" s="24"/>
      <c r="D1707" s="26"/>
      <c r="E1707" s="24"/>
      <c r="F1707" s="145"/>
      <c r="G1707" s="36"/>
    </row>
    <row r="1708" spans="2:7" x14ac:dyDescent="0.25">
      <c r="B1708" s="24"/>
      <c r="C1708" s="24"/>
      <c r="D1708" s="26"/>
      <c r="E1708" s="24"/>
      <c r="F1708" s="145"/>
      <c r="G1708" s="36"/>
    </row>
    <row r="1709" spans="2:7" x14ac:dyDescent="0.25">
      <c r="B1709" s="24"/>
      <c r="C1709" s="24"/>
      <c r="D1709" s="26"/>
      <c r="E1709" s="24"/>
      <c r="F1709" s="145"/>
      <c r="G1709" s="36"/>
    </row>
    <row r="1710" spans="2:7" x14ac:dyDescent="0.25">
      <c r="B1710" s="24"/>
      <c r="C1710" s="24"/>
      <c r="D1710" s="26"/>
      <c r="E1710" s="24"/>
      <c r="F1710" s="145"/>
      <c r="G1710" s="36"/>
    </row>
    <row r="1711" spans="2:7" x14ac:dyDescent="0.25">
      <c r="B1711" s="24"/>
      <c r="C1711" s="24"/>
      <c r="D1711" s="26"/>
      <c r="E1711" s="24"/>
      <c r="F1711" s="145"/>
      <c r="G1711" s="36"/>
    </row>
    <row r="1712" spans="2:7" x14ac:dyDescent="0.25">
      <c r="B1712" s="24"/>
      <c r="C1712" s="24"/>
      <c r="D1712" s="26"/>
      <c r="E1712" s="24"/>
      <c r="F1712" s="145"/>
      <c r="G1712" s="36"/>
    </row>
    <row r="1713" spans="2:7" x14ac:dyDescent="0.25">
      <c r="B1713" s="24"/>
      <c r="C1713" s="24"/>
      <c r="D1713" s="26"/>
      <c r="E1713" s="24"/>
      <c r="F1713" s="145"/>
      <c r="G1713" s="36"/>
    </row>
    <row r="1714" spans="2:7" x14ac:dyDescent="0.25">
      <c r="B1714" s="24"/>
      <c r="C1714" s="24"/>
      <c r="D1714" s="26"/>
      <c r="E1714" s="24"/>
      <c r="F1714" s="145"/>
      <c r="G1714" s="36"/>
    </row>
    <row r="1715" spans="2:7" x14ac:dyDescent="0.25">
      <c r="B1715" s="24"/>
      <c r="C1715" s="24"/>
      <c r="D1715" s="26"/>
      <c r="E1715" s="24"/>
      <c r="F1715" s="145"/>
      <c r="G1715" s="36"/>
    </row>
    <row r="1716" spans="2:7" x14ac:dyDescent="0.25">
      <c r="B1716" s="24"/>
      <c r="C1716" s="24"/>
      <c r="D1716" s="26"/>
      <c r="E1716" s="24"/>
      <c r="F1716" s="145"/>
      <c r="G1716" s="36"/>
    </row>
    <row r="1717" spans="2:7" x14ac:dyDescent="0.25">
      <c r="B1717" s="24"/>
      <c r="C1717" s="24"/>
      <c r="D1717" s="26"/>
      <c r="E1717" s="24"/>
      <c r="F1717" s="145"/>
      <c r="G1717" s="36"/>
    </row>
    <row r="1718" spans="2:7" x14ac:dyDescent="0.25">
      <c r="B1718" s="24"/>
      <c r="C1718" s="24"/>
      <c r="D1718" s="26"/>
      <c r="E1718" s="24"/>
      <c r="F1718" s="145"/>
      <c r="G1718" s="36"/>
    </row>
    <row r="1719" spans="2:7" x14ac:dyDescent="0.25">
      <c r="B1719" s="24"/>
      <c r="C1719" s="24"/>
      <c r="D1719" s="26"/>
      <c r="E1719" s="24"/>
      <c r="F1719" s="145"/>
      <c r="G1719" s="36"/>
    </row>
    <row r="1720" spans="2:7" x14ac:dyDescent="0.25">
      <c r="B1720" s="24"/>
      <c r="C1720" s="24"/>
      <c r="D1720" s="26"/>
      <c r="E1720" s="24"/>
      <c r="F1720" s="145"/>
      <c r="G1720" s="36"/>
    </row>
    <row r="1721" spans="2:7" x14ac:dyDescent="0.25">
      <c r="B1721" s="24"/>
      <c r="C1721" s="24"/>
      <c r="D1721" s="26"/>
      <c r="E1721" s="24"/>
      <c r="F1721" s="145"/>
      <c r="G1721" s="36"/>
    </row>
    <row r="1722" spans="2:7" x14ac:dyDescent="0.25">
      <c r="B1722" s="24"/>
      <c r="C1722" s="24"/>
      <c r="D1722" s="26"/>
      <c r="E1722" s="24"/>
      <c r="F1722" s="145"/>
      <c r="G1722" s="36"/>
    </row>
    <row r="1723" spans="2:7" x14ac:dyDescent="0.25">
      <c r="B1723" s="24"/>
      <c r="C1723" s="24"/>
      <c r="D1723" s="26"/>
      <c r="E1723" s="24"/>
      <c r="F1723" s="145"/>
      <c r="G1723" s="36"/>
    </row>
    <row r="1724" spans="2:7" x14ac:dyDescent="0.25">
      <c r="B1724" s="24"/>
      <c r="C1724" s="24"/>
      <c r="D1724" s="26"/>
      <c r="E1724" s="24"/>
      <c r="F1724" s="145"/>
      <c r="G1724" s="36"/>
    </row>
    <row r="1725" spans="2:7" x14ac:dyDescent="0.25">
      <c r="B1725" s="24"/>
      <c r="C1725" s="24"/>
      <c r="D1725" s="26"/>
      <c r="E1725" s="24"/>
      <c r="F1725" s="145"/>
      <c r="G1725" s="36"/>
    </row>
    <row r="1726" spans="2:7" x14ac:dyDescent="0.25">
      <c r="B1726" s="24"/>
      <c r="C1726" s="24"/>
      <c r="D1726" s="26"/>
      <c r="E1726" s="24"/>
      <c r="F1726" s="145"/>
      <c r="G1726" s="36"/>
    </row>
    <row r="1727" spans="2:7" x14ac:dyDescent="0.25">
      <c r="B1727" s="24"/>
      <c r="C1727" s="24"/>
      <c r="D1727" s="26"/>
      <c r="E1727" s="24"/>
      <c r="F1727" s="145"/>
      <c r="G1727" s="36"/>
    </row>
    <row r="1728" spans="2:7" x14ac:dyDescent="0.25">
      <c r="B1728" s="24"/>
      <c r="C1728" s="24"/>
      <c r="D1728" s="26"/>
      <c r="E1728" s="24"/>
      <c r="F1728" s="145"/>
      <c r="G1728" s="36"/>
    </row>
    <row r="1729" spans="2:7" x14ac:dyDescent="0.25">
      <c r="B1729" s="24"/>
      <c r="C1729" s="24"/>
      <c r="D1729" s="26"/>
      <c r="E1729" s="24"/>
      <c r="F1729" s="145"/>
      <c r="G1729" s="36"/>
    </row>
    <row r="1730" spans="2:7" x14ac:dyDescent="0.25">
      <c r="B1730" s="24"/>
      <c r="C1730" s="24"/>
      <c r="D1730" s="26"/>
      <c r="E1730" s="24"/>
      <c r="F1730" s="145"/>
      <c r="G1730" s="36"/>
    </row>
    <row r="1731" spans="2:7" x14ac:dyDescent="0.25">
      <c r="B1731" s="24"/>
      <c r="C1731" s="24"/>
      <c r="D1731" s="26"/>
      <c r="E1731" s="24"/>
      <c r="F1731" s="145"/>
      <c r="G1731" s="36"/>
    </row>
    <row r="1732" spans="2:7" x14ac:dyDescent="0.25">
      <c r="B1732" s="24"/>
      <c r="C1732" s="24"/>
      <c r="D1732" s="26"/>
      <c r="E1732" s="24"/>
      <c r="F1732" s="145"/>
      <c r="G1732" s="36"/>
    </row>
    <row r="1733" spans="2:7" x14ac:dyDescent="0.25">
      <c r="B1733" s="24"/>
      <c r="C1733" s="24"/>
      <c r="D1733" s="26"/>
      <c r="E1733" s="24"/>
      <c r="F1733" s="145"/>
      <c r="G1733" s="36"/>
    </row>
    <row r="1734" spans="2:7" x14ac:dyDescent="0.25">
      <c r="B1734" s="24"/>
      <c r="C1734" s="24"/>
      <c r="D1734" s="26"/>
      <c r="E1734" s="24"/>
      <c r="F1734" s="145"/>
      <c r="G1734" s="36"/>
    </row>
    <row r="1735" spans="2:7" x14ac:dyDescent="0.25">
      <c r="B1735" s="24"/>
      <c r="C1735" s="24"/>
      <c r="D1735" s="26"/>
      <c r="E1735" s="24"/>
      <c r="F1735" s="145"/>
      <c r="G1735" s="36"/>
    </row>
    <row r="1736" spans="2:7" x14ac:dyDescent="0.25">
      <c r="B1736" s="24"/>
      <c r="C1736" s="24"/>
      <c r="D1736" s="26"/>
      <c r="E1736" s="24"/>
      <c r="F1736" s="145"/>
      <c r="G1736" s="36"/>
    </row>
    <row r="1737" spans="2:7" x14ac:dyDescent="0.25">
      <c r="B1737" s="24"/>
      <c r="C1737" s="24"/>
      <c r="D1737" s="26"/>
      <c r="E1737" s="24"/>
      <c r="F1737" s="145"/>
      <c r="G1737" s="36"/>
    </row>
    <row r="1738" spans="2:7" x14ac:dyDescent="0.25">
      <c r="B1738" s="24"/>
      <c r="C1738" s="24"/>
      <c r="D1738" s="26"/>
      <c r="E1738" s="24"/>
      <c r="F1738" s="145"/>
      <c r="G1738" s="36"/>
    </row>
    <row r="1739" spans="2:7" x14ac:dyDescent="0.25">
      <c r="B1739" s="24"/>
      <c r="C1739" s="24"/>
      <c r="D1739" s="26"/>
      <c r="E1739" s="24"/>
      <c r="F1739" s="145"/>
      <c r="G1739" s="36"/>
    </row>
    <row r="1740" spans="2:7" x14ac:dyDescent="0.25">
      <c r="B1740" s="24"/>
      <c r="C1740" s="24"/>
      <c r="D1740" s="26"/>
      <c r="E1740" s="24"/>
      <c r="F1740" s="145"/>
      <c r="G1740" s="36"/>
    </row>
    <row r="1741" spans="2:7" x14ac:dyDescent="0.25">
      <c r="B1741" s="24"/>
      <c r="C1741" s="24"/>
      <c r="D1741" s="26"/>
      <c r="E1741" s="24"/>
      <c r="F1741" s="145"/>
      <c r="G1741" s="36"/>
    </row>
    <row r="1742" spans="2:7" x14ac:dyDescent="0.25">
      <c r="B1742" s="24"/>
      <c r="C1742" s="24"/>
      <c r="D1742" s="26"/>
      <c r="E1742" s="24"/>
      <c r="F1742" s="145"/>
      <c r="G1742" s="36"/>
    </row>
    <row r="1743" spans="2:7" x14ac:dyDescent="0.25">
      <c r="B1743" s="24"/>
      <c r="C1743" s="24"/>
      <c r="D1743" s="26"/>
      <c r="E1743" s="24"/>
      <c r="F1743" s="145"/>
      <c r="G1743" s="36"/>
    </row>
    <row r="1744" spans="2:7" x14ac:dyDescent="0.25">
      <c r="B1744" s="24"/>
      <c r="C1744" s="24"/>
      <c r="D1744" s="26"/>
      <c r="E1744" s="24"/>
      <c r="F1744" s="145"/>
      <c r="G1744" s="36"/>
    </row>
    <row r="1745" spans="2:7" x14ac:dyDescent="0.25">
      <c r="B1745" s="24"/>
      <c r="C1745" s="24"/>
      <c r="D1745" s="26"/>
      <c r="E1745" s="24"/>
      <c r="F1745" s="145"/>
      <c r="G1745" s="36"/>
    </row>
    <row r="1746" spans="2:7" x14ac:dyDescent="0.25">
      <c r="B1746" s="24"/>
      <c r="C1746" s="24"/>
      <c r="D1746" s="26"/>
      <c r="E1746" s="24"/>
      <c r="F1746" s="145"/>
      <c r="G1746" s="36"/>
    </row>
    <row r="1747" spans="2:7" x14ac:dyDescent="0.25">
      <c r="B1747" s="24"/>
      <c r="C1747" s="24"/>
      <c r="D1747" s="26"/>
      <c r="E1747" s="24"/>
      <c r="F1747" s="145"/>
      <c r="G1747" s="36"/>
    </row>
    <row r="1748" spans="2:7" x14ac:dyDescent="0.25">
      <c r="B1748" s="24"/>
      <c r="C1748" s="24"/>
      <c r="D1748" s="26"/>
      <c r="E1748" s="24"/>
      <c r="F1748" s="145"/>
      <c r="G1748" s="36"/>
    </row>
    <row r="1749" spans="2:7" x14ac:dyDescent="0.25">
      <c r="B1749" s="24"/>
      <c r="C1749" s="24"/>
      <c r="D1749" s="26"/>
      <c r="E1749" s="24"/>
      <c r="F1749" s="145"/>
      <c r="G1749" s="36"/>
    </row>
    <row r="1750" spans="2:7" x14ac:dyDescent="0.25">
      <c r="B1750" s="24"/>
      <c r="C1750" s="24"/>
      <c r="D1750" s="26"/>
      <c r="E1750" s="24"/>
      <c r="F1750" s="145"/>
      <c r="G1750" s="36"/>
    </row>
    <row r="1751" spans="2:7" x14ac:dyDescent="0.25">
      <c r="B1751" s="24"/>
      <c r="C1751" s="24"/>
      <c r="D1751" s="26"/>
      <c r="E1751" s="24"/>
      <c r="F1751" s="145"/>
      <c r="G1751" s="36"/>
    </row>
    <row r="1752" spans="2:7" x14ac:dyDescent="0.25">
      <c r="B1752" s="24"/>
      <c r="C1752" s="24"/>
      <c r="D1752" s="26"/>
      <c r="E1752" s="24"/>
      <c r="F1752" s="145"/>
      <c r="G1752" s="36"/>
    </row>
    <row r="1753" spans="2:7" x14ac:dyDescent="0.25">
      <c r="B1753" s="24"/>
      <c r="C1753" s="24"/>
      <c r="D1753" s="26"/>
      <c r="E1753" s="24"/>
      <c r="F1753" s="145"/>
      <c r="G1753" s="36"/>
    </row>
    <row r="1754" spans="2:7" x14ac:dyDescent="0.25">
      <c r="B1754" s="24"/>
      <c r="C1754" s="24"/>
      <c r="D1754" s="26"/>
      <c r="E1754" s="24"/>
      <c r="F1754" s="145"/>
      <c r="G1754" s="36"/>
    </row>
    <row r="1755" spans="2:7" x14ac:dyDescent="0.25">
      <c r="B1755" s="24"/>
      <c r="C1755" s="24"/>
      <c r="D1755" s="26"/>
      <c r="E1755" s="24"/>
      <c r="F1755" s="145"/>
      <c r="G1755" s="36"/>
    </row>
    <row r="1756" spans="2:7" x14ac:dyDescent="0.25">
      <c r="B1756" s="24"/>
      <c r="C1756" s="24"/>
      <c r="D1756" s="26"/>
      <c r="E1756" s="24"/>
      <c r="F1756" s="145"/>
      <c r="G1756" s="36"/>
    </row>
    <row r="1757" spans="2:7" x14ac:dyDescent="0.25">
      <c r="B1757" s="24"/>
      <c r="C1757" s="24"/>
      <c r="D1757" s="26"/>
      <c r="E1757" s="24"/>
      <c r="F1757" s="145"/>
      <c r="G1757" s="36"/>
    </row>
    <row r="1758" spans="2:7" x14ac:dyDescent="0.25">
      <c r="B1758" s="24"/>
      <c r="C1758" s="24"/>
      <c r="D1758" s="26"/>
      <c r="E1758" s="24"/>
      <c r="F1758" s="145"/>
      <c r="G1758" s="36"/>
    </row>
    <row r="1759" spans="2:7" x14ac:dyDescent="0.25">
      <c r="B1759" s="24"/>
      <c r="C1759" s="24"/>
      <c r="D1759" s="26"/>
      <c r="E1759" s="24"/>
      <c r="F1759" s="145"/>
      <c r="G1759" s="36"/>
    </row>
    <row r="1760" spans="2:7" x14ac:dyDescent="0.25">
      <c r="B1760" s="24"/>
      <c r="C1760" s="24"/>
      <c r="D1760" s="26"/>
      <c r="E1760" s="24"/>
      <c r="F1760" s="145"/>
      <c r="G1760" s="36"/>
    </row>
    <row r="1761" spans="2:7" x14ac:dyDescent="0.25">
      <c r="B1761" s="24"/>
      <c r="C1761" s="24"/>
      <c r="D1761" s="26"/>
      <c r="E1761" s="24"/>
      <c r="F1761" s="145"/>
      <c r="G1761" s="36"/>
    </row>
    <row r="1762" spans="2:7" x14ac:dyDescent="0.25">
      <c r="B1762" s="24"/>
      <c r="C1762" s="24"/>
      <c r="D1762" s="26"/>
      <c r="E1762" s="24"/>
      <c r="F1762" s="145"/>
      <c r="G1762" s="36"/>
    </row>
    <row r="1763" spans="2:7" x14ac:dyDescent="0.25">
      <c r="B1763" s="24"/>
      <c r="C1763" s="24"/>
      <c r="D1763" s="26"/>
      <c r="E1763" s="24"/>
      <c r="F1763" s="145"/>
      <c r="G1763" s="36"/>
    </row>
    <row r="1764" spans="2:7" x14ac:dyDescent="0.25">
      <c r="B1764" s="24"/>
      <c r="C1764" s="24"/>
      <c r="D1764" s="26"/>
      <c r="E1764" s="24"/>
      <c r="F1764" s="145"/>
      <c r="G1764" s="36"/>
    </row>
    <row r="1765" spans="2:7" x14ac:dyDescent="0.25">
      <c r="B1765" s="24"/>
      <c r="C1765" s="24"/>
      <c r="D1765" s="26"/>
      <c r="E1765" s="24"/>
      <c r="F1765" s="145"/>
      <c r="G1765" s="36"/>
    </row>
    <row r="1766" spans="2:7" x14ac:dyDescent="0.25">
      <c r="B1766" s="24"/>
      <c r="C1766" s="24"/>
      <c r="D1766" s="26"/>
      <c r="E1766" s="24"/>
      <c r="F1766" s="145"/>
      <c r="G1766" s="36"/>
    </row>
    <row r="1767" spans="2:7" x14ac:dyDescent="0.25">
      <c r="B1767" s="24"/>
      <c r="C1767" s="24"/>
      <c r="D1767" s="26"/>
      <c r="E1767" s="24"/>
      <c r="F1767" s="145"/>
      <c r="G1767" s="36"/>
    </row>
    <row r="1768" spans="2:7" x14ac:dyDescent="0.25">
      <c r="B1768" s="24"/>
      <c r="C1768" s="24"/>
      <c r="D1768" s="26"/>
      <c r="E1768" s="24"/>
      <c r="F1768" s="145"/>
      <c r="G1768" s="36"/>
    </row>
    <row r="1769" spans="2:7" x14ac:dyDescent="0.25">
      <c r="B1769" s="24"/>
      <c r="C1769" s="24"/>
      <c r="D1769" s="26"/>
      <c r="E1769" s="24"/>
      <c r="F1769" s="145"/>
      <c r="G1769" s="36"/>
    </row>
    <row r="1770" spans="2:7" x14ac:dyDescent="0.25">
      <c r="B1770" s="24"/>
      <c r="C1770" s="24"/>
      <c r="D1770" s="26"/>
      <c r="E1770" s="24"/>
      <c r="F1770" s="145"/>
      <c r="G1770" s="36"/>
    </row>
    <row r="1771" spans="2:7" x14ac:dyDescent="0.25">
      <c r="B1771" s="24"/>
      <c r="C1771" s="24"/>
      <c r="D1771" s="26"/>
      <c r="E1771" s="24"/>
      <c r="F1771" s="145"/>
      <c r="G1771" s="36"/>
    </row>
    <row r="1772" spans="2:7" x14ac:dyDescent="0.25">
      <c r="B1772" s="24"/>
      <c r="C1772" s="24"/>
      <c r="D1772" s="26"/>
      <c r="E1772" s="24"/>
      <c r="F1772" s="145"/>
      <c r="G1772" s="36"/>
    </row>
    <row r="1773" spans="2:7" x14ac:dyDescent="0.25">
      <c r="B1773" s="24"/>
      <c r="C1773" s="24"/>
      <c r="D1773" s="26"/>
      <c r="E1773" s="24"/>
      <c r="F1773" s="145"/>
      <c r="G1773" s="36"/>
    </row>
    <row r="1774" spans="2:7" x14ac:dyDescent="0.25">
      <c r="B1774" s="24"/>
      <c r="C1774" s="24"/>
      <c r="D1774" s="26"/>
      <c r="E1774" s="24"/>
      <c r="F1774" s="145"/>
      <c r="G1774" s="36"/>
    </row>
    <row r="1775" spans="2:7" x14ac:dyDescent="0.25">
      <c r="B1775" s="24"/>
      <c r="C1775" s="24"/>
      <c r="D1775" s="26"/>
      <c r="E1775" s="24"/>
      <c r="F1775" s="145"/>
      <c r="G1775" s="36"/>
    </row>
    <row r="1776" spans="2:7" x14ac:dyDescent="0.25">
      <c r="B1776" s="24"/>
      <c r="C1776" s="24"/>
      <c r="D1776" s="26"/>
      <c r="E1776" s="24"/>
      <c r="F1776" s="145"/>
      <c r="G1776" s="36"/>
    </row>
    <row r="1777" spans="2:7" x14ac:dyDescent="0.25">
      <c r="B1777" s="24"/>
      <c r="C1777" s="24"/>
      <c r="D1777" s="26"/>
      <c r="E1777" s="24"/>
      <c r="F1777" s="145"/>
      <c r="G1777" s="36"/>
    </row>
    <row r="1778" spans="2:7" x14ac:dyDescent="0.25">
      <c r="B1778" s="24"/>
      <c r="C1778" s="24"/>
      <c r="D1778" s="26"/>
      <c r="E1778" s="24"/>
      <c r="F1778" s="145"/>
      <c r="G1778" s="36"/>
    </row>
    <row r="1779" spans="2:7" x14ac:dyDescent="0.25">
      <c r="B1779" s="24"/>
      <c r="C1779" s="24"/>
      <c r="D1779" s="26"/>
      <c r="E1779" s="24"/>
      <c r="F1779" s="145"/>
      <c r="G1779" s="36"/>
    </row>
    <row r="1780" spans="2:7" x14ac:dyDescent="0.25">
      <c r="B1780" s="24"/>
      <c r="C1780" s="24"/>
      <c r="D1780" s="26"/>
      <c r="E1780" s="24"/>
      <c r="F1780" s="145"/>
      <c r="G1780" s="36"/>
    </row>
    <row r="1781" spans="2:7" x14ac:dyDescent="0.25">
      <c r="B1781" s="24"/>
      <c r="C1781" s="24"/>
      <c r="D1781" s="26"/>
      <c r="E1781" s="24"/>
      <c r="F1781" s="145"/>
      <c r="G1781" s="36"/>
    </row>
    <row r="1782" spans="2:7" x14ac:dyDescent="0.25">
      <c r="B1782" s="24"/>
      <c r="C1782" s="24"/>
      <c r="D1782" s="26"/>
      <c r="E1782" s="24"/>
      <c r="F1782" s="145"/>
      <c r="G1782" s="36"/>
    </row>
    <row r="1783" spans="2:7" x14ac:dyDescent="0.25">
      <c r="B1783" s="24"/>
      <c r="C1783" s="24"/>
      <c r="D1783" s="26"/>
      <c r="E1783" s="24"/>
      <c r="F1783" s="145"/>
      <c r="G1783" s="36"/>
    </row>
    <row r="1784" spans="2:7" x14ac:dyDescent="0.25">
      <c r="B1784" s="24"/>
      <c r="C1784" s="24"/>
      <c r="D1784" s="26"/>
      <c r="E1784" s="24"/>
      <c r="F1784" s="145"/>
      <c r="G1784" s="36"/>
    </row>
    <row r="1785" spans="2:7" x14ac:dyDescent="0.25">
      <c r="B1785" s="24"/>
      <c r="C1785" s="24"/>
      <c r="D1785" s="26"/>
      <c r="E1785" s="24"/>
      <c r="F1785" s="145"/>
      <c r="G1785" s="36"/>
    </row>
    <row r="1786" spans="2:7" x14ac:dyDescent="0.25">
      <c r="B1786" s="24"/>
      <c r="C1786" s="24"/>
      <c r="D1786" s="26"/>
      <c r="E1786" s="24"/>
      <c r="F1786" s="145"/>
      <c r="G1786" s="36"/>
    </row>
    <row r="1787" spans="2:7" x14ac:dyDescent="0.25">
      <c r="B1787" s="24"/>
      <c r="C1787" s="24"/>
      <c r="D1787" s="26"/>
      <c r="E1787" s="24"/>
      <c r="F1787" s="145"/>
      <c r="G1787" s="36"/>
    </row>
    <row r="1788" spans="2:7" x14ac:dyDescent="0.25">
      <c r="B1788" s="24"/>
      <c r="C1788" s="24"/>
      <c r="D1788" s="26"/>
      <c r="E1788" s="24"/>
      <c r="F1788" s="145"/>
      <c r="G1788" s="36"/>
    </row>
    <row r="1789" spans="2:7" x14ac:dyDescent="0.25">
      <c r="B1789" s="24"/>
      <c r="C1789" s="24"/>
      <c r="D1789" s="26"/>
      <c r="E1789" s="24"/>
      <c r="F1789" s="145"/>
      <c r="G1789" s="36"/>
    </row>
    <row r="1790" spans="2:7" x14ac:dyDescent="0.25">
      <c r="B1790" s="24"/>
      <c r="C1790" s="24"/>
      <c r="D1790" s="26"/>
      <c r="E1790" s="24"/>
      <c r="F1790" s="145"/>
      <c r="G1790" s="36"/>
    </row>
    <row r="1791" spans="2:7" x14ac:dyDescent="0.25">
      <c r="B1791" s="24"/>
      <c r="C1791" s="24"/>
      <c r="D1791" s="26"/>
      <c r="E1791" s="24"/>
      <c r="F1791" s="145"/>
      <c r="G1791" s="36"/>
    </row>
    <row r="1792" spans="2:7" x14ac:dyDescent="0.25">
      <c r="B1792" s="24"/>
      <c r="C1792" s="24"/>
      <c r="D1792" s="26"/>
      <c r="E1792" s="24"/>
      <c r="F1792" s="145"/>
      <c r="G1792" s="36"/>
    </row>
    <row r="1793" spans="2:7" x14ac:dyDescent="0.25">
      <c r="B1793" s="24"/>
      <c r="C1793" s="24"/>
      <c r="D1793" s="26"/>
      <c r="E1793" s="24"/>
      <c r="F1793" s="145"/>
      <c r="G1793" s="36"/>
    </row>
    <row r="1794" spans="2:7" x14ac:dyDescent="0.25">
      <c r="B1794" s="24"/>
      <c r="C1794" s="24"/>
      <c r="D1794" s="26"/>
      <c r="E1794" s="24"/>
      <c r="F1794" s="145"/>
      <c r="G1794" s="36"/>
    </row>
    <row r="1795" spans="2:7" x14ac:dyDescent="0.25">
      <c r="B1795" s="24"/>
      <c r="C1795" s="24"/>
      <c r="D1795" s="26"/>
      <c r="E1795" s="24"/>
      <c r="F1795" s="145"/>
      <c r="G1795" s="36"/>
    </row>
    <row r="1796" spans="2:7" x14ac:dyDescent="0.25">
      <c r="B1796" s="24"/>
      <c r="C1796" s="24"/>
      <c r="D1796" s="26"/>
      <c r="E1796" s="24"/>
      <c r="F1796" s="145"/>
      <c r="G1796" s="36"/>
    </row>
    <row r="1797" spans="2:7" x14ac:dyDescent="0.25">
      <c r="B1797" s="24"/>
      <c r="C1797" s="24"/>
      <c r="D1797" s="26"/>
      <c r="E1797" s="24"/>
      <c r="F1797" s="145"/>
      <c r="G1797" s="36"/>
    </row>
    <row r="1798" spans="2:7" x14ac:dyDescent="0.25">
      <c r="B1798" s="24"/>
      <c r="C1798" s="24"/>
      <c r="D1798" s="26"/>
      <c r="E1798" s="24"/>
      <c r="F1798" s="145"/>
      <c r="G1798" s="36"/>
    </row>
    <row r="1799" spans="2:7" x14ac:dyDescent="0.25">
      <c r="B1799" s="24"/>
      <c r="C1799" s="24"/>
      <c r="D1799" s="26"/>
      <c r="E1799" s="24"/>
      <c r="F1799" s="145"/>
      <c r="G1799" s="36"/>
    </row>
    <row r="1800" spans="2:7" x14ac:dyDescent="0.25">
      <c r="B1800" s="24"/>
      <c r="C1800" s="24"/>
      <c r="D1800" s="26"/>
      <c r="E1800" s="24"/>
      <c r="F1800" s="145"/>
      <c r="G1800" s="36"/>
    </row>
    <row r="1801" spans="2:7" x14ac:dyDescent="0.25">
      <c r="B1801" s="24"/>
      <c r="C1801" s="24"/>
      <c r="D1801" s="26"/>
      <c r="E1801" s="24"/>
      <c r="F1801" s="145"/>
      <c r="G1801" s="36"/>
    </row>
    <row r="1802" spans="2:7" x14ac:dyDescent="0.25">
      <c r="B1802" s="24"/>
      <c r="C1802" s="24"/>
      <c r="D1802" s="26"/>
      <c r="E1802" s="24"/>
      <c r="F1802" s="145"/>
      <c r="G1802" s="36"/>
    </row>
    <row r="1803" spans="2:7" x14ac:dyDescent="0.25">
      <c r="B1803" s="24"/>
      <c r="C1803" s="24"/>
      <c r="D1803" s="26"/>
      <c r="E1803" s="24"/>
      <c r="F1803" s="145"/>
      <c r="G1803" s="36"/>
    </row>
    <row r="1804" spans="2:7" x14ac:dyDescent="0.25">
      <c r="B1804" s="24"/>
      <c r="C1804" s="24"/>
      <c r="D1804" s="26"/>
      <c r="E1804" s="24"/>
      <c r="F1804" s="145"/>
      <c r="G1804" s="36"/>
    </row>
    <row r="1805" spans="2:7" x14ac:dyDescent="0.25">
      <c r="B1805" s="24"/>
      <c r="C1805" s="24"/>
      <c r="D1805" s="26"/>
      <c r="E1805" s="24"/>
      <c r="F1805" s="145"/>
      <c r="G1805" s="36"/>
    </row>
    <row r="1806" spans="2:7" x14ac:dyDescent="0.25">
      <c r="B1806" s="24"/>
      <c r="C1806" s="24"/>
      <c r="D1806" s="26"/>
      <c r="E1806" s="24"/>
      <c r="F1806" s="145"/>
      <c r="G1806" s="36"/>
    </row>
    <row r="1807" spans="2:7" x14ac:dyDescent="0.25">
      <c r="B1807" s="24"/>
      <c r="C1807" s="24"/>
      <c r="D1807" s="26"/>
      <c r="E1807" s="24"/>
      <c r="F1807" s="145"/>
      <c r="G1807" s="36"/>
    </row>
    <row r="1808" spans="2:7" x14ac:dyDescent="0.25">
      <c r="B1808" s="24"/>
      <c r="C1808" s="24"/>
      <c r="D1808" s="26"/>
      <c r="E1808" s="24"/>
      <c r="F1808" s="145"/>
      <c r="G1808" s="36"/>
    </row>
    <row r="1809" spans="2:7" x14ac:dyDescent="0.25">
      <c r="B1809" s="24"/>
      <c r="C1809" s="24"/>
      <c r="D1809" s="26"/>
      <c r="E1809" s="24"/>
      <c r="F1809" s="145"/>
      <c r="G1809" s="36"/>
    </row>
    <row r="1810" spans="2:7" x14ac:dyDescent="0.25">
      <c r="B1810" s="24"/>
      <c r="C1810" s="24"/>
      <c r="D1810" s="26"/>
      <c r="E1810" s="24"/>
      <c r="F1810" s="145"/>
      <c r="G1810" s="36"/>
    </row>
    <row r="1811" spans="2:7" x14ac:dyDescent="0.25">
      <c r="B1811" s="24"/>
      <c r="C1811" s="24"/>
      <c r="D1811" s="26"/>
      <c r="E1811" s="24"/>
      <c r="F1811" s="145"/>
      <c r="G1811" s="36"/>
    </row>
    <row r="1812" spans="2:7" x14ac:dyDescent="0.25">
      <c r="B1812" s="24"/>
      <c r="C1812" s="24"/>
      <c r="D1812" s="26"/>
      <c r="E1812" s="24"/>
      <c r="F1812" s="145"/>
      <c r="G1812" s="36"/>
    </row>
    <row r="1813" spans="2:7" x14ac:dyDescent="0.25">
      <c r="B1813" s="24"/>
      <c r="C1813" s="24"/>
      <c r="D1813" s="26"/>
      <c r="E1813" s="24"/>
      <c r="F1813" s="145"/>
      <c r="G1813" s="36"/>
    </row>
    <row r="1814" spans="2:7" x14ac:dyDescent="0.25">
      <c r="B1814" s="24"/>
      <c r="C1814" s="24"/>
      <c r="D1814" s="26"/>
      <c r="E1814" s="24"/>
      <c r="F1814" s="145"/>
      <c r="G1814" s="36"/>
    </row>
    <row r="1815" spans="2:7" x14ac:dyDescent="0.25">
      <c r="B1815" s="24"/>
      <c r="C1815" s="24"/>
      <c r="D1815" s="26"/>
      <c r="E1815" s="24"/>
      <c r="F1815" s="145"/>
      <c r="G1815" s="36"/>
    </row>
    <row r="1816" spans="2:7" x14ac:dyDescent="0.25">
      <c r="B1816" s="24"/>
      <c r="C1816" s="24"/>
      <c r="D1816" s="26"/>
      <c r="E1816" s="24"/>
      <c r="F1816" s="145"/>
      <c r="G1816" s="36"/>
    </row>
    <row r="1817" spans="2:7" x14ac:dyDescent="0.25">
      <c r="B1817" s="24"/>
      <c r="C1817" s="24"/>
      <c r="D1817" s="26"/>
      <c r="E1817" s="24"/>
      <c r="F1817" s="145"/>
      <c r="G1817" s="36"/>
    </row>
    <row r="1818" spans="2:7" x14ac:dyDescent="0.25">
      <c r="B1818" s="24"/>
      <c r="C1818" s="24"/>
      <c r="D1818" s="26"/>
      <c r="E1818" s="24"/>
      <c r="F1818" s="145"/>
      <c r="G1818" s="36"/>
    </row>
    <row r="1819" spans="2:7" x14ac:dyDescent="0.25">
      <c r="B1819" s="24"/>
      <c r="C1819" s="24"/>
      <c r="D1819" s="26"/>
      <c r="E1819" s="24"/>
      <c r="F1819" s="145"/>
      <c r="G1819" s="36"/>
    </row>
    <row r="1820" spans="2:7" x14ac:dyDescent="0.25">
      <c r="B1820" s="24"/>
      <c r="C1820" s="24"/>
      <c r="D1820" s="26"/>
      <c r="E1820" s="24"/>
      <c r="F1820" s="145"/>
      <c r="G1820" s="36"/>
    </row>
    <row r="1821" spans="2:7" x14ac:dyDescent="0.25">
      <c r="B1821" s="24"/>
      <c r="C1821" s="24"/>
      <c r="D1821" s="26"/>
      <c r="E1821" s="24"/>
      <c r="F1821" s="145"/>
      <c r="G1821" s="36"/>
    </row>
    <row r="1822" spans="2:7" x14ac:dyDescent="0.25">
      <c r="B1822" s="24"/>
      <c r="C1822" s="24"/>
      <c r="D1822" s="26"/>
      <c r="E1822" s="24"/>
      <c r="F1822" s="145"/>
      <c r="G1822" s="36"/>
    </row>
    <row r="1823" spans="2:7" x14ac:dyDescent="0.25">
      <c r="B1823" s="24"/>
      <c r="C1823" s="24"/>
      <c r="D1823" s="26"/>
      <c r="E1823" s="24"/>
      <c r="F1823" s="145"/>
      <c r="G1823" s="36"/>
    </row>
    <row r="1824" spans="2:7" x14ac:dyDescent="0.25">
      <c r="B1824" s="24"/>
      <c r="C1824" s="24"/>
      <c r="D1824" s="26"/>
      <c r="E1824" s="24"/>
      <c r="F1824" s="145"/>
      <c r="G1824" s="36"/>
    </row>
    <row r="1825" spans="2:7" x14ac:dyDescent="0.25">
      <c r="B1825" s="24"/>
      <c r="C1825" s="24"/>
      <c r="D1825" s="26"/>
      <c r="E1825" s="24"/>
      <c r="F1825" s="145"/>
      <c r="G1825" s="36"/>
    </row>
    <row r="1826" spans="2:7" x14ac:dyDescent="0.25">
      <c r="B1826" s="24"/>
      <c r="C1826" s="24"/>
      <c r="D1826" s="26"/>
      <c r="E1826" s="24"/>
      <c r="F1826" s="145"/>
      <c r="G1826" s="36"/>
    </row>
    <row r="1827" spans="2:7" x14ac:dyDescent="0.25">
      <c r="B1827" s="24"/>
      <c r="C1827" s="24"/>
      <c r="D1827" s="26"/>
      <c r="E1827" s="24"/>
      <c r="F1827" s="145"/>
      <c r="G1827" s="36"/>
    </row>
    <row r="1828" spans="2:7" x14ac:dyDescent="0.25">
      <c r="B1828" s="24"/>
      <c r="C1828" s="24"/>
      <c r="D1828" s="26"/>
      <c r="E1828" s="24"/>
      <c r="F1828" s="145"/>
      <c r="G1828" s="36"/>
    </row>
    <row r="1829" spans="2:7" x14ac:dyDescent="0.25">
      <c r="B1829" s="24"/>
      <c r="C1829" s="24"/>
      <c r="D1829" s="26"/>
      <c r="E1829" s="24"/>
      <c r="F1829" s="145"/>
      <c r="G1829" s="36"/>
    </row>
    <row r="1830" spans="2:7" x14ac:dyDescent="0.25">
      <c r="B1830" s="24"/>
      <c r="C1830" s="24"/>
      <c r="D1830" s="26"/>
      <c r="E1830" s="24"/>
      <c r="F1830" s="145"/>
      <c r="G1830" s="36"/>
    </row>
    <row r="1831" spans="2:7" x14ac:dyDescent="0.25">
      <c r="B1831" s="24"/>
      <c r="C1831" s="24"/>
      <c r="D1831" s="26"/>
      <c r="E1831" s="24"/>
      <c r="F1831" s="145"/>
      <c r="G1831" s="36"/>
    </row>
    <row r="1832" spans="2:7" x14ac:dyDescent="0.25">
      <c r="B1832" s="24"/>
      <c r="C1832" s="24"/>
      <c r="D1832" s="26"/>
      <c r="E1832" s="24"/>
      <c r="F1832" s="145"/>
      <c r="G1832" s="36"/>
    </row>
    <row r="1833" spans="2:7" x14ac:dyDescent="0.25">
      <c r="B1833" s="24"/>
      <c r="C1833" s="24"/>
      <c r="D1833" s="26"/>
      <c r="E1833" s="24"/>
      <c r="F1833" s="145"/>
      <c r="G1833" s="36"/>
    </row>
    <row r="1834" spans="2:7" x14ac:dyDescent="0.25">
      <c r="B1834" s="24"/>
      <c r="C1834" s="24"/>
      <c r="D1834" s="26"/>
      <c r="E1834" s="24"/>
      <c r="F1834" s="145"/>
      <c r="G1834" s="36"/>
    </row>
    <row r="1835" spans="2:7" x14ac:dyDescent="0.25">
      <c r="B1835" s="24"/>
      <c r="C1835" s="24"/>
      <c r="D1835" s="26"/>
      <c r="E1835" s="24"/>
      <c r="F1835" s="145"/>
      <c r="G1835" s="36"/>
    </row>
    <row r="1836" spans="2:7" x14ac:dyDescent="0.25">
      <c r="B1836" s="24"/>
      <c r="C1836" s="24"/>
      <c r="D1836" s="26"/>
      <c r="E1836" s="24"/>
      <c r="F1836" s="145"/>
      <c r="G1836" s="36"/>
    </row>
    <row r="1837" spans="2:7" x14ac:dyDescent="0.25">
      <c r="B1837" s="24"/>
      <c r="C1837" s="24"/>
      <c r="D1837" s="26"/>
      <c r="E1837" s="24"/>
      <c r="F1837" s="145"/>
      <c r="G1837" s="36"/>
    </row>
    <row r="1838" spans="2:7" x14ac:dyDescent="0.25">
      <c r="B1838" s="24"/>
      <c r="C1838" s="24"/>
      <c r="D1838" s="26"/>
      <c r="E1838" s="24"/>
      <c r="F1838" s="145"/>
      <c r="G1838" s="36"/>
    </row>
    <row r="1839" spans="2:7" x14ac:dyDescent="0.25">
      <c r="B1839" s="24"/>
      <c r="C1839" s="24"/>
      <c r="D1839" s="26"/>
      <c r="E1839" s="24"/>
      <c r="F1839" s="145"/>
      <c r="G1839" s="36"/>
    </row>
    <row r="1840" spans="2:7" x14ac:dyDescent="0.25">
      <c r="B1840" s="24"/>
      <c r="C1840" s="24"/>
      <c r="D1840" s="26"/>
      <c r="E1840" s="24"/>
      <c r="F1840" s="145"/>
      <c r="G1840" s="36"/>
    </row>
    <row r="1841" spans="2:7" x14ac:dyDescent="0.25">
      <c r="B1841" s="24"/>
      <c r="C1841" s="24"/>
      <c r="D1841" s="26"/>
      <c r="E1841" s="24"/>
      <c r="F1841" s="145"/>
      <c r="G1841" s="36"/>
    </row>
    <row r="1842" spans="2:7" x14ac:dyDescent="0.25">
      <c r="B1842" s="24"/>
      <c r="C1842" s="24"/>
      <c r="D1842" s="26"/>
      <c r="E1842" s="24"/>
      <c r="F1842" s="145"/>
      <c r="G1842" s="36"/>
    </row>
    <row r="1843" spans="2:7" x14ac:dyDescent="0.25">
      <c r="B1843" s="24"/>
      <c r="C1843" s="24"/>
      <c r="D1843" s="26"/>
      <c r="E1843" s="24"/>
      <c r="F1843" s="145"/>
      <c r="G1843" s="36"/>
    </row>
    <row r="1844" spans="2:7" x14ac:dyDescent="0.25">
      <c r="B1844" s="24"/>
      <c r="C1844" s="24"/>
      <c r="D1844" s="26"/>
      <c r="E1844" s="24"/>
      <c r="F1844" s="145"/>
      <c r="G1844" s="36"/>
    </row>
    <row r="1845" spans="2:7" x14ac:dyDescent="0.25">
      <c r="B1845" s="24"/>
      <c r="C1845" s="24"/>
      <c r="D1845" s="26"/>
      <c r="E1845" s="24"/>
      <c r="F1845" s="145"/>
      <c r="G1845" s="36"/>
    </row>
    <row r="1846" spans="2:7" x14ac:dyDescent="0.25">
      <c r="B1846" s="24"/>
      <c r="C1846" s="24"/>
      <c r="D1846" s="26"/>
      <c r="E1846" s="24"/>
      <c r="F1846" s="145"/>
      <c r="G1846" s="36"/>
    </row>
    <row r="1847" spans="2:7" x14ac:dyDescent="0.25">
      <c r="B1847" s="24"/>
      <c r="C1847" s="24"/>
      <c r="D1847" s="26"/>
      <c r="E1847" s="24"/>
      <c r="F1847" s="145"/>
      <c r="G1847" s="36"/>
    </row>
    <row r="1848" spans="2:7" x14ac:dyDescent="0.25">
      <c r="B1848" s="24"/>
      <c r="C1848" s="24"/>
      <c r="D1848" s="26"/>
      <c r="E1848" s="24"/>
      <c r="F1848" s="145"/>
      <c r="G1848" s="36"/>
    </row>
    <row r="1849" spans="2:7" x14ac:dyDescent="0.25">
      <c r="B1849" s="24"/>
      <c r="C1849" s="24"/>
      <c r="D1849" s="26"/>
      <c r="E1849" s="24"/>
      <c r="F1849" s="145"/>
      <c r="G1849" s="36"/>
    </row>
    <row r="1850" spans="2:7" x14ac:dyDescent="0.25">
      <c r="B1850" s="24"/>
      <c r="C1850" s="24"/>
      <c r="D1850" s="26"/>
      <c r="E1850" s="24"/>
      <c r="F1850" s="145"/>
      <c r="G1850" s="36"/>
    </row>
    <row r="1851" spans="2:7" x14ac:dyDescent="0.25">
      <c r="B1851" s="24"/>
      <c r="C1851" s="24"/>
      <c r="D1851" s="26"/>
      <c r="E1851" s="24"/>
      <c r="F1851" s="145"/>
      <c r="G1851" s="36"/>
    </row>
    <row r="1852" spans="2:7" x14ac:dyDescent="0.25">
      <c r="B1852" s="24"/>
      <c r="C1852" s="24"/>
      <c r="D1852" s="26"/>
      <c r="E1852" s="24"/>
      <c r="F1852" s="145"/>
      <c r="G1852" s="36"/>
    </row>
    <row r="1853" spans="2:7" x14ac:dyDescent="0.25">
      <c r="B1853" s="24"/>
      <c r="C1853" s="24"/>
      <c r="D1853" s="26"/>
      <c r="E1853" s="24"/>
      <c r="F1853" s="145"/>
      <c r="G1853" s="36"/>
    </row>
    <row r="1854" spans="2:7" x14ac:dyDescent="0.25">
      <c r="B1854" s="24"/>
      <c r="C1854" s="24"/>
      <c r="D1854" s="26"/>
      <c r="E1854" s="24"/>
      <c r="F1854" s="145"/>
      <c r="G1854" s="36"/>
    </row>
    <row r="1855" spans="2:7" x14ac:dyDescent="0.25">
      <c r="B1855" s="24"/>
      <c r="C1855" s="24"/>
      <c r="D1855" s="26"/>
      <c r="E1855" s="24"/>
      <c r="F1855" s="145"/>
      <c r="G1855" s="36"/>
    </row>
    <row r="1856" spans="2:7" x14ac:dyDescent="0.25">
      <c r="B1856" s="24"/>
      <c r="C1856" s="24"/>
      <c r="D1856" s="26"/>
      <c r="E1856" s="24"/>
      <c r="F1856" s="145"/>
      <c r="G1856" s="36"/>
    </row>
    <row r="1857" spans="2:7" x14ac:dyDescent="0.25">
      <c r="B1857" s="24"/>
      <c r="C1857" s="24"/>
      <c r="D1857" s="26"/>
      <c r="E1857" s="24"/>
      <c r="F1857" s="145"/>
      <c r="G1857" s="36"/>
    </row>
    <row r="1858" spans="2:7" x14ac:dyDescent="0.25">
      <c r="B1858" s="24"/>
      <c r="C1858" s="24"/>
      <c r="D1858" s="26"/>
      <c r="E1858" s="24"/>
      <c r="F1858" s="145"/>
      <c r="G1858" s="36"/>
    </row>
    <row r="1859" spans="2:7" x14ac:dyDescent="0.25">
      <c r="B1859" s="24"/>
      <c r="C1859" s="24"/>
      <c r="D1859" s="26"/>
      <c r="E1859" s="24"/>
      <c r="F1859" s="145"/>
      <c r="G1859" s="36"/>
    </row>
    <row r="1860" spans="2:7" x14ac:dyDescent="0.25">
      <c r="B1860" s="24"/>
      <c r="C1860" s="24"/>
      <c r="D1860" s="26"/>
      <c r="E1860" s="24"/>
      <c r="F1860" s="145"/>
      <c r="G1860" s="36"/>
    </row>
    <row r="1861" spans="2:7" x14ac:dyDescent="0.25">
      <c r="B1861" s="24"/>
      <c r="C1861" s="24"/>
      <c r="D1861" s="26"/>
      <c r="E1861" s="24"/>
      <c r="F1861" s="145"/>
      <c r="G1861" s="36"/>
    </row>
    <row r="1862" spans="2:7" x14ac:dyDescent="0.25">
      <c r="B1862" s="24"/>
      <c r="C1862" s="24"/>
      <c r="D1862" s="26"/>
      <c r="E1862" s="24"/>
      <c r="F1862" s="145"/>
      <c r="G1862" s="36"/>
    </row>
    <row r="1863" spans="2:7" x14ac:dyDescent="0.25">
      <c r="B1863" s="24"/>
      <c r="C1863" s="24"/>
      <c r="D1863" s="26"/>
      <c r="E1863" s="24"/>
      <c r="F1863" s="145"/>
      <c r="G1863" s="36"/>
    </row>
    <row r="1864" spans="2:7" x14ac:dyDescent="0.25">
      <c r="B1864" s="24"/>
      <c r="C1864" s="24"/>
      <c r="D1864" s="26"/>
      <c r="E1864" s="24"/>
      <c r="F1864" s="145"/>
      <c r="G1864" s="36"/>
    </row>
    <row r="1865" spans="2:7" x14ac:dyDescent="0.25">
      <c r="B1865" s="24"/>
      <c r="C1865" s="24"/>
      <c r="D1865" s="26"/>
      <c r="E1865" s="24"/>
      <c r="F1865" s="145"/>
      <c r="G1865" s="36"/>
    </row>
    <row r="1866" spans="2:7" x14ac:dyDescent="0.25">
      <c r="B1866" s="24"/>
      <c r="C1866" s="24"/>
      <c r="D1866" s="26"/>
      <c r="E1866" s="24"/>
      <c r="F1866" s="145"/>
      <c r="G1866" s="36"/>
    </row>
    <row r="1867" spans="2:7" x14ac:dyDescent="0.25">
      <c r="B1867" s="24"/>
      <c r="C1867" s="24"/>
      <c r="D1867" s="26"/>
      <c r="E1867" s="24"/>
      <c r="F1867" s="145"/>
      <c r="G1867" s="36"/>
    </row>
    <row r="1868" spans="2:7" x14ac:dyDescent="0.25">
      <c r="B1868" s="24"/>
      <c r="C1868" s="24"/>
      <c r="D1868" s="26"/>
      <c r="E1868" s="24"/>
      <c r="F1868" s="145"/>
      <c r="G1868" s="36"/>
    </row>
    <row r="1869" spans="2:7" x14ac:dyDescent="0.25">
      <c r="B1869" s="24"/>
      <c r="C1869" s="24"/>
      <c r="D1869" s="26"/>
      <c r="E1869" s="24"/>
      <c r="F1869" s="145"/>
      <c r="G1869" s="36"/>
    </row>
    <row r="1870" spans="2:7" x14ac:dyDescent="0.25">
      <c r="B1870" s="24"/>
      <c r="C1870" s="24"/>
      <c r="D1870" s="26"/>
      <c r="E1870" s="24"/>
      <c r="F1870" s="145"/>
      <c r="G1870" s="36"/>
    </row>
    <row r="1871" spans="2:7" x14ac:dyDescent="0.25">
      <c r="B1871" s="24"/>
      <c r="C1871" s="24"/>
      <c r="D1871" s="26"/>
      <c r="E1871" s="24"/>
      <c r="F1871" s="145"/>
      <c r="G1871" s="36"/>
    </row>
  </sheetData>
  <phoneticPr fontId="1" type="noConversion"/>
  <conditionalFormatting sqref="A35:G72 B73:G76 B78:G84 G94:G95 B94:E95 A95 A85:G93 A2:G31 A96:G140 A155:G155 A156:B158 D156:G158 C157 A159:G162 C163:C166 A167:D170 F167:G170 A180:G1871">
    <cfRule type="expression" dxfId="32" priority="32">
      <formula>$G2=0</formula>
    </cfRule>
  </conditionalFormatting>
  <conditionalFormatting sqref="F95 A94">
    <cfRule type="expression" dxfId="31" priority="78">
      <formula>#REF!=0</formula>
    </cfRule>
  </conditionalFormatting>
  <conditionalFormatting sqref="F94">
    <cfRule type="expression" dxfId="30" priority="80">
      <formula>#REF!=0</formula>
    </cfRule>
  </conditionalFormatting>
  <conditionalFormatting sqref="C33:G34 C32:E32 G32">
    <cfRule type="expression" dxfId="29" priority="27">
      <formula>$G32=0</formula>
    </cfRule>
  </conditionalFormatting>
  <conditionalFormatting sqref="A32:B34">
    <cfRule type="expression" dxfId="28" priority="25">
      <formula>$G32=0</formula>
    </cfRule>
  </conditionalFormatting>
  <conditionalFormatting sqref="F32">
    <cfRule type="expression" dxfId="27" priority="24">
      <formula>$G32=0</formula>
    </cfRule>
  </conditionalFormatting>
  <conditionalFormatting sqref="B77:G77">
    <cfRule type="expression" dxfId="26" priority="23">
      <formula>$G77=0</formula>
    </cfRule>
  </conditionalFormatting>
  <conditionalFormatting sqref="A73:A77">
    <cfRule type="expression" dxfId="25" priority="22">
      <formula>$G73=0</formula>
    </cfRule>
  </conditionalFormatting>
  <conditionalFormatting sqref="A78:A81">
    <cfRule type="expression" dxfId="24" priority="21">
      <formula>$G78=0</formula>
    </cfRule>
  </conditionalFormatting>
  <conditionalFormatting sqref="A82:A84">
    <cfRule type="expression" dxfId="23" priority="20">
      <formula>$G82=0</formula>
    </cfRule>
  </conditionalFormatting>
  <conditionalFormatting sqref="A141:G144">
    <cfRule type="expression" dxfId="22" priority="17">
      <formula>$G141=0</formula>
    </cfRule>
  </conditionalFormatting>
  <conditionalFormatting sqref="A145:G149">
    <cfRule type="expression" dxfId="21" priority="15">
      <formula>$G145=0</formula>
    </cfRule>
  </conditionalFormatting>
  <conditionalFormatting sqref="A150:G151 C152:C154 C156 C158">
    <cfRule type="expression" dxfId="20" priority="14">
      <formula>$G150=0</formula>
    </cfRule>
  </conditionalFormatting>
  <conditionalFormatting sqref="A152:B154 D152:G154">
    <cfRule type="expression" dxfId="19" priority="13">
      <formula>$G152=0</formula>
    </cfRule>
  </conditionalFormatting>
  <conditionalFormatting sqref="A163:B166 D163:G166">
    <cfRule type="expression" dxfId="18" priority="10">
      <formula>$G163=0</formula>
    </cfRule>
  </conditionalFormatting>
  <conditionalFormatting sqref="E167:E170">
    <cfRule type="expression" dxfId="17" priority="9">
      <formula>$G167=0</formula>
    </cfRule>
  </conditionalFormatting>
  <conditionalFormatting sqref="A171:D171 F171:G171">
    <cfRule type="expression" dxfId="16" priority="5">
      <formula>$G171=0</formula>
    </cfRule>
  </conditionalFormatting>
  <conditionalFormatting sqref="E171">
    <cfRule type="expression" dxfId="15" priority="4">
      <formula>$G171=0</formula>
    </cfRule>
  </conditionalFormatting>
  <conditionalFormatting sqref="A172:D179 F172:G179">
    <cfRule type="expression" dxfId="14" priority="2">
      <formula>$G172=0</formula>
    </cfRule>
  </conditionalFormatting>
  <conditionalFormatting sqref="E172:E179">
    <cfRule type="expression" dxfId="13" priority="1">
      <formula>$G172=0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CD3F-1DB5-47C5-977C-EBAC96848A5C}">
  <sheetPr codeName="Sheet5"/>
  <dimension ref="A1:AG270"/>
  <sheetViews>
    <sheetView workbookViewId="0">
      <pane ySplit="1" topLeftCell="A249" activePane="bottomLeft" state="frozen"/>
      <selection pane="bottomLeft" activeCell="F270" sqref="F270"/>
    </sheetView>
  </sheetViews>
  <sheetFormatPr defaultColWidth="10.7109375" defaultRowHeight="15" x14ac:dyDescent="0.25"/>
  <cols>
    <col min="1" max="1" width="6.7109375" style="23" customWidth="1"/>
    <col min="2" max="5" width="12.7109375" style="1" customWidth="1"/>
    <col min="6" max="6" width="88.140625" style="367" customWidth="1"/>
    <col min="7" max="7" width="4.7109375" style="1" customWidth="1"/>
    <col min="8" max="8" width="9.7109375" style="1" bestFit="1" customWidth="1"/>
    <col min="9" max="9" width="4.7109375" style="1" customWidth="1"/>
    <col min="10" max="10" width="8.7109375" style="1" customWidth="1"/>
    <col min="11" max="11" width="7.7109375" style="1" customWidth="1"/>
    <col min="12" max="12" width="12.85546875" style="23" bestFit="1" customWidth="1"/>
    <col min="13" max="13" width="9.7109375" style="23" customWidth="1"/>
    <col min="14" max="14" width="3.7109375" style="23" customWidth="1"/>
    <col min="15" max="15" width="9" style="23" customWidth="1"/>
    <col min="16" max="16" width="34.7109375" style="1" bestFit="1" customWidth="1"/>
    <col min="17" max="16384" width="10.7109375" style="1"/>
  </cols>
  <sheetData>
    <row r="1" spans="1:33" s="11" customFormat="1" ht="27" customHeight="1" x14ac:dyDescent="0.25">
      <c r="A1" s="70" t="s">
        <v>679</v>
      </c>
      <c r="B1" s="17" t="s">
        <v>111</v>
      </c>
      <c r="C1" s="17" t="s">
        <v>183</v>
      </c>
      <c r="D1" s="17" t="s">
        <v>189</v>
      </c>
      <c r="E1" s="17" t="s">
        <v>678</v>
      </c>
      <c r="F1" s="361" t="s">
        <v>1068</v>
      </c>
      <c r="G1" s="358" t="s">
        <v>193</v>
      </c>
      <c r="H1" s="16" t="s">
        <v>196</v>
      </c>
      <c r="I1" s="358" t="s">
        <v>194</v>
      </c>
      <c r="J1" s="16" t="s">
        <v>195</v>
      </c>
      <c r="K1" s="17" t="s">
        <v>197</v>
      </c>
      <c r="L1" s="17" t="s">
        <v>249</v>
      </c>
      <c r="M1" s="17" t="s">
        <v>218</v>
      </c>
      <c r="N1" s="17" t="s">
        <v>680</v>
      </c>
      <c r="O1" s="17" t="s">
        <v>1222</v>
      </c>
      <c r="P1" s="17" t="s">
        <v>213</v>
      </c>
      <c r="R1" s="11" t="s">
        <v>1068</v>
      </c>
      <c r="AG1" s="11">
        <v>2</v>
      </c>
    </row>
    <row r="2" spans="1:33" ht="16.5" x14ac:dyDescent="0.25">
      <c r="B2" s="30" t="s">
        <v>225</v>
      </c>
      <c r="C2" s="23">
        <v>140450035</v>
      </c>
      <c r="D2" s="23">
        <v>2000</v>
      </c>
      <c r="E2" s="20" t="s">
        <v>106</v>
      </c>
      <c r="F2" s="362"/>
      <c r="G2" s="357">
        <v>11</v>
      </c>
      <c r="H2" s="67">
        <f>cutts[[#This Row],[num]]-SUM(cutts[[#This Row],[num2]])</f>
        <v>2000</v>
      </c>
      <c r="I2" s="357"/>
      <c r="J2" s="21"/>
      <c r="K2" s="40">
        <v>2000</v>
      </c>
      <c r="L2" s="40"/>
      <c r="M2" s="40">
        <f>cutts[[#This Row],[num]]-cutts[[#This Row],[cutted]]</f>
        <v>0</v>
      </c>
      <c r="N2" s="40"/>
      <c r="O2" s="353"/>
      <c r="P2" s="23"/>
    </row>
    <row r="3" spans="1:33" ht="16.5" x14ac:dyDescent="0.25">
      <c r="B3" s="30" t="s">
        <v>191</v>
      </c>
      <c r="C3" s="23">
        <v>140450027</v>
      </c>
      <c r="D3" s="23">
        <v>3405</v>
      </c>
      <c r="E3" s="20" t="s">
        <v>106</v>
      </c>
      <c r="F3" s="362"/>
      <c r="G3" s="357">
        <v>11</v>
      </c>
      <c r="H3" s="67">
        <f>cutts[[#This Row],[num]]-SUM(cutts[[#This Row],[num2]])</f>
        <v>3405</v>
      </c>
      <c r="I3" s="357"/>
      <c r="J3" s="21" t="s">
        <v>224</v>
      </c>
      <c r="K3" s="40">
        <v>3405</v>
      </c>
      <c r="L3" s="40"/>
      <c r="M3" s="40">
        <f>cutts[[#This Row],[num]]-cutts[[#This Row],[cutted]]</f>
        <v>0</v>
      </c>
      <c r="N3" s="40"/>
      <c r="O3" s="353"/>
      <c r="P3" s="23"/>
    </row>
    <row r="4" spans="1:33" s="23" customFormat="1" ht="16.5" x14ac:dyDescent="0.25">
      <c r="B4" s="30" t="s">
        <v>191</v>
      </c>
      <c r="C4" s="23">
        <v>140450027</v>
      </c>
      <c r="D4" s="23">
        <v>-3405</v>
      </c>
      <c r="E4" s="20" t="s">
        <v>106</v>
      </c>
      <c r="F4" s="362"/>
      <c r="G4" s="357">
        <v>11</v>
      </c>
      <c r="H4" s="67">
        <f>cutts[[#This Row],[num]]-SUM(cutts[[#This Row],[num2]])</f>
        <v>-3405</v>
      </c>
      <c r="I4" s="357"/>
      <c r="J4" s="21" t="s">
        <v>224</v>
      </c>
      <c r="K4" s="40">
        <v>-3405</v>
      </c>
      <c r="L4" s="40"/>
      <c r="M4" s="40">
        <f>cutts[[#This Row],[num]]-cutts[[#This Row],[cutted]]</f>
        <v>0</v>
      </c>
      <c r="N4" s="40"/>
      <c r="O4" s="353"/>
      <c r="P4" s="23" t="s">
        <v>216</v>
      </c>
    </row>
    <row r="5" spans="1:33" ht="16.5" x14ac:dyDescent="0.25">
      <c r="B5" s="30" t="s">
        <v>207</v>
      </c>
      <c r="C5" s="23">
        <v>140450027</v>
      </c>
      <c r="D5" s="23">
        <v>3000</v>
      </c>
      <c r="E5" s="20" t="s">
        <v>106</v>
      </c>
      <c r="F5" s="362"/>
      <c r="G5" s="357">
        <v>11</v>
      </c>
      <c r="H5" s="67">
        <f>cutts[[#This Row],[num]]-SUM(cutts[[#This Row],[num2]])</f>
        <v>3000</v>
      </c>
      <c r="I5" s="357"/>
      <c r="J5" s="21" t="s">
        <v>224</v>
      </c>
      <c r="K5" s="40">
        <v>3000</v>
      </c>
      <c r="L5" s="40"/>
      <c r="M5" s="40">
        <f>cutts[[#This Row],[num]]-cutts[[#This Row],[cutted]]</f>
        <v>0</v>
      </c>
      <c r="N5" s="40"/>
      <c r="O5" s="353"/>
      <c r="P5" s="23"/>
    </row>
    <row r="6" spans="1:33" ht="16.5" x14ac:dyDescent="0.25">
      <c r="B6" s="30" t="s">
        <v>232</v>
      </c>
      <c r="C6" s="23">
        <v>140010230</v>
      </c>
      <c r="D6" s="23">
        <v>2100</v>
      </c>
      <c r="E6" s="20" t="s">
        <v>106</v>
      </c>
      <c r="F6" s="362"/>
      <c r="G6" s="357">
        <v>1</v>
      </c>
      <c r="H6" s="67">
        <f>cutts[[#This Row],[num]]-SUM(cutts[[#This Row],[num2]])</f>
        <v>2000</v>
      </c>
      <c r="I6" s="357">
        <v>2</v>
      </c>
      <c r="J6" s="21">
        <v>100</v>
      </c>
      <c r="K6" s="40">
        <v>2100</v>
      </c>
      <c r="L6" s="40"/>
      <c r="M6" s="40">
        <f>cutts[[#This Row],[num]]-cutts[[#This Row],[cutted]]</f>
        <v>0</v>
      </c>
      <c r="N6" s="40"/>
      <c r="O6" s="353"/>
      <c r="P6" s="23"/>
    </row>
    <row r="7" spans="1:33" ht="16.5" x14ac:dyDescent="0.25">
      <c r="A7" s="23">
        <v>2</v>
      </c>
      <c r="B7" s="30" t="s">
        <v>232</v>
      </c>
      <c r="C7" s="23">
        <v>140010255</v>
      </c>
      <c r="D7" s="23">
        <v>500</v>
      </c>
      <c r="E7" s="20" t="s">
        <v>106</v>
      </c>
      <c r="F7" s="362"/>
      <c r="G7" s="357">
        <v>1</v>
      </c>
      <c r="H7" s="67">
        <f>cutts[[#This Row],[num]]-SUM(cutts[[#This Row],[num2]])</f>
        <v>500</v>
      </c>
      <c r="I7" s="357"/>
      <c r="J7" s="21"/>
      <c r="K7" s="40">
        <v>500</v>
      </c>
      <c r="L7" s="40"/>
      <c r="M7" s="40">
        <f>cutts[[#This Row],[num]]-cutts[[#This Row],[cutted]]</f>
        <v>0</v>
      </c>
      <c r="N7" s="40"/>
      <c r="O7" s="353"/>
      <c r="P7" s="23"/>
    </row>
    <row r="8" spans="1:33" ht="16.5" x14ac:dyDescent="0.25">
      <c r="B8" s="30" t="s">
        <v>232</v>
      </c>
      <c r="C8" s="23">
        <v>140010117</v>
      </c>
      <c r="D8" s="23">
        <v>2100</v>
      </c>
      <c r="E8" s="20" t="s">
        <v>106</v>
      </c>
      <c r="F8" s="362"/>
      <c r="G8" s="357">
        <v>1</v>
      </c>
      <c r="H8" s="67">
        <f>cutts[[#This Row],[num]]-SUM(cutts[[#This Row],[num2]])</f>
        <v>2100</v>
      </c>
      <c r="I8" s="357"/>
      <c r="J8" s="21"/>
      <c r="K8" s="40">
        <v>2100</v>
      </c>
      <c r="L8" s="40"/>
      <c r="M8" s="40">
        <f>cutts[[#This Row],[num]]-cutts[[#This Row],[cutted]]</f>
        <v>0</v>
      </c>
      <c r="N8" s="40"/>
      <c r="O8" s="353"/>
      <c r="P8" s="23"/>
    </row>
    <row r="9" spans="1:33" ht="16.5" x14ac:dyDescent="0.25">
      <c r="B9" s="30" t="s">
        <v>240</v>
      </c>
      <c r="C9" s="23">
        <v>140010117</v>
      </c>
      <c r="D9" s="23">
        <v>3000</v>
      </c>
      <c r="E9" s="20" t="s">
        <v>106</v>
      </c>
      <c r="F9" s="362"/>
      <c r="G9" s="357">
        <v>1</v>
      </c>
      <c r="H9" s="67">
        <f>cutts[[#This Row],[num]]-SUM(cutts[[#This Row],[num2]])</f>
        <v>3000</v>
      </c>
      <c r="I9" s="357"/>
      <c r="J9" s="21"/>
      <c r="K9" s="40">
        <v>3000</v>
      </c>
      <c r="L9" s="40"/>
      <c r="M9" s="40">
        <f>cutts[[#This Row],[num]]-cutts[[#This Row],[cutted]]</f>
        <v>0</v>
      </c>
      <c r="N9" s="40"/>
      <c r="O9" s="353"/>
      <c r="P9" s="23"/>
    </row>
    <row r="10" spans="1:33" ht="16.5" x14ac:dyDescent="0.25">
      <c r="B10" s="30" t="s">
        <v>240</v>
      </c>
      <c r="C10" s="23">
        <v>140010230</v>
      </c>
      <c r="D10" s="23">
        <v>3000</v>
      </c>
      <c r="E10" s="20" t="s">
        <v>106</v>
      </c>
      <c r="F10" s="362"/>
      <c r="G10" s="357">
        <v>1</v>
      </c>
      <c r="H10" s="67">
        <f>cutts[[#This Row],[num]]-SUM(cutts[[#This Row],[num2]])</f>
        <v>3000</v>
      </c>
      <c r="I10" s="357"/>
      <c r="J10" s="21"/>
      <c r="K10" s="40">
        <v>3000</v>
      </c>
      <c r="L10" s="40"/>
      <c r="M10" s="40">
        <f>cutts[[#This Row],[num]]-cutts[[#This Row],[cutted]]</f>
        <v>0</v>
      </c>
      <c r="N10" s="40"/>
      <c r="O10" s="353"/>
      <c r="P10" s="23"/>
    </row>
    <row r="11" spans="1:33" ht="16.5" x14ac:dyDescent="0.25">
      <c r="B11" s="30" t="s">
        <v>241</v>
      </c>
      <c r="C11" s="23">
        <v>140030040</v>
      </c>
      <c r="D11" s="23">
        <v>600</v>
      </c>
      <c r="E11" s="20" t="s">
        <v>106</v>
      </c>
      <c r="F11" s="362"/>
      <c r="G11" s="357" t="s">
        <v>259</v>
      </c>
      <c r="H11" s="67">
        <f>cutts[[#This Row],[num]]-SUM(cutts[[#This Row],[num2]])</f>
        <v>600</v>
      </c>
      <c r="I11" s="357"/>
      <c r="J11" s="21"/>
      <c r="K11" s="40">
        <v>600</v>
      </c>
      <c r="L11" s="40"/>
      <c r="M11" s="40">
        <f>cutts[[#This Row],[num]]-cutts[[#This Row],[cutted]]</f>
        <v>0</v>
      </c>
      <c r="N11" s="40"/>
      <c r="O11" s="353"/>
      <c r="P11" s="23"/>
    </row>
    <row r="12" spans="1:33" ht="16.5" x14ac:dyDescent="0.25">
      <c r="B12" s="30" t="s">
        <v>241</v>
      </c>
      <c r="C12" s="23">
        <v>140010117</v>
      </c>
      <c r="D12" s="23">
        <v>4900</v>
      </c>
      <c r="E12" s="20" t="s">
        <v>106</v>
      </c>
      <c r="F12" s="362"/>
      <c r="G12" s="357">
        <v>1</v>
      </c>
      <c r="H12" s="67">
        <f>cutts[[#This Row],[num]]-SUM(cutts[[#This Row],[num2]])</f>
        <v>4900</v>
      </c>
      <c r="I12" s="357"/>
      <c r="J12" s="21"/>
      <c r="K12" s="40">
        <v>4900</v>
      </c>
      <c r="L12" s="40"/>
      <c r="M12" s="40">
        <f>cutts[[#This Row],[num]]-cutts[[#This Row],[cutted]]</f>
        <v>0</v>
      </c>
      <c r="N12" s="40"/>
      <c r="O12" s="353"/>
      <c r="P12" s="23"/>
    </row>
    <row r="13" spans="1:33" ht="16.5" x14ac:dyDescent="0.25">
      <c r="B13" s="30" t="s">
        <v>236</v>
      </c>
      <c r="C13" s="23">
        <v>140030040</v>
      </c>
      <c r="D13" s="23">
        <v>3000</v>
      </c>
      <c r="E13" s="20" t="s">
        <v>106</v>
      </c>
      <c r="F13" s="362"/>
      <c r="G13" s="357" t="s">
        <v>242</v>
      </c>
      <c r="H13" s="67">
        <f>cutts[[#This Row],[num]]-SUM(cutts[[#This Row],[num2]])</f>
        <v>3000</v>
      </c>
      <c r="I13" s="357"/>
      <c r="J13" s="21"/>
      <c r="K13" s="40">
        <v>3000</v>
      </c>
      <c r="L13" s="40"/>
      <c r="M13" s="40">
        <f>cutts[[#This Row],[num]]-cutts[[#This Row],[cutted]]</f>
        <v>0</v>
      </c>
      <c r="N13" s="40"/>
      <c r="O13" s="353"/>
      <c r="P13" s="23"/>
    </row>
    <row r="14" spans="1:33" ht="16.5" x14ac:dyDescent="0.25">
      <c r="B14" s="30" t="s">
        <v>236</v>
      </c>
      <c r="C14" s="23">
        <v>140030039</v>
      </c>
      <c r="D14" s="23">
        <v>3000</v>
      </c>
      <c r="E14" s="20" t="s">
        <v>106</v>
      </c>
      <c r="F14" s="362"/>
      <c r="G14" s="357" t="s">
        <v>242</v>
      </c>
      <c r="H14" s="67">
        <f>cutts[[#This Row],[num]]-SUM(cutts[[#This Row],[num2]])</f>
        <v>3000</v>
      </c>
      <c r="I14" s="357"/>
      <c r="J14" s="21"/>
      <c r="K14" s="40">
        <v>3000</v>
      </c>
      <c r="L14" s="40"/>
      <c r="M14" s="40">
        <f>cutts[[#This Row],[num]]-cutts[[#This Row],[cutted]]</f>
        <v>0</v>
      </c>
      <c r="N14" s="40"/>
      <c r="O14" s="353"/>
      <c r="P14" s="23"/>
    </row>
    <row r="15" spans="1:33" ht="16.5" x14ac:dyDescent="0.25">
      <c r="B15" s="30" t="s">
        <v>236</v>
      </c>
      <c r="C15" s="23">
        <v>140010117</v>
      </c>
      <c r="D15" s="23">
        <v>3000</v>
      </c>
      <c r="E15" s="20" t="s">
        <v>106</v>
      </c>
      <c r="F15" s="68" t="s">
        <v>618</v>
      </c>
      <c r="G15" s="357" t="s">
        <v>242</v>
      </c>
      <c r="H15" s="67">
        <f>cutts[[#This Row],[num]]-SUM(cutts[[#This Row],[num2]])</f>
        <v>3000</v>
      </c>
      <c r="I15" s="357"/>
      <c r="J15" s="21"/>
      <c r="K15" s="40">
        <v>3000</v>
      </c>
      <c r="L15" s="40"/>
      <c r="M15" s="40">
        <f>cutts[[#This Row],[num]]-cutts[[#This Row],[cutted]]</f>
        <v>0</v>
      </c>
      <c r="N15" s="40"/>
      <c r="O15" s="353"/>
      <c r="P15" s="23"/>
    </row>
    <row r="16" spans="1:33" ht="16.5" x14ac:dyDescent="0.25">
      <c r="B16" s="30" t="s">
        <v>236</v>
      </c>
      <c r="C16" s="59">
        <v>140010298</v>
      </c>
      <c r="D16" s="59">
        <v>630</v>
      </c>
      <c r="E16" s="20" t="s">
        <v>107</v>
      </c>
      <c r="F16" s="68" t="s">
        <v>619</v>
      </c>
      <c r="G16" s="357">
        <v>1</v>
      </c>
      <c r="H16" s="67">
        <f>cutts[[#This Row],[num]]-SUM(cutts[[#This Row],[num2]])</f>
        <v>630</v>
      </c>
      <c r="I16" s="357"/>
      <c r="J16" s="21"/>
      <c r="K16" s="40">
        <v>630</v>
      </c>
      <c r="L16" s="40"/>
      <c r="M16" s="40">
        <f>cutts[[#This Row],[num]]-cutts[[#This Row],[cutted]]</f>
        <v>0</v>
      </c>
      <c r="N16" s="40"/>
      <c r="O16" s="353"/>
      <c r="P16" s="23"/>
    </row>
    <row r="17" spans="2:18" ht="16.5" x14ac:dyDescent="0.25">
      <c r="B17" s="30" t="s">
        <v>236</v>
      </c>
      <c r="C17" s="59">
        <v>140010279</v>
      </c>
      <c r="D17" s="59">
        <v>3000</v>
      </c>
      <c r="E17" s="20" t="s">
        <v>107</v>
      </c>
      <c r="F17" s="68" t="s">
        <v>620</v>
      </c>
      <c r="G17" s="357">
        <v>1</v>
      </c>
      <c r="H17" s="67">
        <f>cutts[[#This Row],[num]]-SUM(cutts[[#This Row],[num2]])</f>
        <v>3000</v>
      </c>
      <c r="I17" s="357"/>
      <c r="J17" s="21"/>
      <c r="K17" s="40">
        <v>3000</v>
      </c>
      <c r="L17" s="40"/>
      <c r="M17" s="40">
        <f>cutts[[#This Row],[num]]-cutts[[#This Row],[cutted]]</f>
        <v>0</v>
      </c>
      <c r="N17" s="40"/>
      <c r="O17" s="353"/>
      <c r="P17" s="23"/>
    </row>
    <row r="18" spans="2:18" ht="16.5" x14ac:dyDescent="0.25">
      <c r="B18" s="30" t="s">
        <v>236</v>
      </c>
      <c r="C18" s="59">
        <v>140010295</v>
      </c>
      <c r="D18" s="59">
        <v>4300</v>
      </c>
      <c r="E18" s="20" t="s">
        <v>107</v>
      </c>
      <c r="F18" s="68" t="s">
        <v>621</v>
      </c>
      <c r="G18" s="357">
        <v>1</v>
      </c>
      <c r="H18" s="67">
        <f>cutts[[#This Row],[num]]-SUM(cutts[[#This Row],[num2]])</f>
        <v>4300</v>
      </c>
      <c r="I18" s="357"/>
      <c r="J18" s="21"/>
      <c r="K18" s="40">
        <v>4300</v>
      </c>
      <c r="L18" s="40"/>
      <c r="M18" s="40">
        <f>cutts[[#This Row],[num]]-cutts[[#This Row],[cutted]]</f>
        <v>0</v>
      </c>
      <c r="N18" s="40"/>
      <c r="O18" s="353"/>
      <c r="P18" s="23"/>
    </row>
    <row r="19" spans="2:18" ht="16.5" x14ac:dyDescent="0.25">
      <c r="B19" s="30" t="s">
        <v>234</v>
      </c>
      <c r="C19" s="23">
        <v>140030039</v>
      </c>
      <c r="D19" s="23">
        <v>3000</v>
      </c>
      <c r="E19" s="20" t="s">
        <v>106</v>
      </c>
      <c r="F19" s="68" t="s">
        <v>622</v>
      </c>
      <c r="G19" s="357">
        <v>2</v>
      </c>
      <c r="H19" s="67">
        <f>cutts[[#This Row],[num]]-SUM(cutts[[#This Row],[num2]])</f>
        <v>3000</v>
      </c>
      <c r="I19" s="357"/>
      <c r="J19" s="21"/>
      <c r="K19" s="40">
        <v>3000</v>
      </c>
      <c r="L19" s="40"/>
      <c r="M19" s="40">
        <f>cutts[[#This Row],[num]]-cutts[[#This Row],[cutted]]</f>
        <v>0</v>
      </c>
      <c r="N19" s="40"/>
      <c r="O19" s="353"/>
      <c r="P19" s="23" t="s">
        <v>262</v>
      </c>
    </row>
    <row r="20" spans="2:18" ht="16.5" x14ac:dyDescent="0.25">
      <c r="B20" s="30" t="s">
        <v>234</v>
      </c>
      <c r="C20" s="23">
        <v>140010280</v>
      </c>
      <c r="D20" s="23">
        <v>3000</v>
      </c>
      <c r="E20" s="20" t="s">
        <v>107</v>
      </c>
      <c r="F20" s="68" t="s">
        <v>623</v>
      </c>
      <c r="G20" s="357">
        <v>1</v>
      </c>
      <c r="H20" s="67">
        <f>cutts[[#This Row],[num]]-SUM(cutts[[#This Row],[num2]])</f>
        <v>3000</v>
      </c>
      <c r="I20" s="357"/>
      <c r="J20" s="21"/>
      <c r="K20" s="40">
        <v>3000</v>
      </c>
      <c r="L20" s="40"/>
      <c r="M20" s="40">
        <f>cutts[[#This Row],[num]]-cutts[[#This Row],[cutted]]</f>
        <v>0</v>
      </c>
      <c r="N20" s="40"/>
      <c r="O20" s="353"/>
      <c r="P20" s="23"/>
    </row>
    <row r="21" spans="2:18" ht="16.5" x14ac:dyDescent="0.25">
      <c r="B21" s="30" t="s">
        <v>234</v>
      </c>
      <c r="C21" s="23">
        <v>140020181</v>
      </c>
      <c r="D21" s="23">
        <v>3000</v>
      </c>
      <c r="E21" s="20" t="s">
        <v>106</v>
      </c>
      <c r="F21" s="68" t="s">
        <v>624</v>
      </c>
      <c r="G21" s="357">
        <v>2</v>
      </c>
      <c r="H21" s="67">
        <f>cutts[[#This Row],[num]]-SUM(cutts[[#This Row],[num2]])</f>
        <v>3000</v>
      </c>
      <c r="I21" s="357"/>
      <c r="J21" s="21"/>
      <c r="K21" s="40">
        <v>3000</v>
      </c>
      <c r="L21" s="40"/>
      <c r="M21" s="40">
        <f>cutts[[#This Row],[num]]-cutts[[#This Row],[cutted]]</f>
        <v>0</v>
      </c>
      <c r="N21" s="40"/>
      <c r="O21" s="353"/>
      <c r="P21" s="23"/>
      <c r="R21" s="1">
        <f>LEN(cutts[[#This Row],[productId]])</f>
        <v>9</v>
      </c>
    </row>
    <row r="22" spans="2:18" ht="16.5" x14ac:dyDescent="0.25">
      <c r="B22" s="30" t="s">
        <v>234</v>
      </c>
      <c r="C22" s="23">
        <v>140030040</v>
      </c>
      <c r="D22" s="23">
        <v>2100</v>
      </c>
      <c r="E22" s="20" t="s">
        <v>106</v>
      </c>
      <c r="F22" s="68" t="s">
        <v>625</v>
      </c>
      <c r="G22" s="357">
        <v>2</v>
      </c>
      <c r="H22" s="67">
        <f>cutts[[#This Row],[num]]-SUM(cutts[[#This Row],[num2]])</f>
        <v>2100</v>
      </c>
      <c r="I22" s="357"/>
      <c r="J22" s="21"/>
      <c r="K22" s="40">
        <v>2100</v>
      </c>
      <c r="L22" s="40" t="s">
        <v>233</v>
      </c>
      <c r="M22" s="40">
        <f>cutts[[#This Row],[num]]-cutts[[#This Row],[cutted]]</f>
        <v>0</v>
      </c>
      <c r="N22" s="40"/>
      <c r="O22" s="353"/>
      <c r="P22" s="23"/>
    </row>
    <row r="23" spans="2:18" ht="16.5" x14ac:dyDescent="0.25">
      <c r="B23" s="30" t="s">
        <v>234</v>
      </c>
      <c r="C23" s="23">
        <v>140020181</v>
      </c>
      <c r="D23" s="23">
        <v>2100</v>
      </c>
      <c r="E23" s="20" t="s">
        <v>106</v>
      </c>
      <c r="F23" s="68" t="s">
        <v>626</v>
      </c>
      <c r="G23" s="357">
        <v>2</v>
      </c>
      <c r="H23" s="67">
        <f>cutts[[#This Row],[num]]-SUM(cutts[[#This Row],[num2]])</f>
        <v>2100</v>
      </c>
      <c r="I23" s="357"/>
      <c r="J23" s="21"/>
      <c r="K23" s="40">
        <v>2100</v>
      </c>
      <c r="L23" s="40" t="s">
        <v>233</v>
      </c>
      <c r="M23" s="40">
        <f>cutts[[#This Row],[num]]-cutts[[#This Row],[cutted]]</f>
        <v>0</v>
      </c>
      <c r="N23" s="40"/>
      <c r="O23" s="353"/>
      <c r="P23" s="23"/>
    </row>
    <row r="24" spans="2:18" ht="16.5" x14ac:dyDescent="0.25">
      <c r="B24" s="30" t="s">
        <v>234</v>
      </c>
      <c r="C24" s="23">
        <v>140010280</v>
      </c>
      <c r="D24" s="23">
        <v>1495</v>
      </c>
      <c r="E24" s="20" t="s">
        <v>107</v>
      </c>
      <c r="F24" s="68" t="s">
        <v>627</v>
      </c>
      <c r="G24" s="357">
        <v>1</v>
      </c>
      <c r="H24" s="67">
        <f>cutts[[#This Row],[num]]-SUM(cutts[[#This Row],[num2]])</f>
        <v>1495</v>
      </c>
      <c r="I24" s="357"/>
      <c r="J24" s="21"/>
      <c r="K24" s="40">
        <v>1495</v>
      </c>
      <c r="L24" s="40"/>
      <c r="M24" s="40">
        <f>cutts[[#This Row],[num]]-cutts[[#This Row],[cutted]]</f>
        <v>0</v>
      </c>
      <c r="N24" s="40"/>
      <c r="O24" s="353"/>
      <c r="P24" s="23"/>
    </row>
    <row r="25" spans="2:18" ht="16.5" x14ac:dyDescent="0.25">
      <c r="B25" s="30" t="s">
        <v>233</v>
      </c>
      <c r="C25" s="59">
        <v>140020181</v>
      </c>
      <c r="D25" s="59">
        <v>3000</v>
      </c>
      <c r="E25" s="20" t="s">
        <v>106</v>
      </c>
      <c r="F25" s="68" t="s">
        <v>628</v>
      </c>
      <c r="G25" s="357">
        <v>2</v>
      </c>
      <c r="H25" s="67">
        <f>cutts[[#This Row],[num]]-SUM(cutts[[#This Row],[num2]])</f>
        <v>3000</v>
      </c>
      <c r="I25" s="357"/>
      <c r="J25" s="21"/>
      <c r="K25" s="40">
        <v>3000</v>
      </c>
      <c r="L25" s="40"/>
      <c r="M25" s="40">
        <f>cutts[[#This Row],[num]]-cutts[[#This Row],[cutted]]</f>
        <v>0</v>
      </c>
      <c r="N25" s="40"/>
      <c r="O25" s="353"/>
      <c r="P25" s="23"/>
    </row>
    <row r="26" spans="2:18" ht="16.5" x14ac:dyDescent="0.25">
      <c r="B26" s="30" t="s">
        <v>233</v>
      </c>
      <c r="C26" s="59">
        <v>140030039</v>
      </c>
      <c r="D26" s="59">
        <v>3000</v>
      </c>
      <c r="E26" s="20" t="s">
        <v>106</v>
      </c>
      <c r="F26" s="68" t="s">
        <v>629</v>
      </c>
      <c r="G26" s="357">
        <v>2</v>
      </c>
      <c r="H26" s="67">
        <f>cutts[[#This Row],[num]]-SUM(cutts[[#This Row],[num2]])</f>
        <v>3000</v>
      </c>
      <c r="I26" s="357"/>
      <c r="J26" s="21"/>
      <c r="K26" s="40">
        <v>3000</v>
      </c>
      <c r="L26" s="40"/>
      <c r="M26" s="40">
        <f>cutts[[#This Row],[num]]-cutts[[#This Row],[cutted]]</f>
        <v>0</v>
      </c>
      <c r="N26" s="40"/>
      <c r="O26" s="353"/>
      <c r="P26" s="23"/>
    </row>
    <row r="27" spans="2:18" ht="16.5" x14ac:dyDescent="0.25">
      <c r="B27" s="30" t="s">
        <v>238</v>
      </c>
      <c r="C27" s="59">
        <v>140010280</v>
      </c>
      <c r="D27" s="59">
        <v>3610</v>
      </c>
      <c r="E27" s="20" t="s">
        <v>107</v>
      </c>
      <c r="F27" s="68" t="s">
        <v>630</v>
      </c>
      <c r="G27" s="357">
        <v>1</v>
      </c>
      <c r="H27" s="67">
        <f>cutts[[#This Row],[num]]-SUM(cutts[[#This Row],[num2]])</f>
        <v>3610</v>
      </c>
      <c r="I27" s="357"/>
      <c r="J27" s="21"/>
      <c r="K27" s="40">
        <v>3610</v>
      </c>
      <c r="L27" s="40"/>
      <c r="M27" s="40">
        <f>cutts[[#This Row],[num]]-cutts[[#This Row],[cutted]]</f>
        <v>0</v>
      </c>
      <c r="N27" s="40"/>
      <c r="O27" s="353"/>
      <c r="P27" s="23"/>
    </row>
    <row r="28" spans="2:18" ht="16.5" x14ac:dyDescent="0.25">
      <c r="B28" s="30" t="s">
        <v>238</v>
      </c>
      <c r="C28" s="59">
        <v>140030040</v>
      </c>
      <c r="D28" s="59">
        <v>3000</v>
      </c>
      <c r="E28" s="20" t="s">
        <v>106</v>
      </c>
      <c r="F28" s="68" t="s">
        <v>631</v>
      </c>
      <c r="G28" s="357">
        <v>2</v>
      </c>
      <c r="H28" s="67">
        <f>cutts[[#This Row],[num]]-SUM(cutts[[#This Row],[num2]])</f>
        <v>3000</v>
      </c>
      <c r="I28" s="357"/>
      <c r="J28" s="21"/>
      <c r="K28" s="40">
        <v>3000</v>
      </c>
      <c r="L28" s="40"/>
      <c r="M28" s="40">
        <f>cutts[[#This Row],[num]]-cutts[[#This Row],[cutted]]</f>
        <v>0</v>
      </c>
      <c r="N28" s="40"/>
      <c r="O28" s="353"/>
      <c r="P28" s="23"/>
    </row>
    <row r="29" spans="2:18" ht="16.5" x14ac:dyDescent="0.25">
      <c r="B29" s="30" t="s">
        <v>238</v>
      </c>
      <c r="C29" s="59">
        <v>140010279</v>
      </c>
      <c r="D29" s="59">
        <v>3000</v>
      </c>
      <c r="E29" s="20" t="s">
        <v>107</v>
      </c>
      <c r="F29" s="68" t="s">
        <v>632</v>
      </c>
      <c r="G29" s="357">
        <v>1</v>
      </c>
      <c r="H29" s="67">
        <f>cutts[[#This Row],[num]]-SUM(cutts[[#This Row],[num2]])</f>
        <v>3000</v>
      </c>
      <c r="I29" s="357"/>
      <c r="J29" s="21"/>
      <c r="K29" s="40">
        <v>3000</v>
      </c>
      <c r="L29" s="40"/>
      <c r="M29" s="40">
        <f>cutts[[#This Row],[num]]-cutts[[#This Row],[cutted]]</f>
        <v>0</v>
      </c>
      <c r="N29" s="40"/>
      <c r="O29" s="353"/>
      <c r="P29" s="23"/>
    </row>
    <row r="30" spans="2:18" ht="16.5" x14ac:dyDescent="0.25">
      <c r="B30" s="30" t="s">
        <v>270</v>
      </c>
      <c r="C30" s="59">
        <v>140010279</v>
      </c>
      <c r="D30" s="59">
        <v>4300</v>
      </c>
      <c r="E30" s="20" t="s">
        <v>107</v>
      </c>
      <c r="F30" s="68" t="s">
        <v>633</v>
      </c>
      <c r="G30" s="357">
        <v>1</v>
      </c>
      <c r="H30" s="67">
        <f>cutts[[#This Row],[num]]-SUM(cutts[[#This Row],[num2]])</f>
        <v>4300</v>
      </c>
      <c r="I30" s="357"/>
      <c r="J30" s="21"/>
      <c r="K30" s="40">
        <v>4300</v>
      </c>
      <c r="L30" s="40"/>
      <c r="M30" s="40">
        <f>cutts[[#This Row],[num]]-cutts[[#This Row],[cutted]]</f>
        <v>0</v>
      </c>
      <c r="N30" s="40"/>
      <c r="O30" s="353"/>
      <c r="P30" s="23"/>
    </row>
    <row r="31" spans="2:18" ht="16.5" x14ac:dyDescent="0.25">
      <c r="B31" s="30" t="s">
        <v>270</v>
      </c>
      <c r="C31" s="59">
        <v>140030039</v>
      </c>
      <c r="D31" s="59">
        <v>2000</v>
      </c>
      <c r="E31" s="20" t="s">
        <v>106</v>
      </c>
      <c r="F31" s="68" t="s">
        <v>634</v>
      </c>
      <c r="G31" s="357">
        <v>2</v>
      </c>
      <c r="H31" s="67">
        <f>cutts[[#This Row],[num]]-SUM(cutts[[#This Row],[num2]])</f>
        <v>2000</v>
      </c>
      <c r="I31" s="357"/>
      <c r="J31" s="21"/>
      <c r="K31" s="40">
        <v>2000</v>
      </c>
      <c r="L31" s="40"/>
      <c r="M31" s="40">
        <f>cutts[[#This Row],[num]]-cutts[[#This Row],[cutted]]</f>
        <v>0</v>
      </c>
      <c r="N31" s="40"/>
      <c r="O31" s="353"/>
      <c r="P31" s="23"/>
    </row>
    <row r="32" spans="2:18" ht="16.5" x14ac:dyDescent="0.25">
      <c r="B32" s="30" t="s">
        <v>270</v>
      </c>
      <c r="C32" s="59">
        <v>140030040</v>
      </c>
      <c r="D32" s="59">
        <v>2900</v>
      </c>
      <c r="E32" s="20" t="s">
        <v>106</v>
      </c>
      <c r="F32" s="68" t="s">
        <v>635</v>
      </c>
      <c r="G32" s="357">
        <v>2</v>
      </c>
      <c r="H32" s="67">
        <f>cutts[[#This Row],[num]]-SUM(cutts[[#This Row],[num2]])</f>
        <v>2900</v>
      </c>
      <c r="I32" s="357"/>
      <c r="J32" s="21"/>
      <c r="K32" s="40">
        <v>2900</v>
      </c>
      <c r="L32" s="40"/>
      <c r="M32" s="40">
        <f>cutts[[#This Row],[num]]-cutts[[#This Row],[cutted]]</f>
        <v>0</v>
      </c>
      <c r="N32" s="40"/>
      <c r="O32" s="353"/>
      <c r="P32" s="23"/>
    </row>
    <row r="33" spans="1:16" ht="16.5" x14ac:dyDescent="0.25">
      <c r="B33" s="30" t="s">
        <v>275</v>
      </c>
      <c r="C33" s="23">
        <v>140010295</v>
      </c>
      <c r="D33" s="23">
        <v>10</v>
      </c>
      <c r="E33" s="20" t="s">
        <v>107</v>
      </c>
      <c r="F33" s="362"/>
      <c r="G33" s="357">
        <v>1</v>
      </c>
      <c r="H33" s="67">
        <f>cutts[[#This Row],[num]]-SUM(cutts[[#This Row],[num2]])</f>
        <v>10</v>
      </c>
      <c r="I33" s="357"/>
      <c r="J33" s="21"/>
      <c r="K33" s="40">
        <v>10</v>
      </c>
      <c r="L33" s="40"/>
      <c r="M33" s="40">
        <f>cutts[[#This Row],[num]]-cutts[[#This Row],[cutted]]</f>
        <v>0</v>
      </c>
      <c r="N33" s="40"/>
      <c r="O33" s="353"/>
      <c r="P33" s="23" t="s">
        <v>277</v>
      </c>
    </row>
    <row r="34" spans="1:16" ht="16.5" x14ac:dyDescent="0.25">
      <c r="B34" s="30" t="s">
        <v>275</v>
      </c>
      <c r="C34" s="23">
        <v>140010279</v>
      </c>
      <c r="D34" s="23">
        <v>-2</v>
      </c>
      <c r="E34" s="20" t="s">
        <v>107</v>
      </c>
      <c r="F34" s="362"/>
      <c r="G34" s="357">
        <v>1</v>
      </c>
      <c r="H34" s="67">
        <f>cutts[[#This Row],[num]]-SUM(cutts[[#This Row],[num2]])</f>
        <v>-2</v>
      </c>
      <c r="I34" s="357"/>
      <c r="J34" s="21"/>
      <c r="K34" s="40">
        <v>-2</v>
      </c>
      <c r="L34" s="40"/>
      <c r="M34" s="40">
        <f>cutts[[#This Row],[num]]-cutts[[#This Row],[cutted]]</f>
        <v>0</v>
      </c>
      <c r="N34" s="40"/>
      <c r="O34" s="353"/>
      <c r="P34" s="23" t="s">
        <v>279</v>
      </c>
    </row>
    <row r="35" spans="1:16" ht="16.5" x14ac:dyDescent="0.25">
      <c r="B35" s="30" t="s">
        <v>275</v>
      </c>
      <c r="C35" s="23">
        <v>140010298</v>
      </c>
      <c r="D35" s="23">
        <v>2</v>
      </c>
      <c r="E35" s="20" t="s">
        <v>107</v>
      </c>
      <c r="F35" s="362"/>
      <c r="G35" s="357">
        <v>1</v>
      </c>
      <c r="H35" s="67">
        <f>cutts[[#This Row],[num]]-SUM(cutts[[#This Row],[num2]])</f>
        <v>2</v>
      </c>
      <c r="I35" s="357"/>
      <c r="J35" s="21"/>
      <c r="K35" s="40">
        <v>2</v>
      </c>
      <c r="L35" s="40"/>
      <c r="M35" s="40">
        <f>cutts[[#This Row],[num]]-cutts[[#This Row],[cutted]]</f>
        <v>0</v>
      </c>
      <c r="N35" s="40"/>
      <c r="O35" s="353"/>
      <c r="P35" s="66" t="s">
        <v>279</v>
      </c>
    </row>
    <row r="36" spans="1:16" ht="16.5" x14ac:dyDescent="0.25">
      <c r="B36" s="30" t="s">
        <v>253</v>
      </c>
      <c r="C36" s="23">
        <v>140010117</v>
      </c>
      <c r="D36" s="23">
        <v>3000</v>
      </c>
      <c r="E36" s="20" t="s">
        <v>106</v>
      </c>
      <c r="F36" s="68" t="s">
        <v>636</v>
      </c>
      <c r="G36" s="357">
        <v>2</v>
      </c>
      <c r="H36" s="67">
        <f>cutts[[#This Row],[num]]-SUM(cutts[[#This Row],[num2]])</f>
        <v>3000</v>
      </c>
      <c r="I36" s="357"/>
      <c r="J36" s="21"/>
      <c r="K36" s="40">
        <v>3000</v>
      </c>
      <c r="L36" s="40"/>
      <c r="M36" s="40">
        <f>cutts[[#This Row],[num]]-cutts[[#This Row],[cutted]]</f>
        <v>0</v>
      </c>
      <c r="N36" s="40"/>
      <c r="O36" s="353"/>
      <c r="P36" s="23"/>
    </row>
    <row r="37" spans="1:16" ht="16.5" x14ac:dyDescent="0.25">
      <c r="B37" s="30" t="s">
        <v>253</v>
      </c>
      <c r="C37" s="23">
        <v>140010230</v>
      </c>
      <c r="D37" s="23">
        <v>3000</v>
      </c>
      <c r="E37" s="20" t="s">
        <v>106</v>
      </c>
      <c r="F37" s="68" t="s">
        <v>637</v>
      </c>
      <c r="G37" s="357">
        <v>2</v>
      </c>
      <c r="H37" s="67">
        <f>cutts[[#This Row],[num]]-SUM(cutts[[#This Row],[num2]])</f>
        <v>3000</v>
      </c>
      <c r="I37" s="357"/>
      <c r="J37" s="21"/>
      <c r="K37" s="40">
        <v>3000</v>
      </c>
      <c r="L37" s="40"/>
      <c r="M37" s="40">
        <f>cutts[[#This Row],[num]]-cutts[[#This Row],[cutted]]</f>
        <v>0</v>
      </c>
      <c r="N37" s="40"/>
      <c r="O37" s="353"/>
      <c r="P37" s="23"/>
    </row>
    <row r="38" spans="1:16" ht="30" x14ac:dyDescent="0.25">
      <c r="B38" s="77" t="s">
        <v>253</v>
      </c>
      <c r="C38" s="78">
        <v>140010117</v>
      </c>
      <c r="D38" s="78">
        <v>4000</v>
      </c>
      <c r="E38" s="20" t="s">
        <v>106</v>
      </c>
      <c r="F38" s="69" t="s">
        <v>670</v>
      </c>
      <c r="G38" s="357">
        <v>2</v>
      </c>
      <c r="H38" s="67">
        <f>cutts[[#This Row],[num]]-SUM(cutts[[#This Row],[num2]])</f>
        <v>4000</v>
      </c>
      <c r="I38" s="357"/>
      <c r="J38" s="21"/>
      <c r="K38" s="40">
        <v>4000</v>
      </c>
      <c r="L38" s="40"/>
      <c r="M38" s="40">
        <f>cutts[[#This Row],[num]]-cutts[[#This Row],[cutted]]</f>
        <v>0</v>
      </c>
      <c r="N38" s="40"/>
      <c r="O38" s="353"/>
      <c r="P38" s="23"/>
    </row>
    <row r="39" spans="1:16" ht="16.5" x14ac:dyDescent="0.25">
      <c r="B39" s="77" t="s">
        <v>253</v>
      </c>
      <c r="C39" s="78">
        <v>140010230</v>
      </c>
      <c r="D39" s="78">
        <v>3000</v>
      </c>
      <c r="E39" s="20" t="s">
        <v>106</v>
      </c>
      <c r="F39" s="69" t="s">
        <v>673</v>
      </c>
      <c r="G39" s="357">
        <v>2</v>
      </c>
      <c r="H39" s="67">
        <f>cutts[[#This Row],[num]]-SUM(cutts[[#This Row],[num2]])</f>
        <v>3000</v>
      </c>
      <c r="I39" s="357"/>
      <c r="J39" s="21"/>
      <c r="K39" s="40">
        <v>3000</v>
      </c>
      <c r="L39" s="40"/>
      <c r="M39" s="40">
        <f>cutts[[#This Row],[num]]-cutts[[#This Row],[cutted]]</f>
        <v>0</v>
      </c>
      <c r="N39" s="40"/>
      <c r="O39" s="353"/>
      <c r="P39" s="23"/>
    </row>
    <row r="40" spans="1:16" ht="16.5" x14ac:dyDescent="0.25">
      <c r="A40" s="78">
        <v>33</v>
      </c>
      <c r="B40" s="77" t="s">
        <v>681</v>
      </c>
      <c r="C40" s="78">
        <v>140310096</v>
      </c>
      <c r="D40" s="78">
        <v>3000</v>
      </c>
      <c r="E40" s="86">
        <v>300</v>
      </c>
      <c r="F40" s="363" t="s">
        <v>682</v>
      </c>
      <c r="G40" s="357">
        <v>2</v>
      </c>
      <c r="H40" s="67">
        <f>cutts[[#This Row],[num]]-SUM(cutts[[#This Row],[num2]])</f>
        <v>3000</v>
      </c>
      <c r="I40" s="357"/>
      <c r="J40" s="21"/>
      <c r="K40" s="40">
        <v>3000</v>
      </c>
      <c r="L40" s="40"/>
      <c r="M40" s="40">
        <f>cutts[[#This Row],[num]]-cutts[[#This Row],[cutted]]</f>
        <v>0</v>
      </c>
      <c r="N40" s="40"/>
      <c r="O40" s="353"/>
      <c r="P40" s="23"/>
    </row>
    <row r="41" spans="1:16" ht="16.5" x14ac:dyDescent="0.25">
      <c r="A41" s="23">
        <v>34</v>
      </c>
      <c r="B41" s="30" t="s">
        <v>255</v>
      </c>
      <c r="C41" s="23">
        <v>140010255</v>
      </c>
      <c r="D41" s="23">
        <v>1000</v>
      </c>
      <c r="E41" s="20">
        <v>300</v>
      </c>
      <c r="F41" s="362" t="s">
        <v>684</v>
      </c>
      <c r="G41" s="357">
        <v>2</v>
      </c>
      <c r="H41" s="67">
        <f>cutts[[#This Row],[num]]-SUM(cutts[[#This Row],[num2]])</f>
        <v>1000</v>
      </c>
      <c r="I41" s="357"/>
      <c r="J41" s="21"/>
      <c r="K41" s="40">
        <v>1000</v>
      </c>
      <c r="L41" s="40"/>
      <c r="M41" s="40">
        <f>cutts[[#This Row],[num]]-cutts[[#This Row],[cutted]]</f>
        <v>0</v>
      </c>
      <c r="N41" s="40"/>
      <c r="O41" s="353"/>
      <c r="P41" s="23"/>
    </row>
    <row r="42" spans="1:16" ht="16.5" x14ac:dyDescent="0.25">
      <c r="A42" s="23">
        <v>35</v>
      </c>
      <c r="B42" s="30" t="s">
        <v>255</v>
      </c>
      <c r="C42" s="23">
        <v>140010230</v>
      </c>
      <c r="D42" s="23">
        <v>3000</v>
      </c>
      <c r="E42" s="20">
        <v>300</v>
      </c>
      <c r="F42" s="362" t="s">
        <v>685</v>
      </c>
      <c r="G42" s="357">
        <v>2</v>
      </c>
      <c r="H42" s="67">
        <f>cutts[[#This Row],[num]]-SUM(cutts[[#This Row],[num2]])</f>
        <v>3000</v>
      </c>
      <c r="I42" s="357"/>
      <c r="J42" s="21"/>
      <c r="K42" s="40">
        <v>3000</v>
      </c>
      <c r="L42" s="40"/>
      <c r="M42" s="40">
        <f>cutts[[#This Row],[num]]-cutts[[#This Row],[cutted]]</f>
        <v>0</v>
      </c>
      <c r="N42" s="40"/>
      <c r="O42" s="353"/>
      <c r="P42" s="23"/>
    </row>
    <row r="43" spans="1:16" ht="16.5" x14ac:dyDescent="0.25">
      <c r="A43" s="23">
        <v>36</v>
      </c>
      <c r="B43" s="30" t="s">
        <v>255</v>
      </c>
      <c r="C43" s="23">
        <v>140010230</v>
      </c>
      <c r="D43" s="23">
        <v>3000</v>
      </c>
      <c r="E43" s="20">
        <v>300</v>
      </c>
      <c r="F43" s="362" t="s">
        <v>688</v>
      </c>
      <c r="G43" s="357">
        <v>2</v>
      </c>
      <c r="H43" s="67">
        <f>cutts[[#This Row],[num]]-SUM(cutts[[#This Row],[num2]])</f>
        <v>3000</v>
      </c>
      <c r="I43" s="357"/>
      <c r="J43" s="21"/>
      <c r="K43" s="40">
        <v>3000</v>
      </c>
      <c r="L43" s="40"/>
      <c r="M43" s="40">
        <f>cutts[[#This Row],[num]]-cutts[[#This Row],[cutted]]</f>
        <v>0</v>
      </c>
      <c r="N43" s="40"/>
      <c r="O43" s="353"/>
      <c r="P43" s="23"/>
    </row>
    <row r="44" spans="1:16" ht="16.5" x14ac:dyDescent="0.25">
      <c r="A44" s="23">
        <v>37</v>
      </c>
      <c r="B44" s="30" t="s">
        <v>255</v>
      </c>
      <c r="C44" s="23">
        <v>140010230</v>
      </c>
      <c r="D44" s="23">
        <v>3000</v>
      </c>
      <c r="E44" s="20">
        <v>300</v>
      </c>
      <c r="F44" s="362" t="s">
        <v>689</v>
      </c>
      <c r="G44" s="357">
        <v>2</v>
      </c>
      <c r="H44" s="67">
        <f>cutts[[#This Row],[num]]-SUM(cutts[[#This Row],[num2]])</f>
        <v>3000</v>
      </c>
      <c r="I44" s="357"/>
      <c r="J44" s="21"/>
      <c r="K44" s="40">
        <v>3000</v>
      </c>
      <c r="L44" s="40"/>
      <c r="M44" s="40">
        <f>cutts[[#This Row],[num]]-cutts[[#This Row],[cutted]]</f>
        <v>0</v>
      </c>
      <c r="N44" s="40"/>
      <c r="O44" s="353"/>
      <c r="P44" s="23"/>
    </row>
    <row r="45" spans="1:16" ht="16.5" x14ac:dyDescent="0.25">
      <c r="A45" s="23">
        <v>38</v>
      </c>
      <c r="B45" s="30" t="s">
        <v>255</v>
      </c>
      <c r="C45" s="23">
        <v>140010230</v>
      </c>
      <c r="D45" s="23">
        <v>3000</v>
      </c>
      <c r="E45" s="20">
        <v>300</v>
      </c>
      <c r="F45" s="362" t="s">
        <v>690</v>
      </c>
      <c r="G45" s="357">
        <v>2</v>
      </c>
      <c r="H45" s="67">
        <f>cutts[[#This Row],[num]]-SUM(cutts[[#This Row],[num2]])</f>
        <v>3000</v>
      </c>
      <c r="I45" s="357"/>
      <c r="J45" s="21"/>
      <c r="K45" s="40">
        <v>3000</v>
      </c>
      <c r="L45" s="40"/>
      <c r="M45" s="40">
        <f>cutts[[#This Row],[num]]-cutts[[#This Row],[cutted]]</f>
        <v>0</v>
      </c>
      <c r="N45" s="40"/>
      <c r="O45" s="353"/>
      <c r="P45" s="23"/>
    </row>
    <row r="46" spans="1:16" ht="16.5" x14ac:dyDescent="0.25">
      <c r="A46" s="23">
        <v>40</v>
      </c>
      <c r="B46" s="30" t="s">
        <v>687</v>
      </c>
      <c r="C46" s="23">
        <v>140310031</v>
      </c>
      <c r="D46" s="23">
        <v>513</v>
      </c>
      <c r="E46" s="20">
        <v>250</v>
      </c>
      <c r="F46" s="362" t="s">
        <v>1050</v>
      </c>
      <c r="G46" s="357">
        <v>2</v>
      </c>
      <c r="H46" s="67">
        <f>cutts[[#This Row],[num]]-SUM(cutts[[#This Row],[num2]])</f>
        <v>513</v>
      </c>
      <c r="I46" s="357"/>
      <c r="J46" s="21"/>
      <c r="K46" s="40">
        <v>513</v>
      </c>
      <c r="L46" s="40"/>
      <c r="M46" s="40">
        <f>cutts[[#This Row],[num]]-cutts[[#This Row],[cutted]]</f>
        <v>0</v>
      </c>
      <c r="N46" s="40"/>
      <c r="O46" s="353"/>
      <c r="P46" s="23"/>
    </row>
    <row r="47" spans="1:16" ht="30" x14ac:dyDescent="0.25">
      <c r="A47" s="23">
        <v>41</v>
      </c>
      <c r="B47" s="30" t="s">
        <v>687</v>
      </c>
      <c r="C47" s="23">
        <v>140010230</v>
      </c>
      <c r="D47" s="23">
        <v>3900</v>
      </c>
      <c r="E47" s="20">
        <v>300</v>
      </c>
      <c r="F47" s="362" t="s">
        <v>1051</v>
      </c>
      <c r="G47" s="357">
        <v>2</v>
      </c>
      <c r="H47" s="67">
        <f>cutts[[#This Row],[num]]-SUM(cutts[[#This Row],[num2]])</f>
        <v>3900</v>
      </c>
      <c r="I47" s="357"/>
      <c r="J47" s="21"/>
      <c r="K47" s="40">
        <v>3900</v>
      </c>
      <c r="L47" s="40"/>
      <c r="M47" s="40">
        <f>cutts[[#This Row],[num]]-cutts[[#This Row],[cutted]]</f>
        <v>0</v>
      </c>
      <c r="N47" s="40"/>
      <c r="O47" s="353"/>
      <c r="P47" s="23"/>
    </row>
    <row r="48" spans="1:16" ht="16.5" x14ac:dyDescent="0.25">
      <c r="A48" s="23">
        <v>42</v>
      </c>
      <c r="B48" s="30" t="s">
        <v>687</v>
      </c>
      <c r="C48" s="23">
        <v>140310058</v>
      </c>
      <c r="D48" s="23">
        <v>3000</v>
      </c>
      <c r="E48" s="20">
        <v>300</v>
      </c>
      <c r="F48" s="362" t="s">
        <v>1062</v>
      </c>
      <c r="G48" s="357">
        <v>2</v>
      </c>
      <c r="H48" s="67">
        <f>cutts[[#This Row],[num]]-SUM(cutts[[#This Row],[num2]])</f>
        <v>3000</v>
      </c>
      <c r="I48" s="357"/>
      <c r="J48" s="21"/>
      <c r="K48" s="40">
        <v>3000</v>
      </c>
      <c r="L48" s="40"/>
      <c r="M48" s="40">
        <f>cutts[[#This Row],[num]]-cutts[[#This Row],[cutted]]</f>
        <v>0</v>
      </c>
      <c r="N48" s="40"/>
      <c r="O48" s="353"/>
      <c r="P48" s="23"/>
    </row>
    <row r="49" spans="1:16" ht="16.5" x14ac:dyDescent="0.25">
      <c r="A49" s="23">
        <v>43</v>
      </c>
      <c r="B49" s="30" t="s">
        <v>280</v>
      </c>
      <c r="C49" s="23">
        <v>141320055</v>
      </c>
      <c r="D49" s="23">
        <v>3000</v>
      </c>
      <c r="E49" s="20">
        <v>500</v>
      </c>
      <c r="F49" s="362" t="s">
        <v>1067</v>
      </c>
      <c r="G49" s="357">
        <v>2</v>
      </c>
      <c r="H49" s="67">
        <f>cutts[[#This Row],[num]]-SUM(cutts[[#This Row],[num2]])</f>
        <v>3000</v>
      </c>
      <c r="I49" s="357"/>
      <c r="J49" s="21"/>
      <c r="K49" s="40">
        <v>3000</v>
      </c>
      <c r="L49" s="40"/>
      <c r="M49" s="40">
        <f>cutts[[#This Row],[num]]-cutts[[#This Row],[cutted]]</f>
        <v>0</v>
      </c>
      <c r="N49" s="40"/>
      <c r="O49" s="353"/>
      <c r="P49" s="23"/>
    </row>
    <row r="50" spans="1:16" ht="16.5" x14ac:dyDescent="0.25">
      <c r="A50" s="23">
        <v>44</v>
      </c>
      <c r="B50" s="30" t="s">
        <v>709</v>
      </c>
      <c r="C50" s="23">
        <v>141320055</v>
      </c>
      <c r="D50" s="23">
        <v>3000</v>
      </c>
      <c r="E50" s="20">
        <v>500</v>
      </c>
      <c r="F50" s="362" t="s">
        <v>1069</v>
      </c>
      <c r="G50" s="357">
        <v>2</v>
      </c>
      <c r="H50" s="67">
        <f>cutts[[#This Row],[num]]-SUM(cutts[[#This Row],[num2]])</f>
        <v>3000</v>
      </c>
      <c r="I50" s="357"/>
      <c r="J50" s="21"/>
      <c r="K50" s="40">
        <v>3000</v>
      </c>
      <c r="L50" s="40"/>
      <c r="M50" s="40">
        <f>cutts[[#This Row],[num]]-cutts[[#This Row],[cutted]]</f>
        <v>0</v>
      </c>
      <c r="N50" s="40"/>
      <c r="O50" s="353"/>
      <c r="P50" s="23"/>
    </row>
    <row r="51" spans="1:16" ht="16.5" x14ac:dyDescent="0.25">
      <c r="A51" s="23">
        <v>45</v>
      </c>
      <c r="B51" s="30" t="s">
        <v>709</v>
      </c>
      <c r="C51" s="23">
        <v>140030040</v>
      </c>
      <c r="D51" s="23">
        <v>3000</v>
      </c>
      <c r="E51" s="20">
        <v>300</v>
      </c>
      <c r="F51" s="362" t="s">
        <v>1071</v>
      </c>
      <c r="G51" s="357" t="s">
        <v>1070</v>
      </c>
      <c r="H51" s="67">
        <f>cutts[[#This Row],[num]]-SUM(cutts[[#This Row],[num2]])</f>
        <v>3000</v>
      </c>
      <c r="I51" s="357"/>
      <c r="J51" s="21"/>
      <c r="K51" s="40">
        <v>3000</v>
      </c>
      <c r="L51" s="40"/>
      <c r="M51" s="40">
        <f>cutts[[#This Row],[num]]-cutts[[#This Row],[cutted]]</f>
        <v>0</v>
      </c>
      <c r="N51" s="40"/>
      <c r="O51" s="353"/>
      <c r="P51" s="23"/>
    </row>
    <row r="52" spans="1:16" ht="16.5" x14ac:dyDescent="0.25">
      <c r="A52" s="23">
        <v>46</v>
      </c>
      <c r="B52" s="30" t="s">
        <v>709</v>
      </c>
      <c r="C52" s="23">
        <v>140030039</v>
      </c>
      <c r="D52" s="23">
        <v>600</v>
      </c>
      <c r="E52" s="20">
        <v>300</v>
      </c>
      <c r="F52" s="362" t="s">
        <v>1075</v>
      </c>
      <c r="G52" s="357" t="s">
        <v>1070</v>
      </c>
      <c r="H52" s="67">
        <f>cutts[[#This Row],[num]]-SUM(cutts[[#This Row],[num2]])</f>
        <v>600</v>
      </c>
      <c r="I52" s="357"/>
      <c r="J52" s="21"/>
      <c r="K52" s="40">
        <v>600</v>
      </c>
      <c r="L52" s="40"/>
      <c r="M52" s="40">
        <f>cutts[[#This Row],[num]]-cutts[[#This Row],[cutted]]</f>
        <v>0</v>
      </c>
      <c r="N52" s="40"/>
      <c r="O52" s="353"/>
      <c r="P52" s="23"/>
    </row>
    <row r="53" spans="1:16" ht="16.5" x14ac:dyDescent="0.25">
      <c r="A53" s="23">
        <v>47</v>
      </c>
      <c r="B53" s="30" t="s">
        <v>709</v>
      </c>
      <c r="C53" s="23">
        <v>140030039</v>
      </c>
      <c r="D53" s="191">
        <v>2400</v>
      </c>
      <c r="E53" s="192">
        <v>300</v>
      </c>
      <c r="F53" s="364" t="s">
        <v>1076</v>
      </c>
      <c r="G53" s="357" t="s">
        <v>1070</v>
      </c>
      <c r="H53" s="67">
        <f>cutts[[#This Row],[num]]-SUM(cutts[[#This Row],[num2]])</f>
        <v>2400</v>
      </c>
      <c r="I53" s="357"/>
      <c r="J53" s="21"/>
      <c r="K53" s="40">
        <v>2400</v>
      </c>
      <c r="L53" s="40"/>
      <c r="M53" s="40">
        <f>cutts[[#This Row],[num]]-cutts[[#This Row],[cutted]]</f>
        <v>0</v>
      </c>
      <c r="N53" s="40"/>
      <c r="O53" s="353"/>
      <c r="P53" s="23"/>
    </row>
    <row r="54" spans="1:16" ht="16.5" x14ac:dyDescent="0.25">
      <c r="A54" s="23">
        <v>48</v>
      </c>
      <c r="B54" s="30" t="s">
        <v>709</v>
      </c>
      <c r="C54" s="23">
        <v>141320055</v>
      </c>
      <c r="D54" s="23">
        <v>347</v>
      </c>
      <c r="E54" s="20">
        <v>500</v>
      </c>
      <c r="F54" s="362" t="s">
        <v>1077</v>
      </c>
      <c r="G54" s="357">
        <v>2</v>
      </c>
      <c r="H54" s="67">
        <f>cutts[[#This Row],[num]]-SUM(cutts[[#This Row],[num2]])</f>
        <v>347</v>
      </c>
      <c r="I54" s="357"/>
      <c r="J54" s="21"/>
      <c r="K54" s="40">
        <v>347</v>
      </c>
      <c r="L54" s="40"/>
      <c r="M54" s="40">
        <f>cutts[[#This Row],[num]]-cutts[[#This Row],[cutted]]</f>
        <v>0</v>
      </c>
      <c r="N54" s="40"/>
      <c r="O54" s="353"/>
      <c r="P54" s="23"/>
    </row>
    <row r="55" spans="1:16" ht="16.5" x14ac:dyDescent="0.25">
      <c r="A55" s="23">
        <v>49</v>
      </c>
      <c r="B55" s="30" t="s">
        <v>710</v>
      </c>
      <c r="C55" s="23">
        <v>140010117</v>
      </c>
      <c r="D55" s="23">
        <v>3000</v>
      </c>
      <c r="E55" s="20">
        <v>300</v>
      </c>
      <c r="F55" s="362" t="s">
        <v>1078</v>
      </c>
      <c r="G55" s="357" t="s">
        <v>1070</v>
      </c>
      <c r="H55" s="67">
        <f>cutts[[#This Row],[num]]-SUM(cutts[[#This Row],[num2]])</f>
        <v>3000</v>
      </c>
      <c r="I55" s="357"/>
      <c r="J55" s="21"/>
      <c r="K55" s="40">
        <v>3000</v>
      </c>
      <c r="L55" s="40"/>
      <c r="M55" s="40">
        <f>cutts[[#This Row],[num]]-cutts[[#This Row],[cutted]]</f>
        <v>0</v>
      </c>
      <c r="N55" s="40"/>
      <c r="O55" s="353"/>
      <c r="P55" s="23"/>
    </row>
    <row r="56" spans="1:16" ht="16.5" x14ac:dyDescent="0.25">
      <c r="A56" s="194">
        <v>50</v>
      </c>
      <c r="B56" s="77" t="s">
        <v>258</v>
      </c>
      <c r="C56" s="194">
        <v>140310058</v>
      </c>
      <c r="D56" s="195">
        <v>3000</v>
      </c>
      <c r="E56" s="196">
        <v>300</v>
      </c>
      <c r="F56" s="365" t="s">
        <v>1082</v>
      </c>
      <c r="G56" s="360">
        <v>2</v>
      </c>
      <c r="H56" s="197">
        <f>cutts[[#This Row],[num]]-SUM(cutts[[#This Row],[num2]])</f>
        <v>3000</v>
      </c>
      <c r="I56" s="360"/>
      <c r="J56" s="359"/>
      <c r="K56" s="198">
        <v>3000</v>
      </c>
      <c r="L56" s="198"/>
      <c r="M56" s="198">
        <f>cutts[[#This Row],[num]]-cutts[[#This Row],[cutted]]</f>
        <v>0</v>
      </c>
      <c r="N56" s="198"/>
      <c r="O56" s="354"/>
      <c r="P56" s="194"/>
    </row>
    <row r="57" spans="1:16" ht="16.5" x14ac:dyDescent="0.25">
      <c r="A57" s="23">
        <v>51</v>
      </c>
      <c r="B57" s="30" t="s">
        <v>714</v>
      </c>
      <c r="C57" s="23">
        <v>140020181</v>
      </c>
      <c r="D57" s="23">
        <v>3000</v>
      </c>
      <c r="E57" s="20">
        <v>300</v>
      </c>
      <c r="F57" s="362" t="s">
        <v>1092</v>
      </c>
      <c r="G57" s="357">
        <v>3</v>
      </c>
      <c r="H57" s="67">
        <f>cutts[[#This Row],[num]]-SUM(cutts[[#This Row],[num2]])</f>
        <v>3000</v>
      </c>
      <c r="I57" s="357"/>
      <c r="J57" s="21"/>
      <c r="K57" s="40">
        <v>3000</v>
      </c>
      <c r="L57" s="40"/>
      <c r="M57" s="40">
        <f>cutts[[#This Row],[num]]-cutts[[#This Row],[cutted]]</f>
        <v>0</v>
      </c>
      <c r="N57" s="40"/>
      <c r="O57" s="353"/>
      <c r="P57" s="23"/>
    </row>
    <row r="58" spans="1:16" ht="16.5" x14ac:dyDescent="0.25">
      <c r="A58" s="23">
        <v>52</v>
      </c>
      <c r="B58" s="30" t="s">
        <v>714</v>
      </c>
      <c r="C58" s="23">
        <v>140020181</v>
      </c>
      <c r="D58" s="23">
        <v>3000</v>
      </c>
      <c r="E58" s="20">
        <v>300</v>
      </c>
      <c r="F58" s="362" t="s">
        <v>1093</v>
      </c>
      <c r="G58" s="357">
        <v>3</v>
      </c>
      <c r="H58" s="67">
        <f>cutts[[#This Row],[num]]-SUM(cutts[[#This Row],[num2]])</f>
        <v>3000</v>
      </c>
      <c r="I58" s="357"/>
      <c r="J58" s="21"/>
      <c r="K58" s="40">
        <v>3000</v>
      </c>
      <c r="L58" s="40"/>
      <c r="M58" s="40">
        <f>cutts[[#This Row],[num]]-cutts[[#This Row],[cutted]]</f>
        <v>0</v>
      </c>
      <c r="N58" s="40"/>
      <c r="O58" s="353"/>
      <c r="P58" s="23"/>
    </row>
    <row r="59" spans="1:16" ht="16.5" x14ac:dyDescent="0.25">
      <c r="A59" s="23">
        <v>53</v>
      </c>
      <c r="B59" s="30" t="s">
        <v>256</v>
      </c>
      <c r="C59" s="23">
        <v>140020181</v>
      </c>
      <c r="D59" s="23">
        <v>3000</v>
      </c>
      <c r="E59" s="20">
        <v>300</v>
      </c>
      <c r="F59" s="362" t="s">
        <v>1094</v>
      </c>
      <c r="G59" s="357">
        <v>3</v>
      </c>
      <c r="H59" s="67">
        <f>cutts[[#This Row],[num]]-SUM(cutts[[#This Row],[num2]])</f>
        <v>3000</v>
      </c>
      <c r="I59" s="357"/>
      <c r="J59" s="21"/>
      <c r="K59" s="40">
        <v>3000</v>
      </c>
      <c r="L59" s="40"/>
      <c r="M59" s="40">
        <f>cutts[[#This Row],[num]]-cutts[[#This Row],[cutted]]</f>
        <v>0</v>
      </c>
      <c r="N59" s="40"/>
      <c r="O59" s="353"/>
      <c r="P59" s="23"/>
    </row>
    <row r="60" spans="1:16" ht="16.5" x14ac:dyDescent="0.25">
      <c r="A60" s="252">
        <v>54</v>
      </c>
      <c r="B60" s="253" t="s">
        <v>282</v>
      </c>
      <c r="C60" s="195">
        <v>140020181</v>
      </c>
      <c r="D60" s="195">
        <v>1000</v>
      </c>
      <c r="E60" s="196">
        <v>300</v>
      </c>
      <c r="F60" s="365" t="s">
        <v>1096</v>
      </c>
      <c r="G60" s="360">
        <v>3</v>
      </c>
      <c r="H60" s="197">
        <f>cutts[[#This Row],[num]]-SUM(cutts[[#This Row],[num2]])</f>
        <v>1000</v>
      </c>
      <c r="I60" s="360"/>
      <c r="J60" s="359"/>
      <c r="K60" s="198">
        <v>1000</v>
      </c>
      <c r="L60" s="198"/>
      <c r="M60" s="198">
        <f>cutts[[#This Row],[num]]-cutts[[#This Row],[cutted]]</f>
        <v>0</v>
      </c>
      <c r="N60" s="198"/>
      <c r="O60" s="354"/>
      <c r="P60" s="194"/>
    </row>
    <row r="61" spans="1:16" ht="16.5" x14ac:dyDescent="0.25">
      <c r="A61" s="23">
        <v>55</v>
      </c>
      <c r="B61" s="30" t="s">
        <v>717</v>
      </c>
      <c r="C61" s="23">
        <v>141320055</v>
      </c>
      <c r="D61" s="23">
        <v>3000</v>
      </c>
      <c r="E61" s="20">
        <v>500</v>
      </c>
      <c r="F61" s="362" t="s">
        <v>1097</v>
      </c>
      <c r="G61" s="357">
        <v>2</v>
      </c>
      <c r="H61" s="67">
        <f>cutts[[#This Row],[num]]-SUM(cutts[[#This Row],[num2]])</f>
        <v>3000</v>
      </c>
      <c r="I61" s="357"/>
      <c r="J61" s="21"/>
      <c r="K61" s="40">
        <v>3000</v>
      </c>
      <c r="L61" s="40"/>
      <c r="M61" s="40">
        <f>cutts[[#This Row],[num]]-cutts[[#This Row],[cutted]]</f>
        <v>0</v>
      </c>
      <c r="N61" s="40"/>
      <c r="O61" s="353"/>
      <c r="P61" s="23"/>
    </row>
    <row r="62" spans="1:16" ht="16.5" x14ac:dyDescent="0.25">
      <c r="A62" s="23">
        <v>56</v>
      </c>
      <c r="B62" s="30" t="s">
        <v>283</v>
      </c>
      <c r="C62" s="23">
        <v>141320055</v>
      </c>
      <c r="D62" s="23">
        <v>3000</v>
      </c>
      <c r="E62" s="20">
        <v>500</v>
      </c>
      <c r="F62" s="362" t="s">
        <v>1098</v>
      </c>
      <c r="G62" s="357">
        <v>2</v>
      </c>
      <c r="H62" s="67">
        <f>cutts[[#This Row],[num]]-SUM(cutts[[#This Row],[num2]])</f>
        <v>3000</v>
      </c>
      <c r="I62" s="357"/>
      <c r="J62" s="21"/>
      <c r="K62" s="40">
        <v>3000</v>
      </c>
      <c r="L62" s="40"/>
      <c r="M62" s="40">
        <f>cutts[[#This Row],[num]]-cutts[[#This Row],[cutted]]</f>
        <v>0</v>
      </c>
      <c r="N62" s="40"/>
      <c r="O62" s="353"/>
      <c r="P62" s="23"/>
    </row>
    <row r="63" spans="1:16" ht="16.5" x14ac:dyDescent="0.25">
      <c r="A63" s="23">
        <v>57</v>
      </c>
      <c r="B63" s="30" t="s">
        <v>257</v>
      </c>
      <c r="C63" s="23">
        <v>141320055</v>
      </c>
      <c r="D63" s="23">
        <v>3000</v>
      </c>
      <c r="E63" s="20">
        <v>500</v>
      </c>
      <c r="F63" s="362" t="s">
        <v>1099</v>
      </c>
      <c r="G63" s="357">
        <v>2</v>
      </c>
      <c r="H63" s="67">
        <f>cutts[[#This Row],[num]]-SUM(cutts[[#This Row],[num2]])</f>
        <v>3000</v>
      </c>
      <c r="I63" s="357"/>
      <c r="J63" s="21"/>
      <c r="K63" s="40">
        <v>3000</v>
      </c>
      <c r="L63" s="40"/>
      <c r="M63" s="40">
        <f>cutts[[#This Row],[num]]-cutts[[#This Row],[cutted]]</f>
        <v>0</v>
      </c>
      <c r="N63" s="40"/>
      <c r="O63" s="353"/>
      <c r="P63" s="23"/>
    </row>
    <row r="64" spans="1:16" ht="16.5" x14ac:dyDescent="0.25">
      <c r="A64" s="23">
        <v>58</v>
      </c>
      <c r="B64" s="30" t="s">
        <v>283</v>
      </c>
      <c r="C64" s="255">
        <v>140310071</v>
      </c>
      <c r="D64" s="23">
        <v>3000</v>
      </c>
      <c r="E64" s="20">
        <v>300</v>
      </c>
      <c r="F64" s="362" t="s">
        <v>1100</v>
      </c>
      <c r="G64" s="357">
        <v>3</v>
      </c>
      <c r="H64" s="67">
        <f>cutts[[#This Row],[num]]-SUM(cutts[[#This Row],[num2]])</f>
        <v>3000</v>
      </c>
      <c r="I64" s="357"/>
      <c r="J64" s="21"/>
      <c r="K64" s="40">
        <v>3000</v>
      </c>
      <c r="L64" s="40"/>
      <c r="M64" s="40">
        <f>cutts[[#This Row],[num]]-cutts[[#This Row],[cutted]]</f>
        <v>0</v>
      </c>
      <c r="N64" s="40"/>
      <c r="O64" s="353"/>
      <c r="P64" s="23"/>
    </row>
    <row r="65" spans="1:16" ht="16.5" x14ac:dyDescent="0.25">
      <c r="A65" s="23">
        <v>59</v>
      </c>
      <c r="B65" s="30" t="s">
        <v>257</v>
      </c>
      <c r="C65" s="23">
        <v>140310083</v>
      </c>
      <c r="D65" s="23">
        <v>3000</v>
      </c>
      <c r="E65" s="20">
        <v>300</v>
      </c>
      <c r="F65" s="362" t="s">
        <v>1101</v>
      </c>
      <c r="G65" s="357">
        <v>3</v>
      </c>
      <c r="H65" s="67">
        <f>cutts[[#This Row],[num]]-SUM(cutts[[#This Row],[num2]])</f>
        <v>3000</v>
      </c>
      <c r="I65" s="357"/>
      <c r="J65" s="21"/>
      <c r="K65" s="40">
        <v>3000</v>
      </c>
      <c r="L65" s="40"/>
      <c r="M65" s="40">
        <f>cutts[[#This Row],[num]]-cutts[[#This Row],[cutted]]</f>
        <v>0</v>
      </c>
      <c r="N65" s="40"/>
      <c r="O65" s="353"/>
      <c r="P65" s="23"/>
    </row>
    <row r="66" spans="1:16" ht="16.5" x14ac:dyDescent="0.25">
      <c r="A66" s="23">
        <v>60</v>
      </c>
      <c r="B66" s="30" t="s">
        <v>257</v>
      </c>
      <c r="C66" s="23">
        <v>140310058</v>
      </c>
      <c r="D66" s="23">
        <v>2000</v>
      </c>
      <c r="E66" s="20">
        <v>300</v>
      </c>
      <c r="F66" s="362" t="s">
        <v>1102</v>
      </c>
      <c r="G66" s="357">
        <v>3</v>
      </c>
      <c r="H66" s="67">
        <f>cutts[[#This Row],[num]]-SUM(cutts[[#This Row],[num2]])</f>
        <v>2000</v>
      </c>
      <c r="I66" s="357"/>
      <c r="J66" s="21"/>
      <c r="K66" s="40">
        <v>2000</v>
      </c>
      <c r="L66" s="40"/>
      <c r="M66" s="40">
        <f>cutts[[#This Row],[num]]-cutts[[#This Row],[cutted]]</f>
        <v>0</v>
      </c>
      <c r="N66" s="40"/>
      <c r="O66" s="353"/>
      <c r="P66" s="23"/>
    </row>
    <row r="67" spans="1:16" ht="16.5" x14ac:dyDescent="0.25">
      <c r="A67" s="23">
        <v>61</v>
      </c>
      <c r="B67" s="30" t="s">
        <v>283</v>
      </c>
      <c r="C67" s="23">
        <v>140310096</v>
      </c>
      <c r="D67" s="23">
        <v>2400</v>
      </c>
      <c r="E67" s="20">
        <v>300</v>
      </c>
      <c r="F67" s="362" t="s">
        <v>1103</v>
      </c>
      <c r="G67" s="357">
        <v>3</v>
      </c>
      <c r="H67" s="67">
        <f>cutts[[#This Row],[num]]-SUM(cutts[[#This Row],[num2]])</f>
        <v>2400</v>
      </c>
      <c r="I67" s="357"/>
      <c r="J67" s="21"/>
      <c r="K67" s="40">
        <v>2400</v>
      </c>
      <c r="L67" s="40"/>
      <c r="M67" s="40">
        <f>cutts[[#This Row],[num]]-cutts[[#This Row],[cutted]]</f>
        <v>0</v>
      </c>
      <c r="N67" s="40"/>
      <c r="O67" s="353"/>
      <c r="P67" s="23"/>
    </row>
    <row r="68" spans="1:16" ht="16.5" x14ac:dyDescent="0.25">
      <c r="A68" s="23">
        <v>62</v>
      </c>
      <c r="B68" s="30" t="s">
        <v>257</v>
      </c>
      <c r="C68" s="23">
        <v>140310007</v>
      </c>
      <c r="D68" s="23">
        <v>3000</v>
      </c>
      <c r="E68" s="20">
        <v>300</v>
      </c>
      <c r="F68" s="362" t="s">
        <v>1104</v>
      </c>
      <c r="G68" s="357">
        <v>3</v>
      </c>
      <c r="H68" s="67">
        <f>cutts[[#This Row],[num]]-SUM(cutts[[#This Row],[num2]])</f>
        <v>3000</v>
      </c>
      <c r="I68" s="357"/>
      <c r="J68" s="21"/>
      <c r="K68" s="40">
        <v>3000</v>
      </c>
      <c r="L68" s="40"/>
      <c r="M68" s="40">
        <f>cutts[[#This Row],[num]]-cutts[[#This Row],[cutted]]</f>
        <v>0</v>
      </c>
      <c r="N68" s="40"/>
      <c r="O68" s="353"/>
      <c r="P68" s="23"/>
    </row>
    <row r="69" spans="1:16" ht="16.5" x14ac:dyDescent="0.25">
      <c r="A69" s="23">
        <v>63</v>
      </c>
      <c r="B69" s="30" t="s">
        <v>718</v>
      </c>
      <c r="C69" s="23">
        <v>140310007</v>
      </c>
      <c r="D69" s="23">
        <v>3000</v>
      </c>
      <c r="E69" s="20">
        <v>300</v>
      </c>
      <c r="F69" s="362" t="s">
        <v>1105</v>
      </c>
      <c r="G69" s="357">
        <v>3</v>
      </c>
      <c r="H69" s="67">
        <f>cutts[[#This Row],[num]]-SUM(cutts[[#This Row],[num2]])</f>
        <v>3000</v>
      </c>
      <c r="I69" s="357"/>
      <c r="J69" s="21"/>
      <c r="K69" s="40">
        <v>3000</v>
      </c>
      <c r="L69" s="40"/>
      <c r="M69" s="40">
        <f>cutts[[#This Row],[num]]-cutts[[#This Row],[cutted]]</f>
        <v>0</v>
      </c>
      <c r="N69" s="40"/>
      <c r="O69" s="353"/>
      <c r="P69" s="23"/>
    </row>
    <row r="70" spans="1:16" ht="16.5" x14ac:dyDescent="0.25">
      <c r="A70" s="23">
        <v>64</v>
      </c>
      <c r="B70" s="30" t="s">
        <v>718</v>
      </c>
      <c r="C70" s="23">
        <v>140310071</v>
      </c>
      <c r="D70" s="23">
        <v>2400</v>
      </c>
      <c r="E70" s="20">
        <v>300</v>
      </c>
      <c r="F70" s="362" t="s">
        <v>1107</v>
      </c>
      <c r="G70" s="357">
        <v>3</v>
      </c>
      <c r="H70" s="67">
        <f>cutts[[#This Row],[num]]-SUM(cutts[[#This Row],[num2]])</f>
        <v>2400</v>
      </c>
      <c r="I70" s="357"/>
      <c r="J70" s="21"/>
      <c r="K70" s="40">
        <v>2400</v>
      </c>
      <c r="L70" s="40"/>
      <c r="M70" s="40">
        <f>cutts[[#This Row],[num]]-cutts[[#This Row],[cutted]]</f>
        <v>0</v>
      </c>
      <c r="N70" s="40"/>
      <c r="O70" s="353"/>
      <c r="P70" s="23"/>
    </row>
    <row r="71" spans="1:16" ht="16.5" x14ac:dyDescent="0.25">
      <c r="A71" s="23">
        <v>65</v>
      </c>
      <c r="B71" s="30" t="s">
        <v>718</v>
      </c>
      <c r="C71" s="23">
        <v>141320055</v>
      </c>
      <c r="D71" s="23">
        <v>2000</v>
      </c>
      <c r="E71" s="20">
        <v>500</v>
      </c>
      <c r="F71" s="362" t="s">
        <v>1108</v>
      </c>
      <c r="G71" s="357">
        <v>2</v>
      </c>
      <c r="H71" s="67">
        <f>cutts[[#This Row],[num]]-SUM(cutts[[#This Row],[num2]])</f>
        <v>2000</v>
      </c>
      <c r="I71" s="357"/>
      <c r="J71" s="21"/>
      <c r="K71" s="40">
        <v>2000</v>
      </c>
      <c r="L71" s="40"/>
      <c r="M71" s="40">
        <f>cutts[[#This Row],[num]]-cutts[[#This Row],[cutted]]</f>
        <v>0</v>
      </c>
      <c r="N71" s="40"/>
      <c r="O71" s="353"/>
      <c r="P71" s="23"/>
    </row>
    <row r="72" spans="1:16" ht="30" x14ac:dyDescent="0.25">
      <c r="A72" s="23">
        <v>66</v>
      </c>
      <c r="B72" s="30" t="s">
        <v>718</v>
      </c>
      <c r="C72" s="23">
        <v>141320055</v>
      </c>
      <c r="D72" s="23">
        <v>6000</v>
      </c>
      <c r="E72" s="20">
        <v>500</v>
      </c>
      <c r="F72" s="362" t="s">
        <v>1109</v>
      </c>
      <c r="G72" s="357">
        <v>2</v>
      </c>
      <c r="H72" s="67">
        <f>cutts[[#This Row],[num]]-SUM(cutts[[#This Row],[num2]])</f>
        <v>6000</v>
      </c>
      <c r="I72" s="357"/>
      <c r="J72" s="21"/>
      <c r="K72" s="40">
        <v>6000</v>
      </c>
      <c r="L72" s="40"/>
      <c r="M72" s="40">
        <f>cutts[[#This Row],[num]]-cutts[[#This Row],[cutted]]</f>
        <v>0</v>
      </c>
      <c r="N72" s="40"/>
      <c r="O72" s="353"/>
      <c r="P72" s="23"/>
    </row>
    <row r="73" spans="1:16" ht="16.5" x14ac:dyDescent="0.25">
      <c r="A73" s="23">
        <v>67</v>
      </c>
      <c r="B73" s="30" t="s">
        <v>719</v>
      </c>
      <c r="C73" s="23">
        <v>140310083</v>
      </c>
      <c r="D73" s="23">
        <v>1200</v>
      </c>
      <c r="E73" s="20">
        <v>300</v>
      </c>
      <c r="F73" s="362" t="s">
        <v>1110</v>
      </c>
      <c r="G73" s="357">
        <v>3</v>
      </c>
      <c r="H73" s="67">
        <f>cutts[[#This Row],[num]]-SUM(cutts[[#This Row],[num2]])</f>
        <v>1200</v>
      </c>
      <c r="I73" s="357"/>
      <c r="J73" s="21"/>
      <c r="K73" s="40">
        <v>1200</v>
      </c>
      <c r="L73" s="40"/>
      <c r="M73" s="40">
        <f>cutts[[#This Row],[num]]-cutts[[#This Row],[cutted]]</f>
        <v>0</v>
      </c>
      <c r="N73" s="40"/>
      <c r="O73" s="353"/>
      <c r="P73" s="23"/>
    </row>
    <row r="74" spans="1:16" ht="16.5" x14ac:dyDescent="0.25">
      <c r="A74" s="23">
        <v>68</v>
      </c>
      <c r="B74" s="30" t="s">
        <v>719</v>
      </c>
      <c r="C74" s="23">
        <v>140310058</v>
      </c>
      <c r="D74" s="23">
        <v>2000</v>
      </c>
      <c r="E74" s="20">
        <v>300</v>
      </c>
      <c r="F74" s="362" t="s">
        <v>1116</v>
      </c>
      <c r="G74" s="357">
        <v>3</v>
      </c>
      <c r="H74" s="67">
        <f>cutts[[#This Row],[num]]-SUM(cutts[[#This Row],[num2]])</f>
        <v>2000</v>
      </c>
      <c r="I74" s="357"/>
      <c r="J74" s="21"/>
      <c r="K74" s="40">
        <v>2000</v>
      </c>
      <c r="L74" s="40"/>
      <c r="M74" s="40">
        <f>cutts[[#This Row],[num]]-cutts[[#This Row],[cutted]]</f>
        <v>0</v>
      </c>
      <c r="N74" s="40"/>
      <c r="O74" s="353"/>
      <c r="P74" s="23"/>
    </row>
    <row r="75" spans="1:16" ht="16.5" x14ac:dyDescent="0.25">
      <c r="A75" s="262">
        <v>69</v>
      </c>
      <c r="B75" s="30" t="s">
        <v>723</v>
      </c>
      <c r="C75" s="23">
        <v>140310096</v>
      </c>
      <c r="D75" s="23">
        <v>1600</v>
      </c>
      <c r="E75" s="20">
        <v>300</v>
      </c>
      <c r="F75" s="362" t="s">
        <v>1117</v>
      </c>
      <c r="G75" s="357">
        <v>3</v>
      </c>
      <c r="H75" s="67">
        <f>cutts[[#This Row],[num]]-SUM(cutts[[#This Row],[num2]])</f>
        <v>1600</v>
      </c>
      <c r="I75" s="357"/>
      <c r="J75" s="21"/>
      <c r="K75" s="40">
        <v>1600</v>
      </c>
      <c r="L75" s="40"/>
      <c r="M75" s="40">
        <f>cutts[[#This Row],[num]]-cutts[[#This Row],[cutted]]</f>
        <v>0</v>
      </c>
      <c r="N75" s="40"/>
      <c r="O75" s="353"/>
      <c r="P75" s="23"/>
    </row>
    <row r="76" spans="1:16" ht="16.5" x14ac:dyDescent="0.25">
      <c r="A76" s="23">
        <v>70</v>
      </c>
      <c r="B76" s="30" t="s">
        <v>720</v>
      </c>
      <c r="C76" s="23">
        <v>141320055</v>
      </c>
      <c r="D76" s="23">
        <v>3000</v>
      </c>
      <c r="E76" s="20">
        <v>500</v>
      </c>
      <c r="F76" s="362" t="s">
        <v>1118</v>
      </c>
      <c r="G76" s="357">
        <v>2</v>
      </c>
      <c r="H76" s="67">
        <f>cutts[[#This Row],[num]]-SUM(cutts[[#This Row],[num2]])</f>
        <v>3000</v>
      </c>
      <c r="I76" s="357"/>
      <c r="J76" s="21"/>
      <c r="K76" s="40">
        <v>3000</v>
      </c>
      <c r="L76" s="40"/>
      <c r="M76" s="40">
        <f>cutts[[#This Row],[num]]-cutts[[#This Row],[cutted]]</f>
        <v>0</v>
      </c>
      <c r="N76" s="40"/>
      <c r="O76" s="353"/>
      <c r="P76" s="23"/>
    </row>
    <row r="77" spans="1:16" ht="16.5" x14ac:dyDescent="0.25">
      <c r="A77" s="23">
        <v>71</v>
      </c>
      <c r="B77" s="30" t="s">
        <v>720</v>
      </c>
      <c r="C77" s="23">
        <v>141320055</v>
      </c>
      <c r="D77" s="23">
        <v>3000</v>
      </c>
      <c r="E77" s="20">
        <v>500</v>
      </c>
      <c r="F77" s="362" t="s">
        <v>1119</v>
      </c>
      <c r="G77" s="357">
        <v>2</v>
      </c>
      <c r="H77" s="67">
        <f>cutts[[#This Row],[num]]-SUM(cutts[[#This Row],[num2]])</f>
        <v>3000</v>
      </c>
      <c r="I77" s="357"/>
      <c r="J77" s="21"/>
      <c r="K77" s="40">
        <v>3000</v>
      </c>
      <c r="L77" s="40"/>
      <c r="M77" s="40">
        <f>cutts[[#This Row],[num]]-cutts[[#This Row],[cutted]]</f>
        <v>0</v>
      </c>
      <c r="N77" s="40"/>
      <c r="O77" s="353"/>
      <c r="P77" s="23"/>
    </row>
    <row r="78" spans="1:16" ht="16.5" x14ac:dyDescent="0.25">
      <c r="A78" s="23">
        <v>72</v>
      </c>
      <c r="B78" s="30" t="s">
        <v>720</v>
      </c>
      <c r="C78" s="23">
        <v>140310071</v>
      </c>
      <c r="D78" s="23">
        <v>2700</v>
      </c>
      <c r="E78" s="20">
        <v>300</v>
      </c>
      <c r="F78" s="362" t="s">
        <v>1120</v>
      </c>
      <c r="G78" s="357">
        <v>3</v>
      </c>
      <c r="H78" s="67">
        <f>cutts[[#This Row],[num]]-SUM(cutts[[#This Row],[num2]])</f>
        <v>2700</v>
      </c>
      <c r="I78" s="357"/>
      <c r="J78" s="21"/>
      <c r="K78" s="40">
        <v>2700</v>
      </c>
      <c r="L78" s="40"/>
      <c r="M78" s="40">
        <f>cutts[[#This Row],[num]]-cutts[[#This Row],[cutted]]</f>
        <v>0</v>
      </c>
      <c r="N78" s="40"/>
      <c r="O78" s="353"/>
      <c r="P78" s="23"/>
    </row>
    <row r="79" spans="1:16" ht="16.5" x14ac:dyDescent="0.25">
      <c r="A79" s="23">
        <v>73</v>
      </c>
      <c r="B79" s="30" t="s">
        <v>720</v>
      </c>
      <c r="C79" s="23">
        <v>140310071</v>
      </c>
      <c r="D79" s="23">
        <v>2700</v>
      </c>
      <c r="E79" s="20">
        <v>300</v>
      </c>
      <c r="F79" s="362" t="s">
        <v>1121</v>
      </c>
      <c r="G79" s="357">
        <v>3</v>
      </c>
      <c r="H79" s="67">
        <f>cutts[[#This Row],[num]]-SUM(cutts[[#This Row],[num2]])</f>
        <v>2700</v>
      </c>
      <c r="I79" s="357"/>
      <c r="J79" s="21"/>
      <c r="K79" s="40">
        <v>2700</v>
      </c>
      <c r="L79" s="40"/>
      <c r="M79" s="40">
        <f>cutts[[#This Row],[num]]-cutts[[#This Row],[cutted]]</f>
        <v>0</v>
      </c>
      <c r="N79" s="40"/>
      <c r="O79" s="353"/>
      <c r="P79" s="23"/>
    </row>
    <row r="80" spans="1:16" ht="16.5" x14ac:dyDescent="0.25">
      <c r="A80" s="23">
        <v>74</v>
      </c>
      <c r="B80" s="30" t="s">
        <v>720</v>
      </c>
      <c r="C80" s="23">
        <v>140310071</v>
      </c>
      <c r="D80" s="23">
        <v>2700</v>
      </c>
      <c r="E80" s="20">
        <v>300</v>
      </c>
      <c r="F80" s="362" t="s">
        <v>1122</v>
      </c>
      <c r="G80" s="357">
        <v>3</v>
      </c>
      <c r="H80" s="67">
        <f>cutts[[#This Row],[num]]-SUM(cutts[[#This Row],[num2]])</f>
        <v>2700</v>
      </c>
      <c r="I80" s="357"/>
      <c r="J80" s="21"/>
      <c r="K80" s="40">
        <v>2700</v>
      </c>
      <c r="L80" s="40"/>
      <c r="M80" s="40">
        <f>cutts[[#This Row],[num]]-cutts[[#This Row],[cutted]]</f>
        <v>0</v>
      </c>
      <c r="N80" s="40"/>
      <c r="O80" s="353"/>
      <c r="P80" s="23"/>
    </row>
    <row r="81" spans="1:16" ht="16.5" x14ac:dyDescent="0.25">
      <c r="A81" s="23">
        <v>75</v>
      </c>
      <c r="B81" s="30" t="s">
        <v>722</v>
      </c>
      <c r="C81" s="23">
        <v>140010117</v>
      </c>
      <c r="D81" s="23">
        <v>2100</v>
      </c>
      <c r="E81" s="20">
        <v>300</v>
      </c>
      <c r="F81" s="362" t="s">
        <v>1123</v>
      </c>
      <c r="G81" s="357">
        <v>3</v>
      </c>
      <c r="H81" s="67">
        <f>cutts[[#This Row],[num]]-SUM(cutts[[#This Row],[num2]])</f>
        <v>2100</v>
      </c>
      <c r="I81" s="357"/>
      <c r="J81" s="21"/>
      <c r="K81" s="40">
        <v>2100</v>
      </c>
      <c r="L81" s="40"/>
      <c r="M81" s="40">
        <f>cutts[[#This Row],[num]]-cutts[[#This Row],[cutted]]</f>
        <v>0</v>
      </c>
      <c r="N81" s="40"/>
      <c r="O81" s="353"/>
      <c r="P81" s="23"/>
    </row>
    <row r="82" spans="1:16" ht="16.5" x14ac:dyDescent="0.25">
      <c r="A82" s="23">
        <v>76</v>
      </c>
      <c r="B82" s="30" t="s">
        <v>722</v>
      </c>
      <c r="C82" s="23">
        <v>140310083</v>
      </c>
      <c r="D82" s="23">
        <v>1800</v>
      </c>
      <c r="E82" s="20">
        <v>300</v>
      </c>
      <c r="F82" s="362" t="s">
        <v>1124</v>
      </c>
      <c r="G82" s="357">
        <v>3</v>
      </c>
      <c r="H82" s="67">
        <f>cutts[[#This Row],[num]]-SUM(cutts[[#This Row],[num2]])</f>
        <v>1800</v>
      </c>
      <c r="I82" s="357"/>
      <c r="J82" s="21"/>
      <c r="K82" s="40">
        <v>1800</v>
      </c>
      <c r="L82" s="40"/>
      <c r="M82" s="40">
        <f>cutts[[#This Row],[num]]-cutts[[#This Row],[cutted]]</f>
        <v>0</v>
      </c>
      <c r="N82" s="40"/>
      <c r="O82" s="353"/>
      <c r="P82" s="23"/>
    </row>
    <row r="83" spans="1:16" ht="30" x14ac:dyDescent="0.25">
      <c r="A83" s="23">
        <v>77</v>
      </c>
      <c r="B83" s="30" t="s">
        <v>722</v>
      </c>
      <c r="C83" s="23">
        <v>140310007</v>
      </c>
      <c r="D83" s="23">
        <v>4010</v>
      </c>
      <c r="E83" s="20">
        <v>300</v>
      </c>
      <c r="F83" s="362" t="s">
        <v>1125</v>
      </c>
      <c r="G83" s="357">
        <v>3</v>
      </c>
      <c r="H83" s="67">
        <f>cutts[[#This Row],[num]]-SUM(cutts[[#This Row],[num2]])</f>
        <v>4010</v>
      </c>
      <c r="I83" s="357"/>
      <c r="J83" s="21"/>
      <c r="K83" s="40">
        <v>4010</v>
      </c>
      <c r="L83" s="40"/>
      <c r="M83" s="40">
        <f>cutts[[#This Row],[num]]-cutts[[#This Row],[cutted]]</f>
        <v>0</v>
      </c>
      <c r="N83" s="40"/>
      <c r="O83" s="353"/>
      <c r="P83" s="23"/>
    </row>
    <row r="84" spans="1:16" ht="16.5" x14ac:dyDescent="0.25">
      <c r="A84" s="23">
        <v>78</v>
      </c>
      <c r="B84" s="30" t="s">
        <v>723</v>
      </c>
      <c r="C84" s="23">
        <v>140030039</v>
      </c>
      <c r="D84" s="23">
        <v>1500</v>
      </c>
      <c r="E84" s="20">
        <v>300</v>
      </c>
      <c r="F84" s="362" t="s">
        <v>1127</v>
      </c>
      <c r="G84" s="357">
        <v>3</v>
      </c>
      <c r="H84" s="67">
        <f>cutts[[#This Row],[num]]-SUM(cutts[[#This Row],[num2]])</f>
        <v>1500</v>
      </c>
      <c r="I84" s="357"/>
      <c r="J84" s="21"/>
      <c r="K84" s="40">
        <v>1500</v>
      </c>
      <c r="L84" s="40"/>
      <c r="M84" s="40">
        <f>cutts[[#This Row],[num]]-cutts[[#This Row],[cutted]]</f>
        <v>0</v>
      </c>
      <c r="N84" s="40"/>
      <c r="O84" s="353"/>
      <c r="P84" s="23"/>
    </row>
    <row r="85" spans="1:16" ht="16.5" x14ac:dyDescent="0.25">
      <c r="A85" s="23">
        <v>79</v>
      </c>
      <c r="B85" s="30" t="s">
        <v>723</v>
      </c>
      <c r="C85" s="23">
        <v>140030040</v>
      </c>
      <c r="D85" s="23">
        <v>1500</v>
      </c>
      <c r="E85" s="20">
        <v>300</v>
      </c>
      <c r="F85" s="362" t="s">
        <v>1128</v>
      </c>
      <c r="G85" s="357">
        <v>3</v>
      </c>
      <c r="H85" s="67">
        <f>cutts[[#This Row],[num]]-SUM(cutts[[#This Row],[num2]])</f>
        <v>1500</v>
      </c>
      <c r="I85" s="357"/>
      <c r="J85" s="21"/>
      <c r="K85" s="40">
        <v>1500</v>
      </c>
      <c r="L85" s="40"/>
      <c r="M85" s="40">
        <f>cutts[[#This Row],[num]]-cutts[[#This Row],[cutted]]</f>
        <v>0</v>
      </c>
      <c r="N85" s="40"/>
      <c r="O85" s="353"/>
      <c r="P85" s="23"/>
    </row>
    <row r="86" spans="1:16" ht="16.5" x14ac:dyDescent="0.25">
      <c r="A86" s="23">
        <v>80</v>
      </c>
      <c r="B86" s="30" t="s">
        <v>723</v>
      </c>
      <c r="C86" s="23">
        <v>140310083</v>
      </c>
      <c r="D86" s="23">
        <v>2400</v>
      </c>
      <c r="E86" s="20">
        <v>300</v>
      </c>
      <c r="F86" s="362" t="s">
        <v>1129</v>
      </c>
      <c r="G86" s="357">
        <v>3</v>
      </c>
      <c r="H86" s="67">
        <f>cutts[[#This Row],[num]]-SUM(cutts[[#This Row],[num2]])</f>
        <v>2400</v>
      </c>
      <c r="I86" s="357"/>
      <c r="J86" s="21"/>
      <c r="K86" s="40">
        <v>2400</v>
      </c>
      <c r="L86" s="40"/>
      <c r="M86" s="40">
        <f>cutts[[#This Row],[num]]-cutts[[#This Row],[cutted]]</f>
        <v>0</v>
      </c>
      <c r="N86" s="40"/>
      <c r="O86" s="353"/>
      <c r="P86" s="23"/>
    </row>
    <row r="87" spans="1:16" ht="16.5" x14ac:dyDescent="0.25">
      <c r="A87" s="23">
        <v>81</v>
      </c>
      <c r="B87" s="30" t="s">
        <v>723</v>
      </c>
      <c r="C87" s="23">
        <v>140010117</v>
      </c>
      <c r="D87" s="23">
        <v>1200</v>
      </c>
      <c r="E87" s="20">
        <v>300</v>
      </c>
      <c r="F87" s="362" t="s">
        <v>1131</v>
      </c>
      <c r="G87" s="357">
        <v>3</v>
      </c>
      <c r="H87" s="67">
        <f>cutts[[#This Row],[num]]-SUM(cutts[[#This Row],[num2]])</f>
        <v>1200</v>
      </c>
      <c r="I87" s="357"/>
      <c r="J87" s="21"/>
      <c r="K87" s="40">
        <v>1200</v>
      </c>
      <c r="L87" s="40"/>
      <c r="M87" s="40">
        <f>cutts[[#This Row],[num]]-cutts[[#This Row],[cutted]]</f>
        <v>0</v>
      </c>
      <c r="N87" s="40"/>
      <c r="O87" s="353"/>
      <c r="P87" s="23"/>
    </row>
    <row r="88" spans="1:16" ht="16.5" x14ac:dyDescent="0.25">
      <c r="A88" s="23">
        <v>82</v>
      </c>
      <c r="B88" s="30" t="s">
        <v>723</v>
      </c>
      <c r="C88" s="23">
        <v>140310071</v>
      </c>
      <c r="D88" s="23">
        <v>1500</v>
      </c>
      <c r="E88" s="20">
        <v>300</v>
      </c>
      <c r="F88" s="362" t="s">
        <v>1132</v>
      </c>
      <c r="G88" s="357">
        <v>3</v>
      </c>
      <c r="H88" s="67">
        <f>cutts[[#This Row],[num]]-SUM(cutts[[#This Row],[num2]])</f>
        <v>1500</v>
      </c>
      <c r="I88" s="357"/>
      <c r="J88" s="21"/>
      <c r="K88" s="40">
        <v>1500</v>
      </c>
      <c r="L88" s="40"/>
      <c r="M88" s="40">
        <f>cutts[[#This Row],[num]]-cutts[[#This Row],[cutted]]</f>
        <v>0</v>
      </c>
      <c r="N88" s="40"/>
      <c r="O88" s="353"/>
      <c r="P88" s="23"/>
    </row>
    <row r="89" spans="1:16" ht="16.5" x14ac:dyDescent="0.25">
      <c r="A89" s="23">
        <v>83</v>
      </c>
      <c r="B89" s="30" t="s">
        <v>725</v>
      </c>
      <c r="C89" s="23">
        <v>140310071</v>
      </c>
      <c r="D89" s="23">
        <v>3000</v>
      </c>
      <c r="E89" s="20">
        <v>300</v>
      </c>
      <c r="F89" s="362" t="s">
        <v>1133</v>
      </c>
      <c r="G89" s="357">
        <v>3</v>
      </c>
      <c r="H89" s="67">
        <f>cutts[[#This Row],[num]]-SUM(cutts[[#This Row],[num2]])</f>
        <v>3000</v>
      </c>
      <c r="I89" s="357"/>
      <c r="J89" s="21"/>
      <c r="K89" s="40">
        <v>3000</v>
      </c>
      <c r="L89" s="40"/>
      <c r="M89" s="40">
        <f>cutts[[#This Row],[num]]-cutts[[#This Row],[cutted]]</f>
        <v>0</v>
      </c>
      <c r="N89" s="40"/>
      <c r="O89" s="353"/>
      <c r="P89" s="23"/>
    </row>
    <row r="90" spans="1:16" ht="16.5" x14ac:dyDescent="0.25">
      <c r="A90" s="23">
        <v>84</v>
      </c>
      <c r="B90" s="30" t="s">
        <v>725</v>
      </c>
      <c r="C90" s="23">
        <v>140010117</v>
      </c>
      <c r="D90" s="23">
        <v>3000</v>
      </c>
      <c r="E90" s="20">
        <v>300</v>
      </c>
      <c r="F90" s="362" t="s">
        <v>1134</v>
      </c>
      <c r="G90" s="357">
        <v>3</v>
      </c>
      <c r="H90" s="67">
        <f>cutts[[#This Row],[num]]-SUM(cutts[[#This Row],[num2]])</f>
        <v>3000</v>
      </c>
      <c r="I90" s="357"/>
      <c r="J90" s="21"/>
      <c r="K90" s="40">
        <v>3000</v>
      </c>
      <c r="L90" s="40"/>
      <c r="M90" s="40">
        <f>cutts[[#This Row],[num]]-cutts[[#This Row],[cutted]]</f>
        <v>0</v>
      </c>
      <c r="N90" s="40"/>
      <c r="O90" s="353"/>
      <c r="P90" s="23"/>
    </row>
    <row r="91" spans="1:16" ht="16.5" x14ac:dyDescent="0.25">
      <c r="A91" s="23">
        <v>85</v>
      </c>
      <c r="B91" s="30" t="s">
        <v>726</v>
      </c>
      <c r="C91" s="23">
        <v>140310083</v>
      </c>
      <c r="D91" s="23">
        <v>2100</v>
      </c>
      <c r="E91" s="20">
        <v>300</v>
      </c>
      <c r="F91" s="362" t="s">
        <v>1135</v>
      </c>
      <c r="G91" s="357">
        <v>3</v>
      </c>
      <c r="H91" s="67">
        <f>cutts[[#This Row],[num]]-SUM(cutts[[#This Row],[num2]])</f>
        <v>2100</v>
      </c>
      <c r="I91" s="357"/>
      <c r="J91" s="21"/>
      <c r="K91" s="40">
        <v>2100</v>
      </c>
      <c r="L91" s="40"/>
      <c r="M91" s="40">
        <f>cutts[[#This Row],[num]]-cutts[[#This Row],[cutted]]</f>
        <v>0</v>
      </c>
      <c r="N91" s="40"/>
      <c r="O91" s="353"/>
      <c r="P91" s="23"/>
    </row>
    <row r="92" spans="1:16" ht="16.5" x14ac:dyDescent="0.25">
      <c r="A92" s="23">
        <v>86</v>
      </c>
      <c r="B92" s="30" t="s">
        <v>726</v>
      </c>
      <c r="C92" s="23">
        <v>140030039</v>
      </c>
      <c r="D92" s="23">
        <v>2100</v>
      </c>
      <c r="E92" s="20">
        <v>300</v>
      </c>
      <c r="F92" s="362" t="s">
        <v>1136</v>
      </c>
      <c r="G92" s="357">
        <v>3</v>
      </c>
      <c r="H92" s="67">
        <f>cutts[[#This Row],[num]]-SUM(cutts[[#This Row],[num2]])</f>
        <v>2100</v>
      </c>
      <c r="I92" s="357"/>
      <c r="J92" s="21"/>
      <c r="K92" s="40">
        <v>2100</v>
      </c>
      <c r="L92" s="40"/>
      <c r="M92" s="40">
        <f>cutts[[#This Row],[num]]-cutts[[#This Row],[cutted]]</f>
        <v>0</v>
      </c>
      <c r="N92" s="40"/>
      <c r="O92" s="353"/>
      <c r="P92" s="23"/>
    </row>
    <row r="93" spans="1:16" ht="16.5" x14ac:dyDescent="0.25">
      <c r="A93" s="23">
        <v>87</v>
      </c>
      <c r="B93" s="30" t="s">
        <v>726</v>
      </c>
      <c r="C93" s="23">
        <v>140030040</v>
      </c>
      <c r="D93" s="23">
        <v>2100</v>
      </c>
      <c r="E93" s="20">
        <v>300</v>
      </c>
      <c r="F93" s="362" t="s">
        <v>1137</v>
      </c>
      <c r="G93" s="357">
        <v>3</v>
      </c>
      <c r="H93" s="67">
        <f>cutts[[#This Row],[num]]-SUM(cutts[[#This Row],[num2]])</f>
        <v>2100</v>
      </c>
      <c r="I93" s="357"/>
      <c r="J93" s="21"/>
      <c r="K93" s="40">
        <v>2100</v>
      </c>
      <c r="L93" s="40"/>
      <c r="M93" s="40">
        <f>cutts[[#This Row],[num]]-cutts[[#This Row],[cutted]]</f>
        <v>0</v>
      </c>
      <c r="N93" s="40"/>
      <c r="O93" s="353"/>
      <c r="P93" s="23"/>
    </row>
    <row r="94" spans="1:16" ht="30" x14ac:dyDescent="0.25">
      <c r="A94" s="23">
        <v>88</v>
      </c>
      <c r="B94" s="30" t="s">
        <v>727</v>
      </c>
      <c r="C94" s="23">
        <v>140450027</v>
      </c>
      <c r="D94" s="23">
        <v>3410</v>
      </c>
      <c r="E94" s="20">
        <v>300</v>
      </c>
      <c r="F94" s="362" t="s">
        <v>1139</v>
      </c>
      <c r="G94" s="357">
        <v>11</v>
      </c>
      <c r="H94" s="67">
        <f>cutts[[#This Row],[num]]-SUM(cutts[[#This Row],[num2]])</f>
        <v>3410</v>
      </c>
      <c r="I94" s="357"/>
      <c r="J94" s="21"/>
      <c r="K94" s="40">
        <v>3410</v>
      </c>
      <c r="L94" s="40"/>
      <c r="M94" s="40">
        <f>cutts[[#This Row],[num]]-cutts[[#This Row],[cutted]]</f>
        <v>0</v>
      </c>
      <c r="N94" s="40"/>
      <c r="O94" s="353"/>
      <c r="P94" s="23"/>
    </row>
    <row r="95" spans="1:16" ht="16.5" x14ac:dyDescent="0.25">
      <c r="A95" s="23">
        <v>89</v>
      </c>
      <c r="B95" s="30" t="s">
        <v>727</v>
      </c>
      <c r="C95" s="23">
        <v>140450035</v>
      </c>
      <c r="D95" s="23">
        <v>808</v>
      </c>
      <c r="E95" s="20">
        <v>300</v>
      </c>
      <c r="F95" s="362" t="s">
        <v>1140</v>
      </c>
      <c r="G95" s="357">
        <v>11</v>
      </c>
      <c r="H95" s="67">
        <f>cutts[[#This Row],[num]]-SUM(cutts[[#This Row],[num2]])</f>
        <v>808</v>
      </c>
      <c r="I95" s="357"/>
      <c r="J95" s="21"/>
      <c r="K95" s="40">
        <v>808</v>
      </c>
      <c r="L95" s="40"/>
      <c r="M95" s="40">
        <f>cutts[[#This Row],[num]]-cutts[[#This Row],[cutted]]</f>
        <v>0</v>
      </c>
      <c r="N95" s="40"/>
      <c r="O95" s="353"/>
      <c r="P95" s="23"/>
    </row>
    <row r="96" spans="1:16" ht="30" x14ac:dyDescent="0.25">
      <c r="A96" s="23">
        <v>90</v>
      </c>
      <c r="B96" s="30" t="s">
        <v>728</v>
      </c>
      <c r="C96" s="23">
        <v>141320055</v>
      </c>
      <c r="D96" s="23">
        <v>8000</v>
      </c>
      <c r="E96" s="20">
        <v>500</v>
      </c>
      <c r="F96" s="362" t="s">
        <v>1142</v>
      </c>
      <c r="G96" s="357">
        <v>2</v>
      </c>
      <c r="H96" s="67">
        <f>cutts[[#This Row],[num]]-SUM(cutts[[#This Row],[num2]])</f>
        <v>8000</v>
      </c>
      <c r="I96" s="357"/>
      <c r="J96" s="21"/>
      <c r="K96" s="40">
        <v>8000</v>
      </c>
      <c r="L96" s="40"/>
      <c r="M96" s="40">
        <f>cutts[[#This Row],[num]]-cutts[[#This Row],[cutted]]</f>
        <v>0</v>
      </c>
      <c r="N96" s="40"/>
      <c r="O96" s="353"/>
      <c r="P96" s="23"/>
    </row>
    <row r="97" spans="1:16" ht="16.5" x14ac:dyDescent="0.25">
      <c r="A97" s="23">
        <v>91</v>
      </c>
      <c r="B97" s="30" t="s">
        <v>729</v>
      </c>
      <c r="C97" s="23">
        <v>140640007</v>
      </c>
      <c r="D97" s="23">
        <v>3000</v>
      </c>
      <c r="E97" s="20">
        <v>300</v>
      </c>
      <c r="F97" s="362" t="s">
        <v>1143</v>
      </c>
      <c r="G97" s="357">
        <v>2</v>
      </c>
      <c r="H97" s="67">
        <f>cutts[[#This Row],[num]]-SUM(cutts[[#This Row],[num2]])</f>
        <v>3000</v>
      </c>
      <c r="I97" s="357"/>
      <c r="J97" s="21"/>
      <c r="K97" s="40">
        <v>3000</v>
      </c>
      <c r="L97" s="40"/>
      <c r="M97" s="40">
        <f>cutts[[#This Row],[num]]-cutts[[#This Row],[cutted]]</f>
        <v>0</v>
      </c>
      <c r="N97" s="40"/>
      <c r="O97" s="353"/>
      <c r="P97" s="23"/>
    </row>
    <row r="98" spans="1:16" ht="16.5" x14ac:dyDescent="0.25">
      <c r="A98" s="23">
        <v>92</v>
      </c>
      <c r="B98" s="30" t="s">
        <v>729</v>
      </c>
      <c r="C98" s="23">
        <v>140310083</v>
      </c>
      <c r="D98" s="23">
        <v>3000</v>
      </c>
      <c r="E98" s="20">
        <v>300</v>
      </c>
      <c r="F98" s="362" t="s">
        <v>1144</v>
      </c>
      <c r="G98" s="357">
        <v>3</v>
      </c>
      <c r="H98" s="67">
        <f>cutts[[#This Row],[num]]-SUM(cutts[[#This Row],[num2]])</f>
        <v>3000</v>
      </c>
      <c r="I98" s="357"/>
      <c r="J98" s="21"/>
      <c r="K98" s="40">
        <v>3000</v>
      </c>
      <c r="L98" s="40"/>
      <c r="M98" s="40">
        <f>cutts[[#This Row],[num]]-cutts[[#This Row],[cutted]]</f>
        <v>0</v>
      </c>
      <c r="N98" s="40"/>
      <c r="O98" s="353"/>
      <c r="P98" s="23"/>
    </row>
    <row r="99" spans="1:16" ht="16.5" x14ac:dyDescent="0.25">
      <c r="A99" s="23">
        <v>93</v>
      </c>
      <c r="B99" s="30" t="s">
        <v>729</v>
      </c>
      <c r="C99" s="23">
        <v>140030040</v>
      </c>
      <c r="D99" s="23">
        <v>800</v>
      </c>
      <c r="E99" s="20">
        <v>300</v>
      </c>
      <c r="F99" s="362" t="s">
        <v>1145</v>
      </c>
      <c r="G99" s="357">
        <v>3</v>
      </c>
      <c r="H99" s="67">
        <f>cutts[[#This Row],[num]]-SUM(cutts[[#This Row],[num2]])</f>
        <v>800</v>
      </c>
      <c r="I99" s="357"/>
      <c r="J99" s="21"/>
      <c r="K99" s="40">
        <v>800</v>
      </c>
      <c r="L99" s="40"/>
      <c r="M99" s="40">
        <f>cutts[[#This Row],[num]]-cutts[[#This Row],[cutted]]</f>
        <v>0</v>
      </c>
      <c r="N99" s="40"/>
      <c r="O99" s="353"/>
      <c r="P99" s="23"/>
    </row>
    <row r="100" spans="1:16" ht="16.5" x14ac:dyDescent="0.25">
      <c r="A100" s="23">
        <v>94</v>
      </c>
      <c r="B100" s="30" t="s">
        <v>729</v>
      </c>
      <c r="C100" s="23">
        <v>140030039</v>
      </c>
      <c r="D100" s="23">
        <v>2700</v>
      </c>
      <c r="E100" s="20">
        <v>300</v>
      </c>
      <c r="F100" s="362" t="s">
        <v>1146</v>
      </c>
      <c r="G100" s="357">
        <v>3</v>
      </c>
      <c r="H100" s="67">
        <f>cutts[[#This Row],[num]]-SUM(cutts[[#This Row],[num2]])</f>
        <v>2700</v>
      </c>
      <c r="I100" s="357"/>
      <c r="J100" s="21"/>
      <c r="K100" s="40">
        <v>2700</v>
      </c>
      <c r="L100" s="40"/>
      <c r="M100" s="40">
        <f>cutts[[#This Row],[num]]-cutts[[#This Row],[cutted]]</f>
        <v>0</v>
      </c>
      <c r="N100" s="40"/>
      <c r="O100" s="353"/>
      <c r="P100" s="23"/>
    </row>
    <row r="101" spans="1:16" ht="16.5" x14ac:dyDescent="0.25">
      <c r="A101" s="23">
        <v>95</v>
      </c>
      <c r="B101" s="30" t="s">
        <v>730</v>
      </c>
      <c r="C101" s="23">
        <v>140010230</v>
      </c>
      <c r="D101" s="23">
        <v>1500</v>
      </c>
      <c r="E101" s="20">
        <v>300</v>
      </c>
      <c r="F101" s="362" t="s">
        <v>1147</v>
      </c>
      <c r="G101" s="357">
        <v>3</v>
      </c>
      <c r="H101" s="67">
        <f>cutts[[#This Row],[num]]-SUM(cutts[[#This Row],[num2]])</f>
        <v>1500</v>
      </c>
      <c r="I101" s="357"/>
      <c r="J101" s="21"/>
      <c r="K101" s="40">
        <v>1500</v>
      </c>
      <c r="L101" s="40"/>
      <c r="M101" s="40">
        <f>cutts[[#This Row],[num]]-cutts[[#This Row],[cutted]]</f>
        <v>0</v>
      </c>
      <c r="N101" s="40"/>
      <c r="O101" s="353"/>
      <c r="P101" s="23"/>
    </row>
    <row r="102" spans="1:16" ht="16.5" x14ac:dyDescent="0.25">
      <c r="A102" s="23">
        <v>96</v>
      </c>
      <c r="B102" s="30" t="s">
        <v>730</v>
      </c>
      <c r="C102" s="23">
        <v>140010255</v>
      </c>
      <c r="D102" s="23">
        <v>500</v>
      </c>
      <c r="E102" s="20">
        <v>300</v>
      </c>
      <c r="F102" s="362" t="s">
        <v>1148</v>
      </c>
      <c r="G102" s="357">
        <v>3</v>
      </c>
      <c r="H102" s="67">
        <f>cutts[[#This Row],[num]]-SUM(cutts[[#This Row],[num2]])</f>
        <v>500</v>
      </c>
      <c r="I102" s="357"/>
      <c r="J102" s="21"/>
      <c r="K102" s="40">
        <v>500</v>
      </c>
      <c r="L102" s="40"/>
      <c r="M102" s="40">
        <f>cutts[[#This Row],[num]]-cutts[[#This Row],[cutted]]</f>
        <v>0</v>
      </c>
      <c r="N102" s="40"/>
      <c r="O102" s="353"/>
      <c r="P102" s="23"/>
    </row>
    <row r="103" spans="1:16" ht="16.5" x14ac:dyDescent="0.25">
      <c r="A103" s="23">
        <v>97</v>
      </c>
      <c r="B103" s="30" t="s">
        <v>730</v>
      </c>
      <c r="C103" s="23">
        <v>140030039</v>
      </c>
      <c r="D103" s="23">
        <v>2010</v>
      </c>
      <c r="E103" s="20">
        <v>300</v>
      </c>
      <c r="F103" s="362" t="s">
        <v>1149</v>
      </c>
      <c r="G103" s="357">
        <v>3</v>
      </c>
      <c r="H103" s="67">
        <f>cutts[[#This Row],[num]]-SUM(cutts[[#This Row],[num2]])</f>
        <v>2010</v>
      </c>
      <c r="I103" s="357"/>
      <c r="J103" s="21"/>
      <c r="K103" s="40">
        <v>2010</v>
      </c>
      <c r="L103" s="40"/>
      <c r="M103" s="40">
        <f>cutts[[#This Row],[num]]-cutts[[#This Row],[cutted]]</f>
        <v>0</v>
      </c>
      <c r="N103" s="40"/>
      <c r="O103" s="353"/>
      <c r="P103" s="23">
        <f>cutts[[#This Row],[num]]/cutts[[#This Row],[size]]</f>
        <v>6.7</v>
      </c>
    </row>
    <row r="104" spans="1:16" ht="16.5" x14ac:dyDescent="0.25">
      <c r="A104" s="23">
        <v>98</v>
      </c>
      <c r="B104" s="30" t="s">
        <v>730</v>
      </c>
      <c r="C104" s="23">
        <v>140310071</v>
      </c>
      <c r="D104" s="23">
        <v>3000</v>
      </c>
      <c r="E104" s="20">
        <v>300</v>
      </c>
      <c r="F104" s="362" t="s">
        <v>1150</v>
      </c>
      <c r="G104" s="357">
        <v>3</v>
      </c>
      <c r="H104" s="67">
        <f>cutts[[#This Row],[num]]-SUM(cutts[[#This Row],[num2]])</f>
        <v>3000</v>
      </c>
      <c r="I104" s="357"/>
      <c r="J104" s="21"/>
      <c r="K104" s="40">
        <v>3000</v>
      </c>
      <c r="L104" s="40"/>
      <c r="M104" s="40">
        <f>cutts[[#This Row],[num]]-cutts[[#This Row],[cutted]]</f>
        <v>0</v>
      </c>
      <c r="N104" s="40"/>
      <c r="O104" s="353"/>
      <c r="P104" s="23">
        <f>cutts[[#This Row],[num]]/cutts[[#This Row],[size]]+1</f>
        <v>11</v>
      </c>
    </row>
    <row r="105" spans="1:16" ht="16.5" x14ac:dyDescent="0.25">
      <c r="A105" s="23">
        <v>99</v>
      </c>
      <c r="B105" s="30" t="s">
        <v>730</v>
      </c>
      <c r="C105" s="23">
        <v>140310083</v>
      </c>
      <c r="D105" s="23">
        <v>3000</v>
      </c>
      <c r="E105" s="20">
        <v>300</v>
      </c>
      <c r="F105" s="362" t="s">
        <v>1151</v>
      </c>
      <c r="G105" s="357">
        <v>3</v>
      </c>
      <c r="H105" s="67">
        <f>cutts[[#This Row],[num]]-SUM(cutts[[#This Row],[num2]])</f>
        <v>3000</v>
      </c>
      <c r="I105" s="357"/>
      <c r="J105" s="21"/>
      <c r="K105" s="40">
        <v>3000</v>
      </c>
      <c r="L105" s="40"/>
      <c r="M105" s="40">
        <f>cutts[[#This Row],[num]]-cutts[[#This Row],[cutted]]</f>
        <v>0</v>
      </c>
      <c r="N105" s="40"/>
      <c r="O105" s="353"/>
      <c r="P105" s="23">
        <f>cutts[[#This Row],[num]]/cutts[[#This Row],[size]]+1</f>
        <v>11</v>
      </c>
    </row>
    <row r="106" spans="1:16" ht="16.5" x14ac:dyDescent="0.25">
      <c r="A106" s="23">
        <v>100</v>
      </c>
      <c r="B106" s="30" t="s">
        <v>730</v>
      </c>
      <c r="C106" s="23">
        <v>140010230</v>
      </c>
      <c r="D106" s="23">
        <v>1500</v>
      </c>
      <c r="E106" s="20">
        <v>300</v>
      </c>
      <c r="F106" s="362" t="s">
        <v>1152</v>
      </c>
      <c r="G106" s="357">
        <v>3</v>
      </c>
      <c r="H106" s="67">
        <f>cutts[[#This Row],[num]]-SUM(cutts[[#This Row],[num2]])</f>
        <v>1500</v>
      </c>
      <c r="I106" s="357"/>
      <c r="J106" s="21"/>
      <c r="K106" s="40">
        <v>1500</v>
      </c>
      <c r="L106" s="40"/>
      <c r="M106" s="40">
        <f>cutts[[#This Row],[num]]-cutts[[#This Row],[cutted]]</f>
        <v>0</v>
      </c>
      <c r="N106" s="40"/>
      <c r="O106" s="353"/>
      <c r="P106" s="23">
        <f>cutts[[#This Row],[num]]/cutts[[#This Row],[size]]+1</f>
        <v>6</v>
      </c>
    </row>
    <row r="107" spans="1:16" ht="16.5" x14ac:dyDescent="0.25">
      <c r="A107" s="23">
        <v>101</v>
      </c>
      <c r="B107" s="30" t="s">
        <v>730</v>
      </c>
      <c r="C107" s="23">
        <v>141320055</v>
      </c>
      <c r="D107" s="23">
        <v>2653</v>
      </c>
      <c r="E107" s="20">
        <v>500</v>
      </c>
      <c r="F107" s="362" t="s">
        <v>1153</v>
      </c>
      <c r="G107" s="357">
        <v>2</v>
      </c>
      <c r="H107" s="67">
        <f>cutts[[#This Row],[num]]-SUM(cutts[[#This Row],[num2]])</f>
        <v>2653</v>
      </c>
      <c r="I107" s="357"/>
      <c r="J107" s="21"/>
      <c r="K107" s="40">
        <v>2653</v>
      </c>
      <c r="L107" s="40"/>
      <c r="M107" s="40">
        <f>cutts[[#This Row],[num]]-cutts[[#This Row],[cutted]]</f>
        <v>0</v>
      </c>
      <c r="N107" s="40"/>
      <c r="O107" s="353"/>
      <c r="P107" s="23">
        <f>cutts[[#This Row],[num]]/cutts[[#This Row],[size]]+1</f>
        <v>6.306</v>
      </c>
    </row>
    <row r="108" spans="1:16" ht="16.5" x14ac:dyDescent="0.25">
      <c r="A108" s="23">
        <v>102</v>
      </c>
      <c r="B108" s="30" t="s">
        <v>731</v>
      </c>
      <c r="C108" s="23">
        <v>140310071</v>
      </c>
      <c r="D108" s="23">
        <v>3000</v>
      </c>
      <c r="E108" s="20">
        <v>300</v>
      </c>
      <c r="F108" s="362" t="s">
        <v>1154</v>
      </c>
      <c r="G108" s="357">
        <v>3</v>
      </c>
      <c r="H108" s="67">
        <f>cutts[[#This Row],[num]]-SUM(cutts[[#This Row],[num2]])</f>
        <v>3000</v>
      </c>
      <c r="I108" s="357"/>
      <c r="J108" s="21"/>
      <c r="K108" s="40">
        <v>3000</v>
      </c>
      <c r="L108" s="40"/>
      <c r="M108" s="40">
        <f>cutts[[#This Row],[num]]-cutts[[#This Row],[cutted]]</f>
        <v>0</v>
      </c>
      <c r="N108" s="40"/>
      <c r="O108" s="353"/>
      <c r="P108" s="23"/>
    </row>
    <row r="109" spans="1:16" s="23" customFormat="1" ht="16.5" x14ac:dyDescent="0.25">
      <c r="A109" s="23">
        <v>103</v>
      </c>
      <c r="B109" s="30" t="s">
        <v>731</v>
      </c>
      <c r="C109" s="23">
        <v>140310083</v>
      </c>
      <c r="D109" s="23">
        <v>3000</v>
      </c>
      <c r="E109" s="20">
        <v>300</v>
      </c>
      <c r="F109" s="362" t="s">
        <v>1155</v>
      </c>
      <c r="G109" s="357">
        <v>3</v>
      </c>
      <c r="H109" s="67">
        <f>cutts[[#This Row],[num]]-SUM(cutts[[#This Row],[num2]])</f>
        <v>3000</v>
      </c>
      <c r="I109" s="357"/>
      <c r="J109" s="21"/>
      <c r="K109" s="40">
        <v>3000</v>
      </c>
      <c r="L109" s="40"/>
      <c r="M109" s="40">
        <f>cutts[[#This Row],[num]]-cutts[[#This Row],[cutted]]</f>
        <v>0</v>
      </c>
      <c r="N109" s="40"/>
      <c r="O109" s="353"/>
    </row>
    <row r="110" spans="1:16" ht="16.5" x14ac:dyDescent="0.25">
      <c r="A110" s="23">
        <v>104</v>
      </c>
      <c r="B110" s="30" t="s">
        <v>732</v>
      </c>
      <c r="C110" s="23">
        <v>140010117</v>
      </c>
      <c r="D110" s="23">
        <v>2700</v>
      </c>
      <c r="E110" s="20">
        <v>300</v>
      </c>
      <c r="F110" s="362" t="s">
        <v>1156</v>
      </c>
      <c r="G110" s="357">
        <v>3</v>
      </c>
      <c r="H110" s="67">
        <f>cutts[[#This Row],[num]]-SUM(cutts[[#This Row],[num2]])</f>
        <v>2700</v>
      </c>
      <c r="I110" s="357"/>
      <c r="J110" s="21"/>
      <c r="K110" s="40">
        <v>2700</v>
      </c>
      <c r="L110" s="40"/>
      <c r="M110" s="40">
        <f>cutts[[#This Row],[num]]-cutts[[#This Row],[cutted]]</f>
        <v>0</v>
      </c>
      <c r="N110" s="40"/>
      <c r="O110" s="353"/>
      <c r="P110" s="23"/>
    </row>
    <row r="111" spans="1:16" ht="16.5" x14ac:dyDescent="0.25">
      <c r="A111" s="23">
        <v>105</v>
      </c>
      <c r="B111" s="30" t="s">
        <v>732</v>
      </c>
      <c r="C111" s="23">
        <v>140010117</v>
      </c>
      <c r="D111" s="23">
        <v>3000</v>
      </c>
      <c r="E111" s="20">
        <v>300</v>
      </c>
      <c r="F111" s="362" t="s">
        <v>1157</v>
      </c>
      <c r="G111" s="357">
        <v>3</v>
      </c>
      <c r="H111" s="67">
        <f>cutts[[#This Row],[num]]-SUM(cutts[[#This Row],[num2]])</f>
        <v>3000</v>
      </c>
      <c r="I111" s="357"/>
      <c r="J111" s="21"/>
      <c r="K111" s="40">
        <v>3000</v>
      </c>
      <c r="L111" s="40"/>
      <c r="M111" s="40">
        <f>cutts[[#This Row],[num]]-cutts[[#This Row],[cutted]]</f>
        <v>0</v>
      </c>
      <c r="N111" s="40"/>
      <c r="O111" s="353"/>
      <c r="P111" s="23"/>
    </row>
    <row r="112" spans="1:16" ht="16.5" x14ac:dyDescent="0.25">
      <c r="A112" s="23">
        <v>106</v>
      </c>
      <c r="B112" s="30" t="s">
        <v>733</v>
      </c>
      <c r="C112" s="23">
        <v>141320055</v>
      </c>
      <c r="D112" s="268">
        <v>5000</v>
      </c>
      <c r="E112" s="269">
        <v>500</v>
      </c>
      <c r="F112" s="362" t="s">
        <v>1158</v>
      </c>
      <c r="G112" s="357">
        <v>2</v>
      </c>
      <c r="H112" s="67">
        <f>cutts[[#This Row],[num]]-SUM(cutts[[#This Row],[num2]])</f>
        <v>5000</v>
      </c>
      <c r="I112" s="357"/>
      <c r="J112" s="21"/>
      <c r="K112" s="40">
        <v>5000</v>
      </c>
      <c r="L112" s="40"/>
      <c r="M112" s="40">
        <f>cutts[[#This Row],[num]]-cutts[[#This Row],[cutted]]</f>
        <v>0</v>
      </c>
      <c r="N112" s="40"/>
      <c r="O112" s="353"/>
      <c r="P112" s="23"/>
    </row>
    <row r="113" spans="1:16" ht="16.5" x14ac:dyDescent="0.25">
      <c r="A113" s="23">
        <v>107</v>
      </c>
      <c r="B113" s="30" t="s">
        <v>733</v>
      </c>
      <c r="C113" s="23">
        <v>140310083</v>
      </c>
      <c r="D113" s="268">
        <v>3000</v>
      </c>
      <c r="E113" s="269">
        <v>300</v>
      </c>
      <c r="F113" s="362" t="s">
        <v>1159</v>
      </c>
      <c r="G113" s="357">
        <v>3</v>
      </c>
      <c r="H113" s="67">
        <f>cutts[[#This Row],[num]]-SUM(cutts[[#This Row],[num2]])</f>
        <v>3000</v>
      </c>
      <c r="I113" s="357"/>
      <c r="J113" s="21"/>
      <c r="K113" s="40">
        <v>3000</v>
      </c>
      <c r="L113" s="40"/>
      <c r="M113" s="40">
        <f>cutts[[#This Row],[num]]-cutts[[#This Row],[cutted]]</f>
        <v>0</v>
      </c>
      <c r="N113" s="40"/>
      <c r="O113" s="353"/>
      <c r="P113" s="23"/>
    </row>
    <row r="114" spans="1:16" ht="16.5" x14ac:dyDescent="0.25">
      <c r="A114" s="23">
        <v>108</v>
      </c>
      <c r="B114" s="30" t="s">
        <v>733</v>
      </c>
      <c r="C114" s="23">
        <v>140640007</v>
      </c>
      <c r="D114" s="268">
        <v>1500</v>
      </c>
      <c r="E114" s="269">
        <v>300</v>
      </c>
      <c r="F114" s="362" t="s">
        <v>1160</v>
      </c>
      <c r="G114" s="357">
        <v>2</v>
      </c>
      <c r="H114" s="67">
        <f>cutts[[#This Row],[num]]-SUM(cutts[[#This Row],[num2]])</f>
        <v>1500</v>
      </c>
      <c r="I114" s="357"/>
      <c r="J114" s="21"/>
      <c r="K114" s="40">
        <v>1500</v>
      </c>
      <c r="L114" s="40"/>
      <c r="M114" s="40">
        <f>cutts[[#This Row],[num]]-cutts[[#This Row],[cutted]]</f>
        <v>0</v>
      </c>
      <c r="N114" s="40"/>
      <c r="O114" s="353"/>
      <c r="P114" s="23"/>
    </row>
    <row r="115" spans="1:16" ht="30" x14ac:dyDescent="0.25">
      <c r="A115" s="23">
        <v>109</v>
      </c>
      <c r="B115" s="30" t="s">
        <v>736</v>
      </c>
      <c r="C115" s="23">
        <v>140310071</v>
      </c>
      <c r="D115" s="268">
        <v>6000</v>
      </c>
      <c r="E115" s="269">
        <v>300</v>
      </c>
      <c r="F115" s="362" t="s">
        <v>1161</v>
      </c>
      <c r="G115" s="357">
        <v>3</v>
      </c>
      <c r="H115" s="67">
        <f>cutts[[#This Row],[num]]-SUM(cutts[[#This Row],[num2]])</f>
        <v>6000</v>
      </c>
      <c r="I115" s="357"/>
      <c r="J115" s="21"/>
      <c r="K115" s="40">
        <v>6000</v>
      </c>
      <c r="L115" s="40"/>
      <c r="M115" s="40">
        <f>cutts[[#This Row],[num]]-cutts[[#This Row],[cutted]]</f>
        <v>0</v>
      </c>
      <c r="N115" s="40"/>
      <c r="O115" s="353"/>
      <c r="P115" s="23"/>
    </row>
    <row r="116" spans="1:16" ht="16.5" x14ac:dyDescent="0.25">
      <c r="A116" s="23">
        <v>110</v>
      </c>
      <c r="B116" s="30" t="s">
        <v>736</v>
      </c>
      <c r="C116" s="23">
        <v>140640007</v>
      </c>
      <c r="D116" s="268">
        <v>1500</v>
      </c>
      <c r="E116" s="269">
        <v>300</v>
      </c>
      <c r="F116" s="362" t="s">
        <v>1162</v>
      </c>
      <c r="G116" s="357">
        <v>2</v>
      </c>
      <c r="H116" s="67">
        <f>cutts[[#This Row],[num]]-SUM(cutts[[#This Row],[num2]])</f>
        <v>1500</v>
      </c>
      <c r="I116" s="357"/>
      <c r="J116" s="21"/>
      <c r="K116" s="40">
        <v>1500</v>
      </c>
      <c r="L116" s="40"/>
      <c r="M116" s="40">
        <f>cutts[[#This Row],[num]]-cutts[[#This Row],[cutted]]</f>
        <v>0</v>
      </c>
      <c r="N116" s="40"/>
      <c r="O116" s="353"/>
      <c r="P116" s="23"/>
    </row>
    <row r="117" spans="1:16" ht="16.5" x14ac:dyDescent="0.25">
      <c r="A117" s="23">
        <v>111</v>
      </c>
      <c r="B117" s="30" t="s">
        <v>737</v>
      </c>
      <c r="C117" s="23">
        <v>140310071</v>
      </c>
      <c r="D117" s="23">
        <v>3000</v>
      </c>
      <c r="E117" s="20">
        <v>300</v>
      </c>
      <c r="F117" s="362" t="s">
        <v>1163</v>
      </c>
      <c r="G117" s="357">
        <v>3</v>
      </c>
      <c r="H117" s="67">
        <f>cutts[[#This Row],[num]]-SUM(cutts[[#This Row],[num2]])</f>
        <v>3000</v>
      </c>
      <c r="I117" s="357"/>
      <c r="J117" s="21"/>
      <c r="K117" s="40">
        <v>3000</v>
      </c>
      <c r="L117" s="40"/>
      <c r="M117" s="40">
        <f>cutts[[#This Row],[num]]-cutts[[#This Row],[cutted]]</f>
        <v>0</v>
      </c>
      <c r="N117" s="40"/>
      <c r="O117" s="353"/>
      <c r="P117" s="23"/>
    </row>
    <row r="118" spans="1:16" ht="16.5" x14ac:dyDescent="0.25">
      <c r="A118" s="23">
        <v>112</v>
      </c>
      <c r="B118" s="30" t="s">
        <v>738</v>
      </c>
      <c r="C118" s="23">
        <v>140640007</v>
      </c>
      <c r="D118" s="23">
        <v>1500</v>
      </c>
      <c r="E118" s="20">
        <v>300</v>
      </c>
      <c r="F118" s="362" t="s">
        <v>1164</v>
      </c>
      <c r="G118" s="357">
        <v>2</v>
      </c>
      <c r="H118" s="67">
        <f>cutts[[#This Row],[num]]-SUM(cutts[[#This Row],[num2]])</f>
        <v>1500</v>
      </c>
      <c r="I118" s="357"/>
      <c r="J118" s="21"/>
      <c r="K118" s="40">
        <v>1500</v>
      </c>
      <c r="L118" s="40"/>
      <c r="M118" s="40">
        <f>cutts[[#This Row],[num]]-cutts[[#This Row],[cutted]]</f>
        <v>0</v>
      </c>
      <c r="N118" s="40"/>
      <c r="O118" s="353"/>
      <c r="P118" s="23"/>
    </row>
    <row r="119" spans="1:16" ht="16.5" x14ac:dyDescent="0.25">
      <c r="A119" s="23">
        <v>113</v>
      </c>
      <c r="B119" s="30" t="s">
        <v>728</v>
      </c>
      <c r="C119" s="23">
        <v>141320055</v>
      </c>
      <c r="D119" s="23">
        <v>5000</v>
      </c>
      <c r="E119" s="20">
        <v>500</v>
      </c>
      <c r="F119" s="362" t="s">
        <v>1165</v>
      </c>
      <c r="G119" s="357">
        <v>2</v>
      </c>
      <c r="H119" s="67">
        <f>cutts[[#This Row],[num]]-SUM(cutts[[#This Row],[num2]])</f>
        <v>5000</v>
      </c>
      <c r="I119" s="357"/>
      <c r="J119" s="21"/>
      <c r="K119" s="40">
        <v>5000</v>
      </c>
      <c r="L119" s="40"/>
      <c r="M119" s="40">
        <f>cutts[[#This Row],[num]]-cutts[[#This Row],[cutted]]</f>
        <v>0</v>
      </c>
      <c r="N119" s="40"/>
      <c r="O119" s="353"/>
      <c r="P119" s="23"/>
    </row>
    <row r="120" spans="1:16" ht="16.5" x14ac:dyDescent="0.25">
      <c r="A120" s="23">
        <v>114</v>
      </c>
      <c r="B120" s="30" t="s">
        <v>738</v>
      </c>
      <c r="C120" s="23">
        <v>140640007</v>
      </c>
      <c r="D120" s="23">
        <v>1500</v>
      </c>
      <c r="E120" s="20">
        <v>300</v>
      </c>
      <c r="F120" s="362" t="s">
        <v>1167</v>
      </c>
      <c r="G120" s="357">
        <v>2</v>
      </c>
      <c r="H120" s="67">
        <f>cutts[[#This Row],[num]]-SUM(cutts[[#This Row],[num2]])</f>
        <v>1500</v>
      </c>
      <c r="I120" s="357"/>
      <c r="J120" s="21"/>
      <c r="K120" s="40">
        <v>1500</v>
      </c>
      <c r="L120" s="40"/>
      <c r="M120" s="40">
        <f>cutts[[#This Row],[num]]-cutts[[#This Row],[cutted]]</f>
        <v>0</v>
      </c>
      <c r="N120" s="40"/>
      <c r="O120" s="353"/>
      <c r="P120" s="23"/>
    </row>
    <row r="121" spans="1:16" ht="16.5" x14ac:dyDescent="0.25">
      <c r="A121" s="23">
        <v>115</v>
      </c>
      <c r="B121" s="30" t="s">
        <v>746</v>
      </c>
      <c r="C121" s="23">
        <v>141320055</v>
      </c>
      <c r="D121" s="23">
        <v>3000</v>
      </c>
      <c r="E121" s="20">
        <v>500</v>
      </c>
      <c r="F121" s="362" t="s">
        <v>1173</v>
      </c>
      <c r="G121" s="357">
        <v>2</v>
      </c>
      <c r="H121" s="67">
        <f>cutts[[#This Row],[num]]-SUM(cutts[[#This Row],[num2]])</f>
        <v>3000</v>
      </c>
      <c r="I121" s="357"/>
      <c r="J121" s="21"/>
      <c r="K121" s="40">
        <v>3000</v>
      </c>
      <c r="L121" s="40"/>
      <c r="M121" s="40">
        <f>cutts[[#This Row],[num]]-cutts[[#This Row],[cutted]]</f>
        <v>0</v>
      </c>
      <c r="N121" s="40"/>
      <c r="O121" s="353"/>
      <c r="P121" s="23"/>
    </row>
    <row r="122" spans="1:16" ht="30" x14ac:dyDescent="0.25">
      <c r="A122" s="23">
        <v>116</v>
      </c>
      <c r="B122" s="30" t="s">
        <v>744</v>
      </c>
      <c r="C122" s="23">
        <v>140310071</v>
      </c>
      <c r="D122" s="23">
        <v>6000</v>
      </c>
      <c r="E122" s="20">
        <v>300</v>
      </c>
      <c r="F122" s="362" t="s">
        <v>1171</v>
      </c>
      <c r="G122" s="357">
        <v>3</v>
      </c>
      <c r="H122" s="67">
        <f>cutts[[#This Row],[num]]-SUM(cutts[[#This Row],[num2]])</f>
        <v>6000</v>
      </c>
      <c r="I122" s="357"/>
      <c r="J122" s="21"/>
      <c r="K122" s="40">
        <v>6000</v>
      </c>
      <c r="L122" s="40"/>
      <c r="M122" s="40">
        <f>cutts[[#This Row],[num]]-cutts[[#This Row],[cutted]]</f>
        <v>0</v>
      </c>
      <c r="N122" s="40"/>
      <c r="O122" s="353"/>
      <c r="P122" s="23"/>
    </row>
    <row r="123" spans="1:16" ht="16.5" x14ac:dyDescent="0.25">
      <c r="A123" s="23">
        <v>117</v>
      </c>
      <c r="B123" s="30" t="s">
        <v>746</v>
      </c>
      <c r="C123" s="23">
        <v>140010117</v>
      </c>
      <c r="D123" s="23">
        <v>2000</v>
      </c>
      <c r="E123" s="20">
        <v>300</v>
      </c>
      <c r="F123" s="362" t="s">
        <v>1174</v>
      </c>
      <c r="G123" s="357">
        <v>4</v>
      </c>
      <c r="H123" s="67">
        <f>cutts[[#This Row],[num]]-SUM(cutts[[#This Row],[num2]])</f>
        <v>2000</v>
      </c>
      <c r="I123" s="357"/>
      <c r="J123" s="21"/>
      <c r="K123" s="40">
        <v>2000</v>
      </c>
      <c r="L123" s="40"/>
      <c r="M123" s="40">
        <f>cutts[[#This Row],[num]]-cutts[[#This Row],[cutted]]</f>
        <v>0</v>
      </c>
      <c r="N123" s="40"/>
      <c r="O123" s="353"/>
      <c r="P123" s="23"/>
    </row>
    <row r="124" spans="1:16" ht="16.5" x14ac:dyDescent="0.25">
      <c r="A124" s="23">
        <v>117.1</v>
      </c>
      <c r="B124" s="30" t="s">
        <v>746</v>
      </c>
      <c r="C124" s="23">
        <v>141320055</v>
      </c>
      <c r="D124" s="23">
        <v>-6900</v>
      </c>
      <c r="E124" s="20"/>
      <c r="F124" s="362"/>
      <c r="G124" s="357">
        <v>2</v>
      </c>
      <c r="H124" s="67">
        <f>cutts[[#This Row],[num]]-SUM(cutts[[#This Row],[num2]])</f>
        <v>-6900</v>
      </c>
      <c r="I124" s="357"/>
      <c r="J124" s="21"/>
      <c r="K124" s="40">
        <v>-6900</v>
      </c>
      <c r="L124" s="40"/>
      <c r="M124" s="40">
        <f>cutts[[#This Row],[num]]-cutts[[#This Row],[cutted]]</f>
        <v>0</v>
      </c>
      <c r="N124" s="40"/>
      <c r="O124" s="353"/>
      <c r="P124" s="23" t="s">
        <v>1176</v>
      </c>
    </row>
    <row r="125" spans="1:16" ht="16.5" x14ac:dyDescent="0.25">
      <c r="A125" s="23">
        <v>117.2</v>
      </c>
      <c r="B125" s="30" t="s">
        <v>746</v>
      </c>
      <c r="C125" s="23">
        <v>140530039</v>
      </c>
      <c r="D125" s="23">
        <v>6900</v>
      </c>
      <c r="E125" s="20"/>
      <c r="F125" s="362"/>
      <c r="G125" s="357">
        <v>3</v>
      </c>
      <c r="H125" s="67">
        <f>cutts[[#This Row],[num]]-SUM(cutts[[#This Row],[num2]])</f>
        <v>6900</v>
      </c>
      <c r="I125" s="357"/>
      <c r="J125" s="21"/>
      <c r="K125" s="40">
        <v>6900</v>
      </c>
      <c r="L125" s="40"/>
      <c r="M125" s="40">
        <f>cutts[[#This Row],[num]]-cutts[[#This Row],[cutted]]</f>
        <v>0</v>
      </c>
      <c r="N125" s="40"/>
      <c r="O125" s="353"/>
      <c r="P125" s="23" t="s">
        <v>1177</v>
      </c>
    </row>
    <row r="126" spans="1:16" ht="16.5" x14ac:dyDescent="0.25">
      <c r="A126" s="23">
        <v>118</v>
      </c>
      <c r="B126" s="30" t="s">
        <v>746</v>
      </c>
      <c r="C126" s="23">
        <v>140010255</v>
      </c>
      <c r="D126" s="23">
        <v>500</v>
      </c>
      <c r="E126" s="20">
        <v>500</v>
      </c>
      <c r="F126" s="362" t="s">
        <v>1178</v>
      </c>
      <c r="G126" s="357">
        <v>4</v>
      </c>
      <c r="H126" s="67">
        <f>cutts[[#This Row],[num]]-SUM(cutts[[#This Row],[num2]])</f>
        <v>500</v>
      </c>
      <c r="I126" s="357"/>
      <c r="J126" s="21"/>
      <c r="K126" s="40">
        <v>500</v>
      </c>
      <c r="L126" s="40"/>
      <c r="M126" s="40">
        <f>cutts[[#This Row],[num]]-cutts[[#This Row],[cutted]]</f>
        <v>0</v>
      </c>
      <c r="N126" s="40"/>
      <c r="O126" s="353"/>
      <c r="P126" s="23"/>
    </row>
    <row r="127" spans="1:16" ht="16.5" x14ac:dyDescent="0.25">
      <c r="A127" s="23">
        <v>119</v>
      </c>
      <c r="B127" s="30" t="s">
        <v>746</v>
      </c>
      <c r="C127" s="23">
        <v>140010230</v>
      </c>
      <c r="D127" s="23">
        <v>300</v>
      </c>
      <c r="E127" s="20">
        <v>300</v>
      </c>
      <c r="F127" s="362" t="s">
        <v>1179</v>
      </c>
      <c r="G127" s="357">
        <v>4</v>
      </c>
      <c r="H127" s="67">
        <f>cutts[[#This Row],[num]]-SUM(cutts[[#This Row],[num2]])</f>
        <v>300</v>
      </c>
      <c r="I127" s="357"/>
      <c r="J127" s="21"/>
      <c r="K127" s="40">
        <v>300</v>
      </c>
      <c r="L127" s="40"/>
      <c r="M127" s="40">
        <f>cutts[[#This Row],[num]]-cutts[[#This Row],[cutted]]</f>
        <v>0</v>
      </c>
      <c r="N127" s="40"/>
      <c r="O127" s="353"/>
      <c r="P127" s="23"/>
    </row>
    <row r="128" spans="1:16" ht="30" x14ac:dyDescent="0.25">
      <c r="A128" s="23">
        <v>120</v>
      </c>
      <c r="B128" s="30" t="s">
        <v>746</v>
      </c>
      <c r="C128" s="23">
        <v>140310071</v>
      </c>
      <c r="D128" s="23">
        <v>6000</v>
      </c>
      <c r="E128" s="20">
        <v>300</v>
      </c>
      <c r="F128" s="362" t="s">
        <v>1180</v>
      </c>
      <c r="G128" s="357">
        <v>3</v>
      </c>
      <c r="H128" s="67">
        <f>cutts[[#This Row],[num]]-SUM(cutts[[#This Row],[num2]])</f>
        <v>6000</v>
      </c>
      <c r="I128" s="357"/>
      <c r="J128" s="21"/>
      <c r="K128" s="40">
        <v>6000</v>
      </c>
      <c r="L128" s="40"/>
      <c r="M128" s="40">
        <f>cutts[[#This Row],[num]]-cutts[[#This Row],[cutted]]</f>
        <v>0</v>
      </c>
      <c r="N128" s="40"/>
      <c r="O128" s="353"/>
      <c r="P128" s="23"/>
    </row>
    <row r="129" spans="1:16" ht="16.5" x14ac:dyDescent="0.25">
      <c r="A129" s="23">
        <v>121</v>
      </c>
      <c r="B129" s="30" t="s">
        <v>746</v>
      </c>
      <c r="C129" s="23">
        <v>140010230</v>
      </c>
      <c r="D129" s="23">
        <v>3000</v>
      </c>
      <c r="E129" s="20">
        <v>300</v>
      </c>
      <c r="F129" s="362" t="s">
        <v>1182</v>
      </c>
      <c r="G129" s="357">
        <v>4</v>
      </c>
      <c r="H129" s="67">
        <f>cutts[[#This Row],[num]]-SUM(cutts[[#This Row],[num2]])</f>
        <v>3000</v>
      </c>
      <c r="I129" s="357"/>
      <c r="J129" s="21"/>
      <c r="K129" s="40">
        <v>3000</v>
      </c>
      <c r="L129" s="40"/>
      <c r="M129" s="40">
        <f>cutts[[#This Row],[num]]-cutts[[#This Row],[cutted]]</f>
        <v>0</v>
      </c>
      <c r="N129" s="40"/>
      <c r="O129" s="353"/>
      <c r="P129" s="23"/>
    </row>
    <row r="130" spans="1:16" ht="16.5" x14ac:dyDescent="0.25">
      <c r="A130" s="23">
        <v>122</v>
      </c>
      <c r="B130" s="30" t="s">
        <v>746</v>
      </c>
      <c r="C130" s="23">
        <v>140640007</v>
      </c>
      <c r="D130" s="23">
        <v>3000</v>
      </c>
      <c r="E130" s="20">
        <v>300</v>
      </c>
      <c r="F130" s="362" t="s">
        <v>1183</v>
      </c>
      <c r="G130" s="357">
        <v>2</v>
      </c>
      <c r="H130" s="67">
        <f>cutts[[#This Row],[num]]-SUM(cutts[[#This Row],[num2]])</f>
        <v>3000</v>
      </c>
      <c r="I130" s="357"/>
      <c r="J130" s="21"/>
      <c r="K130" s="40">
        <v>3000</v>
      </c>
      <c r="L130" s="40"/>
      <c r="M130" s="40">
        <f>cutts[[#This Row],[num]]-cutts[[#This Row],[cutted]]</f>
        <v>0</v>
      </c>
      <c r="N130" s="40"/>
      <c r="O130" s="353"/>
      <c r="P130" s="23"/>
    </row>
    <row r="131" spans="1:16" ht="16.5" x14ac:dyDescent="0.25">
      <c r="A131" s="23">
        <v>122.1</v>
      </c>
      <c r="B131" s="30" t="s">
        <v>747</v>
      </c>
      <c r="C131" s="23">
        <v>141320055</v>
      </c>
      <c r="D131" s="23">
        <v>-3100</v>
      </c>
      <c r="E131" s="20"/>
      <c r="F131" s="362"/>
      <c r="G131" s="357">
        <v>2</v>
      </c>
      <c r="H131" s="67">
        <f>cutts[[#This Row],[num]]-SUM(cutts[[#This Row],[num2]])</f>
        <v>-3100</v>
      </c>
      <c r="I131" s="357"/>
      <c r="J131" s="21"/>
      <c r="K131" s="40">
        <v>-3100</v>
      </c>
      <c r="L131" s="40"/>
      <c r="M131" s="40">
        <f>cutts[[#This Row],[num]]-cutts[[#This Row],[cutted]]</f>
        <v>0</v>
      </c>
      <c r="N131" s="40"/>
      <c r="O131" s="353"/>
      <c r="P131" s="23" t="s">
        <v>1176</v>
      </c>
    </row>
    <row r="132" spans="1:16" ht="16.5" x14ac:dyDescent="0.25">
      <c r="A132" s="23">
        <v>122.2</v>
      </c>
      <c r="B132" s="30" t="s">
        <v>747</v>
      </c>
      <c r="C132" s="23">
        <v>140530039</v>
      </c>
      <c r="D132" s="23">
        <v>3100</v>
      </c>
      <c r="E132" s="20"/>
      <c r="F132" s="362"/>
      <c r="G132" s="357">
        <v>3</v>
      </c>
      <c r="H132" s="67">
        <f>cutts[[#This Row],[num]]-SUM(cutts[[#This Row],[num2]])</f>
        <v>3100</v>
      </c>
      <c r="I132" s="357"/>
      <c r="J132" s="21"/>
      <c r="K132" s="40">
        <v>3100</v>
      </c>
      <c r="L132" s="40"/>
      <c r="M132" s="40">
        <f>cutts[[#This Row],[num]]-cutts[[#This Row],[cutted]]</f>
        <v>0</v>
      </c>
      <c r="N132" s="40"/>
      <c r="O132" s="353"/>
      <c r="P132" s="23" t="s">
        <v>1177</v>
      </c>
    </row>
    <row r="133" spans="1:16" ht="16.5" x14ac:dyDescent="0.25">
      <c r="A133" s="23">
        <v>123</v>
      </c>
      <c r="B133" s="30" t="s">
        <v>758</v>
      </c>
      <c r="C133" s="23">
        <v>140030039</v>
      </c>
      <c r="D133" s="23">
        <v>3000</v>
      </c>
      <c r="E133" s="20">
        <v>300</v>
      </c>
      <c r="F133" s="362" t="s">
        <v>1183</v>
      </c>
      <c r="G133" s="357">
        <v>4</v>
      </c>
      <c r="H133" s="67">
        <f>cutts[[#This Row],[num]]-SUM(cutts[[#This Row],[num2]])</f>
        <v>3000</v>
      </c>
      <c r="I133" s="357"/>
      <c r="J133" s="21"/>
      <c r="K133" s="40">
        <v>3000</v>
      </c>
      <c r="L133" s="40"/>
      <c r="M133" s="40">
        <f>cutts[[#This Row],[num]]-cutts[[#This Row],[cutted]]</f>
        <v>0</v>
      </c>
      <c r="N133" s="40"/>
      <c r="O133" s="353"/>
      <c r="P133" s="23"/>
    </row>
    <row r="134" spans="1:16" ht="16.5" x14ac:dyDescent="0.25">
      <c r="A134" s="23">
        <v>124</v>
      </c>
      <c r="B134" s="30" t="s">
        <v>758</v>
      </c>
      <c r="C134" s="23">
        <v>140030040</v>
      </c>
      <c r="D134" s="23">
        <v>3000</v>
      </c>
      <c r="E134" s="20">
        <v>300</v>
      </c>
      <c r="F134" s="362" t="s">
        <v>1188</v>
      </c>
      <c r="G134" s="357">
        <v>4</v>
      </c>
      <c r="H134" s="67">
        <f>cutts[[#This Row],[num]]-SUM(cutts[[#This Row],[num2]])</f>
        <v>3000</v>
      </c>
      <c r="I134" s="357"/>
      <c r="J134" s="21"/>
      <c r="K134" s="40">
        <v>3000</v>
      </c>
      <c r="L134" s="40"/>
      <c r="M134" s="40">
        <f>cutts[[#This Row],[num]]-cutts[[#This Row],[cutted]]</f>
        <v>0</v>
      </c>
      <c r="N134" s="40"/>
      <c r="O134" s="353"/>
      <c r="P134" s="23"/>
    </row>
    <row r="135" spans="1:16" ht="16.5" x14ac:dyDescent="0.25">
      <c r="A135" s="23">
        <v>125</v>
      </c>
      <c r="B135" s="30" t="s">
        <v>759</v>
      </c>
      <c r="C135" s="23">
        <v>140550019</v>
      </c>
      <c r="D135" s="23">
        <v>2000</v>
      </c>
      <c r="E135" s="20">
        <v>300</v>
      </c>
      <c r="F135" s="362" t="s">
        <v>1189</v>
      </c>
      <c r="G135" s="357">
        <v>10</v>
      </c>
      <c r="H135" s="67">
        <f>cutts[[#This Row],[num]]-SUM(cutts[[#This Row],[num2]])</f>
        <v>2000</v>
      </c>
      <c r="I135" s="357"/>
      <c r="J135" s="21"/>
      <c r="K135" s="40">
        <v>2000</v>
      </c>
      <c r="L135" s="40"/>
      <c r="M135" s="40">
        <f>cutts[[#This Row],[num]]-cutts[[#This Row],[cutted]]</f>
        <v>0</v>
      </c>
      <c r="N135" s="40"/>
      <c r="O135" s="353"/>
      <c r="P135" s="23"/>
    </row>
    <row r="136" spans="1:16" ht="30" x14ac:dyDescent="0.25">
      <c r="A136" s="23">
        <v>126</v>
      </c>
      <c r="B136" s="30" t="s">
        <v>759</v>
      </c>
      <c r="C136" s="23">
        <v>140310071</v>
      </c>
      <c r="D136" s="23">
        <v>5000</v>
      </c>
      <c r="E136" s="20">
        <v>300</v>
      </c>
      <c r="F136" s="362" t="s">
        <v>1190</v>
      </c>
      <c r="G136" s="357">
        <v>3</v>
      </c>
      <c r="H136" s="67">
        <f>cutts[[#This Row],[num]]-SUM(cutts[[#This Row],[num2]])</f>
        <v>5000</v>
      </c>
      <c r="I136" s="357"/>
      <c r="J136" s="21"/>
      <c r="K136" s="40">
        <v>5000</v>
      </c>
      <c r="L136" s="40"/>
      <c r="M136" s="40">
        <f>cutts[[#This Row],[num]]-cutts[[#This Row],[cutted]]</f>
        <v>0</v>
      </c>
      <c r="N136" s="40"/>
      <c r="O136" s="353"/>
      <c r="P136" s="23"/>
    </row>
    <row r="137" spans="1:16" ht="30" x14ac:dyDescent="0.25">
      <c r="A137" s="23">
        <v>127</v>
      </c>
      <c r="B137" s="30" t="s">
        <v>759</v>
      </c>
      <c r="C137" s="23">
        <v>140030040</v>
      </c>
      <c r="D137" s="23">
        <v>3300</v>
      </c>
      <c r="E137" s="20">
        <v>300</v>
      </c>
      <c r="F137" s="362" t="s">
        <v>1191</v>
      </c>
      <c r="G137" s="357">
        <v>4</v>
      </c>
      <c r="H137" s="67">
        <f>cutts[[#This Row],[num]]-SUM(cutts[[#This Row],[num2]])</f>
        <v>3300</v>
      </c>
      <c r="I137" s="357"/>
      <c r="J137" s="21"/>
      <c r="K137" s="40">
        <v>3300</v>
      </c>
      <c r="L137" s="40"/>
      <c r="M137" s="40">
        <f>cutts[[#This Row],[num]]-cutts[[#This Row],[cutted]]</f>
        <v>0</v>
      </c>
      <c r="N137" s="40"/>
      <c r="O137" s="353"/>
      <c r="P137" s="23"/>
    </row>
    <row r="138" spans="1:16" ht="45" x14ac:dyDescent="0.25">
      <c r="A138" s="23">
        <v>128</v>
      </c>
      <c r="B138" s="30" t="s">
        <v>760</v>
      </c>
      <c r="C138" s="23">
        <v>140550019</v>
      </c>
      <c r="D138" s="23">
        <v>6870</v>
      </c>
      <c r="E138" s="20">
        <v>300</v>
      </c>
      <c r="F138" s="362" t="s">
        <v>1192</v>
      </c>
      <c r="G138" s="357">
        <v>10</v>
      </c>
      <c r="H138" s="67">
        <f>cutts[[#This Row],[num]]-SUM(cutts[[#This Row],[num2]])</f>
        <v>6870</v>
      </c>
      <c r="I138" s="357"/>
      <c r="J138" s="21"/>
      <c r="K138" s="40">
        <v>6870</v>
      </c>
      <c r="L138" s="40"/>
      <c r="M138" s="40">
        <f>cutts[[#This Row],[num]]-cutts[[#This Row],[cutted]]</f>
        <v>0</v>
      </c>
      <c r="N138" s="40"/>
      <c r="O138" s="353"/>
      <c r="P138" s="23"/>
    </row>
    <row r="139" spans="1:16" ht="30" x14ac:dyDescent="0.25">
      <c r="A139" s="23">
        <v>129</v>
      </c>
      <c r="B139" s="30" t="s">
        <v>760</v>
      </c>
      <c r="C139" s="23">
        <v>141320055</v>
      </c>
      <c r="D139" s="23">
        <v>8000</v>
      </c>
      <c r="E139" s="20">
        <v>500</v>
      </c>
      <c r="F139" s="362" t="s">
        <v>1193</v>
      </c>
      <c r="G139" s="357">
        <v>3</v>
      </c>
      <c r="H139" s="67">
        <f>cutts[[#This Row],[num]]-SUM(cutts[[#This Row],[num2]])</f>
        <v>6000</v>
      </c>
      <c r="I139" s="357">
        <v>2</v>
      </c>
      <c r="J139" s="21">
        <v>2000</v>
      </c>
      <c r="K139" s="40">
        <v>8000</v>
      </c>
      <c r="L139" s="40"/>
      <c r="M139" s="40">
        <f>cutts[[#This Row],[num]]-cutts[[#This Row],[cutted]]</f>
        <v>0</v>
      </c>
      <c r="N139" s="40"/>
      <c r="O139" s="353"/>
      <c r="P139" s="23"/>
    </row>
    <row r="140" spans="1:16" ht="30" x14ac:dyDescent="0.25">
      <c r="A140" s="23">
        <v>130</v>
      </c>
      <c r="B140" s="30" t="s">
        <v>761</v>
      </c>
      <c r="C140" s="23">
        <v>140640007</v>
      </c>
      <c r="D140" s="23">
        <v>3005</v>
      </c>
      <c r="E140" s="20">
        <v>300</v>
      </c>
      <c r="F140" s="362" t="s">
        <v>1196</v>
      </c>
      <c r="G140" s="357">
        <v>2</v>
      </c>
      <c r="H140" s="67">
        <f>cutts[[#This Row],[num]]-SUM(cutts[[#This Row],[num2]])</f>
        <v>3005</v>
      </c>
      <c r="I140" s="357"/>
      <c r="J140" s="21"/>
      <c r="K140" s="40">
        <v>3005</v>
      </c>
      <c r="L140" s="40"/>
      <c r="M140" s="40">
        <f>cutts[[#This Row],[num]]-cutts[[#This Row],[cutted]]</f>
        <v>0</v>
      </c>
      <c r="N140" s="40"/>
      <c r="O140" s="353"/>
      <c r="P140" s="23"/>
    </row>
    <row r="141" spans="1:16" ht="16.5" x14ac:dyDescent="0.25">
      <c r="A141" s="23">
        <v>131</v>
      </c>
      <c r="B141" s="30" t="s">
        <v>761</v>
      </c>
      <c r="C141" s="23">
        <v>140030039</v>
      </c>
      <c r="D141" s="23">
        <v>2200</v>
      </c>
      <c r="E141" s="20">
        <v>300</v>
      </c>
      <c r="F141" s="362" t="s">
        <v>1197</v>
      </c>
      <c r="G141" s="357">
        <v>4</v>
      </c>
      <c r="H141" s="67">
        <f>cutts[[#This Row],[num]]-SUM(cutts[[#This Row],[num2]])</f>
        <v>2200</v>
      </c>
      <c r="I141" s="357"/>
      <c r="J141" s="21"/>
      <c r="K141" s="40">
        <v>2200</v>
      </c>
      <c r="L141" s="40"/>
      <c r="M141" s="40">
        <f>cutts[[#This Row],[num]]-cutts[[#This Row],[cutted]]</f>
        <v>0</v>
      </c>
      <c r="N141" s="40"/>
      <c r="O141" s="353"/>
      <c r="P141" s="23"/>
    </row>
    <row r="142" spans="1:16" ht="30" x14ac:dyDescent="0.25">
      <c r="A142" s="23">
        <v>132</v>
      </c>
      <c r="B142" s="30" t="s">
        <v>764</v>
      </c>
      <c r="C142" s="23">
        <v>140310083</v>
      </c>
      <c r="D142" s="23">
        <v>6000</v>
      </c>
      <c r="E142" s="20">
        <v>300</v>
      </c>
      <c r="F142" s="362" t="s">
        <v>1198</v>
      </c>
      <c r="G142" s="357">
        <v>3</v>
      </c>
      <c r="H142" s="67">
        <f>cutts[[#This Row],[num]]-SUM(cutts[[#This Row],[num2]])</f>
        <v>6000</v>
      </c>
      <c r="I142" s="357"/>
      <c r="J142" s="21"/>
      <c r="K142" s="40">
        <v>6000</v>
      </c>
      <c r="L142" s="40"/>
      <c r="M142" s="40">
        <f>cutts[[#This Row],[num]]-cutts[[#This Row],[cutted]]</f>
        <v>0</v>
      </c>
      <c r="N142" s="40"/>
      <c r="O142" s="353"/>
      <c r="P142" s="23"/>
    </row>
    <row r="143" spans="1:16" ht="16.5" x14ac:dyDescent="0.25">
      <c r="A143" s="23">
        <v>133</v>
      </c>
      <c r="B143" s="30" t="s">
        <v>764</v>
      </c>
      <c r="C143" s="23">
        <v>140530039</v>
      </c>
      <c r="D143" s="23">
        <v>3000</v>
      </c>
      <c r="E143" s="20">
        <v>500</v>
      </c>
      <c r="F143" s="362" t="s">
        <v>1199</v>
      </c>
      <c r="G143" s="357">
        <v>3</v>
      </c>
      <c r="H143" s="67">
        <f>cutts[[#This Row],[num]]-SUM(cutts[[#This Row],[num2]])</f>
        <v>3000</v>
      </c>
      <c r="I143" s="357"/>
      <c r="J143" s="21"/>
      <c r="K143" s="40">
        <v>3000</v>
      </c>
      <c r="L143" s="40"/>
      <c r="M143" s="40">
        <f>cutts[[#This Row],[num]]-cutts[[#This Row],[cutted]]</f>
        <v>0</v>
      </c>
      <c r="N143" s="40"/>
      <c r="O143" s="353"/>
      <c r="P143" s="23"/>
    </row>
    <row r="144" spans="1:16" ht="16.5" x14ac:dyDescent="0.25">
      <c r="A144" s="23">
        <v>134</v>
      </c>
      <c r="B144" s="30" t="s">
        <v>764</v>
      </c>
      <c r="C144" s="23">
        <v>140450047</v>
      </c>
      <c r="D144" s="23">
        <v>500</v>
      </c>
      <c r="E144" s="20">
        <v>500</v>
      </c>
      <c r="F144" s="362" t="s">
        <v>1202</v>
      </c>
      <c r="G144" s="357">
        <v>4</v>
      </c>
      <c r="H144" s="67">
        <f>cutts[[#This Row],[num]]-SUM(cutts[[#This Row],[num2]])</f>
        <v>500</v>
      </c>
      <c r="I144" s="357"/>
      <c r="J144" s="21"/>
      <c r="K144" s="40">
        <v>500</v>
      </c>
      <c r="L144" s="40"/>
      <c r="M144" s="40">
        <f>cutts[[#This Row],[num]]-cutts[[#This Row],[cutted]]</f>
        <v>0</v>
      </c>
      <c r="N144" s="40"/>
      <c r="O144" s="353"/>
      <c r="P144" s="23"/>
    </row>
    <row r="145" spans="1:16" ht="16.5" x14ac:dyDescent="0.25">
      <c r="A145" s="23">
        <v>135</v>
      </c>
      <c r="B145" s="30" t="s">
        <v>765</v>
      </c>
      <c r="C145" s="23">
        <v>140310083</v>
      </c>
      <c r="D145" s="23">
        <v>1500</v>
      </c>
      <c r="E145" s="20">
        <v>300</v>
      </c>
      <c r="F145" s="362" t="s">
        <v>1203</v>
      </c>
      <c r="G145" s="357">
        <v>3</v>
      </c>
      <c r="H145" s="67">
        <f>cutts[[#This Row],[num]]-SUM(cutts[[#This Row],[num2]])</f>
        <v>1500</v>
      </c>
      <c r="I145" s="357"/>
      <c r="J145" s="21"/>
      <c r="K145" s="40">
        <v>1500</v>
      </c>
      <c r="L145" s="40"/>
      <c r="M145" s="40">
        <f>cutts[[#This Row],[num]]-cutts[[#This Row],[cutted]]</f>
        <v>0</v>
      </c>
      <c r="N145" s="40"/>
      <c r="O145" s="353"/>
      <c r="P145" s="23"/>
    </row>
    <row r="146" spans="1:16" ht="30" x14ac:dyDescent="0.25">
      <c r="A146" s="23">
        <v>136</v>
      </c>
      <c r="B146" s="30" t="s">
        <v>766</v>
      </c>
      <c r="C146" s="23">
        <v>140310071</v>
      </c>
      <c r="D146" s="23">
        <v>6000</v>
      </c>
      <c r="E146" s="20">
        <v>300</v>
      </c>
      <c r="F146" s="362" t="s">
        <v>1204</v>
      </c>
      <c r="G146" s="357">
        <v>3</v>
      </c>
      <c r="H146" s="67">
        <f>cutts[[#This Row],[num]]-SUM(cutts[[#This Row],[num2]])</f>
        <v>6000</v>
      </c>
      <c r="I146" s="357"/>
      <c r="J146" s="21"/>
      <c r="K146" s="40">
        <v>6000</v>
      </c>
      <c r="L146" s="40"/>
      <c r="M146" s="40">
        <f>cutts[[#This Row],[num]]-cutts[[#This Row],[cutted]]</f>
        <v>0</v>
      </c>
      <c r="N146" s="40"/>
      <c r="O146" s="353"/>
      <c r="P146" s="23"/>
    </row>
    <row r="147" spans="1:16" ht="16.5" x14ac:dyDescent="0.25">
      <c r="A147" s="23">
        <v>137</v>
      </c>
      <c r="B147" s="30" t="s">
        <v>766</v>
      </c>
      <c r="C147" s="23">
        <v>141320055</v>
      </c>
      <c r="D147" s="23">
        <v>5000</v>
      </c>
      <c r="E147" s="20">
        <v>500</v>
      </c>
      <c r="F147" s="362" t="s">
        <v>1205</v>
      </c>
      <c r="G147" s="357">
        <v>3</v>
      </c>
      <c r="H147" s="67">
        <f>cutts[[#This Row],[num]]-SUM(cutts[[#This Row],[num2]])</f>
        <v>5000</v>
      </c>
      <c r="I147" s="357"/>
      <c r="J147" s="21"/>
      <c r="K147" s="40">
        <v>5000</v>
      </c>
      <c r="L147" s="40"/>
      <c r="M147" s="40">
        <f>cutts[[#This Row],[num]]-cutts[[#This Row],[cutted]]</f>
        <v>0</v>
      </c>
      <c r="N147" s="40"/>
      <c r="O147" s="353"/>
      <c r="P147" s="23"/>
    </row>
    <row r="148" spans="1:16" ht="16.5" x14ac:dyDescent="0.25">
      <c r="A148" s="23">
        <v>138</v>
      </c>
      <c r="B148" s="30" t="s">
        <v>767</v>
      </c>
      <c r="C148" s="23">
        <v>140550019</v>
      </c>
      <c r="D148" s="23"/>
      <c r="E148" s="20">
        <v>300</v>
      </c>
      <c r="F148" s="362" t="s">
        <v>1207</v>
      </c>
      <c r="G148" s="357"/>
      <c r="H148" s="67">
        <f>cutts[[#This Row],[num]]-SUM(cutts[[#This Row],[num2]])</f>
        <v>0</v>
      </c>
      <c r="I148" s="357"/>
      <c r="J148" s="21"/>
      <c r="K148" s="40"/>
      <c r="L148" s="40"/>
      <c r="M148" s="40">
        <f>cutts[[#This Row],[num]]-cutts[[#This Row],[cutted]]</f>
        <v>0</v>
      </c>
      <c r="N148" s="40"/>
      <c r="O148" s="353"/>
      <c r="P148" s="23" t="s">
        <v>1206</v>
      </c>
    </row>
    <row r="149" spans="1:16" ht="16.5" x14ac:dyDescent="0.25">
      <c r="A149" s="23">
        <v>139</v>
      </c>
      <c r="B149" s="30" t="s">
        <v>768</v>
      </c>
      <c r="C149" s="23">
        <v>140310007</v>
      </c>
      <c r="D149" s="23">
        <v>3000</v>
      </c>
      <c r="E149" s="20">
        <v>300</v>
      </c>
      <c r="F149" s="362" t="s">
        <v>1208</v>
      </c>
      <c r="G149" s="357">
        <v>4</v>
      </c>
      <c r="H149" s="67">
        <f>cutts[[#This Row],[num]]-SUM(cutts[[#This Row],[num2]])</f>
        <v>3000</v>
      </c>
      <c r="I149" s="357"/>
      <c r="J149" s="21"/>
      <c r="K149" s="40">
        <v>3000</v>
      </c>
      <c r="L149" s="40"/>
      <c r="M149" s="40">
        <f>cutts[[#This Row],[num]]-cutts[[#This Row],[cutted]]</f>
        <v>0</v>
      </c>
      <c r="N149" s="40"/>
      <c r="O149" s="353"/>
      <c r="P149" s="23"/>
    </row>
    <row r="150" spans="1:16" ht="16.5" x14ac:dyDescent="0.25">
      <c r="A150" s="23">
        <v>140</v>
      </c>
      <c r="B150" s="30" t="s">
        <v>773</v>
      </c>
      <c r="C150" s="23">
        <v>140310071</v>
      </c>
      <c r="D150" s="23">
        <v>300</v>
      </c>
      <c r="E150" s="20">
        <v>300</v>
      </c>
      <c r="F150" s="362" t="s">
        <v>1209</v>
      </c>
      <c r="G150" s="357"/>
      <c r="H150" s="67">
        <f>cutts[[#This Row],[num]]-SUM(cutts[[#This Row],[num2]])</f>
        <v>300</v>
      </c>
      <c r="I150" s="357"/>
      <c r="J150" s="21"/>
      <c r="K150" s="40">
        <v>300</v>
      </c>
      <c r="L150" s="40"/>
      <c r="M150" s="40">
        <f>cutts[[#This Row],[num]]-cutts[[#This Row],[cutted]]</f>
        <v>0</v>
      </c>
      <c r="N150" s="40"/>
      <c r="O150" s="353"/>
      <c r="P150" s="23" t="s">
        <v>1206</v>
      </c>
    </row>
    <row r="151" spans="1:16" ht="16.5" x14ac:dyDescent="0.25">
      <c r="A151" s="23">
        <v>141</v>
      </c>
      <c r="B151" s="30" t="s">
        <v>774</v>
      </c>
      <c r="C151" s="23">
        <v>141320055</v>
      </c>
      <c r="D151" s="23">
        <v>4000</v>
      </c>
      <c r="E151" s="20">
        <v>500</v>
      </c>
      <c r="F151" s="362" t="s">
        <v>1210</v>
      </c>
      <c r="G151" s="357">
        <v>3</v>
      </c>
      <c r="H151" s="67">
        <f>cutts[[#This Row],[num]]-SUM(cutts[[#This Row],[num2]])</f>
        <v>4000</v>
      </c>
      <c r="I151" s="357"/>
      <c r="J151" s="21"/>
      <c r="K151" s="40">
        <v>4000</v>
      </c>
      <c r="L151" s="40"/>
      <c r="M151" s="40">
        <f>cutts[[#This Row],[num]]-cutts[[#This Row],[cutted]]</f>
        <v>0</v>
      </c>
      <c r="N151" s="40"/>
      <c r="O151" s="353"/>
      <c r="P151" s="23"/>
    </row>
    <row r="152" spans="1:16" ht="30" x14ac:dyDescent="0.25">
      <c r="A152" s="23">
        <v>142</v>
      </c>
      <c r="B152" s="30" t="s">
        <v>774</v>
      </c>
      <c r="C152" s="23">
        <v>140010230</v>
      </c>
      <c r="D152" s="23">
        <v>5700</v>
      </c>
      <c r="E152" s="20">
        <v>300</v>
      </c>
      <c r="F152" s="362" t="s">
        <v>1211</v>
      </c>
      <c r="G152" s="357">
        <v>4</v>
      </c>
      <c r="H152" s="67">
        <f>cutts[[#This Row],[num]]-SUM(cutts[[#This Row],[num2]])</f>
        <v>5700</v>
      </c>
      <c r="I152" s="357"/>
      <c r="J152" s="21"/>
      <c r="K152" s="40">
        <v>5700</v>
      </c>
      <c r="L152" s="40"/>
      <c r="M152" s="40">
        <f>cutts[[#This Row],[num]]-cutts[[#This Row],[cutted]]</f>
        <v>0</v>
      </c>
      <c r="N152" s="40"/>
      <c r="O152" s="353"/>
      <c r="P152" s="23"/>
    </row>
    <row r="153" spans="1:16" ht="45" x14ac:dyDescent="0.25">
      <c r="A153" s="23">
        <v>143</v>
      </c>
      <c r="B153" s="30" t="s">
        <v>775</v>
      </c>
      <c r="C153" s="23">
        <v>140310007</v>
      </c>
      <c r="D153" s="23">
        <v>7000</v>
      </c>
      <c r="E153" s="20">
        <v>300</v>
      </c>
      <c r="F153" s="362" t="s">
        <v>1212</v>
      </c>
      <c r="G153" s="357">
        <v>4</v>
      </c>
      <c r="H153" s="67">
        <f>cutts[[#This Row],[num]]-SUM(cutts[[#This Row],[num2]])</f>
        <v>7000</v>
      </c>
      <c r="I153" s="357"/>
      <c r="J153" s="21"/>
      <c r="K153" s="40">
        <v>7000</v>
      </c>
      <c r="L153" s="40"/>
      <c r="M153" s="40">
        <f>cutts[[#This Row],[num]]-cutts[[#This Row],[cutted]]</f>
        <v>0</v>
      </c>
      <c r="N153" s="40"/>
      <c r="O153" s="353"/>
      <c r="P153" s="23"/>
    </row>
    <row r="154" spans="1:16" ht="16.5" x14ac:dyDescent="0.25">
      <c r="A154" s="23">
        <v>144</v>
      </c>
      <c r="B154" s="30" t="s">
        <v>778</v>
      </c>
      <c r="C154" s="23">
        <v>140450047</v>
      </c>
      <c r="D154" s="23">
        <v>50</v>
      </c>
      <c r="E154" s="20">
        <v>300</v>
      </c>
      <c r="F154" s="362">
        <v>51.659722222222221</v>
      </c>
      <c r="G154" s="357">
        <v>4</v>
      </c>
      <c r="H154" s="67">
        <f>cutts[[#This Row],[num]]-SUM(cutts[[#This Row],[num2]])</f>
        <v>50</v>
      </c>
      <c r="I154" s="357"/>
      <c r="J154" s="21"/>
      <c r="K154" s="40">
        <v>50</v>
      </c>
      <c r="L154" s="40"/>
      <c r="M154" s="40">
        <f>cutts[[#This Row],[num]]-cutts[[#This Row],[cutted]]</f>
        <v>0</v>
      </c>
      <c r="N154" s="40"/>
      <c r="O154" s="353"/>
      <c r="P154" s="23"/>
    </row>
    <row r="155" spans="1:16" ht="30" x14ac:dyDescent="0.25">
      <c r="A155" s="23">
        <v>145</v>
      </c>
      <c r="B155" s="30" t="s">
        <v>778</v>
      </c>
      <c r="C155" s="23">
        <v>140530039</v>
      </c>
      <c r="D155" s="23">
        <v>7000</v>
      </c>
      <c r="E155" s="20">
        <v>500</v>
      </c>
      <c r="F155" s="362" t="s">
        <v>1213</v>
      </c>
      <c r="G155" s="357">
        <v>3</v>
      </c>
      <c r="H155" s="67">
        <f>cutts[[#This Row],[num]]-SUM(cutts[[#This Row],[num2]])</f>
        <v>7000</v>
      </c>
      <c r="I155" s="357"/>
      <c r="J155" s="21"/>
      <c r="K155" s="40">
        <v>7000</v>
      </c>
      <c r="L155" s="40"/>
      <c r="M155" s="40">
        <f>cutts[[#This Row],[num]]-cutts[[#This Row],[cutted]]</f>
        <v>0</v>
      </c>
      <c r="N155" s="40"/>
      <c r="O155" s="353"/>
      <c r="P155" s="23"/>
    </row>
    <row r="156" spans="1:16" ht="16.5" x14ac:dyDescent="0.25">
      <c r="A156" s="23">
        <v>146</v>
      </c>
      <c r="B156" s="30" t="s">
        <v>779</v>
      </c>
      <c r="C156" s="23">
        <v>140310071</v>
      </c>
      <c r="D156" s="23">
        <v>1200</v>
      </c>
      <c r="E156" s="20">
        <v>300</v>
      </c>
      <c r="F156" s="366" t="s">
        <v>1215</v>
      </c>
      <c r="G156" s="357"/>
      <c r="H156" s="67">
        <f>cutts[[#This Row],[num]]-SUM(cutts[[#This Row],[num2]])</f>
        <v>1200</v>
      </c>
      <c r="I156" s="357"/>
      <c r="J156" s="21"/>
      <c r="K156" s="40">
        <v>1200</v>
      </c>
      <c r="L156" s="40"/>
      <c r="M156" s="40">
        <f>cutts[[#This Row],[num]]-cutts[[#This Row],[cutted]]</f>
        <v>0</v>
      </c>
      <c r="N156" s="40"/>
      <c r="O156" s="353"/>
      <c r="P156" s="23" t="s">
        <v>1206</v>
      </c>
    </row>
    <row r="157" spans="1:16" ht="16.5" x14ac:dyDescent="0.25">
      <c r="A157" s="23">
        <v>147</v>
      </c>
      <c r="B157" s="30" t="s">
        <v>780</v>
      </c>
      <c r="C157" s="23">
        <v>140310031</v>
      </c>
      <c r="D157" s="23">
        <v>1500</v>
      </c>
      <c r="E157" s="20">
        <v>300</v>
      </c>
      <c r="F157" s="362" t="s">
        <v>1214</v>
      </c>
      <c r="G157" s="357">
        <v>4</v>
      </c>
      <c r="H157" s="67">
        <f>cutts[[#This Row],[num]]-SUM(cutts[[#This Row],[num2]])</f>
        <v>1500</v>
      </c>
      <c r="I157" s="357"/>
      <c r="J157" s="21"/>
      <c r="K157" s="40">
        <v>1500</v>
      </c>
      <c r="L157" s="40"/>
      <c r="M157" s="40">
        <f>cutts[[#This Row],[num]]-cutts[[#This Row],[cutted]]</f>
        <v>0</v>
      </c>
      <c r="N157" s="40"/>
      <c r="O157" s="353"/>
      <c r="P157" s="23"/>
    </row>
    <row r="158" spans="1:16" ht="30" x14ac:dyDescent="0.25">
      <c r="A158" s="23">
        <v>148</v>
      </c>
      <c r="B158" s="30" t="s">
        <v>781</v>
      </c>
      <c r="C158" s="23">
        <v>140310007</v>
      </c>
      <c r="D158" s="23">
        <v>6000</v>
      </c>
      <c r="E158" s="20">
        <v>300</v>
      </c>
      <c r="F158" s="362" t="s">
        <v>1216</v>
      </c>
      <c r="G158" s="357">
        <v>4</v>
      </c>
      <c r="H158" s="67">
        <f>cutts[[#This Row],[num]]-SUM(cutts[[#This Row],[num2]])</f>
        <v>6000</v>
      </c>
      <c r="I158" s="357"/>
      <c r="J158" s="21"/>
      <c r="K158" s="40">
        <v>6000</v>
      </c>
      <c r="L158" s="40"/>
      <c r="M158" s="40">
        <f>cutts[[#This Row],[num]]-cutts[[#This Row],[cutted]]</f>
        <v>0</v>
      </c>
      <c r="N158" s="40"/>
      <c r="O158" s="353"/>
      <c r="P158" s="23"/>
    </row>
    <row r="159" spans="1:16" ht="16.5" x14ac:dyDescent="0.25">
      <c r="A159" s="23">
        <v>149</v>
      </c>
      <c r="B159" s="30" t="s">
        <v>781</v>
      </c>
      <c r="C159" s="23">
        <v>140450047</v>
      </c>
      <c r="D159" s="23">
        <v>100</v>
      </c>
      <c r="E159" s="20">
        <v>100</v>
      </c>
      <c r="F159" s="362" t="s">
        <v>1217</v>
      </c>
      <c r="G159" s="357">
        <v>4</v>
      </c>
      <c r="H159" s="67">
        <f>cutts[[#This Row],[num]]-SUM(cutts[[#This Row],[num2]])</f>
        <v>100</v>
      </c>
      <c r="I159" s="357"/>
      <c r="J159" s="21"/>
      <c r="K159" s="40">
        <v>119</v>
      </c>
      <c r="L159" s="40"/>
      <c r="M159" s="40">
        <f>cutts[[#This Row],[num]]-cutts[[#This Row],[cutted]]</f>
        <v>-19</v>
      </c>
      <c r="N159" s="40"/>
      <c r="O159" s="353"/>
      <c r="P159" s="23"/>
    </row>
    <row r="160" spans="1:16" ht="16.5" x14ac:dyDescent="0.25">
      <c r="A160" s="23">
        <v>150</v>
      </c>
      <c r="B160" s="30" t="s">
        <v>782</v>
      </c>
      <c r="C160" s="23">
        <v>140310071</v>
      </c>
      <c r="D160" s="23">
        <v>1200</v>
      </c>
      <c r="E160" s="20">
        <v>300</v>
      </c>
      <c r="F160" s="362" t="s">
        <v>1218</v>
      </c>
      <c r="G160" s="357" t="s">
        <v>123</v>
      </c>
      <c r="H160" s="67">
        <f>cutts[[#This Row],[num]]-SUM(cutts[[#This Row],[num2]])</f>
        <v>1200</v>
      </c>
      <c r="I160" s="357"/>
      <c r="J160" s="21"/>
      <c r="K160" s="40">
        <v>1200</v>
      </c>
      <c r="L160" s="40"/>
      <c r="M160" s="40">
        <f>cutts[[#This Row],[num]]-cutts[[#This Row],[cutted]]</f>
        <v>0</v>
      </c>
      <c r="N160" s="40"/>
      <c r="O160" s="353"/>
      <c r="P160" s="23" t="s">
        <v>1206</v>
      </c>
    </row>
    <row r="161" spans="1:16" ht="16.5" x14ac:dyDescent="0.25">
      <c r="A161" s="23">
        <v>151</v>
      </c>
      <c r="B161" s="30" t="s">
        <v>785</v>
      </c>
      <c r="C161" s="23">
        <v>140310007</v>
      </c>
      <c r="D161" s="23">
        <v>3000</v>
      </c>
      <c r="E161" s="20">
        <v>300</v>
      </c>
      <c r="F161" s="362" t="s">
        <v>1219</v>
      </c>
      <c r="G161" s="357">
        <v>4</v>
      </c>
      <c r="H161" s="67">
        <f>cutts[[#This Row],[num]]-SUM(cutts[[#This Row],[num2]])</f>
        <v>3000</v>
      </c>
      <c r="I161" s="357"/>
      <c r="J161" s="21"/>
      <c r="K161" s="40">
        <v>3000</v>
      </c>
      <c r="L161" s="40"/>
      <c r="M161" s="40">
        <f>cutts[[#This Row],[num]]-cutts[[#This Row],[cutted]]</f>
        <v>0</v>
      </c>
      <c r="N161" s="40"/>
      <c r="O161" s="353"/>
      <c r="P161" s="23"/>
    </row>
    <row r="162" spans="1:16" ht="16.5" x14ac:dyDescent="0.25">
      <c r="A162" s="23">
        <v>152</v>
      </c>
      <c r="B162" s="30" t="s">
        <v>786</v>
      </c>
      <c r="C162" s="23">
        <v>140310007</v>
      </c>
      <c r="D162" s="23">
        <v>3000</v>
      </c>
      <c r="E162" s="20">
        <v>300</v>
      </c>
      <c r="F162" s="362" t="s">
        <v>1220</v>
      </c>
      <c r="G162" s="357">
        <v>4</v>
      </c>
      <c r="H162" s="67">
        <f>cutts[[#This Row],[num]]-SUM(cutts[[#This Row],[num2]])</f>
        <v>3000</v>
      </c>
      <c r="I162" s="357"/>
      <c r="J162" s="21"/>
      <c r="K162" s="40">
        <v>3000</v>
      </c>
      <c r="L162" s="40"/>
      <c r="M162" s="40">
        <f>cutts[[#This Row],[num]]-cutts[[#This Row],[cutted]]</f>
        <v>0</v>
      </c>
      <c r="N162" s="40"/>
      <c r="O162" s="353"/>
      <c r="P162" s="23"/>
    </row>
    <row r="163" spans="1:16" ht="16.5" x14ac:dyDescent="0.25">
      <c r="A163" s="23">
        <v>153</v>
      </c>
      <c r="B163" s="30" t="s">
        <v>786</v>
      </c>
      <c r="C163" s="23">
        <v>140310071</v>
      </c>
      <c r="D163" s="23">
        <v>3000</v>
      </c>
      <c r="E163" s="20">
        <v>300</v>
      </c>
      <c r="F163" s="362" t="s">
        <v>1221</v>
      </c>
      <c r="G163" s="357">
        <v>3</v>
      </c>
      <c r="H163" s="67">
        <f>cutts[[#This Row],[num]]-SUM(cutts[[#This Row],[num2]])</f>
        <v>3000</v>
      </c>
      <c r="I163" s="357"/>
      <c r="J163" s="21"/>
      <c r="K163" s="40">
        <v>3000</v>
      </c>
      <c r="L163" s="40"/>
      <c r="M163" s="40">
        <f>cutts[[#This Row],[num]]-cutts[[#This Row],[cutted]]</f>
        <v>0</v>
      </c>
      <c r="N163" s="40"/>
      <c r="O163" s="353"/>
      <c r="P163" s="23"/>
    </row>
    <row r="164" spans="1:16" ht="45" x14ac:dyDescent="0.25">
      <c r="A164" s="23">
        <v>154</v>
      </c>
      <c r="B164" s="30" t="s">
        <v>788</v>
      </c>
      <c r="C164" s="23">
        <v>140310031</v>
      </c>
      <c r="D164" s="23">
        <v>7000</v>
      </c>
      <c r="E164" s="20">
        <v>300</v>
      </c>
      <c r="F164" s="362" t="s">
        <v>1227</v>
      </c>
      <c r="G164" s="357">
        <v>4</v>
      </c>
      <c r="H164" s="67">
        <f>cutts[[#This Row],[num]]-SUM(cutts[[#This Row],[num2]])</f>
        <v>7000</v>
      </c>
      <c r="I164" s="357"/>
      <c r="J164" s="21"/>
      <c r="K164" s="40">
        <v>7000</v>
      </c>
      <c r="L164" s="40"/>
      <c r="M164" s="40">
        <f>cutts[[#This Row],[num]]-cutts[[#This Row],[cutted]]</f>
        <v>0</v>
      </c>
      <c r="N164" s="40"/>
      <c r="O164" s="353"/>
      <c r="P164" s="23"/>
    </row>
    <row r="165" spans="1:16" ht="16.5" x14ac:dyDescent="0.25">
      <c r="A165" s="23">
        <v>155</v>
      </c>
      <c r="B165" s="30" t="s">
        <v>792</v>
      </c>
      <c r="C165" s="23">
        <v>140450047</v>
      </c>
      <c r="D165" s="23">
        <v>100</v>
      </c>
      <c r="E165" s="20">
        <v>300</v>
      </c>
      <c r="F165" s="362" t="s">
        <v>1230</v>
      </c>
      <c r="G165" s="357">
        <v>4</v>
      </c>
      <c r="H165" s="67">
        <f>cutts[[#This Row],[num]]-SUM(cutts[[#This Row],[num2]])</f>
        <v>100</v>
      </c>
      <c r="I165" s="357"/>
      <c r="J165" s="21"/>
      <c r="K165" s="40">
        <v>100</v>
      </c>
      <c r="L165" s="40"/>
      <c r="M165" s="40">
        <f>cutts[[#This Row],[num]]-cutts[[#This Row],[cutted]]</f>
        <v>0</v>
      </c>
      <c r="N165" s="40"/>
      <c r="O165" s="353"/>
      <c r="P165" s="23"/>
    </row>
    <row r="166" spans="1:16" ht="16.5" x14ac:dyDescent="0.25">
      <c r="A166" s="23">
        <v>156</v>
      </c>
      <c r="B166" s="30" t="s">
        <v>792</v>
      </c>
      <c r="C166" s="23">
        <v>140450047</v>
      </c>
      <c r="D166" s="23">
        <v>300</v>
      </c>
      <c r="E166" s="20">
        <v>300</v>
      </c>
      <c r="F166" s="362" t="s">
        <v>1275</v>
      </c>
      <c r="G166" s="357">
        <v>4</v>
      </c>
      <c r="H166" s="67">
        <f>cutts[[#This Row],[num]]-SUM(cutts[[#This Row],[num2]])</f>
        <v>300</v>
      </c>
      <c r="I166" s="357"/>
      <c r="J166" s="21"/>
      <c r="K166" s="40">
        <v>300</v>
      </c>
      <c r="L166" s="40"/>
      <c r="M166" s="40">
        <f>cutts[[#This Row],[num]]-cutts[[#This Row],[cutted]]</f>
        <v>0</v>
      </c>
      <c r="N166" s="40"/>
      <c r="O166" s="353"/>
      <c r="P166" s="23"/>
    </row>
    <row r="167" spans="1:16" ht="16.5" x14ac:dyDescent="0.25">
      <c r="A167" s="23">
        <v>157</v>
      </c>
      <c r="B167" s="30" t="s">
        <v>792</v>
      </c>
      <c r="C167" s="23">
        <v>140310007</v>
      </c>
      <c r="D167" s="23">
        <v>1500</v>
      </c>
      <c r="E167" s="20">
        <v>300</v>
      </c>
      <c r="F167" s="362" t="s">
        <v>1267</v>
      </c>
      <c r="G167" s="357">
        <v>4</v>
      </c>
      <c r="H167" s="67">
        <f>cutts[[#This Row],[num]]-SUM(cutts[[#This Row],[num2]])</f>
        <v>1500</v>
      </c>
      <c r="I167" s="357"/>
      <c r="J167" s="21"/>
      <c r="K167" s="40">
        <v>1500</v>
      </c>
      <c r="L167" s="40"/>
      <c r="M167" s="40">
        <f>cutts[[#This Row],[num]]-cutts[[#This Row],[cutted]]</f>
        <v>0</v>
      </c>
      <c r="N167" s="40"/>
      <c r="O167" s="353"/>
      <c r="P167" s="23"/>
    </row>
    <row r="168" spans="1:16" ht="16.5" x14ac:dyDescent="0.25">
      <c r="A168" s="23">
        <v>158</v>
      </c>
      <c r="B168" s="30" t="s">
        <v>792</v>
      </c>
      <c r="C168" s="23">
        <v>140450047</v>
      </c>
      <c r="D168" s="23">
        <v>500</v>
      </c>
      <c r="E168" s="20">
        <v>100</v>
      </c>
      <c r="F168" s="362" t="s">
        <v>1276</v>
      </c>
      <c r="G168" s="357">
        <v>4</v>
      </c>
      <c r="H168" s="67">
        <f>cutts[[#This Row],[num]]-SUM(cutts[[#This Row],[num2]])</f>
        <v>500</v>
      </c>
      <c r="I168" s="357"/>
      <c r="J168" s="21"/>
      <c r="K168" s="40">
        <v>500</v>
      </c>
      <c r="L168" s="40"/>
      <c r="M168" s="40">
        <f>cutts[[#This Row],[num]]-cutts[[#This Row],[cutted]]</f>
        <v>0</v>
      </c>
      <c r="N168" s="40"/>
      <c r="O168" s="353" t="s">
        <v>1285</v>
      </c>
      <c r="P168" s="23"/>
    </row>
    <row r="169" spans="1:16" ht="16.5" x14ac:dyDescent="0.25">
      <c r="A169" s="23">
        <v>159</v>
      </c>
      <c r="B169" s="30" t="s">
        <v>794</v>
      </c>
      <c r="C169" s="23">
        <v>140450047</v>
      </c>
      <c r="D169" s="23">
        <v>1000</v>
      </c>
      <c r="E169" s="20">
        <v>300</v>
      </c>
      <c r="F169" s="362" t="s">
        <v>1277</v>
      </c>
      <c r="G169" s="357">
        <v>4</v>
      </c>
      <c r="H169" s="67">
        <f>cutts[[#This Row],[num]]-SUM(cutts[[#This Row],[num2]])</f>
        <v>1000</v>
      </c>
      <c r="I169" s="357"/>
      <c r="J169" s="21"/>
      <c r="K169" s="40">
        <v>1000</v>
      </c>
      <c r="L169" s="40"/>
      <c r="M169" s="40">
        <f>cutts[[#This Row],[num]]-cutts[[#This Row],[cutted]]</f>
        <v>0</v>
      </c>
      <c r="N169" s="40"/>
      <c r="O169" s="353"/>
      <c r="P169" s="23"/>
    </row>
    <row r="170" spans="1:16" ht="16.5" x14ac:dyDescent="0.25">
      <c r="A170" s="23">
        <v>160</v>
      </c>
      <c r="B170" s="30" t="s">
        <v>795</v>
      </c>
      <c r="C170" s="23">
        <v>140310071</v>
      </c>
      <c r="D170" s="23">
        <v>3000</v>
      </c>
      <c r="E170" s="20">
        <v>300</v>
      </c>
      <c r="F170" s="362" t="s">
        <v>1284</v>
      </c>
      <c r="G170" s="357">
        <v>3</v>
      </c>
      <c r="H170" s="67">
        <f>cutts[[#This Row],[num]]-SUM(cutts[[#This Row],[num2]])</f>
        <v>3000</v>
      </c>
      <c r="I170" s="357"/>
      <c r="J170" s="21"/>
      <c r="K170" s="40">
        <v>3000</v>
      </c>
      <c r="L170" s="40"/>
      <c r="M170" s="40">
        <f>cutts[[#This Row],[num]]-cutts[[#This Row],[cutted]]</f>
        <v>0</v>
      </c>
      <c r="N170" s="40"/>
      <c r="O170" s="353"/>
      <c r="P170" s="23"/>
    </row>
    <row r="171" spans="1:16" ht="16.5" x14ac:dyDescent="0.25">
      <c r="A171" s="23">
        <v>161</v>
      </c>
      <c r="B171" s="30" t="s">
        <v>795</v>
      </c>
      <c r="C171" s="23">
        <v>140310007</v>
      </c>
      <c r="D171" s="23">
        <v>1500</v>
      </c>
      <c r="E171" s="20">
        <v>300</v>
      </c>
      <c r="F171" s="362" t="s">
        <v>1286</v>
      </c>
      <c r="G171" s="357">
        <v>4</v>
      </c>
      <c r="H171" s="67">
        <f>cutts[[#This Row],[num]]-SUM(cutts[[#This Row],[num2]])</f>
        <v>1500</v>
      </c>
      <c r="I171" s="357"/>
      <c r="J171" s="21"/>
      <c r="K171" s="40">
        <v>1500</v>
      </c>
      <c r="L171" s="40"/>
      <c r="M171" s="40">
        <f>cutts[[#This Row],[num]]-cutts[[#This Row],[cutted]]</f>
        <v>0</v>
      </c>
      <c r="N171" s="40"/>
      <c r="O171" s="353"/>
      <c r="P171" s="23"/>
    </row>
    <row r="172" spans="1:16" ht="16.5" x14ac:dyDescent="0.25">
      <c r="A172" s="23">
        <v>162</v>
      </c>
      <c r="B172" s="30" t="s">
        <v>796</v>
      </c>
      <c r="C172" s="23">
        <v>140310071</v>
      </c>
      <c r="D172" s="23"/>
      <c r="E172" s="20">
        <v>300</v>
      </c>
      <c r="F172" s="362"/>
      <c r="G172" s="357">
        <v>3</v>
      </c>
      <c r="H172" s="67">
        <f>cutts[[#This Row],[num]]-SUM(cutts[[#This Row],[num2]])</f>
        <v>0</v>
      </c>
      <c r="I172" s="357"/>
      <c r="J172" s="21"/>
      <c r="K172" s="40"/>
      <c r="L172" s="40"/>
      <c r="M172" s="40">
        <f>cutts[[#This Row],[num]]-cutts[[#This Row],[cutted]]</f>
        <v>0</v>
      </c>
      <c r="N172" s="40"/>
      <c r="O172" s="353" t="s">
        <v>1295</v>
      </c>
      <c r="P172" s="23" t="s">
        <v>1358</v>
      </c>
    </row>
    <row r="173" spans="1:16" ht="16.5" x14ac:dyDescent="0.25">
      <c r="A173" s="23">
        <v>163</v>
      </c>
      <c r="B173" s="30" t="s">
        <v>796</v>
      </c>
      <c r="C173" s="23">
        <v>140310007</v>
      </c>
      <c r="D173" s="23">
        <v>3000</v>
      </c>
      <c r="E173" s="20">
        <v>300</v>
      </c>
      <c r="F173" s="362" t="s">
        <v>1287</v>
      </c>
      <c r="G173" s="357">
        <v>4</v>
      </c>
      <c r="H173" s="67">
        <f>cutts[[#This Row],[num]]-SUM(cutts[[#This Row],[num2]])</f>
        <v>3000</v>
      </c>
      <c r="I173" s="357"/>
      <c r="J173" s="21"/>
      <c r="K173" s="40">
        <v>3000</v>
      </c>
      <c r="L173" s="40"/>
      <c r="M173" s="40">
        <f>cutts[[#This Row],[num]]-cutts[[#This Row],[cutted]]</f>
        <v>0</v>
      </c>
      <c r="N173" s="40"/>
      <c r="O173" s="353" t="s">
        <v>1288</v>
      </c>
      <c r="P173" s="23"/>
    </row>
    <row r="174" spans="1:16" ht="16.5" x14ac:dyDescent="0.25">
      <c r="A174" s="23">
        <v>164</v>
      </c>
      <c r="B174" s="30" t="s">
        <v>796</v>
      </c>
      <c r="C174" s="23">
        <v>140530039</v>
      </c>
      <c r="D174" s="23">
        <v>100</v>
      </c>
      <c r="E174" s="20">
        <v>500</v>
      </c>
      <c r="F174" s="362" t="s">
        <v>1296</v>
      </c>
      <c r="G174" s="357">
        <v>3</v>
      </c>
      <c r="H174" s="67">
        <f>cutts[[#This Row],[num]]-SUM(cutts[[#This Row],[num2]])</f>
        <v>100</v>
      </c>
      <c r="I174" s="357"/>
      <c r="J174" s="21"/>
      <c r="K174" s="40">
        <v>104</v>
      </c>
      <c r="L174" s="40"/>
      <c r="M174" s="40">
        <f>cutts[[#This Row],[num]]-cutts[[#This Row],[cutted]]</f>
        <v>-4</v>
      </c>
      <c r="N174" s="40"/>
      <c r="O174" s="355">
        <v>0.125</v>
      </c>
      <c r="P174" s="23"/>
    </row>
    <row r="175" spans="1:16" ht="16.5" x14ac:dyDescent="0.25">
      <c r="A175" s="23">
        <v>165</v>
      </c>
      <c r="B175" s="30" t="s">
        <v>796</v>
      </c>
      <c r="C175" s="23">
        <v>140550019</v>
      </c>
      <c r="D175" s="23">
        <v>6</v>
      </c>
      <c r="E175" s="20">
        <v>300</v>
      </c>
      <c r="F175" s="362">
        <v>57.587499999999999</v>
      </c>
      <c r="G175" s="357">
        <v>10</v>
      </c>
      <c r="H175" s="67">
        <f>cutts[[#This Row],[num]]-SUM(cutts[[#This Row],[num2]])</f>
        <v>6</v>
      </c>
      <c r="I175" s="357"/>
      <c r="J175" s="21"/>
      <c r="K175" s="40">
        <v>6</v>
      </c>
      <c r="L175" s="40"/>
      <c r="M175" s="40">
        <f>cutts[[#This Row],[num]]-cutts[[#This Row],[cutted]]</f>
        <v>0</v>
      </c>
      <c r="N175" s="40"/>
      <c r="O175" s="353" t="s">
        <v>1297</v>
      </c>
      <c r="P175" s="23"/>
    </row>
    <row r="176" spans="1:16" ht="16.5" x14ac:dyDescent="0.25">
      <c r="A176" s="23">
        <v>166</v>
      </c>
      <c r="B176" s="30" t="s">
        <v>796</v>
      </c>
      <c r="C176" s="23">
        <v>140450047</v>
      </c>
      <c r="D176" s="23">
        <v>900</v>
      </c>
      <c r="E176" s="20">
        <v>300</v>
      </c>
      <c r="F176" s="362" t="s">
        <v>1303</v>
      </c>
      <c r="G176" s="357">
        <v>4</v>
      </c>
      <c r="H176" s="67">
        <f>cutts[[#This Row],[num]]-SUM(cutts[[#This Row],[num2]])</f>
        <v>900</v>
      </c>
      <c r="I176" s="357"/>
      <c r="J176" s="21"/>
      <c r="K176" s="40">
        <v>900</v>
      </c>
      <c r="L176" s="40"/>
      <c r="M176" s="40">
        <f>cutts[[#This Row],[num]]-cutts[[#This Row],[cutted]]</f>
        <v>0</v>
      </c>
      <c r="N176" s="40"/>
      <c r="O176" s="353"/>
      <c r="P176" s="23"/>
    </row>
    <row r="177" spans="1:16" ht="16.5" x14ac:dyDescent="0.25">
      <c r="A177" s="23">
        <v>167</v>
      </c>
      <c r="B177" s="30" t="s">
        <v>799</v>
      </c>
      <c r="C177" s="23">
        <v>140450047</v>
      </c>
      <c r="D177" s="23">
        <v>900</v>
      </c>
      <c r="E177" s="20">
        <v>300</v>
      </c>
      <c r="F177" s="362" t="s">
        <v>1304</v>
      </c>
      <c r="G177" s="357">
        <v>4</v>
      </c>
      <c r="H177" s="67">
        <f>cutts[[#This Row],[num]]-SUM(cutts[[#This Row],[num2]])</f>
        <v>900</v>
      </c>
      <c r="I177" s="357"/>
      <c r="J177" s="21"/>
      <c r="K177" s="40">
        <v>900</v>
      </c>
      <c r="L177" s="40"/>
      <c r="M177" s="40">
        <f>cutts[[#This Row],[num]]-cutts[[#This Row],[cutted]]</f>
        <v>0</v>
      </c>
      <c r="N177" s="40"/>
      <c r="O177" s="353"/>
      <c r="P177" s="23"/>
    </row>
    <row r="178" spans="1:16" ht="16.5" x14ac:dyDescent="0.25">
      <c r="A178" s="23">
        <v>168</v>
      </c>
      <c r="B178" s="30" t="s">
        <v>799</v>
      </c>
      <c r="C178" s="23">
        <v>140310071</v>
      </c>
      <c r="D178" s="23">
        <v>3000</v>
      </c>
      <c r="E178" s="20">
        <v>300</v>
      </c>
      <c r="F178" s="362" t="s">
        <v>1305</v>
      </c>
      <c r="G178" s="357">
        <v>3</v>
      </c>
      <c r="H178" s="67">
        <f>cutts[[#This Row],[num]]-SUM(cutts[[#This Row],[num2]])</f>
        <v>3000</v>
      </c>
      <c r="I178" s="357"/>
      <c r="J178" s="21"/>
      <c r="K178" s="40">
        <v>3000</v>
      </c>
      <c r="L178" s="40"/>
      <c r="M178" s="40">
        <f>cutts[[#This Row],[num]]-cutts[[#This Row],[cutted]]</f>
        <v>0</v>
      </c>
      <c r="N178" s="40"/>
      <c r="O178" s="353"/>
      <c r="P178" s="23"/>
    </row>
    <row r="179" spans="1:16" ht="16.5" x14ac:dyDescent="0.25">
      <c r="A179" s="23">
        <v>169</v>
      </c>
      <c r="B179" s="30" t="s">
        <v>800</v>
      </c>
      <c r="C179" s="23">
        <v>140450047</v>
      </c>
      <c r="D179" s="23">
        <v>900</v>
      </c>
      <c r="E179" s="20">
        <v>300</v>
      </c>
      <c r="F179" s="362" t="s">
        <v>1306</v>
      </c>
      <c r="G179" s="357">
        <v>4</v>
      </c>
      <c r="H179" s="67">
        <f>cutts[[#This Row],[num]]-SUM(cutts[[#This Row],[num2]])</f>
        <v>900</v>
      </c>
      <c r="I179" s="357"/>
      <c r="J179" s="21"/>
      <c r="K179" s="40">
        <v>900</v>
      </c>
      <c r="L179" s="40"/>
      <c r="M179" s="40">
        <f>cutts[[#This Row],[num]]-cutts[[#This Row],[cutted]]</f>
        <v>0</v>
      </c>
      <c r="N179" s="40"/>
      <c r="O179" s="353"/>
      <c r="P179" s="23"/>
    </row>
    <row r="180" spans="1:16" ht="16.5" x14ac:dyDescent="0.25">
      <c r="A180" s="23">
        <v>170</v>
      </c>
      <c r="B180" s="30" t="s">
        <v>800</v>
      </c>
      <c r="C180" s="23">
        <v>140310007</v>
      </c>
      <c r="D180" s="23">
        <v>3000</v>
      </c>
      <c r="E180" s="20">
        <v>300</v>
      </c>
      <c r="F180" s="362" t="s">
        <v>1307</v>
      </c>
      <c r="G180" s="357">
        <v>4</v>
      </c>
      <c r="H180" s="67">
        <f>cutts[[#This Row],[num]]-SUM(cutts[[#This Row],[num2]])</f>
        <v>3000</v>
      </c>
      <c r="I180" s="357"/>
      <c r="J180" s="21"/>
      <c r="K180" s="40">
        <v>3000</v>
      </c>
      <c r="L180" s="40"/>
      <c r="M180" s="40">
        <f>cutts[[#This Row],[num]]-cutts[[#This Row],[cutted]]</f>
        <v>0</v>
      </c>
      <c r="N180" s="40"/>
      <c r="O180" s="353"/>
      <c r="P180" s="23"/>
    </row>
    <row r="181" spans="1:16" ht="16.5" x14ac:dyDescent="0.25">
      <c r="A181" s="23">
        <v>180</v>
      </c>
      <c r="B181" s="30" t="s">
        <v>800</v>
      </c>
      <c r="C181" s="23">
        <v>140550019</v>
      </c>
      <c r="D181" s="23">
        <v>12</v>
      </c>
      <c r="E181" s="20">
        <v>300</v>
      </c>
      <c r="F181" s="362" t="s">
        <v>1308</v>
      </c>
      <c r="G181" s="357">
        <v>10</v>
      </c>
      <c r="H181" s="67">
        <f>cutts[[#This Row],[num]]-SUM(cutts[[#This Row],[num2]])</f>
        <v>12</v>
      </c>
      <c r="I181" s="357"/>
      <c r="J181" s="21"/>
      <c r="K181" s="40">
        <v>12</v>
      </c>
      <c r="L181" s="40"/>
      <c r="M181" s="40">
        <f>cutts[[#This Row],[num]]-cutts[[#This Row],[cutted]]</f>
        <v>0</v>
      </c>
      <c r="N181" s="40"/>
      <c r="O181" s="353"/>
      <c r="P181" s="23"/>
    </row>
    <row r="182" spans="1:16" ht="16.5" x14ac:dyDescent="0.25">
      <c r="A182" s="23">
        <v>181</v>
      </c>
      <c r="B182" s="30" t="s">
        <v>801</v>
      </c>
      <c r="C182" s="23">
        <v>140310071</v>
      </c>
      <c r="D182" s="23">
        <v>3000</v>
      </c>
      <c r="E182" s="20">
        <v>300</v>
      </c>
      <c r="F182" s="362" t="s">
        <v>1314</v>
      </c>
      <c r="G182" s="357">
        <v>3</v>
      </c>
      <c r="H182" s="67">
        <f>cutts[[#This Row],[num]]-SUM(cutts[[#This Row],[num2]])</f>
        <v>3000</v>
      </c>
      <c r="I182" s="357"/>
      <c r="J182" s="21"/>
      <c r="K182" s="40">
        <v>3000</v>
      </c>
      <c r="L182" s="40"/>
      <c r="M182" s="40">
        <f>cutts[[#This Row],[num]]-cutts[[#This Row],[cutted]]</f>
        <v>0</v>
      </c>
      <c r="N182" s="40"/>
      <c r="O182" s="353"/>
      <c r="P182" s="23"/>
    </row>
    <row r="183" spans="1:16" ht="16.5" x14ac:dyDescent="0.25">
      <c r="A183" s="23">
        <v>182</v>
      </c>
      <c r="B183" s="30" t="s">
        <v>801</v>
      </c>
      <c r="C183" s="23">
        <v>140640007</v>
      </c>
      <c r="D183" s="23">
        <v>65</v>
      </c>
      <c r="E183" s="20">
        <v>300</v>
      </c>
      <c r="F183" s="362" t="s">
        <v>1325</v>
      </c>
      <c r="G183" s="357">
        <v>2</v>
      </c>
      <c r="H183" s="67">
        <f>cutts[[#This Row],[num]]-SUM(cutts[[#This Row],[num2]])</f>
        <v>65</v>
      </c>
      <c r="I183" s="357"/>
      <c r="J183" s="21"/>
      <c r="K183" s="40">
        <v>65</v>
      </c>
      <c r="L183" s="40"/>
      <c r="M183" s="40">
        <f>cutts[[#This Row],[num]]-cutts[[#This Row],[cutted]]</f>
        <v>0</v>
      </c>
      <c r="N183" s="40"/>
      <c r="O183" s="353"/>
      <c r="P183" s="23"/>
    </row>
    <row r="184" spans="1:16" ht="16.5" x14ac:dyDescent="0.25">
      <c r="A184" s="23">
        <v>183</v>
      </c>
      <c r="B184" s="30" t="s">
        <v>802</v>
      </c>
      <c r="C184" s="23">
        <v>140310007</v>
      </c>
      <c r="D184" s="23">
        <v>3000</v>
      </c>
      <c r="E184" s="20">
        <v>300</v>
      </c>
      <c r="F184" s="362" t="s">
        <v>1326</v>
      </c>
      <c r="G184" s="357">
        <v>4</v>
      </c>
      <c r="H184" s="67">
        <f>cutts[[#This Row],[num]]-SUM(cutts[[#This Row],[num2]])</f>
        <v>3000</v>
      </c>
      <c r="I184" s="357"/>
      <c r="J184" s="21"/>
      <c r="K184" s="40">
        <v>3000</v>
      </c>
      <c r="L184" s="40"/>
      <c r="M184" s="40">
        <f>cutts[[#This Row],[num]]-cutts[[#This Row],[cutted]]</f>
        <v>0</v>
      </c>
      <c r="N184" s="40"/>
      <c r="O184" s="353"/>
      <c r="P184" s="23"/>
    </row>
    <row r="185" spans="1:16" ht="16.5" x14ac:dyDescent="0.25">
      <c r="A185" s="23">
        <v>184</v>
      </c>
      <c r="B185" s="30" t="s">
        <v>802</v>
      </c>
      <c r="C185" s="23">
        <v>140450047</v>
      </c>
      <c r="D185" s="23">
        <v>900</v>
      </c>
      <c r="E185" s="20">
        <v>300</v>
      </c>
      <c r="F185" s="362" t="s">
        <v>1327</v>
      </c>
      <c r="G185" s="357">
        <v>4</v>
      </c>
      <c r="H185" s="67">
        <f>cutts[[#This Row],[num]]-SUM(cutts[[#This Row],[num2]])</f>
        <v>900</v>
      </c>
      <c r="I185" s="357"/>
      <c r="J185" s="21"/>
      <c r="K185" s="40">
        <v>900</v>
      </c>
      <c r="L185" s="40"/>
      <c r="M185" s="40">
        <f>cutts[[#This Row],[num]]-cutts[[#This Row],[cutted]]</f>
        <v>0</v>
      </c>
      <c r="N185" s="40"/>
      <c r="O185" s="353"/>
      <c r="P185" s="23"/>
    </row>
    <row r="186" spans="1:16" ht="16.5" x14ac:dyDescent="0.25">
      <c r="A186" s="23">
        <v>185</v>
      </c>
      <c r="B186" s="30" t="s">
        <v>803</v>
      </c>
      <c r="C186" s="23">
        <v>140010230</v>
      </c>
      <c r="D186" s="23">
        <v>400</v>
      </c>
      <c r="E186" s="20">
        <v>300</v>
      </c>
      <c r="F186" s="362" t="s">
        <v>1331</v>
      </c>
      <c r="G186" s="357">
        <v>5</v>
      </c>
      <c r="H186" s="67">
        <f>cutts[[#This Row],[num]]-SUM(cutts[[#This Row],[num2]])</f>
        <v>400</v>
      </c>
      <c r="I186" s="357"/>
      <c r="J186" s="21"/>
      <c r="K186" s="40">
        <v>400</v>
      </c>
      <c r="L186" s="40"/>
      <c r="M186" s="40">
        <f>cutts[[#This Row],[num]]-cutts[[#This Row],[cutted]]</f>
        <v>0</v>
      </c>
      <c r="N186" s="40"/>
      <c r="O186" s="353"/>
      <c r="P186" s="23"/>
    </row>
    <row r="187" spans="1:16" ht="16.5" x14ac:dyDescent="0.25">
      <c r="A187" s="23">
        <v>186</v>
      </c>
      <c r="B187" s="30" t="s">
        <v>803</v>
      </c>
      <c r="C187" s="23">
        <v>140010255</v>
      </c>
      <c r="D187" s="23">
        <v>700</v>
      </c>
      <c r="E187" s="20">
        <v>300</v>
      </c>
      <c r="F187" s="362" t="s">
        <v>1332</v>
      </c>
      <c r="G187" s="357">
        <v>5</v>
      </c>
      <c r="H187" s="67">
        <f>cutts[[#This Row],[num]]-SUM(cutts[[#This Row],[num2]])</f>
        <v>700</v>
      </c>
      <c r="I187" s="357"/>
      <c r="J187" s="21"/>
      <c r="K187" s="40">
        <v>700</v>
      </c>
      <c r="L187" s="40"/>
      <c r="M187" s="40">
        <f>cutts[[#This Row],[num]]-cutts[[#This Row],[cutted]]</f>
        <v>0</v>
      </c>
      <c r="N187" s="40"/>
      <c r="O187" s="353"/>
      <c r="P187" s="23"/>
    </row>
    <row r="188" spans="1:16" ht="16.5" x14ac:dyDescent="0.25">
      <c r="A188" s="23">
        <v>187</v>
      </c>
      <c r="B188" s="30" t="s">
        <v>803</v>
      </c>
      <c r="C188" s="23">
        <v>140450047</v>
      </c>
      <c r="D188" s="23">
        <v>1500</v>
      </c>
      <c r="E188" s="20">
        <v>300</v>
      </c>
      <c r="F188" s="362" t="s">
        <v>1337</v>
      </c>
      <c r="G188" s="357">
        <v>4</v>
      </c>
      <c r="H188" s="67">
        <f>cutts[[#This Row],[num]]-SUM(cutts[[#This Row],[num2]])</f>
        <v>1500</v>
      </c>
      <c r="I188" s="357"/>
      <c r="J188" s="21"/>
      <c r="K188" s="40">
        <v>1500</v>
      </c>
      <c r="L188" s="40"/>
      <c r="M188" s="40">
        <f>cutts[[#This Row],[num]]-cutts[[#This Row],[cutted]]</f>
        <v>0</v>
      </c>
      <c r="N188" s="40"/>
      <c r="O188" s="353"/>
      <c r="P188" s="23"/>
    </row>
    <row r="189" spans="1:16" ht="16.5" x14ac:dyDescent="0.25">
      <c r="A189" s="23">
        <v>188</v>
      </c>
      <c r="B189" s="30" t="s">
        <v>806</v>
      </c>
      <c r="C189" s="23">
        <v>140310007</v>
      </c>
      <c r="D189" s="23">
        <v>1500</v>
      </c>
      <c r="E189" s="20">
        <v>300</v>
      </c>
      <c r="F189" s="362" t="s">
        <v>1341</v>
      </c>
      <c r="G189" s="357">
        <v>4</v>
      </c>
      <c r="H189" s="67">
        <f>cutts[[#This Row],[num]]-SUM(cutts[[#This Row],[num2]])</f>
        <v>1500</v>
      </c>
      <c r="I189" s="357"/>
      <c r="J189" s="21"/>
      <c r="K189" s="40">
        <v>1500</v>
      </c>
      <c r="L189" s="40"/>
      <c r="M189" s="40">
        <f>cutts[[#This Row],[num]]-cutts[[#This Row],[cutted]]</f>
        <v>0</v>
      </c>
      <c r="N189" s="40"/>
      <c r="O189" s="353" t="s">
        <v>1342</v>
      </c>
      <c r="P189" s="23"/>
    </row>
    <row r="190" spans="1:16" ht="16.5" x14ac:dyDescent="0.25">
      <c r="A190" s="23">
        <v>189</v>
      </c>
      <c r="B190" s="30" t="s">
        <v>806</v>
      </c>
      <c r="C190" s="23">
        <v>140310071</v>
      </c>
      <c r="D190" s="23">
        <v>2000</v>
      </c>
      <c r="E190" s="20">
        <v>300</v>
      </c>
      <c r="F190" s="362" t="s">
        <v>1359</v>
      </c>
      <c r="G190" s="357">
        <v>3</v>
      </c>
      <c r="H190" s="67">
        <f>cutts[[#This Row],[num]]-SUM(cutts[[#This Row],[num2]])</f>
        <v>2000</v>
      </c>
      <c r="I190" s="357"/>
      <c r="J190" s="21"/>
      <c r="K190" s="40">
        <v>2000</v>
      </c>
      <c r="L190" s="40"/>
      <c r="M190" s="40">
        <f>cutts[[#This Row],[num]]-cutts[[#This Row],[cutted]]</f>
        <v>0</v>
      </c>
      <c r="N190" s="40"/>
      <c r="O190" s="353"/>
      <c r="P190" s="23"/>
    </row>
    <row r="191" spans="1:16" ht="16.5" x14ac:dyDescent="0.25">
      <c r="A191" s="23">
        <v>190</v>
      </c>
      <c r="B191" s="30" t="s">
        <v>807</v>
      </c>
      <c r="C191" s="23">
        <v>140310071</v>
      </c>
      <c r="D191" s="23">
        <v>275</v>
      </c>
      <c r="E191" s="20">
        <v>275</v>
      </c>
      <c r="F191" s="362" t="s">
        <v>1369</v>
      </c>
      <c r="G191" s="357"/>
      <c r="H191" s="67">
        <f>cutts[[#This Row],[num]]-SUM(cutts[[#This Row],[num2]])</f>
        <v>275</v>
      </c>
      <c r="I191" s="357"/>
      <c r="J191" s="21"/>
      <c r="K191" s="40">
        <v>275</v>
      </c>
      <c r="L191" s="40"/>
      <c r="M191" s="40">
        <f>cutts[[#This Row],[num]]-cutts[[#This Row],[cutted]]</f>
        <v>0</v>
      </c>
      <c r="N191" s="40"/>
      <c r="O191" s="355">
        <v>0.125</v>
      </c>
      <c r="P191" s="23" t="s">
        <v>1375</v>
      </c>
    </row>
    <row r="192" spans="1:16" ht="16.5" x14ac:dyDescent="0.25">
      <c r="A192" s="23">
        <v>191</v>
      </c>
      <c r="B192" s="30" t="s">
        <v>807</v>
      </c>
      <c r="C192" s="23">
        <v>140010117</v>
      </c>
      <c r="D192" s="23">
        <v>75</v>
      </c>
      <c r="E192" s="20">
        <v>300</v>
      </c>
      <c r="F192" s="362" t="s">
        <v>1371</v>
      </c>
      <c r="G192" s="357">
        <v>4</v>
      </c>
      <c r="H192" s="67">
        <f>cutts[[#This Row],[num]]-SUM(cutts[[#This Row],[num2]])</f>
        <v>75</v>
      </c>
      <c r="I192" s="357"/>
      <c r="J192" s="21"/>
      <c r="K192" s="40">
        <v>75</v>
      </c>
      <c r="L192" s="40"/>
      <c r="M192" s="40">
        <f>cutts[[#This Row],[num]]-cutts[[#This Row],[cutted]]</f>
        <v>0</v>
      </c>
      <c r="N192" s="40"/>
      <c r="O192" s="353"/>
      <c r="P192" s="23" t="s">
        <v>1372</v>
      </c>
    </row>
    <row r="193" spans="1:16" ht="16.5" x14ac:dyDescent="0.25">
      <c r="A193" s="23">
        <v>192</v>
      </c>
      <c r="B193" s="30" t="s">
        <v>807</v>
      </c>
      <c r="C193" s="23">
        <v>140450047</v>
      </c>
      <c r="D193" s="23">
        <v>1500</v>
      </c>
      <c r="E193" s="20">
        <v>300</v>
      </c>
      <c r="F193" s="362" t="s">
        <v>1374</v>
      </c>
      <c r="G193" s="357">
        <v>4</v>
      </c>
      <c r="H193" s="67">
        <f>cutts[[#This Row],[num]]-SUM(cutts[[#This Row],[num2]])</f>
        <v>1500</v>
      </c>
      <c r="I193" s="357"/>
      <c r="J193" s="21"/>
      <c r="K193" s="40">
        <v>1500</v>
      </c>
      <c r="L193" s="40"/>
      <c r="M193" s="40">
        <f>cutts[[#This Row],[num]]-cutts[[#This Row],[cutted]]</f>
        <v>0</v>
      </c>
      <c r="N193" s="40"/>
      <c r="O193" s="353" t="s">
        <v>1373</v>
      </c>
      <c r="P193" s="23"/>
    </row>
    <row r="194" spans="1:16" ht="16.5" x14ac:dyDescent="0.25">
      <c r="A194" s="23">
        <v>193</v>
      </c>
      <c r="B194" s="30" t="s">
        <v>807</v>
      </c>
      <c r="C194" s="23">
        <v>140310007</v>
      </c>
      <c r="D194" s="23">
        <v>3000</v>
      </c>
      <c r="E194" s="20">
        <v>300</v>
      </c>
      <c r="F194" s="362" t="s">
        <v>1377</v>
      </c>
      <c r="G194" s="357">
        <v>4</v>
      </c>
      <c r="H194" s="67">
        <f>cutts[[#This Row],[num]]-SUM(cutts[[#This Row],[num2]])</f>
        <v>3000</v>
      </c>
      <c r="I194" s="357"/>
      <c r="J194" s="21"/>
      <c r="K194" s="40">
        <v>3000</v>
      </c>
      <c r="L194" s="40"/>
      <c r="M194" s="40">
        <f>cutts[[#This Row],[num]]-cutts[[#This Row],[cutted]]</f>
        <v>0</v>
      </c>
      <c r="N194" s="40"/>
      <c r="O194" s="353" t="s">
        <v>1376</v>
      </c>
      <c r="P194" s="23"/>
    </row>
    <row r="195" spans="1:16" ht="16.5" x14ac:dyDescent="0.25">
      <c r="A195" s="23">
        <v>194</v>
      </c>
      <c r="B195" s="30" t="s">
        <v>810</v>
      </c>
      <c r="C195" s="23">
        <v>140310007</v>
      </c>
      <c r="D195" s="23">
        <v>3000</v>
      </c>
      <c r="E195" s="20">
        <v>300</v>
      </c>
      <c r="F195" s="362" t="s">
        <v>1383</v>
      </c>
      <c r="G195" s="357">
        <v>4</v>
      </c>
      <c r="H195" s="67">
        <f>cutts[[#This Row],[num]]-SUM(cutts[[#This Row],[num2]])</f>
        <v>3000</v>
      </c>
      <c r="I195" s="357"/>
      <c r="J195" s="21"/>
      <c r="K195" s="40">
        <v>3000</v>
      </c>
      <c r="L195" s="40"/>
      <c r="M195" s="40">
        <f>cutts[[#This Row],[num]]-cutts[[#This Row],[cutted]]</f>
        <v>0</v>
      </c>
      <c r="N195" s="40"/>
      <c r="O195" s="353"/>
      <c r="P195" s="23"/>
    </row>
    <row r="196" spans="1:16" ht="16.5" x14ac:dyDescent="0.25">
      <c r="A196" s="23">
        <v>195</v>
      </c>
      <c r="B196" s="30" t="s">
        <v>813</v>
      </c>
      <c r="C196" s="23">
        <v>140310007</v>
      </c>
      <c r="D196" s="23">
        <v>3000</v>
      </c>
      <c r="E196" s="20">
        <v>300</v>
      </c>
      <c r="F196" s="362" t="s">
        <v>1395</v>
      </c>
      <c r="G196" s="357">
        <v>4</v>
      </c>
      <c r="H196" s="67">
        <f>cutts[[#This Row],[num]]-SUM(cutts[[#This Row],[num2]])</f>
        <v>3000</v>
      </c>
      <c r="I196" s="357"/>
      <c r="J196" s="21"/>
      <c r="K196" s="40">
        <v>3000</v>
      </c>
      <c r="L196" s="40"/>
      <c r="M196" s="40">
        <f>cutts[[#This Row],[num]]-cutts[[#This Row],[cutted]]</f>
        <v>0</v>
      </c>
      <c r="N196" s="40"/>
      <c r="O196" s="353"/>
      <c r="P196" s="23"/>
    </row>
    <row r="197" spans="1:16" ht="16.5" x14ac:dyDescent="0.25">
      <c r="A197" s="23">
        <v>196</v>
      </c>
      <c r="B197" s="30" t="s">
        <v>814</v>
      </c>
      <c r="C197" s="23">
        <v>140010117</v>
      </c>
      <c r="D197" s="23">
        <v>3000</v>
      </c>
      <c r="E197" s="20">
        <v>300</v>
      </c>
      <c r="F197" s="362" t="s">
        <v>1396</v>
      </c>
      <c r="G197" s="357">
        <v>6</v>
      </c>
      <c r="H197" s="67">
        <f>cutts[[#This Row],[num]]-SUM(cutts[[#This Row],[num2]])</f>
        <v>3000</v>
      </c>
      <c r="I197" s="357"/>
      <c r="J197" s="21"/>
      <c r="K197" s="40">
        <v>3000</v>
      </c>
      <c r="L197" s="40"/>
      <c r="M197" s="40">
        <f>cutts[[#This Row],[num]]-cutts[[#This Row],[cutted]]</f>
        <v>0</v>
      </c>
      <c r="N197" s="40"/>
      <c r="O197" s="353" t="s">
        <v>1400</v>
      </c>
      <c r="P197" s="23"/>
    </row>
    <row r="198" spans="1:16" ht="16.5" x14ac:dyDescent="0.25">
      <c r="A198" s="23">
        <v>197</v>
      </c>
      <c r="B198" s="30" t="s">
        <v>815</v>
      </c>
      <c r="C198" s="23">
        <v>140010255</v>
      </c>
      <c r="D198" s="23">
        <v>1800</v>
      </c>
      <c r="E198" s="20">
        <v>300</v>
      </c>
      <c r="F198" s="362" t="s">
        <v>1399</v>
      </c>
      <c r="G198" s="357">
        <v>6</v>
      </c>
      <c r="H198" s="67">
        <f>cutts[[#This Row],[num]]-SUM(cutts[[#This Row],[num2]])</f>
        <v>1800</v>
      </c>
      <c r="I198" s="357"/>
      <c r="J198" s="21"/>
      <c r="K198" s="40">
        <v>1800</v>
      </c>
      <c r="L198" s="40"/>
      <c r="M198" s="40">
        <f>cutts[[#This Row],[num]]-cutts[[#This Row],[cutted]]</f>
        <v>0</v>
      </c>
      <c r="N198" s="40"/>
      <c r="O198" s="353" t="s">
        <v>1401</v>
      </c>
      <c r="P198" s="23"/>
    </row>
    <row r="199" spans="1:16" ht="16.5" x14ac:dyDescent="0.25">
      <c r="A199" s="23">
        <v>198</v>
      </c>
      <c r="B199" s="30" t="s">
        <v>815</v>
      </c>
      <c r="C199" s="23">
        <v>140010230</v>
      </c>
      <c r="D199" s="23">
        <v>3000</v>
      </c>
      <c r="E199" s="20">
        <v>300</v>
      </c>
      <c r="F199" s="362" t="s">
        <v>1404</v>
      </c>
      <c r="G199" s="357">
        <v>6</v>
      </c>
      <c r="H199" s="67">
        <f>cutts[[#This Row],[num]]-SUM(cutts[[#This Row],[num2]])</f>
        <v>3000</v>
      </c>
      <c r="I199" s="357"/>
      <c r="J199" s="21"/>
      <c r="K199" s="40">
        <v>3000</v>
      </c>
      <c r="L199" s="40"/>
      <c r="M199" s="40">
        <f>cutts[[#This Row],[num]]-cutts[[#This Row],[cutted]]</f>
        <v>0</v>
      </c>
      <c r="N199" s="40"/>
      <c r="O199" s="353" t="s">
        <v>1402</v>
      </c>
      <c r="P199" s="23"/>
    </row>
    <row r="200" spans="1:16" ht="16.5" x14ac:dyDescent="0.25">
      <c r="A200" s="23">
        <v>199</v>
      </c>
      <c r="B200" s="30" t="s">
        <v>814</v>
      </c>
      <c r="C200" s="23">
        <v>140010230</v>
      </c>
      <c r="D200" s="23">
        <v>3</v>
      </c>
      <c r="E200" s="20">
        <v>300</v>
      </c>
      <c r="F200" s="362"/>
      <c r="G200" s="357">
        <v>5</v>
      </c>
      <c r="H200" s="67">
        <f>cutts[[#This Row],[num]]-SUM(cutts[[#This Row],[num2]])</f>
        <v>3</v>
      </c>
      <c r="I200" s="357"/>
      <c r="J200" s="21"/>
      <c r="K200" s="40">
        <v>3</v>
      </c>
      <c r="L200" s="40"/>
      <c r="M200" s="40">
        <f>cutts[[#This Row],[num]]-cutts[[#This Row],[cutted]]</f>
        <v>0</v>
      </c>
      <c r="N200" s="40"/>
      <c r="O200" s="353" t="s">
        <v>1403</v>
      </c>
      <c r="P200" s="23" t="s">
        <v>1420</v>
      </c>
    </row>
    <row r="201" spans="1:16" ht="16.5" x14ac:dyDescent="0.25">
      <c r="A201" s="23">
        <v>200</v>
      </c>
      <c r="B201" s="30" t="s">
        <v>815</v>
      </c>
      <c r="C201" s="23">
        <v>140450047</v>
      </c>
      <c r="D201" s="23">
        <v>1850</v>
      </c>
      <c r="E201" s="20">
        <v>300</v>
      </c>
      <c r="F201" s="362" t="s">
        <v>1405</v>
      </c>
      <c r="G201" s="357">
        <v>4</v>
      </c>
      <c r="H201" s="67">
        <f>cutts[[#This Row],[num]]-SUM(cutts[[#This Row],[num2]])</f>
        <v>1850</v>
      </c>
      <c r="I201" s="357"/>
      <c r="J201" s="21"/>
      <c r="K201" s="40">
        <v>1850</v>
      </c>
      <c r="L201" s="40"/>
      <c r="M201" s="40">
        <f>cutts[[#This Row],[num]]-cutts[[#This Row],[cutted]]</f>
        <v>0</v>
      </c>
      <c r="N201" s="40"/>
      <c r="O201" s="353" t="s">
        <v>1373</v>
      </c>
      <c r="P201" s="23"/>
    </row>
    <row r="202" spans="1:16" ht="16.5" x14ac:dyDescent="0.25">
      <c r="A202" s="23">
        <v>201</v>
      </c>
      <c r="B202" s="30" t="s">
        <v>815</v>
      </c>
      <c r="C202" s="23">
        <v>140010117</v>
      </c>
      <c r="D202" s="23">
        <v>3000</v>
      </c>
      <c r="E202" s="20">
        <v>300</v>
      </c>
      <c r="F202" s="362" t="s">
        <v>1408</v>
      </c>
      <c r="G202" s="357">
        <v>6</v>
      </c>
      <c r="H202" s="67">
        <f>cutts[[#This Row],[num]]-SUM(cutts[[#This Row],[num2]])</f>
        <v>3000</v>
      </c>
      <c r="I202" s="357"/>
      <c r="J202" s="21"/>
      <c r="K202" s="40">
        <v>3000</v>
      </c>
      <c r="L202" s="40"/>
      <c r="M202" s="40">
        <f>cutts[[#This Row],[num]]-cutts[[#This Row],[cutted]]</f>
        <v>0</v>
      </c>
      <c r="N202" s="40"/>
      <c r="O202" s="353" t="s">
        <v>1406</v>
      </c>
      <c r="P202" s="23"/>
    </row>
    <row r="203" spans="1:16" ht="16.5" x14ac:dyDescent="0.25">
      <c r="A203" s="23">
        <v>202</v>
      </c>
      <c r="B203" s="30" t="s">
        <v>815</v>
      </c>
      <c r="C203" s="23">
        <v>140010230</v>
      </c>
      <c r="D203" s="23">
        <v>3000</v>
      </c>
      <c r="E203" s="20">
        <v>300</v>
      </c>
      <c r="F203" s="362" t="s">
        <v>1409</v>
      </c>
      <c r="G203" s="357">
        <v>6</v>
      </c>
      <c r="H203" s="67">
        <f>cutts[[#This Row],[num]]-SUM(cutts[[#This Row],[num2]])</f>
        <v>3000</v>
      </c>
      <c r="I203" s="357"/>
      <c r="J203" s="21"/>
      <c r="K203" s="40">
        <v>3000</v>
      </c>
      <c r="L203" s="40"/>
      <c r="M203" s="40">
        <f>cutts[[#This Row],[num]]-cutts[[#This Row],[cutted]]</f>
        <v>0</v>
      </c>
      <c r="N203" s="40"/>
      <c r="O203" s="353" t="s">
        <v>1407</v>
      </c>
      <c r="P203" s="23"/>
    </row>
    <row r="204" spans="1:16" ht="16.5" x14ac:dyDescent="0.25">
      <c r="A204" s="23">
        <v>203</v>
      </c>
      <c r="B204" s="30" t="s">
        <v>816</v>
      </c>
      <c r="C204" s="23">
        <v>140010117</v>
      </c>
      <c r="D204" s="23">
        <v>3000</v>
      </c>
      <c r="E204" s="20">
        <v>300</v>
      </c>
      <c r="F204" s="362" t="s">
        <v>1410</v>
      </c>
      <c r="G204" s="357">
        <v>6</v>
      </c>
      <c r="H204" s="67">
        <f>cutts[[#This Row],[num]]-SUM(cutts[[#This Row],[num2]])</f>
        <v>3000</v>
      </c>
      <c r="I204" s="357"/>
      <c r="J204" s="21"/>
      <c r="K204" s="40">
        <v>3000</v>
      </c>
      <c r="L204" s="40"/>
      <c r="M204" s="40">
        <f>cutts[[#This Row],[num]]-cutts[[#This Row],[cutted]]</f>
        <v>0</v>
      </c>
      <c r="N204" s="40"/>
      <c r="O204" s="353"/>
      <c r="P204" s="23"/>
    </row>
    <row r="205" spans="1:16" ht="16.5" x14ac:dyDescent="0.25">
      <c r="A205" s="23">
        <v>204</v>
      </c>
      <c r="B205" s="30" t="s">
        <v>816</v>
      </c>
      <c r="C205" s="23">
        <v>140010230</v>
      </c>
      <c r="D205" s="23">
        <v>3000</v>
      </c>
      <c r="E205" s="20">
        <v>300</v>
      </c>
      <c r="F205" s="362" t="s">
        <v>1411</v>
      </c>
      <c r="G205" s="357">
        <v>6</v>
      </c>
      <c r="H205" s="67">
        <f>cutts[[#This Row],[num]]-SUM(cutts[[#This Row],[num2]])</f>
        <v>3000</v>
      </c>
      <c r="I205" s="357"/>
      <c r="J205" s="21"/>
      <c r="K205" s="40">
        <v>3000</v>
      </c>
      <c r="L205" s="40"/>
      <c r="M205" s="40">
        <f>cutts[[#This Row],[num]]-cutts[[#This Row],[cutted]]</f>
        <v>0</v>
      </c>
      <c r="N205" s="40"/>
      <c r="O205" s="353"/>
      <c r="P205" s="23"/>
    </row>
    <row r="206" spans="1:16" ht="16.5" x14ac:dyDescent="0.25">
      <c r="A206" s="23">
        <v>205</v>
      </c>
      <c r="B206" s="30" t="s">
        <v>816</v>
      </c>
      <c r="C206" s="23">
        <v>140310031</v>
      </c>
      <c r="D206" s="23">
        <v>11</v>
      </c>
      <c r="E206" s="20">
        <v>300</v>
      </c>
      <c r="F206" s="362" t="s">
        <v>1421</v>
      </c>
      <c r="G206" s="357"/>
      <c r="H206" s="67">
        <f>cutts[[#This Row],[num]]-SUM(cutts[[#This Row],[num2]])</f>
        <v>11</v>
      </c>
      <c r="I206" s="357"/>
      <c r="J206" s="21"/>
      <c r="K206" s="40">
        <v>11</v>
      </c>
      <c r="L206" s="40"/>
      <c r="M206" s="40">
        <f>cutts[[#This Row],[num]]-cutts[[#This Row],[cutted]]</f>
        <v>0</v>
      </c>
      <c r="N206" s="40"/>
      <c r="O206" s="353"/>
      <c r="P206" s="23" t="s">
        <v>1420</v>
      </c>
    </row>
    <row r="207" spans="1:16" ht="16.5" x14ac:dyDescent="0.25">
      <c r="A207" s="23">
        <v>206</v>
      </c>
      <c r="B207" s="30" t="s">
        <v>816</v>
      </c>
      <c r="C207" s="23">
        <v>140310071</v>
      </c>
      <c r="D207" s="23">
        <v>174</v>
      </c>
      <c r="E207" s="20">
        <v>174</v>
      </c>
      <c r="F207" s="362" t="s">
        <v>1422</v>
      </c>
      <c r="G207" s="357"/>
      <c r="H207" s="67">
        <f>cutts[[#This Row],[num]]-SUM(cutts[[#This Row],[num2]])</f>
        <v>174</v>
      </c>
      <c r="I207" s="357"/>
      <c r="J207" s="21"/>
      <c r="K207" s="40">
        <v>174</v>
      </c>
      <c r="L207" s="40"/>
      <c r="M207" s="40">
        <f>cutts[[#This Row],[num]]-cutts[[#This Row],[cutted]]</f>
        <v>0</v>
      </c>
      <c r="N207" s="40"/>
      <c r="O207" s="353"/>
      <c r="P207" s="23" t="s">
        <v>1420</v>
      </c>
    </row>
    <row r="208" spans="1:16" ht="16.5" x14ac:dyDescent="0.25">
      <c r="A208" s="23">
        <v>207</v>
      </c>
      <c r="B208" s="30" t="s">
        <v>816</v>
      </c>
      <c r="C208" s="23">
        <v>140310083</v>
      </c>
      <c r="D208" s="23">
        <v>26</v>
      </c>
      <c r="E208" s="20">
        <v>26</v>
      </c>
      <c r="F208" s="362" t="s">
        <v>1423</v>
      </c>
      <c r="G208" s="357"/>
      <c r="H208" s="67">
        <f>cutts[[#This Row],[num]]-SUM(cutts[[#This Row],[num2]])</f>
        <v>26</v>
      </c>
      <c r="I208" s="357"/>
      <c r="J208" s="21"/>
      <c r="K208" s="40">
        <v>26</v>
      </c>
      <c r="L208" s="40"/>
      <c r="M208" s="40">
        <f>cutts[[#This Row],[num]]-cutts[[#This Row],[cutted]]</f>
        <v>0</v>
      </c>
      <c r="N208" s="40"/>
      <c r="O208" s="353"/>
      <c r="P208" s="23" t="s">
        <v>1420</v>
      </c>
    </row>
    <row r="209" spans="1:16" ht="16.5" x14ac:dyDescent="0.25">
      <c r="A209" s="23">
        <v>208</v>
      </c>
      <c r="B209" s="30" t="s">
        <v>820</v>
      </c>
      <c r="C209" s="23">
        <v>140030039</v>
      </c>
      <c r="D209" s="23">
        <v>1800</v>
      </c>
      <c r="E209" s="20">
        <v>300</v>
      </c>
      <c r="F209" s="362" t="s">
        <v>1427</v>
      </c>
      <c r="G209" s="357">
        <v>6</v>
      </c>
      <c r="H209" s="67">
        <f>cutts[[#This Row],[num]]-SUM(cutts[[#This Row],[num2]])</f>
        <v>1800</v>
      </c>
      <c r="I209" s="357"/>
      <c r="J209" s="21"/>
      <c r="K209" s="40">
        <v>1800</v>
      </c>
      <c r="L209" s="40"/>
      <c r="M209" s="40">
        <f>cutts[[#This Row],[num]]-cutts[[#This Row],[cutted]]</f>
        <v>0</v>
      </c>
      <c r="N209" s="40"/>
      <c r="O209" s="355">
        <v>0.25</v>
      </c>
      <c r="P209" s="23"/>
    </row>
    <row r="210" spans="1:16" ht="16.5" x14ac:dyDescent="0.25">
      <c r="A210" s="23">
        <v>209</v>
      </c>
      <c r="B210" s="30" t="s">
        <v>822</v>
      </c>
      <c r="C210" s="23">
        <v>140310096</v>
      </c>
      <c r="D210" s="23">
        <v>2500</v>
      </c>
      <c r="E210" s="20">
        <v>300</v>
      </c>
      <c r="F210" s="362" t="s">
        <v>1433</v>
      </c>
      <c r="G210" s="357">
        <v>6</v>
      </c>
      <c r="H210" s="67">
        <f>cutts[[#This Row],[num]]-SUM(cutts[[#This Row],[num2]])</f>
        <v>2500</v>
      </c>
      <c r="I210" s="357"/>
      <c r="J210" s="21"/>
      <c r="K210" s="40">
        <v>2500</v>
      </c>
      <c r="L210" s="40"/>
      <c r="M210" s="40">
        <f>cutts[[#This Row],[num]]-cutts[[#This Row],[cutted]]</f>
        <v>0</v>
      </c>
      <c r="N210" s="40"/>
      <c r="O210" s="353"/>
      <c r="P210" s="23"/>
    </row>
    <row r="211" spans="1:16" ht="16.5" x14ac:dyDescent="0.25">
      <c r="A211" s="23">
        <v>210</v>
      </c>
      <c r="B211" s="30" t="s">
        <v>822</v>
      </c>
      <c r="C211" s="23">
        <v>140010255</v>
      </c>
      <c r="D211" s="23">
        <v>1000</v>
      </c>
      <c r="E211" s="20">
        <v>300</v>
      </c>
      <c r="F211" s="362" t="s">
        <v>1434</v>
      </c>
      <c r="G211" s="357">
        <v>6</v>
      </c>
      <c r="H211" s="67">
        <f>cutts[[#This Row],[num]]-SUM(cutts[[#This Row],[num2]])</f>
        <v>1000</v>
      </c>
      <c r="I211" s="357"/>
      <c r="J211" s="21"/>
      <c r="K211" s="40">
        <v>1000</v>
      </c>
      <c r="L211" s="40"/>
      <c r="M211" s="40">
        <f>cutts[[#This Row],[num]]-cutts[[#This Row],[cutted]]</f>
        <v>0</v>
      </c>
      <c r="N211" s="40"/>
      <c r="O211" s="353"/>
      <c r="P211" s="23"/>
    </row>
    <row r="212" spans="1:16" ht="16.5" x14ac:dyDescent="0.25">
      <c r="A212" s="23">
        <v>211</v>
      </c>
      <c r="B212" s="30" t="s">
        <v>823</v>
      </c>
      <c r="C212" s="23">
        <v>140310031</v>
      </c>
      <c r="D212" s="23">
        <v>2</v>
      </c>
      <c r="E212" s="20">
        <v>2</v>
      </c>
      <c r="F212" s="362" t="s">
        <v>1439</v>
      </c>
      <c r="G212" s="357">
        <v>4</v>
      </c>
      <c r="H212" s="67">
        <f>cutts[[#This Row],[num]]-SUM(cutts[[#This Row],[num2]])</f>
        <v>2</v>
      </c>
      <c r="I212" s="357"/>
      <c r="J212" s="21"/>
      <c r="K212" s="40">
        <v>2</v>
      </c>
      <c r="L212" s="40"/>
      <c r="M212" s="40">
        <f>cutts[[#This Row],[num]]-cutts[[#This Row],[cutted]]</f>
        <v>0</v>
      </c>
      <c r="N212" s="40"/>
      <c r="O212" s="353"/>
      <c r="P212" s="23" t="s">
        <v>1440</v>
      </c>
    </row>
    <row r="213" spans="1:16" ht="16.5" x14ac:dyDescent="0.25">
      <c r="A213" s="23">
        <v>212</v>
      </c>
      <c r="B213" s="30" t="s">
        <v>827</v>
      </c>
      <c r="C213" s="23">
        <v>140010117</v>
      </c>
      <c r="D213" s="23">
        <v>3000</v>
      </c>
      <c r="E213" s="20">
        <v>300</v>
      </c>
      <c r="F213" s="362" t="s">
        <v>1445</v>
      </c>
      <c r="G213" s="357">
        <v>6</v>
      </c>
      <c r="H213" s="67">
        <f>cutts[[#This Row],[num]]-SUM(cutts[[#This Row],[num2]])</f>
        <v>3000</v>
      </c>
      <c r="I213" s="357"/>
      <c r="J213" s="21"/>
      <c r="K213" s="40">
        <v>3000</v>
      </c>
      <c r="L213" s="40"/>
      <c r="M213" s="40">
        <f>cutts[[#This Row],[num]]-cutts[[#This Row],[cutted]]</f>
        <v>0</v>
      </c>
      <c r="N213" s="40"/>
      <c r="O213" s="353"/>
      <c r="P213" s="23"/>
    </row>
    <row r="214" spans="1:16" ht="16.5" x14ac:dyDescent="0.25">
      <c r="A214" s="23">
        <v>213</v>
      </c>
      <c r="B214" s="30" t="s">
        <v>827</v>
      </c>
      <c r="C214" s="23">
        <v>140010230</v>
      </c>
      <c r="D214" s="23">
        <v>3000</v>
      </c>
      <c r="E214" s="20">
        <v>300</v>
      </c>
      <c r="F214" s="362" t="s">
        <v>1446</v>
      </c>
      <c r="G214" s="357">
        <v>6</v>
      </c>
      <c r="H214" s="67">
        <f>cutts[[#This Row],[num]]-SUM(cutts[[#This Row],[num2]])</f>
        <v>3000</v>
      </c>
      <c r="I214" s="357"/>
      <c r="J214" s="21"/>
      <c r="K214" s="40">
        <v>3000</v>
      </c>
      <c r="L214" s="40"/>
      <c r="M214" s="40">
        <f>cutts[[#This Row],[num]]-cutts[[#This Row],[cutted]]</f>
        <v>0</v>
      </c>
      <c r="N214" s="40"/>
      <c r="O214" s="353"/>
      <c r="P214" s="23"/>
    </row>
    <row r="215" spans="1:16" ht="16.5" x14ac:dyDescent="0.25">
      <c r="A215" s="23">
        <v>214</v>
      </c>
      <c r="B215" s="30" t="s">
        <v>827</v>
      </c>
      <c r="C215" s="23">
        <v>140310007</v>
      </c>
      <c r="D215" s="23">
        <v>3000</v>
      </c>
      <c r="E215" s="20">
        <v>300</v>
      </c>
      <c r="F215" s="362" t="s">
        <v>1448</v>
      </c>
      <c r="G215" s="357">
        <v>4</v>
      </c>
      <c r="H215" s="67">
        <f>cutts[[#This Row],[num]]-SUM(cutts[[#This Row],[num2]])</f>
        <v>3000</v>
      </c>
      <c r="I215" s="357"/>
      <c r="J215" s="21"/>
      <c r="K215" s="40">
        <v>3000</v>
      </c>
      <c r="L215" s="40"/>
      <c r="M215" s="40">
        <f>cutts[[#This Row],[num]]-cutts[[#This Row],[cutted]]</f>
        <v>0</v>
      </c>
      <c r="N215" s="40"/>
      <c r="O215" s="353" t="s">
        <v>1447</v>
      </c>
      <c r="P215" s="23"/>
    </row>
    <row r="216" spans="1:16" ht="16.5" x14ac:dyDescent="0.25">
      <c r="A216" s="23">
        <v>215</v>
      </c>
      <c r="B216" s="30" t="s">
        <v>830</v>
      </c>
      <c r="C216" s="23">
        <v>140010117</v>
      </c>
      <c r="D216" s="23">
        <v>3000</v>
      </c>
      <c r="E216" s="20">
        <v>300</v>
      </c>
      <c r="F216" s="362" t="s">
        <v>1458</v>
      </c>
      <c r="G216" s="357">
        <v>6</v>
      </c>
      <c r="H216" s="67">
        <f>cutts[[#This Row],[num]]-SUM(cutts[[#This Row],[num2]])</f>
        <v>3000</v>
      </c>
      <c r="I216" s="357"/>
      <c r="J216" s="21"/>
      <c r="K216" s="40">
        <v>3000</v>
      </c>
      <c r="L216" s="40"/>
      <c r="M216" s="40">
        <f>cutts[[#This Row],[num]]-cutts[[#This Row],[cutted]]</f>
        <v>0</v>
      </c>
      <c r="N216" s="40"/>
      <c r="O216" s="353"/>
      <c r="P216" s="23"/>
    </row>
    <row r="217" spans="1:16" ht="16.5" x14ac:dyDescent="0.25">
      <c r="A217" s="23">
        <v>216</v>
      </c>
      <c r="B217" s="30" t="s">
        <v>830</v>
      </c>
      <c r="C217" s="23">
        <v>140010230</v>
      </c>
      <c r="D217" s="23">
        <v>3000</v>
      </c>
      <c r="E217" s="20">
        <v>300</v>
      </c>
      <c r="F217" s="362" t="s">
        <v>1459</v>
      </c>
      <c r="G217" s="357">
        <v>6</v>
      </c>
      <c r="H217" s="67">
        <f>cutts[[#This Row],[num]]-SUM(cutts[[#This Row],[num2]])</f>
        <v>3000</v>
      </c>
      <c r="I217" s="357"/>
      <c r="J217" s="21"/>
      <c r="K217" s="40">
        <v>3000</v>
      </c>
      <c r="L217" s="40"/>
      <c r="M217" s="40">
        <f>cutts[[#This Row],[num]]-cutts[[#This Row],[cutted]]</f>
        <v>0</v>
      </c>
      <c r="N217" s="40"/>
      <c r="O217" s="353"/>
      <c r="P217" s="23"/>
    </row>
    <row r="218" spans="1:16" ht="16.5" x14ac:dyDescent="0.25">
      <c r="A218" s="23">
        <v>217</v>
      </c>
      <c r="B218" s="30" t="s">
        <v>830</v>
      </c>
      <c r="C218" s="23">
        <v>140310007</v>
      </c>
      <c r="D218" s="23">
        <v>3000</v>
      </c>
      <c r="E218" s="20">
        <v>300</v>
      </c>
      <c r="F218" s="362" t="s">
        <v>1460</v>
      </c>
      <c r="G218" s="357">
        <v>4</v>
      </c>
      <c r="H218" s="67">
        <f>cutts[[#This Row],[num]]-SUM(cutts[[#This Row],[num2]])</f>
        <v>3000</v>
      </c>
      <c r="I218" s="357"/>
      <c r="J218" s="21"/>
      <c r="K218" s="40">
        <v>3000</v>
      </c>
      <c r="L218" s="40"/>
      <c r="M218" s="40">
        <f>cutts[[#This Row],[num]]-cutts[[#This Row],[cutted]]</f>
        <v>0</v>
      </c>
      <c r="N218" s="40"/>
      <c r="O218" s="353"/>
      <c r="P218" s="23"/>
    </row>
    <row r="219" spans="1:16" ht="16.5" x14ac:dyDescent="0.25">
      <c r="A219" s="23">
        <v>218</v>
      </c>
      <c r="B219" s="30" t="s">
        <v>834</v>
      </c>
      <c r="C219" s="23">
        <v>140310007</v>
      </c>
      <c r="D219" s="23">
        <v>3000</v>
      </c>
      <c r="E219" s="20">
        <v>300</v>
      </c>
      <c r="F219" s="362" t="s">
        <v>1476</v>
      </c>
      <c r="G219" s="357">
        <v>4</v>
      </c>
      <c r="H219" s="67">
        <f>cutts[[#This Row],[num]]-SUM(cutts[[#This Row],[num2]])</f>
        <v>3000</v>
      </c>
      <c r="I219" s="357"/>
      <c r="J219" s="21"/>
      <c r="K219" s="40">
        <v>3000</v>
      </c>
      <c r="L219" s="40"/>
      <c r="M219" s="40">
        <f>cutts[[#This Row],[num]]-cutts[[#This Row],[cutted]]</f>
        <v>0</v>
      </c>
      <c r="N219" s="40"/>
      <c r="O219" s="353" t="s">
        <v>1475</v>
      </c>
      <c r="P219" s="23"/>
    </row>
    <row r="220" spans="1:16" ht="16.5" x14ac:dyDescent="0.25">
      <c r="A220" s="23">
        <v>219</v>
      </c>
      <c r="B220" s="30" t="s">
        <v>835</v>
      </c>
      <c r="C220" s="23">
        <v>140010117</v>
      </c>
      <c r="D220" s="23">
        <v>2000</v>
      </c>
      <c r="E220" s="20">
        <v>300</v>
      </c>
      <c r="F220" s="362" t="s">
        <v>1526</v>
      </c>
      <c r="G220" s="357">
        <v>6</v>
      </c>
      <c r="H220" s="67">
        <f>cutts[[#This Row],[num]]-SUM(cutts[[#This Row],[num2]])</f>
        <v>2000</v>
      </c>
      <c r="I220" s="357"/>
      <c r="J220" s="21"/>
      <c r="K220" s="40">
        <v>2000</v>
      </c>
      <c r="L220" s="40"/>
      <c r="M220" s="40">
        <f>cutts[[#This Row],[num]]-cutts[[#This Row],[cutted]]</f>
        <v>0</v>
      </c>
      <c r="N220" s="40"/>
      <c r="O220" s="353"/>
      <c r="P220" s="23"/>
    </row>
    <row r="221" spans="1:16" ht="16.5" x14ac:dyDescent="0.25">
      <c r="A221" s="23">
        <v>220</v>
      </c>
      <c r="B221" s="30" t="s">
        <v>835</v>
      </c>
      <c r="C221" s="23">
        <v>140010230</v>
      </c>
      <c r="D221" s="23">
        <v>3000</v>
      </c>
      <c r="E221" s="20">
        <v>300</v>
      </c>
      <c r="F221" s="362" t="s">
        <v>1527</v>
      </c>
      <c r="G221" s="357">
        <v>6</v>
      </c>
      <c r="H221" s="67">
        <f>cutts[[#This Row],[num]]-SUM(cutts[[#This Row],[num2]])</f>
        <v>3000</v>
      </c>
      <c r="I221" s="357"/>
      <c r="J221" s="21"/>
      <c r="K221" s="40">
        <v>3000</v>
      </c>
      <c r="L221" s="40"/>
      <c r="M221" s="40">
        <f>cutts[[#This Row],[num]]-cutts[[#This Row],[cutted]]</f>
        <v>0</v>
      </c>
      <c r="N221" s="40"/>
      <c r="O221" s="353"/>
      <c r="P221" s="23"/>
    </row>
    <row r="222" spans="1:16" ht="16.5" x14ac:dyDescent="0.25">
      <c r="A222" s="23">
        <v>221</v>
      </c>
      <c r="B222" s="30" t="s">
        <v>835</v>
      </c>
      <c r="C222" s="23">
        <v>140310071</v>
      </c>
      <c r="D222" s="23">
        <v>100</v>
      </c>
      <c r="E222" s="20">
        <v>100</v>
      </c>
      <c r="F222" s="362" t="s">
        <v>1533</v>
      </c>
      <c r="G222" s="357"/>
      <c r="H222" s="67">
        <f>cutts[[#This Row],[num]]-SUM(cutts[[#This Row],[num2]])</f>
        <v>100</v>
      </c>
      <c r="I222" s="357"/>
      <c r="J222" s="21"/>
      <c r="K222" s="40">
        <v>100</v>
      </c>
      <c r="L222" s="40"/>
      <c r="M222" s="40">
        <f>cutts[[#This Row],[num]]-cutts[[#This Row],[cutted]]</f>
        <v>0</v>
      </c>
      <c r="N222" s="40"/>
      <c r="O222" s="353"/>
      <c r="P222" s="23" t="s">
        <v>1534</v>
      </c>
    </row>
    <row r="223" spans="1:16" ht="16.5" x14ac:dyDescent="0.25">
      <c r="A223" s="23">
        <v>222</v>
      </c>
      <c r="B223" s="30" t="s">
        <v>837</v>
      </c>
      <c r="C223" s="23">
        <v>140310007</v>
      </c>
      <c r="D223" s="23">
        <v>3000</v>
      </c>
      <c r="E223" s="20">
        <v>300</v>
      </c>
      <c r="F223" s="362" t="s">
        <v>1592</v>
      </c>
      <c r="G223" s="357">
        <v>4</v>
      </c>
      <c r="H223" s="67">
        <f>cutts[[#This Row],[num]]-SUM(cutts[[#This Row],[num2]])</f>
        <v>3000</v>
      </c>
      <c r="I223" s="357"/>
      <c r="J223" s="21"/>
      <c r="K223" s="40">
        <v>3000</v>
      </c>
      <c r="L223" s="40"/>
      <c r="M223" s="40">
        <f>cutts[[#This Row],[num]]-cutts[[#This Row],[cutted]]</f>
        <v>0</v>
      </c>
      <c r="N223" s="40"/>
      <c r="O223" s="353"/>
      <c r="P223" s="23"/>
    </row>
    <row r="224" spans="1:16" ht="30" x14ac:dyDescent="0.25">
      <c r="A224" s="23">
        <v>223</v>
      </c>
      <c r="B224" s="30" t="s">
        <v>841</v>
      </c>
      <c r="C224" s="23">
        <v>140310007</v>
      </c>
      <c r="D224" s="23">
        <v>3500</v>
      </c>
      <c r="E224" s="20">
        <v>300</v>
      </c>
      <c r="F224" s="362" t="s">
        <v>1622</v>
      </c>
      <c r="G224" s="357">
        <v>4</v>
      </c>
      <c r="H224" s="67">
        <f>cutts[[#This Row],[num]]-SUM(cutts[[#This Row],[num2]])</f>
        <v>3500</v>
      </c>
      <c r="I224" s="357"/>
      <c r="J224" s="21"/>
      <c r="K224" s="40">
        <v>3500</v>
      </c>
      <c r="L224" s="40"/>
      <c r="M224" s="40">
        <f>cutts[[#This Row],[num]]-cutts[[#This Row],[cutted]]</f>
        <v>0</v>
      </c>
      <c r="N224" s="40"/>
      <c r="O224" s="353"/>
      <c r="P224" s="23"/>
    </row>
    <row r="225" spans="1:16" ht="16.5" x14ac:dyDescent="0.25">
      <c r="A225" s="23">
        <v>224</v>
      </c>
      <c r="B225" s="30" t="s">
        <v>842</v>
      </c>
      <c r="C225" s="23">
        <v>140010117</v>
      </c>
      <c r="D225" s="23">
        <v>2000</v>
      </c>
      <c r="E225" s="20">
        <v>300</v>
      </c>
      <c r="F225" s="362" t="s">
        <v>1625</v>
      </c>
      <c r="G225" s="357">
        <v>7</v>
      </c>
      <c r="H225" s="67">
        <f>cutts[[#This Row],[num]]-SUM(cutts[[#This Row],[num2]])</f>
        <v>2000</v>
      </c>
      <c r="I225" s="357"/>
      <c r="J225" s="21"/>
      <c r="K225" s="40">
        <v>2000</v>
      </c>
      <c r="L225" s="40"/>
      <c r="M225" s="40">
        <f>cutts[[#This Row],[num]]-cutts[[#This Row],[cutted]]</f>
        <v>0</v>
      </c>
      <c r="N225" s="40"/>
      <c r="O225" s="353"/>
      <c r="P225" s="23"/>
    </row>
    <row r="226" spans="1:16" ht="16.5" x14ac:dyDescent="0.25">
      <c r="A226" s="23">
        <v>225</v>
      </c>
      <c r="B226" s="30" t="s">
        <v>843</v>
      </c>
      <c r="C226" s="23">
        <v>140010117</v>
      </c>
      <c r="D226" s="23">
        <v>3000</v>
      </c>
      <c r="E226" s="20">
        <v>300</v>
      </c>
      <c r="F226" s="362" t="s">
        <v>1627</v>
      </c>
      <c r="G226" s="357">
        <v>7</v>
      </c>
      <c r="H226" s="67">
        <f>cutts[[#This Row],[num]]-SUM(cutts[[#This Row],[num2]])</f>
        <v>3000</v>
      </c>
      <c r="I226" s="357"/>
      <c r="J226" s="21"/>
      <c r="K226" s="40">
        <v>3000</v>
      </c>
      <c r="L226" s="40"/>
      <c r="M226" s="40">
        <f>cutts[[#This Row],[num]]-cutts[[#This Row],[cutted]]</f>
        <v>0</v>
      </c>
      <c r="N226" s="40"/>
      <c r="O226" s="353"/>
      <c r="P226" s="23"/>
    </row>
    <row r="227" spans="1:16" ht="16.5" x14ac:dyDescent="0.25">
      <c r="A227" s="23">
        <v>226</v>
      </c>
      <c r="B227" s="30" t="s">
        <v>844</v>
      </c>
      <c r="C227" s="23">
        <v>140030039</v>
      </c>
      <c r="D227" s="23">
        <v>3000</v>
      </c>
      <c r="E227" s="20">
        <v>300</v>
      </c>
      <c r="F227" s="362" t="s">
        <v>1631</v>
      </c>
      <c r="G227" s="357">
        <v>7</v>
      </c>
      <c r="H227" s="67">
        <f>cutts[[#This Row],[num]]-SUM(cutts[[#This Row],[num2]])</f>
        <v>3000</v>
      </c>
      <c r="I227" s="357"/>
      <c r="J227" s="21"/>
      <c r="K227" s="40">
        <v>3000</v>
      </c>
      <c r="L227" s="40"/>
      <c r="M227" s="40">
        <f>cutts[[#This Row],[num]]-cutts[[#This Row],[cutted]]</f>
        <v>0</v>
      </c>
      <c r="N227" s="40"/>
      <c r="O227" s="353"/>
      <c r="P227" s="23"/>
    </row>
    <row r="228" spans="1:16" ht="16.5" x14ac:dyDescent="0.25">
      <c r="A228" s="23">
        <v>227</v>
      </c>
      <c r="B228" s="30" t="s">
        <v>844</v>
      </c>
      <c r="C228" s="23">
        <v>140310071</v>
      </c>
      <c r="D228" s="23">
        <v>1</v>
      </c>
      <c r="E228" s="20">
        <v>1</v>
      </c>
      <c r="F228" s="362"/>
      <c r="G228" s="357"/>
      <c r="H228" s="67">
        <f>cutts[[#This Row],[num]]-SUM(cutts[[#This Row],[num2]])</f>
        <v>1</v>
      </c>
      <c r="I228" s="357"/>
      <c r="J228" s="21"/>
      <c r="K228" s="40">
        <v>1</v>
      </c>
      <c r="L228" s="40"/>
      <c r="M228" s="40">
        <f>cutts[[#This Row],[num]]-cutts[[#This Row],[cutted]]</f>
        <v>0</v>
      </c>
      <c r="N228" s="40"/>
      <c r="O228" s="353"/>
      <c r="P228" s="23" t="s">
        <v>1420</v>
      </c>
    </row>
    <row r="229" spans="1:16" ht="16.5" x14ac:dyDescent="0.25">
      <c r="A229" s="23">
        <v>228</v>
      </c>
      <c r="B229" s="30" t="s">
        <v>845</v>
      </c>
      <c r="C229" s="23">
        <v>140030039</v>
      </c>
      <c r="D229" s="23">
        <v>2600</v>
      </c>
      <c r="E229" s="20">
        <v>300</v>
      </c>
      <c r="F229" s="362" t="s">
        <v>1635</v>
      </c>
      <c r="G229" s="357">
        <v>7</v>
      </c>
      <c r="H229" s="67">
        <f>cutts[[#This Row],[num]]-SUM(cutts[[#This Row],[num2]])</f>
        <v>2600</v>
      </c>
      <c r="I229" s="357"/>
      <c r="J229" s="21"/>
      <c r="K229" s="40">
        <v>2600</v>
      </c>
      <c r="L229" s="40"/>
      <c r="M229" s="40">
        <f>cutts[[#This Row],[num]]-cutts[[#This Row],[cutted]]</f>
        <v>0</v>
      </c>
      <c r="N229" s="40"/>
      <c r="O229" s="353"/>
      <c r="P229" s="23"/>
    </row>
    <row r="230" spans="1:16" ht="16.5" x14ac:dyDescent="0.25">
      <c r="A230" s="23">
        <v>229</v>
      </c>
      <c r="B230" s="30" t="s">
        <v>845</v>
      </c>
      <c r="C230" s="23">
        <v>140010255</v>
      </c>
      <c r="D230" s="23">
        <v>1000</v>
      </c>
      <c r="E230" s="20">
        <v>300</v>
      </c>
      <c r="F230" s="362" t="s">
        <v>1636</v>
      </c>
      <c r="G230" s="357">
        <v>7</v>
      </c>
      <c r="H230" s="67">
        <f>cutts[[#This Row],[num]]-SUM(cutts[[#This Row],[num2]])</f>
        <v>1000</v>
      </c>
      <c r="I230" s="357"/>
      <c r="J230" s="21"/>
      <c r="K230" s="40">
        <v>1000</v>
      </c>
      <c r="L230" s="40"/>
      <c r="M230" s="40">
        <f>cutts[[#This Row],[num]]-cutts[[#This Row],[cutted]]</f>
        <v>0</v>
      </c>
      <c r="N230" s="40"/>
      <c r="O230" s="353"/>
      <c r="P230" s="23"/>
    </row>
    <row r="231" spans="1:16" ht="16.5" x14ac:dyDescent="0.25">
      <c r="A231" s="23">
        <v>230</v>
      </c>
      <c r="B231" s="30" t="s">
        <v>846</v>
      </c>
      <c r="C231" s="23">
        <v>140010117</v>
      </c>
      <c r="D231" s="23">
        <v>3000</v>
      </c>
      <c r="E231" s="20">
        <v>300</v>
      </c>
      <c r="F231" s="362" t="s">
        <v>1637</v>
      </c>
      <c r="G231" s="357">
        <v>7</v>
      </c>
      <c r="H231" s="67">
        <f>cutts[[#This Row],[num]]-SUM(cutts[[#This Row],[num2]])</f>
        <v>3000</v>
      </c>
      <c r="I231" s="357"/>
      <c r="J231" s="21"/>
      <c r="K231" s="40">
        <v>3000</v>
      </c>
      <c r="L231" s="40"/>
      <c r="M231" s="40">
        <f>cutts[[#This Row],[num]]-cutts[[#This Row],[cutted]]</f>
        <v>0</v>
      </c>
      <c r="N231" s="40"/>
      <c r="O231" s="353"/>
      <c r="P231" s="23"/>
    </row>
    <row r="232" spans="1:16" ht="16.5" x14ac:dyDescent="0.25">
      <c r="A232" s="23">
        <v>231</v>
      </c>
      <c r="B232" s="30" t="s">
        <v>846</v>
      </c>
      <c r="C232" s="23">
        <v>140010230</v>
      </c>
      <c r="D232" s="23">
        <v>3000</v>
      </c>
      <c r="E232" s="20">
        <v>300</v>
      </c>
      <c r="F232" s="362" t="s">
        <v>1638</v>
      </c>
      <c r="G232" s="357">
        <v>7</v>
      </c>
      <c r="H232" s="67">
        <f>cutts[[#This Row],[num]]-SUM(cutts[[#This Row],[num2]])</f>
        <v>3000</v>
      </c>
      <c r="I232" s="357"/>
      <c r="J232" s="21"/>
      <c r="K232" s="40">
        <v>3000</v>
      </c>
      <c r="L232" s="40"/>
      <c r="M232" s="40">
        <f>cutts[[#This Row],[num]]-cutts[[#This Row],[cutted]]</f>
        <v>0</v>
      </c>
      <c r="N232" s="40"/>
      <c r="O232" s="353"/>
      <c r="P232" s="23"/>
    </row>
    <row r="233" spans="1:16" ht="16.5" x14ac:dyDescent="0.25">
      <c r="A233" s="23">
        <v>232</v>
      </c>
      <c r="B233" s="30" t="s">
        <v>848</v>
      </c>
      <c r="C233" s="23">
        <v>140030040</v>
      </c>
      <c r="D233" s="23">
        <v>1700</v>
      </c>
      <c r="E233" s="20">
        <v>300</v>
      </c>
      <c r="F233" s="362" t="s">
        <v>1642</v>
      </c>
      <c r="G233" s="357">
        <v>7</v>
      </c>
      <c r="H233" s="67">
        <f>cutts[[#This Row],[num]]-SUM(cutts[[#This Row],[num2]])</f>
        <v>1700</v>
      </c>
      <c r="I233" s="357"/>
      <c r="J233" s="21"/>
      <c r="K233" s="40">
        <v>1700</v>
      </c>
      <c r="L233" s="40"/>
      <c r="M233" s="40">
        <f>cutts[[#This Row],[num]]-cutts[[#This Row],[cutted]]</f>
        <v>0</v>
      </c>
      <c r="N233" s="40"/>
      <c r="O233" s="353"/>
      <c r="P233" s="23"/>
    </row>
    <row r="234" spans="1:16" ht="16.5" x14ac:dyDescent="0.25">
      <c r="A234" s="23">
        <v>233</v>
      </c>
      <c r="B234" s="30" t="s">
        <v>848</v>
      </c>
      <c r="C234" s="23">
        <v>140010230</v>
      </c>
      <c r="D234" s="23">
        <v>3000</v>
      </c>
      <c r="E234" s="20">
        <v>300</v>
      </c>
      <c r="F234" s="362" t="s">
        <v>1707</v>
      </c>
      <c r="G234" s="357">
        <v>7</v>
      </c>
      <c r="H234" s="67">
        <f>cutts[[#This Row],[num]]-SUM(cutts[[#This Row],[num2]])</f>
        <v>3000</v>
      </c>
      <c r="I234" s="357"/>
      <c r="J234" s="21"/>
      <c r="K234" s="40">
        <v>3000</v>
      </c>
      <c r="L234" s="40"/>
      <c r="M234" s="40">
        <f>cutts[[#This Row],[num]]-cutts[[#This Row],[cutted]]</f>
        <v>0</v>
      </c>
      <c r="N234" s="40"/>
      <c r="O234" s="353"/>
      <c r="P234" s="23"/>
    </row>
    <row r="235" spans="1:16" ht="16.5" x14ac:dyDescent="0.25">
      <c r="A235" s="23">
        <v>234</v>
      </c>
      <c r="B235" s="30" t="s">
        <v>848</v>
      </c>
      <c r="C235" s="23">
        <v>140010117</v>
      </c>
      <c r="D235" s="23">
        <v>3000</v>
      </c>
      <c r="E235" s="20">
        <v>300</v>
      </c>
      <c r="F235" s="362" t="s">
        <v>1725</v>
      </c>
      <c r="G235" s="357">
        <v>7</v>
      </c>
      <c r="H235" s="67">
        <f>cutts[[#This Row],[num]]-SUM(cutts[[#This Row],[num2]])</f>
        <v>3000</v>
      </c>
      <c r="I235" s="357"/>
      <c r="J235" s="21"/>
      <c r="K235" s="40">
        <v>3000</v>
      </c>
      <c r="L235" s="40"/>
      <c r="M235" s="40">
        <f>cutts[[#This Row],[num]]-cutts[[#This Row],[cutted]]</f>
        <v>0</v>
      </c>
      <c r="N235" s="40"/>
      <c r="O235" s="353"/>
      <c r="P235" s="23"/>
    </row>
    <row r="236" spans="1:16" ht="16.5" x14ac:dyDescent="0.25">
      <c r="A236" s="23">
        <v>235</v>
      </c>
      <c r="B236" s="30" t="s">
        <v>849</v>
      </c>
      <c r="C236" s="23">
        <v>140010230</v>
      </c>
      <c r="D236" s="23">
        <v>3000</v>
      </c>
      <c r="E236" s="20">
        <v>300</v>
      </c>
      <c r="F236" s="362" t="s">
        <v>1726</v>
      </c>
      <c r="G236" s="357">
        <v>7</v>
      </c>
      <c r="H236" s="67">
        <f>cutts[[#This Row],[num]]-SUM(cutts[[#This Row],[num2]])</f>
        <v>3000</v>
      </c>
      <c r="I236" s="357"/>
      <c r="J236" s="21"/>
      <c r="K236" s="40">
        <v>3000</v>
      </c>
      <c r="L236" s="40"/>
      <c r="M236" s="40">
        <f>cutts[[#This Row],[num]]-cutts[[#This Row],[cutted]]</f>
        <v>0</v>
      </c>
      <c r="N236" s="40"/>
      <c r="O236" s="353"/>
      <c r="P236" s="23"/>
    </row>
    <row r="237" spans="1:16" ht="16.5" x14ac:dyDescent="0.25">
      <c r="A237" s="23">
        <v>236</v>
      </c>
      <c r="B237" s="30" t="s">
        <v>849</v>
      </c>
      <c r="C237" s="23">
        <v>140010117</v>
      </c>
      <c r="D237" s="23">
        <v>3000</v>
      </c>
      <c r="E237" s="20">
        <v>300</v>
      </c>
      <c r="F237" s="362" t="s">
        <v>1727</v>
      </c>
      <c r="G237" s="357">
        <v>7</v>
      </c>
      <c r="H237" s="67">
        <f>cutts[[#This Row],[num]]-SUM(cutts[[#This Row],[num2]])</f>
        <v>3000</v>
      </c>
      <c r="I237" s="357"/>
      <c r="J237" s="21"/>
      <c r="K237" s="40">
        <v>3000</v>
      </c>
      <c r="L237" s="40"/>
      <c r="M237" s="40">
        <f>cutts[[#This Row],[num]]-cutts[[#This Row],[cutted]]</f>
        <v>0</v>
      </c>
      <c r="N237" s="40"/>
      <c r="O237" s="353"/>
      <c r="P237" s="23"/>
    </row>
    <row r="238" spans="1:16" ht="16.5" x14ac:dyDescent="0.25">
      <c r="A238" s="23">
        <v>237</v>
      </c>
      <c r="B238" s="30" t="s">
        <v>850</v>
      </c>
      <c r="C238" s="23">
        <v>140010117</v>
      </c>
      <c r="D238" s="23">
        <v>3000</v>
      </c>
      <c r="E238" s="20">
        <v>300</v>
      </c>
      <c r="F238" s="362" t="s">
        <v>1730</v>
      </c>
      <c r="G238" s="357">
        <v>7</v>
      </c>
      <c r="H238" s="67">
        <f>cutts[[#This Row],[num]]-SUM(cutts[[#This Row],[num2]])</f>
        <v>3000</v>
      </c>
      <c r="I238" s="357"/>
      <c r="J238" s="21"/>
      <c r="K238" s="40">
        <v>3000</v>
      </c>
      <c r="L238" s="40"/>
      <c r="M238" s="40">
        <f>cutts[[#This Row],[num]]-cutts[[#This Row],[cutted]]</f>
        <v>0</v>
      </c>
      <c r="N238" s="40"/>
      <c r="O238" s="353"/>
      <c r="P238" s="23"/>
    </row>
    <row r="239" spans="1:16" ht="30" x14ac:dyDescent="0.25">
      <c r="A239" s="23">
        <v>238</v>
      </c>
      <c r="B239" s="30" t="s">
        <v>850</v>
      </c>
      <c r="C239" s="23">
        <v>140310007</v>
      </c>
      <c r="D239" s="23">
        <v>5000</v>
      </c>
      <c r="E239" s="20">
        <v>300</v>
      </c>
      <c r="F239" s="362" t="s">
        <v>1731</v>
      </c>
      <c r="G239" s="357">
        <v>7</v>
      </c>
      <c r="H239" s="67">
        <f>cutts[[#This Row],[num]]-SUM(cutts[[#This Row],[num2]])</f>
        <v>5000</v>
      </c>
      <c r="I239" s="357"/>
      <c r="J239" s="21"/>
      <c r="K239" s="40">
        <v>5000</v>
      </c>
      <c r="L239" s="40"/>
      <c r="M239" s="40">
        <f>cutts[[#This Row],[num]]-cutts[[#This Row],[cutted]]</f>
        <v>0</v>
      </c>
      <c r="N239" s="40"/>
      <c r="O239" s="353"/>
      <c r="P239" s="23"/>
    </row>
    <row r="240" spans="1:16" ht="16.5" x14ac:dyDescent="0.25">
      <c r="A240" s="23">
        <v>239</v>
      </c>
      <c r="B240" s="30" t="s">
        <v>851</v>
      </c>
      <c r="C240" s="23">
        <v>140010230</v>
      </c>
      <c r="D240" s="23">
        <v>3000</v>
      </c>
      <c r="E240" s="20">
        <v>300</v>
      </c>
      <c r="F240" s="362" t="s">
        <v>1736</v>
      </c>
      <c r="G240" s="357">
        <v>7</v>
      </c>
      <c r="H240" s="67">
        <f>cutts[[#This Row],[num]]-SUM(cutts[[#This Row],[num2]])</f>
        <v>3000</v>
      </c>
      <c r="I240" s="357"/>
      <c r="J240" s="21"/>
      <c r="K240" s="40">
        <v>3000</v>
      </c>
      <c r="L240" s="40"/>
      <c r="M240" s="40">
        <f>cutts[[#This Row],[num]]-cutts[[#This Row],[cutted]]</f>
        <v>0</v>
      </c>
      <c r="N240" s="40"/>
      <c r="O240" s="353"/>
      <c r="P240" s="23"/>
    </row>
    <row r="241" spans="1:16" ht="16.5" x14ac:dyDescent="0.25">
      <c r="A241" s="23">
        <v>240</v>
      </c>
      <c r="B241" s="30" t="s">
        <v>855</v>
      </c>
      <c r="C241" s="23">
        <v>140310083</v>
      </c>
      <c r="D241" s="23">
        <v>3000</v>
      </c>
      <c r="E241" s="20">
        <v>300</v>
      </c>
      <c r="F241" s="362" t="s">
        <v>1738</v>
      </c>
      <c r="G241" s="357">
        <v>7</v>
      </c>
      <c r="H241" s="67">
        <f>cutts[[#This Row],[num]]-SUM(cutts[[#This Row],[num2]])</f>
        <v>3000</v>
      </c>
      <c r="I241" s="357"/>
      <c r="J241" s="21"/>
      <c r="K241" s="40">
        <f>900+2100</f>
        <v>3000</v>
      </c>
      <c r="L241" s="40"/>
      <c r="M241" s="40">
        <f>cutts[[#This Row],[num]]-cutts[[#This Row],[cutted]]</f>
        <v>0</v>
      </c>
      <c r="N241" s="40"/>
      <c r="O241" s="353"/>
      <c r="P241" s="23"/>
    </row>
    <row r="242" spans="1:16" ht="16.5" x14ac:dyDescent="0.25">
      <c r="A242" s="23">
        <v>241</v>
      </c>
      <c r="B242" s="30" t="s">
        <v>855</v>
      </c>
      <c r="C242" s="23">
        <v>140310071</v>
      </c>
      <c r="D242" s="23">
        <v>2100</v>
      </c>
      <c r="E242" s="20">
        <v>300</v>
      </c>
      <c r="F242" s="362" t="s">
        <v>1743</v>
      </c>
      <c r="G242" s="357">
        <v>7</v>
      </c>
      <c r="H242" s="67">
        <f>cutts[[#This Row],[num]]-SUM(cutts[[#This Row],[num2]])</f>
        <v>2100</v>
      </c>
      <c r="I242" s="357"/>
      <c r="J242" s="21"/>
      <c r="K242" s="40">
        <v>2100</v>
      </c>
      <c r="L242" s="40"/>
      <c r="M242" s="40">
        <f>cutts[[#This Row],[num]]-cutts[[#This Row],[cutted]]</f>
        <v>0</v>
      </c>
      <c r="N242" s="40"/>
      <c r="O242" s="353"/>
      <c r="P242" s="23"/>
    </row>
    <row r="243" spans="1:16" ht="30" x14ac:dyDescent="0.25">
      <c r="A243" s="23">
        <v>242</v>
      </c>
      <c r="B243" s="30" t="s">
        <v>859</v>
      </c>
      <c r="C243" s="23">
        <v>140310007</v>
      </c>
      <c r="D243" s="23">
        <v>5000</v>
      </c>
      <c r="E243" s="20">
        <v>300</v>
      </c>
      <c r="F243" s="362" t="s">
        <v>1750</v>
      </c>
      <c r="G243" s="357">
        <v>7</v>
      </c>
      <c r="H243" s="67">
        <f>cutts[[#This Row],[num]]-SUM(cutts[[#This Row],[num2]])</f>
        <v>5000</v>
      </c>
      <c r="I243" s="357"/>
      <c r="J243" s="21"/>
      <c r="K243" s="40">
        <v>5000</v>
      </c>
      <c r="L243" s="40"/>
      <c r="M243" s="40">
        <f>cutts[[#This Row],[num]]-cutts[[#This Row],[cutted]]</f>
        <v>0</v>
      </c>
      <c r="N243" s="40"/>
      <c r="O243" s="353"/>
      <c r="P243" s="23"/>
    </row>
    <row r="244" spans="1:16" ht="30" x14ac:dyDescent="0.25">
      <c r="A244" s="23">
        <v>243</v>
      </c>
      <c r="B244" s="30" t="s">
        <v>860</v>
      </c>
      <c r="C244" s="23">
        <v>140010230</v>
      </c>
      <c r="D244" s="23">
        <v>6000</v>
      </c>
      <c r="E244" s="20">
        <v>300</v>
      </c>
      <c r="F244" s="362" t="s">
        <v>1751</v>
      </c>
      <c r="G244" s="357">
        <v>7</v>
      </c>
      <c r="H244" s="67">
        <f>cutts[[#This Row],[num]]-SUM(cutts[[#This Row],[num2]])</f>
        <v>6000</v>
      </c>
      <c r="I244" s="357"/>
      <c r="J244" s="21"/>
      <c r="K244" s="40">
        <v>6000</v>
      </c>
      <c r="L244" s="40"/>
      <c r="M244" s="40">
        <f>cutts[[#This Row],[num]]-cutts[[#This Row],[cutted]]</f>
        <v>0</v>
      </c>
      <c r="N244" s="40"/>
      <c r="O244" s="353"/>
      <c r="P244" s="23"/>
    </row>
    <row r="245" spans="1:16" ht="16.5" x14ac:dyDescent="0.25">
      <c r="A245" s="23">
        <v>244</v>
      </c>
      <c r="B245" s="30" t="s">
        <v>863</v>
      </c>
      <c r="C245" s="23">
        <v>140310071</v>
      </c>
      <c r="D245" s="23">
        <v>3000</v>
      </c>
      <c r="E245" s="20">
        <v>300</v>
      </c>
      <c r="F245" s="362" t="s">
        <v>1757</v>
      </c>
      <c r="G245" s="357">
        <v>7</v>
      </c>
      <c r="H245" s="67">
        <f>cutts[[#This Row],[num]]-SUM(cutts[[#This Row],[num2]])</f>
        <v>3000</v>
      </c>
      <c r="I245" s="357"/>
      <c r="J245" s="21"/>
      <c r="K245" s="40">
        <v>3000</v>
      </c>
      <c r="L245" s="40"/>
      <c r="M245" s="40">
        <f>cutts[[#This Row],[num]]-cutts[[#This Row],[cutted]]</f>
        <v>0</v>
      </c>
      <c r="N245" s="40"/>
      <c r="O245" s="353"/>
      <c r="P245" s="23"/>
    </row>
    <row r="246" spans="1:16" ht="16.5" x14ac:dyDescent="0.25">
      <c r="A246" s="23">
        <v>245</v>
      </c>
      <c r="B246" s="30" t="s">
        <v>863</v>
      </c>
      <c r="C246" s="23">
        <v>140310071</v>
      </c>
      <c r="D246" s="23">
        <v>3000</v>
      </c>
      <c r="E246" s="20">
        <v>300</v>
      </c>
      <c r="F246" s="362" t="s">
        <v>1758</v>
      </c>
      <c r="G246" s="357">
        <v>7</v>
      </c>
      <c r="H246" s="67">
        <f>cutts[[#This Row],[num]]-SUM(cutts[[#This Row],[num2]])</f>
        <v>3000</v>
      </c>
      <c r="I246" s="357"/>
      <c r="J246" s="21"/>
      <c r="K246" s="40">
        <v>3000</v>
      </c>
      <c r="L246" s="40"/>
      <c r="M246" s="40">
        <f>cutts[[#This Row],[num]]-cutts[[#This Row],[cutted]]</f>
        <v>0</v>
      </c>
      <c r="N246" s="40"/>
      <c r="O246" s="353"/>
      <c r="P246" s="23"/>
    </row>
    <row r="247" spans="1:16" ht="16.5" x14ac:dyDescent="0.25">
      <c r="A247" s="23">
        <v>246</v>
      </c>
      <c r="B247" s="30" t="s">
        <v>864</v>
      </c>
      <c r="C247" s="23">
        <v>140310071</v>
      </c>
      <c r="D247" s="23">
        <v>3000</v>
      </c>
      <c r="E247" s="20">
        <v>300</v>
      </c>
      <c r="F247" s="362" t="s">
        <v>1759</v>
      </c>
      <c r="G247" s="357">
        <v>7</v>
      </c>
      <c r="H247" s="67">
        <f>cutts[[#This Row],[num]]-SUM(cutts[[#This Row],[num2]])</f>
        <v>3000</v>
      </c>
      <c r="I247" s="357"/>
      <c r="J247" s="21"/>
      <c r="K247" s="40">
        <v>3000</v>
      </c>
      <c r="L247" s="40"/>
      <c r="M247" s="40">
        <f>cutts[[#This Row],[num]]-cutts[[#This Row],[cutted]]</f>
        <v>0</v>
      </c>
      <c r="N247" s="40"/>
      <c r="O247" s="353"/>
      <c r="P247" s="23"/>
    </row>
    <row r="248" spans="1:16" ht="16.5" x14ac:dyDescent="0.25">
      <c r="A248" s="23">
        <v>247</v>
      </c>
      <c r="B248" s="30" t="s">
        <v>864</v>
      </c>
      <c r="C248" s="23">
        <v>140310007</v>
      </c>
      <c r="D248" s="23">
        <v>3000</v>
      </c>
      <c r="E248" s="20">
        <v>300</v>
      </c>
      <c r="F248" s="362" t="s">
        <v>1760</v>
      </c>
      <c r="G248" s="357">
        <v>7</v>
      </c>
      <c r="H248" s="67">
        <f>cutts[[#This Row],[num]]-SUM(cutts[[#This Row],[num2]])</f>
        <v>3000</v>
      </c>
      <c r="I248" s="357"/>
      <c r="J248" s="21"/>
      <c r="K248" s="40">
        <v>3000</v>
      </c>
      <c r="L248" s="40"/>
      <c r="M248" s="40">
        <f>cutts[[#This Row],[num]]-cutts[[#This Row],[cutted]]</f>
        <v>0</v>
      </c>
      <c r="N248" s="40"/>
      <c r="O248" s="353"/>
      <c r="P248" s="23"/>
    </row>
    <row r="249" spans="1:16" ht="16.5" x14ac:dyDescent="0.25">
      <c r="A249" s="23">
        <v>248</v>
      </c>
      <c r="B249" s="30" t="s">
        <v>865</v>
      </c>
      <c r="C249" s="23">
        <v>140310071</v>
      </c>
      <c r="D249" s="23">
        <v>3000</v>
      </c>
      <c r="E249" s="20">
        <v>300</v>
      </c>
      <c r="F249" s="362" t="s">
        <v>1761</v>
      </c>
      <c r="G249" s="357">
        <v>7</v>
      </c>
      <c r="H249" s="67">
        <f>cutts[[#This Row],[num]]-SUM(cutts[[#This Row],[num2]])</f>
        <v>3000</v>
      </c>
      <c r="I249" s="357"/>
      <c r="J249" s="21"/>
      <c r="K249" s="40">
        <v>3000</v>
      </c>
      <c r="L249" s="40"/>
      <c r="M249" s="40">
        <f>cutts[[#This Row],[num]]-cutts[[#This Row],[cutted]]</f>
        <v>0</v>
      </c>
      <c r="N249" s="40"/>
      <c r="O249" s="353"/>
      <c r="P249" s="23"/>
    </row>
    <row r="250" spans="1:16" ht="16.5" x14ac:dyDescent="0.25">
      <c r="A250" s="23">
        <v>249</v>
      </c>
      <c r="B250" s="30" t="s">
        <v>865</v>
      </c>
      <c r="C250" s="23">
        <v>140310083</v>
      </c>
      <c r="D250" s="23">
        <v>3000</v>
      </c>
      <c r="E250" s="20">
        <v>300</v>
      </c>
      <c r="F250" s="362" t="s">
        <v>1762</v>
      </c>
      <c r="G250" s="357">
        <v>7</v>
      </c>
      <c r="H250" s="67">
        <f>cutts[[#This Row],[num]]-SUM(cutts[[#This Row],[num2]])</f>
        <v>3000</v>
      </c>
      <c r="I250" s="357"/>
      <c r="J250" s="21"/>
      <c r="K250" s="40">
        <v>3000</v>
      </c>
      <c r="L250" s="40"/>
      <c r="M250" s="40">
        <f>cutts[[#This Row],[num]]-cutts[[#This Row],[cutted]]</f>
        <v>0</v>
      </c>
      <c r="N250" s="40"/>
      <c r="O250" s="353"/>
      <c r="P250" s="23"/>
    </row>
    <row r="251" spans="1:16" ht="16.5" x14ac:dyDescent="0.25">
      <c r="A251" s="23">
        <v>250</v>
      </c>
      <c r="B251" s="30" t="s">
        <v>866</v>
      </c>
      <c r="C251" s="23">
        <v>140310071</v>
      </c>
      <c r="D251" s="23">
        <v>3000</v>
      </c>
      <c r="E251" s="20">
        <v>300</v>
      </c>
      <c r="F251" s="362" t="s">
        <v>1766</v>
      </c>
      <c r="G251" s="357">
        <v>7</v>
      </c>
      <c r="H251" s="67">
        <f>cutts[[#This Row],[num]]-SUM(cutts[[#This Row],[num2]])</f>
        <v>3000</v>
      </c>
      <c r="I251" s="357"/>
      <c r="J251" s="21"/>
      <c r="K251" s="40">
        <v>3000</v>
      </c>
      <c r="L251" s="40"/>
      <c r="M251" s="40">
        <f>cutts[[#This Row],[num]]-cutts[[#This Row],[cutted]]</f>
        <v>0</v>
      </c>
      <c r="N251" s="40"/>
      <c r="O251" s="353"/>
      <c r="P251" s="23"/>
    </row>
    <row r="252" spans="1:16" ht="16.5" x14ac:dyDescent="0.25">
      <c r="A252" s="23">
        <v>251</v>
      </c>
      <c r="B252" s="30" t="s">
        <v>866</v>
      </c>
      <c r="C252" s="23">
        <v>140310007</v>
      </c>
      <c r="D252" s="23">
        <v>1500</v>
      </c>
      <c r="E252" s="20">
        <v>300</v>
      </c>
      <c r="F252" s="362" t="s">
        <v>1767</v>
      </c>
      <c r="G252" s="357">
        <v>7</v>
      </c>
      <c r="H252" s="67">
        <f>cutts[[#This Row],[num]]-SUM(cutts[[#This Row],[num2]])</f>
        <v>1500</v>
      </c>
      <c r="I252" s="357"/>
      <c r="J252" s="21"/>
      <c r="K252" s="40">
        <v>1500</v>
      </c>
      <c r="L252" s="40"/>
      <c r="M252" s="40">
        <f>cutts[[#This Row],[num]]-cutts[[#This Row],[cutted]]</f>
        <v>0</v>
      </c>
      <c r="N252" s="40"/>
      <c r="O252" s="353"/>
      <c r="P252" s="23"/>
    </row>
    <row r="253" spans="1:16" ht="16.5" x14ac:dyDescent="0.25">
      <c r="A253" s="23">
        <v>252</v>
      </c>
      <c r="B253" s="30" t="s">
        <v>866</v>
      </c>
      <c r="C253" s="23">
        <v>140310083</v>
      </c>
      <c r="D253" s="23">
        <v>2400</v>
      </c>
      <c r="E253" s="20">
        <v>300</v>
      </c>
      <c r="F253" s="362" t="s">
        <v>1768</v>
      </c>
      <c r="G253" s="357">
        <v>7</v>
      </c>
      <c r="H253" s="67">
        <f>cutts[[#This Row],[num]]-SUM(cutts[[#This Row],[num2]])</f>
        <v>2400</v>
      </c>
      <c r="I253" s="357"/>
      <c r="J253" s="21"/>
      <c r="K253" s="40">
        <v>2400</v>
      </c>
      <c r="L253" s="40"/>
      <c r="M253" s="40">
        <f>cutts[[#This Row],[num]]-cutts[[#This Row],[cutted]]</f>
        <v>0</v>
      </c>
      <c r="N253" s="40"/>
      <c r="O253" s="353"/>
      <c r="P253" s="23"/>
    </row>
    <row r="254" spans="1:16" ht="16.5" x14ac:dyDescent="0.25">
      <c r="A254" s="23">
        <v>253</v>
      </c>
      <c r="B254" s="30" t="s">
        <v>869</v>
      </c>
      <c r="C254" s="23">
        <v>140310071</v>
      </c>
      <c r="D254" s="23">
        <v>2700</v>
      </c>
      <c r="E254" s="20">
        <v>300</v>
      </c>
      <c r="F254" s="362" t="s">
        <v>1771</v>
      </c>
      <c r="G254" s="357">
        <v>7</v>
      </c>
      <c r="H254" s="67">
        <f>cutts[[#This Row],[num]]-SUM(cutts[[#This Row],[num2]])</f>
        <v>2700</v>
      </c>
      <c r="I254" s="357"/>
      <c r="J254" s="21"/>
      <c r="K254" s="40">
        <v>2700</v>
      </c>
      <c r="L254" s="40"/>
      <c r="M254" s="40">
        <f>cutts[[#This Row],[num]]-cutts[[#This Row],[cutted]]</f>
        <v>0</v>
      </c>
      <c r="N254" s="40"/>
      <c r="O254" s="353"/>
      <c r="P254" s="23"/>
    </row>
    <row r="255" spans="1:16" ht="16.5" x14ac:dyDescent="0.25">
      <c r="A255" s="23">
        <v>254</v>
      </c>
      <c r="B255" s="30" t="s">
        <v>869</v>
      </c>
      <c r="C255" s="23">
        <v>140310007</v>
      </c>
      <c r="D255" s="23">
        <v>2100</v>
      </c>
      <c r="E255" s="20">
        <v>300</v>
      </c>
      <c r="F255" s="362" t="s">
        <v>1772</v>
      </c>
      <c r="G255" s="357">
        <v>7</v>
      </c>
      <c r="H255" s="67">
        <f>cutts[[#This Row],[num]]-SUM(cutts[[#This Row],[num2]])</f>
        <v>2100</v>
      </c>
      <c r="I255" s="357"/>
      <c r="J255" s="21"/>
      <c r="K255" s="40">
        <v>2100</v>
      </c>
      <c r="L255" s="40"/>
      <c r="M255" s="40">
        <f>cutts[[#This Row],[num]]-cutts[[#This Row],[cutted]]</f>
        <v>0</v>
      </c>
      <c r="N255" s="40"/>
      <c r="O255" s="353"/>
      <c r="P255" s="23"/>
    </row>
    <row r="256" spans="1:16" ht="16.5" x14ac:dyDescent="0.25">
      <c r="A256" s="23">
        <v>255</v>
      </c>
      <c r="B256" s="30" t="s">
        <v>869</v>
      </c>
      <c r="C256" s="23">
        <v>140310083</v>
      </c>
      <c r="D256" s="23">
        <v>2700</v>
      </c>
      <c r="E256" s="20">
        <v>300</v>
      </c>
      <c r="F256" s="362" t="s">
        <v>1773</v>
      </c>
      <c r="G256" s="357">
        <v>7</v>
      </c>
      <c r="H256" s="67">
        <f>cutts[[#This Row],[num]]-SUM(cutts[[#This Row],[num2]])</f>
        <v>2700</v>
      </c>
      <c r="I256" s="357"/>
      <c r="J256" s="21"/>
      <c r="K256" s="40">
        <v>2700</v>
      </c>
      <c r="L256" s="40"/>
      <c r="M256" s="40">
        <f>cutts[[#This Row],[num]]-cutts[[#This Row],[cutted]]</f>
        <v>0</v>
      </c>
      <c r="N256" s="40"/>
      <c r="O256" s="353"/>
      <c r="P256" s="23"/>
    </row>
    <row r="257" spans="1:16" ht="16.5" x14ac:dyDescent="0.25">
      <c r="A257" s="23">
        <v>256</v>
      </c>
      <c r="B257" s="30" t="s">
        <v>869</v>
      </c>
      <c r="C257" s="23">
        <v>140310091</v>
      </c>
      <c r="D257" s="23">
        <v>500</v>
      </c>
      <c r="E257" s="20">
        <v>300</v>
      </c>
      <c r="F257" s="362" t="s">
        <v>1776</v>
      </c>
      <c r="G257" s="357">
        <v>7</v>
      </c>
      <c r="H257" s="67">
        <f>cutts[[#This Row],[num]]-SUM(cutts[[#This Row],[num2]])</f>
        <v>500</v>
      </c>
      <c r="I257" s="357"/>
      <c r="J257" s="21"/>
      <c r="K257" s="40">
        <v>500</v>
      </c>
      <c r="L257" s="40"/>
      <c r="M257" s="40">
        <f>cutts[[#This Row],[num]]-cutts[[#This Row],[cutted]]</f>
        <v>0</v>
      </c>
      <c r="N257" s="40"/>
      <c r="O257" s="353"/>
      <c r="P257" s="23"/>
    </row>
    <row r="258" spans="1:16" ht="16.5" x14ac:dyDescent="0.25">
      <c r="A258" s="23">
        <v>257</v>
      </c>
      <c r="B258" s="30" t="s">
        <v>869</v>
      </c>
      <c r="C258" s="23">
        <v>140310097</v>
      </c>
      <c r="D258" s="23">
        <v>3000</v>
      </c>
      <c r="E258" s="20">
        <v>300</v>
      </c>
      <c r="F258" s="362" t="s">
        <v>1779</v>
      </c>
      <c r="G258" s="357">
        <v>7</v>
      </c>
      <c r="H258" s="67">
        <f>cutts[[#This Row],[num]]-SUM(cutts[[#This Row],[num2]])</f>
        <v>3000</v>
      </c>
      <c r="I258" s="357"/>
      <c r="J258" s="21"/>
      <c r="K258" s="40">
        <v>3000</v>
      </c>
      <c r="L258" s="40"/>
      <c r="M258" s="40">
        <f>cutts[[#This Row],[num]]-cutts[[#This Row],[cutted]]</f>
        <v>0</v>
      </c>
      <c r="N258" s="40"/>
      <c r="O258" s="353"/>
      <c r="P258" s="23"/>
    </row>
    <row r="259" spans="1:16" ht="16.5" x14ac:dyDescent="0.25">
      <c r="A259" s="23">
        <v>258</v>
      </c>
      <c r="B259" s="30" t="s">
        <v>871</v>
      </c>
      <c r="C259" s="23">
        <v>140310007</v>
      </c>
      <c r="D259" s="23">
        <v>2100</v>
      </c>
      <c r="E259" s="20">
        <v>300</v>
      </c>
      <c r="F259" s="362" t="s">
        <v>1788</v>
      </c>
      <c r="G259" s="357">
        <v>7</v>
      </c>
      <c r="H259" s="67">
        <f>cutts[[#This Row],[num]]-SUM(cutts[[#This Row],[num2]])</f>
        <v>2100</v>
      </c>
      <c r="I259" s="357"/>
      <c r="J259" s="21"/>
      <c r="K259" s="40">
        <v>2100</v>
      </c>
      <c r="L259" s="40"/>
      <c r="M259" s="40">
        <f>cutts[[#This Row],[num]]-cutts[[#This Row],[cutted]]</f>
        <v>0</v>
      </c>
      <c r="N259" s="40"/>
      <c r="O259" s="353"/>
      <c r="P259" s="23"/>
    </row>
    <row r="260" spans="1:16" ht="16.5" x14ac:dyDescent="0.25">
      <c r="A260" s="23">
        <v>259</v>
      </c>
      <c r="B260" s="30" t="s">
        <v>871</v>
      </c>
      <c r="C260" s="23">
        <v>140310097</v>
      </c>
      <c r="D260" s="23">
        <v>2000</v>
      </c>
      <c r="E260" s="20">
        <v>300</v>
      </c>
      <c r="F260" s="362" t="s">
        <v>1789</v>
      </c>
      <c r="G260" s="357">
        <v>7</v>
      </c>
      <c r="H260" s="67">
        <f>cutts[[#This Row],[num]]-SUM(cutts[[#This Row],[num2]])</f>
        <v>2000</v>
      </c>
      <c r="I260" s="357"/>
      <c r="J260" s="21"/>
      <c r="K260" s="40">
        <v>2000</v>
      </c>
      <c r="L260" s="40"/>
      <c r="M260" s="40">
        <f>cutts[[#This Row],[num]]-cutts[[#This Row],[cutted]]</f>
        <v>0</v>
      </c>
      <c r="N260" s="40"/>
      <c r="O260" s="353"/>
      <c r="P260" s="23"/>
    </row>
    <row r="261" spans="1:16" ht="16.5" x14ac:dyDescent="0.25">
      <c r="A261" s="23">
        <v>260</v>
      </c>
      <c r="B261" s="30" t="s">
        <v>871</v>
      </c>
      <c r="C261" s="23">
        <v>140310071</v>
      </c>
      <c r="D261" s="23">
        <v>2700</v>
      </c>
      <c r="E261" s="20">
        <v>300</v>
      </c>
      <c r="F261" s="362" t="s">
        <v>1790</v>
      </c>
      <c r="G261" s="357">
        <v>7</v>
      </c>
      <c r="H261" s="67">
        <f>cutts[[#This Row],[num]]-SUM(cutts[[#This Row],[num2]])</f>
        <v>2700</v>
      </c>
      <c r="I261" s="357"/>
      <c r="J261" s="21"/>
      <c r="K261" s="40">
        <v>2700</v>
      </c>
      <c r="L261" s="40"/>
      <c r="M261" s="40">
        <f>cutts[[#This Row],[num]]-cutts[[#This Row],[cutted]]</f>
        <v>0</v>
      </c>
      <c r="N261" s="40"/>
      <c r="O261" s="353"/>
      <c r="P261" s="23"/>
    </row>
    <row r="262" spans="1:16" ht="16.5" x14ac:dyDescent="0.25">
      <c r="A262" s="23">
        <v>261</v>
      </c>
      <c r="B262" s="30" t="s">
        <v>872</v>
      </c>
      <c r="C262" s="23">
        <v>140310083</v>
      </c>
      <c r="D262" s="23">
        <v>2400</v>
      </c>
      <c r="E262" s="20">
        <v>300</v>
      </c>
      <c r="F262" s="362" t="s">
        <v>1796</v>
      </c>
      <c r="G262" s="357">
        <v>7</v>
      </c>
      <c r="H262" s="67">
        <f>cutts[[#This Row],[num]]-SUM(cutts[[#This Row],[num2]])</f>
        <v>2400</v>
      </c>
      <c r="I262" s="357"/>
      <c r="J262" s="21"/>
      <c r="K262" s="40">
        <v>2400</v>
      </c>
      <c r="L262" s="40"/>
      <c r="M262" s="40">
        <f>cutts[[#This Row],[num]]-cutts[[#This Row],[cutted]]</f>
        <v>0</v>
      </c>
      <c r="N262" s="40"/>
      <c r="O262" s="353"/>
      <c r="P262" s="23"/>
    </row>
    <row r="263" spans="1:16" ht="16.5" x14ac:dyDescent="0.25">
      <c r="A263" s="23">
        <v>262</v>
      </c>
      <c r="B263" s="30" t="s">
        <v>872</v>
      </c>
      <c r="C263" s="23">
        <v>140310007</v>
      </c>
      <c r="D263" s="23">
        <v>2100</v>
      </c>
      <c r="E263" s="20">
        <v>300</v>
      </c>
      <c r="F263" s="362" t="s">
        <v>1797</v>
      </c>
      <c r="G263" s="357">
        <v>7</v>
      </c>
      <c r="H263" s="67">
        <f>cutts[[#This Row],[num]]-SUM(cutts[[#This Row],[num2]])</f>
        <v>2100</v>
      </c>
      <c r="I263" s="357"/>
      <c r="J263" s="21"/>
      <c r="K263" s="40">
        <v>2100</v>
      </c>
      <c r="L263" s="40"/>
      <c r="M263" s="40">
        <f>cutts[[#This Row],[num]]-cutts[[#This Row],[cutted]]</f>
        <v>0</v>
      </c>
      <c r="N263" s="40"/>
      <c r="O263" s="353"/>
      <c r="P263" s="23"/>
    </row>
    <row r="264" spans="1:16" ht="16.5" x14ac:dyDescent="0.25">
      <c r="A264" s="23">
        <v>263</v>
      </c>
      <c r="B264" s="30" t="s">
        <v>872</v>
      </c>
      <c r="C264" s="23">
        <v>140310071</v>
      </c>
      <c r="D264" s="23">
        <v>2400</v>
      </c>
      <c r="E264" s="20">
        <v>300</v>
      </c>
      <c r="F264" s="362" t="s">
        <v>1798</v>
      </c>
      <c r="G264" s="357">
        <v>7</v>
      </c>
      <c r="H264" s="67">
        <f>cutts[[#This Row],[num]]-SUM(cutts[[#This Row],[num2]])</f>
        <v>2400</v>
      </c>
      <c r="I264" s="357"/>
      <c r="J264" s="21"/>
      <c r="K264" s="40">
        <v>2400</v>
      </c>
      <c r="L264" s="40"/>
      <c r="M264" s="40">
        <f>cutts[[#This Row],[num]]-cutts[[#This Row],[cutted]]</f>
        <v>0</v>
      </c>
      <c r="N264" s="40"/>
      <c r="O264" s="353"/>
      <c r="P264" s="23"/>
    </row>
    <row r="265" spans="1:16" ht="16.5" x14ac:dyDescent="0.25">
      <c r="A265" s="23">
        <v>264</v>
      </c>
      <c r="B265" s="30" t="s">
        <v>873</v>
      </c>
      <c r="C265" s="23">
        <v>140310083</v>
      </c>
      <c r="D265" s="23">
        <v>2400</v>
      </c>
      <c r="E265" s="20">
        <v>300</v>
      </c>
      <c r="F265" s="362" t="s">
        <v>1799</v>
      </c>
      <c r="G265" s="357">
        <v>7</v>
      </c>
      <c r="H265" s="67">
        <f>cutts[[#This Row],[num]]-SUM(cutts[[#This Row],[num2]])</f>
        <v>2400</v>
      </c>
      <c r="I265" s="357"/>
      <c r="J265" s="21"/>
      <c r="K265" s="40">
        <v>2400</v>
      </c>
      <c r="L265" s="40"/>
      <c r="M265" s="40">
        <f>cutts[[#This Row],[num]]-cutts[[#This Row],[cutted]]</f>
        <v>0</v>
      </c>
      <c r="N265" s="40"/>
      <c r="O265" s="353"/>
      <c r="P265" s="23"/>
    </row>
    <row r="266" spans="1:16" ht="16.5" x14ac:dyDescent="0.25">
      <c r="A266" s="23">
        <v>265</v>
      </c>
      <c r="B266" s="30" t="s">
        <v>873</v>
      </c>
      <c r="C266" s="23">
        <v>140310007</v>
      </c>
      <c r="D266" s="23">
        <v>2100</v>
      </c>
      <c r="E266" s="20">
        <v>300</v>
      </c>
      <c r="F266" s="362" t="s">
        <v>1800</v>
      </c>
      <c r="G266" s="357">
        <v>7</v>
      </c>
      <c r="H266" s="67">
        <f>cutts[[#This Row],[num]]-SUM(cutts[[#This Row],[num2]])</f>
        <v>2100</v>
      </c>
      <c r="I266" s="357"/>
      <c r="J266" s="21"/>
      <c r="K266" s="40">
        <v>2100</v>
      </c>
      <c r="L266" s="40"/>
      <c r="M266" s="40">
        <f>cutts[[#This Row],[num]]-cutts[[#This Row],[cutted]]</f>
        <v>0</v>
      </c>
      <c r="N266" s="40"/>
      <c r="O266" s="353"/>
      <c r="P266" s="23"/>
    </row>
    <row r="267" spans="1:16" ht="16.5" x14ac:dyDescent="0.25">
      <c r="A267" s="23">
        <v>266</v>
      </c>
      <c r="B267" s="30" t="s">
        <v>873</v>
      </c>
      <c r="C267" s="23">
        <v>140310071</v>
      </c>
      <c r="D267" s="23">
        <v>2400</v>
      </c>
      <c r="E267" s="20">
        <v>300</v>
      </c>
      <c r="F267" s="362" t="s">
        <v>1801</v>
      </c>
      <c r="G267" s="357">
        <v>7</v>
      </c>
      <c r="H267" s="67">
        <f>cutts[[#This Row],[num]]-SUM(cutts[[#This Row],[num2]])</f>
        <v>2400</v>
      </c>
      <c r="I267" s="357"/>
      <c r="J267" s="21"/>
      <c r="K267" s="40"/>
      <c r="L267" s="40"/>
      <c r="M267" s="40">
        <f>cutts[[#This Row],[num]]-cutts[[#This Row],[cutted]]</f>
        <v>2400</v>
      </c>
      <c r="N267" s="40"/>
      <c r="O267" s="353"/>
      <c r="P267" s="23"/>
    </row>
    <row r="268" spans="1:16" ht="16.5" x14ac:dyDescent="0.25">
      <c r="A268" s="23">
        <v>267</v>
      </c>
      <c r="B268" s="30" t="s">
        <v>873</v>
      </c>
      <c r="C268" s="23">
        <v>140310091</v>
      </c>
      <c r="D268" s="23">
        <v>2000</v>
      </c>
      <c r="E268" s="20">
        <v>300</v>
      </c>
      <c r="F268" s="362" t="s">
        <v>1802</v>
      </c>
      <c r="G268" s="357">
        <v>7</v>
      </c>
      <c r="H268" s="67">
        <f>cutts[[#This Row],[num]]-SUM(cutts[[#This Row],[num2]])</f>
        <v>2000</v>
      </c>
      <c r="I268" s="357"/>
      <c r="J268" s="21"/>
      <c r="K268" s="40">
        <v>2000</v>
      </c>
      <c r="L268" s="40"/>
      <c r="M268" s="40">
        <f>cutts[[#This Row],[num]]-cutts[[#This Row],[cutted]]</f>
        <v>0</v>
      </c>
      <c r="N268" s="40"/>
      <c r="O268" s="353"/>
      <c r="P268" s="23"/>
    </row>
    <row r="269" spans="1:16" ht="16.5" x14ac:dyDescent="0.25">
      <c r="A269" s="23">
        <v>268</v>
      </c>
      <c r="B269" s="30" t="s">
        <v>876</v>
      </c>
      <c r="C269" s="23">
        <v>140010117</v>
      </c>
      <c r="D269" s="23">
        <v>3000</v>
      </c>
      <c r="E269" s="20">
        <v>300</v>
      </c>
      <c r="F269" s="362" t="s">
        <v>1810</v>
      </c>
      <c r="G269" s="357">
        <v>8</v>
      </c>
      <c r="H269" s="67">
        <f>cutts[[#This Row],[num]]-SUM(cutts[[#This Row],[num2]])</f>
        <v>3000</v>
      </c>
      <c r="I269" s="357"/>
      <c r="J269" s="21"/>
      <c r="K269" s="40"/>
      <c r="L269" s="40"/>
      <c r="M269" s="40">
        <f>cutts[[#This Row],[num]]-cutts[[#This Row],[cutted]]</f>
        <v>3000</v>
      </c>
      <c r="N269" s="40"/>
      <c r="O269" s="353"/>
      <c r="P269" s="23"/>
    </row>
    <row r="270" spans="1:16" ht="16.5" x14ac:dyDescent="0.25">
      <c r="A270" s="23">
        <v>269</v>
      </c>
      <c r="B270" s="30" t="s">
        <v>876</v>
      </c>
      <c r="C270" s="23">
        <v>140030039</v>
      </c>
      <c r="D270" s="23">
        <v>3000</v>
      </c>
      <c r="E270" s="20">
        <v>300</v>
      </c>
      <c r="F270" s="362" t="s">
        <v>1811</v>
      </c>
      <c r="G270" s="357">
        <v>8</v>
      </c>
      <c r="H270" s="67">
        <f>cutts[[#This Row],[num]]-SUM(cutts[[#This Row],[num2]])</f>
        <v>3000</v>
      </c>
      <c r="I270" s="357"/>
      <c r="J270" s="21"/>
      <c r="K270" s="40"/>
      <c r="L270" s="40"/>
      <c r="M270" s="40">
        <f>cutts[[#This Row],[num]]-cutts[[#This Row],[cutted]]</f>
        <v>3000</v>
      </c>
      <c r="N270" s="40"/>
      <c r="O270" s="353"/>
      <c r="P270" s="23"/>
    </row>
  </sheetData>
  <phoneticPr fontId="1" type="noConversion"/>
  <conditionalFormatting sqref="M2:N270">
    <cfRule type="cellIs" dxfId="12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hello">
                <anchor moveWithCells="1" sizeWithCells="1">
                  <from>
                    <xdr:col>19</xdr:col>
                    <xdr:colOff>95250</xdr:colOff>
                    <xdr:row>0</xdr:row>
                    <xdr:rowOff>57150</xdr:rowOff>
                  </from>
                  <to>
                    <xdr:col>19</xdr:col>
                    <xdr:colOff>619125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printer">
                <anchor moveWithCells="1" sizeWithCells="1">
                  <from>
                    <xdr:col>5</xdr:col>
                    <xdr:colOff>85725</xdr:colOff>
                    <xdr:row>0</xdr:row>
                    <xdr:rowOff>57150</xdr:rowOff>
                  </from>
                  <to>
                    <xdr:col>5</xdr:col>
                    <xdr:colOff>809625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6" name="Button 5">
              <controlPr defaultSize="0" print="0" autoFill="0" autoPict="0" macro="[0]!remain_in_progress">
                <anchor moveWithCells="1" sizeWithCells="1">
                  <from>
                    <xdr:col>5</xdr:col>
                    <xdr:colOff>895350</xdr:colOff>
                    <xdr:row>0</xdr:row>
                    <xdr:rowOff>47625</xdr:rowOff>
                  </from>
                  <to>
                    <xdr:col>5</xdr:col>
                    <xdr:colOff>1438275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7" name="Button 6">
              <controlPr defaultSize="0" print="0" autoFill="0" autoPict="0" macro="[0]!PtoductIdFilter">
                <anchor moveWithCells="1" sizeWithCells="1">
                  <from>
                    <xdr:col>5</xdr:col>
                    <xdr:colOff>1600200</xdr:colOff>
                    <xdr:row>0</xdr:row>
                    <xdr:rowOff>47625</xdr:rowOff>
                  </from>
                  <to>
                    <xdr:col>5</xdr:col>
                    <xdr:colOff>2143125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C410-8125-4135-9993-8BFDD65862D7}">
  <sheetPr codeName="Sheet2"/>
  <dimension ref="A1:AE1227"/>
  <sheetViews>
    <sheetView workbookViewId="0">
      <pane ySplit="1" topLeftCell="A1210" activePane="bottomLeft" state="frozen"/>
      <selection activeCell="G10" sqref="G10"/>
      <selection pane="bottomLeft" activeCell="C1229" sqref="C1229"/>
    </sheetView>
  </sheetViews>
  <sheetFormatPr defaultColWidth="10.7109375" defaultRowHeight="15" x14ac:dyDescent="0.25"/>
  <cols>
    <col min="1" max="1" width="7.28515625" style="1" bestFit="1" customWidth="1"/>
    <col min="2" max="5" width="12.7109375" style="1" customWidth="1"/>
    <col min="6" max="6" width="13.85546875" style="1" bestFit="1" customWidth="1"/>
    <col min="7" max="7" width="4.7109375" style="1" customWidth="1"/>
    <col min="8" max="8" width="8.7109375" style="1" customWidth="1"/>
    <col min="9" max="9" width="4.7109375" style="1" customWidth="1"/>
    <col min="10" max="10" width="8.7109375" style="1" customWidth="1"/>
    <col min="11" max="11" width="15.7109375" style="23" customWidth="1"/>
    <col min="12" max="12" width="29" style="23" customWidth="1"/>
    <col min="13" max="13" width="7.5703125" style="23" bestFit="1" customWidth="1"/>
    <col min="14" max="17" width="7.28515625" style="23" customWidth="1"/>
    <col min="18" max="16384" width="10.7109375" style="1"/>
  </cols>
  <sheetData>
    <row r="1" spans="1:31" s="11" customFormat="1" ht="27" customHeight="1" x14ac:dyDescent="0.25">
      <c r="A1" s="17" t="s">
        <v>203</v>
      </c>
      <c r="B1" s="17" t="s">
        <v>111</v>
      </c>
      <c r="C1" s="17" t="s">
        <v>183</v>
      </c>
      <c r="D1" s="17" t="s">
        <v>189</v>
      </c>
      <c r="E1" s="17" t="s">
        <v>184</v>
      </c>
      <c r="F1" s="17" t="s">
        <v>185</v>
      </c>
      <c r="G1" s="358" t="s">
        <v>193</v>
      </c>
      <c r="H1" s="16" t="s">
        <v>196</v>
      </c>
      <c r="I1" s="358" t="s">
        <v>194</v>
      </c>
      <c r="J1" s="16" t="s">
        <v>195</v>
      </c>
      <c r="K1" s="41" t="s">
        <v>1222</v>
      </c>
      <c r="L1" s="15" t="s">
        <v>213</v>
      </c>
      <c r="M1" s="15" t="s">
        <v>1086</v>
      </c>
      <c r="N1" s="484" t="s">
        <v>150</v>
      </c>
      <c r="O1" s="484" t="s">
        <v>151</v>
      </c>
      <c r="P1" s="484" t="s">
        <v>152</v>
      </c>
      <c r="Q1" s="484" t="s">
        <v>1603</v>
      </c>
      <c r="AE1" s="11">
        <v>3</v>
      </c>
    </row>
    <row r="2" spans="1:31" s="23" customFormat="1" ht="16.5" x14ac:dyDescent="0.25">
      <c r="B2" s="30" t="s">
        <v>1525</v>
      </c>
      <c r="E2" s="27" t="e">
        <f>_xlfn.XLOOKUP(packes[[#This Row],[productId]],bom[Id],bom[wgt])</f>
        <v>#N/A</v>
      </c>
      <c r="F2" s="27" t="e">
        <f>packes[[#This Row],[num]]*packes[[#This Row],[wtg]]</f>
        <v>#N/A</v>
      </c>
      <c r="G2" s="357"/>
      <c r="H2" s="21">
        <f>packes[[#This Row],[num]]-SUM(packes[[#This Row],[num2]])</f>
        <v>0</v>
      </c>
      <c r="I2" s="357"/>
      <c r="J2" s="21"/>
      <c r="K2" s="323"/>
      <c r="M2" s="27" t="str">
        <f>_xlfn.XLOOKUP(packes[[#This Row],[productId]],CT[productId],CT[total],"NA")</f>
        <v>NA</v>
      </c>
      <c r="N2" s="23" t="str">
        <f>_xlfn.XLOOKUP(packes[[#This Row],[productId]],bom[Id],bom[ph],"NA")</f>
        <v>NA</v>
      </c>
      <c r="O2" s="23" t="str">
        <f>_xlfn.XLOOKUP(packes[[#This Row],[productId]],bom[Id],bom[erth],"NA")</f>
        <v>NA</v>
      </c>
      <c r="P2" s="23" t="str">
        <f>_xlfn.XLOOKUP(packes[[#This Row],[productId]],bom[Id],bom[dbl],"NA")</f>
        <v>NA</v>
      </c>
      <c r="Q2" s="20" t="str">
        <f>LEFT(packes[[#This Row],[date]],4)</f>
        <v>1403</v>
      </c>
    </row>
    <row r="3" spans="1:31" s="23" customFormat="1" ht="16.5" x14ac:dyDescent="0.25">
      <c r="A3" s="23">
        <v>1</v>
      </c>
      <c r="B3" s="30" t="s">
        <v>1503</v>
      </c>
      <c r="C3" s="23">
        <v>140030039</v>
      </c>
      <c r="D3" s="23">
        <v>1500</v>
      </c>
      <c r="E3" s="27">
        <f>_xlfn.XLOOKUP(packes[[#This Row],[productId]],bom[Id],bom[wgt])</f>
        <v>1.1413748378728923</v>
      </c>
      <c r="F3" s="27">
        <f>packes[[#This Row],[num]]*packes[[#This Row],[wtg]]</f>
        <v>1712.0622568093384</v>
      </c>
      <c r="G3" s="357"/>
      <c r="H3" s="21">
        <f>packes[[#This Row],[num]]-SUM(packes[[#This Row],[num2]])</f>
        <v>1500</v>
      </c>
      <c r="I3" s="357"/>
      <c r="J3" s="21"/>
      <c r="K3" s="323"/>
      <c r="M3" s="27">
        <f>_xlfn.XLOOKUP(packes[[#This Row],[productId]],CT[productId],CT[total],"NA")</f>
        <v>92.504999999999995</v>
      </c>
      <c r="N3" s="20" t="str">
        <f>_xlfn.XLOOKUP(packes[[#This Row],[productId]],bom[Id],bom[ph],"NA")</f>
        <v>YH</v>
      </c>
      <c r="O3" s="20" t="str">
        <f>_xlfn.XLOOKUP(packes[[#This Row],[productId]],bom[Id],bom[erth],"NA")</f>
        <v>sun</v>
      </c>
      <c r="P3" s="20" t="str">
        <f>_xlfn.XLOOKUP(packes[[#This Row],[productId]],bom[Id],bom[dbl],"NA")</f>
        <v>-</v>
      </c>
      <c r="Q3" s="20" t="str">
        <f>LEFT(packes[[#This Row],[date]],4)</f>
        <v>1403</v>
      </c>
    </row>
    <row r="4" spans="1:31" s="23" customFormat="1" ht="16.5" x14ac:dyDescent="0.25">
      <c r="A4" s="23">
        <v>2</v>
      </c>
      <c r="B4" s="30" t="s">
        <v>1504</v>
      </c>
      <c r="C4" s="23">
        <v>140030039</v>
      </c>
      <c r="D4" s="23">
        <v>500</v>
      </c>
      <c r="E4" s="27">
        <f>_xlfn.XLOOKUP(packes[[#This Row],[productId]],bom[Id],bom[wgt])</f>
        <v>1.1413748378728923</v>
      </c>
      <c r="F4" s="27">
        <f>packes[[#This Row],[num]]*packes[[#This Row],[wtg]]</f>
        <v>570.68741893644619</v>
      </c>
      <c r="G4" s="357"/>
      <c r="H4" s="21">
        <f>packes[[#This Row],[num]]-SUM(packes[[#This Row],[num2]])</f>
        <v>500</v>
      </c>
      <c r="I4" s="357"/>
      <c r="J4" s="21"/>
      <c r="K4" s="323"/>
      <c r="M4" s="27">
        <f>_xlfn.XLOOKUP(packes[[#This Row],[productId]],CT[productId],CT[total],"NA")</f>
        <v>92.504999999999995</v>
      </c>
      <c r="N4" s="20" t="str">
        <f>_xlfn.XLOOKUP(packes[[#This Row],[productId]],bom[Id],bom[ph],"NA")</f>
        <v>YH</v>
      </c>
      <c r="O4" s="20" t="str">
        <f>_xlfn.XLOOKUP(packes[[#This Row],[productId]],bom[Id],bom[erth],"NA")</f>
        <v>sun</v>
      </c>
      <c r="P4" s="20" t="str">
        <f>_xlfn.XLOOKUP(packes[[#This Row],[productId]],bom[Id],bom[dbl],"NA")</f>
        <v>-</v>
      </c>
      <c r="Q4" s="20" t="str">
        <f>LEFT(packes[[#This Row],[date]],4)</f>
        <v>1403</v>
      </c>
    </row>
    <row r="5" spans="1:31" s="23" customFormat="1" ht="16.5" x14ac:dyDescent="0.25">
      <c r="A5" s="23">
        <v>3</v>
      </c>
      <c r="B5" s="30" t="s">
        <v>1504</v>
      </c>
      <c r="C5" s="23">
        <v>140030040</v>
      </c>
      <c r="D5" s="23">
        <v>2100</v>
      </c>
      <c r="E5" s="27">
        <f>_xlfn.XLOOKUP(packes[[#This Row],[productId]],bom[Id],bom[wgt])</f>
        <v>1.1092487279257708</v>
      </c>
      <c r="F5" s="27">
        <f>packes[[#This Row],[num]]*packes[[#This Row],[wtg]]</f>
        <v>2329.4223286441188</v>
      </c>
      <c r="G5" s="357"/>
      <c r="H5" s="21">
        <f>packes[[#This Row],[num]]-SUM(packes[[#This Row],[num2]])</f>
        <v>2100</v>
      </c>
      <c r="I5" s="357"/>
      <c r="J5" s="21"/>
      <c r="K5" s="323"/>
      <c r="M5" s="27">
        <f>_xlfn.XLOOKUP(packes[[#This Row],[productId]],CT[productId],CT[total],"NA")</f>
        <v>97.305000000000007</v>
      </c>
      <c r="N5" s="20" t="str">
        <f>_xlfn.XLOOKUP(packes[[#This Row],[productId]],bom[Id],bom[ph],"NA")</f>
        <v>YH</v>
      </c>
      <c r="O5" s="20" t="str">
        <f>_xlfn.XLOOKUP(packes[[#This Row],[productId]],bom[Id],bom[erth],"NA")</f>
        <v>sun</v>
      </c>
      <c r="P5" s="20" t="str">
        <f>_xlfn.XLOOKUP(packes[[#This Row],[productId]],bom[Id],bom[dbl],"NA")</f>
        <v>-</v>
      </c>
      <c r="Q5" s="20" t="str">
        <f>LEFT(packes[[#This Row],[date]],4)</f>
        <v>1403</v>
      </c>
    </row>
    <row r="6" spans="1:31" s="23" customFormat="1" ht="16.5" x14ac:dyDescent="0.25">
      <c r="A6" s="23">
        <v>4</v>
      </c>
      <c r="B6" s="30" t="s">
        <v>1504</v>
      </c>
      <c r="C6" s="23">
        <v>140010117</v>
      </c>
      <c r="D6" s="23">
        <v>900</v>
      </c>
      <c r="E6" s="27">
        <f>_xlfn.XLOOKUP(packes[[#This Row],[productId]],bom[Id],bom[wgt])</f>
        <v>1</v>
      </c>
      <c r="F6" s="27">
        <f>packes[[#This Row],[num]]*packes[[#This Row],[wtg]]</f>
        <v>900</v>
      </c>
      <c r="G6" s="357"/>
      <c r="H6" s="21">
        <f>packes[[#This Row],[num]]-SUM(packes[[#This Row],[num2]])</f>
        <v>900</v>
      </c>
      <c r="I6" s="357"/>
      <c r="J6" s="21"/>
      <c r="K6" s="323"/>
      <c r="M6" s="27">
        <f>_xlfn.XLOOKUP(packes[[#This Row],[productId]],CT[productId],CT[total],"NA")</f>
        <v>98.295000000000016</v>
      </c>
      <c r="N6" s="20" t="str">
        <f>_xlfn.XLOOKUP(packes[[#This Row],[productId]],bom[Id],bom[ph],"NA")</f>
        <v>nar.p</v>
      </c>
      <c r="O6" s="20" t="str">
        <f>_xlfn.XLOOKUP(packes[[#This Row],[productId]],bom[Id],bom[erth],"NA")</f>
        <v>-</v>
      </c>
      <c r="P6" s="20" t="str">
        <f>_xlfn.XLOOKUP(packes[[#This Row],[productId]],bom[Id],bom[dbl],"NA")</f>
        <v>nar.p</v>
      </c>
      <c r="Q6" s="20" t="str">
        <f>LEFT(packes[[#This Row],[date]],4)</f>
        <v>1403</v>
      </c>
    </row>
    <row r="7" spans="1:31" s="23" customFormat="1" ht="16.5" x14ac:dyDescent="0.25">
      <c r="A7" s="23">
        <v>5</v>
      </c>
      <c r="B7" s="30" t="s">
        <v>1505</v>
      </c>
      <c r="C7" s="23">
        <v>140030039</v>
      </c>
      <c r="D7" s="23">
        <v>300</v>
      </c>
      <c r="E7" s="27">
        <f>_xlfn.XLOOKUP(packes[[#This Row],[productId]],bom[Id],bom[wgt])</f>
        <v>1.1413748378728923</v>
      </c>
      <c r="F7" s="27">
        <f>packes[[#This Row],[num]]*packes[[#This Row],[wtg]]</f>
        <v>342.41245136186768</v>
      </c>
      <c r="G7" s="357"/>
      <c r="H7" s="21">
        <f>packes[[#This Row],[num]]-SUM(packes[[#This Row],[num2]])</f>
        <v>300</v>
      </c>
      <c r="I7" s="357"/>
      <c r="J7" s="21"/>
      <c r="K7" s="323"/>
      <c r="M7" s="27">
        <f>_xlfn.XLOOKUP(packes[[#This Row],[productId]],CT[productId],CT[total],"NA")</f>
        <v>92.504999999999995</v>
      </c>
      <c r="N7" s="20" t="str">
        <f>_xlfn.XLOOKUP(packes[[#This Row],[productId]],bom[Id],bom[ph],"NA")</f>
        <v>YH</v>
      </c>
      <c r="O7" s="20" t="str">
        <f>_xlfn.XLOOKUP(packes[[#This Row],[productId]],bom[Id],bom[erth],"NA")</f>
        <v>sun</v>
      </c>
      <c r="P7" s="20" t="str">
        <f>_xlfn.XLOOKUP(packes[[#This Row],[productId]],bom[Id],bom[dbl],"NA")</f>
        <v>-</v>
      </c>
      <c r="Q7" s="20" t="str">
        <f>LEFT(packes[[#This Row],[date]],4)</f>
        <v>1403</v>
      </c>
    </row>
    <row r="8" spans="1:31" s="23" customFormat="1" ht="16.5" x14ac:dyDescent="0.25">
      <c r="A8" s="23">
        <v>6</v>
      </c>
      <c r="B8" s="30" t="s">
        <v>1505</v>
      </c>
      <c r="C8" s="23">
        <v>140010117</v>
      </c>
      <c r="D8" s="23">
        <v>1200</v>
      </c>
      <c r="E8" s="27">
        <f>_xlfn.XLOOKUP(packes[[#This Row],[productId]],bom[Id],bom[wgt])</f>
        <v>1</v>
      </c>
      <c r="F8" s="27">
        <f>packes[[#This Row],[num]]*packes[[#This Row],[wtg]]</f>
        <v>1200</v>
      </c>
      <c r="G8" s="357"/>
      <c r="H8" s="21">
        <f>packes[[#This Row],[num]]-SUM(packes[[#This Row],[num2]])</f>
        <v>1200</v>
      </c>
      <c r="I8" s="357"/>
      <c r="J8" s="21"/>
      <c r="K8" s="323"/>
      <c r="M8" s="27">
        <f>_xlfn.XLOOKUP(packes[[#This Row],[productId]],CT[productId],CT[total],"NA")</f>
        <v>98.295000000000016</v>
      </c>
      <c r="N8" s="20" t="str">
        <f>_xlfn.XLOOKUP(packes[[#This Row],[productId]],bom[Id],bom[ph],"NA")</f>
        <v>nar.p</v>
      </c>
      <c r="O8" s="20" t="str">
        <f>_xlfn.XLOOKUP(packes[[#This Row],[productId]],bom[Id],bom[erth],"NA")</f>
        <v>-</v>
      </c>
      <c r="P8" s="20" t="str">
        <f>_xlfn.XLOOKUP(packes[[#This Row],[productId]],bom[Id],bom[dbl],"NA")</f>
        <v>nar.p</v>
      </c>
      <c r="Q8" s="20" t="str">
        <f>LEFT(packes[[#This Row],[date]],4)</f>
        <v>1403</v>
      </c>
    </row>
    <row r="9" spans="1:31" s="23" customFormat="1" ht="16.5" x14ac:dyDescent="0.25">
      <c r="A9" s="23">
        <v>7</v>
      </c>
      <c r="B9" s="30" t="s">
        <v>1505</v>
      </c>
      <c r="C9" s="23">
        <v>140010230</v>
      </c>
      <c r="D9" s="23">
        <v>150</v>
      </c>
      <c r="E9" s="27">
        <f>_xlfn.XLOOKUP(packes[[#This Row],[productId]],bom[Id],bom[wgt])</f>
        <v>1.4486680634540554</v>
      </c>
      <c r="F9" s="27">
        <f>packes[[#This Row],[num]]*packes[[#This Row],[wtg]]</f>
        <v>217.30020951810832</v>
      </c>
      <c r="G9" s="357"/>
      <c r="H9" s="21">
        <f>packes[[#This Row],[num]]-SUM(packes[[#This Row],[num2]])</f>
        <v>150</v>
      </c>
      <c r="I9" s="357"/>
      <c r="J9" s="21"/>
      <c r="K9" s="323"/>
      <c r="M9" s="27">
        <f>_xlfn.XLOOKUP(packes[[#This Row],[productId]],CT[productId],CT[total],"NA")</f>
        <v>147.595</v>
      </c>
      <c r="N9" s="20" t="str">
        <f>_xlfn.XLOOKUP(packes[[#This Row],[productId]],bom[Id],bom[ph],"NA")</f>
        <v>nar.p</v>
      </c>
      <c r="O9" s="20" t="str">
        <f>_xlfn.XLOOKUP(packes[[#This Row],[productId]],bom[Id],bom[erth],"NA")</f>
        <v>-</v>
      </c>
      <c r="P9" s="20" t="str">
        <f>_xlfn.XLOOKUP(packes[[#This Row],[productId]],bom[Id],bom[dbl],"NA")</f>
        <v>nar.p</v>
      </c>
      <c r="Q9" s="20" t="str">
        <f>LEFT(packes[[#This Row],[date]],4)</f>
        <v>1403</v>
      </c>
    </row>
    <row r="10" spans="1:31" s="23" customFormat="1" ht="16.5" x14ac:dyDescent="0.25">
      <c r="A10" s="23">
        <v>8</v>
      </c>
      <c r="B10" s="30" t="s">
        <v>1506</v>
      </c>
      <c r="C10" s="23">
        <v>140030039</v>
      </c>
      <c r="D10" s="23">
        <v>600</v>
      </c>
      <c r="E10" s="27">
        <f>_xlfn.XLOOKUP(packes[[#This Row],[productId]],bom[Id],bom[wgt])</f>
        <v>1.1413748378728923</v>
      </c>
      <c r="F10" s="27">
        <f>packes[[#This Row],[num]]*packes[[#This Row],[wtg]]</f>
        <v>684.82490272373536</v>
      </c>
      <c r="G10" s="357"/>
      <c r="H10" s="21">
        <f>packes[[#This Row],[num]]-SUM(packes[[#This Row],[num2]])</f>
        <v>600</v>
      </c>
      <c r="I10" s="357"/>
      <c r="J10" s="21"/>
      <c r="K10" s="323"/>
      <c r="M10" s="27">
        <f>_xlfn.XLOOKUP(packes[[#This Row],[productId]],CT[productId],CT[total],"NA")</f>
        <v>92.504999999999995</v>
      </c>
      <c r="N10" s="20" t="str">
        <f>_xlfn.XLOOKUP(packes[[#This Row],[productId]],bom[Id],bom[ph],"NA")</f>
        <v>YH</v>
      </c>
      <c r="O10" s="20" t="str">
        <f>_xlfn.XLOOKUP(packes[[#This Row],[productId]],bom[Id],bom[erth],"NA")</f>
        <v>sun</v>
      </c>
      <c r="P10" s="20" t="str">
        <f>_xlfn.XLOOKUP(packes[[#This Row],[productId]],bom[Id],bom[dbl],"NA")</f>
        <v>-</v>
      </c>
      <c r="Q10" s="20" t="str">
        <f>LEFT(packes[[#This Row],[date]],4)</f>
        <v>1403</v>
      </c>
    </row>
    <row r="11" spans="1:31" s="23" customFormat="1" ht="16.5" x14ac:dyDescent="0.25">
      <c r="A11" s="23">
        <v>9</v>
      </c>
      <c r="B11" s="30" t="s">
        <v>1506</v>
      </c>
      <c r="C11" s="23">
        <v>140010117</v>
      </c>
      <c r="D11" s="23">
        <v>1425</v>
      </c>
      <c r="E11" s="27">
        <f>_xlfn.XLOOKUP(packes[[#This Row],[productId]],bom[Id],bom[wgt])</f>
        <v>1</v>
      </c>
      <c r="F11" s="27">
        <f>packes[[#This Row],[num]]*packes[[#This Row],[wtg]]</f>
        <v>1425</v>
      </c>
      <c r="G11" s="357"/>
      <c r="H11" s="21">
        <f>packes[[#This Row],[num]]-SUM(packes[[#This Row],[num2]])</f>
        <v>1425</v>
      </c>
      <c r="I11" s="357"/>
      <c r="J11" s="21"/>
      <c r="K11" s="323"/>
      <c r="M11" s="27">
        <f>_xlfn.XLOOKUP(packes[[#This Row],[productId]],CT[productId],CT[total],"NA")</f>
        <v>98.295000000000016</v>
      </c>
      <c r="N11" s="20" t="str">
        <f>_xlfn.XLOOKUP(packes[[#This Row],[productId]],bom[Id],bom[ph],"NA")</f>
        <v>nar.p</v>
      </c>
      <c r="O11" s="20" t="str">
        <f>_xlfn.XLOOKUP(packes[[#This Row],[productId]],bom[Id],bom[erth],"NA")</f>
        <v>-</v>
      </c>
      <c r="P11" s="20" t="str">
        <f>_xlfn.XLOOKUP(packes[[#This Row],[productId]],bom[Id],bom[dbl],"NA")</f>
        <v>nar.p</v>
      </c>
      <c r="Q11" s="20" t="str">
        <f>LEFT(packes[[#This Row],[date]],4)</f>
        <v>1403</v>
      </c>
    </row>
    <row r="12" spans="1:31" s="23" customFormat="1" ht="16.5" x14ac:dyDescent="0.25">
      <c r="A12" s="23">
        <v>10</v>
      </c>
      <c r="B12" s="30" t="s">
        <v>1506</v>
      </c>
      <c r="C12" s="23">
        <v>140010230</v>
      </c>
      <c r="D12" s="23">
        <v>300</v>
      </c>
      <c r="E12" s="27">
        <f>_xlfn.XLOOKUP(packes[[#This Row],[productId]],bom[Id],bom[wgt])</f>
        <v>1.4486680634540554</v>
      </c>
      <c r="F12" s="27">
        <f>packes[[#This Row],[num]]*packes[[#This Row],[wtg]]</f>
        <v>434.60041903621664</v>
      </c>
      <c r="G12" s="357"/>
      <c r="H12" s="21">
        <f>packes[[#This Row],[num]]-SUM(packes[[#This Row],[num2]])</f>
        <v>300</v>
      </c>
      <c r="I12" s="357"/>
      <c r="J12" s="21"/>
      <c r="K12" s="323"/>
      <c r="M12" s="27">
        <f>_xlfn.XLOOKUP(packes[[#This Row],[productId]],CT[productId],CT[total],"NA")</f>
        <v>147.595</v>
      </c>
      <c r="N12" s="20" t="str">
        <f>_xlfn.XLOOKUP(packes[[#This Row],[productId]],bom[Id],bom[ph],"NA")</f>
        <v>nar.p</v>
      </c>
      <c r="O12" s="20" t="str">
        <f>_xlfn.XLOOKUP(packes[[#This Row],[productId]],bom[Id],bom[erth],"NA")</f>
        <v>-</v>
      </c>
      <c r="P12" s="20" t="str">
        <f>_xlfn.XLOOKUP(packes[[#This Row],[productId]],bom[Id],bom[dbl],"NA")</f>
        <v>nar.p</v>
      </c>
      <c r="Q12" s="20" t="str">
        <f>LEFT(packes[[#This Row],[date]],4)</f>
        <v>1403</v>
      </c>
    </row>
    <row r="13" spans="1:31" s="23" customFormat="1" ht="16.5" x14ac:dyDescent="0.25">
      <c r="A13" s="23">
        <v>11</v>
      </c>
      <c r="B13" s="30" t="s">
        <v>1511</v>
      </c>
      <c r="C13" s="23">
        <v>140030040</v>
      </c>
      <c r="D13" s="23">
        <v>600</v>
      </c>
      <c r="E13" s="27">
        <f>_xlfn.XLOOKUP(packes[[#This Row],[productId]],bom[Id],bom[wgt])</f>
        <v>1.1092487279257708</v>
      </c>
      <c r="F13" s="27">
        <f>packes[[#This Row],[num]]*packes[[#This Row],[wtg]]</f>
        <v>665.54923675546252</v>
      </c>
      <c r="G13" s="357"/>
      <c r="H13" s="21">
        <f>packes[[#This Row],[num]]-SUM(packes[[#This Row],[num2]])</f>
        <v>600</v>
      </c>
      <c r="I13" s="357"/>
      <c r="J13" s="21"/>
      <c r="K13" s="323"/>
      <c r="M13" s="27">
        <f>_xlfn.XLOOKUP(packes[[#This Row],[productId]],CT[productId],CT[total],"NA")</f>
        <v>97.305000000000007</v>
      </c>
      <c r="N13" s="20" t="str">
        <f>_xlfn.XLOOKUP(packes[[#This Row],[productId]],bom[Id],bom[ph],"NA")</f>
        <v>YH</v>
      </c>
      <c r="O13" s="20" t="str">
        <f>_xlfn.XLOOKUP(packes[[#This Row],[productId]],bom[Id],bom[erth],"NA")</f>
        <v>sun</v>
      </c>
      <c r="P13" s="20" t="str">
        <f>_xlfn.XLOOKUP(packes[[#This Row],[productId]],bom[Id],bom[dbl],"NA")</f>
        <v>-</v>
      </c>
      <c r="Q13" s="20" t="str">
        <f>LEFT(packes[[#This Row],[date]],4)</f>
        <v>1403</v>
      </c>
    </row>
    <row r="14" spans="1:31" s="23" customFormat="1" ht="16.5" x14ac:dyDescent="0.25">
      <c r="A14" s="23">
        <v>12</v>
      </c>
      <c r="B14" s="30" t="s">
        <v>1511</v>
      </c>
      <c r="C14" s="23">
        <v>140010117</v>
      </c>
      <c r="D14" s="23">
        <v>1200</v>
      </c>
      <c r="E14" s="27">
        <f>_xlfn.XLOOKUP(packes[[#This Row],[productId]],bom[Id],bom[wgt])</f>
        <v>1</v>
      </c>
      <c r="F14" s="27">
        <f>packes[[#This Row],[num]]*packes[[#This Row],[wtg]]</f>
        <v>1200</v>
      </c>
      <c r="G14" s="357"/>
      <c r="H14" s="21">
        <f>packes[[#This Row],[num]]-SUM(packes[[#This Row],[num2]])</f>
        <v>1200</v>
      </c>
      <c r="I14" s="357"/>
      <c r="J14" s="21"/>
      <c r="K14" s="323"/>
      <c r="M14" s="27">
        <f>_xlfn.XLOOKUP(packes[[#This Row],[productId]],CT[productId],CT[total],"NA")</f>
        <v>98.295000000000016</v>
      </c>
      <c r="N14" s="20" t="str">
        <f>_xlfn.XLOOKUP(packes[[#This Row],[productId]],bom[Id],bom[ph],"NA")</f>
        <v>nar.p</v>
      </c>
      <c r="O14" s="20" t="str">
        <f>_xlfn.XLOOKUP(packes[[#This Row],[productId]],bom[Id],bom[erth],"NA")</f>
        <v>-</v>
      </c>
      <c r="P14" s="20" t="str">
        <f>_xlfn.XLOOKUP(packes[[#This Row],[productId]],bom[Id],bom[dbl],"NA")</f>
        <v>nar.p</v>
      </c>
      <c r="Q14" s="20" t="str">
        <f>LEFT(packes[[#This Row],[date]],4)</f>
        <v>1403</v>
      </c>
    </row>
    <row r="15" spans="1:31" s="23" customFormat="1" ht="16.5" x14ac:dyDescent="0.25">
      <c r="A15" s="23">
        <v>13</v>
      </c>
      <c r="B15" s="30" t="s">
        <v>1522</v>
      </c>
      <c r="C15" s="23">
        <v>140010230</v>
      </c>
      <c r="D15" s="23">
        <v>900</v>
      </c>
      <c r="E15" s="27">
        <f>_xlfn.XLOOKUP(packes[[#This Row],[productId]],bom[Id],bom[wgt])</f>
        <v>1.4486680634540554</v>
      </c>
      <c r="F15" s="27">
        <f>packes[[#This Row],[num]]*packes[[#This Row],[wtg]]</f>
        <v>1303.8012571086499</v>
      </c>
      <c r="G15" s="357"/>
      <c r="H15" s="21">
        <f>packes[[#This Row],[num]]-SUM(packes[[#This Row],[num2]])</f>
        <v>900</v>
      </c>
      <c r="I15" s="357"/>
      <c r="J15" s="21"/>
      <c r="K15" s="323"/>
      <c r="M15" s="27">
        <f>_xlfn.XLOOKUP(packes[[#This Row],[productId]],CT[productId],CT[total],"NA")</f>
        <v>147.595</v>
      </c>
      <c r="N15" s="20" t="str">
        <f>_xlfn.XLOOKUP(packes[[#This Row],[productId]],bom[Id],bom[ph],"NA")</f>
        <v>nar.p</v>
      </c>
      <c r="O15" s="20" t="str">
        <f>_xlfn.XLOOKUP(packes[[#This Row],[productId]],bom[Id],bom[erth],"NA")</f>
        <v>-</v>
      </c>
      <c r="P15" s="20" t="str">
        <f>_xlfn.XLOOKUP(packes[[#This Row],[productId]],bom[Id],bom[dbl],"NA")</f>
        <v>nar.p</v>
      </c>
      <c r="Q15" s="20" t="str">
        <f>LEFT(packes[[#This Row],[date]],4)</f>
        <v>1403</v>
      </c>
    </row>
    <row r="16" spans="1:31" s="23" customFormat="1" ht="16.5" x14ac:dyDescent="0.25">
      <c r="A16" s="23">
        <v>14</v>
      </c>
      <c r="B16" s="30" t="s">
        <v>1512</v>
      </c>
      <c r="C16" s="23">
        <v>140030040</v>
      </c>
      <c r="D16" s="23">
        <v>312</v>
      </c>
      <c r="E16" s="27">
        <f>_xlfn.XLOOKUP(packes[[#This Row],[productId]],bom[Id],bom[wgt])</f>
        <v>1.1092487279257708</v>
      </c>
      <c r="F16" s="27">
        <f>packes[[#This Row],[num]]*packes[[#This Row],[wtg]]</f>
        <v>346.08560311284049</v>
      </c>
      <c r="G16" s="357"/>
      <c r="H16" s="21">
        <f>packes[[#This Row],[num]]-SUM(packes[[#This Row],[num2]])</f>
        <v>312</v>
      </c>
      <c r="I16" s="357"/>
      <c r="J16" s="21"/>
      <c r="K16" s="323"/>
      <c r="M16" s="27">
        <f>_xlfn.XLOOKUP(packes[[#This Row],[productId]],CT[productId],CT[total],"NA")</f>
        <v>97.305000000000007</v>
      </c>
      <c r="N16" s="20" t="str">
        <f>_xlfn.XLOOKUP(packes[[#This Row],[productId]],bom[Id],bom[ph],"NA")</f>
        <v>YH</v>
      </c>
      <c r="O16" s="20" t="str">
        <f>_xlfn.XLOOKUP(packes[[#This Row],[productId]],bom[Id],bom[erth],"NA")</f>
        <v>sun</v>
      </c>
      <c r="P16" s="20" t="str">
        <f>_xlfn.XLOOKUP(packes[[#This Row],[productId]],bom[Id],bom[dbl],"NA")</f>
        <v>-</v>
      </c>
      <c r="Q16" s="20" t="str">
        <f>LEFT(packes[[#This Row],[date]],4)</f>
        <v>1403</v>
      </c>
    </row>
    <row r="17" spans="1:17" s="23" customFormat="1" ht="16.5" x14ac:dyDescent="0.25">
      <c r="A17" s="23">
        <v>15</v>
      </c>
      <c r="B17" s="30" t="s">
        <v>1512</v>
      </c>
      <c r="C17" s="23">
        <v>140010117</v>
      </c>
      <c r="D17" s="23">
        <v>1999</v>
      </c>
      <c r="E17" s="27">
        <f>_xlfn.XLOOKUP(packes[[#This Row],[productId]],bom[Id],bom[wgt])</f>
        <v>1</v>
      </c>
      <c r="F17" s="27">
        <f>packes[[#This Row],[num]]*packes[[#This Row],[wtg]]</f>
        <v>1999</v>
      </c>
      <c r="G17" s="357"/>
      <c r="H17" s="21">
        <f>packes[[#This Row],[num]]-SUM(packes[[#This Row],[num2]])</f>
        <v>1999</v>
      </c>
      <c r="I17" s="357"/>
      <c r="J17" s="21"/>
      <c r="K17" s="323"/>
      <c r="M17" s="27">
        <f>_xlfn.XLOOKUP(packes[[#This Row],[productId]],CT[productId],CT[total],"NA")</f>
        <v>98.295000000000016</v>
      </c>
      <c r="N17" s="20" t="str">
        <f>_xlfn.XLOOKUP(packes[[#This Row],[productId]],bom[Id],bom[ph],"NA")</f>
        <v>nar.p</v>
      </c>
      <c r="O17" s="20" t="str">
        <f>_xlfn.XLOOKUP(packes[[#This Row],[productId]],bom[Id],bom[erth],"NA")</f>
        <v>-</v>
      </c>
      <c r="P17" s="20" t="str">
        <f>_xlfn.XLOOKUP(packes[[#This Row],[productId]],bom[Id],bom[dbl],"NA")</f>
        <v>nar.p</v>
      </c>
      <c r="Q17" s="20" t="str">
        <f>LEFT(packes[[#This Row],[date]],4)</f>
        <v>1403</v>
      </c>
    </row>
    <row r="18" spans="1:17" s="23" customFormat="1" ht="16.5" x14ac:dyDescent="0.25">
      <c r="A18" s="23">
        <v>16</v>
      </c>
      <c r="B18" s="30" t="s">
        <v>1512</v>
      </c>
      <c r="C18" s="23">
        <v>140010230</v>
      </c>
      <c r="D18" s="23">
        <v>625</v>
      </c>
      <c r="E18" s="27">
        <f>_xlfn.XLOOKUP(packes[[#This Row],[productId]],bom[Id],bom[wgt])</f>
        <v>1.4486680634540554</v>
      </c>
      <c r="F18" s="27">
        <f>packes[[#This Row],[num]]*packes[[#This Row],[wtg]]</f>
        <v>905.41753965878468</v>
      </c>
      <c r="G18" s="357"/>
      <c r="H18" s="21">
        <f>packes[[#This Row],[num]]-SUM(packes[[#This Row],[num2]])</f>
        <v>625</v>
      </c>
      <c r="I18" s="357"/>
      <c r="J18" s="21"/>
      <c r="K18" s="323"/>
      <c r="M18" s="27">
        <f>_xlfn.XLOOKUP(packes[[#This Row],[productId]],CT[productId],CT[total],"NA")</f>
        <v>147.595</v>
      </c>
      <c r="N18" s="20" t="str">
        <f>_xlfn.XLOOKUP(packes[[#This Row],[productId]],bom[Id],bom[ph],"NA")</f>
        <v>nar.p</v>
      </c>
      <c r="O18" s="20" t="str">
        <f>_xlfn.XLOOKUP(packes[[#This Row],[productId]],bom[Id],bom[erth],"NA")</f>
        <v>-</v>
      </c>
      <c r="P18" s="20" t="str">
        <f>_xlfn.XLOOKUP(packes[[#This Row],[productId]],bom[Id],bom[dbl],"NA")</f>
        <v>nar.p</v>
      </c>
      <c r="Q18" s="20" t="str">
        <f>LEFT(packes[[#This Row],[date]],4)</f>
        <v>1403</v>
      </c>
    </row>
    <row r="19" spans="1:17" s="23" customFormat="1" ht="16.5" x14ac:dyDescent="0.25">
      <c r="A19" s="23">
        <v>17</v>
      </c>
      <c r="B19" s="30" t="s">
        <v>1519</v>
      </c>
      <c r="C19" s="23">
        <v>140010117</v>
      </c>
      <c r="D19" s="23">
        <v>300</v>
      </c>
      <c r="E19" s="27">
        <f>_xlfn.XLOOKUP(packes[[#This Row],[productId]],bom[Id],bom[wgt])</f>
        <v>1</v>
      </c>
      <c r="F19" s="27">
        <f>packes[[#This Row],[num]]*packes[[#This Row],[wtg]]</f>
        <v>300</v>
      </c>
      <c r="G19" s="357"/>
      <c r="H19" s="21">
        <f>packes[[#This Row],[num]]-SUM(packes[[#This Row],[num2]])</f>
        <v>300</v>
      </c>
      <c r="I19" s="357"/>
      <c r="J19" s="21"/>
      <c r="K19" s="323"/>
      <c r="M19" s="27">
        <f>_xlfn.XLOOKUP(packes[[#This Row],[productId]],CT[productId],CT[total],"NA")</f>
        <v>98.295000000000016</v>
      </c>
      <c r="N19" s="20" t="str">
        <f>_xlfn.XLOOKUP(packes[[#This Row],[productId]],bom[Id],bom[ph],"NA")</f>
        <v>nar.p</v>
      </c>
      <c r="O19" s="20" t="str">
        <f>_xlfn.XLOOKUP(packes[[#This Row],[productId]],bom[Id],bom[erth],"NA")</f>
        <v>-</v>
      </c>
      <c r="P19" s="20" t="str">
        <f>_xlfn.XLOOKUP(packes[[#This Row],[productId]],bom[Id],bom[dbl],"NA")</f>
        <v>nar.p</v>
      </c>
      <c r="Q19" s="20" t="str">
        <f>LEFT(packes[[#This Row],[date]],4)</f>
        <v>1403</v>
      </c>
    </row>
    <row r="20" spans="1:17" s="23" customFormat="1" ht="16.5" x14ac:dyDescent="0.25">
      <c r="A20" s="23">
        <v>18</v>
      </c>
      <c r="B20" s="30" t="s">
        <v>1519</v>
      </c>
      <c r="C20" s="23">
        <v>140010230</v>
      </c>
      <c r="D20" s="23">
        <v>300</v>
      </c>
      <c r="E20" s="27">
        <f>_xlfn.XLOOKUP(packes[[#This Row],[productId]],bom[Id],bom[wgt])</f>
        <v>1.4486680634540554</v>
      </c>
      <c r="F20" s="27">
        <f>packes[[#This Row],[num]]*packes[[#This Row],[wtg]]</f>
        <v>434.60041903621664</v>
      </c>
      <c r="G20" s="357"/>
      <c r="H20" s="21">
        <f>packes[[#This Row],[num]]-SUM(packes[[#This Row],[num2]])</f>
        <v>300</v>
      </c>
      <c r="I20" s="357"/>
      <c r="J20" s="21"/>
      <c r="K20" s="323"/>
      <c r="M20" s="27">
        <f>_xlfn.XLOOKUP(packes[[#This Row],[productId]],CT[productId],CT[total],"NA")</f>
        <v>147.595</v>
      </c>
      <c r="N20" s="20" t="str">
        <f>_xlfn.XLOOKUP(packes[[#This Row],[productId]],bom[Id],bom[ph],"NA")</f>
        <v>nar.p</v>
      </c>
      <c r="O20" s="20" t="str">
        <f>_xlfn.XLOOKUP(packes[[#This Row],[productId]],bom[Id],bom[erth],"NA")</f>
        <v>-</v>
      </c>
      <c r="P20" s="20" t="str">
        <f>_xlfn.XLOOKUP(packes[[#This Row],[productId]],bom[Id],bom[dbl],"NA")</f>
        <v>nar.p</v>
      </c>
      <c r="Q20" s="20" t="str">
        <f>LEFT(packes[[#This Row],[date]],4)</f>
        <v>1403</v>
      </c>
    </row>
    <row r="21" spans="1:17" s="23" customFormat="1" ht="16.5" x14ac:dyDescent="0.25">
      <c r="A21" s="23">
        <v>19</v>
      </c>
      <c r="B21" s="30" t="s">
        <v>1507</v>
      </c>
      <c r="C21" s="23">
        <v>140030039</v>
      </c>
      <c r="D21" s="23">
        <v>300</v>
      </c>
      <c r="E21" s="27">
        <f>_xlfn.XLOOKUP(packes[[#This Row],[productId]],bom[Id],bom[wgt])</f>
        <v>1.1413748378728923</v>
      </c>
      <c r="F21" s="27">
        <f>packes[[#This Row],[num]]*packes[[#This Row],[wtg]]</f>
        <v>342.41245136186768</v>
      </c>
      <c r="G21" s="357"/>
      <c r="H21" s="21">
        <f>packes[[#This Row],[num]]-SUM(packes[[#This Row],[num2]])</f>
        <v>300</v>
      </c>
      <c r="I21" s="357"/>
      <c r="J21" s="21"/>
      <c r="K21" s="323"/>
      <c r="M21" s="27">
        <f>_xlfn.XLOOKUP(packes[[#This Row],[productId]],CT[productId],CT[total],"NA")</f>
        <v>92.504999999999995</v>
      </c>
      <c r="N21" s="20" t="str">
        <f>_xlfn.XLOOKUP(packes[[#This Row],[productId]],bom[Id],bom[ph],"NA")</f>
        <v>YH</v>
      </c>
      <c r="O21" s="20" t="str">
        <f>_xlfn.XLOOKUP(packes[[#This Row],[productId]],bom[Id],bom[erth],"NA")</f>
        <v>sun</v>
      </c>
      <c r="P21" s="20" t="str">
        <f>_xlfn.XLOOKUP(packes[[#This Row],[productId]],bom[Id],bom[dbl],"NA")</f>
        <v>-</v>
      </c>
      <c r="Q21" s="20" t="str">
        <f>LEFT(packes[[#This Row],[date]],4)</f>
        <v>1403</v>
      </c>
    </row>
    <row r="22" spans="1:17" s="23" customFormat="1" ht="16.5" x14ac:dyDescent="0.25">
      <c r="A22" s="23">
        <v>20</v>
      </c>
      <c r="B22" s="30" t="s">
        <v>1507</v>
      </c>
      <c r="C22" s="23">
        <v>140030040</v>
      </c>
      <c r="D22" s="23">
        <v>1500</v>
      </c>
      <c r="E22" s="27">
        <f>_xlfn.XLOOKUP(packes[[#This Row],[productId]],bom[Id],bom[wgt])</f>
        <v>1.1092487279257708</v>
      </c>
      <c r="F22" s="27">
        <f>packes[[#This Row],[num]]*packes[[#This Row],[wtg]]</f>
        <v>1663.8730918886561</v>
      </c>
      <c r="G22" s="357"/>
      <c r="H22" s="21">
        <f>packes[[#This Row],[num]]-SUM(packes[[#This Row],[num2]])</f>
        <v>1500</v>
      </c>
      <c r="I22" s="357"/>
      <c r="J22" s="21"/>
      <c r="K22" s="323"/>
      <c r="M22" s="27">
        <f>_xlfn.XLOOKUP(packes[[#This Row],[productId]],CT[productId],CT[total],"NA")</f>
        <v>97.305000000000007</v>
      </c>
      <c r="N22" s="20" t="str">
        <f>_xlfn.XLOOKUP(packes[[#This Row],[productId]],bom[Id],bom[ph],"NA")</f>
        <v>YH</v>
      </c>
      <c r="O22" s="20" t="str">
        <f>_xlfn.XLOOKUP(packes[[#This Row],[productId]],bom[Id],bom[erth],"NA")</f>
        <v>sun</v>
      </c>
      <c r="P22" s="20" t="str">
        <f>_xlfn.XLOOKUP(packes[[#This Row],[productId]],bom[Id],bom[dbl],"NA")</f>
        <v>-</v>
      </c>
      <c r="Q22" s="20" t="str">
        <f>LEFT(packes[[#This Row],[date]],4)</f>
        <v>1403</v>
      </c>
    </row>
    <row r="23" spans="1:17" s="23" customFormat="1" ht="16.5" x14ac:dyDescent="0.25">
      <c r="A23" s="23">
        <v>21</v>
      </c>
      <c r="B23" s="30" t="s">
        <v>1507</v>
      </c>
      <c r="C23" s="23">
        <v>140010230</v>
      </c>
      <c r="D23" s="23">
        <v>850</v>
      </c>
      <c r="E23" s="27">
        <f>_xlfn.XLOOKUP(packes[[#This Row],[productId]],bom[Id],bom[wgt])</f>
        <v>1.4486680634540554</v>
      </c>
      <c r="F23" s="27">
        <f>packes[[#This Row],[num]]*packes[[#This Row],[wtg]]</f>
        <v>1231.3678539359471</v>
      </c>
      <c r="G23" s="357"/>
      <c r="H23" s="21">
        <f>packes[[#This Row],[num]]-SUM(packes[[#This Row],[num2]])</f>
        <v>850</v>
      </c>
      <c r="I23" s="357"/>
      <c r="J23" s="21"/>
      <c r="K23" s="323"/>
      <c r="M23" s="27">
        <f>_xlfn.XLOOKUP(packes[[#This Row],[productId]],CT[productId],CT[total],"NA")</f>
        <v>147.595</v>
      </c>
      <c r="N23" s="20" t="str">
        <f>_xlfn.XLOOKUP(packes[[#This Row],[productId]],bom[Id],bom[ph],"NA")</f>
        <v>nar.p</v>
      </c>
      <c r="O23" s="20" t="str">
        <f>_xlfn.XLOOKUP(packes[[#This Row],[productId]],bom[Id],bom[erth],"NA")</f>
        <v>-</v>
      </c>
      <c r="P23" s="20" t="str">
        <f>_xlfn.XLOOKUP(packes[[#This Row],[productId]],bom[Id],bom[dbl],"NA")</f>
        <v>nar.p</v>
      </c>
      <c r="Q23" s="20" t="str">
        <f>LEFT(packes[[#This Row],[date]],4)</f>
        <v>1403</v>
      </c>
    </row>
    <row r="24" spans="1:17" s="23" customFormat="1" ht="16.5" x14ac:dyDescent="0.25">
      <c r="A24" s="23">
        <v>22</v>
      </c>
      <c r="B24" s="30" t="s">
        <v>1508</v>
      </c>
      <c r="C24" s="23">
        <v>140030039</v>
      </c>
      <c r="D24" s="23">
        <v>1000</v>
      </c>
      <c r="E24" s="27">
        <f>_xlfn.XLOOKUP(packes[[#This Row],[productId]],bom[Id],bom[wgt])</f>
        <v>1.1413748378728923</v>
      </c>
      <c r="F24" s="27">
        <f>packes[[#This Row],[num]]*packes[[#This Row],[wtg]]</f>
        <v>1141.3748378728924</v>
      </c>
      <c r="G24" s="357"/>
      <c r="H24" s="21">
        <f>packes[[#This Row],[num]]-SUM(packes[[#This Row],[num2]])</f>
        <v>1000</v>
      </c>
      <c r="I24" s="357"/>
      <c r="J24" s="21"/>
      <c r="K24" s="323"/>
      <c r="M24" s="27">
        <f>_xlfn.XLOOKUP(packes[[#This Row],[productId]],CT[productId],CT[total],"NA")</f>
        <v>92.504999999999995</v>
      </c>
      <c r="N24" s="20" t="str">
        <f>_xlfn.XLOOKUP(packes[[#This Row],[productId]],bom[Id],bom[ph],"NA")</f>
        <v>YH</v>
      </c>
      <c r="O24" s="20" t="str">
        <f>_xlfn.XLOOKUP(packes[[#This Row],[productId]],bom[Id],bom[erth],"NA")</f>
        <v>sun</v>
      </c>
      <c r="P24" s="20" t="str">
        <f>_xlfn.XLOOKUP(packes[[#This Row],[productId]],bom[Id],bom[dbl],"NA")</f>
        <v>-</v>
      </c>
      <c r="Q24" s="20" t="str">
        <f>LEFT(packes[[#This Row],[date]],4)</f>
        <v>1403</v>
      </c>
    </row>
    <row r="25" spans="1:17" s="23" customFormat="1" ht="16.5" x14ac:dyDescent="0.25">
      <c r="A25" s="23">
        <v>23</v>
      </c>
      <c r="B25" s="30" t="s">
        <v>1508</v>
      </c>
      <c r="C25" s="23">
        <v>140030040</v>
      </c>
      <c r="D25" s="23">
        <v>3500</v>
      </c>
      <c r="E25" s="27">
        <f>_xlfn.XLOOKUP(packes[[#This Row],[productId]],bom[Id],bom[wgt])</f>
        <v>1.1092487279257708</v>
      </c>
      <c r="F25" s="27">
        <f>packes[[#This Row],[num]]*packes[[#This Row],[wtg]]</f>
        <v>3882.3705477401977</v>
      </c>
      <c r="G25" s="357"/>
      <c r="H25" s="21">
        <f>packes[[#This Row],[num]]-SUM(packes[[#This Row],[num2]])</f>
        <v>3500</v>
      </c>
      <c r="I25" s="357"/>
      <c r="J25" s="21"/>
      <c r="K25" s="323"/>
      <c r="M25" s="27">
        <f>_xlfn.XLOOKUP(packes[[#This Row],[productId]],CT[productId],CT[total],"NA")</f>
        <v>97.305000000000007</v>
      </c>
      <c r="N25" s="20" t="str">
        <f>_xlfn.XLOOKUP(packes[[#This Row],[productId]],bom[Id],bom[ph],"NA")</f>
        <v>YH</v>
      </c>
      <c r="O25" s="20" t="str">
        <f>_xlfn.XLOOKUP(packes[[#This Row],[productId]],bom[Id],bom[erth],"NA")</f>
        <v>sun</v>
      </c>
      <c r="P25" s="20" t="str">
        <f>_xlfn.XLOOKUP(packes[[#This Row],[productId]],bom[Id],bom[dbl],"NA")</f>
        <v>-</v>
      </c>
      <c r="Q25" s="20" t="str">
        <f>LEFT(packes[[#This Row],[date]],4)</f>
        <v>1403</v>
      </c>
    </row>
    <row r="26" spans="1:17" s="23" customFormat="1" ht="16.5" x14ac:dyDescent="0.25">
      <c r="A26" s="23">
        <v>24</v>
      </c>
      <c r="B26" s="30" t="s">
        <v>1508</v>
      </c>
      <c r="C26" s="23">
        <v>140010117</v>
      </c>
      <c r="D26" s="23">
        <v>1200</v>
      </c>
      <c r="E26" s="27">
        <f>_xlfn.XLOOKUP(packes[[#This Row],[productId]],bom[Id],bom[wgt])</f>
        <v>1</v>
      </c>
      <c r="F26" s="27">
        <f>packes[[#This Row],[num]]*packes[[#This Row],[wtg]]</f>
        <v>1200</v>
      </c>
      <c r="G26" s="357"/>
      <c r="H26" s="21">
        <f>packes[[#This Row],[num]]-SUM(packes[[#This Row],[num2]])</f>
        <v>1200</v>
      </c>
      <c r="I26" s="357"/>
      <c r="J26" s="21"/>
      <c r="K26" s="323"/>
      <c r="M26" s="27">
        <f>_xlfn.XLOOKUP(packes[[#This Row],[productId]],CT[productId],CT[total],"NA")</f>
        <v>98.295000000000016</v>
      </c>
      <c r="N26" s="20" t="str">
        <f>_xlfn.XLOOKUP(packes[[#This Row],[productId]],bom[Id],bom[ph],"NA")</f>
        <v>nar.p</v>
      </c>
      <c r="O26" s="20" t="str">
        <f>_xlfn.XLOOKUP(packes[[#This Row],[productId]],bom[Id],bom[erth],"NA")</f>
        <v>-</v>
      </c>
      <c r="P26" s="20" t="str">
        <f>_xlfn.XLOOKUP(packes[[#This Row],[productId]],bom[Id],bom[dbl],"NA")</f>
        <v>nar.p</v>
      </c>
      <c r="Q26" s="20" t="str">
        <f>LEFT(packes[[#This Row],[date]],4)</f>
        <v>1403</v>
      </c>
    </row>
    <row r="27" spans="1:17" s="23" customFormat="1" ht="16.5" x14ac:dyDescent="0.25">
      <c r="A27" s="23">
        <v>25</v>
      </c>
      <c r="B27" s="30" t="s">
        <v>1520</v>
      </c>
      <c r="C27" s="23">
        <v>140010117</v>
      </c>
      <c r="D27" s="23">
        <v>900</v>
      </c>
      <c r="E27" s="27">
        <f>_xlfn.XLOOKUP(packes[[#This Row],[productId]],bom[Id],bom[wgt])</f>
        <v>1</v>
      </c>
      <c r="F27" s="27">
        <f>packes[[#This Row],[num]]*packes[[#This Row],[wtg]]</f>
        <v>900</v>
      </c>
      <c r="G27" s="357"/>
      <c r="H27" s="21">
        <f>packes[[#This Row],[num]]-SUM(packes[[#This Row],[num2]])</f>
        <v>900</v>
      </c>
      <c r="I27" s="357"/>
      <c r="J27" s="21"/>
      <c r="K27" s="323"/>
      <c r="M27" s="27">
        <f>_xlfn.XLOOKUP(packes[[#This Row],[productId]],CT[productId],CT[total],"NA")</f>
        <v>98.295000000000016</v>
      </c>
      <c r="N27" s="20" t="str">
        <f>_xlfn.XLOOKUP(packes[[#This Row],[productId]],bom[Id],bom[ph],"NA")</f>
        <v>nar.p</v>
      </c>
      <c r="O27" s="20" t="str">
        <f>_xlfn.XLOOKUP(packes[[#This Row],[productId]],bom[Id],bom[erth],"NA")</f>
        <v>-</v>
      </c>
      <c r="P27" s="20" t="str">
        <f>_xlfn.XLOOKUP(packes[[#This Row],[productId]],bom[Id],bom[dbl],"NA")</f>
        <v>nar.p</v>
      </c>
      <c r="Q27" s="20" t="str">
        <f>LEFT(packes[[#This Row],[date]],4)</f>
        <v>1403</v>
      </c>
    </row>
    <row r="28" spans="1:17" s="23" customFormat="1" ht="16.5" x14ac:dyDescent="0.25">
      <c r="A28" s="23">
        <v>26</v>
      </c>
      <c r="B28" s="30" t="s">
        <v>1520</v>
      </c>
      <c r="C28" s="23">
        <v>140010230</v>
      </c>
      <c r="D28" s="23">
        <v>1500</v>
      </c>
      <c r="E28" s="27">
        <f>_xlfn.XLOOKUP(packes[[#This Row],[productId]],bom[Id],bom[wgt])</f>
        <v>1.4486680634540554</v>
      </c>
      <c r="F28" s="27">
        <f>packes[[#This Row],[num]]*packes[[#This Row],[wtg]]</f>
        <v>2173.002095181083</v>
      </c>
      <c r="G28" s="357"/>
      <c r="H28" s="21">
        <f>packes[[#This Row],[num]]-SUM(packes[[#This Row],[num2]])</f>
        <v>1500</v>
      </c>
      <c r="I28" s="357"/>
      <c r="J28" s="21"/>
      <c r="K28" s="323"/>
      <c r="M28" s="27">
        <f>_xlfn.XLOOKUP(packes[[#This Row],[productId]],CT[productId],CT[total],"NA")</f>
        <v>147.595</v>
      </c>
      <c r="N28" s="20" t="str">
        <f>_xlfn.XLOOKUP(packes[[#This Row],[productId]],bom[Id],bom[ph],"NA")</f>
        <v>nar.p</v>
      </c>
      <c r="O28" s="20" t="str">
        <f>_xlfn.XLOOKUP(packes[[#This Row],[productId]],bom[Id],bom[erth],"NA")</f>
        <v>-</v>
      </c>
      <c r="P28" s="20" t="str">
        <f>_xlfn.XLOOKUP(packes[[#This Row],[productId]],bom[Id],bom[dbl],"NA")</f>
        <v>nar.p</v>
      </c>
      <c r="Q28" s="20" t="str">
        <f>LEFT(packes[[#This Row],[date]],4)</f>
        <v>1403</v>
      </c>
    </row>
    <row r="29" spans="1:17" s="23" customFormat="1" ht="16.5" x14ac:dyDescent="0.25">
      <c r="A29" s="23">
        <v>27</v>
      </c>
      <c r="B29" s="30" t="s">
        <v>1509</v>
      </c>
      <c r="C29" s="23">
        <v>140030039</v>
      </c>
      <c r="D29" s="23">
        <v>309</v>
      </c>
      <c r="E29" s="27">
        <f>_xlfn.XLOOKUP(packes[[#This Row],[productId]],bom[Id],bom[wgt])</f>
        <v>1.1413748378728923</v>
      </c>
      <c r="F29" s="27">
        <f>packes[[#This Row],[num]]*packes[[#This Row],[wtg]]</f>
        <v>352.68482490272373</v>
      </c>
      <c r="G29" s="357"/>
      <c r="H29" s="21">
        <f>packes[[#This Row],[num]]-SUM(packes[[#This Row],[num2]])</f>
        <v>309</v>
      </c>
      <c r="I29" s="357"/>
      <c r="J29" s="21"/>
      <c r="K29" s="323"/>
      <c r="M29" s="27">
        <f>_xlfn.XLOOKUP(packes[[#This Row],[productId]],CT[productId],CT[total],"NA")</f>
        <v>92.504999999999995</v>
      </c>
      <c r="N29" s="20" t="str">
        <f>_xlfn.XLOOKUP(packes[[#This Row],[productId]],bom[Id],bom[ph],"NA")</f>
        <v>YH</v>
      </c>
      <c r="O29" s="20" t="str">
        <f>_xlfn.XLOOKUP(packes[[#This Row],[productId]],bom[Id],bom[erth],"NA")</f>
        <v>sun</v>
      </c>
      <c r="P29" s="20" t="str">
        <f>_xlfn.XLOOKUP(packes[[#This Row],[productId]],bom[Id],bom[dbl],"NA")</f>
        <v>-</v>
      </c>
      <c r="Q29" s="20" t="str">
        <f>LEFT(packes[[#This Row],[date]],4)</f>
        <v>1403</v>
      </c>
    </row>
    <row r="30" spans="1:17" s="23" customFormat="1" ht="16.5" x14ac:dyDescent="0.25">
      <c r="A30" s="23">
        <v>28</v>
      </c>
      <c r="B30" s="30" t="s">
        <v>1509</v>
      </c>
      <c r="C30" s="23">
        <v>140030040</v>
      </c>
      <c r="D30" s="23">
        <v>200</v>
      </c>
      <c r="E30" s="27">
        <f>_xlfn.XLOOKUP(packes[[#This Row],[productId]],bom[Id],bom[wgt])</f>
        <v>1.1092487279257708</v>
      </c>
      <c r="F30" s="27">
        <f>packes[[#This Row],[num]]*packes[[#This Row],[wtg]]</f>
        <v>221.84974558515415</v>
      </c>
      <c r="G30" s="357"/>
      <c r="H30" s="21">
        <f>packes[[#This Row],[num]]-SUM(packes[[#This Row],[num2]])</f>
        <v>200</v>
      </c>
      <c r="I30" s="357"/>
      <c r="J30" s="21"/>
      <c r="K30" s="323"/>
      <c r="M30" s="27">
        <f>_xlfn.XLOOKUP(packes[[#This Row],[productId]],CT[productId],CT[total],"NA")</f>
        <v>97.305000000000007</v>
      </c>
      <c r="N30" s="20" t="str">
        <f>_xlfn.XLOOKUP(packes[[#This Row],[productId]],bom[Id],bom[ph],"NA")</f>
        <v>YH</v>
      </c>
      <c r="O30" s="20" t="str">
        <f>_xlfn.XLOOKUP(packes[[#This Row],[productId]],bom[Id],bom[erth],"NA")</f>
        <v>sun</v>
      </c>
      <c r="P30" s="20" t="str">
        <f>_xlfn.XLOOKUP(packes[[#This Row],[productId]],bom[Id],bom[dbl],"NA")</f>
        <v>-</v>
      </c>
      <c r="Q30" s="20" t="str">
        <f>LEFT(packes[[#This Row],[date]],4)</f>
        <v>1403</v>
      </c>
    </row>
    <row r="31" spans="1:17" s="23" customFormat="1" ht="16.5" x14ac:dyDescent="0.25">
      <c r="A31" s="23">
        <v>29</v>
      </c>
      <c r="B31" s="30" t="s">
        <v>1509</v>
      </c>
      <c r="C31" s="23">
        <v>140550060</v>
      </c>
      <c r="D31" s="23">
        <v>2500</v>
      </c>
      <c r="E31" s="27">
        <f>_xlfn.XLOOKUP(packes[[#This Row],[productId]],bom[Id],bom[wgt])</f>
        <v>1.1972463334331038</v>
      </c>
      <c r="F31" s="27">
        <f>packes[[#This Row],[num]]*packes[[#This Row],[wtg]]</f>
        <v>2993.1158335827595</v>
      </c>
      <c r="G31" s="357"/>
      <c r="H31" s="21">
        <f>packes[[#This Row],[num]]-SUM(packes[[#This Row],[num2]])</f>
        <v>2500</v>
      </c>
      <c r="I31" s="357"/>
      <c r="J31" s="21"/>
      <c r="K31" s="323"/>
      <c r="M31" s="27">
        <f>_xlfn.XLOOKUP(packes[[#This Row],[productId]],CT[productId],CT[total],"NA")</f>
        <v>81.220000000000013</v>
      </c>
      <c r="N31" s="20" t="str">
        <f>_xlfn.XLOOKUP(packes[[#This Row],[productId]],bom[Id],bom[ph],"NA")</f>
        <v>radio</v>
      </c>
      <c r="O31" s="20" t="str">
        <f>_xlfn.XLOOKUP(packes[[#This Row],[productId]],bom[Id],bom[erth],"NA")</f>
        <v>-</v>
      </c>
      <c r="P31" s="20" t="str">
        <f>_xlfn.XLOOKUP(packes[[#This Row],[productId]],bom[Id],bom[dbl],"NA")</f>
        <v>-</v>
      </c>
      <c r="Q31" s="20" t="str">
        <f>LEFT(packes[[#This Row],[date]],4)</f>
        <v>1403</v>
      </c>
    </row>
    <row r="32" spans="1:17" s="23" customFormat="1" ht="16.5" x14ac:dyDescent="0.25">
      <c r="A32" s="23">
        <v>30</v>
      </c>
      <c r="B32" s="30" t="s">
        <v>1509</v>
      </c>
      <c r="C32" s="23">
        <v>140010117</v>
      </c>
      <c r="D32" s="23">
        <v>476</v>
      </c>
      <c r="E32" s="27">
        <f>_xlfn.XLOOKUP(packes[[#This Row],[productId]],bom[Id],bom[wgt])</f>
        <v>1</v>
      </c>
      <c r="F32" s="27">
        <f>packes[[#This Row],[num]]*packes[[#This Row],[wtg]]</f>
        <v>476</v>
      </c>
      <c r="G32" s="357"/>
      <c r="H32" s="21">
        <f>packes[[#This Row],[num]]-SUM(packes[[#This Row],[num2]])</f>
        <v>476</v>
      </c>
      <c r="I32" s="357"/>
      <c r="J32" s="21"/>
      <c r="K32" s="323"/>
      <c r="M32" s="27">
        <f>_xlfn.XLOOKUP(packes[[#This Row],[productId]],CT[productId],CT[total],"NA")</f>
        <v>98.295000000000016</v>
      </c>
      <c r="N32" s="20" t="str">
        <f>_xlfn.XLOOKUP(packes[[#This Row],[productId]],bom[Id],bom[ph],"NA")</f>
        <v>nar.p</v>
      </c>
      <c r="O32" s="20" t="str">
        <f>_xlfn.XLOOKUP(packes[[#This Row],[productId]],bom[Id],bom[erth],"NA")</f>
        <v>-</v>
      </c>
      <c r="P32" s="20" t="str">
        <f>_xlfn.XLOOKUP(packes[[#This Row],[productId]],bom[Id],bom[dbl],"NA")</f>
        <v>nar.p</v>
      </c>
      <c r="Q32" s="20" t="str">
        <f>LEFT(packes[[#This Row],[date]],4)</f>
        <v>1403</v>
      </c>
    </row>
    <row r="33" spans="1:17" s="23" customFormat="1" ht="16.5" x14ac:dyDescent="0.25">
      <c r="A33" s="23">
        <v>31</v>
      </c>
      <c r="B33" s="30" t="s">
        <v>1509</v>
      </c>
      <c r="C33" s="23">
        <v>140010230</v>
      </c>
      <c r="D33" s="23">
        <v>3050</v>
      </c>
      <c r="E33" s="27">
        <f>_xlfn.XLOOKUP(packes[[#This Row],[productId]],bom[Id],bom[wgt])</f>
        <v>1.4486680634540554</v>
      </c>
      <c r="F33" s="27">
        <f>packes[[#This Row],[num]]*packes[[#This Row],[wtg]]</f>
        <v>4418.4375935348689</v>
      </c>
      <c r="G33" s="357"/>
      <c r="H33" s="21">
        <f>packes[[#This Row],[num]]-SUM(packes[[#This Row],[num2]])</f>
        <v>3050</v>
      </c>
      <c r="I33" s="357"/>
      <c r="J33" s="21"/>
      <c r="K33" s="323"/>
      <c r="M33" s="27">
        <f>_xlfn.XLOOKUP(packes[[#This Row],[productId]],CT[productId],CT[total],"NA")</f>
        <v>147.595</v>
      </c>
      <c r="N33" s="20" t="str">
        <f>_xlfn.XLOOKUP(packes[[#This Row],[productId]],bom[Id],bom[ph],"NA")</f>
        <v>nar.p</v>
      </c>
      <c r="O33" s="20" t="str">
        <f>_xlfn.XLOOKUP(packes[[#This Row],[productId]],bom[Id],bom[erth],"NA")</f>
        <v>-</v>
      </c>
      <c r="P33" s="20" t="str">
        <f>_xlfn.XLOOKUP(packes[[#This Row],[productId]],bom[Id],bom[dbl],"NA")</f>
        <v>nar.p</v>
      </c>
      <c r="Q33" s="20" t="str">
        <f>LEFT(packes[[#This Row],[date]],4)</f>
        <v>1403</v>
      </c>
    </row>
    <row r="34" spans="1:17" s="23" customFormat="1" ht="16.5" x14ac:dyDescent="0.25">
      <c r="A34" s="23">
        <v>32</v>
      </c>
      <c r="B34" s="30" t="s">
        <v>1509</v>
      </c>
      <c r="C34" s="23">
        <v>140310007</v>
      </c>
      <c r="D34" s="23">
        <v>600</v>
      </c>
      <c r="E34" s="27">
        <f>_xlfn.XLOOKUP(packes[[#This Row],[productId]],bom[Id],bom[wgt])</f>
        <v>1.1413748378728923</v>
      </c>
      <c r="F34" s="27">
        <f>packes[[#This Row],[num]]*packes[[#This Row],[wtg]]</f>
        <v>684.82490272373536</v>
      </c>
      <c r="G34" s="357"/>
      <c r="H34" s="21">
        <f>packes[[#This Row],[num]]-SUM(packes[[#This Row],[num2]])</f>
        <v>600</v>
      </c>
      <c r="I34" s="357"/>
      <c r="J34" s="21"/>
      <c r="K34" s="323"/>
      <c r="M34" s="27">
        <f>_xlfn.XLOOKUP(packes[[#This Row],[productId]],CT[productId],CT[total],"NA")</f>
        <v>92.484999999999999</v>
      </c>
      <c r="N34" s="20" t="str">
        <f>_xlfn.XLOOKUP(packes[[#This Row],[productId]],bom[Id],bom[ph],"NA")</f>
        <v>-</v>
      </c>
      <c r="O34" s="20" t="str">
        <f>_xlfn.XLOOKUP(packes[[#This Row],[productId]],bom[Id],bom[erth],"NA")</f>
        <v>nut4</v>
      </c>
      <c r="P34" s="20" t="str">
        <f>_xlfn.XLOOKUP(packes[[#This Row],[productId]],bom[Id],bom[dbl],"NA")</f>
        <v>-</v>
      </c>
      <c r="Q34" s="20" t="str">
        <f>LEFT(packes[[#This Row],[date]],4)</f>
        <v>1403</v>
      </c>
    </row>
    <row r="35" spans="1:17" s="23" customFormat="1" ht="16.5" x14ac:dyDescent="0.25">
      <c r="A35" s="23">
        <v>33</v>
      </c>
      <c r="B35" s="30" t="s">
        <v>1521</v>
      </c>
      <c r="C35" s="23">
        <v>140010117</v>
      </c>
      <c r="D35" s="23">
        <v>1875</v>
      </c>
      <c r="E35" s="27">
        <f>_xlfn.XLOOKUP(packes[[#This Row],[productId]],bom[Id],bom[wgt])</f>
        <v>1</v>
      </c>
      <c r="F35" s="27">
        <f>packes[[#This Row],[num]]*packes[[#This Row],[wtg]]</f>
        <v>1875</v>
      </c>
      <c r="G35" s="357"/>
      <c r="H35" s="21">
        <f>packes[[#This Row],[num]]-SUM(packes[[#This Row],[num2]])</f>
        <v>1875</v>
      </c>
      <c r="I35" s="357"/>
      <c r="J35" s="21"/>
      <c r="K35" s="323"/>
      <c r="M35" s="27">
        <f>_xlfn.XLOOKUP(packes[[#This Row],[productId]],CT[productId],CT[total],"NA")</f>
        <v>98.295000000000016</v>
      </c>
      <c r="N35" s="20" t="str">
        <f>_xlfn.XLOOKUP(packes[[#This Row],[productId]],bom[Id],bom[ph],"NA")</f>
        <v>nar.p</v>
      </c>
      <c r="O35" s="20" t="str">
        <f>_xlfn.XLOOKUP(packes[[#This Row],[productId]],bom[Id],bom[erth],"NA")</f>
        <v>-</v>
      </c>
      <c r="P35" s="20" t="str">
        <f>_xlfn.XLOOKUP(packes[[#This Row],[productId]],bom[Id],bom[dbl],"NA")</f>
        <v>nar.p</v>
      </c>
      <c r="Q35" s="20" t="str">
        <f>LEFT(packes[[#This Row],[date]],4)</f>
        <v>1403</v>
      </c>
    </row>
    <row r="36" spans="1:17" s="23" customFormat="1" ht="16.5" x14ac:dyDescent="0.25">
      <c r="A36" s="23">
        <v>34</v>
      </c>
      <c r="B36" s="30" t="s">
        <v>1521</v>
      </c>
      <c r="C36" s="23">
        <v>140310007</v>
      </c>
      <c r="D36" s="23">
        <v>1400</v>
      </c>
      <c r="E36" s="27">
        <f>_xlfn.XLOOKUP(packes[[#This Row],[productId]],bom[Id],bom[wgt])</f>
        <v>1.1413748378728923</v>
      </c>
      <c r="F36" s="27">
        <f>packes[[#This Row],[num]]*packes[[#This Row],[wtg]]</f>
        <v>1597.9247730220493</v>
      </c>
      <c r="G36" s="357"/>
      <c r="H36" s="21">
        <f>packes[[#This Row],[num]]-SUM(packes[[#This Row],[num2]])</f>
        <v>1400</v>
      </c>
      <c r="I36" s="357"/>
      <c r="J36" s="21"/>
      <c r="K36" s="323"/>
      <c r="M36" s="27">
        <f>_xlfn.XLOOKUP(packes[[#This Row],[productId]],CT[productId],CT[total],"NA")</f>
        <v>92.484999999999999</v>
      </c>
      <c r="N36" s="20" t="str">
        <f>_xlfn.XLOOKUP(packes[[#This Row],[productId]],bom[Id],bom[ph],"NA")</f>
        <v>-</v>
      </c>
      <c r="O36" s="20" t="str">
        <f>_xlfn.XLOOKUP(packes[[#This Row],[productId]],bom[Id],bom[erth],"NA")</f>
        <v>nut4</v>
      </c>
      <c r="P36" s="20" t="str">
        <f>_xlfn.XLOOKUP(packes[[#This Row],[productId]],bom[Id],bom[dbl],"NA")</f>
        <v>-</v>
      </c>
      <c r="Q36" s="20" t="str">
        <f>LEFT(packes[[#This Row],[date]],4)</f>
        <v>1403</v>
      </c>
    </row>
    <row r="37" spans="1:17" s="23" customFormat="1" ht="16.5" x14ac:dyDescent="0.25">
      <c r="A37" s="23">
        <v>35</v>
      </c>
      <c r="B37" s="30" t="s">
        <v>1514</v>
      </c>
      <c r="C37" s="23">
        <v>140550060</v>
      </c>
      <c r="D37" s="23">
        <v>2100</v>
      </c>
      <c r="E37" s="27">
        <f>_xlfn.XLOOKUP(packes[[#This Row],[productId]],bom[Id],bom[wgt])</f>
        <v>1.1972463334331038</v>
      </c>
      <c r="F37" s="27">
        <f>packes[[#This Row],[num]]*packes[[#This Row],[wtg]]</f>
        <v>2514.2173002095178</v>
      </c>
      <c r="G37" s="357"/>
      <c r="H37" s="21">
        <f>packes[[#This Row],[num]]-SUM(packes[[#This Row],[num2]])</f>
        <v>2100</v>
      </c>
      <c r="I37" s="357"/>
      <c r="J37" s="21"/>
      <c r="K37" s="323"/>
      <c r="M37" s="27">
        <f>_xlfn.XLOOKUP(packes[[#This Row],[productId]],CT[productId],CT[total],"NA")</f>
        <v>81.220000000000013</v>
      </c>
      <c r="N37" s="20" t="str">
        <f>_xlfn.XLOOKUP(packes[[#This Row],[productId]],bom[Id],bom[ph],"NA")</f>
        <v>radio</v>
      </c>
      <c r="O37" s="20" t="str">
        <f>_xlfn.XLOOKUP(packes[[#This Row],[productId]],bom[Id],bom[erth],"NA")</f>
        <v>-</v>
      </c>
      <c r="P37" s="20" t="str">
        <f>_xlfn.XLOOKUP(packes[[#This Row],[productId]],bom[Id],bom[dbl],"NA")</f>
        <v>-</v>
      </c>
      <c r="Q37" s="20" t="str">
        <f>LEFT(packes[[#This Row],[date]],4)</f>
        <v>1403</v>
      </c>
    </row>
    <row r="38" spans="1:17" s="23" customFormat="1" ht="16.5" x14ac:dyDescent="0.25">
      <c r="A38" s="23">
        <v>36</v>
      </c>
      <c r="B38" s="30" t="s">
        <v>1514</v>
      </c>
      <c r="C38" s="23">
        <v>140310007</v>
      </c>
      <c r="D38" s="23">
        <v>900</v>
      </c>
      <c r="E38" s="27">
        <f>_xlfn.XLOOKUP(packes[[#This Row],[productId]],bom[Id],bom[wgt])</f>
        <v>1.1413748378728923</v>
      </c>
      <c r="F38" s="27">
        <f>packes[[#This Row],[num]]*packes[[#This Row],[wtg]]</f>
        <v>1027.2373540856031</v>
      </c>
      <c r="G38" s="357"/>
      <c r="H38" s="21">
        <f>packes[[#This Row],[num]]-SUM(packes[[#This Row],[num2]])</f>
        <v>900</v>
      </c>
      <c r="I38" s="357"/>
      <c r="J38" s="21"/>
      <c r="K38" s="323"/>
      <c r="M38" s="27">
        <f>_xlfn.XLOOKUP(packes[[#This Row],[productId]],CT[productId],CT[total],"NA")</f>
        <v>92.484999999999999</v>
      </c>
      <c r="N38" s="20" t="str">
        <f>_xlfn.XLOOKUP(packes[[#This Row],[productId]],bom[Id],bom[ph],"NA")</f>
        <v>-</v>
      </c>
      <c r="O38" s="20" t="str">
        <f>_xlfn.XLOOKUP(packes[[#This Row],[productId]],bom[Id],bom[erth],"NA")</f>
        <v>nut4</v>
      </c>
      <c r="P38" s="20" t="str">
        <f>_xlfn.XLOOKUP(packes[[#This Row],[productId]],bom[Id],bom[dbl],"NA")</f>
        <v>-</v>
      </c>
      <c r="Q38" s="20" t="str">
        <f>LEFT(packes[[#This Row],[date]],4)</f>
        <v>1403</v>
      </c>
    </row>
    <row r="39" spans="1:17" s="23" customFormat="1" ht="16.5" x14ac:dyDescent="0.25">
      <c r="A39" s="23">
        <v>37</v>
      </c>
      <c r="B39" s="30" t="s">
        <v>1523</v>
      </c>
      <c r="C39" s="23">
        <v>140010230</v>
      </c>
      <c r="D39" s="23">
        <v>-2000</v>
      </c>
      <c r="E39" s="27">
        <f>_xlfn.XLOOKUP(packes[[#This Row],[productId]],bom[Id],bom[wgt])</f>
        <v>1.4486680634540554</v>
      </c>
      <c r="F39" s="27">
        <f>packes[[#This Row],[num]]*packes[[#This Row],[wtg]]</f>
        <v>-2897.3361269081106</v>
      </c>
      <c r="G39" s="357"/>
      <c r="H39" s="21">
        <f>packes[[#This Row],[num]]-SUM(packes[[#This Row],[num2]])</f>
        <v>-2000</v>
      </c>
      <c r="I39" s="357"/>
      <c r="J39" s="21"/>
      <c r="K39" s="323"/>
      <c r="M39" s="27">
        <f>_xlfn.XLOOKUP(packes[[#This Row],[productId]],CT[productId],CT[total],"NA")</f>
        <v>147.595</v>
      </c>
      <c r="N39" s="20" t="str">
        <f>_xlfn.XLOOKUP(packes[[#This Row],[productId]],bom[Id],bom[ph],"NA")</f>
        <v>nar.p</v>
      </c>
      <c r="O39" s="20" t="str">
        <f>_xlfn.XLOOKUP(packes[[#This Row],[productId]],bom[Id],bom[erth],"NA")</f>
        <v>-</v>
      </c>
      <c r="P39" s="20" t="str">
        <f>_xlfn.XLOOKUP(packes[[#This Row],[productId]],bom[Id],bom[dbl],"NA")</f>
        <v>nar.p</v>
      </c>
      <c r="Q39" s="20" t="str">
        <f>LEFT(packes[[#This Row],[date]],4)</f>
        <v>1403</v>
      </c>
    </row>
    <row r="40" spans="1:17" s="23" customFormat="1" ht="16.5" x14ac:dyDescent="0.25">
      <c r="A40" s="23">
        <v>38</v>
      </c>
      <c r="B40" s="30" t="s">
        <v>1482</v>
      </c>
      <c r="C40" s="23">
        <v>140310071</v>
      </c>
      <c r="D40" s="23">
        <v>800</v>
      </c>
      <c r="E40" s="27">
        <f>_xlfn.XLOOKUP(packes[[#This Row],[productId]],bom[Id],bom[wgt])</f>
        <v>1.3</v>
      </c>
      <c r="F40" s="27">
        <f>packes[[#This Row],[num]]*packes[[#This Row],[wtg]]</f>
        <v>1040</v>
      </c>
      <c r="G40" s="357"/>
      <c r="H40" s="21">
        <f>packes[[#This Row],[num]]-SUM(packes[[#This Row],[num2]])</f>
        <v>800</v>
      </c>
      <c r="I40" s="357"/>
      <c r="J40" s="21"/>
      <c r="K40" s="323"/>
      <c r="M40" s="27">
        <f>_xlfn.XLOOKUP(packes[[#This Row],[productId]],CT[productId],CT[total],"NA")</f>
        <v>130.69500000000002</v>
      </c>
      <c r="N40" s="20" t="str">
        <f>_xlfn.XLOOKUP(packes[[#This Row],[productId]],bom[Id],bom[ph],"NA")</f>
        <v>6.3ch</v>
      </c>
      <c r="O40" s="20" t="str">
        <f>_xlfn.XLOOKUP(packes[[#This Row],[productId]],bom[Id],bom[erth],"NA")</f>
        <v>6.3k</v>
      </c>
      <c r="P40" s="20" t="str">
        <f>_xlfn.XLOOKUP(packes[[#This Row],[productId]],bom[Id],bom[dbl],"NA")</f>
        <v>-</v>
      </c>
      <c r="Q40" s="20" t="str">
        <f>LEFT(packes[[#This Row],[date]],4)</f>
        <v>1403</v>
      </c>
    </row>
    <row r="41" spans="1:17" s="23" customFormat="1" ht="16.5" x14ac:dyDescent="0.25">
      <c r="A41" s="23">
        <v>39</v>
      </c>
      <c r="B41" s="30" t="s">
        <v>1482</v>
      </c>
      <c r="C41" s="23">
        <v>140310083</v>
      </c>
      <c r="D41" s="23">
        <v>1600</v>
      </c>
      <c r="E41" s="27">
        <f>_xlfn.XLOOKUP(packes[[#This Row],[productId]],bom[Id],bom[wgt])</f>
        <v>1.3369250723336326</v>
      </c>
      <c r="F41" s="27">
        <f>packes[[#This Row],[num]]*packes[[#This Row],[wtg]]</f>
        <v>2139.0801157338119</v>
      </c>
      <c r="G41" s="357"/>
      <c r="H41" s="21">
        <f>packes[[#This Row],[num]]-SUM(packes[[#This Row],[num2]])</f>
        <v>1600</v>
      </c>
      <c r="I41" s="357"/>
      <c r="J41" s="21"/>
      <c r="K41" s="323"/>
      <c r="M41" s="27">
        <f>_xlfn.XLOOKUP(packes[[#This Row],[productId]],CT[productId],CT[total],"NA")</f>
        <v>135.23500000000001</v>
      </c>
      <c r="N41" s="20" t="str">
        <f>_xlfn.XLOOKUP(packes[[#This Row],[productId]],bom[Id],bom[ph],"NA")</f>
        <v>6.3flat</v>
      </c>
      <c r="O41" s="20" t="str">
        <f>_xlfn.XLOOKUP(packes[[#This Row],[productId]],bom[Id],bom[erth],"NA")</f>
        <v>6.3flat</v>
      </c>
      <c r="P41" s="20" t="str">
        <f>_xlfn.XLOOKUP(packes[[#This Row],[productId]],bom[Id],bom[dbl],"NA")</f>
        <v>-</v>
      </c>
      <c r="Q41" s="20" t="str">
        <f>LEFT(packes[[#This Row],[date]],4)</f>
        <v>1403</v>
      </c>
    </row>
    <row r="42" spans="1:17" s="23" customFormat="1" ht="16.5" x14ac:dyDescent="0.25">
      <c r="A42" s="23">
        <v>40</v>
      </c>
      <c r="B42" s="30" t="s">
        <v>1482</v>
      </c>
      <c r="C42" s="23">
        <v>140550060</v>
      </c>
      <c r="D42" s="23">
        <v>1700</v>
      </c>
      <c r="E42" s="27">
        <f>_xlfn.XLOOKUP(packes[[#This Row],[productId]],bom[Id],bom[wgt])</f>
        <v>1.1972463334331038</v>
      </c>
      <c r="F42" s="27">
        <f>packes[[#This Row],[num]]*packes[[#This Row],[wtg]]</f>
        <v>2035.3187668362766</v>
      </c>
      <c r="G42" s="357"/>
      <c r="H42" s="21">
        <f>packes[[#This Row],[num]]-SUM(packes[[#This Row],[num2]])</f>
        <v>1700</v>
      </c>
      <c r="I42" s="357"/>
      <c r="J42" s="21"/>
      <c r="K42" s="323"/>
      <c r="M42" s="27">
        <f>_xlfn.XLOOKUP(packes[[#This Row],[productId]],CT[productId],CT[total],"NA")</f>
        <v>81.220000000000013</v>
      </c>
      <c r="N42" s="20" t="str">
        <f>_xlfn.XLOOKUP(packes[[#This Row],[productId]],bom[Id],bom[ph],"NA")</f>
        <v>radio</v>
      </c>
      <c r="O42" s="20" t="str">
        <f>_xlfn.XLOOKUP(packes[[#This Row],[productId]],bom[Id],bom[erth],"NA")</f>
        <v>-</v>
      </c>
      <c r="P42" s="20" t="str">
        <f>_xlfn.XLOOKUP(packes[[#This Row],[productId]],bom[Id],bom[dbl],"NA")</f>
        <v>-</v>
      </c>
      <c r="Q42" s="20" t="str">
        <f>LEFT(packes[[#This Row],[date]],4)</f>
        <v>1403</v>
      </c>
    </row>
    <row r="43" spans="1:17" s="23" customFormat="1" ht="16.5" x14ac:dyDescent="0.25">
      <c r="A43" s="23">
        <v>41</v>
      </c>
      <c r="B43" s="30" t="s">
        <v>1482</v>
      </c>
      <c r="C43" s="23">
        <v>140310007</v>
      </c>
      <c r="D43" s="23">
        <v>1500</v>
      </c>
      <c r="E43" s="27">
        <f>_xlfn.XLOOKUP(packes[[#This Row],[productId]],bom[Id],bom[wgt])</f>
        <v>1.1413748378728923</v>
      </c>
      <c r="F43" s="27">
        <f>packes[[#This Row],[num]]*packes[[#This Row],[wtg]]</f>
        <v>1712.0622568093384</v>
      </c>
      <c r="G43" s="357"/>
      <c r="H43" s="21">
        <f>packes[[#This Row],[num]]-SUM(packes[[#This Row],[num2]])</f>
        <v>1500</v>
      </c>
      <c r="I43" s="357"/>
      <c r="J43" s="21"/>
      <c r="K43" s="323"/>
      <c r="M43" s="27">
        <f>_xlfn.XLOOKUP(packes[[#This Row],[productId]],CT[productId],CT[total],"NA")</f>
        <v>92.484999999999999</v>
      </c>
      <c r="N43" s="20" t="str">
        <f>_xlfn.XLOOKUP(packes[[#This Row],[productId]],bom[Id],bom[ph],"NA")</f>
        <v>-</v>
      </c>
      <c r="O43" s="20" t="str">
        <f>_xlfn.XLOOKUP(packes[[#This Row],[productId]],bom[Id],bom[erth],"NA")</f>
        <v>nut4</v>
      </c>
      <c r="P43" s="20" t="str">
        <f>_xlfn.XLOOKUP(packes[[#This Row],[productId]],bom[Id],bom[dbl],"NA")</f>
        <v>-</v>
      </c>
      <c r="Q43" s="20" t="str">
        <f>LEFT(packes[[#This Row],[date]],4)</f>
        <v>1403</v>
      </c>
    </row>
    <row r="44" spans="1:17" s="23" customFormat="1" ht="16.5" x14ac:dyDescent="0.25">
      <c r="A44" s="23">
        <v>42</v>
      </c>
      <c r="B44" s="30" t="s">
        <v>1483</v>
      </c>
      <c r="C44" s="23">
        <v>140310071</v>
      </c>
      <c r="D44" s="23">
        <v>3600</v>
      </c>
      <c r="E44" s="27">
        <f>_xlfn.XLOOKUP(packes[[#This Row],[productId]],bom[Id],bom[wgt])</f>
        <v>1.3</v>
      </c>
      <c r="F44" s="27">
        <f>packes[[#This Row],[num]]*packes[[#This Row],[wtg]]</f>
        <v>4680</v>
      </c>
      <c r="G44" s="357"/>
      <c r="H44" s="21">
        <f>packes[[#This Row],[num]]-SUM(packes[[#This Row],[num2]])</f>
        <v>3600</v>
      </c>
      <c r="I44" s="357"/>
      <c r="J44" s="21"/>
      <c r="K44" s="323"/>
      <c r="M44" s="27">
        <f>_xlfn.XLOOKUP(packes[[#This Row],[productId]],CT[productId],CT[total],"NA")</f>
        <v>130.69500000000002</v>
      </c>
      <c r="N44" s="20" t="str">
        <f>_xlfn.XLOOKUP(packes[[#This Row],[productId]],bom[Id],bom[ph],"NA")</f>
        <v>6.3ch</v>
      </c>
      <c r="O44" s="20" t="str">
        <f>_xlfn.XLOOKUP(packes[[#This Row],[productId]],bom[Id],bom[erth],"NA")</f>
        <v>6.3k</v>
      </c>
      <c r="P44" s="20" t="str">
        <f>_xlfn.XLOOKUP(packes[[#This Row],[productId]],bom[Id],bom[dbl],"NA")</f>
        <v>-</v>
      </c>
      <c r="Q44" s="20" t="str">
        <f>LEFT(packes[[#This Row],[date]],4)</f>
        <v>1403</v>
      </c>
    </row>
    <row r="45" spans="1:17" s="23" customFormat="1" ht="16.5" x14ac:dyDescent="0.25">
      <c r="A45" s="23">
        <v>43</v>
      </c>
      <c r="B45" s="30" t="s">
        <v>1483</v>
      </c>
      <c r="C45" s="23">
        <v>140310083</v>
      </c>
      <c r="D45" s="23">
        <v>700</v>
      </c>
      <c r="E45" s="27">
        <f>_xlfn.XLOOKUP(packes[[#This Row],[productId]],bom[Id],bom[wgt])</f>
        <v>1.3369250723336326</v>
      </c>
      <c r="F45" s="27">
        <f>packes[[#This Row],[num]]*packes[[#This Row],[wtg]]</f>
        <v>935.84755063354282</v>
      </c>
      <c r="G45" s="357"/>
      <c r="H45" s="21">
        <f>packes[[#This Row],[num]]-SUM(packes[[#This Row],[num2]])</f>
        <v>700</v>
      </c>
      <c r="I45" s="357"/>
      <c r="J45" s="21"/>
      <c r="K45" s="323"/>
      <c r="M45" s="27">
        <f>_xlfn.XLOOKUP(packes[[#This Row],[productId]],CT[productId],CT[total],"NA")</f>
        <v>135.23500000000001</v>
      </c>
      <c r="N45" s="20" t="str">
        <f>_xlfn.XLOOKUP(packes[[#This Row],[productId]],bom[Id],bom[ph],"NA")</f>
        <v>6.3flat</v>
      </c>
      <c r="O45" s="20" t="str">
        <f>_xlfn.XLOOKUP(packes[[#This Row],[productId]],bom[Id],bom[erth],"NA")</f>
        <v>6.3flat</v>
      </c>
      <c r="P45" s="20" t="str">
        <f>_xlfn.XLOOKUP(packes[[#This Row],[productId]],bom[Id],bom[dbl],"NA")</f>
        <v>-</v>
      </c>
      <c r="Q45" s="20" t="str">
        <f>LEFT(packes[[#This Row],[date]],4)</f>
        <v>1403</v>
      </c>
    </row>
    <row r="46" spans="1:17" s="23" customFormat="1" ht="16.5" x14ac:dyDescent="0.25">
      <c r="A46" s="23">
        <v>44</v>
      </c>
      <c r="B46" s="30" t="s">
        <v>1483</v>
      </c>
      <c r="C46" s="23">
        <v>140550060</v>
      </c>
      <c r="D46" s="23">
        <v>1200</v>
      </c>
      <c r="E46" s="27">
        <f>_xlfn.XLOOKUP(packes[[#This Row],[productId]],bom[Id],bom[wgt])</f>
        <v>1.1972463334331038</v>
      </c>
      <c r="F46" s="27">
        <f>packes[[#This Row],[num]]*packes[[#This Row],[wtg]]</f>
        <v>1436.6956001197245</v>
      </c>
      <c r="G46" s="357"/>
      <c r="H46" s="21">
        <f>packes[[#This Row],[num]]-SUM(packes[[#This Row],[num2]])</f>
        <v>1200</v>
      </c>
      <c r="I46" s="357"/>
      <c r="J46" s="21"/>
      <c r="K46" s="323"/>
      <c r="M46" s="27">
        <f>_xlfn.XLOOKUP(packes[[#This Row],[productId]],CT[productId],CT[total],"NA")</f>
        <v>81.220000000000013</v>
      </c>
      <c r="N46" s="20" t="str">
        <f>_xlfn.XLOOKUP(packes[[#This Row],[productId]],bom[Id],bom[ph],"NA")</f>
        <v>radio</v>
      </c>
      <c r="O46" s="20" t="str">
        <f>_xlfn.XLOOKUP(packes[[#This Row],[productId]],bom[Id],bom[erth],"NA")</f>
        <v>-</v>
      </c>
      <c r="P46" s="20" t="str">
        <f>_xlfn.XLOOKUP(packes[[#This Row],[productId]],bom[Id],bom[dbl],"NA")</f>
        <v>-</v>
      </c>
      <c r="Q46" s="20" t="str">
        <f>LEFT(packes[[#This Row],[date]],4)</f>
        <v>1403</v>
      </c>
    </row>
    <row r="47" spans="1:17" s="23" customFormat="1" ht="16.5" x14ac:dyDescent="0.25">
      <c r="A47" s="23">
        <v>45</v>
      </c>
      <c r="B47" s="30" t="s">
        <v>1483</v>
      </c>
      <c r="C47" s="23">
        <v>140090143</v>
      </c>
      <c r="D47" s="23">
        <v>2700</v>
      </c>
      <c r="E47" s="27">
        <f>_xlfn.XLOOKUP(packes[[#This Row],[productId]],bom[Id],bom[wgt])</f>
        <v>2.7237354085603114</v>
      </c>
      <c r="F47" s="27">
        <f>packes[[#This Row],[num]]*packes[[#This Row],[wtg]]</f>
        <v>7354.0856031128405</v>
      </c>
      <c r="G47" s="357"/>
      <c r="H47" s="21">
        <f>packes[[#This Row],[num]]-SUM(packes[[#This Row],[num2]])</f>
        <v>2700</v>
      </c>
      <c r="I47" s="357"/>
      <c r="J47" s="21"/>
      <c r="K47" s="323"/>
      <c r="M47" s="27">
        <f>_xlfn.XLOOKUP(packes[[#This Row],[productId]],CT[productId],CT[total],"NA")</f>
        <v>233.215</v>
      </c>
      <c r="N47" s="20" t="str">
        <f>_xlfn.XLOOKUP(packes[[#This Row],[productId]],bom[Id],bom[ph],"NA")</f>
        <v>molex</v>
      </c>
      <c r="O47" s="20" t="str">
        <f>_xlfn.XLOOKUP(packes[[#This Row],[productId]],bom[Id],bom[erth],"NA")</f>
        <v>-</v>
      </c>
      <c r="P47" s="20" t="str">
        <f>_xlfn.XLOOKUP(packes[[#This Row],[productId]],bom[Id],bom[dbl],"NA")</f>
        <v>splice</v>
      </c>
      <c r="Q47" s="20" t="str">
        <f>LEFT(packes[[#This Row],[date]],4)</f>
        <v>1403</v>
      </c>
    </row>
    <row r="48" spans="1:17" s="23" customFormat="1" ht="16.5" x14ac:dyDescent="0.25">
      <c r="A48" s="23">
        <v>46</v>
      </c>
      <c r="B48" s="30" t="s">
        <v>1483</v>
      </c>
      <c r="C48" s="23">
        <v>140310007</v>
      </c>
      <c r="D48" s="23">
        <v>900</v>
      </c>
      <c r="E48" s="27">
        <f>_xlfn.XLOOKUP(packes[[#This Row],[productId]],bom[Id],bom[wgt])</f>
        <v>1.1413748378728923</v>
      </c>
      <c r="F48" s="27">
        <f>packes[[#This Row],[num]]*packes[[#This Row],[wtg]]</f>
        <v>1027.2373540856031</v>
      </c>
      <c r="G48" s="357"/>
      <c r="H48" s="21">
        <f>packes[[#This Row],[num]]-SUM(packes[[#This Row],[num2]])</f>
        <v>900</v>
      </c>
      <c r="I48" s="357"/>
      <c r="J48" s="21"/>
      <c r="K48" s="323"/>
      <c r="M48" s="27">
        <f>_xlfn.XLOOKUP(packes[[#This Row],[productId]],CT[productId],CT[total],"NA")</f>
        <v>92.484999999999999</v>
      </c>
      <c r="N48" s="20" t="str">
        <f>_xlfn.XLOOKUP(packes[[#This Row],[productId]],bom[Id],bom[ph],"NA")</f>
        <v>-</v>
      </c>
      <c r="O48" s="20" t="str">
        <f>_xlfn.XLOOKUP(packes[[#This Row],[productId]],bom[Id],bom[erth],"NA")</f>
        <v>nut4</v>
      </c>
      <c r="P48" s="20" t="str">
        <f>_xlfn.XLOOKUP(packes[[#This Row],[productId]],bom[Id],bom[dbl],"NA")</f>
        <v>-</v>
      </c>
      <c r="Q48" s="20" t="str">
        <f>LEFT(packes[[#This Row],[date]],4)</f>
        <v>1403</v>
      </c>
    </row>
    <row r="49" spans="1:17" s="23" customFormat="1" ht="16.5" x14ac:dyDescent="0.25">
      <c r="A49" s="23">
        <v>47</v>
      </c>
      <c r="B49" s="30" t="s">
        <v>1484</v>
      </c>
      <c r="C49" s="23">
        <v>140310071</v>
      </c>
      <c r="D49" s="23">
        <v>2900</v>
      </c>
      <c r="E49" s="27">
        <f>_xlfn.XLOOKUP(packes[[#This Row],[productId]],bom[Id],bom[wgt])</f>
        <v>1.3</v>
      </c>
      <c r="F49" s="27">
        <f>packes[[#This Row],[num]]*packes[[#This Row],[wtg]]</f>
        <v>3770</v>
      </c>
      <c r="G49" s="357"/>
      <c r="H49" s="21">
        <f>packes[[#This Row],[num]]-SUM(packes[[#This Row],[num2]])</f>
        <v>2900</v>
      </c>
      <c r="I49" s="357"/>
      <c r="J49" s="21"/>
      <c r="K49" s="323"/>
      <c r="M49" s="27">
        <f>_xlfn.XLOOKUP(packes[[#This Row],[productId]],CT[productId],CT[total],"NA")</f>
        <v>130.69500000000002</v>
      </c>
      <c r="N49" s="20" t="str">
        <f>_xlfn.XLOOKUP(packes[[#This Row],[productId]],bom[Id],bom[ph],"NA")</f>
        <v>6.3ch</v>
      </c>
      <c r="O49" s="20" t="str">
        <f>_xlfn.XLOOKUP(packes[[#This Row],[productId]],bom[Id],bom[erth],"NA")</f>
        <v>6.3k</v>
      </c>
      <c r="P49" s="20" t="str">
        <f>_xlfn.XLOOKUP(packes[[#This Row],[productId]],bom[Id],bom[dbl],"NA")</f>
        <v>-</v>
      </c>
      <c r="Q49" s="20" t="str">
        <f>LEFT(packes[[#This Row],[date]],4)</f>
        <v>1403</v>
      </c>
    </row>
    <row r="50" spans="1:17" s="23" customFormat="1" ht="16.5" x14ac:dyDescent="0.25">
      <c r="A50" s="23">
        <v>48</v>
      </c>
      <c r="B50" s="30" t="s">
        <v>1484</v>
      </c>
      <c r="C50" s="23">
        <v>140550060</v>
      </c>
      <c r="D50" s="23">
        <v>3000</v>
      </c>
      <c r="E50" s="27">
        <f>_xlfn.XLOOKUP(packes[[#This Row],[productId]],bom[Id],bom[wgt])</f>
        <v>1.1972463334331038</v>
      </c>
      <c r="F50" s="27">
        <f>packes[[#This Row],[num]]*packes[[#This Row],[wtg]]</f>
        <v>3591.7390002993116</v>
      </c>
      <c r="G50" s="357"/>
      <c r="H50" s="21">
        <f>packes[[#This Row],[num]]-SUM(packes[[#This Row],[num2]])</f>
        <v>3000</v>
      </c>
      <c r="I50" s="357"/>
      <c r="J50" s="21"/>
      <c r="K50" s="323"/>
      <c r="M50" s="27">
        <f>_xlfn.XLOOKUP(packes[[#This Row],[productId]],CT[productId],CT[total],"NA")</f>
        <v>81.220000000000013</v>
      </c>
      <c r="N50" s="20" t="str">
        <f>_xlfn.XLOOKUP(packes[[#This Row],[productId]],bom[Id],bom[ph],"NA")</f>
        <v>radio</v>
      </c>
      <c r="O50" s="20" t="str">
        <f>_xlfn.XLOOKUP(packes[[#This Row],[productId]],bom[Id],bom[erth],"NA")</f>
        <v>-</v>
      </c>
      <c r="P50" s="20" t="str">
        <f>_xlfn.XLOOKUP(packes[[#This Row],[productId]],bom[Id],bom[dbl],"NA")</f>
        <v>-</v>
      </c>
      <c r="Q50" s="20" t="str">
        <f>LEFT(packes[[#This Row],[date]],4)</f>
        <v>1403</v>
      </c>
    </row>
    <row r="51" spans="1:17" s="23" customFormat="1" ht="16.5" x14ac:dyDescent="0.25">
      <c r="A51" s="23">
        <v>49</v>
      </c>
      <c r="B51" s="30" t="s">
        <v>1484</v>
      </c>
      <c r="C51" s="23">
        <v>140090143</v>
      </c>
      <c r="D51" s="23">
        <v>450</v>
      </c>
      <c r="E51" s="27">
        <f>_xlfn.XLOOKUP(packes[[#This Row],[productId]],bom[Id],bom[wgt])</f>
        <v>2.7237354085603114</v>
      </c>
      <c r="F51" s="27">
        <f>packes[[#This Row],[num]]*packes[[#This Row],[wtg]]</f>
        <v>1225.68093385214</v>
      </c>
      <c r="G51" s="357"/>
      <c r="H51" s="21">
        <f>packes[[#This Row],[num]]-SUM(packes[[#This Row],[num2]])</f>
        <v>450</v>
      </c>
      <c r="I51" s="357"/>
      <c r="J51" s="21"/>
      <c r="K51" s="323"/>
      <c r="M51" s="27">
        <f>_xlfn.XLOOKUP(packes[[#This Row],[productId]],CT[productId],CT[total],"NA")</f>
        <v>233.215</v>
      </c>
      <c r="N51" s="20" t="str">
        <f>_xlfn.XLOOKUP(packes[[#This Row],[productId]],bom[Id],bom[ph],"NA")</f>
        <v>molex</v>
      </c>
      <c r="O51" s="20" t="str">
        <f>_xlfn.XLOOKUP(packes[[#This Row],[productId]],bom[Id],bom[erth],"NA")</f>
        <v>-</v>
      </c>
      <c r="P51" s="20" t="str">
        <f>_xlfn.XLOOKUP(packes[[#This Row],[productId]],bom[Id],bom[dbl],"NA")</f>
        <v>splice</v>
      </c>
      <c r="Q51" s="20" t="str">
        <f>LEFT(packes[[#This Row],[date]],4)</f>
        <v>1403</v>
      </c>
    </row>
    <row r="52" spans="1:17" s="23" customFormat="1" ht="16.5" x14ac:dyDescent="0.25">
      <c r="A52" s="23">
        <v>50</v>
      </c>
      <c r="B52" s="30" t="s">
        <v>1484</v>
      </c>
      <c r="C52" s="23">
        <v>140310007</v>
      </c>
      <c r="D52" s="23">
        <v>600</v>
      </c>
      <c r="E52" s="27">
        <f>_xlfn.XLOOKUP(packes[[#This Row],[productId]],bom[Id],bom[wgt])</f>
        <v>1.1413748378728923</v>
      </c>
      <c r="F52" s="27">
        <f>packes[[#This Row],[num]]*packes[[#This Row],[wtg]]</f>
        <v>684.82490272373536</v>
      </c>
      <c r="G52" s="357"/>
      <c r="H52" s="21">
        <f>packes[[#This Row],[num]]-SUM(packes[[#This Row],[num2]])</f>
        <v>600</v>
      </c>
      <c r="I52" s="357"/>
      <c r="J52" s="21"/>
      <c r="K52" s="323"/>
      <c r="M52" s="27">
        <f>_xlfn.XLOOKUP(packes[[#This Row],[productId]],CT[productId],CT[total],"NA")</f>
        <v>92.484999999999999</v>
      </c>
      <c r="N52" s="20" t="str">
        <f>_xlfn.XLOOKUP(packes[[#This Row],[productId]],bom[Id],bom[ph],"NA")</f>
        <v>-</v>
      </c>
      <c r="O52" s="20" t="str">
        <f>_xlfn.XLOOKUP(packes[[#This Row],[productId]],bom[Id],bom[erth],"NA")</f>
        <v>nut4</v>
      </c>
      <c r="P52" s="20" t="str">
        <f>_xlfn.XLOOKUP(packes[[#This Row],[productId]],bom[Id],bom[dbl],"NA")</f>
        <v>-</v>
      </c>
      <c r="Q52" s="20" t="str">
        <f>LEFT(packes[[#This Row],[date]],4)</f>
        <v>1403</v>
      </c>
    </row>
    <row r="53" spans="1:17" s="23" customFormat="1" ht="16.5" x14ac:dyDescent="0.25">
      <c r="A53" s="23">
        <v>51</v>
      </c>
      <c r="B53" s="30" t="s">
        <v>1485</v>
      </c>
      <c r="C53" s="23">
        <v>140310071</v>
      </c>
      <c r="D53" s="23">
        <v>2600</v>
      </c>
      <c r="E53" s="27">
        <f>_xlfn.XLOOKUP(packes[[#This Row],[productId]],bom[Id],bom[wgt])</f>
        <v>1.3</v>
      </c>
      <c r="F53" s="27">
        <f>packes[[#This Row],[num]]*packes[[#This Row],[wtg]]</f>
        <v>3380</v>
      </c>
      <c r="G53" s="357"/>
      <c r="H53" s="21">
        <f>packes[[#This Row],[num]]-SUM(packes[[#This Row],[num2]])</f>
        <v>2600</v>
      </c>
      <c r="I53" s="357"/>
      <c r="J53" s="21"/>
      <c r="K53" s="323"/>
      <c r="M53" s="27">
        <f>_xlfn.XLOOKUP(packes[[#This Row],[productId]],CT[productId],CT[total],"NA")</f>
        <v>130.69500000000002</v>
      </c>
      <c r="N53" s="20" t="str">
        <f>_xlfn.XLOOKUP(packes[[#This Row],[productId]],bom[Id],bom[ph],"NA")</f>
        <v>6.3ch</v>
      </c>
      <c r="O53" s="20" t="str">
        <f>_xlfn.XLOOKUP(packes[[#This Row],[productId]],bom[Id],bom[erth],"NA")</f>
        <v>6.3k</v>
      </c>
      <c r="P53" s="20" t="str">
        <f>_xlfn.XLOOKUP(packes[[#This Row],[productId]],bom[Id],bom[dbl],"NA")</f>
        <v>-</v>
      </c>
      <c r="Q53" s="20" t="str">
        <f>LEFT(packes[[#This Row],[date]],4)</f>
        <v>1403</v>
      </c>
    </row>
    <row r="54" spans="1:17" s="23" customFormat="1" ht="16.5" x14ac:dyDescent="0.25">
      <c r="A54" s="23">
        <v>52</v>
      </c>
      <c r="B54" s="30" t="s">
        <v>1485</v>
      </c>
      <c r="C54" s="23">
        <v>140550060</v>
      </c>
      <c r="D54" s="23">
        <v>2500</v>
      </c>
      <c r="E54" s="27">
        <f>_xlfn.XLOOKUP(packes[[#This Row],[productId]],bom[Id],bom[wgt])</f>
        <v>1.1972463334331038</v>
      </c>
      <c r="F54" s="27">
        <f>packes[[#This Row],[num]]*packes[[#This Row],[wtg]]</f>
        <v>2993.1158335827595</v>
      </c>
      <c r="G54" s="357"/>
      <c r="H54" s="21">
        <f>packes[[#This Row],[num]]-SUM(packes[[#This Row],[num2]])</f>
        <v>2500</v>
      </c>
      <c r="I54" s="357"/>
      <c r="J54" s="21"/>
      <c r="K54" s="323"/>
      <c r="M54" s="27">
        <f>_xlfn.XLOOKUP(packes[[#This Row],[productId]],CT[productId],CT[total],"NA")</f>
        <v>81.220000000000013</v>
      </c>
      <c r="N54" s="20" t="str">
        <f>_xlfn.XLOOKUP(packes[[#This Row],[productId]],bom[Id],bom[ph],"NA")</f>
        <v>radio</v>
      </c>
      <c r="O54" s="20" t="str">
        <f>_xlfn.XLOOKUP(packes[[#This Row],[productId]],bom[Id],bom[erth],"NA")</f>
        <v>-</v>
      </c>
      <c r="P54" s="20" t="str">
        <f>_xlfn.XLOOKUP(packes[[#This Row],[productId]],bom[Id],bom[dbl],"NA")</f>
        <v>-</v>
      </c>
      <c r="Q54" s="20" t="str">
        <f>LEFT(packes[[#This Row],[date]],4)</f>
        <v>1403</v>
      </c>
    </row>
    <row r="55" spans="1:17" s="23" customFormat="1" ht="16.5" x14ac:dyDescent="0.25">
      <c r="A55" s="23">
        <v>53</v>
      </c>
      <c r="B55" s="30" t="s">
        <v>1485</v>
      </c>
      <c r="C55" s="23">
        <v>140090143</v>
      </c>
      <c r="D55" s="23">
        <v>400</v>
      </c>
      <c r="E55" s="27">
        <f>_xlfn.XLOOKUP(packes[[#This Row],[productId]],bom[Id],bom[wgt])</f>
        <v>2.7237354085603114</v>
      </c>
      <c r="F55" s="27">
        <f>packes[[#This Row],[num]]*packes[[#This Row],[wtg]]</f>
        <v>1089.4941634241245</v>
      </c>
      <c r="G55" s="357"/>
      <c r="H55" s="21">
        <f>packes[[#This Row],[num]]-SUM(packes[[#This Row],[num2]])</f>
        <v>400</v>
      </c>
      <c r="I55" s="357"/>
      <c r="J55" s="21"/>
      <c r="K55" s="323"/>
      <c r="M55" s="27">
        <f>_xlfn.XLOOKUP(packes[[#This Row],[productId]],CT[productId],CT[total],"NA")</f>
        <v>233.215</v>
      </c>
      <c r="N55" s="20" t="str">
        <f>_xlfn.XLOOKUP(packes[[#This Row],[productId]],bom[Id],bom[ph],"NA")</f>
        <v>molex</v>
      </c>
      <c r="O55" s="20" t="str">
        <f>_xlfn.XLOOKUP(packes[[#This Row],[productId]],bom[Id],bom[erth],"NA")</f>
        <v>-</v>
      </c>
      <c r="P55" s="20" t="str">
        <f>_xlfn.XLOOKUP(packes[[#This Row],[productId]],bom[Id],bom[dbl],"NA")</f>
        <v>splice</v>
      </c>
      <c r="Q55" s="20" t="str">
        <f>LEFT(packes[[#This Row],[date]],4)</f>
        <v>1403</v>
      </c>
    </row>
    <row r="56" spans="1:17" s="23" customFormat="1" ht="16.5" x14ac:dyDescent="0.25">
      <c r="A56" s="23">
        <v>54</v>
      </c>
      <c r="B56" s="30" t="s">
        <v>1485</v>
      </c>
      <c r="C56" s="23">
        <v>140310007</v>
      </c>
      <c r="D56" s="23">
        <v>600</v>
      </c>
      <c r="E56" s="27">
        <f>_xlfn.XLOOKUP(packes[[#This Row],[productId]],bom[Id],bom[wgt])</f>
        <v>1.1413748378728923</v>
      </c>
      <c r="F56" s="27">
        <f>packes[[#This Row],[num]]*packes[[#This Row],[wtg]]</f>
        <v>684.82490272373536</v>
      </c>
      <c r="G56" s="357"/>
      <c r="H56" s="21">
        <f>packes[[#This Row],[num]]-SUM(packes[[#This Row],[num2]])</f>
        <v>600</v>
      </c>
      <c r="I56" s="357"/>
      <c r="J56" s="21"/>
      <c r="K56" s="323"/>
      <c r="M56" s="27">
        <f>_xlfn.XLOOKUP(packes[[#This Row],[productId]],CT[productId],CT[total],"NA")</f>
        <v>92.484999999999999</v>
      </c>
      <c r="N56" s="20" t="str">
        <f>_xlfn.XLOOKUP(packes[[#This Row],[productId]],bom[Id],bom[ph],"NA")</f>
        <v>-</v>
      </c>
      <c r="O56" s="20" t="str">
        <f>_xlfn.XLOOKUP(packes[[#This Row],[productId]],bom[Id],bom[erth],"NA")</f>
        <v>nut4</v>
      </c>
      <c r="P56" s="20" t="str">
        <f>_xlfn.XLOOKUP(packes[[#This Row],[productId]],bom[Id],bom[dbl],"NA")</f>
        <v>-</v>
      </c>
      <c r="Q56" s="20" t="str">
        <f>LEFT(packes[[#This Row],[date]],4)</f>
        <v>1403</v>
      </c>
    </row>
    <row r="57" spans="1:17" s="23" customFormat="1" ht="16.5" x14ac:dyDescent="0.25">
      <c r="A57" s="23">
        <v>55</v>
      </c>
      <c r="B57" s="30" t="s">
        <v>1515</v>
      </c>
      <c r="C57" s="23">
        <v>140550060</v>
      </c>
      <c r="D57" s="23">
        <v>1200</v>
      </c>
      <c r="E57" s="27">
        <f>_xlfn.XLOOKUP(packes[[#This Row],[productId]],bom[Id],bom[wgt])</f>
        <v>1.1972463334331038</v>
      </c>
      <c r="F57" s="27">
        <f>packes[[#This Row],[num]]*packes[[#This Row],[wtg]]</f>
        <v>1436.6956001197245</v>
      </c>
      <c r="G57" s="357"/>
      <c r="H57" s="21">
        <f>packes[[#This Row],[num]]-SUM(packes[[#This Row],[num2]])</f>
        <v>1200</v>
      </c>
      <c r="I57" s="357"/>
      <c r="J57" s="21"/>
      <c r="K57" s="323"/>
      <c r="M57" s="27">
        <f>_xlfn.XLOOKUP(packes[[#This Row],[productId]],CT[productId],CT[total],"NA")</f>
        <v>81.220000000000013</v>
      </c>
      <c r="N57" s="20" t="str">
        <f>_xlfn.XLOOKUP(packes[[#This Row],[productId]],bom[Id],bom[ph],"NA")</f>
        <v>radio</v>
      </c>
      <c r="O57" s="20" t="str">
        <f>_xlfn.XLOOKUP(packes[[#This Row],[productId]],bom[Id],bom[erth],"NA")</f>
        <v>-</v>
      </c>
      <c r="P57" s="20" t="str">
        <f>_xlfn.XLOOKUP(packes[[#This Row],[productId]],bom[Id],bom[dbl],"NA")</f>
        <v>-</v>
      </c>
      <c r="Q57" s="20" t="str">
        <f>LEFT(packes[[#This Row],[date]],4)</f>
        <v>1403</v>
      </c>
    </row>
    <row r="58" spans="1:17" s="23" customFormat="1" ht="16.5" x14ac:dyDescent="0.25">
      <c r="A58" s="23">
        <v>56</v>
      </c>
      <c r="B58" s="30" t="s">
        <v>1515</v>
      </c>
      <c r="C58" s="23">
        <v>140090143</v>
      </c>
      <c r="D58" s="23">
        <v>1750</v>
      </c>
      <c r="E58" s="27">
        <f>_xlfn.XLOOKUP(packes[[#This Row],[productId]],bom[Id],bom[wgt])</f>
        <v>2.7237354085603114</v>
      </c>
      <c r="F58" s="27">
        <f>packes[[#This Row],[num]]*packes[[#This Row],[wtg]]</f>
        <v>4766.5369649805452</v>
      </c>
      <c r="G58" s="357"/>
      <c r="H58" s="21">
        <f>packes[[#This Row],[num]]-SUM(packes[[#This Row],[num2]])</f>
        <v>1750</v>
      </c>
      <c r="I58" s="357"/>
      <c r="J58" s="21"/>
      <c r="K58" s="323"/>
      <c r="M58" s="27">
        <f>_xlfn.XLOOKUP(packes[[#This Row],[productId]],CT[productId],CT[total],"NA")</f>
        <v>233.215</v>
      </c>
      <c r="N58" s="20" t="str">
        <f>_xlfn.XLOOKUP(packes[[#This Row],[productId]],bom[Id],bom[ph],"NA")</f>
        <v>molex</v>
      </c>
      <c r="O58" s="20" t="str">
        <f>_xlfn.XLOOKUP(packes[[#This Row],[productId]],bom[Id],bom[erth],"NA")</f>
        <v>-</v>
      </c>
      <c r="P58" s="20" t="str">
        <f>_xlfn.XLOOKUP(packes[[#This Row],[productId]],bom[Id],bom[dbl],"NA")</f>
        <v>splice</v>
      </c>
      <c r="Q58" s="20" t="str">
        <f>LEFT(packes[[#This Row],[date]],4)</f>
        <v>1403</v>
      </c>
    </row>
    <row r="59" spans="1:17" s="23" customFormat="1" ht="16.5" x14ac:dyDescent="0.25">
      <c r="A59" s="23">
        <v>57</v>
      </c>
      <c r="B59" s="30" t="s">
        <v>1515</v>
      </c>
      <c r="C59" s="23">
        <v>140310007</v>
      </c>
      <c r="D59" s="23">
        <v>300</v>
      </c>
      <c r="E59" s="27">
        <f>_xlfn.XLOOKUP(packes[[#This Row],[productId]],bom[Id],bom[wgt])</f>
        <v>1.1413748378728923</v>
      </c>
      <c r="F59" s="27">
        <f>packes[[#This Row],[num]]*packes[[#This Row],[wtg]]</f>
        <v>342.41245136186768</v>
      </c>
      <c r="G59" s="357"/>
      <c r="H59" s="21">
        <f>packes[[#This Row],[num]]-SUM(packes[[#This Row],[num2]])</f>
        <v>300</v>
      </c>
      <c r="I59" s="357"/>
      <c r="J59" s="21"/>
      <c r="K59" s="323"/>
      <c r="M59" s="27">
        <f>_xlfn.XLOOKUP(packes[[#This Row],[productId]],CT[productId],CT[total],"NA")</f>
        <v>92.484999999999999</v>
      </c>
      <c r="N59" s="20" t="str">
        <f>_xlfn.XLOOKUP(packes[[#This Row],[productId]],bom[Id],bom[ph],"NA")</f>
        <v>-</v>
      </c>
      <c r="O59" s="20" t="str">
        <f>_xlfn.XLOOKUP(packes[[#This Row],[productId]],bom[Id],bom[erth],"NA")</f>
        <v>nut4</v>
      </c>
      <c r="P59" s="20" t="str">
        <f>_xlfn.XLOOKUP(packes[[#This Row],[productId]],bom[Id],bom[dbl],"NA")</f>
        <v>-</v>
      </c>
      <c r="Q59" s="20" t="str">
        <f>LEFT(packes[[#This Row],[date]],4)</f>
        <v>1403</v>
      </c>
    </row>
    <row r="60" spans="1:17" s="23" customFormat="1" ht="16.5" x14ac:dyDescent="0.25">
      <c r="A60" s="23">
        <v>58</v>
      </c>
      <c r="B60" s="30" t="s">
        <v>1524</v>
      </c>
      <c r="C60" s="23">
        <v>140090143</v>
      </c>
      <c r="D60" s="23">
        <v>800</v>
      </c>
      <c r="E60" s="27">
        <f>_xlfn.XLOOKUP(packes[[#This Row],[productId]],bom[Id],bom[wgt])</f>
        <v>2.7237354085603114</v>
      </c>
      <c r="F60" s="27">
        <f>packes[[#This Row],[num]]*packes[[#This Row],[wtg]]</f>
        <v>2178.988326848249</v>
      </c>
      <c r="G60" s="357"/>
      <c r="H60" s="21">
        <f>packes[[#This Row],[num]]-SUM(packes[[#This Row],[num2]])</f>
        <v>800</v>
      </c>
      <c r="I60" s="357"/>
      <c r="J60" s="21"/>
      <c r="K60" s="323"/>
      <c r="M60" s="27">
        <f>_xlfn.XLOOKUP(packes[[#This Row],[productId]],CT[productId],CT[total],"NA")</f>
        <v>233.215</v>
      </c>
      <c r="N60" s="20" t="str">
        <f>_xlfn.XLOOKUP(packes[[#This Row],[productId]],bom[Id],bom[ph],"NA")</f>
        <v>molex</v>
      </c>
      <c r="O60" s="20" t="str">
        <f>_xlfn.XLOOKUP(packes[[#This Row],[productId]],bom[Id],bom[erth],"NA")</f>
        <v>-</v>
      </c>
      <c r="P60" s="20" t="str">
        <f>_xlfn.XLOOKUP(packes[[#This Row],[productId]],bom[Id],bom[dbl],"NA")</f>
        <v>splice</v>
      </c>
      <c r="Q60" s="20" t="str">
        <f>LEFT(packes[[#This Row],[date]],4)</f>
        <v>1403</v>
      </c>
    </row>
    <row r="61" spans="1:17" s="23" customFormat="1" ht="16.5" x14ac:dyDescent="0.25">
      <c r="A61" s="23">
        <v>59</v>
      </c>
      <c r="B61" s="30" t="s">
        <v>1518</v>
      </c>
      <c r="C61" s="23">
        <v>140310012</v>
      </c>
      <c r="D61" s="23">
        <v>800</v>
      </c>
      <c r="E61" s="27">
        <f>_xlfn.XLOOKUP(packes[[#This Row],[productId]],bom[Id],bom[wgt])</f>
        <v>1.4007782101167314</v>
      </c>
      <c r="F61" s="27">
        <f>packes[[#This Row],[num]]*packes[[#This Row],[wtg]]</f>
        <v>1120.6225680933851</v>
      </c>
      <c r="G61" s="357"/>
      <c r="H61" s="21">
        <f>packes[[#This Row],[num]]-SUM(packes[[#This Row],[num2]])</f>
        <v>800</v>
      </c>
      <c r="I61" s="357"/>
      <c r="J61" s="21"/>
      <c r="K61" s="323"/>
      <c r="M61" s="27" t="str">
        <f>_xlfn.XLOOKUP(packes[[#This Row],[productId]],CT[productId],CT[total],"NA")</f>
        <v>NA</v>
      </c>
      <c r="N61" s="20" t="str">
        <f>_xlfn.XLOOKUP(packes[[#This Row],[productId]],bom[Id],bom[ph],"NA")</f>
        <v>4.8ch</v>
      </c>
      <c r="O61" s="20" t="str">
        <f>_xlfn.XLOOKUP(packes[[#This Row],[productId]],bom[Id],bom[erth],"NA")</f>
        <v>-</v>
      </c>
      <c r="P61" s="20" t="str">
        <f>_xlfn.XLOOKUP(packes[[#This Row],[productId]],bom[Id],bom[dbl],"NA")</f>
        <v>-</v>
      </c>
      <c r="Q61" s="20" t="str">
        <f>LEFT(packes[[#This Row],[date]],4)</f>
        <v>1403</v>
      </c>
    </row>
    <row r="62" spans="1:17" s="23" customFormat="1" ht="16.5" x14ac:dyDescent="0.25">
      <c r="A62" s="23">
        <v>60</v>
      </c>
      <c r="B62" s="30" t="s">
        <v>1516</v>
      </c>
      <c r="C62" s="23">
        <v>140550060</v>
      </c>
      <c r="D62" s="23">
        <v>1000</v>
      </c>
      <c r="E62" s="27">
        <f>_xlfn.XLOOKUP(packes[[#This Row],[productId]],bom[Id],bom[wgt])</f>
        <v>1.1972463334331038</v>
      </c>
      <c r="F62" s="27">
        <f>packes[[#This Row],[num]]*packes[[#This Row],[wtg]]</f>
        <v>1197.2463334331039</v>
      </c>
      <c r="G62" s="357"/>
      <c r="H62" s="21">
        <f>packes[[#This Row],[num]]-SUM(packes[[#This Row],[num2]])</f>
        <v>1000</v>
      </c>
      <c r="I62" s="357"/>
      <c r="J62" s="21"/>
      <c r="K62" s="323"/>
      <c r="M62" s="27">
        <f>_xlfn.XLOOKUP(packes[[#This Row],[productId]],CT[productId],CT[total],"NA")</f>
        <v>81.220000000000013</v>
      </c>
      <c r="N62" s="20" t="str">
        <f>_xlfn.XLOOKUP(packes[[#This Row],[productId]],bom[Id],bom[ph],"NA")</f>
        <v>radio</v>
      </c>
      <c r="O62" s="20" t="str">
        <f>_xlfn.XLOOKUP(packes[[#This Row],[productId]],bom[Id],bom[erth],"NA")</f>
        <v>-</v>
      </c>
      <c r="P62" s="20" t="str">
        <f>_xlfn.XLOOKUP(packes[[#This Row],[productId]],bom[Id],bom[dbl],"NA")</f>
        <v>-</v>
      </c>
      <c r="Q62" s="20" t="str">
        <f>LEFT(packes[[#This Row],[date]],4)</f>
        <v>1403</v>
      </c>
    </row>
    <row r="63" spans="1:17" s="23" customFormat="1" ht="16.5" x14ac:dyDescent="0.25">
      <c r="A63" s="23">
        <v>61</v>
      </c>
      <c r="B63" s="30" t="s">
        <v>1516</v>
      </c>
      <c r="C63" s="23">
        <v>140310012</v>
      </c>
      <c r="D63" s="23">
        <v>240</v>
      </c>
      <c r="E63" s="27">
        <f>_xlfn.XLOOKUP(packes[[#This Row],[productId]],bom[Id],bom[wgt])</f>
        <v>1.4007782101167314</v>
      </c>
      <c r="F63" s="27">
        <f>packes[[#This Row],[num]]*packes[[#This Row],[wtg]]</f>
        <v>336.18677042801556</v>
      </c>
      <c r="G63" s="357"/>
      <c r="H63" s="21">
        <f>packes[[#This Row],[num]]-SUM(packes[[#This Row],[num2]])</f>
        <v>240</v>
      </c>
      <c r="I63" s="357"/>
      <c r="J63" s="21"/>
      <c r="K63" s="323"/>
      <c r="M63" s="27" t="str">
        <f>_xlfn.XLOOKUP(packes[[#This Row],[productId]],CT[productId],CT[total],"NA")</f>
        <v>NA</v>
      </c>
      <c r="N63" s="20" t="str">
        <f>_xlfn.XLOOKUP(packes[[#This Row],[productId]],bom[Id],bom[ph],"NA")</f>
        <v>4.8ch</v>
      </c>
      <c r="O63" s="20" t="str">
        <f>_xlfn.XLOOKUP(packes[[#This Row],[productId]],bom[Id],bom[erth],"NA")</f>
        <v>-</v>
      </c>
      <c r="P63" s="20" t="str">
        <f>_xlfn.XLOOKUP(packes[[#This Row],[productId]],bom[Id],bom[dbl],"NA")</f>
        <v>-</v>
      </c>
      <c r="Q63" s="20" t="str">
        <f>LEFT(packes[[#This Row],[date]],4)</f>
        <v>1403</v>
      </c>
    </row>
    <row r="64" spans="1:17" s="23" customFormat="1" ht="16.5" x14ac:dyDescent="0.25">
      <c r="A64" s="23">
        <v>62</v>
      </c>
      <c r="B64" s="30" t="s">
        <v>1516</v>
      </c>
      <c r="C64" s="23">
        <v>140010230</v>
      </c>
      <c r="D64" s="23">
        <v>750</v>
      </c>
      <c r="E64" s="27">
        <f>_xlfn.XLOOKUP(packes[[#This Row],[productId]],bom[Id],bom[wgt])</f>
        <v>1.4486680634540554</v>
      </c>
      <c r="F64" s="27">
        <f>packes[[#This Row],[num]]*packes[[#This Row],[wtg]]</f>
        <v>1086.5010475905415</v>
      </c>
      <c r="G64" s="357"/>
      <c r="H64" s="21">
        <f>packes[[#This Row],[num]]-SUM(packes[[#This Row],[num2]])</f>
        <v>750</v>
      </c>
      <c r="I64" s="357"/>
      <c r="J64" s="21"/>
      <c r="K64" s="323"/>
      <c r="M64" s="27">
        <f>_xlfn.XLOOKUP(packes[[#This Row],[productId]],CT[productId],CT[total],"NA")</f>
        <v>147.595</v>
      </c>
      <c r="N64" s="20" t="str">
        <f>_xlfn.XLOOKUP(packes[[#This Row],[productId]],bom[Id],bom[ph],"NA")</f>
        <v>nar.p</v>
      </c>
      <c r="O64" s="20" t="str">
        <f>_xlfn.XLOOKUP(packes[[#This Row],[productId]],bom[Id],bom[erth],"NA")</f>
        <v>-</v>
      </c>
      <c r="P64" s="20" t="str">
        <f>_xlfn.XLOOKUP(packes[[#This Row],[productId]],bom[Id],bom[dbl],"NA")</f>
        <v>nar.p</v>
      </c>
      <c r="Q64" s="20" t="str">
        <f>LEFT(packes[[#This Row],[date]],4)</f>
        <v>1403</v>
      </c>
    </row>
    <row r="65" spans="1:17" s="23" customFormat="1" ht="16.5" x14ac:dyDescent="0.25">
      <c r="A65" s="23">
        <v>63</v>
      </c>
      <c r="B65" s="30" t="s">
        <v>1516</v>
      </c>
      <c r="C65" s="23">
        <v>140310075</v>
      </c>
      <c r="D65" s="23">
        <v>550</v>
      </c>
      <c r="E65" s="27">
        <f>_xlfn.XLOOKUP(packes[[#This Row],[productId]],bom[Id],bom[wgt])</f>
        <v>1.6063054973560809</v>
      </c>
      <c r="F65" s="27">
        <f>packes[[#This Row],[num]]*packes[[#This Row],[wtg]]</f>
        <v>883.46802354584452</v>
      </c>
      <c r="G65" s="357"/>
      <c r="H65" s="21">
        <f>packes[[#This Row],[num]]-SUM(packes[[#This Row],[num2]])</f>
        <v>550</v>
      </c>
      <c r="I65" s="357"/>
      <c r="J65" s="21"/>
      <c r="K65" s="323"/>
      <c r="M65" s="27">
        <f>_xlfn.XLOOKUP(packes[[#This Row],[productId]],CT[productId],CT[total],"NA")</f>
        <v>154.88499999999999</v>
      </c>
      <c r="N65" s="20" t="str">
        <f>_xlfn.XLOOKUP(packes[[#This Row],[productId]],bom[Id],bom[ph],"NA")</f>
        <v>molex</v>
      </c>
      <c r="O65" s="20" t="str">
        <f>_xlfn.XLOOKUP(packes[[#This Row],[productId]],bom[Id],bom[erth],"NA")</f>
        <v>nut4</v>
      </c>
      <c r="P65" s="20" t="str">
        <f>_xlfn.XLOOKUP(packes[[#This Row],[productId]],bom[Id],bom[dbl],"NA")</f>
        <v>-</v>
      </c>
      <c r="Q65" s="20" t="str">
        <f>LEFT(packes[[#This Row],[date]],4)</f>
        <v>1403</v>
      </c>
    </row>
    <row r="66" spans="1:17" s="23" customFormat="1" ht="16.5" x14ac:dyDescent="0.25">
      <c r="A66" s="23">
        <v>64</v>
      </c>
      <c r="B66" s="30" t="s">
        <v>1516</v>
      </c>
      <c r="C66" s="23">
        <v>140310007</v>
      </c>
      <c r="D66" s="23">
        <v>400</v>
      </c>
      <c r="E66" s="27">
        <f>_xlfn.XLOOKUP(packes[[#This Row],[productId]],bom[Id],bom[wgt])</f>
        <v>1.1413748378728923</v>
      </c>
      <c r="F66" s="27">
        <f>packes[[#This Row],[num]]*packes[[#This Row],[wtg]]</f>
        <v>456.54993514915691</v>
      </c>
      <c r="G66" s="357"/>
      <c r="H66" s="21">
        <f>packes[[#This Row],[num]]-SUM(packes[[#This Row],[num2]])</f>
        <v>400</v>
      </c>
      <c r="I66" s="357"/>
      <c r="J66" s="21"/>
      <c r="K66" s="323"/>
      <c r="M66" s="27">
        <f>_xlfn.XLOOKUP(packes[[#This Row],[productId]],CT[productId],CT[total],"NA")</f>
        <v>92.484999999999999</v>
      </c>
      <c r="N66" s="20" t="str">
        <f>_xlfn.XLOOKUP(packes[[#This Row],[productId]],bom[Id],bom[ph],"NA")</f>
        <v>-</v>
      </c>
      <c r="O66" s="20" t="str">
        <f>_xlfn.XLOOKUP(packes[[#This Row],[productId]],bom[Id],bom[erth],"NA")</f>
        <v>nut4</v>
      </c>
      <c r="P66" s="20" t="str">
        <f>_xlfn.XLOOKUP(packes[[#This Row],[productId]],bom[Id],bom[dbl],"NA")</f>
        <v>-</v>
      </c>
      <c r="Q66" s="20" t="str">
        <f>LEFT(packes[[#This Row],[date]],4)</f>
        <v>1403</v>
      </c>
    </row>
    <row r="67" spans="1:17" s="23" customFormat="1" ht="16.5" x14ac:dyDescent="0.25">
      <c r="A67" s="23">
        <v>65</v>
      </c>
      <c r="B67" s="30" t="s">
        <v>1517</v>
      </c>
      <c r="C67" s="23">
        <v>140550060</v>
      </c>
      <c r="D67" s="23">
        <v>1800</v>
      </c>
      <c r="E67" s="27">
        <f>_xlfn.XLOOKUP(packes[[#This Row],[productId]],bom[Id],bom[wgt])</f>
        <v>1.1972463334331038</v>
      </c>
      <c r="F67" s="27">
        <f>packes[[#This Row],[num]]*packes[[#This Row],[wtg]]</f>
        <v>2155.043400179587</v>
      </c>
      <c r="G67" s="357"/>
      <c r="H67" s="21">
        <f>packes[[#This Row],[num]]-SUM(packes[[#This Row],[num2]])</f>
        <v>1800</v>
      </c>
      <c r="I67" s="357"/>
      <c r="J67" s="21"/>
      <c r="K67" s="323"/>
      <c r="M67" s="27">
        <f>_xlfn.XLOOKUP(packes[[#This Row],[productId]],CT[productId],CT[total],"NA")</f>
        <v>81.220000000000013</v>
      </c>
      <c r="N67" s="20" t="str">
        <f>_xlfn.XLOOKUP(packes[[#This Row],[productId]],bom[Id],bom[ph],"NA")</f>
        <v>radio</v>
      </c>
      <c r="O67" s="20" t="str">
        <f>_xlfn.XLOOKUP(packes[[#This Row],[productId]],bom[Id],bom[erth],"NA")</f>
        <v>-</v>
      </c>
      <c r="P67" s="20" t="str">
        <f>_xlfn.XLOOKUP(packes[[#This Row],[productId]],bom[Id],bom[dbl],"NA")</f>
        <v>-</v>
      </c>
      <c r="Q67" s="20" t="str">
        <f>LEFT(packes[[#This Row],[date]],4)</f>
        <v>1403</v>
      </c>
    </row>
    <row r="68" spans="1:17" s="23" customFormat="1" ht="16.5" x14ac:dyDescent="0.25">
      <c r="A68" s="23">
        <v>66</v>
      </c>
      <c r="B68" s="30" t="s">
        <v>1517</v>
      </c>
      <c r="C68" s="23">
        <v>140310012</v>
      </c>
      <c r="D68" s="23">
        <v>200</v>
      </c>
      <c r="E68" s="27">
        <f>_xlfn.XLOOKUP(packes[[#This Row],[productId]],bom[Id],bom[wgt])</f>
        <v>1.4007782101167314</v>
      </c>
      <c r="F68" s="27">
        <f>packes[[#This Row],[num]]*packes[[#This Row],[wtg]]</f>
        <v>280.15564202334627</v>
      </c>
      <c r="G68" s="357"/>
      <c r="H68" s="21">
        <f>packes[[#This Row],[num]]-SUM(packes[[#This Row],[num2]])</f>
        <v>200</v>
      </c>
      <c r="I68" s="357"/>
      <c r="J68" s="21"/>
      <c r="K68" s="323"/>
      <c r="M68" s="27" t="str">
        <f>_xlfn.XLOOKUP(packes[[#This Row],[productId]],CT[productId],CT[total],"NA")</f>
        <v>NA</v>
      </c>
      <c r="N68" s="20" t="str">
        <f>_xlfn.XLOOKUP(packes[[#This Row],[productId]],bom[Id],bom[ph],"NA")</f>
        <v>4.8ch</v>
      </c>
      <c r="O68" s="20" t="str">
        <f>_xlfn.XLOOKUP(packes[[#This Row],[productId]],bom[Id],bom[erth],"NA")</f>
        <v>-</v>
      </c>
      <c r="P68" s="20" t="str">
        <f>_xlfn.XLOOKUP(packes[[#This Row],[productId]],bom[Id],bom[dbl],"NA")</f>
        <v>-</v>
      </c>
      <c r="Q68" s="20" t="str">
        <f>LEFT(packes[[#This Row],[date]],4)</f>
        <v>1403</v>
      </c>
    </row>
    <row r="69" spans="1:17" s="23" customFormat="1" ht="16.5" x14ac:dyDescent="0.25">
      <c r="A69" s="23">
        <v>67</v>
      </c>
      <c r="B69" s="30" t="s">
        <v>1517</v>
      </c>
      <c r="C69" s="23">
        <v>140090143</v>
      </c>
      <c r="D69" s="23">
        <v>600</v>
      </c>
      <c r="E69" s="27">
        <f>_xlfn.XLOOKUP(packes[[#This Row],[productId]],bom[Id],bom[wgt])</f>
        <v>2.7237354085603114</v>
      </c>
      <c r="F69" s="27">
        <f>packes[[#This Row],[num]]*packes[[#This Row],[wtg]]</f>
        <v>1634.2412451361868</v>
      </c>
      <c r="G69" s="357"/>
      <c r="H69" s="21">
        <f>packes[[#This Row],[num]]-SUM(packes[[#This Row],[num2]])</f>
        <v>600</v>
      </c>
      <c r="I69" s="357"/>
      <c r="J69" s="21"/>
      <c r="K69" s="323"/>
      <c r="M69" s="27">
        <f>_xlfn.XLOOKUP(packes[[#This Row],[productId]],CT[productId],CT[total],"NA")</f>
        <v>233.215</v>
      </c>
      <c r="N69" s="20" t="str">
        <f>_xlfn.XLOOKUP(packes[[#This Row],[productId]],bom[Id],bom[ph],"NA")</f>
        <v>molex</v>
      </c>
      <c r="O69" s="20" t="str">
        <f>_xlfn.XLOOKUP(packes[[#This Row],[productId]],bom[Id],bom[erth],"NA")</f>
        <v>-</v>
      </c>
      <c r="P69" s="20" t="str">
        <f>_xlfn.XLOOKUP(packes[[#This Row],[productId]],bom[Id],bom[dbl],"NA")</f>
        <v>splice</v>
      </c>
      <c r="Q69" s="20" t="str">
        <f>LEFT(packes[[#This Row],[date]],4)</f>
        <v>1403</v>
      </c>
    </row>
    <row r="70" spans="1:17" s="23" customFormat="1" ht="16.5" x14ac:dyDescent="0.25">
      <c r="A70" s="23">
        <v>68</v>
      </c>
      <c r="B70" s="30" t="s">
        <v>1486</v>
      </c>
      <c r="C70" s="23">
        <v>140310071</v>
      </c>
      <c r="D70" s="23">
        <v>1350</v>
      </c>
      <c r="E70" s="27">
        <f>_xlfn.XLOOKUP(packes[[#This Row],[productId]],bom[Id],bom[wgt])</f>
        <v>1.3</v>
      </c>
      <c r="F70" s="27">
        <f>packes[[#This Row],[num]]*packes[[#This Row],[wtg]]</f>
        <v>1755</v>
      </c>
      <c r="G70" s="357"/>
      <c r="H70" s="21">
        <f>packes[[#This Row],[num]]-SUM(packes[[#This Row],[num2]])</f>
        <v>1350</v>
      </c>
      <c r="I70" s="357"/>
      <c r="J70" s="21"/>
      <c r="K70" s="323"/>
      <c r="M70" s="27">
        <f>_xlfn.XLOOKUP(packes[[#This Row],[productId]],CT[productId],CT[total],"NA")</f>
        <v>130.69500000000002</v>
      </c>
      <c r="N70" s="20" t="str">
        <f>_xlfn.XLOOKUP(packes[[#This Row],[productId]],bom[Id],bom[ph],"NA")</f>
        <v>6.3ch</v>
      </c>
      <c r="O70" s="20" t="str">
        <f>_xlfn.XLOOKUP(packes[[#This Row],[productId]],bom[Id],bom[erth],"NA")</f>
        <v>6.3k</v>
      </c>
      <c r="P70" s="20" t="str">
        <f>_xlfn.XLOOKUP(packes[[#This Row],[productId]],bom[Id],bom[dbl],"NA")</f>
        <v>-</v>
      </c>
      <c r="Q70" s="20" t="str">
        <f>LEFT(packes[[#This Row],[date]],4)</f>
        <v>1403</v>
      </c>
    </row>
    <row r="71" spans="1:17" s="23" customFormat="1" ht="16.5" x14ac:dyDescent="0.25">
      <c r="A71" s="23">
        <v>69</v>
      </c>
      <c r="B71" s="30" t="s">
        <v>1486</v>
      </c>
      <c r="C71" s="23">
        <v>140550060</v>
      </c>
      <c r="D71" s="23">
        <v>1800</v>
      </c>
      <c r="E71" s="27">
        <f>_xlfn.XLOOKUP(packes[[#This Row],[productId]],bom[Id],bom[wgt])</f>
        <v>1.1972463334331038</v>
      </c>
      <c r="F71" s="27">
        <f>packes[[#This Row],[num]]*packes[[#This Row],[wtg]]</f>
        <v>2155.043400179587</v>
      </c>
      <c r="G71" s="357"/>
      <c r="H71" s="21">
        <f>packes[[#This Row],[num]]-SUM(packes[[#This Row],[num2]])</f>
        <v>1800</v>
      </c>
      <c r="I71" s="357"/>
      <c r="J71" s="21"/>
      <c r="K71" s="323"/>
      <c r="M71" s="27">
        <f>_xlfn.XLOOKUP(packes[[#This Row],[productId]],CT[productId],CT[total],"NA")</f>
        <v>81.220000000000013</v>
      </c>
      <c r="N71" s="20" t="str">
        <f>_xlfn.XLOOKUP(packes[[#This Row],[productId]],bom[Id],bom[ph],"NA")</f>
        <v>radio</v>
      </c>
      <c r="O71" s="20" t="str">
        <f>_xlfn.XLOOKUP(packes[[#This Row],[productId]],bom[Id],bom[erth],"NA")</f>
        <v>-</v>
      </c>
      <c r="P71" s="20" t="str">
        <f>_xlfn.XLOOKUP(packes[[#This Row],[productId]],bom[Id],bom[dbl],"NA")</f>
        <v>-</v>
      </c>
      <c r="Q71" s="20" t="str">
        <f>LEFT(packes[[#This Row],[date]],4)</f>
        <v>1403</v>
      </c>
    </row>
    <row r="72" spans="1:17" s="23" customFormat="1" ht="16.5" x14ac:dyDescent="0.25">
      <c r="A72" s="23">
        <v>70</v>
      </c>
      <c r="B72" s="30" t="s">
        <v>1486</v>
      </c>
      <c r="C72" s="23">
        <v>140310012</v>
      </c>
      <c r="D72" s="23">
        <v>560</v>
      </c>
      <c r="E72" s="27">
        <f>_xlfn.XLOOKUP(packes[[#This Row],[productId]],bom[Id],bom[wgt])</f>
        <v>1.4007782101167314</v>
      </c>
      <c r="F72" s="27">
        <f>packes[[#This Row],[num]]*packes[[#This Row],[wtg]]</f>
        <v>784.43579766536959</v>
      </c>
      <c r="G72" s="357"/>
      <c r="H72" s="21">
        <f>packes[[#This Row],[num]]-SUM(packes[[#This Row],[num2]])</f>
        <v>560</v>
      </c>
      <c r="I72" s="357"/>
      <c r="J72" s="21"/>
      <c r="K72" s="323"/>
      <c r="M72" s="27" t="str">
        <f>_xlfn.XLOOKUP(packes[[#This Row],[productId]],CT[productId],CT[total],"NA")</f>
        <v>NA</v>
      </c>
      <c r="N72" s="20" t="str">
        <f>_xlfn.XLOOKUP(packes[[#This Row],[productId]],bom[Id],bom[ph],"NA")</f>
        <v>4.8ch</v>
      </c>
      <c r="O72" s="20" t="str">
        <f>_xlfn.XLOOKUP(packes[[#This Row],[productId]],bom[Id],bom[erth],"NA")</f>
        <v>-</v>
      </c>
      <c r="P72" s="20" t="str">
        <f>_xlfn.XLOOKUP(packes[[#This Row],[productId]],bom[Id],bom[dbl],"NA")</f>
        <v>-</v>
      </c>
      <c r="Q72" s="20" t="str">
        <f>LEFT(packes[[#This Row],[date]],4)</f>
        <v>1403</v>
      </c>
    </row>
    <row r="73" spans="1:17" s="23" customFormat="1" ht="16.5" x14ac:dyDescent="0.25">
      <c r="A73" s="23">
        <v>71</v>
      </c>
      <c r="B73" s="30" t="s">
        <v>1486</v>
      </c>
      <c r="C73" s="23">
        <v>140090143</v>
      </c>
      <c r="D73" s="23">
        <v>450</v>
      </c>
      <c r="E73" s="27">
        <f>_xlfn.XLOOKUP(packes[[#This Row],[productId]],bom[Id],bom[wgt])</f>
        <v>2.7237354085603114</v>
      </c>
      <c r="F73" s="27">
        <f>packes[[#This Row],[num]]*packes[[#This Row],[wtg]]</f>
        <v>1225.68093385214</v>
      </c>
      <c r="G73" s="357"/>
      <c r="H73" s="21">
        <f>packes[[#This Row],[num]]-SUM(packes[[#This Row],[num2]])</f>
        <v>450</v>
      </c>
      <c r="I73" s="357"/>
      <c r="J73" s="21"/>
      <c r="K73" s="323"/>
      <c r="M73" s="27">
        <f>_xlfn.XLOOKUP(packes[[#This Row],[productId]],CT[productId],CT[total],"NA")</f>
        <v>233.215</v>
      </c>
      <c r="N73" s="20" t="str">
        <f>_xlfn.XLOOKUP(packes[[#This Row],[productId]],bom[Id],bom[ph],"NA")</f>
        <v>molex</v>
      </c>
      <c r="O73" s="20" t="str">
        <f>_xlfn.XLOOKUP(packes[[#This Row],[productId]],bom[Id],bom[erth],"NA")</f>
        <v>-</v>
      </c>
      <c r="P73" s="20" t="str">
        <f>_xlfn.XLOOKUP(packes[[#This Row],[productId]],bom[Id],bom[dbl],"NA")</f>
        <v>splice</v>
      </c>
      <c r="Q73" s="20" t="str">
        <f>LEFT(packes[[#This Row],[date]],4)</f>
        <v>1403</v>
      </c>
    </row>
    <row r="74" spans="1:17" s="23" customFormat="1" ht="16.5" x14ac:dyDescent="0.25">
      <c r="A74" s="23">
        <v>72</v>
      </c>
      <c r="B74" s="30" t="s">
        <v>1486</v>
      </c>
      <c r="C74" s="23">
        <v>140310075</v>
      </c>
      <c r="D74" s="23">
        <v>1350</v>
      </c>
      <c r="E74" s="27">
        <f>_xlfn.XLOOKUP(packes[[#This Row],[productId]],bom[Id],bom[wgt])</f>
        <v>1.6063054973560809</v>
      </c>
      <c r="F74" s="27">
        <f>packes[[#This Row],[num]]*packes[[#This Row],[wtg]]</f>
        <v>2168.5124214307093</v>
      </c>
      <c r="G74" s="357"/>
      <c r="H74" s="21">
        <f>packes[[#This Row],[num]]-SUM(packes[[#This Row],[num2]])</f>
        <v>1350</v>
      </c>
      <c r="I74" s="357"/>
      <c r="J74" s="21"/>
      <c r="K74" s="323"/>
      <c r="M74" s="27">
        <f>_xlfn.XLOOKUP(packes[[#This Row],[productId]],CT[productId],CT[total],"NA")</f>
        <v>154.88499999999999</v>
      </c>
      <c r="N74" s="20" t="str">
        <f>_xlfn.XLOOKUP(packes[[#This Row],[productId]],bom[Id],bom[ph],"NA")</f>
        <v>molex</v>
      </c>
      <c r="O74" s="20" t="str">
        <f>_xlfn.XLOOKUP(packes[[#This Row],[productId]],bom[Id],bom[erth],"NA")</f>
        <v>nut4</v>
      </c>
      <c r="P74" s="20" t="str">
        <f>_xlfn.XLOOKUP(packes[[#This Row],[productId]],bom[Id],bom[dbl],"NA")</f>
        <v>-</v>
      </c>
      <c r="Q74" s="20" t="str">
        <f>LEFT(packes[[#This Row],[date]],4)</f>
        <v>1403</v>
      </c>
    </row>
    <row r="75" spans="1:17" s="23" customFormat="1" ht="16.5" x14ac:dyDescent="0.25">
      <c r="A75" s="23">
        <v>73</v>
      </c>
      <c r="B75" s="30" t="s">
        <v>1487</v>
      </c>
      <c r="C75" s="23">
        <v>140310071</v>
      </c>
      <c r="D75" s="23">
        <v>1500</v>
      </c>
      <c r="E75" s="27">
        <f>_xlfn.XLOOKUP(packes[[#This Row],[productId]],bom[Id],bom[wgt])</f>
        <v>1.3</v>
      </c>
      <c r="F75" s="27">
        <f>packes[[#This Row],[num]]*packes[[#This Row],[wtg]]</f>
        <v>1950</v>
      </c>
      <c r="G75" s="357"/>
      <c r="H75" s="21">
        <f>packes[[#This Row],[num]]-SUM(packes[[#This Row],[num2]])</f>
        <v>1500</v>
      </c>
      <c r="I75" s="357"/>
      <c r="J75" s="21"/>
      <c r="K75" s="323"/>
      <c r="M75" s="27">
        <f>_xlfn.XLOOKUP(packes[[#This Row],[productId]],CT[productId],CT[total],"NA")</f>
        <v>130.69500000000002</v>
      </c>
      <c r="N75" s="20" t="str">
        <f>_xlfn.XLOOKUP(packes[[#This Row],[productId]],bom[Id],bom[ph],"NA")</f>
        <v>6.3ch</v>
      </c>
      <c r="O75" s="20" t="str">
        <f>_xlfn.XLOOKUP(packes[[#This Row],[productId]],bom[Id],bom[erth],"NA")</f>
        <v>6.3k</v>
      </c>
      <c r="P75" s="20" t="str">
        <f>_xlfn.XLOOKUP(packes[[#This Row],[productId]],bom[Id],bom[dbl],"NA")</f>
        <v>-</v>
      </c>
      <c r="Q75" s="20" t="str">
        <f>LEFT(packes[[#This Row],[date]],4)</f>
        <v>1403</v>
      </c>
    </row>
    <row r="76" spans="1:17" s="23" customFormat="1" ht="16.5" x14ac:dyDescent="0.25">
      <c r="A76" s="23">
        <v>74</v>
      </c>
      <c r="B76" s="30" t="s">
        <v>1487</v>
      </c>
      <c r="C76" s="23">
        <v>140550060</v>
      </c>
      <c r="D76" s="23">
        <v>200</v>
      </c>
      <c r="E76" s="27">
        <f>_xlfn.XLOOKUP(packes[[#This Row],[productId]],bom[Id],bom[wgt])</f>
        <v>1.1972463334331038</v>
      </c>
      <c r="F76" s="27">
        <f>packes[[#This Row],[num]]*packes[[#This Row],[wtg]]</f>
        <v>239.44926668662077</v>
      </c>
      <c r="G76" s="357"/>
      <c r="H76" s="21">
        <f>packes[[#This Row],[num]]-SUM(packes[[#This Row],[num2]])</f>
        <v>200</v>
      </c>
      <c r="I76" s="357"/>
      <c r="J76" s="21"/>
      <c r="K76" s="323"/>
      <c r="M76" s="27">
        <f>_xlfn.XLOOKUP(packes[[#This Row],[productId]],CT[productId],CT[total],"NA")</f>
        <v>81.220000000000013</v>
      </c>
      <c r="N76" s="20" t="str">
        <f>_xlfn.XLOOKUP(packes[[#This Row],[productId]],bom[Id],bom[ph],"NA")</f>
        <v>radio</v>
      </c>
      <c r="O76" s="20" t="str">
        <f>_xlfn.XLOOKUP(packes[[#This Row],[productId]],bom[Id],bom[erth],"NA")</f>
        <v>-</v>
      </c>
      <c r="P76" s="20" t="str">
        <f>_xlfn.XLOOKUP(packes[[#This Row],[productId]],bom[Id],bom[dbl],"NA")</f>
        <v>-</v>
      </c>
      <c r="Q76" s="20" t="str">
        <f>LEFT(packes[[#This Row],[date]],4)</f>
        <v>1403</v>
      </c>
    </row>
    <row r="77" spans="1:17" s="23" customFormat="1" ht="16.5" x14ac:dyDescent="0.25">
      <c r="A77" s="23">
        <v>75</v>
      </c>
      <c r="B77" s="30" t="s">
        <v>1487</v>
      </c>
      <c r="C77" s="23">
        <v>140310012</v>
      </c>
      <c r="D77" s="23">
        <v>880</v>
      </c>
      <c r="E77" s="27">
        <f>_xlfn.XLOOKUP(packes[[#This Row],[productId]],bom[Id],bom[wgt])</f>
        <v>1.4007782101167314</v>
      </c>
      <c r="F77" s="27">
        <f>packes[[#This Row],[num]]*packes[[#This Row],[wtg]]</f>
        <v>1232.6848249027237</v>
      </c>
      <c r="G77" s="357"/>
      <c r="H77" s="21">
        <f>packes[[#This Row],[num]]-SUM(packes[[#This Row],[num2]])</f>
        <v>880</v>
      </c>
      <c r="I77" s="357"/>
      <c r="J77" s="21"/>
      <c r="K77" s="323"/>
      <c r="M77" s="27" t="str">
        <f>_xlfn.XLOOKUP(packes[[#This Row],[productId]],CT[productId],CT[total],"NA")</f>
        <v>NA</v>
      </c>
      <c r="N77" s="20" t="str">
        <f>_xlfn.XLOOKUP(packes[[#This Row],[productId]],bom[Id],bom[ph],"NA")</f>
        <v>4.8ch</v>
      </c>
      <c r="O77" s="20" t="str">
        <f>_xlfn.XLOOKUP(packes[[#This Row],[productId]],bom[Id],bom[erth],"NA")</f>
        <v>-</v>
      </c>
      <c r="P77" s="20" t="str">
        <f>_xlfn.XLOOKUP(packes[[#This Row],[productId]],bom[Id],bom[dbl],"NA")</f>
        <v>-</v>
      </c>
      <c r="Q77" s="20" t="str">
        <f>LEFT(packes[[#This Row],[date]],4)</f>
        <v>1403</v>
      </c>
    </row>
    <row r="78" spans="1:17" s="23" customFormat="1" ht="16.5" x14ac:dyDescent="0.25">
      <c r="A78" s="23">
        <v>76</v>
      </c>
      <c r="B78" s="30" t="s">
        <v>1487</v>
      </c>
      <c r="C78" s="23">
        <v>140310075</v>
      </c>
      <c r="D78" s="23">
        <v>700</v>
      </c>
      <c r="E78" s="27">
        <f>_xlfn.XLOOKUP(packes[[#This Row],[productId]],bom[Id],bom[wgt])</f>
        <v>1.6063054973560809</v>
      </c>
      <c r="F78" s="27">
        <f>packes[[#This Row],[num]]*packes[[#This Row],[wtg]]</f>
        <v>1124.4138481492566</v>
      </c>
      <c r="G78" s="357"/>
      <c r="H78" s="21">
        <f>packes[[#This Row],[num]]-SUM(packes[[#This Row],[num2]])</f>
        <v>700</v>
      </c>
      <c r="I78" s="357"/>
      <c r="J78" s="21"/>
      <c r="K78" s="323"/>
      <c r="M78" s="27">
        <f>_xlfn.XLOOKUP(packes[[#This Row],[productId]],CT[productId],CT[total],"NA")</f>
        <v>154.88499999999999</v>
      </c>
      <c r="N78" s="20" t="str">
        <f>_xlfn.XLOOKUP(packes[[#This Row],[productId]],bom[Id],bom[ph],"NA")</f>
        <v>molex</v>
      </c>
      <c r="O78" s="20" t="str">
        <f>_xlfn.XLOOKUP(packes[[#This Row],[productId]],bom[Id],bom[erth],"NA")</f>
        <v>nut4</v>
      </c>
      <c r="P78" s="20" t="str">
        <f>_xlfn.XLOOKUP(packes[[#This Row],[productId]],bom[Id],bom[dbl],"NA")</f>
        <v>-</v>
      </c>
      <c r="Q78" s="20" t="str">
        <f>LEFT(packes[[#This Row],[date]],4)</f>
        <v>1403</v>
      </c>
    </row>
    <row r="79" spans="1:17" s="23" customFormat="1" ht="16.5" x14ac:dyDescent="0.25">
      <c r="A79" s="23">
        <v>77</v>
      </c>
      <c r="B79" s="30" t="s">
        <v>1488</v>
      </c>
      <c r="C79" s="23">
        <v>140310071</v>
      </c>
      <c r="D79" s="23">
        <v>2900</v>
      </c>
      <c r="E79" s="27">
        <f>_xlfn.XLOOKUP(packes[[#This Row],[productId]],bom[Id],bom[wgt])</f>
        <v>1.3</v>
      </c>
      <c r="F79" s="27">
        <f>packes[[#This Row],[num]]*packes[[#This Row],[wtg]]</f>
        <v>3770</v>
      </c>
      <c r="G79" s="357"/>
      <c r="H79" s="21">
        <f>packes[[#This Row],[num]]-SUM(packes[[#This Row],[num2]])</f>
        <v>2900</v>
      </c>
      <c r="I79" s="357"/>
      <c r="J79" s="21"/>
      <c r="K79" s="323"/>
      <c r="M79" s="27">
        <f>_xlfn.XLOOKUP(packes[[#This Row],[productId]],CT[productId],CT[total],"NA")</f>
        <v>130.69500000000002</v>
      </c>
      <c r="N79" s="20" t="str">
        <f>_xlfn.XLOOKUP(packes[[#This Row],[productId]],bom[Id],bom[ph],"NA")</f>
        <v>6.3ch</v>
      </c>
      <c r="O79" s="20" t="str">
        <f>_xlfn.XLOOKUP(packes[[#This Row],[productId]],bom[Id],bom[erth],"NA")</f>
        <v>6.3k</v>
      </c>
      <c r="P79" s="20" t="str">
        <f>_xlfn.XLOOKUP(packes[[#This Row],[productId]],bom[Id],bom[dbl],"NA")</f>
        <v>-</v>
      </c>
      <c r="Q79" s="20" t="str">
        <f>LEFT(packes[[#This Row],[date]],4)</f>
        <v>1403</v>
      </c>
    </row>
    <row r="80" spans="1:17" s="23" customFormat="1" ht="16.5" x14ac:dyDescent="0.25">
      <c r="A80" s="23">
        <v>78</v>
      </c>
      <c r="B80" s="30" t="s">
        <v>1488</v>
      </c>
      <c r="C80" s="23">
        <v>140550060</v>
      </c>
      <c r="D80" s="23">
        <v>1500</v>
      </c>
      <c r="E80" s="27">
        <f>_xlfn.XLOOKUP(packes[[#This Row],[productId]],bom[Id],bom[wgt])</f>
        <v>1.1972463334331038</v>
      </c>
      <c r="F80" s="27">
        <f>packes[[#This Row],[num]]*packes[[#This Row],[wtg]]</f>
        <v>1795.8695001496558</v>
      </c>
      <c r="G80" s="357"/>
      <c r="H80" s="21">
        <f>packes[[#This Row],[num]]-SUM(packes[[#This Row],[num2]])</f>
        <v>1500</v>
      </c>
      <c r="I80" s="357"/>
      <c r="J80" s="21"/>
      <c r="K80" s="323"/>
      <c r="M80" s="27">
        <f>_xlfn.XLOOKUP(packes[[#This Row],[productId]],CT[productId],CT[total],"NA")</f>
        <v>81.220000000000013</v>
      </c>
      <c r="N80" s="20" t="str">
        <f>_xlfn.XLOOKUP(packes[[#This Row],[productId]],bom[Id],bom[ph],"NA")</f>
        <v>radio</v>
      </c>
      <c r="O80" s="20" t="str">
        <f>_xlfn.XLOOKUP(packes[[#This Row],[productId]],bom[Id],bom[erth],"NA")</f>
        <v>-</v>
      </c>
      <c r="P80" s="20" t="str">
        <f>_xlfn.XLOOKUP(packes[[#This Row],[productId]],bom[Id],bom[dbl],"NA")</f>
        <v>-</v>
      </c>
      <c r="Q80" s="20" t="str">
        <f>LEFT(packes[[#This Row],[date]],4)</f>
        <v>1403</v>
      </c>
    </row>
    <row r="81" spans="1:17" s="23" customFormat="1" ht="16.5" x14ac:dyDescent="0.25">
      <c r="A81" s="23">
        <v>79</v>
      </c>
      <c r="B81" s="30" t="s">
        <v>1488</v>
      </c>
      <c r="C81" s="23">
        <v>140310012</v>
      </c>
      <c r="D81" s="23">
        <v>1480</v>
      </c>
      <c r="E81" s="27">
        <f>_xlfn.XLOOKUP(packes[[#This Row],[productId]],bom[Id],bom[wgt])</f>
        <v>1.4007782101167314</v>
      </c>
      <c r="F81" s="27">
        <f>packes[[#This Row],[num]]*packes[[#This Row],[wtg]]</f>
        <v>2073.1517509727623</v>
      </c>
      <c r="G81" s="357"/>
      <c r="H81" s="21">
        <f>packes[[#This Row],[num]]-SUM(packes[[#This Row],[num2]])</f>
        <v>1480</v>
      </c>
      <c r="I81" s="357"/>
      <c r="J81" s="21"/>
      <c r="K81" s="323"/>
      <c r="M81" s="27" t="str">
        <f>_xlfn.XLOOKUP(packes[[#This Row],[productId]],CT[productId],CT[total],"NA")</f>
        <v>NA</v>
      </c>
      <c r="N81" s="20" t="str">
        <f>_xlfn.XLOOKUP(packes[[#This Row],[productId]],bom[Id],bom[ph],"NA")</f>
        <v>4.8ch</v>
      </c>
      <c r="O81" s="20" t="str">
        <f>_xlfn.XLOOKUP(packes[[#This Row],[productId]],bom[Id],bom[erth],"NA")</f>
        <v>-</v>
      </c>
      <c r="P81" s="20" t="str">
        <f>_xlfn.XLOOKUP(packes[[#This Row],[productId]],bom[Id],bom[dbl],"NA")</f>
        <v>-</v>
      </c>
      <c r="Q81" s="20" t="str">
        <f>LEFT(packes[[#This Row],[date]],4)</f>
        <v>1403</v>
      </c>
    </row>
    <row r="82" spans="1:17" s="23" customFormat="1" ht="16.5" x14ac:dyDescent="0.25">
      <c r="A82" s="23">
        <v>80</v>
      </c>
      <c r="B82" s="30" t="s">
        <v>1488</v>
      </c>
      <c r="C82" s="23">
        <v>140310075</v>
      </c>
      <c r="D82" s="23">
        <v>2300</v>
      </c>
      <c r="E82" s="27">
        <f>_xlfn.XLOOKUP(packes[[#This Row],[productId]],bom[Id],bom[wgt])</f>
        <v>1.6063054973560809</v>
      </c>
      <c r="F82" s="27">
        <f>packes[[#This Row],[num]]*packes[[#This Row],[wtg]]</f>
        <v>3694.502643918986</v>
      </c>
      <c r="G82" s="357"/>
      <c r="H82" s="21">
        <f>packes[[#This Row],[num]]-SUM(packes[[#This Row],[num2]])</f>
        <v>2300</v>
      </c>
      <c r="I82" s="357"/>
      <c r="J82" s="21"/>
      <c r="K82" s="323"/>
      <c r="M82" s="27">
        <f>_xlfn.XLOOKUP(packes[[#This Row],[productId]],CT[productId],CT[total],"NA")</f>
        <v>154.88499999999999</v>
      </c>
      <c r="N82" s="20" t="str">
        <f>_xlfn.XLOOKUP(packes[[#This Row],[productId]],bom[Id],bom[ph],"NA")</f>
        <v>molex</v>
      </c>
      <c r="O82" s="20" t="str">
        <f>_xlfn.XLOOKUP(packes[[#This Row],[productId]],bom[Id],bom[erth],"NA")</f>
        <v>nut4</v>
      </c>
      <c r="P82" s="20" t="str">
        <f>_xlfn.XLOOKUP(packes[[#This Row],[productId]],bom[Id],bom[dbl],"NA")</f>
        <v>-</v>
      </c>
      <c r="Q82" s="20" t="str">
        <f>LEFT(packes[[#This Row],[date]],4)</f>
        <v>1403</v>
      </c>
    </row>
    <row r="83" spans="1:17" s="23" customFormat="1" ht="16.5" x14ac:dyDescent="0.25">
      <c r="A83" s="23">
        <v>81</v>
      </c>
      <c r="B83" s="30" t="s">
        <v>1489</v>
      </c>
      <c r="C83" s="23">
        <v>140310071</v>
      </c>
      <c r="D83" s="23">
        <v>750</v>
      </c>
      <c r="E83" s="27">
        <f>_xlfn.XLOOKUP(packes[[#This Row],[productId]],bom[Id],bom[wgt])</f>
        <v>1.3</v>
      </c>
      <c r="F83" s="27">
        <f>packes[[#This Row],[num]]*packes[[#This Row],[wtg]]</f>
        <v>975</v>
      </c>
      <c r="G83" s="357"/>
      <c r="H83" s="21">
        <f>packes[[#This Row],[num]]-SUM(packes[[#This Row],[num2]])</f>
        <v>750</v>
      </c>
      <c r="I83" s="357"/>
      <c r="J83" s="21"/>
      <c r="K83" s="323"/>
      <c r="M83" s="27">
        <f>_xlfn.XLOOKUP(packes[[#This Row],[productId]],CT[productId],CT[total],"NA")</f>
        <v>130.69500000000002</v>
      </c>
      <c r="N83" s="20" t="str">
        <f>_xlfn.XLOOKUP(packes[[#This Row],[productId]],bom[Id],bom[ph],"NA")</f>
        <v>6.3ch</v>
      </c>
      <c r="O83" s="20" t="str">
        <f>_xlfn.XLOOKUP(packes[[#This Row],[productId]],bom[Id],bom[erth],"NA")</f>
        <v>6.3k</v>
      </c>
      <c r="P83" s="20" t="str">
        <f>_xlfn.XLOOKUP(packes[[#This Row],[productId]],bom[Id],bom[dbl],"NA")</f>
        <v>-</v>
      </c>
      <c r="Q83" s="20" t="str">
        <f>LEFT(packes[[#This Row],[date]],4)</f>
        <v>1403</v>
      </c>
    </row>
    <row r="84" spans="1:17" s="23" customFormat="1" ht="16.5" x14ac:dyDescent="0.25">
      <c r="A84" s="23">
        <v>82</v>
      </c>
      <c r="B84" s="30" t="s">
        <v>1489</v>
      </c>
      <c r="C84" s="23">
        <v>140550060</v>
      </c>
      <c r="D84" s="23">
        <v>1700</v>
      </c>
      <c r="E84" s="27">
        <f>_xlfn.XLOOKUP(packes[[#This Row],[productId]],bom[Id],bom[wgt])</f>
        <v>1.1972463334331038</v>
      </c>
      <c r="F84" s="27">
        <f>packes[[#This Row],[num]]*packes[[#This Row],[wtg]]</f>
        <v>2035.3187668362766</v>
      </c>
      <c r="G84" s="357"/>
      <c r="H84" s="21">
        <f>packes[[#This Row],[num]]-SUM(packes[[#This Row],[num2]])</f>
        <v>1700</v>
      </c>
      <c r="I84" s="357"/>
      <c r="J84" s="21"/>
      <c r="K84" s="323"/>
      <c r="M84" s="27">
        <f>_xlfn.XLOOKUP(packes[[#This Row],[productId]],CT[productId],CT[total],"NA")</f>
        <v>81.220000000000013</v>
      </c>
      <c r="N84" s="20" t="str">
        <f>_xlfn.XLOOKUP(packes[[#This Row],[productId]],bom[Id],bom[ph],"NA")</f>
        <v>radio</v>
      </c>
      <c r="O84" s="20" t="str">
        <f>_xlfn.XLOOKUP(packes[[#This Row],[productId]],bom[Id],bom[erth],"NA")</f>
        <v>-</v>
      </c>
      <c r="P84" s="20" t="str">
        <f>_xlfn.XLOOKUP(packes[[#This Row],[productId]],bom[Id],bom[dbl],"NA")</f>
        <v>-</v>
      </c>
      <c r="Q84" s="20" t="str">
        <f>LEFT(packes[[#This Row],[date]],4)</f>
        <v>1403</v>
      </c>
    </row>
    <row r="85" spans="1:17" s="23" customFormat="1" ht="16.5" x14ac:dyDescent="0.25">
      <c r="A85" s="23">
        <v>83</v>
      </c>
      <c r="B85" s="30" t="s">
        <v>1489</v>
      </c>
      <c r="C85" s="23">
        <v>140010230</v>
      </c>
      <c r="D85" s="23">
        <v>700</v>
      </c>
      <c r="E85" s="27">
        <f>_xlfn.XLOOKUP(packes[[#This Row],[productId]],bom[Id],bom[wgt])</f>
        <v>1.4486680634540554</v>
      </c>
      <c r="F85" s="27">
        <f>packes[[#This Row],[num]]*packes[[#This Row],[wtg]]</f>
        <v>1014.0676444178388</v>
      </c>
      <c r="G85" s="357"/>
      <c r="H85" s="21">
        <f>packes[[#This Row],[num]]-SUM(packes[[#This Row],[num2]])</f>
        <v>700</v>
      </c>
      <c r="I85" s="357"/>
      <c r="J85" s="21"/>
      <c r="K85" s="323"/>
      <c r="M85" s="27">
        <f>_xlfn.XLOOKUP(packes[[#This Row],[productId]],CT[productId],CT[total],"NA")</f>
        <v>147.595</v>
      </c>
      <c r="N85" s="20" t="str">
        <f>_xlfn.XLOOKUP(packes[[#This Row],[productId]],bom[Id],bom[ph],"NA")</f>
        <v>nar.p</v>
      </c>
      <c r="O85" s="20" t="str">
        <f>_xlfn.XLOOKUP(packes[[#This Row],[productId]],bom[Id],bom[erth],"NA")</f>
        <v>-</v>
      </c>
      <c r="P85" s="20" t="str">
        <f>_xlfn.XLOOKUP(packes[[#This Row],[productId]],bom[Id],bom[dbl],"NA")</f>
        <v>nar.p</v>
      </c>
      <c r="Q85" s="20" t="str">
        <f>LEFT(packes[[#This Row],[date]],4)</f>
        <v>1403</v>
      </c>
    </row>
    <row r="86" spans="1:17" s="23" customFormat="1" ht="16.5" x14ac:dyDescent="0.25">
      <c r="A86" s="23">
        <v>84</v>
      </c>
      <c r="B86" s="30" t="s">
        <v>1489</v>
      </c>
      <c r="C86" s="23">
        <v>140310075</v>
      </c>
      <c r="D86" s="23">
        <v>1100</v>
      </c>
      <c r="E86" s="27">
        <f>_xlfn.XLOOKUP(packes[[#This Row],[productId]],bom[Id],bom[wgt])</f>
        <v>1.6063054973560809</v>
      </c>
      <c r="F86" s="27">
        <f>packes[[#This Row],[num]]*packes[[#This Row],[wtg]]</f>
        <v>1766.936047091689</v>
      </c>
      <c r="G86" s="357"/>
      <c r="H86" s="21">
        <f>packes[[#This Row],[num]]-SUM(packes[[#This Row],[num2]])</f>
        <v>1100</v>
      </c>
      <c r="I86" s="357"/>
      <c r="J86" s="21"/>
      <c r="K86" s="323"/>
      <c r="M86" s="27">
        <f>_xlfn.XLOOKUP(packes[[#This Row],[productId]],CT[productId],CT[total],"NA")</f>
        <v>154.88499999999999</v>
      </c>
      <c r="N86" s="20" t="str">
        <f>_xlfn.XLOOKUP(packes[[#This Row],[productId]],bom[Id],bom[ph],"NA")</f>
        <v>molex</v>
      </c>
      <c r="O86" s="20" t="str">
        <f>_xlfn.XLOOKUP(packes[[#This Row],[productId]],bom[Id],bom[erth],"NA")</f>
        <v>nut4</v>
      </c>
      <c r="P86" s="20" t="str">
        <f>_xlfn.XLOOKUP(packes[[#This Row],[productId]],bom[Id],bom[dbl],"NA")</f>
        <v>-</v>
      </c>
      <c r="Q86" s="20" t="str">
        <f>LEFT(packes[[#This Row],[date]],4)</f>
        <v>1403</v>
      </c>
    </row>
    <row r="87" spans="1:17" s="23" customFormat="1" ht="16.5" x14ac:dyDescent="0.25">
      <c r="A87" s="23">
        <v>85</v>
      </c>
      <c r="B87" s="30" t="s">
        <v>1489</v>
      </c>
      <c r="C87" s="23">
        <v>140310007</v>
      </c>
      <c r="D87" s="23">
        <v>1300</v>
      </c>
      <c r="E87" s="27">
        <f>_xlfn.XLOOKUP(packes[[#This Row],[productId]],bom[Id],bom[wgt])</f>
        <v>1.1413748378728923</v>
      </c>
      <c r="F87" s="27">
        <f>packes[[#This Row],[num]]*packes[[#This Row],[wtg]]</f>
        <v>1483.78728923476</v>
      </c>
      <c r="G87" s="357"/>
      <c r="H87" s="21">
        <f>packes[[#This Row],[num]]-SUM(packes[[#This Row],[num2]])</f>
        <v>1300</v>
      </c>
      <c r="I87" s="357"/>
      <c r="J87" s="21"/>
      <c r="K87" s="323"/>
      <c r="M87" s="27">
        <f>_xlfn.XLOOKUP(packes[[#This Row],[productId]],CT[productId],CT[total],"NA")</f>
        <v>92.484999999999999</v>
      </c>
      <c r="N87" s="20" t="str">
        <f>_xlfn.XLOOKUP(packes[[#This Row],[productId]],bom[Id],bom[ph],"NA")</f>
        <v>-</v>
      </c>
      <c r="O87" s="20" t="str">
        <f>_xlfn.XLOOKUP(packes[[#This Row],[productId]],bom[Id],bom[erth],"NA")</f>
        <v>nut4</v>
      </c>
      <c r="P87" s="20" t="str">
        <f>_xlfn.XLOOKUP(packes[[#This Row],[productId]],bom[Id],bom[dbl],"NA")</f>
        <v>-</v>
      </c>
      <c r="Q87" s="20" t="str">
        <f>LEFT(packes[[#This Row],[date]],4)</f>
        <v>1403</v>
      </c>
    </row>
    <row r="88" spans="1:17" s="23" customFormat="1" ht="16.5" x14ac:dyDescent="0.25">
      <c r="A88" s="23">
        <v>86</v>
      </c>
      <c r="B88" s="30" t="s">
        <v>1490</v>
      </c>
      <c r="C88" s="23">
        <v>140310071</v>
      </c>
      <c r="D88" s="23">
        <v>1600</v>
      </c>
      <c r="E88" s="27">
        <f>_xlfn.XLOOKUP(packes[[#This Row],[productId]],bom[Id],bom[wgt])</f>
        <v>1.3</v>
      </c>
      <c r="F88" s="27">
        <f>packes[[#This Row],[num]]*packes[[#This Row],[wtg]]</f>
        <v>2080</v>
      </c>
      <c r="G88" s="357"/>
      <c r="H88" s="21">
        <f>packes[[#This Row],[num]]-SUM(packes[[#This Row],[num2]])</f>
        <v>1600</v>
      </c>
      <c r="I88" s="357"/>
      <c r="J88" s="21"/>
      <c r="K88" s="323"/>
      <c r="M88" s="27">
        <f>_xlfn.XLOOKUP(packes[[#This Row],[productId]],CT[productId],CT[total],"NA")</f>
        <v>130.69500000000002</v>
      </c>
      <c r="N88" s="20" t="str">
        <f>_xlfn.XLOOKUP(packes[[#This Row],[productId]],bom[Id],bom[ph],"NA")</f>
        <v>6.3ch</v>
      </c>
      <c r="O88" s="20" t="str">
        <f>_xlfn.XLOOKUP(packes[[#This Row],[productId]],bom[Id],bom[erth],"NA")</f>
        <v>6.3k</v>
      </c>
      <c r="P88" s="20" t="str">
        <f>_xlfn.XLOOKUP(packes[[#This Row],[productId]],bom[Id],bom[dbl],"NA")</f>
        <v>-</v>
      </c>
      <c r="Q88" s="20" t="str">
        <f>LEFT(packes[[#This Row],[date]],4)</f>
        <v>1403</v>
      </c>
    </row>
    <row r="89" spans="1:17" s="23" customFormat="1" ht="16.5" x14ac:dyDescent="0.25">
      <c r="A89" s="23">
        <v>87</v>
      </c>
      <c r="B89" s="30" t="s">
        <v>1490</v>
      </c>
      <c r="C89" s="23">
        <v>140030040</v>
      </c>
      <c r="D89" s="23">
        <v>600</v>
      </c>
      <c r="E89" s="27">
        <f>_xlfn.XLOOKUP(packes[[#This Row],[productId]],bom[Id],bom[wgt])</f>
        <v>1.1092487279257708</v>
      </c>
      <c r="F89" s="27">
        <f>packes[[#This Row],[num]]*packes[[#This Row],[wtg]]</f>
        <v>665.54923675546252</v>
      </c>
      <c r="G89" s="357"/>
      <c r="H89" s="21">
        <f>packes[[#This Row],[num]]-SUM(packes[[#This Row],[num2]])</f>
        <v>600</v>
      </c>
      <c r="I89" s="357"/>
      <c r="J89" s="21"/>
      <c r="K89" s="323"/>
      <c r="M89" s="27">
        <f>_xlfn.XLOOKUP(packes[[#This Row],[productId]],CT[productId],CT[total],"NA")</f>
        <v>97.305000000000007</v>
      </c>
      <c r="N89" s="20" t="str">
        <f>_xlfn.XLOOKUP(packes[[#This Row],[productId]],bom[Id],bom[ph],"NA")</f>
        <v>YH</v>
      </c>
      <c r="O89" s="20" t="str">
        <f>_xlfn.XLOOKUP(packes[[#This Row],[productId]],bom[Id],bom[erth],"NA")</f>
        <v>sun</v>
      </c>
      <c r="P89" s="20" t="str">
        <f>_xlfn.XLOOKUP(packes[[#This Row],[productId]],bom[Id],bom[dbl],"NA")</f>
        <v>-</v>
      </c>
      <c r="Q89" s="20" t="str">
        <f>LEFT(packes[[#This Row],[date]],4)</f>
        <v>1403</v>
      </c>
    </row>
    <row r="90" spans="1:17" s="23" customFormat="1" ht="16.5" x14ac:dyDescent="0.25">
      <c r="A90" s="23">
        <v>88</v>
      </c>
      <c r="B90" s="30" t="s">
        <v>1490</v>
      </c>
      <c r="C90" s="23">
        <v>140550060</v>
      </c>
      <c r="D90" s="23">
        <v>2700</v>
      </c>
      <c r="E90" s="27">
        <f>_xlfn.XLOOKUP(packes[[#This Row],[productId]],bom[Id],bom[wgt])</f>
        <v>1.1972463334331038</v>
      </c>
      <c r="F90" s="27">
        <f>packes[[#This Row],[num]]*packes[[#This Row],[wtg]]</f>
        <v>3232.5651002693803</v>
      </c>
      <c r="G90" s="357"/>
      <c r="H90" s="21">
        <f>packes[[#This Row],[num]]-SUM(packes[[#This Row],[num2]])</f>
        <v>2700</v>
      </c>
      <c r="I90" s="357"/>
      <c r="J90" s="21"/>
      <c r="K90" s="323"/>
      <c r="M90" s="27">
        <f>_xlfn.XLOOKUP(packes[[#This Row],[productId]],CT[productId],CT[total],"NA")</f>
        <v>81.220000000000013</v>
      </c>
      <c r="N90" s="20" t="str">
        <f>_xlfn.XLOOKUP(packes[[#This Row],[productId]],bom[Id],bom[ph],"NA")</f>
        <v>radio</v>
      </c>
      <c r="O90" s="20" t="str">
        <f>_xlfn.XLOOKUP(packes[[#This Row],[productId]],bom[Id],bom[erth],"NA")</f>
        <v>-</v>
      </c>
      <c r="P90" s="20" t="str">
        <f>_xlfn.XLOOKUP(packes[[#This Row],[productId]],bom[Id],bom[dbl],"NA")</f>
        <v>-</v>
      </c>
      <c r="Q90" s="20" t="str">
        <f>LEFT(packes[[#This Row],[date]],4)</f>
        <v>1403</v>
      </c>
    </row>
    <row r="91" spans="1:17" s="23" customFormat="1" ht="16.5" x14ac:dyDescent="0.25">
      <c r="A91" s="23">
        <v>89</v>
      </c>
      <c r="B91" s="30" t="s">
        <v>1490</v>
      </c>
      <c r="C91" s="23">
        <v>140010230</v>
      </c>
      <c r="D91" s="23">
        <v>1100</v>
      </c>
      <c r="E91" s="27">
        <f>_xlfn.XLOOKUP(packes[[#This Row],[productId]],bom[Id],bom[wgt])</f>
        <v>1.4486680634540554</v>
      </c>
      <c r="F91" s="27">
        <f>packes[[#This Row],[num]]*packes[[#This Row],[wtg]]</f>
        <v>1593.5348697994609</v>
      </c>
      <c r="G91" s="357"/>
      <c r="H91" s="21">
        <f>packes[[#This Row],[num]]-SUM(packes[[#This Row],[num2]])</f>
        <v>1100</v>
      </c>
      <c r="I91" s="357"/>
      <c r="J91" s="21"/>
      <c r="K91" s="323"/>
      <c r="M91" s="27">
        <f>_xlfn.XLOOKUP(packes[[#This Row],[productId]],CT[productId],CT[total],"NA")</f>
        <v>147.595</v>
      </c>
      <c r="N91" s="20" t="str">
        <f>_xlfn.XLOOKUP(packes[[#This Row],[productId]],bom[Id],bom[ph],"NA")</f>
        <v>nar.p</v>
      </c>
      <c r="O91" s="20" t="str">
        <f>_xlfn.XLOOKUP(packes[[#This Row],[productId]],bom[Id],bom[erth],"NA")</f>
        <v>-</v>
      </c>
      <c r="P91" s="20" t="str">
        <f>_xlfn.XLOOKUP(packes[[#This Row],[productId]],bom[Id],bom[dbl],"NA")</f>
        <v>nar.p</v>
      </c>
      <c r="Q91" s="20" t="str">
        <f>LEFT(packes[[#This Row],[date]],4)</f>
        <v>1403</v>
      </c>
    </row>
    <row r="92" spans="1:17" s="23" customFormat="1" ht="16.5" x14ac:dyDescent="0.25">
      <c r="A92" s="23">
        <v>90</v>
      </c>
      <c r="B92" s="30" t="s">
        <v>1490</v>
      </c>
      <c r="C92" s="23">
        <v>140090143</v>
      </c>
      <c r="D92" s="23">
        <v>200</v>
      </c>
      <c r="E92" s="27">
        <f>_xlfn.XLOOKUP(packes[[#This Row],[productId]],bom[Id],bom[wgt])</f>
        <v>2.7237354085603114</v>
      </c>
      <c r="F92" s="27">
        <f>packes[[#This Row],[num]]*packes[[#This Row],[wtg]]</f>
        <v>544.74708171206225</v>
      </c>
      <c r="G92" s="357"/>
      <c r="H92" s="21">
        <f>packes[[#This Row],[num]]-SUM(packes[[#This Row],[num2]])</f>
        <v>200</v>
      </c>
      <c r="I92" s="357"/>
      <c r="J92" s="21"/>
      <c r="K92" s="323"/>
      <c r="M92" s="27">
        <f>_xlfn.XLOOKUP(packes[[#This Row],[productId]],CT[productId],CT[total],"NA")</f>
        <v>233.215</v>
      </c>
      <c r="N92" s="20" t="str">
        <f>_xlfn.XLOOKUP(packes[[#This Row],[productId]],bom[Id],bom[ph],"NA")</f>
        <v>molex</v>
      </c>
      <c r="O92" s="20" t="str">
        <f>_xlfn.XLOOKUP(packes[[#This Row],[productId]],bom[Id],bom[erth],"NA")</f>
        <v>-</v>
      </c>
      <c r="P92" s="20" t="str">
        <f>_xlfn.XLOOKUP(packes[[#This Row],[productId]],bom[Id],bom[dbl],"NA")</f>
        <v>splice</v>
      </c>
      <c r="Q92" s="20" t="str">
        <f>LEFT(packes[[#This Row],[date]],4)</f>
        <v>1403</v>
      </c>
    </row>
    <row r="93" spans="1:17" s="23" customFormat="1" ht="16.5" x14ac:dyDescent="0.25">
      <c r="A93" s="23">
        <v>91</v>
      </c>
      <c r="B93" s="30" t="s">
        <v>1490</v>
      </c>
      <c r="C93" s="23">
        <v>140310075</v>
      </c>
      <c r="D93" s="23">
        <v>950</v>
      </c>
      <c r="E93" s="27">
        <f>_xlfn.XLOOKUP(packes[[#This Row],[productId]],bom[Id],bom[wgt])</f>
        <v>1.6063054973560809</v>
      </c>
      <c r="F93" s="27">
        <f>packes[[#This Row],[num]]*packes[[#This Row],[wtg]]</f>
        <v>1525.9902224882769</v>
      </c>
      <c r="G93" s="357"/>
      <c r="H93" s="21">
        <f>packes[[#This Row],[num]]-SUM(packes[[#This Row],[num2]])</f>
        <v>950</v>
      </c>
      <c r="I93" s="357"/>
      <c r="J93" s="21"/>
      <c r="K93" s="323"/>
      <c r="M93" s="27">
        <f>_xlfn.XLOOKUP(packes[[#This Row],[productId]],CT[productId],CT[total],"NA")</f>
        <v>154.88499999999999</v>
      </c>
      <c r="N93" s="20" t="str">
        <f>_xlfn.XLOOKUP(packes[[#This Row],[productId]],bom[Id],bom[ph],"NA")</f>
        <v>molex</v>
      </c>
      <c r="O93" s="20" t="str">
        <f>_xlfn.XLOOKUP(packes[[#This Row],[productId]],bom[Id],bom[erth],"NA")</f>
        <v>nut4</v>
      </c>
      <c r="P93" s="20" t="str">
        <f>_xlfn.XLOOKUP(packes[[#This Row],[productId]],bom[Id],bom[dbl],"NA")</f>
        <v>-</v>
      </c>
      <c r="Q93" s="20" t="str">
        <f>LEFT(packes[[#This Row],[date]],4)</f>
        <v>1403</v>
      </c>
    </row>
    <row r="94" spans="1:17" s="23" customFormat="1" ht="16.5" x14ac:dyDescent="0.25">
      <c r="A94" s="23">
        <v>92</v>
      </c>
      <c r="B94" s="30" t="s">
        <v>1490</v>
      </c>
      <c r="C94" s="23">
        <v>140310007</v>
      </c>
      <c r="D94" s="23">
        <v>1200</v>
      </c>
      <c r="E94" s="27">
        <f>_xlfn.XLOOKUP(packes[[#This Row],[productId]],bom[Id],bom[wgt])</f>
        <v>1.1413748378728923</v>
      </c>
      <c r="F94" s="27">
        <f>packes[[#This Row],[num]]*packes[[#This Row],[wtg]]</f>
        <v>1369.6498054474707</v>
      </c>
      <c r="G94" s="357"/>
      <c r="H94" s="21">
        <f>packes[[#This Row],[num]]-SUM(packes[[#This Row],[num2]])</f>
        <v>1200</v>
      </c>
      <c r="I94" s="357"/>
      <c r="J94" s="21"/>
      <c r="K94" s="323"/>
      <c r="M94" s="27">
        <f>_xlfn.XLOOKUP(packes[[#This Row],[productId]],CT[productId],CT[total],"NA")</f>
        <v>92.484999999999999</v>
      </c>
      <c r="N94" s="20" t="str">
        <f>_xlfn.XLOOKUP(packes[[#This Row],[productId]],bom[Id],bom[ph],"NA")</f>
        <v>-</v>
      </c>
      <c r="O94" s="20" t="str">
        <f>_xlfn.XLOOKUP(packes[[#This Row],[productId]],bom[Id],bom[erth],"NA")</f>
        <v>nut4</v>
      </c>
      <c r="P94" s="20" t="str">
        <f>_xlfn.XLOOKUP(packes[[#This Row],[productId]],bom[Id],bom[dbl],"NA")</f>
        <v>-</v>
      </c>
      <c r="Q94" s="20" t="str">
        <f>LEFT(packes[[#This Row],[date]],4)</f>
        <v>1403</v>
      </c>
    </row>
    <row r="95" spans="1:17" s="23" customFormat="1" ht="16.5" x14ac:dyDescent="0.25">
      <c r="A95" s="23">
        <v>93</v>
      </c>
      <c r="B95" s="30" t="s">
        <v>1491</v>
      </c>
      <c r="C95" s="23">
        <v>140310071</v>
      </c>
      <c r="D95" s="23">
        <v>1600</v>
      </c>
      <c r="E95" s="27">
        <f>_xlfn.XLOOKUP(packes[[#This Row],[productId]],bom[Id],bom[wgt])</f>
        <v>1.3</v>
      </c>
      <c r="F95" s="27">
        <f>packes[[#This Row],[num]]*packes[[#This Row],[wtg]]</f>
        <v>2080</v>
      </c>
      <c r="G95" s="357"/>
      <c r="H95" s="21">
        <f>packes[[#This Row],[num]]-SUM(packes[[#This Row],[num2]])</f>
        <v>1600</v>
      </c>
      <c r="I95" s="357"/>
      <c r="J95" s="21"/>
      <c r="K95" s="323"/>
      <c r="M95" s="27">
        <f>_xlfn.XLOOKUP(packes[[#This Row],[productId]],CT[productId],CT[total],"NA")</f>
        <v>130.69500000000002</v>
      </c>
      <c r="N95" s="20" t="str">
        <f>_xlfn.XLOOKUP(packes[[#This Row],[productId]],bom[Id],bom[ph],"NA")</f>
        <v>6.3ch</v>
      </c>
      <c r="O95" s="20" t="str">
        <f>_xlfn.XLOOKUP(packes[[#This Row],[productId]],bom[Id],bom[erth],"NA")</f>
        <v>6.3k</v>
      </c>
      <c r="P95" s="20" t="str">
        <f>_xlfn.XLOOKUP(packes[[#This Row],[productId]],bom[Id],bom[dbl],"NA")</f>
        <v>-</v>
      </c>
      <c r="Q95" s="20" t="str">
        <f>LEFT(packes[[#This Row],[date]],4)</f>
        <v>1403</v>
      </c>
    </row>
    <row r="96" spans="1:17" s="23" customFormat="1" ht="16.5" x14ac:dyDescent="0.25">
      <c r="A96" s="23">
        <v>94</v>
      </c>
      <c r="B96" s="30" t="s">
        <v>1491</v>
      </c>
      <c r="C96" s="23">
        <v>140310083</v>
      </c>
      <c r="D96" s="23">
        <v>3100</v>
      </c>
      <c r="E96" s="27">
        <f>_xlfn.XLOOKUP(packes[[#This Row],[productId]],bom[Id],bom[wgt])</f>
        <v>1.3369250723336326</v>
      </c>
      <c r="F96" s="27">
        <f>packes[[#This Row],[num]]*packes[[#This Row],[wtg]]</f>
        <v>4144.4677242342614</v>
      </c>
      <c r="G96" s="357"/>
      <c r="H96" s="21">
        <f>packes[[#This Row],[num]]-SUM(packes[[#This Row],[num2]])</f>
        <v>3100</v>
      </c>
      <c r="I96" s="357"/>
      <c r="J96" s="21"/>
      <c r="K96" s="323"/>
      <c r="M96" s="27">
        <f>_xlfn.XLOOKUP(packes[[#This Row],[productId]],CT[productId],CT[total],"NA")</f>
        <v>135.23500000000001</v>
      </c>
      <c r="N96" s="20" t="str">
        <f>_xlfn.XLOOKUP(packes[[#This Row],[productId]],bom[Id],bom[ph],"NA")</f>
        <v>6.3flat</v>
      </c>
      <c r="O96" s="20" t="str">
        <f>_xlfn.XLOOKUP(packes[[#This Row],[productId]],bom[Id],bom[erth],"NA")</f>
        <v>6.3flat</v>
      </c>
      <c r="P96" s="20" t="str">
        <f>_xlfn.XLOOKUP(packes[[#This Row],[productId]],bom[Id],bom[dbl],"NA")</f>
        <v>-</v>
      </c>
      <c r="Q96" s="20" t="str">
        <f>LEFT(packes[[#This Row],[date]],4)</f>
        <v>1403</v>
      </c>
    </row>
    <row r="97" spans="1:17" s="23" customFormat="1" ht="16.5" x14ac:dyDescent="0.25">
      <c r="A97" s="23">
        <v>95</v>
      </c>
      <c r="B97" s="30" t="s">
        <v>1491</v>
      </c>
      <c r="C97" s="23">
        <v>140030039</v>
      </c>
      <c r="D97" s="23">
        <v>200</v>
      </c>
      <c r="E97" s="27">
        <f>_xlfn.XLOOKUP(packes[[#This Row],[productId]],bom[Id],bom[wgt])</f>
        <v>1.1413748378728923</v>
      </c>
      <c r="F97" s="27">
        <f>packes[[#This Row],[num]]*packes[[#This Row],[wtg]]</f>
        <v>228.27496757457845</v>
      </c>
      <c r="G97" s="357"/>
      <c r="H97" s="21">
        <f>packes[[#This Row],[num]]-SUM(packes[[#This Row],[num2]])</f>
        <v>200</v>
      </c>
      <c r="I97" s="357"/>
      <c r="J97" s="21"/>
      <c r="K97" s="323"/>
      <c r="M97" s="27">
        <f>_xlfn.XLOOKUP(packes[[#This Row],[productId]],CT[productId],CT[total],"NA")</f>
        <v>92.504999999999995</v>
      </c>
      <c r="N97" s="20" t="str">
        <f>_xlfn.XLOOKUP(packes[[#This Row],[productId]],bom[Id],bom[ph],"NA")</f>
        <v>YH</v>
      </c>
      <c r="O97" s="20" t="str">
        <f>_xlfn.XLOOKUP(packes[[#This Row],[productId]],bom[Id],bom[erth],"NA")</f>
        <v>sun</v>
      </c>
      <c r="P97" s="20" t="str">
        <f>_xlfn.XLOOKUP(packes[[#This Row],[productId]],bom[Id],bom[dbl],"NA")</f>
        <v>-</v>
      </c>
      <c r="Q97" s="20" t="str">
        <f>LEFT(packes[[#This Row],[date]],4)</f>
        <v>1403</v>
      </c>
    </row>
    <row r="98" spans="1:17" s="23" customFormat="1" ht="16.5" x14ac:dyDescent="0.25">
      <c r="A98" s="23">
        <v>96</v>
      </c>
      <c r="B98" s="30" t="s">
        <v>1491</v>
      </c>
      <c r="C98" s="23">
        <v>140550060</v>
      </c>
      <c r="D98" s="23">
        <v>2700</v>
      </c>
      <c r="E98" s="27">
        <f>_xlfn.XLOOKUP(packes[[#This Row],[productId]],bom[Id],bom[wgt])</f>
        <v>1.1972463334331038</v>
      </c>
      <c r="F98" s="27">
        <f>packes[[#This Row],[num]]*packes[[#This Row],[wtg]]</f>
        <v>3232.5651002693803</v>
      </c>
      <c r="G98" s="357"/>
      <c r="H98" s="21">
        <f>packes[[#This Row],[num]]-SUM(packes[[#This Row],[num2]])</f>
        <v>2700</v>
      </c>
      <c r="I98" s="357"/>
      <c r="J98" s="21"/>
      <c r="K98" s="323"/>
      <c r="M98" s="27">
        <f>_xlfn.XLOOKUP(packes[[#This Row],[productId]],CT[productId],CT[total],"NA")</f>
        <v>81.220000000000013</v>
      </c>
      <c r="N98" s="20" t="str">
        <f>_xlfn.XLOOKUP(packes[[#This Row],[productId]],bom[Id],bom[ph],"NA")</f>
        <v>radio</v>
      </c>
      <c r="O98" s="20" t="str">
        <f>_xlfn.XLOOKUP(packes[[#This Row],[productId]],bom[Id],bom[erth],"NA")</f>
        <v>-</v>
      </c>
      <c r="P98" s="20" t="str">
        <f>_xlfn.XLOOKUP(packes[[#This Row],[productId]],bom[Id],bom[dbl],"NA")</f>
        <v>-</v>
      </c>
      <c r="Q98" s="20" t="str">
        <f>LEFT(packes[[#This Row],[date]],4)</f>
        <v>1403</v>
      </c>
    </row>
    <row r="99" spans="1:17" s="23" customFormat="1" ht="16.5" x14ac:dyDescent="0.25">
      <c r="A99" s="23">
        <v>97</v>
      </c>
      <c r="B99" s="30" t="s">
        <v>1491</v>
      </c>
      <c r="C99" s="23">
        <v>140310012</v>
      </c>
      <c r="D99" s="23">
        <v>200</v>
      </c>
      <c r="E99" s="27">
        <f>_xlfn.XLOOKUP(packes[[#This Row],[productId]],bom[Id],bom[wgt])</f>
        <v>1.4007782101167314</v>
      </c>
      <c r="F99" s="27">
        <f>packes[[#This Row],[num]]*packes[[#This Row],[wtg]]</f>
        <v>280.15564202334627</v>
      </c>
      <c r="G99" s="357"/>
      <c r="H99" s="21">
        <f>packes[[#This Row],[num]]-SUM(packes[[#This Row],[num2]])</f>
        <v>200</v>
      </c>
      <c r="I99" s="357"/>
      <c r="J99" s="21"/>
      <c r="K99" s="323"/>
      <c r="M99" s="27" t="str">
        <f>_xlfn.XLOOKUP(packes[[#This Row],[productId]],CT[productId],CT[total],"NA")</f>
        <v>NA</v>
      </c>
      <c r="N99" s="20" t="str">
        <f>_xlfn.XLOOKUP(packes[[#This Row],[productId]],bom[Id],bom[ph],"NA")</f>
        <v>4.8ch</v>
      </c>
      <c r="O99" s="20" t="str">
        <f>_xlfn.XLOOKUP(packes[[#This Row],[productId]],bom[Id],bom[erth],"NA")</f>
        <v>-</v>
      </c>
      <c r="P99" s="20" t="str">
        <f>_xlfn.XLOOKUP(packes[[#This Row],[productId]],bom[Id],bom[dbl],"NA")</f>
        <v>-</v>
      </c>
      <c r="Q99" s="20" t="str">
        <f>LEFT(packes[[#This Row],[date]],4)</f>
        <v>1403</v>
      </c>
    </row>
    <row r="100" spans="1:17" s="23" customFormat="1" ht="16.5" x14ac:dyDescent="0.25">
      <c r="A100" s="23">
        <v>98</v>
      </c>
      <c r="B100" s="30" t="s">
        <v>1491</v>
      </c>
      <c r="C100" s="23">
        <v>140010230</v>
      </c>
      <c r="D100" s="23">
        <v>900</v>
      </c>
      <c r="E100" s="27">
        <f>_xlfn.XLOOKUP(packes[[#This Row],[productId]],bom[Id],bom[wgt])</f>
        <v>1.4486680634540554</v>
      </c>
      <c r="F100" s="27">
        <f>packes[[#This Row],[num]]*packes[[#This Row],[wtg]]</f>
        <v>1303.8012571086499</v>
      </c>
      <c r="G100" s="357"/>
      <c r="H100" s="21">
        <f>packes[[#This Row],[num]]-SUM(packes[[#This Row],[num2]])</f>
        <v>900</v>
      </c>
      <c r="I100" s="357"/>
      <c r="J100" s="21"/>
      <c r="K100" s="323"/>
      <c r="M100" s="27">
        <f>_xlfn.XLOOKUP(packes[[#This Row],[productId]],CT[productId],CT[total],"NA")</f>
        <v>147.595</v>
      </c>
      <c r="N100" s="20" t="str">
        <f>_xlfn.XLOOKUP(packes[[#This Row],[productId]],bom[Id],bom[ph],"NA")</f>
        <v>nar.p</v>
      </c>
      <c r="O100" s="20" t="str">
        <f>_xlfn.XLOOKUP(packes[[#This Row],[productId]],bom[Id],bom[erth],"NA")</f>
        <v>-</v>
      </c>
      <c r="P100" s="20" t="str">
        <f>_xlfn.XLOOKUP(packes[[#This Row],[productId]],bom[Id],bom[dbl],"NA")</f>
        <v>nar.p</v>
      </c>
      <c r="Q100" s="20" t="str">
        <f>LEFT(packes[[#This Row],[date]],4)</f>
        <v>1403</v>
      </c>
    </row>
    <row r="101" spans="1:17" s="23" customFormat="1" ht="16.5" x14ac:dyDescent="0.25">
      <c r="A101" s="23">
        <v>99</v>
      </c>
      <c r="B101" s="30" t="s">
        <v>1491</v>
      </c>
      <c r="C101" s="23">
        <v>140310075</v>
      </c>
      <c r="D101" s="23">
        <v>750</v>
      </c>
      <c r="E101" s="27">
        <f>_xlfn.XLOOKUP(packes[[#This Row],[productId]],bom[Id],bom[wgt])</f>
        <v>1.6063054973560809</v>
      </c>
      <c r="F101" s="27">
        <f>packes[[#This Row],[num]]*packes[[#This Row],[wtg]]</f>
        <v>1204.7291230170606</v>
      </c>
      <c r="G101" s="357"/>
      <c r="H101" s="21">
        <f>packes[[#This Row],[num]]-SUM(packes[[#This Row],[num2]])</f>
        <v>750</v>
      </c>
      <c r="I101" s="357"/>
      <c r="J101" s="21"/>
      <c r="K101" s="323"/>
      <c r="M101" s="27">
        <f>_xlfn.XLOOKUP(packes[[#This Row],[productId]],CT[productId],CT[total],"NA")</f>
        <v>154.88499999999999</v>
      </c>
      <c r="N101" s="20" t="str">
        <f>_xlfn.XLOOKUP(packes[[#This Row],[productId]],bom[Id],bom[ph],"NA")</f>
        <v>molex</v>
      </c>
      <c r="O101" s="20" t="str">
        <f>_xlfn.XLOOKUP(packes[[#This Row],[productId]],bom[Id],bom[erth],"NA")</f>
        <v>nut4</v>
      </c>
      <c r="P101" s="20" t="str">
        <f>_xlfn.XLOOKUP(packes[[#This Row],[productId]],bom[Id],bom[dbl],"NA")</f>
        <v>-</v>
      </c>
      <c r="Q101" s="20" t="str">
        <f>LEFT(packes[[#This Row],[date]],4)</f>
        <v>1403</v>
      </c>
    </row>
    <row r="102" spans="1:17" s="23" customFormat="1" ht="16.5" x14ac:dyDescent="0.25">
      <c r="A102" s="23">
        <v>100</v>
      </c>
      <c r="B102" s="30" t="s">
        <v>1491</v>
      </c>
      <c r="C102" s="23">
        <v>140310007</v>
      </c>
      <c r="D102" s="23">
        <v>1200</v>
      </c>
      <c r="E102" s="27">
        <f>_xlfn.XLOOKUP(packes[[#This Row],[productId]],bom[Id],bom[wgt])</f>
        <v>1.1413748378728923</v>
      </c>
      <c r="F102" s="27">
        <f>packes[[#This Row],[num]]*packes[[#This Row],[wtg]]</f>
        <v>1369.6498054474707</v>
      </c>
      <c r="G102" s="357"/>
      <c r="H102" s="21">
        <f>packes[[#This Row],[num]]-SUM(packes[[#This Row],[num2]])</f>
        <v>1200</v>
      </c>
      <c r="I102" s="357"/>
      <c r="J102" s="21"/>
      <c r="K102" s="323"/>
      <c r="M102" s="27">
        <f>_xlfn.XLOOKUP(packes[[#This Row],[productId]],CT[productId],CT[total],"NA")</f>
        <v>92.484999999999999</v>
      </c>
      <c r="N102" s="20" t="str">
        <f>_xlfn.XLOOKUP(packes[[#This Row],[productId]],bom[Id],bom[ph],"NA")</f>
        <v>-</v>
      </c>
      <c r="O102" s="20" t="str">
        <f>_xlfn.XLOOKUP(packes[[#This Row],[productId]],bom[Id],bom[erth],"NA")</f>
        <v>nut4</v>
      </c>
      <c r="P102" s="20" t="str">
        <f>_xlfn.XLOOKUP(packes[[#This Row],[productId]],bom[Id],bom[dbl],"NA")</f>
        <v>-</v>
      </c>
      <c r="Q102" s="20" t="str">
        <f>LEFT(packes[[#This Row],[date]],4)</f>
        <v>1403</v>
      </c>
    </row>
    <row r="103" spans="1:17" s="23" customFormat="1" ht="16.5" x14ac:dyDescent="0.25">
      <c r="A103" s="23">
        <v>101</v>
      </c>
      <c r="B103" s="30" t="s">
        <v>1492</v>
      </c>
      <c r="C103" s="23">
        <v>140310071</v>
      </c>
      <c r="D103" s="23">
        <v>900</v>
      </c>
      <c r="E103" s="27">
        <f>_xlfn.XLOOKUP(packes[[#This Row],[productId]],bom[Id],bom[wgt])</f>
        <v>1.3</v>
      </c>
      <c r="F103" s="27">
        <f>packes[[#This Row],[num]]*packes[[#This Row],[wtg]]</f>
        <v>1170</v>
      </c>
      <c r="G103" s="357"/>
      <c r="H103" s="21">
        <f>packes[[#This Row],[num]]-SUM(packes[[#This Row],[num2]])</f>
        <v>900</v>
      </c>
      <c r="I103" s="357"/>
      <c r="J103" s="21"/>
      <c r="K103" s="323"/>
      <c r="M103" s="27">
        <f>_xlfn.XLOOKUP(packes[[#This Row],[productId]],CT[productId],CT[total],"NA")</f>
        <v>130.69500000000002</v>
      </c>
      <c r="N103" s="20" t="str">
        <f>_xlfn.XLOOKUP(packes[[#This Row],[productId]],bom[Id],bom[ph],"NA")</f>
        <v>6.3ch</v>
      </c>
      <c r="O103" s="20" t="str">
        <f>_xlfn.XLOOKUP(packes[[#This Row],[productId]],bom[Id],bom[erth],"NA")</f>
        <v>6.3k</v>
      </c>
      <c r="P103" s="20" t="str">
        <f>_xlfn.XLOOKUP(packes[[#This Row],[productId]],bom[Id],bom[dbl],"NA")</f>
        <v>-</v>
      </c>
      <c r="Q103" s="20" t="str">
        <f>LEFT(packes[[#This Row],[date]],4)</f>
        <v>1403</v>
      </c>
    </row>
    <row r="104" spans="1:17" s="23" customFormat="1" ht="16.5" x14ac:dyDescent="0.25">
      <c r="A104" s="23">
        <v>102</v>
      </c>
      <c r="B104" s="30" t="s">
        <v>1492</v>
      </c>
      <c r="C104" s="23">
        <v>140310083</v>
      </c>
      <c r="D104" s="23">
        <v>2300</v>
      </c>
      <c r="E104" s="27">
        <f>_xlfn.XLOOKUP(packes[[#This Row],[productId]],bom[Id],bom[wgt])</f>
        <v>1.3369250723336326</v>
      </c>
      <c r="F104" s="27">
        <f>packes[[#This Row],[num]]*packes[[#This Row],[wtg]]</f>
        <v>3074.927666367355</v>
      </c>
      <c r="G104" s="357"/>
      <c r="H104" s="21">
        <f>packes[[#This Row],[num]]-SUM(packes[[#This Row],[num2]])</f>
        <v>2300</v>
      </c>
      <c r="I104" s="357"/>
      <c r="J104" s="21"/>
      <c r="K104" s="323"/>
      <c r="M104" s="27">
        <f>_xlfn.XLOOKUP(packes[[#This Row],[productId]],CT[productId],CT[total],"NA")</f>
        <v>135.23500000000001</v>
      </c>
      <c r="N104" s="20" t="str">
        <f>_xlfn.XLOOKUP(packes[[#This Row],[productId]],bom[Id],bom[ph],"NA")</f>
        <v>6.3flat</v>
      </c>
      <c r="O104" s="20" t="str">
        <f>_xlfn.XLOOKUP(packes[[#This Row],[productId]],bom[Id],bom[erth],"NA")</f>
        <v>6.3flat</v>
      </c>
      <c r="P104" s="20" t="str">
        <f>_xlfn.XLOOKUP(packes[[#This Row],[productId]],bom[Id],bom[dbl],"NA")</f>
        <v>-</v>
      </c>
      <c r="Q104" s="20" t="str">
        <f>LEFT(packes[[#This Row],[date]],4)</f>
        <v>1403</v>
      </c>
    </row>
    <row r="105" spans="1:17" s="23" customFormat="1" ht="16.5" x14ac:dyDescent="0.25">
      <c r="A105" s="23">
        <v>103</v>
      </c>
      <c r="B105" s="30" t="s">
        <v>1492</v>
      </c>
      <c r="C105" s="23">
        <v>140550060</v>
      </c>
      <c r="D105" s="23">
        <v>700</v>
      </c>
      <c r="E105" s="27">
        <f>_xlfn.XLOOKUP(packes[[#This Row],[productId]],bom[Id],bom[wgt])</f>
        <v>1.1972463334331038</v>
      </c>
      <c r="F105" s="27">
        <f>packes[[#This Row],[num]]*packes[[#This Row],[wtg]]</f>
        <v>838.07243340317268</v>
      </c>
      <c r="G105" s="357"/>
      <c r="H105" s="21">
        <f>packes[[#This Row],[num]]-SUM(packes[[#This Row],[num2]])</f>
        <v>700</v>
      </c>
      <c r="I105" s="357"/>
      <c r="J105" s="21"/>
      <c r="K105" s="323"/>
      <c r="M105" s="27">
        <f>_xlfn.XLOOKUP(packes[[#This Row],[productId]],CT[productId],CT[total],"NA")</f>
        <v>81.220000000000013</v>
      </c>
      <c r="N105" s="20" t="str">
        <f>_xlfn.XLOOKUP(packes[[#This Row],[productId]],bom[Id],bom[ph],"NA")</f>
        <v>radio</v>
      </c>
      <c r="O105" s="20" t="str">
        <f>_xlfn.XLOOKUP(packes[[#This Row],[productId]],bom[Id],bom[erth],"NA")</f>
        <v>-</v>
      </c>
      <c r="P105" s="20" t="str">
        <f>_xlfn.XLOOKUP(packes[[#This Row],[productId]],bom[Id],bom[dbl],"NA")</f>
        <v>-</v>
      </c>
      <c r="Q105" s="20" t="str">
        <f>LEFT(packes[[#This Row],[date]],4)</f>
        <v>1403</v>
      </c>
    </row>
    <row r="106" spans="1:17" s="23" customFormat="1" ht="16.5" x14ac:dyDescent="0.25">
      <c r="A106" s="23">
        <v>104</v>
      </c>
      <c r="B106" s="30" t="s">
        <v>1492</v>
      </c>
      <c r="C106" s="23">
        <v>140010230</v>
      </c>
      <c r="D106" s="23">
        <v>1800</v>
      </c>
      <c r="E106" s="27">
        <f>_xlfn.XLOOKUP(packes[[#This Row],[productId]],bom[Id],bom[wgt])</f>
        <v>1.4486680634540554</v>
      </c>
      <c r="F106" s="27">
        <f>packes[[#This Row],[num]]*packes[[#This Row],[wtg]]</f>
        <v>2607.6025142172998</v>
      </c>
      <c r="G106" s="357"/>
      <c r="H106" s="21">
        <f>packes[[#This Row],[num]]-SUM(packes[[#This Row],[num2]])</f>
        <v>1800</v>
      </c>
      <c r="I106" s="357"/>
      <c r="J106" s="21"/>
      <c r="K106" s="323"/>
      <c r="M106" s="27">
        <f>_xlfn.XLOOKUP(packes[[#This Row],[productId]],CT[productId],CT[total],"NA")</f>
        <v>147.595</v>
      </c>
      <c r="N106" s="20" t="str">
        <f>_xlfn.XLOOKUP(packes[[#This Row],[productId]],bom[Id],bom[ph],"NA")</f>
        <v>nar.p</v>
      </c>
      <c r="O106" s="20" t="str">
        <f>_xlfn.XLOOKUP(packes[[#This Row],[productId]],bom[Id],bom[erth],"NA")</f>
        <v>-</v>
      </c>
      <c r="P106" s="20" t="str">
        <f>_xlfn.XLOOKUP(packes[[#This Row],[productId]],bom[Id],bom[dbl],"NA")</f>
        <v>nar.p</v>
      </c>
      <c r="Q106" s="20" t="str">
        <f>LEFT(packes[[#This Row],[date]],4)</f>
        <v>1403</v>
      </c>
    </row>
    <row r="107" spans="1:17" s="23" customFormat="1" ht="16.5" x14ac:dyDescent="0.25">
      <c r="A107" s="23">
        <v>105</v>
      </c>
      <c r="B107" s="30" t="s">
        <v>1492</v>
      </c>
      <c r="C107" s="23">
        <v>140310075</v>
      </c>
      <c r="D107" s="23">
        <v>100</v>
      </c>
      <c r="E107" s="27">
        <f>_xlfn.XLOOKUP(packes[[#This Row],[productId]],bom[Id],bom[wgt])</f>
        <v>1.6063054973560809</v>
      </c>
      <c r="F107" s="27">
        <f>packes[[#This Row],[num]]*packes[[#This Row],[wtg]]</f>
        <v>160.6305497356081</v>
      </c>
      <c r="G107" s="357"/>
      <c r="H107" s="21">
        <f>packes[[#This Row],[num]]-SUM(packes[[#This Row],[num2]])</f>
        <v>100</v>
      </c>
      <c r="I107" s="357"/>
      <c r="J107" s="21"/>
      <c r="K107" s="323"/>
      <c r="M107" s="27">
        <f>_xlfn.XLOOKUP(packes[[#This Row],[productId]],CT[productId],CT[total],"NA")</f>
        <v>154.88499999999999</v>
      </c>
      <c r="N107" s="20" t="str">
        <f>_xlfn.XLOOKUP(packes[[#This Row],[productId]],bom[Id],bom[ph],"NA")</f>
        <v>molex</v>
      </c>
      <c r="O107" s="20" t="str">
        <f>_xlfn.XLOOKUP(packes[[#This Row],[productId]],bom[Id],bom[erth],"NA")</f>
        <v>nut4</v>
      </c>
      <c r="P107" s="20" t="str">
        <f>_xlfn.XLOOKUP(packes[[#This Row],[productId]],bom[Id],bom[dbl],"NA")</f>
        <v>-</v>
      </c>
      <c r="Q107" s="20" t="str">
        <f>LEFT(packes[[#This Row],[date]],4)</f>
        <v>1403</v>
      </c>
    </row>
    <row r="108" spans="1:17" s="23" customFormat="1" ht="16.5" x14ac:dyDescent="0.25">
      <c r="A108" s="23">
        <v>106</v>
      </c>
      <c r="B108" s="30" t="s">
        <v>1493</v>
      </c>
      <c r="C108" s="23">
        <v>140310071</v>
      </c>
      <c r="D108" s="23">
        <v>1800</v>
      </c>
      <c r="E108" s="27">
        <f>_xlfn.XLOOKUP(packes[[#This Row],[productId]],bom[Id],bom[wgt])</f>
        <v>1.3</v>
      </c>
      <c r="F108" s="27">
        <f>packes[[#This Row],[num]]*packes[[#This Row],[wtg]]</f>
        <v>2340</v>
      </c>
      <c r="G108" s="357"/>
      <c r="H108" s="21">
        <f>packes[[#This Row],[num]]-SUM(packes[[#This Row],[num2]])</f>
        <v>1800</v>
      </c>
      <c r="I108" s="357"/>
      <c r="J108" s="21"/>
      <c r="K108" s="323"/>
      <c r="M108" s="27">
        <f>_xlfn.XLOOKUP(packes[[#This Row],[productId]],CT[productId],CT[total],"NA")</f>
        <v>130.69500000000002</v>
      </c>
      <c r="N108" s="20" t="str">
        <f>_xlfn.XLOOKUP(packes[[#This Row],[productId]],bom[Id],bom[ph],"NA")</f>
        <v>6.3ch</v>
      </c>
      <c r="O108" s="20" t="str">
        <f>_xlfn.XLOOKUP(packes[[#This Row],[productId]],bom[Id],bom[erth],"NA")</f>
        <v>6.3k</v>
      </c>
      <c r="P108" s="20" t="str">
        <f>_xlfn.XLOOKUP(packes[[#This Row],[productId]],bom[Id],bom[dbl],"NA")</f>
        <v>-</v>
      </c>
      <c r="Q108" s="20" t="str">
        <f>LEFT(packes[[#This Row],[date]],4)</f>
        <v>1403</v>
      </c>
    </row>
    <row r="109" spans="1:17" s="23" customFormat="1" ht="16.5" x14ac:dyDescent="0.25">
      <c r="A109" s="23">
        <v>107</v>
      </c>
      <c r="B109" s="30" t="s">
        <v>1493</v>
      </c>
      <c r="C109" s="23">
        <v>140310083</v>
      </c>
      <c r="D109" s="23">
        <v>2200</v>
      </c>
      <c r="E109" s="27">
        <f>_xlfn.XLOOKUP(packes[[#This Row],[productId]],bom[Id],bom[wgt])</f>
        <v>1.3369250723336326</v>
      </c>
      <c r="F109" s="27">
        <f>packes[[#This Row],[num]]*packes[[#This Row],[wtg]]</f>
        <v>2941.2351591339916</v>
      </c>
      <c r="G109" s="357"/>
      <c r="H109" s="21">
        <f>packes[[#This Row],[num]]-SUM(packes[[#This Row],[num2]])</f>
        <v>2200</v>
      </c>
      <c r="I109" s="357"/>
      <c r="J109" s="21"/>
      <c r="K109" s="323"/>
      <c r="M109" s="27">
        <f>_xlfn.XLOOKUP(packes[[#This Row],[productId]],CT[productId],CT[total],"NA")</f>
        <v>135.23500000000001</v>
      </c>
      <c r="N109" s="20" t="str">
        <f>_xlfn.XLOOKUP(packes[[#This Row],[productId]],bom[Id],bom[ph],"NA")</f>
        <v>6.3flat</v>
      </c>
      <c r="O109" s="20" t="str">
        <f>_xlfn.XLOOKUP(packes[[#This Row],[productId]],bom[Id],bom[erth],"NA")</f>
        <v>6.3flat</v>
      </c>
      <c r="P109" s="20" t="str">
        <f>_xlfn.XLOOKUP(packes[[#This Row],[productId]],bom[Id],bom[dbl],"NA")</f>
        <v>-</v>
      </c>
      <c r="Q109" s="20" t="str">
        <f>LEFT(packes[[#This Row],[date]],4)</f>
        <v>1403</v>
      </c>
    </row>
    <row r="110" spans="1:17" s="23" customFormat="1" ht="16.5" x14ac:dyDescent="0.25">
      <c r="A110" s="23">
        <v>108</v>
      </c>
      <c r="B110" s="30" t="s">
        <v>1493</v>
      </c>
      <c r="C110" s="23">
        <v>140030039</v>
      </c>
      <c r="D110" s="23">
        <v>1400</v>
      </c>
      <c r="E110" s="27">
        <f>_xlfn.XLOOKUP(packes[[#This Row],[productId]],bom[Id],bom[wgt])</f>
        <v>1.1413748378728923</v>
      </c>
      <c r="F110" s="27">
        <f>packes[[#This Row],[num]]*packes[[#This Row],[wtg]]</f>
        <v>1597.9247730220493</v>
      </c>
      <c r="G110" s="357"/>
      <c r="H110" s="21">
        <f>packes[[#This Row],[num]]-SUM(packes[[#This Row],[num2]])</f>
        <v>1400</v>
      </c>
      <c r="I110" s="357"/>
      <c r="J110" s="21"/>
      <c r="K110" s="323"/>
      <c r="M110" s="27">
        <f>_xlfn.XLOOKUP(packes[[#This Row],[productId]],CT[productId],CT[total],"NA")</f>
        <v>92.504999999999995</v>
      </c>
      <c r="N110" s="20" t="str">
        <f>_xlfn.XLOOKUP(packes[[#This Row],[productId]],bom[Id],bom[ph],"NA")</f>
        <v>YH</v>
      </c>
      <c r="O110" s="20" t="str">
        <f>_xlfn.XLOOKUP(packes[[#This Row],[productId]],bom[Id],bom[erth],"NA")</f>
        <v>sun</v>
      </c>
      <c r="P110" s="20" t="str">
        <f>_xlfn.XLOOKUP(packes[[#This Row],[productId]],bom[Id],bom[dbl],"NA")</f>
        <v>-</v>
      </c>
      <c r="Q110" s="20" t="str">
        <f>LEFT(packes[[#This Row],[date]],4)</f>
        <v>1403</v>
      </c>
    </row>
    <row r="111" spans="1:17" s="23" customFormat="1" ht="16.5" x14ac:dyDescent="0.25">
      <c r="A111" s="23">
        <v>109</v>
      </c>
      <c r="B111" s="30" t="s">
        <v>1493</v>
      </c>
      <c r="C111" s="23">
        <v>140030040</v>
      </c>
      <c r="D111" s="23">
        <v>500</v>
      </c>
      <c r="E111" s="27">
        <f>_xlfn.XLOOKUP(packes[[#This Row],[productId]],bom[Id],bom[wgt])</f>
        <v>1.1092487279257708</v>
      </c>
      <c r="F111" s="27">
        <f>packes[[#This Row],[num]]*packes[[#This Row],[wtg]]</f>
        <v>554.62436396288535</v>
      </c>
      <c r="G111" s="357"/>
      <c r="H111" s="21">
        <f>packes[[#This Row],[num]]-SUM(packes[[#This Row],[num2]])</f>
        <v>500</v>
      </c>
      <c r="I111" s="357"/>
      <c r="J111" s="21"/>
      <c r="K111" s="323"/>
      <c r="M111" s="27">
        <f>_xlfn.XLOOKUP(packes[[#This Row],[productId]],CT[productId],CT[total],"NA")</f>
        <v>97.305000000000007</v>
      </c>
      <c r="N111" s="20" t="str">
        <f>_xlfn.XLOOKUP(packes[[#This Row],[productId]],bom[Id],bom[ph],"NA")</f>
        <v>YH</v>
      </c>
      <c r="O111" s="20" t="str">
        <f>_xlfn.XLOOKUP(packes[[#This Row],[productId]],bom[Id],bom[erth],"NA")</f>
        <v>sun</v>
      </c>
      <c r="P111" s="20" t="str">
        <f>_xlfn.XLOOKUP(packes[[#This Row],[productId]],bom[Id],bom[dbl],"NA")</f>
        <v>-</v>
      </c>
      <c r="Q111" s="20" t="str">
        <f>LEFT(packes[[#This Row],[date]],4)</f>
        <v>1403</v>
      </c>
    </row>
    <row r="112" spans="1:17" s="23" customFormat="1" ht="16.5" x14ac:dyDescent="0.25">
      <c r="A112" s="23">
        <v>110</v>
      </c>
      <c r="B112" s="30" t="s">
        <v>1493</v>
      </c>
      <c r="C112" s="23">
        <v>140550060</v>
      </c>
      <c r="D112" s="23">
        <v>2900</v>
      </c>
      <c r="E112" s="27">
        <f>_xlfn.XLOOKUP(packes[[#This Row],[productId]],bom[Id],bom[wgt])</f>
        <v>1.1972463334331038</v>
      </c>
      <c r="F112" s="27">
        <f>packes[[#This Row],[num]]*packes[[#This Row],[wtg]]</f>
        <v>3472.0143669560011</v>
      </c>
      <c r="G112" s="357"/>
      <c r="H112" s="21">
        <f>packes[[#This Row],[num]]-SUM(packes[[#This Row],[num2]])</f>
        <v>2900</v>
      </c>
      <c r="I112" s="357"/>
      <c r="J112" s="21"/>
      <c r="K112" s="323"/>
      <c r="M112" s="27">
        <f>_xlfn.XLOOKUP(packes[[#This Row],[productId]],CT[productId],CT[total],"NA")</f>
        <v>81.220000000000013</v>
      </c>
      <c r="N112" s="20" t="str">
        <f>_xlfn.XLOOKUP(packes[[#This Row],[productId]],bom[Id],bom[ph],"NA")</f>
        <v>radio</v>
      </c>
      <c r="O112" s="20" t="str">
        <f>_xlfn.XLOOKUP(packes[[#This Row],[productId]],bom[Id],bom[erth],"NA")</f>
        <v>-</v>
      </c>
      <c r="P112" s="20" t="str">
        <f>_xlfn.XLOOKUP(packes[[#This Row],[productId]],bom[Id],bom[dbl],"NA")</f>
        <v>-</v>
      </c>
      <c r="Q112" s="20" t="str">
        <f>LEFT(packes[[#This Row],[date]],4)</f>
        <v>1403</v>
      </c>
    </row>
    <row r="113" spans="1:17" s="23" customFormat="1" ht="16.5" x14ac:dyDescent="0.25">
      <c r="A113" s="23">
        <v>111</v>
      </c>
      <c r="B113" s="30" t="s">
        <v>1493</v>
      </c>
      <c r="C113" s="23">
        <v>140010117</v>
      </c>
      <c r="D113" s="23">
        <v>450</v>
      </c>
      <c r="E113" s="27">
        <f>_xlfn.XLOOKUP(packes[[#This Row],[productId]],bom[Id],bom[wgt])</f>
        <v>1</v>
      </c>
      <c r="F113" s="27">
        <f>packes[[#This Row],[num]]*packes[[#This Row],[wtg]]</f>
        <v>450</v>
      </c>
      <c r="G113" s="357"/>
      <c r="H113" s="21">
        <f>packes[[#This Row],[num]]-SUM(packes[[#This Row],[num2]])</f>
        <v>450</v>
      </c>
      <c r="I113" s="357"/>
      <c r="J113" s="21"/>
      <c r="K113" s="323"/>
      <c r="M113" s="27">
        <f>_xlfn.XLOOKUP(packes[[#This Row],[productId]],CT[productId],CT[total],"NA")</f>
        <v>98.295000000000016</v>
      </c>
      <c r="N113" s="20" t="str">
        <f>_xlfn.XLOOKUP(packes[[#This Row],[productId]],bom[Id],bom[ph],"NA")</f>
        <v>nar.p</v>
      </c>
      <c r="O113" s="20" t="str">
        <f>_xlfn.XLOOKUP(packes[[#This Row],[productId]],bom[Id],bom[erth],"NA")</f>
        <v>-</v>
      </c>
      <c r="P113" s="20" t="str">
        <f>_xlfn.XLOOKUP(packes[[#This Row],[productId]],bom[Id],bom[dbl],"NA")</f>
        <v>nar.p</v>
      </c>
      <c r="Q113" s="20" t="str">
        <f>LEFT(packes[[#This Row],[date]],4)</f>
        <v>1403</v>
      </c>
    </row>
    <row r="114" spans="1:17" s="23" customFormat="1" ht="16.5" x14ac:dyDescent="0.25">
      <c r="A114" s="23">
        <v>112</v>
      </c>
      <c r="B114" s="30" t="s">
        <v>1493</v>
      </c>
      <c r="C114" s="23">
        <v>140010230</v>
      </c>
      <c r="D114" s="23">
        <v>500</v>
      </c>
      <c r="E114" s="27">
        <f>_xlfn.XLOOKUP(packes[[#This Row],[productId]],bom[Id],bom[wgt])</f>
        <v>1.4486680634540554</v>
      </c>
      <c r="F114" s="27">
        <f>packes[[#This Row],[num]]*packes[[#This Row],[wtg]]</f>
        <v>724.33403172702765</v>
      </c>
      <c r="G114" s="357"/>
      <c r="H114" s="21">
        <f>packes[[#This Row],[num]]-SUM(packes[[#This Row],[num2]])</f>
        <v>500</v>
      </c>
      <c r="I114" s="357"/>
      <c r="J114" s="21"/>
      <c r="K114" s="323"/>
      <c r="M114" s="27">
        <f>_xlfn.XLOOKUP(packes[[#This Row],[productId]],CT[productId],CT[total],"NA")</f>
        <v>147.595</v>
      </c>
      <c r="N114" s="20" t="str">
        <f>_xlfn.XLOOKUP(packes[[#This Row],[productId]],bom[Id],bom[ph],"NA")</f>
        <v>nar.p</v>
      </c>
      <c r="O114" s="20" t="str">
        <f>_xlfn.XLOOKUP(packes[[#This Row],[productId]],bom[Id],bom[erth],"NA")</f>
        <v>-</v>
      </c>
      <c r="P114" s="20" t="str">
        <f>_xlfn.XLOOKUP(packes[[#This Row],[productId]],bom[Id],bom[dbl],"NA")</f>
        <v>nar.p</v>
      </c>
      <c r="Q114" s="20" t="str">
        <f>LEFT(packes[[#This Row],[date]],4)</f>
        <v>1403</v>
      </c>
    </row>
    <row r="115" spans="1:17" s="23" customFormat="1" ht="16.5" x14ac:dyDescent="0.25">
      <c r="A115" s="23">
        <v>113</v>
      </c>
      <c r="B115" s="30" t="s">
        <v>1493</v>
      </c>
      <c r="C115" s="23">
        <v>140310007</v>
      </c>
      <c r="D115" s="23">
        <v>1300</v>
      </c>
      <c r="E115" s="27">
        <f>_xlfn.XLOOKUP(packes[[#This Row],[productId]],bom[Id],bom[wgt])</f>
        <v>1.1413748378728923</v>
      </c>
      <c r="F115" s="27">
        <f>packes[[#This Row],[num]]*packes[[#This Row],[wtg]]</f>
        <v>1483.78728923476</v>
      </c>
      <c r="G115" s="357"/>
      <c r="H115" s="21">
        <f>packes[[#This Row],[num]]-SUM(packes[[#This Row],[num2]])</f>
        <v>1300</v>
      </c>
      <c r="I115" s="357"/>
      <c r="J115" s="21"/>
      <c r="K115" s="323"/>
      <c r="M115" s="27">
        <f>_xlfn.XLOOKUP(packes[[#This Row],[productId]],CT[productId],CT[total],"NA")</f>
        <v>92.484999999999999</v>
      </c>
      <c r="N115" s="20" t="str">
        <f>_xlfn.XLOOKUP(packes[[#This Row],[productId]],bom[Id],bom[ph],"NA")</f>
        <v>-</v>
      </c>
      <c r="O115" s="20" t="str">
        <f>_xlfn.XLOOKUP(packes[[#This Row],[productId]],bom[Id],bom[erth],"NA")</f>
        <v>nut4</v>
      </c>
      <c r="P115" s="20" t="str">
        <f>_xlfn.XLOOKUP(packes[[#This Row],[productId]],bom[Id],bom[dbl],"NA")</f>
        <v>-</v>
      </c>
      <c r="Q115" s="20" t="str">
        <f>LEFT(packes[[#This Row],[date]],4)</f>
        <v>1403</v>
      </c>
    </row>
    <row r="116" spans="1:17" s="23" customFormat="1" ht="16.5" x14ac:dyDescent="0.25">
      <c r="A116" s="23">
        <v>114</v>
      </c>
      <c r="B116" s="30" t="s">
        <v>1494</v>
      </c>
      <c r="C116" s="23">
        <v>140310071</v>
      </c>
      <c r="D116" s="23">
        <v>4000</v>
      </c>
      <c r="E116" s="27">
        <f>_xlfn.XLOOKUP(packes[[#This Row],[productId]],bom[Id],bom[wgt])</f>
        <v>1.3</v>
      </c>
      <c r="F116" s="27">
        <f>packes[[#This Row],[num]]*packes[[#This Row],[wtg]]</f>
        <v>5200</v>
      </c>
      <c r="G116" s="357"/>
      <c r="H116" s="21">
        <f>packes[[#This Row],[num]]-SUM(packes[[#This Row],[num2]])</f>
        <v>4000</v>
      </c>
      <c r="I116" s="357"/>
      <c r="J116" s="21"/>
      <c r="K116" s="323"/>
      <c r="M116" s="27">
        <f>_xlfn.XLOOKUP(packes[[#This Row],[productId]],CT[productId],CT[total],"NA")</f>
        <v>130.69500000000002</v>
      </c>
      <c r="N116" s="20" t="str">
        <f>_xlfn.XLOOKUP(packes[[#This Row],[productId]],bom[Id],bom[ph],"NA")</f>
        <v>6.3ch</v>
      </c>
      <c r="O116" s="20" t="str">
        <f>_xlfn.XLOOKUP(packes[[#This Row],[productId]],bom[Id],bom[erth],"NA")</f>
        <v>6.3k</v>
      </c>
      <c r="P116" s="20" t="str">
        <f>_xlfn.XLOOKUP(packes[[#This Row],[productId]],bom[Id],bom[dbl],"NA")</f>
        <v>-</v>
      </c>
      <c r="Q116" s="20" t="str">
        <f>LEFT(packes[[#This Row],[date]],4)</f>
        <v>1403</v>
      </c>
    </row>
    <row r="117" spans="1:17" s="23" customFormat="1" ht="16.5" x14ac:dyDescent="0.25">
      <c r="A117" s="23">
        <v>115</v>
      </c>
      <c r="B117" s="30" t="s">
        <v>1494</v>
      </c>
      <c r="C117" s="23">
        <v>140030039</v>
      </c>
      <c r="D117" s="23">
        <v>300</v>
      </c>
      <c r="E117" s="27">
        <f>_xlfn.XLOOKUP(packes[[#This Row],[productId]],bom[Id],bom[wgt])</f>
        <v>1.1413748378728923</v>
      </c>
      <c r="F117" s="27">
        <f>packes[[#This Row],[num]]*packes[[#This Row],[wtg]]</f>
        <v>342.41245136186768</v>
      </c>
      <c r="G117" s="357"/>
      <c r="H117" s="21">
        <f>packes[[#This Row],[num]]-SUM(packes[[#This Row],[num2]])</f>
        <v>300</v>
      </c>
      <c r="I117" s="357"/>
      <c r="J117" s="21"/>
      <c r="K117" s="323"/>
      <c r="M117" s="27">
        <f>_xlfn.XLOOKUP(packes[[#This Row],[productId]],CT[productId],CT[total],"NA")</f>
        <v>92.504999999999995</v>
      </c>
      <c r="N117" s="20" t="str">
        <f>_xlfn.XLOOKUP(packes[[#This Row],[productId]],bom[Id],bom[ph],"NA")</f>
        <v>YH</v>
      </c>
      <c r="O117" s="20" t="str">
        <f>_xlfn.XLOOKUP(packes[[#This Row],[productId]],bom[Id],bom[erth],"NA")</f>
        <v>sun</v>
      </c>
      <c r="P117" s="20" t="str">
        <f>_xlfn.XLOOKUP(packes[[#This Row],[productId]],bom[Id],bom[dbl],"NA")</f>
        <v>-</v>
      </c>
      <c r="Q117" s="20" t="str">
        <f>LEFT(packes[[#This Row],[date]],4)</f>
        <v>1403</v>
      </c>
    </row>
    <row r="118" spans="1:17" s="23" customFormat="1" ht="16.5" x14ac:dyDescent="0.25">
      <c r="A118" s="23">
        <v>116</v>
      </c>
      <c r="B118" s="30" t="s">
        <v>1494</v>
      </c>
      <c r="C118" s="23">
        <v>140030040</v>
      </c>
      <c r="D118" s="23">
        <v>400</v>
      </c>
      <c r="E118" s="27">
        <f>_xlfn.XLOOKUP(packes[[#This Row],[productId]],bom[Id],bom[wgt])</f>
        <v>1.1092487279257708</v>
      </c>
      <c r="F118" s="27">
        <f>packes[[#This Row],[num]]*packes[[#This Row],[wtg]]</f>
        <v>443.69949117030831</v>
      </c>
      <c r="G118" s="357"/>
      <c r="H118" s="21">
        <f>packes[[#This Row],[num]]-SUM(packes[[#This Row],[num2]])</f>
        <v>400</v>
      </c>
      <c r="I118" s="357"/>
      <c r="J118" s="21"/>
      <c r="K118" s="323"/>
      <c r="M118" s="27">
        <f>_xlfn.XLOOKUP(packes[[#This Row],[productId]],CT[productId],CT[total],"NA")</f>
        <v>97.305000000000007</v>
      </c>
      <c r="N118" s="20" t="str">
        <f>_xlfn.XLOOKUP(packes[[#This Row],[productId]],bom[Id],bom[ph],"NA")</f>
        <v>YH</v>
      </c>
      <c r="O118" s="20" t="str">
        <f>_xlfn.XLOOKUP(packes[[#This Row],[productId]],bom[Id],bom[erth],"NA")</f>
        <v>sun</v>
      </c>
      <c r="P118" s="20" t="str">
        <f>_xlfn.XLOOKUP(packes[[#This Row],[productId]],bom[Id],bom[dbl],"NA")</f>
        <v>-</v>
      </c>
      <c r="Q118" s="20" t="str">
        <f>LEFT(packes[[#This Row],[date]],4)</f>
        <v>1403</v>
      </c>
    </row>
    <row r="119" spans="1:17" s="23" customFormat="1" ht="16.5" x14ac:dyDescent="0.25">
      <c r="A119" s="23">
        <v>117</v>
      </c>
      <c r="B119" s="30" t="s">
        <v>1494</v>
      </c>
      <c r="C119" s="23">
        <v>140550060</v>
      </c>
      <c r="D119" s="23">
        <v>1100</v>
      </c>
      <c r="E119" s="27">
        <f>_xlfn.XLOOKUP(packes[[#This Row],[productId]],bom[Id],bom[wgt])</f>
        <v>1.1972463334331038</v>
      </c>
      <c r="F119" s="27">
        <f>packes[[#This Row],[num]]*packes[[#This Row],[wtg]]</f>
        <v>1316.9709667764141</v>
      </c>
      <c r="G119" s="357"/>
      <c r="H119" s="21">
        <f>packes[[#This Row],[num]]-SUM(packes[[#This Row],[num2]])</f>
        <v>1100</v>
      </c>
      <c r="I119" s="357"/>
      <c r="J119" s="21"/>
      <c r="K119" s="323"/>
      <c r="M119" s="27">
        <f>_xlfn.XLOOKUP(packes[[#This Row],[productId]],CT[productId],CT[total],"NA")</f>
        <v>81.220000000000013</v>
      </c>
      <c r="N119" s="20" t="str">
        <f>_xlfn.XLOOKUP(packes[[#This Row],[productId]],bom[Id],bom[ph],"NA")</f>
        <v>radio</v>
      </c>
      <c r="O119" s="20" t="str">
        <f>_xlfn.XLOOKUP(packes[[#This Row],[productId]],bom[Id],bom[erth],"NA")</f>
        <v>-</v>
      </c>
      <c r="P119" s="20" t="str">
        <f>_xlfn.XLOOKUP(packes[[#This Row],[productId]],bom[Id],bom[dbl],"NA")</f>
        <v>-</v>
      </c>
      <c r="Q119" s="20" t="str">
        <f>LEFT(packes[[#This Row],[date]],4)</f>
        <v>1403</v>
      </c>
    </row>
    <row r="120" spans="1:17" s="23" customFormat="1" ht="16.5" x14ac:dyDescent="0.25">
      <c r="A120" s="23">
        <v>118</v>
      </c>
      <c r="B120" s="30" t="s">
        <v>1494</v>
      </c>
      <c r="C120" s="23">
        <v>140010117</v>
      </c>
      <c r="D120" s="23">
        <v>1425</v>
      </c>
      <c r="E120" s="27">
        <f>_xlfn.XLOOKUP(packes[[#This Row],[productId]],bom[Id],bom[wgt])</f>
        <v>1</v>
      </c>
      <c r="F120" s="27">
        <f>packes[[#This Row],[num]]*packes[[#This Row],[wtg]]</f>
        <v>1425</v>
      </c>
      <c r="G120" s="357"/>
      <c r="H120" s="21">
        <f>packes[[#This Row],[num]]-SUM(packes[[#This Row],[num2]])</f>
        <v>1425</v>
      </c>
      <c r="I120" s="357"/>
      <c r="J120" s="21"/>
      <c r="K120" s="323"/>
      <c r="M120" s="27">
        <f>_xlfn.XLOOKUP(packes[[#This Row],[productId]],CT[productId],CT[total],"NA")</f>
        <v>98.295000000000016</v>
      </c>
      <c r="N120" s="20" t="str">
        <f>_xlfn.XLOOKUP(packes[[#This Row],[productId]],bom[Id],bom[ph],"NA")</f>
        <v>nar.p</v>
      </c>
      <c r="O120" s="20" t="str">
        <f>_xlfn.XLOOKUP(packes[[#This Row],[productId]],bom[Id],bom[erth],"NA")</f>
        <v>-</v>
      </c>
      <c r="P120" s="20" t="str">
        <f>_xlfn.XLOOKUP(packes[[#This Row],[productId]],bom[Id],bom[dbl],"NA")</f>
        <v>nar.p</v>
      </c>
      <c r="Q120" s="20" t="str">
        <f>LEFT(packes[[#This Row],[date]],4)</f>
        <v>1403</v>
      </c>
    </row>
    <row r="121" spans="1:17" s="23" customFormat="1" ht="16.5" x14ac:dyDescent="0.25">
      <c r="A121" s="23">
        <v>119</v>
      </c>
      <c r="B121" s="30" t="s">
        <v>1494</v>
      </c>
      <c r="C121" s="23">
        <v>140310007</v>
      </c>
      <c r="D121" s="23">
        <v>1000</v>
      </c>
      <c r="E121" s="27">
        <f>_xlfn.XLOOKUP(packes[[#This Row],[productId]],bom[Id],bom[wgt])</f>
        <v>1.1413748378728923</v>
      </c>
      <c r="F121" s="27">
        <f>packes[[#This Row],[num]]*packes[[#This Row],[wtg]]</f>
        <v>1141.3748378728924</v>
      </c>
      <c r="G121" s="357"/>
      <c r="H121" s="21">
        <f>packes[[#This Row],[num]]-SUM(packes[[#This Row],[num2]])</f>
        <v>1000</v>
      </c>
      <c r="I121" s="357"/>
      <c r="J121" s="21"/>
      <c r="K121" s="323"/>
      <c r="M121" s="27">
        <f>_xlfn.XLOOKUP(packes[[#This Row],[productId]],CT[productId],CT[total],"NA")</f>
        <v>92.484999999999999</v>
      </c>
      <c r="N121" s="20" t="str">
        <f>_xlfn.XLOOKUP(packes[[#This Row],[productId]],bom[Id],bom[ph],"NA")</f>
        <v>-</v>
      </c>
      <c r="O121" s="20" t="str">
        <f>_xlfn.XLOOKUP(packes[[#This Row],[productId]],bom[Id],bom[erth],"NA")</f>
        <v>nut4</v>
      </c>
      <c r="P121" s="20" t="str">
        <f>_xlfn.XLOOKUP(packes[[#This Row],[productId]],bom[Id],bom[dbl],"NA")</f>
        <v>-</v>
      </c>
      <c r="Q121" s="20" t="str">
        <f>LEFT(packes[[#This Row],[date]],4)</f>
        <v>1403</v>
      </c>
    </row>
    <row r="122" spans="1:17" s="23" customFormat="1" ht="16.5" x14ac:dyDescent="0.25">
      <c r="A122" s="23">
        <v>120</v>
      </c>
      <c r="B122" s="30" t="s">
        <v>1495</v>
      </c>
      <c r="C122" s="23">
        <v>140310071</v>
      </c>
      <c r="D122" s="23">
        <v>2500</v>
      </c>
      <c r="E122" s="27">
        <f>_xlfn.XLOOKUP(packes[[#This Row],[productId]],bom[Id],bom[wgt])</f>
        <v>1.3</v>
      </c>
      <c r="F122" s="27">
        <f>packes[[#This Row],[num]]*packes[[#This Row],[wtg]]</f>
        <v>3250</v>
      </c>
      <c r="G122" s="357"/>
      <c r="H122" s="21">
        <f>packes[[#This Row],[num]]-SUM(packes[[#This Row],[num2]])</f>
        <v>2500</v>
      </c>
      <c r="I122" s="357"/>
      <c r="J122" s="21"/>
      <c r="K122" s="323"/>
      <c r="M122" s="27">
        <f>_xlfn.XLOOKUP(packes[[#This Row],[productId]],CT[productId],CT[total],"NA")</f>
        <v>130.69500000000002</v>
      </c>
      <c r="N122" s="20" t="str">
        <f>_xlfn.XLOOKUP(packes[[#This Row],[productId]],bom[Id],bom[ph],"NA")</f>
        <v>6.3ch</v>
      </c>
      <c r="O122" s="20" t="str">
        <f>_xlfn.XLOOKUP(packes[[#This Row],[productId]],bom[Id],bom[erth],"NA")</f>
        <v>6.3k</v>
      </c>
      <c r="P122" s="20" t="str">
        <f>_xlfn.XLOOKUP(packes[[#This Row],[productId]],bom[Id],bom[dbl],"NA")</f>
        <v>-</v>
      </c>
      <c r="Q122" s="20" t="str">
        <f>LEFT(packes[[#This Row],[date]],4)</f>
        <v>1403</v>
      </c>
    </row>
    <row r="123" spans="1:17" s="23" customFormat="1" ht="16.5" x14ac:dyDescent="0.25">
      <c r="A123" s="23">
        <v>121</v>
      </c>
      <c r="B123" s="30" t="s">
        <v>1495</v>
      </c>
      <c r="C123" s="23">
        <v>140030040</v>
      </c>
      <c r="D123" s="23">
        <v>400</v>
      </c>
      <c r="E123" s="27">
        <f>_xlfn.XLOOKUP(packes[[#This Row],[productId]],bom[Id],bom[wgt])</f>
        <v>1.1092487279257708</v>
      </c>
      <c r="F123" s="27">
        <f>packes[[#This Row],[num]]*packes[[#This Row],[wtg]]</f>
        <v>443.69949117030831</v>
      </c>
      <c r="G123" s="357"/>
      <c r="H123" s="21">
        <f>packes[[#This Row],[num]]-SUM(packes[[#This Row],[num2]])</f>
        <v>400</v>
      </c>
      <c r="I123" s="357"/>
      <c r="J123" s="21"/>
      <c r="K123" s="323"/>
      <c r="M123" s="27">
        <f>_xlfn.XLOOKUP(packes[[#This Row],[productId]],CT[productId],CT[total],"NA")</f>
        <v>97.305000000000007</v>
      </c>
      <c r="N123" s="20" t="str">
        <f>_xlfn.XLOOKUP(packes[[#This Row],[productId]],bom[Id],bom[ph],"NA")</f>
        <v>YH</v>
      </c>
      <c r="O123" s="20" t="str">
        <f>_xlfn.XLOOKUP(packes[[#This Row],[productId]],bom[Id],bom[erth],"NA")</f>
        <v>sun</v>
      </c>
      <c r="P123" s="20" t="str">
        <f>_xlfn.XLOOKUP(packes[[#This Row],[productId]],bom[Id],bom[dbl],"NA")</f>
        <v>-</v>
      </c>
      <c r="Q123" s="20" t="str">
        <f>LEFT(packes[[#This Row],[date]],4)</f>
        <v>1403</v>
      </c>
    </row>
    <row r="124" spans="1:17" s="23" customFormat="1" ht="16.5" x14ac:dyDescent="0.25">
      <c r="A124" s="23">
        <v>122</v>
      </c>
      <c r="B124" s="30" t="s">
        <v>1495</v>
      </c>
      <c r="C124" s="23">
        <v>140550060</v>
      </c>
      <c r="D124" s="23">
        <v>1600</v>
      </c>
      <c r="E124" s="27">
        <f>_xlfn.XLOOKUP(packes[[#This Row],[productId]],bom[Id],bom[wgt])</f>
        <v>1.1972463334331038</v>
      </c>
      <c r="F124" s="27">
        <f>packes[[#This Row],[num]]*packes[[#This Row],[wtg]]</f>
        <v>1915.5941334929662</v>
      </c>
      <c r="G124" s="357"/>
      <c r="H124" s="21">
        <f>packes[[#This Row],[num]]-SUM(packes[[#This Row],[num2]])</f>
        <v>1600</v>
      </c>
      <c r="I124" s="357"/>
      <c r="J124" s="21"/>
      <c r="K124" s="323"/>
      <c r="M124" s="27">
        <f>_xlfn.XLOOKUP(packes[[#This Row],[productId]],CT[productId],CT[total],"NA")</f>
        <v>81.220000000000013</v>
      </c>
      <c r="N124" s="20" t="str">
        <f>_xlfn.XLOOKUP(packes[[#This Row],[productId]],bom[Id],bom[ph],"NA")</f>
        <v>radio</v>
      </c>
      <c r="O124" s="20" t="str">
        <f>_xlfn.XLOOKUP(packes[[#This Row],[productId]],bom[Id],bom[erth],"NA")</f>
        <v>-</v>
      </c>
      <c r="P124" s="20" t="str">
        <f>_xlfn.XLOOKUP(packes[[#This Row],[productId]],bom[Id],bom[dbl],"NA")</f>
        <v>-</v>
      </c>
      <c r="Q124" s="20" t="str">
        <f>LEFT(packes[[#This Row],[date]],4)</f>
        <v>1403</v>
      </c>
    </row>
    <row r="125" spans="1:17" s="23" customFormat="1" ht="16.5" x14ac:dyDescent="0.25">
      <c r="A125" s="23">
        <v>123</v>
      </c>
      <c r="B125" s="30" t="s">
        <v>1495</v>
      </c>
      <c r="C125" s="23">
        <v>140010117</v>
      </c>
      <c r="D125" s="23">
        <v>150</v>
      </c>
      <c r="E125" s="27">
        <f>_xlfn.XLOOKUP(packes[[#This Row],[productId]],bom[Id],bom[wgt])</f>
        <v>1</v>
      </c>
      <c r="F125" s="27">
        <f>packes[[#This Row],[num]]*packes[[#This Row],[wtg]]</f>
        <v>150</v>
      </c>
      <c r="G125" s="357"/>
      <c r="H125" s="21">
        <f>packes[[#This Row],[num]]-SUM(packes[[#This Row],[num2]])</f>
        <v>150</v>
      </c>
      <c r="I125" s="357"/>
      <c r="J125" s="21"/>
      <c r="K125" s="323"/>
      <c r="M125" s="27">
        <f>_xlfn.XLOOKUP(packes[[#This Row],[productId]],CT[productId],CT[total],"NA")</f>
        <v>98.295000000000016</v>
      </c>
      <c r="N125" s="20" t="str">
        <f>_xlfn.XLOOKUP(packes[[#This Row],[productId]],bom[Id],bom[ph],"NA")</f>
        <v>nar.p</v>
      </c>
      <c r="O125" s="20" t="str">
        <f>_xlfn.XLOOKUP(packes[[#This Row],[productId]],bom[Id],bom[erth],"NA")</f>
        <v>-</v>
      </c>
      <c r="P125" s="20" t="str">
        <f>_xlfn.XLOOKUP(packes[[#This Row],[productId]],bom[Id],bom[dbl],"NA")</f>
        <v>nar.p</v>
      </c>
      <c r="Q125" s="20" t="str">
        <f>LEFT(packes[[#This Row],[date]],4)</f>
        <v>1403</v>
      </c>
    </row>
    <row r="126" spans="1:17" s="23" customFormat="1" ht="16.5" x14ac:dyDescent="0.25">
      <c r="A126" s="23">
        <v>124</v>
      </c>
      <c r="B126" s="30" t="s">
        <v>1495</v>
      </c>
      <c r="C126" s="23">
        <v>140010230</v>
      </c>
      <c r="D126" s="23">
        <v>600</v>
      </c>
      <c r="E126" s="27">
        <f>_xlfn.XLOOKUP(packes[[#This Row],[productId]],bom[Id],bom[wgt])</f>
        <v>1.4486680634540554</v>
      </c>
      <c r="F126" s="27">
        <f>packes[[#This Row],[num]]*packes[[#This Row],[wtg]]</f>
        <v>869.20083807243327</v>
      </c>
      <c r="G126" s="357"/>
      <c r="H126" s="21">
        <f>packes[[#This Row],[num]]-SUM(packes[[#This Row],[num2]])</f>
        <v>600</v>
      </c>
      <c r="I126" s="357"/>
      <c r="J126" s="21"/>
      <c r="K126" s="323"/>
      <c r="M126" s="27">
        <f>_xlfn.XLOOKUP(packes[[#This Row],[productId]],CT[productId],CT[total],"NA")</f>
        <v>147.595</v>
      </c>
      <c r="N126" s="20" t="str">
        <f>_xlfn.XLOOKUP(packes[[#This Row],[productId]],bom[Id],bom[ph],"NA")</f>
        <v>nar.p</v>
      </c>
      <c r="O126" s="20" t="str">
        <f>_xlfn.XLOOKUP(packes[[#This Row],[productId]],bom[Id],bom[erth],"NA")</f>
        <v>-</v>
      </c>
      <c r="P126" s="20" t="str">
        <f>_xlfn.XLOOKUP(packes[[#This Row],[productId]],bom[Id],bom[dbl],"NA")</f>
        <v>nar.p</v>
      </c>
      <c r="Q126" s="20" t="str">
        <f>LEFT(packes[[#This Row],[date]],4)</f>
        <v>1403</v>
      </c>
    </row>
    <row r="127" spans="1:17" s="23" customFormat="1" ht="16.5" x14ac:dyDescent="0.25">
      <c r="A127" s="23">
        <v>125</v>
      </c>
      <c r="B127" s="30" t="s">
        <v>1495</v>
      </c>
      <c r="C127" s="23">
        <v>140310075</v>
      </c>
      <c r="D127" s="23">
        <v>300</v>
      </c>
      <c r="E127" s="27">
        <f>_xlfn.XLOOKUP(packes[[#This Row],[productId]],bom[Id],bom[wgt])</f>
        <v>1.6063054973560809</v>
      </c>
      <c r="F127" s="27">
        <f>packes[[#This Row],[num]]*packes[[#This Row],[wtg]]</f>
        <v>481.89164920682424</v>
      </c>
      <c r="G127" s="357"/>
      <c r="H127" s="21">
        <f>packes[[#This Row],[num]]-SUM(packes[[#This Row],[num2]])</f>
        <v>300</v>
      </c>
      <c r="I127" s="357"/>
      <c r="J127" s="21"/>
      <c r="K127" s="323"/>
      <c r="M127" s="27">
        <f>_xlfn.XLOOKUP(packes[[#This Row],[productId]],CT[productId],CT[total],"NA")</f>
        <v>154.88499999999999</v>
      </c>
      <c r="N127" s="20" t="str">
        <f>_xlfn.XLOOKUP(packes[[#This Row],[productId]],bom[Id],bom[ph],"NA")</f>
        <v>molex</v>
      </c>
      <c r="O127" s="20" t="str">
        <f>_xlfn.XLOOKUP(packes[[#This Row],[productId]],bom[Id],bom[erth],"NA")</f>
        <v>nut4</v>
      </c>
      <c r="P127" s="20" t="str">
        <f>_xlfn.XLOOKUP(packes[[#This Row],[productId]],bom[Id],bom[dbl],"NA")</f>
        <v>-</v>
      </c>
      <c r="Q127" s="20" t="str">
        <f>LEFT(packes[[#This Row],[date]],4)</f>
        <v>1403</v>
      </c>
    </row>
    <row r="128" spans="1:17" s="23" customFormat="1" ht="16.5" x14ac:dyDescent="0.25">
      <c r="A128" s="23">
        <v>126</v>
      </c>
      <c r="B128" s="30" t="s">
        <v>1495</v>
      </c>
      <c r="C128" s="23">
        <v>140310007</v>
      </c>
      <c r="D128" s="23">
        <v>400</v>
      </c>
      <c r="E128" s="27">
        <f>_xlfn.XLOOKUP(packes[[#This Row],[productId]],bom[Id],bom[wgt])</f>
        <v>1.1413748378728923</v>
      </c>
      <c r="F128" s="27">
        <f>packes[[#This Row],[num]]*packes[[#This Row],[wtg]]</f>
        <v>456.54993514915691</v>
      </c>
      <c r="G128" s="357"/>
      <c r="H128" s="21">
        <f>packes[[#This Row],[num]]-SUM(packes[[#This Row],[num2]])</f>
        <v>400</v>
      </c>
      <c r="I128" s="357"/>
      <c r="J128" s="21"/>
      <c r="K128" s="323"/>
      <c r="M128" s="27">
        <f>_xlfn.XLOOKUP(packes[[#This Row],[productId]],CT[productId],CT[total],"NA")</f>
        <v>92.484999999999999</v>
      </c>
      <c r="N128" s="20" t="str">
        <f>_xlfn.XLOOKUP(packes[[#This Row],[productId]],bom[Id],bom[ph],"NA")</f>
        <v>-</v>
      </c>
      <c r="O128" s="20" t="str">
        <f>_xlfn.XLOOKUP(packes[[#This Row],[productId]],bom[Id],bom[erth],"NA")</f>
        <v>nut4</v>
      </c>
      <c r="P128" s="20" t="str">
        <f>_xlfn.XLOOKUP(packes[[#This Row],[productId]],bom[Id],bom[dbl],"NA")</f>
        <v>-</v>
      </c>
      <c r="Q128" s="20" t="str">
        <f>LEFT(packes[[#This Row],[date]],4)</f>
        <v>1403</v>
      </c>
    </row>
    <row r="129" spans="1:17" s="23" customFormat="1" ht="16.5" x14ac:dyDescent="0.25">
      <c r="A129" s="23">
        <v>127</v>
      </c>
      <c r="B129" s="30" t="s">
        <v>1496</v>
      </c>
      <c r="C129" s="23">
        <v>140310071</v>
      </c>
      <c r="D129" s="23">
        <v>1050</v>
      </c>
      <c r="E129" s="27">
        <f>_xlfn.XLOOKUP(packes[[#This Row],[productId]],bom[Id],bom[wgt])</f>
        <v>1.3</v>
      </c>
      <c r="F129" s="27">
        <f>packes[[#This Row],[num]]*packes[[#This Row],[wtg]]</f>
        <v>1365</v>
      </c>
      <c r="G129" s="357"/>
      <c r="H129" s="21">
        <f>packes[[#This Row],[num]]-SUM(packes[[#This Row],[num2]])</f>
        <v>1050</v>
      </c>
      <c r="I129" s="357"/>
      <c r="J129" s="21"/>
      <c r="K129" s="323"/>
      <c r="M129" s="27">
        <f>_xlfn.XLOOKUP(packes[[#This Row],[productId]],CT[productId],CT[total],"NA")</f>
        <v>130.69500000000002</v>
      </c>
      <c r="N129" s="20" t="str">
        <f>_xlfn.XLOOKUP(packes[[#This Row],[productId]],bom[Id],bom[ph],"NA")</f>
        <v>6.3ch</v>
      </c>
      <c r="O129" s="20" t="str">
        <f>_xlfn.XLOOKUP(packes[[#This Row],[productId]],bom[Id],bom[erth],"NA")</f>
        <v>6.3k</v>
      </c>
      <c r="P129" s="20" t="str">
        <f>_xlfn.XLOOKUP(packes[[#This Row],[productId]],bom[Id],bom[dbl],"NA")</f>
        <v>-</v>
      </c>
      <c r="Q129" s="20" t="str">
        <f>LEFT(packes[[#This Row],[date]],4)</f>
        <v>1403</v>
      </c>
    </row>
    <row r="130" spans="1:17" s="23" customFormat="1" ht="16.5" x14ac:dyDescent="0.25">
      <c r="A130" s="23">
        <v>128</v>
      </c>
      <c r="B130" s="30" t="s">
        <v>1496</v>
      </c>
      <c r="C130" s="23">
        <v>140220012</v>
      </c>
      <c r="D130" s="23">
        <v>1000</v>
      </c>
      <c r="E130" s="27">
        <f>_xlfn.XLOOKUP(packes[[#This Row],[productId]],bom[Id],bom[wgt])</f>
        <v>1.9455252918287937</v>
      </c>
      <c r="F130" s="27">
        <f>packes[[#This Row],[num]]*packes[[#This Row],[wtg]]</f>
        <v>1945.5252918287938</v>
      </c>
      <c r="G130" s="357"/>
      <c r="H130" s="21">
        <f>packes[[#This Row],[num]]-SUM(packes[[#This Row],[num2]])</f>
        <v>1000</v>
      </c>
      <c r="I130" s="357"/>
      <c r="J130" s="21"/>
      <c r="K130" s="323"/>
      <c r="M130" s="27">
        <f>_xlfn.XLOOKUP(packes[[#This Row],[productId]],CT[productId],CT[total],"NA")</f>
        <v>192.86500000000001</v>
      </c>
      <c r="N130" s="20" t="str">
        <f>_xlfn.XLOOKUP(packes[[#This Row],[productId]],bom[Id],bom[ph],"NA")</f>
        <v>flag</v>
      </c>
      <c r="O130" s="20" t="str">
        <f>_xlfn.XLOOKUP(packes[[#This Row],[productId]],bom[Id],bom[erth],"NA")</f>
        <v>sun</v>
      </c>
      <c r="P130" s="20" t="str">
        <f>_xlfn.XLOOKUP(packes[[#This Row],[productId]],bom[Id],bom[dbl],"NA")</f>
        <v>-</v>
      </c>
      <c r="Q130" s="20" t="str">
        <f>LEFT(packes[[#This Row],[date]],4)</f>
        <v>1403</v>
      </c>
    </row>
    <row r="131" spans="1:17" s="23" customFormat="1" ht="16.5" x14ac:dyDescent="0.25">
      <c r="A131" s="23">
        <v>129</v>
      </c>
      <c r="B131" s="30" t="s">
        <v>1496</v>
      </c>
      <c r="C131" s="23">
        <v>140550060</v>
      </c>
      <c r="D131" s="23">
        <v>1000</v>
      </c>
      <c r="E131" s="27">
        <f>_xlfn.XLOOKUP(packes[[#This Row],[productId]],bom[Id],bom[wgt])</f>
        <v>1.1972463334331038</v>
      </c>
      <c r="F131" s="27">
        <f>packes[[#This Row],[num]]*packes[[#This Row],[wtg]]</f>
        <v>1197.2463334331039</v>
      </c>
      <c r="G131" s="357"/>
      <c r="H131" s="21">
        <f>packes[[#This Row],[num]]-SUM(packes[[#This Row],[num2]])</f>
        <v>1000</v>
      </c>
      <c r="I131" s="357"/>
      <c r="J131" s="21"/>
      <c r="K131" s="323"/>
      <c r="M131" s="27">
        <f>_xlfn.XLOOKUP(packes[[#This Row],[productId]],CT[productId],CT[total],"NA")</f>
        <v>81.220000000000013</v>
      </c>
      <c r="N131" s="20" t="str">
        <f>_xlfn.XLOOKUP(packes[[#This Row],[productId]],bom[Id],bom[ph],"NA")</f>
        <v>radio</v>
      </c>
      <c r="O131" s="20" t="str">
        <f>_xlfn.XLOOKUP(packes[[#This Row],[productId]],bom[Id],bom[erth],"NA")</f>
        <v>-</v>
      </c>
      <c r="P131" s="20" t="str">
        <f>_xlfn.XLOOKUP(packes[[#This Row],[productId]],bom[Id],bom[dbl],"NA")</f>
        <v>-</v>
      </c>
      <c r="Q131" s="20" t="str">
        <f>LEFT(packes[[#This Row],[date]],4)</f>
        <v>1403</v>
      </c>
    </row>
    <row r="132" spans="1:17" s="23" customFormat="1" ht="16.5" x14ac:dyDescent="0.25">
      <c r="A132" s="23">
        <v>130</v>
      </c>
      <c r="B132" s="30" t="s">
        <v>1496</v>
      </c>
      <c r="C132" s="23">
        <v>140010230</v>
      </c>
      <c r="D132" s="23">
        <v>600</v>
      </c>
      <c r="E132" s="27">
        <f>_xlfn.XLOOKUP(packes[[#This Row],[productId]],bom[Id],bom[wgt])</f>
        <v>1.4486680634540554</v>
      </c>
      <c r="F132" s="27">
        <f>packes[[#This Row],[num]]*packes[[#This Row],[wtg]]</f>
        <v>869.20083807243327</v>
      </c>
      <c r="G132" s="357"/>
      <c r="H132" s="21">
        <f>packes[[#This Row],[num]]-SUM(packes[[#This Row],[num2]])</f>
        <v>600</v>
      </c>
      <c r="I132" s="357"/>
      <c r="J132" s="21"/>
      <c r="K132" s="323"/>
      <c r="M132" s="27">
        <f>_xlfn.XLOOKUP(packes[[#This Row],[productId]],CT[productId],CT[total],"NA")</f>
        <v>147.595</v>
      </c>
      <c r="N132" s="20" t="str">
        <f>_xlfn.XLOOKUP(packes[[#This Row],[productId]],bom[Id],bom[ph],"NA")</f>
        <v>nar.p</v>
      </c>
      <c r="O132" s="20" t="str">
        <f>_xlfn.XLOOKUP(packes[[#This Row],[productId]],bom[Id],bom[erth],"NA")</f>
        <v>-</v>
      </c>
      <c r="P132" s="20" t="str">
        <f>_xlfn.XLOOKUP(packes[[#This Row],[productId]],bom[Id],bom[dbl],"NA")</f>
        <v>nar.p</v>
      </c>
      <c r="Q132" s="20" t="str">
        <f>LEFT(packes[[#This Row],[date]],4)</f>
        <v>1403</v>
      </c>
    </row>
    <row r="133" spans="1:17" s="23" customFormat="1" ht="16.5" x14ac:dyDescent="0.25">
      <c r="A133" s="23">
        <v>131</v>
      </c>
      <c r="B133" s="30" t="s">
        <v>1496</v>
      </c>
      <c r="C133" s="23">
        <v>140310075</v>
      </c>
      <c r="D133" s="23">
        <v>2950</v>
      </c>
      <c r="E133" s="27">
        <f>_xlfn.XLOOKUP(packes[[#This Row],[productId]],bom[Id],bom[wgt])</f>
        <v>1.6063054973560809</v>
      </c>
      <c r="F133" s="27">
        <f>packes[[#This Row],[num]]*packes[[#This Row],[wtg]]</f>
        <v>4738.6012172004384</v>
      </c>
      <c r="G133" s="357"/>
      <c r="H133" s="21">
        <f>packes[[#This Row],[num]]-SUM(packes[[#This Row],[num2]])</f>
        <v>2950</v>
      </c>
      <c r="I133" s="357"/>
      <c r="J133" s="21"/>
      <c r="K133" s="323"/>
      <c r="M133" s="27">
        <f>_xlfn.XLOOKUP(packes[[#This Row],[productId]],CT[productId],CT[total],"NA")</f>
        <v>154.88499999999999</v>
      </c>
      <c r="N133" s="20" t="str">
        <f>_xlfn.XLOOKUP(packes[[#This Row],[productId]],bom[Id],bom[ph],"NA")</f>
        <v>molex</v>
      </c>
      <c r="O133" s="20" t="str">
        <f>_xlfn.XLOOKUP(packes[[#This Row],[productId]],bom[Id],bom[erth],"NA")</f>
        <v>nut4</v>
      </c>
      <c r="P133" s="20" t="str">
        <f>_xlfn.XLOOKUP(packes[[#This Row],[productId]],bom[Id],bom[dbl],"NA")</f>
        <v>-</v>
      </c>
      <c r="Q133" s="20" t="str">
        <f>LEFT(packes[[#This Row],[date]],4)</f>
        <v>1403</v>
      </c>
    </row>
    <row r="134" spans="1:17" s="23" customFormat="1" ht="16.5" x14ac:dyDescent="0.25">
      <c r="A134" s="23">
        <v>132</v>
      </c>
      <c r="B134" s="30" t="s">
        <v>1496</v>
      </c>
      <c r="C134" s="23">
        <v>140310007</v>
      </c>
      <c r="D134" s="23">
        <v>1400</v>
      </c>
      <c r="E134" s="27">
        <f>_xlfn.XLOOKUP(packes[[#This Row],[productId]],bom[Id],bom[wgt])</f>
        <v>1.1413748378728923</v>
      </c>
      <c r="F134" s="27">
        <f>packes[[#This Row],[num]]*packes[[#This Row],[wtg]]</f>
        <v>1597.9247730220493</v>
      </c>
      <c r="G134" s="357"/>
      <c r="H134" s="21">
        <f>packes[[#This Row],[num]]-SUM(packes[[#This Row],[num2]])</f>
        <v>1400</v>
      </c>
      <c r="I134" s="357"/>
      <c r="J134" s="21"/>
      <c r="K134" s="323"/>
      <c r="M134" s="27">
        <f>_xlfn.XLOOKUP(packes[[#This Row],[productId]],CT[productId],CT[total],"NA")</f>
        <v>92.484999999999999</v>
      </c>
      <c r="N134" s="20" t="str">
        <f>_xlfn.XLOOKUP(packes[[#This Row],[productId]],bom[Id],bom[ph],"NA")</f>
        <v>-</v>
      </c>
      <c r="O134" s="20" t="str">
        <f>_xlfn.XLOOKUP(packes[[#This Row],[productId]],bom[Id],bom[erth],"NA")</f>
        <v>nut4</v>
      </c>
      <c r="P134" s="20" t="str">
        <f>_xlfn.XLOOKUP(packes[[#This Row],[productId]],bom[Id],bom[dbl],"NA")</f>
        <v>-</v>
      </c>
      <c r="Q134" s="20" t="str">
        <f>LEFT(packes[[#This Row],[date]],4)</f>
        <v>1403</v>
      </c>
    </row>
    <row r="135" spans="1:17" s="23" customFormat="1" ht="16.5" x14ac:dyDescent="0.25">
      <c r="A135" s="23">
        <v>133</v>
      </c>
      <c r="B135" s="30" t="s">
        <v>1497</v>
      </c>
      <c r="C135" s="23">
        <v>140310071</v>
      </c>
      <c r="D135" s="23">
        <v>650</v>
      </c>
      <c r="E135" s="27">
        <f>_xlfn.XLOOKUP(packes[[#This Row],[productId]],bom[Id],bom[wgt])</f>
        <v>1.3</v>
      </c>
      <c r="F135" s="27">
        <f>packes[[#This Row],[num]]*packes[[#This Row],[wtg]]</f>
        <v>845</v>
      </c>
      <c r="G135" s="357"/>
      <c r="H135" s="21">
        <f>packes[[#This Row],[num]]-SUM(packes[[#This Row],[num2]])</f>
        <v>650</v>
      </c>
      <c r="I135" s="357"/>
      <c r="J135" s="21"/>
      <c r="K135" s="323"/>
      <c r="M135" s="27">
        <f>_xlfn.XLOOKUP(packes[[#This Row],[productId]],CT[productId],CT[total],"NA")</f>
        <v>130.69500000000002</v>
      </c>
      <c r="N135" s="20" t="str">
        <f>_xlfn.XLOOKUP(packes[[#This Row],[productId]],bom[Id],bom[ph],"NA")</f>
        <v>6.3ch</v>
      </c>
      <c r="O135" s="20" t="str">
        <f>_xlfn.XLOOKUP(packes[[#This Row],[productId]],bom[Id],bom[erth],"NA")</f>
        <v>6.3k</v>
      </c>
      <c r="P135" s="20" t="str">
        <f>_xlfn.XLOOKUP(packes[[#This Row],[productId]],bom[Id],bom[dbl],"NA")</f>
        <v>-</v>
      </c>
      <c r="Q135" s="20" t="str">
        <f>LEFT(packes[[#This Row],[date]],4)</f>
        <v>1403</v>
      </c>
    </row>
    <row r="136" spans="1:17" s="23" customFormat="1" ht="16.5" x14ac:dyDescent="0.25">
      <c r="A136" s="23">
        <v>134</v>
      </c>
      <c r="B136" s="30" t="s">
        <v>1497</v>
      </c>
      <c r="C136" s="23">
        <v>140220012</v>
      </c>
      <c r="D136" s="23">
        <v>1750</v>
      </c>
      <c r="E136" s="27">
        <f>_xlfn.XLOOKUP(packes[[#This Row],[productId]],bom[Id],bom[wgt])</f>
        <v>1.9455252918287937</v>
      </c>
      <c r="F136" s="27">
        <f>packes[[#This Row],[num]]*packes[[#This Row],[wtg]]</f>
        <v>3404.6692607003893</v>
      </c>
      <c r="G136" s="357"/>
      <c r="H136" s="21">
        <f>packes[[#This Row],[num]]-SUM(packes[[#This Row],[num2]])</f>
        <v>1750</v>
      </c>
      <c r="I136" s="357"/>
      <c r="J136" s="21"/>
      <c r="K136" s="323"/>
      <c r="M136" s="27">
        <f>_xlfn.XLOOKUP(packes[[#This Row],[productId]],CT[productId],CT[total],"NA")</f>
        <v>192.86500000000001</v>
      </c>
      <c r="N136" s="20" t="str">
        <f>_xlfn.XLOOKUP(packes[[#This Row],[productId]],bom[Id],bom[ph],"NA")</f>
        <v>flag</v>
      </c>
      <c r="O136" s="20" t="str">
        <f>_xlfn.XLOOKUP(packes[[#This Row],[productId]],bom[Id],bom[erth],"NA")</f>
        <v>sun</v>
      </c>
      <c r="P136" s="20" t="str">
        <f>_xlfn.XLOOKUP(packes[[#This Row],[productId]],bom[Id],bom[dbl],"NA")</f>
        <v>-</v>
      </c>
      <c r="Q136" s="20" t="str">
        <f>LEFT(packes[[#This Row],[date]],4)</f>
        <v>1403</v>
      </c>
    </row>
    <row r="137" spans="1:17" s="23" customFormat="1" ht="16.5" x14ac:dyDescent="0.25">
      <c r="A137" s="23">
        <v>135</v>
      </c>
      <c r="B137" s="30" t="s">
        <v>1497</v>
      </c>
      <c r="C137" s="23">
        <v>140310075</v>
      </c>
      <c r="D137" s="23">
        <v>1750</v>
      </c>
      <c r="E137" s="27">
        <f>_xlfn.XLOOKUP(packes[[#This Row],[productId]],bom[Id],bom[wgt])</f>
        <v>1.6063054973560809</v>
      </c>
      <c r="F137" s="27">
        <f>packes[[#This Row],[num]]*packes[[#This Row],[wtg]]</f>
        <v>2811.0346203731415</v>
      </c>
      <c r="G137" s="357"/>
      <c r="H137" s="21">
        <f>packes[[#This Row],[num]]-SUM(packes[[#This Row],[num2]])</f>
        <v>1750</v>
      </c>
      <c r="I137" s="357"/>
      <c r="J137" s="21"/>
      <c r="K137" s="323"/>
      <c r="M137" s="27">
        <f>_xlfn.XLOOKUP(packes[[#This Row],[productId]],CT[productId],CT[total],"NA")</f>
        <v>154.88499999999999</v>
      </c>
      <c r="N137" s="20" t="str">
        <f>_xlfn.XLOOKUP(packes[[#This Row],[productId]],bom[Id],bom[ph],"NA")</f>
        <v>molex</v>
      </c>
      <c r="O137" s="20" t="str">
        <f>_xlfn.XLOOKUP(packes[[#This Row],[productId]],bom[Id],bom[erth],"NA")</f>
        <v>nut4</v>
      </c>
      <c r="P137" s="20" t="str">
        <f>_xlfn.XLOOKUP(packes[[#This Row],[productId]],bom[Id],bom[dbl],"NA")</f>
        <v>-</v>
      </c>
      <c r="Q137" s="20" t="str">
        <f>LEFT(packes[[#This Row],[date]],4)</f>
        <v>1403</v>
      </c>
    </row>
    <row r="138" spans="1:17" s="23" customFormat="1" ht="16.5" x14ac:dyDescent="0.25">
      <c r="A138" s="23">
        <v>136</v>
      </c>
      <c r="B138" s="30" t="s">
        <v>1497</v>
      </c>
      <c r="C138" s="23">
        <v>140310007</v>
      </c>
      <c r="D138" s="23">
        <v>4400</v>
      </c>
      <c r="E138" s="27">
        <f>_xlfn.XLOOKUP(packes[[#This Row],[productId]],bom[Id],bom[wgt])</f>
        <v>1.1413748378728923</v>
      </c>
      <c r="F138" s="27">
        <f>packes[[#This Row],[num]]*packes[[#This Row],[wtg]]</f>
        <v>5022.0492866407258</v>
      </c>
      <c r="G138" s="357"/>
      <c r="H138" s="21">
        <f>packes[[#This Row],[num]]-SUM(packes[[#This Row],[num2]])</f>
        <v>4400</v>
      </c>
      <c r="I138" s="357"/>
      <c r="J138" s="21"/>
      <c r="K138" s="323"/>
      <c r="M138" s="27">
        <f>_xlfn.XLOOKUP(packes[[#This Row],[productId]],CT[productId],CT[total],"NA")</f>
        <v>92.484999999999999</v>
      </c>
      <c r="N138" s="20" t="str">
        <f>_xlfn.XLOOKUP(packes[[#This Row],[productId]],bom[Id],bom[ph],"NA")</f>
        <v>-</v>
      </c>
      <c r="O138" s="20" t="str">
        <f>_xlfn.XLOOKUP(packes[[#This Row],[productId]],bom[Id],bom[erth],"NA")</f>
        <v>nut4</v>
      </c>
      <c r="P138" s="20" t="str">
        <f>_xlfn.XLOOKUP(packes[[#This Row],[productId]],bom[Id],bom[dbl],"NA")</f>
        <v>-</v>
      </c>
      <c r="Q138" s="20" t="str">
        <f>LEFT(packes[[#This Row],[date]],4)</f>
        <v>1403</v>
      </c>
    </row>
    <row r="139" spans="1:17" s="23" customFormat="1" ht="16.5" x14ac:dyDescent="0.25">
      <c r="A139" s="23">
        <v>137</v>
      </c>
      <c r="B139" s="30" t="s">
        <v>1498</v>
      </c>
      <c r="C139" s="23">
        <v>140310071</v>
      </c>
      <c r="D139" s="23">
        <v>1600</v>
      </c>
      <c r="E139" s="27">
        <f>_xlfn.XLOOKUP(packes[[#This Row],[productId]],bom[Id],bom[wgt])</f>
        <v>1.3</v>
      </c>
      <c r="F139" s="27">
        <f>packes[[#This Row],[num]]*packes[[#This Row],[wtg]]</f>
        <v>2080</v>
      </c>
      <c r="G139" s="357"/>
      <c r="H139" s="21">
        <f>packes[[#This Row],[num]]-SUM(packes[[#This Row],[num2]])</f>
        <v>1600</v>
      </c>
      <c r="I139" s="357"/>
      <c r="J139" s="21"/>
      <c r="K139" s="323"/>
      <c r="M139" s="27">
        <f>_xlfn.XLOOKUP(packes[[#This Row],[productId]],CT[productId],CT[total],"NA")</f>
        <v>130.69500000000002</v>
      </c>
      <c r="N139" s="20" t="str">
        <f>_xlfn.XLOOKUP(packes[[#This Row],[productId]],bom[Id],bom[ph],"NA")</f>
        <v>6.3ch</v>
      </c>
      <c r="O139" s="20" t="str">
        <f>_xlfn.XLOOKUP(packes[[#This Row],[productId]],bom[Id],bom[erth],"NA")</f>
        <v>6.3k</v>
      </c>
      <c r="P139" s="20" t="str">
        <f>_xlfn.XLOOKUP(packes[[#This Row],[productId]],bom[Id],bom[dbl],"NA")</f>
        <v>-</v>
      </c>
      <c r="Q139" s="20" t="str">
        <f>LEFT(packes[[#This Row],[date]],4)</f>
        <v>1403</v>
      </c>
    </row>
    <row r="140" spans="1:17" s="23" customFormat="1" ht="16.5" x14ac:dyDescent="0.25">
      <c r="A140" s="23">
        <v>138</v>
      </c>
      <c r="B140" s="30" t="s">
        <v>1498</v>
      </c>
      <c r="C140" s="23">
        <v>140220012</v>
      </c>
      <c r="D140" s="23">
        <v>500</v>
      </c>
      <c r="E140" s="27">
        <f>_xlfn.XLOOKUP(packes[[#This Row],[productId]],bom[Id],bom[wgt])</f>
        <v>1.9455252918287937</v>
      </c>
      <c r="F140" s="27">
        <f>packes[[#This Row],[num]]*packes[[#This Row],[wtg]]</f>
        <v>972.7626459143969</v>
      </c>
      <c r="G140" s="357"/>
      <c r="H140" s="21">
        <f>packes[[#This Row],[num]]-SUM(packes[[#This Row],[num2]])</f>
        <v>500</v>
      </c>
      <c r="I140" s="357"/>
      <c r="J140" s="21"/>
      <c r="K140" s="323"/>
      <c r="M140" s="27">
        <f>_xlfn.XLOOKUP(packes[[#This Row],[productId]],CT[productId],CT[total],"NA")</f>
        <v>192.86500000000001</v>
      </c>
      <c r="N140" s="20" t="str">
        <f>_xlfn.XLOOKUP(packes[[#This Row],[productId]],bom[Id],bom[ph],"NA")</f>
        <v>flag</v>
      </c>
      <c r="O140" s="20" t="str">
        <f>_xlfn.XLOOKUP(packes[[#This Row],[productId]],bom[Id],bom[erth],"NA")</f>
        <v>sun</v>
      </c>
      <c r="P140" s="20" t="str">
        <f>_xlfn.XLOOKUP(packes[[#This Row],[productId]],bom[Id],bom[dbl],"NA")</f>
        <v>-</v>
      </c>
      <c r="Q140" s="20" t="str">
        <f>LEFT(packes[[#This Row],[date]],4)</f>
        <v>1403</v>
      </c>
    </row>
    <row r="141" spans="1:17" s="23" customFormat="1" ht="16.5" x14ac:dyDescent="0.25">
      <c r="A141" s="23">
        <v>139</v>
      </c>
      <c r="B141" s="30" t="s">
        <v>1498</v>
      </c>
      <c r="C141" s="23">
        <v>140030039</v>
      </c>
      <c r="D141" s="23">
        <v>400</v>
      </c>
      <c r="E141" s="27">
        <f>_xlfn.XLOOKUP(packes[[#This Row],[productId]],bom[Id],bom[wgt])</f>
        <v>1.1413748378728923</v>
      </c>
      <c r="F141" s="27">
        <f>packes[[#This Row],[num]]*packes[[#This Row],[wtg]]</f>
        <v>456.54993514915691</v>
      </c>
      <c r="G141" s="357"/>
      <c r="H141" s="21">
        <f>packes[[#This Row],[num]]-SUM(packes[[#This Row],[num2]])</f>
        <v>400</v>
      </c>
      <c r="I141" s="357"/>
      <c r="J141" s="21"/>
      <c r="K141" s="323"/>
      <c r="M141" s="27">
        <f>_xlfn.XLOOKUP(packes[[#This Row],[productId]],CT[productId],CT[total],"NA")</f>
        <v>92.504999999999995</v>
      </c>
      <c r="N141" s="20" t="str">
        <f>_xlfn.XLOOKUP(packes[[#This Row],[productId]],bom[Id],bom[ph],"NA")</f>
        <v>YH</v>
      </c>
      <c r="O141" s="20" t="str">
        <f>_xlfn.XLOOKUP(packes[[#This Row],[productId]],bom[Id],bom[erth],"NA")</f>
        <v>sun</v>
      </c>
      <c r="P141" s="20" t="str">
        <f>_xlfn.XLOOKUP(packes[[#This Row],[productId]],bom[Id],bom[dbl],"NA")</f>
        <v>-</v>
      </c>
      <c r="Q141" s="20" t="str">
        <f>LEFT(packes[[#This Row],[date]],4)</f>
        <v>1403</v>
      </c>
    </row>
    <row r="142" spans="1:17" s="23" customFormat="1" ht="16.5" x14ac:dyDescent="0.25">
      <c r="A142" s="23">
        <v>140</v>
      </c>
      <c r="B142" s="30" t="s">
        <v>1498</v>
      </c>
      <c r="C142" s="23">
        <v>140310012</v>
      </c>
      <c r="D142" s="23">
        <v>400</v>
      </c>
      <c r="E142" s="27">
        <f>_xlfn.XLOOKUP(packes[[#This Row],[productId]],bom[Id],bom[wgt])</f>
        <v>1.4007782101167314</v>
      </c>
      <c r="F142" s="27">
        <f>packes[[#This Row],[num]]*packes[[#This Row],[wtg]]</f>
        <v>560.31128404669255</v>
      </c>
      <c r="G142" s="357"/>
      <c r="H142" s="21">
        <f>packes[[#This Row],[num]]-SUM(packes[[#This Row],[num2]])</f>
        <v>400</v>
      </c>
      <c r="I142" s="357"/>
      <c r="J142" s="21"/>
      <c r="K142" s="323"/>
      <c r="M142" s="27" t="str">
        <f>_xlfn.XLOOKUP(packes[[#This Row],[productId]],CT[productId],CT[total],"NA")</f>
        <v>NA</v>
      </c>
      <c r="N142" s="20" t="str">
        <f>_xlfn.XLOOKUP(packes[[#This Row],[productId]],bom[Id],bom[ph],"NA")</f>
        <v>4.8ch</v>
      </c>
      <c r="O142" s="20" t="str">
        <f>_xlfn.XLOOKUP(packes[[#This Row],[productId]],bom[Id],bom[erth],"NA")</f>
        <v>-</v>
      </c>
      <c r="P142" s="20" t="str">
        <f>_xlfn.XLOOKUP(packes[[#This Row],[productId]],bom[Id],bom[dbl],"NA")</f>
        <v>-</v>
      </c>
      <c r="Q142" s="20" t="str">
        <f>LEFT(packes[[#This Row],[date]],4)</f>
        <v>1403</v>
      </c>
    </row>
    <row r="143" spans="1:17" s="23" customFormat="1" ht="16.5" x14ac:dyDescent="0.25">
      <c r="A143" s="23">
        <v>141</v>
      </c>
      <c r="B143" s="30" t="s">
        <v>1498</v>
      </c>
      <c r="C143" s="23">
        <v>140010117</v>
      </c>
      <c r="D143" s="23">
        <v>1800</v>
      </c>
      <c r="E143" s="27">
        <f>_xlfn.XLOOKUP(packes[[#This Row],[productId]],bom[Id],bom[wgt])</f>
        <v>1</v>
      </c>
      <c r="F143" s="27">
        <f>packes[[#This Row],[num]]*packes[[#This Row],[wtg]]</f>
        <v>1800</v>
      </c>
      <c r="G143" s="357"/>
      <c r="H143" s="21">
        <f>packes[[#This Row],[num]]-SUM(packes[[#This Row],[num2]])</f>
        <v>1800</v>
      </c>
      <c r="I143" s="357"/>
      <c r="J143" s="21"/>
      <c r="K143" s="323"/>
      <c r="M143" s="27">
        <f>_xlfn.XLOOKUP(packes[[#This Row],[productId]],CT[productId],CT[total],"NA")</f>
        <v>98.295000000000016</v>
      </c>
      <c r="N143" s="20" t="str">
        <f>_xlfn.XLOOKUP(packes[[#This Row],[productId]],bom[Id],bom[ph],"NA")</f>
        <v>nar.p</v>
      </c>
      <c r="O143" s="20" t="str">
        <f>_xlfn.XLOOKUP(packes[[#This Row],[productId]],bom[Id],bom[erth],"NA")</f>
        <v>-</v>
      </c>
      <c r="P143" s="20" t="str">
        <f>_xlfn.XLOOKUP(packes[[#This Row],[productId]],bom[Id],bom[dbl],"NA")</f>
        <v>nar.p</v>
      </c>
      <c r="Q143" s="20" t="str">
        <f>LEFT(packes[[#This Row],[date]],4)</f>
        <v>1403</v>
      </c>
    </row>
    <row r="144" spans="1:17" s="23" customFormat="1" ht="16.5" x14ac:dyDescent="0.25">
      <c r="A144" s="23">
        <v>142</v>
      </c>
      <c r="B144" s="30" t="s">
        <v>1498</v>
      </c>
      <c r="C144" s="23">
        <v>140310007</v>
      </c>
      <c r="D144" s="23">
        <v>2000</v>
      </c>
      <c r="E144" s="27">
        <f>_xlfn.XLOOKUP(packes[[#This Row],[productId]],bom[Id],bom[wgt])</f>
        <v>1.1413748378728923</v>
      </c>
      <c r="F144" s="27">
        <f>packes[[#This Row],[num]]*packes[[#This Row],[wtg]]</f>
        <v>2282.7496757457848</v>
      </c>
      <c r="G144" s="357"/>
      <c r="H144" s="21">
        <f>packes[[#This Row],[num]]-SUM(packes[[#This Row],[num2]])</f>
        <v>2000</v>
      </c>
      <c r="I144" s="357"/>
      <c r="J144" s="21"/>
      <c r="K144" s="323"/>
      <c r="M144" s="27">
        <f>_xlfn.XLOOKUP(packes[[#This Row],[productId]],CT[productId],CT[total],"NA")</f>
        <v>92.484999999999999</v>
      </c>
      <c r="N144" s="20" t="str">
        <f>_xlfn.XLOOKUP(packes[[#This Row],[productId]],bom[Id],bom[ph],"NA")</f>
        <v>-</v>
      </c>
      <c r="O144" s="20" t="str">
        <f>_xlfn.XLOOKUP(packes[[#This Row],[productId]],bom[Id],bom[erth],"NA")</f>
        <v>nut4</v>
      </c>
      <c r="P144" s="20" t="str">
        <f>_xlfn.XLOOKUP(packes[[#This Row],[productId]],bom[Id],bom[dbl],"NA")</f>
        <v>-</v>
      </c>
      <c r="Q144" s="20" t="str">
        <f>LEFT(packes[[#This Row],[date]],4)</f>
        <v>1403</v>
      </c>
    </row>
    <row r="145" spans="1:17" s="23" customFormat="1" ht="16.5" x14ac:dyDescent="0.25">
      <c r="A145" s="23">
        <v>143</v>
      </c>
      <c r="B145" s="30" t="s">
        <v>1499</v>
      </c>
      <c r="C145" s="23">
        <v>140310071</v>
      </c>
      <c r="D145" s="23">
        <v>600</v>
      </c>
      <c r="E145" s="27">
        <f>_xlfn.XLOOKUP(packes[[#This Row],[productId]],bom[Id],bom[wgt])</f>
        <v>1.3</v>
      </c>
      <c r="F145" s="27">
        <f>packes[[#This Row],[num]]*packes[[#This Row],[wtg]]</f>
        <v>780</v>
      </c>
      <c r="G145" s="357"/>
      <c r="H145" s="21">
        <f>packes[[#This Row],[num]]-SUM(packes[[#This Row],[num2]])</f>
        <v>600</v>
      </c>
      <c r="I145" s="357"/>
      <c r="J145" s="21"/>
      <c r="K145" s="323"/>
      <c r="M145" s="27">
        <f>_xlfn.XLOOKUP(packes[[#This Row],[productId]],CT[productId],CT[total],"NA")</f>
        <v>130.69500000000002</v>
      </c>
      <c r="N145" s="20" t="str">
        <f>_xlfn.XLOOKUP(packes[[#This Row],[productId]],bom[Id],bom[ph],"NA")</f>
        <v>6.3ch</v>
      </c>
      <c r="O145" s="20" t="str">
        <f>_xlfn.XLOOKUP(packes[[#This Row],[productId]],bom[Id],bom[erth],"NA")</f>
        <v>6.3k</v>
      </c>
      <c r="P145" s="20" t="str">
        <f>_xlfn.XLOOKUP(packes[[#This Row],[productId]],bom[Id],bom[dbl],"NA")</f>
        <v>-</v>
      </c>
      <c r="Q145" s="20" t="str">
        <f>LEFT(packes[[#This Row],[date]],4)</f>
        <v>1403</v>
      </c>
    </row>
    <row r="146" spans="1:17" s="23" customFormat="1" ht="16.5" x14ac:dyDescent="0.25">
      <c r="A146" s="23">
        <v>144</v>
      </c>
      <c r="B146" s="30" t="s">
        <v>1499</v>
      </c>
      <c r="C146" s="23">
        <v>140220012</v>
      </c>
      <c r="D146" s="23">
        <v>1750</v>
      </c>
      <c r="E146" s="27">
        <f>_xlfn.XLOOKUP(packes[[#This Row],[productId]],bom[Id],bom[wgt])</f>
        <v>1.9455252918287937</v>
      </c>
      <c r="F146" s="27">
        <f>packes[[#This Row],[num]]*packes[[#This Row],[wtg]]</f>
        <v>3404.6692607003893</v>
      </c>
      <c r="G146" s="357"/>
      <c r="H146" s="21">
        <f>packes[[#This Row],[num]]-SUM(packes[[#This Row],[num2]])</f>
        <v>1750</v>
      </c>
      <c r="I146" s="357"/>
      <c r="J146" s="21"/>
      <c r="K146" s="323"/>
      <c r="M146" s="27">
        <f>_xlfn.XLOOKUP(packes[[#This Row],[productId]],CT[productId],CT[total],"NA")</f>
        <v>192.86500000000001</v>
      </c>
      <c r="N146" s="20" t="str">
        <f>_xlfn.XLOOKUP(packes[[#This Row],[productId]],bom[Id],bom[ph],"NA")</f>
        <v>flag</v>
      </c>
      <c r="O146" s="20" t="str">
        <f>_xlfn.XLOOKUP(packes[[#This Row],[productId]],bom[Id],bom[erth],"NA")</f>
        <v>sun</v>
      </c>
      <c r="P146" s="20" t="str">
        <f>_xlfn.XLOOKUP(packes[[#This Row],[productId]],bom[Id],bom[dbl],"NA")</f>
        <v>-</v>
      </c>
      <c r="Q146" s="20" t="str">
        <f>LEFT(packes[[#This Row],[date]],4)</f>
        <v>1403</v>
      </c>
    </row>
    <row r="147" spans="1:17" s="23" customFormat="1" ht="16.5" x14ac:dyDescent="0.25">
      <c r="A147" s="23">
        <v>145</v>
      </c>
      <c r="B147" s="30" t="s">
        <v>1499</v>
      </c>
      <c r="C147" s="23">
        <v>140030039</v>
      </c>
      <c r="D147" s="23">
        <v>1400</v>
      </c>
      <c r="E147" s="27">
        <f>_xlfn.XLOOKUP(packes[[#This Row],[productId]],bom[Id],bom[wgt])</f>
        <v>1.1413748378728923</v>
      </c>
      <c r="F147" s="27">
        <f>packes[[#This Row],[num]]*packes[[#This Row],[wtg]]</f>
        <v>1597.9247730220493</v>
      </c>
      <c r="G147" s="357"/>
      <c r="H147" s="21">
        <f>packes[[#This Row],[num]]-SUM(packes[[#This Row],[num2]])</f>
        <v>1400</v>
      </c>
      <c r="I147" s="357"/>
      <c r="J147" s="21"/>
      <c r="K147" s="323"/>
      <c r="M147" s="27">
        <f>_xlfn.XLOOKUP(packes[[#This Row],[productId]],CT[productId],CT[total],"NA")</f>
        <v>92.504999999999995</v>
      </c>
      <c r="N147" s="20" t="str">
        <f>_xlfn.XLOOKUP(packes[[#This Row],[productId]],bom[Id],bom[ph],"NA")</f>
        <v>YH</v>
      </c>
      <c r="O147" s="20" t="str">
        <f>_xlfn.XLOOKUP(packes[[#This Row],[productId]],bom[Id],bom[erth],"NA")</f>
        <v>sun</v>
      </c>
      <c r="P147" s="20" t="str">
        <f>_xlfn.XLOOKUP(packes[[#This Row],[productId]],bom[Id],bom[dbl],"NA")</f>
        <v>-</v>
      </c>
      <c r="Q147" s="20" t="str">
        <f>LEFT(packes[[#This Row],[date]],4)</f>
        <v>1403</v>
      </c>
    </row>
    <row r="148" spans="1:17" s="23" customFormat="1" ht="16.5" x14ac:dyDescent="0.25">
      <c r="A148" s="23">
        <v>146</v>
      </c>
      <c r="B148" s="30" t="s">
        <v>1499</v>
      </c>
      <c r="C148" s="23">
        <v>140310012</v>
      </c>
      <c r="D148" s="23">
        <v>720</v>
      </c>
      <c r="E148" s="27">
        <f>_xlfn.XLOOKUP(packes[[#This Row],[productId]],bom[Id],bom[wgt])</f>
        <v>1.4007782101167314</v>
      </c>
      <c r="F148" s="27">
        <f>packes[[#This Row],[num]]*packes[[#This Row],[wtg]]</f>
        <v>1008.5603112840466</v>
      </c>
      <c r="G148" s="357"/>
      <c r="H148" s="21">
        <f>packes[[#This Row],[num]]-SUM(packes[[#This Row],[num2]])</f>
        <v>720</v>
      </c>
      <c r="I148" s="357"/>
      <c r="J148" s="21"/>
      <c r="K148" s="323"/>
      <c r="M148" s="27" t="str">
        <f>_xlfn.XLOOKUP(packes[[#This Row],[productId]],CT[productId],CT[total],"NA")</f>
        <v>NA</v>
      </c>
      <c r="N148" s="20" t="str">
        <f>_xlfn.XLOOKUP(packes[[#This Row],[productId]],bom[Id],bom[ph],"NA")</f>
        <v>4.8ch</v>
      </c>
      <c r="O148" s="20" t="str">
        <f>_xlfn.XLOOKUP(packes[[#This Row],[productId]],bom[Id],bom[erth],"NA")</f>
        <v>-</v>
      </c>
      <c r="P148" s="20" t="str">
        <f>_xlfn.XLOOKUP(packes[[#This Row],[productId]],bom[Id],bom[dbl],"NA")</f>
        <v>-</v>
      </c>
      <c r="Q148" s="20" t="str">
        <f>LEFT(packes[[#This Row],[date]],4)</f>
        <v>1403</v>
      </c>
    </row>
    <row r="149" spans="1:17" s="23" customFormat="1" ht="16.5" x14ac:dyDescent="0.25">
      <c r="A149" s="23">
        <v>147</v>
      </c>
      <c r="B149" s="30" t="s">
        <v>1499</v>
      </c>
      <c r="C149" s="23">
        <v>140010117</v>
      </c>
      <c r="D149" s="23">
        <v>2775</v>
      </c>
      <c r="E149" s="27">
        <f>_xlfn.XLOOKUP(packes[[#This Row],[productId]],bom[Id],bom[wgt])</f>
        <v>1</v>
      </c>
      <c r="F149" s="27">
        <f>packes[[#This Row],[num]]*packes[[#This Row],[wtg]]</f>
        <v>2775</v>
      </c>
      <c r="G149" s="357"/>
      <c r="H149" s="21">
        <f>packes[[#This Row],[num]]-SUM(packes[[#This Row],[num2]])</f>
        <v>2775</v>
      </c>
      <c r="I149" s="357"/>
      <c r="J149" s="21"/>
      <c r="K149" s="323"/>
      <c r="M149" s="27">
        <f>_xlfn.XLOOKUP(packes[[#This Row],[productId]],CT[productId],CT[total],"NA")</f>
        <v>98.295000000000016</v>
      </c>
      <c r="N149" s="20" t="str">
        <f>_xlfn.XLOOKUP(packes[[#This Row],[productId]],bom[Id],bom[ph],"NA")</f>
        <v>nar.p</v>
      </c>
      <c r="O149" s="20" t="str">
        <f>_xlfn.XLOOKUP(packes[[#This Row],[productId]],bom[Id],bom[erth],"NA")</f>
        <v>-</v>
      </c>
      <c r="P149" s="20" t="str">
        <f>_xlfn.XLOOKUP(packes[[#This Row],[productId]],bom[Id],bom[dbl],"NA")</f>
        <v>nar.p</v>
      </c>
      <c r="Q149" s="20" t="str">
        <f>LEFT(packes[[#This Row],[date]],4)</f>
        <v>1403</v>
      </c>
    </row>
    <row r="150" spans="1:17" s="23" customFormat="1" ht="16.5" x14ac:dyDescent="0.25">
      <c r="A150" s="23">
        <v>148</v>
      </c>
      <c r="B150" s="30" t="s">
        <v>1499</v>
      </c>
      <c r="C150" s="23">
        <v>140310007</v>
      </c>
      <c r="D150" s="23">
        <v>600</v>
      </c>
      <c r="E150" s="27">
        <f>_xlfn.XLOOKUP(packes[[#This Row],[productId]],bom[Id],bom[wgt])</f>
        <v>1.1413748378728923</v>
      </c>
      <c r="F150" s="27">
        <f>packes[[#This Row],[num]]*packes[[#This Row],[wtg]]</f>
        <v>684.82490272373536</v>
      </c>
      <c r="G150" s="357"/>
      <c r="H150" s="21">
        <f>packes[[#This Row],[num]]-SUM(packes[[#This Row],[num2]])</f>
        <v>600</v>
      </c>
      <c r="I150" s="357"/>
      <c r="J150" s="21"/>
      <c r="K150" s="323"/>
      <c r="M150" s="27">
        <f>_xlfn.XLOOKUP(packes[[#This Row],[productId]],CT[productId],CT[total],"NA")</f>
        <v>92.484999999999999</v>
      </c>
      <c r="N150" s="20" t="str">
        <f>_xlfn.XLOOKUP(packes[[#This Row],[productId]],bom[Id],bom[ph],"NA")</f>
        <v>-</v>
      </c>
      <c r="O150" s="20" t="str">
        <f>_xlfn.XLOOKUP(packes[[#This Row],[productId]],bom[Id],bom[erth],"NA")</f>
        <v>nut4</v>
      </c>
      <c r="P150" s="20" t="str">
        <f>_xlfn.XLOOKUP(packes[[#This Row],[productId]],bom[Id],bom[dbl],"NA")</f>
        <v>-</v>
      </c>
      <c r="Q150" s="20" t="str">
        <f>LEFT(packes[[#This Row],[date]],4)</f>
        <v>1403</v>
      </c>
    </row>
    <row r="151" spans="1:17" s="23" customFormat="1" ht="16.5" x14ac:dyDescent="0.25">
      <c r="A151" s="23">
        <v>149</v>
      </c>
      <c r="B151" s="30" t="s">
        <v>1500</v>
      </c>
      <c r="C151" s="23">
        <v>140310071</v>
      </c>
      <c r="D151" s="23">
        <v>600</v>
      </c>
      <c r="E151" s="27">
        <f>_xlfn.XLOOKUP(packes[[#This Row],[productId]],bom[Id],bom[wgt])</f>
        <v>1.3</v>
      </c>
      <c r="F151" s="27">
        <f>packes[[#This Row],[num]]*packes[[#This Row],[wtg]]</f>
        <v>780</v>
      </c>
      <c r="G151" s="357"/>
      <c r="H151" s="21">
        <f>packes[[#This Row],[num]]-SUM(packes[[#This Row],[num2]])</f>
        <v>600</v>
      </c>
      <c r="I151" s="357"/>
      <c r="J151" s="21"/>
      <c r="K151" s="323"/>
      <c r="M151" s="27">
        <f>_xlfn.XLOOKUP(packes[[#This Row],[productId]],CT[productId],CT[total],"NA")</f>
        <v>130.69500000000002</v>
      </c>
      <c r="N151" s="20" t="str">
        <f>_xlfn.XLOOKUP(packes[[#This Row],[productId]],bom[Id],bom[ph],"NA")</f>
        <v>6.3ch</v>
      </c>
      <c r="O151" s="20" t="str">
        <f>_xlfn.XLOOKUP(packes[[#This Row],[productId]],bom[Id],bom[erth],"NA")</f>
        <v>6.3k</v>
      </c>
      <c r="P151" s="20" t="str">
        <f>_xlfn.XLOOKUP(packes[[#This Row],[productId]],bom[Id],bom[dbl],"NA")</f>
        <v>-</v>
      </c>
      <c r="Q151" s="20" t="str">
        <f>LEFT(packes[[#This Row],[date]],4)</f>
        <v>1403</v>
      </c>
    </row>
    <row r="152" spans="1:17" s="23" customFormat="1" ht="16.5" x14ac:dyDescent="0.25">
      <c r="A152" s="23">
        <v>150</v>
      </c>
      <c r="B152" s="30" t="s">
        <v>1500</v>
      </c>
      <c r="C152" s="23">
        <v>140220012</v>
      </c>
      <c r="D152" s="23">
        <v>1850</v>
      </c>
      <c r="E152" s="27">
        <f>_xlfn.XLOOKUP(packes[[#This Row],[productId]],bom[Id],bom[wgt])</f>
        <v>1.9455252918287937</v>
      </c>
      <c r="F152" s="27">
        <f>packes[[#This Row],[num]]*packes[[#This Row],[wtg]]</f>
        <v>3599.2217898832682</v>
      </c>
      <c r="G152" s="357"/>
      <c r="H152" s="21">
        <f>packes[[#This Row],[num]]-SUM(packes[[#This Row],[num2]])</f>
        <v>1850</v>
      </c>
      <c r="I152" s="357"/>
      <c r="J152" s="21"/>
      <c r="K152" s="323"/>
      <c r="M152" s="27">
        <f>_xlfn.XLOOKUP(packes[[#This Row],[productId]],CT[productId],CT[total],"NA")</f>
        <v>192.86500000000001</v>
      </c>
      <c r="N152" s="20" t="str">
        <f>_xlfn.XLOOKUP(packes[[#This Row],[productId]],bom[Id],bom[ph],"NA")</f>
        <v>flag</v>
      </c>
      <c r="O152" s="20" t="str">
        <f>_xlfn.XLOOKUP(packes[[#This Row],[productId]],bom[Id],bom[erth],"NA")</f>
        <v>sun</v>
      </c>
      <c r="P152" s="20" t="str">
        <f>_xlfn.XLOOKUP(packes[[#This Row],[productId]],bom[Id],bom[dbl],"NA")</f>
        <v>-</v>
      </c>
      <c r="Q152" s="20" t="str">
        <f>LEFT(packes[[#This Row],[date]],4)</f>
        <v>1403</v>
      </c>
    </row>
    <row r="153" spans="1:17" s="23" customFormat="1" ht="16.5" x14ac:dyDescent="0.25">
      <c r="A153" s="23">
        <v>151</v>
      </c>
      <c r="B153" s="30" t="s">
        <v>1500</v>
      </c>
      <c r="C153" s="23">
        <v>140030039</v>
      </c>
      <c r="D153" s="23">
        <v>900</v>
      </c>
      <c r="E153" s="27">
        <f>_xlfn.XLOOKUP(packes[[#This Row],[productId]],bom[Id],bom[wgt])</f>
        <v>1.1413748378728923</v>
      </c>
      <c r="F153" s="27">
        <f>packes[[#This Row],[num]]*packes[[#This Row],[wtg]]</f>
        <v>1027.2373540856031</v>
      </c>
      <c r="G153" s="357"/>
      <c r="H153" s="21">
        <f>packes[[#This Row],[num]]-SUM(packes[[#This Row],[num2]])</f>
        <v>900</v>
      </c>
      <c r="I153" s="357"/>
      <c r="J153" s="21"/>
      <c r="K153" s="323"/>
      <c r="M153" s="27">
        <f>_xlfn.XLOOKUP(packes[[#This Row],[productId]],CT[productId],CT[total],"NA")</f>
        <v>92.504999999999995</v>
      </c>
      <c r="N153" s="20" t="str">
        <f>_xlfn.XLOOKUP(packes[[#This Row],[productId]],bom[Id],bom[ph],"NA")</f>
        <v>YH</v>
      </c>
      <c r="O153" s="20" t="str">
        <f>_xlfn.XLOOKUP(packes[[#This Row],[productId]],bom[Id],bom[erth],"NA")</f>
        <v>sun</v>
      </c>
      <c r="P153" s="20" t="str">
        <f>_xlfn.XLOOKUP(packes[[#This Row],[productId]],bom[Id],bom[dbl],"NA")</f>
        <v>-</v>
      </c>
      <c r="Q153" s="20" t="str">
        <f>LEFT(packes[[#This Row],[date]],4)</f>
        <v>1403</v>
      </c>
    </row>
    <row r="154" spans="1:17" s="23" customFormat="1" ht="16.5" x14ac:dyDescent="0.25">
      <c r="A154" s="23">
        <v>152</v>
      </c>
      <c r="B154" s="30" t="s">
        <v>1500</v>
      </c>
      <c r="C154" s="23">
        <v>140030040</v>
      </c>
      <c r="D154" s="23">
        <v>1900</v>
      </c>
      <c r="E154" s="27">
        <f>_xlfn.XLOOKUP(packes[[#This Row],[productId]],bom[Id],bom[wgt])</f>
        <v>1.1092487279257708</v>
      </c>
      <c r="F154" s="27">
        <f>packes[[#This Row],[num]]*packes[[#This Row],[wtg]]</f>
        <v>2107.5725830589645</v>
      </c>
      <c r="G154" s="357"/>
      <c r="H154" s="21">
        <f>packes[[#This Row],[num]]-SUM(packes[[#This Row],[num2]])</f>
        <v>1900</v>
      </c>
      <c r="I154" s="357"/>
      <c r="J154" s="21"/>
      <c r="K154" s="323"/>
      <c r="M154" s="27">
        <f>_xlfn.XLOOKUP(packes[[#This Row],[productId]],CT[productId],CT[total],"NA")</f>
        <v>97.305000000000007</v>
      </c>
      <c r="N154" s="20" t="str">
        <f>_xlfn.XLOOKUP(packes[[#This Row],[productId]],bom[Id],bom[ph],"NA")</f>
        <v>YH</v>
      </c>
      <c r="O154" s="20" t="str">
        <f>_xlfn.XLOOKUP(packes[[#This Row],[productId]],bom[Id],bom[erth],"NA")</f>
        <v>sun</v>
      </c>
      <c r="P154" s="20" t="str">
        <f>_xlfn.XLOOKUP(packes[[#This Row],[productId]],bom[Id],bom[dbl],"NA")</f>
        <v>-</v>
      </c>
      <c r="Q154" s="20" t="str">
        <f>LEFT(packes[[#This Row],[date]],4)</f>
        <v>1403</v>
      </c>
    </row>
    <row r="155" spans="1:17" s="23" customFormat="1" ht="16.5" x14ac:dyDescent="0.25">
      <c r="A155" s="23">
        <v>153</v>
      </c>
      <c r="B155" s="30" t="s">
        <v>1500</v>
      </c>
      <c r="C155" s="23">
        <v>140010117</v>
      </c>
      <c r="D155" s="23">
        <v>825</v>
      </c>
      <c r="E155" s="27">
        <f>_xlfn.XLOOKUP(packes[[#This Row],[productId]],bom[Id],bom[wgt])</f>
        <v>1</v>
      </c>
      <c r="F155" s="27">
        <f>packes[[#This Row],[num]]*packes[[#This Row],[wtg]]</f>
        <v>825</v>
      </c>
      <c r="G155" s="357"/>
      <c r="H155" s="21">
        <f>packes[[#This Row],[num]]-SUM(packes[[#This Row],[num2]])</f>
        <v>825</v>
      </c>
      <c r="I155" s="357"/>
      <c r="J155" s="21"/>
      <c r="K155" s="323"/>
      <c r="M155" s="27">
        <f>_xlfn.XLOOKUP(packes[[#This Row],[productId]],CT[productId],CT[total],"NA")</f>
        <v>98.295000000000016</v>
      </c>
      <c r="N155" s="20" t="str">
        <f>_xlfn.XLOOKUP(packes[[#This Row],[productId]],bom[Id],bom[ph],"NA")</f>
        <v>nar.p</v>
      </c>
      <c r="O155" s="20" t="str">
        <f>_xlfn.XLOOKUP(packes[[#This Row],[productId]],bom[Id],bom[erth],"NA")</f>
        <v>-</v>
      </c>
      <c r="P155" s="20" t="str">
        <f>_xlfn.XLOOKUP(packes[[#This Row],[productId]],bom[Id],bom[dbl],"NA")</f>
        <v>nar.p</v>
      </c>
      <c r="Q155" s="20" t="str">
        <f>LEFT(packes[[#This Row],[date]],4)</f>
        <v>1403</v>
      </c>
    </row>
    <row r="156" spans="1:17" s="23" customFormat="1" ht="16.5" x14ac:dyDescent="0.25">
      <c r="A156" s="23">
        <v>154</v>
      </c>
      <c r="B156" s="30" t="s">
        <v>1500</v>
      </c>
      <c r="C156" s="23">
        <v>140310007</v>
      </c>
      <c r="D156" s="23">
        <v>2100</v>
      </c>
      <c r="E156" s="27">
        <f>_xlfn.XLOOKUP(packes[[#This Row],[productId]],bom[Id],bom[wgt])</f>
        <v>1.1413748378728923</v>
      </c>
      <c r="F156" s="27">
        <f>packes[[#This Row],[num]]*packes[[#This Row],[wtg]]</f>
        <v>2396.8871595330738</v>
      </c>
      <c r="G156" s="357"/>
      <c r="H156" s="21">
        <f>packes[[#This Row],[num]]-SUM(packes[[#This Row],[num2]])</f>
        <v>2100</v>
      </c>
      <c r="I156" s="357"/>
      <c r="J156" s="21"/>
      <c r="K156" s="323"/>
      <c r="M156" s="27">
        <f>_xlfn.XLOOKUP(packes[[#This Row],[productId]],CT[productId],CT[total],"NA")</f>
        <v>92.484999999999999</v>
      </c>
      <c r="N156" s="20" t="str">
        <f>_xlfn.XLOOKUP(packes[[#This Row],[productId]],bom[Id],bom[ph],"NA")</f>
        <v>-</v>
      </c>
      <c r="O156" s="20" t="str">
        <f>_xlfn.XLOOKUP(packes[[#This Row],[productId]],bom[Id],bom[erth],"NA")</f>
        <v>nut4</v>
      </c>
      <c r="P156" s="20" t="str">
        <f>_xlfn.XLOOKUP(packes[[#This Row],[productId]],bom[Id],bom[dbl],"NA")</f>
        <v>-</v>
      </c>
      <c r="Q156" s="20" t="str">
        <f>LEFT(packes[[#This Row],[date]],4)</f>
        <v>1403</v>
      </c>
    </row>
    <row r="157" spans="1:17" s="23" customFormat="1" ht="16.5" x14ac:dyDescent="0.25">
      <c r="A157" s="23">
        <v>155</v>
      </c>
      <c r="B157" s="30" t="s">
        <v>1477</v>
      </c>
      <c r="C157" s="23">
        <v>140550019</v>
      </c>
      <c r="D157" s="23">
        <v>700</v>
      </c>
      <c r="E157" s="27">
        <f>_xlfn.XLOOKUP(packes[[#This Row],[productId]],bom[Id],bom[wgt])</f>
        <v>2.6938042502244834</v>
      </c>
      <c r="F157" s="27">
        <f>packes[[#This Row],[num]]*packes[[#This Row],[wtg]]</f>
        <v>1885.6629751571384</v>
      </c>
      <c r="G157" s="357"/>
      <c r="H157" s="21">
        <f>packes[[#This Row],[num]]-SUM(packes[[#This Row],[num2]])</f>
        <v>700</v>
      </c>
      <c r="I157" s="357"/>
      <c r="J157" s="21"/>
      <c r="K157" s="323"/>
      <c r="M157" s="27">
        <f>_xlfn.XLOOKUP(packes[[#This Row],[productId]],CT[productId],CT[total],"NA")</f>
        <v>211.66499999999999</v>
      </c>
      <c r="N157" s="20" t="str">
        <f>_xlfn.XLOOKUP(packes[[#This Row],[productId]],bom[Id],bom[ph],"NA")</f>
        <v>6.3ch</v>
      </c>
      <c r="O157" s="20" t="str">
        <f>_xlfn.XLOOKUP(packes[[#This Row],[productId]],bom[Id],bom[erth],"NA")</f>
        <v>nut4</v>
      </c>
      <c r="P157" s="20" t="str">
        <f>_xlfn.XLOOKUP(packes[[#This Row],[productId]],bom[Id],bom[dbl],"NA")</f>
        <v>-</v>
      </c>
      <c r="Q157" s="20" t="str">
        <f>LEFT(packes[[#This Row],[date]],4)</f>
        <v>1403</v>
      </c>
    </row>
    <row r="158" spans="1:17" s="23" customFormat="1" ht="16.5" x14ac:dyDescent="0.25">
      <c r="A158" s="23">
        <v>156</v>
      </c>
      <c r="B158" s="30" t="s">
        <v>1477</v>
      </c>
      <c r="C158" s="23">
        <v>140310071</v>
      </c>
      <c r="D158" s="23">
        <v>850</v>
      </c>
      <c r="E158" s="27">
        <f>_xlfn.XLOOKUP(packes[[#This Row],[productId]],bom[Id],bom[wgt])</f>
        <v>1.3</v>
      </c>
      <c r="F158" s="27">
        <f>packes[[#This Row],[num]]*packes[[#This Row],[wtg]]</f>
        <v>1105</v>
      </c>
      <c r="G158" s="357"/>
      <c r="H158" s="21">
        <f>packes[[#This Row],[num]]-SUM(packes[[#This Row],[num2]])</f>
        <v>850</v>
      </c>
      <c r="I158" s="357"/>
      <c r="J158" s="21"/>
      <c r="K158" s="323"/>
      <c r="M158" s="27">
        <f>_xlfn.XLOOKUP(packes[[#This Row],[productId]],CT[productId],CT[total],"NA")</f>
        <v>130.69500000000002</v>
      </c>
      <c r="N158" s="20" t="str">
        <f>_xlfn.XLOOKUP(packes[[#This Row],[productId]],bom[Id],bom[ph],"NA")</f>
        <v>6.3ch</v>
      </c>
      <c r="O158" s="20" t="str">
        <f>_xlfn.XLOOKUP(packes[[#This Row],[productId]],bom[Id],bom[erth],"NA")</f>
        <v>6.3k</v>
      </c>
      <c r="P158" s="20" t="str">
        <f>_xlfn.XLOOKUP(packes[[#This Row],[productId]],bom[Id],bom[dbl],"NA")</f>
        <v>-</v>
      </c>
      <c r="Q158" s="20" t="str">
        <f>LEFT(packes[[#This Row],[date]],4)</f>
        <v>1403</v>
      </c>
    </row>
    <row r="159" spans="1:17" s="23" customFormat="1" ht="16.5" x14ac:dyDescent="0.25">
      <c r="A159" s="23">
        <v>157</v>
      </c>
      <c r="B159" s="30" t="s">
        <v>1477</v>
      </c>
      <c r="C159" s="23">
        <v>140220012</v>
      </c>
      <c r="D159" s="23">
        <v>1050</v>
      </c>
      <c r="E159" s="27">
        <f>_xlfn.XLOOKUP(packes[[#This Row],[productId]],bom[Id],bom[wgt])</f>
        <v>1.9455252918287937</v>
      </c>
      <c r="F159" s="27">
        <f>packes[[#This Row],[num]]*packes[[#This Row],[wtg]]</f>
        <v>2042.8015564202335</v>
      </c>
      <c r="G159" s="357"/>
      <c r="H159" s="21">
        <f>packes[[#This Row],[num]]-SUM(packes[[#This Row],[num2]])</f>
        <v>1050</v>
      </c>
      <c r="I159" s="357"/>
      <c r="J159" s="21"/>
      <c r="K159" s="323"/>
      <c r="M159" s="27">
        <f>_xlfn.XLOOKUP(packes[[#This Row],[productId]],CT[productId],CT[total],"NA")</f>
        <v>192.86500000000001</v>
      </c>
      <c r="N159" s="20" t="str">
        <f>_xlfn.XLOOKUP(packes[[#This Row],[productId]],bom[Id],bom[ph],"NA")</f>
        <v>flag</v>
      </c>
      <c r="O159" s="20" t="str">
        <f>_xlfn.XLOOKUP(packes[[#This Row],[productId]],bom[Id],bom[erth],"NA")</f>
        <v>sun</v>
      </c>
      <c r="P159" s="20" t="str">
        <f>_xlfn.XLOOKUP(packes[[#This Row],[productId]],bom[Id],bom[dbl],"NA")</f>
        <v>-</v>
      </c>
      <c r="Q159" s="20" t="str">
        <f>LEFT(packes[[#This Row],[date]],4)</f>
        <v>1403</v>
      </c>
    </row>
    <row r="160" spans="1:17" s="23" customFormat="1" ht="16.5" x14ac:dyDescent="0.25">
      <c r="A160" s="23">
        <v>158</v>
      </c>
      <c r="B160" s="30" t="s">
        <v>1477</v>
      </c>
      <c r="C160" s="23">
        <v>140030039</v>
      </c>
      <c r="D160" s="23">
        <v>2500</v>
      </c>
      <c r="E160" s="27">
        <f>_xlfn.XLOOKUP(packes[[#This Row],[productId]],bom[Id],bom[wgt])</f>
        <v>1.1413748378728923</v>
      </c>
      <c r="F160" s="27">
        <f>packes[[#This Row],[num]]*packes[[#This Row],[wtg]]</f>
        <v>2853.4370946822305</v>
      </c>
      <c r="G160" s="357"/>
      <c r="H160" s="21">
        <f>packes[[#This Row],[num]]-SUM(packes[[#This Row],[num2]])</f>
        <v>2500</v>
      </c>
      <c r="I160" s="357"/>
      <c r="J160" s="21"/>
      <c r="K160" s="323"/>
      <c r="M160" s="27">
        <f>_xlfn.XLOOKUP(packes[[#This Row],[productId]],CT[productId],CT[total],"NA")</f>
        <v>92.504999999999995</v>
      </c>
      <c r="N160" s="20" t="str">
        <f>_xlfn.XLOOKUP(packes[[#This Row],[productId]],bom[Id],bom[ph],"NA")</f>
        <v>YH</v>
      </c>
      <c r="O160" s="20" t="str">
        <f>_xlfn.XLOOKUP(packes[[#This Row],[productId]],bom[Id],bom[erth],"NA")</f>
        <v>sun</v>
      </c>
      <c r="P160" s="20" t="str">
        <f>_xlfn.XLOOKUP(packes[[#This Row],[productId]],bom[Id],bom[dbl],"NA")</f>
        <v>-</v>
      </c>
      <c r="Q160" s="20" t="str">
        <f>LEFT(packes[[#This Row],[date]],4)</f>
        <v>1403</v>
      </c>
    </row>
    <row r="161" spans="1:17" s="23" customFormat="1" ht="16.5" x14ac:dyDescent="0.25">
      <c r="A161" s="23">
        <v>159</v>
      </c>
      <c r="B161" s="30" t="s">
        <v>1477</v>
      </c>
      <c r="C161" s="23">
        <v>140030040</v>
      </c>
      <c r="D161" s="23">
        <v>300</v>
      </c>
      <c r="E161" s="27">
        <f>_xlfn.XLOOKUP(packes[[#This Row],[productId]],bom[Id],bom[wgt])</f>
        <v>1.1092487279257708</v>
      </c>
      <c r="F161" s="27">
        <f>packes[[#This Row],[num]]*packes[[#This Row],[wtg]]</f>
        <v>332.77461837773126</v>
      </c>
      <c r="G161" s="357"/>
      <c r="H161" s="21">
        <f>packes[[#This Row],[num]]-SUM(packes[[#This Row],[num2]])</f>
        <v>300</v>
      </c>
      <c r="I161" s="357"/>
      <c r="J161" s="21"/>
      <c r="K161" s="323"/>
      <c r="M161" s="27">
        <f>_xlfn.XLOOKUP(packes[[#This Row],[productId]],CT[productId],CT[total],"NA")</f>
        <v>97.305000000000007</v>
      </c>
      <c r="N161" s="20" t="str">
        <f>_xlfn.XLOOKUP(packes[[#This Row],[productId]],bom[Id],bom[ph],"NA")</f>
        <v>YH</v>
      </c>
      <c r="O161" s="20" t="str">
        <f>_xlfn.XLOOKUP(packes[[#This Row],[productId]],bom[Id],bom[erth],"NA")</f>
        <v>sun</v>
      </c>
      <c r="P161" s="20" t="str">
        <f>_xlfn.XLOOKUP(packes[[#This Row],[productId]],bom[Id],bom[dbl],"NA")</f>
        <v>-</v>
      </c>
      <c r="Q161" s="20" t="str">
        <f>LEFT(packes[[#This Row],[date]],4)</f>
        <v>1403</v>
      </c>
    </row>
    <row r="162" spans="1:17" s="23" customFormat="1" ht="16.5" x14ac:dyDescent="0.25">
      <c r="A162" s="23">
        <v>160</v>
      </c>
      <c r="B162" s="30" t="s">
        <v>1477</v>
      </c>
      <c r="C162" s="23">
        <v>140550060</v>
      </c>
      <c r="D162" s="23">
        <v>1300</v>
      </c>
      <c r="E162" s="27">
        <f>_xlfn.XLOOKUP(packes[[#This Row],[productId]],bom[Id],bom[wgt])</f>
        <v>1.1972463334331038</v>
      </c>
      <c r="F162" s="27">
        <f>packes[[#This Row],[num]]*packes[[#This Row],[wtg]]</f>
        <v>1556.4202334630349</v>
      </c>
      <c r="G162" s="357"/>
      <c r="H162" s="21">
        <f>packes[[#This Row],[num]]-SUM(packes[[#This Row],[num2]])</f>
        <v>1300</v>
      </c>
      <c r="I162" s="357"/>
      <c r="J162" s="21"/>
      <c r="K162" s="323"/>
      <c r="M162" s="27">
        <f>_xlfn.XLOOKUP(packes[[#This Row],[productId]],CT[productId],CT[total],"NA")</f>
        <v>81.220000000000013</v>
      </c>
      <c r="N162" s="20" t="str">
        <f>_xlfn.XLOOKUP(packes[[#This Row],[productId]],bom[Id],bom[ph],"NA")</f>
        <v>radio</v>
      </c>
      <c r="O162" s="20" t="str">
        <f>_xlfn.XLOOKUP(packes[[#This Row],[productId]],bom[Id],bom[erth],"NA")</f>
        <v>-</v>
      </c>
      <c r="P162" s="20" t="str">
        <f>_xlfn.XLOOKUP(packes[[#This Row],[productId]],bom[Id],bom[dbl],"NA")</f>
        <v>-</v>
      </c>
      <c r="Q162" s="20" t="str">
        <f>LEFT(packes[[#This Row],[date]],4)</f>
        <v>1403</v>
      </c>
    </row>
    <row r="163" spans="1:17" s="23" customFormat="1" ht="16.5" x14ac:dyDescent="0.25">
      <c r="A163" s="23">
        <v>161</v>
      </c>
      <c r="B163" s="30" t="s">
        <v>1477</v>
      </c>
      <c r="C163" s="23">
        <v>140310012</v>
      </c>
      <c r="D163" s="23">
        <v>320</v>
      </c>
      <c r="E163" s="27">
        <f>_xlfn.XLOOKUP(packes[[#This Row],[productId]],bom[Id],bom[wgt])</f>
        <v>1.4007782101167314</v>
      </c>
      <c r="F163" s="27">
        <f>packes[[#This Row],[num]]*packes[[#This Row],[wtg]]</f>
        <v>448.24902723735408</v>
      </c>
      <c r="G163" s="357"/>
      <c r="H163" s="21">
        <f>packes[[#This Row],[num]]-SUM(packes[[#This Row],[num2]])</f>
        <v>320</v>
      </c>
      <c r="I163" s="357"/>
      <c r="J163" s="21"/>
      <c r="K163" s="323"/>
      <c r="M163" s="27" t="str">
        <f>_xlfn.XLOOKUP(packes[[#This Row],[productId]],CT[productId],CT[total],"NA")</f>
        <v>NA</v>
      </c>
      <c r="N163" s="20" t="str">
        <f>_xlfn.XLOOKUP(packes[[#This Row],[productId]],bom[Id],bom[ph],"NA")</f>
        <v>4.8ch</v>
      </c>
      <c r="O163" s="20" t="str">
        <f>_xlfn.XLOOKUP(packes[[#This Row],[productId]],bom[Id],bom[erth],"NA")</f>
        <v>-</v>
      </c>
      <c r="P163" s="20" t="str">
        <f>_xlfn.XLOOKUP(packes[[#This Row],[productId]],bom[Id],bom[dbl],"NA")</f>
        <v>-</v>
      </c>
      <c r="Q163" s="20" t="str">
        <f>LEFT(packes[[#This Row],[date]],4)</f>
        <v>1403</v>
      </c>
    </row>
    <row r="164" spans="1:17" s="23" customFormat="1" ht="16.5" x14ac:dyDescent="0.25">
      <c r="A164" s="23">
        <v>162</v>
      </c>
      <c r="B164" s="30" t="s">
        <v>1477</v>
      </c>
      <c r="C164" s="23">
        <v>140010117</v>
      </c>
      <c r="D164" s="23">
        <v>600</v>
      </c>
      <c r="E164" s="27">
        <f>_xlfn.XLOOKUP(packes[[#This Row],[productId]],bom[Id],bom[wgt])</f>
        <v>1</v>
      </c>
      <c r="F164" s="27">
        <f>packes[[#This Row],[num]]*packes[[#This Row],[wtg]]</f>
        <v>600</v>
      </c>
      <c r="G164" s="357"/>
      <c r="H164" s="21">
        <f>packes[[#This Row],[num]]-SUM(packes[[#This Row],[num2]])</f>
        <v>600</v>
      </c>
      <c r="I164" s="357"/>
      <c r="J164" s="21"/>
      <c r="K164" s="323"/>
      <c r="M164" s="27">
        <f>_xlfn.XLOOKUP(packes[[#This Row],[productId]],CT[productId],CT[total],"NA")</f>
        <v>98.295000000000016</v>
      </c>
      <c r="N164" s="20" t="str">
        <f>_xlfn.XLOOKUP(packes[[#This Row],[productId]],bom[Id],bom[ph],"NA")</f>
        <v>nar.p</v>
      </c>
      <c r="O164" s="20" t="str">
        <f>_xlfn.XLOOKUP(packes[[#This Row],[productId]],bom[Id],bom[erth],"NA")</f>
        <v>-</v>
      </c>
      <c r="P164" s="20" t="str">
        <f>_xlfn.XLOOKUP(packes[[#This Row],[productId]],bom[Id],bom[dbl],"NA")</f>
        <v>nar.p</v>
      </c>
      <c r="Q164" s="20" t="str">
        <f>LEFT(packes[[#This Row],[date]],4)</f>
        <v>1403</v>
      </c>
    </row>
    <row r="165" spans="1:17" s="23" customFormat="1" ht="16.5" x14ac:dyDescent="0.25">
      <c r="A165" s="23">
        <v>163</v>
      </c>
      <c r="B165" s="30" t="s">
        <v>1477</v>
      </c>
      <c r="C165" s="23">
        <v>140310007</v>
      </c>
      <c r="D165" s="23">
        <v>600</v>
      </c>
      <c r="E165" s="27">
        <f>_xlfn.XLOOKUP(packes[[#This Row],[productId]],bom[Id],bom[wgt])</f>
        <v>1.1413748378728923</v>
      </c>
      <c r="F165" s="27">
        <f>packes[[#This Row],[num]]*packes[[#This Row],[wtg]]</f>
        <v>684.82490272373536</v>
      </c>
      <c r="G165" s="357"/>
      <c r="H165" s="21">
        <f>packes[[#This Row],[num]]-SUM(packes[[#This Row],[num2]])</f>
        <v>600</v>
      </c>
      <c r="I165" s="357"/>
      <c r="J165" s="21"/>
      <c r="K165" s="323"/>
      <c r="M165" s="27">
        <f>_xlfn.XLOOKUP(packes[[#This Row],[productId]],CT[productId],CT[total],"NA")</f>
        <v>92.484999999999999</v>
      </c>
      <c r="N165" s="20" t="str">
        <f>_xlfn.XLOOKUP(packes[[#This Row],[productId]],bom[Id],bom[ph],"NA")</f>
        <v>-</v>
      </c>
      <c r="O165" s="20" t="str">
        <f>_xlfn.XLOOKUP(packes[[#This Row],[productId]],bom[Id],bom[erth],"NA")</f>
        <v>nut4</v>
      </c>
      <c r="P165" s="20" t="str">
        <f>_xlfn.XLOOKUP(packes[[#This Row],[productId]],bom[Id],bom[dbl],"NA")</f>
        <v>-</v>
      </c>
      <c r="Q165" s="20" t="str">
        <f>LEFT(packes[[#This Row],[date]],4)</f>
        <v>1403</v>
      </c>
    </row>
    <row r="166" spans="1:17" s="23" customFormat="1" ht="16.5" x14ac:dyDescent="0.25">
      <c r="A166" s="23">
        <v>164</v>
      </c>
      <c r="B166" s="30" t="s">
        <v>1510</v>
      </c>
      <c r="C166" s="23">
        <v>140030039</v>
      </c>
      <c r="D166" s="23">
        <v>800</v>
      </c>
      <c r="E166" s="27">
        <f>_xlfn.XLOOKUP(packes[[#This Row],[productId]],bom[Id],bom[wgt])</f>
        <v>1.1413748378728923</v>
      </c>
      <c r="F166" s="27">
        <f>packes[[#This Row],[num]]*packes[[#This Row],[wtg]]</f>
        <v>913.09987029831382</v>
      </c>
      <c r="G166" s="357"/>
      <c r="H166" s="21">
        <f>packes[[#This Row],[num]]-SUM(packes[[#This Row],[num2]])</f>
        <v>800</v>
      </c>
      <c r="I166" s="357"/>
      <c r="J166" s="21"/>
      <c r="K166" s="323"/>
      <c r="M166" s="27">
        <f>_xlfn.XLOOKUP(packes[[#This Row],[productId]],CT[productId],CT[total],"NA")</f>
        <v>92.504999999999995</v>
      </c>
      <c r="N166" s="20" t="str">
        <f>_xlfn.XLOOKUP(packes[[#This Row],[productId]],bom[Id],bom[ph],"NA")</f>
        <v>YH</v>
      </c>
      <c r="O166" s="20" t="str">
        <f>_xlfn.XLOOKUP(packes[[#This Row],[productId]],bom[Id],bom[erth],"NA")</f>
        <v>sun</v>
      </c>
      <c r="P166" s="20" t="str">
        <f>_xlfn.XLOOKUP(packes[[#This Row],[productId]],bom[Id],bom[dbl],"NA")</f>
        <v>-</v>
      </c>
      <c r="Q166" s="20" t="str">
        <f>LEFT(packes[[#This Row],[date]],4)</f>
        <v>1403</v>
      </c>
    </row>
    <row r="167" spans="1:17" s="23" customFormat="1" ht="16.5" x14ac:dyDescent="0.25">
      <c r="A167" s="23">
        <v>165</v>
      </c>
      <c r="B167" s="30" t="s">
        <v>1510</v>
      </c>
      <c r="C167" s="23">
        <v>140030040</v>
      </c>
      <c r="D167" s="23">
        <v>300</v>
      </c>
      <c r="E167" s="27">
        <f>_xlfn.XLOOKUP(packes[[#This Row],[productId]],bom[Id],bom[wgt])</f>
        <v>1.1092487279257708</v>
      </c>
      <c r="F167" s="27">
        <f>packes[[#This Row],[num]]*packes[[#This Row],[wtg]]</f>
        <v>332.77461837773126</v>
      </c>
      <c r="G167" s="357"/>
      <c r="H167" s="21">
        <f>packes[[#This Row],[num]]-SUM(packes[[#This Row],[num2]])</f>
        <v>300</v>
      </c>
      <c r="I167" s="357"/>
      <c r="J167" s="21"/>
      <c r="K167" s="323"/>
      <c r="M167" s="27">
        <f>_xlfn.XLOOKUP(packes[[#This Row],[productId]],CT[productId],CT[total],"NA")</f>
        <v>97.305000000000007</v>
      </c>
      <c r="N167" s="20" t="str">
        <f>_xlfn.XLOOKUP(packes[[#This Row],[productId]],bom[Id],bom[ph],"NA")</f>
        <v>YH</v>
      </c>
      <c r="O167" s="20" t="str">
        <f>_xlfn.XLOOKUP(packes[[#This Row],[productId]],bom[Id],bom[erth],"NA")</f>
        <v>sun</v>
      </c>
      <c r="P167" s="20" t="str">
        <f>_xlfn.XLOOKUP(packes[[#This Row],[productId]],bom[Id],bom[dbl],"NA")</f>
        <v>-</v>
      </c>
      <c r="Q167" s="20" t="str">
        <f>LEFT(packes[[#This Row],[date]],4)</f>
        <v>1403</v>
      </c>
    </row>
    <row r="168" spans="1:17" s="23" customFormat="1" ht="16.5" x14ac:dyDescent="0.25">
      <c r="A168" s="23">
        <v>166</v>
      </c>
      <c r="B168" s="30" t="s">
        <v>1510</v>
      </c>
      <c r="C168" s="23">
        <v>140310012</v>
      </c>
      <c r="D168" s="23">
        <v>960</v>
      </c>
      <c r="E168" s="27">
        <f>_xlfn.XLOOKUP(packes[[#This Row],[productId]],bom[Id],bom[wgt])</f>
        <v>1.4007782101167314</v>
      </c>
      <c r="F168" s="27">
        <f>packes[[#This Row],[num]]*packes[[#This Row],[wtg]]</f>
        <v>1344.7470817120623</v>
      </c>
      <c r="G168" s="357"/>
      <c r="H168" s="21">
        <f>packes[[#This Row],[num]]-SUM(packes[[#This Row],[num2]])</f>
        <v>960</v>
      </c>
      <c r="I168" s="357"/>
      <c r="J168" s="21"/>
      <c r="K168" s="323"/>
      <c r="M168" s="27" t="str">
        <f>_xlfn.XLOOKUP(packes[[#This Row],[productId]],CT[productId],CT[total],"NA")</f>
        <v>NA</v>
      </c>
      <c r="N168" s="20" t="str">
        <f>_xlfn.XLOOKUP(packes[[#This Row],[productId]],bom[Id],bom[ph],"NA")</f>
        <v>4.8ch</v>
      </c>
      <c r="O168" s="20" t="str">
        <f>_xlfn.XLOOKUP(packes[[#This Row],[productId]],bom[Id],bom[erth],"NA")</f>
        <v>-</v>
      </c>
      <c r="P168" s="20" t="str">
        <f>_xlfn.XLOOKUP(packes[[#This Row],[productId]],bom[Id],bom[dbl],"NA")</f>
        <v>-</v>
      </c>
      <c r="Q168" s="20" t="str">
        <f>LEFT(packes[[#This Row],[date]],4)</f>
        <v>1403</v>
      </c>
    </row>
    <row r="169" spans="1:17" s="23" customFormat="1" ht="16.5" x14ac:dyDescent="0.25">
      <c r="A169" s="23">
        <v>167</v>
      </c>
      <c r="B169" s="30" t="s">
        <v>1510</v>
      </c>
      <c r="C169" s="23">
        <v>140010117</v>
      </c>
      <c r="D169" s="23">
        <v>975</v>
      </c>
      <c r="E169" s="27">
        <f>_xlfn.XLOOKUP(packes[[#This Row],[productId]],bom[Id],bom[wgt])</f>
        <v>1</v>
      </c>
      <c r="F169" s="27">
        <f>packes[[#This Row],[num]]*packes[[#This Row],[wtg]]</f>
        <v>975</v>
      </c>
      <c r="G169" s="357"/>
      <c r="H169" s="21">
        <f>packes[[#This Row],[num]]-SUM(packes[[#This Row],[num2]])</f>
        <v>975</v>
      </c>
      <c r="I169" s="357"/>
      <c r="J169" s="21"/>
      <c r="K169" s="323"/>
      <c r="M169" s="27">
        <f>_xlfn.XLOOKUP(packes[[#This Row],[productId]],CT[productId],CT[total],"NA")</f>
        <v>98.295000000000016</v>
      </c>
      <c r="N169" s="20" t="str">
        <f>_xlfn.XLOOKUP(packes[[#This Row],[productId]],bom[Id],bom[ph],"NA")</f>
        <v>nar.p</v>
      </c>
      <c r="O169" s="20" t="str">
        <f>_xlfn.XLOOKUP(packes[[#This Row],[productId]],bom[Id],bom[erth],"NA")</f>
        <v>-</v>
      </c>
      <c r="P169" s="20" t="str">
        <f>_xlfn.XLOOKUP(packes[[#This Row],[productId]],bom[Id],bom[dbl],"NA")</f>
        <v>nar.p</v>
      </c>
      <c r="Q169" s="20" t="str">
        <f>LEFT(packes[[#This Row],[date]],4)</f>
        <v>1403</v>
      </c>
    </row>
    <row r="170" spans="1:17" s="23" customFormat="1" ht="16.5" x14ac:dyDescent="0.25">
      <c r="A170" s="23">
        <v>168</v>
      </c>
      <c r="B170" s="30" t="s">
        <v>1478</v>
      </c>
      <c r="C170" s="23">
        <v>140550019</v>
      </c>
      <c r="D170" s="23">
        <v>1600</v>
      </c>
      <c r="E170" s="27">
        <f>_xlfn.XLOOKUP(packes[[#This Row],[productId]],bom[Id],bom[wgt])</f>
        <v>2.6938042502244834</v>
      </c>
      <c r="F170" s="27">
        <f>packes[[#This Row],[num]]*packes[[#This Row],[wtg]]</f>
        <v>4310.0868003591731</v>
      </c>
      <c r="G170" s="357"/>
      <c r="H170" s="21">
        <f>packes[[#This Row],[num]]-SUM(packes[[#This Row],[num2]])</f>
        <v>1600</v>
      </c>
      <c r="I170" s="357"/>
      <c r="J170" s="21"/>
      <c r="K170" s="323"/>
      <c r="M170" s="27">
        <f>_xlfn.XLOOKUP(packes[[#This Row],[productId]],CT[productId],CT[total],"NA")</f>
        <v>211.66499999999999</v>
      </c>
      <c r="N170" s="20" t="str">
        <f>_xlfn.XLOOKUP(packes[[#This Row],[productId]],bom[Id],bom[ph],"NA")</f>
        <v>6.3ch</v>
      </c>
      <c r="O170" s="20" t="str">
        <f>_xlfn.XLOOKUP(packes[[#This Row],[productId]],bom[Id],bom[erth],"NA")</f>
        <v>nut4</v>
      </c>
      <c r="P170" s="20" t="str">
        <f>_xlfn.XLOOKUP(packes[[#This Row],[productId]],bom[Id],bom[dbl],"NA")</f>
        <v>-</v>
      </c>
      <c r="Q170" s="20" t="str">
        <f>LEFT(packes[[#This Row],[date]],4)</f>
        <v>1403</v>
      </c>
    </row>
    <row r="171" spans="1:17" s="23" customFormat="1" ht="16.5" x14ac:dyDescent="0.25">
      <c r="A171" s="23">
        <v>169</v>
      </c>
      <c r="B171" s="30" t="s">
        <v>1478</v>
      </c>
      <c r="C171" s="23">
        <v>140310012</v>
      </c>
      <c r="D171" s="23">
        <v>920</v>
      </c>
      <c r="E171" s="27">
        <f>_xlfn.XLOOKUP(packes[[#This Row],[productId]],bom[Id],bom[wgt])</f>
        <v>1.4007782101167314</v>
      </c>
      <c r="F171" s="27">
        <f>packes[[#This Row],[num]]*packes[[#This Row],[wtg]]</f>
        <v>1288.715953307393</v>
      </c>
      <c r="G171" s="357"/>
      <c r="H171" s="21">
        <f>packes[[#This Row],[num]]-SUM(packes[[#This Row],[num2]])</f>
        <v>920</v>
      </c>
      <c r="I171" s="357"/>
      <c r="J171" s="21"/>
      <c r="K171" s="323"/>
      <c r="M171" s="27" t="str">
        <f>_xlfn.XLOOKUP(packes[[#This Row],[productId]],CT[productId],CT[total],"NA")</f>
        <v>NA</v>
      </c>
      <c r="N171" s="20" t="str">
        <f>_xlfn.XLOOKUP(packes[[#This Row],[productId]],bom[Id],bom[ph],"NA")</f>
        <v>4.8ch</v>
      </c>
      <c r="O171" s="20" t="str">
        <f>_xlfn.XLOOKUP(packes[[#This Row],[productId]],bom[Id],bom[erth],"NA")</f>
        <v>-</v>
      </c>
      <c r="P171" s="20" t="str">
        <f>_xlfn.XLOOKUP(packes[[#This Row],[productId]],bom[Id],bom[dbl],"NA")</f>
        <v>-</v>
      </c>
      <c r="Q171" s="20" t="str">
        <f>LEFT(packes[[#This Row],[date]],4)</f>
        <v>1403</v>
      </c>
    </row>
    <row r="172" spans="1:17" s="23" customFormat="1" ht="16.5" x14ac:dyDescent="0.25">
      <c r="A172" s="23">
        <v>170</v>
      </c>
      <c r="B172" s="30" t="s">
        <v>1478</v>
      </c>
      <c r="C172" s="23">
        <v>140010117</v>
      </c>
      <c r="D172" s="23">
        <v>1050</v>
      </c>
      <c r="E172" s="27">
        <f>_xlfn.XLOOKUP(packes[[#This Row],[productId]],bom[Id],bom[wgt])</f>
        <v>1</v>
      </c>
      <c r="F172" s="27">
        <f>packes[[#This Row],[num]]*packes[[#This Row],[wtg]]</f>
        <v>1050</v>
      </c>
      <c r="G172" s="357"/>
      <c r="H172" s="21">
        <f>packes[[#This Row],[num]]-SUM(packes[[#This Row],[num2]])</f>
        <v>1050</v>
      </c>
      <c r="I172" s="357"/>
      <c r="J172" s="21"/>
      <c r="K172" s="323"/>
      <c r="M172" s="27">
        <f>_xlfn.XLOOKUP(packes[[#This Row],[productId]],CT[productId],CT[total],"NA")</f>
        <v>98.295000000000016</v>
      </c>
      <c r="N172" s="20" t="str">
        <f>_xlfn.XLOOKUP(packes[[#This Row],[productId]],bom[Id],bom[ph],"NA")</f>
        <v>nar.p</v>
      </c>
      <c r="O172" s="20" t="str">
        <f>_xlfn.XLOOKUP(packes[[#This Row],[productId]],bom[Id],bom[erth],"NA")</f>
        <v>-</v>
      </c>
      <c r="P172" s="20" t="str">
        <f>_xlfn.XLOOKUP(packes[[#This Row],[productId]],bom[Id],bom[dbl],"NA")</f>
        <v>nar.p</v>
      </c>
      <c r="Q172" s="20" t="str">
        <f>LEFT(packes[[#This Row],[date]],4)</f>
        <v>1403</v>
      </c>
    </row>
    <row r="173" spans="1:17" s="23" customFormat="1" ht="16.5" x14ac:dyDescent="0.25">
      <c r="A173" s="23">
        <v>171</v>
      </c>
      <c r="B173" s="30" t="s">
        <v>1478</v>
      </c>
      <c r="C173" s="23">
        <v>140310007</v>
      </c>
      <c r="D173" s="23">
        <v>1500</v>
      </c>
      <c r="E173" s="27">
        <f>_xlfn.XLOOKUP(packes[[#This Row],[productId]],bom[Id],bom[wgt])</f>
        <v>1.1413748378728923</v>
      </c>
      <c r="F173" s="27">
        <f>packes[[#This Row],[num]]*packes[[#This Row],[wtg]]</f>
        <v>1712.0622568093384</v>
      </c>
      <c r="G173" s="357"/>
      <c r="H173" s="21">
        <f>packes[[#This Row],[num]]-SUM(packes[[#This Row],[num2]])</f>
        <v>1500</v>
      </c>
      <c r="I173" s="357"/>
      <c r="J173" s="21"/>
      <c r="K173" s="323"/>
      <c r="M173" s="27">
        <f>_xlfn.XLOOKUP(packes[[#This Row],[productId]],CT[productId],CT[total],"NA")</f>
        <v>92.484999999999999</v>
      </c>
      <c r="N173" s="20" t="str">
        <f>_xlfn.XLOOKUP(packes[[#This Row],[productId]],bom[Id],bom[ph],"NA")</f>
        <v>-</v>
      </c>
      <c r="O173" s="20" t="str">
        <f>_xlfn.XLOOKUP(packes[[#This Row],[productId]],bom[Id],bom[erth],"NA")</f>
        <v>nut4</v>
      </c>
      <c r="P173" s="20" t="str">
        <f>_xlfn.XLOOKUP(packes[[#This Row],[productId]],bom[Id],bom[dbl],"NA")</f>
        <v>-</v>
      </c>
      <c r="Q173" s="20" t="str">
        <f>LEFT(packes[[#This Row],[date]],4)</f>
        <v>1403</v>
      </c>
    </row>
    <row r="174" spans="1:17" s="23" customFormat="1" ht="16.5" x14ac:dyDescent="0.25">
      <c r="A174" s="23">
        <v>172</v>
      </c>
      <c r="B174" s="30" t="s">
        <v>1479</v>
      </c>
      <c r="C174" s="23">
        <v>140550019</v>
      </c>
      <c r="D174" s="23">
        <v>1400</v>
      </c>
      <c r="E174" s="27">
        <f>_xlfn.XLOOKUP(packes[[#This Row],[productId]],bom[Id],bom[wgt])</f>
        <v>2.6938042502244834</v>
      </c>
      <c r="F174" s="27">
        <f>packes[[#This Row],[num]]*packes[[#This Row],[wtg]]</f>
        <v>3771.3259503142767</v>
      </c>
      <c r="G174" s="357"/>
      <c r="H174" s="21">
        <f>packes[[#This Row],[num]]-SUM(packes[[#This Row],[num2]])</f>
        <v>1400</v>
      </c>
      <c r="I174" s="357"/>
      <c r="J174" s="21"/>
      <c r="K174" s="323"/>
      <c r="M174" s="27">
        <f>_xlfn.XLOOKUP(packes[[#This Row],[productId]],CT[productId],CT[total],"NA")</f>
        <v>211.66499999999999</v>
      </c>
      <c r="N174" s="20" t="str">
        <f>_xlfn.XLOOKUP(packes[[#This Row],[productId]],bom[Id],bom[ph],"NA")</f>
        <v>6.3ch</v>
      </c>
      <c r="O174" s="20" t="str">
        <f>_xlfn.XLOOKUP(packes[[#This Row],[productId]],bom[Id],bom[erth],"NA")</f>
        <v>nut4</v>
      </c>
      <c r="P174" s="20" t="str">
        <f>_xlfn.XLOOKUP(packes[[#This Row],[productId]],bom[Id],bom[dbl],"NA")</f>
        <v>-</v>
      </c>
      <c r="Q174" s="20" t="str">
        <f>LEFT(packes[[#This Row],[date]],4)</f>
        <v>1403</v>
      </c>
    </row>
    <row r="175" spans="1:17" s="23" customFormat="1" ht="16.5" x14ac:dyDescent="0.25">
      <c r="A175" s="23">
        <v>173</v>
      </c>
      <c r="B175" s="30" t="s">
        <v>1479</v>
      </c>
      <c r="C175" s="23">
        <v>140310083</v>
      </c>
      <c r="D175" s="23">
        <v>1100</v>
      </c>
      <c r="E175" s="27">
        <f>_xlfn.XLOOKUP(packes[[#This Row],[productId]],bom[Id],bom[wgt])</f>
        <v>1.3369250723336326</v>
      </c>
      <c r="F175" s="27">
        <f>packes[[#This Row],[num]]*packes[[#This Row],[wtg]]</f>
        <v>1470.6175795669958</v>
      </c>
      <c r="G175" s="357"/>
      <c r="H175" s="21">
        <f>packes[[#This Row],[num]]-SUM(packes[[#This Row],[num2]])</f>
        <v>1100</v>
      </c>
      <c r="I175" s="357"/>
      <c r="J175" s="21"/>
      <c r="K175" s="323"/>
      <c r="M175" s="27">
        <f>_xlfn.XLOOKUP(packes[[#This Row],[productId]],CT[productId],CT[total],"NA")</f>
        <v>135.23500000000001</v>
      </c>
      <c r="N175" s="20" t="str">
        <f>_xlfn.XLOOKUP(packes[[#This Row],[productId]],bom[Id],bom[ph],"NA")</f>
        <v>6.3flat</v>
      </c>
      <c r="O175" s="20" t="str">
        <f>_xlfn.XLOOKUP(packes[[#This Row],[productId]],bom[Id],bom[erth],"NA")</f>
        <v>6.3flat</v>
      </c>
      <c r="P175" s="20" t="str">
        <f>_xlfn.XLOOKUP(packes[[#This Row],[productId]],bom[Id],bom[dbl],"NA")</f>
        <v>-</v>
      </c>
      <c r="Q175" s="20" t="str">
        <f>LEFT(packes[[#This Row],[date]],4)</f>
        <v>1403</v>
      </c>
    </row>
    <row r="176" spans="1:17" s="23" customFormat="1" ht="16.5" x14ac:dyDescent="0.25">
      <c r="A176" s="23">
        <v>174</v>
      </c>
      <c r="B176" s="30" t="s">
        <v>1479</v>
      </c>
      <c r="C176" s="23">
        <v>140310007</v>
      </c>
      <c r="D176" s="23">
        <v>1000</v>
      </c>
      <c r="E176" s="27">
        <f>_xlfn.XLOOKUP(packes[[#This Row],[productId]],bom[Id],bom[wgt])</f>
        <v>1.1413748378728923</v>
      </c>
      <c r="F176" s="27">
        <f>packes[[#This Row],[num]]*packes[[#This Row],[wtg]]</f>
        <v>1141.3748378728924</v>
      </c>
      <c r="G176" s="357"/>
      <c r="H176" s="21">
        <f>packes[[#This Row],[num]]-SUM(packes[[#This Row],[num2]])</f>
        <v>1000</v>
      </c>
      <c r="I176" s="357"/>
      <c r="J176" s="21"/>
      <c r="K176" s="323"/>
      <c r="M176" s="27">
        <f>_xlfn.XLOOKUP(packes[[#This Row],[productId]],CT[productId],CT[total],"NA")</f>
        <v>92.484999999999999</v>
      </c>
      <c r="N176" s="20" t="str">
        <f>_xlfn.XLOOKUP(packes[[#This Row],[productId]],bom[Id],bom[ph],"NA")</f>
        <v>-</v>
      </c>
      <c r="O176" s="20" t="str">
        <f>_xlfn.XLOOKUP(packes[[#This Row],[productId]],bom[Id],bom[erth],"NA")</f>
        <v>nut4</v>
      </c>
      <c r="P176" s="20" t="str">
        <f>_xlfn.XLOOKUP(packes[[#This Row],[productId]],bom[Id],bom[dbl],"NA")</f>
        <v>-</v>
      </c>
      <c r="Q176" s="20" t="str">
        <f>LEFT(packes[[#This Row],[date]],4)</f>
        <v>1403</v>
      </c>
    </row>
    <row r="177" spans="1:17" s="23" customFormat="1" ht="16.5" x14ac:dyDescent="0.25">
      <c r="A177" s="23">
        <v>175</v>
      </c>
      <c r="B177" s="30" t="s">
        <v>1480</v>
      </c>
      <c r="C177" s="23">
        <v>140550019</v>
      </c>
      <c r="D177" s="23">
        <v>800</v>
      </c>
      <c r="E177" s="27">
        <f>_xlfn.XLOOKUP(packes[[#This Row],[productId]],bom[Id],bom[wgt])</f>
        <v>2.6938042502244834</v>
      </c>
      <c r="F177" s="27">
        <f>packes[[#This Row],[num]]*packes[[#This Row],[wtg]]</f>
        <v>2155.0434001795866</v>
      </c>
      <c r="G177" s="357"/>
      <c r="H177" s="21">
        <f>packes[[#This Row],[num]]-SUM(packes[[#This Row],[num2]])</f>
        <v>800</v>
      </c>
      <c r="I177" s="357"/>
      <c r="J177" s="21"/>
      <c r="K177" s="323"/>
      <c r="M177" s="27">
        <f>_xlfn.XLOOKUP(packes[[#This Row],[productId]],CT[productId],CT[total],"NA")</f>
        <v>211.66499999999999</v>
      </c>
      <c r="N177" s="20" t="str">
        <f>_xlfn.XLOOKUP(packes[[#This Row],[productId]],bom[Id],bom[ph],"NA")</f>
        <v>6.3ch</v>
      </c>
      <c r="O177" s="20" t="str">
        <f>_xlfn.XLOOKUP(packes[[#This Row],[productId]],bom[Id],bom[erth],"NA")</f>
        <v>nut4</v>
      </c>
      <c r="P177" s="20" t="str">
        <f>_xlfn.XLOOKUP(packes[[#This Row],[productId]],bom[Id],bom[dbl],"NA")</f>
        <v>-</v>
      </c>
      <c r="Q177" s="20" t="str">
        <f>LEFT(packes[[#This Row],[date]],4)</f>
        <v>1403</v>
      </c>
    </row>
    <row r="178" spans="1:17" s="23" customFormat="1" ht="16.5" x14ac:dyDescent="0.25">
      <c r="A178" s="23">
        <v>176</v>
      </c>
      <c r="B178" s="30" t="s">
        <v>1480</v>
      </c>
      <c r="C178" s="23">
        <v>140310083</v>
      </c>
      <c r="D178" s="23">
        <v>1700</v>
      </c>
      <c r="E178" s="27">
        <f>_xlfn.XLOOKUP(packes[[#This Row],[productId]],bom[Id],bom[wgt])</f>
        <v>1.3369250723336326</v>
      </c>
      <c r="F178" s="27">
        <f>packes[[#This Row],[num]]*packes[[#This Row],[wtg]]</f>
        <v>2272.7726229671753</v>
      </c>
      <c r="G178" s="357"/>
      <c r="H178" s="21">
        <f>packes[[#This Row],[num]]-SUM(packes[[#This Row],[num2]])</f>
        <v>1700</v>
      </c>
      <c r="I178" s="357"/>
      <c r="J178" s="21"/>
      <c r="K178" s="323"/>
      <c r="M178" s="27">
        <f>_xlfn.XLOOKUP(packes[[#This Row],[productId]],CT[productId],CT[total],"NA")</f>
        <v>135.23500000000001</v>
      </c>
      <c r="N178" s="20" t="str">
        <f>_xlfn.XLOOKUP(packes[[#This Row],[productId]],bom[Id],bom[ph],"NA")</f>
        <v>6.3flat</v>
      </c>
      <c r="O178" s="20" t="str">
        <f>_xlfn.XLOOKUP(packes[[#This Row],[productId]],bom[Id],bom[erth],"NA")</f>
        <v>6.3flat</v>
      </c>
      <c r="P178" s="20" t="str">
        <f>_xlfn.XLOOKUP(packes[[#This Row],[productId]],bom[Id],bom[dbl],"NA")</f>
        <v>-</v>
      </c>
      <c r="Q178" s="20" t="str">
        <f>LEFT(packes[[#This Row],[date]],4)</f>
        <v>1403</v>
      </c>
    </row>
    <row r="179" spans="1:17" s="23" customFormat="1" ht="16.5" x14ac:dyDescent="0.25">
      <c r="A179" s="23">
        <v>177</v>
      </c>
      <c r="B179" s="30" t="s">
        <v>1480</v>
      </c>
      <c r="C179" s="23">
        <v>140030039</v>
      </c>
      <c r="D179" s="23">
        <v>100</v>
      </c>
      <c r="E179" s="27">
        <f>_xlfn.XLOOKUP(packes[[#This Row],[productId]],bom[Id],bom[wgt])</f>
        <v>1.1413748378728923</v>
      </c>
      <c r="F179" s="27">
        <f>packes[[#This Row],[num]]*packes[[#This Row],[wtg]]</f>
        <v>114.13748378728923</v>
      </c>
      <c r="G179" s="357"/>
      <c r="H179" s="21">
        <f>packes[[#This Row],[num]]-SUM(packes[[#This Row],[num2]])</f>
        <v>100</v>
      </c>
      <c r="I179" s="357"/>
      <c r="J179" s="21"/>
      <c r="K179" s="323"/>
      <c r="M179" s="27">
        <f>_xlfn.XLOOKUP(packes[[#This Row],[productId]],CT[productId],CT[total],"NA")</f>
        <v>92.504999999999995</v>
      </c>
      <c r="N179" s="20" t="str">
        <f>_xlfn.XLOOKUP(packes[[#This Row],[productId]],bom[Id],bom[ph],"NA")</f>
        <v>YH</v>
      </c>
      <c r="O179" s="20" t="str">
        <f>_xlfn.XLOOKUP(packes[[#This Row],[productId]],bom[Id],bom[erth],"NA")</f>
        <v>sun</v>
      </c>
      <c r="P179" s="20" t="str">
        <f>_xlfn.XLOOKUP(packes[[#This Row],[productId]],bom[Id],bom[dbl],"NA")</f>
        <v>-</v>
      </c>
      <c r="Q179" s="20" t="str">
        <f>LEFT(packes[[#This Row],[date]],4)</f>
        <v>1403</v>
      </c>
    </row>
    <row r="180" spans="1:17" s="23" customFormat="1" ht="16.5" x14ac:dyDescent="0.25">
      <c r="A180" s="23">
        <v>178</v>
      </c>
      <c r="B180" s="30" t="s">
        <v>1480</v>
      </c>
      <c r="C180" s="23">
        <v>140030040</v>
      </c>
      <c r="D180" s="23">
        <v>100</v>
      </c>
      <c r="E180" s="27">
        <f>_xlfn.XLOOKUP(packes[[#This Row],[productId]],bom[Id],bom[wgt])</f>
        <v>1.1092487279257708</v>
      </c>
      <c r="F180" s="27">
        <f>packes[[#This Row],[num]]*packes[[#This Row],[wtg]]</f>
        <v>110.92487279257708</v>
      </c>
      <c r="G180" s="357"/>
      <c r="H180" s="21">
        <f>packes[[#This Row],[num]]-SUM(packes[[#This Row],[num2]])</f>
        <v>100</v>
      </c>
      <c r="I180" s="357"/>
      <c r="J180" s="21"/>
      <c r="K180" s="323"/>
      <c r="M180" s="27">
        <f>_xlfn.XLOOKUP(packes[[#This Row],[productId]],CT[productId],CT[total],"NA")</f>
        <v>97.305000000000007</v>
      </c>
      <c r="N180" s="20" t="str">
        <f>_xlfn.XLOOKUP(packes[[#This Row],[productId]],bom[Id],bom[ph],"NA")</f>
        <v>YH</v>
      </c>
      <c r="O180" s="20" t="str">
        <f>_xlfn.XLOOKUP(packes[[#This Row],[productId]],bom[Id],bom[erth],"NA")</f>
        <v>sun</v>
      </c>
      <c r="P180" s="20" t="str">
        <f>_xlfn.XLOOKUP(packes[[#This Row],[productId]],bom[Id],bom[dbl],"NA")</f>
        <v>-</v>
      </c>
      <c r="Q180" s="20" t="str">
        <f>LEFT(packes[[#This Row],[date]],4)</f>
        <v>1403</v>
      </c>
    </row>
    <row r="181" spans="1:17" s="23" customFormat="1" ht="16.5" x14ac:dyDescent="0.25">
      <c r="A181" s="23">
        <v>179</v>
      </c>
      <c r="B181" s="30" t="s">
        <v>1480</v>
      </c>
      <c r="C181" s="23">
        <v>140550060</v>
      </c>
      <c r="D181" s="23">
        <v>1500</v>
      </c>
      <c r="E181" s="27">
        <f>_xlfn.XLOOKUP(packes[[#This Row],[productId]],bom[Id],bom[wgt])</f>
        <v>1.1972463334331038</v>
      </c>
      <c r="F181" s="27">
        <f>packes[[#This Row],[num]]*packes[[#This Row],[wtg]]</f>
        <v>1795.8695001496558</v>
      </c>
      <c r="G181" s="357"/>
      <c r="H181" s="21">
        <f>packes[[#This Row],[num]]-SUM(packes[[#This Row],[num2]])</f>
        <v>1500</v>
      </c>
      <c r="I181" s="357"/>
      <c r="J181" s="21"/>
      <c r="K181" s="323"/>
      <c r="M181" s="27">
        <f>_xlfn.XLOOKUP(packes[[#This Row],[productId]],CT[productId],CT[total],"NA")</f>
        <v>81.220000000000013</v>
      </c>
      <c r="N181" s="20" t="str">
        <f>_xlfn.XLOOKUP(packes[[#This Row],[productId]],bom[Id],bom[ph],"NA")</f>
        <v>radio</v>
      </c>
      <c r="O181" s="20" t="str">
        <f>_xlfn.XLOOKUP(packes[[#This Row],[productId]],bom[Id],bom[erth],"NA")</f>
        <v>-</v>
      </c>
      <c r="P181" s="20" t="str">
        <f>_xlfn.XLOOKUP(packes[[#This Row],[productId]],bom[Id],bom[dbl],"NA")</f>
        <v>-</v>
      </c>
      <c r="Q181" s="20" t="str">
        <f>LEFT(packes[[#This Row],[date]],4)</f>
        <v>1403</v>
      </c>
    </row>
    <row r="182" spans="1:17" s="23" customFormat="1" ht="16.5" x14ac:dyDescent="0.25">
      <c r="A182" s="23">
        <v>180</v>
      </c>
      <c r="B182" s="30" t="s">
        <v>1480</v>
      </c>
      <c r="C182" s="23">
        <v>140310031</v>
      </c>
      <c r="D182" s="23">
        <v>800</v>
      </c>
      <c r="E182" s="27">
        <f>_xlfn.XLOOKUP(packes[[#This Row],[productId]],bom[Id],bom[wgt])</f>
        <v>1.9455252918287937</v>
      </c>
      <c r="F182" s="27">
        <f>packes[[#This Row],[num]]*packes[[#This Row],[wtg]]</f>
        <v>1556.4202334630349</v>
      </c>
      <c r="G182" s="357"/>
      <c r="H182" s="21">
        <f>packes[[#This Row],[num]]-SUM(packes[[#This Row],[num2]])</f>
        <v>800</v>
      </c>
      <c r="I182" s="357"/>
      <c r="J182" s="21"/>
      <c r="K182" s="323"/>
      <c r="M182" s="27">
        <f>_xlfn.XLOOKUP(packes[[#This Row],[productId]],CT[productId],CT[total],"NA")</f>
        <v>202.96500000000003</v>
      </c>
      <c r="N182" s="20">
        <f>_xlfn.XLOOKUP(packes[[#This Row],[productId]],bom[Id],bom[ph],"NA")</f>
        <v>461</v>
      </c>
      <c r="O182" s="20" t="str">
        <f>_xlfn.XLOOKUP(packes[[#This Row],[productId]],bom[Id],bom[erth],"NA")</f>
        <v>nut4</v>
      </c>
      <c r="P182" s="20" t="str">
        <f>_xlfn.XLOOKUP(packes[[#This Row],[productId]],bom[Id],bom[dbl],"NA")</f>
        <v>-</v>
      </c>
      <c r="Q182" s="20" t="str">
        <f>LEFT(packes[[#This Row],[date]],4)</f>
        <v>1403</v>
      </c>
    </row>
    <row r="183" spans="1:17" s="23" customFormat="1" ht="16.5" x14ac:dyDescent="0.25">
      <c r="A183" s="23">
        <v>181</v>
      </c>
      <c r="B183" s="30" t="s">
        <v>1480</v>
      </c>
      <c r="C183" s="23">
        <v>140310007</v>
      </c>
      <c r="D183" s="23">
        <v>300</v>
      </c>
      <c r="E183" s="27">
        <f>_xlfn.XLOOKUP(packes[[#This Row],[productId]],bom[Id],bom[wgt])</f>
        <v>1.1413748378728923</v>
      </c>
      <c r="F183" s="27">
        <f>packes[[#This Row],[num]]*packes[[#This Row],[wtg]]</f>
        <v>342.41245136186768</v>
      </c>
      <c r="G183" s="357"/>
      <c r="H183" s="21">
        <f>packes[[#This Row],[num]]-SUM(packes[[#This Row],[num2]])</f>
        <v>300</v>
      </c>
      <c r="I183" s="357"/>
      <c r="J183" s="21"/>
      <c r="K183" s="323"/>
      <c r="M183" s="27">
        <f>_xlfn.XLOOKUP(packes[[#This Row],[productId]],CT[productId],CT[total],"NA")</f>
        <v>92.484999999999999</v>
      </c>
      <c r="N183" s="20" t="str">
        <f>_xlfn.XLOOKUP(packes[[#This Row],[productId]],bom[Id],bom[ph],"NA")</f>
        <v>-</v>
      </c>
      <c r="O183" s="20" t="str">
        <f>_xlfn.XLOOKUP(packes[[#This Row],[productId]],bom[Id],bom[erth],"NA")</f>
        <v>nut4</v>
      </c>
      <c r="P183" s="20" t="str">
        <f>_xlfn.XLOOKUP(packes[[#This Row],[productId]],bom[Id],bom[dbl],"NA")</f>
        <v>-</v>
      </c>
      <c r="Q183" s="20" t="str">
        <f>LEFT(packes[[#This Row],[date]],4)</f>
        <v>1403</v>
      </c>
    </row>
    <row r="184" spans="1:17" s="23" customFormat="1" ht="16.5" x14ac:dyDescent="0.25">
      <c r="A184" s="23">
        <v>182</v>
      </c>
      <c r="B184" s="30" t="s">
        <v>1481</v>
      </c>
      <c r="C184" s="23">
        <v>140550019</v>
      </c>
      <c r="D184" s="23">
        <v>500</v>
      </c>
      <c r="E184" s="27">
        <f>_xlfn.XLOOKUP(packes[[#This Row],[productId]],bom[Id],bom[wgt])</f>
        <v>2.6938042502244834</v>
      </c>
      <c r="F184" s="27">
        <f>packes[[#This Row],[num]]*packes[[#This Row],[wtg]]</f>
        <v>1346.9021251122417</v>
      </c>
      <c r="G184" s="357"/>
      <c r="H184" s="21">
        <f>packes[[#This Row],[num]]-SUM(packes[[#This Row],[num2]])</f>
        <v>500</v>
      </c>
      <c r="I184" s="357"/>
      <c r="J184" s="21"/>
      <c r="K184" s="323"/>
      <c r="M184" s="27">
        <f>_xlfn.XLOOKUP(packes[[#This Row],[productId]],CT[productId],CT[total],"NA")</f>
        <v>211.66499999999999</v>
      </c>
      <c r="N184" s="20" t="str">
        <f>_xlfn.XLOOKUP(packes[[#This Row],[productId]],bom[Id],bom[ph],"NA")</f>
        <v>6.3ch</v>
      </c>
      <c r="O184" s="20" t="str">
        <f>_xlfn.XLOOKUP(packes[[#This Row],[productId]],bom[Id],bom[erth],"NA")</f>
        <v>nut4</v>
      </c>
      <c r="P184" s="20" t="str">
        <f>_xlfn.XLOOKUP(packes[[#This Row],[productId]],bom[Id],bom[dbl],"NA")</f>
        <v>-</v>
      </c>
      <c r="Q184" s="20" t="str">
        <f>LEFT(packes[[#This Row],[date]],4)</f>
        <v>1403</v>
      </c>
    </row>
    <row r="185" spans="1:17" s="23" customFormat="1" ht="16.5" x14ac:dyDescent="0.25">
      <c r="A185" s="23">
        <v>183</v>
      </c>
      <c r="B185" s="30" t="s">
        <v>1481</v>
      </c>
      <c r="C185" s="23">
        <v>140310071</v>
      </c>
      <c r="D185" s="23">
        <v>1800</v>
      </c>
      <c r="E185" s="27">
        <f>_xlfn.XLOOKUP(packes[[#This Row],[productId]],bom[Id],bom[wgt])</f>
        <v>1.3</v>
      </c>
      <c r="F185" s="27">
        <f>packes[[#This Row],[num]]*packes[[#This Row],[wtg]]</f>
        <v>2340</v>
      </c>
      <c r="G185" s="357"/>
      <c r="H185" s="21">
        <f>packes[[#This Row],[num]]-SUM(packes[[#This Row],[num2]])</f>
        <v>1800</v>
      </c>
      <c r="I185" s="357"/>
      <c r="J185" s="21"/>
      <c r="K185" s="323"/>
      <c r="M185" s="27">
        <f>_xlfn.XLOOKUP(packes[[#This Row],[productId]],CT[productId],CT[total],"NA")</f>
        <v>130.69500000000002</v>
      </c>
      <c r="N185" s="20" t="str">
        <f>_xlfn.XLOOKUP(packes[[#This Row],[productId]],bom[Id],bom[ph],"NA")</f>
        <v>6.3ch</v>
      </c>
      <c r="O185" s="20" t="str">
        <f>_xlfn.XLOOKUP(packes[[#This Row],[productId]],bom[Id],bom[erth],"NA")</f>
        <v>6.3k</v>
      </c>
      <c r="P185" s="20" t="str">
        <f>_xlfn.XLOOKUP(packes[[#This Row],[productId]],bom[Id],bom[dbl],"NA")</f>
        <v>-</v>
      </c>
      <c r="Q185" s="20" t="str">
        <f>LEFT(packes[[#This Row],[date]],4)</f>
        <v>1403</v>
      </c>
    </row>
    <row r="186" spans="1:17" s="23" customFormat="1" ht="16.5" x14ac:dyDescent="0.25">
      <c r="A186" s="23">
        <v>184</v>
      </c>
      <c r="B186" s="30" t="s">
        <v>1481</v>
      </c>
      <c r="C186" s="23">
        <v>140310083</v>
      </c>
      <c r="D186" s="23">
        <v>200</v>
      </c>
      <c r="E186" s="27">
        <f>_xlfn.XLOOKUP(packes[[#This Row],[productId]],bom[Id],bom[wgt])</f>
        <v>1.3369250723336326</v>
      </c>
      <c r="F186" s="27">
        <f>packes[[#This Row],[num]]*packes[[#This Row],[wtg]]</f>
        <v>267.38501446672649</v>
      </c>
      <c r="G186" s="357"/>
      <c r="H186" s="21">
        <f>packes[[#This Row],[num]]-SUM(packes[[#This Row],[num2]])</f>
        <v>200</v>
      </c>
      <c r="I186" s="357"/>
      <c r="J186" s="21"/>
      <c r="K186" s="323"/>
      <c r="M186" s="27">
        <f>_xlfn.XLOOKUP(packes[[#This Row],[productId]],CT[productId],CT[total],"NA")</f>
        <v>135.23500000000001</v>
      </c>
      <c r="N186" s="20" t="str">
        <f>_xlfn.XLOOKUP(packes[[#This Row],[productId]],bom[Id],bom[ph],"NA")</f>
        <v>6.3flat</v>
      </c>
      <c r="O186" s="20" t="str">
        <f>_xlfn.XLOOKUP(packes[[#This Row],[productId]],bom[Id],bom[erth],"NA")</f>
        <v>6.3flat</v>
      </c>
      <c r="P186" s="20" t="str">
        <f>_xlfn.XLOOKUP(packes[[#This Row],[productId]],bom[Id],bom[dbl],"NA")</f>
        <v>-</v>
      </c>
      <c r="Q186" s="20" t="str">
        <f>LEFT(packes[[#This Row],[date]],4)</f>
        <v>1403</v>
      </c>
    </row>
    <row r="187" spans="1:17" s="23" customFormat="1" ht="16.5" x14ac:dyDescent="0.25">
      <c r="A187" s="23">
        <v>185</v>
      </c>
      <c r="B187" s="30" t="s">
        <v>1481</v>
      </c>
      <c r="C187" s="23">
        <v>140550060</v>
      </c>
      <c r="D187" s="23">
        <v>2200</v>
      </c>
      <c r="E187" s="27">
        <f>_xlfn.XLOOKUP(packes[[#This Row],[productId]],bom[Id],bom[wgt])</f>
        <v>1.1972463334331038</v>
      </c>
      <c r="F187" s="27">
        <f>packes[[#This Row],[num]]*packes[[#This Row],[wtg]]</f>
        <v>2633.9419335528282</v>
      </c>
      <c r="G187" s="357"/>
      <c r="H187" s="21">
        <f>packes[[#This Row],[num]]-SUM(packes[[#This Row],[num2]])</f>
        <v>2200</v>
      </c>
      <c r="I187" s="357"/>
      <c r="J187" s="21"/>
      <c r="K187" s="323"/>
      <c r="M187" s="27">
        <f>_xlfn.XLOOKUP(packes[[#This Row],[productId]],CT[productId],CT[total],"NA")</f>
        <v>81.220000000000013</v>
      </c>
      <c r="N187" s="20" t="str">
        <f>_xlfn.XLOOKUP(packes[[#This Row],[productId]],bom[Id],bom[ph],"NA")</f>
        <v>radio</v>
      </c>
      <c r="O187" s="20" t="str">
        <f>_xlfn.XLOOKUP(packes[[#This Row],[productId]],bom[Id],bom[erth],"NA")</f>
        <v>-</v>
      </c>
      <c r="P187" s="20" t="str">
        <f>_xlfn.XLOOKUP(packes[[#This Row],[productId]],bom[Id],bom[dbl],"NA")</f>
        <v>-</v>
      </c>
      <c r="Q187" s="20" t="str">
        <f>LEFT(packes[[#This Row],[date]],4)</f>
        <v>1403</v>
      </c>
    </row>
    <row r="188" spans="1:17" s="23" customFormat="1" ht="16.5" x14ac:dyDescent="0.25">
      <c r="A188" s="23">
        <v>186</v>
      </c>
      <c r="B188" s="30" t="s">
        <v>1481</v>
      </c>
      <c r="C188" s="23">
        <v>140680007</v>
      </c>
      <c r="D188" s="23">
        <v>200</v>
      </c>
      <c r="E188" s="27">
        <f>_xlfn.XLOOKUP(packes[[#This Row],[productId]],bom[Id],bom[wgt])</f>
        <v>1.0698393694502644</v>
      </c>
      <c r="F188" s="27">
        <f>packes[[#This Row],[num]]*packes[[#This Row],[wtg]]</f>
        <v>213.96787389005289</v>
      </c>
      <c r="G188" s="357"/>
      <c r="H188" s="21">
        <f>packes[[#This Row],[num]]-SUM(packes[[#This Row],[num2]])</f>
        <v>200</v>
      </c>
      <c r="I188" s="357"/>
      <c r="J188" s="21"/>
      <c r="K188" s="323"/>
      <c r="M188" s="27" t="str">
        <f>_xlfn.XLOOKUP(packes[[#This Row],[productId]],CT[productId],CT[total],"NA")</f>
        <v>NA</v>
      </c>
      <c r="N188" s="20" t="str">
        <f>_xlfn.XLOOKUP(packes[[#This Row],[productId]],bom[Id],bom[ph],"NA")</f>
        <v>nar.p</v>
      </c>
      <c r="O188" s="20" t="str">
        <f>_xlfn.XLOOKUP(packes[[#This Row],[productId]],bom[Id],bom[erth],"NA")</f>
        <v>-</v>
      </c>
      <c r="P188" s="20" t="str">
        <f>_xlfn.XLOOKUP(packes[[#This Row],[productId]],bom[Id],bom[dbl],"NA")</f>
        <v>nar.p</v>
      </c>
      <c r="Q188" s="20" t="str">
        <f>LEFT(packes[[#This Row],[date]],4)</f>
        <v>1403</v>
      </c>
    </row>
    <row r="189" spans="1:17" s="23" customFormat="1" ht="16.5" x14ac:dyDescent="0.25">
      <c r="A189" s="23">
        <v>187</v>
      </c>
      <c r="B189" s="30" t="s">
        <v>1481</v>
      </c>
      <c r="C189" s="23">
        <v>140310031</v>
      </c>
      <c r="D189" s="23">
        <v>950</v>
      </c>
      <c r="E189" s="27">
        <f>_xlfn.XLOOKUP(packes[[#This Row],[productId]],bom[Id],bom[wgt])</f>
        <v>1.9455252918287937</v>
      </c>
      <c r="F189" s="27">
        <f>packes[[#This Row],[num]]*packes[[#This Row],[wtg]]</f>
        <v>1848.2490272373541</v>
      </c>
      <c r="G189" s="357"/>
      <c r="H189" s="21">
        <f>packes[[#This Row],[num]]-SUM(packes[[#This Row],[num2]])</f>
        <v>950</v>
      </c>
      <c r="I189" s="357"/>
      <c r="J189" s="21"/>
      <c r="K189" s="323"/>
      <c r="M189" s="27">
        <f>_xlfn.XLOOKUP(packes[[#This Row],[productId]],CT[productId],CT[total],"NA")</f>
        <v>202.96500000000003</v>
      </c>
      <c r="N189" s="20">
        <f>_xlfn.XLOOKUP(packes[[#This Row],[productId]],bom[Id],bom[ph],"NA")</f>
        <v>461</v>
      </c>
      <c r="O189" s="20" t="str">
        <f>_xlfn.XLOOKUP(packes[[#This Row],[productId]],bom[Id],bom[erth],"NA")</f>
        <v>nut4</v>
      </c>
      <c r="P189" s="20" t="str">
        <f>_xlfn.XLOOKUP(packes[[#This Row],[productId]],bom[Id],bom[dbl],"NA")</f>
        <v>-</v>
      </c>
      <c r="Q189" s="20" t="str">
        <f>LEFT(packes[[#This Row],[date]],4)</f>
        <v>1403</v>
      </c>
    </row>
    <row r="190" spans="1:17" s="23" customFormat="1" ht="16.5" x14ac:dyDescent="0.25">
      <c r="A190" s="23">
        <v>188</v>
      </c>
      <c r="B190" s="30" t="s">
        <v>1481</v>
      </c>
      <c r="C190" s="23">
        <v>140310007</v>
      </c>
      <c r="D190" s="23">
        <v>200</v>
      </c>
      <c r="E190" s="27">
        <f>_xlfn.XLOOKUP(packes[[#This Row],[productId]],bom[Id],bom[wgt])</f>
        <v>1.1413748378728923</v>
      </c>
      <c r="F190" s="27">
        <f>packes[[#This Row],[num]]*packes[[#This Row],[wtg]]</f>
        <v>228.27496757457845</v>
      </c>
      <c r="G190" s="357"/>
      <c r="H190" s="21">
        <f>packes[[#This Row],[num]]-SUM(packes[[#This Row],[num2]])</f>
        <v>200</v>
      </c>
      <c r="I190" s="357"/>
      <c r="J190" s="21"/>
      <c r="K190" s="323"/>
      <c r="M190" s="27">
        <f>_xlfn.XLOOKUP(packes[[#This Row],[productId]],CT[productId],CT[total],"NA")</f>
        <v>92.484999999999999</v>
      </c>
      <c r="N190" s="20" t="str">
        <f>_xlfn.XLOOKUP(packes[[#This Row],[productId]],bom[Id],bom[ph],"NA")</f>
        <v>-</v>
      </c>
      <c r="O190" s="20" t="str">
        <f>_xlfn.XLOOKUP(packes[[#This Row],[productId]],bom[Id],bom[erth],"NA")</f>
        <v>nut4</v>
      </c>
      <c r="P190" s="20" t="str">
        <f>_xlfn.XLOOKUP(packes[[#This Row],[productId]],bom[Id],bom[dbl],"NA")</f>
        <v>-</v>
      </c>
      <c r="Q190" s="20" t="str">
        <f>LEFT(packes[[#This Row],[date]],4)</f>
        <v>1403</v>
      </c>
    </row>
    <row r="191" spans="1:17" s="23" customFormat="1" ht="16.5" x14ac:dyDescent="0.25">
      <c r="A191" s="23">
        <v>189</v>
      </c>
      <c r="B191" s="30" t="s">
        <v>1501</v>
      </c>
      <c r="C191" s="23">
        <v>140310071</v>
      </c>
      <c r="D191" s="23">
        <v>1500</v>
      </c>
      <c r="E191" s="27">
        <f>_xlfn.XLOOKUP(packes[[#This Row],[productId]],bom[Id],bom[wgt])</f>
        <v>1.3</v>
      </c>
      <c r="F191" s="27">
        <f>packes[[#This Row],[num]]*packes[[#This Row],[wtg]]</f>
        <v>1950</v>
      </c>
      <c r="G191" s="357"/>
      <c r="H191" s="21">
        <f>packes[[#This Row],[num]]-SUM(packes[[#This Row],[num2]])</f>
        <v>1500</v>
      </c>
      <c r="I191" s="357"/>
      <c r="J191" s="21"/>
      <c r="K191" s="323"/>
      <c r="M191" s="27">
        <f>_xlfn.XLOOKUP(packes[[#This Row],[productId]],CT[productId],CT[total],"NA")</f>
        <v>130.69500000000002</v>
      </c>
      <c r="N191" s="20" t="str">
        <f>_xlfn.XLOOKUP(packes[[#This Row],[productId]],bom[Id],bom[ph],"NA")</f>
        <v>6.3ch</v>
      </c>
      <c r="O191" s="20" t="str">
        <f>_xlfn.XLOOKUP(packes[[#This Row],[productId]],bom[Id],bom[erth],"NA")</f>
        <v>6.3k</v>
      </c>
      <c r="P191" s="20" t="str">
        <f>_xlfn.XLOOKUP(packes[[#This Row],[productId]],bom[Id],bom[dbl],"NA")</f>
        <v>-</v>
      </c>
      <c r="Q191" s="20" t="str">
        <f>LEFT(packes[[#This Row],[date]],4)</f>
        <v>1403</v>
      </c>
    </row>
    <row r="192" spans="1:17" s="23" customFormat="1" ht="16.5" x14ac:dyDescent="0.25">
      <c r="A192" s="23">
        <v>190</v>
      </c>
      <c r="B192" s="30" t="s">
        <v>1501</v>
      </c>
      <c r="C192" s="23">
        <v>140030039</v>
      </c>
      <c r="D192" s="23">
        <v>600</v>
      </c>
      <c r="E192" s="27">
        <f>_xlfn.XLOOKUP(packes[[#This Row],[productId]],bom[Id],bom[wgt])</f>
        <v>1.1413748378728923</v>
      </c>
      <c r="F192" s="27">
        <f>packes[[#This Row],[num]]*packes[[#This Row],[wtg]]</f>
        <v>684.82490272373536</v>
      </c>
      <c r="G192" s="357"/>
      <c r="H192" s="21">
        <f>packes[[#This Row],[num]]-SUM(packes[[#This Row],[num2]])</f>
        <v>600</v>
      </c>
      <c r="I192" s="357"/>
      <c r="J192" s="21"/>
      <c r="K192" s="323"/>
      <c r="M192" s="27">
        <f>_xlfn.XLOOKUP(packes[[#This Row],[productId]],CT[productId],CT[total],"NA")</f>
        <v>92.504999999999995</v>
      </c>
      <c r="N192" s="20" t="str">
        <f>_xlfn.XLOOKUP(packes[[#This Row],[productId]],bom[Id],bom[ph],"NA")</f>
        <v>YH</v>
      </c>
      <c r="O192" s="20" t="str">
        <f>_xlfn.XLOOKUP(packes[[#This Row],[productId]],bom[Id],bom[erth],"NA")</f>
        <v>sun</v>
      </c>
      <c r="P192" s="20" t="str">
        <f>_xlfn.XLOOKUP(packes[[#This Row],[productId]],bom[Id],bom[dbl],"NA")</f>
        <v>-</v>
      </c>
      <c r="Q192" s="20" t="str">
        <f>LEFT(packes[[#This Row],[date]],4)</f>
        <v>1403</v>
      </c>
    </row>
    <row r="193" spans="1:17" s="23" customFormat="1" ht="16.5" x14ac:dyDescent="0.25">
      <c r="A193" s="23">
        <v>191</v>
      </c>
      <c r="B193" s="30" t="s">
        <v>1501</v>
      </c>
      <c r="C193" s="23">
        <v>140030040</v>
      </c>
      <c r="D193" s="23">
        <v>1100</v>
      </c>
      <c r="E193" s="27">
        <f>_xlfn.XLOOKUP(packes[[#This Row],[productId]],bom[Id],bom[wgt])</f>
        <v>1.1092487279257708</v>
      </c>
      <c r="F193" s="27">
        <f>packes[[#This Row],[num]]*packes[[#This Row],[wtg]]</f>
        <v>1220.1736007183479</v>
      </c>
      <c r="G193" s="357"/>
      <c r="H193" s="21">
        <f>packes[[#This Row],[num]]-SUM(packes[[#This Row],[num2]])</f>
        <v>1100</v>
      </c>
      <c r="I193" s="357"/>
      <c r="J193" s="21"/>
      <c r="K193" s="323"/>
      <c r="M193" s="27">
        <f>_xlfn.XLOOKUP(packes[[#This Row],[productId]],CT[productId],CT[total],"NA")</f>
        <v>97.305000000000007</v>
      </c>
      <c r="N193" s="20" t="str">
        <f>_xlfn.XLOOKUP(packes[[#This Row],[productId]],bom[Id],bom[ph],"NA")</f>
        <v>YH</v>
      </c>
      <c r="O193" s="20" t="str">
        <f>_xlfn.XLOOKUP(packes[[#This Row],[productId]],bom[Id],bom[erth],"NA")</f>
        <v>sun</v>
      </c>
      <c r="P193" s="20" t="str">
        <f>_xlfn.XLOOKUP(packes[[#This Row],[productId]],bom[Id],bom[dbl],"NA")</f>
        <v>-</v>
      </c>
      <c r="Q193" s="20" t="str">
        <f>LEFT(packes[[#This Row],[date]],4)</f>
        <v>1403</v>
      </c>
    </row>
    <row r="194" spans="1:17" s="23" customFormat="1" ht="16.5" x14ac:dyDescent="0.25">
      <c r="A194" s="23">
        <v>192</v>
      </c>
      <c r="B194" s="30" t="s">
        <v>1501</v>
      </c>
      <c r="C194" s="23">
        <v>140550060</v>
      </c>
      <c r="D194" s="23">
        <v>1200</v>
      </c>
      <c r="E194" s="27">
        <f>_xlfn.XLOOKUP(packes[[#This Row],[productId]],bom[Id],bom[wgt])</f>
        <v>1.1972463334331038</v>
      </c>
      <c r="F194" s="27">
        <f>packes[[#This Row],[num]]*packes[[#This Row],[wtg]]</f>
        <v>1436.6956001197245</v>
      </c>
      <c r="G194" s="357"/>
      <c r="H194" s="21">
        <f>packes[[#This Row],[num]]-SUM(packes[[#This Row],[num2]])</f>
        <v>1200</v>
      </c>
      <c r="I194" s="357"/>
      <c r="J194" s="21"/>
      <c r="K194" s="323"/>
      <c r="M194" s="27">
        <f>_xlfn.XLOOKUP(packes[[#This Row],[productId]],CT[productId],CT[total],"NA")</f>
        <v>81.220000000000013</v>
      </c>
      <c r="N194" s="20" t="str">
        <f>_xlfn.XLOOKUP(packes[[#This Row],[productId]],bom[Id],bom[ph],"NA")</f>
        <v>radio</v>
      </c>
      <c r="O194" s="20" t="str">
        <f>_xlfn.XLOOKUP(packes[[#This Row],[productId]],bom[Id],bom[erth],"NA")</f>
        <v>-</v>
      </c>
      <c r="P194" s="20" t="str">
        <f>_xlfn.XLOOKUP(packes[[#This Row],[productId]],bom[Id],bom[dbl],"NA")</f>
        <v>-</v>
      </c>
      <c r="Q194" s="20" t="str">
        <f>LEFT(packes[[#This Row],[date]],4)</f>
        <v>1403</v>
      </c>
    </row>
    <row r="195" spans="1:17" s="23" customFormat="1" ht="16.5" x14ac:dyDescent="0.25">
      <c r="A195" s="23">
        <v>193</v>
      </c>
      <c r="B195" s="30" t="s">
        <v>1501</v>
      </c>
      <c r="C195" s="23">
        <v>140680007</v>
      </c>
      <c r="D195" s="23">
        <v>1600</v>
      </c>
      <c r="E195" s="27">
        <f>_xlfn.XLOOKUP(packes[[#This Row],[productId]],bom[Id],bom[wgt])</f>
        <v>1.0698393694502644</v>
      </c>
      <c r="F195" s="27">
        <f>packes[[#This Row],[num]]*packes[[#This Row],[wtg]]</f>
        <v>1711.7429911204231</v>
      </c>
      <c r="G195" s="357"/>
      <c r="H195" s="21">
        <f>packes[[#This Row],[num]]-SUM(packes[[#This Row],[num2]])</f>
        <v>1600</v>
      </c>
      <c r="I195" s="357"/>
      <c r="J195" s="21"/>
      <c r="K195" s="323"/>
      <c r="M195" s="27" t="str">
        <f>_xlfn.XLOOKUP(packes[[#This Row],[productId]],CT[productId],CT[total],"NA")</f>
        <v>NA</v>
      </c>
      <c r="N195" s="20" t="str">
        <f>_xlfn.XLOOKUP(packes[[#This Row],[productId]],bom[Id],bom[ph],"NA")</f>
        <v>nar.p</v>
      </c>
      <c r="O195" s="20" t="str">
        <f>_xlfn.XLOOKUP(packes[[#This Row],[productId]],bom[Id],bom[erth],"NA")</f>
        <v>-</v>
      </c>
      <c r="P195" s="20" t="str">
        <f>_xlfn.XLOOKUP(packes[[#This Row],[productId]],bom[Id],bom[dbl],"NA")</f>
        <v>nar.p</v>
      </c>
      <c r="Q195" s="20" t="str">
        <f>LEFT(packes[[#This Row],[date]],4)</f>
        <v>1403</v>
      </c>
    </row>
    <row r="196" spans="1:17" s="23" customFormat="1" ht="16.5" x14ac:dyDescent="0.25">
      <c r="A196" s="23">
        <v>194</v>
      </c>
      <c r="B196" s="30" t="s">
        <v>1501</v>
      </c>
      <c r="C196" s="23">
        <v>140310031</v>
      </c>
      <c r="D196" s="23">
        <v>950</v>
      </c>
      <c r="E196" s="27">
        <f>_xlfn.XLOOKUP(packes[[#This Row],[productId]],bom[Id],bom[wgt])</f>
        <v>1.9455252918287937</v>
      </c>
      <c r="F196" s="27">
        <f>packes[[#This Row],[num]]*packes[[#This Row],[wtg]]</f>
        <v>1848.2490272373541</v>
      </c>
      <c r="G196" s="357"/>
      <c r="H196" s="21">
        <f>packes[[#This Row],[num]]-SUM(packes[[#This Row],[num2]])</f>
        <v>950</v>
      </c>
      <c r="I196" s="357"/>
      <c r="J196" s="21"/>
      <c r="K196" s="323"/>
      <c r="M196" s="27">
        <f>_xlfn.XLOOKUP(packes[[#This Row],[productId]],CT[productId],CT[total],"NA")</f>
        <v>202.96500000000003</v>
      </c>
      <c r="N196" s="20">
        <f>_xlfn.XLOOKUP(packes[[#This Row],[productId]],bom[Id],bom[ph],"NA")</f>
        <v>461</v>
      </c>
      <c r="O196" s="20" t="str">
        <f>_xlfn.XLOOKUP(packes[[#This Row],[productId]],bom[Id],bom[erth],"NA")</f>
        <v>nut4</v>
      </c>
      <c r="P196" s="20" t="str">
        <f>_xlfn.XLOOKUP(packes[[#This Row],[productId]],bom[Id],bom[dbl],"NA")</f>
        <v>-</v>
      </c>
      <c r="Q196" s="20" t="str">
        <f>LEFT(packes[[#This Row],[date]],4)</f>
        <v>1403</v>
      </c>
    </row>
    <row r="197" spans="1:17" s="23" customFormat="1" ht="16.5" x14ac:dyDescent="0.25">
      <c r="A197" s="23">
        <v>195</v>
      </c>
      <c r="B197" s="30" t="s">
        <v>1501</v>
      </c>
      <c r="C197" s="23">
        <v>140310007</v>
      </c>
      <c r="D197" s="23">
        <v>100</v>
      </c>
      <c r="E197" s="27">
        <f>_xlfn.XLOOKUP(packes[[#This Row],[productId]],bom[Id],bom[wgt])</f>
        <v>1.1413748378728923</v>
      </c>
      <c r="F197" s="27">
        <f>packes[[#This Row],[num]]*packes[[#This Row],[wtg]]</f>
        <v>114.13748378728923</v>
      </c>
      <c r="G197" s="357"/>
      <c r="H197" s="21">
        <f>packes[[#This Row],[num]]-SUM(packes[[#This Row],[num2]])</f>
        <v>100</v>
      </c>
      <c r="I197" s="357"/>
      <c r="J197" s="21"/>
      <c r="K197" s="323"/>
      <c r="M197" s="27">
        <f>_xlfn.XLOOKUP(packes[[#This Row],[productId]],CT[productId],CT[total],"NA")</f>
        <v>92.484999999999999</v>
      </c>
      <c r="N197" s="20" t="str">
        <f>_xlfn.XLOOKUP(packes[[#This Row],[productId]],bom[Id],bom[ph],"NA")</f>
        <v>-</v>
      </c>
      <c r="O197" s="20" t="str">
        <f>_xlfn.XLOOKUP(packes[[#This Row],[productId]],bom[Id],bom[erth],"NA")</f>
        <v>nut4</v>
      </c>
      <c r="P197" s="20" t="str">
        <f>_xlfn.XLOOKUP(packes[[#This Row],[productId]],bom[Id],bom[dbl],"NA")</f>
        <v>-</v>
      </c>
      <c r="Q197" s="20" t="str">
        <f>LEFT(packes[[#This Row],[date]],4)</f>
        <v>1403</v>
      </c>
    </row>
    <row r="198" spans="1:17" s="23" customFormat="1" ht="16.5" x14ac:dyDescent="0.25">
      <c r="A198" s="23">
        <v>196</v>
      </c>
      <c r="B198" s="30" t="s">
        <v>1513</v>
      </c>
      <c r="C198" s="23">
        <v>140030040</v>
      </c>
      <c r="D198" s="23">
        <v>400</v>
      </c>
      <c r="E198" s="27">
        <f>_xlfn.XLOOKUP(packes[[#This Row],[productId]],bom[Id],bom[wgt])</f>
        <v>1.1092487279257708</v>
      </c>
      <c r="F198" s="27">
        <f>packes[[#This Row],[num]]*packes[[#This Row],[wtg]]</f>
        <v>443.69949117030831</v>
      </c>
      <c r="G198" s="357"/>
      <c r="H198" s="21">
        <f>packes[[#This Row],[num]]-SUM(packes[[#This Row],[num2]])</f>
        <v>400</v>
      </c>
      <c r="I198" s="357"/>
      <c r="J198" s="21"/>
      <c r="K198" s="323"/>
      <c r="M198" s="27">
        <f>_xlfn.XLOOKUP(packes[[#This Row],[productId]],CT[productId],CT[total],"NA")</f>
        <v>97.305000000000007</v>
      </c>
      <c r="N198" s="20" t="str">
        <f>_xlfn.XLOOKUP(packes[[#This Row],[productId]],bom[Id],bom[ph],"NA")</f>
        <v>YH</v>
      </c>
      <c r="O198" s="20" t="str">
        <f>_xlfn.XLOOKUP(packes[[#This Row],[productId]],bom[Id],bom[erth],"NA")</f>
        <v>sun</v>
      </c>
      <c r="P198" s="20" t="str">
        <f>_xlfn.XLOOKUP(packes[[#This Row],[productId]],bom[Id],bom[dbl],"NA")</f>
        <v>-</v>
      </c>
      <c r="Q198" s="20" t="str">
        <f>LEFT(packes[[#This Row],[date]],4)</f>
        <v>1403</v>
      </c>
    </row>
    <row r="199" spans="1:17" s="23" customFormat="1" ht="16.5" x14ac:dyDescent="0.25">
      <c r="A199" s="23">
        <v>197</v>
      </c>
      <c r="B199" s="30" t="s">
        <v>1513</v>
      </c>
      <c r="C199" s="23">
        <v>140310012</v>
      </c>
      <c r="D199" s="23">
        <v>840</v>
      </c>
      <c r="E199" s="27">
        <f>_xlfn.XLOOKUP(packes[[#This Row],[productId]],bom[Id],bom[wgt])</f>
        <v>1.4007782101167314</v>
      </c>
      <c r="F199" s="27">
        <f>packes[[#This Row],[num]]*packes[[#This Row],[wtg]]</f>
        <v>1176.6536964980544</v>
      </c>
      <c r="G199" s="357"/>
      <c r="H199" s="21">
        <f>packes[[#This Row],[num]]-SUM(packes[[#This Row],[num2]])</f>
        <v>840</v>
      </c>
      <c r="I199" s="357"/>
      <c r="J199" s="21"/>
      <c r="K199" s="323"/>
      <c r="M199" s="27" t="str">
        <f>_xlfn.XLOOKUP(packes[[#This Row],[productId]],CT[productId],CT[total],"NA")</f>
        <v>NA</v>
      </c>
      <c r="N199" s="20" t="str">
        <f>_xlfn.XLOOKUP(packes[[#This Row],[productId]],bom[Id],bom[ph],"NA")</f>
        <v>4.8ch</v>
      </c>
      <c r="O199" s="20" t="str">
        <f>_xlfn.XLOOKUP(packes[[#This Row],[productId]],bom[Id],bom[erth],"NA")</f>
        <v>-</v>
      </c>
      <c r="P199" s="20" t="str">
        <f>_xlfn.XLOOKUP(packes[[#This Row],[productId]],bom[Id],bom[dbl],"NA")</f>
        <v>-</v>
      </c>
      <c r="Q199" s="20" t="str">
        <f>LEFT(packes[[#This Row],[date]],4)</f>
        <v>1403</v>
      </c>
    </row>
    <row r="200" spans="1:17" s="23" customFormat="1" ht="16.5" x14ac:dyDescent="0.25">
      <c r="A200" s="23">
        <v>198</v>
      </c>
      <c r="B200" s="30" t="s">
        <v>1513</v>
      </c>
      <c r="C200" s="23">
        <v>140680007</v>
      </c>
      <c r="D200" s="23">
        <v>200</v>
      </c>
      <c r="E200" s="27">
        <f>_xlfn.XLOOKUP(packes[[#This Row],[productId]],bom[Id],bom[wgt])</f>
        <v>1.0698393694502644</v>
      </c>
      <c r="F200" s="27">
        <f>packes[[#This Row],[num]]*packes[[#This Row],[wtg]]</f>
        <v>213.96787389005289</v>
      </c>
      <c r="G200" s="357"/>
      <c r="H200" s="21">
        <f>packes[[#This Row],[num]]-SUM(packes[[#This Row],[num2]])</f>
        <v>200</v>
      </c>
      <c r="I200" s="357"/>
      <c r="J200" s="21"/>
      <c r="K200" s="323"/>
      <c r="M200" s="27" t="str">
        <f>_xlfn.XLOOKUP(packes[[#This Row],[productId]],CT[productId],CT[total],"NA")</f>
        <v>NA</v>
      </c>
      <c r="N200" s="20" t="str">
        <f>_xlfn.XLOOKUP(packes[[#This Row],[productId]],bom[Id],bom[ph],"NA")</f>
        <v>nar.p</v>
      </c>
      <c r="O200" s="20" t="str">
        <f>_xlfn.XLOOKUP(packes[[#This Row],[productId]],bom[Id],bom[erth],"NA")</f>
        <v>-</v>
      </c>
      <c r="P200" s="20" t="str">
        <f>_xlfn.XLOOKUP(packes[[#This Row],[productId]],bom[Id],bom[dbl],"NA")</f>
        <v>nar.p</v>
      </c>
      <c r="Q200" s="20" t="str">
        <f>LEFT(packes[[#This Row],[date]],4)</f>
        <v>1403</v>
      </c>
    </row>
    <row r="201" spans="1:17" s="23" customFormat="1" ht="16.5" x14ac:dyDescent="0.25">
      <c r="A201" s="23">
        <v>199</v>
      </c>
      <c r="B201" s="30" t="s">
        <v>1502</v>
      </c>
      <c r="C201" s="23">
        <v>140310071</v>
      </c>
      <c r="D201" s="23">
        <v>900</v>
      </c>
      <c r="E201" s="27">
        <f>_xlfn.XLOOKUP(packes[[#This Row],[productId]],bom[Id],bom[wgt])</f>
        <v>1.3</v>
      </c>
      <c r="F201" s="27">
        <f>packes[[#This Row],[num]]*packes[[#This Row],[wtg]]</f>
        <v>1170</v>
      </c>
      <c r="G201" s="357"/>
      <c r="H201" s="21">
        <f>packes[[#This Row],[num]]-SUM(packes[[#This Row],[num2]])</f>
        <v>900</v>
      </c>
      <c r="I201" s="357"/>
      <c r="J201" s="21"/>
      <c r="K201" s="323"/>
      <c r="M201" s="27">
        <f>_xlfn.XLOOKUP(packes[[#This Row],[productId]],CT[productId],CT[total],"NA")</f>
        <v>130.69500000000002</v>
      </c>
      <c r="N201" s="20" t="str">
        <f>_xlfn.XLOOKUP(packes[[#This Row],[productId]],bom[Id],bom[ph],"NA")</f>
        <v>6.3ch</v>
      </c>
      <c r="O201" s="20" t="str">
        <f>_xlfn.XLOOKUP(packes[[#This Row],[productId]],bom[Id],bom[erth],"NA")</f>
        <v>6.3k</v>
      </c>
      <c r="P201" s="20" t="str">
        <f>_xlfn.XLOOKUP(packes[[#This Row],[productId]],bom[Id],bom[dbl],"NA")</f>
        <v>-</v>
      </c>
      <c r="Q201" s="20" t="str">
        <f>LEFT(packes[[#This Row],[date]],4)</f>
        <v>1403</v>
      </c>
    </row>
    <row r="202" spans="1:17" s="23" customFormat="1" ht="16.5" x14ac:dyDescent="0.25">
      <c r="A202" s="23">
        <v>200</v>
      </c>
      <c r="B202" s="30" t="s">
        <v>1502</v>
      </c>
      <c r="C202" s="23">
        <v>140220012</v>
      </c>
      <c r="D202" s="23">
        <v>2400</v>
      </c>
      <c r="E202" s="27">
        <f>_xlfn.XLOOKUP(packes[[#This Row],[productId]],bom[Id],bom[wgt])</f>
        <v>1.9455252918287937</v>
      </c>
      <c r="F202" s="27">
        <f>packes[[#This Row],[num]]*packes[[#This Row],[wtg]]</f>
        <v>4669.2607003891053</v>
      </c>
      <c r="G202" s="357"/>
      <c r="H202" s="21">
        <f>packes[[#This Row],[num]]-SUM(packes[[#This Row],[num2]])</f>
        <v>2400</v>
      </c>
      <c r="I202" s="357"/>
      <c r="J202" s="21"/>
      <c r="K202" s="323"/>
      <c r="M202" s="27">
        <f>_xlfn.XLOOKUP(packes[[#This Row],[productId]],CT[productId],CT[total],"NA")</f>
        <v>192.86500000000001</v>
      </c>
      <c r="N202" s="20" t="str">
        <f>_xlfn.XLOOKUP(packes[[#This Row],[productId]],bom[Id],bom[ph],"NA")</f>
        <v>flag</v>
      </c>
      <c r="O202" s="20" t="str">
        <f>_xlfn.XLOOKUP(packes[[#This Row],[productId]],bom[Id],bom[erth],"NA")</f>
        <v>sun</v>
      </c>
      <c r="P202" s="20" t="str">
        <f>_xlfn.XLOOKUP(packes[[#This Row],[productId]],bom[Id],bom[dbl],"NA")</f>
        <v>-</v>
      </c>
      <c r="Q202" s="20" t="str">
        <f>LEFT(packes[[#This Row],[date]],4)</f>
        <v>1403</v>
      </c>
    </row>
    <row r="203" spans="1:17" s="23" customFormat="1" ht="16.5" x14ac:dyDescent="0.25">
      <c r="A203" s="23">
        <v>201</v>
      </c>
      <c r="B203" s="30" t="s">
        <v>1502</v>
      </c>
      <c r="C203" s="23">
        <v>141650001</v>
      </c>
      <c r="D203" s="23">
        <v>350</v>
      </c>
      <c r="E203" s="27">
        <f>_xlfn.XLOOKUP(packes[[#This Row],[productId]],bom[Id],bom[wgt])</f>
        <v>1.207223386211713</v>
      </c>
      <c r="F203" s="27">
        <f>packes[[#This Row],[num]]*packes[[#This Row],[wtg]]</f>
        <v>422.52818517409952</v>
      </c>
      <c r="G203" s="357"/>
      <c r="H203" s="21">
        <f>packes[[#This Row],[num]]-SUM(packes[[#This Row],[num2]])</f>
        <v>350</v>
      </c>
      <c r="I203" s="357"/>
      <c r="J203" s="21"/>
      <c r="K203" s="323"/>
      <c r="M203" s="27">
        <f>_xlfn.XLOOKUP(packes[[#This Row],[productId]],CT[productId],CT[total],"NA")</f>
        <v>100.965</v>
      </c>
      <c r="N203" s="20" t="str">
        <f>_xlfn.XLOOKUP(packes[[#This Row],[productId]],bom[Id],bom[ph],"NA")</f>
        <v>6.3k</v>
      </c>
      <c r="O203" s="20" t="str">
        <f>_xlfn.XLOOKUP(packes[[#This Row],[productId]],bom[Id],bom[erth],"NA")</f>
        <v>flag</v>
      </c>
      <c r="P203" s="20" t="str">
        <f>_xlfn.XLOOKUP(packes[[#This Row],[productId]],bom[Id],bom[dbl],"NA")</f>
        <v>-</v>
      </c>
      <c r="Q203" s="20" t="str">
        <f>LEFT(packes[[#This Row],[date]],4)</f>
        <v>1403</v>
      </c>
    </row>
    <row r="204" spans="1:17" s="23" customFormat="1" ht="16.5" x14ac:dyDescent="0.25">
      <c r="A204" s="23">
        <v>202</v>
      </c>
      <c r="B204" s="30" t="s">
        <v>1502</v>
      </c>
      <c r="C204" s="23">
        <v>140030039</v>
      </c>
      <c r="D204" s="23">
        <v>400</v>
      </c>
      <c r="E204" s="27">
        <f>_xlfn.XLOOKUP(packes[[#This Row],[productId]],bom[Id],bom[wgt])</f>
        <v>1.1413748378728923</v>
      </c>
      <c r="F204" s="27">
        <f>packes[[#This Row],[num]]*packes[[#This Row],[wtg]]</f>
        <v>456.54993514915691</v>
      </c>
      <c r="G204" s="357"/>
      <c r="H204" s="21">
        <f>packes[[#This Row],[num]]-SUM(packes[[#This Row],[num2]])</f>
        <v>400</v>
      </c>
      <c r="I204" s="357"/>
      <c r="J204" s="21"/>
      <c r="K204" s="323"/>
      <c r="M204" s="27">
        <f>_xlfn.XLOOKUP(packes[[#This Row],[productId]],CT[productId],CT[total],"NA")</f>
        <v>92.504999999999995</v>
      </c>
      <c r="N204" s="20" t="str">
        <f>_xlfn.XLOOKUP(packes[[#This Row],[productId]],bom[Id],bom[ph],"NA")</f>
        <v>YH</v>
      </c>
      <c r="O204" s="20" t="str">
        <f>_xlfn.XLOOKUP(packes[[#This Row],[productId]],bom[Id],bom[erth],"NA")</f>
        <v>sun</v>
      </c>
      <c r="P204" s="20" t="str">
        <f>_xlfn.XLOOKUP(packes[[#This Row],[productId]],bom[Id],bom[dbl],"NA")</f>
        <v>-</v>
      </c>
      <c r="Q204" s="20" t="str">
        <f>LEFT(packes[[#This Row],[date]],4)</f>
        <v>1403</v>
      </c>
    </row>
    <row r="205" spans="1:17" s="23" customFormat="1" ht="16.5" x14ac:dyDescent="0.25">
      <c r="A205" s="23">
        <v>203</v>
      </c>
      <c r="B205" s="30" t="s">
        <v>1502</v>
      </c>
      <c r="C205" s="23">
        <v>140550060</v>
      </c>
      <c r="D205" s="23">
        <v>1900</v>
      </c>
      <c r="E205" s="27">
        <f>_xlfn.XLOOKUP(packes[[#This Row],[productId]],bom[Id],bom[wgt])</f>
        <v>1.1972463334331038</v>
      </c>
      <c r="F205" s="27">
        <f>packes[[#This Row],[num]]*packes[[#This Row],[wtg]]</f>
        <v>2274.7680335228974</v>
      </c>
      <c r="G205" s="357"/>
      <c r="H205" s="21">
        <f>packes[[#This Row],[num]]-SUM(packes[[#This Row],[num2]])</f>
        <v>1900</v>
      </c>
      <c r="I205" s="357"/>
      <c r="J205" s="21"/>
      <c r="K205" s="323"/>
      <c r="M205" s="27">
        <f>_xlfn.XLOOKUP(packes[[#This Row],[productId]],CT[productId],CT[total],"NA")</f>
        <v>81.220000000000013</v>
      </c>
      <c r="N205" s="20" t="str">
        <f>_xlfn.XLOOKUP(packes[[#This Row],[productId]],bom[Id],bom[ph],"NA")</f>
        <v>radio</v>
      </c>
      <c r="O205" s="20" t="str">
        <f>_xlfn.XLOOKUP(packes[[#This Row],[productId]],bom[Id],bom[erth],"NA")</f>
        <v>-</v>
      </c>
      <c r="P205" s="20" t="str">
        <f>_xlfn.XLOOKUP(packes[[#This Row],[productId]],bom[Id],bom[dbl],"NA")</f>
        <v>-</v>
      </c>
      <c r="Q205" s="20" t="str">
        <f>LEFT(packes[[#This Row],[date]],4)</f>
        <v>1403</v>
      </c>
    </row>
    <row r="206" spans="1:17" s="23" customFormat="1" ht="16.5" x14ac:dyDescent="0.25">
      <c r="A206" s="23">
        <v>204</v>
      </c>
      <c r="B206" s="30" t="s">
        <v>1502</v>
      </c>
      <c r="C206" s="23">
        <v>140680007</v>
      </c>
      <c r="D206" s="23">
        <v>900</v>
      </c>
      <c r="E206" s="27">
        <f>_xlfn.XLOOKUP(packes[[#This Row],[productId]],bom[Id],bom[wgt])</f>
        <v>1.0698393694502644</v>
      </c>
      <c r="F206" s="27">
        <f>packes[[#This Row],[num]]*packes[[#This Row],[wtg]]</f>
        <v>962.8554325052379</v>
      </c>
      <c r="G206" s="357"/>
      <c r="H206" s="21">
        <f>packes[[#This Row],[num]]-SUM(packes[[#This Row],[num2]])</f>
        <v>900</v>
      </c>
      <c r="I206" s="357"/>
      <c r="J206" s="21"/>
      <c r="K206" s="323"/>
      <c r="M206" s="27" t="str">
        <f>_xlfn.XLOOKUP(packes[[#This Row],[productId]],CT[productId],CT[total],"NA")</f>
        <v>NA</v>
      </c>
      <c r="N206" s="20" t="str">
        <f>_xlfn.XLOOKUP(packes[[#This Row],[productId]],bom[Id],bom[ph],"NA")</f>
        <v>nar.p</v>
      </c>
      <c r="O206" s="20" t="str">
        <f>_xlfn.XLOOKUP(packes[[#This Row],[productId]],bom[Id],bom[erth],"NA")</f>
        <v>-</v>
      </c>
      <c r="P206" s="20" t="str">
        <f>_xlfn.XLOOKUP(packes[[#This Row],[productId]],bom[Id],bom[dbl],"NA")</f>
        <v>nar.p</v>
      </c>
      <c r="Q206" s="20" t="str">
        <f>LEFT(packes[[#This Row],[date]],4)</f>
        <v>1403</v>
      </c>
    </row>
    <row r="207" spans="1:17" s="23" customFormat="1" ht="16.5" x14ac:dyDescent="0.25">
      <c r="A207" s="23">
        <v>205</v>
      </c>
      <c r="B207" s="30" t="s">
        <v>1502</v>
      </c>
      <c r="C207" s="23">
        <v>140310031</v>
      </c>
      <c r="D207" s="23">
        <v>450</v>
      </c>
      <c r="E207" s="27">
        <f>_xlfn.XLOOKUP(packes[[#This Row],[productId]],bom[Id],bom[wgt])</f>
        <v>1.9455252918287937</v>
      </c>
      <c r="F207" s="27">
        <f>packes[[#This Row],[num]]*packes[[#This Row],[wtg]]</f>
        <v>875.48638132295719</v>
      </c>
      <c r="G207" s="357"/>
      <c r="H207" s="21">
        <f>packes[[#This Row],[num]]-SUM(packes[[#This Row],[num2]])</f>
        <v>450</v>
      </c>
      <c r="I207" s="357"/>
      <c r="J207" s="21"/>
      <c r="K207" s="323"/>
      <c r="M207" s="27">
        <f>_xlfn.XLOOKUP(packes[[#This Row],[productId]],CT[productId],CT[total],"NA")</f>
        <v>202.96500000000003</v>
      </c>
      <c r="N207" s="20">
        <f>_xlfn.XLOOKUP(packes[[#This Row],[productId]],bom[Id],bom[ph],"NA")</f>
        <v>461</v>
      </c>
      <c r="O207" s="20" t="str">
        <f>_xlfn.XLOOKUP(packes[[#This Row],[productId]],bom[Id],bom[erth],"NA")</f>
        <v>nut4</v>
      </c>
      <c r="P207" s="20" t="str">
        <f>_xlfn.XLOOKUP(packes[[#This Row],[productId]],bom[Id],bom[dbl],"NA")</f>
        <v>-</v>
      </c>
      <c r="Q207" s="20" t="str">
        <f>LEFT(packes[[#This Row],[date]],4)</f>
        <v>1403</v>
      </c>
    </row>
    <row r="208" spans="1:17" s="23" customFormat="1" ht="16.5" x14ac:dyDescent="0.25">
      <c r="A208" s="23">
        <v>206</v>
      </c>
      <c r="B208" s="24" t="s">
        <v>178</v>
      </c>
      <c r="C208" s="23">
        <v>140010117</v>
      </c>
      <c r="D208" s="23">
        <v>1400</v>
      </c>
      <c r="E208" s="27">
        <v>1.1972463334331038</v>
      </c>
      <c r="F208" s="27">
        <v>1197.2463334331039</v>
      </c>
      <c r="G208" s="23">
        <v>10</v>
      </c>
      <c r="H208" s="486">
        <v>1000</v>
      </c>
      <c r="J208" s="487" t="s">
        <v>224</v>
      </c>
      <c r="K208" s="488"/>
      <c r="L208" s="488"/>
      <c r="M208" s="548">
        <f>_xlfn.XLOOKUP(packes[[#This Row],[productId]],CT[productId],CT[total],"NA")</f>
        <v>98.295000000000016</v>
      </c>
      <c r="N208" s="20" t="str">
        <f>_xlfn.XLOOKUP(packes[[#This Row],[productId]],bom[Id],bom[ph],"NA")</f>
        <v>nar.p</v>
      </c>
      <c r="O208" s="20" t="str">
        <f>_xlfn.XLOOKUP(packes[[#This Row],[productId]],bom[Id],bom[erth],"NA")</f>
        <v>-</v>
      </c>
      <c r="P208" s="20" t="str">
        <f>_xlfn.XLOOKUP(packes[[#This Row],[productId]],bom[Id],bom[dbl],"NA")</f>
        <v>nar.p</v>
      </c>
      <c r="Q208" s="20" t="str">
        <f>LEFT(packes[[#This Row],[date]],4)</f>
        <v>1403</v>
      </c>
    </row>
    <row r="209" spans="1:17" s="23" customFormat="1" ht="16.5" x14ac:dyDescent="0.25">
      <c r="A209" s="23">
        <v>207</v>
      </c>
      <c r="B209" s="24" t="s">
        <v>178</v>
      </c>
      <c r="C209" s="23">
        <v>140020181</v>
      </c>
      <c r="D209" s="23">
        <v>1425</v>
      </c>
      <c r="E209" s="27">
        <v>1.2670857028833682</v>
      </c>
      <c r="F209" s="27">
        <v>190.06285543250522</v>
      </c>
      <c r="G209" s="23">
        <v>9</v>
      </c>
      <c r="H209" s="486">
        <v>150</v>
      </c>
      <c r="J209" s="487" t="s">
        <v>224</v>
      </c>
      <c r="K209" s="488"/>
      <c r="L209" s="488"/>
      <c r="M209" s="548">
        <f>_xlfn.XLOOKUP(packes[[#This Row],[productId]],CT[productId],CT[total],"NA")</f>
        <v>88.929999999999993</v>
      </c>
      <c r="N209" s="20" t="str">
        <f>_xlfn.XLOOKUP(packes[[#This Row],[productId]],bom[Id],bom[ph],"NA")</f>
        <v>VH</v>
      </c>
      <c r="O209" s="20" t="str">
        <f>_xlfn.XLOOKUP(packes[[#This Row],[productId]],bom[Id],bom[erth],"NA")</f>
        <v>nut4</v>
      </c>
      <c r="P209" s="20" t="str">
        <f>_xlfn.XLOOKUP(packes[[#This Row],[productId]],bom[Id],bom[dbl],"NA")</f>
        <v>-</v>
      </c>
      <c r="Q209" s="20" t="str">
        <f>LEFT(packes[[#This Row],[date]],4)</f>
        <v>1403</v>
      </c>
    </row>
    <row r="210" spans="1:17" s="23" customFormat="1" ht="16.5" x14ac:dyDescent="0.25">
      <c r="A210" s="23">
        <v>208</v>
      </c>
      <c r="B210" s="24" t="s">
        <v>178</v>
      </c>
      <c r="C210" s="23">
        <v>140030039</v>
      </c>
      <c r="D210" s="23">
        <v>631</v>
      </c>
      <c r="E210" s="27">
        <v>1.1413748378728923</v>
      </c>
      <c r="F210" s="27">
        <v>342.41245136186768</v>
      </c>
      <c r="H210" s="486">
        <v>300</v>
      </c>
      <c r="J210" s="487" t="s">
        <v>224</v>
      </c>
      <c r="K210" s="488"/>
      <c r="L210" s="488"/>
      <c r="M210" s="548">
        <f>_xlfn.XLOOKUP(packes[[#This Row],[productId]],CT[productId],CT[total],"NA")</f>
        <v>92.504999999999995</v>
      </c>
      <c r="N210" s="20" t="str">
        <f>_xlfn.XLOOKUP(packes[[#This Row],[productId]],bom[Id],bom[ph],"NA")</f>
        <v>YH</v>
      </c>
      <c r="O210" s="20" t="str">
        <f>_xlfn.XLOOKUP(packes[[#This Row],[productId]],bom[Id],bom[erth],"NA")</f>
        <v>sun</v>
      </c>
      <c r="P210" s="20" t="str">
        <f>_xlfn.XLOOKUP(packes[[#This Row],[productId]],bom[Id],bom[dbl],"NA")</f>
        <v>-</v>
      </c>
      <c r="Q210" s="20" t="str">
        <f>LEFT(packes[[#This Row],[date]],4)</f>
        <v>1403</v>
      </c>
    </row>
    <row r="211" spans="1:17" s="23" customFormat="1" ht="16.5" x14ac:dyDescent="0.25">
      <c r="A211" s="23">
        <v>209</v>
      </c>
      <c r="B211" s="24" t="s">
        <v>178</v>
      </c>
      <c r="C211" s="23">
        <v>140030040</v>
      </c>
      <c r="D211" s="23">
        <v>300</v>
      </c>
      <c r="E211" s="27">
        <v>1.1092487279257708</v>
      </c>
      <c r="F211" s="27">
        <v>110.92487279257708</v>
      </c>
      <c r="H211" s="486">
        <v>100</v>
      </c>
      <c r="J211" s="487" t="s">
        <v>224</v>
      </c>
      <c r="K211" s="488"/>
      <c r="L211" s="488"/>
      <c r="M211" s="548">
        <f>_xlfn.XLOOKUP(packes[[#This Row],[productId]],CT[productId],CT[total],"NA")</f>
        <v>97.305000000000007</v>
      </c>
      <c r="N211" s="20" t="str">
        <f>_xlfn.XLOOKUP(packes[[#This Row],[productId]],bom[Id],bom[ph],"NA")</f>
        <v>YH</v>
      </c>
      <c r="O211" s="20" t="str">
        <f>_xlfn.XLOOKUP(packes[[#This Row],[productId]],bom[Id],bom[erth],"NA")</f>
        <v>sun</v>
      </c>
      <c r="P211" s="20" t="str">
        <f>_xlfn.XLOOKUP(packes[[#This Row],[productId]],bom[Id],bom[dbl],"NA")</f>
        <v>-</v>
      </c>
      <c r="Q211" s="20" t="str">
        <f>LEFT(packes[[#This Row],[date]],4)</f>
        <v>1403</v>
      </c>
    </row>
    <row r="212" spans="1:17" s="23" customFormat="1" ht="16.5" x14ac:dyDescent="0.25">
      <c r="A212" s="23">
        <v>210</v>
      </c>
      <c r="B212" s="24" t="s">
        <v>178</v>
      </c>
      <c r="C212" s="23">
        <v>140090143</v>
      </c>
      <c r="D212" s="23">
        <v>17</v>
      </c>
      <c r="E212" s="27">
        <v>2.7237354085603114</v>
      </c>
      <c r="F212" s="27">
        <v>1361.8677042801557</v>
      </c>
      <c r="G212" s="23">
        <v>10</v>
      </c>
      <c r="H212" s="486">
        <v>500</v>
      </c>
      <c r="J212" s="487" t="s">
        <v>224</v>
      </c>
      <c r="K212" s="488"/>
      <c r="L212" s="488"/>
      <c r="M212" s="548">
        <f>_xlfn.XLOOKUP(packes[[#This Row],[productId]],CT[productId],CT[total],"NA")</f>
        <v>233.215</v>
      </c>
      <c r="N212" s="20" t="str">
        <f>_xlfn.XLOOKUP(packes[[#This Row],[productId]],bom[Id],bom[ph],"NA")</f>
        <v>molex</v>
      </c>
      <c r="O212" s="20" t="str">
        <f>_xlfn.XLOOKUP(packes[[#This Row],[productId]],bom[Id],bom[erth],"NA")</f>
        <v>-</v>
      </c>
      <c r="P212" s="20" t="str">
        <f>_xlfn.XLOOKUP(packes[[#This Row],[productId]],bom[Id],bom[dbl],"NA")</f>
        <v>splice</v>
      </c>
      <c r="Q212" s="20" t="str">
        <f>LEFT(packes[[#This Row],[date]],4)</f>
        <v>1403</v>
      </c>
    </row>
    <row r="213" spans="1:17" s="23" customFormat="1" ht="16.5" x14ac:dyDescent="0.25">
      <c r="A213" s="23">
        <v>211</v>
      </c>
      <c r="B213" s="24" t="s">
        <v>178</v>
      </c>
      <c r="C213" s="23">
        <v>140310012</v>
      </c>
      <c r="D213" s="23">
        <v>400</v>
      </c>
      <c r="E213" s="27">
        <v>1.4965579167913798</v>
      </c>
      <c r="F213" s="27">
        <v>29.931158335827597</v>
      </c>
      <c r="G213" s="23">
        <v>10</v>
      </c>
      <c r="H213" s="486">
        <v>20</v>
      </c>
      <c r="J213" s="487" t="s">
        <v>224</v>
      </c>
      <c r="K213" s="488"/>
      <c r="L213" s="488"/>
      <c r="M213" s="548" t="str">
        <f>_xlfn.XLOOKUP(packes[[#This Row],[productId]],CT[productId],CT[total],"NA")</f>
        <v>NA</v>
      </c>
      <c r="N213" s="20" t="str">
        <f>_xlfn.XLOOKUP(packes[[#This Row],[productId]],bom[Id],bom[ph],"NA")</f>
        <v>4.8ch</v>
      </c>
      <c r="O213" s="20" t="str">
        <f>_xlfn.XLOOKUP(packes[[#This Row],[productId]],bom[Id],bom[erth],"NA")</f>
        <v>-</v>
      </c>
      <c r="P213" s="20" t="str">
        <f>_xlfn.XLOOKUP(packes[[#This Row],[productId]],bom[Id],bom[dbl],"NA")</f>
        <v>-</v>
      </c>
      <c r="Q213" s="20" t="str">
        <f>LEFT(packes[[#This Row],[date]],4)</f>
        <v>1403</v>
      </c>
    </row>
    <row r="214" spans="1:17" s="23" customFormat="1" ht="16.5" x14ac:dyDescent="0.25">
      <c r="A214" s="23">
        <v>212</v>
      </c>
      <c r="B214" s="24" t="s">
        <v>178</v>
      </c>
      <c r="C214" s="23">
        <v>140550019</v>
      </c>
      <c r="D214" s="23">
        <v>1400</v>
      </c>
      <c r="E214" s="27">
        <v>1.6063054973560809</v>
      </c>
      <c r="F214" s="27">
        <v>3373.2415444477697</v>
      </c>
      <c r="H214" s="486">
        <v>2100</v>
      </c>
      <c r="J214" s="487" t="s">
        <v>224</v>
      </c>
      <c r="K214" s="488"/>
      <c r="L214" s="488"/>
      <c r="M214" s="548">
        <f>_xlfn.XLOOKUP(packes[[#This Row],[productId]],CT[productId],CT[total],"NA")</f>
        <v>211.66499999999999</v>
      </c>
      <c r="N214" s="20" t="str">
        <f>_xlfn.XLOOKUP(packes[[#This Row],[productId]],bom[Id],bom[ph],"NA")</f>
        <v>6.3ch</v>
      </c>
      <c r="O214" s="20" t="str">
        <f>_xlfn.XLOOKUP(packes[[#This Row],[productId]],bom[Id],bom[erth],"NA")</f>
        <v>nut4</v>
      </c>
      <c r="P214" s="20" t="str">
        <f>_xlfn.XLOOKUP(packes[[#This Row],[productId]],bom[Id],bom[dbl],"NA")</f>
        <v>-</v>
      </c>
      <c r="Q214" s="20" t="str">
        <f>LEFT(packes[[#This Row],[date]],4)</f>
        <v>1403</v>
      </c>
    </row>
    <row r="215" spans="1:17" s="23" customFormat="1" ht="16.5" x14ac:dyDescent="0.25">
      <c r="A215" s="23">
        <v>213</v>
      </c>
      <c r="B215" s="24" t="s">
        <v>178</v>
      </c>
      <c r="C215" s="23">
        <v>140550060</v>
      </c>
      <c r="D215" s="23">
        <v>700</v>
      </c>
      <c r="E215" s="27">
        <v>1</v>
      </c>
      <c r="F215" s="27">
        <v>500</v>
      </c>
      <c r="G215" s="23">
        <v>8</v>
      </c>
      <c r="H215" s="486">
        <v>500</v>
      </c>
      <c r="J215" s="487" t="s">
        <v>224</v>
      </c>
      <c r="K215" s="488"/>
      <c r="L215" s="488"/>
      <c r="M215" s="548">
        <f>_xlfn.XLOOKUP(packes[[#This Row],[productId]],CT[productId],CT[total],"NA")</f>
        <v>81.220000000000013</v>
      </c>
      <c r="N215" s="20" t="str">
        <f>_xlfn.XLOOKUP(packes[[#This Row],[productId]],bom[Id],bom[ph],"NA")</f>
        <v>radio</v>
      </c>
      <c r="O215" s="20" t="str">
        <f>_xlfn.XLOOKUP(packes[[#This Row],[productId]],bom[Id],bom[erth],"NA")</f>
        <v>-</v>
      </c>
      <c r="P215" s="20" t="str">
        <f>_xlfn.XLOOKUP(packes[[#This Row],[productId]],bom[Id],bom[dbl],"NA")</f>
        <v>-</v>
      </c>
      <c r="Q215" s="20" t="str">
        <f>LEFT(packes[[#This Row],[date]],4)</f>
        <v>1403</v>
      </c>
    </row>
    <row r="216" spans="1:17" s="23" customFormat="1" ht="16.5" x14ac:dyDescent="0.25">
      <c r="A216" s="23">
        <v>214</v>
      </c>
      <c r="B216" s="24" t="s">
        <v>199</v>
      </c>
      <c r="C216" s="23">
        <v>140010117</v>
      </c>
      <c r="D216" s="23">
        <v>1500</v>
      </c>
      <c r="E216" s="27">
        <v>1.4486680634540554</v>
      </c>
      <c r="F216" s="27">
        <v>869.20083807243327</v>
      </c>
      <c r="G216" s="23">
        <v>10</v>
      </c>
      <c r="H216" s="486">
        <v>600</v>
      </c>
      <c r="J216" s="487" t="s">
        <v>224</v>
      </c>
      <c r="K216" s="488"/>
      <c r="L216" s="488"/>
      <c r="M216" s="548">
        <f>_xlfn.XLOOKUP(packes[[#This Row],[productId]],CT[productId],CT[total],"NA")</f>
        <v>98.295000000000016</v>
      </c>
      <c r="N216" s="20" t="str">
        <f>_xlfn.XLOOKUP(packes[[#This Row],[productId]],bom[Id],bom[ph],"NA")</f>
        <v>nar.p</v>
      </c>
      <c r="O216" s="20" t="str">
        <f>_xlfn.XLOOKUP(packes[[#This Row],[productId]],bom[Id],bom[erth],"NA")</f>
        <v>-</v>
      </c>
      <c r="P216" s="20" t="str">
        <f>_xlfn.XLOOKUP(packes[[#This Row],[productId]],bom[Id],bom[dbl],"NA")</f>
        <v>nar.p</v>
      </c>
      <c r="Q216" s="20" t="str">
        <f>LEFT(packes[[#This Row],[date]],4)</f>
        <v>1403</v>
      </c>
    </row>
    <row r="217" spans="1:17" s="23" customFormat="1" ht="16.5" x14ac:dyDescent="0.25">
      <c r="A217" s="23">
        <v>215</v>
      </c>
      <c r="B217" s="24" t="s">
        <v>199</v>
      </c>
      <c r="C217" s="23">
        <v>140010255</v>
      </c>
      <c r="D217" s="23">
        <v>300</v>
      </c>
      <c r="E217" s="27">
        <v>1.506534969569989</v>
      </c>
      <c r="F217" s="27">
        <v>63.274468721939542</v>
      </c>
      <c r="H217" s="486">
        <v>42</v>
      </c>
      <c r="J217" s="487" t="s">
        <v>224</v>
      </c>
      <c r="K217" s="488"/>
      <c r="L217" s="488"/>
      <c r="M217" s="548">
        <f>_xlfn.XLOOKUP(packes[[#This Row],[productId]],CT[productId],CT[total],"NA")</f>
        <v>95.575000000000003</v>
      </c>
      <c r="N217" s="20" t="str">
        <f>_xlfn.XLOOKUP(packes[[#This Row],[productId]],bom[Id],bom[ph],"NA")</f>
        <v>-</v>
      </c>
      <c r="O217" s="20" t="str">
        <f>_xlfn.XLOOKUP(packes[[#This Row],[productId]],bom[Id],bom[erth],"NA")</f>
        <v>-</v>
      </c>
      <c r="P217" s="20" t="str">
        <f>_xlfn.XLOOKUP(packes[[#This Row],[productId]],bom[Id],bom[dbl],"NA")</f>
        <v>6.3flat</v>
      </c>
      <c r="Q217" s="20" t="str">
        <f>LEFT(packes[[#This Row],[date]],4)</f>
        <v>1403</v>
      </c>
    </row>
    <row r="218" spans="1:17" s="23" customFormat="1" ht="16.5" x14ac:dyDescent="0.25">
      <c r="A218" s="23">
        <v>216</v>
      </c>
      <c r="B218" s="24" t="s">
        <v>199</v>
      </c>
      <c r="C218" s="23">
        <v>140020181</v>
      </c>
      <c r="D218" s="23">
        <v>1575</v>
      </c>
      <c r="E218" s="27">
        <v>1.1413748378728923</v>
      </c>
      <c r="F218" s="27">
        <v>2282.7496757457848</v>
      </c>
      <c r="G218" s="23">
        <v>9</v>
      </c>
      <c r="H218" s="486">
        <v>2000</v>
      </c>
      <c r="J218" s="487" t="s">
        <v>224</v>
      </c>
      <c r="K218" s="488"/>
      <c r="L218" s="488"/>
      <c r="M218" s="548">
        <f>_xlfn.XLOOKUP(packes[[#This Row],[productId]],CT[productId],CT[total],"NA")</f>
        <v>88.929999999999993</v>
      </c>
      <c r="N218" s="20" t="str">
        <f>_xlfn.XLOOKUP(packes[[#This Row],[productId]],bom[Id],bom[ph],"NA")</f>
        <v>VH</v>
      </c>
      <c r="O218" s="20" t="str">
        <f>_xlfn.XLOOKUP(packes[[#This Row],[productId]],bom[Id],bom[erth],"NA")</f>
        <v>nut4</v>
      </c>
      <c r="P218" s="20" t="str">
        <f>_xlfn.XLOOKUP(packes[[#This Row],[productId]],bom[Id],bom[dbl],"NA")</f>
        <v>-</v>
      </c>
      <c r="Q218" s="20" t="str">
        <f>LEFT(packes[[#This Row],[date]],4)</f>
        <v>1403</v>
      </c>
    </row>
    <row r="219" spans="1:17" s="23" customFormat="1" ht="16.5" x14ac:dyDescent="0.25">
      <c r="A219" s="23">
        <v>217</v>
      </c>
      <c r="B219" s="24" t="s">
        <v>199</v>
      </c>
      <c r="C219" s="23">
        <v>140030039</v>
      </c>
      <c r="D219" s="23">
        <v>800</v>
      </c>
      <c r="E219" s="27">
        <v>1.1092487279257708</v>
      </c>
      <c r="F219" s="27">
        <v>776.47410954803956</v>
      </c>
      <c r="H219" s="486">
        <v>700</v>
      </c>
      <c r="J219" s="487" t="s">
        <v>224</v>
      </c>
      <c r="K219" s="488"/>
      <c r="L219" s="488"/>
      <c r="M219" s="548">
        <f>_xlfn.XLOOKUP(packes[[#This Row],[productId]],CT[productId],CT[total],"NA")</f>
        <v>92.504999999999995</v>
      </c>
      <c r="N219" s="20" t="str">
        <f>_xlfn.XLOOKUP(packes[[#This Row],[productId]],bom[Id],bom[ph],"NA")</f>
        <v>YH</v>
      </c>
      <c r="O219" s="20" t="str">
        <f>_xlfn.XLOOKUP(packes[[#This Row],[productId]],bom[Id],bom[erth],"NA")</f>
        <v>sun</v>
      </c>
      <c r="P219" s="20" t="str">
        <f>_xlfn.XLOOKUP(packes[[#This Row],[productId]],bom[Id],bom[dbl],"NA")</f>
        <v>-</v>
      </c>
      <c r="Q219" s="20" t="str">
        <f>LEFT(packes[[#This Row],[date]],4)</f>
        <v>1403</v>
      </c>
    </row>
    <row r="220" spans="1:17" s="23" customFormat="1" ht="16.5" x14ac:dyDescent="0.25">
      <c r="A220" s="23">
        <v>218</v>
      </c>
      <c r="B220" s="24" t="s">
        <v>199</v>
      </c>
      <c r="C220" s="23">
        <v>140030040</v>
      </c>
      <c r="D220" s="23">
        <v>1600</v>
      </c>
      <c r="E220" s="27">
        <v>2.7237354085603114</v>
      </c>
      <c r="F220" s="27">
        <v>4494.1634241245138</v>
      </c>
      <c r="H220" s="486">
        <v>1650</v>
      </c>
      <c r="J220" s="487" t="s">
        <v>224</v>
      </c>
      <c r="K220" s="488"/>
      <c r="L220" s="488"/>
      <c r="M220" s="548">
        <f>_xlfn.XLOOKUP(packes[[#This Row],[productId]],CT[productId],CT[total],"NA")</f>
        <v>97.305000000000007</v>
      </c>
      <c r="N220" s="20" t="str">
        <f>_xlfn.XLOOKUP(packes[[#This Row],[productId]],bom[Id],bom[ph],"NA")</f>
        <v>YH</v>
      </c>
      <c r="O220" s="20" t="str">
        <f>_xlfn.XLOOKUP(packes[[#This Row],[productId]],bom[Id],bom[erth],"NA")</f>
        <v>sun</v>
      </c>
      <c r="P220" s="20" t="str">
        <f>_xlfn.XLOOKUP(packes[[#This Row],[productId]],bom[Id],bom[dbl],"NA")</f>
        <v>-</v>
      </c>
      <c r="Q220" s="20" t="str">
        <f>LEFT(packes[[#This Row],[date]],4)</f>
        <v>1403</v>
      </c>
    </row>
    <row r="221" spans="1:17" s="23" customFormat="1" ht="16.5" x14ac:dyDescent="0.25">
      <c r="A221" s="23">
        <v>219</v>
      </c>
      <c r="B221" s="24" t="s">
        <v>199</v>
      </c>
      <c r="C221" s="23">
        <v>140550019</v>
      </c>
      <c r="D221" s="23">
        <v>200</v>
      </c>
      <c r="E221" s="27">
        <v>1.9455252918287937</v>
      </c>
      <c r="F221" s="27">
        <v>1361.8677042801555</v>
      </c>
      <c r="H221" s="486">
        <v>700</v>
      </c>
      <c r="J221" s="487" t="s">
        <v>224</v>
      </c>
      <c r="K221" s="488"/>
      <c r="L221" s="488"/>
      <c r="M221" s="548">
        <f>_xlfn.XLOOKUP(packes[[#This Row],[productId]],CT[productId],CT[total],"NA")</f>
        <v>211.66499999999999</v>
      </c>
      <c r="N221" s="20" t="str">
        <f>_xlfn.XLOOKUP(packes[[#This Row],[productId]],bom[Id],bom[ph],"NA")</f>
        <v>6.3ch</v>
      </c>
      <c r="O221" s="20" t="str">
        <f>_xlfn.XLOOKUP(packes[[#This Row],[productId]],bom[Id],bom[erth],"NA")</f>
        <v>nut4</v>
      </c>
      <c r="P221" s="20" t="str">
        <f>_xlfn.XLOOKUP(packes[[#This Row],[productId]],bom[Id],bom[dbl],"NA")</f>
        <v>-</v>
      </c>
      <c r="Q221" s="20" t="str">
        <f>LEFT(packes[[#This Row],[date]],4)</f>
        <v>1403</v>
      </c>
    </row>
    <row r="222" spans="1:17" s="23" customFormat="1" ht="16.5" x14ac:dyDescent="0.25">
      <c r="A222" s="23">
        <v>220</v>
      </c>
      <c r="B222" s="24" t="s">
        <v>199</v>
      </c>
      <c r="C222" s="23">
        <v>140550060</v>
      </c>
      <c r="D222" s="23">
        <v>1500</v>
      </c>
      <c r="E222" s="27">
        <v>1.207223386211713</v>
      </c>
      <c r="F222" s="27">
        <v>120.7223386211713</v>
      </c>
      <c r="G222" s="23">
        <v>8</v>
      </c>
      <c r="H222" s="486">
        <v>100</v>
      </c>
      <c r="J222" s="487" t="s">
        <v>224</v>
      </c>
      <c r="K222" s="488"/>
      <c r="L222" s="488"/>
      <c r="M222" s="548">
        <f>_xlfn.XLOOKUP(packes[[#This Row],[productId]],CT[productId],CT[total],"NA")</f>
        <v>81.220000000000013</v>
      </c>
      <c r="N222" s="20" t="str">
        <f>_xlfn.XLOOKUP(packes[[#This Row],[productId]],bom[Id],bom[ph],"NA")</f>
        <v>radio</v>
      </c>
      <c r="O222" s="20" t="str">
        <f>_xlfn.XLOOKUP(packes[[#This Row],[productId]],bom[Id],bom[erth],"NA")</f>
        <v>-</v>
      </c>
      <c r="P222" s="20" t="str">
        <f>_xlfn.XLOOKUP(packes[[#This Row],[productId]],bom[Id],bom[dbl],"NA")</f>
        <v>-</v>
      </c>
      <c r="Q222" s="20" t="str">
        <f>LEFT(packes[[#This Row],[date]],4)</f>
        <v>1403</v>
      </c>
    </row>
    <row r="223" spans="1:17" s="23" customFormat="1" ht="16.5" x14ac:dyDescent="0.25">
      <c r="A223" s="23">
        <v>221</v>
      </c>
      <c r="B223" s="24" t="s">
        <v>199</v>
      </c>
      <c r="C223" s="23">
        <v>140550063</v>
      </c>
      <c r="D223" s="23">
        <v>600</v>
      </c>
      <c r="E223" s="27">
        <v>1.1413748378728923</v>
      </c>
      <c r="F223" s="27">
        <v>117.56160830090791</v>
      </c>
      <c r="H223" s="486">
        <v>103</v>
      </c>
      <c r="J223" s="487" t="s">
        <v>224</v>
      </c>
      <c r="K223" s="488"/>
      <c r="L223" s="488"/>
      <c r="M223" s="548" t="str">
        <f>_xlfn.XLOOKUP(packes[[#This Row],[productId]],CT[productId],CT[total],"NA")</f>
        <v>NA</v>
      </c>
      <c r="N223" s="20" t="str">
        <f>_xlfn.XLOOKUP(packes[[#This Row],[productId]],bom[Id],bom[ph],"NA")</f>
        <v>VH</v>
      </c>
      <c r="O223" s="20" t="str">
        <f>_xlfn.XLOOKUP(packes[[#This Row],[productId]],bom[Id],bom[erth],"NA")</f>
        <v>-</v>
      </c>
      <c r="P223" s="20" t="str">
        <f>_xlfn.XLOOKUP(packes[[#This Row],[productId]],bom[Id],bom[dbl],"NA")</f>
        <v>-</v>
      </c>
      <c r="Q223" s="20" t="str">
        <f>LEFT(packes[[#This Row],[date]],4)</f>
        <v>1403</v>
      </c>
    </row>
    <row r="224" spans="1:17" s="23" customFormat="1" ht="16.5" x14ac:dyDescent="0.25">
      <c r="A224" s="23">
        <v>222</v>
      </c>
      <c r="B224" s="24" t="s">
        <v>186</v>
      </c>
      <c r="C224" s="23">
        <v>140010117</v>
      </c>
      <c r="D224" s="23">
        <v>825</v>
      </c>
      <c r="E224" s="27">
        <v>1.3469021251122417</v>
      </c>
      <c r="F224" s="27">
        <v>673.45106255612086</v>
      </c>
      <c r="G224" s="23">
        <v>10</v>
      </c>
      <c r="H224" s="486">
        <v>500</v>
      </c>
      <c r="J224" s="487" t="s">
        <v>224</v>
      </c>
      <c r="K224" s="488"/>
      <c r="L224" s="488"/>
      <c r="M224" s="548">
        <f>_xlfn.XLOOKUP(packes[[#This Row],[productId]],CT[productId],CT[total],"NA")</f>
        <v>98.295000000000016</v>
      </c>
      <c r="N224" s="20" t="str">
        <f>_xlfn.XLOOKUP(packes[[#This Row],[productId]],bom[Id],bom[ph],"NA")</f>
        <v>nar.p</v>
      </c>
      <c r="O224" s="20" t="str">
        <f>_xlfn.XLOOKUP(packes[[#This Row],[productId]],bom[Id],bom[erth],"NA")</f>
        <v>-</v>
      </c>
      <c r="P224" s="20" t="str">
        <f>_xlfn.XLOOKUP(packes[[#This Row],[productId]],bom[Id],bom[dbl],"NA")</f>
        <v>nar.p</v>
      </c>
      <c r="Q224" s="20" t="str">
        <f>LEFT(packes[[#This Row],[date]],4)</f>
        <v>1403</v>
      </c>
    </row>
    <row r="225" spans="1:17" s="23" customFormat="1" ht="16.5" x14ac:dyDescent="0.25">
      <c r="A225" s="23">
        <v>223</v>
      </c>
      <c r="B225" s="24" t="s">
        <v>186</v>
      </c>
      <c r="C225" s="23">
        <v>140010255</v>
      </c>
      <c r="D225" s="23">
        <v>700</v>
      </c>
      <c r="E225" s="27">
        <v>1.6063054973560809</v>
      </c>
      <c r="F225" s="27">
        <v>4818.9164920682424</v>
      </c>
      <c r="H225" s="486">
        <v>3000</v>
      </c>
      <c r="J225" s="487" t="s">
        <v>224</v>
      </c>
      <c r="K225" s="488"/>
      <c r="L225" s="488"/>
      <c r="M225" s="548">
        <f>_xlfn.XLOOKUP(packes[[#This Row],[productId]],CT[productId],CT[total],"NA")</f>
        <v>95.575000000000003</v>
      </c>
      <c r="N225" s="20" t="str">
        <f>_xlfn.XLOOKUP(packes[[#This Row],[productId]],bom[Id],bom[ph],"NA")</f>
        <v>-</v>
      </c>
      <c r="O225" s="20" t="str">
        <f>_xlfn.XLOOKUP(packes[[#This Row],[productId]],bom[Id],bom[erth],"NA")</f>
        <v>-</v>
      </c>
      <c r="P225" s="20" t="str">
        <f>_xlfn.XLOOKUP(packes[[#This Row],[productId]],bom[Id],bom[dbl],"NA")</f>
        <v>6.3flat</v>
      </c>
      <c r="Q225" s="20" t="str">
        <f>LEFT(packes[[#This Row],[date]],4)</f>
        <v>1403</v>
      </c>
    </row>
    <row r="226" spans="1:17" s="23" customFormat="1" ht="16.5" x14ac:dyDescent="0.25">
      <c r="A226" s="23">
        <v>224</v>
      </c>
      <c r="B226" s="24" t="s">
        <v>186</v>
      </c>
      <c r="C226" s="23">
        <v>140020181</v>
      </c>
      <c r="D226" s="23">
        <v>225</v>
      </c>
      <c r="E226" s="27" t="e">
        <v>#N/A</v>
      </c>
      <c r="F226" s="27" t="e">
        <v>#N/A</v>
      </c>
      <c r="G226" s="23">
        <v>9</v>
      </c>
      <c r="H226" s="486">
        <v>100</v>
      </c>
      <c r="J226" s="487" t="s">
        <v>224</v>
      </c>
      <c r="K226" s="488"/>
      <c r="L226" s="488"/>
      <c r="M226" s="548">
        <f>_xlfn.XLOOKUP(packes[[#This Row],[productId]],CT[productId],CT[total],"NA")</f>
        <v>88.929999999999993</v>
      </c>
      <c r="N226" s="20" t="str">
        <f>_xlfn.XLOOKUP(packes[[#This Row],[productId]],bom[Id],bom[ph],"NA")</f>
        <v>VH</v>
      </c>
      <c r="O226" s="20" t="str">
        <f>_xlfn.XLOOKUP(packes[[#This Row],[productId]],bom[Id],bom[erth],"NA")</f>
        <v>nut4</v>
      </c>
      <c r="P226" s="20" t="str">
        <f>_xlfn.XLOOKUP(packes[[#This Row],[productId]],bom[Id],bom[dbl],"NA")</f>
        <v>-</v>
      </c>
      <c r="Q226" s="20" t="str">
        <f>LEFT(packes[[#This Row],[date]],4)</f>
        <v>1403</v>
      </c>
    </row>
    <row r="227" spans="1:17" s="23" customFormat="1" ht="16.5" x14ac:dyDescent="0.25">
      <c r="A227" s="23">
        <v>225</v>
      </c>
      <c r="B227" s="24" t="s">
        <v>186</v>
      </c>
      <c r="C227" s="23">
        <v>140030039</v>
      </c>
      <c r="D227" s="23">
        <v>300</v>
      </c>
      <c r="E227" s="27">
        <v>1</v>
      </c>
      <c r="F227" s="27">
        <v>300</v>
      </c>
      <c r="H227" s="486">
        <v>300</v>
      </c>
      <c r="J227" s="487" t="s">
        <v>224</v>
      </c>
      <c r="K227" s="488"/>
      <c r="L227" s="488"/>
      <c r="M227" s="548">
        <f>_xlfn.XLOOKUP(packes[[#This Row],[productId]],CT[productId],CT[total],"NA")</f>
        <v>92.504999999999995</v>
      </c>
      <c r="N227" s="20" t="str">
        <f>_xlfn.XLOOKUP(packes[[#This Row],[productId]],bom[Id],bom[ph],"NA")</f>
        <v>YH</v>
      </c>
      <c r="O227" s="20" t="str">
        <f>_xlfn.XLOOKUP(packes[[#This Row],[productId]],bom[Id],bom[erth],"NA")</f>
        <v>sun</v>
      </c>
      <c r="P227" s="20" t="str">
        <f>_xlfn.XLOOKUP(packes[[#This Row],[productId]],bom[Id],bom[dbl],"NA")</f>
        <v>-</v>
      </c>
      <c r="Q227" s="20" t="str">
        <f>LEFT(packes[[#This Row],[date]],4)</f>
        <v>1403</v>
      </c>
    </row>
    <row r="228" spans="1:17" s="23" customFormat="1" ht="16.5" x14ac:dyDescent="0.25">
      <c r="A228" s="23">
        <v>226</v>
      </c>
      <c r="B228" s="24" t="s">
        <v>186</v>
      </c>
      <c r="C228" s="23">
        <v>140030040</v>
      </c>
      <c r="D228" s="23">
        <v>100</v>
      </c>
      <c r="E228" s="27">
        <v>1.1413748378728923</v>
      </c>
      <c r="F228" s="27">
        <v>2282.7496757457848</v>
      </c>
      <c r="H228" s="486">
        <v>2000</v>
      </c>
      <c r="J228" s="487" t="s">
        <v>224</v>
      </c>
      <c r="K228" s="488"/>
      <c r="L228" s="488"/>
      <c r="M228" s="548">
        <f>_xlfn.XLOOKUP(packes[[#This Row],[productId]],CT[productId],CT[total],"NA")</f>
        <v>97.305000000000007</v>
      </c>
      <c r="N228" s="20" t="str">
        <f>_xlfn.XLOOKUP(packes[[#This Row],[productId]],bom[Id],bom[ph],"NA")</f>
        <v>YH</v>
      </c>
      <c r="O228" s="20" t="str">
        <f>_xlfn.XLOOKUP(packes[[#This Row],[productId]],bom[Id],bom[erth],"NA")</f>
        <v>sun</v>
      </c>
      <c r="P228" s="20" t="str">
        <f>_xlfn.XLOOKUP(packes[[#This Row],[productId]],bom[Id],bom[dbl],"NA")</f>
        <v>-</v>
      </c>
      <c r="Q228" s="20" t="str">
        <f>LEFT(packes[[#This Row],[date]],4)</f>
        <v>1403</v>
      </c>
    </row>
    <row r="229" spans="1:17" s="23" customFormat="1" ht="16.5" x14ac:dyDescent="0.25">
      <c r="A229" s="23">
        <v>227</v>
      </c>
      <c r="B229" s="24" t="s">
        <v>186</v>
      </c>
      <c r="C229" s="23">
        <v>140680007</v>
      </c>
      <c r="D229" s="23">
        <v>1500</v>
      </c>
      <c r="E229" s="27">
        <v>1.1092487279257708</v>
      </c>
      <c r="F229" s="27">
        <v>1109.2487279257707</v>
      </c>
      <c r="H229" s="486">
        <v>1000</v>
      </c>
      <c r="J229" s="487" t="s">
        <v>224</v>
      </c>
      <c r="K229" s="488"/>
      <c r="L229" s="488"/>
      <c r="M229" s="548" t="str">
        <f>_xlfn.XLOOKUP(packes[[#This Row],[productId]],CT[productId],CT[total],"NA")</f>
        <v>NA</v>
      </c>
      <c r="N229" s="20" t="str">
        <f>_xlfn.XLOOKUP(packes[[#This Row],[productId]],bom[Id],bom[ph],"NA")</f>
        <v>nar.p</v>
      </c>
      <c r="O229" s="20" t="str">
        <f>_xlfn.XLOOKUP(packes[[#This Row],[productId]],bom[Id],bom[erth],"NA")</f>
        <v>-</v>
      </c>
      <c r="P229" s="20" t="str">
        <f>_xlfn.XLOOKUP(packes[[#This Row],[productId]],bom[Id],bom[dbl],"NA")</f>
        <v>nar.p</v>
      </c>
      <c r="Q229" s="20" t="str">
        <f>LEFT(packes[[#This Row],[date]],4)</f>
        <v>1403</v>
      </c>
    </row>
    <row r="230" spans="1:17" s="23" customFormat="1" ht="16.5" x14ac:dyDescent="0.25">
      <c r="A230" s="23">
        <v>228</v>
      </c>
      <c r="B230" s="24" t="s">
        <v>186</v>
      </c>
      <c r="C230" s="23">
        <v>140550019</v>
      </c>
      <c r="D230" s="23">
        <v>400</v>
      </c>
      <c r="E230" s="27">
        <v>2.7237354085603114</v>
      </c>
      <c r="F230" s="27">
        <v>7217.8988326848248</v>
      </c>
      <c r="H230" s="486">
        <v>2650</v>
      </c>
      <c r="J230" s="487" t="s">
        <v>224</v>
      </c>
      <c r="K230" s="488"/>
      <c r="L230" s="488"/>
      <c r="M230" s="548">
        <f>_xlfn.XLOOKUP(packes[[#This Row],[productId]],CT[productId],CT[total],"NA")</f>
        <v>211.66499999999999</v>
      </c>
      <c r="N230" s="20" t="str">
        <f>_xlfn.XLOOKUP(packes[[#This Row],[productId]],bom[Id],bom[ph],"NA")</f>
        <v>6.3ch</v>
      </c>
      <c r="O230" s="20" t="str">
        <f>_xlfn.XLOOKUP(packes[[#This Row],[productId]],bom[Id],bom[erth],"NA")</f>
        <v>nut4</v>
      </c>
      <c r="P230" s="20" t="str">
        <f>_xlfn.XLOOKUP(packes[[#This Row],[productId]],bom[Id],bom[dbl],"NA")</f>
        <v>-</v>
      </c>
      <c r="Q230" s="20" t="str">
        <f>LEFT(packes[[#This Row],[date]],4)</f>
        <v>1403</v>
      </c>
    </row>
    <row r="231" spans="1:17" s="23" customFormat="1" ht="16.5" x14ac:dyDescent="0.25">
      <c r="A231" s="23">
        <v>229</v>
      </c>
      <c r="B231" s="24" t="s">
        <v>186</v>
      </c>
      <c r="C231" s="23">
        <v>140550060</v>
      </c>
      <c r="D231" s="23">
        <v>1700</v>
      </c>
      <c r="E231" s="27">
        <v>1.9455252918287937</v>
      </c>
      <c r="F231" s="27">
        <v>1750.9727626459144</v>
      </c>
      <c r="G231" s="23">
        <v>8</v>
      </c>
      <c r="H231" s="486">
        <v>900</v>
      </c>
      <c r="J231" s="487" t="s">
        <v>224</v>
      </c>
      <c r="K231" s="488"/>
      <c r="L231" s="488"/>
      <c r="M231" s="548">
        <f>_xlfn.XLOOKUP(packes[[#This Row],[productId]],CT[productId],CT[total],"NA")</f>
        <v>81.220000000000013</v>
      </c>
      <c r="N231" s="20" t="str">
        <f>_xlfn.XLOOKUP(packes[[#This Row],[productId]],bom[Id],bom[ph],"NA")</f>
        <v>radio</v>
      </c>
      <c r="O231" s="20" t="str">
        <f>_xlfn.XLOOKUP(packes[[#This Row],[productId]],bom[Id],bom[erth],"NA")</f>
        <v>-</v>
      </c>
      <c r="P231" s="20" t="str">
        <f>_xlfn.XLOOKUP(packes[[#This Row],[productId]],bom[Id],bom[dbl],"NA")</f>
        <v>-</v>
      </c>
      <c r="Q231" s="20" t="str">
        <f>LEFT(packes[[#This Row],[date]],4)</f>
        <v>1403</v>
      </c>
    </row>
    <row r="232" spans="1:17" s="23" customFormat="1" ht="16.5" x14ac:dyDescent="0.25">
      <c r="A232" s="23">
        <v>230</v>
      </c>
      <c r="B232" s="24" t="s">
        <v>186</v>
      </c>
      <c r="C232" s="23">
        <v>140550063</v>
      </c>
      <c r="D232" s="23">
        <v>600</v>
      </c>
      <c r="E232" s="27">
        <v>1.6063054973560809</v>
      </c>
      <c r="F232" s="27">
        <v>2650.4040706375336</v>
      </c>
      <c r="H232" s="486">
        <v>1650</v>
      </c>
      <c r="J232" s="487" t="s">
        <v>224</v>
      </c>
      <c r="K232" s="488"/>
      <c r="L232" s="488"/>
      <c r="M232" s="548" t="str">
        <f>_xlfn.XLOOKUP(packes[[#This Row],[productId]],CT[productId],CT[total],"NA")</f>
        <v>NA</v>
      </c>
      <c r="N232" s="20" t="str">
        <f>_xlfn.XLOOKUP(packes[[#This Row],[productId]],bom[Id],bom[ph],"NA")</f>
        <v>VH</v>
      </c>
      <c r="O232" s="20" t="str">
        <f>_xlfn.XLOOKUP(packes[[#This Row],[productId]],bom[Id],bom[erth],"NA")</f>
        <v>-</v>
      </c>
      <c r="P232" s="20" t="str">
        <f>_xlfn.XLOOKUP(packes[[#This Row],[productId]],bom[Id],bom[dbl],"NA")</f>
        <v>-</v>
      </c>
      <c r="Q232" s="20" t="str">
        <f>LEFT(packes[[#This Row],[date]],4)</f>
        <v>1403</v>
      </c>
    </row>
    <row r="233" spans="1:17" s="23" customFormat="1" ht="16.5" x14ac:dyDescent="0.25">
      <c r="A233" s="23">
        <v>231</v>
      </c>
      <c r="B233" s="24" t="s">
        <v>1538</v>
      </c>
      <c r="C233" s="23">
        <v>140010117</v>
      </c>
      <c r="D233" s="23">
        <v>900</v>
      </c>
      <c r="E233" s="27">
        <v>1.2670857028833682</v>
      </c>
      <c r="F233" s="27">
        <v>95.031427716252608</v>
      </c>
      <c r="G233" s="23">
        <v>10</v>
      </c>
      <c r="H233" s="486">
        <v>75</v>
      </c>
      <c r="J233" s="487" t="s">
        <v>224</v>
      </c>
      <c r="K233" s="488"/>
      <c r="L233" s="488"/>
      <c r="M233" s="548">
        <f>_xlfn.XLOOKUP(packes[[#This Row],[productId]],CT[productId],CT[total],"NA")</f>
        <v>98.295000000000016</v>
      </c>
      <c r="N233" s="20" t="str">
        <f>_xlfn.XLOOKUP(packes[[#This Row],[productId]],bom[Id],bom[ph],"NA")</f>
        <v>nar.p</v>
      </c>
      <c r="O233" s="20" t="str">
        <f>_xlfn.XLOOKUP(packes[[#This Row],[productId]],bom[Id],bom[erth],"NA")</f>
        <v>-</v>
      </c>
      <c r="P233" s="20" t="str">
        <f>_xlfn.XLOOKUP(packes[[#This Row],[productId]],bom[Id],bom[dbl],"NA")</f>
        <v>nar.p</v>
      </c>
      <c r="Q233" s="20" t="str">
        <f>LEFT(packes[[#This Row],[date]],4)</f>
        <v>1403</v>
      </c>
    </row>
    <row r="234" spans="1:17" s="23" customFormat="1" ht="16.5" x14ac:dyDescent="0.25">
      <c r="A234" s="23">
        <v>232</v>
      </c>
      <c r="B234" s="24" t="s">
        <v>1538</v>
      </c>
      <c r="C234" s="23">
        <v>140010230</v>
      </c>
      <c r="D234" s="23">
        <v>320</v>
      </c>
      <c r="E234" s="27">
        <v>1.1972463334331038</v>
      </c>
      <c r="F234" s="27">
        <v>4466.9260700389104</v>
      </c>
      <c r="G234" s="23">
        <v>10</v>
      </c>
      <c r="H234" s="486">
        <v>3731</v>
      </c>
      <c r="I234" s="23">
        <v>9</v>
      </c>
      <c r="J234" s="487">
        <v>70</v>
      </c>
      <c r="K234" s="488"/>
      <c r="L234" s="488"/>
      <c r="M234" s="548">
        <f>_xlfn.XLOOKUP(packes[[#This Row],[productId]],CT[productId],CT[total],"NA")</f>
        <v>147.595</v>
      </c>
      <c r="N234" s="20" t="str">
        <f>_xlfn.XLOOKUP(packes[[#This Row],[productId]],bom[Id],bom[ph],"NA")</f>
        <v>nar.p</v>
      </c>
      <c r="O234" s="20" t="str">
        <f>_xlfn.XLOOKUP(packes[[#This Row],[productId]],bom[Id],bom[erth],"NA")</f>
        <v>-</v>
      </c>
      <c r="P234" s="20" t="str">
        <f>_xlfn.XLOOKUP(packes[[#This Row],[productId]],bom[Id],bom[dbl],"NA")</f>
        <v>nar.p</v>
      </c>
      <c r="Q234" s="20" t="str">
        <f>LEFT(packes[[#This Row],[date]],4)</f>
        <v>1403</v>
      </c>
    </row>
    <row r="235" spans="1:17" s="23" customFormat="1" ht="16.5" x14ac:dyDescent="0.25">
      <c r="A235" s="23">
        <v>233</v>
      </c>
      <c r="B235" s="24" t="s">
        <v>1538</v>
      </c>
      <c r="C235" s="23">
        <v>140090143</v>
      </c>
      <c r="D235" s="23">
        <v>600</v>
      </c>
      <c r="E235" s="27">
        <v>1.5763743390202534</v>
      </c>
      <c r="F235" s="27">
        <v>78.818716951012675</v>
      </c>
      <c r="G235" s="23">
        <v>10</v>
      </c>
      <c r="H235" s="486">
        <v>50</v>
      </c>
      <c r="J235" s="487" t="s">
        <v>224</v>
      </c>
      <c r="K235" s="488"/>
      <c r="L235" s="488"/>
      <c r="M235" s="548">
        <f>_xlfn.XLOOKUP(packes[[#This Row],[productId]],CT[productId],CT[total],"NA")</f>
        <v>233.215</v>
      </c>
      <c r="N235" s="20" t="str">
        <f>_xlfn.XLOOKUP(packes[[#This Row],[productId]],bom[Id],bom[ph],"NA")</f>
        <v>molex</v>
      </c>
      <c r="O235" s="20" t="str">
        <f>_xlfn.XLOOKUP(packes[[#This Row],[productId]],bom[Id],bom[erth],"NA")</f>
        <v>-</v>
      </c>
      <c r="P235" s="20" t="str">
        <f>_xlfn.XLOOKUP(packes[[#This Row],[productId]],bom[Id],bom[dbl],"NA")</f>
        <v>splice</v>
      </c>
      <c r="Q235" s="20" t="str">
        <f>LEFT(packes[[#This Row],[date]],4)</f>
        <v>1403</v>
      </c>
    </row>
    <row r="236" spans="1:17" s="23" customFormat="1" ht="16.5" x14ac:dyDescent="0.25">
      <c r="A236" s="23">
        <v>234</v>
      </c>
      <c r="B236" s="24" t="s">
        <v>1538</v>
      </c>
      <c r="C236" s="23">
        <v>140220012</v>
      </c>
      <c r="D236" s="23">
        <v>400</v>
      </c>
      <c r="E236" s="27">
        <v>1</v>
      </c>
      <c r="F236" s="27">
        <v>675</v>
      </c>
      <c r="G236" s="23">
        <v>10</v>
      </c>
      <c r="H236" s="486">
        <v>675</v>
      </c>
      <c r="J236" s="487" t="s">
        <v>224</v>
      </c>
      <c r="K236" s="488"/>
      <c r="L236" s="488"/>
      <c r="M236" s="548">
        <f>_xlfn.XLOOKUP(packes[[#This Row],[productId]],CT[productId],CT[total],"NA")</f>
        <v>192.86500000000001</v>
      </c>
      <c r="N236" s="20" t="str">
        <f>_xlfn.XLOOKUP(packes[[#This Row],[productId]],bom[Id],bom[ph],"NA")</f>
        <v>flag</v>
      </c>
      <c r="O236" s="20" t="str">
        <f>_xlfn.XLOOKUP(packes[[#This Row],[productId]],bom[Id],bom[erth],"NA")</f>
        <v>sun</v>
      </c>
      <c r="P236" s="20" t="str">
        <f>_xlfn.XLOOKUP(packes[[#This Row],[productId]],bom[Id],bom[dbl],"NA")</f>
        <v>-</v>
      </c>
      <c r="Q236" s="20" t="str">
        <f>LEFT(packes[[#This Row],[date]],4)</f>
        <v>1403</v>
      </c>
    </row>
    <row r="237" spans="1:17" s="23" customFormat="1" ht="16.5" x14ac:dyDescent="0.25">
      <c r="A237" s="23">
        <v>235</v>
      </c>
      <c r="B237" s="24" t="s">
        <v>1538</v>
      </c>
      <c r="C237" s="23">
        <v>141650001</v>
      </c>
      <c r="D237" s="23">
        <v>1050</v>
      </c>
      <c r="E237" s="27">
        <v>1.4486680634540554</v>
      </c>
      <c r="F237" s="27">
        <v>72.433403172702768</v>
      </c>
      <c r="H237" s="486">
        <v>50</v>
      </c>
      <c r="J237" s="487" t="s">
        <v>224</v>
      </c>
      <c r="K237" s="488"/>
      <c r="L237" s="488"/>
      <c r="M237" s="548">
        <f>_xlfn.XLOOKUP(packes[[#This Row],[productId]],CT[productId],CT[total],"NA")</f>
        <v>100.965</v>
      </c>
      <c r="N237" s="20" t="str">
        <f>_xlfn.XLOOKUP(packes[[#This Row],[productId]],bom[Id],bom[ph],"NA")</f>
        <v>6.3k</v>
      </c>
      <c r="O237" s="20" t="str">
        <f>_xlfn.XLOOKUP(packes[[#This Row],[productId]],bom[Id],bom[erth],"NA")</f>
        <v>flag</v>
      </c>
      <c r="P237" s="20" t="str">
        <f>_xlfn.XLOOKUP(packes[[#This Row],[productId]],bom[Id],bom[dbl],"NA")</f>
        <v>-</v>
      </c>
      <c r="Q237" s="20" t="str">
        <f>LEFT(packes[[#This Row],[date]],4)</f>
        <v>1403</v>
      </c>
    </row>
    <row r="238" spans="1:17" s="23" customFormat="1" ht="16.5" x14ac:dyDescent="0.25">
      <c r="A238" s="23">
        <v>236</v>
      </c>
      <c r="B238" s="24" t="s">
        <v>1538</v>
      </c>
      <c r="C238" s="23">
        <v>140310012</v>
      </c>
      <c r="D238" s="23">
        <v>320</v>
      </c>
      <c r="E238" s="27">
        <v>1.1413748378728923</v>
      </c>
      <c r="F238" s="27">
        <v>114.13748378728923</v>
      </c>
      <c r="G238" s="23">
        <v>10</v>
      </c>
      <c r="H238" s="486">
        <v>100</v>
      </c>
      <c r="J238" s="487" t="s">
        <v>224</v>
      </c>
      <c r="K238" s="488"/>
      <c r="L238" s="488"/>
      <c r="M238" s="548" t="str">
        <f>_xlfn.XLOOKUP(packes[[#This Row],[productId]],CT[productId],CT[total],"NA")</f>
        <v>NA</v>
      </c>
      <c r="N238" s="20" t="str">
        <f>_xlfn.XLOOKUP(packes[[#This Row],[productId]],bom[Id],bom[ph],"NA")</f>
        <v>4.8ch</v>
      </c>
      <c r="O238" s="20" t="str">
        <f>_xlfn.XLOOKUP(packes[[#This Row],[productId]],bom[Id],bom[erth],"NA")</f>
        <v>-</v>
      </c>
      <c r="P238" s="20" t="str">
        <f>_xlfn.XLOOKUP(packes[[#This Row],[productId]],bom[Id],bom[dbl],"NA")</f>
        <v>-</v>
      </c>
      <c r="Q238" s="20" t="str">
        <f>LEFT(packes[[#This Row],[date]],4)</f>
        <v>1403</v>
      </c>
    </row>
    <row r="239" spans="1:17" s="23" customFormat="1" ht="16.5" x14ac:dyDescent="0.25">
      <c r="A239" s="23">
        <v>237</v>
      </c>
      <c r="B239" s="24" t="s">
        <v>1538</v>
      </c>
      <c r="C239" s="23">
        <v>140680007</v>
      </c>
      <c r="D239" s="23">
        <v>800</v>
      </c>
      <c r="E239" s="27">
        <v>2.7237354085603114</v>
      </c>
      <c r="F239" s="27">
        <v>136.18677042801556</v>
      </c>
      <c r="H239" s="486">
        <v>50</v>
      </c>
      <c r="J239" s="487" t="s">
        <v>224</v>
      </c>
      <c r="K239" s="488"/>
      <c r="L239" s="488"/>
      <c r="M239" s="548" t="str">
        <f>_xlfn.XLOOKUP(packes[[#This Row],[productId]],CT[productId],CT[total],"NA")</f>
        <v>NA</v>
      </c>
      <c r="N239" s="20" t="str">
        <f>_xlfn.XLOOKUP(packes[[#This Row],[productId]],bom[Id],bom[ph],"NA")</f>
        <v>nar.p</v>
      </c>
      <c r="O239" s="20" t="str">
        <f>_xlfn.XLOOKUP(packes[[#This Row],[productId]],bom[Id],bom[erth],"NA")</f>
        <v>-</v>
      </c>
      <c r="P239" s="20" t="str">
        <f>_xlfn.XLOOKUP(packes[[#This Row],[productId]],bom[Id],bom[dbl],"NA")</f>
        <v>nar.p</v>
      </c>
      <c r="Q239" s="20" t="str">
        <f>LEFT(packes[[#This Row],[date]],4)</f>
        <v>1403</v>
      </c>
    </row>
    <row r="240" spans="1:17" s="23" customFormat="1" ht="16.5" x14ac:dyDescent="0.25">
      <c r="A240" s="23">
        <v>238</v>
      </c>
      <c r="B240" s="24" t="s">
        <v>1538</v>
      </c>
      <c r="C240" s="23">
        <v>140550060</v>
      </c>
      <c r="D240" s="23">
        <v>1100</v>
      </c>
      <c r="E240" s="27">
        <v>1.9455252918287937</v>
      </c>
      <c r="F240" s="27">
        <v>972.7626459143969</v>
      </c>
      <c r="G240" s="23">
        <v>8</v>
      </c>
      <c r="H240" s="486">
        <v>500</v>
      </c>
      <c r="J240" s="487" t="s">
        <v>224</v>
      </c>
      <c r="K240" s="488"/>
      <c r="L240" s="488"/>
      <c r="M240" s="548">
        <f>_xlfn.XLOOKUP(packes[[#This Row],[productId]],CT[productId],CT[total],"NA")</f>
        <v>81.220000000000013</v>
      </c>
      <c r="N240" s="20" t="str">
        <f>_xlfn.XLOOKUP(packes[[#This Row],[productId]],bom[Id],bom[ph],"NA")</f>
        <v>radio</v>
      </c>
      <c r="O240" s="20" t="str">
        <f>_xlfn.XLOOKUP(packes[[#This Row],[productId]],bom[Id],bom[erth],"NA")</f>
        <v>-</v>
      </c>
      <c r="P240" s="20" t="str">
        <f>_xlfn.XLOOKUP(packes[[#This Row],[productId]],bom[Id],bom[dbl],"NA")</f>
        <v>-</v>
      </c>
      <c r="Q240" s="20" t="str">
        <f>LEFT(packes[[#This Row],[date]],4)</f>
        <v>1403</v>
      </c>
    </row>
    <row r="241" spans="1:17" s="23" customFormat="1" ht="16.5" x14ac:dyDescent="0.25">
      <c r="A241" s="23">
        <v>239</v>
      </c>
      <c r="B241" s="24" t="s">
        <v>1539</v>
      </c>
      <c r="C241" s="23">
        <v>140010117</v>
      </c>
      <c r="D241" s="23">
        <v>225</v>
      </c>
      <c r="E241" s="27">
        <v>1.6063054973560809</v>
      </c>
      <c r="F241" s="27">
        <v>562.20692407462832</v>
      </c>
      <c r="G241" s="23">
        <v>10</v>
      </c>
      <c r="H241" s="486">
        <v>350</v>
      </c>
      <c r="J241" s="487" t="s">
        <v>224</v>
      </c>
      <c r="K241" s="488"/>
      <c r="L241" s="488"/>
      <c r="M241" s="548">
        <f>_xlfn.XLOOKUP(packes[[#This Row],[productId]],CT[productId],CT[total],"NA")</f>
        <v>98.295000000000016</v>
      </c>
      <c r="N241" s="20" t="str">
        <f>_xlfn.XLOOKUP(packes[[#This Row],[productId]],bom[Id],bom[ph],"NA")</f>
        <v>nar.p</v>
      </c>
      <c r="O241" s="20" t="str">
        <f>_xlfn.XLOOKUP(packes[[#This Row],[productId]],bom[Id],bom[erth],"NA")</f>
        <v>-</v>
      </c>
      <c r="P241" s="20" t="str">
        <f>_xlfn.XLOOKUP(packes[[#This Row],[productId]],bom[Id],bom[dbl],"NA")</f>
        <v>nar.p</v>
      </c>
      <c r="Q241" s="20" t="str">
        <f>LEFT(packes[[#This Row],[date]],4)</f>
        <v>1403</v>
      </c>
    </row>
    <row r="242" spans="1:17" s="23" customFormat="1" ht="16.5" x14ac:dyDescent="0.25">
      <c r="A242" s="23">
        <v>240</v>
      </c>
      <c r="B242" s="24" t="s">
        <v>1539</v>
      </c>
      <c r="C242" s="23">
        <v>140010230</v>
      </c>
      <c r="D242" s="23">
        <v>200</v>
      </c>
      <c r="E242" s="27">
        <v>1</v>
      </c>
      <c r="F242" s="27">
        <v>750</v>
      </c>
      <c r="G242" s="23">
        <v>10</v>
      </c>
      <c r="H242" s="486">
        <v>750</v>
      </c>
      <c r="J242" s="487" t="s">
        <v>224</v>
      </c>
      <c r="K242" s="488"/>
      <c r="L242" s="488"/>
      <c r="M242" s="548">
        <f>_xlfn.XLOOKUP(packes[[#This Row],[productId]],CT[productId],CT[total],"NA")</f>
        <v>147.595</v>
      </c>
      <c r="N242" s="20" t="str">
        <f>_xlfn.XLOOKUP(packes[[#This Row],[productId]],bom[Id],bom[ph],"NA")</f>
        <v>nar.p</v>
      </c>
      <c r="O242" s="20" t="str">
        <f>_xlfn.XLOOKUP(packes[[#This Row],[productId]],bom[Id],bom[erth],"NA")</f>
        <v>-</v>
      </c>
      <c r="P242" s="20" t="str">
        <f>_xlfn.XLOOKUP(packes[[#This Row],[productId]],bom[Id],bom[dbl],"NA")</f>
        <v>nar.p</v>
      </c>
      <c r="Q242" s="20" t="str">
        <f>LEFT(packes[[#This Row],[date]],4)</f>
        <v>1403</v>
      </c>
    </row>
    <row r="243" spans="1:17" s="23" customFormat="1" ht="16.5" x14ac:dyDescent="0.25">
      <c r="A243" s="23">
        <v>241</v>
      </c>
      <c r="B243" s="24" t="s">
        <v>1539</v>
      </c>
      <c r="C243" s="23">
        <v>140220012</v>
      </c>
      <c r="D243" s="23">
        <v>600</v>
      </c>
      <c r="E243" s="27">
        <v>1.4486680634540554</v>
      </c>
      <c r="F243" s="27">
        <v>1303.8012571086499</v>
      </c>
      <c r="G243" s="23">
        <v>10</v>
      </c>
      <c r="H243" s="486">
        <v>900</v>
      </c>
      <c r="J243" s="487" t="s">
        <v>224</v>
      </c>
      <c r="K243" s="488"/>
      <c r="L243" s="488"/>
      <c r="M243" s="548">
        <f>_xlfn.XLOOKUP(packes[[#This Row],[productId]],CT[productId],CT[total],"NA")</f>
        <v>192.86500000000001</v>
      </c>
      <c r="N243" s="20" t="str">
        <f>_xlfn.XLOOKUP(packes[[#This Row],[productId]],bom[Id],bom[ph],"NA")</f>
        <v>flag</v>
      </c>
      <c r="O243" s="20" t="str">
        <f>_xlfn.XLOOKUP(packes[[#This Row],[productId]],bom[Id],bom[erth],"NA")</f>
        <v>sun</v>
      </c>
      <c r="P243" s="20" t="str">
        <f>_xlfn.XLOOKUP(packes[[#This Row],[productId]],bom[Id],bom[dbl],"NA")</f>
        <v>-</v>
      </c>
      <c r="Q243" s="20" t="str">
        <f>LEFT(packes[[#This Row],[date]],4)</f>
        <v>1403</v>
      </c>
    </row>
    <row r="244" spans="1:17" s="23" customFormat="1" ht="16.5" x14ac:dyDescent="0.25">
      <c r="A244" s="23">
        <v>242</v>
      </c>
      <c r="B244" s="24" t="s">
        <v>1539</v>
      </c>
      <c r="C244" s="23">
        <v>141650001</v>
      </c>
      <c r="D244" s="23">
        <v>1100</v>
      </c>
      <c r="E244" s="27">
        <v>1.2670857028833682</v>
      </c>
      <c r="F244" s="27">
        <v>95.031427716252608</v>
      </c>
      <c r="H244" s="486">
        <v>75</v>
      </c>
      <c r="J244" s="487" t="s">
        <v>224</v>
      </c>
      <c r="K244" s="488"/>
      <c r="L244" s="488"/>
      <c r="M244" s="548">
        <f>_xlfn.XLOOKUP(packes[[#This Row],[productId]],CT[productId],CT[total],"NA")</f>
        <v>100.965</v>
      </c>
      <c r="N244" s="20" t="str">
        <f>_xlfn.XLOOKUP(packes[[#This Row],[productId]],bom[Id],bom[ph],"NA")</f>
        <v>6.3k</v>
      </c>
      <c r="O244" s="20" t="str">
        <f>_xlfn.XLOOKUP(packes[[#This Row],[productId]],bom[Id],bom[erth],"NA")</f>
        <v>flag</v>
      </c>
      <c r="P244" s="20" t="str">
        <f>_xlfn.XLOOKUP(packes[[#This Row],[productId]],bom[Id],bom[dbl],"NA")</f>
        <v>-</v>
      </c>
      <c r="Q244" s="20" t="str">
        <f>LEFT(packes[[#This Row],[date]],4)</f>
        <v>1403</v>
      </c>
    </row>
    <row r="245" spans="1:17" s="23" customFormat="1" ht="16.5" x14ac:dyDescent="0.25">
      <c r="A245" s="23">
        <v>243</v>
      </c>
      <c r="B245" s="24" t="s">
        <v>1539</v>
      </c>
      <c r="C245" s="23">
        <v>140680007</v>
      </c>
      <c r="D245" s="23">
        <v>400</v>
      </c>
      <c r="E245" s="27">
        <v>1.1413748378728923</v>
      </c>
      <c r="F245" s="27">
        <v>2282.7496757457848</v>
      </c>
      <c r="H245" s="486">
        <v>2000</v>
      </c>
      <c r="J245" s="487" t="s">
        <v>224</v>
      </c>
      <c r="K245" s="488"/>
      <c r="L245" s="488"/>
      <c r="M245" s="548" t="str">
        <f>_xlfn.XLOOKUP(packes[[#This Row],[productId]],CT[productId],CT[total],"NA")</f>
        <v>NA</v>
      </c>
      <c r="N245" s="20" t="str">
        <f>_xlfn.XLOOKUP(packes[[#This Row],[productId]],bom[Id],bom[ph],"NA")</f>
        <v>nar.p</v>
      </c>
      <c r="O245" s="20" t="str">
        <f>_xlfn.XLOOKUP(packes[[#This Row],[productId]],bom[Id],bom[erth],"NA")</f>
        <v>-</v>
      </c>
      <c r="P245" s="20" t="str">
        <f>_xlfn.XLOOKUP(packes[[#This Row],[productId]],bom[Id],bom[dbl],"NA")</f>
        <v>nar.p</v>
      </c>
      <c r="Q245" s="20" t="str">
        <f>LEFT(packes[[#This Row],[date]],4)</f>
        <v>1403</v>
      </c>
    </row>
    <row r="246" spans="1:17" s="23" customFormat="1" ht="16.5" x14ac:dyDescent="0.25">
      <c r="A246" s="23">
        <v>244</v>
      </c>
      <c r="B246" s="24" t="s">
        <v>1539</v>
      </c>
      <c r="C246" s="23">
        <v>140550060</v>
      </c>
      <c r="D246" s="23">
        <v>1900</v>
      </c>
      <c r="E246" s="27">
        <v>2.7237354085603114</v>
      </c>
      <c r="F246" s="27">
        <v>953.307392996109</v>
      </c>
      <c r="G246" s="23">
        <v>8</v>
      </c>
      <c r="H246" s="486">
        <v>350</v>
      </c>
      <c r="J246" s="487" t="s">
        <v>224</v>
      </c>
      <c r="K246" s="488"/>
      <c r="L246" s="488"/>
      <c r="M246" s="548">
        <f>_xlfn.XLOOKUP(packes[[#This Row],[productId]],CT[productId],CT[total],"NA")</f>
        <v>81.220000000000013</v>
      </c>
      <c r="N246" s="20" t="str">
        <f>_xlfn.XLOOKUP(packes[[#This Row],[productId]],bom[Id],bom[ph],"NA")</f>
        <v>radio</v>
      </c>
      <c r="O246" s="20" t="str">
        <f>_xlfn.XLOOKUP(packes[[#This Row],[productId]],bom[Id],bom[erth],"NA")</f>
        <v>-</v>
      </c>
      <c r="P246" s="20" t="str">
        <f>_xlfn.XLOOKUP(packes[[#This Row],[productId]],bom[Id],bom[dbl],"NA")</f>
        <v>-</v>
      </c>
      <c r="Q246" s="20" t="str">
        <f>LEFT(packes[[#This Row],[date]],4)</f>
        <v>1403</v>
      </c>
    </row>
    <row r="247" spans="1:17" s="23" customFormat="1" ht="16.5" x14ac:dyDescent="0.25">
      <c r="A247" s="23">
        <v>245</v>
      </c>
      <c r="B247" s="24" t="s">
        <v>1539</v>
      </c>
      <c r="C247" s="23">
        <v>140550062</v>
      </c>
      <c r="D247" s="23">
        <v>1800</v>
      </c>
      <c r="E247" s="27">
        <v>1.9455252918287937</v>
      </c>
      <c r="F247" s="27">
        <v>1945.5252918287938</v>
      </c>
      <c r="H247" s="486">
        <v>1000</v>
      </c>
      <c r="J247" s="487" t="s">
        <v>224</v>
      </c>
      <c r="K247" s="488"/>
      <c r="L247" s="488"/>
      <c r="M247" s="548" t="str">
        <f>_xlfn.XLOOKUP(packes[[#This Row],[productId]],CT[productId],CT[total],"NA")</f>
        <v>NA</v>
      </c>
      <c r="N247" s="20" t="str">
        <f>_xlfn.XLOOKUP(packes[[#This Row],[productId]],bom[Id],bom[ph],"NA")</f>
        <v>VH</v>
      </c>
      <c r="O247" s="20" t="str">
        <f>_xlfn.XLOOKUP(packes[[#This Row],[productId]],bom[Id],bom[erth],"NA")</f>
        <v>-</v>
      </c>
      <c r="P247" s="20" t="str">
        <f>_xlfn.XLOOKUP(packes[[#This Row],[productId]],bom[Id],bom[dbl],"NA")</f>
        <v>-</v>
      </c>
      <c r="Q247" s="20" t="str">
        <f>LEFT(packes[[#This Row],[date]],4)</f>
        <v>1403</v>
      </c>
    </row>
    <row r="248" spans="1:17" s="23" customFormat="1" ht="16.5" x14ac:dyDescent="0.25">
      <c r="A248" s="23">
        <v>246</v>
      </c>
      <c r="B248" s="24" t="s">
        <v>1540</v>
      </c>
      <c r="C248" s="23">
        <v>140010117</v>
      </c>
      <c r="D248" s="23">
        <v>1500</v>
      </c>
      <c r="E248" s="27">
        <v>1</v>
      </c>
      <c r="F248" s="27">
        <v>1575</v>
      </c>
      <c r="G248" s="23">
        <v>10</v>
      </c>
      <c r="H248" s="486">
        <v>225</v>
      </c>
      <c r="J248" s="487" t="s">
        <v>224</v>
      </c>
      <c r="K248" s="488"/>
      <c r="L248" s="488"/>
      <c r="M248" s="548">
        <f>_xlfn.XLOOKUP(packes[[#This Row],[productId]],CT[productId],CT[total],"NA")</f>
        <v>98.295000000000016</v>
      </c>
      <c r="N248" s="20" t="str">
        <f>_xlfn.XLOOKUP(packes[[#This Row],[productId]],bom[Id],bom[ph],"NA")</f>
        <v>nar.p</v>
      </c>
      <c r="O248" s="20" t="str">
        <f>_xlfn.XLOOKUP(packes[[#This Row],[productId]],bom[Id],bom[erth],"NA")</f>
        <v>-</v>
      </c>
      <c r="P248" s="20" t="str">
        <f>_xlfn.XLOOKUP(packes[[#This Row],[productId]],bom[Id],bom[dbl],"NA")</f>
        <v>nar.p</v>
      </c>
      <c r="Q248" s="20" t="str">
        <f>LEFT(packes[[#This Row],[date]],4)</f>
        <v>1403</v>
      </c>
    </row>
    <row r="249" spans="1:17" s="23" customFormat="1" ht="16.5" x14ac:dyDescent="0.25">
      <c r="A249" s="23">
        <v>247</v>
      </c>
      <c r="B249" s="24" t="s">
        <v>1540</v>
      </c>
      <c r="C249" s="23">
        <v>140010230</v>
      </c>
      <c r="D249" s="23">
        <v>1300</v>
      </c>
      <c r="E249" s="27">
        <v>1.2670857028833682</v>
      </c>
      <c r="F249" s="27">
        <v>3326.0999700688417</v>
      </c>
      <c r="G249" s="23">
        <v>10</v>
      </c>
      <c r="H249" s="486">
        <v>2625</v>
      </c>
      <c r="J249" s="487" t="s">
        <v>224</v>
      </c>
      <c r="K249" s="488"/>
      <c r="L249" s="488"/>
      <c r="M249" s="548">
        <f>_xlfn.XLOOKUP(packes[[#This Row],[productId]],CT[productId],CT[total],"NA")</f>
        <v>147.595</v>
      </c>
      <c r="N249" s="20" t="str">
        <f>_xlfn.XLOOKUP(packes[[#This Row],[productId]],bom[Id],bom[ph],"NA")</f>
        <v>nar.p</v>
      </c>
      <c r="O249" s="20" t="str">
        <f>_xlfn.XLOOKUP(packes[[#This Row],[productId]],bom[Id],bom[erth],"NA")</f>
        <v>-</v>
      </c>
      <c r="P249" s="20" t="str">
        <f>_xlfn.XLOOKUP(packes[[#This Row],[productId]],bom[Id],bom[dbl],"NA")</f>
        <v>nar.p</v>
      </c>
      <c r="Q249" s="20" t="str">
        <f>LEFT(packes[[#This Row],[date]],4)</f>
        <v>1403</v>
      </c>
    </row>
    <row r="250" spans="1:17" s="23" customFormat="1" ht="16.5" x14ac:dyDescent="0.25">
      <c r="A250" s="23">
        <v>248</v>
      </c>
      <c r="B250" s="24" t="s">
        <v>1540</v>
      </c>
      <c r="C250" s="23">
        <v>140030039</v>
      </c>
      <c r="D250" s="23">
        <v>1400</v>
      </c>
      <c r="E250" s="27">
        <v>1.5264890751272073</v>
      </c>
      <c r="F250" s="27">
        <v>1831.7868901526488</v>
      </c>
      <c r="H250" s="486">
        <v>1200</v>
      </c>
      <c r="J250" s="487" t="s">
        <v>224</v>
      </c>
      <c r="K250" s="488"/>
      <c r="L250" s="488"/>
      <c r="M250" s="548">
        <f>_xlfn.XLOOKUP(packes[[#This Row],[productId]],CT[productId],CT[total],"NA")</f>
        <v>92.504999999999995</v>
      </c>
      <c r="N250" s="20" t="str">
        <f>_xlfn.XLOOKUP(packes[[#This Row],[productId]],bom[Id],bom[ph],"NA")</f>
        <v>YH</v>
      </c>
      <c r="O250" s="20" t="str">
        <f>_xlfn.XLOOKUP(packes[[#This Row],[productId]],bom[Id],bom[erth],"NA")</f>
        <v>sun</v>
      </c>
      <c r="P250" s="20" t="str">
        <f>_xlfn.XLOOKUP(packes[[#This Row],[productId]],bom[Id],bom[dbl],"NA")</f>
        <v>-</v>
      </c>
      <c r="Q250" s="20" t="str">
        <f>LEFT(packes[[#This Row],[date]],4)</f>
        <v>1403</v>
      </c>
    </row>
    <row r="251" spans="1:17" s="23" customFormat="1" ht="16.5" x14ac:dyDescent="0.25">
      <c r="A251" s="23">
        <v>249</v>
      </c>
      <c r="B251" s="24" t="s">
        <v>1540</v>
      </c>
      <c r="C251" s="23">
        <v>140030040</v>
      </c>
      <c r="D251" s="23">
        <v>800</v>
      </c>
      <c r="E251" s="27">
        <v>1</v>
      </c>
      <c r="F251" s="27">
        <v>300</v>
      </c>
      <c r="H251" s="486">
        <v>300</v>
      </c>
      <c r="J251" s="487" t="s">
        <v>224</v>
      </c>
      <c r="K251" s="488"/>
      <c r="L251" s="488"/>
      <c r="M251" s="548">
        <f>_xlfn.XLOOKUP(packes[[#This Row],[productId]],CT[productId],CT[total],"NA")</f>
        <v>97.305000000000007</v>
      </c>
      <c r="N251" s="20" t="str">
        <f>_xlfn.XLOOKUP(packes[[#This Row],[productId]],bom[Id],bom[ph],"NA")</f>
        <v>YH</v>
      </c>
      <c r="O251" s="20" t="str">
        <f>_xlfn.XLOOKUP(packes[[#This Row],[productId]],bom[Id],bom[erth],"NA")</f>
        <v>sun</v>
      </c>
      <c r="P251" s="20" t="str">
        <f>_xlfn.XLOOKUP(packes[[#This Row],[productId]],bom[Id],bom[dbl],"NA")</f>
        <v>-</v>
      </c>
      <c r="Q251" s="20" t="str">
        <f>LEFT(packes[[#This Row],[date]],4)</f>
        <v>1403</v>
      </c>
    </row>
    <row r="252" spans="1:17" s="23" customFormat="1" ht="16.5" x14ac:dyDescent="0.25">
      <c r="A252" s="23">
        <v>250</v>
      </c>
      <c r="B252" s="24" t="s">
        <v>1540</v>
      </c>
      <c r="C252" s="23">
        <v>140090143</v>
      </c>
      <c r="D252" s="23">
        <v>200</v>
      </c>
      <c r="E252" s="27">
        <v>1.4486680634540554</v>
      </c>
      <c r="F252" s="27">
        <v>1883.2684824902719</v>
      </c>
      <c r="G252" s="23">
        <v>10</v>
      </c>
      <c r="H252" s="486">
        <v>1300</v>
      </c>
      <c r="J252" s="487" t="s">
        <v>224</v>
      </c>
      <c r="K252" s="488"/>
      <c r="L252" s="488"/>
      <c r="M252" s="548">
        <f>_xlfn.XLOOKUP(packes[[#This Row],[productId]],CT[productId],CT[total],"NA")</f>
        <v>233.215</v>
      </c>
      <c r="N252" s="20" t="str">
        <f>_xlfn.XLOOKUP(packes[[#This Row],[productId]],bom[Id],bom[ph],"NA")</f>
        <v>molex</v>
      </c>
      <c r="O252" s="20" t="str">
        <f>_xlfn.XLOOKUP(packes[[#This Row],[productId]],bom[Id],bom[erth],"NA")</f>
        <v>-</v>
      </c>
      <c r="P252" s="20" t="str">
        <f>_xlfn.XLOOKUP(packes[[#This Row],[productId]],bom[Id],bom[dbl],"NA")</f>
        <v>splice</v>
      </c>
      <c r="Q252" s="20" t="str">
        <f>LEFT(packes[[#This Row],[date]],4)</f>
        <v>1403</v>
      </c>
    </row>
    <row r="253" spans="1:17" s="23" customFormat="1" ht="16.5" x14ac:dyDescent="0.25">
      <c r="A253" s="23">
        <v>251</v>
      </c>
      <c r="B253" s="24" t="s">
        <v>1540</v>
      </c>
      <c r="C253" s="23">
        <v>140220012</v>
      </c>
      <c r="D253" s="23">
        <v>1500</v>
      </c>
      <c r="E253" s="27">
        <v>1.2670857028833682</v>
      </c>
      <c r="F253" s="27">
        <v>5986.9799461239145</v>
      </c>
      <c r="G253" s="23">
        <v>10</v>
      </c>
      <c r="H253" s="486">
        <v>4725</v>
      </c>
      <c r="J253" s="487" t="s">
        <v>224</v>
      </c>
      <c r="K253" s="488"/>
      <c r="L253" s="488"/>
      <c r="M253" s="548">
        <f>_xlfn.XLOOKUP(packes[[#This Row],[productId]],CT[productId],CT[total],"NA")</f>
        <v>192.86500000000001</v>
      </c>
      <c r="N253" s="20" t="str">
        <f>_xlfn.XLOOKUP(packes[[#This Row],[productId]],bom[Id],bom[ph],"NA")</f>
        <v>flag</v>
      </c>
      <c r="O253" s="20" t="str">
        <f>_xlfn.XLOOKUP(packes[[#This Row],[productId]],bom[Id],bom[erth],"NA")</f>
        <v>sun</v>
      </c>
      <c r="P253" s="20" t="str">
        <f>_xlfn.XLOOKUP(packes[[#This Row],[productId]],bom[Id],bom[dbl],"NA")</f>
        <v>-</v>
      </c>
      <c r="Q253" s="20" t="str">
        <f>LEFT(packes[[#This Row],[date]],4)</f>
        <v>1403</v>
      </c>
    </row>
    <row r="254" spans="1:17" s="23" customFormat="1" ht="16.5" x14ac:dyDescent="0.25">
      <c r="A254" s="23">
        <v>252</v>
      </c>
      <c r="B254" s="24" t="s">
        <v>1540</v>
      </c>
      <c r="C254" s="23">
        <v>141650001</v>
      </c>
      <c r="D254" s="23">
        <v>850</v>
      </c>
      <c r="E254" s="27">
        <v>1.4007782101167314</v>
      </c>
      <c r="F254" s="27">
        <v>22.412451361867703</v>
      </c>
      <c r="H254" s="486">
        <v>16</v>
      </c>
      <c r="J254" s="487" t="s">
        <v>224</v>
      </c>
      <c r="K254" s="488"/>
      <c r="L254" s="488"/>
      <c r="M254" s="548">
        <f>_xlfn.XLOOKUP(packes[[#This Row],[productId]],CT[productId],CT[total],"NA")</f>
        <v>100.965</v>
      </c>
      <c r="N254" s="20" t="str">
        <f>_xlfn.XLOOKUP(packes[[#This Row],[productId]],bom[Id],bom[ph],"NA")</f>
        <v>6.3k</v>
      </c>
      <c r="O254" s="20" t="str">
        <f>_xlfn.XLOOKUP(packes[[#This Row],[productId]],bom[Id],bom[erth],"NA")</f>
        <v>flag</v>
      </c>
      <c r="P254" s="20" t="str">
        <f>_xlfn.XLOOKUP(packes[[#This Row],[productId]],bom[Id],bom[dbl],"NA")</f>
        <v>-</v>
      </c>
      <c r="Q254" s="20" t="str">
        <f>LEFT(packes[[#This Row],[date]],4)</f>
        <v>1403</v>
      </c>
    </row>
    <row r="255" spans="1:17" s="23" customFormat="1" ht="16.5" x14ac:dyDescent="0.25">
      <c r="A255" s="23">
        <v>253</v>
      </c>
      <c r="B255" s="24" t="s">
        <v>1540</v>
      </c>
      <c r="C255" s="23">
        <v>140310071</v>
      </c>
      <c r="D255" s="23">
        <v>3000</v>
      </c>
      <c r="E255" s="27">
        <v>1.6063054973560809</v>
      </c>
      <c r="F255" s="27">
        <v>963.78329841364848</v>
      </c>
      <c r="H255" s="486">
        <v>600</v>
      </c>
      <c r="J255" s="487" t="s">
        <v>224</v>
      </c>
      <c r="K255" s="488"/>
      <c r="L255" s="488"/>
      <c r="M255" s="548">
        <f>_xlfn.XLOOKUP(packes[[#This Row],[productId]],CT[productId],CT[total],"NA")</f>
        <v>130.69500000000002</v>
      </c>
      <c r="N255" s="20" t="str">
        <f>_xlfn.XLOOKUP(packes[[#This Row],[productId]],bom[Id],bom[ph],"NA")</f>
        <v>6.3ch</v>
      </c>
      <c r="O255" s="20" t="str">
        <f>_xlfn.XLOOKUP(packes[[#This Row],[productId]],bom[Id],bom[erth],"NA")</f>
        <v>6.3k</v>
      </c>
      <c r="P255" s="20" t="str">
        <f>_xlfn.XLOOKUP(packes[[#This Row],[productId]],bom[Id],bom[dbl],"NA")</f>
        <v>-</v>
      </c>
      <c r="Q255" s="20" t="str">
        <f>LEFT(packes[[#This Row],[date]],4)</f>
        <v>1403</v>
      </c>
    </row>
    <row r="256" spans="1:17" s="23" customFormat="1" ht="16.5" x14ac:dyDescent="0.25">
      <c r="A256" s="23">
        <v>254</v>
      </c>
      <c r="B256" s="24" t="s">
        <v>1540</v>
      </c>
      <c r="C256" s="23">
        <v>140680007</v>
      </c>
      <c r="D256" s="23">
        <v>400</v>
      </c>
      <c r="E256" s="27" t="e">
        <v>#N/A</v>
      </c>
      <c r="F256" s="27" t="e">
        <v>#N/A</v>
      </c>
      <c r="H256" s="486">
        <v>200</v>
      </c>
      <c r="J256" s="487" t="s">
        <v>224</v>
      </c>
      <c r="K256" s="488"/>
      <c r="L256" s="488"/>
      <c r="M256" s="548" t="str">
        <f>_xlfn.XLOOKUP(packes[[#This Row],[productId]],CT[productId],CT[total],"NA")</f>
        <v>NA</v>
      </c>
      <c r="N256" s="20" t="str">
        <f>_xlfn.XLOOKUP(packes[[#This Row],[productId]],bom[Id],bom[ph],"NA")</f>
        <v>nar.p</v>
      </c>
      <c r="O256" s="20" t="str">
        <f>_xlfn.XLOOKUP(packes[[#This Row],[productId]],bom[Id],bom[erth],"NA")</f>
        <v>-</v>
      </c>
      <c r="P256" s="20" t="str">
        <f>_xlfn.XLOOKUP(packes[[#This Row],[productId]],bom[Id],bom[dbl],"NA")</f>
        <v>nar.p</v>
      </c>
      <c r="Q256" s="20" t="str">
        <f>LEFT(packes[[#This Row],[date]],4)</f>
        <v>1403</v>
      </c>
    </row>
    <row r="257" spans="1:17" s="23" customFormat="1" ht="16.5" x14ac:dyDescent="0.25">
      <c r="A257" s="23">
        <v>255</v>
      </c>
      <c r="B257" s="24" t="s">
        <v>1541</v>
      </c>
      <c r="C257" s="23">
        <v>140010117</v>
      </c>
      <c r="D257" s="23">
        <v>675</v>
      </c>
      <c r="E257" s="27">
        <v>1</v>
      </c>
      <c r="F257" s="27">
        <v>300</v>
      </c>
      <c r="G257" s="23">
        <v>10</v>
      </c>
      <c r="H257" s="486">
        <v>300</v>
      </c>
      <c r="J257" s="487" t="s">
        <v>224</v>
      </c>
      <c r="K257" s="488"/>
      <c r="L257" s="488"/>
      <c r="M257" s="548">
        <f>_xlfn.XLOOKUP(packes[[#This Row],[productId]],CT[productId],CT[total],"NA")</f>
        <v>98.295000000000016</v>
      </c>
      <c r="N257" s="20" t="str">
        <f>_xlfn.XLOOKUP(packes[[#This Row],[productId]],bom[Id],bom[ph],"NA")</f>
        <v>nar.p</v>
      </c>
      <c r="O257" s="20" t="str">
        <f>_xlfn.XLOOKUP(packes[[#This Row],[productId]],bom[Id],bom[erth],"NA")</f>
        <v>-</v>
      </c>
      <c r="P257" s="20" t="str">
        <f>_xlfn.XLOOKUP(packes[[#This Row],[productId]],bom[Id],bom[dbl],"NA")</f>
        <v>nar.p</v>
      </c>
      <c r="Q257" s="20" t="str">
        <f>LEFT(packes[[#This Row],[date]],4)</f>
        <v>1403</v>
      </c>
    </row>
    <row r="258" spans="1:17" s="23" customFormat="1" ht="16.5" x14ac:dyDescent="0.25">
      <c r="A258" s="23">
        <v>256</v>
      </c>
      <c r="B258" s="24" t="s">
        <v>1541</v>
      </c>
      <c r="C258" s="23">
        <v>140010230</v>
      </c>
      <c r="D258" s="23">
        <v>150</v>
      </c>
      <c r="E258" s="27">
        <v>1.2670857028833682</v>
      </c>
      <c r="F258" s="27">
        <v>5796.9170906914096</v>
      </c>
      <c r="G258" s="23">
        <v>10</v>
      </c>
      <c r="H258" s="486">
        <v>650</v>
      </c>
      <c r="J258" s="487" t="s">
        <v>224</v>
      </c>
      <c r="K258" s="488"/>
      <c r="L258" s="488"/>
      <c r="M258" s="548">
        <f>_xlfn.XLOOKUP(packes[[#This Row],[productId]],CT[productId],CT[total],"NA")</f>
        <v>147.595</v>
      </c>
      <c r="N258" s="20" t="str">
        <f>_xlfn.XLOOKUP(packes[[#This Row],[productId]],bom[Id],bom[ph],"NA")</f>
        <v>nar.p</v>
      </c>
      <c r="O258" s="20" t="str">
        <f>_xlfn.XLOOKUP(packes[[#This Row],[productId]],bom[Id],bom[erth],"NA")</f>
        <v>-</v>
      </c>
      <c r="P258" s="20" t="str">
        <f>_xlfn.XLOOKUP(packes[[#This Row],[productId]],bom[Id],bom[dbl],"NA")</f>
        <v>nar.p</v>
      </c>
      <c r="Q258" s="20" t="str">
        <f>LEFT(packes[[#This Row],[date]],4)</f>
        <v>1403</v>
      </c>
    </row>
    <row r="259" spans="1:17" s="23" customFormat="1" ht="16.5" x14ac:dyDescent="0.25">
      <c r="A259" s="23">
        <v>257</v>
      </c>
      <c r="B259" s="24" t="s">
        <v>1541</v>
      </c>
      <c r="C259" s="23">
        <v>140030039</v>
      </c>
      <c r="D259" s="23">
        <v>300</v>
      </c>
      <c r="E259" s="27">
        <v>1.1413748378728923</v>
      </c>
      <c r="F259" s="27">
        <v>114.13748378728923</v>
      </c>
      <c r="H259" s="486">
        <v>100</v>
      </c>
      <c r="J259" s="487" t="s">
        <v>224</v>
      </c>
      <c r="K259" s="488"/>
      <c r="L259" s="488"/>
      <c r="M259" s="548">
        <f>_xlfn.XLOOKUP(packes[[#This Row],[productId]],CT[productId],CT[total],"NA")</f>
        <v>92.504999999999995</v>
      </c>
      <c r="N259" s="20" t="str">
        <f>_xlfn.XLOOKUP(packes[[#This Row],[productId]],bom[Id],bom[ph],"NA")</f>
        <v>YH</v>
      </c>
      <c r="O259" s="20" t="str">
        <f>_xlfn.XLOOKUP(packes[[#This Row],[productId]],bom[Id],bom[erth],"NA")</f>
        <v>sun</v>
      </c>
      <c r="P259" s="20" t="str">
        <f>_xlfn.XLOOKUP(packes[[#This Row],[productId]],bom[Id],bom[dbl],"NA")</f>
        <v>-</v>
      </c>
      <c r="Q259" s="20" t="str">
        <f>LEFT(packes[[#This Row],[date]],4)</f>
        <v>1403</v>
      </c>
    </row>
    <row r="260" spans="1:17" s="23" customFormat="1" ht="16.5" x14ac:dyDescent="0.25">
      <c r="A260" s="23">
        <v>258</v>
      </c>
      <c r="B260" s="24" t="s">
        <v>1541</v>
      </c>
      <c r="C260" s="23">
        <v>140030040</v>
      </c>
      <c r="D260" s="23">
        <v>300</v>
      </c>
      <c r="E260" s="27" t="e">
        <v>#N/A</v>
      </c>
      <c r="F260" s="27" t="e">
        <v>#N/A</v>
      </c>
      <c r="H260" s="486">
        <v>200</v>
      </c>
      <c r="J260" s="487" t="s">
        <v>224</v>
      </c>
      <c r="K260" s="488"/>
      <c r="L260" s="488"/>
      <c r="M260" s="548">
        <f>_xlfn.XLOOKUP(packes[[#This Row],[productId]],CT[productId],CT[total],"NA")</f>
        <v>97.305000000000007</v>
      </c>
      <c r="N260" s="20" t="str">
        <f>_xlfn.XLOOKUP(packes[[#This Row],[productId]],bom[Id],bom[ph],"NA")</f>
        <v>YH</v>
      </c>
      <c r="O260" s="20" t="str">
        <f>_xlfn.XLOOKUP(packes[[#This Row],[productId]],bom[Id],bom[erth],"NA")</f>
        <v>sun</v>
      </c>
      <c r="P260" s="20" t="str">
        <f>_xlfn.XLOOKUP(packes[[#This Row],[productId]],bom[Id],bom[dbl],"NA")</f>
        <v>-</v>
      </c>
      <c r="Q260" s="20" t="str">
        <f>LEFT(packes[[#This Row],[date]],4)</f>
        <v>1403</v>
      </c>
    </row>
    <row r="261" spans="1:17" s="23" customFormat="1" ht="16.5" x14ac:dyDescent="0.25">
      <c r="A261" s="23">
        <v>259</v>
      </c>
      <c r="B261" s="24" t="s">
        <v>1541</v>
      </c>
      <c r="C261" s="23">
        <v>140090143</v>
      </c>
      <c r="D261" s="23">
        <v>800</v>
      </c>
      <c r="E261" s="27">
        <v>1.6063054973560809</v>
      </c>
      <c r="F261" s="27">
        <v>3212.6109947121618</v>
      </c>
      <c r="G261" s="23">
        <v>10</v>
      </c>
      <c r="H261" s="486">
        <v>2000</v>
      </c>
      <c r="J261" s="487" t="s">
        <v>224</v>
      </c>
      <c r="K261" s="488"/>
      <c r="L261" s="488"/>
      <c r="M261" s="548">
        <f>_xlfn.XLOOKUP(packes[[#This Row],[productId]],CT[productId],CT[total],"NA")</f>
        <v>233.215</v>
      </c>
      <c r="N261" s="20" t="str">
        <f>_xlfn.XLOOKUP(packes[[#This Row],[productId]],bom[Id],bom[ph],"NA")</f>
        <v>molex</v>
      </c>
      <c r="O261" s="20" t="str">
        <f>_xlfn.XLOOKUP(packes[[#This Row],[productId]],bom[Id],bom[erth],"NA")</f>
        <v>-</v>
      </c>
      <c r="P261" s="20" t="str">
        <f>_xlfn.XLOOKUP(packes[[#This Row],[productId]],bom[Id],bom[dbl],"NA")</f>
        <v>splice</v>
      </c>
      <c r="Q261" s="20" t="str">
        <f>LEFT(packes[[#This Row],[date]],4)</f>
        <v>1403</v>
      </c>
    </row>
    <row r="262" spans="1:17" s="23" customFormat="1" ht="16.5" x14ac:dyDescent="0.25">
      <c r="A262" s="23">
        <v>260</v>
      </c>
      <c r="B262" s="24" t="s">
        <v>1541</v>
      </c>
      <c r="C262" s="23">
        <v>140220012</v>
      </c>
      <c r="D262" s="23">
        <v>1500</v>
      </c>
      <c r="E262" s="27">
        <v>1</v>
      </c>
      <c r="F262" s="27">
        <v>300</v>
      </c>
      <c r="G262" s="23">
        <v>10</v>
      </c>
      <c r="H262" s="486">
        <v>300</v>
      </c>
      <c r="J262" s="487" t="s">
        <v>224</v>
      </c>
      <c r="K262" s="488"/>
      <c r="L262" s="488"/>
      <c r="M262" s="548">
        <f>_xlfn.XLOOKUP(packes[[#This Row],[productId]],CT[productId],CT[total],"NA")</f>
        <v>192.86500000000001</v>
      </c>
      <c r="N262" s="20" t="str">
        <f>_xlfn.XLOOKUP(packes[[#This Row],[productId]],bom[Id],bom[ph],"NA")</f>
        <v>flag</v>
      </c>
      <c r="O262" s="20" t="str">
        <f>_xlfn.XLOOKUP(packes[[#This Row],[productId]],bom[Id],bom[erth],"NA")</f>
        <v>sun</v>
      </c>
      <c r="P262" s="20" t="str">
        <f>_xlfn.XLOOKUP(packes[[#This Row],[productId]],bom[Id],bom[dbl],"NA")</f>
        <v>-</v>
      </c>
      <c r="Q262" s="20" t="str">
        <f>LEFT(packes[[#This Row],[date]],4)</f>
        <v>1403</v>
      </c>
    </row>
    <row r="263" spans="1:17" s="23" customFormat="1" ht="16.5" x14ac:dyDescent="0.25">
      <c r="A263" s="23">
        <v>261</v>
      </c>
      <c r="B263" s="24" t="s">
        <v>1541</v>
      </c>
      <c r="C263" s="23">
        <v>140310071</v>
      </c>
      <c r="D263" s="23">
        <v>3100</v>
      </c>
      <c r="E263" s="27">
        <v>1.4486680634540554</v>
      </c>
      <c r="F263" s="27">
        <v>724.33403172702765</v>
      </c>
      <c r="H263" s="486">
        <v>500</v>
      </c>
      <c r="J263" s="487" t="s">
        <v>224</v>
      </c>
      <c r="K263" s="488"/>
      <c r="L263" s="488"/>
      <c r="M263" s="548">
        <f>_xlfn.XLOOKUP(packes[[#This Row],[productId]],CT[productId],CT[total],"NA")</f>
        <v>130.69500000000002</v>
      </c>
      <c r="N263" s="20" t="str">
        <f>_xlfn.XLOOKUP(packes[[#This Row],[productId]],bom[Id],bom[ph],"NA")</f>
        <v>6.3ch</v>
      </c>
      <c r="O263" s="20" t="str">
        <f>_xlfn.XLOOKUP(packes[[#This Row],[productId]],bom[Id],bom[erth],"NA")</f>
        <v>6.3k</v>
      </c>
      <c r="P263" s="20" t="str">
        <f>_xlfn.XLOOKUP(packes[[#This Row],[productId]],bom[Id],bom[dbl],"NA")</f>
        <v>-</v>
      </c>
      <c r="Q263" s="20" t="str">
        <f>LEFT(packes[[#This Row],[date]],4)</f>
        <v>1403</v>
      </c>
    </row>
    <row r="264" spans="1:17" s="23" customFormat="1" ht="16.5" x14ac:dyDescent="0.25">
      <c r="A264" s="23">
        <v>262</v>
      </c>
      <c r="B264" s="24" t="s">
        <v>1541</v>
      </c>
      <c r="C264" s="23">
        <v>140550060</v>
      </c>
      <c r="D264" s="23">
        <v>1500</v>
      </c>
      <c r="E264" s="27">
        <v>1.1413748378728923</v>
      </c>
      <c r="F264" s="27">
        <v>1141.3748378728924</v>
      </c>
      <c r="G264" s="23">
        <v>8</v>
      </c>
      <c r="H264" s="486">
        <v>1000</v>
      </c>
      <c r="J264" s="487" t="s">
        <v>224</v>
      </c>
      <c r="K264" s="488"/>
      <c r="L264" s="488"/>
      <c r="M264" s="548">
        <f>_xlfn.XLOOKUP(packes[[#This Row],[productId]],CT[productId],CT[total],"NA")</f>
        <v>81.220000000000013</v>
      </c>
      <c r="N264" s="20" t="str">
        <f>_xlfn.XLOOKUP(packes[[#This Row],[productId]],bom[Id],bom[ph],"NA")</f>
        <v>radio</v>
      </c>
      <c r="O264" s="20" t="str">
        <f>_xlfn.XLOOKUP(packes[[#This Row],[productId]],bom[Id],bom[erth],"NA")</f>
        <v>-</v>
      </c>
      <c r="P264" s="20" t="str">
        <f>_xlfn.XLOOKUP(packes[[#This Row],[productId]],bom[Id],bom[dbl],"NA")</f>
        <v>-</v>
      </c>
      <c r="Q264" s="20" t="str">
        <f>LEFT(packes[[#This Row],[date]],4)</f>
        <v>1403</v>
      </c>
    </row>
    <row r="265" spans="1:17" s="23" customFormat="1" ht="16.5" x14ac:dyDescent="0.25">
      <c r="A265" s="23">
        <v>263</v>
      </c>
      <c r="B265" s="24" t="s">
        <v>1542</v>
      </c>
      <c r="C265" s="23">
        <v>140010117</v>
      </c>
      <c r="D265" s="23">
        <v>150</v>
      </c>
      <c r="E265" s="27">
        <v>1.1092487279257708</v>
      </c>
      <c r="F265" s="27">
        <v>1109.2487279257707</v>
      </c>
      <c r="G265" s="23">
        <v>10</v>
      </c>
      <c r="H265" s="486">
        <v>1000</v>
      </c>
      <c r="J265" s="487" t="s">
        <v>224</v>
      </c>
      <c r="K265" s="488"/>
      <c r="L265" s="488"/>
      <c r="M265" s="548">
        <f>_xlfn.XLOOKUP(packes[[#This Row],[productId]],CT[productId],CT[total],"NA")</f>
        <v>98.295000000000016</v>
      </c>
      <c r="N265" s="20" t="str">
        <f>_xlfn.XLOOKUP(packes[[#This Row],[productId]],bom[Id],bom[ph],"NA")</f>
        <v>nar.p</v>
      </c>
      <c r="O265" s="20" t="str">
        <f>_xlfn.XLOOKUP(packes[[#This Row],[productId]],bom[Id],bom[erth],"NA")</f>
        <v>-</v>
      </c>
      <c r="P265" s="20" t="str">
        <f>_xlfn.XLOOKUP(packes[[#This Row],[productId]],bom[Id],bom[dbl],"NA")</f>
        <v>nar.p</v>
      </c>
      <c r="Q265" s="20" t="str">
        <f>LEFT(packes[[#This Row],[date]],4)</f>
        <v>1403</v>
      </c>
    </row>
    <row r="266" spans="1:17" s="23" customFormat="1" ht="16.5" x14ac:dyDescent="0.25">
      <c r="A266" s="23">
        <v>264</v>
      </c>
      <c r="B266" s="24" t="s">
        <v>1542</v>
      </c>
      <c r="C266" s="23">
        <v>140010230</v>
      </c>
      <c r="D266" s="23">
        <v>300</v>
      </c>
      <c r="E266" s="27">
        <v>1.6063054973560809</v>
      </c>
      <c r="F266" s="27">
        <v>2650.4040706375336</v>
      </c>
      <c r="G266" s="23">
        <v>10</v>
      </c>
      <c r="H266" s="486">
        <v>1650</v>
      </c>
      <c r="J266" s="487" t="s">
        <v>224</v>
      </c>
      <c r="K266" s="488"/>
      <c r="L266" s="488"/>
      <c r="M266" s="548">
        <f>_xlfn.XLOOKUP(packes[[#This Row],[productId]],CT[productId],CT[total],"NA")</f>
        <v>147.595</v>
      </c>
      <c r="N266" s="20" t="str">
        <f>_xlfn.XLOOKUP(packes[[#This Row],[productId]],bom[Id],bom[ph],"NA")</f>
        <v>nar.p</v>
      </c>
      <c r="O266" s="20" t="str">
        <f>_xlfn.XLOOKUP(packes[[#This Row],[productId]],bom[Id],bom[erth],"NA")</f>
        <v>-</v>
      </c>
      <c r="P266" s="20" t="str">
        <f>_xlfn.XLOOKUP(packes[[#This Row],[productId]],bom[Id],bom[dbl],"NA")</f>
        <v>nar.p</v>
      </c>
      <c r="Q266" s="20" t="str">
        <f>LEFT(packes[[#This Row],[date]],4)</f>
        <v>1403</v>
      </c>
    </row>
    <row r="267" spans="1:17" s="23" customFormat="1" ht="16.5" x14ac:dyDescent="0.25">
      <c r="A267" s="23">
        <v>265</v>
      </c>
      <c r="B267" s="24" t="s">
        <v>1542</v>
      </c>
      <c r="C267" s="23">
        <v>140030039</v>
      </c>
      <c r="D267" s="23">
        <v>800</v>
      </c>
      <c r="E267" s="27">
        <v>1.1413748378728923</v>
      </c>
      <c r="F267" s="27">
        <v>-228.27496757457845</v>
      </c>
      <c r="H267" s="486">
        <v>-200</v>
      </c>
      <c r="J267" s="487" t="s">
        <v>224</v>
      </c>
      <c r="K267" s="488"/>
      <c r="L267" s="488"/>
      <c r="M267" s="548">
        <f>_xlfn.XLOOKUP(packes[[#This Row],[productId]],CT[productId],CT[total],"NA")</f>
        <v>92.504999999999995</v>
      </c>
      <c r="N267" s="20" t="str">
        <f>_xlfn.XLOOKUP(packes[[#This Row],[productId]],bom[Id],bom[ph],"NA")</f>
        <v>YH</v>
      </c>
      <c r="O267" s="20" t="str">
        <f>_xlfn.XLOOKUP(packes[[#This Row],[productId]],bom[Id],bom[erth],"NA")</f>
        <v>sun</v>
      </c>
      <c r="P267" s="20" t="str">
        <f>_xlfn.XLOOKUP(packes[[#This Row],[productId]],bom[Id],bom[dbl],"NA")</f>
        <v>-</v>
      </c>
      <c r="Q267" s="20" t="str">
        <f>LEFT(packes[[#This Row],[date]],4)</f>
        <v>1403</v>
      </c>
    </row>
    <row r="268" spans="1:17" s="23" customFormat="1" ht="16.5" x14ac:dyDescent="0.25">
      <c r="A268" s="23">
        <v>266</v>
      </c>
      <c r="B268" s="24" t="s">
        <v>1542</v>
      </c>
      <c r="C268" s="23">
        <v>140090143</v>
      </c>
      <c r="D268" s="23">
        <v>750</v>
      </c>
      <c r="E268" s="27">
        <v>1.1092487279257708</v>
      </c>
      <c r="F268" s="27">
        <v>221.84974558515415</v>
      </c>
      <c r="G268" s="23">
        <v>10</v>
      </c>
      <c r="H268" s="486">
        <v>200</v>
      </c>
      <c r="J268" s="487" t="s">
        <v>224</v>
      </c>
      <c r="K268" s="488"/>
      <c r="L268" s="488"/>
      <c r="M268" s="548">
        <f>_xlfn.XLOOKUP(packes[[#This Row],[productId]],CT[productId],CT[total],"NA")</f>
        <v>233.215</v>
      </c>
      <c r="N268" s="20" t="str">
        <f>_xlfn.XLOOKUP(packes[[#This Row],[productId]],bom[Id],bom[ph],"NA")</f>
        <v>molex</v>
      </c>
      <c r="O268" s="20" t="str">
        <f>_xlfn.XLOOKUP(packes[[#This Row],[productId]],bom[Id],bom[erth],"NA")</f>
        <v>-</v>
      </c>
      <c r="P268" s="20" t="str">
        <f>_xlfn.XLOOKUP(packes[[#This Row],[productId]],bom[Id],bom[dbl],"NA")</f>
        <v>splice</v>
      </c>
      <c r="Q268" s="20" t="str">
        <f>LEFT(packes[[#This Row],[date]],4)</f>
        <v>1403</v>
      </c>
    </row>
    <row r="269" spans="1:17" s="23" customFormat="1" ht="16.5" x14ac:dyDescent="0.25">
      <c r="A269" s="23">
        <v>267</v>
      </c>
      <c r="B269" s="24" t="s">
        <v>1542</v>
      </c>
      <c r="C269" s="23">
        <v>140220012</v>
      </c>
      <c r="D269" s="23">
        <f>1250+196</f>
        <v>1446</v>
      </c>
      <c r="E269" s="27">
        <v>1</v>
      </c>
      <c r="F269" s="27">
        <v>300</v>
      </c>
      <c r="G269" s="23">
        <v>10</v>
      </c>
      <c r="H269" s="486">
        <v>300</v>
      </c>
      <c r="I269" s="23">
        <v>9</v>
      </c>
      <c r="J269" s="487">
        <v>196</v>
      </c>
      <c r="K269" s="488"/>
      <c r="L269" s="488"/>
      <c r="M269" s="548">
        <f>_xlfn.XLOOKUP(packes[[#This Row],[productId]],CT[productId],CT[total],"NA")</f>
        <v>192.86500000000001</v>
      </c>
      <c r="N269" s="20" t="str">
        <f>_xlfn.XLOOKUP(packes[[#This Row],[productId]],bom[Id],bom[ph],"NA")</f>
        <v>flag</v>
      </c>
      <c r="O269" s="20" t="str">
        <f>_xlfn.XLOOKUP(packes[[#This Row],[productId]],bom[Id],bom[erth],"NA")</f>
        <v>sun</v>
      </c>
      <c r="P269" s="20" t="str">
        <f>_xlfn.XLOOKUP(packes[[#This Row],[productId]],bom[Id],bom[dbl],"NA")</f>
        <v>-</v>
      </c>
      <c r="Q269" s="20" t="str">
        <f>LEFT(packes[[#This Row],[date]],4)</f>
        <v>1403</v>
      </c>
    </row>
    <row r="270" spans="1:17" s="23" customFormat="1" ht="16.5" x14ac:dyDescent="0.25">
      <c r="A270" s="23">
        <v>268</v>
      </c>
      <c r="B270" s="24" t="s">
        <v>1542</v>
      </c>
      <c r="C270" s="23">
        <v>141650007</v>
      </c>
      <c r="D270" s="23">
        <v>750</v>
      </c>
      <c r="E270" s="27">
        <v>1.4486680634540554</v>
      </c>
      <c r="F270" s="27">
        <v>1086.5010475905415</v>
      </c>
      <c r="H270" s="486">
        <v>750</v>
      </c>
      <c r="J270" s="487" t="s">
        <v>224</v>
      </c>
      <c r="K270" s="488"/>
      <c r="L270" s="488"/>
      <c r="M270" s="548" t="str">
        <f>_xlfn.XLOOKUP(packes[[#This Row],[productId]],CT[productId],CT[total],"NA")</f>
        <v>NA</v>
      </c>
      <c r="N270" s="20" t="str">
        <f>_xlfn.XLOOKUP(packes[[#This Row],[productId]],bom[Id],bom[ph],"NA")</f>
        <v>NA</v>
      </c>
      <c r="O270" s="20" t="str">
        <f>_xlfn.XLOOKUP(packes[[#This Row],[productId]],bom[Id],bom[erth],"NA")</f>
        <v>NA</v>
      </c>
      <c r="P270" s="20" t="str">
        <f>_xlfn.XLOOKUP(packes[[#This Row],[productId]],bom[Id],bom[dbl],"NA")</f>
        <v>NA</v>
      </c>
      <c r="Q270" s="20" t="str">
        <f>LEFT(packes[[#This Row],[date]],4)</f>
        <v>1403</v>
      </c>
    </row>
    <row r="271" spans="1:17" s="23" customFormat="1" ht="16.5" x14ac:dyDescent="0.25">
      <c r="A271" s="23">
        <v>269</v>
      </c>
      <c r="B271" s="24" t="s">
        <v>1542</v>
      </c>
      <c r="C271" s="23">
        <v>140310071</v>
      </c>
      <c r="D271" s="23">
        <v>1500</v>
      </c>
      <c r="E271" s="27">
        <v>1.506534969569989</v>
      </c>
      <c r="F271" s="27">
        <v>753.26748478499451</v>
      </c>
      <c r="H271" s="486">
        <v>500</v>
      </c>
      <c r="J271" s="487" t="s">
        <v>224</v>
      </c>
      <c r="K271" s="488"/>
      <c r="L271" s="488"/>
      <c r="M271" s="548">
        <f>_xlfn.XLOOKUP(packes[[#This Row],[productId]],CT[productId],CT[total],"NA")</f>
        <v>130.69500000000002</v>
      </c>
      <c r="N271" s="20" t="str">
        <f>_xlfn.XLOOKUP(packes[[#This Row],[productId]],bom[Id],bom[ph],"NA")</f>
        <v>6.3ch</v>
      </c>
      <c r="O271" s="20" t="str">
        <f>_xlfn.XLOOKUP(packes[[#This Row],[productId]],bom[Id],bom[erth],"NA")</f>
        <v>6.3k</v>
      </c>
      <c r="P271" s="20" t="str">
        <f>_xlfn.XLOOKUP(packes[[#This Row],[productId]],bom[Id],bom[dbl],"NA")</f>
        <v>-</v>
      </c>
      <c r="Q271" s="20" t="str">
        <f>LEFT(packes[[#This Row],[date]],4)</f>
        <v>1403</v>
      </c>
    </row>
    <row r="272" spans="1:17" s="23" customFormat="1" ht="16.5" x14ac:dyDescent="0.25">
      <c r="A272" s="23">
        <v>270</v>
      </c>
      <c r="B272" s="24" t="s">
        <v>1542</v>
      </c>
      <c r="C272" s="23">
        <v>140680007</v>
      </c>
      <c r="D272" s="23">
        <v>1200</v>
      </c>
      <c r="E272" s="27">
        <v>1.1413748378728923</v>
      </c>
      <c r="F272" s="27">
        <v>342.41245136186768</v>
      </c>
      <c r="H272" s="486">
        <v>300</v>
      </c>
      <c r="J272" s="487" t="s">
        <v>224</v>
      </c>
      <c r="K272" s="488"/>
      <c r="L272" s="488"/>
      <c r="M272" s="548" t="str">
        <f>_xlfn.XLOOKUP(packes[[#This Row],[productId]],CT[productId],CT[total],"NA")</f>
        <v>NA</v>
      </c>
      <c r="N272" s="20" t="str">
        <f>_xlfn.XLOOKUP(packes[[#This Row],[productId]],bom[Id],bom[ph],"NA")</f>
        <v>nar.p</v>
      </c>
      <c r="O272" s="20" t="str">
        <f>_xlfn.XLOOKUP(packes[[#This Row],[productId]],bom[Id],bom[erth],"NA")</f>
        <v>-</v>
      </c>
      <c r="P272" s="20" t="str">
        <f>_xlfn.XLOOKUP(packes[[#This Row],[productId]],bom[Id],bom[dbl],"NA")</f>
        <v>nar.p</v>
      </c>
      <c r="Q272" s="20" t="str">
        <f>LEFT(packes[[#This Row],[date]],4)</f>
        <v>1403</v>
      </c>
    </row>
    <row r="273" spans="1:17" s="23" customFormat="1" ht="16.5" x14ac:dyDescent="0.25">
      <c r="A273" s="23">
        <v>271</v>
      </c>
      <c r="B273" s="24" t="s">
        <v>1542</v>
      </c>
      <c r="C273" s="23">
        <v>140550060</v>
      </c>
      <c r="D273" s="23">
        <v>2400</v>
      </c>
      <c r="E273" s="27">
        <v>1.1092487279257708</v>
      </c>
      <c r="F273" s="27">
        <v>665.54923675546252</v>
      </c>
      <c r="G273" s="23">
        <v>8</v>
      </c>
      <c r="H273" s="486">
        <v>600</v>
      </c>
      <c r="J273" s="487" t="s">
        <v>224</v>
      </c>
      <c r="K273" s="488"/>
      <c r="L273" s="488"/>
      <c r="M273" s="548">
        <f>_xlfn.XLOOKUP(packes[[#This Row],[productId]],CT[productId],CT[total],"NA")</f>
        <v>81.220000000000013</v>
      </c>
      <c r="N273" s="20" t="str">
        <f>_xlfn.XLOOKUP(packes[[#This Row],[productId]],bom[Id],bom[ph],"NA")</f>
        <v>radio</v>
      </c>
      <c r="O273" s="20" t="str">
        <f>_xlfn.XLOOKUP(packes[[#This Row],[productId]],bom[Id],bom[erth],"NA")</f>
        <v>-</v>
      </c>
      <c r="P273" s="20" t="str">
        <f>_xlfn.XLOOKUP(packes[[#This Row],[productId]],bom[Id],bom[dbl],"NA")</f>
        <v>-</v>
      </c>
      <c r="Q273" s="20" t="str">
        <f>LEFT(packes[[#This Row],[date]],4)</f>
        <v>1403</v>
      </c>
    </row>
    <row r="274" spans="1:17" s="23" customFormat="1" ht="16.5" x14ac:dyDescent="0.25">
      <c r="A274" s="23">
        <v>272</v>
      </c>
      <c r="B274" s="24" t="s">
        <v>1543</v>
      </c>
      <c r="C274" s="23">
        <v>140010117</v>
      </c>
      <c r="D274" s="23">
        <v>2700</v>
      </c>
      <c r="E274" s="27">
        <v>1</v>
      </c>
      <c r="F274" s="27">
        <v>600</v>
      </c>
      <c r="G274" s="23">
        <v>10</v>
      </c>
      <c r="H274" s="486">
        <v>600</v>
      </c>
      <c r="J274" s="487" t="s">
        <v>224</v>
      </c>
      <c r="K274" s="488"/>
      <c r="L274" s="488"/>
      <c r="M274" s="548">
        <f>_xlfn.XLOOKUP(packes[[#This Row],[productId]],CT[productId],CT[total],"NA")</f>
        <v>98.295000000000016</v>
      </c>
      <c r="N274" s="20" t="str">
        <f>_xlfn.XLOOKUP(packes[[#This Row],[productId]],bom[Id],bom[ph],"NA")</f>
        <v>nar.p</v>
      </c>
      <c r="O274" s="20" t="str">
        <f>_xlfn.XLOOKUP(packes[[#This Row],[productId]],bom[Id],bom[erth],"NA")</f>
        <v>-</v>
      </c>
      <c r="P274" s="20" t="str">
        <f>_xlfn.XLOOKUP(packes[[#This Row],[productId]],bom[Id],bom[dbl],"NA")</f>
        <v>nar.p</v>
      </c>
      <c r="Q274" s="20" t="str">
        <f>LEFT(packes[[#This Row],[date]],4)</f>
        <v>1403</v>
      </c>
    </row>
    <row r="275" spans="1:17" s="23" customFormat="1" ht="16.5" x14ac:dyDescent="0.25">
      <c r="A275" s="23">
        <v>273</v>
      </c>
      <c r="B275" s="24" t="s">
        <v>1543</v>
      </c>
      <c r="C275" s="23">
        <v>140030040</v>
      </c>
      <c r="D275" s="23">
        <v>700</v>
      </c>
      <c r="E275" s="27">
        <v>1.4486680634540554</v>
      </c>
      <c r="F275" s="27">
        <v>1448.6680634540553</v>
      </c>
      <c r="H275" s="486">
        <v>1000</v>
      </c>
      <c r="J275" s="487" t="s">
        <v>224</v>
      </c>
      <c r="K275" s="488"/>
      <c r="L275" s="488"/>
      <c r="M275" s="548">
        <f>_xlfn.XLOOKUP(packes[[#This Row],[productId]],CT[productId],CT[total],"NA")</f>
        <v>97.305000000000007</v>
      </c>
      <c r="N275" s="20" t="str">
        <f>_xlfn.XLOOKUP(packes[[#This Row],[productId]],bom[Id],bom[ph],"NA")</f>
        <v>YH</v>
      </c>
      <c r="O275" s="20" t="str">
        <f>_xlfn.XLOOKUP(packes[[#This Row],[productId]],bom[Id],bom[erth],"NA")</f>
        <v>sun</v>
      </c>
      <c r="P275" s="20" t="str">
        <f>_xlfn.XLOOKUP(packes[[#This Row],[productId]],bom[Id],bom[dbl],"NA")</f>
        <v>-</v>
      </c>
      <c r="Q275" s="20" t="str">
        <f>LEFT(packes[[#This Row],[date]],4)</f>
        <v>1403</v>
      </c>
    </row>
    <row r="276" spans="1:17" s="23" customFormat="1" ht="16.5" x14ac:dyDescent="0.25">
      <c r="A276" s="23">
        <v>274</v>
      </c>
      <c r="B276" s="24" t="s">
        <v>1543</v>
      </c>
      <c r="C276" s="23">
        <v>140220012</v>
      </c>
      <c r="D276" s="23">
        <v>1100</v>
      </c>
      <c r="E276" s="27">
        <v>1.1413748378728923</v>
      </c>
      <c r="F276" s="27">
        <v>342.41245136186768</v>
      </c>
      <c r="G276" s="23">
        <v>10</v>
      </c>
      <c r="H276" s="486">
        <v>300</v>
      </c>
      <c r="J276" s="487" t="s">
        <v>224</v>
      </c>
      <c r="K276" s="488"/>
      <c r="L276" s="488"/>
      <c r="M276" s="548">
        <f>_xlfn.XLOOKUP(packes[[#This Row],[productId]],CT[productId],CT[total],"NA")</f>
        <v>192.86500000000001</v>
      </c>
      <c r="N276" s="20" t="str">
        <f>_xlfn.XLOOKUP(packes[[#This Row],[productId]],bom[Id],bom[ph],"NA")</f>
        <v>flag</v>
      </c>
      <c r="O276" s="20" t="str">
        <f>_xlfn.XLOOKUP(packes[[#This Row],[productId]],bom[Id],bom[erth],"NA")</f>
        <v>sun</v>
      </c>
      <c r="P276" s="20" t="str">
        <f>_xlfn.XLOOKUP(packes[[#This Row],[productId]],bom[Id],bom[dbl],"NA")</f>
        <v>-</v>
      </c>
      <c r="Q276" s="20" t="str">
        <f>LEFT(packes[[#This Row],[date]],4)</f>
        <v>1403</v>
      </c>
    </row>
    <row r="277" spans="1:17" s="23" customFormat="1" ht="16.5" x14ac:dyDescent="0.25">
      <c r="A277" s="23">
        <v>275</v>
      </c>
      <c r="B277" s="24" t="s">
        <v>1543</v>
      </c>
      <c r="C277" s="23">
        <v>140310071</v>
      </c>
      <c r="D277" s="23">
        <v>400</v>
      </c>
      <c r="E277" s="27">
        <v>1.3469021251122417</v>
      </c>
      <c r="F277" s="27">
        <v>2828.4944627357077</v>
      </c>
      <c r="H277" s="486">
        <v>2100</v>
      </c>
      <c r="J277" s="487" t="s">
        <v>224</v>
      </c>
      <c r="K277" s="488"/>
      <c r="L277" s="488"/>
      <c r="M277" s="548">
        <f>_xlfn.XLOOKUP(packes[[#This Row],[productId]],CT[productId],CT[total],"NA")</f>
        <v>130.69500000000002</v>
      </c>
      <c r="N277" s="20" t="str">
        <f>_xlfn.XLOOKUP(packes[[#This Row],[productId]],bom[Id],bom[ph],"NA")</f>
        <v>6.3ch</v>
      </c>
      <c r="O277" s="20" t="str">
        <f>_xlfn.XLOOKUP(packes[[#This Row],[productId]],bom[Id],bom[erth],"NA")</f>
        <v>6.3k</v>
      </c>
      <c r="P277" s="20" t="str">
        <f>_xlfn.XLOOKUP(packes[[#This Row],[productId]],bom[Id],bom[dbl],"NA")</f>
        <v>-</v>
      </c>
      <c r="Q277" s="20" t="str">
        <f>LEFT(packes[[#This Row],[date]],4)</f>
        <v>1403</v>
      </c>
    </row>
    <row r="278" spans="1:17" s="23" customFormat="1" ht="16.5" x14ac:dyDescent="0.25">
      <c r="A278" s="23">
        <v>276</v>
      </c>
      <c r="B278" s="24" t="s">
        <v>1543</v>
      </c>
      <c r="C278" s="23">
        <v>140680007</v>
      </c>
      <c r="D278" s="23">
        <v>1200</v>
      </c>
      <c r="E278" s="27">
        <v>1.6063054973560809</v>
      </c>
      <c r="F278" s="27">
        <v>401.57637433902022</v>
      </c>
      <c r="H278" s="486">
        <v>250</v>
      </c>
      <c r="J278" s="487" t="s">
        <v>224</v>
      </c>
      <c r="K278" s="488"/>
      <c r="L278" s="488"/>
      <c r="M278" s="548" t="str">
        <f>_xlfn.XLOOKUP(packes[[#This Row],[productId]],CT[productId],CT[total],"NA")</f>
        <v>NA</v>
      </c>
      <c r="N278" s="20" t="str">
        <f>_xlfn.XLOOKUP(packes[[#This Row],[productId]],bom[Id],bom[ph],"NA")</f>
        <v>nar.p</v>
      </c>
      <c r="O278" s="20" t="str">
        <f>_xlfn.XLOOKUP(packes[[#This Row],[productId]],bom[Id],bom[erth],"NA")</f>
        <v>-</v>
      </c>
      <c r="P278" s="20" t="str">
        <f>_xlfn.XLOOKUP(packes[[#This Row],[productId]],bom[Id],bom[dbl],"NA")</f>
        <v>nar.p</v>
      </c>
      <c r="Q278" s="20" t="str">
        <f>LEFT(packes[[#This Row],[date]],4)</f>
        <v>1403</v>
      </c>
    </row>
    <row r="279" spans="1:17" s="23" customFormat="1" ht="16.5" x14ac:dyDescent="0.25">
      <c r="A279" s="23">
        <v>277</v>
      </c>
      <c r="B279" s="24" t="s">
        <v>1543</v>
      </c>
      <c r="C279" s="23">
        <v>140550060</v>
      </c>
      <c r="D279" s="23">
        <v>1600</v>
      </c>
      <c r="E279" s="27">
        <v>1.5264890751272073</v>
      </c>
      <c r="F279" s="27">
        <v>1831.7868901526488</v>
      </c>
      <c r="G279" s="23">
        <v>8</v>
      </c>
      <c r="H279" s="486">
        <v>1200</v>
      </c>
      <c r="J279" s="487" t="s">
        <v>224</v>
      </c>
      <c r="K279" s="488"/>
      <c r="L279" s="488"/>
      <c r="M279" s="548">
        <f>_xlfn.XLOOKUP(packes[[#This Row],[productId]],CT[productId],CT[total],"NA")</f>
        <v>81.220000000000013</v>
      </c>
      <c r="N279" s="20" t="str">
        <f>_xlfn.XLOOKUP(packes[[#This Row],[productId]],bom[Id],bom[ph],"NA")</f>
        <v>radio</v>
      </c>
      <c r="O279" s="20" t="str">
        <f>_xlfn.XLOOKUP(packes[[#This Row],[productId]],bom[Id],bom[erth],"NA")</f>
        <v>-</v>
      </c>
      <c r="P279" s="20" t="str">
        <f>_xlfn.XLOOKUP(packes[[#This Row],[productId]],bom[Id],bom[dbl],"NA")</f>
        <v>-</v>
      </c>
      <c r="Q279" s="20" t="str">
        <f>LEFT(packes[[#This Row],[date]],4)</f>
        <v>1403</v>
      </c>
    </row>
    <row r="280" spans="1:17" s="23" customFormat="1" ht="16.5" x14ac:dyDescent="0.25">
      <c r="A280" s="23">
        <v>278</v>
      </c>
      <c r="B280" s="24" t="s">
        <v>1544</v>
      </c>
      <c r="C280" s="23">
        <v>140010230</v>
      </c>
      <c r="D280" s="23">
        <v>800</v>
      </c>
      <c r="E280" s="27">
        <v>1</v>
      </c>
      <c r="F280" s="27">
        <v>1200</v>
      </c>
      <c r="G280" s="23">
        <v>10</v>
      </c>
      <c r="H280" s="486">
        <v>1200</v>
      </c>
      <c r="J280" s="487" t="s">
        <v>224</v>
      </c>
      <c r="K280" s="488"/>
      <c r="L280" s="488"/>
      <c r="M280" s="548">
        <f>_xlfn.XLOOKUP(packes[[#This Row],[productId]],CT[productId],CT[total],"NA")</f>
        <v>147.595</v>
      </c>
      <c r="N280" s="20" t="str">
        <f>_xlfn.XLOOKUP(packes[[#This Row],[productId]],bom[Id],bom[ph],"NA")</f>
        <v>nar.p</v>
      </c>
      <c r="O280" s="20" t="str">
        <f>_xlfn.XLOOKUP(packes[[#This Row],[productId]],bom[Id],bom[erth],"NA")</f>
        <v>-</v>
      </c>
      <c r="P280" s="20" t="str">
        <f>_xlfn.XLOOKUP(packes[[#This Row],[productId]],bom[Id],bom[dbl],"NA")</f>
        <v>nar.p</v>
      </c>
      <c r="Q280" s="20" t="str">
        <f>LEFT(packes[[#This Row],[date]],4)</f>
        <v>1403</v>
      </c>
    </row>
    <row r="281" spans="1:17" s="23" customFormat="1" ht="16.5" x14ac:dyDescent="0.25">
      <c r="A281" s="23">
        <v>279</v>
      </c>
      <c r="B281" s="24" t="s">
        <v>1544</v>
      </c>
      <c r="C281" s="23">
        <v>140020181</v>
      </c>
      <c r="D281" s="23">
        <v>675</v>
      </c>
      <c r="E281" s="27">
        <v>1</v>
      </c>
      <c r="F281" s="27">
        <v>500</v>
      </c>
      <c r="G281" s="23">
        <v>9</v>
      </c>
      <c r="H281" s="486">
        <v>500</v>
      </c>
      <c r="J281" s="487" t="s">
        <v>224</v>
      </c>
      <c r="K281" s="488"/>
      <c r="L281" s="488"/>
      <c r="M281" s="548">
        <f>_xlfn.XLOOKUP(packes[[#This Row],[productId]],CT[productId],CT[total],"NA")</f>
        <v>88.929999999999993</v>
      </c>
      <c r="N281" s="20" t="str">
        <f>_xlfn.XLOOKUP(packes[[#This Row],[productId]],bom[Id],bom[ph],"NA")</f>
        <v>VH</v>
      </c>
      <c r="O281" s="20" t="str">
        <f>_xlfn.XLOOKUP(packes[[#This Row],[productId]],bom[Id],bom[erth],"NA")</f>
        <v>nut4</v>
      </c>
      <c r="P281" s="20" t="str">
        <f>_xlfn.XLOOKUP(packes[[#This Row],[productId]],bom[Id],bom[dbl],"NA")</f>
        <v>-</v>
      </c>
      <c r="Q281" s="20" t="str">
        <f>LEFT(packes[[#This Row],[date]],4)</f>
        <v>1403</v>
      </c>
    </row>
    <row r="282" spans="1:17" s="23" customFormat="1" ht="16.5" x14ac:dyDescent="0.25">
      <c r="A282" s="23">
        <v>280</v>
      </c>
      <c r="B282" s="24" t="s">
        <v>1544</v>
      </c>
      <c r="C282" s="23">
        <v>140030040</v>
      </c>
      <c r="D282" s="23">
        <v>1400</v>
      </c>
      <c r="E282" s="27">
        <v>1.1413748378728923</v>
      </c>
      <c r="F282" s="27">
        <v>2511.0246433203629</v>
      </c>
      <c r="H282" s="486">
        <v>2200</v>
      </c>
      <c r="J282" s="487" t="s">
        <v>224</v>
      </c>
      <c r="K282" s="488"/>
      <c r="L282" s="488"/>
      <c r="M282" s="548">
        <f>_xlfn.XLOOKUP(packes[[#This Row],[productId]],CT[productId],CT[total],"NA")</f>
        <v>97.305000000000007</v>
      </c>
      <c r="N282" s="20" t="str">
        <f>_xlfn.XLOOKUP(packes[[#This Row],[productId]],bom[Id],bom[ph],"NA")</f>
        <v>YH</v>
      </c>
      <c r="O282" s="20" t="str">
        <f>_xlfn.XLOOKUP(packes[[#This Row],[productId]],bom[Id],bom[erth],"NA")</f>
        <v>sun</v>
      </c>
      <c r="P282" s="20" t="str">
        <f>_xlfn.XLOOKUP(packes[[#This Row],[productId]],bom[Id],bom[dbl],"NA")</f>
        <v>-</v>
      </c>
      <c r="Q282" s="20" t="str">
        <f>LEFT(packes[[#This Row],[date]],4)</f>
        <v>1403</v>
      </c>
    </row>
    <row r="283" spans="1:17" s="23" customFormat="1" ht="16.5" x14ac:dyDescent="0.25">
      <c r="A283" s="23">
        <v>281</v>
      </c>
      <c r="B283" s="24" t="s">
        <v>1544</v>
      </c>
      <c r="C283" s="23">
        <v>140220012</v>
      </c>
      <c r="D283" s="23">
        <v>950</v>
      </c>
      <c r="E283" s="27">
        <v>1.1092487279257708</v>
      </c>
      <c r="F283" s="27">
        <v>332.77461837773126</v>
      </c>
      <c r="G283" s="23">
        <v>10</v>
      </c>
      <c r="H283" s="486">
        <v>300</v>
      </c>
      <c r="J283" s="487" t="s">
        <v>224</v>
      </c>
      <c r="K283" s="488"/>
      <c r="L283" s="488"/>
      <c r="M283" s="548">
        <f>_xlfn.XLOOKUP(packes[[#This Row],[productId]],CT[productId],CT[total],"NA")</f>
        <v>192.86500000000001</v>
      </c>
      <c r="N283" s="20" t="str">
        <f>_xlfn.XLOOKUP(packes[[#This Row],[productId]],bom[Id],bom[ph],"NA")</f>
        <v>flag</v>
      </c>
      <c r="O283" s="20" t="str">
        <f>_xlfn.XLOOKUP(packes[[#This Row],[productId]],bom[Id],bom[erth],"NA")</f>
        <v>sun</v>
      </c>
      <c r="P283" s="20" t="str">
        <f>_xlfn.XLOOKUP(packes[[#This Row],[productId]],bom[Id],bom[dbl],"NA")</f>
        <v>-</v>
      </c>
      <c r="Q283" s="20" t="str">
        <f>LEFT(packes[[#This Row],[date]],4)</f>
        <v>1403</v>
      </c>
    </row>
    <row r="284" spans="1:17" s="23" customFormat="1" ht="16.5" x14ac:dyDescent="0.25">
      <c r="A284" s="23">
        <v>282</v>
      </c>
      <c r="B284" s="24" t="s">
        <v>1544</v>
      </c>
      <c r="C284" s="23">
        <v>140680007</v>
      </c>
      <c r="D284" s="23">
        <v>1700</v>
      </c>
      <c r="E284" s="27">
        <v>1.1413748378728923</v>
      </c>
      <c r="F284" s="27">
        <v>913.09987029831382</v>
      </c>
      <c r="H284" s="486">
        <v>800</v>
      </c>
      <c r="J284" s="487" t="s">
        <v>224</v>
      </c>
      <c r="K284" s="488"/>
      <c r="L284" s="488"/>
      <c r="M284" s="548" t="str">
        <f>_xlfn.XLOOKUP(packes[[#This Row],[productId]],CT[productId],CT[total],"NA")</f>
        <v>NA</v>
      </c>
      <c r="N284" s="20" t="str">
        <f>_xlfn.XLOOKUP(packes[[#This Row],[productId]],bom[Id],bom[ph],"NA")</f>
        <v>nar.p</v>
      </c>
      <c r="O284" s="20" t="str">
        <f>_xlfn.XLOOKUP(packes[[#This Row],[productId]],bom[Id],bom[erth],"NA")</f>
        <v>-</v>
      </c>
      <c r="P284" s="20" t="str">
        <f>_xlfn.XLOOKUP(packes[[#This Row],[productId]],bom[Id],bom[dbl],"NA")</f>
        <v>nar.p</v>
      </c>
      <c r="Q284" s="20" t="str">
        <f>LEFT(packes[[#This Row],[date]],4)</f>
        <v>1403</v>
      </c>
    </row>
    <row r="285" spans="1:17" s="23" customFormat="1" ht="16.5" x14ac:dyDescent="0.25">
      <c r="A285" s="23">
        <v>283</v>
      </c>
      <c r="B285" s="24" t="s">
        <v>1544</v>
      </c>
      <c r="C285" s="23">
        <v>140550084</v>
      </c>
      <c r="D285" s="23">
        <v>2200</v>
      </c>
      <c r="E285" s="27">
        <v>1.3469021251122417</v>
      </c>
      <c r="F285" s="27">
        <v>1414.2472313678538</v>
      </c>
      <c r="G285" s="23">
        <v>10</v>
      </c>
      <c r="H285" s="486">
        <v>1050</v>
      </c>
      <c r="J285" s="487" t="s">
        <v>224</v>
      </c>
      <c r="K285" s="488"/>
      <c r="L285" s="488"/>
      <c r="M285" s="548" t="str">
        <f>_xlfn.XLOOKUP(packes[[#This Row],[productId]],CT[productId],CT[total],"NA")</f>
        <v>NA</v>
      </c>
      <c r="N285" s="20" t="str">
        <f>_xlfn.XLOOKUP(packes[[#This Row],[productId]],bom[Id],bom[ph],"NA")</f>
        <v>VH</v>
      </c>
      <c r="O285" s="20" t="str">
        <f>_xlfn.XLOOKUP(packes[[#This Row],[productId]],bom[Id],bom[erth],"NA")</f>
        <v>-</v>
      </c>
      <c r="P285" s="20" t="str">
        <f>_xlfn.XLOOKUP(packes[[#This Row],[productId]],bom[Id],bom[dbl],"NA")</f>
        <v>-</v>
      </c>
      <c r="Q285" s="20" t="str">
        <f>LEFT(packes[[#This Row],[date]],4)</f>
        <v>1403</v>
      </c>
    </row>
    <row r="286" spans="1:17" s="23" customFormat="1" ht="16.5" x14ac:dyDescent="0.25">
      <c r="A286" s="23">
        <v>284</v>
      </c>
      <c r="B286" s="24" t="s">
        <v>1545</v>
      </c>
      <c r="C286" s="23">
        <v>140010230</v>
      </c>
      <c r="D286" s="23">
        <v>900</v>
      </c>
      <c r="E286" s="27">
        <v>1.5264890751272073</v>
      </c>
      <c r="F286" s="27">
        <v>905.20802155043395</v>
      </c>
      <c r="G286" s="23">
        <v>10</v>
      </c>
      <c r="H286" s="486">
        <v>593</v>
      </c>
      <c r="J286" s="487" t="s">
        <v>224</v>
      </c>
      <c r="K286" s="488"/>
      <c r="L286" s="488"/>
      <c r="M286" s="548">
        <f>_xlfn.XLOOKUP(packes[[#This Row],[productId]],CT[productId],CT[total],"NA")</f>
        <v>147.595</v>
      </c>
      <c r="N286" s="20" t="str">
        <f>_xlfn.XLOOKUP(packes[[#This Row],[productId]],bom[Id],bom[ph],"NA")</f>
        <v>nar.p</v>
      </c>
      <c r="O286" s="20" t="str">
        <f>_xlfn.XLOOKUP(packes[[#This Row],[productId]],bom[Id],bom[erth],"NA")</f>
        <v>-</v>
      </c>
      <c r="P286" s="20" t="str">
        <f>_xlfn.XLOOKUP(packes[[#This Row],[productId]],bom[Id],bom[dbl],"NA")</f>
        <v>nar.p</v>
      </c>
      <c r="Q286" s="20" t="str">
        <f>LEFT(packes[[#This Row],[date]],4)</f>
        <v>1403</v>
      </c>
    </row>
    <row r="287" spans="1:17" s="23" customFormat="1" ht="16.5" x14ac:dyDescent="0.25">
      <c r="A287" s="23">
        <v>285</v>
      </c>
      <c r="B287" s="24" t="s">
        <v>1545</v>
      </c>
      <c r="C287" s="23">
        <v>140020181</v>
      </c>
      <c r="D287" s="23">
        <v>1125</v>
      </c>
      <c r="E287" s="27">
        <v>1</v>
      </c>
      <c r="F287" s="27">
        <v>3750</v>
      </c>
      <c r="G287" s="23">
        <v>9</v>
      </c>
      <c r="H287" s="486">
        <v>3750</v>
      </c>
      <c r="J287" s="487" t="s">
        <v>224</v>
      </c>
      <c r="K287" s="488"/>
      <c r="L287" s="488"/>
      <c r="M287" s="548">
        <f>_xlfn.XLOOKUP(packes[[#This Row],[productId]],CT[productId],CT[total],"NA")</f>
        <v>88.929999999999993</v>
      </c>
      <c r="N287" s="20" t="str">
        <f>_xlfn.XLOOKUP(packes[[#This Row],[productId]],bom[Id],bom[ph],"NA")</f>
        <v>VH</v>
      </c>
      <c r="O287" s="20" t="str">
        <f>_xlfn.XLOOKUP(packes[[#This Row],[productId]],bom[Id],bom[erth],"NA")</f>
        <v>nut4</v>
      </c>
      <c r="P287" s="20" t="str">
        <f>_xlfn.XLOOKUP(packes[[#This Row],[productId]],bom[Id],bom[dbl],"NA")</f>
        <v>-</v>
      </c>
      <c r="Q287" s="20" t="str">
        <f>LEFT(packes[[#This Row],[date]],4)</f>
        <v>1403</v>
      </c>
    </row>
    <row r="288" spans="1:17" s="23" customFormat="1" ht="16.5" x14ac:dyDescent="0.25">
      <c r="A288" s="23">
        <v>286</v>
      </c>
      <c r="B288" s="24" t="s">
        <v>1545</v>
      </c>
      <c r="C288" s="23">
        <v>140030040</v>
      </c>
      <c r="D288" s="23">
        <v>1600</v>
      </c>
      <c r="E288" s="27">
        <v>1.1413748378728923</v>
      </c>
      <c r="F288" s="27">
        <v>400</v>
      </c>
      <c r="H288" s="486">
        <v>400</v>
      </c>
      <c r="J288" s="487" t="s">
        <v>224</v>
      </c>
      <c r="K288" s="488"/>
      <c r="L288" s="488"/>
      <c r="M288" s="548">
        <f>_xlfn.XLOOKUP(packes[[#This Row],[productId]],CT[productId],CT[total],"NA")</f>
        <v>97.305000000000007</v>
      </c>
      <c r="N288" s="20" t="str">
        <f>_xlfn.XLOOKUP(packes[[#This Row],[productId]],bom[Id],bom[ph],"NA")</f>
        <v>YH</v>
      </c>
      <c r="O288" s="20" t="str">
        <f>_xlfn.XLOOKUP(packes[[#This Row],[productId]],bom[Id],bom[erth],"NA")</f>
        <v>sun</v>
      </c>
      <c r="P288" s="20" t="str">
        <f>_xlfn.XLOOKUP(packes[[#This Row],[productId]],bom[Id],bom[dbl],"NA")</f>
        <v>-</v>
      </c>
      <c r="Q288" s="20" t="str">
        <f>LEFT(packes[[#This Row],[date]],4)</f>
        <v>1403</v>
      </c>
    </row>
    <row r="289" spans="1:17" s="23" customFormat="1" ht="16.5" x14ac:dyDescent="0.25">
      <c r="A289" s="23">
        <v>287</v>
      </c>
      <c r="B289" s="24" t="s">
        <v>1545</v>
      </c>
      <c r="C289" s="23">
        <v>140090143</v>
      </c>
      <c r="D289" s="23">
        <v>400</v>
      </c>
      <c r="E289" s="27">
        <v>1.1092487279257708</v>
      </c>
      <c r="F289" s="27">
        <v>332.77461837773126</v>
      </c>
      <c r="G289" s="23">
        <v>10</v>
      </c>
      <c r="H289" s="486">
        <v>300</v>
      </c>
      <c r="J289" s="487" t="s">
        <v>224</v>
      </c>
      <c r="K289" s="488"/>
      <c r="L289" s="488"/>
      <c r="M289" s="548">
        <f>_xlfn.XLOOKUP(packes[[#This Row],[productId]],CT[productId],CT[total],"NA")</f>
        <v>233.215</v>
      </c>
      <c r="N289" s="20" t="str">
        <f>_xlfn.XLOOKUP(packes[[#This Row],[productId]],bom[Id],bom[ph],"NA")</f>
        <v>molex</v>
      </c>
      <c r="O289" s="20" t="str">
        <f>_xlfn.XLOOKUP(packes[[#This Row],[productId]],bom[Id],bom[erth],"NA")</f>
        <v>-</v>
      </c>
      <c r="P289" s="20" t="str">
        <f>_xlfn.XLOOKUP(packes[[#This Row],[productId]],bom[Id],bom[dbl],"NA")</f>
        <v>splice</v>
      </c>
      <c r="Q289" s="20" t="str">
        <f>LEFT(packes[[#This Row],[date]],4)</f>
        <v>1403</v>
      </c>
    </row>
    <row r="290" spans="1:17" s="23" customFormat="1" ht="16.5" x14ac:dyDescent="0.25">
      <c r="A290" s="23">
        <v>288</v>
      </c>
      <c r="B290" s="24" t="s">
        <v>1545</v>
      </c>
      <c r="C290" s="23">
        <v>140220012</v>
      </c>
      <c r="D290" s="23">
        <v>450</v>
      </c>
      <c r="E290" s="27">
        <v>1.1413748378728923</v>
      </c>
      <c r="F290" s="27">
        <v>2625.1621271076524</v>
      </c>
      <c r="G290" s="23">
        <v>10</v>
      </c>
      <c r="H290" s="486">
        <v>2300</v>
      </c>
      <c r="J290" s="487" t="s">
        <v>224</v>
      </c>
      <c r="K290" s="488"/>
      <c r="L290" s="488"/>
      <c r="M290" s="548">
        <f>_xlfn.XLOOKUP(packes[[#This Row],[productId]],CT[productId],CT[total],"NA")</f>
        <v>192.86500000000001</v>
      </c>
      <c r="N290" s="20" t="str">
        <f>_xlfn.XLOOKUP(packes[[#This Row],[productId]],bom[Id],bom[ph],"NA")</f>
        <v>flag</v>
      </c>
      <c r="O290" s="20" t="str">
        <f>_xlfn.XLOOKUP(packes[[#This Row],[productId]],bom[Id],bom[erth],"NA")</f>
        <v>sun</v>
      </c>
      <c r="P290" s="20" t="str">
        <f>_xlfn.XLOOKUP(packes[[#This Row],[productId]],bom[Id],bom[dbl],"NA")</f>
        <v>-</v>
      </c>
      <c r="Q290" s="20" t="str">
        <f>LEFT(packes[[#This Row],[date]],4)</f>
        <v>1403</v>
      </c>
    </row>
    <row r="291" spans="1:17" s="23" customFormat="1" ht="16.5" x14ac:dyDescent="0.25">
      <c r="A291" s="23">
        <v>289</v>
      </c>
      <c r="B291" s="24" t="s">
        <v>1545</v>
      </c>
      <c r="C291" s="23">
        <v>141650001</v>
      </c>
      <c r="D291" s="23">
        <v>250</v>
      </c>
      <c r="E291" s="27">
        <v>0</v>
      </c>
      <c r="F291" s="27">
        <v>250</v>
      </c>
      <c r="H291" s="486">
        <v>5950</v>
      </c>
      <c r="J291" s="487" t="s">
        <v>224</v>
      </c>
      <c r="K291" s="488"/>
      <c r="L291" s="488"/>
      <c r="M291" s="548">
        <f>_xlfn.XLOOKUP(packes[[#This Row],[productId]],CT[productId],CT[total],"NA")</f>
        <v>100.965</v>
      </c>
      <c r="N291" s="20" t="str">
        <f>_xlfn.XLOOKUP(packes[[#This Row],[productId]],bom[Id],bom[ph],"NA")</f>
        <v>6.3k</v>
      </c>
      <c r="O291" s="20" t="str">
        <f>_xlfn.XLOOKUP(packes[[#This Row],[productId]],bom[Id],bom[erth],"NA")</f>
        <v>flag</v>
      </c>
      <c r="P291" s="20" t="str">
        <f>_xlfn.XLOOKUP(packes[[#This Row],[productId]],bom[Id],bom[dbl],"NA")</f>
        <v>-</v>
      </c>
      <c r="Q291" s="20" t="str">
        <f>LEFT(packes[[#This Row],[date]],4)</f>
        <v>1403</v>
      </c>
    </row>
    <row r="292" spans="1:17" s="23" customFormat="1" ht="16.5" x14ac:dyDescent="0.25">
      <c r="A292" s="23">
        <v>290</v>
      </c>
      <c r="B292" s="24" t="s">
        <v>1545</v>
      </c>
      <c r="C292" s="23">
        <v>140310031</v>
      </c>
      <c r="D292" s="23">
        <v>250</v>
      </c>
      <c r="E292" s="27">
        <v>1</v>
      </c>
      <c r="F292" s="27">
        <v>4500</v>
      </c>
      <c r="H292" s="486">
        <v>4500</v>
      </c>
      <c r="J292" s="487" t="s">
        <v>224</v>
      </c>
      <c r="K292" s="488"/>
      <c r="L292" s="488"/>
      <c r="M292" s="548">
        <f>_xlfn.XLOOKUP(packes[[#This Row],[productId]],CT[productId],CT[total],"NA")</f>
        <v>202.96500000000003</v>
      </c>
      <c r="N292" s="20">
        <f>_xlfn.XLOOKUP(packes[[#This Row],[productId]],bom[Id],bom[ph],"NA")</f>
        <v>461</v>
      </c>
      <c r="O292" s="20" t="str">
        <f>_xlfn.XLOOKUP(packes[[#This Row],[productId]],bom[Id],bom[erth],"NA")</f>
        <v>nut4</v>
      </c>
      <c r="P292" s="20" t="str">
        <f>_xlfn.XLOOKUP(packes[[#This Row],[productId]],bom[Id],bom[dbl],"NA")</f>
        <v>-</v>
      </c>
      <c r="Q292" s="20" t="str">
        <f>LEFT(packes[[#This Row],[date]],4)</f>
        <v>1403</v>
      </c>
    </row>
    <row r="293" spans="1:17" s="23" customFormat="1" ht="16.5" x14ac:dyDescent="0.25">
      <c r="A293" s="23">
        <v>291</v>
      </c>
      <c r="B293" s="24" t="s">
        <v>1545</v>
      </c>
      <c r="C293" s="23">
        <v>140550062</v>
      </c>
      <c r="D293" s="23">
        <v>600</v>
      </c>
      <c r="E293" s="27">
        <v>1.1413748378728923</v>
      </c>
      <c r="F293" s="27">
        <v>456.54993514915691</v>
      </c>
      <c r="H293" s="486">
        <v>400</v>
      </c>
      <c r="J293" s="487" t="s">
        <v>224</v>
      </c>
      <c r="K293" s="488"/>
      <c r="L293" s="488"/>
      <c r="M293" s="548" t="str">
        <f>_xlfn.XLOOKUP(packes[[#This Row],[productId]],CT[productId],CT[total],"NA")</f>
        <v>NA</v>
      </c>
      <c r="N293" s="20" t="str">
        <f>_xlfn.XLOOKUP(packes[[#This Row],[productId]],bom[Id],bom[ph],"NA")</f>
        <v>VH</v>
      </c>
      <c r="O293" s="20" t="str">
        <f>_xlfn.XLOOKUP(packes[[#This Row],[productId]],bom[Id],bom[erth],"NA")</f>
        <v>-</v>
      </c>
      <c r="P293" s="20" t="str">
        <f>_xlfn.XLOOKUP(packes[[#This Row],[productId]],bom[Id],bom[dbl],"NA")</f>
        <v>-</v>
      </c>
      <c r="Q293" s="20" t="str">
        <f>LEFT(packes[[#This Row],[date]],4)</f>
        <v>1403</v>
      </c>
    </row>
    <row r="294" spans="1:17" s="23" customFormat="1" ht="16.5" x14ac:dyDescent="0.25">
      <c r="A294" s="23">
        <v>292</v>
      </c>
      <c r="B294" s="24" t="s">
        <v>1545</v>
      </c>
      <c r="C294" s="23">
        <v>140550084</v>
      </c>
      <c r="D294" s="23">
        <v>1200</v>
      </c>
      <c r="E294" s="27">
        <v>1.1092487279257708</v>
      </c>
      <c r="F294" s="27">
        <v>665.54923675546252</v>
      </c>
      <c r="G294" s="23">
        <v>10</v>
      </c>
      <c r="H294" s="486">
        <v>600</v>
      </c>
      <c r="J294" s="487" t="s">
        <v>224</v>
      </c>
      <c r="K294" s="488"/>
      <c r="L294" s="488"/>
      <c r="M294" s="548" t="str">
        <f>_xlfn.XLOOKUP(packes[[#This Row],[productId]],CT[productId],CT[total],"NA")</f>
        <v>NA</v>
      </c>
      <c r="N294" s="20" t="str">
        <f>_xlfn.XLOOKUP(packes[[#This Row],[productId]],bom[Id],bom[ph],"NA")</f>
        <v>VH</v>
      </c>
      <c r="O294" s="20" t="str">
        <f>_xlfn.XLOOKUP(packes[[#This Row],[productId]],bom[Id],bom[erth],"NA")</f>
        <v>-</v>
      </c>
      <c r="P294" s="20" t="str">
        <f>_xlfn.XLOOKUP(packes[[#This Row],[productId]],bom[Id],bom[dbl],"NA")</f>
        <v>-</v>
      </c>
      <c r="Q294" s="20" t="str">
        <f>LEFT(packes[[#This Row],[date]],4)</f>
        <v>1403</v>
      </c>
    </row>
    <row r="295" spans="1:17" s="23" customFormat="1" ht="16.5" x14ac:dyDescent="0.25">
      <c r="A295" s="23">
        <v>293</v>
      </c>
      <c r="B295" s="24" t="s">
        <v>1546</v>
      </c>
      <c r="C295" s="23">
        <v>140010117</v>
      </c>
      <c r="D295" s="23">
        <v>1200</v>
      </c>
      <c r="E295" s="27">
        <v>1.1413748378728923</v>
      </c>
      <c r="F295" s="27">
        <v>1712.0622568093384</v>
      </c>
      <c r="G295" s="23">
        <v>10</v>
      </c>
      <c r="H295" s="486">
        <v>1500</v>
      </c>
      <c r="J295" s="487" t="s">
        <v>224</v>
      </c>
      <c r="K295" s="488"/>
      <c r="L295" s="488"/>
      <c r="M295" s="548">
        <f>_xlfn.XLOOKUP(packes[[#This Row],[productId]],CT[productId],CT[total],"NA")</f>
        <v>98.295000000000016</v>
      </c>
      <c r="N295" s="20" t="str">
        <f>_xlfn.XLOOKUP(packes[[#This Row],[productId]],bom[Id],bom[ph],"NA")</f>
        <v>nar.p</v>
      </c>
      <c r="O295" s="20" t="str">
        <f>_xlfn.XLOOKUP(packes[[#This Row],[productId]],bom[Id],bom[erth],"NA")</f>
        <v>-</v>
      </c>
      <c r="P295" s="20" t="str">
        <f>_xlfn.XLOOKUP(packes[[#This Row],[productId]],bom[Id],bom[dbl],"NA")</f>
        <v>nar.p</v>
      </c>
      <c r="Q295" s="20" t="str">
        <f>LEFT(packes[[#This Row],[date]],4)</f>
        <v>1403</v>
      </c>
    </row>
    <row r="296" spans="1:17" s="23" customFormat="1" ht="16.5" x14ac:dyDescent="0.25">
      <c r="A296" s="23">
        <v>294</v>
      </c>
      <c r="B296" s="24" t="s">
        <v>1546</v>
      </c>
      <c r="C296" s="23">
        <v>140010230</v>
      </c>
      <c r="D296" s="23">
        <v>400</v>
      </c>
      <c r="E296" s="27">
        <v>1.3469021251122417</v>
      </c>
      <c r="F296" s="27">
        <v>808.14127506734508</v>
      </c>
      <c r="G296" s="23">
        <v>10</v>
      </c>
      <c r="H296" s="486">
        <v>600</v>
      </c>
      <c r="J296" s="487" t="s">
        <v>224</v>
      </c>
      <c r="K296" s="488"/>
      <c r="L296" s="488"/>
      <c r="M296" s="548">
        <f>_xlfn.XLOOKUP(packes[[#This Row],[productId]],CT[productId],CT[total],"NA")</f>
        <v>147.595</v>
      </c>
      <c r="N296" s="20" t="str">
        <f>_xlfn.XLOOKUP(packes[[#This Row],[productId]],bom[Id],bom[ph],"NA")</f>
        <v>nar.p</v>
      </c>
      <c r="O296" s="20" t="str">
        <f>_xlfn.XLOOKUP(packes[[#This Row],[productId]],bom[Id],bom[erth],"NA")</f>
        <v>-</v>
      </c>
      <c r="P296" s="20" t="str">
        <f>_xlfn.XLOOKUP(packes[[#This Row],[productId]],bom[Id],bom[dbl],"NA")</f>
        <v>nar.p</v>
      </c>
      <c r="Q296" s="20" t="str">
        <f>LEFT(packes[[#This Row],[date]],4)</f>
        <v>1403</v>
      </c>
    </row>
    <row r="297" spans="1:17" s="23" customFormat="1" ht="16.5" x14ac:dyDescent="0.25">
      <c r="A297" s="23">
        <v>295</v>
      </c>
      <c r="B297" s="24" t="s">
        <v>1546</v>
      </c>
      <c r="C297" s="23">
        <v>140020181</v>
      </c>
      <c r="D297" s="23">
        <v>675</v>
      </c>
      <c r="E297" s="27">
        <v>1</v>
      </c>
      <c r="F297" s="27">
        <v>1950</v>
      </c>
      <c r="G297" s="23">
        <v>9</v>
      </c>
      <c r="H297" s="486">
        <v>1950</v>
      </c>
      <c r="J297" s="487" t="s">
        <v>224</v>
      </c>
      <c r="K297" s="488"/>
      <c r="L297" s="488"/>
      <c r="M297" s="548">
        <f>_xlfn.XLOOKUP(packes[[#This Row],[productId]],CT[productId],CT[total],"NA")</f>
        <v>88.929999999999993</v>
      </c>
      <c r="N297" s="20" t="str">
        <f>_xlfn.XLOOKUP(packes[[#This Row],[productId]],bom[Id],bom[ph],"NA")</f>
        <v>VH</v>
      </c>
      <c r="O297" s="20" t="str">
        <f>_xlfn.XLOOKUP(packes[[#This Row],[productId]],bom[Id],bom[erth],"NA")</f>
        <v>nut4</v>
      </c>
      <c r="P297" s="20" t="str">
        <f>_xlfn.XLOOKUP(packes[[#This Row],[productId]],bom[Id],bom[dbl],"NA")</f>
        <v>-</v>
      </c>
      <c r="Q297" s="20" t="str">
        <f>LEFT(packes[[#This Row],[date]],4)</f>
        <v>1403</v>
      </c>
    </row>
    <row r="298" spans="1:17" s="23" customFormat="1" ht="16.5" x14ac:dyDescent="0.25">
      <c r="A298" s="23">
        <v>296</v>
      </c>
      <c r="B298" s="24" t="s">
        <v>1546</v>
      </c>
      <c r="C298" s="23">
        <v>140030039</v>
      </c>
      <c r="D298" s="23">
        <v>100</v>
      </c>
      <c r="E298" s="27">
        <v>1.2670857028833682</v>
      </c>
      <c r="F298" s="27">
        <v>5701.8856629751572</v>
      </c>
      <c r="H298" s="486">
        <v>4500</v>
      </c>
      <c r="J298" s="487" t="s">
        <v>224</v>
      </c>
      <c r="K298" s="488"/>
      <c r="L298" s="488"/>
      <c r="M298" s="548">
        <f>_xlfn.XLOOKUP(packes[[#This Row],[productId]],CT[productId],CT[total],"NA")</f>
        <v>92.504999999999995</v>
      </c>
      <c r="N298" s="20" t="str">
        <f>_xlfn.XLOOKUP(packes[[#This Row],[productId]],bom[Id],bom[ph],"NA")</f>
        <v>YH</v>
      </c>
      <c r="O298" s="20" t="str">
        <f>_xlfn.XLOOKUP(packes[[#This Row],[productId]],bom[Id],bom[erth],"NA")</f>
        <v>sun</v>
      </c>
      <c r="P298" s="20" t="str">
        <f>_xlfn.XLOOKUP(packes[[#This Row],[productId]],bom[Id],bom[dbl],"NA")</f>
        <v>-</v>
      </c>
      <c r="Q298" s="20" t="str">
        <f>LEFT(packes[[#This Row],[date]],4)</f>
        <v>1403</v>
      </c>
    </row>
    <row r="299" spans="1:17" s="23" customFormat="1" ht="16.5" x14ac:dyDescent="0.25">
      <c r="A299" s="23">
        <v>297</v>
      </c>
      <c r="B299" s="24" t="s">
        <v>1546</v>
      </c>
      <c r="C299" s="23">
        <v>140030040</v>
      </c>
      <c r="D299" s="23">
        <v>100</v>
      </c>
      <c r="E299" s="27">
        <v>2.7237354085603114</v>
      </c>
      <c r="F299" s="27">
        <v>247.85992217898834</v>
      </c>
      <c r="H299" s="486">
        <v>91</v>
      </c>
      <c r="J299" s="487" t="s">
        <v>224</v>
      </c>
      <c r="K299" s="488"/>
      <c r="L299" s="488"/>
      <c r="M299" s="548">
        <f>_xlfn.XLOOKUP(packes[[#This Row],[productId]],CT[productId],CT[total],"NA")</f>
        <v>97.305000000000007</v>
      </c>
      <c r="N299" s="20" t="str">
        <f>_xlfn.XLOOKUP(packes[[#This Row],[productId]],bom[Id],bom[ph],"NA")</f>
        <v>YH</v>
      </c>
      <c r="O299" s="20" t="str">
        <f>_xlfn.XLOOKUP(packes[[#This Row],[productId]],bom[Id],bom[erth],"NA")</f>
        <v>sun</v>
      </c>
      <c r="P299" s="20" t="str">
        <f>_xlfn.XLOOKUP(packes[[#This Row],[productId]],bom[Id],bom[dbl],"NA")</f>
        <v>-</v>
      </c>
      <c r="Q299" s="20" t="str">
        <f>LEFT(packes[[#This Row],[date]],4)</f>
        <v>1403</v>
      </c>
    </row>
    <row r="300" spans="1:17" s="23" customFormat="1" ht="16.5" x14ac:dyDescent="0.25">
      <c r="A300" s="23">
        <v>298</v>
      </c>
      <c r="B300" s="24" t="s">
        <v>1546</v>
      </c>
      <c r="C300" s="23">
        <v>140090143</v>
      </c>
      <c r="D300" s="23">
        <v>600</v>
      </c>
      <c r="E300" s="27">
        <v>1.9455252918287937</v>
      </c>
      <c r="F300" s="27">
        <v>229.57198443579767</v>
      </c>
      <c r="G300" s="23">
        <v>10</v>
      </c>
      <c r="H300" s="486">
        <v>118</v>
      </c>
      <c r="J300" s="487" t="s">
        <v>224</v>
      </c>
      <c r="K300" s="488"/>
      <c r="L300" s="488"/>
      <c r="M300" s="548">
        <f>_xlfn.XLOOKUP(packes[[#This Row],[productId]],CT[productId],CT[total],"NA")</f>
        <v>233.215</v>
      </c>
      <c r="N300" s="20" t="str">
        <f>_xlfn.XLOOKUP(packes[[#This Row],[productId]],bom[Id],bom[ph],"NA")</f>
        <v>molex</v>
      </c>
      <c r="O300" s="20" t="str">
        <f>_xlfn.XLOOKUP(packes[[#This Row],[productId]],bom[Id],bom[erth],"NA")</f>
        <v>-</v>
      </c>
      <c r="P300" s="20" t="str">
        <f>_xlfn.XLOOKUP(packes[[#This Row],[productId]],bom[Id],bom[dbl],"NA")</f>
        <v>splice</v>
      </c>
      <c r="Q300" s="20" t="str">
        <f>LEFT(packes[[#This Row],[date]],4)</f>
        <v>1403</v>
      </c>
    </row>
    <row r="301" spans="1:17" s="23" customFormat="1" ht="16.5" x14ac:dyDescent="0.25">
      <c r="A301" s="23">
        <v>299</v>
      </c>
      <c r="B301" s="24" t="s">
        <v>1546</v>
      </c>
      <c r="C301" s="23">
        <v>140220012</v>
      </c>
      <c r="D301" s="23">
        <v>250</v>
      </c>
      <c r="E301" s="27">
        <v>1.1413748378728923</v>
      </c>
      <c r="F301" s="27">
        <v>1369.6498054474707</v>
      </c>
      <c r="G301" s="23">
        <v>10</v>
      </c>
      <c r="H301" s="486">
        <v>1200</v>
      </c>
      <c r="J301" s="487" t="s">
        <v>224</v>
      </c>
      <c r="K301" s="488"/>
      <c r="L301" s="488"/>
      <c r="M301" s="548">
        <f>_xlfn.XLOOKUP(packes[[#This Row],[productId]],CT[productId],CT[total],"NA")</f>
        <v>192.86500000000001</v>
      </c>
      <c r="N301" s="20" t="str">
        <f>_xlfn.XLOOKUP(packes[[#This Row],[productId]],bom[Id],bom[ph],"NA")</f>
        <v>flag</v>
      </c>
      <c r="O301" s="20" t="str">
        <f>_xlfn.XLOOKUP(packes[[#This Row],[productId]],bom[Id],bom[erth],"NA")</f>
        <v>sun</v>
      </c>
      <c r="P301" s="20" t="str">
        <f>_xlfn.XLOOKUP(packes[[#This Row],[productId]],bom[Id],bom[dbl],"NA")</f>
        <v>-</v>
      </c>
      <c r="Q301" s="20" t="str">
        <f>LEFT(packes[[#This Row],[date]],4)</f>
        <v>1403</v>
      </c>
    </row>
    <row r="302" spans="1:17" s="23" customFormat="1" ht="16.5" x14ac:dyDescent="0.25">
      <c r="A302" s="23">
        <v>300</v>
      </c>
      <c r="B302" s="24" t="s">
        <v>1546</v>
      </c>
      <c r="C302" s="23">
        <v>141650001</v>
      </c>
      <c r="D302" s="23">
        <v>1500</v>
      </c>
      <c r="E302" s="27">
        <v>1.3469021251122417</v>
      </c>
      <c r="F302" s="27">
        <v>1144.8668063454054</v>
      </c>
      <c r="H302" s="486">
        <v>850</v>
      </c>
      <c r="J302" s="487" t="s">
        <v>224</v>
      </c>
      <c r="K302" s="488"/>
      <c r="L302" s="488"/>
      <c r="M302" s="548">
        <f>_xlfn.XLOOKUP(packes[[#This Row],[productId]],CT[productId],CT[total],"NA")</f>
        <v>100.965</v>
      </c>
      <c r="N302" s="20" t="str">
        <f>_xlfn.XLOOKUP(packes[[#This Row],[productId]],bom[Id],bom[ph],"NA")</f>
        <v>6.3k</v>
      </c>
      <c r="O302" s="20" t="str">
        <f>_xlfn.XLOOKUP(packes[[#This Row],[productId]],bom[Id],bom[erth],"NA")</f>
        <v>flag</v>
      </c>
      <c r="P302" s="20" t="str">
        <f>_xlfn.XLOOKUP(packes[[#This Row],[productId]],bom[Id],bom[dbl],"NA")</f>
        <v>-</v>
      </c>
      <c r="Q302" s="20" t="str">
        <f>LEFT(packes[[#This Row],[date]],4)</f>
        <v>1403</v>
      </c>
    </row>
    <row r="303" spans="1:17" s="23" customFormat="1" ht="16.5" x14ac:dyDescent="0.25">
      <c r="A303" s="23">
        <v>301</v>
      </c>
      <c r="B303" s="24" t="s">
        <v>1546</v>
      </c>
      <c r="C303" s="23">
        <v>140310031</v>
      </c>
      <c r="D303" s="23">
        <v>250</v>
      </c>
      <c r="E303" s="27">
        <v>1.1972463334331038</v>
      </c>
      <c r="F303" s="27">
        <v>119.72463334331039</v>
      </c>
      <c r="H303" s="486">
        <v>100</v>
      </c>
      <c r="J303" s="487" t="s">
        <v>224</v>
      </c>
      <c r="K303" s="488"/>
      <c r="L303" s="488"/>
      <c r="M303" s="548">
        <f>_xlfn.XLOOKUP(packes[[#This Row],[productId]],CT[productId],CT[total],"NA")</f>
        <v>202.96500000000003</v>
      </c>
      <c r="N303" s="20">
        <f>_xlfn.XLOOKUP(packes[[#This Row],[productId]],bom[Id],bom[ph],"NA")</f>
        <v>461</v>
      </c>
      <c r="O303" s="20" t="str">
        <f>_xlfn.XLOOKUP(packes[[#This Row],[productId]],bom[Id],bom[erth],"NA")</f>
        <v>nut4</v>
      </c>
      <c r="P303" s="20" t="str">
        <f>_xlfn.XLOOKUP(packes[[#This Row],[productId]],bom[Id],bom[dbl],"NA")</f>
        <v>-</v>
      </c>
      <c r="Q303" s="20" t="str">
        <f>LEFT(packes[[#This Row],[date]],4)</f>
        <v>1403</v>
      </c>
    </row>
    <row r="304" spans="1:17" s="23" customFormat="1" ht="16.5" x14ac:dyDescent="0.25">
      <c r="A304" s="23">
        <v>302</v>
      </c>
      <c r="B304" s="24" t="s">
        <v>1546</v>
      </c>
      <c r="C304" s="23">
        <v>140680007</v>
      </c>
      <c r="D304" s="23">
        <v>100</v>
      </c>
      <c r="E304" s="27">
        <v>1.2670857028833682</v>
      </c>
      <c r="F304" s="27">
        <v>2470.8171206225679</v>
      </c>
      <c r="H304" s="486">
        <v>1950</v>
      </c>
      <c r="J304" s="487" t="s">
        <v>224</v>
      </c>
      <c r="K304" s="488"/>
      <c r="L304" s="488"/>
      <c r="M304" s="548" t="str">
        <f>_xlfn.XLOOKUP(packes[[#This Row],[productId]],CT[productId],CT[total],"NA")</f>
        <v>NA</v>
      </c>
      <c r="N304" s="20" t="str">
        <f>_xlfn.XLOOKUP(packes[[#This Row],[productId]],bom[Id],bom[ph],"NA")</f>
        <v>nar.p</v>
      </c>
      <c r="O304" s="20" t="str">
        <f>_xlfn.XLOOKUP(packes[[#This Row],[productId]],bom[Id],bom[erth],"NA")</f>
        <v>-</v>
      </c>
      <c r="P304" s="20" t="str">
        <f>_xlfn.XLOOKUP(packes[[#This Row],[productId]],bom[Id],bom[dbl],"NA")</f>
        <v>nar.p</v>
      </c>
      <c r="Q304" s="20" t="str">
        <f>LEFT(packes[[#This Row],[date]],4)</f>
        <v>1403</v>
      </c>
    </row>
    <row r="305" spans="1:17" s="23" customFormat="1" ht="16.5" x14ac:dyDescent="0.25">
      <c r="A305" s="23">
        <v>303</v>
      </c>
      <c r="B305" s="24" t="s">
        <v>1546</v>
      </c>
      <c r="C305" s="23">
        <v>140220019</v>
      </c>
      <c r="D305" s="23">
        <v>1000</v>
      </c>
      <c r="E305" s="27">
        <v>1.1413748378728923</v>
      </c>
      <c r="F305" s="27">
        <v>342.41245136186768</v>
      </c>
      <c r="H305" s="486">
        <v>300</v>
      </c>
      <c r="J305" s="487" t="s">
        <v>224</v>
      </c>
      <c r="K305" s="488"/>
      <c r="L305" s="488"/>
      <c r="M305" s="548" t="str">
        <f>_xlfn.XLOOKUP(packes[[#This Row],[productId]],CT[productId],CT[total],"NA")</f>
        <v>NA</v>
      </c>
      <c r="N305" s="20" t="str">
        <f>_xlfn.XLOOKUP(packes[[#This Row],[productId]],bom[Id],bom[ph],"NA")</f>
        <v>NA</v>
      </c>
      <c r="O305" s="20" t="str">
        <f>_xlfn.XLOOKUP(packes[[#This Row],[productId]],bom[Id],bom[erth],"NA")</f>
        <v>NA</v>
      </c>
      <c r="P305" s="20" t="str">
        <f>_xlfn.XLOOKUP(packes[[#This Row],[productId]],bom[Id],bom[dbl],"NA")</f>
        <v>NA</v>
      </c>
      <c r="Q305" s="20" t="str">
        <f>LEFT(packes[[#This Row],[date]],4)</f>
        <v>1403</v>
      </c>
    </row>
    <row r="306" spans="1:17" s="23" customFormat="1" ht="16.5" x14ac:dyDescent="0.25">
      <c r="A306" s="23">
        <v>304</v>
      </c>
      <c r="B306" s="24" t="s">
        <v>1547</v>
      </c>
      <c r="C306" s="23">
        <v>140010230</v>
      </c>
      <c r="D306" s="23">
        <v>150</v>
      </c>
      <c r="E306" s="27">
        <v>1.1092487279257708</v>
      </c>
      <c r="F306" s="27">
        <v>1774.7979646812332</v>
      </c>
      <c r="G306" s="23">
        <v>10</v>
      </c>
      <c r="H306" s="486">
        <v>1428</v>
      </c>
      <c r="J306" s="487" t="s">
        <v>224</v>
      </c>
      <c r="K306" s="488"/>
      <c r="L306" s="488"/>
      <c r="M306" s="548">
        <f>_xlfn.XLOOKUP(packes[[#This Row],[productId]],CT[productId],CT[total],"NA")</f>
        <v>147.595</v>
      </c>
      <c r="N306" s="20" t="str">
        <f>_xlfn.XLOOKUP(packes[[#This Row],[productId]],bom[Id],bom[ph],"NA")</f>
        <v>nar.p</v>
      </c>
      <c r="O306" s="20" t="str">
        <f>_xlfn.XLOOKUP(packes[[#This Row],[productId]],bom[Id],bom[erth],"NA")</f>
        <v>-</v>
      </c>
      <c r="P306" s="20" t="str">
        <f>_xlfn.XLOOKUP(packes[[#This Row],[productId]],bom[Id],bom[dbl],"NA")</f>
        <v>nar.p</v>
      </c>
      <c r="Q306" s="20" t="str">
        <f>LEFT(packes[[#This Row],[date]],4)</f>
        <v>1403</v>
      </c>
    </row>
    <row r="307" spans="1:17" s="23" customFormat="1" ht="16.5" x14ac:dyDescent="0.25">
      <c r="A307" s="23">
        <v>305</v>
      </c>
      <c r="B307" s="24" t="s">
        <v>1547</v>
      </c>
      <c r="C307" s="23">
        <v>140090143</v>
      </c>
      <c r="D307" s="23">
        <v>2400</v>
      </c>
      <c r="E307" s="27">
        <v>1.1413748378728923</v>
      </c>
      <c r="F307" s="27">
        <v>4108.9494163424124</v>
      </c>
      <c r="G307" s="23">
        <v>10</v>
      </c>
      <c r="H307" s="486">
        <v>3600</v>
      </c>
      <c r="J307" s="487" t="s">
        <v>224</v>
      </c>
      <c r="K307" s="488"/>
      <c r="L307" s="488"/>
      <c r="M307" s="548">
        <f>_xlfn.XLOOKUP(packes[[#This Row],[productId]],CT[productId],CT[total],"NA")</f>
        <v>233.215</v>
      </c>
      <c r="N307" s="20" t="str">
        <f>_xlfn.XLOOKUP(packes[[#This Row],[productId]],bom[Id],bom[ph],"NA")</f>
        <v>molex</v>
      </c>
      <c r="O307" s="20" t="str">
        <f>_xlfn.XLOOKUP(packes[[#This Row],[productId]],bom[Id],bom[erth],"NA")</f>
        <v>-</v>
      </c>
      <c r="P307" s="20" t="str">
        <f>_xlfn.XLOOKUP(packes[[#This Row],[productId]],bom[Id],bom[dbl],"NA")</f>
        <v>splice</v>
      </c>
      <c r="Q307" s="20" t="str">
        <f>LEFT(packes[[#This Row],[date]],4)</f>
        <v>1403</v>
      </c>
    </row>
    <row r="308" spans="1:17" s="23" customFormat="1" ht="16.5" x14ac:dyDescent="0.25">
      <c r="A308" s="23">
        <v>306</v>
      </c>
      <c r="B308" s="24" t="s">
        <v>1547</v>
      </c>
      <c r="C308" s="23">
        <v>140220012</v>
      </c>
      <c r="D308" s="23">
        <v>1100</v>
      </c>
      <c r="E308" s="27">
        <v>0</v>
      </c>
      <c r="F308" s="27">
        <v>0</v>
      </c>
      <c r="G308" s="23">
        <v>10</v>
      </c>
      <c r="H308" s="486">
        <v>4500</v>
      </c>
      <c r="J308" s="487" t="s">
        <v>224</v>
      </c>
      <c r="K308" s="488"/>
      <c r="L308" s="488"/>
      <c r="M308" s="548">
        <f>_xlfn.XLOOKUP(packes[[#This Row],[productId]],CT[productId],CT[total],"NA")</f>
        <v>192.86500000000001</v>
      </c>
      <c r="N308" s="20" t="str">
        <f>_xlfn.XLOOKUP(packes[[#This Row],[productId]],bom[Id],bom[ph],"NA")</f>
        <v>flag</v>
      </c>
      <c r="O308" s="20" t="str">
        <f>_xlfn.XLOOKUP(packes[[#This Row],[productId]],bom[Id],bom[erth],"NA")</f>
        <v>sun</v>
      </c>
      <c r="P308" s="20" t="str">
        <f>_xlfn.XLOOKUP(packes[[#This Row],[productId]],bom[Id],bom[dbl],"NA")</f>
        <v>-</v>
      </c>
      <c r="Q308" s="20" t="str">
        <f>LEFT(packes[[#This Row],[date]],4)</f>
        <v>1403</v>
      </c>
    </row>
    <row r="309" spans="1:17" s="23" customFormat="1" ht="16.5" x14ac:dyDescent="0.25">
      <c r="A309" s="23">
        <v>307</v>
      </c>
      <c r="B309" s="24" t="s">
        <v>1547</v>
      </c>
      <c r="C309" s="23">
        <v>141650007</v>
      </c>
      <c r="D309" s="23">
        <v>300</v>
      </c>
      <c r="E309" s="27">
        <v>1.1413748378728923</v>
      </c>
      <c r="F309" s="27">
        <v>342.41245136186768</v>
      </c>
      <c r="H309" s="486">
        <v>300</v>
      </c>
      <c r="J309" s="487" t="s">
        <v>224</v>
      </c>
      <c r="K309" s="488"/>
      <c r="L309" s="488"/>
      <c r="M309" s="548" t="str">
        <f>_xlfn.XLOOKUP(packes[[#This Row],[productId]],CT[productId],CT[total],"NA")</f>
        <v>NA</v>
      </c>
      <c r="N309" s="20" t="str">
        <f>_xlfn.XLOOKUP(packes[[#This Row],[productId]],bom[Id],bom[ph],"NA")</f>
        <v>NA</v>
      </c>
      <c r="O309" s="20" t="str">
        <f>_xlfn.XLOOKUP(packes[[#This Row],[productId]],bom[Id],bom[erth],"NA")</f>
        <v>NA</v>
      </c>
      <c r="P309" s="20" t="str">
        <f>_xlfn.XLOOKUP(packes[[#This Row],[productId]],bom[Id],bom[dbl],"NA")</f>
        <v>NA</v>
      </c>
      <c r="Q309" s="20" t="str">
        <f>LEFT(packes[[#This Row],[date]],4)</f>
        <v>1403</v>
      </c>
    </row>
    <row r="310" spans="1:17" s="23" customFormat="1" ht="16.5" x14ac:dyDescent="0.25">
      <c r="A310" s="23">
        <v>308</v>
      </c>
      <c r="B310" s="24" t="s">
        <v>1547</v>
      </c>
      <c r="C310" s="23">
        <v>140310031</v>
      </c>
      <c r="D310" s="23">
        <v>300</v>
      </c>
      <c r="E310" s="27">
        <v>1.1092487279257708</v>
      </c>
      <c r="F310" s="27">
        <v>1885.7228374738104</v>
      </c>
      <c r="H310" s="486">
        <v>1700</v>
      </c>
      <c r="J310" s="487" t="s">
        <v>224</v>
      </c>
      <c r="K310" s="488"/>
      <c r="L310" s="488"/>
      <c r="M310" s="548">
        <f>_xlfn.XLOOKUP(packes[[#This Row],[productId]],CT[productId],CT[total],"NA")</f>
        <v>202.96500000000003</v>
      </c>
      <c r="N310" s="20">
        <f>_xlfn.XLOOKUP(packes[[#This Row],[productId]],bom[Id],bom[ph],"NA")</f>
        <v>461</v>
      </c>
      <c r="O310" s="20" t="str">
        <f>_xlfn.XLOOKUP(packes[[#This Row],[productId]],bom[Id],bom[erth],"NA")</f>
        <v>nut4</v>
      </c>
      <c r="P310" s="20" t="str">
        <f>_xlfn.XLOOKUP(packes[[#This Row],[productId]],bom[Id],bom[dbl],"NA")</f>
        <v>-</v>
      </c>
      <c r="Q310" s="20" t="str">
        <f>LEFT(packes[[#This Row],[date]],4)</f>
        <v>1403</v>
      </c>
    </row>
    <row r="311" spans="1:17" s="23" customFormat="1" ht="16.5" x14ac:dyDescent="0.25">
      <c r="A311" s="23">
        <v>309</v>
      </c>
      <c r="B311" s="24" t="s">
        <v>1548</v>
      </c>
      <c r="C311" s="23">
        <v>140010117</v>
      </c>
      <c r="D311" s="23">
        <v>2325</v>
      </c>
      <c r="E311" s="27">
        <v>1</v>
      </c>
      <c r="F311" s="27">
        <v>2250</v>
      </c>
      <c r="G311" s="23">
        <v>10</v>
      </c>
      <c r="H311" s="486">
        <v>2100</v>
      </c>
      <c r="J311" s="487" t="s">
        <v>224</v>
      </c>
      <c r="K311" s="488"/>
      <c r="L311" s="488"/>
      <c r="M311" s="548">
        <f>_xlfn.XLOOKUP(packes[[#This Row],[productId]],CT[productId],CT[total],"NA")</f>
        <v>98.295000000000016</v>
      </c>
      <c r="N311" s="20" t="str">
        <f>_xlfn.XLOOKUP(packes[[#This Row],[productId]],bom[Id],bom[ph],"NA")</f>
        <v>nar.p</v>
      </c>
      <c r="O311" s="20" t="str">
        <f>_xlfn.XLOOKUP(packes[[#This Row],[productId]],bom[Id],bom[erth],"NA")</f>
        <v>-</v>
      </c>
      <c r="P311" s="20" t="str">
        <f>_xlfn.XLOOKUP(packes[[#This Row],[productId]],bom[Id],bom[dbl],"NA")</f>
        <v>nar.p</v>
      </c>
      <c r="Q311" s="20" t="str">
        <f>LEFT(packes[[#This Row],[date]],4)</f>
        <v>1403</v>
      </c>
    </row>
    <row r="312" spans="1:17" s="23" customFormat="1" ht="16.5" x14ac:dyDescent="0.25">
      <c r="A312" s="23">
        <v>310</v>
      </c>
      <c r="B312" s="24" t="s">
        <v>1548</v>
      </c>
      <c r="C312" s="23">
        <v>140010230</v>
      </c>
      <c r="D312" s="23">
        <v>1500</v>
      </c>
      <c r="E312" s="27">
        <v>1.4486680634540554</v>
      </c>
      <c r="F312" s="27">
        <v>2100.5686920083804</v>
      </c>
      <c r="G312" s="23">
        <v>10</v>
      </c>
      <c r="H312" s="486">
        <v>1450</v>
      </c>
      <c r="J312" s="487" t="s">
        <v>224</v>
      </c>
      <c r="K312" s="488"/>
      <c r="L312" s="488"/>
      <c r="M312" s="548">
        <f>_xlfn.XLOOKUP(packes[[#This Row],[productId]],CT[productId],CT[total],"NA")</f>
        <v>147.595</v>
      </c>
      <c r="N312" s="20" t="str">
        <f>_xlfn.XLOOKUP(packes[[#This Row],[productId]],bom[Id],bom[ph],"NA")</f>
        <v>nar.p</v>
      </c>
      <c r="O312" s="20" t="str">
        <f>_xlfn.XLOOKUP(packes[[#This Row],[productId]],bom[Id],bom[erth],"NA")</f>
        <v>-</v>
      </c>
      <c r="P312" s="20" t="str">
        <f>_xlfn.XLOOKUP(packes[[#This Row],[productId]],bom[Id],bom[dbl],"NA")</f>
        <v>nar.p</v>
      </c>
      <c r="Q312" s="20" t="str">
        <f>LEFT(packes[[#This Row],[date]],4)</f>
        <v>1403</v>
      </c>
    </row>
    <row r="313" spans="1:17" s="23" customFormat="1" ht="16.5" x14ac:dyDescent="0.25">
      <c r="A313" s="23">
        <v>311</v>
      </c>
      <c r="B313" s="24" t="s">
        <v>1548</v>
      </c>
      <c r="C313" s="23">
        <v>140020181</v>
      </c>
      <c r="D313" s="23">
        <v>900</v>
      </c>
      <c r="E313" s="27">
        <v>1.2670857028833682</v>
      </c>
      <c r="F313" s="27">
        <v>2185.7228374738102</v>
      </c>
      <c r="G313" s="23">
        <v>9</v>
      </c>
      <c r="H313" s="486">
        <v>1725</v>
      </c>
      <c r="J313" s="487" t="s">
        <v>224</v>
      </c>
      <c r="K313" s="488"/>
      <c r="L313" s="488"/>
      <c r="M313" s="548">
        <f>_xlfn.XLOOKUP(packes[[#This Row],[productId]],CT[productId],CT[total],"NA")</f>
        <v>88.929999999999993</v>
      </c>
      <c r="N313" s="20" t="str">
        <f>_xlfn.XLOOKUP(packes[[#This Row],[productId]],bom[Id],bom[ph],"NA")</f>
        <v>VH</v>
      </c>
      <c r="O313" s="20" t="str">
        <f>_xlfn.XLOOKUP(packes[[#This Row],[productId]],bom[Id],bom[erth],"NA")</f>
        <v>nut4</v>
      </c>
      <c r="P313" s="20" t="str">
        <f>_xlfn.XLOOKUP(packes[[#This Row],[productId]],bom[Id],bom[dbl],"NA")</f>
        <v>-</v>
      </c>
      <c r="Q313" s="20" t="str">
        <f>LEFT(packes[[#This Row],[date]],4)</f>
        <v>1403</v>
      </c>
    </row>
    <row r="314" spans="1:17" s="23" customFormat="1" ht="16.5" x14ac:dyDescent="0.25">
      <c r="A314" s="23">
        <v>312</v>
      </c>
      <c r="B314" s="24" t="s">
        <v>1548</v>
      </c>
      <c r="C314" s="23">
        <v>140030039</v>
      </c>
      <c r="D314" s="23">
        <v>1400</v>
      </c>
      <c r="E314" s="27">
        <v>1.1413748378728923</v>
      </c>
      <c r="F314" s="27">
        <v>913.09987029831382</v>
      </c>
      <c r="H314" s="486">
        <v>800</v>
      </c>
      <c r="J314" s="487" t="s">
        <v>224</v>
      </c>
      <c r="K314" s="488"/>
      <c r="L314" s="488"/>
      <c r="M314" s="548">
        <f>_xlfn.XLOOKUP(packes[[#This Row],[productId]],CT[productId],CT[total],"NA")</f>
        <v>92.504999999999995</v>
      </c>
      <c r="N314" s="20" t="str">
        <f>_xlfn.XLOOKUP(packes[[#This Row],[productId]],bom[Id],bom[ph],"NA")</f>
        <v>YH</v>
      </c>
      <c r="O314" s="20" t="str">
        <f>_xlfn.XLOOKUP(packes[[#This Row],[productId]],bom[Id],bom[erth],"NA")</f>
        <v>sun</v>
      </c>
      <c r="P314" s="20" t="str">
        <f>_xlfn.XLOOKUP(packes[[#This Row],[productId]],bom[Id],bom[dbl],"NA")</f>
        <v>-</v>
      </c>
      <c r="Q314" s="20" t="str">
        <f>LEFT(packes[[#This Row],[date]],4)</f>
        <v>1403</v>
      </c>
    </row>
    <row r="315" spans="1:17" s="23" customFormat="1" ht="16.5" x14ac:dyDescent="0.25">
      <c r="A315" s="23">
        <v>313</v>
      </c>
      <c r="B315" s="24" t="s">
        <v>1548</v>
      </c>
      <c r="C315" s="23">
        <v>140090143</v>
      </c>
      <c r="D315" s="23">
        <v>400</v>
      </c>
      <c r="E315" s="27">
        <v>1.1092487279257708</v>
      </c>
      <c r="F315" s="27">
        <v>2107.5725830589645</v>
      </c>
      <c r="G315" s="23">
        <v>10</v>
      </c>
      <c r="H315" s="486">
        <v>1900</v>
      </c>
      <c r="J315" s="487" t="s">
        <v>224</v>
      </c>
      <c r="K315" s="488"/>
      <c r="L315" s="488"/>
      <c r="M315" s="548">
        <f>_xlfn.XLOOKUP(packes[[#This Row],[productId]],CT[productId],CT[total],"NA")</f>
        <v>233.215</v>
      </c>
      <c r="N315" s="20" t="str">
        <f>_xlfn.XLOOKUP(packes[[#This Row],[productId]],bom[Id],bom[ph],"NA")</f>
        <v>molex</v>
      </c>
      <c r="O315" s="20" t="str">
        <f>_xlfn.XLOOKUP(packes[[#This Row],[productId]],bom[Id],bom[erth],"NA")</f>
        <v>-</v>
      </c>
      <c r="P315" s="20" t="str">
        <f>_xlfn.XLOOKUP(packes[[#This Row],[productId]],bom[Id],bom[dbl],"NA")</f>
        <v>splice</v>
      </c>
      <c r="Q315" s="20" t="str">
        <f>LEFT(packes[[#This Row],[date]],4)</f>
        <v>1403</v>
      </c>
    </row>
    <row r="316" spans="1:17" s="23" customFormat="1" ht="16.5" x14ac:dyDescent="0.25">
      <c r="A316" s="23">
        <v>314</v>
      </c>
      <c r="B316" s="24" t="s">
        <v>1548</v>
      </c>
      <c r="C316" s="23">
        <v>140220012</v>
      </c>
      <c r="D316" s="23">
        <v>2500</v>
      </c>
      <c r="E316" s="27">
        <v>1.1413748378728923</v>
      </c>
      <c r="F316" s="27">
        <v>3195.8495460440986</v>
      </c>
      <c r="G316" s="23">
        <v>10</v>
      </c>
      <c r="H316" s="486">
        <v>2800</v>
      </c>
      <c r="J316" s="487" t="s">
        <v>224</v>
      </c>
      <c r="K316" s="488"/>
      <c r="L316" s="488"/>
      <c r="M316" s="548">
        <f>_xlfn.XLOOKUP(packes[[#This Row],[productId]],CT[productId],CT[total],"NA")</f>
        <v>192.86500000000001</v>
      </c>
      <c r="N316" s="20" t="str">
        <f>_xlfn.XLOOKUP(packes[[#This Row],[productId]],bom[Id],bom[ph],"NA")</f>
        <v>flag</v>
      </c>
      <c r="O316" s="20" t="str">
        <f>_xlfn.XLOOKUP(packes[[#This Row],[productId]],bom[Id],bom[erth],"NA")</f>
        <v>sun</v>
      </c>
      <c r="P316" s="20" t="str">
        <f>_xlfn.XLOOKUP(packes[[#This Row],[productId]],bom[Id],bom[dbl],"NA")</f>
        <v>-</v>
      </c>
      <c r="Q316" s="20" t="str">
        <f>LEFT(packes[[#This Row],[date]],4)</f>
        <v>1403</v>
      </c>
    </row>
    <row r="317" spans="1:17" s="23" customFormat="1" ht="16.5" x14ac:dyDescent="0.25">
      <c r="A317" s="23">
        <v>315</v>
      </c>
      <c r="B317" s="24" t="s">
        <v>1548</v>
      </c>
      <c r="C317" s="23">
        <v>141350001</v>
      </c>
      <c r="D317" s="23">
        <v>600</v>
      </c>
      <c r="E317" s="27">
        <v>1.6063054973560809</v>
      </c>
      <c r="F317" s="27">
        <v>48.189164920682423</v>
      </c>
      <c r="H317" s="486">
        <v>30</v>
      </c>
      <c r="J317" s="487" t="s">
        <v>224</v>
      </c>
      <c r="K317" s="488"/>
      <c r="L317" s="488"/>
      <c r="M317" s="548" t="str">
        <f>_xlfn.XLOOKUP(packes[[#This Row],[productId]],CT[productId],CT[total],"NA")</f>
        <v>NA</v>
      </c>
      <c r="N317" s="20" t="str">
        <f>_xlfn.XLOOKUP(packes[[#This Row],[productId]],bom[Id],bom[ph],"NA")</f>
        <v>NA</v>
      </c>
      <c r="O317" s="20" t="str">
        <f>_xlfn.XLOOKUP(packes[[#This Row],[productId]],bom[Id],bom[erth],"NA")</f>
        <v>NA</v>
      </c>
      <c r="P317" s="20" t="str">
        <f>_xlfn.XLOOKUP(packes[[#This Row],[productId]],bom[Id],bom[dbl],"NA")</f>
        <v>NA</v>
      </c>
      <c r="Q317" s="20" t="str">
        <f>LEFT(packes[[#This Row],[date]],4)</f>
        <v>1403</v>
      </c>
    </row>
    <row r="318" spans="1:17" s="23" customFormat="1" ht="16.5" x14ac:dyDescent="0.25">
      <c r="A318" s="23">
        <v>316</v>
      </c>
      <c r="B318" s="24" t="s">
        <v>1548</v>
      </c>
      <c r="C318" s="23">
        <v>140310031</v>
      </c>
      <c r="D318" s="23">
        <v>900</v>
      </c>
      <c r="E318" s="27">
        <v>1.6063054973560809</v>
      </c>
      <c r="F318" s="27">
        <v>1445.6749476204727</v>
      </c>
      <c r="H318" s="486">
        <v>830</v>
      </c>
      <c r="J318" s="487" t="s">
        <v>224</v>
      </c>
      <c r="K318" s="488"/>
      <c r="L318" s="488"/>
      <c r="M318" s="548">
        <f>_xlfn.XLOOKUP(packes[[#This Row],[productId]],CT[productId],CT[total],"NA")</f>
        <v>202.96500000000003</v>
      </c>
      <c r="N318" s="20">
        <f>_xlfn.XLOOKUP(packes[[#This Row],[productId]],bom[Id],bom[ph],"NA")</f>
        <v>461</v>
      </c>
      <c r="O318" s="20" t="str">
        <f>_xlfn.XLOOKUP(packes[[#This Row],[productId]],bom[Id],bom[erth],"NA")</f>
        <v>nut4</v>
      </c>
      <c r="P318" s="20" t="str">
        <f>_xlfn.XLOOKUP(packes[[#This Row],[productId]],bom[Id],bom[dbl],"NA")</f>
        <v>-</v>
      </c>
      <c r="Q318" s="20" t="str">
        <f>LEFT(packes[[#This Row],[date]],4)</f>
        <v>1403</v>
      </c>
    </row>
    <row r="319" spans="1:17" s="23" customFormat="1" ht="16.5" x14ac:dyDescent="0.25">
      <c r="A319" s="23">
        <v>317</v>
      </c>
      <c r="B319" s="24" t="s">
        <v>1548</v>
      </c>
      <c r="C319" s="23">
        <v>140680007</v>
      </c>
      <c r="D319" s="23">
        <v>300</v>
      </c>
      <c r="E319" s="27">
        <v>1.4486680634540554</v>
      </c>
      <c r="F319" s="27">
        <v>3331.9365459443275</v>
      </c>
      <c r="H319" s="486">
        <v>300</v>
      </c>
      <c r="J319" s="487" t="s">
        <v>224</v>
      </c>
      <c r="K319" s="488"/>
      <c r="L319" s="488"/>
      <c r="M319" s="548" t="str">
        <f>_xlfn.XLOOKUP(packes[[#This Row],[productId]],CT[productId],CT[total],"NA")</f>
        <v>NA</v>
      </c>
      <c r="N319" s="20" t="str">
        <f>_xlfn.XLOOKUP(packes[[#This Row],[productId]],bom[Id],bom[ph],"NA")</f>
        <v>nar.p</v>
      </c>
      <c r="O319" s="20" t="str">
        <f>_xlfn.XLOOKUP(packes[[#This Row],[productId]],bom[Id],bom[erth],"NA")</f>
        <v>-</v>
      </c>
      <c r="P319" s="20" t="str">
        <f>_xlfn.XLOOKUP(packes[[#This Row],[productId]],bom[Id],bom[dbl],"NA")</f>
        <v>nar.p</v>
      </c>
      <c r="Q319" s="20" t="str">
        <f>LEFT(packes[[#This Row],[date]],4)</f>
        <v>1403</v>
      </c>
    </row>
    <row r="320" spans="1:17" s="23" customFormat="1" ht="16.5" x14ac:dyDescent="0.25">
      <c r="A320" s="23">
        <v>318</v>
      </c>
      <c r="B320" s="24" t="s">
        <v>1548</v>
      </c>
      <c r="C320" s="23">
        <v>140550060</v>
      </c>
      <c r="D320" s="23">
        <v>900</v>
      </c>
      <c r="E320" s="27">
        <v>1</v>
      </c>
      <c r="F320" s="27">
        <v>675</v>
      </c>
      <c r="G320" s="23">
        <v>8</v>
      </c>
      <c r="H320" s="486">
        <v>675</v>
      </c>
      <c r="J320" s="487" t="s">
        <v>224</v>
      </c>
      <c r="K320" s="488"/>
      <c r="L320" s="488"/>
      <c r="M320" s="548">
        <f>_xlfn.XLOOKUP(packes[[#This Row],[productId]],CT[productId],CT[total],"NA")</f>
        <v>81.220000000000013</v>
      </c>
      <c r="N320" s="20" t="str">
        <f>_xlfn.XLOOKUP(packes[[#This Row],[productId]],bom[Id],bom[ph],"NA")</f>
        <v>radio</v>
      </c>
      <c r="O320" s="20" t="str">
        <f>_xlfn.XLOOKUP(packes[[#This Row],[productId]],bom[Id],bom[erth],"NA")</f>
        <v>-</v>
      </c>
      <c r="P320" s="20" t="str">
        <f>_xlfn.XLOOKUP(packes[[#This Row],[productId]],bom[Id],bom[dbl],"NA")</f>
        <v>-</v>
      </c>
      <c r="Q320" s="20" t="str">
        <f>LEFT(packes[[#This Row],[date]],4)</f>
        <v>1403</v>
      </c>
    </row>
    <row r="321" spans="1:17" s="23" customFormat="1" ht="16.5" x14ac:dyDescent="0.25">
      <c r="A321" s="23">
        <v>319</v>
      </c>
      <c r="B321" s="24" t="s">
        <v>1549</v>
      </c>
      <c r="C321" s="23">
        <v>140010230</v>
      </c>
      <c r="D321" s="23">
        <v>300</v>
      </c>
      <c r="E321" s="27">
        <v>1.2670857028833682</v>
      </c>
      <c r="F321" s="27">
        <v>3421.1313977850941</v>
      </c>
      <c r="G321" s="23">
        <v>10</v>
      </c>
      <c r="H321" s="486">
        <v>2700</v>
      </c>
      <c r="J321" s="487" t="s">
        <v>224</v>
      </c>
      <c r="K321" s="488"/>
      <c r="L321" s="488"/>
      <c r="M321" s="548">
        <f>_xlfn.XLOOKUP(packes[[#This Row],[productId]],CT[productId],CT[total],"NA")</f>
        <v>147.595</v>
      </c>
      <c r="N321" s="20" t="str">
        <f>_xlfn.XLOOKUP(packes[[#This Row],[productId]],bom[Id],bom[ph],"NA")</f>
        <v>nar.p</v>
      </c>
      <c r="O321" s="20" t="str">
        <f>_xlfn.XLOOKUP(packes[[#This Row],[productId]],bom[Id],bom[erth],"NA")</f>
        <v>-</v>
      </c>
      <c r="P321" s="20" t="str">
        <f>_xlfn.XLOOKUP(packes[[#This Row],[productId]],bom[Id],bom[dbl],"NA")</f>
        <v>nar.p</v>
      </c>
      <c r="Q321" s="20" t="str">
        <f>LEFT(packes[[#This Row],[date]],4)</f>
        <v>1403</v>
      </c>
    </row>
    <row r="322" spans="1:17" s="23" customFormat="1" ht="16.5" x14ac:dyDescent="0.25">
      <c r="A322" s="23">
        <v>320</v>
      </c>
      <c r="B322" s="24" t="s">
        <v>1549</v>
      </c>
      <c r="C322" s="23">
        <v>140030039</v>
      </c>
      <c r="D322" s="23">
        <v>900</v>
      </c>
      <c r="E322" s="27">
        <v>1.1413748378728923</v>
      </c>
      <c r="F322" s="27">
        <v>913.09987029831382</v>
      </c>
      <c r="H322" s="486">
        <v>800</v>
      </c>
      <c r="J322" s="487" t="s">
        <v>224</v>
      </c>
      <c r="K322" s="488"/>
      <c r="L322" s="488"/>
      <c r="M322" s="548">
        <f>_xlfn.XLOOKUP(packes[[#This Row],[productId]],CT[productId],CT[total],"NA")</f>
        <v>92.504999999999995</v>
      </c>
      <c r="N322" s="20" t="str">
        <f>_xlfn.XLOOKUP(packes[[#This Row],[productId]],bom[Id],bom[ph],"NA")</f>
        <v>YH</v>
      </c>
      <c r="O322" s="20" t="str">
        <f>_xlfn.XLOOKUP(packes[[#This Row],[productId]],bom[Id],bom[erth],"NA")</f>
        <v>sun</v>
      </c>
      <c r="P322" s="20" t="str">
        <f>_xlfn.XLOOKUP(packes[[#This Row],[productId]],bom[Id],bom[dbl],"NA")</f>
        <v>-</v>
      </c>
      <c r="Q322" s="20" t="str">
        <f>LEFT(packes[[#This Row],[date]],4)</f>
        <v>1403</v>
      </c>
    </row>
    <row r="323" spans="1:17" s="23" customFormat="1" ht="16.5" x14ac:dyDescent="0.25">
      <c r="A323" s="23">
        <v>321</v>
      </c>
      <c r="B323" s="24" t="s">
        <v>1549</v>
      </c>
      <c r="C323" s="23">
        <v>140030040</v>
      </c>
      <c r="D323" s="23">
        <v>1500</v>
      </c>
      <c r="E323" s="27">
        <v>1.1413748378728923</v>
      </c>
      <c r="F323" s="27">
        <v>2168.6121919584953</v>
      </c>
      <c r="H323" s="486">
        <v>1900</v>
      </c>
      <c r="J323" s="487" t="s">
        <v>224</v>
      </c>
      <c r="K323" s="488"/>
      <c r="L323" s="488"/>
      <c r="M323" s="548">
        <f>_xlfn.XLOOKUP(packes[[#This Row],[productId]],CT[productId],CT[total],"NA")</f>
        <v>97.305000000000007</v>
      </c>
      <c r="N323" s="20" t="str">
        <f>_xlfn.XLOOKUP(packes[[#This Row],[productId]],bom[Id],bom[ph],"NA")</f>
        <v>YH</v>
      </c>
      <c r="O323" s="20" t="str">
        <f>_xlfn.XLOOKUP(packes[[#This Row],[productId]],bom[Id],bom[erth],"NA")</f>
        <v>sun</v>
      </c>
      <c r="P323" s="20" t="str">
        <f>_xlfn.XLOOKUP(packes[[#This Row],[productId]],bom[Id],bom[dbl],"NA")</f>
        <v>-</v>
      </c>
      <c r="Q323" s="20" t="str">
        <f>LEFT(packes[[#This Row],[date]],4)</f>
        <v>1403</v>
      </c>
    </row>
    <row r="324" spans="1:17" s="23" customFormat="1" ht="16.5" x14ac:dyDescent="0.25">
      <c r="A324" s="23">
        <v>322</v>
      </c>
      <c r="B324" s="24" t="s">
        <v>1549</v>
      </c>
      <c r="C324" s="23">
        <v>140090143</v>
      </c>
      <c r="D324" s="23">
        <v>1850</v>
      </c>
      <c r="E324" s="27">
        <v>1</v>
      </c>
      <c r="F324" s="27">
        <v>1050</v>
      </c>
      <c r="G324" s="23">
        <v>10</v>
      </c>
      <c r="H324" s="486">
        <v>1050</v>
      </c>
      <c r="J324" s="487" t="s">
        <v>224</v>
      </c>
      <c r="K324" s="488"/>
      <c r="L324" s="488"/>
      <c r="M324" s="548">
        <f>_xlfn.XLOOKUP(packes[[#This Row],[productId]],CT[productId],CT[total],"NA")</f>
        <v>233.215</v>
      </c>
      <c r="N324" s="20" t="str">
        <f>_xlfn.XLOOKUP(packes[[#This Row],[productId]],bom[Id],bom[ph],"NA")</f>
        <v>molex</v>
      </c>
      <c r="O324" s="20" t="str">
        <f>_xlfn.XLOOKUP(packes[[#This Row],[productId]],bom[Id],bom[erth],"NA")</f>
        <v>-</v>
      </c>
      <c r="P324" s="20" t="str">
        <f>_xlfn.XLOOKUP(packes[[#This Row],[productId]],bom[Id],bom[dbl],"NA")</f>
        <v>splice</v>
      </c>
      <c r="Q324" s="20" t="str">
        <f>LEFT(packes[[#This Row],[date]],4)</f>
        <v>1403</v>
      </c>
    </row>
    <row r="325" spans="1:17" s="23" customFormat="1" ht="16.5" x14ac:dyDescent="0.25">
      <c r="A325" s="23">
        <v>323</v>
      </c>
      <c r="B325" s="24" t="s">
        <v>1549</v>
      </c>
      <c r="C325" s="23">
        <v>140220012</v>
      </c>
      <c r="D325" s="23">
        <v>850</v>
      </c>
      <c r="E325" s="27">
        <v>1.4486680634540554</v>
      </c>
      <c r="F325" s="27">
        <v>869.20083807243327</v>
      </c>
      <c r="G325" s="23">
        <v>10</v>
      </c>
      <c r="H325" s="486">
        <v>600</v>
      </c>
      <c r="J325" s="487" t="s">
        <v>224</v>
      </c>
      <c r="K325" s="488"/>
      <c r="L325" s="488"/>
      <c r="M325" s="548">
        <f>_xlfn.XLOOKUP(packes[[#This Row],[productId]],CT[productId],CT[total],"NA")</f>
        <v>192.86500000000001</v>
      </c>
      <c r="N325" s="20" t="str">
        <f>_xlfn.XLOOKUP(packes[[#This Row],[productId]],bom[Id],bom[ph],"NA")</f>
        <v>flag</v>
      </c>
      <c r="O325" s="20" t="str">
        <f>_xlfn.XLOOKUP(packes[[#This Row],[productId]],bom[Id],bom[erth],"NA")</f>
        <v>sun</v>
      </c>
      <c r="P325" s="20" t="str">
        <f>_xlfn.XLOOKUP(packes[[#This Row],[productId]],bom[Id],bom[dbl],"NA")</f>
        <v>-</v>
      </c>
      <c r="Q325" s="20" t="str">
        <f>LEFT(packes[[#This Row],[date]],4)</f>
        <v>1403</v>
      </c>
    </row>
    <row r="326" spans="1:17" s="23" customFormat="1" ht="16.5" x14ac:dyDescent="0.25">
      <c r="A326" s="23">
        <v>324</v>
      </c>
      <c r="B326" s="24" t="s">
        <v>1549</v>
      </c>
      <c r="C326" s="23">
        <v>141650001</v>
      </c>
      <c r="D326" s="23">
        <v>2300</v>
      </c>
      <c r="E326" s="27">
        <v>1</v>
      </c>
      <c r="F326" s="27">
        <v>400</v>
      </c>
      <c r="H326" s="486">
        <v>400</v>
      </c>
      <c r="J326" s="487" t="s">
        <v>224</v>
      </c>
      <c r="K326" s="488"/>
      <c r="L326" s="488"/>
      <c r="M326" s="548">
        <f>_xlfn.XLOOKUP(packes[[#This Row],[productId]],CT[productId],CT[total],"NA")</f>
        <v>100.965</v>
      </c>
      <c r="N326" s="20" t="str">
        <f>_xlfn.XLOOKUP(packes[[#This Row],[productId]],bom[Id],bom[ph],"NA")</f>
        <v>6.3k</v>
      </c>
      <c r="O326" s="20" t="str">
        <f>_xlfn.XLOOKUP(packes[[#This Row],[productId]],bom[Id],bom[erth],"NA")</f>
        <v>flag</v>
      </c>
      <c r="P326" s="20" t="str">
        <f>_xlfn.XLOOKUP(packes[[#This Row],[productId]],bom[Id],bom[dbl],"NA")</f>
        <v>-</v>
      </c>
      <c r="Q326" s="20" t="str">
        <f>LEFT(packes[[#This Row],[date]],4)</f>
        <v>1403</v>
      </c>
    </row>
    <row r="327" spans="1:17" s="23" customFormat="1" ht="16.5" x14ac:dyDescent="0.25">
      <c r="A327" s="23">
        <v>325</v>
      </c>
      <c r="B327" s="24" t="s">
        <v>1549</v>
      </c>
      <c r="C327" s="23">
        <v>140550060</v>
      </c>
      <c r="D327" s="23">
        <v>1300</v>
      </c>
      <c r="E327" s="27">
        <v>1.1413748378728923</v>
      </c>
      <c r="F327" s="27">
        <v>1826.1997405966276</v>
      </c>
      <c r="G327" s="23">
        <v>8</v>
      </c>
      <c r="H327" s="486">
        <v>1600</v>
      </c>
      <c r="J327" s="487" t="s">
        <v>224</v>
      </c>
      <c r="K327" s="488"/>
      <c r="L327" s="488"/>
      <c r="M327" s="548">
        <f>_xlfn.XLOOKUP(packes[[#This Row],[productId]],CT[productId],CT[total],"NA")</f>
        <v>81.220000000000013</v>
      </c>
      <c r="N327" s="20" t="str">
        <f>_xlfn.XLOOKUP(packes[[#This Row],[productId]],bom[Id],bom[ph],"NA")</f>
        <v>radio</v>
      </c>
      <c r="O327" s="20" t="str">
        <f>_xlfn.XLOOKUP(packes[[#This Row],[productId]],bom[Id],bom[erth],"NA")</f>
        <v>-</v>
      </c>
      <c r="P327" s="20" t="str">
        <f>_xlfn.XLOOKUP(packes[[#This Row],[productId]],bom[Id],bom[dbl],"NA")</f>
        <v>-</v>
      </c>
      <c r="Q327" s="20" t="str">
        <f>LEFT(packes[[#This Row],[date]],4)</f>
        <v>1403</v>
      </c>
    </row>
    <row r="328" spans="1:17" s="23" customFormat="1" ht="16.5" x14ac:dyDescent="0.25">
      <c r="A328" s="23">
        <v>326</v>
      </c>
      <c r="B328" s="24" t="s">
        <v>1550</v>
      </c>
      <c r="C328" s="23">
        <v>140030039</v>
      </c>
      <c r="D328" s="23">
        <v>1800</v>
      </c>
      <c r="E328" s="27">
        <v>1.1092487279257708</v>
      </c>
      <c r="F328" s="27">
        <v>665.54923675546252</v>
      </c>
      <c r="H328" s="486">
        <v>600</v>
      </c>
      <c r="J328" s="487" t="s">
        <v>224</v>
      </c>
      <c r="K328" s="488"/>
      <c r="L328" s="488"/>
      <c r="M328" s="548">
        <f>_xlfn.XLOOKUP(packes[[#This Row],[productId]],CT[productId],CT[total],"NA")</f>
        <v>92.504999999999995</v>
      </c>
      <c r="N328" s="20" t="str">
        <f>_xlfn.XLOOKUP(packes[[#This Row],[productId]],bom[Id],bom[ph],"NA")</f>
        <v>YH</v>
      </c>
      <c r="O328" s="20" t="str">
        <f>_xlfn.XLOOKUP(packes[[#This Row],[productId]],bom[Id],bom[erth],"NA")</f>
        <v>sun</v>
      </c>
      <c r="P328" s="20" t="str">
        <f>_xlfn.XLOOKUP(packes[[#This Row],[productId]],bom[Id],bom[dbl],"NA")</f>
        <v>-</v>
      </c>
      <c r="Q328" s="20" t="str">
        <f>LEFT(packes[[#This Row],[date]],4)</f>
        <v>1403</v>
      </c>
    </row>
    <row r="329" spans="1:17" s="23" customFormat="1" ht="16.5" x14ac:dyDescent="0.25">
      <c r="A329" s="23">
        <v>327</v>
      </c>
      <c r="B329" s="24" t="s">
        <v>1550</v>
      </c>
      <c r="C329" s="23">
        <v>140090143</v>
      </c>
      <c r="D329" s="23">
        <v>3800</v>
      </c>
      <c r="E329" s="27">
        <v>1.1413748378728923</v>
      </c>
      <c r="F329" s="27">
        <v>4108.9494163424124</v>
      </c>
      <c r="G329" s="23">
        <v>10</v>
      </c>
      <c r="H329" s="486">
        <v>3600</v>
      </c>
      <c r="J329" s="487" t="s">
        <v>224</v>
      </c>
      <c r="K329" s="488"/>
      <c r="L329" s="488"/>
      <c r="M329" s="548">
        <f>_xlfn.XLOOKUP(packes[[#This Row],[productId]],CT[productId],CT[total],"NA")</f>
        <v>233.215</v>
      </c>
      <c r="N329" s="20" t="str">
        <f>_xlfn.XLOOKUP(packes[[#This Row],[productId]],bom[Id],bom[ph],"NA")</f>
        <v>molex</v>
      </c>
      <c r="O329" s="20" t="str">
        <f>_xlfn.XLOOKUP(packes[[#This Row],[productId]],bom[Id],bom[erth],"NA")</f>
        <v>-</v>
      </c>
      <c r="P329" s="20" t="str">
        <f>_xlfn.XLOOKUP(packes[[#This Row],[productId]],bom[Id],bom[dbl],"NA")</f>
        <v>splice</v>
      </c>
      <c r="Q329" s="20" t="str">
        <f>LEFT(packes[[#This Row],[date]],4)</f>
        <v>1403</v>
      </c>
    </row>
    <row r="330" spans="1:17" s="23" customFormat="1" ht="16.5" x14ac:dyDescent="0.25">
      <c r="A330" s="23">
        <v>328</v>
      </c>
      <c r="B330" s="24" t="s">
        <v>1550</v>
      </c>
      <c r="C330" s="23">
        <v>140220012</v>
      </c>
      <c r="D330" s="23">
        <v>6000</v>
      </c>
      <c r="E330" s="27">
        <v>1.6063054973560809</v>
      </c>
      <c r="F330" s="27">
        <v>1927.566596827297</v>
      </c>
      <c r="G330" s="23">
        <v>10</v>
      </c>
      <c r="H330" s="486">
        <v>1200</v>
      </c>
      <c r="J330" s="487" t="s">
        <v>224</v>
      </c>
      <c r="K330" s="488"/>
      <c r="L330" s="488"/>
      <c r="M330" s="548">
        <f>_xlfn.XLOOKUP(packes[[#This Row],[productId]],CT[productId],CT[total],"NA")</f>
        <v>192.86500000000001</v>
      </c>
      <c r="N330" s="20" t="str">
        <f>_xlfn.XLOOKUP(packes[[#This Row],[productId]],bom[Id],bom[ph],"NA")</f>
        <v>flag</v>
      </c>
      <c r="O330" s="20" t="str">
        <f>_xlfn.XLOOKUP(packes[[#This Row],[productId]],bom[Id],bom[erth],"NA")</f>
        <v>sun</v>
      </c>
      <c r="P330" s="20" t="str">
        <f>_xlfn.XLOOKUP(packes[[#This Row],[productId]],bom[Id],bom[dbl],"NA")</f>
        <v>-</v>
      </c>
      <c r="Q330" s="20" t="str">
        <f>LEFT(packes[[#This Row],[date]],4)</f>
        <v>1403</v>
      </c>
    </row>
    <row r="331" spans="1:17" s="23" customFormat="1" ht="16.5" x14ac:dyDescent="0.25">
      <c r="A331" s="23">
        <v>329</v>
      </c>
      <c r="B331" s="24" t="s">
        <v>1550</v>
      </c>
      <c r="C331" s="23">
        <v>141650001</v>
      </c>
      <c r="D331" s="23">
        <v>2600</v>
      </c>
      <c r="E331" s="27">
        <v>1</v>
      </c>
      <c r="F331" s="27">
        <v>1575</v>
      </c>
      <c r="H331" s="486">
        <v>1575</v>
      </c>
      <c r="J331" s="487" t="s">
        <v>224</v>
      </c>
      <c r="K331" s="488"/>
      <c r="L331" s="488"/>
      <c r="M331" s="548">
        <f>_xlfn.XLOOKUP(packes[[#This Row],[productId]],CT[productId],CT[total],"NA")</f>
        <v>100.965</v>
      </c>
      <c r="N331" s="20" t="str">
        <f>_xlfn.XLOOKUP(packes[[#This Row],[productId]],bom[Id],bom[ph],"NA")</f>
        <v>6.3k</v>
      </c>
      <c r="O331" s="20" t="str">
        <f>_xlfn.XLOOKUP(packes[[#This Row],[productId]],bom[Id],bom[erth],"NA")</f>
        <v>flag</v>
      </c>
      <c r="P331" s="20" t="str">
        <f>_xlfn.XLOOKUP(packes[[#This Row],[productId]],bom[Id],bom[dbl],"NA")</f>
        <v>-</v>
      </c>
      <c r="Q331" s="20" t="str">
        <f>LEFT(packes[[#This Row],[date]],4)</f>
        <v>1403</v>
      </c>
    </row>
    <row r="332" spans="1:17" s="23" customFormat="1" ht="16.5" x14ac:dyDescent="0.25">
      <c r="A332" s="23">
        <v>330</v>
      </c>
      <c r="B332" s="24" t="s">
        <v>1550</v>
      </c>
      <c r="C332" s="23">
        <v>140310031</v>
      </c>
      <c r="D332" s="23">
        <v>1150</v>
      </c>
      <c r="E332" s="27">
        <v>1.4486680634540554</v>
      </c>
      <c r="F332" s="27">
        <v>2100.5686920083804</v>
      </c>
      <c r="H332" s="486">
        <v>1450</v>
      </c>
      <c r="J332" s="487" t="s">
        <v>224</v>
      </c>
      <c r="K332" s="488"/>
      <c r="L332" s="488"/>
      <c r="M332" s="548">
        <f>_xlfn.XLOOKUP(packes[[#This Row],[productId]],CT[productId],CT[total],"NA")</f>
        <v>202.96500000000003</v>
      </c>
      <c r="N332" s="20">
        <f>_xlfn.XLOOKUP(packes[[#This Row],[productId]],bom[Id],bom[ph],"NA")</f>
        <v>461</v>
      </c>
      <c r="O332" s="20" t="str">
        <f>_xlfn.XLOOKUP(packes[[#This Row],[productId]],bom[Id],bom[erth],"NA")</f>
        <v>nut4</v>
      </c>
      <c r="P332" s="20" t="str">
        <f>_xlfn.XLOOKUP(packes[[#This Row],[productId]],bom[Id],bom[dbl],"NA")</f>
        <v>-</v>
      </c>
      <c r="Q332" s="20" t="str">
        <f>LEFT(packes[[#This Row],[date]],4)</f>
        <v>1403</v>
      </c>
    </row>
    <row r="333" spans="1:17" s="23" customFormat="1" ht="16.5" x14ac:dyDescent="0.25">
      <c r="A333" s="23">
        <v>331</v>
      </c>
      <c r="B333" s="24" t="s">
        <v>1550</v>
      </c>
      <c r="C333" s="23">
        <v>140550060</v>
      </c>
      <c r="D333" s="23">
        <v>1300</v>
      </c>
      <c r="E333" s="27">
        <v>1.1413748378728923</v>
      </c>
      <c r="F333" s="27">
        <v>913.09987029831382</v>
      </c>
      <c r="G333" s="23">
        <v>8</v>
      </c>
      <c r="H333" s="486">
        <v>800</v>
      </c>
      <c r="J333" s="487" t="s">
        <v>224</v>
      </c>
      <c r="K333" s="488"/>
      <c r="L333" s="488"/>
      <c r="M333" s="548">
        <f>_xlfn.XLOOKUP(packes[[#This Row],[productId]],CT[productId],CT[total],"NA")</f>
        <v>81.220000000000013</v>
      </c>
      <c r="N333" s="20" t="str">
        <f>_xlfn.XLOOKUP(packes[[#This Row],[productId]],bom[Id],bom[ph],"NA")</f>
        <v>radio</v>
      </c>
      <c r="O333" s="20" t="str">
        <f>_xlfn.XLOOKUP(packes[[#This Row],[productId]],bom[Id],bom[erth],"NA")</f>
        <v>-</v>
      </c>
      <c r="P333" s="20" t="str">
        <f>_xlfn.XLOOKUP(packes[[#This Row],[productId]],bom[Id],bom[dbl],"NA")</f>
        <v>-</v>
      </c>
      <c r="Q333" s="20" t="str">
        <f>LEFT(packes[[#This Row],[date]],4)</f>
        <v>1403</v>
      </c>
    </row>
    <row r="334" spans="1:17" s="23" customFormat="1" ht="16.5" x14ac:dyDescent="0.25">
      <c r="A334" s="23">
        <v>332</v>
      </c>
      <c r="B334" s="24" t="s">
        <v>1551</v>
      </c>
      <c r="C334" s="23">
        <v>140010117</v>
      </c>
      <c r="D334" s="23">
        <v>900</v>
      </c>
      <c r="E334" s="27">
        <v>1.1092487279257708</v>
      </c>
      <c r="F334" s="27">
        <v>1885.7228374738104</v>
      </c>
      <c r="G334" s="23">
        <v>10</v>
      </c>
      <c r="H334" s="486">
        <v>1700</v>
      </c>
      <c r="J334" s="487" t="s">
        <v>224</v>
      </c>
      <c r="K334" s="488"/>
      <c r="L334" s="488"/>
      <c r="M334" s="548">
        <f>_xlfn.XLOOKUP(packes[[#This Row],[productId]],CT[productId],CT[total],"NA")</f>
        <v>98.295000000000016</v>
      </c>
      <c r="N334" s="20" t="str">
        <f>_xlfn.XLOOKUP(packes[[#This Row],[productId]],bom[Id],bom[ph],"NA")</f>
        <v>nar.p</v>
      </c>
      <c r="O334" s="20" t="str">
        <f>_xlfn.XLOOKUP(packes[[#This Row],[productId]],bom[Id],bom[erth],"NA")</f>
        <v>-</v>
      </c>
      <c r="P334" s="20" t="str">
        <f>_xlfn.XLOOKUP(packes[[#This Row],[productId]],bom[Id],bom[dbl],"NA")</f>
        <v>nar.p</v>
      </c>
      <c r="Q334" s="20" t="str">
        <f>LEFT(packes[[#This Row],[date]],4)</f>
        <v>1403</v>
      </c>
    </row>
    <row r="335" spans="1:17" s="23" customFormat="1" ht="16.5" x14ac:dyDescent="0.25">
      <c r="A335" s="23">
        <v>333</v>
      </c>
      <c r="B335" s="24" t="s">
        <v>1551</v>
      </c>
      <c r="C335" s="23">
        <v>140010230</v>
      </c>
      <c r="D335" s="23">
        <v>1200</v>
      </c>
      <c r="E335" s="27">
        <v>1.1413748378728923</v>
      </c>
      <c r="F335" s="27">
        <v>3081.7120622568091</v>
      </c>
      <c r="G335" s="23">
        <v>10</v>
      </c>
      <c r="H335" s="486">
        <v>2700</v>
      </c>
      <c r="J335" s="487" t="s">
        <v>224</v>
      </c>
      <c r="K335" s="488"/>
      <c r="L335" s="488"/>
      <c r="M335" s="548">
        <f>_xlfn.XLOOKUP(packes[[#This Row],[productId]],CT[productId],CT[total],"NA")</f>
        <v>147.595</v>
      </c>
      <c r="N335" s="20" t="str">
        <f>_xlfn.XLOOKUP(packes[[#This Row],[productId]],bom[Id],bom[ph],"NA")</f>
        <v>nar.p</v>
      </c>
      <c r="O335" s="20" t="str">
        <f>_xlfn.XLOOKUP(packes[[#This Row],[productId]],bom[Id],bom[erth],"NA")</f>
        <v>-</v>
      </c>
      <c r="P335" s="20" t="str">
        <f>_xlfn.XLOOKUP(packes[[#This Row],[productId]],bom[Id],bom[dbl],"NA")</f>
        <v>nar.p</v>
      </c>
      <c r="Q335" s="20" t="str">
        <f>LEFT(packes[[#This Row],[date]],4)</f>
        <v>1403</v>
      </c>
    </row>
    <row r="336" spans="1:17" s="23" customFormat="1" ht="16.5" x14ac:dyDescent="0.25">
      <c r="A336" s="23">
        <v>334</v>
      </c>
      <c r="B336" s="24" t="s">
        <v>1551</v>
      </c>
      <c r="C336" s="23">
        <v>140020181</v>
      </c>
      <c r="D336" s="23">
        <v>150</v>
      </c>
      <c r="E336" s="27">
        <v>1.6063054973560809</v>
      </c>
      <c r="F336" s="27">
        <v>1525.9902224882769</v>
      </c>
      <c r="G336" s="23">
        <v>9</v>
      </c>
      <c r="H336" s="486">
        <v>950</v>
      </c>
      <c r="I336" s="23">
        <v>10</v>
      </c>
      <c r="J336" s="487">
        <v>25</v>
      </c>
      <c r="K336" s="488"/>
      <c r="L336" s="488"/>
      <c r="M336" s="548">
        <f>_xlfn.XLOOKUP(packes[[#This Row],[productId]],CT[productId],CT[total],"NA")</f>
        <v>88.929999999999993</v>
      </c>
      <c r="N336" s="20" t="str">
        <f>_xlfn.XLOOKUP(packes[[#This Row],[productId]],bom[Id],bom[ph],"NA")</f>
        <v>VH</v>
      </c>
      <c r="O336" s="20" t="str">
        <f>_xlfn.XLOOKUP(packes[[#This Row],[productId]],bom[Id],bom[erth],"NA")</f>
        <v>nut4</v>
      </c>
      <c r="P336" s="20" t="str">
        <f>_xlfn.XLOOKUP(packes[[#This Row],[productId]],bom[Id],bom[dbl],"NA")</f>
        <v>-</v>
      </c>
      <c r="Q336" s="20" t="str">
        <f>LEFT(packes[[#This Row],[date]],4)</f>
        <v>1403</v>
      </c>
    </row>
    <row r="337" spans="1:17" s="23" customFormat="1" ht="16.5" x14ac:dyDescent="0.25">
      <c r="A337" s="23">
        <v>335</v>
      </c>
      <c r="B337" s="24" t="s">
        <v>1551</v>
      </c>
      <c r="C337" s="23">
        <v>140030039</v>
      </c>
      <c r="D337" s="23">
        <v>300</v>
      </c>
      <c r="E337" s="27">
        <v>1</v>
      </c>
      <c r="F337" s="27">
        <v>1050</v>
      </c>
      <c r="H337" s="486">
        <v>1050</v>
      </c>
      <c r="J337" s="487" t="s">
        <v>224</v>
      </c>
      <c r="K337" s="488"/>
      <c r="L337" s="488"/>
      <c r="M337" s="548">
        <f>_xlfn.XLOOKUP(packes[[#This Row],[productId]],CT[productId],CT[total],"NA")</f>
        <v>92.504999999999995</v>
      </c>
      <c r="N337" s="20" t="str">
        <f>_xlfn.XLOOKUP(packes[[#This Row],[productId]],bom[Id],bom[ph],"NA")</f>
        <v>YH</v>
      </c>
      <c r="O337" s="20" t="str">
        <f>_xlfn.XLOOKUP(packes[[#This Row],[productId]],bom[Id],bom[erth],"NA")</f>
        <v>sun</v>
      </c>
      <c r="P337" s="20" t="str">
        <f>_xlfn.XLOOKUP(packes[[#This Row],[productId]],bom[Id],bom[dbl],"NA")</f>
        <v>-</v>
      </c>
      <c r="Q337" s="20" t="str">
        <f>LEFT(packes[[#This Row],[date]],4)</f>
        <v>1403</v>
      </c>
    </row>
    <row r="338" spans="1:17" s="23" customFormat="1" ht="16.5" x14ac:dyDescent="0.25">
      <c r="A338" s="23">
        <v>336</v>
      </c>
      <c r="B338" s="24" t="s">
        <v>1551</v>
      </c>
      <c r="C338" s="23">
        <v>140030040</v>
      </c>
      <c r="D338" s="23">
        <v>900</v>
      </c>
      <c r="E338" s="27">
        <v>1.4486680634540554</v>
      </c>
      <c r="F338" s="27">
        <v>434.60041903621664</v>
      </c>
      <c r="H338" s="486">
        <v>300</v>
      </c>
      <c r="J338" s="487" t="s">
        <v>224</v>
      </c>
      <c r="K338" s="488"/>
      <c r="L338" s="488"/>
      <c r="M338" s="548">
        <f>_xlfn.XLOOKUP(packes[[#This Row],[productId]],CT[productId],CT[total],"NA")</f>
        <v>97.305000000000007</v>
      </c>
      <c r="N338" s="20" t="str">
        <f>_xlfn.XLOOKUP(packes[[#This Row],[productId]],bom[Id],bom[ph],"NA")</f>
        <v>YH</v>
      </c>
      <c r="O338" s="20" t="str">
        <f>_xlfn.XLOOKUP(packes[[#This Row],[productId]],bom[Id],bom[erth],"NA")</f>
        <v>sun</v>
      </c>
      <c r="P338" s="20" t="str">
        <f>_xlfn.XLOOKUP(packes[[#This Row],[productId]],bom[Id],bom[dbl],"NA")</f>
        <v>-</v>
      </c>
      <c r="Q338" s="20" t="str">
        <f>LEFT(packes[[#This Row],[date]],4)</f>
        <v>1403</v>
      </c>
    </row>
    <row r="339" spans="1:17" s="23" customFormat="1" ht="16.5" x14ac:dyDescent="0.25">
      <c r="A339" s="23">
        <v>337</v>
      </c>
      <c r="B339" s="24" t="s">
        <v>1551</v>
      </c>
      <c r="C339" s="23">
        <v>140090143</v>
      </c>
      <c r="D339" s="23">
        <v>800</v>
      </c>
      <c r="E339" s="27">
        <v>1.1413748378728923</v>
      </c>
      <c r="F339" s="27">
        <v>798.96238651102465</v>
      </c>
      <c r="H339" s="486">
        <v>700</v>
      </c>
      <c r="J339" s="487" t="s">
        <v>224</v>
      </c>
      <c r="K339" s="488"/>
      <c r="L339" s="488"/>
      <c r="M339" s="548">
        <f>_xlfn.XLOOKUP(packes[[#This Row],[productId]],CT[productId],CT[total],"NA")</f>
        <v>233.215</v>
      </c>
      <c r="N339" s="20" t="str">
        <f>_xlfn.XLOOKUP(packes[[#This Row],[productId]],bom[Id],bom[ph],"NA")</f>
        <v>molex</v>
      </c>
      <c r="O339" s="20" t="str">
        <f>_xlfn.XLOOKUP(packes[[#This Row],[productId]],bom[Id],bom[erth],"NA")</f>
        <v>-</v>
      </c>
      <c r="P339" s="20" t="str">
        <f>_xlfn.XLOOKUP(packes[[#This Row],[productId]],bom[Id],bom[dbl],"NA")</f>
        <v>splice</v>
      </c>
      <c r="Q339" s="20" t="str">
        <f>LEFT(packes[[#This Row],[date]],4)</f>
        <v>1403</v>
      </c>
    </row>
    <row r="340" spans="1:17" s="23" customFormat="1" ht="16.5" x14ac:dyDescent="0.25">
      <c r="A340" s="23">
        <v>338</v>
      </c>
      <c r="B340" s="24" t="s">
        <v>1551</v>
      </c>
      <c r="C340" s="23">
        <v>140220012</v>
      </c>
      <c r="D340" s="23">
        <v>900</v>
      </c>
      <c r="E340" s="27">
        <v>1.1092487279257708</v>
      </c>
      <c r="F340" s="27">
        <v>1220.1736007183479</v>
      </c>
      <c r="G340" s="23">
        <v>10</v>
      </c>
      <c r="H340" s="486">
        <v>1100</v>
      </c>
      <c r="J340" s="487" t="s">
        <v>224</v>
      </c>
      <c r="K340" s="488"/>
      <c r="L340" s="488"/>
      <c r="M340" s="548">
        <f>_xlfn.XLOOKUP(packes[[#This Row],[productId]],CT[productId],CT[total],"NA")</f>
        <v>192.86500000000001</v>
      </c>
      <c r="N340" s="20" t="str">
        <f>_xlfn.XLOOKUP(packes[[#This Row],[productId]],bom[Id],bom[ph],"NA")</f>
        <v>flag</v>
      </c>
      <c r="O340" s="20" t="str">
        <f>_xlfn.XLOOKUP(packes[[#This Row],[productId]],bom[Id],bom[erth],"NA")</f>
        <v>sun</v>
      </c>
      <c r="P340" s="20" t="str">
        <f>_xlfn.XLOOKUP(packes[[#This Row],[productId]],bom[Id],bom[dbl],"NA")</f>
        <v>-</v>
      </c>
      <c r="Q340" s="20" t="str">
        <f>LEFT(packes[[#This Row],[date]],4)</f>
        <v>1403</v>
      </c>
    </row>
    <row r="341" spans="1:17" s="23" customFormat="1" ht="16.5" x14ac:dyDescent="0.25">
      <c r="A341" s="23">
        <v>339</v>
      </c>
      <c r="B341" s="24" t="s">
        <v>1551</v>
      </c>
      <c r="C341" s="23">
        <v>141650001</v>
      </c>
      <c r="D341" s="23">
        <v>600</v>
      </c>
      <c r="E341" s="27">
        <v>1.1413748378728923</v>
      </c>
      <c r="F341" s="27">
        <v>2396.8871595330738</v>
      </c>
      <c r="H341" s="486">
        <v>2100</v>
      </c>
      <c r="J341" s="487" t="s">
        <v>224</v>
      </c>
      <c r="K341" s="488"/>
      <c r="L341" s="488"/>
      <c r="M341" s="548">
        <f>_xlfn.XLOOKUP(packes[[#This Row],[productId]],CT[productId],CT[total],"NA")</f>
        <v>100.965</v>
      </c>
      <c r="N341" s="20" t="str">
        <f>_xlfn.XLOOKUP(packes[[#This Row],[productId]],bom[Id],bom[ph],"NA")</f>
        <v>6.3k</v>
      </c>
      <c r="O341" s="20" t="str">
        <f>_xlfn.XLOOKUP(packes[[#This Row],[productId]],bom[Id],bom[erth],"NA")</f>
        <v>flag</v>
      </c>
      <c r="P341" s="20" t="str">
        <f>_xlfn.XLOOKUP(packes[[#This Row],[productId]],bom[Id],bom[dbl],"NA")</f>
        <v>-</v>
      </c>
      <c r="Q341" s="20" t="str">
        <f>LEFT(packes[[#This Row],[date]],4)</f>
        <v>1403</v>
      </c>
    </row>
    <row r="342" spans="1:17" s="23" customFormat="1" ht="16.5" x14ac:dyDescent="0.25">
      <c r="A342" s="23">
        <v>340</v>
      </c>
      <c r="B342" s="24" t="s">
        <v>1551</v>
      </c>
      <c r="C342" s="23">
        <v>140310075</v>
      </c>
      <c r="D342" s="23">
        <v>1200</v>
      </c>
      <c r="E342" s="27">
        <v>1.6063054973560809</v>
      </c>
      <c r="F342" s="27">
        <v>2811.0346203731415</v>
      </c>
      <c r="G342" s="23">
        <v>10</v>
      </c>
      <c r="H342" s="486">
        <v>1750</v>
      </c>
      <c r="J342" s="487" t="s">
        <v>224</v>
      </c>
      <c r="K342" s="488"/>
      <c r="L342" s="488"/>
      <c r="M342" s="548">
        <f>_xlfn.XLOOKUP(packes[[#This Row],[productId]],CT[productId],CT[total],"NA")</f>
        <v>154.88499999999999</v>
      </c>
      <c r="N342" s="20" t="str">
        <f>_xlfn.XLOOKUP(packes[[#This Row],[productId]],bom[Id],bom[ph],"NA")</f>
        <v>molex</v>
      </c>
      <c r="O342" s="20" t="str">
        <f>_xlfn.XLOOKUP(packes[[#This Row],[productId]],bom[Id],bom[erth],"NA")</f>
        <v>nut4</v>
      </c>
      <c r="P342" s="20" t="str">
        <f>_xlfn.XLOOKUP(packes[[#This Row],[productId]],bom[Id],bom[dbl],"NA")</f>
        <v>-</v>
      </c>
      <c r="Q342" s="20" t="str">
        <f>LEFT(packes[[#This Row],[date]],4)</f>
        <v>1403</v>
      </c>
    </row>
    <row r="343" spans="1:17" s="23" customFormat="1" ht="16.5" x14ac:dyDescent="0.25">
      <c r="A343" s="23">
        <v>341</v>
      </c>
      <c r="B343" s="24" t="s">
        <v>1551</v>
      </c>
      <c r="C343" s="23">
        <v>140310083</v>
      </c>
      <c r="D343" s="23">
        <v>100</v>
      </c>
      <c r="E343" s="27">
        <v>1.1274069639828395</v>
      </c>
      <c r="F343" s="27">
        <v>2254.8139279656789</v>
      </c>
      <c r="H343" s="486">
        <v>2000</v>
      </c>
      <c r="J343" s="487" t="s">
        <v>224</v>
      </c>
      <c r="K343" s="488"/>
      <c r="L343" s="488"/>
      <c r="M343" s="548">
        <f>_xlfn.XLOOKUP(packes[[#This Row],[productId]],CT[productId],CT[total],"NA")</f>
        <v>135.23500000000001</v>
      </c>
      <c r="N343" s="20" t="str">
        <f>_xlfn.XLOOKUP(packes[[#This Row],[productId]],bom[Id],bom[ph],"NA")</f>
        <v>6.3flat</v>
      </c>
      <c r="O343" s="20" t="str">
        <f>_xlfn.XLOOKUP(packes[[#This Row],[productId]],bom[Id],bom[erth],"NA")</f>
        <v>6.3flat</v>
      </c>
      <c r="P343" s="20" t="str">
        <f>_xlfn.XLOOKUP(packes[[#This Row],[productId]],bom[Id],bom[dbl],"NA")</f>
        <v>-</v>
      </c>
      <c r="Q343" s="20" t="str">
        <f>LEFT(packes[[#This Row],[date]],4)</f>
        <v>1403</v>
      </c>
    </row>
    <row r="344" spans="1:17" s="23" customFormat="1" ht="16.5" x14ac:dyDescent="0.25">
      <c r="A344" s="23">
        <v>342</v>
      </c>
      <c r="B344" s="24" t="s">
        <v>1551</v>
      </c>
      <c r="C344" s="23">
        <v>140680007</v>
      </c>
      <c r="D344" s="23">
        <v>300</v>
      </c>
      <c r="E344" s="27">
        <v>1</v>
      </c>
      <c r="F344" s="27">
        <v>375</v>
      </c>
      <c r="H344" s="486">
        <v>375</v>
      </c>
      <c r="J344" s="487" t="s">
        <v>224</v>
      </c>
      <c r="K344" s="488"/>
      <c r="L344" s="488"/>
      <c r="M344" s="548" t="str">
        <f>_xlfn.XLOOKUP(packes[[#This Row],[productId]],CT[productId],CT[total],"NA")</f>
        <v>NA</v>
      </c>
      <c r="N344" s="20" t="str">
        <f>_xlfn.XLOOKUP(packes[[#This Row],[productId]],bom[Id],bom[ph],"NA")</f>
        <v>nar.p</v>
      </c>
      <c r="O344" s="20" t="str">
        <f>_xlfn.XLOOKUP(packes[[#This Row],[productId]],bom[Id],bom[erth],"NA")</f>
        <v>-</v>
      </c>
      <c r="P344" s="20" t="str">
        <f>_xlfn.XLOOKUP(packes[[#This Row],[productId]],bom[Id],bom[dbl],"NA")</f>
        <v>nar.p</v>
      </c>
      <c r="Q344" s="20" t="str">
        <f>LEFT(packes[[#This Row],[date]],4)</f>
        <v>1403</v>
      </c>
    </row>
    <row r="345" spans="1:17" s="23" customFormat="1" ht="16.5" x14ac:dyDescent="0.25">
      <c r="A345" s="23">
        <v>343</v>
      </c>
      <c r="B345" s="24" t="s">
        <v>1551</v>
      </c>
      <c r="C345" s="23">
        <v>140550060</v>
      </c>
      <c r="D345" s="23">
        <v>600</v>
      </c>
      <c r="E345" s="27">
        <v>1.1413748378728923</v>
      </c>
      <c r="F345" s="27">
        <v>228.27496757457845</v>
      </c>
      <c r="G345" s="23">
        <v>8</v>
      </c>
      <c r="H345" s="486">
        <v>200</v>
      </c>
      <c r="J345" s="487" t="s">
        <v>224</v>
      </c>
      <c r="K345" s="488"/>
      <c r="L345" s="488"/>
      <c r="M345" s="548">
        <f>_xlfn.XLOOKUP(packes[[#This Row],[productId]],CT[productId],CT[total],"NA")</f>
        <v>81.220000000000013</v>
      </c>
      <c r="N345" s="20" t="str">
        <f>_xlfn.XLOOKUP(packes[[#This Row],[productId]],bom[Id],bom[ph],"NA")</f>
        <v>radio</v>
      </c>
      <c r="O345" s="20" t="str">
        <f>_xlfn.XLOOKUP(packes[[#This Row],[productId]],bom[Id],bom[erth],"NA")</f>
        <v>-</v>
      </c>
      <c r="P345" s="20" t="str">
        <f>_xlfn.XLOOKUP(packes[[#This Row],[productId]],bom[Id],bom[dbl],"NA")</f>
        <v>-</v>
      </c>
      <c r="Q345" s="20" t="str">
        <f>LEFT(packes[[#This Row],[date]],4)</f>
        <v>1403</v>
      </c>
    </row>
    <row r="346" spans="1:17" s="23" customFormat="1" ht="16.5" x14ac:dyDescent="0.25">
      <c r="A346" s="23">
        <v>344</v>
      </c>
      <c r="B346" s="24" t="s">
        <v>1552</v>
      </c>
      <c r="C346" s="23">
        <v>140020181</v>
      </c>
      <c r="D346" s="23">
        <v>375</v>
      </c>
      <c r="E346" s="27">
        <v>1.1413748378728923</v>
      </c>
      <c r="F346" s="27">
        <v>4451.3618677042796</v>
      </c>
      <c r="G346" s="23">
        <v>10</v>
      </c>
      <c r="H346" s="486">
        <v>3900</v>
      </c>
      <c r="J346" s="487" t="s">
        <v>224</v>
      </c>
      <c r="K346" s="488"/>
      <c r="L346" s="488"/>
      <c r="M346" s="548">
        <f>_xlfn.XLOOKUP(packes[[#This Row],[productId]],CT[productId],CT[total],"NA")</f>
        <v>88.929999999999993</v>
      </c>
      <c r="N346" s="20" t="str">
        <f>_xlfn.XLOOKUP(packes[[#This Row],[productId]],bom[Id],bom[ph],"NA")</f>
        <v>VH</v>
      </c>
      <c r="O346" s="20" t="str">
        <f>_xlfn.XLOOKUP(packes[[#This Row],[productId]],bom[Id],bom[erth],"NA")</f>
        <v>nut4</v>
      </c>
      <c r="P346" s="20" t="str">
        <f>_xlfn.XLOOKUP(packes[[#This Row],[productId]],bom[Id],bom[dbl],"NA")</f>
        <v>-</v>
      </c>
      <c r="Q346" s="20" t="str">
        <f>LEFT(packes[[#This Row],[date]],4)</f>
        <v>1403</v>
      </c>
    </row>
    <row r="347" spans="1:17" s="23" customFormat="1" ht="16.5" x14ac:dyDescent="0.25">
      <c r="A347" s="23">
        <v>345</v>
      </c>
      <c r="B347" s="24" t="s">
        <v>1552</v>
      </c>
      <c r="C347" s="23">
        <v>140030040</v>
      </c>
      <c r="D347" s="23">
        <v>1200</v>
      </c>
      <c r="E347" s="27">
        <v>1.6063054973560809</v>
      </c>
      <c r="F347" s="27">
        <v>3533.8720941833781</v>
      </c>
      <c r="H347" s="486">
        <v>2200</v>
      </c>
      <c r="J347" s="487" t="s">
        <v>224</v>
      </c>
      <c r="K347" s="488"/>
      <c r="L347" s="488"/>
      <c r="M347" s="548">
        <f>_xlfn.XLOOKUP(packes[[#This Row],[productId]],CT[productId],CT[total],"NA")</f>
        <v>97.305000000000007</v>
      </c>
      <c r="N347" s="20" t="str">
        <f>_xlfn.XLOOKUP(packes[[#This Row],[productId]],bom[Id],bom[ph],"NA")</f>
        <v>YH</v>
      </c>
      <c r="O347" s="20" t="str">
        <f>_xlfn.XLOOKUP(packes[[#This Row],[productId]],bom[Id],bom[erth],"NA")</f>
        <v>sun</v>
      </c>
      <c r="P347" s="20" t="str">
        <f>_xlfn.XLOOKUP(packes[[#This Row],[productId]],bom[Id],bom[dbl],"NA")</f>
        <v>-</v>
      </c>
      <c r="Q347" s="20" t="str">
        <f>LEFT(packes[[#This Row],[date]],4)</f>
        <v>1403</v>
      </c>
    </row>
    <row r="348" spans="1:17" s="23" customFormat="1" ht="16.5" x14ac:dyDescent="0.25">
      <c r="A348" s="23">
        <v>346</v>
      </c>
      <c r="B348" s="24" t="s">
        <v>1552</v>
      </c>
      <c r="C348" s="23">
        <v>140090143</v>
      </c>
      <c r="D348" s="23">
        <v>2400</v>
      </c>
      <c r="E348" s="27">
        <v>1.1274069639828395</v>
      </c>
      <c r="F348" s="27">
        <v>1240.1476603811234</v>
      </c>
      <c r="G348" s="23">
        <v>10</v>
      </c>
      <c r="H348" s="486">
        <v>1100</v>
      </c>
      <c r="J348" s="487" t="s">
        <v>224</v>
      </c>
      <c r="K348" s="488"/>
      <c r="L348" s="488"/>
      <c r="M348" s="548">
        <f>_xlfn.XLOOKUP(packes[[#This Row],[productId]],CT[productId],CT[total],"NA")</f>
        <v>233.215</v>
      </c>
      <c r="N348" s="20" t="str">
        <f>_xlfn.XLOOKUP(packes[[#This Row],[productId]],bom[Id],bom[ph],"NA")</f>
        <v>molex</v>
      </c>
      <c r="O348" s="20" t="str">
        <f>_xlfn.XLOOKUP(packes[[#This Row],[productId]],bom[Id],bom[erth],"NA")</f>
        <v>-</v>
      </c>
      <c r="P348" s="20" t="str">
        <f>_xlfn.XLOOKUP(packes[[#This Row],[productId]],bom[Id],bom[dbl],"NA")</f>
        <v>splice</v>
      </c>
      <c r="Q348" s="20" t="str">
        <f>LEFT(packes[[#This Row],[date]],4)</f>
        <v>1403</v>
      </c>
    </row>
    <row r="349" spans="1:17" s="23" customFormat="1" ht="16.5" x14ac:dyDescent="0.25">
      <c r="A349" s="23">
        <v>347</v>
      </c>
      <c r="B349" s="24" t="s">
        <v>1552</v>
      </c>
      <c r="C349" s="23">
        <v>140220012</v>
      </c>
      <c r="D349" s="23">
        <v>1050</v>
      </c>
      <c r="E349" s="27">
        <v>1</v>
      </c>
      <c r="F349" s="27">
        <v>1875</v>
      </c>
      <c r="G349" s="23">
        <v>10</v>
      </c>
      <c r="H349" s="486">
        <v>1875</v>
      </c>
      <c r="J349" s="487" t="s">
        <v>224</v>
      </c>
      <c r="K349" s="488"/>
      <c r="L349" s="488"/>
      <c r="M349" s="548">
        <f>_xlfn.XLOOKUP(packes[[#This Row],[productId]],CT[productId],CT[total],"NA")</f>
        <v>192.86500000000001</v>
      </c>
      <c r="N349" s="20" t="str">
        <f>_xlfn.XLOOKUP(packes[[#This Row],[productId]],bom[Id],bom[ph],"NA")</f>
        <v>flag</v>
      </c>
      <c r="O349" s="20" t="str">
        <f>_xlfn.XLOOKUP(packes[[#This Row],[productId]],bom[Id],bom[erth],"NA")</f>
        <v>sun</v>
      </c>
      <c r="P349" s="20" t="str">
        <f>_xlfn.XLOOKUP(packes[[#This Row],[productId]],bom[Id],bom[dbl],"NA")</f>
        <v>-</v>
      </c>
      <c r="Q349" s="20" t="str">
        <f>LEFT(packes[[#This Row],[date]],4)</f>
        <v>1403</v>
      </c>
    </row>
    <row r="350" spans="1:17" s="23" customFormat="1" ht="16.5" x14ac:dyDescent="0.25">
      <c r="A350" s="23">
        <v>348</v>
      </c>
      <c r="B350" s="24" t="s">
        <v>1552</v>
      </c>
      <c r="C350" s="23">
        <v>141650001</v>
      </c>
      <c r="D350" s="23">
        <v>650</v>
      </c>
      <c r="E350" s="27">
        <v>1.1413748378728923</v>
      </c>
      <c r="F350" s="27">
        <v>1027.2373540856031</v>
      </c>
      <c r="H350" s="486">
        <v>900</v>
      </c>
      <c r="J350" s="487" t="s">
        <v>224</v>
      </c>
      <c r="K350" s="488"/>
      <c r="L350" s="488"/>
      <c r="M350" s="548">
        <f>_xlfn.XLOOKUP(packes[[#This Row],[productId]],CT[productId],CT[total],"NA")</f>
        <v>100.965</v>
      </c>
      <c r="N350" s="20" t="str">
        <f>_xlfn.XLOOKUP(packes[[#This Row],[productId]],bom[Id],bom[ph],"NA")</f>
        <v>6.3k</v>
      </c>
      <c r="O350" s="20" t="str">
        <f>_xlfn.XLOOKUP(packes[[#This Row],[productId]],bom[Id],bom[erth],"NA")</f>
        <v>flag</v>
      </c>
      <c r="P350" s="20" t="str">
        <f>_xlfn.XLOOKUP(packes[[#This Row],[productId]],bom[Id],bom[dbl],"NA")</f>
        <v>-</v>
      </c>
      <c r="Q350" s="20" t="str">
        <f>LEFT(packes[[#This Row],[date]],4)</f>
        <v>1403</v>
      </c>
    </row>
    <row r="351" spans="1:17" s="23" customFormat="1" ht="16.5" x14ac:dyDescent="0.25">
      <c r="A351" s="23">
        <v>349</v>
      </c>
      <c r="B351" s="24" t="s">
        <v>1552</v>
      </c>
      <c r="C351" s="23">
        <v>140310075</v>
      </c>
      <c r="D351" s="23">
        <v>1200</v>
      </c>
      <c r="E351" s="27">
        <v>1.1092487279257708</v>
      </c>
      <c r="F351" s="27">
        <v>332.77461837773126</v>
      </c>
      <c r="G351" s="23">
        <v>10</v>
      </c>
      <c r="H351" s="486">
        <v>300</v>
      </c>
      <c r="J351" s="487" t="s">
        <v>224</v>
      </c>
      <c r="K351" s="488"/>
      <c r="L351" s="488"/>
      <c r="M351" s="548">
        <f>_xlfn.XLOOKUP(packes[[#This Row],[productId]],CT[productId],CT[total],"NA")</f>
        <v>154.88499999999999</v>
      </c>
      <c r="N351" s="20" t="str">
        <f>_xlfn.XLOOKUP(packes[[#This Row],[productId]],bom[Id],bom[ph],"NA")</f>
        <v>molex</v>
      </c>
      <c r="O351" s="20" t="str">
        <f>_xlfn.XLOOKUP(packes[[#This Row],[productId]],bom[Id],bom[erth],"NA")</f>
        <v>nut4</v>
      </c>
      <c r="P351" s="20" t="str">
        <f>_xlfn.XLOOKUP(packes[[#This Row],[productId]],bom[Id],bom[dbl],"NA")</f>
        <v>-</v>
      </c>
      <c r="Q351" s="20" t="str">
        <f>LEFT(packes[[#This Row],[date]],4)</f>
        <v>1403</v>
      </c>
    </row>
    <row r="352" spans="1:17" s="23" customFormat="1" ht="16.5" x14ac:dyDescent="0.25">
      <c r="A352" s="23">
        <v>350</v>
      </c>
      <c r="B352" s="24" t="s">
        <v>1552</v>
      </c>
      <c r="C352" s="23">
        <v>140550062</v>
      </c>
      <c r="D352" s="23">
        <v>2200</v>
      </c>
      <c r="E352" s="27">
        <v>1.1413748378728923</v>
      </c>
      <c r="F352" s="27">
        <v>1369.6498054474707</v>
      </c>
      <c r="H352" s="486">
        <v>1200</v>
      </c>
      <c r="J352" s="487" t="s">
        <v>224</v>
      </c>
      <c r="K352" s="488"/>
      <c r="L352" s="488"/>
      <c r="M352" s="548" t="str">
        <f>_xlfn.XLOOKUP(packes[[#This Row],[productId]],CT[productId],CT[total],"NA")</f>
        <v>NA</v>
      </c>
      <c r="N352" s="20" t="str">
        <f>_xlfn.XLOOKUP(packes[[#This Row],[productId]],bom[Id],bom[ph],"NA")</f>
        <v>VH</v>
      </c>
      <c r="O352" s="20" t="str">
        <f>_xlfn.XLOOKUP(packes[[#This Row],[productId]],bom[Id],bom[erth],"NA")</f>
        <v>-</v>
      </c>
      <c r="P352" s="20" t="str">
        <f>_xlfn.XLOOKUP(packes[[#This Row],[productId]],bom[Id],bom[dbl],"NA")</f>
        <v>-</v>
      </c>
      <c r="Q352" s="20" t="str">
        <f>LEFT(packes[[#This Row],[date]],4)</f>
        <v>1403</v>
      </c>
    </row>
    <row r="353" spans="1:17" s="23" customFormat="1" ht="16.5" x14ac:dyDescent="0.25">
      <c r="A353" s="23">
        <v>351</v>
      </c>
      <c r="B353" s="24" t="s">
        <v>1553</v>
      </c>
      <c r="C353" s="23">
        <v>140020181</v>
      </c>
      <c r="D353" s="23">
        <v>525</v>
      </c>
      <c r="E353" s="27">
        <v>1.6063054973560809</v>
      </c>
      <c r="F353" s="27">
        <v>5059.8623166716543</v>
      </c>
      <c r="G353" s="23">
        <v>10</v>
      </c>
      <c r="H353" s="486">
        <v>3150</v>
      </c>
      <c r="J353" s="487" t="s">
        <v>224</v>
      </c>
      <c r="K353" s="488"/>
      <c r="L353" s="488"/>
      <c r="M353" s="548">
        <f>_xlfn.XLOOKUP(packes[[#This Row],[productId]],CT[productId],CT[total],"NA")</f>
        <v>88.929999999999993</v>
      </c>
      <c r="N353" s="20" t="str">
        <f>_xlfn.XLOOKUP(packes[[#This Row],[productId]],bom[Id],bom[ph],"NA")</f>
        <v>VH</v>
      </c>
      <c r="O353" s="20" t="str">
        <f>_xlfn.XLOOKUP(packes[[#This Row],[productId]],bom[Id],bom[erth],"NA")</f>
        <v>nut4</v>
      </c>
      <c r="P353" s="20" t="str">
        <f>_xlfn.XLOOKUP(packes[[#This Row],[productId]],bom[Id],bom[dbl],"NA")</f>
        <v>-</v>
      </c>
      <c r="Q353" s="20" t="str">
        <f>LEFT(packes[[#This Row],[date]],4)</f>
        <v>1403</v>
      </c>
    </row>
    <row r="354" spans="1:17" s="23" customFormat="1" ht="16.5" x14ac:dyDescent="0.25">
      <c r="A354" s="23">
        <v>352</v>
      </c>
      <c r="B354" s="24" t="s">
        <v>1553</v>
      </c>
      <c r="C354" s="23">
        <v>140030039</v>
      </c>
      <c r="D354" s="23">
        <v>300</v>
      </c>
      <c r="E354" s="27">
        <v>1.1274069639828395</v>
      </c>
      <c r="F354" s="27">
        <v>2480.2953207622468</v>
      </c>
      <c r="H354" s="486">
        <v>2200</v>
      </c>
      <c r="J354" s="487" t="s">
        <v>224</v>
      </c>
      <c r="K354" s="488"/>
      <c r="L354" s="488"/>
      <c r="M354" s="548">
        <f>_xlfn.XLOOKUP(packes[[#This Row],[productId]],CT[productId],CT[total],"NA")</f>
        <v>92.504999999999995</v>
      </c>
      <c r="N354" s="20" t="str">
        <f>_xlfn.XLOOKUP(packes[[#This Row],[productId]],bom[Id],bom[ph],"NA")</f>
        <v>YH</v>
      </c>
      <c r="O354" s="20" t="str">
        <f>_xlfn.XLOOKUP(packes[[#This Row],[productId]],bom[Id],bom[erth],"NA")</f>
        <v>sun</v>
      </c>
      <c r="P354" s="20" t="str">
        <f>_xlfn.XLOOKUP(packes[[#This Row],[productId]],bom[Id],bom[dbl],"NA")</f>
        <v>-</v>
      </c>
      <c r="Q354" s="20" t="str">
        <f>LEFT(packes[[#This Row],[date]],4)</f>
        <v>1403</v>
      </c>
    </row>
    <row r="355" spans="1:17" s="23" customFormat="1" ht="16.5" x14ac:dyDescent="0.25">
      <c r="A355" s="23">
        <v>353</v>
      </c>
      <c r="B355" s="24" t="s">
        <v>1553</v>
      </c>
      <c r="C355" s="23">
        <v>140030040</v>
      </c>
      <c r="D355" s="23">
        <v>1700</v>
      </c>
      <c r="E355" s="27">
        <v>1</v>
      </c>
      <c r="F355" s="27">
        <v>1725</v>
      </c>
      <c r="G355" s="23">
        <v>10</v>
      </c>
      <c r="H355" s="486">
        <v>1725</v>
      </c>
      <c r="I355" s="23">
        <v>11</v>
      </c>
      <c r="J355" s="487">
        <v>1572</v>
      </c>
      <c r="K355" s="488"/>
      <c r="L355" s="488"/>
      <c r="M355" s="548">
        <f>_xlfn.XLOOKUP(packes[[#This Row],[productId]],CT[productId],CT[total],"NA")</f>
        <v>97.305000000000007</v>
      </c>
      <c r="N355" s="20" t="str">
        <f>_xlfn.XLOOKUP(packes[[#This Row],[productId]],bom[Id],bom[ph],"NA")</f>
        <v>YH</v>
      </c>
      <c r="O355" s="20" t="str">
        <f>_xlfn.XLOOKUP(packes[[#This Row],[productId]],bom[Id],bom[erth],"NA")</f>
        <v>sun</v>
      </c>
      <c r="P355" s="20" t="str">
        <f>_xlfn.XLOOKUP(packes[[#This Row],[productId]],bom[Id],bom[dbl],"NA")</f>
        <v>-</v>
      </c>
      <c r="Q355" s="20" t="str">
        <f>LEFT(packes[[#This Row],[date]],4)</f>
        <v>1403</v>
      </c>
    </row>
    <row r="356" spans="1:17" s="23" customFormat="1" ht="16.5" x14ac:dyDescent="0.25">
      <c r="A356" s="23">
        <v>354</v>
      </c>
      <c r="B356" s="24" t="s">
        <v>1553</v>
      </c>
      <c r="C356" s="23">
        <v>140090143</v>
      </c>
      <c r="D356" s="23">
        <v>850</v>
      </c>
      <c r="E356" s="27">
        <v>1.1413748378728923</v>
      </c>
      <c r="F356" s="27">
        <v>342.41245136186768</v>
      </c>
      <c r="G356" s="23">
        <v>10</v>
      </c>
      <c r="H356" s="486">
        <v>300</v>
      </c>
      <c r="J356" s="487" t="s">
        <v>224</v>
      </c>
      <c r="K356" s="488"/>
      <c r="L356" s="488"/>
      <c r="M356" s="548">
        <f>_xlfn.XLOOKUP(packes[[#This Row],[productId]],CT[productId],CT[total],"NA")</f>
        <v>233.215</v>
      </c>
      <c r="N356" s="20" t="str">
        <f>_xlfn.XLOOKUP(packes[[#This Row],[productId]],bom[Id],bom[ph],"NA")</f>
        <v>molex</v>
      </c>
      <c r="O356" s="20" t="str">
        <f>_xlfn.XLOOKUP(packes[[#This Row],[productId]],bom[Id],bom[erth],"NA")</f>
        <v>-</v>
      </c>
      <c r="P356" s="20" t="str">
        <f>_xlfn.XLOOKUP(packes[[#This Row],[productId]],bom[Id],bom[dbl],"NA")</f>
        <v>splice</v>
      </c>
      <c r="Q356" s="20" t="str">
        <f>LEFT(packes[[#This Row],[date]],4)</f>
        <v>1403</v>
      </c>
    </row>
    <row r="357" spans="1:17" s="23" customFormat="1" ht="16.5" x14ac:dyDescent="0.25">
      <c r="A357" s="23">
        <v>355</v>
      </c>
      <c r="B357" s="24" t="s">
        <v>1553</v>
      </c>
      <c r="C357" s="23">
        <v>140220012</v>
      </c>
      <c r="D357" s="23">
        <v>600</v>
      </c>
      <c r="E357" s="27">
        <v>1.1092487279257708</v>
      </c>
      <c r="F357" s="27">
        <v>998.32385513319366</v>
      </c>
      <c r="G357" s="23">
        <v>10</v>
      </c>
      <c r="H357" s="486">
        <v>900</v>
      </c>
      <c r="J357" s="487" t="s">
        <v>224</v>
      </c>
      <c r="K357" s="488"/>
      <c r="L357" s="488"/>
      <c r="M357" s="548">
        <f>_xlfn.XLOOKUP(packes[[#This Row],[productId]],CT[productId],CT[total],"NA")</f>
        <v>192.86500000000001</v>
      </c>
      <c r="N357" s="20" t="str">
        <f>_xlfn.XLOOKUP(packes[[#This Row],[productId]],bom[Id],bom[ph],"NA")</f>
        <v>flag</v>
      </c>
      <c r="O357" s="20" t="str">
        <f>_xlfn.XLOOKUP(packes[[#This Row],[productId]],bom[Id],bom[erth],"NA")</f>
        <v>sun</v>
      </c>
      <c r="P357" s="20" t="str">
        <f>_xlfn.XLOOKUP(packes[[#This Row],[productId]],bom[Id],bom[dbl],"NA")</f>
        <v>-</v>
      </c>
      <c r="Q357" s="20" t="str">
        <f>LEFT(packes[[#This Row],[date]],4)</f>
        <v>1403</v>
      </c>
    </row>
    <row r="358" spans="1:17" s="23" customFormat="1" ht="16.5" x14ac:dyDescent="0.25">
      <c r="A358" s="23">
        <v>356</v>
      </c>
      <c r="B358" s="24" t="s">
        <v>1553</v>
      </c>
      <c r="C358" s="23">
        <v>140310071</v>
      </c>
      <c r="D358" s="23">
        <v>150</v>
      </c>
      <c r="E358" s="27">
        <v>1.1413748378728923</v>
      </c>
      <c r="F358" s="27">
        <v>3994.8119325551229</v>
      </c>
      <c r="H358" s="486">
        <v>3500</v>
      </c>
      <c r="J358" s="487" t="s">
        <v>224</v>
      </c>
      <c r="K358" s="488"/>
      <c r="L358" s="488"/>
      <c r="M358" s="548">
        <f>_xlfn.XLOOKUP(packes[[#This Row],[productId]],CT[productId],CT[total],"NA")</f>
        <v>130.69500000000002</v>
      </c>
      <c r="N358" s="20" t="str">
        <f>_xlfn.XLOOKUP(packes[[#This Row],[productId]],bom[Id],bom[ph],"NA")</f>
        <v>6.3ch</v>
      </c>
      <c r="O358" s="20" t="str">
        <f>_xlfn.XLOOKUP(packes[[#This Row],[productId]],bom[Id],bom[erth],"NA")</f>
        <v>6.3k</v>
      </c>
      <c r="P358" s="20" t="str">
        <f>_xlfn.XLOOKUP(packes[[#This Row],[productId]],bom[Id],bom[dbl],"NA")</f>
        <v>-</v>
      </c>
      <c r="Q358" s="20" t="str">
        <f>LEFT(packes[[#This Row],[date]],4)</f>
        <v>1403</v>
      </c>
    </row>
    <row r="359" spans="1:17" s="23" customFormat="1" ht="16.5" x14ac:dyDescent="0.25">
      <c r="A359" s="23">
        <v>357</v>
      </c>
      <c r="B359" s="24" t="s">
        <v>1553</v>
      </c>
      <c r="C359" s="23">
        <v>140310075</v>
      </c>
      <c r="D359" s="23">
        <v>1300</v>
      </c>
      <c r="E359" s="27">
        <v>1.9455252918287937</v>
      </c>
      <c r="F359" s="27">
        <v>1459.1439688715952</v>
      </c>
      <c r="G359" s="23">
        <v>10</v>
      </c>
      <c r="H359" s="486">
        <v>750</v>
      </c>
      <c r="J359" s="487" t="s">
        <v>224</v>
      </c>
      <c r="K359" s="488"/>
      <c r="L359" s="488"/>
      <c r="M359" s="548">
        <f>_xlfn.XLOOKUP(packes[[#This Row],[productId]],CT[productId],CT[total],"NA")</f>
        <v>154.88499999999999</v>
      </c>
      <c r="N359" s="20" t="str">
        <f>_xlfn.XLOOKUP(packes[[#This Row],[productId]],bom[Id],bom[ph],"NA")</f>
        <v>molex</v>
      </c>
      <c r="O359" s="20" t="str">
        <f>_xlfn.XLOOKUP(packes[[#This Row],[productId]],bom[Id],bom[erth],"NA")</f>
        <v>nut4</v>
      </c>
      <c r="P359" s="20" t="str">
        <f>_xlfn.XLOOKUP(packes[[#This Row],[productId]],bom[Id],bom[dbl],"NA")</f>
        <v>-</v>
      </c>
      <c r="Q359" s="20" t="str">
        <f>LEFT(packes[[#This Row],[date]],4)</f>
        <v>1403</v>
      </c>
    </row>
    <row r="360" spans="1:17" s="23" customFormat="1" ht="16.5" x14ac:dyDescent="0.25">
      <c r="A360" s="23">
        <v>358</v>
      </c>
      <c r="B360" s="24" t="s">
        <v>1553</v>
      </c>
      <c r="C360" s="23">
        <v>140550062</v>
      </c>
      <c r="D360" s="23">
        <v>900</v>
      </c>
      <c r="E360" s="27">
        <v>1.6063054973560809</v>
      </c>
      <c r="F360" s="27">
        <v>3132.2957198443578</v>
      </c>
      <c r="H360" s="486">
        <v>1950</v>
      </c>
      <c r="J360" s="487" t="s">
        <v>224</v>
      </c>
      <c r="K360" s="488"/>
      <c r="L360" s="488"/>
      <c r="M360" s="548" t="str">
        <f>_xlfn.XLOOKUP(packes[[#This Row],[productId]],CT[productId],CT[total],"NA")</f>
        <v>NA</v>
      </c>
      <c r="N360" s="20" t="str">
        <f>_xlfn.XLOOKUP(packes[[#This Row],[productId]],bom[Id],bom[ph],"NA")</f>
        <v>VH</v>
      </c>
      <c r="O360" s="20" t="str">
        <f>_xlfn.XLOOKUP(packes[[#This Row],[productId]],bom[Id],bom[erth],"NA")</f>
        <v>-</v>
      </c>
      <c r="P360" s="20" t="str">
        <f>_xlfn.XLOOKUP(packes[[#This Row],[productId]],bom[Id],bom[dbl],"NA")</f>
        <v>-</v>
      </c>
      <c r="Q360" s="20" t="str">
        <f>LEFT(packes[[#This Row],[date]],4)</f>
        <v>1403</v>
      </c>
    </row>
    <row r="361" spans="1:17" s="23" customFormat="1" ht="16.5" x14ac:dyDescent="0.25">
      <c r="A361" s="23">
        <v>359</v>
      </c>
      <c r="B361" s="24" t="s">
        <v>1554</v>
      </c>
      <c r="C361" s="23">
        <v>140020181</v>
      </c>
      <c r="D361" s="23">
        <v>1725</v>
      </c>
      <c r="E361" s="27">
        <v>1.1274069639828395</v>
      </c>
      <c r="F361" s="27">
        <v>2029.332535169111</v>
      </c>
      <c r="G361" s="23">
        <v>10</v>
      </c>
      <c r="H361" s="486">
        <v>1800</v>
      </c>
      <c r="J361" s="487" t="s">
        <v>224</v>
      </c>
      <c r="K361" s="488"/>
      <c r="L361" s="488"/>
      <c r="M361" s="548">
        <f>_xlfn.XLOOKUP(packes[[#This Row],[productId]],CT[productId],CT[total],"NA")</f>
        <v>88.929999999999993</v>
      </c>
      <c r="N361" s="20" t="str">
        <f>_xlfn.XLOOKUP(packes[[#This Row],[productId]],bom[Id],bom[ph],"NA")</f>
        <v>VH</v>
      </c>
      <c r="O361" s="20" t="str">
        <f>_xlfn.XLOOKUP(packes[[#This Row],[productId]],bom[Id],bom[erth],"NA")</f>
        <v>nut4</v>
      </c>
      <c r="P361" s="20" t="str">
        <f>_xlfn.XLOOKUP(packes[[#This Row],[productId]],bom[Id],bom[dbl],"NA")</f>
        <v>-</v>
      </c>
      <c r="Q361" s="20" t="str">
        <f>LEFT(packes[[#This Row],[date]],4)</f>
        <v>1403</v>
      </c>
    </row>
    <row r="362" spans="1:17" s="23" customFormat="1" ht="16.5" x14ac:dyDescent="0.25">
      <c r="A362" s="23">
        <v>360</v>
      </c>
      <c r="B362" s="24" t="s">
        <v>1554</v>
      </c>
      <c r="C362" s="23">
        <v>140030039</v>
      </c>
      <c r="D362" s="23">
        <v>900</v>
      </c>
      <c r="E362" s="27">
        <v>1</v>
      </c>
      <c r="F362" s="27">
        <v>1950</v>
      </c>
      <c r="G362" s="23">
        <v>11</v>
      </c>
      <c r="H362" s="486">
        <v>1950</v>
      </c>
      <c r="J362" s="487" t="s">
        <v>224</v>
      </c>
      <c r="K362" s="488"/>
      <c r="L362" s="488"/>
      <c r="M362" s="548">
        <f>_xlfn.XLOOKUP(packes[[#This Row],[productId]],CT[productId],CT[total],"NA")</f>
        <v>92.504999999999995</v>
      </c>
      <c r="N362" s="20" t="str">
        <f>_xlfn.XLOOKUP(packes[[#This Row],[productId]],bom[Id],bom[ph],"NA")</f>
        <v>YH</v>
      </c>
      <c r="O362" s="20" t="str">
        <f>_xlfn.XLOOKUP(packes[[#This Row],[productId]],bom[Id],bom[erth],"NA")</f>
        <v>sun</v>
      </c>
      <c r="P362" s="20" t="str">
        <f>_xlfn.XLOOKUP(packes[[#This Row],[productId]],bom[Id],bom[dbl],"NA")</f>
        <v>-</v>
      </c>
      <c r="Q362" s="20" t="str">
        <f>LEFT(packes[[#This Row],[date]],4)</f>
        <v>1403</v>
      </c>
    </row>
    <row r="363" spans="1:17" s="23" customFormat="1" ht="16.5" x14ac:dyDescent="0.25">
      <c r="A363" s="23">
        <v>361</v>
      </c>
      <c r="B363" s="24" t="s">
        <v>1554</v>
      </c>
      <c r="C363" s="23">
        <v>140030040</v>
      </c>
      <c r="D363" s="23">
        <v>600</v>
      </c>
      <c r="E363" s="27">
        <v>1.1413748378728923</v>
      </c>
      <c r="F363" s="27">
        <v>2967.57457846952</v>
      </c>
      <c r="G363" s="23">
        <v>11</v>
      </c>
      <c r="H363" s="486">
        <v>2600</v>
      </c>
      <c r="J363" s="487" t="s">
        <v>224</v>
      </c>
      <c r="K363" s="488"/>
      <c r="L363" s="488"/>
      <c r="M363" s="548">
        <f>_xlfn.XLOOKUP(packes[[#This Row],[productId]],CT[productId],CT[total],"NA")</f>
        <v>97.305000000000007</v>
      </c>
      <c r="N363" s="20" t="str">
        <f>_xlfn.XLOOKUP(packes[[#This Row],[productId]],bom[Id],bom[ph],"NA")</f>
        <v>YH</v>
      </c>
      <c r="O363" s="20" t="str">
        <f>_xlfn.XLOOKUP(packes[[#This Row],[productId]],bom[Id],bom[erth],"NA")</f>
        <v>sun</v>
      </c>
      <c r="P363" s="20" t="str">
        <f>_xlfn.XLOOKUP(packes[[#This Row],[productId]],bom[Id],bom[dbl],"NA")</f>
        <v>-</v>
      </c>
      <c r="Q363" s="20" t="str">
        <f>LEFT(packes[[#This Row],[date]],4)</f>
        <v>1403</v>
      </c>
    </row>
    <row r="364" spans="1:17" s="23" customFormat="1" ht="16.5" x14ac:dyDescent="0.25">
      <c r="A364" s="23">
        <v>362</v>
      </c>
      <c r="B364" s="24" t="s">
        <v>1554</v>
      </c>
      <c r="C364" s="23">
        <v>140090143</v>
      </c>
      <c r="D364" s="23">
        <v>1650</v>
      </c>
      <c r="E364" s="27">
        <v>1.6063054973560809</v>
      </c>
      <c r="F364" s="27">
        <v>3614.187369051182</v>
      </c>
      <c r="G364" s="23">
        <v>10</v>
      </c>
      <c r="H364" s="486">
        <v>2250</v>
      </c>
      <c r="J364" s="487" t="s">
        <v>224</v>
      </c>
      <c r="K364" s="488"/>
      <c r="L364" s="488"/>
      <c r="M364" s="548">
        <f>_xlfn.XLOOKUP(packes[[#This Row],[productId]],CT[productId],CT[total],"NA")</f>
        <v>233.215</v>
      </c>
      <c r="N364" s="20" t="str">
        <f>_xlfn.XLOOKUP(packes[[#This Row],[productId]],bom[Id],bom[ph],"NA")</f>
        <v>molex</v>
      </c>
      <c r="O364" s="20" t="str">
        <f>_xlfn.XLOOKUP(packes[[#This Row],[productId]],bom[Id],bom[erth],"NA")</f>
        <v>-</v>
      </c>
      <c r="P364" s="20" t="str">
        <f>_xlfn.XLOOKUP(packes[[#This Row],[productId]],bom[Id],bom[dbl],"NA")</f>
        <v>splice</v>
      </c>
      <c r="Q364" s="20" t="str">
        <f>LEFT(packes[[#This Row],[date]],4)</f>
        <v>1403</v>
      </c>
    </row>
    <row r="365" spans="1:17" s="23" customFormat="1" ht="16.5" x14ac:dyDescent="0.25">
      <c r="A365" s="23">
        <v>363</v>
      </c>
      <c r="B365" s="24" t="s">
        <v>1554</v>
      </c>
      <c r="C365" s="23">
        <v>140310075</v>
      </c>
      <c r="D365" s="23">
        <v>850</v>
      </c>
      <c r="E365" s="27">
        <v>1.1274069639828395</v>
      </c>
      <c r="F365" s="27">
        <v>2480.2953207622468</v>
      </c>
      <c r="G365" s="23">
        <v>10</v>
      </c>
      <c r="H365" s="486">
        <v>2200</v>
      </c>
      <c r="J365" s="487" t="s">
        <v>224</v>
      </c>
      <c r="K365" s="488"/>
      <c r="L365" s="488"/>
      <c r="M365" s="548">
        <f>_xlfn.XLOOKUP(packes[[#This Row],[productId]],CT[productId],CT[total],"NA")</f>
        <v>154.88499999999999</v>
      </c>
      <c r="N365" s="20" t="str">
        <f>_xlfn.XLOOKUP(packes[[#This Row],[productId]],bom[Id],bom[ph],"NA")</f>
        <v>molex</v>
      </c>
      <c r="O365" s="20" t="str">
        <f>_xlfn.XLOOKUP(packes[[#This Row],[productId]],bom[Id],bom[erth],"NA")</f>
        <v>nut4</v>
      </c>
      <c r="P365" s="20" t="str">
        <f>_xlfn.XLOOKUP(packes[[#This Row],[productId]],bom[Id],bom[dbl],"NA")</f>
        <v>-</v>
      </c>
      <c r="Q365" s="20" t="str">
        <f>LEFT(packes[[#This Row],[date]],4)</f>
        <v>1403</v>
      </c>
    </row>
    <row r="366" spans="1:17" s="23" customFormat="1" ht="16.5" x14ac:dyDescent="0.25">
      <c r="A366" s="23">
        <v>364</v>
      </c>
      <c r="B366" s="24" t="s">
        <v>1554</v>
      </c>
      <c r="C366" s="23">
        <v>140550060</v>
      </c>
      <c r="D366" s="23">
        <v>1600</v>
      </c>
      <c r="E366" s="27">
        <v>1</v>
      </c>
      <c r="F366" s="27">
        <v>1275</v>
      </c>
      <c r="G366" s="23">
        <v>8</v>
      </c>
      <c r="H366" s="486">
        <v>1275</v>
      </c>
      <c r="J366" s="487" t="s">
        <v>224</v>
      </c>
      <c r="K366" s="488"/>
      <c r="L366" s="488"/>
      <c r="M366" s="548">
        <f>_xlfn.XLOOKUP(packes[[#This Row],[productId]],CT[productId],CT[total],"NA")</f>
        <v>81.220000000000013</v>
      </c>
      <c r="N366" s="20" t="str">
        <f>_xlfn.XLOOKUP(packes[[#This Row],[productId]],bom[Id],bom[ph],"NA")</f>
        <v>radio</v>
      </c>
      <c r="O366" s="20" t="str">
        <f>_xlfn.XLOOKUP(packes[[#This Row],[productId]],bom[Id],bom[erth],"NA")</f>
        <v>-</v>
      </c>
      <c r="P366" s="20" t="str">
        <f>_xlfn.XLOOKUP(packes[[#This Row],[productId]],bom[Id],bom[dbl],"NA")</f>
        <v>-</v>
      </c>
      <c r="Q366" s="20" t="str">
        <f>LEFT(packes[[#This Row],[date]],4)</f>
        <v>1403</v>
      </c>
    </row>
    <row r="367" spans="1:17" s="23" customFormat="1" ht="16.5" x14ac:dyDescent="0.25">
      <c r="A367" s="23">
        <v>365</v>
      </c>
      <c r="B367" s="24" t="s">
        <v>1554</v>
      </c>
      <c r="C367" s="23">
        <v>140550062</v>
      </c>
      <c r="D367" s="23">
        <v>300</v>
      </c>
      <c r="E367" s="27">
        <v>1.1413748378728923</v>
      </c>
      <c r="F367" s="27">
        <v>3652.3994811932553</v>
      </c>
      <c r="H367" s="486">
        <v>3200</v>
      </c>
      <c r="J367" s="487" t="s">
        <v>224</v>
      </c>
      <c r="K367" s="488"/>
      <c r="L367" s="488"/>
      <c r="M367" s="548" t="str">
        <f>_xlfn.XLOOKUP(packes[[#This Row],[productId]],CT[productId],CT[total],"NA")</f>
        <v>NA</v>
      </c>
      <c r="N367" s="20" t="str">
        <f>_xlfn.XLOOKUP(packes[[#This Row],[productId]],bom[Id],bom[ph],"NA")</f>
        <v>VH</v>
      </c>
      <c r="O367" s="20" t="str">
        <f>_xlfn.XLOOKUP(packes[[#This Row],[productId]],bom[Id],bom[erth],"NA")</f>
        <v>-</v>
      </c>
      <c r="P367" s="20" t="str">
        <f>_xlfn.XLOOKUP(packes[[#This Row],[productId]],bom[Id],bom[dbl],"NA")</f>
        <v>-</v>
      </c>
      <c r="Q367" s="20" t="str">
        <f>LEFT(packes[[#This Row],[date]],4)</f>
        <v>1403</v>
      </c>
    </row>
    <row r="368" spans="1:17" s="23" customFormat="1" ht="16.5" x14ac:dyDescent="0.25">
      <c r="A368" s="23">
        <v>366</v>
      </c>
      <c r="B368" s="24" t="s">
        <v>1555</v>
      </c>
      <c r="C368" s="23">
        <v>140020181</v>
      </c>
      <c r="D368" s="23">
        <v>1200</v>
      </c>
      <c r="E368" s="27">
        <v>1.6063054973560809</v>
      </c>
      <c r="F368" s="27">
        <v>5782.6997904818909</v>
      </c>
      <c r="G368" s="23">
        <v>10</v>
      </c>
      <c r="H368" s="486">
        <v>3600</v>
      </c>
      <c r="J368" s="487" t="s">
        <v>224</v>
      </c>
      <c r="K368" s="488"/>
      <c r="L368" s="488"/>
      <c r="M368" s="548">
        <f>_xlfn.XLOOKUP(packes[[#This Row],[productId]],CT[productId],CT[total],"NA")</f>
        <v>88.929999999999993</v>
      </c>
      <c r="N368" s="20" t="str">
        <f>_xlfn.XLOOKUP(packes[[#This Row],[productId]],bom[Id],bom[ph],"NA")</f>
        <v>VH</v>
      </c>
      <c r="O368" s="20" t="str">
        <f>_xlfn.XLOOKUP(packes[[#This Row],[productId]],bom[Id],bom[erth],"NA")</f>
        <v>nut4</v>
      </c>
      <c r="P368" s="20" t="str">
        <f>_xlfn.XLOOKUP(packes[[#This Row],[productId]],bom[Id],bom[dbl],"NA")</f>
        <v>-</v>
      </c>
      <c r="Q368" s="20" t="str">
        <f>LEFT(packes[[#This Row],[date]],4)</f>
        <v>1403</v>
      </c>
    </row>
    <row r="369" spans="1:17" s="23" customFormat="1" ht="16.5" x14ac:dyDescent="0.25">
      <c r="A369" s="23">
        <v>367</v>
      </c>
      <c r="B369" s="24" t="s">
        <v>1555</v>
      </c>
      <c r="C369" s="23">
        <v>140090143</v>
      </c>
      <c r="D369" s="23">
        <v>2400</v>
      </c>
      <c r="E369" s="27">
        <v>1.1274069639828395</v>
      </c>
      <c r="F369" s="27">
        <v>2029.332535169111</v>
      </c>
      <c r="G369" s="23">
        <v>10</v>
      </c>
      <c r="H369" s="486">
        <v>1800</v>
      </c>
      <c r="J369" s="487" t="s">
        <v>224</v>
      </c>
      <c r="K369" s="488"/>
      <c r="L369" s="488"/>
      <c r="M369" s="548">
        <f>_xlfn.XLOOKUP(packes[[#This Row],[productId]],CT[productId],CT[total],"NA")</f>
        <v>233.215</v>
      </c>
      <c r="N369" s="20" t="str">
        <f>_xlfn.XLOOKUP(packes[[#This Row],[productId]],bom[Id],bom[ph],"NA")</f>
        <v>molex</v>
      </c>
      <c r="O369" s="20" t="str">
        <f>_xlfn.XLOOKUP(packes[[#This Row],[productId]],bom[Id],bom[erth],"NA")</f>
        <v>-</v>
      </c>
      <c r="P369" s="20" t="str">
        <f>_xlfn.XLOOKUP(packes[[#This Row],[productId]],bom[Id],bom[dbl],"NA")</f>
        <v>splice</v>
      </c>
      <c r="Q369" s="20" t="str">
        <f>LEFT(packes[[#This Row],[date]],4)</f>
        <v>1403</v>
      </c>
    </row>
    <row r="370" spans="1:17" s="23" customFormat="1" ht="16.5" x14ac:dyDescent="0.25">
      <c r="A370" s="23">
        <v>368</v>
      </c>
      <c r="B370" s="24" t="s">
        <v>1555</v>
      </c>
      <c r="C370" s="23">
        <v>140220012</v>
      </c>
      <c r="D370" s="23">
        <v>1950</v>
      </c>
      <c r="E370" s="27">
        <v>1.4486680634540554</v>
      </c>
      <c r="F370" s="27">
        <v>507.03382220891939</v>
      </c>
      <c r="G370" s="23">
        <v>10</v>
      </c>
      <c r="H370" s="486">
        <v>350</v>
      </c>
      <c r="J370" s="487" t="s">
        <v>224</v>
      </c>
      <c r="K370" s="488"/>
      <c r="L370" s="488"/>
      <c r="M370" s="548">
        <f>_xlfn.XLOOKUP(packes[[#This Row],[productId]],CT[productId],CT[total],"NA")</f>
        <v>192.86500000000001</v>
      </c>
      <c r="N370" s="20" t="str">
        <f>_xlfn.XLOOKUP(packes[[#This Row],[productId]],bom[Id],bom[ph],"NA")</f>
        <v>flag</v>
      </c>
      <c r="O370" s="20" t="str">
        <f>_xlfn.XLOOKUP(packes[[#This Row],[productId]],bom[Id],bom[erth],"NA")</f>
        <v>sun</v>
      </c>
      <c r="P370" s="20" t="str">
        <f>_xlfn.XLOOKUP(packes[[#This Row],[productId]],bom[Id],bom[dbl],"NA")</f>
        <v>-</v>
      </c>
      <c r="Q370" s="20" t="str">
        <f>LEFT(packes[[#This Row],[date]],4)</f>
        <v>1403</v>
      </c>
    </row>
    <row r="371" spans="1:17" s="23" customFormat="1" ht="16.5" x14ac:dyDescent="0.25">
      <c r="A371" s="23">
        <v>369</v>
      </c>
      <c r="B371" s="24" t="s">
        <v>1555</v>
      </c>
      <c r="C371" s="23">
        <v>140310075</v>
      </c>
      <c r="D371" s="23">
        <v>2000</v>
      </c>
      <c r="E371" s="27">
        <v>1.1413748378728923</v>
      </c>
      <c r="F371" s="27">
        <v>342.41245136186768</v>
      </c>
      <c r="G371" s="23">
        <v>10</v>
      </c>
      <c r="H371" s="486">
        <v>300</v>
      </c>
      <c r="J371" s="487" t="s">
        <v>224</v>
      </c>
      <c r="K371" s="488"/>
      <c r="L371" s="488"/>
      <c r="M371" s="548">
        <f>_xlfn.XLOOKUP(packes[[#This Row],[productId]],CT[productId],CT[total],"NA")</f>
        <v>154.88499999999999</v>
      </c>
      <c r="N371" s="20" t="str">
        <f>_xlfn.XLOOKUP(packes[[#This Row],[productId]],bom[Id],bom[ph],"NA")</f>
        <v>molex</v>
      </c>
      <c r="O371" s="20" t="str">
        <f>_xlfn.XLOOKUP(packes[[#This Row],[productId]],bom[Id],bom[erth],"NA")</f>
        <v>nut4</v>
      </c>
      <c r="P371" s="20" t="str">
        <f>_xlfn.XLOOKUP(packes[[#This Row],[productId]],bom[Id],bom[dbl],"NA")</f>
        <v>-</v>
      </c>
      <c r="Q371" s="20" t="str">
        <f>LEFT(packes[[#This Row],[date]],4)</f>
        <v>1403</v>
      </c>
    </row>
    <row r="372" spans="1:17" s="23" customFormat="1" ht="16.5" x14ac:dyDescent="0.25">
      <c r="A372" s="23">
        <v>370</v>
      </c>
      <c r="B372" s="24" t="s">
        <v>1555</v>
      </c>
      <c r="C372" s="23">
        <v>140550060</v>
      </c>
      <c r="D372" s="23">
        <v>4500</v>
      </c>
      <c r="E372" s="27">
        <v>1.1092487279257708</v>
      </c>
      <c r="F372" s="27">
        <v>332.77461837773126</v>
      </c>
      <c r="G372" s="23">
        <v>8</v>
      </c>
      <c r="H372" s="486">
        <v>300</v>
      </c>
      <c r="J372" s="487" t="s">
        <v>224</v>
      </c>
      <c r="K372" s="488"/>
      <c r="L372" s="488"/>
      <c r="M372" s="548">
        <f>_xlfn.XLOOKUP(packes[[#This Row],[productId]],CT[productId],CT[total],"NA")</f>
        <v>81.220000000000013</v>
      </c>
      <c r="N372" s="20" t="str">
        <f>_xlfn.XLOOKUP(packes[[#This Row],[productId]],bom[Id],bom[ph],"NA")</f>
        <v>radio</v>
      </c>
      <c r="O372" s="20" t="str">
        <f>_xlfn.XLOOKUP(packes[[#This Row],[productId]],bom[Id],bom[erth],"NA")</f>
        <v>-</v>
      </c>
      <c r="P372" s="20" t="str">
        <f>_xlfn.XLOOKUP(packes[[#This Row],[productId]],bom[Id],bom[dbl],"NA")</f>
        <v>-</v>
      </c>
      <c r="Q372" s="20" t="str">
        <f>LEFT(packes[[#This Row],[date]],4)</f>
        <v>1403</v>
      </c>
    </row>
    <row r="373" spans="1:17" s="23" customFormat="1" ht="16.5" x14ac:dyDescent="0.25">
      <c r="A373" s="23">
        <v>371</v>
      </c>
      <c r="B373" s="24" t="s">
        <v>1556</v>
      </c>
      <c r="C373" s="23">
        <v>140010117</v>
      </c>
      <c r="D373" s="23">
        <v>2700</v>
      </c>
      <c r="E373" s="27">
        <v>1.1413748378728923</v>
      </c>
      <c r="F373" s="27">
        <v>3424.1245136186767</v>
      </c>
      <c r="G373" s="23">
        <v>10</v>
      </c>
      <c r="H373" s="486">
        <v>3000</v>
      </c>
      <c r="J373" s="487" t="s">
        <v>224</v>
      </c>
      <c r="K373" s="488"/>
      <c r="L373" s="488"/>
      <c r="M373" s="548">
        <f>_xlfn.XLOOKUP(packes[[#This Row],[productId]],CT[productId],CT[total],"NA")</f>
        <v>98.295000000000016</v>
      </c>
      <c r="N373" s="20" t="str">
        <f>_xlfn.XLOOKUP(packes[[#This Row],[productId]],bom[Id],bom[ph],"NA")</f>
        <v>nar.p</v>
      </c>
      <c r="O373" s="20" t="str">
        <f>_xlfn.XLOOKUP(packes[[#This Row],[productId]],bom[Id],bom[erth],"NA")</f>
        <v>-</v>
      </c>
      <c r="P373" s="20" t="str">
        <f>_xlfn.XLOOKUP(packes[[#This Row],[productId]],bom[Id],bom[dbl],"NA")</f>
        <v>nar.p</v>
      </c>
      <c r="Q373" s="20" t="str">
        <f>LEFT(packes[[#This Row],[date]],4)</f>
        <v>1403</v>
      </c>
    </row>
    <row r="374" spans="1:17" s="23" customFormat="1" ht="16.5" x14ac:dyDescent="0.25">
      <c r="A374" s="23">
        <v>372</v>
      </c>
      <c r="B374" s="24" t="s">
        <v>1556</v>
      </c>
      <c r="C374" s="23">
        <v>140020181</v>
      </c>
      <c r="D374" s="23">
        <v>225</v>
      </c>
      <c r="E374" s="27">
        <v>1.6063054973560809</v>
      </c>
      <c r="F374" s="27">
        <v>2891.3498952409454</v>
      </c>
      <c r="G374" s="23">
        <v>10</v>
      </c>
      <c r="H374" s="486">
        <v>1800</v>
      </c>
      <c r="J374" s="487" t="s">
        <v>224</v>
      </c>
      <c r="K374" s="488"/>
      <c r="L374" s="488"/>
      <c r="M374" s="548">
        <f>_xlfn.XLOOKUP(packes[[#This Row],[productId]],CT[productId],CT[total],"NA")</f>
        <v>88.929999999999993</v>
      </c>
      <c r="N374" s="20" t="str">
        <f>_xlfn.XLOOKUP(packes[[#This Row],[productId]],bom[Id],bom[ph],"NA")</f>
        <v>VH</v>
      </c>
      <c r="O374" s="20" t="str">
        <f>_xlfn.XLOOKUP(packes[[#This Row],[productId]],bom[Id],bom[erth],"NA")</f>
        <v>nut4</v>
      </c>
      <c r="P374" s="20" t="str">
        <f>_xlfn.XLOOKUP(packes[[#This Row],[productId]],bom[Id],bom[dbl],"NA")</f>
        <v>-</v>
      </c>
      <c r="Q374" s="20" t="str">
        <f>LEFT(packes[[#This Row],[date]],4)</f>
        <v>1403</v>
      </c>
    </row>
    <row r="375" spans="1:17" s="23" customFormat="1" ht="16.5" x14ac:dyDescent="0.25">
      <c r="A375" s="23">
        <v>373</v>
      </c>
      <c r="B375" s="24" t="s">
        <v>1556</v>
      </c>
      <c r="C375" s="23">
        <v>140090143</v>
      </c>
      <c r="D375" s="23">
        <v>1600</v>
      </c>
      <c r="E375" s="27">
        <v>1.1274069639828395</v>
      </c>
      <c r="F375" s="27">
        <v>4396.8871595330738</v>
      </c>
      <c r="G375" s="23">
        <v>10</v>
      </c>
      <c r="H375" s="486">
        <v>3900</v>
      </c>
      <c r="J375" s="487" t="s">
        <v>224</v>
      </c>
      <c r="K375" s="488"/>
      <c r="L375" s="488"/>
      <c r="M375" s="548">
        <f>_xlfn.XLOOKUP(packes[[#This Row],[productId]],CT[productId],CT[total],"NA")</f>
        <v>233.215</v>
      </c>
      <c r="N375" s="20" t="str">
        <f>_xlfn.XLOOKUP(packes[[#This Row],[productId]],bom[Id],bom[ph],"NA")</f>
        <v>molex</v>
      </c>
      <c r="O375" s="20" t="str">
        <f>_xlfn.XLOOKUP(packes[[#This Row],[productId]],bom[Id],bom[erth],"NA")</f>
        <v>-</v>
      </c>
      <c r="P375" s="20" t="str">
        <f>_xlfn.XLOOKUP(packes[[#This Row],[productId]],bom[Id],bom[dbl],"NA")</f>
        <v>splice</v>
      </c>
      <c r="Q375" s="20" t="str">
        <f>LEFT(packes[[#This Row],[date]],4)</f>
        <v>1403</v>
      </c>
    </row>
    <row r="376" spans="1:17" s="23" customFormat="1" ht="16.5" x14ac:dyDescent="0.25">
      <c r="A376" s="23">
        <v>374</v>
      </c>
      <c r="B376" s="24" t="s">
        <v>1556</v>
      </c>
      <c r="C376" s="23">
        <v>140220012</v>
      </c>
      <c r="D376" s="23">
        <v>1900</v>
      </c>
      <c r="E376" s="27">
        <v>1</v>
      </c>
      <c r="F376" s="27">
        <v>375</v>
      </c>
      <c r="G376" s="23">
        <v>10</v>
      </c>
      <c r="H376" s="486">
        <v>375</v>
      </c>
      <c r="J376" s="487" t="s">
        <v>224</v>
      </c>
      <c r="K376" s="488"/>
      <c r="L376" s="488"/>
      <c r="M376" s="548">
        <f>_xlfn.XLOOKUP(packes[[#This Row],[productId]],CT[productId],CT[total],"NA")</f>
        <v>192.86500000000001</v>
      </c>
      <c r="N376" s="20" t="str">
        <f>_xlfn.XLOOKUP(packes[[#This Row],[productId]],bom[Id],bom[ph],"NA")</f>
        <v>flag</v>
      </c>
      <c r="O376" s="20" t="str">
        <f>_xlfn.XLOOKUP(packes[[#This Row],[productId]],bom[Id],bom[erth],"NA")</f>
        <v>sun</v>
      </c>
      <c r="P376" s="20" t="str">
        <f>_xlfn.XLOOKUP(packes[[#This Row],[productId]],bom[Id],bom[dbl],"NA")</f>
        <v>-</v>
      </c>
      <c r="Q376" s="20" t="str">
        <f>LEFT(packes[[#This Row],[date]],4)</f>
        <v>1403</v>
      </c>
    </row>
    <row r="377" spans="1:17" s="23" customFormat="1" ht="16.5" x14ac:dyDescent="0.25">
      <c r="A377" s="23">
        <v>375</v>
      </c>
      <c r="B377" s="24" t="s">
        <v>1556</v>
      </c>
      <c r="C377" s="23">
        <v>140550060</v>
      </c>
      <c r="D377" s="23">
        <v>3000</v>
      </c>
      <c r="E377" s="27">
        <v>1.2670857028833682</v>
      </c>
      <c r="F377" s="27">
        <v>95.031427716252608</v>
      </c>
      <c r="G377" s="23">
        <v>8</v>
      </c>
      <c r="H377" s="486">
        <v>75</v>
      </c>
      <c r="J377" s="487" t="s">
        <v>224</v>
      </c>
      <c r="K377" s="488"/>
      <c r="L377" s="488"/>
      <c r="M377" s="548">
        <f>_xlfn.XLOOKUP(packes[[#This Row],[productId]],CT[productId],CT[total],"NA")</f>
        <v>81.220000000000013</v>
      </c>
      <c r="N377" s="20" t="str">
        <f>_xlfn.XLOOKUP(packes[[#This Row],[productId]],bom[Id],bom[ph],"NA")</f>
        <v>radio</v>
      </c>
      <c r="O377" s="20" t="str">
        <f>_xlfn.XLOOKUP(packes[[#This Row],[productId]],bom[Id],bom[erth],"NA")</f>
        <v>-</v>
      </c>
      <c r="P377" s="20" t="str">
        <f>_xlfn.XLOOKUP(packes[[#This Row],[productId]],bom[Id],bom[dbl],"NA")</f>
        <v>-</v>
      </c>
      <c r="Q377" s="20" t="str">
        <f>LEFT(packes[[#This Row],[date]],4)</f>
        <v>1403</v>
      </c>
    </row>
    <row r="378" spans="1:17" s="23" customFormat="1" ht="16.5" x14ac:dyDescent="0.25">
      <c r="A378" s="23">
        <v>376</v>
      </c>
      <c r="B378" s="24" t="s">
        <v>1556</v>
      </c>
      <c r="C378" s="23">
        <v>140220019</v>
      </c>
      <c r="D378" s="23">
        <v>48</v>
      </c>
      <c r="E378" s="27">
        <v>1.1413748378728923</v>
      </c>
      <c r="F378" s="27">
        <v>1369.6498054474707</v>
      </c>
      <c r="H378" s="486">
        <v>1200</v>
      </c>
      <c r="J378" s="487" t="s">
        <v>224</v>
      </c>
      <c r="K378" s="488"/>
      <c r="L378" s="488"/>
      <c r="M378" s="548" t="str">
        <f>_xlfn.XLOOKUP(packes[[#This Row],[productId]],CT[productId],CT[total],"NA")</f>
        <v>NA</v>
      </c>
      <c r="N378" s="20" t="str">
        <f>_xlfn.XLOOKUP(packes[[#This Row],[productId]],bom[Id],bom[ph],"NA")</f>
        <v>NA</v>
      </c>
      <c r="O378" s="20" t="str">
        <f>_xlfn.XLOOKUP(packes[[#This Row],[productId]],bom[Id],bom[erth],"NA")</f>
        <v>NA</v>
      </c>
      <c r="P378" s="20" t="str">
        <f>_xlfn.XLOOKUP(packes[[#This Row],[productId]],bom[Id],bom[dbl],"NA")</f>
        <v>NA</v>
      </c>
      <c r="Q378" s="20" t="str">
        <f>LEFT(packes[[#This Row],[date]],4)</f>
        <v>1403</v>
      </c>
    </row>
    <row r="379" spans="1:17" s="23" customFormat="1" ht="16.5" x14ac:dyDescent="0.25">
      <c r="A379" s="23">
        <v>377</v>
      </c>
      <c r="B379" s="24" t="s">
        <v>1557</v>
      </c>
      <c r="C379" s="23">
        <v>140030039</v>
      </c>
      <c r="D379" s="23">
        <v>900</v>
      </c>
      <c r="E379" s="27">
        <v>1.1092487279257708</v>
      </c>
      <c r="F379" s="27">
        <v>1331.098473510925</v>
      </c>
      <c r="G379" s="23">
        <v>11</v>
      </c>
      <c r="H379" s="486">
        <v>1128</v>
      </c>
      <c r="J379" s="487" t="s">
        <v>224</v>
      </c>
      <c r="K379" s="488"/>
      <c r="L379" s="488"/>
      <c r="M379" s="548">
        <f>_xlfn.XLOOKUP(packes[[#This Row],[productId]],CT[productId],CT[total],"NA")</f>
        <v>92.504999999999995</v>
      </c>
      <c r="N379" s="20" t="str">
        <f>_xlfn.XLOOKUP(packes[[#This Row],[productId]],bom[Id],bom[ph],"NA")</f>
        <v>YH</v>
      </c>
      <c r="O379" s="20" t="str">
        <f>_xlfn.XLOOKUP(packes[[#This Row],[productId]],bom[Id],bom[erth],"NA")</f>
        <v>sun</v>
      </c>
      <c r="P379" s="20" t="str">
        <f>_xlfn.XLOOKUP(packes[[#This Row],[productId]],bom[Id],bom[dbl],"NA")</f>
        <v>-</v>
      </c>
      <c r="Q379" s="20" t="str">
        <f>LEFT(packes[[#This Row],[date]],4)</f>
        <v>1403</v>
      </c>
    </row>
    <row r="380" spans="1:17" s="23" customFormat="1" ht="16.5" x14ac:dyDescent="0.25">
      <c r="A380" s="23">
        <v>378</v>
      </c>
      <c r="B380" s="24" t="s">
        <v>1557</v>
      </c>
      <c r="C380" s="23">
        <v>140030040</v>
      </c>
      <c r="D380" s="23">
        <v>1200</v>
      </c>
      <c r="E380" s="27">
        <v>2.7237354085603114</v>
      </c>
      <c r="F380" s="27">
        <v>3268.4824902723735</v>
      </c>
      <c r="G380" s="23">
        <v>11</v>
      </c>
      <c r="H380" s="486">
        <v>1200</v>
      </c>
      <c r="J380" s="487" t="s">
        <v>224</v>
      </c>
      <c r="K380" s="488"/>
      <c r="L380" s="488"/>
      <c r="M380" s="548">
        <f>_xlfn.XLOOKUP(packes[[#This Row],[productId]],CT[productId],CT[total],"NA")</f>
        <v>97.305000000000007</v>
      </c>
      <c r="N380" s="20" t="str">
        <f>_xlfn.XLOOKUP(packes[[#This Row],[productId]],bom[Id],bom[ph],"NA")</f>
        <v>YH</v>
      </c>
      <c r="O380" s="20" t="str">
        <f>_xlfn.XLOOKUP(packes[[#This Row],[productId]],bom[Id],bom[erth],"NA")</f>
        <v>sun</v>
      </c>
      <c r="P380" s="20" t="str">
        <f>_xlfn.XLOOKUP(packes[[#This Row],[productId]],bom[Id],bom[dbl],"NA")</f>
        <v>-</v>
      </c>
      <c r="Q380" s="20" t="str">
        <f>LEFT(packes[[#This Row],[date]],4)</f>
        <v>1403</v>
      </c>
    </row>
    <row r="381" spans="1:17" s="23" customFormat="1" ht="16.5" x14ac:dyDescent="0.25">
      <c r="A381" s="23">
        <v>379</v>
      </c>
      <c r="B381" s="24" t="s">
        <v>1557</v>
      </c>
      <c r="C381" s="23">
        <v>140090143</v>
      </c>
      <c r="D381" s="23">
        <v>4500</v>
      </c>
      <c r="E381" s="27">
        <v>1.1413748378728923</v>
      </c>
      <c r="F381" s="27">
        <v>1597.9247730220493</v>
      </c>
      <c r="G381" s="23">
        <v>10</v>
      </c>
      <c r="H381" s="486">
        <v>1400</v>
      </c>
      <c r="J381" s="487" t="s">
        <v>224</v>
      </c>
      <c r="K381" s="488"/>
      <c r="L381" s="488"/>
      <c r="M381" s="548">
        <f>_xlfn.XLOOKUP(packes[[#This Row],[productId]],CT[productId],CT[total],"NA")</f>
        <v>233.215</v>
      </c>
      <c r="N381" s="20" t="str">
        <f>_xlfn.XLOOKUP(packes[[#This Row],[productId]],bom[Id],bom[ph],"NA")</f>
        <v>molex</v>
      </c>
      <c r="O381" s="20" t="str">
        <f>_xlfn.XLOOKUP(packes[[#This Row],[productId]],bom[Id],bom[erth],"NA")</f>
        <v>-</v>
      </c>
      <c r="P381" s="20" t="str">
        <f>_xlfn.XLOOKUP(packes[[#This Row],[productId]],bom[Id],bom[dbl],"NA")</f>
        <v>splice</v>
      </c>
      <c r="Q381" s="20" t="str">
        <f>LEFT(packes[[#This Row],[date]],4)</f>
        <v>1403</v>
      </c>
    </row>
    <row r="382" spans="1:17" s="23" customFormat="1" ht="16.5" x14ac:dyDescent="0.25">
      <c r="A382" s="23">
        <v>380</v>
      </c>
      <c r="B382" s="24" t="s">
        <v>1557</v>
      </c>
      <c r="C382" s="23">
        <v>140220012</v>
      </c>
      <c r="D382" s="23">
        <v>1450</v>
      </c>
      <c r="E382" s="27">
        <v>1.9455252918287937</v>
      </c>
      <c r="F382" s="27">
        <v>5836.5758754863809</v>
      </c>
      <c r="G382" s="23">
        <v>10</v>
      </c>
      <c r="H382" s="486">
        <v>3000</v>
      </c>
      <c r="J382" s="487" t="s">
        <v>224</v>
      </c>
      <c r="K382" s="488"/>
      <c r="L382" s="488"/>
      <c r="M382" s="548">
        <f>_xlfn.XLOOKUP(packes[[#This Row],[productId]],CT[productId],CT[total],"NA")</f>
        <v>192.86500000000001</v>
      </c>
      <c r="N382" s="20" t="str">
        <f>_xlfn.XLOOKUP(packes[[#This Row],[productId]],bom[Id],bom[ph],"NA")</f>
        <v>flag</v>
      </c>
      <c r="O382" s="20" t="str">
        <f>_xlfn.XLOOKUP(packes[[#This Row],[productId]],bom[Id],bom[erth],"NA")</f>
        <v>sun</v>
      </c>
      <c r="P382" s="20" t="str">
        <f>_xlfn.XLOOKUP(packes[[#This Row],[productId]],bom[Id],bom[dbl],"NA")</f>
        <v>-</v>
      </c>
      <c r="Q382" s="20" t="str">
        <f>LEFT(packes[[#This Row],[date]],4)</f>
        <v>1403</v>
      </c>
    </row>
    <row r="383" spans="1:17" s="23" customFormat="1" ht="16.5" x14ac:dyDescent="0.25">
      <c r="A383" s="23">
        <v>381</v>
      </c>
      <c r="B383" s="24" t="s">
        <v>1557</v>
      </c>
      <c r="C383" s="23">
        <v>140310075</v>
      </c>
      <c r="D383" s="23">
        <v>1000</v>
      </c>
      <c r="E383" s="27">
        <v>1.6063054973560809</v>
      </c>
      <c r="F383" s="27">
        <v>642.5221989424324</v>
      </c>
      <c r="G383" s="23">
        <v>10</v>
      </c>
      <c r="H383" s="486">
        <v>320</v>
      </c>
      <c r="J383" s="487" t="s">
        <v>224</v>
      </c>
      <c r="K383" s="488"/>
      <c r="L383" s="488"/>
      <c r="M383" s="548">
        <f>_xlfn.XLOOKUP(packes[[#This Row],[productId]],CT[productId],CT[total],"NA")</f>
        <v>154.88499999999999</v>
      </c>
      <c r="N383" s="20" t="str">
        <f>_xlfn.XLOOKUP(packes[[#This Row],[productId]],bom[Id],bom[ph],"NA")</f>
        <v>molex</v>
      </c>
      <c r="O383" s="20" t="str">
        <f>_xlfn.XLOOKUP(packes[[#This Row],[productId]],bom[Id],bom[erth],"NA")</f>
        <v>nut4</v>
      </c>
      <c r="P383" s="20" t="str">
        <f>_xlfn.XLOOKUP(packes[[#This Row],[productId]],bom[Id],bom[dbl],"NA")</f>
        <v>-</v>
      </c>
      <c r="Q383" s="20" t="str">
        <f>LEFT(packes[[#This Row],[date]],4)</f>
        <v>1403</v>
      </c>
    </row>
    <row r="384" spans="1:17" s="23" customFormat="1" ht="16.5" x14ac:dyDescent="0.25">
      <c r="A384" s="23">
        <v>382</v>
      </c>
      <c r="B384" s="24" t="s">
        <v>1557</v>
      </c>
      <c r="C384" s="23">
        <v>140550060</v>
      </c>
      <c r="D384" s="23">
        <v>2500</v>
      </c>
      <c r="E384" s="27">
        <v>1.1274069639828395</v>
      </c>
      <c r="F384" s="27">
        <v>3156.7394991519504</v>
      </c>
      <c r="G384" s="23">
        <v>8</v>
      </c>
      <c r="H384" s="486">
        <v>2800</v>
      </c>
      <c r="J384" s="487" t="s">
        <v>224</v>
      </c>
      <c r="K384" s="488"/>
      <c r="L384" s="488"/>
      <c r="M384" s="548">
        <f>_xlfn.XLOOKUP(packes[[#This Row],[productId]],CT[productId],CT[total],"NA")</f>
        <v>81.220000000000013</v>
      </c>
      <c r="N384" s="20" t="str">
        <f>_xlfn.XLOOKUP(packes[[#This Row],[productId]],bom[Id],bom[ph],"NA")</f>
        <v>radio</v>
      </c>
      <c r="O384" s="20" t="str">
        <f>_xlfn.XLOOKUP(packes[[#This Row],[productId]],bom[Id],bom[erth],"NA")</f>
        <v>-</v>
      </c>
      <c r="P384" s="20" t="str">
        <f>_xlfn.XLOOKUP(packes[[#This Row],[productId]],bom[Id],bom[dbl],"NA")</f>
        <v>-</v>
      </c>
      <c r="Q384" s="20" t="str">
        <f>LEFT(packes[[#This Row],[date]],4)</f>
        <v>1403</v>
      </c>
    </row>
    <row r="385" spans="1:17" s="23" customFormat="1" ht="16.5" x14ac:dyDescent="0.25">
      <c r="A385" s="23">
        <v>383</v>
      </c>
      <c r="B385" s="24" t="s">
        <v>1557</v>
      </c>
      <c r="C385" s="23">
        <v>140550062</v>
      </c>
      <c r="D385" s="23">
        <v>100</v>
      </c>
      <c r="E385" s="27">
        <v>1.4486680634540554</v>
      </c>
      <c r="F385" s="27">
        <v>3259.5031427716249</v>
      </c>
      <c r="H385" s="486">
        <v>2250</v>
      </c>
      <c r="J385" s="487" t="s">
        <v>224</v>
      </c>
      <c r="K385" s="488"/>
      <c r="L385" s="488"/>
      <c r="M385" s="548" t="str">
        <f>_xlfn.XLOOKUP(packes[[#This Row],[productId]],CT[productId],CT[total],"NA")</f>
        <v>NA</v>
      </c>
      <c r="N385" s="20" t="str">
        <f>_xlfn.XLOOKUP(packes[[#This Row],[productId]],bom[Id],bom[ph],"NA")</f>
        <v>VH</v>
      </c>
      <c r="O385" s="20" t="str">
        <f>_xlfn.XLOOKUP(packes[[#This Row],[productId]],bom[Id],bom[erth],"NA")</f>
        <v>-</v>
      </c>
      <c r="P385" s="20" t="str">
        <f>_xlfn.XLOOKUP(packes[[#This Row],[productId]],bom[Id],bom[dbl],"NA")</f>
        <v>-</v>
      </c>
      <c r="Q385" s="20" t="str">
        <f>LEFT(packes[[#This Row],[date]],4)</f>
        <v>1403</v>
      </c>
    </row>
    <row r="386" spans="1:17" s="23" customFormat="1" ht="16.5" x14ac:dyDescent="0.25">
      <c r="A386" s="23">
        <v>384</v>
      </c>
      <c r="B386" s="24" t="s">
        <v>1558</v>
      </c>
      <c r="C386" s="23">
        <v>140010117</v>
      </c>
      <c r="D386" s="23">
        <v>1875</v>
      </c>
      <c r="E386" s="27">
        <v>2.7237354085603114</v>
      </c>
      <c r="F386" s="27">
        <v>2178.988326848249</v>
      </c>
      <c r="G386" s="23">
        <v>10</v>
      </c>
      <c r="H386" s="486">
        <v>800</v>
      </c>
      <c r="J386" s="487" t="s">
        <v>224</v>
      </c>
      <c r="K386" s="488"/>
      <c r="L386" s="488"/>
      <c r="M386" s="548">
        <f>_xlfn.XLOOKUP(packes[[#This Row],[productId]],CT[productId],CT[total],"NA")</f>
        <v>98.295000000000016</v>
      </c>
      <c r="N386" s="20" t="str">
        <f>_xlfn.XLOOKUP(packes[[#This Row],[productId]],bom[Id],bom[ph],"NA")</f>
        <v>nar.p</v>
      </c>
      <c r="O386" s="20" t="str">
        <f>_xlfn.XLOOKUP(packes[[#This Row],[productId]],bom[Id],bom[erth],"NA")</f>
        <v>-</v>
      </c>
      <c r="P386" s="20" t="str">
        <f>_xlfn.XLOOKUP(packes[[#This Row],[productId]],bom[Id],bom[dbl],"NA")</f>
        <v>nar.p</v>
      </c>
      <c r="Q386" s="20" t="str">
        <f>LEFT(packes[[#This Row],[date]],4)</f>
        <v>1403</v>
      </c>
    </row>
    <row r="387" spans="1:17" s="23" customFormat="1" ht="16.5" x14ac:dyDescent="0.25">
      <c r="A387" s="23">
        <v>385</v>
      </c>
      <c r="B387" s="24" t="s">
        <v>1559</v>
      </c>
      <c r="C387" s="23">
        <v>140010230</v>
      </c>
      <c r="D387" s="23">
        <v>950</v>
      </c>
      <c r="E387" s="27">
        <v>1.1413748378728923</v>
      </c>
      <c r="F387" s="27">
        <v>2282.7496757457848</v>
      </c>
      <c r="G387" s="23">
        <v>10</v>
      </c>
      <c r="H387" s="486">
        <v>2000</v>
      </c>
      <c r="J387" s="487" t="s">
        <v>224</v>
      </c>
      <c r="K387" s="488"/>
      <c r="L387" s="488"/>
      <c r="M387" s="548">
        <f>_xlfn.XLOOKUP(packes[[#This Row],[productId]],CT[productId],CT[total],"NA")</f>
        <v>147.595</v>
      </c>
      <c r="N387" s="20" t="str">
        <f>_xlfn.XLOOKUP(packes[[#This Row],[productId]],bom[Id],bom[ph],"NA")</f>
        <v>nar.p</v>
      </c>
      <c r="O387" s="20" t="str">
        <f>_xlfn.XLOOKUP(packes[[#This Row],[productId]],bom[Id],bom[erth],"NA")</f>
        <v>-</v>
      </c>
      <c r="P387" s="20" t="str">
        <f>_xlfn.XLOOKUP(packes[[#This Row],[productId]],bom[Id],bom[dbl],"NA")</f>
        <v>nar.p</v>
      </c>
      <c r="Q387" s="20" t="str">
        <f>LEFT(packes[[#This Row],[date]],4)</f>
        <v>1403</v>
      </c>
    </row>
    <row r="388" spans="1:17" s="23" customFormat="1" ht="16.5" x14ac:dyDescent="0.25">
      <c r="A388" s="23">
        <v>386</v>
      </c>
      <c r="B388" s="24" t="s">
        <v>1559</v>
      </c>
      <c r="C388" s="23">
        <v>140020196</v>
      </c>
      <c r="D388" s="23">
        <v>450</v>
      </c>
      <c r="E388" s="27">
        <v>1.9455252918287937</v>
      </c>
      <c r="F388" s="27">
        <v>389.10505836575874</v>
      </c>
      <c r="G388" s="23">
        <v>10</v>
      </c>
      <c r="H388" s="486">
        <v>200</v>
      </c>
      <c r="J388" s="487" t="s">
        <v>224</v>
      </c>
      <c r="K388" s="488"/>
      <c r="L388" s="488"/>
      <c r="M388" s="548" t="str">
        <f>_xlfn.XLOOKUP(packes[[#This Row],[productId]],CT[productId],CT[total],"NA")</f>
        <v>NA</v>
      </c>
      <c r="N388" s="20" t="str">
        <f>_xlfn.XLOOKUP(packes[[#This Row],[productId]],bom[Id],bom[ph],"NA")</f>
        <v>molex</v>
      </c>
      <c r="O388" s="20" t="str">
        <f>_xlfn.XLOOKUP(packes[[#This Row],[productId]],bom[Id],bom[erth],"NA")</f>
        <v>nut4</v>
      </c>
      <c r="P388" s="20" t="str">
        <f>_xlfn.XLOOKUP(packes[[#This Row],[productId]],bom[Id],bom[dbl],"NA")</f>
        <v>-</v>
      </c>
      <c r="Q388" s="20" t="str">
        <f>LEFT(packes[[#This Row],[date]],4)</f>
        <v>1403</v>
      </c>
    </row>
    <row r="389" spans="1:17" s="23" customFormat="1" ht="16.5" x14ac:dyDescent="0.25">
      <c r="A389" s="23">
        <v>387</v>
      </c>
      <c r="B389" s="24" t="s">
        <v>1559</v>
      </c>
      <c r="C389" s="23">
        <v>140030039</v>
      </c>
      <c r="D389" s="23">
        <v>300</v>
      </c>
      <c r="E389" s="27">
        <v>1.6761448668063454</v>
      </c>
      <c r="F389" s="27">
        <v>167.61448668063454</v>
      </c>
      <c r="G389" s="23">
        <v>11</v>
      </c>
      <c r="H389" s="486">
        <v>100</v>
      </c>
      <c r="J389" s="487" t="s">
        <v>224</v>
      </c>
      <c r="K389" s="488"/>
      <c r="L389" s="488"/>
      <c r="M389" s="548">
        <f>_xlfn.XLOOKUP(packes[[#This Row],[productId]],CT[productId],CT[total],"NA")</f>
        <v>92.504999999999995</v>
      </c>
      <c r="N389" s="20" t="str">
        <f>_xlfn.XLOOKUP(packes[[#This Row],[productId]],bom[Id],bom[ph],"NA")</f>
        <v>YH</v>
      </c>
      <c r="O389" s="20" t="str">
        <f>_xlfn.XLOOKUP(packes[[#This Row],[productId]],bom[Id],bom[erth],"NA")</f>
        <v>sun</v>
      </c>
      <c r="P389" s="20" t="str">
        <f>_xlfn.XLOOKUP(packes[[#This Row],[productId]],bom[Id],bom[dbl],"NA")</f>
        <v>-</v>
      </c>
      <c r="Q389" s="20" t="str">
        <f>LEFT(packes[[#This Row],[date]],4)</f>
        <v>1403</v>
      </c>
    </row>
    <row r="390" spans="1:17" s="23" customFormat="1" ht="16.5" x14ac:dyDescent="0.25">
      <c r="A390" s="23">
        <v>388</v>
      </c>
      <c r="B390" s="24" t="s">
        <v>1559</v>
      </c>
      <c r="C390" s="23">
        <v>140030040</v>
      </c>
      <c r="D390" s="23">
        <v>300</v>
      </c>
      <c r="E390" s="27">
        <v>1.1274069639828395</v>
      </c>
      <c r="F390" s="27">
        <v>2367.5546243639628</v>
      </c>
      <c r="G390" s="23">
        <v>11</v>
      </c>
      <c r="H390" s="486">
        <v>2100</v>
      </c>
      <c r="J390" s="487" t="s">
        <v>224</v>
      </c>
      <c r="K390" s="488"/>
      <c r="L390" s="488"/>
      <c r="M390" s="548">
        <f>_xlfn.XLOOKUP(packes[[#This Row],[productId]],CT[productId],CT[total],"NA")</f>
        <v>97.305000000000007</v>
      </c>
      <c r="N390" s="20" t="str">
        <f>_xlfn.XLOOKUP(packes[[#This Row],[productId]],bom[Id],bom[ph],"NA")</f>
        <v>YH</v>
      </c>
      <c r="O390" s="20" t="str">
        <f>_xlfn.XLOOKUP(packes[[#This Row],[productId]],bom[Id],bom[erth],"NA")</f>
        <v>sun</v>
      </c>
      <c r="P390" s="20" t="str">
        <f>_xlfn.XLOOKUP(packes[[#This Row],[productId]],bom[Id],bom[dbl],"NA")</f>
        <v>-</v>
      </c>
      <c r="Q390" s="20" t="str">
        <f>LEFT(packes[[#This Row],[date]],4)</f>
        <v>1403</v>
      </c>
    </row>
    <row r="391" spans="1:17" s="23" customFormat="1" ht="16.5" x14ac:dyDescent="0.25">
      <c r="A391" s="23">
        <v>389</v>
      </c>
      <c r="B391" s="24" t="s">
        <v>1559</v>
      </c>
      <c r="C391" s="23">
        <v>140220012</v>
      </c>
      <c r="D391" s="23">
        <v>150</v>
      </c>
      <c r="E391" s="27" t="e">
        <v>#N/A</v>
      </c>
      <c r="F391" s="27" t="e">
        <v>#N/A</v>
      </c>
      <c r="G391" s="23">
        <v>10</v>
      </c>
      <c r="H391" s="486">
        <v>1150</v>
      </c>
      <c r="J391" s="487" t="s">
        <v>224</v>
      </c>
      <c r="K391" s="488"/>
      <c r="L391" s="488"/>
      <c r="M391" s="548">
        <f>_xlfn.XLOOKUP(packes[[#This Row],[productId]],CT[productId],CT[total],"NA")</f>
        <v>192.86500000000001</v>
      </c>
      <c r="N391" s="20" t="str">
        <f>_xlfn.XLOOKUP(packes[[#This Row],[productId]],bom[Id],bom[ph],"NA")</f>
        <v>flag</v>
      </c>
      <c r="O391" s="20" t="str">
        <f>_xlfn.XLOOKUP(packes[[#This Row],[productId]],bom[Id],bom[erth],"NA")</f>
        <v>sun</v>
      </c>
      <c r="P391" s="20" t="str">
        <f>_xlfn.XLOOKUP(packes[[#This Row],[productId]],bom[Id],bom[dbl],"NA")</f>
        <v>-</v>
      </c>
      <c r="Q391" s="20" t="str">
        <f>LEFT(packes[[#This Row],[date]],4)</f>
        <v>1403</v>
      </c>
    </row>
    <row r="392" spans="1:17" s="23" customFormat="1" ht="16.5" x14ac:dyDescent="0.25">
      <c r="A392" s="23">
        <v>390</v>
      </c>
      <c r="B392" s="24" t="s">
        <v>1559</v>
      </c>
      <c r="C392" s="23">
        <v>140310075</v>
      </c>
      <c r="D392" s="23">
        <v>3500</v>
      </c>
      <c r="E392" s="27">
        <v>1.1413748378728923</v>
      </c>
      <c r="F392" s="27">
        <v>2511.0246433203629</v>
      </c>
      <c r="G392" s="23">
        <v>10</v>
      </c>
      <c r="H392" s="486">
        <v>1300</v>
      </c>
      <c r="I392" s="23">
        <v>11</v>
      </c>
      <c r="J392" s="487">
        <v>1050</v>
      </c>
      <c r="K392" s="488"/>
      <c r="L392" s="488"/>
      <c r="M392" s="548">
        <f>_xlfn.XLOOKUP(packes[[#This Row],[productId]],CT[productId],CT[total],"NA")</f>
        <v>154.88499999999999</v>
      </c>
      <c r="N392" s="20" t="str">
        <f>_xlfn.XLOOKUP(packes[[#This Row],[productId]],bom[Id],bom[ph],"NA")</f>
        <v>molex</v>
      </c>
      <c r="O392" s="20" t="str">
        <f>_xlfn.XLOOKUP(packes[[#This Row],[productId]],bom[Id],bom[erth],"NA")</f>
        <v>nut4</v>
      </c>
      <c r="P392" s="20" t="str">
        <f>_xlfn.XLOOKUP(packes[[#This Row],[productId]],bom[Id],bom[dbl],"NA")</f>
        <v>-</v>
      </c>
      <c r="Q392" s="20" t="str">
        <f>LEFT(packes[[#This Row],[date]],4)</f>
        <v>1403</v>
      </c>
    </row>
    <row r="393" spans="1:17" s="23" customFormat="1" ht="16.5" x14ac:dyDescent="0.25">
      <c r="A393" s="23">
        <v>391</v>
      </c>
      <c r="B393" s="24" t="s">
        <v>1559</v>
      </c>
      <c r="C393" s="23">
        <v>140550060</v>
      </c>
      <c r="D393" s="23">
        <v>1700</v>
      </c>
      <c r="E393" s="27">
        <v>1.1413748378728923</v>
      </c>
      <c r="F393" s="27">
        <v>4108.9494163424124</v>
      </c>
      <c r="G393" s="23">
        <v>8</v>
      </c>
      <c r="H393" s="486">
        <v>3600</v>
      </c>
      <c r="J393" s="487" t="s">
        <v>224</v>
      </c>
      <c r="K393" s="488"/>
      <c r="L393" s="488"/>
      <c r="M393" s="548">
        <f>_xlfn.XLOOKUP(packes[[#This Row],[productId]],CT[productId],CT[total],"NA")</f>
        <v>81.220000000000013</v>
      </c>
      <c r="N393" s="20" t="str">
        <f>_xlfn.XLOOKUP(packes[[#This Row],[productId]],bom[Id],bom[ph],"NA")</f>
        <v>radio</v>
      </c>
      <c r="O393" s="20" t="str">
        <f>_xlfn.XLOOKUP(packes[[#This Row],[productId]],bom[Id],bom[erth],"NA")</f>
        <v>-</v>
      </c>
      <c r="P393" s="20" t="str">
        <f>_xlfn.XLOOKUP(packes[[#This Row],[productId]],bom[Id],bom[dbl],"NA")</f>
        <v>-</v>
      </c>
      <c r="Q393" s="20" t="str">
        <f>LEFT(packes[[#This Row],[date]],4)</f>
        <v>1403</v>
      </c>
    </row>
    <row r="394" spans="1:17" s="23" customFormat="1" ht="16.5" x14ac:dyDescent="0.25">
      <c r="A394" s="23">
        <v>392</v>
      </c>
      <c r="B394" s="24" t="s">
        <v>1559</v>
      </c>
      <c r="C394" s="23">
        <v>140550084</v>
      </c>
      <c r="D394" s="23">
        <v>1065</v>
      </c>
      <c r="E394" s="27">
        <v>1.9455252918287937</v>
      </c>
      <c r="F394" s="27">
        <v>1167.3151750972763</v>
      </c>
      <c r="G394" s="23">
        <v>10</v>
      </c>
      <c r="H394" s="486">
        <v>600</v>
      </c>
      <c r="J394" s="487" t="s">
        <v>224</v>
      </c>
      <c r="K394" s="488"/>
      <c r="L394" s="488"/>
      <c r="M394" s="548" t="str">
        <f>_xlfn.XLOOKUP(packes[[#This Row],[productId]],CT[productId],CT[total],"NA")</f>
        <v>NA</v>
      </c>
      <c r="N394" s="20" t="str">
        <f>_xlfn.XLOOKUP(packes[[#This Row],[productId]],bom[Id],bom[ph],"NA")</f>
        <v>VH</v>
      </c>
      <c r="O394" s="20" t="str">
        <f>_xlfn.XLOOKUP(packes[[#This Row],[productId]],bom[Id],bom[erth],"NA")</f>
        <v>-</v>
      </c>
      <c r="P394" s="20" t="str">
        <f>_xlfn.XLOOKUP(packes[[#This Row],[productId]],bom[Id],bom[dbl],"NA")</f>
        <v>-</v>
      </c>
      <c r="Q394" s="20" t="str">
        <f>LEFT(packes[[#This Row],[date]],4)</f>
        <v>1403</v>
      </c>
    </row>
    <row r="395" spans="1:17" s="23" customFormat="1" ht="16.5" x14ac:dyDescent="0.25">
      <c r="A395" s="23">
        <v>393</v>
      </c>
      <c r="B395" s="24" t="s">
        <v>1558</v>
      </c>
      <c r="C395" s="23">
        <v>140010117</v>
      </c>
      <c r="D395" s="23">
        <v>750</v>
      </c>
      <c r="E395" s="27">
        <v>1.9455252918287937</v>
      </c>
      <c r="F395" s="27">
        <v>4085.603112840467</v>
      </c>
      <c r="G395" s="23">
        <v>10</v>
      </c>
      <c r="H395" s="486">
        <v>2100</v>
      </c>
      <c r="J395" s="487" t="s">
        <v>224</v>
      </c>
      <c r="K395" s="488"/>
      <c r="L395" s="488"/>
      <c r="M395" s="548">
        <f>_xlfn.XLOOKUP(packes[[#This Row],[productId]],CT[productId],CT[total],"NA")</f>
        <v>98.295000000000016</v>
      </c>
      <c r="N395" s="20" t="str">
        <f>_xlfn.XLOOKUP(packes[[#This Row],[productId]],bom[Id],bom[ph],"NA")</f>
        <v>nar.p</v>
      </c>
      <c r="O395" s="20" t="str">
        <f>_xlfn.XLOOKUP(packes[[#This Row],[productId]],bom[Id],bom[erth],"NA")</f>
        <v>-</v>
      </c>
      <c r="P395" s="20" t="str">
        <f>_xlfn.XLOOKUP(packes[[#This Row],[productId]],bom[Id],bom[dbl],"NA")</f>
        <v>nar.p</v>
      </c>
      <c r="Q395" s="20" t="str">
        <f>LEFT(packes[[#This Row],[date]],4)</f>
        <v>1403</v>
      </c>
    </row>
    <row r="396" spans="1:17" s="23" customFormat="1" ht="16.5" x14ac:dyDescent="0.25">
      <c r="A396" s="23">
        <v>394</v>
      </c>
      <c r="B396" s="24" t="s">
        <v>1558</v>
      </c>
      <c r="C396" s="23">
        <v>140010230</v>
      </c>
      <c r="D396" s="23">
        <v>550</v>
      </c>
      <c r="E396" s="27">
        <v>1.6761448668063454</v>
      </c>
      <c r="F396" s="27">
        <v>1759.9521101466628</v>
      </c>
      <c r="G396" s="23">
        <v>10</v>
      </c>
      <c r="H396" s="486">
        <v>1050</v>
      </c>
      <c r="I396" s="23">
        <v>11</v>
      </c>
      <c r="J396" s="487">
        <v>450</v>
      </c>
      <c r="K396" s="488"/>
      <c r="L396" s="488"/>
      <c r="M396" s="548">
        <f>_xlfn.XLOOKUP(packes[[#This Row],[productId]],CT[productId],CT[total],"NA")</f>
        <v>147.595</v>
      </c>
      <c r="N396" s="20" t="str">
        <f>_xlfn.XLOOKUP(packes[[#This Row],[productId]],bom[Id],bom[ph],"NA")</f>
        <v>nar.p</v>
      </c>
      <c r="O396" s="20" t="str">
        <f>_xlfn.XLOOKUP(packes[[#This Row],[productId]],bom[Id],bom[erth],"NA")</f>
        <v>-</v>
      </c>
      <c r="P396" s="20" t="str">
        <f>_xlfn.XLOOKUP(packes[[#This Row],[productId]],bom[Id],bom[dbl],"NA")</f>
        <v>nar.p</v>
      </c>
      <c r="Q396" s="20" t="str">
        <f>LEFT(packes[[#This Row],[date]],4)</f>
        <v>1403</v>
      </c>
    </row>
    <row r="397" spans="1:17" s="23" customFormat="1" ht="16.5" x14ac:dyDescent="0.25">
      <c r="A397" s="23">
        <v>395</v>
      </c>
      <c r="B397" s="24" t="s">
        <v>1558</v>
      </c>
      <c r="C397" s="23">
        <v>140020181</v>
      </c>
      <c r="D397" s="23">
        <v>1125</v>
      </c>
      <c r="E397" s="27" t="e">
        <v>#N/A</v>
      </c>
      <c r="F397" s="27" t="e">
        <v>#N/A</v>
      </c>
      <c r="G397" s="23">
        <v>10</v>
      </c>
      <c r="H397" s="486">
        <v>300</v>
      </c>
      <c r="J397" s="487" t="s">
        <v>224</v>
      </c>
      <c r="K397" s="488"/>
      <c r="L397" s="488"/>
      <c r="M397" s="548">
        <f>_xlfn.XLOOKUP(packes[[#This Row],[productId]],CT[productId],CT[total],"NA")</f>
        <v>88.929999999999993</v>
      </c>
      <c r="N397" s="20" t="str">
        <f>_xlfn.XLOOKUP(packes[[#This Row],[productId]],bom[Id],bom[ph],"NA")</f>
        <v>VH</v>
      </c>
      <c r="O397" s="20" t="str">
        <f>_xlfn.XLOOKUP(packes[[#This Row],[productId]],bom[Id],bom[erth],"NA")</f>
        <v>nut4</v>
      </c>
      <c r="P397" s="20" t="str">
        <f>_xlfn.XLOOKUP(packes[[#This Row],[productId]],bom[Id],bom[dbl],"NA")</f>
        <v>-</v>
      </c>
      <c r="Q397" s="20" t="str">
        <f>LEFT(packes[[#This Row],[date]],4)</f>
        <v>1403</v>
      </c>
    </row>
    <row r="398" spans="1:17" s="23" customFormat="1" ht="16.5" x14ac:dyDescent="0.25">
      <c r="A398" s="23">
        <v>396</v>
      </c>
      <c r="B398" s="24" t="s">
        <v>1558</v>
      </c>
      <c r="C398" s="23">
        <v>140030040</v>
      </c>
      <c r="D398" s="23">
        <v>1300</v>
      </c>
      <c r="E398" s="27">
        <v>1</v>
      </c>
      <c r="F398" s="27">
        <v>600</v>
      </c>
      <c r="G398" s="23">
        <v>11</v>
      </c>
      <c r="H398" s="486">
        <v>600</v>
      </c>
      <c r="J398" s="487" t="s">
        <v>224</v>
      </c>
      <c r="K398" s="488"/>
      <c r="L398" s="488"/>
      <c r="M398" s="548">
        <f>_xlfn.XLOOKUP(packes[[#This Row],[productId]],CT[productId],CT[total],"NA")</f>
        <v>97.305000000000007</v>
      </c>
      <c r="N398" s="20" t="str">
        <f>_xlfn.XLOOKUP(packes[[#This Row],[productId]],bom[Id],bom[ph],"NA")</f>
        <v>YH</v>
      </c>
      <c r="O398" s="20" t="str">
        <f>_xlfn.XLOOKUP(packes[[#This Row],[productId]],bom[Id],bom[erth],"NA")</f>
        <v>sun</v>
      </c>
      <c r="P398" s="20" t="str">
        <f>_xlfn.XLOOKUP(packes[[#This Row],[productId]],bom[Id],bom[dbl],"NA")</f>
        <v>-</v>
      </c>
      <c r="Q398" s="20" t="str">
        <f>LEFT(packes[[#This Row],[date]],4)</f>
        <v>1403</v>
      </c>
    </row>
    <row r="399" spans="1:17" s="23" customFormat="1" ht="16.5" x14ac:dyDescent="0.25">
      <c r="A399" s="23">
        <v>397</v>
      </c>
      <c r="B399" s="24" t="s">
        <v>1558</v>
      </c>
      <c r="C399" s="23">
        <v>140090143</v>
      </c>
      <c r="D399" s="23">
        <v>950</v>
      </c>
      <c r="E399" s="27">
        <v>1.1092487279257708</v>
      </c>
      <c r="F399" s="27">
        <v>1774.7979646812332</v>
      </c>
      <c r="G399" s="23">
        <v>10</v>
      </c>
      <c r="H399" s="486">
        <v>1600</v>
      </c>
      <c r="J399" s="487" t="s">
        <v>224</v>
      </c>
      <c r="K399" s="488"/>
      <c r="L399" s="488"/>
      <c r="M399" s="548">
        <f>_xlfn.XLOOKUP(packes[[#This Row],[productId]],CT[productId],CT[total],"NA")</f>
        <v>233.215</v>
      </c>
      <c r="N399" s="20" t="str">
        <f>_xlfn.XLOOKUP(packes[[#This Row],[productId]],bom[Id],bom[ph],"NA")</f>
        <v>molex</v>
      </c>
      <c r="O399" s="20" t="str">
        <f>_xlfn.XLOOKUP(packes[[#This Row],[productId]],bom[Id],bom[erth],"NA")</f>
        <v>-</v>
      </c>
      <c r="P399" s="20" t="str">
        <f>_xlfn.XLOOKUP(packes[[#This Row],[productId]],bom[Id],bom[dbl],"NA")</f>
        <v>splice</v>
      </c>
      <c r="Q399" s="20" t="str">
        <f>LEFT(packes[[#This Row],[date]],4)</f>
        <v>1403</v>
      </c>
    </row>
    <row r="400" spans="1:17" s="23" customFormat="1" ht="16.5" x14ac:dyDescent="0.25">
      <c r="A400" s="23">
        <v>398</v>
      </c>
      <c r="B400" s="24" t="s">
        <v>1558</v>
      </c>
      <c r="C400" s="23">
        <v>140220012</v>
      </c>
      <c r="D400" s="23">
        <v>1600</v>
      </c>
      <c r="E400" s="27">
        <v>2.7237354085603114</v>
      </c>
      <c r="F400" s="27">
        <v>4221.7898832684823</v>
      </c>
      <c r="G400" s="23">
        <v>10</v>
      </c>
      <c r="H400" s="486">
        <v>1550</v>
      </c>
      <c r="J400" s="487" t="s">
        <v>224</v>
      </c>
      <c r="K400" s="488"/>
      <c r="L400" s="488"/>
      <c r="M400" s="548">
        <f>_xlfn.XLOOKUP(packes[[#This Row],[productId]],CT[productId],CT[total],"NA")</f>
        <v>192.86500000000001</v>
      </c>
      <c r="N400" s="20" t="str">
        <f>_xlfn.XLOOKUP(packes[[#This Row],[productId]],bom[Id],bom[ph],"NA")</f>
        <v>flag</v>
      </c>
      <c r="O400" s="20" t="str">
        <f>_xlfn.XLOOKUP(packes[[#This Row],[productId]],bom[Id],bom[erth],"NA")</f>
        <v>sun</v>
      </c>
      <c r="P400" s="20" t="str">
        <f>_xlfn.XLOOKUP(packes[[#This Row],[productId]],bom[Id],bom[dbl],"NA")</f>
        <v>-</v>
      </c>
      <c r="Q400" s="20" t="str">
        <f>LEFT(packes[[#This Row],[date]],4)</f>
        <v>1403</v>
      </c>
    </row>
    <row r="401" spans="1:17" s="23" customFormat="1" ht="16.5" x14ac:dyDescent="0.25">
      <c r="A401" s="23">
        <v>399</v>
      </c>
      <c r="B401" s="24" t="s">
        <v>1558</v>
      </c>
      <c r="C401" s="23">
        <v>140310075</v>
      </c>
      <c r="D401" s="23">
        <v>2700</v>
      </c>
      <c r="E401" s="27">
        <v>1.1413748378728923</v>
      </c>
      <c r="F401" s="27">
        <v>1712.0622568093384</v>
      </c>
      <c r="G401" s="23">
        <v>11</v>
      </c>
      <c r="H401" s="486">
        <v>1500</v>
      </c>
      <c r="J401" s="487" t="s">
        <v>224</v>
      </c>
      <c r="K401" s="488"/>
      <c r="L401" s="488"/>
      <c r="M401" s="548">
        <f>_xlfn.XLOOKUP(packes[[#This Row],[productId]],CT[productId],CT[total],"NA")</f>
        <v>154.88499999999999</v>
      </c>
      <c r="N401" s="20" t="str">
        <f>_xlfn.XLOOKUP(packes[[#This Row],[productId]],bom[Id],bom[ph],"NA")</f>
        <v>molex</v>
      </c>
      <c r="O401" s="20" t="str">
        <f>_xlfn.XLOOKUP(packes[[#This Row],[productId]],bom[Id],bom[erth],"NA")</f>
        <v>nut4</v>
      </c>
      <c r="P401" s="20" t="str">
        <f>_xlfn.XLOOKUP(packes[[#This Row],[productId]],bom[Id],bom[dbl],"NA")</f>
        <v>-</v>
      </c>
      <c r="Q401" s="20" t="str">
        <f>LEFT(packes[[#This Row],[date]],4)</f>
        <v>1403</v>
      </c>
    </row>
    <row r="402" spans="1:17" s="23" customFormat="1" ht="16.5" x14ac:dyDescent="0.25">
      <c r="A402" s="23">
        <v>400</v>
      </c>
      <c r="B402" s="24" t="s">
        <v>1560</v>
      </c>
      <c r="C402" s="23">
        <v>140010117</v>
      </c>
      <c r="D402" s="23">
        <v>825</v>
      </c>
      <c r="E402" s="27">
        <v>1.9455252918287937</v>
      </c>
      <c r="F402" s="27">
        <v>2042.8015564202335</v>
      </c>
      <c r="G402" s="23">
        <v>10</v>
      </c>
      <c r="H402" s="486">
        <v>1050</v>
      </c>
      <c r="J402" s="487" t="s">
        <v>224</v>
      </c>
      <c r="K402" s="488"/>
      <c r="L402" s="488"/>
      <c r="M402" s="548">
        <f>_xlfn.XLOOKUP(packes[[#This Row],[productId]],CT[productId],CT[total],"NA")</f>
        <v>98.295000000000016</v>
      </c>
      <c r="N402" s="20" t="str">
        <f>_xlfn.XLOOKUP(packes[[#This Row],[productId]],bom[Id],bom[ph],"NA")</f>
        <v>nar.p</v>
      </c>
      <c r="O402" s="20" t="str">
        <f>_xlfn.XLOOKUP(packes[[#This Row],[productId]],bom[Id],bom[erth],"NA")</f>
        <v>-</v>
      </c>
      <c r="P402" s="20" t="str">
        <f>_xlfn.XLOOKUP(packes[[#This Row],[productId]],bom[Id],bom[dbl],"NA")</f>
        <v>nar.p</v>
      </c>
      <c r="Q402" s="20" t="str">
        <f>LEFT(packes[[#This Row],[date]],4)</f>
        <v>1403</v>
      </c>
    </row>
    <row r="403" spans="1:17" s="23" customFormat="1" ht="16.5" x14ac:dyDescent="0.25">
      <c r="A403" s="23">
        <v>401</v>
      </c>
      <c r="B403" s="24" t="s">
        <v>1560</v>
      </c>
      <c r="C403" s="23">
        <v>140020181</v>
      </c>
      <c r="D403" s="23">
        <v>2250</v>
      </c>
      <c r="E403" s="27">
        <v>1.9455252918287937</v>
      </c>
      <c r="F403" s="27">
        <v>2334.6303501945526</v>
      </c>
      <c r="G403" s="23">
        <v>10</v>
      </c>
      <c r="H403" s="486">
        <v>1200</v>
      </c>
      <c r="J403" s="487" t="s">
        <v>224</v>
      </c>
      <c r="K403" s="488"/>
      <c r="L403" s="488"/>
      <c r="M403" s="548">
        <f>_xlfn.XLOOKUP(packes[[#This Row],[productId]],CT[productId],CT[total],"NA")</f>
        <v>88.929999999999993</v>
      </c>
      <c r="N403" s="20" t="str">
        <f>_xlfn.XLOOKUP(packes[[#This Row],[productId]],bom[Id],bom[ph],"NA")</f>
        <v>VH</v>
      </c>
      <c r="O403" s="20" t="str">
        <f>_xlfn.XLOOKUP(packes[[#This Row],[productId]],bom[Id],bom[erth],"NA")</f>
        <v>nut4</v>
      </c>
      <c r="P403" s="20" t="str">
        <f>_xlfn.XLOOKUP(packes[[#This Row],[productId]],bom[Id],bom[dbl],"NA")</f>
        <v>-</v>
      </c>
      <c r="Q403" s="20" t="str">
        <f>LEFT(packes[[#This Row],[date]],4)</f>
        <v>1403</v>
      </c>
    </row>
    <row r="404" spans="1:17" s="23" customFormat="1" ht="16.5" x14ac:dyDescent="0.25">
      <c r="A404" s="23">
        <v>402</v>
      </c>
      <c r="B404" s="24" t="s">
        <v>1560</v>
      </c>
      <c r="C404" s="23">
        <v>140030039</v>
      </c>
      <c r="D404" s="23">
        <v>400</v>
      </c>
      <c r="E404" s="27">
        <v>1.6761448668063454</v>
      </c>
      <c r="F404" s="27">
        <v>1340.9158934450763</v>
      </c>
      <c r="G404" s="23">
        <v>11</v>
      </c>
      <c r="H404" s="486">
        <v>800</v>
      </c>
      <c r="J404" s="487" t="s">
        <v>224</v>
      </c>
      <c r="K404" s="488"/>
      <c r="L404" s="488"/>
      <c r="M404" s="548">
        <f>_xlfn.XLOOKUP(packes[[#This Row],[productId]],CT[productId],CT[total],"NA")</f>
        <v>92.504999999999995</v>
      </c>
      <c r="N404" s="20" t="str">
        <f>_xlfn.XLOOKUP(packes[[#This Row],[productId]],bom[Id],bom[ph],"NA")</f>
        <v>YH</v>
      </c>
      <c r="O404" s="20" t="str">
        <f>_xlfn.XLOOKUP(packes[[#This Row],[productId]],bom[Id],bom[erth],"NA")</f>
        <v>sun</v>
      </c>
      <c r="P404" s="20" t="str">
        <f>_xlfn.XLOOKUP(packes[[#This Row],[productId]],bom[Id],bom[dbl],"NA")</f>
        <v>-</v>
      </c>
      <c r="Q404" s="20" t="str">
        <f>LEFT(packes[[#This Row],[date]],4)</f>
        <v>1403</v>
      </c>
    </row>
    <row r="405" spans="1:17" s="23" customFormat="1" ht="16.5" x14ac:dyDescent="0.25">
      <c r="A405" s="23">
        <v>403</v>
      </c>
      <c r="B405" s="24" t="s">
        <v>1560</v>
      </c>
      <c r="C405" s="23">
        <v>140220012</v>
      </c>
      <c r="D405" s="23">
        <v>3000</v>
      </c>
      <c r="E405" s="27">
        <v>1.1092487279257708</v>
      </c>
      <c r="F405" s="27">
        <v>443.69949117030831</v>
      </c>
      <c r="G405" s="23">
        <v>10</v>
      </c>
      <c r="H405" s="486">
        <v>400</v>
      </c>
      <c r="J405" s="487" t="s">
        <v>224</v>
      </c>
      <c r="K405" s="488"/>
      <c r="L405" s="488"/>
      <c r="M405" s="548">
        <f>_xlfn.XLOOKUP(packes[[#This Row],[productId]],CT[productId],CT[total],"NA")</f>
        <v>192.86500000000001</v>
      </c>
      <c r="N405" s="20" t="str">
        <f>_xlfn.XLOOKUP(packes[[#This Row],[productId]],bom[Id],bom[ph],"NA")</f>
        <v>flag</v>
      </c>
      <c r="O405" s="20" t="str">
        <f>_xlfn.XLOOKUP(packes[[#This Row],[productId]],bom[Id],bom[erth],"NA")</f>
        <v>sun</v>
      </c>
      <c r="P405" s="20" t="str">
        <f>_xlfn.XLOOKUP(packes[[#This Row],[productId]],bom[Id],bom[dbl],"NA")</f>
        <v>-</v>
      </c>
      <c r="Q405" s="20" t="str">
        <f>LEFT(packes[[#This Row],[date]],4)</f>
        <v>1403</v>
      </c>
    </row>
    <row r="406" spans="1:17" s="23" customFormat="1" ht="16.5" x14ac:dyDescent="0.25">
      <c r="A406" s="23">
        <v>404</v>
      </c>
      <c r="B406" s="24" t="s">
        <v>1560</v>
      </c>
      <c r="C406" s="23">
        <v>140310075</v>
      </c>
      <c r="D406" s="23">
        <v>2300</v>
      </c>
      <c r="E406" s="27" t="e">
        <v>#N/A</v>
      </c>
      <c r="F406" s="27" t="e">
        <v>#N/A</v>
      </c>
      <c r="G406" s="23">
        <v>11</v>
      </c>
      <c r="H406" s="486">
        <v>2350</v>
      </c>
      <c r="J406" s="487" t="s">
        <v>224</v>
      </c>
      <c r="K406" s="488"/>
      <c r="L406" s="488"/>
      <c r="M406" s="548">
        <f>_xlfn.XLOOKUP(packes[[#This Row],[productId]],CT[productId],CT[total],"NA")</f>
        <v>154.88499999999999</v>
      </c>
      <c r="N406" s="20" t="str">
        <f>_xlfn.XLOOKUP(packes[[#This Row],[productId]],bom[Id],bom[ph],"NA")</f>
        <v>molex</v>
      </c>
      <c r="O406" s="20" t="str">
        <f>_xlfn.XLOOKUP(packes[[#This Row],[productId]],bom[Id],bom[erth],"NA")</f>
        <v>nut4</v>
      </c>
      <c r="P406" s="20" t="str">
        <f>_xlfn.XLOOKUP(packes[[#This Row],[productId]],bom[Id],bom[dbl],"NA")</f>
        <v>-</v>
      </c>
      <c r="Q406" s="20" t="str">
        <f>LEFT(packes[[#This Row],[date]],4)</f>
        <v>1403</v>
      </c>
    </row>
    <row r="407" spans="1:17" s="23" customFormat="1" ht="16.5" x14ac:dyDescent="0.25">
      <c r="A407" s="23">
        <v>405</v>
      </c>
      <c r="B407" s="24" t="s">
        <v>1561</v>
      </c>
      <c r="C407" s="23">
        <v>140010117</v>
      </c>
      <c r="D407" s="23">
        <v>900</v>
      </c>
      <c r="E407" s="27">
        <v>1.1413748378728923</v>
      </c>
      <c r="F407" s="27">
        <v>798.96238651102465</v>
      </c>
      <c r="G407" s="23">
        <v>10</v>
      </c>
      <c r="H407" s="486">
        <v>700</v>
      </c>
      <c r="J407" s="487" t="s">
        <v>224</v>
      </c>
      <c r="K407" s="488"/>
      <c r="L407" s="488"/>
      <c r="M407" s="548">
        <f>_xlfn.XLOOKUP(packes[[#This Row],[productId]],CT[productId],CT[total],"NA")</f>
        <v>98.295000000000016</v>
      </c>
      <c r="N407" s="20" t="str">
        <f>_xlfn.XLOOKUP(packes[[#This Row],[productId]],bom[Id],bom[ph],"NA")</f>
        <v>nar.p</v>
      </c>
      <c r="O407" s="20" t="str">
        <f>_xlfn.XLOOKUP(packes[[#This Row],[productId]],bom[Id],bom[erth],"NA")</f>
        <v>-</v>
      </c>
      <c r="P407" s="20" t="str">
        <f>_xlfn.XLOOKUP(packes[[#This Row],[productId]],bom[Id],bom[dbl],"NA")</f>
        <v>nar.p</v>
      </c>
      <c r="Q407" s="20" t="str">
        <f>LEFT(packes[[#This Row],[date]],4)</f>
        <v>1403</v>
      </c>
    </row>
    <row r="408" spans="1:17" s="23" customFormat="1" ht="16.5" x14ac:dyDescent="0.25">
      <c r="A408" s="23">
        <v>406</v>
      </c>
      <c r="B408" s="24" t="s">
        <v>1561</v>
      </c>
      <c r="C408" s="23">
        <v>140020181</v>
      </c>
      <c r="D408" s="23">
        <v>1050</v>
      </c>
      <c r="E408" s="27">
        <v>1.9455252918287937</v>
      </c>
      <c r="F408" s="27">
        <v>1070.0389105058366</v>
      </c>
      <c r="G408" s="23">
        <v>10</v>
      </c>
      <c r="H408" s="486">
        <v>550</v>
      </c>
      <c r="J408" s="487" t="s">
        <v>224</v>
      </c>
      <c r="K408" s="488"/>
      <c r="L408" s="488"/>
      <c r="M408" s="548">
        <f>_xlfn.XLOOKUP(packes[[#This Row],[productId]],CT[productId],CT[total],"NA")</f>
        <v>88.929999999999993</v>
      </c>
      <c r="N408" s="20" t="str">
        <f>_xlfn.XLOOKUP(packes[[#This Row],[productId]],bom[Id],bom[ph],"NA")</f>
        <v>VH</v>
      </c>
      <c r="O408" s="20" t="str">
        <f>_xlfn.XLOOKUP(packes[[#This Row],[productId]],bom[Id],bom[erth],"NA")</f>
        <v>nut4</v>
      </c>
      <c r="P408" s="20" t="str">
        <f>_xlfn.XLOOKUP(packes[[#This Row],[productId]],bom[Id],bom[dbl],"NA")</f>
        <v>-</v>
      </c>
      <c r="Q408" s="20" t="str">
        <f>LEFT(packes[[#This Row],[date]],4)</f>
        <v>1403</v>
      </c>
    </row>
    <row r="409" spans="1:17" s="23" customFormat="1" ht="16.5" x14ac:dyDescent="0.25">
      <c r="A409" s="23">
        <v>407</v>
      </c>
      <c r="B409" s="24" t="s">
        <v>1561</v>
      </c>
      <c r="C409" s="23">
        <v>140090143</v>
      </c>
      <c r="D409" s="23">
        <v>4550</v>
      </c>
      <c r="E409" s="27">
        <v>1.9455252918287937</v>
      </c>
      <c r="F409" s="27">
        <v>2626.4591439688716</v>
      </c>
      <c r="G409" s="23">
        <v>10</v>
      </c>
      <c r="H409" s="486">
        <v>1350</v>
      </c>
      <c r="J409" s="487" t="s">
        <v>224</v>
      </c>
      <c r="K409" s="488"/>
      <c r="L409" s="488"/>
      <c r="M409" s="548">
        <f>_xlfn.XLOOKUP(packes[[#This Row],[productId]],CT[productId],CT[total],"NA")</f>
        <v>233.215</v>
      </c>
      <c r="N409" s="20" t="str">
        <f>_xlfn.XLOOKUP(packes[[#This Row],[productId]],bom[Id],bom[ph],"NA")</f>
        <v>molex</v>
      </c>
      <c r="O409" s="20" t="str">
        <f>_xlfn.XLOOKUP(packes[[#This Row],[productId]],bom[Id],bom[erth],"NA")</f>
        <v>-</v>
      </c>
      <c r="P409" s="20" t="str">
        <f>_xlfn.XLOOKUP(packes[[#This Row],[productId]],bom[Id],bom[dbl],"NA")</f>
        <v>splice</v>
      </c>
      <c r="Q409" s="20" t="str">
        <f>LEFT(packes[[#This Row],[date]],4)</f>
        <v>1403</v>
      </c>
    </row>
    <row r="410" spans="1:17" s="23" customFormat="1" ht="16.5" x14ac:dyDescent="0.25">
      <c r="A410" s="23">
        <v>408</v>
      </c>
      <c r="B410" s="24" t="s">
        <v>1561</v>
      </c>
      <c r="C410" s="23">
        <v>140220012</v>
      </c>
      <c r="D410" s="23">
        <v>2000</v>
      </c>
      <c r="E410" s="27">
        <v>1.1274069639828395</v>
      </c>
      <c r="F410" s="27">
        <v>112.74069639828394</v>
      </c>
      <c r="G410" s="23">
        <v>10</v>
      </c>
      <c r="H410" s="486">
        <v>100</v>
      </c>
      <c r="J410" s="487" t="s">
        <v>224</v>
      </c>
      <c r="K410" s="488"/>
      <c r="L410" s="488"/>
      <c r="M410" s="548">
        <f>_xlfn.XLOOKUP(packes[[#This Row],[productId]],CT[productId],CT[total],"NA")</f>
        <v>192.86500000000001</v>
      </c>
      <c r="N410" s="20" t="str">
        <f>_xlfn.XLOOKUP(packes[[#This Row],[productId]],bom[Id],bom[ph],"NA")</f>
        <v>flag</v>
      </c>
      <c r="O410" s="20" t="str">
        <f>_xlfn.XLOOKUP(packes[[#This Row],[productId]],bom[Id],bom[erth],"NA")</f>
        <v>sun</v>
      </c>
      <c r="P410" s="20" t="str">
        <f>_xlfn.XLOOKUP(packes[[#This Row],[productId]],bom[Id],bom[dbl],"NA")</f>
        <v>-</v>
      </c>
      <c r="Q410" s="20" t="str">
        <f>LEFT(packes[[#This Row],[date]],4)</f>
        <v>1403</v>
      </c>
    </row>
    <row r="411" spans="1:17" s="23" customFormat="1" ht="16.5" x14ac:dyDescent="0.25">
      <c r="A411" s="23">
        <v>409</v>
      </c>
      <c r="B411" s="24" t="s">
        <v>1561</v>
      </c>
      <c r="C411" s="23">
        <v>140310031</v>
      </c>
      <c r="D411" s="23">
        <v>145</v>
      </c>
      <c r="E411" s="27" t="e">
        <v>#N/A</v>
      </c>
      <c r="F411" s="27" t="e">
        <v>#N/A</v>
      </c>
      <c r="H411" s="486">
        <v>53</v>
      </c>
      <c r="J411" s="487" t="s">
        <v>224</v>
      </c>
      <c r="K411" s="488"/>
      <c r="L411" s="488"/>
      <c r="M411" s="548">
        <f>_xlfn.XLOOKUP(packes[[#This Row],[productId]],CT[productId],CT[total],"NA")</f>
        <v>202.96500000000003</v>
      </c>
      <c r="N411" s="20">
        <f>_xlfn.XLOOKUP(packes[[#This Row],[productId]],bom[Id],bom[ph],"NA")</f>
        <v>461</v>
      </c>
      <c r="O411" s="20" t="str">
        <f>_xlfn.XLOOKUP(packes[[#This Row],[productId]],bom[Id],bom[erth],"NA")</f>
        <v>nut4</v>
      </c>
      <c r="P411" s="20" t="str">
        <f>_xlfn.XLOOKUP(packes[[#This Row],[productId]],bom[Id],bom[dbl],"NA")</f>
        <v>-</v>
      </c>
      <c r="Q411" s="20" t="str">
        <f>LEFT(packes[[#This Row],[date]],4)</f>
        <v>1403</v>
      </c>
    </row>
    <row r="412" spans="1:17" s="23" customFormat="1" ht="16.5" x14ac:dyDescent="0.25">
      <c r="A412" s="23">
        <v>410</v>
      </c>
      <c r="B412" s="24" t="s">
        <v>1561</v>
      </c>
      <c r="C412" s="23">
        <v>140310071</v>
      </c>
      <c r="D412" s="23">
        <v>800</v>
      </c>
      <c r="E412" s="27">
        <v>1.2670857028833682</v>
      </c>
      <c r="F412" s="27">
        <v>95.031427716252608</v>
      </c>
      <c r="H412" s="486">
        <v>75</v>
      </c>
      <c r="J412" s="487" t="s">
        <v>224</v>
      </c>
      <c r="K412" s="488"/>
      <c r="L412" s="488"/>
      <c r="M412" s="548">
        <f>_xlfn.XLOOKUP(packes[[#This Row],[productId]],CT[productId],CT[total],"NA")</f>
        <v>130.69500000000002</v>
      </c>
      <c r="N412" s="20" t="str">
        <f>_xlfn.XLOOKUP(packes[[#This Row],[productId]],bom[Id],bom[ph],"NA")</f>
        <v>6.3ch</v>
      </c>
      <c r="O412" s="20" t="str">
        <f>_xlfn.XLOOKUP(packes[[#This Row],[productId]],bom[Id],bom[erth],"NA")</f>
        <v>6.3k</v>
      </c>
      <c r="P412" s="20" t="str">
        <f>_xlfn.XLOOKUP(packes[[#This Row],[productId]],bom[Id],bom[dbl],"NA")</f>
        <v>-</v>
      </c>
      <c r="Q412" s="20" t="str">
        <f>LEFT(packes[[#This Row],[date]],4)</f>
        <v>1403</v>
      </c>
    </row>
    <row r="413" spans="1:17" s="23" customFormat="1" ht="16.5" x14ac:dyDescent="0.25">
      <c r="A413" s="23">
        <v>411</v>
      </c>
      <c r="B413" s="24" t="s">
        <v>1561</v>
      </c>
      <c r="C413" s="23">
        <v>140310075</v>
      </c>
      <c r="D413" s="23">
        <v>2250</v>
      </c>
      <c r="E413" s="27">
        <v>1.1413748378728923</v>
      </c>
      <c r="F413" s="27">
        <v>1141.3748378728924</v>
      </c>
      <c r="G413" s="23">
        <v>11</v>
      </c>
      <c r="H413" s="486">
        <v>1000</v>
      </c>
      <c r="J413" s="487" t="s">
        <v>224</v>
      </c>
      <c r="K413" s="488"/>
      <c r="L413" s="488"/>
      <c r="M413" s="548">
        <f>_xlfn.XLOOKUP(packes[[#This Row],[productId]],CT[productId],CT[total],"NA")</f>
        <v>154.88499999999999</v>
      </c>
      <c r="N413" s="20" t="str">
        <f>_xlfn.XLOOKUP(packes[[#This Row],[productId]],bom[Id],bom[ph],"NA")</f>
        <v>molex</v>
      </c>
      <c r="O413" s="20" t="str">
        <f>_xlfn.XLOOKUP(packes[[#This Row],[productId]],bom[Id],bom[erth],"NA")</f>
        <v>nut4</v>
      </c>
      <c r="P413" s="20" t="str">
        <f>_xlfn.XLOOKUP(packes[[#This Row],[productId]],bom[Id],bom[dbl],"NA")</f>
        <v>-</v>
      </c>
      <c r="Q413" s="20" t="str">
        <f>LEFT(packes[[#This Row],[date]],4)</f>
        <v>1403</v>
      </c>
    </row>
    <row r="414" spans="1:17" s="23" customFormat="1" ht="16.5" x14ac:dyDescent="0.25">
      <c r="A414" s="23">
        <v>412</v>
      </c>
      <c r="B414" s="24" t="s">
        <v>1561</v>
      </c>
      <c r="C414" s="23">
        <v>140550060</v>
      </c>
      <c r="D414" s="23">
        <v>1000</v>
      </c>
      <c r="E414" s="27">
        <v>1.1092487279257708</v>
      </c>
      <c r="F414" s="27">
        <v>2884.0466926070039</v>
      </c>
      <c r="G414" s="23">
        <v>8</v>
      </c>
      <c r="H414" s="486">
        <v>2600</v>
      </c>
      <c r="J414" s="487" t="s">
        <v>224</v>
      </c>
      <c r="K414" s="488"/>
      <c r="L414" s="488"/>
      <c r="M414" s="548">
        <f>_xlfn.XLOOKUP(packes[[#This Row],[productId]],CT[productId],CT[total],"NA")</f>
        <v>81.220000000000013</v>
      </c>
      <c r="N414" s="20" t="str">
        <f>_xlfn.XLOOKUP(packes[[#This Row],[productId]],bom[Id],bom[ph],"NA")</f>
        <v>radio</v>
      </c>
      <c r="O414" s="20" t="str">
        <f>_xlfn.XLOOKUP(packes[[#This Row],[productId]],bom[Id],bom[erth],"NA")</f>
        <v>-</v>
      </c>
      <c r="P414" s="20" t="str">
        <f>_xlfn.XLOOKUP(packes[[#This Row],[productId]],bom[Id],bom[dbl],"NA")</f>
        <v>-</v>
      </c>
      <c r="Q414" s="20" t="str">
        <f>LEFT(packes[[#This Row],[date]],4)</f>
        <v>1403</v>
      </c>
    </row>
    <row r="415" spans="1:17" s="23" customFormat="1" ht="16.5" x14ac:dyDescent="0.25">
      <c r="A415" s="23">
        <v>413</v>
      </c>
      <c r="B415" s="24" t="s">
        <v>1562</v>
      </c>
      <c r="C415" s="23">
        <v>140020181</v>
      </c>
      <c r="D415" s="23">
        <v>150</v>
      </c>
      <c r="E415" s="27">
        <v>2.7237354085603114</v>
      </c>
      <c r="F415" s="27">
        <v>8035.0194552529183</v>
      </c>
      <c r="G415" s="23">
        <v>10</v>
      </c>
      <c r="H415" s="486">
        <v>2950</v>
      </c>
      <c r="J415" s="487" t="s">
        <v>224</v>
      </c>
      <c r="K415" s="488"/>
      <c r="L415" s="488"/>
      <c r="M415" s="548">
        <f>_xlfn.XLOOKUP(packes[[#This Row],[productId]],CT[productId],CT[total],"NA")</f>
        <v>88.929999999999993</v>
      </c>
      <c r="N415" s="20" t="str">
        <f>_xlfn.XLOOKUP(packes[[#This Row],[productId]],bom[Id],bom[ph],"NA")</f>
        <v>VH</v>
      </c>
      <c r="O415" s="20" t="str">
        <f>_xlfn.XLOOKUP(packes[[#This Row],[productId]],bom[Id],bom[erth],"NA")</f>
        <v>nut4</v>
      </c>
      <c r="P415" s="20" t="str">
        <f>_xlfn.XLOOKUP(packes[[#This Row],[productId]],bom[Id],bom[dbl],"NA")</f>
        <v>-</v>
      </c>
      <c r="Q415" s="20" t="str">
        <f>LEFT(packes[[#This Row],[date]],4)</f>
        <v>1403</v>
      </c>
    </row>
    <row r="416" spans="1:17" s="23" customFormat="1" ht="16.5" x14ac:dyDescent="0.25">
      <c r="A416" s="23">
        <v>414</v>
      </c>
      <c r="B416" s="24" t="s">
        <v>1562</v>
      </c>
      <c r="C416" s="23">
        <v>140030039</v>
      </c>
      <c r="D416" s="23">
        <v>300</v>
      </c>
      <c r="E416" s="27">
        <v>1.1413748378728923</v>
      </c>
      <c r="F416" s="27">
        <v>456.54993514915691</v>
      </c>
      <c r="G416" s="23">
        <v>11</v>
      </c>
      <c r="H416" s="486">
        <v>400</v>
      </c>
      <c r="J416" s="487" t="s">
        <v>224</v>
      </c>
      <c r="K416" s="488"/>
      <c r="L416" s="488"/>
      <c r="M416" s="548">
        <f>_xlfn.XLOOKUP(packes[[#This Row],[productId]],CT[productId],CT[total],"NA")</f>
        <v>92.504999999999995</v>
      </c>
      <c r="N416" s="20" t="str">
        <f>_xlfn.XLOOKUP(packes[[#This Row],[productId]],bom[Id],bom[ph],"NA")</f>
        <v>YH</v>
      </c>
      <c r="O416" s="20" t="str">
        <f>_xlfn.XLOOKUP(packes[[#This Row],[productId]],bom[Id],bom[erth],"NA")</f>
        <v>sun</v>
      </c>
      <c r="P416" s="20" t="str">
        <f>_xlfn.XLOOKUP(packes[[#This Row],[productId]],bom[Id],bom[dbl],"NA")</f>
        <v>-</v>
      </c>
      <c r="Q416" s="20" t="str">
        <f>LEFT(packes[[#This Row],[date]],4)</f>
        <v>1403</v>
      </c>
    </row>
    <row r="417" spans="1:17" s="23" customFormat="1" ht="16.5" x14ac:dyDescent="0.25">
      <c r="A417" s="23">
        <v>415</v>
      </c>
      <c r="B417" s="24" t="s">
        <v>1562</v>
      </c>
      <c r="C417" s="23">
        <v>140030040</v>
      </c>
      <c r="D417" s="23">
        <v>100</v>
      </c>
      <c r="E417" s="27" t="e">
        <v>#N/A</v>
      </c>
      <c r="F417" s="27" t="e">
        <v>#N/A</v>
      </c>
      <c r="G417" s="23">
        <v>11</v>
      </c>
      <c r="H417" s="486">
        <v>1050</v>
      </c>
      <c r="J417" s="487" t="s">
        <v>224</v>
      </c>
      <c r="K417" s="488"/>
      <c r="L417" s="488"/>
      <c r="M417" s="548">
        <f>_xlfn.XLOOKUP(packes[[#This Row],[productId]],CT[productId],CT[total],"NA")</f>
        <v>97.305000000000007</v>
      </c>
      <c r="N417" s="20" t="str">
        <f>_xlfn.XLOOKUP(packes[[#This Row],[productId]],bom[Id],bom[ph],"NA")</f>
        <v>YH</v>
      </c>
      <c r="O417" s="20" t="str">
        <f>_xlfn.XLOOKUP(packes[[#This Row],[productId]],bom[Id],bom[erth],"NA")</f>
        <v>sun</v>
      </c>
      <c r="P417" s="20" t="str">
        <f>_xlfn.XLOOKUP(packes[[#This Row],[productId]],bom[Id],bom[dbl],"NA")</f>
        <v>-</v>
      </c>
      <c r="Q417" s="20" t="str">
        <f>LEFT(packes[[#This Row],[date]],4)</f>
        <v>1403</v>
      </c>
    </row>
    <row r="418" spans="1:17" s="23" customFormat="1" ht="16.5" x14ac:dyDescent="0.25">
      <c r="A418" s="23">
        <v>416</v>
      </c>
      <c r="B418" s="24" t="s">
        <v>1562</v>
      </c>
      <c r="C418" s="23">
        <v>140090143</v>
      </c>
      <c r="D418" s="23">
        <v>500</v>
      </c>
      <c r="E418" s="27">
        <v>1.9455252918287937</v>
      </c>
      <c r="F418" s="27">
        <v>486.38132295719845</v>
      </c>
      <c r="G418" s="23">
        <v>10</v>
      </c>
      <c r="H418" s="486">
        <v>250</v>
      </c>
      <c r="J418" s="487" t="s">
        <v>224</v>
      </c>
      <c r="K418" s="488"/>
      <c r="L418" s="488"/>
      <c r="M418" s="548">
        <f>_xlfn.XLOOKUP(packes[[#This Row],[productId]],CT[productId],CT[total],"NA")</f>
        <v>233.215</v>
      </c>
      <c r="N418" s="20" t="str">
        <f>_xlfn.XLOOKUP(packes[[#This Row],[productId]],bom[Id],bom[ph],"NA")</f>
        <v>molex</v>
      </c>
      <c r="O418" s="20" t="str">
        <f>_xlfn.XLOOKUP(packes[[#This Row],[productId]],bom[Id],bom[erth],"NA")</f>
        <v>-</v>
      </c>
      <c r="P418" s="20" t="str">
        <f>_xlfn.XLOOKUP(packes[[#This Row],[productId]],bom[Id],bom[dbl],"NA")</f>
        <v>splice</v>
      </c>
      <c r="Q418" s="20" t="str">
        <f>LEFT(packes[[#This Row],[date]],4)</f>
        <v>1403</v>
      </c>
    </row>
    <row r="419" spans="1:17" s="23" customFormat="1" ht="16.5" x14ac:dyDescent="0.25">
      <c r="A419" s="23">
        <v>417</v>
      </c>
      <c r="B419" s="24" t="s">
        <v>1562</v>
      </c>
      <c r="C419" s="23">
        <v>140310071</v>
      </c>
      <c r="D419" s="23">
        <v>20</v>
      </c>
      <c r="E419" s="27">
        <v>1</v>
      </c>
      <c r="F419" s="27">
        <v>300</v>
      </c>
      <c r="H419" s="486">
        <v>300</v>
      </c>
      <c r="J419" s="487" t="s">
        <v>224</v>
      </c>
      <c r="K419" s="488"/>
      <c r="L419" s="488"/>
      <c r="M419" s="548">
        <f>_xlfn.XLOOKUP(packes[[#This Row],[productId]],CT[productId],CT[total],"NA")</f>
        <v>130.69500000000002</v>
      </c>
      <c r="N419" s="20" t="str">
        <f>_xlfn.XLOOKUP(packes[[#This Row],[productId]],bom[Id],bom[ph],"NA")</f>
        <v>6.3ch</v>
      </c>
      <c r="O419" s="20" t="str">
        <f>_xlfn.XLOOKUP(packes[[#This Row],[productId]],bom[Id],bom[erth],"NA")</f>
        <v>6.3k</v>
      </c>
      <c r="P419" s="20" t="str">
        <f>_xlfn.XLOOKUP(packes[[#This Row],[productId]],bom[Id],bom[dbl],"NA")</f>
        <v>-</v>
      </c>
      <c r="Q419" s="20" t="str">
        <f>LEFT(packes[[#This Row],[date]],4)</f>
        <v>1403</v>
      </c>
    </row>
    <row r="420" spans="1:17" s="23" customFormat="1" ht="16.5" x14ac:dyDescent="0.25">
      <c r="A420" s="23">
        <v>418</v>
      </c>
      <c r="B420" s="24" t="s">
        <v>1562</v>
      </c>
      <c r="C420" s="23">
        <v>140310075</v>
      </c>
      <c r="D420" s="23">
        <v>2100</v>
      </c>
      <c r="E420" s="27">
        <v>1.4486680634540554</v>
      </c>
      <c r="F420" s="27">
        <v>289.73361269081107</v>
      </c>
      <c r="G420" s="23">
        <v>11</v>
      </c>
      <c r="H420" s="486">
        <v>200</v>
      </c>
      <c r="J420" s="487" t="s">
        <v>224</v>
      </c>
      <c r="K420" s="488"/>
      <c r="L420" s="488"/>
      <c r="M420" s="548">
        <f>_xlfn.XLOOKUP(packes[[#This Row],[productId]],CT[productId],CT[total],"NA")</f>
        <v>154.88499999999999</v>
      </c>
      <c r="N420" s="20" t="str">
        <f>_xlfn.XLOOKUP(packes[[#This Row],[productId]],bom[Id],bom[ph],"NA")</f>
        <v>molex</v>
      </c>
      <c r="O420" s="20" t="str">
        <f>_xlfn.XLOOKUP(packes[[#This Row],[productId]],bom[Id],bom[erth],"NA")</f>
        <v>nut4</v>
      </c>
      <c r="P420" s="20" t="str">
        <f>_xlfn.XLOOKUP(packes[[#This Row],[productId]],bom[Id],bom[dbl],"NA")</f>
        <v>-</v>
      </c>
      <c r="Q420" s="20" t="str">
        <f>LEFT(packes[[#This Row],[date]],4)</f>
        <v>1403</v>
      </c>
    </row>
    <row r="421" spans="1:17" s="23" customFormat="1" ht="16.5" x14ac:dyDescent="0.25">
      <c r="A421" s="23">
        <v>419</v>
      </c>
      <c r="B421" s="24" t="s">
        <v>1563</v>
      </c>
      <c r="C421" s="23">
        <v>140010255</v>
      </c>
      <c r="D421" s="23">
        <v>500</v>
      </c>
      <c r="E421" s="27">
        <v>1.1092487279257708</v>
      </c>
      <c r="F421" s="27">
        <v>332.77461837773126</v>
      </c>
      <c r="G421" s="23">
        <v>11</v>
      </c>
      <c r="H421" s="486">
        <v>300</v>
      </c>
      <c r="J421" s="487" t="s">
        <v>224</v>
      </c>
      <c r="K421" s="488"/>
      <c r="L421" s="488"/>
      <c r="M421" s="548">
        <f>_xlfn.XLOOKUP(packes[[#This Row],[productId]],CT[productId],CT[total],"NA")</f>
        <v>95.575000000000003</v>
      </c>
      <c r="N421" s="20" t="str">
        <f>_xlfn.XLOOKUP(packes[[#This Row],[productId]],bom[Id],bom[ph],"NA")</f>
        <v>-</v>
      </c>
      <c r="O421" s="20" t="str">
        <f>_xlfn.XLOOKUP(packes[[#This Row],[productId]],bom[Id],bom[erth],"NA")</f>
        <v>-</v>
      </c>
      <c r="P421" s="20" t="str">
        <f>_xlfn.XLOOKUP(packes[[#This Row],[productId]],bom[Id],bom[dbl],"NA")</f>
        <v>6.3flat</v>
      </c>
      <c r="Q421" s="20" t="str">
        <f>LEFT(packes[[#This Row],[date]],4)</f>
        <v>1403</v>
      </c>
    </row>
    <row r="422" spans="1:17" s="23" customFormat="1" ht="16.5" x14ac:dyDescent="0.25">
      <c r="A422" s="23">
        <v>420</v>
      </c>
      <c r="B422" s="24" t="s">
        <v>1563</v>
      </c>
      <c r="C422" s="23">
        <v>140010230</v>
      </c>
      <c r="D422" s="23">
        <v>600</v>
      </c>
      <c r="E422" s="27">
        <v>2.7237354085603114</v>
      </c>
      <c r="F422" s="27">
        <v>953.307392996109</v>
      </c>
      <c r="G422" s="23">
        <v>11</v>
      </c>
      <c r="H422" s="486">
        <v>350</v>
      </c>
      <c r="J422" s="487" t="s">
        <v>224</v>
      </c>
      <c r="K422" s="488"/>
      <c r="L422" s="488"/>
      <c r="M422" s="548">
        <f>_xlfn.XLOOKUP(packes[[#This Row],[productId]],CT[productId],CT[total],"NA")</f>
        <v>147.595</v>
      </c>
      <c r="N422" s="20" t="str">
        <f>_xlfn.XLOOKUP(packes[[#This Row],[productId]],bom[Id],bom[ph],"NA")</f>
        <v>nar.p</v>
      </c>
      <c r="O422" s="20" t="str">
        <f>_xlfn.XLOOKUP(packes[[#This Row],[productId]],bom[Id],bom[erth],"NA")</f>
        <v>-</v>
      </c>
      <c r="P422" s="20" t="str">
        <f>_xlfn.XLOOKUP(packes[[#This Row],[productId]],bom[Id],bom[dbl],"NA")</f>
        <v>nar.p</v>
      </c>
      <c r="Q422" s="20" t="str">
        <f>LEFT(packes[[#This Row],[date]],4)</f>
        <v>1403</v>
      </c>
    </row>
    <row r="423" spans="1:17" s="23" customFormat="1" ht="16.5" x14ac:dyDescent="0.25">
      <c r="A423" s="23">
        <v>421</v>
      </c>
      <c r="B423" s="24" t="s">
        <v>1563</v>
      </c>
      <c r="C423" s="23">
        <v>140020196</v>
      </c>
      <c r="D423" s="23">
        <v>42</v>
      </c>
      <c r="E423" s="27" t="e">
        <v>#N/A</v>
      </c>
      <c r="F423" s="27" t="e">
        <v>#N/A</v>
      </c>
      <c r="G423" s="23">
        <v>10</v>
      </c>
      <c r="H423" s="486">
        <v>650</v>
      </c>
      <c r="J423" s="487" t="s">
        <v>224</v>
      </c>
      <c r="K423" s="488"/>
      <c r="L423" s="488"/>
      <c r="M423" s="548" t="str">
        <f>_xlfn.XLOOKUP(packes[[#This Row],[productId]],CT[productId],CT[total],"NA")</f>
        <v>NA</v>
      </c>
      <c r="N423" s="20" t="str">
        <f>_xlfn.XLOOKUP(packes[[#This Row],[productId]],bom[Id],bom[ph],"NA")</f>
        <v>molex</v>
      </c>
      <c r="O423" s="20" t="str">
        <f>_xlfn.XLOOKUP(packes[[#This Row],[productId]],bom[Id],bom[erth],"NA")</f>
        <v>nut4</v>
      </c>
      <c r="P423" s="20" t="str">
        <f>_xlfn.XLOOKUP(packes[[#This Row],[productId]],bom[Id],bom[dbl],"NA")</f>
        <v>-</v>
      </c>
      <c r="Q423" s="20" t="str">
        <f>LEFT(packes[[#This Row],[date]],4)</f>
        <v>1403</v>
      </c>
    </row>
    <row r="424" spans="1:17" s="23" customFormat="1" ht="16.5" x14ac:dyDescent="0.25">
      <c r="A424" s="23">
        <v>422</v>
      </c>
      <c r="B424" s="24" t="s">
        <v>1563</v>
      </c>
      <c r="C424" s="23">
        <v>140030039</v>
      </c>
      <c r="D424" s="23">
        <v>2000</v>
      </c>
      <c r="E424" s="27" t="e">
        <v>#N/A</v>
      </c>
      <c r="F424" s="27" t="e">
        <v>#N/A</v>
      </c>
      <c r="G424" s="23">
        <v>11</v>
      </c>
      <c r="H424" s="486">
        <v>100</v>
      </c>
      <c r="J424" s="487" t="s">
        <v>224</v>
      </c>
      <c r="K424" s="488"/>
      <c r="L424" s="488"/>
      <c r="M424" s="548">
        <f>_xlfn.XLOOKUP(packes[[#This Row],[productId]],CT[productId],CT[total],"NA")</f>
        <v>92.504999999999995</v>
      </c>
      <c r="N424" s="20" t="str">
        <f>_xlfn.XLOOKUP(packes[[#This Row],[productId]],bom[Id],bom[ph],"NA")</f>
        <v>YH</v>
      </c>
      <c r="O424" s="20" t="str">
        <f>_xlfn.XLOOKUP(packes[[#This Row],[productId]],bom[Id],bom[erth],"NA")</f>
        <v>sun</v>
      </c>
      <c r="P424" s="20" t="str">
        <f>_xlfn.XLOOKUP(packes[[#This Row],[productId]],bom[Id],bom[dbl],"NA")</f>
        <v>-</v>
      </c>
      <c r="Q424" s="20" t="str">
        <f>LEFT(packes[[#This Row],[date]],4)</f>
        <v>1403</v>
      </c>
    </row>
    <row r="425" spans="1:17" s="23" customFormat="1" ht="16.5" x14ac:dyDescent="0.25">
      <c r="A425" s="23">
        <v>423</v>
      </c>
      <c r="B425" s="24" t="s">
        <v>1563</v>
      </c>
      <c r="C425" s="23">
        <v>140030040</v>
      </c>
      <c r="D425" s="23">
        <v>700</v>
      </c>
      <c r="E425" s="27">
        <v>1.9455252918287937</v>
      </c>
      <c r="F425" s="27">
        <v>1945.5252918287938</v>
      </c>
      <c r="G425" s="23">
        <v>11</v>
      </c>
      <c r="H425" s="486">
        <v>1000</v>
      </c>
      <c r="J425" s="487" t="s">
        <v>224</v>
      </c>
      <c r="K425" s="488"/>
      <c r="L425" s="488"/>
      <c r="M425" s="548">
        <f>_xlfn.XLOOKUP(packes[[#This Row],[productId]],CT[productId],CT[total],"NA")</f>
        <v>97.305000000000007</v>
      </c>
      <c r="N425" s="20" t="str">
        <f>_xlfn.XLOOKUP(packes[[#This Row],[productId]],bom[Id],bom[ph],"NA")</f>
        <v>YH</v>
      </c>
      <c r="O425" s="20" t="str">
        <f>_xlfn.XLOOKUP(packes[[#This Row],[productId]],bom[Id],bom[erth],"NA")</f>
        <v>sun</v>
      </c>
      <c r="P425" s="20" t="str">
        <f>_xlfn.XLOOKUP(packes[[#This Row],[productId]],bom[Id],bom[dbl],"NA")</f>
        <v>-</v>
      </c>
      <c r="Q425" s="20" t="str">
        <f>LEFT(packes[[#This Row],[date]],4)</f>
        <v>1403</v>
      </c>
    </row>
    <row r="426" spans="1:17" s="23" customFormat="1" ht="16.5" x14ac:dyDescent="0.25">
      <c r="A426" s="23">
        <v>424</v>
      </c>
      <c r="B426" s="24" t="s">
        <v>1563</v>
      </c>
      <c r="C426" s="23">
        <v>140090143</v>
      </c>
      <c r="D426" s="23">
        <v>1650</v>
      </c>
      <c r="E426" s="27">
        <v>0</v>
      </c>
      <c r="F426" s="27">
        <v>0</v>
      </c>
      <c r="G426" s="23">
        <v>11</v>
      </c>
      <c r="H426" s="486">
        <v>103</v>
      </c>
      <c r="J426" s="487" t="s">
        <v>224</v>
      </c>
      <c r="K426" s="488"/>
      <c r="L426" s="488"/>
      <c r="M426" s="548">
        <f>_xlfn.XLOOKUP(packes[[#This Row],[productId]],CT[productId],CT[total],"NA")</f>
        <v>233.215</v>
      </c>
      <c r="N426" s="20" t="str">
        <f>_xlfn.XLOOKUP(packes[[#This Row],[productId]],bom[Id],bom[ph],"NA")</f>
        <v>molex</v>
      </c>
      <c r="O426" s="20" t="str">
        <f>_xlfn.XLOOKUP(packes[[#This Row],[productId]],bom[Id],bom[erth],"NA")</f>
        <v>-</v>
      </c>
      <c r="P426" s="20" t="str">
        <f>_xlfn.XLOOKUP(packes[[#This Row],[productId]],bom[Id],bom[dbl],"NA")</f>
        <v>splice</v>
      </c>
      <c r="Q426" s="20" t="str">
        <f>LEFT(packes[[#This Row],[date]],4)</f>
        <v>1403</v>
      </c>
    </row>
    <row r="427" spans="1:17" s="23" customFormat="1" ht="16.5" x14ac:dyDescent="0.25">
      <c r="A427" s="23">
        <v>425</v>
      </c>
      <c r="B427" s="24" t="s">
        <v>1563</v>
      </c>
      <c r="C427" s="23">
        <v>140220012</v>
      </c>
      <c r="D427" s="23">
        <v>700</v>
      </c>
      <c r="E427" s="27" t="e">
        <v>#VALUE!</v>
      </c>
      <c r="F427" s="27" t="e">
        <v>#VALUE!</v>
      </c>
      <c r="G427" s="23">
        <v>10</v>
      </c>
      <c r="H427" s="486" t="e">
        <v>#VALUE!</v>
      </c>
      <c r="J427" s="487" t="s">
        <v>224</v>
      </c>
      <c r="K427" s="488"/>
      <c r="L427" s="488"/>
      <c r="M427" s="548">
        <f>_xlfn.XLOOKUP(packes[[#This Row],[productId]],CT[productId],CT[total],"NA")</f>
        <v>192.86500000000001</v>
      </c>
      <c r="N427" s="20" t="str">
        <f>_xlfn.XLOOKUP(packes[[#This Row],[productId]],bom[Id],bom[ph],"NA")</f>
        <v>flag</v>
      </c>
      <c r="O427" s="20" t="str">
        <f>_xlfn.XLOOKUP(packes[[#This Row],[productId]],bom[Id],bom[erth],"NA")</f>
        <v>sun</v>
      </c>
      <c r="P427" s="20" t="str">
        <f>_xlfn.XLOOKUP(packes[[#This Row],[productId]],bom[Id],bom[dbl],"NA")</f>
        <v>-</v>
      </c>
      <c r="Q427" s="20" t="str">
        <f>LEFT(packes[[#This Row],[date]],4)</f>
        <v>1403</v>
      </c>
    </row>
    <row r="428" spans="1:17" s="23" customFormat="1" ht="16.5" x14ac:dyDescent="0.25">
      <c r="A428" s="23">
        <v>426</v>
      </c>
      <c r="B428" s="24" t="s">
        <v>1563</v>
      </c>
      <c r="C428" s="23">
        <v>141650001</v>
      </c>
      <c r="D428" s="23">
        <v>100</v>
      </c>
      <c r="E428" s="27" t="e">
        <v>#VALUE!</v>
      </c>
      <c r="F428" s="27" t="e">
        <v>#VALUE!</v>
      </c>
      <c r="G428" s="23">
        <v>11</v>
      </c>
      <c r="H428" s="486" t="e">
        <v>#VALUE!</v>
      </c>
      <c r="J428" s="487" t="s">
        <v>224</v>
      </c>
      <c r="K428" s="488"/>
      <c r="L428" s="488"/>
      <c r="M428" s="548">
        <f>_xlfn.XLOOKUP(packes[[#This Row],[productId]],CT[productId],CT[total],"NA")</f>
        <v>100.965</v>
      </c>
      <c r="N428" s="20" t="str">
        <f>_xlfn.XLOOKUP(packes[[#This Row],[productId]],bom[Id],bom[ph],"NA")</f>
        <v>6.3k</v>
      </c>
      <c r="O428" s="20" t="str">
        <f>_xlfn.XLOOKUP(packes[[#This Row],[productId]],bom[Id],bom[erth],"NA")</f>
        <v>flag</v>
      </c>
      <c r="P428" s="20" t="str">
        <f>_xlfn.XLOOKUP(packes[[#This Row],[productId]],bom[Id],bom[dbl],"NA")</f>
        <v>-</v>
      </c>
      <c r="Q428" s="20" t="str">
        <f>LEFT(packes[[#This Row],[date]],4)</f>
        <v>1403</v>
      </c>
    </row>
    <row r="429" spans="1:17" s="23" customFormat="1" ht="16.5" x14ac:dyDescent="0.25">
      <c r="A429" s="23">
        <v>427</v>
      </c>
      <c r="B429" s="24" t="s">
        <v>1563</v>
      </c>
      <c r="C429" s="23">
        <v>140310007</v>
      </c>
      <c r="D429" s="23">
        <v>103</v>
      </c>
      <c r="E429" s="27" t="e">
        <v>#VALUE!</v>
      </c>
      <c r="F429" s="27" t="e">
        <v>#VALUE!</v>
      </c>
      <c r="G429" s="23">
        <v>11</v>
      </c>
      <c r="H429" s="486" t="e">
        <v>#VALUE!</v>
      </c>
      <c r="J429" s="487" t="s">
        <v>224</v>
      </c>
      <c r="K429" s="488"/>
      <c r="L429" s="488"/>
      <c r="M429" s="548">
        <f>_xlfn.XLOOKUP(packes[[#This Row],[productId]],CT[productId],CT[total],"NA")</f>
        <v>92.484999999999999</v>
      </c>
      <c r="N429" s="20" t="str">
        <f>_xlfn.XLOOKUP(packes[[#This Row],[productId]],bom[Id],bom[ph],"NA")</f>
        <v>-</v>
      </c>
      <c r="O429" s="20" t="str">
        <f>_xlfn.XLOOKUP(packes[[#This Row],[productId]],bom[Id],bom[erth],"NA")</f>
        <v>nut4</v>
      </c>
      <c r="P429" s="20" t="str">
        <f>_xlfn.XLOOKUP(packes[[#This Row],[productId]],bom[Id],bom[dbl],"NA")</f>
        <v>-</v>
      </c>
      <c r="Q429" s="20" t="str">
        <f>LEFT(packes[[#This Row],[date]],4)</f>
        <v>1403</v>
      </c>
    </row>
    <row r="430" spans="1:17" s="23" customFormat="1" ht="16.5" x14ac:dyDescent="0.25">
      <c r="A430" s="23">
        <v>428</v>
      </c>
      <c r="B430" s="24" t="s">
        <v>1563</v>
      </c>
      <c r="C430" s="23">
        <v>140310058</v>
      </c>
      <c r="D430" s="23">
        <v>500</v>
      </c>
      <c r="E430" s="27" t="e">
        <v>#VALUE!</v>
      </c>
      <c r="F430" s="27" t="e">
        <v>#VALUE!</v>
      </c>
      <c r="G430" s="23">
        <v>11</v>
      </c>
      <c r="H430" s="486" t="e">
        <v>#VALUE!</v>
      </c>
      <c r="J430" s="487" t="s">
        <v>224</v>
      </c>
      <c r="K430" s="488"/>
      <c r="L430" s="488"/>
      <c r="M430" s="548">
        <f>_xlfn.XLOOKUP(packes[[#This Row],[productId]],CT[productId],CT[total],"NA")</f>
        <v>147.595</v>
      </c>
      <c r="N430" s="20" t="str">
        <f>_xlfn.XLOOKUP(packes[[#This Row],[productId]],bom[Id],bom[ph],"NA")</f>
        <v>nar.p</v>
      </c>
      <c r="O430" s="20" t="str">
        <f>_xlfn.XLOOKUP(packes[[#This Row],[productId]],bom[Id],bom[erth],"NA")</f>
        <v>nar.p</v>
      </c>
      <c r="P430" s="20" t="str">
        <f>_xlfn.XLOOKUP(packes[[#This Row],[productId]],bom[Id],bom[dbl],"NA")</f>
        <v>nar.p</v>
      </c>
      <c r="Q430" s="20" t="str">
        <f>LEFT(packes[[#This Row],[date]],4)</f>
        <v>1403</v>
      </c>
    </row>
    <row r="431" spans="1:17" s="23" customFormat="1" ht="16.5" x14ac:dyDescent="0.25">
      <c r="A431" s="23">
        <v>429</v>
      </c>
      <c r="B431" s="24" t="s">
        <v>1563</v>
      </c>
      <c r="C431" s="23">
        <v>140310075</v>
      </c>
      <c r="D431" s="23">
        <v>3000</v>
      </c>
      <c r="E431" s="27" t="e">
        <v>#VALUE!</v>
      </c>
      <c r="F431" s="27" t="e">
        <v>#VALUE!</v>
      </c>
      <c r="G431" s="23">
        <v>11</v>
      </c>
      <c r="H431" s="486" t="e">
        <v>#VALUE!</v>
      </c>
      <c r="J431" s="487" t="s">
        <v>224</v>
      </c>
      <c r="K431" s="488"/>
      <c r="L431" s="488"/>
      <c r="M431" s="548">
        <f>_xlfn.XLOOKUP(packes[[#This Row],[productId]],CT[productId],CT[total],"NA")</f>
        <v>154.88499999999999</v>
      </c>
      <c r="N431" s="20" t="str">
        <f>_xlfn.XLOOKUP(packes[[#This Row],[productId]],bom[Id],bom[ph],"NA")</f>
        <v>molex</v>
      </c>
      <c r="O431" s="20" t="str">
        <f>_xlfn.XLOOKUP(packes[[#This Row],[productId]],bom[Id],bom[erth],"NA")</f>
        <v>nut4</v>
      </c>
      <c r="P431" s="20" t="str">
        <f>_xlfn.XLOOKUP(packes[[#This Row],[productId]],bom[Id],bom[dbl],"NA")</f>
        <v>-</v>
      </c>
      <c r="Q431" s="20" t="str">
        <f>LEFT(packes[[#This Row],[date]],4)</f>
        <v>1403</v>
      </c>
    </row>
    <row r="432" spans="1:17" s="23" customFormat="1" ht="16.5" x14ac:dyDescent="0.25">
      <c r="A432" s="23">
        <v>430</v>
      </c>
      <c r="B432" s="24" t="s">
        <v>1563</v>
      </c>
      <c r="C432" s="23">
        <v>140380007</v>
      </c>
      <c r="D432" s="23">
        <v>100</v>
      </c>
      <c r="E432" s="27" t="e">
        <v>#VALUE!</v>
      </c>
      <c r="F432" s="27" t="e">
        <v>#VALUE!</v>
      </c>
      <c r="G432" s="23">
        <v>11</v>
      </c>
      <c r="H432" s="486" t="e">
        <v>#VALUE!</v>
      </c>
      <c r="J432" s="487" t="s">
        <v>224</v>
      </c>
      <c r="K432" s="488"/>
      <c r="L432" s="488"/>
      <c r="M432" s="548" t="str">
        <f>_xlfn.XLOOKUP(packes[[#This Row],[productId]],CT[productId],CT[total],"NA")</f>
        <v>NA</v>
      </c>
      <c r="N432" s="20" t="str">
        <f>_xlfn.XLOOKUP(packes[[#This Row],[productId]],bom[Id],bom[ph],"NA")</f>
        <v>NA</v>
      </c>
      <c r="O432" s="20" t="str">
        <f>_xlfn.XLOOKUP(packes[[#This Row],[productId]],bom[Id],bom[erth],"NA")</f>
        <v>NA</v>
      </c>
      <c r="P432" s="20" t="str">
        <f>_xlfn.XLOOKUP(packes[[#This Row],[productId]],bom[Id],bom[dbl],"NA")</f>
        <v>NA</v>
      </c>
      <c r="Q432" s="20" t="str">
        <f>LEFT(packes[[#This Row],[date]],4)</f>
        <v>1403</v>
      </c>
    </row>
    <row r="433" spans="1:17" s="23" customFormat="1" ht="16.5" x14ac:dyDescent="0.25">
      <c r="A433" s="23">
        <v>431</v>
      </c>
      <c r="B433" s="24" t="s">
        <v>1564</v>
      </c>
      <c r="C433" s="23">
        <v>140010117</v>
      </c>
      <c r="D433" s="23">
        <v>300</v>
      </c>
      <c r="E433" s="27" t="e">
        <v>#VALUE!</v>
      </c>
      <c r="F433" s="27" t="e">
        <v>#VALUE!</v>
      </c>
      <c r="G433" s="23">
        <v>10</v>
      </c>
      <c r="H433" s="486" t="e">
        <v>#VALUE!</v>
      </c>
      <c r="J433" s="487" t="s">
        <v>224</v>
      </c>
      <c r="K433" s="488"/>
      <c r="L433" s="488"/>
      <c r="M433" s="548">
        <f>_xlfn.XLOOKUP(packes[[#This Row],[productId]],CT[productId],CT[total],"NA")</f>
        <v>98.295000000000016</v>
      </c>
      <c r="N433" s="20" t="str">
        <f>_xlfn.XLOOKUP(packes[[#This Row],[productId]],bom[Id],bom[ph],"NA")</f>
        <v>nar.p</v>
      </c>
      <c r="O433" s="20" t="str">
        <f>_xlfn.XLOOKUP(packes[[#This Row],[productId]],bom[Id],bom[erth],"NA")</f>
        <v>-</v>
      </c>
      <c r="P433" s="20" t="str">
        <f>_xlfn.XLOOKUP(packes[[#This Row],[productId]],bom[Id],bom[dbl],"NA")</f>
        <v>nar.p</v>
      </c>
      <c r="Q433" s="20" t="str">
        <f>LEFT(packes[[#This Row],[date]],4)</f>
        <v>1403</v>
      </c>
    </row>
    <row r="434" spans="1:17" s="23" customFormat="1" ht="16.5" x14ac:dyDescent="0.25">
      <c r="A434" s="23">
        <v>432</v>
      </c>
      <c r="B434" s="24" t="s">
        <v>1564</v>
      </c>
      <c r="C434" s="23">
        <v>140030039</v>
      </c>
      <c r="D434" s="23">
        <v>2000</v>
      </c>
      <c r="E434" s="27" t="e">
        <v>#VALUE!</v>
      </c>
      <c r="F434" s="27" t="e">
        <v>#VALUE!</v>
      </c>
      <c r="G434" s="23">
        <v>11</v>
      </c>
      <c r="H434" s="486" t="e">
        <v>#VALUE!</v>
      </c>
      <c r="J434" s="487" t="s">
        <v>224</v>
      </c>
      <c r="K434" s="488"/>
      <c r="L434" s="488"/>
      <c r="M434" s="548">
        <f>_xlfn.XLOOKUP(packes[[#This Row],[productId]],CT[productId],CT[total],"NA")</f>
        <v>92.504999999999995</v>
      </c>
      <c r="N434" s="20" t="str">
        <f>_xlfn.XLOOKUP(packes[[#This Row],[productId]],bom[Id],bom[ph],"NA")</f>
        <v>YH</v>
      </c>
      <c r="O434" s="20" t="str">
        <f>_xlfn.XLOOKUP(packes[[#This Row],[productId]],bom[Id],bom[erth],"NA")</f>
        <v>sun</v>
      </c>
      <c r="P434" s="20" t="str">
        <f>_xlfn.XLOOKUP(packes[[#This Row],[productId]],bom[Id],bom[dbl],"NA")</f>
        <v>-</v>
      </c>
      <c r="Q434" s="20" t="str">
        <f>LEFT(packes[[#This Row],[date]],4)</f>
        <v>1403</v>
      </c>
    </row>
    <row r="435" spans="1:17" s="23" customFormat="1" ht="16.5" x14ac:dyDescent="0.25">
      <c r="A435" s="23">
        <v>433</v>
      </c>
      <c r="B435" s="24" t="s">
        <v>1564</v>
      </c>
      <c r="C435" s="23">
        <v>140030040</v>
      </c>
      <c r="D435" s="23">
        <v>1000</v>
      </c>
      <c r="E435" s="27" t="e">
        <v>#VALUE!</v>
      </c>
      <c r="F435" s="27" t="e">
        <v>#VALUE!</v>
      </c>
      <c r="G435" s="23">
        <v>11</v>
      </c>
      <c r="H435" s="486" t="e">
        <v>#VALUE!</v>
      </c>
      <c r="J435" s="487" t="s">
        <v>224</v>
      </c>
      <c r="K435" s="488"/>
      <c r="L435" s="488"/>
      <c r="M435" s="548">
        <f>_xlfn.XLOOKUP(packes[[#This Row],[productId]],CT[productId],CT[total],"NA")</f>
        <v>97.305000000000007</v>
      </c>
      <c r="N435" s="20" t="str">
        <f>_xlfn.XLOOKUP(packes[[#This Row],[productId]],bom[Id],bom[ph],"NA")</f>
        <v>YH</v>
      </c>
      <c r="O435" s="20" t="str">
        <f>_xlfn.XLOOKUP(packes[[#This Row],[productId]],bom[Id],bom[erth],"NA")</f>
        <v>sun</v>
      </c>
      <c r="P435" s="20" t="str">
        <f>_xlfn.XLOOKUP(packes[[#This Row],[productId]],bom[Id],bom[dbl],"NA")</f>
        <v>-</v>
      </c>
      <c r="Q435" s="20" t="str">
        <f>LEFT(packes[[#This Row],[date]],4)</f>
        <v>1403</v>
      </c>
    </row>
    <row r="436" spans="1:17" s="23" customFormat="1" ht="16.5" x14ac:dyDescent="0.25">
      <c r="A436" s="23">
        <v>434</v>
      </c>
      <c r="B436" s="24" t="s">
        <v>1564</v>
      </c>
      <c r="C436" s="23">
        <v>140090143</v>
      </c>
      <c r="D436" s="23">
        <v>2650</v>
      </c>
      <c r="E436" s="27" t="e">
        <v>#VALUE!</v>
      </c>
      <c r="F436" s="27" t="e">
        <v>#VALUE!</v>
      </c>
      <c r="G436" s="23">
        <v>11</v>
      </c>
      <c r="H436" s="486" t="e">
        <v>#VALUE!</v>
      </c>
      <c r="J436" s="487" t="s">
        <v>224</v>
      </c>
      <c r="K436" s="488"/>
      <c r="L436" s="488"/>
      <c r="M436" s="548">
        <f>_xlfn.XLOOKUP(packes[[#This Row],[productId]],CT[productId],CT[total],"NA")</f>
        <v>233.215</v>
      </c>
      <c r="N436" s="20" t="str">
        <f>_xlfn.XLOOKUP(packes[[#This Row],[productId]],bom[Id],bom[ph],"NA")</f>
        <v>molex</v>
      </c>
      <c r="O436" s="20" t="str">
        <f>_xlfn.XLOOKUP(packes[[#This Row],[productId]],bom[Id],bom[erth],"NA")</f>
        <v>-</v>
      </c>
      <c r="P436" s="20" t="str">
        <f>_xlfn.XLOOKUP(packes[[#This Row],[productId]],bom[Id],bom[dbl],"NA")</f>
        <v>splice</v>
      </c>
      <c r="Q436" s="20" t="str">
        <f>LEFT(packes[[#This Row],[date]],4)</f>
        <v>1403</v>
      </c>
    </row>
    <row r="437" spans="1:17" s="23" customFormat="1" ht="16.5" x14ac:dyDescent="0.25">
      <c r="A437" s="23">
        <v>435</v>
      </c>
      <c r="B437" s="24" t="s">
        <v>1564</v>
      </c>
      <c r="C437" s="23">
        <v>140220012</v>
      </c>
      <c r="D437" s="23">
        <v>900</v>
      </c>
      <c r="E437" s="27" t="e">
        <v>#VALUE!</v>
      </c>
      <c r="F437" s="27" t="e">
        <v>#VALUE!</v>
      </c>
      <c r="G437" s="23">
        <v>10</v>
      </c>
      <c r="H437" s="486" t="e">
        <v>#VALUE!</v>
      </c>
      <c r="J437" s="487" t="s">
        <v>224</v>
      </c>
      <c r="K437" s="488"/>
      <c r="L437" s="488"/>
      <c r="M437" s="548">
        <f>_xlfn.XLOOKUP(packes[[#This Row],[productId]],CT[productId],CT[total],"NA")</f>
        <v>192.86500000000001</v>
      </c>
      <c r="N437" s="20" t="str">
        <f>_xlfn.XLOOKUP(packes[[#This Row],[productId]],bom[Id],bom[ph],"NA")</f>
        <v>flag</v>
      </c>
      <c r="O437" s="20" t="str">
        <f>_xlfn.XLOOKUP(packes[[#This Row],[productId]],bom[Id],bom[erth],"NA")</f>
        <v>sun</v>
      </c>
      <c r="P437" s="20" t="str">
        <f>_xlfn.XLOOKUP(packes[[#This Row],[productId]],bom[Id],bom[dbl],"NA")</f>
        <v>-</v>
      </c>
      <c r="Q437" s="20" t="str">
        <f>LEFT(packes[[#This Row],[date]],4)</f>
        <v>1403</v>
      </c>
    </row>
    <row r="438" spans="1:17" s="23" customFormat="1" ht="16.5" x14ac:dyDescent="0.25">
      <c r="A438" s="23">
        <v>436</v>
      </c>
      <c r="B438" s="24" t="s">
        <v>1564</v>
      </c>
      <c r="C438" s="23">
        <v>140310075</v>
      </c>
      <c r="D438" s="23">
        <v>1650</v>
      </c>
      <c r="E438" s="27" t="e">
        <v>#VALUE!</v>
      </c>
      <c r="F438" s="27" t="e">
        <v>#VALUE!</v>
      </c>
      <c r="G438" s="23">
        <v>11</v>
      </c>
      <c r="H438" s="486" t="e">
        <v>#VALUE!</v>
      </c>
      <c r="J438" s="487" t="s">
        <v>224</v>
      </c>
      <c r="K438" s="488"/>
      <c r="L438" s="488"/>
      <c r="M438" s="548">
        <f>_xlfn.XLOOKUP(packes[[#This Row],[productId]],CT[productId],CT[total],"NA")</f>
        <v>154.88499999999999</v>
      </c>
      <c r="N438" s="20" t="str">
        <f>_xlfn.XLOOKUP(packes[[#This Row],[productId]],bom[Id],bom[ph],"NA")</f>
        <v>molex</v>
      </c>
      <c r="O438" s="20" t="str">
        <f>_xlfn.XLOOKUP(packes[[#This Row],[productId]],bom[Id],bom[erth],"NA")</f>
        <v>nut4</v>
      </c>
      <c r="P438" s="20" t="str">
        <f>_xlfn.XLOOKUP(packes[[#This Row],[productId]],bom[Id],bom[dbl],"NA")</f>
        <v>-</v>
      </c>
      <c r="Q438" s="20" t="str">
        <f>LEFT(packes[[#This Row],[date]],4)</f>
        <v>1403</v>
      </c>
    </row>
    <row r="439" spans="1:17" s="23" customFormat="1" ht="16.5" x14ac:dyDescent="0.25">
      <c r="A439" s="23">
        <v>437</v>
      </c>
      <c r="B439" s="24" t="s">
        <v>180</v>
      </c>
      <c r="C439" s="23">
        <v>140020181</v>
      </c>
      <c r="D439" s="23">
        <v>75</v>
      </c>
      <c r="E439" s="27" t="e">
        <v>#VALUE!</v>
      </c>
      <c r="F439" s="27" t="e">
        <v>#VALUE!</v>
      </c>
      <c r="G439" s="23">
        <v>10</v>
      </c>
      <c r="H439" s="486" t="e">
        <v>#VALUE!</v>
      </c>
      <c r="J439" s="487" t="s">
        <v>224</v>
      </c>
      <c r="K439" s="488"/>
      <c r="L439" s="488"/>
      <c r="M439" s="548">
        <f>_xlfn.XLOOKUP(packes[[#This Row],[productId]],CT[productId],CT[total],"NA")</f>
        <v>88.929999999999993</v>
      </c>
      <c r="N439" s="20" t="str">
        <f>_xlfn.XLOOKUP(packes[[#This Row],[productId]],bom[Id],bom[ph],"NA")</f>
        <v>VH</v>
      </c>
      <c r="O439" s="20" t="str">
        <f>_xlfn.XLOOKUP(packes[[#This Row],[productId]],bom[Id],bom[erth],"NA")</f>
        <v>nut4</v>
      </c>
      <c r="P439" s="20" t="str">
        <f>_xlfn.XLOOKUP(packes[[#This Row],[productId]],bom[Id],bom[dbl],"NA")</f>
        <v>-</v>
      </c>
      <c r="Q439" s="20" t="str">
        <f>LEFT(packes[[#This Row],[date]],4)</f>
        <v>1403</v>
      </c>
    </row>
    <row r="440" spans="1:17" s="23" customFormat="1" ht="16.5" x14ac:dyDescent="0.25">
      <c r="A440" s="23">
        <v>438</v>
      </c>
      <c r="B440" s="24" t="s">
        <v>180</v>
      </c>
      <c r="C440" s="23">
        <v>140550060</v>
      </c>
      <c r="D440" s="23">
        <v>3731</v>
      </c>
      <c r="E440" s="27" t="e">
        <v>#VALUE!</v>
      </c>
      <c r="F440" s="27" t="e">
        <v>#VALUE!</v>
      </c>
      <c r="G440" s="23">
        <v>8</v>
      </c>
      <c r="H440" s="486" t="e">
        <v>#VALUE!</v>
      </c>
      <c r="J440" s="487" t="s">
        <v>224</v>
      </c>
      <c r="K440" s="488"/>
      <c r="L440" s="488"/>
      <c r="M440" s="548">
        <f>_xlfn.XLOOKUP(packes[[#This Row],[productId]],CT[productId],CT[total],"NA")</f>
        <v>81.220000000000013</v>
      </c>
      <c r="N440" s="20" t="str">
        <f>_xlfn.XLOOKUP(packes[[#This Row],[productId]],bom[Id],bom[ph],"NA")</f>
        <v>radio</v>
      </c>
      <c r="O440" s="20" t="str">
        <f>_xlfn.XLOOKUP(packes[[#This Row],[productId]],bom[Id],bom[erth],"NA")</f>
        <v>-</v>
      </c>
      <c r="P440" s="20" t="str">
        <f>_xlfn.XLOOKUP(packes[[#This Row],[productId]],bom[Id],bom[dbl],"NA")</f>
        <v>-</v>
      </c>
      <c r="Q440" s="20" t="str">
        <f>LEFT(packes[[#This Row],[date]],4)</f>
        <v>1403</v>
      </c>
    </row>
    <row r="441" spans="1:17" s="23" customFormat="1" ht="16.5" x14ac:dyDescent="0.25">
      <c r="A441" s="23">
        <v>439</v>
      </c>
      <c r="B441" s="24" t="s">
        <v>180</v>
      </c>
      <c r="C441" s="23">
        <v>140550084</v>
      </c>
      <c r="D441" s="23">
        <v>50</v>
      </c>
      <c r="E441" s="27" t="e">
        <v>#VALUE!</v>
      </c>
      <c r="F441" s="27" t="e">
        <v>#VALUE!</v>
      </c>
      <c r="G441" s="23">
        <v>10</v>
      </c>
      <c r="H441" s="486" t="e">
        <v>#VALUE!</v>
      </c>
      <c r="J441" s="487" t="s">
        <v>224</v>
      </c>
      <c r="K441" s="488"/>
      <c r="L441" s="488"/>
      <c r="M441" s="548" t="str">
        <f>_xlfn.XLOOKUP(packes[[#This Row],[productId]],CT[productId],CT[total],"NA")</f>
        <v>NA</v>
      </c>
      <c r="N441" s="20" t="str">
        <f>_xlfn.XLOOKUP(packes[[#This Row],[productId]],bom[Id],bom[ph],"NA")</f>
        <v>VH</v>
      </c>
      <c r="O441" s="20" t="str">
        <f>_xlfn.XLOOKUP(packes[[#This Row],[productId]],bom[Id],bom[erth],"NA")</f>
        <v>-</v>
      </c>
      <c r="P441" s="20" t="str">
        <f>_xlfn.XLOOKUP(packes[[#This Row],[productId]],bom[Id],bom[dbl],"NA")</f>
        <v>-</v>
      </c>
      <c r="Q441" s="20" t="str">
        <f>LEFT(packes[[#This Row],[date]],4)</f>
        <v>1403</v>
      </c>
    </row>
    <row r="442" spans="1:17" s="23" customFormat="1" ht="16.5" x14ac:dyDescent="0.25">
      <c r="A442" s="23">
        <v>440</v>
      </c>
      <c r="B442" s="24" t="s">
        <v>207</v>
      </c>
      <c r="C442" s="23">
        <v>140010117</v>
      </c>
      <c r="D442" s="23">
        <v>675</v>
      </c>
      <c r="E442" s="27" t="e">
        <v>#VALUE!</v>
      </c>
      <c r="F442" s="27" t="e">
        <v>#VALUE!</v>
      </c>
      <c r="G442" s="23">
        <v>11</v>
      </c>
      <c r="H442" s="486" t="e">
        <v>#VALUE!</v>
      </c>
      <c r="J442" s="487" t="s">
        <v>224</v>
      </c>
      <c r="K442" s="488"/>
      <c r="L442" s="488"/>
      <c r="M442" s="548">
        <f>_xlfn.XLOOKUP(packes[[#This Row],[productId]],CT[productId],CT[total],"NA")</f>
        <v>98.295000000000016</v>
      </c>
      <c r="N442" s="20" t="str">
        <f>_xlfn.XLOOKUP(packes[[#This Row],[productId]],bom[Id],bom[ph],"NA")</f>
        <v>nar.p</v>
      </c>
      <c r="O442" s="20" t="str">
        <f>_xlfn.XLOOKUP(packes[[#This Row],[productId]],bom[Id],bom[erth],"NA")</f>
        <v>-</v>
      </c>
      <c r="P442" s="20" t="str">
        <f>_xlfn.XLOOKUP(packes[[#This Row],[productId]],bom[Id],bom[dbl],"NA")</f>
        <v>nar.p</v>
      </c>
      <c r="Q442" s="20" t="str">
        <f>LEFT(packes[[#This Row],[date]],4)</f>
        <v>1403</v>
      </c>
    </row>
    <row r="443" spans="1:17" s="23" customFormat="1" ht="16.5" x14ac:dyDescent="0.25">
      <c r="A443" s="23">
        <v>441</v>
      </c>
      <c r="B443" s="24" t="s">
        <v>207</v>
      </c>
      <c r="C443" s="23">
        <v>140010230</v>
      </c>
      <c r="D443" s="23">
        <v>50</v>
      </c>
      <c r="E443" s="27" t="e">
        <v>#VALUE!</v>
      </c>
      <c r="F443" s="27" t="e">
        <v>#VALUE!</v>
      </c>
      <c r="G443" s="23">
        <v>11</v>
      </c>
      <c r="H443" s="486" t="e">
        <v>#VALUE!</v>
      </c>
      <c r="J443" s="487" t="s">
        <v>224</v>
      </c>
      <c r="K443" s="488"/>
      <c r="L443" s="488"/>
      <c r="M443" s="548">
        <f>_xlfn.XLOOKUP(packes[[#This Row],[productId]],CT[productId],CT[total],"NA")</f>
        <v>147.595</v>
      </c>
      <c r="N443" s="20" t="str">
        <f>_xlfn.XLOOKUP(packes[[#This Row],[productId]],bom[Id],bom[ph],"NA")</f>
        <v>nar.p</v>
      </c>
      <c r="O443" s="20" t="str">
        <f>_xlfn.XLOOKUP(packes[[#This Row],[productId]],bom[Id],bom[erth],"NA")</f>
        <v>-</v>
      </c>
      <c r="P443" s="20" t="str">
        <f>_xlfn.XLOOKUP(packes[[#This Row],[productId]],bom[Id],bom[dbl],"NA")</f>
        <v>nar.p</v>
      </c>
      <c r="Q443" s="20" t="str">
        <f>LEFT(packes[[#This Row],[date]],4)</f>
        <v>1403</v>
      </c>
    </row>
    <row r="444" spans="1:17" s="23" customFormat="1" ht="16.5" x14ac:dyDescent="0.25">
      <c r="A444" s="23">
        <v>442</v>
      </c>
      <c r="B444" s="24" t="s">
        <v>207</v>
      </c>
      <c r="C444" s="23">
        <v>140030039</v>
      </c>
      <c r="D444" s="23">
        <v>100</v>
      </c>
      <c r="E444" s="27" t="e">
        <v>#VALUE!</v>
      </c>
      <c r="F444" s="27" t="e">
        <v>#VALUE!</v>
      </c>
      <c r="G444" s="23">
        <v>11</v>
      </c>
      <c r="H444" s="486" t="e">
        <v>#VALUE!</v>
      </c>
      <c r="J444" s="487" t="s">
        <v>224</v>
      </c>
      <c r="K444" s="488"/>
      <c r="L444" s="488"/>
      <c r="M444" s="548">
        <f>_xlfn.XLOOKUP(packes[[#This Row],[productId]],CT[productId],CT[total],"NA")</f>
        <v>92.504999999999995</v>
      </c>
      <c r="N444" s="20" t="str">
        <f>_xlfn.XLOOKUP(packes[[#This Row],[productId]],bom[Id],bom[ph],"NA")</f>
        <v>YH</v>
      </c>
      <c r="O444" s="20" t="str">
        <f>_xlfn.XLOOKUP(packes[[#This Row],[productId]],bom[Id],bom[erth],"NA")</f>
        <v>sun</v>
      </c>
      <c r="P444" s="20" t="str">
        <f>_xlfn.XLOOKUP(packes[[#This Row],[productId]],bom[Id],bom[dbl],"NA")</f>
        <v>-</v>
      </c>
      <c r="Q444" s="20" t="str">
        <f>LEFT(packes[[#This Row],[date]],4)</f>
        <v>1403</v>
      </c>
    </row>
    <row r="445" spans="1:17" s="23" customFormat="1" ht="16.5" x14ac:dyDescent="0.25">
      <c r="A445" s="23">
        <v>443</v>
      </c>
      <c r="B445" s="24" t="s">
        <v>207</v>
      </c>
      <c r="C445" s="23">
        <v>140090143</v>
      </c>
      <c r="D445" s="23">
        <v>50</v>
      </c>
      <c r="E445" s="27" t="e">
        <v>#VALUE!</v>
      </c>
      <c r="F445" s="27" t="e">
        <v>#VALUE!</v>
      </c>
      <c r="G445" s="23">
        <v>11</v>
      </c>
      <c r="H445" s="486" t="e">
        <v>#VALUE!</v>
      </c>
      <c r="J445" s="487" t="s">
        <v>224</v>
      </c>
      <c r="K445" s="488"/>
      <c r="L445" s="488"/>
      <c r="M445" s="548">
        <f>_xlfn.XLOOKUP(packes[[#This Row],[productId]],CT[productId],CT[total],"NA")</f>
        <v>233.215</v>
      </c>
      <c r="N445" s="20" t="str">
        <f>_xlfn.XLOOKUP(packes[[#This Row],[productId]],bom[Id],bom[ph],"NA")</f>
        <v>molex</v>
      </c>
      <c r="O445" s="20" t="str">
        <f>_xlfn.XLOOKUP(packes[[#This Row],[productId]],bom[Id],bom[erth],"NA")</f>
        <v>-</v>
      </c>
      <c r="P445" s="20" t="str">
        <f>_xlfn.XLOOKUP(packes[[#This Row],[productId]],bom[Id],bom[dbl],"NA")</f>
        <v>splice</v>
      </c>
      <c r="Q445" s="20" t="str">
        <f>LEFT(packes[[#This Row],[date]],4)</f>
        <v>1403</v>
      </c>
    </row>
    <row r="446" spans="1:17" s="23" customFormat="1" ht="16.5" x14ac:dyDescent="0.25">
      <c r="A446" s="23">
        <v>444</v>
      </c>
      <c r="B446" s="24" t="s">
        <v>207</v>
      </c>
      <c r="C446" s="23">
        <v>140310031</v>
      </c>
      <c r="D446" s="23">
        <v>500</v>
      </c>
      <c r="E446" s="27" t="e">
        <v>#VALUE!</v>
      </c>
      <c r="F446" s="27" t="e">
        <v>#VALUE!</v>
      </c>
      <c r="G446" s="23">
        <v>11</v>
      </c>
      <c r="H446" s="486" t="e">
        <v>#VALUE!</v>
      </c>
      <c r="J446" s="487" t="s">
        <v>224</v>
      </c>
      <c r="K446" s="488"/>
      <c r="L446" s="488"/>
      <c r="M446" s="548">
        <f>_xlfn.XLOOKUP(packes[[#This Row],[productId]],CT[productId],CT[total],"NA")</f>
        <v>202.96500000000003</v>
      </c>
      <c r="N446" s="20">
        <f>_xlfn.XLOOKUP(packes[[#This Row],[productId]],bom[Id],bom[ph],"NA")</f>
        <v>461</v>
      </c>
      <c r="O446" s="20" t="str">
        <f>_xlfn.XLOOKUP(packes[[#This Row],[productId]],bom[Id],bom[erth],"NA")</f>
        <v>nut4</v>
      </c>
      <c r="P446" s="20" t="str">
        <f>_xlfn.XLOOKUP(packes[[#This Row],[productId]],bom[Id],bom[dbl],"NA")</f>
        <v>-</v>
      </c>
      <c r="Q446" s="20" t="str">
        <f>LEFT(packes[[#This Row],[date]],4)</f>
        <v>1403</v>
      </c>
    </row>
    <row r="447" spans="1:17" s="23" customFormat="1" ht="16.5" x14ac:dyDescent="0.25">
      <c r="A447" s="23">
        <v>445</v>
      </c>
      <c r="B447" s="24" t="s">
        <v>207</v>
      </c>
      <c r="C447" s="23">
        <v>140310075</v>
      </c>
      <c r="D447" s="23">
        <v>350</v>
      </c>
      <c r="E447" s="27" t="e">
        <v>#VALUE!</v>
      </c>
      <c r="F447" s="27" t="e">
        <v>#VALUE!</v>
      </c>
      <c r="G447" s="23">
        <v>11</v>
      </c>
      <c r="H447" s="486" t="e">
        <v>#VALUE!</v>
      </c>
      <c r="J447" s="487" t="s">
        <v>224</v>
      </c>
      <c r="K447" s="488"/>
      <c r="L447" s="488"/>
      <c r="M447" s="548">
        <f>_xlfn.XLOOKUP(packes[[#This Row],[productId]],CT[productId],CT[total],"NA")</f>
        <v>154.88499999999999</v>
      </c>
      <c r="N447" s="20" t="str">
        <f>_xlfn.XLOOKUP(packes[[#This Row],[productId]],bom[Id],bom[ph],"NA")</f>
        <v>molex</v>
      </c>
      <c r="O447" s="20" t="str">
        <f>_xlfn.XLOOKUP(packes[[#This Row],[productId]],bom[Id],bom[erth],"NA")</f>
        <v>nut4</v>
      </c>
      <c r="P447" s="20" t="str">
        <f>_xlfn.XLOOKUP(packes[[#This Row],[productId]],bom[Id],bom[dbl],"NA")</f>
        <v>-</v>
      </c>
      <c r="Q447" s="20" t="str">
        <f>LEFT(packes[[#This Row],[date]],4)</f>
        <v>1403</v>
      </c>
    </row>
    <row r="448" spans="1:17" s="23" customFormat="1" ht="16.5" x14ac:dyDescent="0.25">
      <c r="A448" s="23">
        <v>446</v>
      </c>
      <c r="B448" s="24" t="s">
        <v>191</v>
      </c>
      <c r="C448" s="23">
        <v>140010117</v>
      </c>
      <c r="D448" s="23">
        <v>750</v>
      </c>
      <c r="E448" s="27" t="e">
        <v>#VALUE!</v>
      </c>
      <c r="F448" s="27" t="e">
        <v>#VALUE!</v>
      </c>
      <c r="G448" s="23">
        <v>11</v>
      </c>
      <c r="H448" s="486" t="e">
        <v>#VALUE!</v>
      </c>
      <c r="J448" s="487" t="s">
        <v>224</v>
      </c>
      <c r="K448" s="488"/>
      <c r="L448" s="488"/>
      <c r="M448" s="548">
        <f>_xlfn.XLOOKUP(packes[[#This Row],[productId]],CT[productId],CT[total],"NA")</f>
        <v>98.295000000000016</v>
      </c>
      <c r="N448" s="20" t="str">
        <f>_xlfn.XLOOKUP(packes[[#This Row],[productId]],bom[Id],bom[ph],"NA")</f>
        <v>nar.p</v>
      </c>
      <c r="O448" s="20" t="str">
        <f>_xlfn.XLOOKUP(packes[[#This Row],[productId]],bom[Id],bom[erth],"NA")</f>
        <v>-</v>
      </c>
      <c r="P448" s="20" t="str">
        <f>_xlfn.XLOOKUP(packes[[#This Row],[productId]],bom[Id],bom[dbl],"NA")</f>
        <v>nar.p</v>
      </c>
      <c r="Q448" s="20" t="str">
        <f>LEFT(packes[[#This Row],[date]],4)</f>
        <v>1403</v>
      </c>
    </row>
    <row r="449" spans="1:17" s="23" customFormat="1" ht="16.5" x14ac:dyDescent="0.25">
      <c r="A449" s="23">
        <v>447</v>
      </c>
      <c r="B449" s="24" t="s">
        <v>191</v>
      </c>
      <c r="C449" s="23">
        <v>140010230</v>
      </c>
      <c r="D449" s="23">
        <v>900</v>
      </c>
      <c r="E449" s="27" t="e">
        <v>#VALUE!</v>
      </c>
      <c r="F449" s="27" t="e">
        <v>#VALUE!</v>
      </c>
      <c r="G449" s="23">
        <v>11</v>
      </c>
      <c r="H449" s="486" t="e">
        <v>#VALUE!</v>
      </c>
      <c r="J449" s="487" t="s">
        <v>224</v>
      </c>
      <c r="K449" s="488"/>
      <c r="L449" s="488"/>
      <c r="M449" s="548">
        <f>_xlfn.XLOOKUP(packes[[#This Row],[productId]],CT[productId],CT[total],"NA")</f>
        <v>147.595</v>
      </c>
      <c r="N449" s="20" t="str">
        <f>_xlfn.XLOOKUP(packes[[#This Row],[productId]],bom[Id],bom[ph],"NA")</f>
        <v>nar.p</v>
      </c>
      <c r="O449" s="20" t="str">
        <f>_xlfn.XLOOKUP(packes[[#This Row],[productId]],bom[Id],bom[erth],"NA")</f>
        <v>-</v>
      </c>
      <c r="P449" s="20" t="str">
        <f>_xlfn.XLOOKUP(packes[[#This Row],[productId]],bom[Id],bom[dbl],"NA")</f>
        <v>nar.p</v>
      </c>
      <c r="Q449" s="20" t="str">
        <f>LEFT(packes[[#This Row],[date]],4)</f>
        <v>1403</v>
      </c>
    </row>
    <row r="450" spans="1:17" s="23" customFormat="1" ht="16.5" x14ac:dyDescent="0.25">
      <c r="A450" s="23">
        <v>448</v>
      </c>
      <c r="B450" s="24" t="s">
        <v>191</v>
      </c>
      <c r="C450" s="23">
        <v>140020181</v>
      </c>
      <c r="D450" s="23">
        <v>75</v>
      </c>
      <c r="E450" s="27" t="e">
        <v>#VALUE!</v>
      </c>
      <c r="F450" s="27" t="e">
        <v>#VALUE!</v>
      </c>
      <c r="G450" s="23">
        <v>10</v>
      </c>
      <c r="H450" s="486" t="e">
        <v>#VALUE!</v>
      </c>
      <c r="J450" s="487" t="s">
        <v>224</v>
      </c>
      <c r="K450" s="488"/>
      <c r="L450" s="488"/>
      <c r="M450" s="548">
        <f>_xlfn.XLOOKUP(packes[[#This Row],[productId]],CT[productId],CT[total],"NA")</f>
        <v>88.929999999999993</v>
      </c>
      <c r="N450" s="20" t="str">
        <f>_xlfn.XLOOKUP(packes[[#This Row],[productId]],bom[Id],bom[ph],"NA")</f>
        <v>VH</v>
      </c>
      <c r="O450" s="20" t="str">
        <f>_xlfn.XLOOKUP(packes[[#This Row],[productId]],bom[Id],bom[erth],"NA")</f>
        <v>nut4</v>
      </c>
      <c r="P450" s="20" t="str">
        <f>_xlfn.XLOOKUP(packes[[#This Row],[productId]],bom[Id],bom[dbl],"NA")</f>
        <v>-</v>
      </c>
      <c r="Q450" s="20" t="str">
        <f>LEFT(packes[[#This Row],[date]],4)</f>
        <v>1403</v>
      </c>
    </row>
    <row r="451" spans="1:17" s="23" customFormat="1" ht="16.5" x14ac:dyDescent="0.25">
      <c r="A451" s="23">
        <v>449</v>
      </c>
      <c r="B451" s="24" t="s">
        <v>191</v>
      </c>
      <c r="C451" s="23">
        <v>140030039</v>
      </c>
      <c r="D451" s="23">
        <v>2000</v>
      </c>
      <c r="E451" s="27" t="e">
        <v>#VALUE!</v>
      </c>
      <c r="F451" s="27" t="e">
        <v>#VALUE!</v>
      </c>
      <c r="G451" s="23">
        <v>11</v>
      </c>
      <c r="H451" s="486" t="e">
        <v>#VALUE!</v>
      </c>
      <c r="J451" s="487" t="s">
        <v>224</v>
      </c>
      <c r="K451" s="488"/>
      <c r="L451" s="488"/>
      <c r="M451" s="548">
        <f>_xlfn.XLOOKUP(packes[[#This Row],[productId]],CT[productId],CT[total],"NA")</f>
        <v>92.504999999999995</v>
      </c>
      <c r="N451" s="20" t="str">
        <f>_xlfn.XLOOKUP(packes[[#This Row],[productId]],bom[Id],bom[ph],"NA")</f>
        <v>YH</v>
      </c>
      <c r="O451" s="20" t="str">
        <f>_xlfn.XLOOKUP(packes[[#This Row],[productId]],bom[Id],bom[erth],"NA")</f>
        <v>sun</v>
      </c>
      <c r="P451" s="20" t="str">
        <f>_xlfn.XLOOKUP(packes[[#This Row],[productId]],bom[Id],bom[dbl],"NA")</f>
        <v>-</v>
      </c>
      <c r="Q451" s="20" t="str">
        <f>LEFT(packes[[#This Row],[date]],4)</f>
        <v>1403</v>
      </c>
    </row>
    <row r="452" spans="1:17" s="23" customFormat="1" ht="16.5" x14ac:dyDescent="0.25">
      <c r="A452" s="23">
        <v>450</v>
      </c>
      <c r="B452" s="24" t="s">
        <v>191</v>
      </c>
      <c r="C452" s="23">
        <v>140090143</v>
      </c>
      <c r="D452" s="23">
        <v>350</v>
      </c>
      <c r="E452" s="27" t="e">
        <v>#VALUE!</v>
      </c>
      <c r="F452" s="27" t="e">
        <v>#VALUE!</v>
      </c>
      <c r="G452" s="23">
        <v>11</v>
      </c>
      <c r="H452" s="486" t="e">
        <v>#VALUE!</v>
      </c>
      <c r="J452" s="487" t="s">
        <v>224</v>
      </c>
      <c r="K452" s="488"/>
      <c r="L452" s="488"/>
      <c r="M452" s="548">
        <f>_xlfn.XLOOKUP(packes[[#This Row],[productId]],CT[productId],CT[total],"NA")</f>
        <v>233.215</v>
      </c>
      <c r="N452" s="20" t="str">
        <f>_xlfn.XLOOKUP(packes[[#This Row],[productId]],bom[Id],bom[ph],"NA")</f>
        <v>molex</v>
      </c>
      <c r="O452" s="20" t="str">
        <f>_xlfn.XLOOKUP(packes[[#This Row],[productId]],bom[Id],bom[erth],"NA")</f>
        <v>-</v>
      </c>
      <c r="P452" s="20" t="str">
        <f>_xlfn.XLOOKUP(packes[[#This Row],[productId]],bom[Id],bom[dbl],"NA")</f>
        <v>splice</v>
      </c>
      <c r="Q452" s="20" t="str">
        <f>LEFT(packes[[#This Row],[date]],4)</f>
        <v>1403</v>
      </c>
    </row>
    <row r="453" spans="1:17" s="23" customFormat="1" ht="16.5" x14ac:dyDescent="0.25">
      <c r="A453" s="23">
        <v>451</v>
      </c>
      <c r="B453" s="24" t="s">
        <v>191</v>
      </c>
      <c r="C453" s="23">
        <v>140220012</v>
      </c>
      <c r="D453" s="23">
        <v>1000</v>
      </c>
      <c r="E453" s="27" t="e">
        <v>#VALUE!</v>
      </c>
      <c r="F453" s="27" t="e">
        <v>#VALUE!</v>
      </c>
      <c r="G453" s="23">
        <v>10</v>
      </c>
      <c r="H453" s="486" t="e">
        <v>#VALUE!</v>
      </c>
      <c r="J453" s="487" t="s">
        <v>224</v>
      </c>
      <c r="K453" s="488"/>
      <c r="L453" s="488"/>
      <c r="M453" s="548">
        <f>_xlfn.XLOOKUP(packes[[#This Row],[productId]],CT[productId],CT[total],"NA")</f>
        <v>192.86500000000001</v>
      </c>
      <c r="N453" s="20" t="str">
        <f>_xlfn.XLOOKUP(packes[[#This Row],[productId]],bom[Id],bom[ph],"NA")</f>
        <v>flag</v>
      </c>
      <c r="O453" s="20" t="str">
        <f>_xlfn.XLOOKUP(packes[[#This Row],[productId]],bom[Id],bom[erth],"NA")</f>
        <v>sun</v>
      </c>
      <c r="P453" s="20" t="str">
        <f>_xlfn.XLOOKUP(packes[[#This Row],[productId]],bom[Id],bom[dbl],"NA")</f>
        <v>-</v>
      </c>
      <c r="Q453" s="20" t="str">
        <f>LEFT(packes[[#This Row],[date]],4)</f>
        <v>1403</v>
      </c>
    </row>
    <row r="454" spans="1:17" s="23" customFormat="1" ht="16.5" x14ac:dyDescent="0.25">
      <c r="A454" s="23">
        <v>452</v>
      </c>
      <c r="B454" s="24" t="s">
        <v>177</v>
      </c>
      <c r="C454" s="23">
        <v>140010117</v>
      </c>
      <c r="D454" s="23">
        <v>1575</v>
      </c>
      <c r="E454" s="27" t="e">
        <v>#VALUE!</v>
      </c>
      <c r="F454" s="27" t="e">
        <v>#VALUE!</v>
      </c>
      <c r="G454" s="23">
        <v>11</v>
      </c>
      <c r="H454" s="486" t="e">
        <v>#VALUE!</v>
      </c>
      <c r="I454" s="23">
        <v>10</v>
      </c>
      <c r="J454" s="487">
        <v>1350</v>
      </c>
      <c r="K454" s="488"/>
      <c r="L454" s="488"/>
      <c r="M454" s="548">
        <f>_xlfn.XLOOKUP(packes[[#This Row],[productId]],CT[productId],CT[total],"NA")</f>
        <v>98.295000000000016</v>
      </c>
      <c r="N454" s="20" t="str">
        <f>_xlfn.XLOOKUP(packes[[#This Row],[productId]],bom[Id],bom[ph],"NA")</f>
        <v>nar.p</v>
      </c>
      <c r="O454" s="20" t="str">
        <f>_xlfn.XLOOKUP(packes[[#This Row],[productId]],bom[Id],bom[erth],"NA")</f>
        <v>-</v>
      </c>
      <c r="P454" s="20" t="str">
        <f>_xlfn.XLOOKUP(packes[[#This Row],[productId]],bom[Id],bom[dbl],"NA")</f>
        <v>nar.p</v>
      </c>
      <c r="Q454" s="20" t="str">
        <f>LEFT(packes[[#This Row],[date]],4)</f>
        <v>1403</v>
      </c>
    </row>
    <row r="455" spans="1:17" s="23" customFormat="1" ht="16.5" x14ac:dyDescent="0.25">
      <c r="A455" s="23">
        <v>453</v>
      </c>
      <c r="B455" s="24" t="s">
        <v>177</v>
      </c>
      <c r="C455" s="23">
        <v>140020181</v>
      </c>
      <c r="D455" s="23">
        <v>2625</v>
      </c>
      <c r="E455" s="27" t="e">
        <v>#VALUE!</v>
      </c>
      <c r="F455" s="27" t="e">
        <v>#VALUE!</v>
      </c>
      <c r="G455" s="23">
        <v>11</v>
      </c>
      <c r="H455" s="486" t="e">
        <v>#VALUE!</v>
      </c>
      <c r="J455" s="487" t="s">
        <v>224</v>
      </c>
      <c r="K455" s="488"/>
      <c r="L455" s="488"/>
      <c r="M455" s="548">
        <f>_xlfn.XLOOKUP(packes[[#This Row],[productId]],CT[productId],CT[total],"NA")</f>
        <v>88.929999999999993</v>
      </c>
      <c r="N455" s="20" t="str">
        <f>_xlfn.XLOOKUP(packes[[#This Row],[productId]],bom[Id],bom[ph],"NA")</f>
        <v>VH</v>
      </c>
      <c r="O455" s="20" t="str">
        <f>_xlfn.XLOOKUP(packes[[#This Row],[productId]],bom[Id],bom[erth],"NA")</f>
        <v>nut4</v>
      </c>
      <c r="P455" s="20" t="str">
        <f>_xlfn.XLOOKUP(packes[[#This Row],[productId]],bom[Id],bom[dbl],"NA")</f>
        <v>-</v>
      </c>
      <c r="Q455" s="20" t="str">
        <f>LEFT(packes[[#This Row],[date]],4)</f>
        <v>1403</v>
      </c>
    </row>
    <row r="456" spans="1:17" s="23" customFormat="1" ht="16.5" x14ac:dyDescent="0.25">
      <c r="A456" s="23">
        <v>454</v>
      </c>
      <c r="B456" s="24" t="s">
        <v>177</v>
      </c>
      <c r="C456" s="23">
        <v>140450027</v>
      </c>
      <c r="D456" s="23">
        <v>1200</v>
      </c>
      <c r="E456" s="27" t="e">
        <v>#VALUE!</v>
      </c>
      <c r="F456" s="27" t="e">
        <v>#VALUE!</v>
      </c>
      <c r="G456" s="23">
        <v>11</v>
      </c>
      <c r="H456" s="486" t="e">
        <v>#VALUE!</v>
      </c>
      <c r="J456" s="487" t="s">
        <v>224</v>
      </c>
      <c r="K456" s="488"/>
      <c r="L456" s="488"/>
      <c r="M456" s="548">
        <f>_xlfn.XLOOKUP(packes[[#This Row],[productId]],CT[productId],CT[total],"NA")</f>
        <v>103.66</v>
      </c>
      <c r="N456" s="20" t="str">
        <f>_xlfn.XLOOKUP(packes[[#This Row],[productId]],bom[Id],bom[ph],"NA")</f>
        <v>VH</v>
      </c>
      <c r="O456" s="20" t="str">
        <f>_xlfn.XLOOKUP(packes[[#This Row],[productId]],bom[Id],bom[erth],"NA")</f>
        <v>nut4</v>
      </c>
      <c r="P456" s="20">
        <f>_xlfn.XLOOKUP(packes[[#This Row],[productId]],bom[Id],bom[dbl],"NA")</f>
        <v>0</v>
      </c>
      <c r="Q456" s="20" t="str">
        <f>LEFT(packes[[#This Row],[date]],4)</f>
        <v>1403</v>
      </c>
    </row>
    <row r="457" spans="1:17" s="23" customFormat="1" ht="16.5" x14ac:dyDescent="0.25">
      <c r="A457" s="23">
        <v>455</v>
      </c>
      <c r="B457" s="24" t="s">
        <v>1565</v>
      </c>
      <c r="C457" s="23">
        <v>140010117</v>
      </c>
      <c r="D457" s="23">
        <v>300</v>
      </c>
      <c r="E457" s="27" t="e">
        <v>#VALUE!</v>
      </c>
      <c r="F457" s="27" t="e">
        <v>#VALUE!</v>
      </c>
      <c r="G457" s="23">
        <v>11</v>
      </c>
      <c r="H457" s="486" t="e">
        <v>#VALUE!</v>
      </c>
      <c r="J457" s="487" t="s">
        <v>224</v>
      </c>
      <c r="K457" s="488"/>
      <c r="L457" s="488"/>
      <c r="M457" s="548">
        <f>_xlfn.XLOOKUP(packes[[#This Row],[productId]],CT[productId],CT[total],"NA")</f>
        <v>98.295000000000016</v>
      </c>
      <c r="N457" s="20" t="str">
        <f>_xlfn.XLOOKUP(packes[[#This Row],[productId]],bom[Id],bom[ph],"NA")</f>
        <v>nar.p</v>
      </c>
      <c r="O457" s="20" t="str">
        <f>_xlfn.XLOOKUP(packes[[#This Row],[productId]],bom[Id],bom[erth],"NA")</f>
        <v>-</v>
      </c>
      <c r="P457" s="20" t="str">
        <f>_xlfn.XLOOKUP(packes[[#This Row],[productId]],bom[Id],bom[dbl],"NA")</f>
        <v>nar.p</v>
      </c>
      <c r="Q457" s="20" t="str">
        <f>LEFT(packes[[#This Row],[date]],4)</f>
        <v>1403</v>
      </c>
    </row>
    <row r="458" spans="1:17" s="23" customFormat="1" ht="16.5" x14ac:dyDescent="0.25">
      <c r="A458" s="23">
        <v>456</v>
      </c>
      <c r="B458" s="24" t="s">
        <v>1565</v>
      </c>
      <c r="C458" s="23">
        <v>140010230</v>
      </c>
      <c r="D458" s="23">
        <v>1300</v>
      </c>
      <c r="E458" s="27" t="e">
        <v>#VALUE!</v>
      </c>
      <c r="F458" s="27" t="e">
        <v>#VALUE!</v>
      </c>
      <c r="G458" s="23">
        <v>11</v>
      </c>
      <c r="H458" s="486" t="e">
        <v>#VALUE!</v>
      </c>
      <c r="J458" s="487" t="s">
        <v>224</v>
      </c>
      <c r="K458" s="488"/>
      <c r="L458" s="488"/>
      <c r="M458" s="548">
        <f>_xlfn.XLOOKUP(packes[[#This Row],[productId]],CT[productId],CT[total],"NA")</f>
        <v>147.595</v>
      </c>
      <c r="N458" s="20" t="str">
        <f>_xlfn.XLOOKUP(packes[[#This Row],[productId]],bom[Id],bom[ph],"NA")</f>
        <v>nar.p</v>
      </c>
      <c r="O458" s="20" t="str">
        <f>_xlfn.XLOOKUP(packes[[#This Row],[productId]],bom[Id],bom[erth],"NA")</f>
        <v>-</v>
      </c>
      <c r="P458" s="20" t="str">
        <f>_xlfn.XLOOKUP(packes[[#This Row],[productId]],bom[Id],bom[dbl],"NA")</f>
        <v>nar.p</v>
      </c>
      <c r="Q458" s="20" t="str">
        <f>LEFT(packes[[#This Row],[date]],4)</f>
        <v>1403</v>
      </c>
    </row>
    <row r="459" spans="1:17" s="23" customFormat="1" ht="16.5" x14ac:dyDescent="0.25">
      <c r="A459" s="23">
        <v>457</v>
      </c>
      <c r="B459" s="24" t="s">
        <v>1565</v>
      </c>
      <c r="C459" s="23">
        <v>140020181</v>
      </c>
      <c r="D459" s="23">
        <v>4725</v>
      </c>
      <c r="E459" s="27" t="e">
        <v>#VALUE!</v>
      </c>
      <c r="F459" s="27" t="e">
        <v>#VALUE!</v>
      </c>
      <c r="G459" s="23">
        <v>11</v>
      </c>
      <c r="H459" s="486" t="e">
        <v>#VALUE!</v>
      </c>
      <c r="J459" s="487" t="s">
        <v>224</v>
      </c>
      <c r="K459" s="488"/>
      <c r="L459" s="488"/>
      <c r="M459" s="548">
        <f>_xlfn.XLOOKUP(packes[[#This Row],[productId]],CT[productId],CT[total],"NA")</f>
        <v>88.929999999999993</v>
      </c>
      <c r="N459" s="20" t="str">
        <f>_xlfn.XLOOKUP(packes[[#This Row],[productId]],bom[Id],bom[ph],"NA")</f>
        <v>VH</v>
      </c>
      <c r="O459" s="20" t="str">
        <f>_xlfn.XLOOKUP(packes[[#This Row],[productId]],bom[Id],bom[erth],"NA")</f>
        <v>nut4</v>
      </c>
      <c r="P459" s="20" t="str">
        <f>_xlfn.XLOOKUP(packes[[#This Row],[productId]],bom[Id],bom[dbl],"NA")</f>
        <v>-</v>
      </c>
      <c r="Q459" s="20" t="str">
        <f>LEFT(packes[[#This Row],[date]],4)</f>
        <v>1403</v>
      </c>
    </row>
    <row r="460" spans="1:17" s="23" customFormat="1" ht="16.5" x14ac:dyDescent="0.25">
      <c r="A460" s="23">
        <v>458</v>
      </c>
      <c r="B460" s="24" t="s">
        <v>1565</v>
      </c>
      <c r="C460" s="23">
        <v>140310012</v>
      </c>
      <c r="D460" s="23">
        <v>16</v>
      </c>
      <c r="E460" s="27" t="e">
        <v>#VALUE!</v>
      </c>
      <c r="F460" s="27" t="e">
        <v>#VALUE!</v>
      </c>
      <c r="H460" s="486" t="e">
        <v>#VALUE!</v>
      </c>
      <c r="J460" s="487" t="s">
        <v>224</v>
      </c>
      <c r="K460" s="488"/>
      <c r="L460" s="488"/>
      <c r="M460" s="548" t="str">
        <f>_xlfn.XLOOKUP(packes[[#This Row],[productId]],CT[productId],CT[total],"NA")</f>
        <v>NA</v>
      </c>
      <c r="N460" s="20" t="str">
        <f>_xlfn.XLOOKUP(packes[[#This Row],[productId]],bom[Id],bom[ph],"NA")</f>
        <v>4.8ch</v>
      </c>
      <c r="O460" s="20" t="str">
        <f>_xlfn.XLOOKUP(packes[[#This Row],[productId]],bom[Id],bom[erth],"NA")</f>
        <v>-</v>
      </c>
      <c r="P460" s="20" t="str">
        <f>_xlfn.XLOOKUP(packes[[#This Row],[productId]],bom[Id],bom[dbl],"NA")</f>
        <v>-</v>
      </c>
      <c r="Q460" s="20" t="str">
        <f>LEFT(packes[[#This Row],[date]],4)</f>
        <v>1403</v>
      </c>
    </row>
    <row r="461" spans="1:17" s="23" customFormat="1" ht="16.5" x14ac:dyDescent="0.25">
      <c r="A461" s="23">
        <v>459</v>
      </c>
      <c r="B461" s="24" t="s">
        <v>1565</v>
      </c>
      <c r="C461" s="23">
        <v>140310075</v>
      </c>
      <c r="D461" s="23">
        <v>600</v>
      </c>
      <c r="E461" s="27" t="e">
        <v>#VALUE!</v>
      </c>
      <c r="F461" s="27" t="e">
        <v>#VALUE!</v>
      </c>
      <c r="G461" s="23">
        <v>11</v>
      </c>
      <c r="H461" s="486" t="e">
        <v>#VALUE!</v>
      </c>
      <c r="J461" s="487" t="s">
        <v>224</v>
      </c>
      <c r="K461" s="488"/>
      <c r="L461" s="488"/>
      <c r="M461" s="548">
        <f>_xlfn.XLOOKUP(packes[[#This Row],[productId]],CT[productId],CT[total],"NA")</f>
        <v>154.88499999999999</v>
      </c>
      <c r="N461" s="20" t="str">
        <f>_xlfn.XLOOKUP(packes[[#This Row],[productId]],bom[Id],bom[ph],"NA")</f>
        <v>molex</v>
      </c>
      <c r="O461" s="20" t="str">
        <f>_xlfn.XLOOKUP(packes[[#This Row],[productId]],bom[Id],bom[erth],"NA")</f>
        <v>nut4</v>
      </c>
      <c r="P461" s="20" t="str">
        <f>_xlfn.XLOOKUP(packes[[#This Row],[productId]],bom[Id],bom[dbl],"NA")</f>
        <v>-</v>
      </c>
      <c r="Q461" s="20" t="str">
        <f>LEFT(packes[[#This Row],[date]],4)</f>
        <v>1403</v>
      </c>
    </row>
    <row r="462" spans="1:17" s="23" customFormat="1" ht="16.5" x14ac:dyDescent="0.25">
      <c r="A462" s="23">
        <v>460</v>
      </c>
      <c r="B462" s="24" t="s">
        <v>1565</v>
      </c>
      <c r="C462" s="23">
        <v>140310016</v>
      </c>
      <c r="D462" s="23">
        <v>200</v>
      </c>
      <c r="E462" s="27" t="e">
        <v>#VALUE!</v>
      </c>
      <c r="F462" s="27" t="e">
        <v>#VALUE!</v>
      </c>
      <c r="H462" s="486" t="e">
        <v>#VALUE!</v>
      </c>
      <c r="J462" s="487" t="s">
        <v>224</v>
      </c>
      <c r="K462" s="488"/>
      <c r="L462" s="488"/>
      <c r="M462" s="548">
        <f>_xlfn.XLOOKUP(packes[[#This Row],[productId]],CT[productId],CT[total],"NA")</f>
        <v>84.4</v>
      </c>
      <c r="N462" s="20" t="str">
        <f>_xlfn.XLOOKUP(packes[[#This Row],[productId]],bom[Id],bom[ph],"NA")</f>
        <v>hcb</v>
      </c>
      <c r="O462" s="20">
        <f>_xlfn.XLOOKUP(packes[[#This Row],[productId]],bom[Id],bom[erth],"NA")</f>
        <v>0</v>
      </c>
      <c r="P462" s="20" t="str">
        <f>_xlfn.XLOOKUP(packes[[#This Row],[productId]],bom[Id],bom[dbl],"NA")</f>
        <v>splice</v>
      </c>
      <c r="Q462" s="20" t="str">
        <f>LEFT(packes[[#This Row],[date]],4)</f>
        <v>1403</v>
      </c>
    </row>
    <row r="463" spans="1:17" s="23" customFormat="1" ht="16.5" x14ac:dyDescent="0.25">
      <c r="A463" s="23">
        <v>461</v>
      </c>
      <c r="B463" s="24" t="s">
        <v>1566</v>
      </c>
      <c r="C463" s="23">
        <v>140010117</v>
      </c>
      <c r="D463" s="23">
        <v>300</v>
      </c>
      <c r="E463" s="27" t="e">
        <v>#VALUE!</v>
      </c>
      <c r="F463" s="27" t="e">
        <v>#VALUE!</v>
      </c>
      <c r="G463" s="23">
        <v>11</v>
      </c>
      <c r="H463" s="486" t="e">
        <v>#VALUE!</v>
      </c>
      <c r="J463" s="487" t="s">
        <v>224</v>
      </c>
      <c r="K463" s="488"/>
      <c r="L463" s="488"/>
      <c r="M463" s="548">
        <f>_xlfn.XLOOKUP(packes[[#This Row],[productId]],CT[productId],CT[total],"NA")</f>
        <v>98.295000000000016</v>
      </c>
      <c r="N463" s="20" t="str">
        <f>_xlfn.XLOOKUP(packes[[#This Row],[productId]],bom[Id],bom[ph],"NA")</f>
        <v>nar.p</v>
      </c>
      <c r="O463" s="20" t="str">
        <f>_xlfn.XLOOKUP(packes[[#This Row],[productId]],bom[Id],bom[erth],"NA")</f>
        <v>-</v>
      </c>
      <c r="P463" s="20" t="str">
        <f>_xlfn.XLOOKUP(packes[[#This Row],[productId]],bom[Id],bom[dbl],"NA")</f>
        <v>nar.p</v>
      </c>
      <c r="Q463" s="20" t="str">
        <f>LEFT(packes[[#This Row],[date]],4)</f>
        <v>1403</v>
      </c>
    </row>
    <row r="464" spans="1:17" s="23" customFormat="1" ht="16.5" x14ac:dyDescent="0.25">
      <c r="A464" s="23">
        <v>462</v>
      </c>
      <c r="B464" s="24" t="s">
        <v>1566</v>
      </c>
      <c r="C464" s="23">
        <v>140020181</v>
      </c>
      <c r="D464" s="23">
        <v>4575</v>
      </c>
      <c r="E464" s="27" t="e">
        <v>#VALUE!</v>
      </c>
      <c r="F464" s="27" t="e">
        <v>#VALUE!</v>
      </c>
      <c r="G464" s="23">
        <v>11</v>
      </c>
      <c r="H464" s="486" t="e">
        <v>#VALUE!</v>
      </c>
      <c r="I464" s="23">
        <v>12</v>
      </c>
      <c r="J464" s="487">
        <v>3925</v>
      </c>
      <c r="K464" s="488"/>
      <c r="L464" s="488"/>
      <c r="M464" s="548">
        <f>_xlfn.XLOOKUP(packes[[#This Row],[productId]],CT[productId],CT[total],"NA")</f>
        <v>88.929999999999993</v>
      </c>
      <c r="N464" s="20" t="str">
        <f>_xlfn.XLOOKUP(packes[[#This Row],[productId]],bom[Id],bom[ph],"NA")</f>
        <v>VH</v>
      </c>
      <c r="O464" s="20" t="str">
        <f>_xlfn.XLOOKUP(packes[[#This Row],[productId]],bom[Id],bom[erth],"NA")</f>
        <v>nut4</v>
      </c>
      <c r="P464" s="20" t="str">
        <f>_xlfn.XLOOKUP(packes[[#This Row],[productId]],bom[Id],bom[dbl],"NA")</f>
        <v>-</v>
      </c>
      <c r="Q464" s="20" t="str">
        <f>LEFT(packes[[#This Row],[date]],4)</f>
        <v>1403</v>
      </c>
    </row>
    <row r="465" spans="1:17" s="23" customFormat="1" ht="16.5" x14ac:dyDescent="0.25">
      <c r="A465" s="23">
        <v>463</v>
      </c>
      <c r="B465" s="24" t="s">
        <v>1566</v>
      </c>
      <c r="C465" s="23">
        <v>140030039</v>
      </c>
      <c r="D465" s="23">
        <v>100</v>
      </c>
      <c r="E465" s="27" t="e">
        <v>#VALUE!</v>
      </c>
      <c r="F465" s="27" t="e">
        <v>#VALUE!</v>
      </c>
      <c r="G465" s="23">
        <v>11</v>
      </c>
      <c r="H465" s="486" t="e">
        <v>#VALUE!</v>
      </c>
      <c r="J465" s="487" t="s">
        <v>224</v>
      </c>
      <c r="K465" s="488"/>
      <c r="L465" s="488"/>
      <c r="M465" s="548">
        <f>_xlfn.XLOOKUP(packes[[#This Row],[productId]],CT[productId],CT[total],"NA")</f>
        <v>92.504999999999995</v>
      </c>
      <c r="N465" s="20" t="str">
        <f>_xlfn.XLOOKUP(packes[[#This Row],[productId]],bom[Id],bom[ph],"NA")</f>
        <v>YH</v>
      </c>
      <c r="O465" s="20" t="str">
        <f>_xlfn.XLOOKUP(packes[[#This Row],[productId]],bom[Id],bom[erth],"NA")</f>
        <v>sun</v>
      </c>
      <c r="P465" s="20" t="str">
        <f>_xlfn.XLOOKUP(packes[[#This Row],[productId]],bom[Id],bom[dbl],"NA")</f>
        <v>-</v>
      </c>
      <c r="Q465" s="20" t="str">
        <f>LEFT(packes[[#This Row],[date]],4)</f>
        <v>1403</v>
      </c>
    </row>
    <row r="466" spans="1:17" s="23" customFormat="1" ht="16.5" x14ac:dyDescent="0.25">
      <c r="A466" s="23">
        <v>464</v>
      </c>
      <c r="B466" s="24" t="s">
        <v>1566</v>
      </c>
      <c r="C466" s="23">
        <v>140310017</v>
      </c>
      <c r="D466" s="23">
        <v>200</v>
      </c>
      <c r="E466" s="27" t="e">
        <v>#VALUE!</v>
      </c>
      <c r="F466" s="27" t="e">
        <v>#VALUE!</v>
      </c>
      <c r="H466" s="486" t="e">
        <v>#VALUE!</v>
      </c>
      <c r="J466" s="487" t="s">
        <v>224</v>
      </c>
      <c r="K466" s="488"/>
      <c r="L466" s="488"/>
      <c r="M466" s="548">
        <f>_xlfn.XLOOKUP(packes[[#This Row],[productId]],CT[productId],CT[total],"NA")</f>
        <v>83.63000000000001</v>
      </c>
      <c r="N466" s="20" t="str">
        <f>_xlfn.XLOOKUP(packes[[#This Row],[productId]],bom[Id],bom[ph],"NA")</f>
        <v>hcb</v>
      </c>
      <c r="O466" s="20">
        <f>_xlfn.XLOOKUP(packes[[#This Row],[productId]],bom[Id],bom[erth],"NA")</f>
        <v>0</v>
      </c>
      <c r="P466" s="20" t="str">
        <f>_xlfn.XLOOKUP(packes[[#This Row],[productId]],bom[Id],bom[dbl],"NA")</f>
        <v>splice</v>
      </c>
      <c r="Q466" s="20" t="str">
        <f>LEFT(packes[[#This Row],[date]],4)</f>
        <v>1403</v>
      </c>
    </row>
    <row r="467" spans="1:17" s="23" customFormat="1" ht="16.5" x14ac:dyDescent="0.25">
      <c r="A467" s="23">
        <v>465</v>
      </c>
      <c r="B467" s="24" t="s">
        <v>1566</v>
      </c>
      <c r="C467" s="23">
        <v>140310075</v>
      </c>
      <c r="D467" s="23">
        <v>2000</v>
      </c>
      <c r="E467" s="27" t="e">
        <v>#VALUE!</v>
      </c>
      <c r="F467" s="27" t="e">
        <v>#VALUE!</v>
      </c>
      <c r="G467" s="23">
        <v>11</v>
      </c>
      <c r="H467" s="486" t="e">
        <v>#VALUE!</v>
      </c>
      <c r="J467" s="487" t="s">
        <v>224</v>
      </c>
      <c r="K467" s="488"/>
      <c r="L467" s="488"/>
      <c r="M467" s="548">
        <f>_xlfn.XLOOKUP(packes[[#This Row],[productId]],CT[productId],CT[total],"NA")</f>
        <v>154.88499999999999</v>
      </c>
      <c r="N467" s="20" t="str">
        <f>_xlfn.XLOOKUP(packes[[#This Row],[productId]],bom[Id],bom[ph],"NA")</f>
        <v>molex</v>
      </c>
      <c r="O467" s="20" t="str">
        <f>_xlfn.XLOOKUP(packes[[#This Row],[productId]],bom[Id],bom[erth],"NA")</f>
        <v>nut4</v>
      </c>
      <c r="P467" s="20" t="str">
        <f>_xlfn.XLOOKUP(packes[[#This Row],[productId]],bom[Id],bom[dbl],"NA")</f>
        <v>-</v>
      </c>
      <c r="Q467" s="20" t="str">
        <f>LEFT(packes[[#This Row],[date]],4)</f>
        <v>1403</v>
      </c>
    </row>
    <row r="468" spans="1:17" s="23" customFormat="1" ht="16.5" x14ac:dyDescent="0.25">
      <c r="A468" s="23">
        <v>466</v>
      </c>
      <c r="B468" s="24" t="s">
        <v>1567</v>
      </c>
      <c r="C468" s="23">
        <v>140010117</v>
      </c>
      <c r="D468" s="23">
        <v>300</v>
      </c>
      <c r="E468" s="27" t="e">
        <v>#VALUE!</v>
      </c>
      <c r="F468" s="27" t="e">
        <v>#VALUE!</v>
      </c>
      <c r="G468" s="23">
        <v>11</v>
      </c>
      <c r="H468" s="486" t="e">
        <v>#VALUE!</v>
      </c>
      <c r="J468" s="487" t="s">
        <v>224</v>
      </c>
      <c r="K468" s="488"/>
      <c r="L468" s="488"/>
      <c r="M468" s="548">
        <f>_xlfn.XLOOKUP(packes[[#This Row],[productId]],CT[productId],CT[total],"NA")</f>
        <v>98.295000000000016</v>
      </c>
      <c r="N468" s="20" t="str">
        <f>_xlfn.XLOOKUP(packes[[#This Row],[productId]],bom[Id],bom[ph],"NA")</f>
        <v>nar.p</v>
      </c>
      <c r="O468" s="20" t="str">
        <f>_xlfn.XLOOKUP(packes[[#This Row],[productId]],bom[Id],bom[erth],"NA")</f>
        <v>-</v>
      </c>
      <c r="P468" s="20" t="str">
        <f>_xlfn.XLOOKUP(packes[[#This Row],[productId]],bom[Id],bom[dbl],"NA")</f>
        <v>nar.p</v>
      </c>
      <c r="Q468" s="20" t="str">
        <f>LEFT(packes[[#This Row],[date]],4)</f>
        <v>1403</v>
      </c>
    </row>
    <row r="469" spans="1:17" s="23" customFormat="1" ht="16.5" x14ac:dyDescent="0.25">
      <c r="A469" s="23">
        <v>467</v>
      </c>
      <c r="B469" s="24" t="s">
        <v>1567</v>
      </c>
      <c r="C469" s="23">
        <v>140010230</v>
      </c>
      <c r="D469" s="23">
        <v>500</v>
      </c>
      <c r="E469" s="27" t="e">
        <v>#VALUE!</v>
      </c>
      <c r="F469" s="27" t="e">
        <v>#VALUE!</v>
      </c>
      <c r="G469" s="23">
        <v>11</v>
      </c>
      <c r="H469" s="486" t="e">
        <v>#VALUE!</v>
      </c>
      <c r="J469" s="487" t="s">
        <v>224</v>
      </c>
      <c r="K469" s="488"/>
      <c r="L469" s="488"/>
      <c r="M469" s="548">
        <f>_xlfn.XLOOKUP(packes[[#This Row],[productId]],CT[productId],CT[total],"NA")</f>
        <v>147.595</v>
      </c>
      <c r="N469" s="20" t="str">
        <f>_xlfn.XLOOKUP(packes[[#This Row],[productId]],bom[Id],bom[ph],"NA")</f>
        <v>nar.p</v>
      </c>
      <c r="O469" s="20" t="str">
        <f>_xlfn.XLOOKUP(packes[[#This Row],[productId]],bom[Id],bom[erth],"NA")</f>
        <v>-</v>
      </c>
      <c r="P469" s="20" t="str">
        <f>_xlfn.XLOOKUP(packes[[#This Row],[productId]],bom[Id],bom[dbl],"NA")</f>
        <v>nar.p</v>
      </c>
      <c r="Q469" s="20" t="str">
        <f>LEFT(packes[[#This Row],[date]],4)</f>
        <v>1403</v>
      </c>
    </row>
    <row r="470" spans="1:17" s="23" customFormat="1" ht="16.5" x14ac:dyDescent="0.25">
      <c r="A470" s="23">
        <v>468</v>
      </c>
      <c r="B470" s="24" t="s">
        <v>1567</v>
      </c>
      <c r="C470" s="23">
        <v>140030039</v>
      </c>
      <c r="D470" s="23">
        <v>1000</v>
      </c>
      <c r="E470" s="27" t="e">
        <v>#VALUE!</v>
      </c>
      <c r="F470" s="27" t="e">
        <v>#VALUE!</v>
      </c>
      <c r="G470" s="23">
        <v>11</v>
      </c>
      <c r="H470" s="486" t="e">
        <v>#VALUE!</v>
      </c>
      <c r="J470" s="487" t="s">
        <v>224</v>
      </c>
      <c r="K470" s="488"/>
      <c r="L470" s="488"/>
      <c r="M470" s="548">
        <f>_xlfn.XLOOKUP(packes[[#This Row],[productId]],CT[productId],CT[total],"NA")</f>
        <v>92.504999999999995</v>
      </c>
      <c r="N470" s="20" t="str">
        <f>_xlfn.XLOOKUP(packes[[#This Row],[productId]],bom[Id],bom[ph],"NA")</f>
        <v>YH</v>
      </c>
      <c r="O470" s="20" t="str">
        <f>_xlfn.XLOOKUP(packes[[#This Row],[productId]],bom[Id],bom[erth],"NA")</f>
        <v>sun</v>
      </c>
      <c r="P470" s="20" t="str">
        <f>_xlfn.XLOOKUP(packes[[#This Row],[productId]],bom[Id],bom[dbl],"NA")</f>
        <v>-</v>
      </c>
      <c r="Q470" s="20" t="str">
        <f>LEFT(packes[[#This Row],[date]],4)</f>
        <v>1403</v>
      </c>
    </row>
    <row r="471" spans="1:17" s="23" customFormat="1" ht="16.5" x14ac:dyDescent="0.25">
      <c r="A471" s="23">
        <v>469</v>
      </c>
      <c r="B471" s="24" t="s">
        <v>1567</v>
      </c>
      <c r="C471" s="23">
        <v>140030040</v>
      </c>
      <c r="D471" s="23">
        <v>1000</v>
      </c>
      <c r="E471" s="27" t="e">
        <v>#VALUE!</v>
      </c>
      <c r="F471" s="27" t="e">
        <v>#VALUE!</v>
      </c>
      <c r="G471" s="23">
        <v>11</v>
      </c>
      <c r="H471" s="486" t="e">
        <v>#VALUE!</v>
      </c>
      <c r="J471" s="487" t="s">
        <v>224</v>
      </c>
      <c r="K471" s="488"/>
      <c r="L471" s="488"/>
      <c r="M471" s="548">
        <f>_xlfn.XLOOKUP(packes[[#This Row],[productId]],CT[productId],CT[total],"NA")</f>
        <v>97.305000000000007</v>
      </c>
      <c r="N471" s="20" t="str">
        <f>_xlfn.XLOOKUP(packes[[#This Row],[productId]],bom[Id],bom[ph],"NA")</f>
        <v>YH</v>
      </c>
      <c r="O471" s="20" t="str">
        <f>_xlfn.XLOOKUP(packes[[#This Row],[productId]],bom[Id],bom[erth],"NA")</f>
        <v>sun</v>
      </c>
      <c r="P471" s="20" t="str">
        <f>_xlfn.XLOOKUP(packes[[#This Row],[productId]],bom[Id],bom[dbl],"NA")</f>
        <v>-</v>
      </c>
      <c r="Q471" s="20" t="str">
        <f>LEFT(packes[[#This Row],[date]],4)</f>
        <v>1403</v>
      </c>
    </row>
    <row r="472" spans="1:17" s="23" customFormat="1" ht="16.5" x14ac:dyDescent="0.25">
      <c r="A472" s="23">
        <v>470</v>
      </c>
      <c r="B472" s="24" t="s">
        <v>1567</v>
      </c>
      <c r="C472" s="23">
        <v>140310075</v>
      </c>
      <c r="D472" s="23">
        <v>1650</v>
      </c>
      <c r="E472" s="27" t="e">
        <v>#VALUE!</v>
      </c>
      <c r="F472" s="27" t="e">
        <v>#VALUE!</v>
      </c>
      <c r="G472" s="23">
        <v>11</v>
      </c>
      <c r="H472" s="486" t="e">
        <v>#VALUE!</v>
      </c>
      <c r="J472" s="487" t="s">
        <v>224</v>
      </c>
      <c r="K472" s="488"/>
      <c r="L472" s="488"/>
      <c r="M472" s="548">
        <f>_xlfn.XLOOKUP(packes[[#This Row],[productId]],CT[productId],CT[total],"NA")</f>
        <v>154.88499999999999</v>
      </c>
      <c r="N472" s="20" t="str">
        <f>_xlfn.XLOOKUP(packes[[#This Row],[productId]],bom[Id],bom[ph],"NA")</f>
        <v>molex</v>
      </c>
      <c r="O472" s="20" t="str">
        <f>_xlfn.XLOOKUP(packes[[#This Row],[productId]],bom[Id],bom[erth],"NA")</f>
        <v>nut4</v>
      </c>
      <c r="P472" s="20" t="str">
        <f>_xlfn.XLOOKUP(packes[[#This Row],[productId]],bom[Id],bom[dbl],"NA")</f>
        <v>-</v>
      </c>
      <c r="Q472" s="20" t="str">
        <f>LEFT(packes[[#This Row],[date]],4)</f>
        <v>1403</v>
      </c>
    </row>
    <row r="473" spans="1:17" s="23" customFormat="1" ht="16.5" x14ac:dyDescent="0.25">
      <c r="A473" s="23">
        <v>471</v>
      </c>
      <c r="B473" s="24" t="s">
        <v>1567</v>
      </c>
      <c r="C473" s="23">
        <v>140030039</v>
      </c>
      <c r="D473" s="23">
        <v>-200</v>
      </c>
      <c r="E473" s="27" t="e">
        <v>#VALUE!</v>
      </c>
      <c r="F473" s="27" t="e">
        <v>#VALUE!</v>
      </c>
      <c r="G473" s="23">
        <v>11</v>
      </c>
      <c r="H473" s="486" t="e">
        <v>#VALUE!</v>
      </c>
      <c r="J473" s="487" t="s">
        <v>224</v>
      </c>
      <c r="K473" s="488"/>
      <c r="L473" s="488"/>
      <c r="M473" s="548">
        <f>_xlfn.XLOOKUP(packes[[#This Row],[productId]],CT[productId],CT[total],"NA")</f>
        <v>92.504999999999995</v>
      </c>
      <c r="N473" s="20" t="str">
        <f>_xlfn.XLOOKUP(packes[[#This Row],[productId]],bom[Id],bom[ph],"NA")</f>
        <v>YH</v>
      </c>
      <c r="O473" s="20" t="str">
        <f>_xlfn.XLOOKUP(packes[[#This Row],[productId]],bom[Id],bom[erth],"NA")</f>
        <v>sun</v>
      </c>
      <c r="P473" s="20" t="str">
        <f>_xlfn.XLOOKUP(packes[[#This Row],[productId]],bom[Id],bom[dbl],"NA")</f>
        <v>-</v>
      </c>
      <c r="Q473" s="20" t="str">
        <f>LEFT(packes[[#This Row],[date]],4)</f>
        <v>1403</v>
      </c>
    </row>
    <row r="474" spans="1:17" s="23" customFormat="1" ht="16.5" x14ac:dyDescent="0.25">
      <c r="A474" s="23">
        <v>472</v>
      </c>
      <c r="B474" s="24" t="s">
        <v>1567</v>
      </c>
      <c r="C474" s="23">
        <v>140030040</v>
      </c>
      <c r="D474" s="23">
        <v>200</v>
      </c>
      <c r="E474" s="27" t="e">
        <v>#VALUE!</v>
      </c>
      <c r="F474" s="27" t="e">
        <v>#VALUE!</v>
      </c>
      <c r="G474" s="23">
        <v>12</v>
      </c>
      <c r="H474" s="486" t="e">
        <v>#VALUE!</v>
      </c>
      <c r="J474" s="487" t="s">
        <v>224</v>
      </c>
      <c r="K474" s="488"/>
      <c r="L474" s="488"/>
      <c r="M474" s="548">
        <f>_xlfn.XLOOKUP(packes[[#This Row],[productId]],CT[productId],CT[total],"NA")</f>
        <v>97.305000000000007</v>
      </c>
      <c r="N474" s="20" t="str">
        <f>_xlfn.XLOOKUP(packes[[#This Row],[productId]],bom[Id],bom[ph],"NA")</f>
        <v>YH</v>
      </c>
      <c r="O474" s="20" t="str">
        <f>_xlfn.XLOOKUP(packes[[#This Row],[productId]],bom[Id],bom[erth],"NA")</f>
        <v>sun</v>
      </c>
      <c r="P474" s="20" t="str">
        <f>_xlfn.XLOOKUP(packes[[#This Row],[productId]],bom[Id],bom[dbl],"NA")</f>
        <v>-</v>
      </c>
      <c r="Q474" s="20" t="str">
        <f>LEFT(packes[[#This Row],[date]],4)</f>
        <v>1403</v>
      </c>
    </row>
    <row r="475" spans="1:17" s="23" customFormat="1" ht="16.5" x14ac:dyDescent="0.25">
      <c r="A475" s="23">
        <v>473</v>
      </c>
      <c r="B475" s="24" t="s">
        <v>204</v>
      </c>
      <c r="C475" s="23">
        <v>140010117</v>
      </c>
      <c r="D475" s="23">
        <v>300</v>
      </c>
      <c r="E475" s="27" t="e">
        <v>#VALUE!</v>
      </c>
      <c r="F475" s="27" t="e">
        <v>#VALUE!</v>
      </c>
      <c r="G475" s="23">
        <v>11</v>
      </c>
      <c r="H475" s="486" t="e">
        <v>#VALUE!</v>
      </c>
      <c r="J475" s="487" t="s">
        <v>224</v>
      </c>
      <c r="K475" s="488"/>
      <c r="L475" s="488"/>
      <c r="M475" s="548">
        <f>_xlfn.XLOOKUP(packes[[#This Row],[productId]],CT[productId],CT[total],"NA")</f>
        <v>98.295000000000016</v>
      </c>
      <c r="N475" s="20" t="str">
        <f>_xlfn.XLOOKUP(packes[[#This Row],[productId]],bom[Id],bom[ph],"NA")</f>
        <v>nar.p</v>
      </c>
      <c r="O475" s="20" t="str">
        <f>_xlfn.XLOOKUP(packes[[#This Row],[productId]],bom[Id],bom[erth],"NA")</f>
        <v>-</v>
      </c>
      <c r="P475" s="20" t="str">
        <f>_xlfn.XLOOKUP(packes[[#This Row],[productId]],bom[Id],bom[dbl],"NA")</f>
        <v>nar.p</v>
      </c>
      <c r="Q475" s="20" t="str">
        <f>LEFT(packes[[#This Row],[date]],4)</f>
        <v>1403</v>
      </c>
    </row>
    <row r="476" spans="1:17" s="23" customFormat="1" ht="16.5" x14ac:dyDescent="0.25">
      <c r="A476" s="23">
        <v>474</v>
      </c>
      <c r="B476" s="24" t="s">
        <v>204</v>
      </c>
      <c r="C476" s="23">
        <v>140010230</v>
      </c>
      <c r="D476" s="23">
        <v>750</v>
      </c>
      <c r="E476" s="27" t="e">
        <v>#VALUE!</v>
      </c>
      <c r="F476" s="27" t="e">
        <v>#VALUE!</v>
      </c>
      <c r="G476" s="23">
        <v>11</v>
      </c>
      <c r="H476" s="486" t="e">
        <v>#VALUE!</v>
      </c>
      <c r="J476" s="487" t="s">
        <v>224</v>
      </c>
      <c r="K476" s="488"/>
      <c r="L476" s="488"/>
      <c r="M476" s="548">
        <f>_xlfn.XLOOKUP(packes[[#This Row],[productId]],CT[productId],CT[total],"NA")</f>
        <v>147.595</v>
      </c>
      <c r="N476" s="20" t="str">
        <f>_xlfn.XLOOKUP(packes[[#This Row],[productId]],bom[Id],bom[ph],"NA")</f>
        <v>nar.p</v>
      </c>
      <c r="O476" s="20" t="str">
        <f>_xlfn.XLOOKUP(packes[[#This Row],[productId]],bom[Id],bom[erth],"NA")</f>
        <v>-</v>
      </c>
      <c r="P476" s="20" t="str">
        <f>_xlfn.XLOOKUP(packes[[#This Row],[productId]],bom[Id],bom[dbl],"NA")</f>
        <v>nar.p</v>
      </c>
      <c r="Q476" s="20" t="str">
        <f>LEFT(packes[[#This Row],[date]],4)</f>
        <v>1403</v>
      </c>
    </row>
    <row r="477" spans="1:17" s="23" customFormat="1" ht="16.5" x14ac:dyDescent="0.25">
      <c r="A477" s="23">
        <v>475</v>
      </c>
      <c r="B477" s="24" t="s">
        <v>204</v>
      </c>
      <c r="C477" s="23">
        <v>140020196</v>
      </c>
      <c r="D477" s="23">
        <v>500</v>
      </c>
      <c r="E477" s="27" t="e">
        <v>#VALUE!</v>
      </c>
      <c r="F477" s="27" t="e">
        <v>#VALUE!</v>
      </c>
      <c r="G477" s="23">
        <v>11</v>
      </c>
      <c r="H477" s="486" t="e">
        <v>#VALUE!</v>
      </c>
      <c r="J477" s="487" t="s">
        <v>224</v>
      </c>
      <c r="K477" s="488"/>
      <c r="L477" s="488"/>
      <c r="M477" s="548" t="str">
        <f>_xlfn.XLOOKUP(packes[[#This Row],[productId]],CT[productId],CT[total],"NA")</f>
        <v>NA</v>
      </c>
      <c r="N477" s="20" t="str">
        <f>_xlfn.XLOOKUP(packes[[#This Row],[productId]],bom[Id],bom[ph],"NA")</f>
        <v>molex</v>
      </c>
      <c r="O477" s="20" t="str">
        <f>_xlfn.XLOOKUP(packes[[#This Row],[productId]],bom[Id],bom[erth],"NA")</f>
        <v>nut4</v>
      </c>
      <c r="P477" s="20" t="str">
        <f>_xlfn.XLOOKUP(packes[[#This Row],[productId]],bom[Id],bom[dbl],"NA")</f>
        <v>-</v>
      </c>
      <c r="Q477" s="20" t="str">
        <f>LEFT(packes[[#This Row],[date]],4)</f>
        <v>1403</v>
      </c>
    </row>
    <row r="478" spans="1:17" s="23" customFormat="1" ht="16.5" x14ac:dyDescent="0.25">
      <c r="A478" s="23">
        <v>476</v>
      </c>
      <c r="B478" s="24" t="s">
        <v>204</v>
      </c>
      <c r="C478" s="23">
        <v>140030039</v>
      </c>
      <c r="D478" s="23">
        <v>300</v>
      </c>
      <c r="E478" s="27" t="e">
        <v>#VALUE!</v>
      </c>
      <c r="F478" s="27" t="e">
        <v>#VALUE!</v>
      </c>
      <c r="G478" s="23">
        <v>11</v>
      </c>
      <c r="H478" s="486" t="e">
        <v>#VALUE!</v>
      </c>
      <c r="J478" s="487" t="s">
        <v>224</v>
      </c>
      <c r="K478" s="488"/>
      <c r="L478" s="488"/>
      <c r="M478" s="548">
        <f>_xlfn.XLOOKUP(packes[[#This Row],[productId]],CT[productId],CT[total],"NA")</f>
        <v>92.504999999999995</v>
      </c>
      <c r="N478" s="20" t="str">
        <f>_xlfn.XLOOKUP(packes[[#This Row],[productId]],bom[Id],bom[ph],"NA")</f>
        <v>YH</v>
      </c>
      <c r="O478" s="20" t="str">
        <f>_xlfn.XLOOKUP(packes[[#This Row],[productId]],bom[Id],bom[erth],"NA")</f>
        <v>sun</v>
      </c>
      <c r="P478" s="20" t="str">
        <f>_xlfn.XLOOKUP(packes[[#This Row],[productId]],bom[Id],bom[dbl],"NA")</f>
        <v>-</v>
      </c>
      <c r="Q478" s="20" t="str">
        <f>LEFT(packes[[#This Row],[date]],4)</f>
        <v>1403</v>
      </c>
    </row>
    <row r="479" spans="1:17" s="23" customFormat="1" ht="16.5" x14ac:dyDescent="0.25">
      <c r="A479" s="23">
        <v>477</v>
      </c>
      <c r="B479" s="24" t="s">
        <v>204</v>
      </c>
      <c r="C479" s="23">
        <v>140030040</v>
      </c>
      <c r="D479" s="23">
        <v>600</v>
      </c>
      <c r="E479" s="27" t="e">
        <v>#VALUE!</v>
      </c>
      <c r="F479" s="27" t="e">
        <v>#VALUE!</v>
      </c>
      <c r="G479" s="23">
        <v>11</v>
      </c>
      <c r="H479" s="486" t="e">
        <v>#VALUE!</v>
      </c>
      <c r="J479" s="487" t="s">
        <v>224</v>
      </c>
      <c r="K479" s="488"/>
      <c r="L479" s="488"/>
      <c r="M479" s="548">
        <f>_xlfn.XLOOKUP(packes[[#This Row],[productId]],CT[productId],CT[total],"NA")</f>
        <v>97.305000000000007</v>
      </c>
      <c r="N479" s="20" t="str">
        <f>_xlfn.XLOOKUP(packes[[#This Row],[productId]],bom[Id],bom[ph],"NA")</f>
        <v>YH</v>
      </c>
      <c r="O479" s="20" t="str">
        <f>_xlfn.XLOOKUP(packes[[#This Row],[productId]],bom[Id],bom[erth],"NA")</f>
        <v>sun</v>
      </c>
      <c r="P479" s="20" t="str">
        <f>_xlfn.XLOOKUP(packes[[#This Row],[productId]],bom[Id],bom[dbl],"NA")</f>
        <v>-</v>
      </c>
      <c r="Q479" s="20" t="str">
        <f>LEFT(packes[[#This Row],[date]],4)</f>
        <v>1403</v>
      </c>
    </row>
    <row r="480" spans="1:17" s="23" customFormat="1" ht="16.5" x14ac:dyDescent="0.25">
      <c r="A480" s="23">
        <v>478</v>
      </c>
      <c r="B480" s="24" t="s">
        <v>214</v>
      </c>
      <c r="C480" s="23">
        <v>140010117</v>
      </c>
      <c r="D480" s="23">
        <v>600</v>
      </c>
      <c r="E480" s="27" t="e">
        <v>#VALUE!</v>
      </c>
      <c r="F480" s="27" t="e">
        <v>#VALUE!</v>
      </c>
      <c r="G480" s="23">
        <v>11</v>
      </c>
      <c r="H480" s="486" t="e">
        <v>#VALUE!</v>
      </c>
      <c r="J480" s="487" t="s">
        <v>224</v>
      </c>
      <c r="K480" s="488"/>
      <c r="L480" s="488"/>
      <c r="M480" s="548">
        <f>_xlfn.XLOOKUP(packes[[#This Row],[productId]],CT[productId],CT[total],"NA")</f>
        <v>98.295000000000016</v>
      </c>
      <c r="N480" s="20" t="str">
        <f>_xlfn.XLOOKUP(packes[[#This Row],[productId]],bom[Id],bom[ph],"NA")</f>
        <v>nar.p</v>
      </c>
      <c r="O480" s="20" t="str">
        <f>_xlfn.XLOOKUP(packes[[#This Row],[productId]],bom[Id],bom[erth],"NA")</f>
        <v>-</v>
      </c>
      <c r="P480" s="20" t="str">
        <f>_xlfn.XLOOKUP(packes[[#This Row],[productId]],bom[Id],bom[dbl],"NA")</f>
        <v>nar.p</v>
      </c>
      <c r="Q480" s="20" t="str">
        <f>LEFT(packes[[#This Row],[date]],4)</f>
        <v>1403</v>
      </c>
    </row>
    <row r="481" spans="1:17" s="23" customFormat="1" ht="16.5" x14ac:dyDescent="0.25">
      <c r="A481" s="23">
        <v>479</v>
      </c>
      <c r="B481" s="24" t="s">
        <v>214</v>
      </c>
      <c r="C481" s="23">
        <v>140010230</v>
      </c>
      <c r="D481" s="23">
        <v>1000</v>
      </c>
      <c r="E481" s="27" t="e">
        <v>#VALUE!</v>
      </c>
      <c r="F481" s="27" t="e">
        <v>#VALUE!</v>
      </c>
      <c r="G481" s="23">
        <v>11</v>
      </c>
      <c r="H481" s="486" t="e">
        <v>#VALUE!</v>
      </c>
      <c r="J481" s="487" t="s">
        <v>224</v>
      </c>
      <c r="K481" s="488"/>
      <c r="L481" s="488"/>
      <c r="M481" s="548">
        <f>_xlfn.XLOOKUP(packes[[#This Row],[productId]],CT[productId],CT[total],"NA")</f>
        <v>147.595</v>
      </c>
      <c r="N481" s="20" t="str">
        <f>_xlfn.XLOOKUP(packes[[#This Row],[productId]],bom[Id],bom[ph],"NA")</f>
        <v>nar.p</v>
      </c>
      <c r="O481" s="20" t="str">
        <f>_xlfn.XLOOKUP(packes[[#This Row],[productId]],bom[Id],bom[erth],"NA")</f>
        <v>-</v>
      </c>
      <c r="P481" s="20" t="str">
        <f>_xlfn.XLOOKUP(packes[[#This Row],[productId]],bom[Id],bom[dbl],"NA")</f>
        <v>nar.p</v>
      </c>
      <c r="Q481" s="20" t="str">
        <f>LEFT(packes[[#This Row],[date]],4)</f>
        <v>1403</v>
      </c>
    </row>
    <row r="482" spans="1:17" s="23" customFormat="1" ht="16.5" x14ac:dyDescent="0.25">
      <c r="A482" s="23">
        <v>480</v>
      </c>
      <c r="B482" s="24" t="s">
        <v>214</v>
      </c>
      <c r="C482" s="23">
        <v>140030039</v>
      </c>
      <c r="D482" s="23">
        <v>300</v>
      </c>
      <c r="E482" s="27" t="e">
        <v>#VALUE!</v>
      </c>
      <c r="F482" s="27" t="e">
        <v>#VALUE!</v>
      </c>
      <c r="G482" s="23">
        <v>11</v>
      </c>
      <c r="H482" s="486" t="e">
        <v>#VALUE!</v>
      </c>
      <c r="J482" s="487" t="s">
        <v>224</v>
      </c>
      <c r="K482" s="488"/>
      <c r="L482" s="488"/>
      <c r="M482" s="548">
        <f>_xlfn.XLOOKUP(packes[[#This Row],[productId]],CT[productId],CT[total],"NA")</f>
        <v>92.504999999999995</v>
      </c>
      <c r="N482" s="20" t="str">
        <f>_xlfn.XLOOKUP(packes[[#This Row],[productId]],bom[Id],bom[ph],"NA")</f>
        <v>YH</v>
      </c>
      <c r="O482" s="20" t="str">
        <f>_xlfn.XLOOKUP(packes[[#This Row],[productId]],bom[Id],bom[erth],"NA")</f>
        <v>sun</v>
      </c>
      <c r="P482" s="20" t="str">
        <f>_xlfn.XLOOKUP(packes[[#This Row],[productId]],bom[Id],bom[dbl],"NA")</f>
        <v>-</v>
      </c>
      <c r="Q482" s="20" t="str">
        <f>LEFT(packes[[#This Row],[date]],4)</f>
        <v>1403</v>
      </c>
    </row>
    <row r="483" spans="1:17" s="23" customFormat="1" ht="16.5" x14ac:dyDescent="0.25">
      <c r="A483" s="23">
        <v>481</v>
      </c>
      <c r="B483" s="24" t="s">
        <v>214</v>
      </c>
      <c r="C483" s="23">
        <v>140310058</v>
      </c>
      <c r="D483" s="23">
        <v>2100</v>
      </c>
      <c r="E483" s="27" t="e">
        <v>#VALUE!</v>
      </c>
      <c r="F483" s="27" t="e">
        <v>#VALUE!</v>
      </c>
      <c r="G483" s="23">
        <v>11</v>
      </c>
      <c r="H483" s="486" t="e">
        <v>#VALUE!</v>
      </c>
      <c r="J483" s="487" t="s">
        <v>224</v>
      </c>
      <c r="K483" s="488"/>
      <c r="L483" s="488"/>
      <c r="M483" s="548">
        <f>_xlfn.XLOOKUP(packes[[#This Row],[productId]],CT[productId],CT[total],"NA")</f>
        <v>147.595</v>
      </c>
      <c r="N483" s="20" t="str">
        <f>_xlfn.XLOOKUP(packes[[#This Row],[productId]],bom[Id],bom[ph],"NA")</f>
        <v>nar.p</v>
      </c>
      <c r="O483" s="20" t="str">
        <f>_xlfn.XLOOKUP(packes[[#This Row],[productId]],bom[Id],bom[erth],"NA")</f>
        <v>nar.p</v>
      </c>
      <c r="P483" s="20" t="str">
        <f>_xlfn.XLOOKUP(packes[[#This Row],[productId]],bom[Id],bom[dbl],"NA")</f>
        <v>nar.p</v>
      </c>
      <c r="Q483" s="20" t="str">
        <f>LEFT(packes[[#This Row],[date]],4)</f>
        <v>1403</v>
      </c>
    </row>
    <row r="484" spans="1:17" s="23" customFormat="1" ht="16.5" x14ac:dyDescent="0.25">
      <c r="A484" s="23">
        <v>482</v>
      </c>
      <c r="B484" s="24" t="s">
        <v>214</v>
      </c>
      <c r="C484" s="23">
        <v>140310075</v>
      </c>
      <c r="D484" s="23">
        <v>250</v>
      </c>
      <c r="E484" s="27" t="e">
        <v>#VALUE!</v>
      </c>
      <c r="F484" s="27" t="e">
        <v>#VALUE!</v>
      </c>
      <c r="G484" s="23">
        <v>11</v>
      </c>
      <c r="H484" s="486" t="e">
        <v>#VALUE!</v>
      </c>
      <c r="J484" s="487" t="s">
        <v>224</v>
      </c>
      <c r="K484" s="488"/>
      <c r="L484" s="488"/>
      <c r="M484" s="548">
        <f>_xlfn.XLOOKUP(packes[[#This Row],[productId]],CT[productId],CT[total],"NA")</f>
        <v>154.88499999999999</v>
      </c>
      <c r="N484" s="20" t="str">
        <f>_xlfn.XLOOKUP(packes[[#This Row],[productId]],bom[Id],bom[ph],"NA")</f>
        <v>molex</v>
      </c>
      <c r="O484" s="20" t="str">
        <f>_xlfn.XLOOKUP(packes[[#This Row],[productId]],bom[Id],bom[erth],"NA")</f>
        <v>nut4</v>
      </c>
      <c r="P484" s="20" t="str">
        <f>_xlfn.XLOOKUP(packes[[#This Row],[productId]],bom[Id],bom[dbl],"NA")</f>
        <v>-</v>
      </c>
      <c r="Q484" s="20" t="str">
        <f>LEFT(packes[[#This Row],[date]],4)</f>
        <v>1403</v>
      </c>
    </row>
    <row r="485" spans="1:17" s="23" customFormat="1" ht="16.5" x14ac:dyDescent="0.25">
      <c r="A485" s="23">
        <v>483</v>
      </c>
      <c r="B485" s="24" t="s">
        <v>214</v>
      </c>
      <c r="C485" s="23">
        <v>140450027</v>
      </c>
      <c r="D485" s="23">
        <v>1200</v>
      </c>
      <c r="E485" s="27" t="e">
        <v>#VALUE!</v>
      </c>
      <c r="F485" s="27" t="e">
        <v>#VALUE!</v>
      </c>
      <c r="G485" s="23">
        <v>11</v>
      </c>
      <c r="H485" s="486" t="e">
        <v>#VALUE!</v>
      </c>
      <c r="J485" s="487" t="s">
        <v>224</v>
      </c>
      <c r="K485" s="488"/>
      <c r="L485" s="488"/>
      <c r="M485" s="548">
        <f>_xlfn.XLOOKUP(packes[[#This Row],[productId]],CT[productId],CT[total],"NA")</f>
        <v>103.66</v>
      </c>
      <c r="N485" s="20" t="str">
        <f>_xlfn.XLOOKUP(packes[[#This Row],[productId]],bom[Id],bom[ph],"NA")</f>
        <v>VH</v>
      </c>
      <c r="O485" s="20" t="str">
        <f>_xlfn.XLOOKUP(packes[[#This Row],[productId]],bom[Id],bom[erth],"NA")</f>
        <v>nut4</v>
      </c>
      <c r="P485" s="20">
        <f>_xlfn.XLOOKUP(packes[[#This Row],[productId]],bom[Id],bom[dbl],"NA")</f>
        <v>0</v>
      </c>
      <c r="Q485" s="20" t="str">
        <f>LEFT(packes[[#This Row],[date]],4)</f>
        <v>1403</v>
      </c>
    </row>
    <row r="486" spans="1:17" s="23" customFormat="1" ht="16.5" x14ac:dyDescent="0.25">
      <c r="A486" s="23">
        <v>484</v>
      </c>
      <c r="B486" s="24" t="s">
        <v>212</v>
      </c>
      <c r="C486" s="23">
        <v>140010117</v>
      </c>
      <c r="D486" s="23">
        <v>1200</v>
      </c>
      <c r="E486" s="27" t="e">
        <v>#VALUE!</v>
      </c>
      <c r="F486" s="27" t="e">
        <v>#VALUE!</v>
      </c>
      <c r="G486" s="23">
        <v>11</v>
      </c>
      <c r="H486" s="486" t="e">
        <v>#VALUE!</v>
      </c>
      <c r="J486" s="487" t="s">
        <v>224</v>
      </c>
      <c r="K486" s="488"/>
      <c r="L486" s="488"/>
      <c r="M486" s="548">
        <f>_xlfn.XLOOKUP(packes[[#This Row],[productId]],CT[productId],CT[total],"NA")</f>
        <v>98.295000000000016</v>
      </c>
      <c r="N486" s="20" t="str">
        <f>_xlfn.XLOOKUP(packes[[#This Row],[productId]],bom[Id],bom[ph],"NA")</f>
        <v>nar.p</v>
      </c>
      <c r="O486" s="20" t="str">
        <f>_xlfn.XLOOKUP(packes[[#This Row],[productId]],bom[Id],bom[erth],"NA")</f>
        <v>-</v>
      </c>
      <c r="P486" s="20" t="str">
        <f>_xlfn.XLOOKUP(packes[[#This Row],[productId]],bom[Id],bom[dbl],"NA")</f>
        <v>nar.p</v>
      </c>
      <c r="Q486" s="20" t="str">
        <f>LEFT(packes[[#This Row],[date]],4)</f>
        <v>1403</v>
      </c>
    </row>
    <row r="487" spans="1:17" s="23" customFormat="1" ht="16.5" x14ac:dyDescent="0.25">
      <c r="A487" s="23">
        <v>485</v>
      </c>
      <c r="B487" s="24" t="s">
        <v>212</v>
      </c>
      <c r="C487" s="23">
        <v>140010255</v>
      </c>
      <c r="D487" s="23">
        <v>500</v>
      </c>
      <c r="E487" s="27" t="e">
        <v>#VALUE!</v>
      </c>
      <c r="F487" s="27" t="e">
        <v>#VALUE!</v>
      </c>
      <c r="G487" s="23">
        <v>11</v>
      </c>
      <c r="H487" s="486" t="e">
        <v>#VALUE!</v>
      </c>
      <c r="J487" s="487" t="s">
        <v>224</v>
      </c>
      <c r="K487" s="488"/>
      <c r="L487" s="488"/>
      <c r="M487" s="548">
        <f>_xlfn.XLOOKUP(packes[[#This Row],[productId]],CT[productId],CT[total],"NA")</f>
        <v>95.575000000000003</v>
      </c>
      <c r="N487" s="20" t="str">
        <f>_xlfn.XLOOKUP(packes[[#This Row],[productId]],bom[Id],bom[ph],"NA")</f>
        <v>-</v>
      </c>
      <c r="O487" s="20" t="str">
        <f>_xlfn.XLOOKUP(packes[[#This Row],[productId]],bom[Id],bom[erth],"NA")</f>
        <v>-</v>
      </c>
      <c r="P487" s="20" t="str">
        <f>_xlfn.XLOOKUP(packes[[#This Row],[productId]],bom[Id],bom[dbl],"NA")</f>
        <v>6.3flat</v>
      </c>
      <c r="Q487" s="20" t="str">
        <f>LEFT(packes[[#This Row],[date]],4)</f>
        <v>1403</v>
      </c>
    </row>
    <row r="488" spans="1:17" s="23" customFormat="1" ht="16.5" x14ac:dyDescent="0.25">
      <c r="A488" s="23">
        <v>486</v>
      </c>
      <c r="B488" s="24" t="s">
        <v>212</v>
      </c>
      <c r="C488" s="23">
        <v>140030039</v>
      </c>
      <c r="D488" s="23">
        <v>2200</v>
      </c>
      <c r="E488" s="27" t="e">
        <v>#VALUE!</v>
      </c>
      <c r="F488" s="27" t="e">
        <v>#VALUE!</v>
      </c>
      <c r="G488" s="23">
        <v>11</v>
      </c>
      <c r="H488" s="486" t="e">
        <v>#VALUE!</v>
      </c>
      <c r="J488" s="487" t="s">
        <v>224</v>
      </c>
      <c r="K488" s="488"/>
      <c r="L488" s="488"/>
      <c r="M488" s="548">
        <f>_xlfn.XLOOKUP(packes[[#This Row],[productId]],CT[productId],CT[total],"NA")</f>
        <v>92.504999999999995</v>
      </c>
      <c r="N488" s="20" t="str">
        <f>_xlfn.XLOOKUP(packes[[#This Row],[productId]],bom[Id],bom[ph],"NA")</f>
        <v>YH</v>
      </c>
      <c r="O488" s="20" t="str">
        <f>_xlfn.XLOOKUP(packes[[#This Row],[productId]],bom[Id],bom[erth],"NA")</f>
        <v>sun</v>
      </c>
      <c r="P488" s="20" t="str">
        <f>_xlfn.XLOOKUP(packes[[#This Row],[productId]],bom[Id],bom[dbl],"NA")</f>
        <v>-</v>
      </c>
      <c r="Q488" s="20" t="str">
        <f>LEFT(packes[[#This Row],[date]],4)</f>
        <v>1403</v>
      </c>
    </row>
    <row r="489" spans="1:17" s="23" customFormat="1" ht="16.5" x14ac:dyDescent="0.25">
      <c r="A489" s="23">
        <v>487</v>
      </c>
      <c r="B489" s="24" t="s">
        <v>212</v>
      </c>
      <c r="C489" s="23">
        <v>140030040</v>
      </c>
      <c r="D489" s="23">
        <v>300</v>
      </c>
      <c r="E489" s="27" t="e">
        <v>#VALUE!</v>
      </c>
      <c r="F489" s="27" t="e">
        <v>#VALUE!</v>
      </c>
      <c r="G489" s="23">
        <v>11</v>
      </c>
      <c r="H489" s="486" t="e">
        <v>#VALUE!</v>
      </c>
      <c r="J489" s="487" t="s">
        <v>224</v>
      </c>
      <c r="K489" s="488"/>
      <c r="L489" s="488"/>
      <c r="M489" s="548">
        <f>_xlfn.XLOOKUP(packes[[#This Row],[productId]],CT[productId],CT[total],"NA")</f>
        <v>97.305000000000007</v>
      </c>
      <c r="N489" s="20" t="str">
        <f>_xlfn.XLOOKUP(packes[[#This Row],[productId]],bom[Id],bom[ph],"NA")</f>
        <v>YH</v>
      </c>
      <c r="O489" s="20" t="str">
        <f>_xlfn.XLOOKUP(packes[[#This Row],[productId]],bom[Id],bom[erth],"NA")</f>
        <v>sun</v>
      </c>
      <c r="P489" s="20" t="str">
        <f>_xlfn.XLOOKUP(packes[[#This Row],[productId]],bom[Id],bom[dbl],"NA")</f>
        <v>-</v>
      </c>
      <c r="Q489" s="20" t="str">
        <f>LEFT(packes[[#This Row],[date]],4)</f>
        <v>1403</v>
      </c>
    </row>
    <row r="490" spans="1:17" s="23" customFormat="1" ht="16.5" x14ac:dyDescent="0.25">
      <c r="A490" s="23">
        <v>488</v>
      </c>
      <c r="B490" s="24" t="s">
        <v>212</v>
      </c>
      <c r="C490" s="23">
        <v>140310007</v>
      </c>
      <c r="D490" s="23">
        <v>800</v>
      </c>
      <c r="E490" s="27" t="e">
        <v>#VALUE!</v>
      </c>
      <c r="F490" s="27" t="e">
        <v>#VALUE!</v>
      </c>
      <c r="G490" s="23">
        <v>11</v>
      </c>
      <c r="H490" s="486" t="e">
        <v>#VALUE!</v>
      </c>
      <c r="J490" s="487" t="s">
        <v>224</v>
      </c>
      <c r="K490" s="488"/>
      <c r="L490" s="488"/>
      <c r="M490" s="548">
        <f>_xlfn.XLOOKUP(packes[[#This Row],[productId]],CT[productId],CT[total],"NA")</f>
        <v>92.484999999999999</v>
      </c>
      <c r="N490" s="20" t="str">
        <f>_xlfn.XLOOKUP(packes[[#This Row],[productId]],bom[Id],bom[ph],"NA")</f>
        <v>-</v>
      </c>
      <c r="O490" s="20" t="str">
        <f>_xlfn.XLOOKUP(packes[[#This Row],[productId]],bom[Id],bom[erth],"NA")</f>
        <v>nut4</v>
      </c>
      <c r="P490" s="20" t="str">
        <f>_xlfn.XLOOKUP(packes[[#This Row],[productId]],bom[Id],bom[dbl],"NA")</f>
        <v>-</v>
      </c>
      <c r="Q490" s="20" t="str">
        <f>LEFT(packes[[#This Row],[date]],4)</f>
        <v>1403</v>
      </c>
    </row>
    <row r="491" spans="1:17" s="23" customFormat="1" ht="16.5" x14ac:dyDescent="0.25">
      <c r="A491" s="23">
        <v>489</v>
      </c>
      <c r="B491" s="24" t="s">
        <v>212</v>
      </c>
      <c r="C491" s="23">
        <v>140310058</v>
      </c>
      <c r="D491" s="23">
        <v>1050</v>
      </c>
      <c r="E491" s="27" t="e">
        <v>#VALUE!</v>
      </c>
      <c r="F491" s="27" t="e">
        <v>#VALUE!</v>
      </c>
      <c r="G491" s="23">
        <v>11</v>
      </c>
      <c r="H491" s="486" t="e">
        <v>#VALUE!</v>
      </c>
      <c r="J491" s="487" t="s">
        <v>224</v>
      </c>
      <c r="K491" s="488"/>
      <c r="L491" s="488"/>
      <c r="M491" s="548">
        <f>_xlfn.XLOOKUP(packes[[#This Row],[productId]],CT[productId],CT[total],"NA")</f>
        <v>147.595</v>
      </c>
      <c r="N491" s="20" t="str">
        <f>_xlfn.XLOOKUP(packes[[#This Row],[productId]],bom[Id],bom[ph],"NA")</f>
        <v>nar.p</v>
      </c>
      <c r="O491" s="20" t="str">
        <f>_xlfn.XLOOKUP(packes[[#This Row],[productId]],bom[Id],bom[erth],"NA")</f>
        <v>nar.p</v>
      </c>
      <c r="P491" s="20" t="str">
        <f>_xlfn.XLOOKUP(packes[[#This Row],[productId]],bom[Id],bom[dbl],"NA")</f>
        <v>nar.p</v>
      </c>
      <c r="Q491" s="20" t="str">
        <f>LEFT(packes[[#This Row],[date]],4)</f>
        <v>1403</v>
      </c>
    </row>
    <row r="492" spans="1:17" s="23" customFormat="1" ht="16.5" x14ac:dyDescent="0.25">
      <c r="A492" s="23">
        <v>490</v>
      </c>
      <c r="B492" s="24" t="s">
        <v>212</v>
      </c>
      <c r="C492" s="23">
        <v>140450027</v>
      </c>
      <c r="D492" s="23">
        <v>593</v>
      </c>
      <c r="E492" s="27" t="e">
        <v>#VALUE!</v>
      </c>
      <c r="F492" s="27" t="e">
        <v>#VALUE!</v>
      </c>
      <c r="G492" s="23">
        <v>11</v>
      </c>
      <c r="H492" s="486" t="e">
        <v>#VALUE!</v>
      </c>
      <c r="J492" s="487" t="s">
        <v>224</v>
      </c>
      <c r="K492" s="488"/>
      <c r="L492" s="488"/>
      <c r="M492" s="548">
        <f>_xlfn.XLOOKUP(packes[[#This Row],[productId]],CT[productId],CT[total],"NA")</f>
        <v>103.66</v>
      </c>
      <c r="N492" s="20" t="str">
        <f>_xlfn.XLOOKUP(packes[[#This Row],[productId]],bom[Id],bom[ph],"NA")</f>
        <v>VH</v>
      </c>
      <c r="O492" s="20" t="str">
        <f>_xlfn.XLOOKUP(packes[[#This Row],[productId]],bom[Id],bom[erth],"NA")</f>
        <v>nut4</v>
      </c>
      <c r="P492" s="20">
        <f>_xlfn.XLOOKUP(packes[[#This Row],[productId]],bom[Id],bom[dbl],"NA")</f>
        <v>0</v>
      </c>
      <c r="Q492" s="20" t="str">
        <f>LEFT(packes[[#This Row],[date]],4)</f>
        <v>1403</v>
      </c>
    </row>
    <row r="493" spans="1:17" s="23" customFormat="1" ht="16.5" x14ac:dyDescent="0.25">
      <c r="A493" s="23">
        <v>491</v>
      </c>
      <c r="B493" s="24" t="s">
        <v>1568</v>
      </c>
      <c r="C493" s="23">
        <v>140010117</v>
      </c>
      <c r="D493" s="23">
        <v>3750</v>
      </c>
      <c r="E493" s="27" t="e">
        <v>#VALUE!</v>
      </c>
      <c r="F493" s="27" t="e">
        <v>#VALUE!</v>
      </c>
      <c r="G493" s="23">
        <v>11</v>
      </c>
      <c r="H493" s="486" t="e">
        <v>#VALUE!</v>
      </c>
      <c r="J493" s="487" t="s">
        <v>224</v>
      </c>
      <c r="K493" s="488"/>
      <c r="L493" s="488"/>
      <c r="M493" s="548">
        <f>_xlfn.XLOOKUP(packes[[#This Row],[productId]],CT[productId],CT[total],"NA")</f>
        <v>98.295000000000016</v>
      </c>
      <c r="N493" s="20" t="str">
        <f>_xlfn.XLOOKUP(packes[[#This Row],[productId]],bom[Id],bom[ph],"NA")</f>
        <v>nar.p</v>
      </c>
      <c r="O493" s="20" t="str">
        <f>_xlfn.XLOOKUP(packes[[#This Row],[productId]],bom[Id],bom[erth],"NA")</f>
        <v>-</v>
      </c>
      <c r="P493" s="20" t="str">
        <f>_xlfn.XLOOKUP(packes[[#This Row],[productId]],bom[Id],bom[dbl],"NA")</f>
        <v>nar.p</v>
      </c>
      <c r="Q493" s="20" t="str">
        <f>LEFT(packes[[#This Row],[date]],4)</f>
        <v>1403</v>
      </c>
    </row>
    <row r="494" spans="1:17" s="23" customFormat="1" ht="16.5" x14ac:dyDescent="0.25">
      <c r="A494" s="23">
        <v>492</v>
      </c>
      <c r="B494" s="24" t="s">
        <v>1568</v>
      </c>
      <c r="C494" s="23">
        <v>140030039</v>
      </c>
      <c r="D494" s="23">
        <v>500</v>
      </c>
      <c r="E494" s="27" t="e">
        <v>#VALUE!</v>
      </c>
      <c r="F494" s="27" t="e">
        <v>#VALUE!</v>
      </c>
      <c r="G494" s="23">
        <v>11</v>
      </c>
      <c r="H494" s="486" t="e">
        <v>#VALUE!</v>
      </c>
      <c r="I494" s="23">
        <v>12</v>
      </c>
      <c r="J494" s="487">
        <v>100</v>
      </c>
      <c r="K494" s="488"/>
      <c r="L494" s="488"/>
      <c r="M494" s="548">
        <f>_xlfn.XLOOKUP(packes[[#This Row],[productId]],CT[productId],CT[total],"NA")</f>
        <v>92.504999999999995</v>
      </c>
      <c r="N494" s="20" t="str">
        <f>_xlfn.XLOOKUP(packes[[#This Row],[productId]],bom[Id],bom[ph],"NA")</f>
        <v>YH</v>
      </c>
      <c r="O494" s="20" t="str">
        <f>_xlfn.XLOOKUP(packes[[#This Row],[productId]],bom[Id],bom[erth],"NA")</f>
        <v>sun</v>
      </c>
      <c r="P494" s="20" t="str">
        <f>_xlfn.XLOOKUP(packes[[#This Row],[productId]],bom[Id],bom[dbl],"NA")</f>
        <v>-</v>
      </c>
      <c r="Q494" s="20" t="str">
        <f>LEFT(packes[[#This Row],[date]],4)</f>
        <v>1403</v>
      </c>
    </row>
    <row r="495" spans="1:17" s="23" customFormat="1" ht="16.5" x14ac:dyDescent="0.25">
      <c r="A495" s="23">
        <v>493</v>
      </c>
      <c r="B495" s="24" t="s">
        <v>1568</v>
      </c>
      <c r="C495" s="23">
        <v>140030040</v>
      </c>
      <c r="D495" s="23">
        <v>300</v>
      </c>
      <c r="E495" s="27" t="e">
        <v>#VALUE!</v>
      </c>
      <c r="F495" s="27" t="e">
        <v>#VALUE!</v>
      </c>
      <c r="G495" s="23">
        <v>11</v>
      </c>
      <c r="H495" s="486" t="e">
        <v>#VALUE!</v>
      </c>
      <c r="J495" s="487" t="s">
        <v>224</v>
      </c>
      <c r="K495" s="488"/>
      <c r="L495" s="488"/>
      <c r="M495" s="548">
        <f>_xlfn.XLOOKUP(packes[[#This Row],[productId]],CT[productId],CT[total],"NA")</f>
        <v>97.305000000000007</v>
      </c>
      <c r="N495" s="20" t="str">
        <f>_xlfn.XLOOKUP(packes[[#This Row],[productId]],bom[Id],bom[ph],"NA")</f>
        <v>YH</v>
      </c>
      <c r="O495" s="20" t="str">
        <f>_xlfn.XLOOKUP(packes[[#This Row],[productId]],bom[Id],bom[erth],"NA")</f>
        <v>sun</v>
      </c>
      <c r="P495" s="20" t="str">
        <f>_xlfn.XLOOKUP(packes[[#This Row],[productId]],bom[Id],bom[dbl],"NA")</f>
        <v>-</v>
      </c>
      <c r="Q495" s="20" t="str">
        <f>LEFT(packes[[#This Row],[date]],4)</f>
        <v>1403</v>
      </c>
    </row>
    <row r="496" spans="1:17" s="23" customFormat="1" ht="16.5" x14ac:dyDescent="0.25">
      <c r="A496" s="23">
        <v>494</v>
      </c>
      <c r="B496" s="24" t="s">
        <v>1568</v>
      </c>
      <c r="C496" s="23">
        <v>140310007</v>
      </c>
      <c r="D496" s="23">
        <v>2300</v>
      </c>
      <c r="E496" s="27" t="e">
        <v>#VALUE!</v>
      </c>
      <c r="F496" s="27" t="e">
        <v>#VALUE!</v>
      </c>
      <c r="G496" s="23">
        <v>12</v>
      </c>
      <c r="H496" s="486" t="e">
        <v>#VALUE!</v>
      </c>
      <c r="J496" s="487" t="s">
        <v>224</v>
      </c>
      <c r="K496" s="488"/>
      <c r="L496" s="488"/>
      <c r="M496" s="548">
        <f>_xlfn.XLOOKUP(packes[[#This Row],[productId]],CT[productId],CT[total],"NA")</f>
        <v>92.484999999999999</v>
      </c>
      <c r="N496" s="20" t="str">
        <f>_xlfn.XLOOKUP(packes[[#This Row],[productId]],bom[Id],bom[ph],"NA")</f>
        <v>-</v>
      </c>
      <c r="O496" s="20" t="str">
        <f>_xlfn.XLOOKUP(packes[[#This Row],[productId]],bom[Id],bom[erth],"NA")</f>
        <v>nut4</v>
      </c>
      <c r="P496" s="20" t="str">
        <f>_xlfn.XLOOKUP(packes[[#This Row],[productId]],bom[Id],bom[dbl],"NA")</f>
        <v>-</v>
      </c>
      <c r="Q496" s="20" t="str">
        <f>LEFT(packes[[#This Row],[date]],4)</f>
        <v>1403</v>
      </c>
    </row>
    <row r="497" spans="1:17" s="23" customFormat="1" ht="16.5" x14ac:dyDescent="0.25">
      <c r="A497" s="23">
        <v>495</v>
      </c>
      <c r="B497" s="24" t="s">
        <v>1568</v>
      </c>
      <c r="C497" s="23">
        <v>140450039</v>
      </c>
      <c r="D497" s="23">
        <v>5950</v>
      </c>
      <c r="E497" s="27" t="e">
        <v>#VALUE!</v>
      </c>
      <c r="F497" s="27" t="e">
        <v>#VALUE!</v>
      </c>
      <c r="G497" s="23">
        <v>12</v>
      </c>
      <c r="H497" s="486" t="e">
        <v>#VALUE!</v>
      </c>
      <c r="J497" s="487" t="s">
        <v>224</v>
      </c>
      <c r="K497" s="488"/>
      <c r="L497" s="488"/>
      <c r="M497" s="548" t="str">
        <f>_xlfn.XLOOKUP(packes[[#This Row],[productId]],CT[productId],CT[total],"NA")</f>
        <v>NA</v>
      </c>
      <c r="N497" s="20" t="str">
        <f>_xlfn.XLOOKUP(packes[[#This Row],[productId]],bom[Id],bom[ph],"NA")</f>
        <v>6.3ch</v>
      </c>
      <c r="O497" s="20" t="str">
        <f>_xlfn.XLOOKUP(packes[[#This Row],[productId]],bom[Id],bom[erth],"NA")</f>
        <v>6.3ch</v>
      </c>
      <c r="P497" s="20" t="str">
        <f>_xlfn.XLOOKUP(packes[[#This Row],[productId]],bom[Id],bom[dbl],"NA")</f>
        <v>-</v>
      </c>
      <c r="Q497" s="20" t="str">
        <f>LEFT(packes[[#This Row],[date]],4)</f>
        <v>1403</v>
      </c>
    </row>
    <row r="498" spans="1:17" s="23" customFormat="1" ht="16.5" x14ac:dyDescent="0.25">
      <c r="A498" s="23">
        <v>496</v>
      </c>
      <c r="B498" s="24" t="s">
        <v>1569</v>
      </c>
      <c r="C498" s="23">
        <v>140010117</v>
      </c>
      <c r="D498" s="23">
        <v>4500</v>
      </c>
      <c r="E498" s="27" t="e">
        <v>#VALUE!</v>
      </c>
      <c r="F498" s="27" t="e">
        <v>#VALUE!</v>
      </c>
      <c r="G498" s="23">
        <v>11</v>
      </c>
      <c r="H498" s="486" t="e">
        <v>#VALUE!</v>
      </c>
      <c r="J498" s="487" t="s">
        <v>224</v>
      </c>
      <c r="K498" s="488"/>
      <c r="L498" s="488"/>
      <c r="M498" s="548">
        <f>_xlfn.XLOOKUP(packes[[#This Row],[productId]],CT[productId],CT[total],"NA")</f>
        <v>98.295000000000016</v>
      </c>
      <c r="N498" s="20" t="str">
        <f>_xlfn.XLOOKUP(packes[[#This Row],[productId]],bom[Id],bom[ph],"NA")</f>
        <v>nar.p</v>
      </c>
      <c r="O498" s="20" t="str">
        <f>_xlfn.XLOOKUP(packes[[#This Row],[productId]],bom[Id],bom[erth],"NA")</f>
        <v>-</v>
      </c>
      <c r="P498" s="20" t="str">
        <f>_xlfn.XLOOKUP(packes[[#This Row],[productId]],bom[Id],bom[dbl],"NA")</f>
        <v>nar.p</v>
      </c>
      <c r="Q498" s="20" t="str">
        <f>LEFT(packes[[#This Row],[date]],4)</f>
        <v>1403</v>
      </c>
    </row>
    <row r="499" spans="1:17" s="23" customFormat="1" ht="16.5" x14ac:dyDescent="0.25">
      <c r="A499" s="23">
        <v>497</v>
      </c>
      <c r="B499" s="24" t="s">
        <v>1569</v>
      </c>
      <c r="C499" s="23">
        <v>140030039</v>
      </c>
      <c r="D499" s="23">
        <v>400</v>
      </c>
      <c r="E499" s="27" t="e">
        <v>#VALUE!</v>
      </c>
      <c r="F499" s="27" t="e">
        <v>#VALUE!</v>
      </c>
      <c r="G499" s="23">
        <v>12</v>
      </c>
      <c r="H499" s="486" t="e">
        <v>#VALUE!</v>
      </c>
      <c r="J499" s="487" t="s">
        <v>224</v>
      </c>
      <c r="K499" s="488"/>
      <c r="L499" s="488"/>
      <c r="M499" s="548">
        <f>_xlfn.XLOOKUP(packes[[#This Row],[productId]],CT[productId],CT[total],"NA")</f>
        <v>92.504999999999995</v>
      </c>
      <c r="N499" s="20" t="str">
        <f>_xlfn.XLOOKUP(packes[[#This Row],[productId]],bom[Id],bom[ph],"NA")</f>
        <v>YH</v>
      </c>
      <c r="O499" s="20" t="str">
        <f>_xlfn.XLOOKUP(packes[[#This Row],[productId]],bom[Id],bom[erth],"NA")</f>
        <v>sun</v>
      </c>
      <c r="P499" s="20" t="str">
        <f>_xlfn.XLOOKUP(packes[[#This Row],[productId]],bom[Id],bom[dbl],"NA")</f>
        <v>-</v>
      </c>
      <c r="Q499" s="20" t="str">
        <f>LEFT(packes[[#This Row],[date]],4)</f>
        <v>1403</v>
      </c>
    </row>
    <row r="500" spans="1:17" s="23" customFormat="1" ht="16.5" x14ac:dyDescent="0.25">
      <c r="A500" s="23">
        <v>498</v>
      </c>
      <c r="B500" s="24" t="s">
        <v>1569</v>
      </c>
      <c r="C500" s="23">
        <v>140030040</v>
      </c>
      <c r="D500" s="23">
        <v>600</v>
      </c>
      <c r="E500" s="27" t="e">
        <v>#VALUE!</v>
      </c>
      <c r="F500" s="27" t="e">
        <v>#VALUE!</v>
      </c>
      <c r="G500" s="23">
        <v>11</v>
      </c>
      <c r="H500" s="486" t="e">
        <v>#VALUE!</v>
      </c>
      <c r="J500" s="487" t="s">
        <v>224</v>
      </c>
      <c r="K500" s="488"/>
      <c r="L500" s="488"/>
      <c r="M500" s="548">
        <f>_xlfn.XLOOKUP(packes[[#This Row],[productId]],CT[productId],CT[total],"NA")</f>
        <v>97.305000000000007</v>
      </c>
      <c r="N500" s="20" t="str">
        <f>_xlfn.XLOOKUP(packes[[#This Row],[productId]],bom[Id],bom[ph],"NA")</f>
        <v>YH</v>
      </c>
      <c r="O500" s="20" t="str">
        <f>_xlfn.XLOOKUP(packes[[#This Row],[productId]],bom[Id],bom[erth],"NA")</f>
        <v>sun</v>
      </c>
      <c r="P500" s="20" t="str">
        <f>_xlfn.XLOOKUP(packes[[#This Row],[productId]],bom[Id],bom[dbl],"NA")</f>
        <v>-</v>
      </c>
      <c r="Q500" s="20" t="str">
        <f>LEFT(packes[[#This Row],[date]],4)</f>
        <v>1403</v>
      </c>
    </row>
    <row r="501" spans="1:17" s="23" customFormat="1" ht="16.5" x14ac:dyDescent="0.25">
      <c r="A501" s="23">
        <v>499</v>
      </c>
      <c r="B501" s="24" t="s">
        <v>1569</v>
      </c>
      <c r="C501" s="23">
        <v>140310007</v>
      </c>
      <c r="D501" s="23">
        <v>1500</v>
      </c>
      <c r="E501" s="27" t="e">
        <v>#VALUE!</v>
      </c>
      <c r="F501" s="27" t="e">
        <v>#VALUE!</v>
      </c>
      <c r="G501" s="23">
        <v>12</v>
      </c>
      <c r="H501" s="486" t="e">
        <v>#VALUE!</v>
      </c>
      <c r="J501" s="487" t="s">
        <v>224</v>
      </c>
      <c r="K501" s="488"/>
      <c r="L501" s="488"/>
      <c r="M501" s="548">
        <f>_xlfn.XLOOKUP(packes[[#This Row],[productId]],CT[productId],CT[total],"NA")</f>
        <v>92.484999999999999</v>
      </c>
      <c r="N501" s="20" t="str">
        <f>_xlfn.XLOOKUP(packes[[#This Row],[productId]],bom[Id],bom[ph],"NA")</f>
        <v>-</v>
      </c>
      <c r="O501" s="20" t="str">
        <f>_xlfn.XLOOKUP(packes[[#This Row],[productId]],bom[Id],bom[erth],"NA")</f>
        <v>nut4</v>
      </c>
      <c r="P501" s="20" t="str">
        <f>_xlfn.XLOOKUP(packes[[#This Row],[productId]],bom[Id],bom[dbl],"NA")</f>
        <v>-</v>
      </c>
      <c r="Q501" s="20" t="str">
        <f>LEFT(packes[[#This Row],[date]],4)</f>
        <v>1403</v>
      </c>
    </row>
    <row r="502" spans="1:17" s="23" customFormat="1" ht="16.5" x14ac:dyDescent="0.25">
      <c r="A502" s="23">
        <v>500</v>
      </c>
      <c r="B502" s="24" t="s">
        <v>1569</v>
      </c>
      <c r="C502" s="23">
        <v>140310058</v>
      </c>
      <c r="D502" s="23">
        <v>600</v>
      </c>
      <c r="E502" s="27" t="e">
        <v>#VALUE!</v>
      </c>
      <c r="F502" s="27" t="e">
        <v>#VALUE!</v>
      </c>
      <c r="G502" s="23">
        <v>11</v>
      </c>
      <c r="H502" s="486" t="e">
        <v>#VALUE!</v>
      </c>
      <c r="J502" s="487" t="s">
        <v>224</v>
      </c>
      <c r="K502" s="488"/>
      <c r="L502" s="488"/>
      <c r="M502" s="548">
        <f>_xlfn.XLOOKUP(packes[[#This Row],[productId]],CT[productId],CT[total],"NA")</f>
        <v>147.595</v>
      </c>
      <c r="N502" s="20" t="str">
        <f>_xlfn.XLOOKUP(packes[[#This Row],[productId]],bom[Id],bom[ph],"NA")</f>
        <v>nar.p</v>
      </c>
      <c r="O502" s="20" t="str">
        <f>_xlfn.XLOOKUP(packes[[#This Row],[productId]],bom[Id],bom[erth],"NA")</f>
        <v>nar.p</v>
      </c>
      <c r="P502" s="20" t="str">
        <f>_xlfn.XLOOKUP(packes[[#This Row],[productId]],bom[Id],bom[dbl],"NA")</f>
        <v>nar.p</v>
      </c>
      <c r="Q502" s="20" t="str">
        <f>LEFT(packes[[#This Row],[date]],4)</f>
        <v>1403</v>
      </c>
    </row>
    <row r="503" spans="1:17" s="23" customFormat="1" ht="16.5" x14ac:dyDescent="0.25">
      <c r="A503" s="23">
        <v>501</v>
      </c>
      <c r="B503" s="24" t="s">
        <v>1570</v>
      </c>
      <c r="C503" s="23">
        <v>140010117</v>
      </c>
      <c r="D503" s="23">
        <v>1950</v>
      </c>
      <c r="E503" s="27" t="e">
        <v>#VALUE!</v>
      </c>
      <c r="F503" s="27" t="e">
        <v>#VALUE!</v>
      </c>
      <c r="G503" s="23">
        <v>11</v>
      </c>
      <c r="H503" s="486" t="e">
        <v>#VALUE!</v>
      </c>
      <c r="J503" s="487" t="s">
        <v>224</v>
      </c>
      <c r="K503" s="488"/>
      <c r="L503" s="488"/>
      <c r="M503" s="548">
        <f>_xlfn.XLOOKUP(packes[[#This Row],[productId]],CT[productId],CT[total],"NA")</f>
        <v>98.295000000000016</v>
      </c>
      <c r="N503" s="20" t="str">
        <f>_xlfn.XLOOKUP(packes[[#This Row],[productId]],bom[Id],bom[ph],"NA")</f>
        <v>nar.p</v>
      </c>
      <c r="O503" s="20" t="str">
        <f>_xlfn.XLOOKUP(packes[[#This Row],[productId]],bom[Id],bom[erth],"NA")</f>
        <v>-</v>
      </c>
      <c r="P503" s="20" t="str">
        <f>_xlfn.XLOOKUP(packes[[#This Row],[productId]],bom[Id],bom[dbl],"NA")</f>
        <v>nar.p</v>
      </c>
      <c r="Q503" s="20" t="str">
        <f>LEFT(packes[[#This Row],[date]],4)</f>
        <v>1403</v>
      </c>
    </row>
    <row r="504" spans="1:17" s="23" customFormat="1" ht="16.5" x14ac:dyDescent="0.25">
      <c r="A504" s="23">
        <v>502</v>
      </c>
      <c r="B504" s="24" t="s">
        <v>1570</v>
      </c>
      <c r="C504" s="23">
        <v>140020181</v>
      </c>
      <c r="D504" s="23">
        <v>4500</v>
      </c>
      <c r="E504" s="27" t="e">
        <v>#VALUE!</v>
      </c>
      <c r="F504" s="27" t="e">
        <v>#VALUE!</v>
      </c>
      <c r="G504" s="23">
        <v>12</v>
      </c>
      <c r="H504" s="486" t="e">
        <v>#VALUE!</v>
      </c>
      <c r="J504" s="487" t="s">
        <v>224</v>
      </c>
      <c r="K504" s="488"/>
      <c r="L504" s="488"/>
      <c r="M504" s="548">
        <f>_xlfn.XLOOKUP(packes[[#This Row],[productId]],CT[productId],CT[total],"NA")</f>
        <v>88.929999999999993</v>
      </c>
      <c r="N504" s="20" t="str">
        <f>_xlfn.XLOOKUP(packes[[#This Row],[productId]],bom[Id],bom[ph],"NA")</f>
        <v>VH</v>
      </c>
      <c r="O504" s="20" t="str">
        <f>_xlfn.XLOOKUP(packes[[#This Row],[productId]],bom[Id],bom[erth],"NA")</f>
        <v>nut4</v>
      </c>
      <c r="P504" s="20" t="str">
        <f>_xlfn.XLOOKUP(packes[[#This Row],[productId]],bom[Id],bom[dbl],"NA")</f>
        <v>-</v>
      </c>
      <c r="Q504" s="20" t="str">
        <f>LEFT(packes[[#This Row],[date]],4)</f>
        <v>1403</v>
      </c>
    </row>
    <row r="505" spans="1:17" s="23" customFormat="1" ht="16.5" x14ac:dyDescent="0.25">
      <c r="A505" s="23">
        <v>503</v>
      </c>
      <c r="B505" s="24" t="s">
        <v>1570</v>
      </c>
      <c r="C505" s="23">
        <v>140090143</v>
      </c>
      <c r="D505" s="23">
        <v>91</v>
      </c>
      <c r="E505" s="27" t="e">
        <v>#VALUE!</v>
      </c>
      <c r="F505" s="27" t="e">
        <v>#VALUE!</v>
      </c>
      <c r="G505" s="23">
        <v>11</v>
      </c>
      <c r="H505" s="486" t="e">
        <v>#VALUE!</v>
      </c>
      <c r="J505" s="487" t="s">
        <v>224</v>
      </c>
      <c r="K505" s="488"/>
      <c r="L505" s="488"/>
      <c r="M505" s="548">
        <f>_xlfn.XLOOKUP(packes[[#This Row],[productId]],CT[productId],CT[total],"NA")</f>
        <v>233.215</v>
      </c>
      <c r="N505" s="20" t="str">
        <f>_xlfn.XLOOKUP(packes[[#This Row],[productId]],bom[Id],bom[ph],"NA")</f>
        <v>molex</v>
      </c>
      <c r="O505" s="20" t="str">
        <f>_xlfn.XLOOKUP(packes[[#This Row],[productId]],bom[Id],bom[erth],"NA")</f>
        <v>-</v>
      </c>
      <c r="P505" s="20" t="str">
        <f>_xlfn.XLOOKUP(packes[[#This Row],[productId]],bom[Id],bom[dbl],"NA")</f>
        <v>splice</v>
      </c>
      <c r="Q505" s="20" t="str">
        <f>LEFT(packes[[#This Row],[date]],4)</f>
        <v>1403</v>
      </c>
    </row>
    <row r="506" spans="1:17" s="23" customFormat="1" ht="16.5" x14ac:dyDescent="0.25">
      <c r="A506" s="23">
        <v>504</v>
      </c>
      <c r="B506" s="24" t="s">
        <v>1570</v>
      </c>
      <c r="C506" s="23">
        <v>140220012</v>
      </c>
      <c r="D506" s="23">
        <v>118</v>
      </c>
      <c r="E506" s="27" t="e">
        <v>#VALUE!</v>
      </c>
      <c r="F506" s="27" t="e">
        <v>#VALUE!</v>
      </c>
      <c r="G506" s="23">
        <v>10</v>
      </c>
      <c r="H506" s="486" t="e">
        <v>#VALUE!</v>
      </c>
      <c r="J506" s="487" t="s">
        <v>224</v>
      </c>
      <c r="K506" s="488"/>
      <c r="L506" s="488"/>
      <c r="M506" s="548">
        <f>_xlfn.XLOOKUP(packes[[#This Row],[productId]],CT[productId],CT[total],"NA")</f>
        <v>192.86500000000001</v>
      </c>
      <c r="N506" s="20" t="str">
        <f>_xlfn.XLOOKUP(packes[[#This Row],[productId]],bom[Id],bom[ph],"NA")</f>
        <v>flag</v>
      </c>
      <c r="O506" s="20" t="str">
        <f>_xlfn.XLOOKUP(packes[[#This Row],[productId]],bom[Id],bom[erth],"NA")</f>
        <v>sun</v>
      </c>
      <c r="P506" s="20" t="str">
        <f>_xlfn.XLOOKUP(packes[[#This Row],[productId]],bom[Id],bom[dbl],"NA")</f>
        <v>-</v>
      </c>
      <c r="Q506" s="20" t="str">
        <f>LEFT(packes[[#This Row],[date]],4)</f>
        <v>1403</v>
      </c>
    </row>
    <row r="507" spans="1:17" s="23" customFormat="1" ht="16.5" x14ac:dyDescent="0.25">
      <c r="A507" s="23">
        <v>505</v>
      </c>
      <c r="B507" s="24" t="s">
        <v>1570</v>
      </c>
      <c r="C507" s="23">
        <v>140310007</v>
      </c>
      <c r="D507" s="23">
        <v>1200</v>
      </c>
      <c r="E507" s="27" t="e">
        <v>#VALUE!</v>
      </c>
      <c r="F507" s="27" t="e">
        <v>#VALUE!</v>
      </c>
      <c r="G507" s="23">
        <v>12</v>
      </c>
      <c r="H507" s="486" t="e">
        <v>#VALUE!</v>
      </c>
      <c r="J507" s="487" t="s">
        <v>224</v>
      </c>
      <c r="K507" s="488"/>
      <c r="L507" s="488"/>
      <c r="M507" s="548">
        <f>_xlfn.XLOOKUP(packes[[#This Row],[productId]],CT[productId],CT[total],"NA")</f>
        <v>92.484999999999999</v>
      </c>
      <c r="N507" s="20" t="str">
        <f>_xlfn.XLOOKUP(packes[[#This Row],[productId]],bom[Id],bom[ph],"NA")</f>
        <v>-</v>
      </c>
      <c r="O507" s="20" t="str">
        <f>_xlfn.XLOOKUP(packes[[#This Row],[productId]],bom[Id],bom[erth],"NA")</f>
        <v>nut4</v>
      </c>
      <c r="P507" s="20" t="str">
        <f>_xlfn.XLOOKUP(packes[[#This Row],[productId]],bom[Id],bom[dbl],"NA")</f>
        <v>-</v>
      </c>
      <c r="Q507" s="20" t="str">
        <f>LEFT(packes[[#This Row],[date]],4)</f>
        <v>1403</v>
      </c>
    </row>
    <row r="508" spans="1:17" s="23" customFormat="1" ht="16.5" x14ac:dyDescent="0.25">
      <c r="A508" s="23">
        <v>506</v>
      </c>
      <c r="B508" s="24" t="s">
        <v>1570</v>
      </c>
      <c r="C508" s="23">
        <v>140310058</v>
      </c>
      <c r="D508" s="23">
        <v>850</v>
      </c>
      <c r="E508" s="27" t="e">
        <v>#VALUE!</v>
      </c>
      <c r="F508" s="27" t="e">
        <v>#VALUE!</v>
      </c>
      <c r="G508" s="23">
        <v>11</v>
      </c>
      <c r="H508" s="486" t="e">
        <v>#VALUE!</v>
      </c>
      <c r="J508" s="487" t="s">
        <v>224</v>
      </c>
      <c r="K508" s="488"/>
      <c r="L508" s="488"/>
      <c r="M508" s="548">
        <f>_xlfn.XLOOKUP(packes[[#This Row],[productId]],CT[productId],CT[total],"NA")</f>
        <v>147.595</v>
      </c>
      <c r="N508" s="20" t="str">
        <f>_xlfn.XLOOKUP(packes[[#This Row],[productId]],bom[Id],bom[ph],"NA")</f>
        <v>nar.p</v>
      </c>
      <c r="O508" s="20" t="str">
        <f>_xlfn.XLOOKUP(packes[[#This Row],[productId]],bom[Id],bom[erth],"NA")</f>
        <v>nar.p</v>
      </c>
      <c r="P508" s="20" t="str">
        <f>_xlfn.XLOOKUP(packes[[#This Row],[productId]],bom[Id],bom[dbl],"NA")</f>
        <v>nar.p</v>
      </c>
      <c r="Q508" s="20" t="str">
        <f>LEFT(packes[[#This Row],[date]],4)</f>
        <v>1403</v>
      </c>
    </row>
    <row r="509" spans="1:17" s="23" customFormat="1" ht="16.5" x14ac:dyDescent="0.25">
      <c r="A509" s="23">
        <v>507</v>
      </c>
      <c r="B509" s="24" t="s">
        <v>1570</v>
      </c>
      <c r="C509" s="23">
        <v>140550060</v>
      </c>
      <c r="D509" s="23">
        <v>100</v>
      </c>
      <c r="E509" s="27" t="e">
        <v>#VALUE!</v>
      </c>
      <c r="F509" s="27" t="e">
        <v>#VALUE!</v>
      </c>
      <c r="G509" s="23">
        <v>8</v>
      </c>
      <c r="H509" s="486" t="e">
        <v>#VALUE!</v>
      </c>
      <c r="J509" s="487" t="s">
        <v>224</v>
      </c>
      <c r="K509" s="488"/>
      <c r="L509" s="488"/>
      <c r="M509" s="548">
        <f>_xlfn.XLOOKUP(packes[[#This Row],[productId]],CT[productId],CT[total],"NA")</f>
        <v>81.220000000000013</v>
      </c>
      <c r="N509" s="20" t="str">
        <f>_xlfn.XLOOKUP(packes[[#This Row],[productId]],bom[Id],bom[ph],"NA")</f>
        <v>radio</v>
      </c>
      <c r="O509" s="20" t="str">
        <f>_xlfn.XLOOKUP(packes[[#This Row],[productId]],bom[Id],bom[erth],"NA")</f>
        <v>-</v>
      </c>
      <c r="P509" s="20" t="str">
        <f>_xlfn.XLOOKUP(packes[[#This Row],[productId]],bom[Id],bom[dbl],"NA")</f>
        <v>-</v>
      </c>
      <c r="Q509" s="20" t="str">
        <f>LEFT(packes[[#This Row],[date]],4)</f>
        <v>1403</v>
      </c>
    </row>
    <row r="510" spans="1:17" s="23" customFormat="1" ht="16.5" x14ac:dyDescent="0.25">
      <c r="A510" s="23">
        <v>508</v>
      </c>
      <c r="B510" s="24" t="s">
        <v>1571</v>
      </c>
      <c r="C510" s="23">
        <v>140020181</v>
      </c>
      <c r="D510" s="23">
        <v>1950</v>
      </c>
      <c r="E510" s="27" t="e">
        <v>#VALUE!</v>
      </c>
      <c r="F510" s="27" t="e">
        <v>#VALUE!</v>
      </c>
      <c r="G510" s="23">
        <v>12</v>
      </c>
      <c r="H510" s="486" t="e">
        <v>#VALUE!</v>
      </c>
      <c r="J510" s="487" t="s">
        <v>224</v>
      </c>
      <c r="K510" s="488"/>
      <c r="L510" s="488"/>
      <c r="M510" s="548">
        <f>_xlfn.XLOOKUP(packes[[#This Row],[productId]],CT[productId],CT[total],"NA")</f>
        <v>88.929999999999993</v>
      </c>
      <c r="N510" s="20" t="str">
        <f>_xlfn.XLOOKUP(packes[[#This Row],[productId]],bom[Id],bom[ph],"NA")</f>
        <v>VH</v>
      </c>
      <c r="O510" s="20" t="str">
        <f>_xlfn.XLOOKUP(packes[[#This Row],[productId]],bom[Id],bom[erth],"NA")</f>
        <v>nut4</v>
      </c>
      <c r="P510" s="20" t="str">
        <f>_xlfn.XLOOKUP(packes[[#This Row],[productId]],bom[Id],bom[dbl],"NA")</f>
        <v>-</v>
      </c>
      <c r="Q510" s="20" t="str">
        <f>LEFT(packes[[#This Row],[date]],4)</f>
        <v>1403</v>
      </c>
    </row>
    <row r="511" spans="1:17" s="23" customFormat="1" ht="16.5" x14ac:dyDescent="0.25">
      <c r="A511" s="23">
        <v>509</v>
      </c>
      <c r="B511" s="24" t="s">
        <v>1571</v>
      </c>
      <c r="C511" s="23">
        <v>140030039</v>
      </c>
      <c r="D511" s="23">
        <v>300</v>
      </c>
      <c r="E511" s="27" t="e">
        <v>#VALUE!</v>
      </c>
      <c r="F511" s="27" t="e">
        <v>#VALUE!</v>
      </c>
      <c r="G511" s="23">
        <v>12</v>
      </c>
      <c r="H511" s="486" t="e">
        <v>#VALUE!</v>
      </c>
      <c r="J511" s="487" t="s">
        <v>224</v>
      </c>
      <c r="K511" s="488"/>
      <c r="L511" s="488"/>
      <c r="M511" s="548">
        <f>_xlfn.XLOOKUP(packes[[#This Row],[productId]],CT[productId],CT[total],"NA")</f>
        <v>92.504999999999995</v>
      </c>
      <c r="N511" s="20" t="str">
        <f>_xlfn.XLOOKUP(packes[[#This Row],[productId]],bom[Id],bom[ph],"NA")</f>
        <v>YH</v>
      </c>
      <c r="O511" s="20" t="str">
        <f>_xlfn.XLOOKUP(packes[[#This Row],[productId]],bom[Id],bom[erth],"NA")</f>
        <v>sun</v>
      </c>
      <c r="P511" s="20" t="str">
        <f>_xlfn.XLOOKUP(packes[[#This Row],[productId]],bom[Id],bom[dbl],"NA")</f>
        <v>-</v>
      </c>
      <c r="Q511" s="20" t="str">
        <f>LEFT(packes[[#This Row],[date]],4)</f>
        <v>1403</v>
      </c>
    </row>
    <row r="512" spans="1:17" s="23" customFormat="1" ht="16.5" x14ac:dyDescent="0.25">
      <c r="A512" s="23">
        <v>510</v>
      </c>
      <c r="B512" s="24" t="s">
        <v>1571</v>
      </c>
      <c r="C512" s="23">
        <v>140030040</v>
      </c>
      <c r="D512" s="23">
        <v>1600</v>
      </c>
      <c r="E512" s="27" t="e">
        <v>#VALUE!</v>
      </c>
      <c r="F512" s="27" t="e">
        <v>#VALUE!</v>
      </c>
      <c r="G512" s="23">
        <v>11</v>
      </c>
      <c r="H512" s="486" t="e">
        <v>#VALUE!</v>
      </c>
      <c r="I512" s="23">
        <v>12</v>
      </c>
      <c r="J512" s="487">
        <v>172</v>
      </c>
      <c r="K512" s="488"/>
      <c r="L512" s="488"/>
      <c r="M512" s="548">
        <f>_xlfn.XLOOKUP(packes[[#This Row],[productId]],CT[productId],CT[total],"NA")</f>
        <v>97.305000000000007</v>
      </c>
      <c r="N512" s="20" t="str">
        <f>_xlfn.XLOOKUP(packes[[#This Row],[productId]],bom[Id],bom[ph],"NA")</f>
        <v>YH</v>
      </c>
      <c r="O512" s="20" t="str">
        <f>_xlfn.XLOOKUP(packes[[#This Row],[productId]],bom[Id],bom[erth],"NA")</f>
        <v>sun</v>
      </c>
      <c r="P512" s="20" t="str">
        <f>_xlfn.XLOOKUP(packes[[#This Row],[productId]],bom[Id],bom[dbl],"NA")</f>
        <v>-</v>
      </c>
      <c r="Q512" s="20" t="str">
        <f>LEFT(packes[[#This Row],[date]],4)</f>
        <v>1403</v>
      </c>
    </row>
    <row r="513" spans="1:17" s="23" customFormat="1" ht="16.5" x14ac:dyDescent="0.25">
      <c r="A513" s="23">
        <v>511</v>
      </c>
      <c r="B513" s="24" t="s">
        <v>1571</v>
      </c>
      <c r="C513" s="23">
        <v>140310007</v>
      </c>
      <c r="D513" s="23">
        <v>3600</v>
      </c>
      <c r="E513" s="27" t="e">
        <v>#VALUE!</v>
      </c>
      <c r="F513" s="27" t="e">
        <v>#VALUE!</v>
      </c>
      <c r="G513" s="23">
        <v>12</v>
      </c>
      <c r="H513" s="486" t="e">
        <v>#VALUE!</v>
      </c>
      <c r="J513" s="487" t="s">
        <v>224</v>
      </c>
      <c r="K513" s="488"/>
      <c r="L513" s="488"/>
      <c r="M513" s="548">
        <f>_xlfn.XLOOKUP(packes[[#This Row],[productId]],CT[productId],CT[total],"NA")</f>
        <v>92.484999999999999</v>
      </c>
      <c r="N513" s="20" t="str">
        <f>_xlfn.XLOOKUP(packes[[#This Row],[productId]],bom[Id],bom[ph],"NA")</f>
        <v>-</v>
      </c>
      <c r="O513" s="20" t="str">
        <f>_xlfn.XLOOKUP(packes[[#This Row],[productId]],bom[Id],bom[erth],"NA")</f>
        <v>nut4</v>
      </c>
      <c r="P513" s="20" t="str">
        <f>_xlfn.XLOOKUP(packes[[#This Row],[productId]],bom[Id],bom[dbl],"NA")</f>
        <v>-</v>
      </c>
      <c r="Q513" s="20" t="str">
        <f>LEFT(packes[[#This Row],[date]],4)</f>
        <v>1403</v>
      </c>
    </row>
    <row r="514" spans="1:17" s="23" customFormat="1" ht="16.5" x14ac:dyDescent="0.25">
      <c r="A514" s="23">
        <v>512</v>
      </c>
      <c r="B514" s="24" t="s">
        <v>1571</v>
      </c>
      <c r="C514" s="23">
        <v>140450039</v>
      </c>
      <c r="D514" s="23">
        <v>4500</v>
      </c>
      <c r="E514" s="27" t="e">
        <v>#VALUE!</v>
      </c>
      <c r="F514" s="27" t="e">
        <v>#VALUE!</v>
      </c>
      <c r="G514" s="23">
        <v>12</v>
      </c>
      <c r="H514" s="486" t="e">
        <v>#VALUE!</v>
      </c>
      <c r="J514" s="487" t="s">
        <v>224</v>
      </c>
      <c r="K514" s="488"/>
      <c r="L514" s="488"/>
      <c r="M514" s="548" t="str">
        <f>_xlfn.XLOOKUP(packes[[#This Row],[productId]],CT[productId],CT[total],"NA")</f>
        <v>NA</v>
      </c>
      <c r="N514" s="20" t="str">
        <f>_xlfn.XLOOKUP(packes[[#This Row],[productId]],bom[Id],bom[ph],"NA")</f>
        <v>6.3ch</v>
      </c>
      <c r="O514" s="20" t="str">
        <f>_xlfn.XLOOKUP(packes[[#This Row],[productId]],bom[Id],bom[erth],"NA")</f>
        <v>6.3ch</v>
      </c>
      <c r="P514" s="20" t="str">
        <f>_xlfn.XLOOKUP(packes[[#This Row],[productId]],bom[Id],bom[dbl],"NA")</f>
        <v>-</v>
      </c>
      <c r="Q514" s="20" t="str">
        <f>LEFT(packes[[#This Row],[date]],4)</f>
        <v>1403</v>
      </c>
    </row>
    <row r="515" spans="1:17" s="23" customFormat="1" ht="16.5" x14ac:dyDescent="0.25">
      <c r="A515" s="23">
        <v>513</v>
      </c>
      <c r="B515" s="24" t="s">
        <v>1572</v>
      </c>
      <c r="C515" s="23">
        <v>140030039</v>
      </c>
      <c r="D515" s="23">
        <v>300</v>
      </c>
      <c r="E515" s="27" t="e">
        <v>#VALUE!</v>
      </c>
      <c r="F515" s="27" t="e">
        <v>#VALUE!</v>
      </c>
      <c r="G515" s="23">
        <v>12</v>
      </c>
      <c r="H515" s="486" t="e">
        <v>#VALUE!</v>
      </c>
      <c r="J515" s="487" t="s">
        <v>224</v>
      </c>
      <c r="K515" s="488"/>
      <c r="L515" s="488"/>
      <c r="M515" s="548">
        <f>_xlfn.XLOOKUP(packes[[#This Row],[productId]],CT[productId],CT[total],"NA")</f>
        <v>92.504999999999995</v>
      </c>
      <c r="N515" s="20" t="str">
        <f>_xlfn.XLOOKUP(packes[[#This Row],[productId]],bom[Id],bom[ph],"NA")</f>
        <v>YH</v>
      </c>
      <c r="O515" s="20" t="str">
        <f>_xlfn.XLOOKUP(packes[[#This Row],[productId]],bom[Id],bom[erth],"NA")</f>
        <v>sun</v>
      </c>
      <c r="P515" s="20" t="str">
        <f>_xlfn.XLOOKUP(packes[[#This Row],[productId]],bom[Id],bom[dbl],"NA")</f>
        <v>-</v>
      </c>
      <c r="Q515" s="20" t="str">
        <f>LEFT(packes[[#This Row],[date]],4)</f>
        <v>1403</v>
      </c>
    </row>
    <row r="516" spans="1:17" s="23" customFormat="1" ht="16.5" x14ac:dyDescent="0.25">
      <c r="A516" s="23">
        <v>514</v>
      </c>
      <c r="B516" s="24" t="s">
        <v>1572</v>
      </c>
      <c r="C516" s="23">
        <v>140030040</v>
      </c>
      <c r="D516" s="23">
        <v>1700</v>
      </c>
      <c r="E516" s="27" t="e">
        <v>#VALUE!</v>
      </c>
      <c r="F516" s="27" t="e">
        <v>#VALUE!</v>
      </c>
      <c r="G516" s="23">
        <v>12</v>
      </c>
      <c r="H516" s="486" t="e">
        <v>#VALUE!</v>
      </c>
      <c r="J516" s="487" t="s">
        <v>224</v>
      </c>
      <c r="K516" s="488"/>
      <c r="L516" s="488"/>
      <c r="M516" s="548">
        <f>_xlfn.XLOOKUP(packes[[#This Row],[productId]],CT[productId],CT[total],"NA")</f>
        <v>97.305000000000007</v>
      </c>
      <c r="N516" s="20" t="str">
        <f>_xlfn.XLOOKUP(packes[[#This Row],[productId]],bom[Id],bom[ph],"NA")</f>
        <v>YH</v>
      </c>
      <c r="O516" s="20" t="str">
        <f>_xlfn.XLOOKUP(packes[[#This Row],[productId]],bom[Id],bom[erth],"NA")</f>
        <v>sun</v>
      </c>
      <c r="P516" s="20" t="str">
        <f>_xlfn.XLOOKUP(packes[[#This Row],[productId]],bom[Id],bom[dbl],"NA")</f>
        <v>-</v>
      </c>
      <c r="Q516" s="20" t="str">
        <f>LEFT(packes[[#This Row],[date]],4)</f>
        <v>1403</v>
      </c>
    </row>
    <row r="517" spans="1:17" s="23" customFormat="1" ht="16.5" x14ac:dyDescent="0.25">
      <c r="A517" s="23">
        <v>515</v>
      </c>
      <c r="B517" s="24" t="s">
        <v>1573</v>
      </c>
      <c r="C517" s="23">
        <v>140010117</v>
      </c>
      <c r="D517" s="23">
        <v>2250</v>
      </c>
      <c r="E517" s="27" t="e">
        <v>#VALUE!</v>
      </c>
      <c r="F517" s="27" t="e">
        <v>#VALUE!</v>
      </c>
      <c r="G517" s="23">
        <v>12</v>
      </c>
      <c r="H517" s="486" t="e">
        <v>#VALUE!</v>
      </c>
      <c r="I517" s="23">
        <v>11</v>
      </c>
      <c r="J517" s="487">
        <v>150</v>
      </c>
      <c r="K517" s="488"/>
      <c r="L517" s="488"/>
      <c r="M517" s="548">
        <f>_xlfn.XLOOKUP(packes[[#This Row],[productId]],CT[productId],CT[total],"NA")</f>
        <v>98.295000000000016</v>
      </c>
      <c r="N517" s="20" t="str">
        <f>_xlfn.XLOOKUP(packes[[#This Row],[productId]],bom[Id],bom[ph],"NA")</f>
        <v>nar.p</v>
      </c>
      <c r="O517" s="20" t="str">
        <f>_xlfn.XLOOKUP(packes[[#This Row],[productId]],bom[Id],bom[erth],"NA")</f>
        <v>-</v>
      </c>
      <c r="P517" s="20" t="str">
        <f>_xlfn.XLOOKUP(packes[[#This Row],[productId]],bom[Id],bom[dbl],"NA")</f>
        <v>nar.p</v>
      </c>
      <c r="Q517" s="20" t="str">
        <f>LEFT(packes[[#This Row],[date]],4)</f>
        <v>1403</v>
      </c>
    </row>
    <row r="518" spans="1:17" s="23" customFormat="1" ht="16.5" x14ac:dyDescent="0.25">
      <c r="A518" s="23">
        <v>516</v>
      </c>
      <c r="B518" s="24" t="s">
        <v>1573</v>
      </c>
      <c r="C518" s="23">
        <v>140010230</v>
      </c>
      <c r="D518" s="23">
        <v>1450</v>
      </c>
      <c r="E518" s="27" t="e">
        <v>#VALUE!</v>
      </c>
      <c r="F518" s="27" t="e">
        <v>#VALUE!</v>
      </c>
      <c r="G518" s="23">
        <v>11</v>
      </c>
      <c r="H518" s="486" t="e">
        <v>#VALUE!</v>
      </c>
      <c r="J518" s="487"/>
      <c r="K518" s="488"/>
      <c r="L518" s="488"/>
      <c r="M518" s="548">
        <f>_xlfn.XLOOKUP(packes[[#This Row],[productId]],CT[productId],CT[total],"NA")</f>
        <v>147.595</v>
      </c>
      <c r="N518" s="20" t="str">
        <f>_xlfn.XLOOKUP(packes[[#This Row],[productId]],bom[Id],bom[ph],"NA")</f>
        <v>nar.p</v>
      </c>
      <c r="O518" s="20" t="str">
        <f>_xlfn.XLOOKUP(packes[[#This Row],[productId]],bom[Id],bom[erth],"NA")</f>
        <v>-</v>
      </c>
      <c r="P518" s="20" t="str">
        <f>_xlfn.XLOOKUP(packes[[#This Row],[productId]],bom[Id],bom[dbl],"NA")</f>
        <v>nar.p</v>
      </c>
      <c r="Q518" s="20" t="str">
        <f>LEFT(packes[[#This Row],[date]],4)</f>
        <v>1403</v>
      </c>
    </row>
    <row r="519" spans="1:17" s="23" customFormat="1" ht="16.5" x14ac:dyDescent="0.25">
      <c r="A519" s="23">
        <v>517</v>
      </c>
      <c r="B519" s="24" t="s">
        <v>1573</v>
      </c>
      <c r="C519" s="23">
        <v>140020181</v>
      </c>
      <c r="D519" s="23">
        <v>1725</v>
      </c>
      <c r="E519" s="27" t="e">
        <v>#VALUE!</v>
      </c>
      <c r="F519" s="27" t="e">
        <v>#VALUE!</v>
      </c>
      <c r="G519" s="23">
        <v>12</v>
      </c>
      <c r="H519" s="486" t="e">
        <v>#VALUE!</v>
      </c>
      <c r="J519" s="487"/>
      <c r="K519" s="488"/>
      <c r="L519" s="488"/>
      <c r="M519" s="548">
        <f>_xlfn.XLOOKUP(packes[[#This Row],[productId]],CT[productId],CT[total],"NA")</f>
        <v>88.929999999999993</v>
      </c>
      <c r="N519" s="20" t="str">
        <f>_xlfn.XLOOKUP(packes[[#This Row],[productId]],bom[Id],bom[ph],"NA")</f>
        <v>VH</v>
      </c>
      <c r="O519" s="20" t="str">
        <f>_xlfn.XLOOKUP(packes[[#This Row],[productId]],bom[Id],bom[erth],"NA")</f>
        <v>nut4</v>
      </c>
      <c r="P519" s="20" t="str">
        <f>_xlfn.XLOOKUP(packes[[#This Row],[productId]],bom[Id],bom[dbl],"NA")</f>
        <v>-</v>
      </c>
      <c r="Q519" s="20" t="str">
        <f>LEFT(packes[[#This Row],[date]],4)</f>
        <v>1403</v>
      </c>
    </row>
    <row r="520" spans="1:17" s="23" customFormat="1" ht="16.5" x14ac:dyDescent="0.25">
      <c r="A520" s="23">
        <v>518</v>
      </c>
      <c r="B520" s="24" t="s">
        <v>1573</v>
      </c>
      <c r="C520" s="23">
        <v>140030039</v>
      </c>
      <c r="D520" s="23">
        <v>800</v>
      </c>
      <c r="E520" s="27" t="e">
        <v>#VALUE!</v>
      </c>
      <c r="F520" s="27" t="e">
        <v>#VALUE!</v>
      </c>
      <c r="G520" s="23">
        <v>12</v>
      </c>
      <c r="H520" s="486" t="e">
        <v>#VALUE!</v>
      </c>
      <c r="J520" s="487"/>
      <c r="K520" s="488"/>
      <c r="L520" s="488"/>
      <c r="M520" s="548">
        <f>_xlfn.XLOOKUP(packes[[#This Row],[productId]],CT[productId],CT[total],"NA")</f>
        <v>92.504999999999995</v>
      </c>
      <c r="N520" s="20" t="str">
        <f>_xlfn.XLOOKUP(packes[[#This Row],[productId]],bom[Id],bom[ph],"NA")</f>
        <v>YH</v>
      </c>
      <c r="O520" s="20" t="str">
        <f>_xlfn.XLOOKUP(packes[[#This Row],[productId]],bom[Id],bom[erth],"NA")</f>
        <v>sun</v>
      </c>
      <c r="P520" s="20" t="str">
        <f>_xlfn.XLOOKUP(packes[[#This Row],[productId]],bom[Id],bom[dbl],"NA")</f>
        <v>-</v>
      </c>
      <c r="Q520" s="20" t="str">
        <f>LEFT(packes[[#This Row],[date]],4)</f>
        <v>1403</v>
      </c>
    </row>
    <row r="521" spans="1:17" s="23" customFormat="1" ht="16.5" x14ac:dyDescent="0.25">
      <c r="A521" s="23">
        <v>519</v>
      </c>
      <c r="B521" s="24" t="s">
        <v>1573</v>
      </c>
      <c r="C521" s="23">
        <v>140030040</v>
      </c>
      <c r="D521" s="23">
        <v>1900</v>
      </c>
      <c r="E521" s="27" t="e">
        <v>#VALUE!</v>
      </c>
      <c r="F521" s="27" t="e">
        <v>#VALUE!</v>
      </c>
      <c r="G521" s="23">
        <v>12</v>
      </c>
      <c r="H521" s="486" t="e">
        <v>#VALUE!</v>
      </c>
      <c r="J521" s="487"/>
      <c r="K521" s="488"/>
      <c r="L521" s="488"/>
      <c r="M521" s="548">
        <f>_xlfn.XLOOKUP(packes[[#This Row],[productId]],CT[productId],CT[total],"NA")</f>
        <v>97.305000000000007</v>
      </c>
      <c r="N521" s="20" t="str">
        <f>_xlfn.XLOOKUP(packes[[#This Row],[productId]],bom[Id],bom[ph],"NA")</f>
        <v>YH</v>
      </c>
      <c r="O521" s="20" t="str">
        <f>_xlfn.XLOOKUP(packes[[#This Row],[productId]],bom[Id],bom[erth],"NA")</f>
        <v>sun</v>
      </c>
      <c r="P521" s="20" t="str">
        <f>_xlfn.XLOOKUP(packes[[#This Row],[productId]],bom[Id],bom[dbl],"NA")</f>
        <v>-</v>
      </c>
      <c r="Q521" s="20" t="str">
        <f>LEFT(packes[[#This Row],[date]],4)</f>
        <v>1403</v>
      </c>
    </row>
    <row r="522" spans="1:17" s="23" customFormat="1" ht="16.5" x14ac:dyDescent="0.25">
      <c r="A522" s="23">
        <v>520</v>
      </c>
      <c r="B522" s="24" t="s">
        <v>1573</v>
      </c>
      <c r="C522" s="23">
        <v>140310007</v>
      </c>
      <c r="D522" s="23">
        <v>2800</v>
      </c>
      <c r="E522" s="27" t="e">
        <v>#VALUE!</v>
      </c>
      <c r="F522" s="27" t="e">
        <v>#VALUE!</v>
      </c>
      <c r="G522" s="23">
        <v>12</v>
      </c>
      <c r="H522" s="486" t="e">
        <v>#VALUE!</v>
      </c>
      <c r="J522" s="487"/>
      <c r="K522" s="488"/>
      <c r="L522" s="488"/>
      <c r="M522" s="548">
        <f>_xlfn.XLOOKUP(packes[[#This Row],[productId]],CT[productId],CT[total],"NA")</f>
        <v>92.484999999999999</v>
      </c>
      <c r="N522" s="20" t="str">
        <f>_xlfn.XLOOKUP(packes[[#This Row],[productId]],bom[Id],bom[ph],"NA")</f>
        <v>-</v>
      </c>
      <c r="O522" s="20" t="str">
        <f>_xlfn.XLOOKUP(packes[[#This Row],[productId]],bom[Id],bom[erth],"NA")</f>
        <v>nut4</v>
      </c>
      <c r="P522" s="20" t="str">
        <f>_xlfn.XLOOKUP(packes[[#This Row],[productId]],bom[Id],bom[dbl],"NA")</f>
        <v>-</v>
      </c>
      <c r="Q522" s="20" t="str">
        <f>LEFT(packes[[#This Row],[date]],4)</f>
        <v>1403</v>
      </c>
    </row>
    <row r="523" spans="1:17" s="23" customFormat="1" ht="16.5" x14ac:dyDescent="0.25">
      <c r="A523" s="23">
        <v>521</v>
      </c>
      <c r="B523" s="24" t="s">
        <v>1574</v>
      </c>
      <c r="C523" s="23">
        <v>140310075</v>
      </c>
      <c r="D523" s="23">
        <v>30</v>
      </c>
      <c r="E523" s="27" t="e">
        <v>#VALUE!</v>
      </c>
      <c r="F523" s="27" t="e">
        <v>#VALUE!</v>
      </c>
      <c r="G523" s="23">
        <v>11</v>
      </c>
      <c r="H523" s="486" t="e">
        <v>#VALUE!</v>
      </c>
      <c r="J523" s="487"/>
      <c r="K523" s="488"/>
      <c r="L523" s="488"/>
      <c r="M523" s="548">
        <f>_xlfn.XLOOKUP(packes[[#This Row],[productId]],CT[productId],CT[total],"NA")</f>
        <v>154.88499999999999</v>
      </c>
      <c r="N523" s="20" t="str">
        <f>_xlfn.XLOOKUP(packes[[#This Row],[productId]],bom[Id],bom[ph],"NA")</f>
        <v>molex</v>
      </c>
      <c r="O523" s="20" t="str">
        <f>_xlfn.XLOOKUP(packes[[#This Row],[productId]],bom[Id],bom[erth],"NA")</f>
        <v>nut4</v>
      </c>
      <c r="P523" s="20" t="str">
        <f>_xlfn.XLOOKUP(packes[[#This Row],[productId]],bom[Id],bom[dbl],"NA")</f>
        <v>-</v>
      </c>
      <c r="Q523" s="20" t="str">
        <f>LEFT(packes[[#This Row],[date]],4)</f>
        <v>1403</v>
      </c>
    </row>
    <row r="524" spans="1:17" s="23" customFormat="1" ht="16.5" x14ac:dyDescent="0.25">
      <c r="A524" s="23">
        <v>522</v>
      </c>
      <c r="B524" s="24" t="s">
        <v>1574</v>
      </c>
      <c r="C524" s="23">
        <v>140310075</v>
      </c>
      <c r="D524" s="23">
        <v>900</v>
      </c>
      <c r="E524" s="27" t="e">
        <v>#VALUE!</v>
      </c>
      <c r="F524" s="27" t="e">
        <v>#VALUE!</v>
      </c>
      <c r="G524" s="23">
        <v>12</v>
      </c>
      <c r="H524" s="486" t="e">
        <v>#VALUE!</v>
      </c>
      <c r="I524" s="23">
        <v>11</v>
      </c>
      <c r="J524" s="487">
        <v>70</v>
      </c>
      <c r="K524" s="488"/>
      <c r="L524" s="488"/>
      <c r="M524" s="548">
        <f>_xlfn.XLOOKUP(packes[[#This Row],[productId]],CT[productId],CT[total],"NA")</f>
        <v>154.88499999999999</v>
      </c>
      <c r="N524" s="20" t="str">
        <f>_xlfn.XLOOKUP(packes[[#This Row],[productId]],bom[Id],bom[ph],"NA")</f>
        <v>molex</v>
      </c>
      <c r="O524" s="20" t="str">
        <f>_xlfn.XLOOKUP(packes[[#This Row],[productId]],bom[Id],bom[erth],"NA")</f>
        <v>nut4</v>
      </c>
      <c r="P524" s="20" t="str">
        <f>_xlfn.XLOOKUP(packes[[#This Row],[productId]],bom[Id],bom[dbl],"NA")</f>
        <v>-</v>
      </c>
      <c r="Q524" s="20" t="str">
        <f>LEFT(packes[[#This Row],[date]],4)</f>
        <v>1403</v>
      </c>
    </row>
    <row r="525" spans="1:17" s="23" customFormat="1" ht="16.5" x14ac:dyDescent="0.25">
      <c r="A525" s="23">
        <v>523</v>
      </c>
      <c r="B525" s="24" t="s">
        <v>1574</v>
      </c>
      <c r="C525" s="23">
        <v>140010230</v>
      </c>
      <c r="D525" s="23">
        <v>2300</v>
      </c>
      <c r="E525" s="27" t="e">
        <v>#VALUE!</v>
      </c>
      <c r="F525" s="27" t="e">
        <v>#VALUE!</v>
      </c>
      <c r="G525" s="23">
        <v>12</v>
      </c>
      <c r="H525" s="486" t="e">
        <v>#VALUE!</v>
      </c>
      <c r="I525" s="23">
        <v>11</v>
      </c>
      <c r="J525" s="487">
        <v>2000</v>
      </c>
      <c r="K525" s="488"/>
      <c r="L525" s="488"/>
      <c r="M525" s="548">
        <f>_xlfn.XLOOKUP(packes[[#This Row],[productId]],CT[productId],CT[total],"NA")</f>
        <v>147.595</v>
      </c>
      <c r="N525" s="20" t="str">
        <f>_xlfn.XLOOKUP(packes[[#This Row],[productId]],bom[Id],bom[ph],"NA")</f>
        <v>nar.p</v>
      </c>
      <c r="O525" s="20" t="str">
        <f>_xlfn.XLOOKUP(packes[[#This Row],[productId]],bom[Id],bom[erth],"NA")</f>
        <v>-</v>
      </c>
      <c r="P525" s="20" t="str">
        <f>_xlfn.XLOOKUP(packes[[#This Row],[productId]],bom[Id],bom[dbl],"NA")</f>
        <v>nar.p</v>
      </c>
      <c r="Q525" s="20" t="str">
        <f>LEFT(packes[[#This Row],[date]],4)</f>
        <v>1403</v>
      </c>
    </row>
    <row r="526" spans="1:17" s="23" customFormat="1" ht="16.5" x14ac:dyDescent="0.25">
      <c r="A526" s="23">
        <v>524</v>
      </c>
      <c r="B526" s="24" t="s">
        <v>1574</v>
      </c>
      <c r="C526" s="23">
        <v>140010117</v>
      </c>
      <c r="D526" s="23">
        <v>675</v>
      </c>
      <c r="E526" s="27" t="e">
        <v>#VALUE!</v>
      </c>
      <c r="F526" s="27" t="e">
        <v>#VALUE!</v>
      </c>
      <c r="G526" s="23">
        <v>12</v>
      </c>
      <c r="H526" s="486" t="e">
        <v>#VALUE!</v>
      </c>
      <c r="J526" s="487"/>
      <c r="K526" s="488"/>
      <c r="L526" s="488"/>
      <c r="M526" s="548">
        <f>_xlfn.XLOOKUP(packes[[#This Row],[productId]],CT[productId],CT[total],"NA")</f>
        <v>98.295000000000016</v>
      </c>
      <c r="N526" s="20" t="str">
        <f>_xlfn.XLOOKUP(packes[[#This Row],[productId]],bom[Id],bom[ph],"NA")</f>
        <v>nar.p</v>
      </c>
      <c r="O526" s="20" t="str">
        <f>_xlfn.XLOOKUP(packes[[#This Row],[productId]],bom[Id],bom[erth],"NA")</f>
        <v>-</v>
      </c>
      <c r="P526" s="20" t="str">
        <f>_xlfn.XLOOKUP(packes[[#This Row],[productId]],bom[Id],bom[dbl],"NA")</f>
        <v>nar.p</v>
      </c>
      <c r="Q526" s="20" t="str">
        <f>LEFT(packes[[#This Row],[date]],4)</f>
        <v>1403</v>
      </c>
    </row>
    <row r="527" spans="1:17" s="23" customFormat="1" ht="16.5" x14ac:dyDescent="0.25">
      <c r="A527" s="23">
        <v>525</v>
      </c>
      <c r="B527" s="24" t="s">
        <v>1574</v>
      </c>
      <c r="C527" s="23">
        <v>140020181</v>
      </c>
      <c r="D527" s="23">
        <v>2700</v>
      </c>
      <c r="E527" s="27" t="e">
        <v>#VALUE!</v>
      </c>
      <c r="F527" s="27" t="e">
        <v>#VALUE!</v>
      </c>
      <c r="G527" s="23">
        <v>12</v>
      </c>
      <c r="H527" s="486" t="e">
        <v>#VALUE!</v>
      </c>
      <c r="J527" s="487"/>
      <c r="K527" s="488"/>
      <c r="L527" s="488"/>
      <c r="M527" s="548">
        <f>_xlfn.XLOOKUP(packes[[#This Row],[productId]],CT[productId],CT[total],"NA")</f>
        <v>88.929999999999993</v>
      </c>
      <c r="N527" s="20" t="str">
        <f>_xlfn.XLOOKUP(packes[[#This Row],[productId]],bom[Id],bom[ph],"NA")</f>
        <v>VH</v>
      </c>
      <c r="O527" s="20" t="str">
        <f>_xlfn.XLOOKUP(packes[[#This Row],[productId]],bom[Id],bom[erth],"NA")</f>
        <v>nut4</v>
      </c>
      <c r="P527" s="20" t="str">
        <f>_xlfn.XLOOKUP(packes[[#This Row],[productId]],bom[Id],bom[dbl],"NA")</f>
        <v>-</v>
      </c>
      <c r="Q527" s="20" t="str">
        <f>LEFT(packes[[#This Row],[date]],4)</f>
        <v>1403</v>
      </c>
    </row>
    <row r="528" spans="1:17" s="23" customFormat="1" ht="16.5" x14ac:dyDescent="0.25">
      <c r="A528" s="23">
        <v>526</v>
      </c>
      <c r="B528" s="24" t="s">
        <v>1574</v>
      </c>
      <c r="C528" s="23">
        <v>140030039</v>
      </c>
      <c r="D528" s="23">
        <v>800</v>
      </c>
      <c r="E528" s="27" t="e">
        <v>#VALUE!</v>
      </c>
      <c r="F528" s="27" t="e">
        <v>#VALUE!</v>
      </c>
      <c r="G528" s="23">
        <v>12</v>
      </c>
      <c r="H528" s="486" t="e">
        <v>#VALUE!</v>
      </c>
      <c r="J528" s="487"/>
      <c r="K528" s="488"/>
      <c r="L528" s="488"/>
      <c r="M528" s="548">
        <f>_xlfn.XLOOKUP(packes[[#This Row],[productId]],CT[productId],CT[total],"NA")</f>
        <v>92.504999999999995</v>
      </c>
      <c r="N528" s="20" t="str">
        <f>_xlfn.XLOOKUP(packes[[#This Row],[productId]],bom[Id],bom[ph],"NA")</f>
        <v>YH</v>
      </c>
      <c r="O528" s="20" t="str">
        <f>_xlfn.XLOOKUP(packes[[#This Row],[productId]],bom[Id],bom[erth],"NA")</f>
        <v>sun</v>
      </c>
      <c r="P528" s="20" t="str">
        <f>_xlfn.XLOOKUP(packes[[#This Row],[productId]],bom[Id],bom[dbl],"NA")</f>
        <v>-</v>
      </c>
      <c r="Q528" s="20" t="str">
        <f>LEFT(packes[[#This Row],[date]],4)</f>
        <v>1403</v>
      </c>
    </row>
    <row r="529" spans="1:17" s="23" customFormat="1" ht="16.5" x14ac:dyDescent="0.25">
      <c r="A529" s="23">
        <v>527</v>
      </c>
      <c r="B529" s="24" t="s">
        <v>1574</v>
      </c>
      <c r="C529" s="23">
        <v>140310007</v>
      </c>
      <c r="D529" s="23">
        <v>1900</v>
      </c>
      <c r="E529" s="27" t="e">
        <v>#VALUE!</v>
      </c>
      <c r="F529" s="27" t="e">
        <v>#VALUE!</v>
      </c>
      <c r="G529" s="23">
        <v>12</v>
      </c>
      <c r="H529" s="486" t="e">
        <v>#VALUE!</v>
      </c>
      <c r="J529" s="487"/>
      <c r="K529" s="488"/>
      <c r="L529" s="488"/>
      <c r="M529" s="548">
        <f>_xlfn.XLOOKUP(packes[[#This Row],[productId]],CT[productId],CT[total],"NA")</f>
        <v>92.484999999999999</v>
      </c>
      <c r="N529" s="20" t="str">
        <f>_xlfn.XLOOKUP(packes[[#This Row],[productId]],bom[Id],bom[ph],"NA")</f>
        <v>-</v>
      </c>
      <c r="O529" s="20" t="str">
        <f>_xlfn.XLOOKUP(packes[[#This Row],[productId]],bom[Id],bom[erth],"NA")</f>
        <v>nut4</v>
      </c>
      <c r="P529" s="20" t="str">
        <f>_xlfn.XLOOKUP(packes[[#This Row],[productId]],bom[Id],bom[dbl],"NA")</f>
        <v>-</v>
      </c>
      <c r="Q529" s="20" t="str">
        <f>LEFT(packes[[#This Row],[date]],4)</f>
        <v>1403</v>
      </c>
    </row>
    <row r="530" spans="1:17" s="23" customFormat="1" ht="16.5" x14ac:dyDescent="0.25">
      <c r="A530" s="23">
        <v>528</v>
      </c>
      <c r="B530" s="24" t="s">
        <v>1575</v>
      </c>
      <c r="C530" s="23">
        <v>140010117</v>
      </c>
      <c r="D530" s="23">
        <v>1050</v>
      </c>
      <c r="E530" s="27" t="e">
        <v>#VALUE!</v>
      </c>
      <c r="F530" s="27" t="e">
        <v>#VALUE!</v>
      </c>
      <c r="G530" s="23">
        <v>12</v>
      </c>
      <c r="H530" s="486" t="e">
        <v>#VALUE!</v>
      </c>
      <c r="J530" s="487"/>
      <c r="K530" s="488"/>
      <c r="L530" s="488"/>
      <c r="M530" s="548">
        <f>_xlfn.XLOOKUP(packes[[#This Row],[productId]],CT[productId],CT[total],"NA")</f>
        <v>98.295000000000016</v>
      </c>
      <c r="N530" s="20" t="str">
        <f>_xlfn.XLOOKUP(packes[[#This Row],[productId]],bom[Id],bom[ph],"NA")</f>
        <v>nar.p</v>
      </c>
      <c r="O530" s="20" t="str">
        <f>_xlfn.XLOOKUP(packes[[#This Row],[productId]],bom[Id],bom[erth],"NA")</f>
        <v>-</v>
      </c>
      <c r="P530" s="20" t="str">
        <f>_xlfn.XLOOKUP(packes[[#This Row],[productId]],bom[Id],bom[dbl],"NA")</f>
        <v>nar.p</v>
      </c>
      <c r="Q530" s="20" t="str">
        <f>LEFT(packes[[#This Row],[date]],4)</f>
        <v>1403</v>
      </c>
    </row>
    <row r="531" spans="1:17" s="23" customFormat="1" ht="16.5" x14ac:dyDescent="0.25">
      <c r="A531" s="23">
        <v>529</v>
      </c>
      <c r="B531" s="24" t="s">
        <v>1575</v>
      </c>
      <c r="C531" s="23">
        <v>140010230</v>
      </c>
      <c r="D531" s="23">
        <v>600</v>
      </c>
      <c r="E531" s="27" t="e">
        <v>#VALUE!</v>
      </c>
      <c r="F531" s="27" t="e">
        <v>#VALUE!</v>
      </c>
      <c r="G531" s="23">
        <v>12</v>
      </c>
      <c r="H531" s="486" t="e">
        <v>#VALUE!</v>
      </c>
      <c r="J531" s="487"/>
      <c r="K531" s="488"/>
      <c r="L531" s="488"/>
      <c r="M531" s="548">
        <f>_xlfn.XLOOKUP(packes[[#This Row],[productId]],CT[productId],CT[total],"NA")</f>
        <v>147.595</v>
      </c>
      <c r="N531" s="20" t="str">
        <f>_xlfn.XLOOKUP(packes[[#This Row],[productId]],bom[Id],bom[ph],"NA")</f>
        <v>nar.p</v>
      </c>
      <c r="O531" s="20" t="str">
        <f>_xlfn.XLOOKUP(packes[[#This Row],[productId]],bom[Id],bom[erth],"NA")</f>
        <v>-</v>
      </c>
      <c r="P531" s="20" t="str">
        <f>_xlfn.XLOOKUP(packes[[#This Row],[productId]],bom[Id],bom[dbl],"NA")</f>
        <v>nar.p</v>
      </c>
      <c r="Q531" s="20" t="str">
        <f>LEFT(packes[[#This Row],[date]],4)</f>
        <v>1403</v>
      </c>
    </row>
    <row r="532" spans="1:17" s="23" customFormat="1" ht="16.5" x14ac:dyDescent="0.25">
      <c r="A532" s="23">
        <v>530</v>
      </c>
      <c r="B532" s="24" t="s">
        <v>1575</v>
      </c>
      <c r="C532" s="23">
        <v>140010255</v>
      </c>
      <c r="D532" s="23">
        <v>400</v>
      </c>
      <c r="E532" s="27" t="e">
        <v>#VALUE!</v>
      </c>
      <c r="F532" s="27" t="e">
        <v>#VALUE!</v>
      </c>
      <c r="G532" s="23">
        <v>12</v>
      </c>
      <c r="H532" s="486" t="e">
        <v>#VALUE!</v>
      </c>
      <c r="J532" s="487"/>
      <c r="K532" s="488"/>
      <c r="L532" s="488"/>
      <c r="M532" s="548">
        <f>_xlfn.XLOOKUP(packes[[#This Row],[productId]],CT[productId],CT[total],"NA")</f>
        <v>95.575000000000003</v>
      </c>
      <c r="N532" s="20" t="str">
        <f>_xlfn.XLOOKUP(packes[[#This Row],[productId]],bom[Id],bom[ph],"NA")</f>
        <v>-</v>
      </c>
      <c r="O532" s="20" t="str">
        <f>_xlfn.XLOOKUP(packes[[#This Row],[productId]],bom[Id],bom[erth],"NA")</f>
        <v>-</v>
      </c>
      <c r="P532" s="20" t="str">
        <f>_xlfn.XLOOKUP(packes[[#This Row],[productId]],bom[Id],bom[dbl],"NA")</f>
        <v>6.3flat</v>
      </c>
      <c r="Q532" s="20" t="str">
        <f>LEFT(packes[[#This Row],[date]],4)</f>
        <v>1403</v>
      </c>
    </row>
    <row r="533" spans="1:17" s="23" customFormat="1" ht="16.5" x14ac:dyDescent="0.25">
      <c r="A533" s="23">
        <v>531</v>
      </c>
      <c r="B533" s="24" t="s">
        <v>1575</v>
      </c>
      <c r="C533" s="23">
        <v>140030039</v>
      </c>
      <c r="D533" s="23">
        <v>1600</v>
      </c>
      <c r="E533" s="27" t="e">
        <v>#VALUE!</v>
      </c>
      <c r="F533" s="27" t="e">
        <v>#VALUE!</v>
      </c>
      <c r="G533" s="23">
        <v>12</v>
      </c>
      <c r="H533" s="486" t="e">
        <v>#VALUE!</v>
      </c>
      <c r="J533" s="487"/>
      <c r="K533" s="488"/>
      <c r="L533" s="488"/>
      <c r="M533" s="548">
        <f>_xlfn.XLOOKUP(packes[[#This Row],[productId]],CT[productId],CT[total],"NA")</f>
        <v>92.504999999999995</v>
      </c>
      <c r="N533" s="20" t="str">
        <f>_xlfn.XLOOKUP(packes[[#This Row],[productId]],bom[Id],bom[ph],"NA")</f>
        <v>YH</v>
      </c>
      <c r="O533" s="20" t="str">
        <f>_xlfn.XLOOKUP(packes[[#This Row],[productId]],bom[Id],bom[erth],"NA")</f>
        <v>sun</v>
      </c>
      <c r="P533" s="20" t="str">
        <f>_xlfn.XLOOKUP(packes[[#This Row],[productId]],bom[Id],bom[dbl],"NA")</f>
        <v>-</v>
      </c>
      <c r="Q533" s="20" t="str">
        <f>LEFT(packes[[#This Row],[date]],4)</f>
        <v>1403</v>
      </c>
    </row>
    <row r="534" spans="1:17" s="23" customFormat="1" ht="16.5" x14ac:dyDescent="0.25">
      <c r="A534" s="23">
        <v>532</v>
      </c>
      <c r="B534" s="24" t="s">
        <v>1575</v>
      </c>
      <c r="C534" s="23">
        <v>140030040</v>
      </c>
      <c r="D534" s="23">
        <v>600</v>
      </c>
      <c r="E534" s="27" t="e">
        <v>#VALUE!</v>
      </c>
      <c r="F534" s="27" t="e">
        <v>#VALUE!</v>
      </c>
      <c r="G534" s="23">
        <v>12</v>
      </c>
      <c r="H534" s="486" t="e">
        <v>#VALUE!</v>
      </c>
      <c r="J534" s="487"/>
      <c r="K534" s="488"/>
      <c r="L534" s="488"/>
      <c r="M534" s="548">
        <f>_xlfn.XLOOKUP(packes[[#This Row],[productId]],CT[productId],CT[total],"NA")</f>
        <v>97.305000000000007</v>
      </c>
      <c r="N534" s="20" t="str">
        <f>_xlfn.XLOOKUP(packes[[#This Row],[productId]],bom[Id],bom[ph],"NA")</f>
        <v>YH</v>
      </c>
      <c r="O534" s="20" t="str">
        <f>_xlfn.XLOOKUP(packes[[#This Row],[productId]],bom[Id],bom[erth],"NA")</f>
        <v>sun</v>
      </c>
      <c r="P534" s="20" t="str">
        <f>_xlfn.XLOOKUP(packes[[#This Row],[productId]],bom[Id],bom[dbl],"NA")</f>
        <v>-</v>
      </c>
      <c r="Q534" s="20" t="str">
        <f>LEFT(packes[[#This Row],[date]],4)</f>
        <v>1403</v>
      </c>
    </row>
    <row r="535" spans="1:17" s="23" customFormat="1" ht="16.5" x14ac:dyDescent="0.25">
      <c r="A535" s="23">
        <v>533</v>
      </c>
      <c r="B535" s="24" t="s">
        <v>1575</v>
      </c>
      <c r="C535" s="23">
        <v>140310007</v>
      </c>
      <c r="D535" s="23">
        <v>3600</v>
      </c>
      <c r="E535" s="27" t="e">
        <v>#VALUE!</v>
      </c>
      <c r="F535" s="27" t="e">
        <v>#VALUE!</v>
      </c>
      <c r="G535" s="23">
        <v>12</v>
      </c>
      <c r="H535" s="486" t="e">
        <v>#VALUE!</v>
      </c>
      <c r="J535" s="487"/>
      <c r="K535" s="488"/>
      <c r="L535" s="488"/>
      <c r="M535" s="548">
        <f>_xlfn.XLOOKUP(packes[[#This Row],[productId]],CT[productId],CT[total],"NA")</f>
        <v>92.484999999999999</v>
      </c>
      <c r="N535" s="20" t="str">
        <f>_xlfn.XLOOKUP(packes[[#This Row],[productId]],bom[Id],bom[ph],"NA")</f>
        <v>-</v>
      </c>
      <c r="O535" s="20" t="str">
        <f>_xlfn.XLOOKUP(packes[[#This Row],[productId]],bom[Id],bom[erth],"NA")</f>
        <v>nut4</v>
      </c>
      <c r="P535" s="20" t="str">
        <f>_xlfn.XLOOKUP(packes[[#This Row],[productId]],bom[Id],bom[dbl],"NA")</f>
        <v>-</v>
      </c>
      <c r="Q535" s="20" t="str">
        <f>LEFT(packes[[#This Row],[date]],4)</f>
        <v>1403</v>
      </c>
    </row>
    <row r="536" spans="1:17" s="23" customFormat="1" ht="16.5" x14ac:dyDescent="0.25">
      <c r="A536" s="23">
        <v>534</v>
      </c>
      <c r="B536" s="24" t="s">
        <v>1575</v>
      </c>
      <c r="C536" s="23">
        <v>140310075</v>
      </c>
      <c r="D536" s="23">
        <v>1200</v>
      </c>
      <c r="E536" s="27" t="e">
        <v>#VALUE!</v>
      </c>
      <c r="F536" s="27" t="e">
        <v>#VALUE!</v>
      </c>
      <c r="G536" s="23">
        <v>12</v>
      </c>
      <c r="H536" s="486" t="e">
        <v>#VALUE!</v>
      </c>
      <c r="J536" s="487"/>
      <c r="K536" s="488"/>
      <c r="L536" s="488"/>
      <c r="M536" s="548">
        <f>_xlfn.XLOOKUP(packes[[#This Row],[productId]],CT[productId],CT[total],"NA")</f>
        <v>154.88499999999999</v>
      </c>
      <c r="N536" s="20" t="str">
        <f>_xlfn.XLOOKUP(packes[[#This Row],[productId]],bom[Id],bom[ph],"NA")</f>
        <v>molex</v>
      </c>
      <c r="O536" s="20" t="str">
        <f>_xlfn.XLOOKUP(packes[[#This Row],[productId]],bom[Id],bom[erth],"NA")</f>
        <v>nut4</v>
      </c>
      <c r="P536" s="20" t="str">
        <f>_xlfn.XLOOKUP(packes[[#This Row],[productId]],bom[Id],bom[dbl],"NA")</f>
        <v>-</v>
      </c>
      <c r="Q536" s="20" t="str">
        <f>LEFT(packes[[#This Row],[date]],4)</f>
        <v>1403</v>
      </c>
    </row>
    <row r="537" spans="1:17" s="23" customFormat="1" ht="16.5" x14ac:dyDescent="0.25">
      <c r="A537" s="23">
        <v>535</v>
      </c>
      <c r="B537" s="24" t="s">
        <v>1576</v>
      </c>
      <c r="C537" s="23">
        <v>140010117</v>
      </c>
      <c r="D537" s="23">
        <v>1575</v>
      </c>
      <c r="E537" s="27" t="e">
        <v>#VALUE!</v>
      </c>
      <c r="F537" s="27" t="e">
        <v>#VALUE!</v>
      </c>
      <c r="G537" s="23">
        <v>12</v>
      </c>
      <c r="H537" s="486" t="e">
        <v>#VALUE!</v>
      </c>
      <c r="J537" s="487"/>
      <c r="K537" s="488"/>
      <c r="L537" s="488"/>
      <c r="M537" s="548">
        <f>_xlfn.XLOOKUP(packes[[#This Row],[productId]],CT[productId],CT[total],"NA")</f>
        <v>98.295000000000016</v>
      </c>
      <c r="N537" s="20" t="str">
        <f>_xlfn.XLOOKUP(packes[[#This Row],[productId]],bom[Id],bom[ph],"NA")</f>
        <v>nar.p</v>
      </c>
      <c r="O537" s="20" t="str">
        <f>_xlfn.XLOOKUP(packes[[#This Row],[productId]],bom[Id],bom[erth],"NA")</f>
        <v>-</v>
      </c>
      <c r="P537" s="20" t="str">
        <f>_xlfn.XLOOKUP(packes[[#This Row],[productId]],bom[Id],bom[dbl],"NA")</f>
        <v>nar.p</v>
      </c>
      <c r="Q537" s="20" t="str">
        <f>LEFT(packes[[#This Row],[date]],4)</f>
        <v>1403</v>
      </c>
    </row>
    <row r="538" spans="1:17" s="23" customFormat="1" ht="16.5" x14ac:dyDescent="0.25">
      <c r="A538" s="23">
        <v>536</v>
      </c>
      <c r="B538" s="24" t="s">
        <v>1576</v>
      </c>
      <c r="C538" s="23">
        <v>140010230</v>
      </c>
      <c r="D538" s="23">
        <v>1450</v>
      </c>
      <c r="E538" s="27" t="e">
        <v>#VALUE!</v>
      </c>
      <c r="F538" s="27" t="e">
        <v>#VALUE!</v>
      </c>
      <c r="G538" s="23">
        <v>12</v>
      </c>
      <c r="H538" s="486" t="e">
        <v>#VALUE!</v>
      </c>
      <c r="J538" s="487"/>
      <c r="K538" s="488"/>
      <c r="L538" s="488"/>
      <c r="M538" s="548">
        <f>_xlfn.XLOOKUP(packes[[#This Row],[productId]],CT[productId],CT[total],"NA")</f>
        <v>147.595</v>
      </c>
      <c r="N538" s="20" t="str">
        <f>_xlfn.XLOOKUP(packes[[#This Row],[productId]],bom[Id],bom[ph],"NA")</f>
        <v>nar.p</v>
      </c>
      <c r="O538" s="20" t="str">
        <f>_xlfn.XLOOKUP(packes[[#This Row],[productId]],bom[Id],bom[erth],"NA")</f>
        <v>-</v>
      </c>
      <c r="P538" s="20" t="str">
        <f>_xlfn.XLOOKUP(packes[[#This Row],[productId]],bom[Id],bom[dbl],"NA")</f>
        <v>nar.p</v>
      </c>
      <c r="Q538" s="20" t="str">
        <f>LEFT(packes[[#This Row],[date]],4)</f>
        <v>1403</v>
      </c>
    </row>
    <row r="539" spans="1:17" s="23" customFormat="1" ht="16.5" x14ac:dyDescent="0.25">
      <c r="A539" s="23">
        <v>537</v>
      </c>
      <c r="B539" s="24" t="s">
        <v>1576</v>
      </c>
      <c r="C539" s="23">
        <v>140030039</v>
      </c>
      <c r="D539" s="23">
        <v>800</v>
      </c>
      <c r="E539" s="27" t="e">
        <v>#VALUE!</v>
      </c>
      <c r="F539" s="27" t="e">
        <v>#VALUE!</v>
      </c>
      <c r="G539" s="23">
        <v>12</v>
      </c>
      <c r="H539" s="486" t="e">
        <v>#VALUE!</v>
      </c>
      <c r="J539" s="487"/>
      <c r="K539" s="488"/>
      <c r="L539" s="488"/>
      <c r="M539" s="548">
        <f>_xlfn.XLOOKUP(packes[[#This Row],[productId]],CT[productId],CT[total],"NA")</f>
        <v>92.504999999999995</v>
      </c>
      <c r="N539" s="20" t="str">
        <f>_xlfn.XLOOKUP(packes[[#This Row],[productId]],bom[Id],bom[ph],"NA")</f>
        <v>YH</v>
      </c>
      <c r="O539" s="20" t="str">
        <f>_xlfn.XLOOKUP(packes[[#This Row],[productId]],bom[Id],bom[erth],"NA")</f>
        <v>sun</v>
      </c>
      <c r="P539" s="20" t="str">
        <f>_xlfn.XLOOKUP(packes[[#This Row],[productId]],bom[Id],bom[dbl],"NA")</f>
        <v>-</v>
      </c>
      <c r="Q539" s="20" t="str">
        <f>LEFT(packes[[#This Row],[date]],4)</f>
        <v>1403</v>
      </c>
    </row>
    <row r="540" spans="1:17" s="23" customFormat="1" ht="16.5" x14ac:dyDescent="0.25">
      <c r="A540" s="23">
        <v>538</v>
      </c>
      <c r="B540" s="24" t="s">
        <v>1576</v>
      </c>
      <c r="C540" s="23">
        <v>140030040</v>
      </c>
      <c r="D540" s="23">
        <v>1700</v>
      </c>
      <c r="E540" s="27" t="e">
        <v>#VALUE!</v>
      </c>
      <c r="F540" s="27" t="e">
        <v>#VALUE!</v>
      </c>
      <c r="G540" s="23">
        <v>12</v>
      </c>
      <c r="H540" s="486" t="e">
        <v>#VALUE!</v>
      </c>
      <c r="J540" s="487"/>
      <c r="K540" s="488"/>
      <c r="L540" s="488"/>
      <c r="M540" s="548">
        <f>_xlfn.XLOOKUP(packes[[#This Row],[productId]],CT[productId],CT[total],"NA")</f>
        <v>97.305000000000007</v>
      </c>
      <c r="N540" s="20" t="str">
        <f>_xlfn.XLOOKUP(packes[[#This Row],[productId]],bom[Id],bom[ph],"NA")</f>
        <v>YH</v>
      </c>
      <c r="O540" s="20" t="str">
        <f>_xlfn.XLOOKUP(packes[[#This Row],[productId]],bom[Id],bom[erth],"NA")</f>
        <v>sun</v>
      </c>
      <c r="P540" s="20" t="str">
        <f>_xlfn.XLOOKUP(packes[[#This Row],[productId]],bom[Id],bom[dbl],"NA")</f>
        <v>-</v>
      </c>
      <c r="Q540" s="20" t="str">
        <f>LEFT(packes[[#This Row],[date]],4)</f>
        <v>1403</v>
      </c>
    </row>
    <row r="541" spans="1:17" s="23" customFormat="1" ht="16.5" x14ac:dyDescent="0.25">
      <c r="A541" s="23">
        <v>539</v>
      </c>
      <c r="B541" s="24" t="s">
        <v>1576</v>
      </c>
      <c r="C541" s="23">
        <v>140310007</v>
      </c>
      <c r="D541" s="23">
        <v>2700</v>
      </c>
      <c r="E541" s="27" t="e">
        <v>#VALUE!</v>
      </c>
      <c r="F541" s="27" t="e">
        <v>#VALUE!</v>
      </c>
      <c r="G541" s="23">
        <v>12</v>
      </c>
      <c r="H541" s="486" t="e">
        <v>#VALUE!</v>
      </c>
      <c r="J541" s="487"/>
      <c r="K541" s="488"/>
      <c r="L541" s="488"/>
      <c r="M541" s="548">
        <f>_xlfn.XLOOKUP(packes[[#This Row],[productId]],CT[productId],CT[total],"NA")</f>
        <v>92.484999999999999</v>
      </c>
      <c r="N541" s="20" t="str">
        <f>_xlfn.XLOOKUP(packes[[#This Row],[productId]],bom[Id],bom[ph],"NA")</f>
        <v>-</v>
      </c>
      <c r="O541" s="20" t="str">
        <f>_xlfn.XLOOKUP(packes[[#This Row],[productId]],bom[Id],bom[erth],"NA")</f>
        <v>nut4</v>
      </c>
      <c r="P541" s="20" t="str">
        <f>_xlfn.XLOOKUP(packes[[#This Row],[productId]],bom[Id],bom[dbl],"NA")</f>
        <v>-</v>
      </c>
      <c r="Q541" s="20" t="str">
        <f>LEFT(packes[[#This Row],[date]],4)</f>
        <v>1403</v>
      </c>
    </row>
    <row r="542" spans="1:17" s="23" customFormat="1" ht="16.5" x14ac:dyDescent="0.25">
      <c r="A542" s="23">
        <v>540</v>
      </c>
      <c r="B542" s="24" t="s">
        <v>1576</v>
      </c>
      <c r="C542" s="23">
        <v>140310075</v>
      </c>
      <c r="D542" s="23">
        <v>950</v>
      </c>
      <c r="E542" s="27" t="e">
        <v>#VALUE!</v>
      </c>
      <c r="F542" s="27" t="e">
        <v>#VALUE!</v>
      </c>
      <c r="G542" s="23">
        <v>12</v>
      </c>
      <c r="H542" s="486" t="e">
        <v>#VALUE!</v>
      </c>
      <c r="J542" s="487"/>
      <c r="K542" s="488"/>
      <c r="L542" s="488"/>
      <c r="M542" s="548">
        <f>_xlfn.XLOOKUP(packes[[#This Row],[productId]],CT[productId],CT[total],"NA")</f>
        <v>154.88499999999999</v>
      </c>
      <c r="N542" s="20" t="str">
        <f>_xlfn.XLOOKUP(packes[[#This Row],[productId]],bom[Id],bom[ph],"NA")</f>
        <v>molex</v>
      </c>
      <c r="O542" s="20" t="str">
        <f>_xlfn.XLOOKUP(packes[[#This Row],[productId]],bom[Id],bom[erth],"NA")</f>
        <v>nut4</v>
      </c>
      <c r="P542" s="20" t="str">
        <f>_xlfn.XLOOKUP(packes[[#This Row],[productId]],bom[Id],bom[dbl],"NA")</f>
        <v>-</v>
      </c>
      <c r="Q542" s="20" t="str">
        <f>LEFT(packes[[#This Row],[date]],4)</f>
        <v>1403</v>
      </c>
    </row>
    <row r="543" spans="1:17" s="23" customFormat="1" ht="16.5" x14ac:dyDescent="0.25">
      <c r="A543" s="23">
        <v>541</v>
      </c>
      <c r="B543" s="24" t="s">
        <v>1577</v>
      </c>
      <c r="C543" s="23">
        <v>140010117</v>
      </c>
      <c r="D543" s="23">
        <v>1050</v>
      </c>
      <c r="E543" s="27" t="e">
        <v>#VALUE!</v>
      </c>
      <c r="F543" s="27" t="e">
        <v>#VALUE!</v>
      </c>
      <c r="G543" s="23">
        <v>12</v>
      </c>
      <c r="H543" s="486" t="e">
        <v>#VALUE!</v>
      </c>
      <c r="J543" s="487"/>
      <c r="K543" s="488"/>
      <c r="L543" s="488"/>
      <c r="M543" s="548">
        <f>_xlfn.XLOOKUP(packes[[#This Row],[productId]],CT[productId],CT[total],"NA")</f>
        <v>98.295000000000016</v>
      </c>
      <c r="N543" s="20" t="str">
        <f>_xlfn.XLOOKUP(packes[[#This Row],[productId]],bom[Id],bom[ph],"NA")</f>
        <v>nar.p</v>
      </c>
      <c r="O543" s="20" t="str">
        <f>_xlfn.XLOOKUP(packes[[#This Row],[productId]],bom[Id],bom[erth],"NA")</f>
        <v>-</v>
      </c>
      <c r="P543" s="20" t="str">
        <f>_xlfn.XLOOKUP(packes[[#This Row],[productId]],bom[Id],bom[dbl],"NA")</f>
        <v>nar.p</v>
      </c>
      <c r="Q543" s="20" t="str">
        <f>LEFT(packes[[#This Row],[date]],4)</f>
        <v>1403</v>
      </c>
    </row>
    <row r="544" spans="1:17" s="23" customFormat="1" ht="16.5" x14ac:dyDescent="0.25">
      <c r="A544" s="23">
        <v>542</v>
      </c>
      <c r="B544" s="24" t="s">
        <v>1577</v>
      </c>
      <c r="C544" s="23">
        <v>140010230</v>
      </c>
      <c r="D544" s="23">
        <v>300</v>
      </c>
      <c r="E544" s="27" t="e">
        <v>#VALUE!</v>
      </c>
      <c r="F544" s="27" t="e">
        <v>#VALUE!</v>
      </c>
      <c r="G544" s="23">
        <v>12</v>
      </c>
      <c r="H544" s="486" t="e">
        <v>#VALUE!</v>
      </c>
      <c r="J544" s="487"/>
      <c r="K544" s="488"/>
      <c r="L544" s="488"/>
      <c r="M544" s="548">
        <f>_xlfn.XLOOKUP(packes[[#This Row],[productId]],CT[productId],CT[total],"NA")</f>
        <v>147.595</v>
      </c>
      <c r="N544" s="20" t="str">
        <f>_xlfn.XLOOKUP(packes[[#This Row],[productId]],bom[Id],bom[ph],"NA")</f>
        <v>nar.p</v>
      </c>
      <c r="O544" s="20" t="str">
        <f>_xlfn.XLOOKUP(packes[[#This Row],[productId]],bom[Id],bom[erth],"NA")</f>
        <v>-</v>
      </c>
      <c r="P544" s="20" t="str">
        <f>_xlfn.XLOOKUP(packes[[#This Row],[productId]],bom[Id],bom[dbl],"NA")</f>
        <v>nar.p</v>
      </c>
      <c r="Q544" s="20" t="str">
        <f>LEFT(packes[[#This Row],[date]],4)</f>
        <v>1403</v>
      </c>
    </row>
    <row r="545" spans="1:17" s="23" customFormat="1" ht="16.5" x14ac:dyDescent="0.25">
      <c r="A545" s="23">
        <v>543</v>
      </c>
      <c r="B545" s="24" t="s">
        <v>1577</v>
      </c>
      <c r="C545" s="23">
        <v>140030039</v>
      </c>
      <c r="D545" s="23">
        <v>700</v>
      </c>
      <c r="E545" s="27" t="e">
        <v>#VALUE!</v>
      </c>
      <c r="F545" s="27" t="e">
        <v>#VALUE!</v>
      </c>
      <c r="G545" s="23">
        <v>12</v>
      </c>
      <c r="H545" s="486" t="e">
        <v>#VALUE!</v>
      </c>
      <c r="J545" s="487"/>
      <c r="K545" s="488"/>
      <c r="L545" s="488"/>
      <c r="M545" s="548">
        <f>_xlfn.XLOOKUP(packes[[#This Row],[productId]],CT[productId],CT[total],"NA")</f>
        <v>92.504999999999995</v>
      </c>
      <c r="N545" s="20" t="str">
        <f>_xlfn.XLOOKUP(packes[[#This Row],[productId]],bom[Id],bom[ph],"NA")</f>
        <v>YH</v>
      </c>
      <c r="O545" s="20" t="str">
        <f>_xlfn.XLOOKUP(packes[[#This Row],[productId]],bom[Id],bom[erth],"NA")</f>
        <v>sun</v>
      </c>
      <c r="P545" s="20" t="str">
        <f>_xlfn.XLOOKUP(packes[[#This Row],[productId]],bom[Id],bom[dbl],"NA")</f>
        <v>-</v>
      </c>
      <c r="Q545" s="20" t="str">
        <f>LEFT(packes[[#This Row],[date]],4)</f>
        <v>1403</v>
      </c>
    </row>
    <row r="546" spans="1:17" s="23" customFormat="1" ht="16.5" x14ac:dyDescent="0.25">
      <c r="A546" s="23">
        <v>544</v>
      </c>
      <c r="B546" s="24" t="s">
        <v>1577</v>
      </c>
      <c r="C546" s="23">
        <v>140030040</v>
      </c>
      <c r="D546" s="23">
        <v>1100</v>
      </c>
      <c r="E546" s="27" t="e">
        <v>#VALUE!</v>
      </c>
      <c r="F546" s="27" t="e">
        <v>#VALUE!</v>
      </c>
      <c r="G546" s="23">
        <v>12</v>
      </c>
      <c r="H546" s="486" t="e">
        <v>#VALUE!</v>
      </c>
      <c r="J546" s="487"/>
      <c r="K546" s="488"/>
      <c r="L546" s="488"/>
      <c r="M546" s="548">
        <f>_xlfn.XLOOKUP(packes[[#This Row],[productId]],CT[productId],CT[total],"NA")</f>
        <v>97.305000000000007</v>
      </c>
      <c r="N546" s="20" t="str">
        <f>_xlfn.XLOOKUP(packes[[#This Row],[productId]],bom[Id],bom[ph],"NA")</f>
        <v>YH</v>
      </c>
      <c r="O546" s="20" t="str">
        <f>_xlfn.XLOOKUP(packes[[#This Row],[productId]],bom[Id],bom[erth],"NA")</f>
        <v>sun</v>
      </c>
      <c r="P546" s="20" t="str">
        <f>_xlfn.XLOOKUP(packes[[#This Row],[productId]],bom[Id],bom[dbl],"NA")</f>
        <v>-</v>
      </c>
      <c r="Q546" s="20" t="str">
        <f>LEFT(packes[[#This Row],[date]],4)</f>
        <v>1403</v>
      </c>
    </row>
    <row r="547" spans="1:17" s="23" customFormat="1" ht="16.5" x14ac:dyDescent="0.25">
      <c r="A547" s="23">
        <v>545</v>
      </c>
      <c r="B547" s="24" t="s">
        <v>1577</v>
      </c>
      <c r="C547" s="23">
        <v>140310007</v>
      </c>
      <c r="D547" s="23">
        <v>2100</v>
      </c>
      <c r="E547" s="27" t="e">
        <v>#VALUE!</v>
      </c>
      <c r="F547" s="27" t="e">
        <v>#VALUE!</v>
      </c>
      <c r="G547" s="23">
        <v>12</v>
      </c>
      <c r="H547" s="486" t="e">
        <v>#VALUE!</v>
      </c>
      <c r="J547" s="487"/>
      <c r="K547" s="488"/>
      <c r="L547" s="488"/>
      <c r="M547" s="548">
        <f>_xlfn.XLOOKUP(packes[[#This Row],[productId]],CT[productId],CT[total],"NA")</f>
        <v>92.484999999999999</v>
      </c>
      <c r="N547" s="20" t="str">
        <f>_xlfn.XLOOKUP(packes[[#This Row],[productId]],bom[Id],bom[ph],"NA")</f>
        <v>-</v>
      </c>
      <c r="O547" s="20" t="str">
        <f>_xlfn.XLOOKUP(packes[[#This Row],[productId]],bom[Id],bom[erth],"NA")</f>
        <v>nut4</v>
      </c>
      <c r="P547" s="20" t="str">
        <f>_xlfn.XLOOKUP(packes[[#This Row],[productId]],bom[Id],bom[dbl],"NA")</f>
        <v>-</v>
      </c>
      <c r="Q547" s="20" t="str">
        <f>LEFT(packes[[#This Row],[date]],4)</f>
        <v>1403</v>
      </c>
    </row>
    <row r="548" spans="1:17" s="23" customFormat="1" ht="16.5" x14ac:dyDescent="0.25">
      <c r="A548" s="23">
        <v>546</v>
      </c>
      <c r="B548" s="24" t="s">
        <v>1577</v>
      </c>
      <c r="C548" s="23">
        <v>140310075</v>
      </c>
      <c r="D548" s="23">
        <v>1750</v>
      </c>
      <c r="E548" s="27" t="e">
        <v>#VALUE!</v>
      </c>
      <c r="F548" s="27" t="e">
        <v>#VALUE!</v>
      </c>
      <c r="G548" s="23">
        <v>12</v>
      </c>
      <c r="H548" s="486" t="e">
        <v>#VALUE!</v>
      </c>
      <c r="J548" s="487"/>
      <c r="K548" s="488"/>
      <c r="L548" s="488"/>
      <c r="M548" s="548">
        <f>_xlfn.XLOOKUP(packes[[#This Row],[productId]],CT[productId],CT[total],"NA")</f>
        <v>154.88499999999999</v>
      </c>
      <c r="N548" s="20" t="str">
        <f>_xlfn.XLOOKUP(packes[[#This Row],[productId]],bom[Id],bom[ph],"NA")</f>
        <v>molex</v>
      </c>
      <c r="O548" s="20" t="str">
        <f>_xlfn.XLOOKUP(packes[[#This Row],[productId]],bom[Id],bom[erth],"NA")</f>
        <v>nut4</v>
      </c>
      <c r="P548" s="20" t="str">
        <f>_xlfn.XLOOKUP(packes[[#This Row],[productId]],bom[Id],bom[dbl],"NA")</f>
        <v>-</v>
      </c>
      <c r="Q548" s="20" t="str">
        <f>LEFT(packes[[#This Row],[date]],4)</f>
        <v>1403</v>
      </c>
    </row>
    <row r="549" spans="1:17" s="23" customFormat="1" ht="16.5" x14ac:dyDescent="0.25">
      <c r="A549" s="23">
        <v>547</v>
      </c>
      <c r="B549" s="24" t="s">
        <v>1577</v>
      </c>
      <c r="C549" s="23">
        <v>141320055</v>
      </c>
      <c r="D549" s="23">
        <v>2000</v>
      </c>
      <c r="E549" s="27" t="e">
        <v>#VALUE!</v>
      </c>
      <c r="F549" s="27" t="e">
        <v>#VALUE!</v>
      </c>
      <c r="G549" s="23">
        <v>12</v>
      </c>
      <c r="H549" s="486" t="e">
        <v>#VALUE!</v>
      </c>
      <c r="J549" s="487"/>
      <c r="K549" s="488"/>
      <c r="L549" s="488"/>
      <c r="M549" s="548">
        <f>_xlfn.XLOOKUP(packes[[#This Row],[productId]],CT[productId],CT[total],"NA")</f>
        <v>41.13</v>
      </c>
      <c r="N549" s="20">
        <f>_xlfn.XLOOKUP(packes[[#This Row],[productId]],bom[Id],bom[ph],"NA")</f>
        <v>0</v>
      </c>
      <c r="O549" s="20">
        <f>_xlfn.XLOOKUP(packes[[#This Row],[productId]],bom[Id],bom[erth],"NA")</f>
        <v>0</v>
      </c>
      <c r="P549" s="20">
        <f>_xlfn.XLOOKUP(packes[[#This Row],[productId]],bom[Id],bom[dbl],"NA")</f>
        <v>0</v>
      </c>
      <c r="Q549" s="20" t="str">
        <f>LEFT(packes[[#This Row],[date]],4)</f>
        <v>1403</v>
      </c>
    </row>
    <row r="550" spans="1:17" s="23" customFormat="1" ht="16.5" x14ac:dyDescent="0.25">
      <c r="A550" s="23">
        <v>548</v>
      </c>
      <c r="B550" s="24" t="s">
        <v>1578</v>
      </c>
      <c r="C550" s="23">
        <v>140010117</v>
      </c>
      <c r="D550" s="23">
        <v>375</v>
      </c>
      <c r="E550" s="27" t="e">
        <v>#VALUE!</v>
      </c>
      <c r="F550" s="27" t="e">
        <v>#VALUE!</v>
      </c>
      <c r="G550" s="23">
        <v>12</v>
      </c>
      <c r="H550" s="486" t="e">
        <v>#VALUE!</v>
      </c>
      <c r="J550" s="487"/>
      <c r="K550" s="488"/>
      <c r="L550" s="488"/>
      <c r="M550" s="548">
        <f>_xlfn.XLOOKUP(packes[[#This Row],[productId]],CT[productId],CT[total],"NA")</f>
        <v>98.295000000000016</v>
      </c>
      <c r="N550" s="20" t="str">
        <f>_xlfn.XLOOKUP(packes[[#This Row],[productId]],bom[Id],bom[ph],"NA")</f>
        <v>nar.p</v>
      </c>
      <c r="O550" s="20" t="str">
        <f>_xlfn.XLOOKUP(packes[[#This Row],[productId]],bom[Id],bom[erth],"NA")</f>
        <v>-</v>
      </c>
      <c r="P550" s="20" t="str">
        <f>_xlfn.XLOOKUP(packes[[#This Row],[productId]],bom[Id],bom[dbl],"NA")</f>
        <v>nar.p</v>
      </c>
      <c r="Q550" s="20" t="str">
        <f>LEFT(packes[[#This Row],[date]],4)</f>
        <v>1403</v>
      </c>
    </row>
    <row r="551" spans="1:17" s="23" customFormat="1" ht="16.5" x14ac:dyDescent="0.25">
      <c r="A551" s="23">
        <v>549</v>
      </c>
      <c r="B551" s="24" t="s">
        <v>1578</v>
      </c>
      <c r="C551" s="23">
        <v>140030039</v>
      </c>
      <c r="D551" s="23">
        <v>200</v>
      </c>
      <c r="E551" s="27" t="e">
        <v>#VALUE!</v>
      </c>
      <c r="F551" s="27" t="e">
        <v>#VALUE!</v>
      </c>
      <c r="G551" s="23">
        <v>12</v>
      </c>
      <c r="H551" s="486" t="e">
        <v>#VALUE!</v>
      </c>
      <c r="J551" s="487"/>
      <c r="K551" s="488"/>
      <c r="L551" s="488"/>
      <c r="M551" s="548">
        <f>_xlfn.XLOOKUP(packes[[#This Row],[productId]],CT[productId],CT[total],"NA")</f>
        <v>92.504999999999995</v>
      </c>
      <c r="N551" s="20" t="str">
        <f>_xlfn.XLOOKUP(packes[[#This Row],[productId]],bom[Id],bom[ph],"NA")</f>
        <v>YH</v>
      </c>
      <c r="O551" s="20" t="str">
        <f>_xlfn.XLOOKUP(packes[[#This Row],[productId]],bom[Id],bom[erth],"NA")</f>
        <v>sun</v>
      </c>
      <c r="P551" s="20" t="str">
        <f>_xlfn.XLOOKUP(packes[[#This Row],[productId]],bom[Id],bom[dbl],"NA")</f>
        <v>-</v>
      </c>
      <c r="Q551" s="20" t="str">
        <f>LEFT(packes[[#This Row],[date]],4)</f>
        <v>1403</v>
      </c>
    </row>
    <row r="552" spans="1:17" s="23" customFormat="1" ht="16.5" x14ac:dyDescent="0.25">
      <c r="A552" s="23">
        <v>550</v>
      </c>
      <c r="B552" s="24" t="s">
        <v>1578</v>
      </c>
      <c r="C552" s="23">
        <v>140310007</v>
      </c>
      <c r="D552" s="23">
        <v>3900</v>
      </c>
      <c r="E552" s="27" t="e">
        <v>#VALUE!</v>
      </c>
      <c r="F552" s="27" t="e">
        <v>#VALUE!</v>
      </c>
      <c r="G552" s="23">
        <v>12</v>
      </c>
      <c r="H552" s="486" t="e">
        <v>#VALUE!</v>
      </c>
      <c r="J552" s="487"/>
      <c r="K552" s="488"/>
      <c r="L552" s="488"/>
      <c r="M552" s="548">
        <f>_xlfn.XLOOKUP(packes[[#This Row],[productId]],CT[productId],CT[total],"NA")</f>
        <v>92.484999999999999</v>
      </c>
      <c r="N552" s="20" t="str">
        <f>_xlfn.XLOOKUP(packes[[#This Row],[productId]],bom[Id],bom[ph],"NA")</f>
        <v>-</v>
      </c>
      <c r="O552" s="20" t="str">
        <f>_xlfn.XLOOKUP(packes[[#This Row],[productId]],bom[Id],bom[erth],"NA")</f>
        <v>nut4</v>
      </c>
      <c r="P552" s="20" t="str">
        <f>_xlfn.XLOOKUP(packes[[#This Row],[productId]],bom[Id],bom[dbl],"NA")</f>
        <v>-</v>
      </c>
      <c r="Q552" s="20" t="str">
        <f>LEFT(packes[[#This Row],[date]],4)</f>
        <v>1403</v>
      </c>
    </row>
    <row r="553" spans="1:17" s="23" customFormat="1" ht="16.5" x14ac:dyDescent="0.25">
      <c r="A553" s="23">
        <v>551</v>
      </c>
      <c r="B553" s="24" t="s">
        <v>1578</v>
      </c>
      <c r="C553" s="23">
        <v>140310075</v>
      </c>
      <c r="D553" s="23">
        <v>2200</v>
      </c>
      <c r="E553" s="27" t="e">
        <v>#VALUE!</v>
      </c>
      <c r="F553" s="27" t="e">
        <v>#VALUE!</v>
      </c>
      <c r="G553" s="23">
        <v>12</v>
      </c>
      <c r="H553" s="486" t="e">
        <v>#VALUE!</v>
      </c>
      <c r="J553" s="487"/>
      <c r="K553" s="488"/>
      <c r="L553" s="488"/>
      <c r="M553" s="548">
        <f>_xlfn.XLOOKUP(packes[[#This Row],[productId]],CT[productId],CT[total],"NA")</f>
        <v>154.88499999999999</v>
      </c>
      <c r="N553" s="20" t="str">
        <f>_xlfn.XLOOKUP(packes[[#This Row],[productId]],bom[Id],bom[ph],"NA")</f>
        <v>molex</v>
      </c>
      <c r="O553" s="20" t="str">
        <f>_xlfn.XLOOKUP(packes[[#This Row],[productId]],bom[Id],bom[erth],"NA")</f>
        <v>nut4</v>
      </c>
      <c r="P553" s="20" t="str">
        <f>_xlfn.XLOOKUP(packes[[#This Row],[productId]],bom[Id],bom[dbl],"NA")</f>
        <v>-</v>
      </c>
      <c r="Q553" s="20" t="str">
        <f>LEFT(packes[[#This Row],[date]],4)</f>
        <v>1403</v>
      </c>
    </row>
    <row r="554" spans="1:17" s="23" customFormat="1" ht="16.5" x14ac:dyDescent="0.25">
      <c r="A554" s="23">
        <v>552</v>
      </c>
      <c r="B554" s="24" t="s">
        <v>1578</v>
      </c>
      <c r="C554" s="23">
        <v>141320055</v>
      </c>
      <c r="D554" s="23">
        <v>1100</v>
      </c>
      <c r="E554" s="27" t="e">
        <v>#VALUE!</v>
      </c>
      <c r="F554" s="27" t="e">
        <v>#VALUE!</v>
      </c>
      <c r="G554" s="23">
        <v>12</v>
      </c>
      <c r="H554" s="486" t="e">
        <v>#VALUE!</v>
      </c>
      <c r="J554" s="487"/>
      <c r="K554" s="488"/>
      <c r="L554" s="488"/>
      <c r="M554" s="548">
        <f>_xlfn.XLOOKUP(packes[[#This Row],[productId]],CT[productId],CT[total],"NA")</f>
        <v>41.13</v>
      </c>
      <c r="N554" s="20">
        <f>_xlfn.XLOOKUP(packes[[#This Row],[productId]],bom[Id],bom[ph],"NA")</f>
        <v>0</v>
      </c>
      <c r="O554" s="20">
        <f>_xlfn.XLOOKUP(packes[[#This Row],[productId]],bom[Id],bom[erth],"NA")</f>
        <v>0</v>
      </c>
      <c r="P554" s="20">
        <f>_xlfn.XLOOKUP(packes[[#This Row],[productId]],bom[Id],bom[dbl],"NA")</f>
        <v>0</v>
      </c>
      <c r="Q554" s="20" t="str">
        <f>LEFT(packes[[#This Row],[date]],4)</f>
        <v>1403</v>
      </c>
    </row>
    <row r="555" spans="1:17" s="23" customFormat="1" ht="16.5" x14ac:dyDescent="0.25">
      <c r="A555" s="23">
        <v>553</v>
      </c>
      <c r="B555" s="24" t="s">
        <v>1579</v>
      </c>
      <c r="C555" s="23">
        <v>140010117</v>
      </c>
      <c r="D555" s="23">
        <v>1875</v>
      </c>
      <c r="E555" s="27" t="e">
        <v>#VALUE!</v>
      </c>
      <c r="F555" s="27" t="e">
        <v>#VALUE!</v>
      </c>
      <c r="G555" s="23">
        <v>12</v>
      </c>
      <c r="H555" s="486" t="e">
        <v>#VALUE!</v>
      </c>
      <c r="J555" s="487"/>
      <c r="K555" s="488"/>
      <c r="L555" s="488"/>
      <c r="M555" s="548">
        <f>_xlfn.XLOOKUP(packes[[#This Row],[productId]],CT[productId],CT[total],"NA")</f>
        <v>98.295000000000016</v>
      </c>
      <c r="N555" s="20" t="str">
        <f>_xlfn.XLOOKUP(packes[[#This Row],[productId]],bom[Id],bom[ph],"NA")</f>
        <v>nar.p</v>
      </c>
      <c r="O555" s="20" t="str">
        <f>_xlfn.XLOOKUP(packes[[#This Row],[productId]],bom[Id],bom[erth],"NA")</f>
        <v>-</v>
      </c>
      <c r="P555" s="20" t="str">
        <f>_xlfn.XLOOKUP(packes[[#This Row],[productId]],bom[Id],bom[dbl],"NA")</f>
        <v>nar.p</v>
      </c>
      <c r="Q555" s="20" t="str">
        <f>LEFT(packes[[#This Row],[date]],4)</f>
        <v>1403</v>
      </c>
    </row>
    <row r="556" spans="1:17" s="23" customFormat="1" ht="16.5" x14ac:dyDescent="0.25">
      <c r="A556" s="23">
        <v>554</v>
      </c>
      <c r="B556" s="24" t="s">
        <v>1579</v>
      </c>
      <c r="C556" s="23">
        <v>140030039</v>
      </c>
      <c r="D556" s="23">
        <v>900</v>
      </c>
      <c r="E556" s="27" t="e">
        <v>#VALUE!</v>
      </c>
      <c r="F556" s="27" t="e">
        <v>#VALUE!</v>
      </c>
      <c r="G556" s="23">
        <v>12</v>
      </c>
      <c r="H556" s="486" t="e">
        <v>#VALUE!</v>
      </c>
      <c r="J556" s="487"/>
      <c r="K556" s="488"/>
      <c r="L556" s="488"/>
      <c r="M556" s="548">
        <f>_xlfn.XLOOKUP(packes[[#This Row],[productId]],CT[productId],CT[total],"NA")</f>
        <v>92.504999999999995</v>
      </c>
      <c r="N556" s="20" t="str">
        <f>_xlfn.XLOOKUP(packes[[#This Row],[productId]],bom[Id],bom[ph],"NA")</f>
        <v>YH</v>
      </c>
      <c r="O556" s="20" t="str">
        <f>_xlfn.XLOOKUP(packes[[#This Row],[productId]],bom[Id],bom[erth],"NA")</f>
        <v>sun</v>
      </c>
      <c r="P556" s="20" t="str">
        <f>_xlfn.XLOOKUP(packes[[#This Row],[productId]],bom[Id],bom[dbl],"NA")</f>
        <v>-</v>
      </c>
      <c r="Q556" s="20" t="str">
        <f>LEFT(packes[[#This Row],[date]],4)</f>
        <v>1403</v>
      </c>
    </row>
    <row r="557" spans="1:17" s="23" customFormat="1" ht="16.5" x14ac:dyDescent="0.25">
      <c r="A557" s="23">
        <v>555</v>
      </c>
      <c r="B557" s="24" t="s">
        <v>1579</v>
      </c>
      <c r="C557" s="23">
        <v>140030040</v>
      </c>
      <c r="D557" s="23">
        <v>300</v>
      </c>
      <c r="E557" s="27" t="e">
        <v>#VALUE!</v>
      </c>
      <c r="F557" s="27" t="e">
        <v>#VALUE!</v>
      </c>
      <c r="G557" s="23">
        <v>12</v>
      </c>
      <c r="H557" s="486" t="e">
        <v>#VALUE!</v>
      </c>
      <c r="J557" s="487"/>
      <c r="K557" s="488"/>
      <c r="L557" s="488"/>
      <c r="M557" s="548">
        <f>_xlfn.XLOOKUP(packes[[#This Row],[productId]],CT[productId],CT[total],"NA")</f>
        <v>97.305000000000007</v>
      </c>
      <c r="N557" s="20" t="str">
        <f>_xlfn.XLOOKUP(packes[[#This Row],[productId]],bom[Id],bom[ph],"NA")</f>
        <v>YH</v>
      </c>
      <c r="O557" s="20" t="str">
        <f>_xlfn.XLOOKUP(packes[[#This Row],[productId]],bom[Id],bom[erth],"NA")</f>
        <v>sun</v>
      </c>
      <c r="P557" s="20" t="str">
        <f>_xlfn.XLOOKUP(packes[[#This Row],[productId]],bom[Id],bom[dbl],"NA")</f>
        <v>-</v>
      </c>
      <c r="Q557" s="20" t="str">
        <f>LEFT(packes[[#This Row],[date]],4)</f>
        <v>1403</v>
      </c>
    </row>
    <row r="558" spans="1:17" s="23" customFormat="1" ht="16.5" x14ac:dyDescent="0.25">
      <c r="A558" s="23">
        <v>556</v>
      </c>
      <c r="B558" s="24" t="s">
        <v>1579</v>
      </c>
      <c r="C558" s="23">
        <v>140310007</v>
      </c>
      <c r="D558" s="23">
        <v>1200</v>
      </c>
      <c r="E558" s="27" t="e">
        <v>#VALUE!</v>
      </c>
      <c r="F558" s="27" t="e">
        <v>#VALUE!</v>
      </c>
      <c r="G558" s="23">
        <v>12</v>
      </c>
      <c r="H558" s="486" t="e">
        <v>#VALUE!</v>
      </c>
      <c r="J558" s="487"/>
      <c r="K558" s="488"/>
      <c r="L558" s="488"/>
      <c r="M558" s="548">
        <f>_xlfn.XLOOKUP(packes[[#This Row],[productId]],CT[productId],CT[total],"NA")</f>
        <v>92.484999999999999</v>
      </c>
      <c r="N558" s="20" t="str">
        <f>_xlfn.XLOOKUP(packes[[#This Row],[productId]],bom[Id],bom[ph],"NA")</f>
        <v>-</v>
      </c>
      <c r="O558" s="20" t="str">
        <f>_xlfn.XLOOKUP(packes[[#This Row],[productId]],bom[Id],bom[erth],"NA")</f>
        <v>nut4</v>
      </c>
      <c r="P558" s="20" t="str">
        <f>_xlfn.XLOOKUP(packes[[#This Row],[productId]],bom[Id],bom[dbl],"NA")</f>
        <v>-</v>
      </c>
      <c r="Q558" s="20" t="str">
        <f>LEFT(packes[[#This Row],[date]],4)</f>
        <v>1403</v>
      </c>
    </row>
    <row r="559" spans="1:17" s="23" customFormat="1" ht="16.5" x14ac:dyDescent="0.25">
      <c r="A559" s="23">
        <v>557</v>
      </c>
      <c r="B559" s="24" t="s">
        <v>1579</v>
      </c>
      <c r="C559" s="23">
        <v>140310075</v>
      </c>
      <c r="D559" s="23">
        <v>3150</v>
      </c>
      <c r="E559" s="27" t="e">
        <v>#VALUE!</v>
      </c>
      <c r="F559" s="27" t="e">
        <v>#VALUE!</v>
      </c>
      <c r="G559" s="23">
        <v>12</v>
      </c>
      <c r="H559" s="486" t="e">
        <v>#VALUE!</v>
      </c>
      <c r="J559" s="487"/>
      <c r="K559" s="488"/>
      <c r="L559" s="488"/>
      <c r="M559" s="548">
        <f>_xlfn.XLOOKUP(packes[[#This Row],[productId]],CT[productId],CT[total],"NA")</f>
        <v>154.88499999999999</v>
      </c>
      <c r="N559" s="20" t="str">
        <f>_xlfn.XLOOKUP(packes[[#This Row],[productId]],bom[Id],bom[ph],"NA")</f>
        <v>molex</v>
      </c>
      <c r="O559" s="20" t="str">
        <f>_xlfn.XLOOKUP(packes[[#This Row],[productId]],bom[Id],bom[erth],"NA")</f>
        <v>nut4</v>
      </c>
      <c r="P559" s="20" t="str">
        <f>_xlfn.XLOOKUP(packes[[#This Row],[productId]],bom[Id],bom[dbl],"NA")</f>
        <v>-</v>
      </c>
      <c r="Q559" s="20" t="str">
        <f>LEFT(packes[[#This Row],[date]],4)</f>
        <v>1403</v>
      </c>
    </row>
    <row r="560" spans="1:17" s="23" customFormat="1" ht="16.5" x14ac:dyDescent="0.25">
      <c r="A560" s="23">
        <v>558</v>
      </c>
      <c r="B560" s="24" t="s">
        <v>1579</v>
      </c>
      <c r="C560" s="23">
        <v>141320055</v>
      </c>
      <c r="D560" s="23">
        <v>2200</v>
      </c>
      <c r="E560" s="27" t="e">
        <v>#VALUE!</v>
      </c>
      <c r="F560" s="27" t="e">
        <v>#VALUE!</v>
      </c>
      <c r="G560" s="23">
        <v>12</v>
      </c>
      <c r="H560" s="486" t="e">
        <v>#VALUE!</v>
      </c>
      <c r="J560" s="487"/>
      <c r="K560" s="488"/>
      <c r="L560" s="488"/>
      <c r="M560" s="548">
        <f>_xlfn.XLOOKUP(packes[[#This Row],[productId]],CT[productId],CT[total],"NA")</f>
        <v>41.13</v>
      </c>
      <c r="N560" s="20">
        <f>_xlfn.XLOOKUP(packes[[#This Row],[productId]],bom[Id],bom[ph],"NA")</f>
        <v>0</v>
      </c>
      <c r="O560" s="20">
        <f>_xlfn.XLOOKUP(packes[[#This Row],[productId]],bom[Id],bom[erth],"NA")</f>
        <v>0</v>
      </c>
      <c r="P560" s="20">
        <f>_xlfn.XLOOKUP(packes[[#This Row],[productId]],bom[Id],bom[dbl],"NA")</f>
        <v>0</v>
      </c>
      <c r="Q560" s="20" t="str">
        <f>LEFT(packes[[#This Row],[date]],4)</f>
        <v>1403</v>
      </c>
    </row>
    <row r="561" spans="1:17" s="23" customFormat="1" ht="16.5" x14ac:dyDescent="0.25">
      <c r="A561" s="23">
        <v>559</v>
      </c>
      <c r="B561" s="24" t="s">
        <v>1580</v>
      </c>
      <c r="C561" s="23">
        <v>140010117</v>
      </c>
      <c r="D561" s="23">
        <v>1725</v>
      </c>
      <c r="E561" s="27" t="e">
        <v>#VALUE!</v>
      </c>
      <c r="F561" s="27" t="e">
        <v>#VALUE!</v>
      </c>
      <c r="G561" s="23">
        <v>12</v>
      </c>
      <c r="H561" s="486" t="e">
        <v>#VALUE!</v>
      </c>
      <c r="J561" s="487"/>
      <c r="K561" s="488"/>
      <c r="L561" s="488"/>
      <c r="M561" s="548">
        <f>_xlfn.XLOOKUP(packes[[#This Row],[productId]],CT[productId],CT[total],"NA")</f>
        <v>98.295000000000016</v>
      </c>
      <c r="N561" s="20" t="str">
        <f>_xlfn.XLOOKUP(packes[[#This Row],[productId]],bom[Id],bom[ph],"NA")</f>
        <v>nar.p</v>
      </c>
      <c r="O561" s="20" t="str">
        <f>_xlfn.XLOOKUP(packes[[#This Row],[productId]],bom[Id],bom[erth],"NA")</f>
        <v>-</v>
      </c>
      <c r="P561" s="20" t="str">
        <f>_xlfn.XLOOKUP(packes[[#This Row],[productId]],bom[Id],bom[dbl],"NA")</f>
        <v>nar.p</v>
      </c>
      <c r="Q561" s="20" t="str">
        <f>LEFT(packes[[#This Row],[date]],4)</f>
        <v>1403</v>
      </c>
    </row>
    <row r="562" spans="1:17" s="23" customFormat="1" ht="16.5" x14ac:dyDescent="0.25">
      <c r="A562" s="23">
        <v>560</v>
      </c>
      <c r="B562" s="24" t="s">
        <v>1580</v>
      </c>
      <c r="C562" s="23">
        <v>140030039</v>
      </c>
      <c r="D562" s="23">
        <v>300</v>
      </c>
      <c r="E562" s="27" t="e">
        <v>#VALUE!</v>
      </c>
      <c r="F562" s="27" t="e">
        <v>#VALUE!</v>
      </c>
      <c r="G562" s="23">
        <v>12</v>
      </c>
      <c r="H562" s="486" t="e">
        <v>#VALUE!</v>
      </c>
      <c r="J562" s="487"/>
      <c r="K562" s="488"/>
      <c r="L562" s="488"/>
      <c r="M562" s="548">
        <f>_xlfn.XLOOKUP(packes[[#This Row],[productId]],CT[productId],CT[total],"NA")</f>
        <v>92.504999999999995</v>
      </c>
      <c r="N562" s="20" t="str">
        <f>_xlfn.XLOOKUP(packes[[#This Row],[productId]],bom[Id],bom[ph],"NA")</f>
        <v>YH</v>
      </c>
      <c r="O562" s="20" t="str">
        <f>_xlfn.XLOOKUP(packes[[#This Row],[productId]],bom[Id],bom[erth],"NA")</f>
        <v>sun</v>
      </c>
      <c r="P562" s="20" t="str">
        <f>_xlfn.XLOOKUP(packes[[#This Row],[productId]],bom[Id],bom[dbl],"NA")</f>
        <v>-</v>
      </c>
      <c r="Q562" s="20" t="str">
        <f>LEFT(packes[[#This Row],[date]],4)</f>
        <v>1403</v>
      </c>
    </row>
    <row r="563" spans="1:17" s="23" customFormat="1" ht="16.5" x14ac:dyDescent="0.25">
      <c r="A563" s="23">
        <v>561</v>
      </c>
      <c r="B563" s="24" t="s">
        <v>1580</v>
      </c>
      <c r="C563" s="23">
        <v>140030040</v>
      </c>
      <c r="D563" s="23">
        <v>900</v>
      </c>
      <c r="E563" s="27" t="e">
        <v>#VALUE!</v>
      </c>
      <c r="F563" s="27" t="e">
        <v>#VALUE!</v>
      </c>
      <c r="G563" s="23">
        <v>12</v>
      </c>
      <c r="H563" s="486" t="e">
        <v>#VALUE!</v>
      </c>
      <c r="J563" s="487"/>
      <c r="K563" s="488"/>
      <c r="L563" s="488"/>
      <c r="M563" s="548">
        <f>_xlfn.XLOOKUP(packes[[#This Row],[productId]],CT[productId],CT[total],"NA")</f>
        <v>97.305000000000007</v>
      </c>
      <c r="N563" s="20" t="str">
        <f>_xlfn.XLOOKUP(packes[[#This Row],[productId]],bom[Id],bom[ph],"NA")</f>
        <v>YH</v>
      </c>
      <c r="O563" s="20" t="str">
        <f>_xlfn.XLOOKUP(packes[[#This Row],[productId]],bom[Id],bom[erth],"NA")</f>
        <v>sun</v>
      </c>
      <c r="P563" s="20" t="str">
        <f>_xlfn.XLOOKUP(packes[[#This Row],[productId]],bom[Id],bom[dbl],"NA")</f>
        <v>-</v>
      </c>
      <c r="Q563" s="20" t="str">
        <f>LEFT(packes[[#This Row],[date]],4)</f>
        <v>1403</v>
      </c>
    </row>
    <row r="564" spans="1:17" s="23" customFormat="1" ht="16.5" x14ac:dyDescent="0.25">
      <c r="A564" s="23">
        <v>562</v>
      </c>
      <c r="B564" s="24" t="s">
        <v>1580</v>
      </c>
      <c r="C564" s="23">
        <v>140310007</v>
      </c>
      <c r="D564" s="23">
        <v>3500</v>
      </c>
      <c r="E564" s="27" t="e">
        <v>#VALUE!</v>
      </c>
      <c r="F564" s="27" t="e">
        <v>#VALUE!</v>
      </c>
      <c r="G564" s="23">
        <v>12</v>
      </c>
      <c r="H564" s="486" t="e">
        <v>#VALUE!</v>
      </c>
      <c r="J564" s="487"/>
      <c r="K564" s="488"/>
      <c r="L564" s="488"/>
      <c r="M564" s="548">
        <f>_xlfn.XLOOKUP(packes[[#This Row],[productId]],CT[productId],CT[total],"NA")</f>
        <v>92.484999999999999</v>
      </c>
      <c r="N564" s="20" t="str">
        <f>_xlfn.XLOOKUP(packes[[#This Row],[productId]],bom[Id],bom[ph],"NA")</f>
        <v>-</v>
      </c>
      <c r="O564" s="20" t="str">
        <f>_xlfn.XLOOKUP(packes[[#This Row],[productId]],bom[Id],bom[erth],"NA")</f>
        <v>nut4</v>
      </c>
      <c r="P564" s="20" t="str">
        <f>_xlfn.XLOOKUP(packes[[#This Row],[productId]],bom[Id],bom[dbl],"NA")</f>
        <v>-</v>
      </c>
      <c r="Q564" s="20" t="str">
        <f>LEFT(packes[[#This Row],[date]],4)</f>
        <v>1403</v>
      </c>
    </row>
    <row r="565" spans="1:17" s="23" customFormat="1" ht="16.5" x14ac:dyDescent="0.25">
      <c r="A565" s="23">
        <v>563</v>
      </c>
      <c r="B565" s="24" t="s">
        <v>1580</v>
      </c>
      <c r="C565" s="23">
        <v>140310031</v>
      </c>
      <c r="D565" s="23">
        <v>750</v>
      </c>
      <c r="E565" s="27" t="e">
        <v>#VALUE!</v>
      </c>
      <c r="F565" s="27" t="e">
        <v>#VALUE!</v>
      </c>
      <c r="G565" s="23">
        <v>12</v>
      </c>
      <c r="H565" s="486" t="e">
        <v>#VALUE!</v>
      </c>
      <c r="J565" s="487"/>
      <c r="K565" s="488"/>
      <c r="L565" s="488"/>
      <c r="M565" s="548">
        <f>_xlfn.XLOOKUP(packes[[#This Row],[productId]],CT[productId],CT[total],"NA")</f>
        <v>202.96500000000003</v>
      </c>
      <c r="N565" s="20">
        <f>_xlfn.XLOOKUP(packes[[#This Row],[productId]],bom[Id],bom[ph],"NA")</f>
        <v>461</v>
      </c>
      <c r="O565" s="20" t="str">
        <f>_xlfn.XLOOKUP(packes[[#This Row],[productId]],bom[Id],bom[erth],"NA")</f>
        <v>nut4</v>
      </c>
      <c r="P565" s="20" t="str">
        <f>_xlfn.XLOOKUP(packes[[#This Row],[productId]],bom[Id],bom[dbl],"NA")</f>
        <v>-</v>
      </c>
      <c r="Q565" s="20" t="str">
        <f>LEFT(packes[[#This Row],[date]],4)</f>
        <v>1403</v>
      </c>
    </row>
    <row r="566" spans="1:17" s="23" customFormat="1" ht="16.5" x14ac:dyDescent="0.25">
      <c r="A566" s="23">
        <v>564</v>
      </c>
      <c r="B566" s="24" t="s">
        <v>1580</v>
      </c>
      <c r="C566" s="23">
        <v>140310075</v>
      </c>
      <c r="D566" s="23">
        <v>1950</v>
      </c>
      <c r="E566" s="27" t="e">
        <v>#VALUE!</v>
      </c>
      <c r="F566" s="27" t="e">
        <v>#VALUE!</v>
      </c>
      <c r="G566" s="23">
        <v>12</v>
      </c>
      <c r="H566" s="486" t="e">
        <v>#VALUE!</v>
      </c>
      <c r="J566" s="487"/>
      <c r="K566" s="488"/>
      <c r="L566" s="488"/>
      <c r="M566" s="548">
        <f>_xlfn.XLOOKUP(packes[[#This Row],[productId]],CT[productId],CT[total],"NA")</f>
        <v>154.88499999999999</v>
      </c>
      <c r="N566" s="20" t="str">
        <f>_xlfn.XLOOKUP(packes[[#This Row],[productId]],bom[Id],bom[ph],"NA")</f>
        <v>molex</v>
      </c>
      <c r="O566" s="20" t="str">
        <f>_xlfn.XLOOKUP(packes[[#This Row],[productId]],bom[Id],bom[erth],"NA")</f>
        <v>nut4</v>
      </c>
      <c r="P566" s="20" t="str">
        <f>_xlfn.XLOOKUP(packes[[#This Row],[productId]],bom[Id],bom[dbl],"NA")</f>
        <v>-</v>
      </c>
      <c r="Q566" s="20" t="str">
        <f>LEFT(packes[[#This Row],[date]],4)</f>
        <v>1403</v>
      </c>
    </row>
    <row r="567" spans="1:17" s="23" customFormat="1" ht="16.5" x14ac:dyDescent="0.25">
      <c r="A567" s="23">
        <v>565</v>
      </c>
      <c r="B567" s="24" t="s">
        <v>1580</v>
      </c>
      <c r="C567" s="23">
        <v>141320055</v>
      </c>
      <c r="D567" s="23">
        <v>1800</v>
      </c>
      <c r="E567" s="27" t="e">
        <v>#VALUE!</v>
      </c>
      <c r="F567" s="27" t="e">
        <v>#VALUE!</v>
      </c>
      <c r="G567" s="23">
        <v>12</v>
      </c>
      <c r="H567" s="486" t="e">
        <v>#VALUE!</v>
      </c>
      <c r="J567" s="487"/>
      <c r="K567" s="488"/>
      <c r="L567" s="488"/>
      <c r="M567" s="548">
        <f>_xlfn.XLOOKUP(packes[[#This Row],[productId]],CT[productId],CT[total],"NA")</f>
        <v>41.13</v>
      </c>
      <c r="N567" s="20">
        <f>_xlfn.XLOOKUP(packes[[#This Row],[productId]],bom[Id],bom[ph],"NA")</f>
        <v>0</v>
      </c>
      <c r="O567" s="20">
        <f>_xlfn.XLOOKUP(packes[[#This Row],[productId]],bom[Id],bom[erth],"NA")</f>
        <v>0</v>
      </c>
      <c r="P567" s="20">
        <f>_xlfn.XLOOKUP(packes[[#This Row],[productId]],bom[Id],bom[dbl],"NA")</f>
        <v>0</v>
      </c>
      <c r="Q567" s="20" t="str">
        <f>LEFT(packes[[#This Row],[date]],4)</f>
        <v>1403</v>
      </c>
    </row>
    <row r="568" spans="1:17" s="23" customFormat="1" ht="16.5" x14ac:dyDescent="0.25">
      <c r="A568" s="23">
        <v>566</v>
      </c>
      <c r="B568" s="24" t="s">
        <v>1581</v>
      </c>
      <c r="C568" s="23">
        <v>140010117</v>
      </c>
      <c r="D568" s="23">
        <v>1950</v>
      </c>
      <c r="E568" s="27" t="e">
        <v>#VALUE!</v>
      </c>
      <c r="F568" s="27" t="e">
        <v>#VALUE!</v>
      </c>
      <c r="G568" s="23">
        <v>12</v>
      </c>
      <c r="H568" s="486" t="e">
        <v>#VALUE!</v>
      </c>
      <c r="J568" s="487"/>
      <c r="K568" s="488"/>
      <c r="L568" s="488"/>
      <c r="M568" s="548">
        <f>_xlfn.XLOOKUP(packes[[#This Row],[productId]],CT[productId],CT[total],"NA")</f>
        <v>98.295000000000016</v>
      </c>
      <c r="N568" s="20" t="str">
        <f>_xlfn.XLOOKUP(packes[[#This Row],[productId]],bom[Id],bom[ph],"NA")</f>
        <v>nar.p</v>
      </c>
      <c r="O568" s="20" t="str">
        <f>_xlfn.XLOOKUP(packes[[#This Row],[productId]],bom[Id],bom[erth],"NA")</f>
        <v>-</v>
      </c>
      <c r="P568" s="20" t="str">
        <f>_xlfn.XLOOKUP(packes[[#This Row],[productId]],bom[Id],bom[dbl],"NA")</f>
        <v>nar.p</v>
      </c>
      <c r="Q568" s="20" t="str">
        <f>LEFT(packes[[#This Row],[date]],4)</f>
        <v>1403</v>
      </c>
    </row>
    <row r="569" spans="1:17" s="23" customFormat="1" ht="16.5" x14ac:dyDescent="0.25">
      <c r="A569" s="23">
        <v>567</v>
      </c>
      <c r="B569" s="24" t="s">
        <v>1581</v>
      </c>
      <c r="C569" s="23">
        <v>140310007</v>
      </c>
      <c r="D569" s="23">
        <v>2600</v>
      </c>
      <c r="E569" s="27" t="e">
        <v>#VALUE!</v>
      </c>
      <c r="F569" s="27" t="e">
        <v>#VALUE!</v>
      </c>
      <c r="G569" s="23">
        <v>12</v>
      </c>
      <c r="H569" s="486" t="e">
        <v>#VALUE!</v>
      </c>
      <c r="J569" s="487"/>
      <c r="K569" s="488"/>
      <c r="L569" s="488"/>
      <c r="M569" s="548">
        <f>_xlfn.XLOOKUP(packes[[#This Row],[productId]],CT[productId],CT[total],"NA")</f>
        <v>92.484999999999999</v>
      </c>
      <c r="N569" s="20" t="str">
        <f>_xlfn.XLOOKUP(packes[[#This Row],[productId]],bom[Id],bom[ph],"NA")</f>
        <v>-</v>
      </c>
      <c r="O569" s="20" t="str">
        <f>_xlfn.XLOOKUP(packes[[#This Row],[productId]],bom[Id],bom[erth],"NA")</f>
        <v>nut4</v>
      </c>
      <c r="P569" s="20" t="str">
        <f>_xlfn.XLOOKUP(packes[[#This Row],[productId]],bom[Id],bom[dbl],"NA")</f>
        <v>-</v>
      </c>
      <c r="Q569" s="20" t="str">
        <f>LEFT(packes[[#This Row],[date]],4)</f>
        <v>1403</v>
      </c>
    </row>
    <row r="570" spans="1:17" s="23" customFormat="1" ht="16.5" x14ac:dyDescent="0.25">
      <c r="A570" s="23">
        <v>568</v>
      </c>
      <c r="B570" s="24" t="s">
        <v>1581</v>
      </c>
      <c r="C570" s="23">
        <v>140310075</v>
      </c>
      <c r="D570" s="23">
        <v>2250</v>
      </c>
      <c r="E570" s="27" t="e">
        <v>#VALUE!</v>
      </c>
      <c r="F570" s="27" t="e">
        <v>#VALUE!</v>
      </c>
      <c r="G570" s="23">
        <v>12</v>
      </c>
      <c r="H570" s="486" t="e">
        <v>#VALUE!</v>
      </c>
      <c r="J570" s="487"/>
      <c r="K570" s="488"/>
      <c r="L570" s="488"/>
      <c r="M570" s="548">
        <f>_xlfn.XLOOKUP(packes[[#This Row],[productId]],CT[productId],CT[total],"NA")</f>
        <v>154.88499999999999</v>
      </c>
      <c r="N570" s="20" t="str">
        <f>_xlfn.XLOOKUP(packes[[#This Row],[productId]],bom[Id],bom[ph],"NA")</f>
        <v>molex</v>
      </c>
      <c r="O570" s="20" t="str">
        <f>_xlfn.XLOOKUP(packes[[#This Row],[productId]],bom[Id],bom[erth],"NA")</f>
        <v>nut4</v>
      </c>
      <c r="P570" s="20" t="str">
        <f>_xlfn.XLOOKUP(packes[[#This Row],[productId]],bom[Id],bom[dbl],"NA")</f>
        <v>-</v>
      </c>
      <c r="Q570" s="20" t="str">
        <f>LEFT(packes[[#This Row],[date]],4)</f>
        <v>1403</v>
      </c>
    </row>
    <row r="571" spans="1:17" s="23" customFormat="1" ht="16.5" x14ac:dyDescent="0.25">
      <c r="A571" s="23">
        <v>569</v>
      </c>
      <c r="B571" s="24" t="s">
        <v>1581</v>
      </c>
      <c r="C571" s="23">
        <v>141320055</v>
      </c>
      <c r="D571" s="23">
        <v>2200</v>
      </c>
      <c r="E571" s="27" t="e">
        <v>#VALUE!</v>
      </c>
      <c r="F571" s="27" t="e">
        <v>#VALUE!</v>
      </c>
      <c r="G571" s="23">
        <v>12</v>
      </c>
      <c r="H571" s="486" t="e">
        <v>#VALUE!</v>
      </c>
      <c r="J571" s="487"/>
      <c r="K571" s="488"/>
      <c r="L571" s="488"/>
      <c r="M571" s="548">
        <f>_xlfn.XLOOKUP(packes[[#This Row],[productId]],CT[productId],CT[total],"NA")</f>
        <v>41.13</v>
      </c>
      <c r="N571" s="20">
        <f>_xlfn.XLOOKUP(packes[[#This Row],[productId]],bom[Id],bom[ph],"NA")</f>
        <v>0</v>
      </c>
      <c r="O571" s="20">
        <f>_xlfn.XLOOKUP(packes[[#This Row],[productId]],bom[Id],bom[erth],"NA")</f>
        <v>0</v>
      </c>
      <c r="P571" s="20">
        <f>_xlfn.XLOOKUP(packes[[#This Row],[productId]],bom[Id],bom[dbl],"NA")</f>
        <v>0</v>
      </c>
      <c r="Q571" s="20" t="str">
        <f>LEFT(packes[[#This Row],[date]],4)</f>
        <v>1403</v>
      </c>
    </row>
    <row r="572" spans="1:17" s="23" customFormat="1" ht="16.5" x14ac:dyDescent="0.25">
      <c r="A572" s="23">
        <v>570</v>
      </c>
      <c r="B572" s="24" t="s">
        <v>1582</v>
      </c>
      <c r="C572" s="23">
        <v>140010117</v>
      </c>
      <c r="D572" s="23">
        <v>1275</v>
      </c>
      <c r="E572" s="27" t="e">
        <v>#VALUE!</v>
      </c>
      <c r="F572" s="27" t="e">
        <v>#VALUE!</v>
      </c>
      <c r="G572" s="23">
        <v>12</v>
      </c>
      <c r="H572" s="486" t="e">
        <v>#VALUE!</v>
      </c>
      <c r="J572" s="487"/>
      <c r="K572" s="488"/>
      <c r="L572" s="488"/>
      <c r="M572" s="548">
        <f>_xlfn.XLOOKUP(packes[[#This Row],[productId]],CT[productId],CT[total],"NA")</f>
        <v>98.295000000000016</v>
      </c>
      <c r="N572" s="20" t="str">
        <f>_xlfn.XLOOKUP(packes[[#This Row],[productId]],bom[Id],bom[ph],"NA")</f>
        <v>nar.p</v>
      </c>
      <c r="O572" s="20" t="str">
        <f>_xlfn.XLOOKUP(packes[[#This Row],[productId]],bom[Id],bom[erth],"NA")</f>
        <v>-</v>
      </c>
      <c r="P572" s="20" t="str">
        <f>_xlfn.XLOOKUP(packes[[#This Row],[productId]],bom[Id],bom[dbl],"NA")</f>
        <v>nar.p</v>
      </c>
      <c r="Q572" s="20" t="str">
        <f>LEFT(packes[[#This Row],[date]],4)</f>
        <v>1403</v>
      </c>
    </row>
    <row r="573" spans="1:17" s="23" customFormat="1" ht="16.5" x14ac:dyDescent="0.25">
      <c r="A573" s="23">
        <v>571</v>
      </c>
      <c r="B573" s="24" t="s">
        <v>1582</v>
      </c>
      <c r="C573" s="23">
        <v>140310007</v>
      </c>
      <c r="D573" s="23">
        <v>3200</v>
      </c>
      <c r="E573" s="27" t="e">
        <v>#VALUE!</v>
      </c>
      <c r="F573" s="27" t="e">
        <v>#VALUE!</v>
      </c>
      <c r="G573" s="23">
        <v>12</v>
      </c>
      <c r="H573" s="486" t="e">
        <v>#VALUE!</v>
      </c>
      <c r="J573" s="487"/>
      <c r="K573" s="488"/>
      <c r="L573" s="488"/>
      <c r="M573" s="548">
        <f>_xlfn.XLOOKUP(packes[[#This Row],[productId]],CT[productId],CT[total],"NA")</f>
        <v>92.484999999999999</v>
      </c>
      <c r="N573" s="20" t="str">
        <f>_xlfn.XLOOKUP(packes[[#This Row],[productId]],bom[Id],bom[ph],"NA")</f>
        <v>-</v>
      </c>
      <c r="O573" s="20" t="str">
        <f>_xlfn.XLOOKUP(packes[[#This Row],[productId]],bom[Id],bom[erth],"NA")</f>
        <v>nut4</v>
      </c>
      <c r="P573" s="20" t="str">
        <f>_xlfn.XLOOKUP(packes[[#This Row],[productId]],bom[Id],bom[dbl],"NA")</f>
        <v>-</v>
      </c>
      <c r="Q573" s="20" t="str">
        <f>LEFT(packes[[#This Row],[date]],4)</f>
        <v>1403</v>
      </c>
    </row>
    <row r="574" spans="1:17" s="23" customFormat="1" ht="16.5" x14ac:dyDescent="0.25">
      <c r="A574" s="23">
        <v>572</v>
      </c>
      <c r="B574" s="24" t="s">
        <v>1582</v>
      </c>
      <c r="C574" s="23">
        <v>140310075</v>
      </c>
      <c r="D574" s="23">
        <v>3600</v>
      </c>
      <c r="E574" s="27" t="e">
        <v>#VALUE!</v>
      </c>
      <c r="F574" s="27" t="e">
        <v>#VALUE!</v>
      </c>
      <c r="G574" s="23">
        <v>12</v>
      </c>
      <c r="H574" s="486" t="e">
        <v>#VALUE!</v>
      </c>
      <c r="J574" s="487"/>
      <c r="K574" s="488"/>
      <c r="L574" s="488"/>
      <c r="M574" s="548">
        <f>_xlfn.XLOOKUP(packes[[#This Row],[productId]],CT[productId],CT[total],"NA")</f>
        <v>154.88499999999999</v>
      </c>
      <c r="N574" s="20" t="str">
        <f>_xlfn.XLOOKUP(packes[[#This Row],[productId]],bom[Id],bom[ph],"NA")</f>
        <v>molex</v>
      </c>
      <c r="O574" s="20" t="str">
        <f>_xlfn.XLOOKUP(packes[[#This Row],[productId]],bom[Id],bom[erth],"NA")</f>
        <v>nut4</v>
      </c>
      <c r="P574" s="20" t="str">
        <f>_xlfn.XLOOKUP(packes[[#This Row],[productId]],bom[Id],bom[dbl],"NA")</f>
        <v>-</v>
      </c>
      <c r="Q574" s="20" t="str">
        <f>LEFT(packes[[#This Row],[date]],4)</f>
        <v>1403</v>
      </c>
    </row>
    <row r="575" spans="1:17" s="23" customFormat="1" ht="16.5" x14ac:dyDescent="0.25">
      <c r="A575" s="23">
        <v>573</v>
      </c>
      <c r="B575" s="24" t="s">
        <v>1582</v>
      </c>
      <c r="C575" s="23">
        <v>141320055</v>
      </c>
      <c r="D575" s="23">
        <v>1800</v>
      </c>
      <c r="E575" s="27" t="e">
        <v>#VALUE!</v>
      </c>
      <c r="F575" s="27" t="e">
        <v>#VALUE!</v>
      </c>
      <c r="G575" s="23">
        <v>12</v>
      </c>
      <c r="H575" s="486" t="e">
        <v>#VALUE!</v>
      </c>
      <c r="J575" s="487"/>
      <c r="K575" s="488"/>
      <c r="L575" s="488"/>
      <c r="M575" s="548">
        <f>_xlfn.XLOOKUP(packes[[#This Row],[productId]],CT[productId],CT[total],"NA")</f>
        <v>41.13</v>
      </c>
      <c r="N575" s="20">
        <f>_xlfn.XLOOKUP(packes[[#This Row],[productId]],bom[Id],bom[ph],"NA")</f>
        <v>0</v>
      </c>
      <c r="O575" s="20">
        <f>_xlfn.XLOOKUP(packes[[#This Row],[productId]],bom[Id],bom[erth],"NA")</f>
        <v>0</v>
      </c>
      <c r="P575" s="20">
        <f>_xlfn.XLOOKUP(packes[[#This Row],[productId]],bom[Id],bom[dbl],"NA")</f>
        <v>0</v>
      </c>
      <c r="Q575" s="20" t="str">
        <f>LEFT(packes[[#This Row],[date]],4)</f>
        <v>1403</v>
      </c>
    </row>
    <row r="576" spans="1:17" s="23" customFormat="1" ht="16.5" x14ac:dyDescent="0.25">
      <c r="A576" s="23">
        <v>574</v>
      </c>
      <c r="B576" s="24" t="s">
        <v>1583</v>
      </c>
      <c r="C576" s="23">
        <v>140010230</v>
      </c>
      <c r="D576" s="23">
        <v>350</v>
      </c>
      <c r="E576" s="27" t="e">
        <v>#VALUE!</v>
      </c>
      <c r="F576" s="27" t="e">
        <v>#VALUE!</v>
      </c>
      <c r="G576" s="23">
        <v>12</v>
      </c>
      <c r="H576" s="486" t="e">
        <v>#VALUE!</v>
      </c>
      <c r="J576" s="487"/>
      <c r="K576" s="488"/>
      <c r="L576" s="488"/>
      <c r="M576" s="548">
        <f>_xlfn.XLOOKUP(packes[[#This Row],[productId]],CT[productId],CT[total],"NA")</f>
        <v>147.595</v>
      </c>
      <c r="N576" s="20" t="str">
        <f>_xlfn.XLOOKUP(packes[[#This Row],[productId]],bom[Id],bom[ph],"NA")</f>
        <v>nar.p</v>
      </c>
      <c r="O576" s="20" t="str">
        <f>_xlfn.XLOOKUP(packes[[#This Row],[productId]],bom[Id],bom[erth],"NA")</f>
        <v>-</v>
      </c>
      <c r="P576" s="20" t="str">
        <f>_xlfn.XLOOKUP(packes[[#This Row],[productId]],bom[Id],bom[dbl],"NA")</f>
        <v>nar.p</v>
      </c>
      <c r="Q576" s="20" t="str">
        <f>LEFT(packes[[#This Row],[date]],4)</f>
        <v>1403</v>
      </c>
    </row>
    <row r="577" spans="1:17" s="23" customFormat="1" ht="16.5" x14ac:dyDescent="0.25">
      <c r="A577" s="23">
        <v>575</v>
      </c>
      <c r="B577" s="24" t="s">
        <v>1583</v>
      </c>
      <c r="C577" s="23">
        <v>140030039</v>
      </c>
      <c r="D577" s="23">
        <v>300</v>
      </c>
      <c r="E577" s="27" t="e">
        <v>#VALUE!</v>
      </c>
      <c r="F577" s="27" t="e">
        <v>#VALUE!</v>
      </c>
      <c r="G577" s="23">
        <v>12</v>
      </c>
      <c r="H577" s="486" t="e">
        <v>#VALUE!</v>
      </c>
      <c r="J577" s="487"/>
      <c r="K577" s="488"/>
      <c r="L577" s="488"/>
      <c r="M577" s="548">
        <f>_xlfn.XLOOKUP(packes[[#This Row],[productId]],CT[productId],CT[total],"NA")</f>
        <v>92.504999999999995</v>
      </c>
      <c r="N577" s="20" t="str">
        <f>_xlfn.XLOOKUP(packes[[#This Row],[productId]],bom[Id],bom[ph],"NA")</f>
        <v>YH</v>
      </c>
      <c r="O577" s="20" t="str">
        <f>_xlfn.XLOOKUP(packes[[#This Row],[productId]],bom[Id],bom[erth],"NA")</f>
        <v>sun</v>
      </c>
      <c r="P577" s="20" t="str">
        <f>_xlfn.XLOOKUP(packes[[#This Row],[productId]],bom[Id],bom[dbl],"NA")</f>
        <v>-</v>
      </c>
      <c r="Q577" s="20" t="str">
        <f>LEFT(packes[[#This Row],[date]],4)</f>
        <v>1403</v>
      </c>
    </row>
    <row r="578" spans="1:17" s="23" customFormat="1" ht="16.5" x14ac:dyDescent="0.25">
      <c r="A578" s="23">
        <v>576</v>
      </c>
      <c r="B578" s="24" t="s">
        <v>1583</v>
      </c>
      <c r="C578" s="23">
        <v>140030040</v>
      </c>
      <c r="D578" s="23">
        <v>300</v>
      </c>
      <c r="E578" s="27" t="e">
        <v>#VALUE!</v>
      </c>
      <c r="F578" s="27" t="e">
        <v>#VALUE!</v>
      </c>
      <c r="G578" s="23">
        <v>12</v>
      </c>
      <c r="H578" s="486" t="e">
        <v>#VALUE!</v>
      </c>
      <c r="J578" s="487"/>
      <c r="K578" s="488"/>
      <c r="L578" s="488"/>
      <c r="M578" s="548">
        <f>_xlfn.XLOOKUP(packes[[#This Row],[productId]],CT[productId],CT[total],"NA")</f>
        <v>97.305000000000007</v>
      </c>
      <c r="N578" s="20" t="str">
        <f>_xlfn.XLOOKUP(packes[[#This Row],[productId]],bom[Id],bom[ph],"NA")</f>
        <v>YH</v>
      </c>
      <c r="O578" s="20" t="str">
        <f>_xlfn.XLOOKUP(packes[[#This Row],[productId]],bom[Id],bom[erth],"NA")</f>
        <v>sun</v>
      </c>
      <c r="P578" s="20" t="str">
        <f>_xlfn.XLOOKUP(packes[[#This Row],[productId]],bom[Id],bom[dbl],"NA")</f>
        <v>-</v>
      </c>
      <c r="Q578" s="20" t="str">
        <f>LEFT(packes[[#This Row],[date]],4)</f>
        <v>1403</v>
      </c>
    </row>
    <row r="579" spans="1:17" s="23" customFormat="1" ht="16.5" x14ac:dyDescent="0.25">
      <c r="A579" s="23">
        <v>577</v>
      </c>
      <c r="B579" s="24" t="s">
        <v>1583</v>
      </c>
      <c r="C579" s="23">
        <v>140310007</v>
      </c>
      <c r="D579" s="23">
        <v>3000</v>
      </c>
      <c r="E579" s="27" t="e">
        <v>#VALUE!</v>
      </c>
      <c r="F579" s="27" t="e">
        <v>#VALUE!</v>
      </c>
      <c r="G579" s="23">
        <v>12</v>
      </c>
      <c r="H579" s="486" t="e">
        <v>#VALUE!</v>
      </c>
      <c r="J579" s="487"/>
      <c r="K579" s="488"/>
      <c r="L579" s="488"/>
      <c r="M579" s="548">
        <f>_xlfn.XLOOKUP(packes[[#This Row],[productId]],CT[productId],CT[total],"NA")</f>
        <v>92.484999999999999</v>
      </c>
      <c r="N579" s="20" t="str">
        <f>_xlfn.XLOOKUP(packes[[#This Row],[productId]],bom[Id],bom[ph],"NA")</f>
        <v>-</v>
      </c>
      <c r="O579" s="20" t="str">
        <f>_xlfn.XLOOKUP(packes[[#This Row],[productId]],bom[Id],bom[erth],"NA")</f>
        <v>nut4</v>
      </c>
      <c r="P579" s="20" t="str">
        <f>_xlfn.XLOOKUP(packes[[#This Row],[productId]],bom[Id],bom[dbl],"NA")</f>
        <v>-</v>
      </c>
      <c r="Q579" s="20" t="str">
        <f>LEFT(packes[[#This Row],[date]],4)</f>
        <v>1403</v>
      </c>
    </row>
    <row r="580" spans="1:17" s="23" customFormat="1" ht="16.5" x14ac:dyDescent="0.25">
      <c r="A580" s="23">
        <v>578</v>
      </c>
      <c r="B580" s="24" t="s">
        <v>1583</v>
      </c>
      <c r="C580" s="23">
        <v>140310075</v>
      </c>
      <c r="D580" s="23">
        <v>1800</v>
      </c>
      <c r="E580" s="27" t="e">
        <v>#VALUE!</v>
      </c>
      <c r="F580" s="27" t="e">
        <v>#VALUE!</v>
      </c>
      <c r="G580" s="23">
        <v>12</v>
      </c>
      <c r="H580" s="486" t="e">
        <v>#VALUE!</v>
      </c>
      <c r="J580" s="487"/>
      <c r="K580" s="488"/>
      <c r="L580" s="488"/>
      <c r="M580" s="548">
        <f>_xlfn.XLOOKUP(packes[[#This Row],[productId]],CT[productId],CT[total],"NA")</f>
        <v>154.88499999999999</v>
      </c>
      <c r="N580" s="20" t="str">
        <f>_xlfn.XLOOKUP(packes[[#This Row],[productId]],bom[Id],bom[ph],"NA")</f>
        <v>molex</v>
      </c>
      <c r="O580" s="20" t="str">
        <f>_xlfn.XLOOKUP(packes[[#This Row],[productId]],bom[Id],bom[erth],"NA")</f>
        <v>nut4</v>
      </c>
      <c r="P580" s="20" t="str">
        <f>_xlfn.XLOOKUP(packes[[#This Row],[productId]],bom[Id],bom[dbl],"NA")</f>
        <v>-</v>
      </c>
      <c r="Q580" s="20" t="str">
        <f>LEFT(packes[[#This Row],[date]],4)</f>
        <v>1403</v>
      </c>
    </row>
    <row r="581" spans="1:17" s="23" customFormat="1" ht="16.5" x14ac:dyDescent="0.25">
      <c r="A581" s="23">
        <v>579</v>
      </c>
      <c r="B581" s="24" t="s">
        <v>1583</v>
      </c>
      <c r="C581" s="23">
        <v>141320055</v>
      </c>
      <c r="D581" s="23">
        <v>3900</v>
      </c>
      <c r="E581" s="27" t="e">
        <v>#VALUE!</v>
      </c>
      <c r="F581" s="27" t="e">
        <v>#VALUE!</v>
      </c>
      <c r="G581" s="23">
        <v>12</v>
      </c>
      <c r="H581" s="486" t="e">
        <v>#VALUE!</v>
      </c>
      <c r="J581" s="487"/>
      <c r="K581" s="488"/>
      <c r="L581" s="488"/>
      <c r="M581" s="548">
        <f>_xlfn.XLOOKUP(packes[[#This Row],[productId]],CT[productId],CT[total],"NA")</f>
        <v>41.13</v>
      </c>
      <c r="N581" s="20">
        <f>_xlfn.XLOOKUP(packes[[#This Row],[productId]],bom[Id],bom[ph],"NA")</f>
        <v>0</v>
      </c>
      <c r="O581" s="20">
        <f>_xlfn.XLOOKUP(packes[[#This Row],[productId]],bom[Id],bom[erth],"NA")</f>
        <v>0</v>
      </c>
      <c r="P581" s="20">
        <f>_xlfn.XLOOKUP(packes[[#This Row],[productId]],bom[Id],bom[dbl],"NA")</f>
        <v>0</v>
      </c>
      <c r="Q581" s="20" t="str">
        <f>LEFT(packes[[#This Row],[date]],4)</f>
        <v>1403</v>
      </c>
    </row>
    <row r="582" spans="1:17" s="23" customFormat="1" ht="16.5" x14ac:dyDescent="0.25">
      <c r="A582" s="23">
        <v>580</v>
      </c>
      <c r="B582" s="24" t="s">
        <v>1584</v>
      </c>
      <c r="C582" s="23">
        <v>140010117</v>
      </c>
      <c r="D582" s="23">
        <v>375</v>
      </c>
      <c r="E582" s="27" t="e">
        <v>#VALUE!</v>
      </c>
      <c r="F582" s="27" t="e">
        <v>#VALUE!</v>
      </c>
      <c r="G582" s="23">
        <v>12</v>
      </c>
      <c r="H582" s="486" t="e">
        <v>#VALUE!</v>
      </c>
      <c r="J582" s="487"/>
      <c r="K582" s="488"/>
      <c r="L582" s="488"/>
      <c r="M582" s="548">
        <f>_xlfn.XLOOKUP(packes[[#This Row],[productId]],CT[productId],CT[total],"NA")</f>
        <v>98.295000000000016</v>
      </c>
      <c r="N582" s="20" t="str">
        <f>_xlfn.XLOOKUP(packes[[#This Row],[productId]],bom[Id],bom[ph],"NA")</f>
        <v>nar.p</v>
      </c>
      <c r="O582" s="20" t="str">
        <f>_xlfn.XLOOKUP(packes[[#This Row],[productId]],bom[Id],bom[erth],"NA")</f>
        <v>-</v>
      </c>
      <c r="P582" s="20" t="str">
        <f>_xlfn.XLOOKUP(packes[[#This Row],[productId]],bom[Id],bom[dbl],"NA")</f>
        <v>nar.p</v>
      </c>
      <c r="Q582" s="20" t="str">
        <f>LEFT(packes[[#This Row],[date]],4)</f>
        <v>1403</v>
      </c>
    </row>
    <row r="583" spans="1:17" s="23" customFormat="1" ht="16.5" x14ac:dyDescent="0.25">
      <c r="A583" s="23">
        <v>581</v>
      </c>
      <c r="B583" s="24" t="s">
        <v>1584</v>
      </c>
      <c r="C583" s="23">
        <v>140020181</v>
      </c>
      <c r="D583" s="23">
        <v>75</v>
      </c>
      <c r="E583" s="27" t="e">
        <v>#VALUE!</v>
      </c>
      <c r="F583" s="27" t="e">
        <v>#VALUE!</v>
      </c>
      <c r="G583" s="23">
        <v>12</v>
      </c>
      <c r="H583" s="486" t="e">
        <v>#VALUE!</v>
      </c>
      <c r="J583" s="487"/>
      <c r="K583" s="488"/>
      <c r="L583" s="488"/>
      <c r="M583" s="548">
        <f>_xlfn.XLOOKUP(packes[[#This Row],[productId]],CT[productId],CT[total],"NA")</f>
        <v>88.929999999999993</v>
      </c>
      <c r="N583" s="20" t="str">
        <f>_xlfn.XLOOKUP(packes[[#This Row],[productId]],bom[Id],bom[ph],"NA")</f>
        <v>VH</v>
      </c>
      <c r="O583" s="20" t="str">
        <f>_xlfn.XLOOKUP(packes[[#This Row],[productId]],bom[Id],bom[erth],"NA")</f>
        <v>nut4</v>
      </c>
      <c r="P583" s="20" t="str">
        <f>_xlfn.XLOOKUP(packes[[#This Row],[productId]],bom[Id],bom[dbl],"NA")</f>
        <v>-</v>
      </c>
      <c r="Q583" s="20" t="str">
        <f>LEFT(packes[[#This Row],[date]],4)</f>
        <v>1403</v>
      </c>
    </row>
    <row r="584" spans="1:17" s="23" customFormat="1" ht="16.5" x14ac:dyDescent="0.25">
      <c r="A584" s="23">
        <v>582</v>
      </c>
      <c r="B584" s="24" t="s">
        <v>1584</v>
      </c>
      <c r="C584" s="23">
        <v>140030039</v>
      </c>
      <c r="D584" s="23">
        <v>1200</v>
      </c>
      <c r="E584" s="27" t="e">
        <v>#VALUE!</v>
      </c>
      <c r="F584" s="27" t="e">
        <v>#VALUE!</v>
      </c>
      <c r="G584" s="23">
        <v>12</v>
      </c>
      <c r="H584" s="486" t="e">
        <v>#VALUE!</v>
      </c>
      <c r="J584" s="487"/>
      <c r="K584" s="488"/>
      <c r="L584" s="488"/>
      <c r="M584" s="548">
        <f>_xlfn.XLOOKUP(packes[[#This Row],[productId]],CT[productId],CT[total],"NA")</f>
        <v>92.504999999999995</v>
      </c>
      <c r="N584" s="20" t="str">
        <f>_xlfn.XLOOKUP(packes[[#This Row],[productId]],bom[Id],bom[ph],"NA")</f>
        <v>YH</v>
      </c>
      <c r="O584" s="20" t="str">
        <f>_xlfn.XLOOKUP(packes[[#This Row],[productId]],bom[Id],bom[erth],"NA")</f>
        <v>sun</v>
      </c>
      <c r="P584" s="20" t="str">
        <f>_xlfn.XLOOKUP(packes[[#This Row],[productId]],bom[Id],bom[dbl],"NA")</f>
        <v>-</v>
      </c>
      <c r="Q584" s="20" t="str">
        <f>LEFT(packes[[#This Row],[date]],4)</f>
        <v>1403</v>
      </c>
    </row>
    <row r="585" spans="1:17" s="23" customFormat="1" ht="16.5" x14ac:dyDescent="0.25">
      <c r="A585" s="23">
        <v>583</v>
      </c>
      <c r="B585" s="24" t="s">
        <v>1584</v>
      </c>
      <c r="C585" s="23">
        <v>140030040</v>
      </c>
      <c r="D585" s="23">
        <v>1200</v>
      </c>
      <c r="E585" s="27" t="e">
        <v>#VALUE!</v>
      </c>
      <c r="F585" s="27" t="e">
        <v>#VALUE!</v>
      </c>
      <c r="G585" s="23">
        <v>12</v>
      </c>
      <c r="H585" s="486" t="e">
        <v>#VALUE!</v>
      </c>
      <c r="I585" s="23">
        <v>1</v>
      </c>
      <c r="J585" s="487">
        <v>72</v>
      </c>
      <c r="K585" s="488"/>
      <c r="L585" s="488"/>
      <c r="M585" s="548">
        <f>_xlfn.XLOOKUP(packes[[#This Row],[productId]],CT[productId],CT[total],"NA")</f>
        <v>97.305000000000007</v>
      </c>
      <c r="N585" s="20" t="str">
        <f>_xlfn.XLOOKUP(packes[[#This Row],[productId]],bom[Id],bom[ph],"NA")</f>
        <v>YH</v>
      </c>
      <c r="O585" s="20" t="str">
        <f>_xlfn.XLOOKUP(packes[[#This Row],[productId]],bom[Id],bom[erth],"NA")</f>
        <v>sun</v>
      </c>
      <c r="P585" s="20" t="str">
        <f>_xlfn.XLOOKUP(packes[[#This Row],[productId]],bom[Id],bom[dbl],"NA")</f>
        <v>-</v>
      </c>
      <c r="Q585" s="20" t="str">
        <f>LEFT(packes[[#This Row],[date]],4)</f>
        <v>1403</v>
      </c>
    </row>
    <row r="586" spans="1:17" s="23" customFormat="1" ht="16.5" x14ac:dyDescent="0.25">
      <c r="A586" s="23">
        <v>584</v>
      </c>
      <c r="B586" s="24" t="s">
        <v>1584</v>
      </c>
      <c r="C586" s="23">
        <v>140090143</v>
      </c>
      <c r="D586" s="23">
        <v>1200</v>
      </c>
      <c r="E586" s="27" t="e">
        <v>#VALUE!</v>
      </c>
      <c r="F586" s="27" t="e">
        <v>#VALUE!</v>
      </c>
      <c r="G586" s="23">
        <v>12</v>
      </c>
      <c r="H586" s="486" t="e">
        <v>#VALUE!</v>
      </c>
      <c r="J586" s="487"/>
      <c r="K586" s="488"/>
      <c r="L586" s="488"/>
      <c r="M586" s="548">
        <f>_xlfn.XLOOKUP(packes[[#This Row],[productId]],CT[productId],CT[total],"NA")</f>
        <v>233.215</v>
      </c>
      <c r="N586" s="20" t="str">
        <f>_xlfn.XLOOKUP(packes[[#This Row],[productId]],bom[Id],bom[ph],"NA")</f>
        <v>molex</v>
      </c>
      <c r="O586" s="20" t="str">
        <f>_xlfn.XLOOKUP(packes[[#This Row],[productId]],bom[Id],bom[erth],"NA")</f>
        <v>-</v>
      </c>
      <c r="P586" s="20" t="str">
        <f>_xlfn.XLOOKUP(packes[[#This Row],[productId]],bom[Id],bom[dbl],"NA")</f>
        <v>splice</v>
      </c>
      <c r="Q586" s="20" t="str">
        <f>LEFT(packes[[#This Row],[date]],4)</f>
        <v>1403</v>
      </c>
    </row>
    <row r="587" spans="1:17" s="23" customFormat="1" ht="16.5" x14ac:dyDescent="0.25">
      <c r="A587" s="23">
        <v>585</v>
      </c>
      <c r="B587" s="24" t="s">
        <v>1584</v>
      </c>
      <c r="C587" s="23">
        <v>140310007</v>
      </c>
      <c r="D587" s="23">
        <v>1400</v>
      </c>
      <c r="E587" s="27" t="e">
        <v>#VALUE!</v>
      </c>
      <c r="F587" s="27" t="e">
        <v>#VALUE!</v>
      </c>
      <c r="G587" s="23">
        <v>12</v>
      </c>
      <c r="H587" s="486" t="e">
        <v>#VALUE!</v>
      </c>
      <c r="J587" s="487"/>
      <c r="K587" s="488"/>
      <c r="L587" s="488"/>
      <c r="M587" s="548">
        <f>_xlfn.XLOOKUP(packes[[#This Row],[productId]],CT[productId],CT[total],"NA")</f>
        <v>92.484999999999999</v>
      </c>
      <c r="N587" s="20" t="str">
        <f>_xlfn.XLOOKUP(packes[[#This Row],[productId]],bom[Id],bom[ph],"NA")</f>
        <v>-</v>
      </c>
      <c r="O587" s="20" t="str">
        <f>_xlfn.XLOOKUP(packes[[#This Row],[productId]],bom[Id],bom[erth],"NA")</f>
        <v>nut4</v>
      </c>
      <c r="P587" s="20" t="str">
        <f>_xlfn.XLOOKUP(packes[[#This Row],[productId]],bom[Id],bom[dbl],"NA")</f>
        <v>-</v>
      </c>
      <c r="Q587" s="20" t="str">
        <f>LEFT(packes[[#This Row],[date]],4)</f>
        <v>1403</v>
      </c>
    </row>
    <row r="588" spans="1:17" s="23" customFormat="1" ht="16.5" x14ac:dyDescent="0.25">
      <c r="A588" s="23">
        <v>586</v>
      </c>
      <c r="B588" s="24" t="s">
        <v>1584</v>
      </c>
      <c r="C588" s="23">
        <v>140310031</v>
      </c>
      <c r="D588" s="23">
        <v>3000</v>
      </c>
      <c r="E588" s="27" t="e">
        <v>#VALUE!</v>
      </c>
      <c r="F588" s="27" t="e">
        <v>#VALUE!</v>
      </c>
      <c r="G588" s="23">
        <v>12</v>
      </c>
      <c r="H588" s="486" t="e">
        <v>#VALUE!</v>
      </c>
      <c r="J588" s="487"/>
      <c r="K588" s="488"/>
      <c r="L588" s="488"/>
      <c r="M588" s="548">
        <f>_xlfn.XLOOKUP(packes[[#This Row],[productId]],CT[productId],CT[total],"NA")</f>
        <v>202.96500000000003</v>
      </c>
      <c r="N588" s="20">
        <f>_xlfn.XLOOKUP(packes[[#This Row],[productId]],bom[Id],bom[ph],"NA")</f>
        <v>461</v>
      </c>
      <c r="O588" s="20" t="str">
        <f>_xlfn.XLOOKUP(packes[[#This Row],[productId]],bom[Id],bom[erth],"NA")</f>
        <v>nut4</v>
      </c>
      <c r="P588" s="20" t="str">
        <f>_xlfn.XLOOKUP(packes[[#This Row],[productId]],bom[Id],bom[dbl],"NA")</f>
        <v>-</v>
      </c>
      <c r="Q588" s="20" t="str">
        <f>LEFT(packes[[#This Row],[date]],4)</f>
        <v>1403</v>
      </c>
    </row>
    <row r="589" spans="1:17" s="23" customFormat="1" ht="16.5" x14ac:dyDescent="0.25">
      <c r="A589" s="23">
        <v>587</v>
      </c>
      <c r="B589" s="24" t="s">
        <v>1584</v>
      </c>
      <c r="C589" s="23">
        <v>140310075</v>
      </c>
      <c r="D589" s="23">
        <v>400</v>
      </c>
      <c r="E589" s="27" t="e">
        <v>#VALUE!</v>
      </c>
      <c r="F589" s="27" t="e">
        <v>#VALUE!</v>
      </c>
      <c r="G589" s="23">
        <v>12</v>
      </c>
      <c r="H589" s="486" t="e">
        <v>#VALUE!</v>
      </c>
      <c r="I589" s="23">
        <v>13</v>
      </c>
      <c r="J589" s="487">
        <v>80</v>
      </c>
      <c r="K589" s="488"/>
      <c r="L589" s="488"/>
      <c r="M589" s="548">
        <f>_xlfn.XLOOKUP(packes[[#This Row],[productId]],CT[productId],CT[total],"NA")</f>
        <v>154.88499999999999</v>
      </c>
      <c r="N589" s="20" t="str">
        <f>_xlfn.XLOOKUP(packes[[#This Row],[productId]],bom[Id],bom[ph],"NA")</f>
        <v>molex</v>
      </c>
      <c r="O589" s="20" t="str">
        <f>_xlfn.XLOOKUP(packes[[#This Row],[productId]],bom[Id],bom[erth],"NA")</f>
        <v>nut4</v>
      </c>
      <c r="P589" s="20" t="str">
        <f>_xlfn.XLOOKUP(packes[[#This Row],[productId]],bom[Id],bom[dbl],"NA")</f>
        <v>-</v>
      </c>
      <c r="Q589" s="20" t="str">
        <f>LEFT(packes[[#This Row],[date]],4)</f>
        <v>1403</v>
      </c>
    </row>
    <row r="590" spans="1:17" s="23" customFormat="1" ht="16.5" x14ac:dyDescent="0.25">
      <c r="A590" s="23">
        <v>588</v>
      </c>
      <c r="B590" s="24" t="s">
        <v>1584</v>
      </c>
      <c r="C590" s="23">
        <v>141320055</v>
      </c>
      <c r="D590" s="23">
        <v>2800</v>
      </c>
      <c r="E590" s="27" t="e">
        <v>#VALUE!</v>
      </c>
      <c r="F590" s="27" t="e">
        <v>#VALUE!</v>
      </c>
      <c r="G590" s="23">
        <v>12</v>
      </c>
      <c r="H590" s="486" t="e">
        <v>#VALUE!</v>
      </c>
      <c r="J590" s="487"/>
      <c r="K590" s="488"/>
      <c r="L590" s="488"/>
      <c r="M590" s="548">
        <f>_xlfn.XLOOKUP(packes[[#This Row],[productId]],CT[productId],CT[total],"NA")</f>
        <v>41.13</v>
      </c>
      <c r="N590" s="20">
        <f>_xlfn.XLOOKUP(packes[[#This Row],[productId]],bom[Id],bom[ph],"NA")</f>
        <v>0</v>
      </c>
      <c r="O590" s="20">
        <f>_xlfn.XLOOKUP(packes[[#This Row],[productId]],bom[Id],bom[erth],"NA")</f>
        <v>0</v>
      </c>
      <c r="P590" s="20">
        <f>_xlfn.XLOOKUP(packes[[#This Row],[productId]],bom[Id],bom[dbl],"NA")</f>
        <v>0</v>
      </c>
      <c r="Q590" s="20" t="str">
        <f>LEFT(packes[[#This Row],[date]],4)</f>
        <v>1403</v>
      </c>
    </row>
    <row r="591" spans="1:17" s="23" customFormat="1" ht="16.5" x14ac:dyDescent="0.25">
      <c r="A591" s="23">
        <v>589</v>
      </c>
      <c r="B591" s="24" t="s">
        <v>226</v>
      </c>
      <c r="C591" s="23">
        <v>140010230</v>
      </c>
      <c r="D591" s="23">
        <v>2250</v>
      </c>
      <c r="E591" s="27" t="e">
        <v>#VALUE!</v>
      </c>
      <c r="F591" s="27" t="e">
        <v>#VALUE!</v>
      </c>
      <c r="G591" s="23">
        <v>12</v>
      </c>
      <c r="H591" s="486" t="e">
        <v>#VALUE!</v>
      </c>
      <c r="J591" s="487"/>
      <c r="K591" s="488"/>
      <c r="L591" s="488"/>
      <c r="M591" s="548">
        <f>_xlfn.XLOOKUP(packes[[#This Row],[productId]],CT[productId],CT[total],"NA")</f>
        <v>147.595</v>
      </c>
      <c r="N591" s="20" t="str">
        <f>_xlfn.XLOOKUP(packes[[#This Row],[productId]],bom[Id],bom[ph],"NA")</f>
        <v>nar.p</v>
      </c>
      <c r="O591" s="20" t="str">
        <f>_xlfn.XLOOKUP(packes[[#This Row],[productId]],bom[Id],bom[erth],"NA")</f>
        <v>-</v>
      </c>
      <c r="P591" s="20" t="str">
        <f>_xlfn.XLOOKUP(packes[[#This Row],[productId]],bom[Id],bom[dbl],"NA")</f>
        <v>nar.p</v>
      </c>
      <c r="Q591" s="20" t="str">
        <f>LEFT(packes[[#This Row],[date]],4)</f>
        <v>1403</v>
      </c>
    </row>
    <row r="592" spans="1:17" s="23" customFormat="1" ht="16.5" x14ac:dyDescent="0.25">
      <c r="A592" s="23">
        <v>590</v>
      </c>
      <c r="B592" s="24" t="s">
        <v>226</v>
      </c>
      <c r="C592" s="23">
        <v>140090143</v>
      </c>
      <c r="D592" s="23">
        <v>800</v>
      </c>
      <c r="E592" s="27" t="e">
        <v>#VALUE!</v>
      </c>
      <c r="F592" s="27" t="e">
        <v>#VALUE!</v>
      </c>
      <c r="G592" s="23">
        <v>12</v>
      </c>
      <c r="H592" s="486" t="e">
        <v>#VALUE!</v>
      </c>
      <c r="J592" s="487"/>
      <c r="K592" s="488"/>
      <c r="L592" s="488"/>
      <c r="M592" s="548">
        <f>_xlfn.XLOOKUP(packes[[#This Row],[productId]],CT[productId],CT[total],"NA")</f>
        <v>233.215</v>
      </c>
      <c r="N592" s="20" t="str">
        <f>_xlfn.XLOOKUP(packes[[#This Row],[productId]],bom[Id],bom[ph],"NA")</f>
        <v>molex</v>
      </c>
      <c r="O592" s="20" t="str">
        <f>_xlfn.XLOOKUP(packes[[#This Row],[productId]],bom[Id],bom[erth],"NA")</f>
        <v>-</v>
      </c>
      <c r="P592" s="20" t="str">
        <f>_xlfn.XLOOKUP(packes[[#This Row],[productId]],bom[Id],bom[dbl],"NA")</f>
        <v>splice</v>
      </c>
      <c r="Q592" s="20" t="str">
        <f>LEFT(packes[[#This Row],[date]],4)</f>
        <v>1403</v>
      </c>
    </row>
    <row r="593" spans="1:17" s="23" customFormat="1" ht="16.5" x14ac:dyDescent="0.25">
      <c r="A593" s="23">
        <v>591</v>
      </c>
      <c r="B593" s="24" t="s">
        <v>226</v>
      </c>
      <c r="C593" s="23">
        <v>140310007</v>
      </c>
      <c r="D593" s="23">
        <v>2000</v>
      </c>
      <c r="E593" s="27" t="e">
        <v>#VALUE!</v>
      </c>
      <c r="F593" s="27" t="e">
        <v>#VALUE!</v>
      </c>
      <c r="G593" s="23">
        <v>12</v>
      </c>
      <c r="H593" s="486" t="e">
        <v>#VALUE!</v>
      </c>
      <c r="J593" s="487"/>
      <c r="K593" s="488"/>
      <c r="L593" s="488"/>
      <c r="M593" s="548">
        <f>_xlfn.XLOOKUP(packes[[#This Row],[productId]],CT[productId],CT[total],"NA")</f>
        <v>92.484999999999999</v>
      </c>
      <c r="N593" s="20" t="str">
        <f>_xlfn.XLOOKUP(packes[[#This Row],[productId]],bom[Id],bom[ph],"NA")</f>
        <v>-</v>
      </c>
      <c r="O593" s="20" t="str">
        <f>_xlfn.XLOOKUP(packes[[#This Row],[productId]],bom[Id],bom[erth],"NA")</f>
        <v>nut4</v>
      </c>
      <c r="P593" s="20" t="str">
        <f>_xlfn.XLOOKUP(packes[[#This Row],[productId]],bom[Id],bom[dbl],"NA")</f>
        <v>-</v>
      </c>
      <c r="Q593" s="20" t="str">
        <f>LEFT(packes[[#This Row],[date]],4)</f>
        <v>1403</v>
      </c>
    </row>
    <row r="594" spans="1:17" s="23" customFormat="1" ht="16.5" x14ac:dyDescent="0.25">
      <c r="A594" s="23">
        <v>592</v>
      </c>
      <c r="B594" s="24" t="s">
        <v>226</v>
      </c>
      <c r="C594" s="23">
        <v>140220012</v>
      </c>
      <c r="D594" s="23">
        <v>200</v>
      </c>
      <c r="E594" s="27" t="e">
        <v>#VALUE!</v>
      </c>
      <c r="F594" s="27" t="e">
        <v>#VALUE!</v>
      </c>
      <c r="G594" s="23">
        <v>12</v>
      </c>
      <c r="H594" s="486" t="e">
        <v>#VALUE!</v>
      </c>
      <c r="J594" s="487"/>
      <c r="K594" s="488"/>
      <c r="L594" s="488"/>
      <c r="M594" s="548">
        <f>_xlfn.XLOOKUP(packes[[#This Row],[productId]],CT[productId],CT[total],"NA")</f>
        <v>192.86500000000001</v>
      </c>
      <c r="N594" s="20" t="str">
        <f>_xlfn.XLOOKUP(packes[[#This Row],[productId]],bom[Id],bom[ph],"NA")</f>
        <v>flag</v>
      </c>
      <c r="O594" s="20" t="str">
        <f>_xlfn.XLOOKUP(packes[[#This Row],[productId]],bom[Id],bom[erth],"NA")</f>
        <v>sun</v>
      </c>
      <c r="P594" s="20" t="str">
        <f>_xlfn.XLOOKUP(packes[[#This Row],[productId]],bom[Id],bom[dbl],"NA")</f>
        <v>-</v>
      </c>
      <c r="Q594" s="20" t="str">
        <f>LEFT(packes[[#This Row],[date]],4)</f>
        <v>1403</v>
      </c>
    </row>
    <row r="595" spans="1:17" s="23" customFormat="1" ht="16.5" x14ac:dyDescent="0.25">
      <c r="A595" s="23">
        <v>593</v>
      </c>
      <c r="B595" s="24" t="s">
        <v>226</v>
      </c>
      <c r="C595" s="23">
        <v>140450035</v>
      </c>
      <c r="D595" s="23">
        <v>100</v>
      </c>
      <c r="E595" s="27" t="e">
        <v>#VALUE!</v>
      </c>
      <c r="F595" s="27" t="e">
        <v>#VALUE!</v>
      </c>
      <c r="G595" s="23">
        <v>11</v>
      </c>
      <c r="H595" s="486" t="e">
        <v>#VALUE!</v>
      </c>
      <c r="J595" s="487"/>
      <c r="K595" s="488"/>
      <c r="L595" s="488"/>
      <c r="M595" s="548" t="str">
        <f>_xlfn.XLOOKUP(packes[[#This Row],[productId]],CT[productId],CT[total],"NA")</f>
        <v>NA</v>
      </c>
      <c r="N595" s="20" t="str">
        <f>_xlfn.XLOOKUP(packes[[#This Row],[productId]],bom[Id],bom[ph],"NA")</f>
        <v>hcb</v>
      </c>
      <c r="O595" s="20" t="str">
        <f>_xlfn.XLOOKUP(packes[[#This Row],[productId]],bom[Id],bom[erth],"NA")</f>
        <v>nut4</v>
      </c>
      <c r="P595" s="20">
        <f>_xlfn.XLOOKUP(packes[[#This Row],[productId]],bom[Id],bom[dbl],"NA")</f>
        <v>0</v>
      </c>
      <c r="Q595" s="20" t="str">
        <f>LEFT(packes[[#This Row],[date]],4)</f>
        <v>1403</v>
      </c>
    </row>
    <row r="596" spans="1:17" s="23" customFormat="1" ht="16.5" x14ac:dyDescent="0.25">
      <c r="A596" s="23">
        <v>594</v>
      </c>
      <c r="B596" s="24" t="s">
        <v>226</v>
      </c>
      <c r="C596" s="23">
        <v>141320055</v>
      </c>
      <c r="D596" s="23">
        <v>2100</v>
      </c>
      <c r="E596" s="27" t="e">
        <v>#VALUE!</v>
      </c>
      <c r="F596" s="27" t="e">
        <v>#VALUE!</v>
      </c>
      <c r="G596" s="23">
        <v>12</v>
      </c>
      <c r="H596" s="486" t="e">
        <v>#VALUE!</v>
      </c>
      <c r="J596" s="487"/>
      <c r="K596" s="488"/>
      <c r="L596" s="488"/>
      <c r="M596" s="548">
        <f>_xlfn.XLOOKUP(packes[[#This Row],[productId]],CT[productId],CT[total],"NA")</f>
        <v>41.13</v>
      </c>
      <c r="N596" s="20">
        <f>_xlfn.XLOOKUP(packes[[#This Row],[productId]],bom[Id],bom[ph],"NA")</f>
        <v>0</v>
      </c>
      <c r="O596" s="20">
        <f>_xlfn.XLOOKUP(packes[[#This Row],[productId]],bom[Id],bom[erth],"NA")</f>
        <v>0</v>
      </c>
      <c r="P596" s="20">
        <f>_xlfn.XLOOKUP(packes[[#This Row],[productId]],bom[Id],bom[dbl],"NA")</f>
        <v>0</v>
      </c>
      <c r="Q596" s="20" t="str">
        <f>LEFT(packes[[#This Row],[date]],4)</f>
        <v>1403</v>
      </c>
    </row>
    <row r="597" spans="1:17" s="23" customFormat="1" ht="16.5" x14ac:dyDescent="0.25">
      <c r="A597" s="23">
        <v>595</v>
      </c>
      <c r="B597" s="24" t="s">
        <v>226</v>
      </c>
      <c r="C597" s="23">
        <v>140310096</v>
      </c>
      <c r="D597" s="23">
        <v>1150</v>
      </c>
      <c r="E597" s="27" t="e">
        <v>#VALUE!</v>
      </c>
      <c r="F597" s="27" t="e">
        <v>#VALUE!</v>
      </c>
      <c r="G597" s="23">
        <v>12</v>
      </c>
      <c r="H597" s="486" t="e">
        <v>#VALUE!</v>
      </c>
      <c r="J597" s="487"/>
      <c r="K597" s="488"/>
      <c r="L597" s="488"/>
      <c r="M597" s="548">
        <f>_xlfn.XLOOKUP(packes[[#This Row],[productId]],CT[productId],CT[total],"NA")</f>
        <v>76.239999999999995</v>
      </c>
      <c r="N597" s="20" t="str">
        <f>_xlfn.XLOOKUP(packes[[#This Row],[productId]],bom[Id],bom[ph],"NA")</f>
        <v>6.3ch</v>
      </c>
      <c r="O597" s="20" t="str">
        <f>_xlfn.XLOOKUP(packes[[#This Row],[productId]],bom[Id],bom[erth],"NA")</f>
        <v>6.3k</v>
      </c>
      <c r="P597" s="20">
        <f>_xlfn.XLOOKUP(packes[[#This Row],[productId]],bom[Id],bom[dbl],"NA")</f>
        <v>0</v>
      </c>
      <c r="Q597" s="20" t="str">
        <f>LEFT(packes[[#This Row],[date]],4)</f>
        <v>1403</v>
      </c>
    </row>
    <row r="598" spans="1:17" s="23" customFormat="1" ht="16.5" x14ac:dyDescent="0.25">
      <c r="A598" s="23">
        <v>596</v>
      </c>
      <c r="B598" s="24" t="s">
        <v>217</v>
      </c>
      <c r="C598" s="23">
        <v>140030039</v>
      </c>
      <c r="D598" s="23">
        <v>2200</v>
      </c>
      <c r="E598" s="27" t="e">
        <v>#VALUE!</v>
      </c>
      <c r="F598" s="27" t="e">
        <v>#VALUE!</v>
      </c>
      <c r="G598" s="23">
        <v>12</v>
      </c>
      <c r="H598" s="486" t="e">
        <v>#VALUE!</v>
      </c>
      <c r="I598" s="23">
        <v>1</v>
      </c>
      <c r="J598" s="487">
        <v>900</v>
      </c>
      <c r="K598" s="488"/>
      <c r="L598" s="488"/>
      <c r="M598" s="548">
        <f>_xlfn.XLOOKUP(packes[[#This Row],[productId]],CT[productId],CT[total],"NA")</f>
        <v>92.504999999999995</v>
      </c>
      <c r="N598" s="20" t="str">
        <f>_xlfn.XLOOKUP(packes[[#This Row],[productId]],bom[Id],bom[ph],"NA")</f>
        <v>YH</v>
      </c>
      <c r="O598" s="20" t="str">
        <f>_xlfn.XLOOKUP(packes[[#This Row],[productId]],bom[Id],bom[erth],"NA")</f>
        <v>sun</v>
      </c>
      <c r="P598" s="20" t="str">
        <f>_xlfn.XLOOKUP(packes[[#This Row],[productId]],bom[Id],bom[dbl],"NA")</f>
        <v>-</v>
      </c>
      <c r="Q598" s="20" t="str">
        <f>LEFT(packes[[#This Row],[date]],4)</f>
        <v>1403</v>
      </c>
    </row>
    <row r="599" spans="1:17" s="23" customFormat="1" ht="16.5" x14ac:dyDescent="0.25">
      <c r="A599" s="23">
        <v>597</v>
      </c>
      <c r="B599" s="24" t="s">
        <v>217</v>
      </c>
      <c r="C599" s="23">
        <v>140310007</v>
      </c>
      <c r="D599" s="23">
        <v>3600</v>
      </c>
      <c r="E599" s="27" t="e">
        <v>#VALUE!</v>
      </c>
      <c r="F599" s="27" t="e">
        <v>#VALUE!</v>
      </c>
      <c r="G599" s="23">
        <v>12</v>
      </c>
      <c r="H599" s="486" t="e">
        <v>#VALUE!</v>
      </c>
      <c r="J599" s="487"/>
      <c r="K599" s="488"/>
      <c r="L599" s="488"/>
      <c r="M599" s="548">
        <f>_xlfn.XLOOKUP(packes[[#This Row],[productId]],CT[productId],CT[total],"NA")</f>
        <v>92.484999999999999</v>
      </c>
      <c r="N599" s="20" t="str">
        <f>_xlfn.XLOOKUP(packes[[#This Row],[productId]],bom[Id],bom[ph],"NA")</f>
        <v>-</v>
      </c>
      <c r="O599" s="20" t="str">
        <f>_xlfn.XLOOKUP(packes[[#This Row],[productId]],bom[Id],bom[erth],"NA")</f>
        <v>nut4</v>
      </c>
      <c r="P599" s="20" t="str">
        <f>_xlfn.XLOOKUP(packes[[#This Row],[productId]],bom[Id],bom[dbl],"NA")</f>
        <v>-</v>
      </c>
      <c r="Q599" s="20" t="str">
        <f>LEFT(packes[[#This Row],[date]],4)</f>
        <v>1403</v>
      </c>
    </row>
    <row r="600" spans="1:17" s="23" customFormat="1" ht="16.5" x14ac:dyDescent="0.25">
      <c r="A600" s="23">
        <v>598</v>
      </c>
      <c r="B600" s="24" t="s">
        <v>217</v>
      </c>
      <c r="C600" s="23">
        <v>140310031</v>
      </c>
      <c r="D600" s="23">
        <v>600</v>
      </c>
      <c r="E600" s="27" t="e">
        <v>#VALUE!</v>
      </c>
      <c r="F600" s="27" t="e">
        <v>#VALUE!</v>
      </c>
      <c r="G600" s="23">
        <v>12</v>
      </c>
      <c r="H600" s="486" t="e">
        <v>#VALUE!</v>
      </c>
      <c r="J600" s="487"/>
      <c r="K600" s="488"/>
      <c r="L600" s="488"/>
      <c r="M600" s="548">
        <f>_xlfn.XLOOKUP(packes[[#This Row],[productId]],CT[productId],CT[total],"NA")</f>
        <v>202.96500000000003</v>
      </c>
      <c r="N600" s="20">
        <f>_xlfn.XLOOKUP(packes[[#This Row],[productId]],bom[Id],bom[ph],"NA")</f>
        <v>461</v>
      </c>
      <c r="O600" s="20" t="str">
        <f>_xlfn.XLOOKUP(packes[[#This Row],[productId]],bom[Id],bom[erth],"NA")</f>
        <v>nut4</v>
      </c>
      <c r="P600" s="20" t="str">
        <f>_xlfn.XLOOKUP(packes[[#This Row],[productId]],bom[Id],bom[dbl],"NA")</f>
        <v>-</v>
      </c>
      <c r="Q600" s="20" t="str">
        <f>LEFT(packes[[#This Row],[date]],4)</f>
        <v>1403</v>
      </c>
    </row>
    <row r="601" spans="1:17" s="23" customFormat="1" ht="16.5" x14ac:dyDescent="0.25">
      <c r="A601" s="23">
        <v>599</v>
      </c>
      <c r="B601" s="24" t="s">
        <v>217</v>
      </c>
      <c r="C601" s="23">
        <v>140220012</v>
      </c>
      <c r="D601" s="23">
        <v>2100</v>
      </c>
      <c r="E601" s="27" t="e">
        <v>#VALUE!</v>
      </c>
      <c r="F601" s="27" t="e">
        <v>#VALUE!</v>
      </c>
      <c r="G601" s="23">
        <v>12</v>
      </c>
      <c r="H601" s="486" t="e">
        <v>#VALUE!</v>
      </c>
      <c r="J601" s="487"/>
      <c r="K601" s="488"/>
      <c r="L601" s="488"/>
      <c r="M601" s="548">
        <f>_xlfn.XLOOKUP(packes[[#This Row],[productId]],CT[productId],CT[total],"NA")</f>
        <v>192.86500000000001</v>
      </c>
      <c r="N601" s="20" t="str">
        <f>_xlfn.XLOOKUP(packes[[#This Row],[productId]],bom[Id],bom[ph],"NA")</f>
        <v>flag</v>
      </c>
      <c r="O601" s="20" t="str">
        <f>_xlfn.XLOOKUP(packes[[#This Row],[productId]],bom[Id],bom[erth],"NA")</f>
        <v>sun</v>
      </c>
      <c r="P601" s="20" t="str">
        <f>_xlfn.XLOOKUP(packes[[#This Row],[productId]],bom[Id],bom[dbl],"NA")</f>
        <v>-</v>
      </c>
      <c r="Q601" s="20" t="str">
        <f>LEFT(packes[[#This Row],[date]],4)</f>
        <v>1403</v>
      </c>
    </row>
    <row r="602" spans="1:17" s="23" customFormat="1" ht="16.5" x14ac:dyDescent="0.25">
      <c r="A602" s="23">
        <v>600</v>
      </c>
      <c r="B602" s="24" t="s">
        <v>217</v>
      </c>
      <c r="C602" s="23">
        <v>140450035</v>
      </c>
      <c r="D602" s="23">
        <v>1050</v>
      </c>
      <c r="E602" s="27" t="e">
        <v>#VALUE!</v>
      </c>
      <c r="F602" s="27" t="e">
        <v>#VALUE!</v>
      </c>
      <c r="G602" s="23">
        <v>11</v>
      </c>
      <c r="H602" s="486" t="e">
        <v>#VALUE!</v>
      </c>
      <c r="J602" s="487"/>
      <c r="K602" s="488"/>
      <c r="L602" s="488"/>
      <c r="M602" s="548" t="str">
        <f>_xlfn.XLOOKUP(packes[[#This Row],[productId]],CT[productId],CT[total],"NA")</f>
        <v>NA</v>
      </c>
      <c r="N602" s="20" t="str">
        <f>_xlfn.XLOOKUP(packes[[#This Row],[productId]],bom[Id],bom[ph],"NA")</f>
        <v>hcb</v>
      </c>
      <c r="O602" s="20" t="str">
        <f>_xlfn.XLOOKUP(packes[[#This Row],[productId]],bom[Id],bom[erth],"NA")</f>
        <v>nut4</v>
      </c>
      <c r="P602" s="20">
        <f>_xlfn.XLOOKUP(packes[[#This Row],[productId]],bom[Id],bom[dbl],"NA")</f>
        <v>0</v>
      </c>
      <c r="Q602" s="20" t="str">
        <f>LEFT(packes[[#This Row],[date]],4)</f>
        <v>1403</v>
      </c>
    </row>
    <row r="603" spans="1:17" s="23" customFormat="1" ht="16.5" x14ac:dyDescent="0.25">
      <c r="A603" s="23">
        <v>601</v>
      </c>
      <c r="B603" s="24" t="s">
        <v>217</v>
      </c>
      <c r="C603" s="23">
        <v>140310096</v>
      </c>
      <c r="D603" s="23">
        <v>300</v>
      </c>
      <c r="E603" s="27" t="e">
        <v>#VALUE!</v>
      </c>
      <c r="F603" s="27" t="e">
        <v>#VALUE!</v>
      </c>
      <c r="G603" s="23">
        <v>12</v>
      </c>
      <c r="H603" s="486" t="e">
        <v>#VALUE!</v>
      </c>
      <c r="J603" s="487"/>
      <c r="K603" s="488"/>
      <c r="L603" s="488"/>
      <c r="M603" s="548">
        <f>_xlfn.XLOOKUP(packes[[#This Row],[productId]],CT[productId],CT[total],"NA")</f>
        <v>76.239999999999995</v>
      </c>
      <c r="N603" s="20" t="str">
        <f>_xlfn.XLOOKUP(packes[[#This Row],[productId]],bom[Id],bom[ph],"NA")</f>
        <v>6.3ch</v>
      </c>
      <c r="O603" s="20" t="str">
        <f>_xlfn.XLOOKUP(packes[[#This Row],[productId]],bom[Id],bom[erth],"NA")</f>
        <v>6.3k</v>
      </c>
      <c r="P603" s="20">
        <f>_xlfn.XLOOKUP(packes[[#This Row],[productId]],bom[Id],bom[dbl],"NA")</f>
        <v>0</v>
      </c>
      <c r="Q603" s="20" t="str">
        <f>LEFT(packes[[#This Row],[date]],4)</f>
        <v>1403</v>
      </c>
    </row>
    <row r="604" spans="1:17" s="23" customFormat="1" ht="16.5" x14ac:dyDescent="0.25">
      <c r="A604" s="23">
        <v>602</v>
      </c>
      <c r="B604" s="24" t="s">
        <v>227</v>
      </c>
      <c r="C604" s="23">
        <v>140010117</v>
      </c>
      <c r="D604" s="23">
        <v>600</v>
      </c>
      <c r="E604" s="27" t="e">
        <v>#VALUE!</v>
      </c>
      <c r="F604" s="27" t="e">
        <v>#VALUE!</v>
      </c>
      <c r="G604" s="23">
        <v>12</v>
      </c>
      <c r="H604" s="486" t="e">
        <v>#VALUE!</v>
      </c>
      <c r="J604" s="487"/>
      <c r="K604" s="488"/>
      <c r="L604" s="488"/>
      <c r="M604" s="548">
        <f>_xlfn.XLOOKUP(packes[[#This Row],[productId]],CT[productId],CT[total],"NA")</f>
        <v>98.295000000000016</v>
      </c>
      <c r="N604" s="20" t="str">
        <f>_xlfn.XLOOKUP(packes[[#This Row],[productId]],bom[Id],bom[ph],"NA")</f>
        <v>nar.p</v>
      </c>
      <c r="O604" s="20" t="str">
        <f>_xlfn.XLOOKUP(packes[[#This Row],[productId]],bom[Id],bom[erth],"NA")</f>
        <v>-</v>
      </c>
      <c r="P604" s="20" t="str">
        <f>_xlfn.XLOOKUP(packes[[#This Row],[productId]],bom[Id],bom[dbl],"NA")</f>
        <v>nar.p</v>
      </c>
      <c r="Q604" s="20" t="str">
        <f>LEFT(packes[[#This Row],[date]],4)</f>
        <v>1403</v>
      </c>
    </row>
    <row r="605" spans="1:17" s="23" customFormat="1" ht="16.5" x14ac:dyDescent="0.25">
      <c r="A605" s="23">
        <v>603</v>
      </c>
      <c r="B605" s="24" t="s">
        <v>227</v>
      </c>
      <c r="C605" s="23">
        <v>140030040</v>
      </c>
      <c r="D605" s="23">
        <v>1600</v>
      </c>
      <c r="E605" s="27" t="e">
        <v>#VALUE!</v>
      </c>
      <c r="F605" s="27" t="e">
        <v>#VALUE!</v>
      </c>
      <c r="G605" s="23">
        <v>1</v>
      </c>
      <c r="H605" s="486" t="e">
        <v>#VALUE!</v>
      </c>
      <c r="J605" s="487"/>
      <c r="K605" s="488"/>
      <c r="L605" s="488"/>
      <c r="M605" s="548">
        <f>_xlfn.XLOOKUP(packes[[#This Row],[productId]],CT[productId],CT[total],"NA")</f>
        <v>97.305000000000007</v>
      </c>
      <c r="N605" s="20" t="str">
        <f>_xlfn.XLOOKUP(packes[[#This Row],[productId]],bom[Id],bom[ph],"NA")</f>
        <v>YH</v>
      </c>
      <c r="O605" s="20" t="str">
        <f>_xlfn.XLOOKUP(packes[[#This Row],[productId]],bom[Id],bom[erth],"NA")</f>
        <v>sun</v>
      </c>
      <c r="P605" s="20" t="str">
        <f>_xlfn.XLOOKUP(packes[[#This Row],[productId]],bom[Id],bom[dbl],"NA")</f>
        <v>-</v>
      </c>
      <c r="Q605" s="20" t="str">
        <f>LEFT(packes[[#This Row],[date]],4)</f>
        <v>1403</v>
      </c>
    </row>
    <row r="606" spans="1:17" s="23" customFormat="1" ht="16.5" x14ac:dyDescent="0.25">
      <c r="A606" s="23">
        <v>604</v>
      </c>
      <c r="B606" s="24" t="s">
        <v>227</v>
      </c>
      <c r="C606" s="23">
        <v>140090143</v>
      </c>
      <c r="D606" s="23">
        <v>1550</v>
      </c>
      <c r="E606" s="27" t="e">
        <v>#VALUE!</v>
      </c>
      <c r="F606" s="27" t="e">
        <v>#VALUE!</v>
      </c>
      <c r="G606" s="23">
        <v>12</v>
      </c>
      <c r="H606" s="486" t="e">
        <v>#VALUE!</v>
      </c>
      <c r="J606" s="487"/>
      <c r="K606" s="488"/>
      <c r="L606" s="488"/>
      <c r="M606" s="548">
        <f>_xlfn.XLOOKUP(packes[[#This Row],[productId]],CT[productId],CT[total],"NA")</f>
        <v>233.215</v>
      </c>
      <c r="N606" s="20" t="str">
        <f>_xlfn.XLOOKUP(packes[[#This Row],[productId]],bom[Id],bom[ph],"NA")</f>
        <v>molex</v>
      </c>
      <c r="O606" s="20" t="str">
        <f>_xlfn.XLOOKUP(packes[[#This Row],[productId]],bom[Id],bom[erth],"NA")</f>
        <v>-</v>
      </c>
      <c r="P606" s="20" t="str">
        <f>_xlfn.XLOOKUP(packes[[#This Row],[productId]],bom[Id],bom[dbl],"NA")</f>
        <v>splice</v>
      </c>
      <c r="Q606" s="20" t="str">
        <f>LEFT(packes[[#This Row],[date]],4)</f>
        <v>1403</v>
      </c>
    </row>
    <row r="607" spans="1:17" s="23" customFormat="1" ht="16.5" x14ac:dyDescent="0.25">
      <c r="A607" s="23">
        <v>605</v>
      </c>
      <c r="B607" s="24" t="s">
        <v>227</v>
      </c>
      <c r="C607" s="23">
        <v>140310007</v>
      </c>
      <c r="D607" s="23">
        <v>1500</v>
      </c>
      <c r="E607" s="27" t="e">
        <v>#VALUE!</v>
      </c>
      <c r="F607" s="27" t="e">
        <v>#VALUE!</v>
      </c>
      <c r="G607" s="23">
        <v>12</v>
      </c>
      <c r="H607" s="486" t="e">
        <v>#VALUE!</v>
      </c>
      <c r="J607" s="487"/>
      <c r="K607" s="488"/>
      <c r="L607" s="488"/>
      <c r="M607" s="548">
        <f>_xlfn.XLOOKUP(packes[[#This Row],[productId]],CT[productId],CT[total],"NA")</f>
        <v>92.484999999999999</v>
      </c>
      <c r="N607" s="20" t="str">
        <f>_xlfn.XLOOKUP(packes[[#This Row],[productId]],bom[Id],bom[ph],"NA")</f>
        <v>-</v>
      </c>
      <c r="O607" s="20" t="str">
        <f>_xlfn.XLOOKUP(packes[[#This Row],[productId]],bom[Id],bom[erth],"NA")</f>
        <v>nut4</v>
      </c>
      <c r="P607" s="20" t="str">
        <f>_xlfn.XLOOKUP(packes[[#This Row],[productId]],bom[Id],bom[dbl],"NA")</f>
        <v>-</v>
      </c>
      <c r="Q607" s="20" t="str">
        <f>LEFT(packes[[#This Row],[date]],4)</f>
        <v>1403</v>
      </c>
    </row>
    <row r="608" spans="1:17" s="23" customFormat="1" ht="16.5" x14ac:dyDescent="0.25">
      <c r="A608" s="23">
        <v>606</v>
      </c>
      <c r="B608" s="24" t="s">
        <v>227</v>
      </c>
      <c r="C608" s="23">
        <v>140310031</v>
      </c>
      <c r="D608" s="23">
        <v>1050</v>
      </c>
      <c r="E608" s="27" t="e">
        <v>#VALUE!</v>
      </c>
      <c r="F608" s="27" t="e">
        <v>#VALUE!</v>
      </c>
      <c r="G608" s="23">
        <v>12</v>
      </c>
      <c r="H608" s="486" t="e">
        <v>#VALUE!</v>
      </c>
      <c r="J608" s="487"/>
      <c r="K608" s="488"/>
      <c r="L608" s="488"/>
      <c r="M608" s="548">
        <f>_xlfn.XLOOKUP(packes[[#This Row],[productId]],CT[productId],CT[total],"NA")</f>
        <v>202.96500000000003</v>
      </c>
      <c r="N608" s="20">
        <f>_xlfn.XLOOKUP(packes[[#This Row],[productId]],bom[Id],bom[ph],"NA")</f>
        <v>461</v>
      </c>
      <c r="O608" s="20" t="str">
        <f>_xlfn.XLOOKUP(packes[[#This Row],[productId]],bom[Id],bom[erth],"NA")</f>
        <v>nut4</v>
      </c>
      <c r="P608" s="20" t="str">
        <f>_xlfn.XLOOKUP(packes[[#This Row],[productId]],bom[Id],bom[dbl],"NA")</f>
        <v>-</v>
      </c>
      <c r="Q608" s="20" t="str">
        <f>LEFT(packes[[#This Row],[date]],4)</f>
        <v>1403</v>
      </c>
    </row>
    <row r="609" spans="1:17" s="23" customFormat="1" ht="16.5" x14ac:dyDescent="0.25">
      <c r="A609" s="23">
        <v>607</v>
      </c>
      <c r="B609" s="24" t="s">
        <v>227</v>
      </c>
      <c r="C609" s="23">
        <v>140220012</v>
      </c>
      <c r="D609" s="23">
        <v>1200</v>
      </c>
      <c r="E609" s="27" t="e">
        <v>#VALUE!</v>
      </c>
      <c r="F609" s="27" t="e">
        <v>#VALUE!</v>
      </c>
      <c r="G609" s="23">
        <v>12</v>
      </c>
      <c r="H609" s="486" t="e">
        <v>#VALUE!</v>
      </c>
      <c r="J609" s="487"/>
      <c r="K609" s="488"/>
      <c r="L609" s="488"/>
      <c r="M609" s="548">
        <f>_xlfn.XLOOKUP(packes[[#This Row],[productId]],CT[productId],CT[total],"NA")</f>
        <v>192.86500000000001</v>
      </c>
      <c r="N609" s="20" t="str">
        <f>_xlfn.XLOOKUP(packes[[#This Row],[productId]],bom[Id],bom[ph],"NA")</f>
        <v>flag</v>
      </c>
      <c r="O609" s="20" t="str">
        <f>_xlfn.XLOOKUP(packes[[#This Row],[productId]],bom[Id],bom[erth],"NA")</f>
        <v>sun</v>
      </c>
      <c r="P609" s="20" t="str">
        <f>_xlfn.XLOOKUP(packes[[#This Row],[productId]],bom[Id],bom[dbl],"NA")</f>
        <v>-</v>
      </c>
      <c r="Q609" s="20" t="str">
        <f>LEFT(packes[[#This Row],[date]],4)</f>
        <v>1403</v>
      </c>
    </row>
    <row r="610" spans="1:17" s="23" customFormat="1" ht="16.5" x14ac:dyDescent="0.25">
      <c r="A610" s="23">
        <v>608</v>
      </c>
      <c r="B610" s="24" t="s">
        <v>227</v>
      </c>
      <c r="C610" s="23">
        <v>140450035</v>
      </c>
      <c r="D610" s="23">
        <v>800</v>
      </c>
      <c r="E610" s="27" t="e">
        <v>#VALUE!</v>
      </c>
      <c r="F610" s="27" t="e">
        <v>#VALUE!</v>
      </c>
      <c r="G610" s="23">
        <v>11</v>
      </c>
      <c r="H610" s="486" t="e">
        <v>#VALUE!</v>
      </c>
      <c r="J610" s="487"/>
      <c r="K610" s="488"/>
      <c r="L610" s="488"/>
      <c r="M610" s="548" t="str">
        <f>_xlfn.XLOOKUP(packes[[#This Row],[productId]],CT[productId],CT[total],"NA")</f>
        <v>NA</v>
      </c>
      <c r="N610" s="20" t="str">
        <f>_xlfn.XLOOKUP(packes[[#This Row],[productId]],bom[Id],bom[ph],"NA")</f>
        <v>hcb</v>
      </c>
      <c r="O610" s="20" t="str">
        <f>_xlfn.XLOOKUP(packes[[#This Row],[productId]],bom[Id],bom[erth],"NA")</f>
        <v>nut4</v>
      </c>
      <c r="P610" s="20">
        <f>_xlfn.XLOOKUP(packes[[#This Row],[productId]],bom[Id],bom[dbl],"NA")</f>
        <v>0</v>
      </c>
      <c r="Q610" s="20" t="str">
        <f>LEFT(packes[[#This Row],[date]],4)</f>
        <v>1403</v>
      </c>
    </row>
    <row r="611" spans="1:17" s="23" customFormat="1" ht="16.5" x14ac:dyDescent="0.25">
      <c r="A611" s="23">
        <v>609</v>
      </c>
      <c r="B611" s="24" t="s">
        <v>1585</v>
      </c>
      <c r="C611" s="23">
        <v>140030040</v>
      </c>
      <c r="D611" s="23">
        <v>400</v>
      </c>
      <c r="E611" s="27" t="e">
        <v>#VALUE!</v>
      </c>
      <c r="F611" s="27" t="e">
        <v>#VALUE!</v>
      </c>
      <c r="G611" s="23">
        <v>1</v>
      </c>
      <c r="H611" s="486" t="e">
        <v>#VALUE!</v>
      </c>
      <c r="J611" s="487"/>
      <c r="K611" s="488"/>
      <c r="L611" s="488"/>
      <c r="M611" s="548">
        <f>_xlfn.XLOOKUP(packes[[#This Row],[productId]],CT[productId],CT[total],"NA")</f>
        <v>97.305000000000007</v>
      </c>
      <c r="N611" s="20" t="str">
        <f>_xlfn.XLOOKUP(packes[[#This Row],[productId]],bom[Id],bom[ph],"NA")</f>
        <v>YH</v>
      </c>
      <c r="O611" s="20" t="str">
        <f>_xlfn.XLOOKUP(packes[[#This Row],[productId]],bom[Id],bom[erth],"NA")</f>
        <v>sun</v>
      </c>
      <c r="P611" s="20" t="str">
        <f>_xlfn.XLOOKUP(packes[[#This Row],[productId]],bom[Id],bom[dbl],"NA")</f>
        <v>-</v>
      </c>
      <c r="Q611" s="20" t="str">
        <f>LEFT(packes[[#This Row],[date]],4)</f>
        <v>1403</v>
      </c>
    </row>
    <row r="612" spans="1:17" s="23" customFormat="1" ht="16.5" x14ac:dyDescent="0.25">
      <c r="A612" s="23">
        <v>610</v>
      </c>
      <c r="B612" s="24" t="s">
        <v>1585</v>
      </c>
      <c r="C612" s="23">
        <v>140090143</v>
      </c>
      <c r="D612" s="23">
        <v>2350</v>
      </c>
      <c r="E612" s="27" t="e">
        <v>#VALUE!</v>
      </c>
      <c r="F612" s="27" t="e">
        <v>#VALUE!</v>
      </c>
      <c r="G612" s="23">
        <v>12</v>
      </c>
      <c r="H612" s="486" t="e">
        <v>#VALUE!</v>
      </c>
      <c r="J612" s="487"/>
      <c r="K612" s="488"/>
      <c r="L612" s="488"/>
      <c r="M612" s="548">
        <f>_xlfn.XLOOKUP(packes[[#This Row],[productId]],CT[productId],CT[total],"NA")</f>
        <v>233.215</v>
      </c>
      <c r="N612" s="20" t="str">
        <f>_xlfn.XLOOKUP(packes[[#This Row],[productId]],bom[Id],bom[ph],"NA")</f>
        <v>molex</v>
      </c>
      <c r="O612" s="20" t="str">
        <f>_xlfn.XLOOKUP(packes[[#This Row],[productId]],bom[Id],bom[erth],"NA")</f>
        <v>-</v>
      </c>
      <c r="P612" s="20" t="str">
        <f>_xlfn.XLOOKUP(packes[[#This Row],[productId]],bom[Id],bom[dbl],"NA")</f>
        <v>splice</v>
      </c>
      <c r="Q612" s="20" t="str">
        <f>LEFT(packes[[#This Row],[date]],4)</f>
        <v>1403</v>
      </c>
    </row>
    <row r="613" spans="1:17" s="23" customFormat="1" ht="16.5" x14ac:dyDescent="0.25">
      <c r="A613" s="23">
        <v>611</v>
      </c>
      <c r="B613" s="24" t="s">
        <v>1585</v>
      </c>
      <c r="C613" s="23">
        <v>140310007</v>
      </c>
      <c r="D613" s="23">
        <v>700</v>
      </c>
      <c r="E613" s="27" t="e">
        <v>#VALUE!</v>
      </c>
      <c r="F613" s="27" t="e">
        <v>#VALUE!</v>
      </c>
      <c r="G613" s="23">
        <v>12</v>
      </c>
      <c r="H613" s="486" t="e">
        <v>#VALUE!</v>
      </c>
      <c r="J613" s="487"/>
      <c r="K613" s="488"/>
      <c r="L613" s="488"/>
      <c r="M613" s="548">
        <f>_xlfn.XLOOKUP(packes[[#This Row],[productId]],CT[productId],CT[total],"NA")</f>
        <v>92.484999999999999</v>
      </c>
      <c r="N613" s="20" t="str">
        <f>_xlfn.XLOOKUP(packes[[#This Row],[productId]],bom[Id],bom[ph],"NA")</f>
        <v>-</v>
      </c>
      <c r="O613" s="20" t="str">
        <f>_xlfn.XLOOKUP(packes[[#This Row],[productId]],bom[Id],bom[erth],"NA")</f>
        <v>nut4</v>
      </c>
      <c r="P613" s="20" t="str">
        <f>_xlfn.XLOOKUP(packes[[#This Row],[productId]],bom[Id],bom[dbl],"NA")</f>
        <v>-</v>
      </c>
      <c r="Q613" s="20" t="str">
        <f>LEFT(packes[[#This Row],[date]],4)</f>
        <v>1403</v>
      </c>
    </row>
    <row r="614" spans="1:17" s="23" customFormat="1" ht="16.5" x14ac:dyDescent="0.25">
      <c r="A614" s="23">
        <v>612</v>
      </c>
      <c r="B614" s="24" t="s">
        <v>1585</v>
      </c>
      <c r="C614" s="23">
        <v>140310031</v>
      </c>
      <c r="D614" s="23">
        <v>550</v>
      </c>
      <c r="E614" s="27" t="e">
        <v>#VALUE!</v>
      </c>
      <c r="F614" s="27" t="e">
        <v>#VALUE!</v>
      </c>
      <c r="G614" s="23">
        <v>12</v>
      </c>
      <c r="H614" s="486" t="e">
        <v>#VALUE!</v>
      </c>
      <c r="J614" s="487"/>
      <c r="K614" s="488"/>
      <c r="L614" s="488"/>
      <c r="M614" s="548">
        <f>_xlfn.XLOOKUP(packes[[#This Row],[productId]],CT[productId],CT[total],"NA")</f>
        <v>202.96500000000003</v>
      </c>
      <c r="N614" s="20">
        <f>_xlfn.XLOOKUP(packes[[#This Row],[productId]],bom[Id],bom[ph],"NA")</f>
        <v>461</v>
      </c>
      <c r="O614" s="20" t="str">
        <f>_xlfn.XLOOKUP(packes[[#This Row],[productId]],bom[Id],bom[erth],"NA")</f>
        <v>nut4</v>
      </c>
      <c r="P614" s="20" t="str">
        <f>_xlfn.XLOOKUP(packes[[#This Row],[productId]],bom[Id],bom[dbl],"NA")</f>
        <v>-</v>
      </c>
      <c r="Q614" s="20" t="str">
        <f>LEFT(packes[[#This Row],[date]],4)</f>
        <v>1403</v>
      </c>
    </row>
    <row r="615" spans="1:17" s="23" customFormat="1" ht="16.5" x14ac:dyDescent="0.25">
      <c r="A615" s="23">
        <v>613</v>
      </c>
      <c r="B615" s="24" t="s">
        <v>1585</v>
      </c>
      <c r="C615" s="23">
        <v>140220012</v>
      </c>
      <c r="D615" s="23">
        <v>1350</v>
      </c>
      <c r="E615" s="27" t="e">
        <v>#VALUE!</v>
      </c>
      <c r="F615" s="27" t="e">
        <v>#VALUE!</v>
      </c>
      <c r="G615" s="23">
        <v>12</v>
      </c>
      <c r="H615" s="486" t="e">
        <v>#VALUE!</v>
      </c>
      <c r="J615" s="487"/>
      <c r="K615" s="488"/>
      <c r="L615" s="488"/>
      <c r="M615" s="548">
        <f>_xlfn.XLOOKUP(packes[[#This Row],[productId]],CT[productId],CT[total],"NA")</f>
        <v>192.86500000000001</v>
      </c>
      <c r="N615" s="20" t="str">
        <f>_xlfn.XLOOKUP(packes[[#This Row],[productId]],bom[Id],bom[ph],"NA")</f>
        <v>flag</v>
      </c>
      <c r="O615" s="20" t="str">
        <f>_xlfn.XLOOKUP(packes[[#This Row],[productId]],bom[Id],bom[erth],"NA")</f>
        <v>sun</v>
      </c>
      <c r="P615" s="20" t="str">
        <f>_xlfn.XLOOKUP(packes[[#This Row],[productId]],bom[Id],bom[dbl],"NA")</f>
        <v>-</v>
      </c>
      <c r="Q615" s="20" t="str">
        <f>LEFT(packes[[#This Row],[date]],4)</f>
        <v>1403</v>
      </c>
    </row>
    <row r="616" spans="1:17" s="23" customFormat="1" ht="16.5" x14ac:dyDescent="0.25">
      <c r="A616" s="23">
        <v>614</v>
      </c>
      <c r="B616" s="24" t="s">
        <v>1585</v>
      </c>
      <c r="C616" s="23">
        <v>141320055</v>
      </c>
      <c r="D616" s="23">
        <v>100</v>
      </c>
      <c r="E616" s="27" t="e">
        <v>#VALUE!</v>
      </c>
      <c r="F616" s="27" t="e">
        <v>#VALUE!</v>
      </c>
      <c r="G616" s="23">
        <v>12</v>
      </c>
      <c r="H616" s="486" t="e">
        <v>#VALUE!</v>
      </c>
      <c r="J616" s="487"/>
      <c r="K616" s="488"/>
      <c r="L616" s="488"/>
      <c r="M616" s="548">
        <f>_xlfn.XLOOKUP(packes[[#This Row],[productId]],CT[productId],CT[total],"NA")</f>
        <v>41.13</v>
      </c>
      <c r="N616" s="20">
        <f>_xlfn.XLOOKUP(packes[[#This Row],[productId]],bom[Id],bom[ph],"NA")</f>
        <v>0</v>
      </c>
      <c r="O616" s="20">
        <f>_xlfn.XLOOKUP(packes[[#This Row],[productId]],bom[Id],bom[erth],"NA")</f>
        <v>0</v>
      </c>
      <c r="P616" s="20">
        <f>_xlfn.XLOOKUP(packes[[#This Row],[productId]],bom[Id],bom[dbl],"NA")</f>
        <v>0</v>
      </c>
      <c r="Q616" s="20" t="str">
        <f>LEFT(packes[[#This Row],[date]],4)</f>
        <v>1403</v>
      </c>
    </row>
    <row r="617" spans="1:17" s="23" customFormat="1" ht="16.5" x14ac:dyDescent="0.25">
      <c r="A617" s="23">
        <v>615</v>
      </c>
      <c r="B617" s="24" t="s">
        <v>1585</v>
      </c>
      <c r="C617" s="23">
        <v>140310096</v>
      </c>
      <c r="D617" s="23">
        <v>53</v>
      </c>
      <c r="E617" s="27" t="e">
        <v>#VALUE!</v>
      </c>
      <c r="F617" s="27" t="e">
        <v>#VALUE!</v>
      </c>
      <c r="G617" s="23">
        <v>12</v>
      </c>
      <c r="H617" s="486" t="e">
        <v>#VALUE!</v>
      </c>
      <c r="J617" s="487"/>
      <c r="K617" s="488"/>
      <c r="L617" s="488"/>
      <c r="M617" s="548">
        <f>_xlfn.XLOOKUP(packes[[#This Row],[productId]],CT[productId],CT[total],"NA")</f>
        <v>76.239999999999995</v>
      </c>
      <c r="N617" s="20" t="str">
        <f>_xlfn.XLOOKUP(packes[[#This Row],[productId]],bom[Id],bom[ph],"NA")</f>
        <v>6.3ch</v>
      </c>
      <c r="O617" s="20" t="str">
        <f>_xlfn.XLOOKUP(packes[[#This Row],[productId]],bom[Id],bom[erth],"NA")</f>
        <v>6.3k</v>
      </c>
      <c r="P617" s="20">
        <f>_xlfn.XLOOKUP(packes[[#This Row],[productId]],bom[Id],bom[dbl],"NA")</f>
        <v>0</v>
      </c>
      <c r="Q617" s="20" t="str">
        <f>LEFT(packes[[#This Row],[date]],4)</f>
        <v>1403</v>
      </c>
    </row>
    <row r="618" spans="1:17" s="23" customFormat="1" ht="16.5" x14ac:dyDescent="0.25">
      <c r="A618" s="23">
        <v>616</v>
      </c>
      <c r="B618" s="24" t="s">
        <v>1586</v>
      </c>
      <c r="C618" s="23">
        <v>140020181</v>
      </c>
      <c r="D618" s="23">
        <v>75</v>
      </c>
      <c r="E618" s="27" t="e">
        <v>#VALUE!</v>
      </c>
      <c r="F618" s="27" t="e">
        <v>#VALUE!</v>
      </c>
      <c r="G618" s="23">
        <v>12</v>
      </c>
      <c r="H618" s="486" t="e">
        <v>#VALUE!</v>
      </c>
      <c r="J618" s="487"/>
      <c r="K618" s="488"/>
      <c r="L618" s="488"/>
      <c r="M618" s="548">
        <f>_xlfn.XLOOKUP(packes[[#This Row],[productId]],CT[productId],CT[total],"NA")</f>
        <v>88.929999999999993</v>
      </c>
      <c r="N618" s="20" t="str">
        <f>_xlfn.XLOOKUP(packes[[#This Row],[productId]],bom[Id],bom[ph],"NA")</f>
        <v>VH</v>
      </c>
      <c r="O618" s="20" t="str">
        <f>_xlfn.XLOOKUP(packes[[#This Row],[productId]],bom[Id],bom[erth],"NA")</f>
        <v>nut4</v>
      </c>
      <c r="P618" s="20" t="str">
        <f>_xlfn.XLOOKUP(packes[[#This Row],[productId]],bom[Id],bom[dbl],"NA")</f>
        <v>-</v>
      </c>
      <c r="Q618" s="20" t="str">
        <f>LEFT(packes[[#This Row],[date]],4)</f>
        <v>1403</v>
      </c>
    </row>
    <row r="619" spans="1:17" s="23" customFormat="1" ht="16.5" x14ac:dyDescent="0.25">
      <c r="A619" s="23">
        <v>617</v>
      </c>
      <c r="B619" s="24" t="s">
        <v>1586</v>
      </c>
      <c r="C619" s="23">
        <v>140030039</v>
      </c>
      <c r="D619" s="23">
        <v>1000</v>
      </c>
      <c r="E619" s="27" t="e">
        <v>#VALUE!</v>
      </c>
      <c r="F619" s="27" t="e">
        <v>#VALUE!</v>
      </c>
      <c r="G619" s="23">
        <v>1</v>
      </c>
      <c r="H619" s="486" t="e">
        <v>#VALUE!</v>
      </c>
      <c r="J619" s="487"/>
      <c r="K619" s="488"/>
      <c r="L619" s="488"/>
      <c r="M619" s="548">
        <f>_xlfn.XLOOKUP(packes[[#This Row],[productId]],CT[productId],CT[total],"NA")</f>
        <v>92.504999999999995</v>
      </c>
      <c r="N619" s="20" t="str">
        <f>_xlfn.XLOOKUP(packes[[#This Row],[productId]],bom[Id],bom[ph],"NA")</f>
        <v>YH</v>
      </c>
      <c r="O619" s="20" t="str">
        <f>_xlfn.XLOOKUP(packes[[#This Row],[productId]],bom[Id],bom[erth],"NA")</f>
        <v>sun</v>
      </c>
      <c r="P619" s="20" t="str">
        <f>_xlfn.XLOOKUP(packes[[#This Row],[productId]],bom[Id],bom[dbl],"NA")</f>
        <v>-</v>
      </c>
      <c r="Q619" s="20" t="str">
        <f>LEFT(packes[[#This Row],[date]],4)</f>
        <v>1403</v>
      </c>
    </row>
    <row r="620" spans="1:17" s="23" customFormat="1" ht="16.5" x14ac:dyDescent="0.25">
      <c r="A620" s="23">
        <v>618</v>
      </c>
      <c r="B620" s="24" t="s">
        <v>1586</v>
      </c>
      <c r="C620" s="23">
        <v>140030040</v>
      </c>
      <c r="D620" s="23">
        <v>2600</v>
      </c>
      <c r="E620" s="27" t="e">
        <v>#VALUE!</v>
      </c>
      <c r="F620" s="27" t="e">
        <v>#VALUE!</v>
      </c>
      <c r="G620" s="23">
        <v>1</v>
      </c>
      <c r="H620" s="486" t="e">
        <v>#VALUE!</v>
      </c>
      <c r="J620" s="487"/>
      <c r="K620" s="488"/>
      <c r="L620" s="488"/>
      <c r="M620" s="548">
        <f>_xlfn.XLOOKUP(packes[[#This Row],[productId]],CT[productId],CT[total],"NA")</f>
        <v>97.305000000000007</v>
      </c>
      <c r="N620" s="20" t="str">
        <f>_xlfn.XLOOKUP(packes[[#This Row],[productId]],bom[Id],bom[ph],"NA")</f>
        <v>YH</v>
      </c>
      <c r="O620" s="20" t="str">
        <f>_xlfn.XLOOKUP(packes[[#This Row],[productId]],bom[Id],bom[erth],"NA")</f>
        <v>sun</v>
      </c>
      <c r="P620" s="20" t="str">
        <f>_xlfn.XLOOKUP(packes[[#This Row],[productId]],bom[Id],bom[dbl],"NA")</f>
        <v>-</v>
      </c>
      <c r="Q620" s="20" t="str">
        <f>LEFT(packes[[#This Row],[date]],4)</f>
        <v>1403</v>
      </c>
    </row>
    <row r="621" spans="1:17" s="23" customFormat="1" ht="16.5" x14ac:dyDescent="0.25">
      <c r="A621" s="23">
        <v>619</v>
      </c>
      <c r="B621" s="24" t="s">
        <v>1586</v>
      </c>
      <c r="C621" s="23">
        <v>140090143</v>
      </c>
      <c r="D621" s="23">
        <v>2950</v>
      </c>
      <c r="E621" s="27" t="e">
        <v>#VALUE!</v>
      </c>
      <c r="F621" s="27" t="e">
        <v>#VALUE!</v>
      </c>
      <c r="G621" s="23">
        <v>12</v>
      </c>
      <c r="H621" s="486" t="e">
        <v>#VALUE!</v>
      </c>
      <c r="J621" s="487"/>
      <c r="K621" s="488"/>
      <c r="L621" s="488"/>
      <c r="M621" s="548">
        <f>_xlfn.XLOOKUP(packes[[#This Row],[productId]],CT[productId],CT[total],"NA")</f>
        <v>233.215</v>
      </c>
      <c r="N621" s="20" t="str">
        <f>_xlfn.XLOOKUP(packes[[#This Row],[productId]],bom[Id],bom[ph],"NA")</f>
        <v>molex</v>
      </c>
      <c r="O621" s="20" t="str">
        <f>_xlfn.XLOOKUP(packes[[#This Row],[productId]],bom[Id],bom[erth],"NA")</f>
        <v>-</v>
      </c>
      <c r="P621" s="20" t="str">
        <f>_xlfn.XLOOKUP(packes[[#This Row],[productId]],bom[Id],bom[dbl],"NA")</f>
        <v>splice</v>
      </c>
      <c r="Q621" s="20" t="str">
        <f>LEFT(packes[[#This Row],[date]],4)</f>
        <v>1403</v>
      </c>
    </row>
    <row r="622" spans="1:17" s="23" customFormat="1" ht="16.5" x14ac:dyDescent="0.25">
      <c r="A622" s="23">
        <v>620</v>
      </c>
      <c r="B622" s="24" t="s">
        <v>1586</v>
      </c>
      <c r="C622" s="23">
        <v>140310007</v>
      </c>
      <c r="D622" s="23">
        <v>400</v>
      </c>
      <c r="E622" s="27" t="e">
        <v>#VALUE!</v>
      </c>
      <c r="F622" s="27" t="e">
        <v>#VALUE!</v>
      </c>
      <c r="G622" s="23">
        <v>12</v>
      </c>
      <c r="H622" s="486" t="e">
        <v>#VALUE!</v>
      </c>
      <c r="J622" s="487"/>
      <c r="K622" s="488"/>
      <c r="L622" s="488"/>
      <c r="M622" s="548">
        <f>_xlfn.XLOOKUP(packes[[#This Row],[productId]],CT[productId],CT[total],"NA")</f>
        <v>92.484999999999999</v>
      </c>
      <c r="N622" s="20" t="str">
        <f>_xlfn.XLOOKUP(packes[[#This Row],[productId]],bom[Id],bom[ph],"NA")</f>
        <v>-</v>
      </c>
      <c r="O622" s="20" t="str">
        <f>_xlfn.XLOOKUP(packes[[#This Row],[productId]],bom[Id],bom[erth],"NA")</f>
        <v>nut4</v>
      </c>
      <c r="P622" s="20" t="str">
        <f>_xlfn.XLOOKUP(packes[[#This Row],[productId]],bom[Id],bom[dbl],"NA")</f>
        <v>-</v>
      </c>
      <c r="Q622" s="20" t="str">
        <f>LEFT(packes[[#This Row],[date]],4)</f>
        <v>1403</v>
      </c>
    </row>
    <row r="623" spans="1:17" s="23" customFormat="1" ht="16.5" x14ac:dyDescent="0.25">
      <c r="A623" s="23">
        <v>621</v>
      </c>
      <c r="B623" s="24" t="s">
        <v>1586</v>
      </c>
      <c r="C623" s="23">
        <v>140310016</v>
      </c>
      <c r="D623" s="23">
        <v>1050</v>
      </c>
      <c r="E623" s="27" t="e">
        <v>#VALUE!</v>
      </c>
      <c r="F623" s="27" t="e">
        <v>#VALUE!</v>
      </c>
      <c r="G623" s="23">
        <v>12</v>
      </c>
      <c r="H623" s="486" t="e">
        <v>#VALUE!</v>
      </c>
      <c r="J623" s="487"/>
      <c r="K623" s="488"/>
      <c r="L623" s="488"/>
      <c r="M623" s="548">
        <f>_xlfn.XLOOKUP(packes[[#This Row],[productId]],CT[productId],CT[total],"NA")</f>
        <v>84.4</v>
      </c>
      <c r="N623" s="20" t="str">
        <f>_xlfn.XLOOKUP(packes[[#This Row],[productId]],bom[Id],bom[ph],"NA")</f>
        <v>hcb</v>
      </c>
      <c r="O623" s="20">
        <f>_xlfn.XLOOKUP(packes[[#This Row],[productId]],bom[Id],bom[erth],"NA")</f>
        <v>0</v>
      </c>
      <c r="P623" s="20" t="str">
        <f>_xlfn.XLOOKUP(packes[[#This Row],[productId]],bom[Id],bom[dbl],"NA")</f>
        <v>splice</v>
      </c>
      <c r="Q623" s="20" t="str">
        <f>LEFT(packes[[#This Row],[date]],4)</f>
        <v>1403</v>
      </c>
    </row>
    <row r="624" spans="1:17" s="23" customFormat="1" ht="16.5" x14ac:dyDescent="0.25">
      <c r="A624" s="23">
        <v>622</v>
      </c>
      <c r="B624" s="24" t="s">
        <v>1586</v>
      </c>
      <c r="C624" s="23">
        <v>140220012</v>
      </c>
      <c r="D624" s="23">
        <v>250</v>
      </c>
      <c r="E624" s="27" t="e">
        <v>#VALUE!</v>
      </c>
      <c r="F624" s="27" t="e">
        <v>#VALUE!</v>
      </c>
      <c r="G624" s="23">
        <v>12</v>
      </c>
      <c r="H624" s="486" t="e">
        <v>#VALUE!</v>
      </c>
      <c r="J624" s="487"/>
      <c r="K624" s="488"/>
      <c r="L624" s="488"/>
      <c r="M624" s="548">
        <f>_xlfn.XLOOKUP(packes[[#This Row],[productId]],CT[productId],CT[total],"NA")</f>
        <v>192.86500000000001</v>
      </c>
      <c r="N624" s="20" t="str">
        <f>_xlfn.XLOOKUP(packes[[#This Row],[productId]],bom[Id],bom[ph],"NA")</f>
        <v>flag</v>
      </c>
      <c r="O624" s="20" t="str">
        <f>_xlfn.XLOOKUP(packes[[#This Row],[productId]],bom[Id],bom[erth],"NA")</f>
        <v>sun</v>
      </c>
      <c r="P624" s="20" t="str">
        <f>_xlfn.XLOOKUP(packes[[#This Row],[productId]],bom[Id],bom[dbl],"NA")</f>
        <v>-</v>
      </c>
      <c r="Q624" s="20" t="str">
        <f>LEFT(packes[[#This Row],[date]],4)</f>
        <v>1403</v>
      </c>
    </row>
    <row r="625" spans="1:17" s="23" customFormat="1" ht="16.5" x14ac:dyDescent="0.25">
      <c r="A625" s="23">
        <v>623</v>
      </c>
      <c r="B625" s="24" t="s">
        <v>1587</v>
      </c>
      <c r="C625" s="23">
        <v>140010117</v>
      </c>
      <c r="D625" s="23">
        <v>300</v>
      </c>
      <c r="E625" s="27" t="e">
        <v>#VALUE!</v>
      </c>
      <c r="F625" s="27" t="e">
        <v>#VALUE!</v>
      </c>
      <c r="G625" s="23">
        <v>12</v>
      </c>
      <c r="H625" s="486" t="e">
        <v>#VALUE!</v>
      </c>
      <c r="J625" s="487"/>
      <c r="K625" s="488"/>
      <c r="L625" s="488"/>
      <c r="M625" s="548">
        <f>_xlfn.XLOOKUP(packes[[#This Row],[productId]],CT[productId],CT[total],"NA")</f>
        <v>98.295000000000016</v>
      </c>
      <c r="N625" s="20" t="str">
        <f>_xlfn.XLOOKUP(packes[[#This Row],[productId]],bom[Id],bom[ph],"NA")</f>
        <v>nar.p</v>
      </c>
      <c r="O625" s="20" t="str">
        <f>_xlfn.XLOOKUP(packes[[#This Row],[productId]],bom[Id],bom[erth],"NA")</f>
        <v>-</v>
      </c>
      <c r="P625" s="20" t="str">
        <f>_xlfn.XLOOKUP(packes[[#This Row],[productId]],bom[Id],bom[dbl],"NA")</f>
        <v>nar.p</v>
      </c>
      <c r="Q625" s="20" t="str">
        <f>LEFT(packes[[#This Row],[date]],4)</f>
        <v>1403</v>
      </c>
    </row>
    <row r="626" spans="1:17" s="23" customFormat="1" ht="16.5" x14ac:dyDescent="0.25">
      <c r="A626" s="23">
        <v>624</v>
      </c>
      <c r="B626" s="24" t="s">
        <v>1587</v>
      </c>
      <c r="C626" s="23">
        <v>140010230</v>
      </c>
      <c r="D626" s="23">
        <v>200</v>
      </c>
      <c r="E626" s="27" t="e">
        <v>#VALUE!</v>
      </c>
      <c r="F626" s="27" t="e">
        <v>#VALUE!</v>
      </c>
      <c r="G626" s="23">
        <v>12</v>
      </c>
      <c r="H626" s="486" t="e">
        <v>#VALUE!</v>
      </c>
      <c r="J626" s="487"/>
      <c r="K626" s="488"/>
      <c r="L626" s="488"/>
      <c r="M626" s="548">
        <f>_xlfn.XLOOKUP(packes[[#This Row],[productId]],CT[productId],CT[total],"NA")</f>
        <v>147.595</v>
      </c>
      <c r="N626" s="20" t="str">
        <f>_xlfn.XLOOKUP(packes[[#This Row],[productId]],bom[Id],bom[ph],"NA")</f>
        <v>nar.p</v>
      </c>
      <c r="O626" s="20" t="str">
        <f>_xlfn.XLOOKUP(packes[[#This Row],[productId]],bom[Id],bom[erth],"NA")</f>
        <v>-</v>
      </c>
      <c r="P626" s="20" t="str">
        <f>_xlfn.XLOOKUP(packes[[#This Row],[productId]],bom[Id],bom[dbl],"NA")</f>
        <v>nar.p</v>
      </c>
      <c r="Q626" s="20" t="str">
        <f>LEFT(packes[[#This Row],[date]],4)</f>
        <v>1403</v>
      </c>
    </row>
    <row r="627" spans="1:17" s="23" customFormat="1" ht="16.5" x14ac:dyDescent="0.25">
      <c r="A627" s="23">
        <v>625</v>
      </c>
      <c r="B627" s="24" t="s">
        <v>1587</v>
      </c>
      <c r="C627" s="23">
        <v>140030040</v>
      </c>
      <c r="D627" s="23">
        <v>300</v>
      </c>
      <c r="E627" s="27" t="e">
        <v>#VALUE!</v>
      </c>
      <c r="F627" s="27" t="e">
        <v>#VALUE!</v>
      </c>
      <c r="G627" s="23">
        <v>1</v>
      </c>
      <c r="H627" s="486" t="e">
        <v>#VALUE!</v>
      </c>
      <c r="J627" s="487"/>
      <c r="K627" s="488"/>
      <c r="L627" s="488"/>
      <c r="M627" s="548">
        <f>_xlfn.XLOOKUP(packes[[#This Row],[productId]],CT[productId],CT[total],"NA")</f>
        <v>97.305000000000007</v>
      </c>
      <c r="N627" s="20" t="str">
        <f>_xlfn.XLOOKUP(packes[[#This Row],[productId]],bom[Id],bom[ph],"NA")</f>
        <v>YH</v>
      </c>
      <c r="O627" s="20" t="str">
        <f>_xlfn.XLOOKUP(packes[[#This Row],[productId]],bom[Id],bom[erth],"NA")</f>
        <v>sun</v>
      </c>
      <c r="P627" s="20" t="str">
        <f>_xlfn.XLOOKUP(packes[[#This Row],[productId]],bom[Id],bom[dbl],"NA")</f>
        <v>-</v>
      </c>
      <c r="Q627" s="20" t="str">
        <f>LEFT(packes[[#This Row],[date]],4)</f>
        <v>1403</v>
      </c>
    </row>
    <row r="628" spans="1:17" s="23" customFormat="1" ht="16.5" x14ac:dyDescent="0.25">
      <c r="A628" s="23">
        <v>626</v>
      </c>
      <c r="B628" s="24" t="s">
        <v>1587</v>
      </c>
      <c r="C628" s="23">
        <v>140090143</v>
      </c>
      <c r="D628" s="23">
        <v>350</v>
      </c>
      <c r="E628" s="27" t="e">
        <v>#VALUE!</v>
      </c>
      <c r="F628" s="27" t="e">
        <v>#VALUE!</v>
      </c>
      <c r="G628" s="23">
        <v>12</v>
      </c>
      <c r="H628" s="486" t="e">
        <v>#VALUE!</v>
      </c>
      <c r="J628" s="487"/>
      <c r="K628" s="488"/>
      <c r="L628" s="488"/>
      <c r="M628" s="548">
        <f>_xlfn.XLOOKUP(packes[[#This Row],[productId]],CT[productId],CT[total],"NA")</f>
        <v>233.215</v>
      </c>
      <c r="N628" s="20" t="str">
        <f>_xlfn.XLOOKUP(packes[[#This Row],[productId]],bom[Id],bom[ph],"NA")</f>
        <v>molex</v>
      </c>
      <c r="O628" s="20" t="str">
        <f>_xlfn.XLOOKUP(packes[[#This Row],[productId]],bom[Id],bom[erth],"NA")</f>
        <v>-</v>
      </c>
      <c r="P628" s="20" t="str">
        <f>_xlfn.XLOOKUP(packes[[#This Row],[productId]],bom[Id],bom[dbl],"NA")</f>
        <v>splice</v>
      </c>
      <c r="Q628" s="20" t="str">
        <f>LEFT(packes[[#This Row],[date]],4)</f>
        <v>1403</v>
      </c>
    </row>
    <row r="629" spans="1:17" s="23" customFormat="1" ht="16.5" x14ac:dyDescent="0.25">
      <c r="A629" s="23">
        <v>627</v>
      </c>
      <c r="B629" s="24" t="s">
        <v>1587</v>
      </c>
      <c r="C629" s="23">
        <v>140310016</v>
      </c>
      <c r="D629" s="23">
        <v>650</v>
      </c>
      <c r="E629" s="27" t="e">
        <v>#VALUE!</v>
      </c>
      <c r="F629" s="27" t="e">
        <v>#VALUE!</v>
      </c>
      <c r="G629" s="23">
        <v>12</v>
      </c>
      <c r="H629" s="486" t="e">
        <v>#VALUE!</v>
      </c>
      <c r="J629" s="487"/>
      <c r="K629" s="488"/>
      <c r="L629" s="488"/>
      <c r="M629" s="548">
        <f>_xlfn.XLOOKUP(packes[[#This Row],[productId]],CT[productId],CT[total],"NA")</f>
        <v>84.4</v>
      </c>
      <c r="N629" s="20" t="str">
        <f>_xlfn.XLOOKUP(packes[[#This Row],[productId]],bom[Id],bom[ph],"NA")</f>
        <v>hcb</v>
      </c>
      <c r="O629" s="20">
        <f>_xlfn.XLOOKUP(packes[[#This Row],[productId]],bom[Id],bom[erth],"NA")</f>
        <v>0</v>
      </c>
      <c r="P629" s="20" t="str">
        <f>_xlfn.XLOOKUP(packes[[#This Row],[productId]],bom[Id],bom[dbl],"NA")</f>
        <v>splice</v>
      </c>
      <c r="Q629" s="20" t="str">
        <f>LEFT(packes[[#This Row],[date]],4)</f>
        <v>1403</v>
      </c>
    </row>
    <row r="630" spans="1:17" s="23" customFormat="1" ht="16.5" x14ac:dyDescent="0.25">
      <c r="A630" s="23">
        <v>628</v>
      </c>
      <c r="B630" s="24" t="s">
        <v>1587</v>
      </c>
      <c r="C630" s="23">
        <v>140310017</v>
      </c>
      <c r="D630" s="23">
        <v>100</v>
      </c>
      <c r="E630" s="27" t="e">
        <v>#VALUE!</v>
      </c>
      <c r="F630" s="27" t="e">
        <v>#VALUE!</v>
      </c>
      <c r="G630" s="23">
        <v>12</v>
      </c>
      <c r="H630" s="486" t="e">
        <v>#VALUE!</v>
      </c>
      <c r="J630" s="487"/>
      <c r="K630" s="488"/>
      <c r="L630" s="488"/>
      <c r="M630" s="548">
        <f>_xlfn.XLOOKUP(packes[[#This Row],[productId]],CT[productId],CT[total],"NA")</f>
        <v>83.63000000000001</v>
      </c>
      <c r="N630" s="20" t="str">
        <f>_xlfn.XLOOKUP(packes[[#This Row],[productId]],bom[Id],bom[ph],"NA")</f>
        <v>hcb</v>
      </c>
      <c r="O630" s="20">
        <f>_xlfn.XLOOKUP(packes[[#This Row],[productId]],bom[Id],bom[erth],"NA")</f>
        <v>0</v>
      </c>
      <c r="P630" s="20" t="str">
        <f>_xlfn.XLOOKUP(packes[[#This Row],[productId]],bom[Id],bom[dbl],"NA")</f>
        <v>splice</v>
      </c>
      <c r="Q630" s="20" t="str">
        <f>LEFT(packes[[#This Row],[date]],4)</f>
        <v>1403</v>
      </c>
    </row>
    <row r="631" spans="1:17" s="23" customFormat="1" ht="16.5" x14ac:dyDescent="0.25">
      <c r="A631" s="23">
        <v>629</v>
      </c>
      <c r="B631" s="24" t="s">
        <v>1587</v>
      </c>
      <c r="C631" s="23">
        <v>140220012</v>
      </c>
      <c r="D631" s="23">
        <v>1000</v>
      </c>
      <c r="E631" s="27" t="e">
        <v>#VALUE!</v>
      </c>
      <c r="F631" s="27" t="e">
        <v>#VALUE!</v>
      </c>
      <c r="G631" s="23">
        <v>12</v>
      </c>
      <c r="H631" s="486" t="e">
        <v>#VALUE!</v>
      </c>
      <c r="J631" s="487"/>
      <c r="K631" s="488"/>
      <c r="L631" s="488"/>
      <c r="M631" s="548">
        <f>_xlfn.XLOOKUP(packes[[#This Row],[productId]],CT[productId],CT[total],"NA")</f>
        <v>192.86500000000001</v>
      </c>
      <c r="N631" s="20" t="str">
        <f>_xlfn.XLOOKUP(packes[[#This Row],[productId]],bom[Id],bom[ph],"NA")</f>
        <v>flag</v>
      </c>
      <c r="O631" s="20" t="str">
        <f>_xlfn.XLOOKUP(packes[[#This Row],[productId]],bom[Id],bom[erth],"NA")</f>
        <v>sun</v>
      </c>
      <c r="P631" s="20" t="str">
        <f>_xlfn.XLOOKUP(packes[[#This Row],[productId]],bom[Id],bom[dbl],"NA")</f>
        <v>-</v>
      </c>
      <c r="Q631" s="20" t="str">
        <f>LEFT(packes[[#This Row],[date]],4)</f>
        <v>1403</v>
      </c>
    </row>
    <row r="632" spans="1:17" s="23" customFormat="1" ht="16.5" x14ac:dyDescent="0.25">
      <c r="A632" s="23">
        <v>630</v>
      </c>
      <c r="B632" s="24" t="s">
        <v>1587</v>
      </c>
      <c r="C632" s="23">
        <v>140450039</v>
      </c>
      <c r="D632" s="23">
        <v>103</v>
      </c>
      <c r="E632" s="27" t="e">
        <v>#VALUE!</v>
      </c>
      <c r="F632" s="27" t="e">
        <v>#VALUE!</v>
      </c>
      <c r="G632" s="23">
        <v>12</v>
      </c>
      <c r="H632" s="486" t="e">
        <v>#VALUE!</v>
      </c>
      <c r="J632" s="487"/>
      <c r="K632" s="488"/>
      <c r="L632" s="488"/>
      <c r="M632" s="548" t="str">
        <f>_xlfn.XLOOKUP(packes[[#This Row],[productId]],CT[productId],CT[total],"NA")</f>
        <v>NA</v>
      </c>
      <c r="N632" s="20" t="str">
        <f>_xlfn.XLOOKUP(packes[[#This Row],[productId]],bom[Id],bom[ph],"NA")</f>
        <v>6.3ch</v>
      </c>
      <c r="O632" s="20" t="str">
        <f>_xlfn.XLOOKUP(packes[[#This Row],[productId]],bom[Id],bom[erth],"NA")</f>
        <v>6.3ch</v>
      </c>
      <c r="P632" s="20" t="str">
        <f>_xlfn.XLOOKUP(packes[[#This Row],[productId]],bom[Id],bom[dbl],"NA")</f>
        <v>-</v>
      </c>
      <c r="Q632" s="20" t="str">
        <f>LEFT(packes[[#This Row],[date]],4)</f>
        <v>1403</v>
      </c>
    </row>
    <row r="633" spans="1:17" s="23" customFormat="1" ht="16.5" x14ac:dyDescent="0.25">
      <c r="B633" s="30"/>
      <c r="E633" s="27" t="e">
        <f>_xlfn.XLOOKUP(packes[[#This Row],[productId]],bom[Id],bom[wgt])</f>
        <v>#N/A</v>
      </c>
      <c r="F633" s="27" t="e">
        <f>packes[[#This Row],[num]]*packes[[#This Row],[wtg]]</f>
        <v>#N/A</v>
      </c>
      <c r="G633" s="357"/>
      <c r="H633" s="21">
        <f>packes[[#This Row],[num]]-SUM(packes[[#This Row],[num2]])</f>
        <v>0</v>
      </c>
      <c r="I633" s="357"/>
      <c r="J633" s="21"/>
      <c r="K633" s="323"/>
      <c r="M633" s="27" t="str">
        <f>_xlfn.XLOOKUP(packes[[#This Row],[productId]],CT[productId],CT[total],"NA")</f>
        <v>NA</v>
      </c>
      <c r="N633" s="20" t="str">
        <f>_xlfn.XLOOKUP(packes[[#This Row],[productId]],bom[Id],bom[ph],"NA")</f>
        <v>NA</v>
      </c>
      <c r="O633" s="20" t="str">
        <f>_xlfn.XLOOKUP(packes[[#This Row],[productId]],bom[Id],bom[erth],"NA")</f>
        <v>NA</v>
      </c>
      <c r="P633" s="20" t="str">
        <f>_xlfn.XLOOKUP(packes[[#This Row],[productId]],bom[Id],bom[dbl],"NA")</f>
        <v>NA</v>
      </c>
      <c r="Q633" s="20" t="str">
        <f>LEFT(packes[[#This Row],[date]],4)</f>
        <v/>
      </c>
    </row>
    <row r="634" spans="1:17" ht="16.5" x14ac:dyDescent="0.25">
      <c r="A634" s="23">
        <v>631</v>
      </c>
      <c r="B634" s="30" t="s">
        <v>240</v>
      </c>
      <c r="C634" s="23">
        <v>140010117</v>
      </c>
      <c r="D634" s="23">
        <v>75</v>
      </c>
      <c r="E634" s="27">
        <f>_xlfn.XLOOKUP(packes[[#This Row],[productId]],bom[Id],bom[wgt])</f>
        <v>1</v>
      </c>
      <c r="F634" s="27">
        <f>packes[[#This Row],[num]]*packes[[#This Row],[wtg]]</f>
        <v>75</v>
      </c>
      <c r="G634" s="357">
        <v>12</v>
      </c>
      <c r="H634" s="21">
        <f>packes[[#This Row],[num]]-SUM(packes[[#This Row],[num2]])</f>
        <v>75</v>
      </c>
      <c r="I634" s="357"/>
      <c r="J634" s="21"/>
      <c r="K634" s="323"/>
      <c r="M634" s="27">
        <f>_xlfn.XLOOKUP(packes[[#This Row],[productId]],CT[productId],CT[total],"NA")</f>
        <v>98.295000000000016</v>
      </c>
      <c r="N634" s="20" t="str">
        <f>_xlfn.XLOOKUP(packes[[#This Row],[productId]],bom[Id],bom[ph],"NA")</f>
        <v>nar.p</v>
      </c>
      <c r="O634" s="20" t="str">
        <f>_xlfn.XLOOKUP(packes[[#This Row],[productId]],bom[Id],bom[erth],"NA")</f>
        <v>-</v>
      </c>
      <c r="P634" s="20" t="str">
        <f>_xlfn.XLOOKUP(packes[[#This Row],[productId]],bom[Id],bom[dbl],"NA")</f>
        <v>nar.p</v>
      </c>
      <c r="Q634" s="20" t="str">
        <f>LEFT(packes[[#This Row],[date]],4)</f>
        <v>1404</v>
      </c>
    </row>
    <row r="635" spans="1:17" ht="16.5" x14ac:dyDescent="0.25">
      <c r="A635" s="23">
        <v>632</v>
      </c>
      <c r="B635" s="30" t="s">
        <v>240</v>
      </c>
      <c r="C635" s="23">
        <v>140010230</v>
      </c>
      <c r="D635" s="23">
        <v>50</v>
      </c>
      <c r="E635" s="27">
        <f>_xlfn.XLOOKUP(packes[[#This Row],[productId]],bom[Id],bom[wgt])</f>
        <v>1.4486680634540554</v>
      </c>
      <c r="F635" s="27">
        <f>packes[[#This Row],[num]]*packes[[#This Row],[wtg]]</f>
        <v>72.433403172702768</v>
      </c>
      <c r="G635" s="357">
        <v>12</v>
      </c>
      <c r="H635" s="21">
        <f>packes[[#This Row],[num]]-SUM(packes[[#This Row],[num2]])</f>
        <v>50</v>
      </c>
      <c r="I635" s="357"/>
      <c r="J635" s="21"/>
      <c r="K635" s="323"/>
      <c r="M635" s="27">
        <f>_xlfn.XLOOKUP(packes[[#This Row],[productId]],CT[productId],CT[total],"NA")</f>
        <v>147.595</v>
      </c>
      <c r="N635" s="20" t="str">
        <f>_xlfn.XLOOKUP(packes[[#This Row],[productId]],bom[Id],bom[ph],"NA")</f>
        <v>nar.p</v>
      </c>
      <c r="O635" s="20" t="str">
        <f>_xlfn.XLOOKUP(packes[[#This Row],[productId]],bom[Id],bom[erth],"NA")</f>
        <v>-</v>
      </c>
      <c r="P635" s="20" t="str">
        <f>_xlfn.XLOOKUP(packes[[#This Row],[productId]],bom[Id],bom[dbl],"NA")</f>
        <v>nar.p</v>
      </c>
      <c r="Q635" s="20" t="str">
        <f>LEFT(packes[[#This Row],[date]],4)</f>
        <v>1404</v>
      </c>
    </row>
    <row r="636" spans="1:17" ht="16.5" x14ac:dyDescent="0.25">
      <c r="A636" s="23">
        <v>633</v>
      </c>
      <c r="B636" s="30" t="s">
        <v>240</v>
      </c>
      <c r="C636" s="23">
        <v>140020181</v>
      </c>
      <c r="D636" s="23">
        <v>50</v>
      </c>
      <c r="E636" s="27">
        <f>_xlfn.XLOOKUP(packes[[#This Row],[productId]],bom[Id],bom[wgt])</f>
        <v>1.2670857028833682</v>
      </c>
      <c r="F636" s="27">
        <f>packes[[#This Row],[num]]*packes[[#This Row],[wtg]]</f>
        <v>63.354285144168408</v>
      </c>
      <c r="G636" s="357">
        <v>12</v>
      </c>
      <c r="H636" s="21">
        <f>packes[[#This Row],[num]]-SUM(packes[[#This Row],[num2]])</f>
        <v>50</v>
      </c>
      <c r="I636" s="357"/>
      <c r="J636" s="21"/>
      <c r="K636" s="323"/>
      <c r="M636" s="27">
        <f>_xlfn.XLOOKUP(packes[[#This Row],[productId]],CT[productId],CT[total],"NA")</f>
        <v>88.929999999999993</v>
      </c>
      <c r="N636" s="20" t="str">
        <f>_xlfn.XLOOKUP(packes[[#This Row],[productId]],bom[Id],bom[ph],"NA")</f>
        <v>VH</v>
      </c>
      <c r="O636" s="20" t="str">
        <f>_xlfn.XLOOKUP(packes[[#This Row],[productId]],bom[Id],bom[erth],"NA")</f>
        <v>nut4</v>
      </c>
      <c r="P636" s="20" t="str">
        <f>_xlfn.XLOOKUP(packes[[#This Row],[productId]],bom[Id],bom[dbl],"NA")</f>
        <v>-</v>
      </c>
      <c r="Q636" s="20" t="str">
        <f>LEFT(packes[[#This Row],[date]],4)</f>
        <v>1404</v>
      </c>
    </row>
    <row r="637" spans="1:17" ht="16.5" x14ac:dyDescent="0.25">
      <c r="A637" s="23">
        <v>634</v>
      </c>
      <c r="B637" s="30" t="s">
        <v>240</v>
      </c>
      <c r="C637" s="23">
        <v>140090143</v>
      </c>
      <c r="D637" s="23">
        <v>1350</v>
      </c>
      <c r="E637" s="27">
        <f>_xlfn.XLOOKUP(packes[[#This Row],[productId]],bom[Id],bom[wgt])</f>
        <v>2.7237354085603114</v>
      </c>
      <c r="F637" s="27">
        <f>packes[[#This Row],[num]]*packes[[#This Row],[wtg]]</f>
        <v>3677.0428015564203</v>
      </c>
      <c r="G637" s="357">
        <v>12</v>
      </c>
      <c r="H637" s="21">
        <f>packes[[#This Row],[num]]-SUM(packes[[#This Row],[num2]])</f>
        <v>1350</v>
      </c>
      <c r="I637" s="357"/>
      <c r="J637" s="21"/>
      <c r="K637" s="323"/>
      <c r="M637" s="27">
        <f>_xlfn.XLOOKUP(packes[[#This Row],[productId]],CT[productId],CT[total],"NA")</f>
        <v>233.215</v>
      </c>
      <c r="N637" s="20" t="str">
        <f>_xlfn.XLOOKUP(packes[[#This Row],[productId]],bom[Id],bom[ph],"NA")</f>
        <v>molex</v>
      </c>
      <c r="O637" s="20" t="str">
        <f>_xlfn.XLOOKUP(packes[[#This Row],[productId]],bom[Id],bom[erth],"NA")</f>
        <v>-</v>
      </c>
      <c r="P637" s="20" t="str">
        <f>_xlfn.XLOOKUP(packes[[#This Row],[productId]],bom[Id],bom[dbl],"NA")</f>
        <v>splice</v>
      </c>
      <c r="Q637" s="20" t="str">
        <f>LEFT(packes[[#This Row],[date]],4)</f>
        <v>1404</v>
      </c>
    </row>
    <row r="638" spans="1:17" ht="16.5" x14ac:dyDescent="0.25">
      <c r="A638" s="23">
        <v>635</v>
      </c>
      <c r="B638" s="30" t="s">
        <v>240</v>
      </c>
      <c r="C638" s="23">
        <v>140310017</v>
      </c>
      <c r="D638" s="23">
        <v>1850</v>
      </c>
      <c r="E638" s="27">
        <f>_xlfn.XLOOKUP(packes[[#This Row],[productId]],bom[Id],bom[wgt])</f>
        <v>5</v>
      </c>
      <c r="F638" s="27">
        <f>packes[[#This Row],[num]]*packes[[#This Row],[wtg]]</f>
        <v>9250</v>
      </c>
      <c r="G638" s="357">
        <v>12</v>
      </c>
      <c r="H638" s="21">
        <f>packes[[#This Row],[num]]-SUM(packes[[#This Row],[num2]])</f>
        <v>1850</v>
      </c>
      <c r="I638" s="357"/>
      <c r="J638" s="21"/>
      <c r="K638" s="323"/>
      <c r="M638" s="27">
        <f>_xlfn.XLOOKUP(packes[[#This Row],[productId]],CT[productId],CT[total],"NA")</f>
        <v>83.63000000000001</v>
      </c>
      <c r="N638" s="20" t="str">
        <f>_xlfn.XLOOKUP(packes[[#This Row],[productId]],bom[Id],bom[ph],"NA")</f>
        <v>hcb</v>
      </c>
      <c r="O638" s="20">
        <f>_xlfn.XLOOKUP(packes[[#This Row],[productId]],bom[Id],bom[erth],"NA")</f>
        <v>0</v>
      </c>
      <c r="P638" s="20" t="str">
        <f>_xlfn.XLOOKUP(packes[[#This Row],[productId]],bom[Id],bom[dbl],"NA")</f>
        <v>splice</v>
      </c>
      <c r="Q638" s="20" t="str">
        <f>LEFT(packes[[#This Row],[date]],4)</f>
        <v>1404</v>
      </c>
    </row>
    <row r="639" spans="1:17" ht="16.5" x14ac:dyDescent="0.25">
      <c r="A639" s="23">
        <v>636</v>
      </c>
      <c r="B639" s="30" t="s">
        <v>240</v>
      </c>
      <c r="C639" s="23">
        <v>140220012</v>
      </c>
      <c r="D639" s="23">
        <v>3900</v>
      </c>
      <c r="E639" s="27">
        <f>_xlfn.XLOOKUP(packes[[#This Row],[productId]],bom[Id],bom[wgt])</f>
        <v>1.9455252918287937</v>
      </c>
      <c r="F639" s="27">
        <f>packes[[#This Row],[num]]*packes[[#This Row],[wtg]]</f>
        <v>7587.5486381322953</v>
      </c>
      <c r="G639" s="357">
        <v>12</v>
      </c>
      <c r="H639" s="21">
        <f>packes[[#This Row],[num]]-SUM(packes[[#This Row],[num2]])</f>
        <v>3900</v>
      </c>
      <c r="I639" s="357"/>
      <c r="J639" s="21"/>
      <c r="K639" s="323"/>
      <c r="M639" s="27">
        <f>_xlfn.XLOOKUP(packes[[#This Row],[productId]],CT[productId],CT[total],"NA")</f>
        <v>192.86500000000001</v>
      </c>
      <c r="N639" s="20" t="str">
        <f>_xlfn.XLOOKUP(packes[[#This Row],[productId]],bom[Id],bom[ph],"NA")</f>
        <v>flag</v>
      </c>
      <c r="O639" s="20" t="str">
        <f>_xlfn.XLOOKUP(packes[[#This Row],[productId]],bom[Id],bom[erth],"NA")</f>
        <v>sun</v>
      </c>
      <c r="P639" s="20" t="str">
        <f>_xlfn.XLOOKUP(packes[[#This Row],[productId]],bom[Id],bom[dbl],"NA")</f>
        <v>-</v>
      </c>
      <c r="Q639" s="20" t="str">
        <f>LEFT(packes[[#This Row],[date]],4)</f>
        <v>1404</v>
      </c>
    </row>
    <row r="640" spans="1:17" ht="16.5" x14ac:dyDescent="0.25">
      <c r="A640" s="23">
        <v>637</v>
      </c>
      <c r="B640" s="30" t="s">
        <v>241</v>
      </c>
      <c r="C640" s="23">
        <v>140030039</v>
      </c>
      <c r="D640" s="23">
        <v>200</v>
      </c>
      <c r="E640" s="27">
        <f>_xlfn.XLOOKUP(packes[[#This Row],[productId]],bom[Id],bom[wgt])</f>
        <v>1.1413748378728923</v>
      </c>
      <c r="F640" s="27">
        <f>packes[[#This Row],[num]]*packes[[#This Row],[wtg]]</f>
        <v>228.27496757457845</v>
      </c>
      <c r="G640" s="357">
        <v>1</v>
      </c>
      <c r="H640" s="21">
        <f>packes[[#This Row],[num]]-SUM(packes[[#This Row],[num2]])</f>
        <v>200</v>
      </c>
      <c r="I640" s="357"/>
      <c r="J640" s="21"/>
      <c r="K640" s="323"/>
      <c r="M640" s="27">
        <f>_xlfn.XLOOKUP(packes[[#This Row],[productId]],CT[productId],CT[total],"NA")</f>
        <v>92.504999999999995</v>
      </c>
      <c r="N640" s="20" t="str">
        <f>_xlfn.XLOOKUP(packes[[#This Row],[productId]],bom[Id],bom[ph],"NA")</f>
        <v>YH</v>
      </c>
      <c r="O640" s="20" t="str">
        <f>_xlfn.XLOOKUP(packes[[#This Row],[productId]],bom[Id],bom[erth],"NA")</f>
        <v>sun</v>
      </c>
      <c r="P640" s="20" t="str">
        <f>_xlfn.XLOOKUP(packes[[#This Row],[productId]],bom[Id],bom[dbl],"NA")</f>
        <v>-</v>
      </c>
      <c r="Q640" s="20" t="str">
        <f>LEFT(packes[[#This Row],[date]],4)</f>
        <v>1404</v>
      </c>
    </row>
    <row r="641" spans="1:17" ht="16.5" x14ac:dyDescent="0.25">
      <c r="A641" s="23">
        <v>638</v>
      </c>
      <c r="B641" s="30" t="s">
        <v>241</v>
      </c>
      <c r="C641" s="23">
        <v>140090143</v>
      </c>
      <c r="D641" s="23">
        <v>3000</v>
      </c>
      <c r="E641" s="27">
        <f>_xlfn.XLOOKUP(packes[[#This Row],[productId]],bom[Id],bom[wgt])</f>
        <v>2.7237354085603114</v>
      </c>
      <c r="F641" s="27">
        <f>packes[[#This Row],[num]]*packes[[#This Row],[wtg]]</f>
        <v>8171.206225680934</v>
      </c>
      <c r="G641" s="357">
        <v>12</v>
      </c>
      <c r="H641" s="21">
        <f>packes[[#This Row],[num]]-SUM(packes[[#This Row],[num2]])</f>
        <v>3000</v>
      </c>
      <c r="I641" s="357"/>
      <c r="J641" s="21"/>
      <c r="K641" s="323"/>
      <c r="M641" s="27">
        <f>_xlfn.XLOOKUP(packes[[#This Row],[productId]],CT[productId],CT[total],"NA")</f>
        <v>233.215</v>
      </c>
      <c r="N641" s="20" t="str">
        <f>_xlfn.XLOOKUP(packes[[#This Row],[productId]],bom[Id],bom[ph],"NA")</f>
        <v>molex</v>
      </c>
      <c r="O641" s="20" t="str">
        <f>_xlfn.XLOOKUP(packes[[#This Row],[productId]],bom[Id],bom[erth],"NA")</f>
        <v>-</v>
      </c>
      <c r="P641" s="20" t="str">
        <f>_xlfn.XLOOKUP(packes[[#This Row],[productId]],bom[Id],bom[dbl],"NA")</f>
        <v>splice</v>
      </c>
      <c r="Q641" s="20" t="str">
        <f>LEFT(packes[[#This Row],[date]],4)</f>
        <v>1404</v>
      </c>
    </row>
    <row r="642" spans="1:17" ht="16.5" x14ac:dyDescent="0.25">
      <c r="A642" s="23">
        <v>639</v>
      </c>
      <c r="B642" s="30" t="s">
        <v>241</v>
      </c>
      <c r="C642" s="23">
        <v>140310007</v>
      </c>
      <c r="D642" s="23">
        <v>92</v>
      </c>
      <c r="E642" s="27">
        <f>_xlfn.XLOOKUP(packes[[#This Row],[productId]],bom[Id],bom[wgt])</f>
        <v>1.1413748378728923</v>
      </c>
      <c r="F642" s="27">
        <f>packes[[#This Row],[num]]*packes[[#This Row],[wtg]]</f>
        <v>105.00648508430609</v>
      </c>
      <c r="G642" s="357">
        <v>12</v>
      </c>
      <c r="H642" s="21">
        <f>packes[[#This Row],[num]]-SUM(packes[[#This Row],[num2]])</f>
        <v>92</v>
      </c>
      <c r="I642" s="357"/>
      <c r="J642" s="21"/>
      <c r="K642" s="323"/>
      <c r="M642" s="27">
        <f>_xlfn.XLOOKUP(packes[[#This Row],[productId]],CT[productId],CT[total],"NA")</f>
        <v>92.484999999999999</v>
      </c>
      <c r="N642" s="20" t="str">
        <f>_xlfn.XLOOKUP(packes[[#This Row],[productId]],bom[Id],bom[ph],"NA")</f>
        <v>-</v>
      </c>
      <c r="O642" s="20" t="str">
        <f>_xlfn.XLOOKUP(packes[[#This Row],[productId]],bom[Id],bom[erth],"NA")</f>
        <v>nut4</v>
      </c>
      <c r="P642" s="20" t="str">
        <f>_xlfn.XLOOKUP(packes[[#This Row],[productId]],bom[Id],bom[dbl],"NA")</f>
        <v>-</v>
      </c>
      <c r="Q642" s="20" t="str">
        <f>LEFT(packes[[#This Row],[date]],4)</f>
        <v>1404</v>
      </c>
    </row>
    <row r="643" spans="1:17" ht="16.5" x14ac:dyDescent="0.25">
      <c r="A643" s="23">
        <v>640</v>
      </c>
      <c r="B643" s="30" t="s">
        <v>241</v>
      </c>
      <c r="C643" s="23">
        <v>140310017</v>
      </c>
      <c r="D643" s="23">
        <v>50</v>
      </c>
      <c r="E643" s="27">
        <f>_xlfn.XLOOKUP(packes[[#This Row],[productId]],bom[Id],bom[wgt])</f>
        <v>5</v>
      </c>
      <c r="F643" s="27">
        <f>packes[[#This Row],[num]]*packes[[#This Row],[wtg]]</f>
        <v>250</v>
      </c>
      <c r="G643" s="357">
        <v>12</v>
      </c>
      <c r="H643" s="21">
        <f>packes[[#This Row],[num]]-SUM(packes[[#This Row],[num2]])</f>
        <v>50</v>
      </c>
      <c r="I643" s="357"/>
      <c r="J643" s="21"/>
      <c r="K643" s="323"/>
      <c r="M643" s="27">
        <f>_xlfn.XLOOKUP(packes[[#This Row],[productId]],CT[productId],CT[total],"NA")</f>
        <v>83.63000000000001</v>
      </c>
      <c r="N643" s="20" t="str">
        <f>_xlfn.XLOOKUP(packes[[#This Row],[productId]],bom[Id],bom[ph],"NA")</f>
        <v>hcb</v>
      </c>
      <c r="O643" s="20">
        <f>_xlfn.XLOOKUP(packes[[#This Row],[productId]],bom[Id],bom[erth],"NA")</f>
        <v>0</v>
      </c>
      <c r="P643" s="20" t="str">
        <f>_xlfn.XLOOKUP(packes[[#This Row],[productId]],bom[Id],bom[dbl],"NA")</f>
        <v>splice</v>
      </c>
      <c r="Q643" s="20" t="str">
        <f>LEFT(packes[[#This Row],[date]],4)</f>
        <v>1404</v>
      </c>
    </row>
    <row r="644" spans="1:17" ht="16.5" x14ac:dyDescent="0.25">
      <c r="A644" s="23">
        <v>641</v>
      </c>
      <c r="B644" s="30" t="s">
        <v>241</v>
      </c>
      <c r="C644" s="23">
        <v>140310031</v>
      </c>
      <c r="D644" s="23">
        <v>36</v>
      </c>
      <c r="E644" s="27">
        <f>_xlfn.XLOOKUP(packes[[#This Row],[productId]],bom[Id],bom[wgt])</f>
        <v>1.9455252918287937</v>
      </c>
      <c r="F644" s="27">
        <f>packes[[#This Row],[num]]*packes[[#This Row],[wtg]]</f>
        <v>70.038910505836569</v>
      </c>
      <c r="G644" s="357">
        <v>12</v>
      </c>
      <c r="H644" s="21">
        <f>packes[[#This Row],[num]]-SUM(packes[[#This Row],[num2]])</f>
        <v>36</v>
      </c>
      <c r="I644" s="357"/>
      <c r="J644" s="21"/>
      <c r="K644" s="323"/>
      <c r="M644" s="27">
        <f>_xlfn.XLOOKUP(packes[[#This Row],[productId]],CT[productId],CT[total],"NA")</f>
        <v>202.96500000000003</v>
      </c>
      <c r="N644" s="20">
        <f>_xlfn.XLOOKUP(packes[[#This Row],[productId]],bom[Id],bom[ph],"NA")</f>
        <v>461</v>
      </c>
      <c r="O644" s="20" t="str">
        <f>_xlfn.XLOOKUP(packes[[#This Row],[productId]],bom[Id],bom[erth],"NA")</f>
        <v>nut4</v>
      </c>
      <c r="P644" s="20" t="str">
        <f>_xlfn.XLOOKUP(packes[[#This Row],[productId]],bom[Id],bom[dbl],"NA")</f>
        <v>-</v>
      </c>
      <c r="Q644" s="20" t="str">
        <f>LEFT(packes[[#This Row],[date]],4)</f>
        <v>1404</v>
      </c>
    </row>
    <row r="645" spans="1:17" ht="16.5" x14ac:dyDescent="0.25">
      <c r="A645" s="23">
        <v>642</v>
      </c>
      <c r="B645" s="30" t="s">
        <v>241</v>
      </c>
      <c r="C645" s="23">
        <v>140220012</v>
      </c>
      <c r="D645" s="23">
        <v>2100</v>
      </c>
      <c r="E645" s="27">
        <f>_xlfn.XLOOKUP(packes[[#This Row],[productId]],bom[Id],bom[wgt])</f>
        <v>1.9455252918287937</v>
      </c>
      <c r="F645" s="27">
        <f>packes[[#This Row],[num]]*packes[[#This Row],[wtg]]</f>
        <v>4085.603112840467</v>
      </c>
      <c r="G645" s="357">
        <v>12</v>
      </c>
      <c r="H645" s="21">
        <f>packes[[#This Row],[num]]-SUM(packes[[#This Row],[num2]])</f>
        <v>2100</v>
      </c>
      <c r="I645" s="357"/>
      <c r="J645" s="21"/>
      <c r="K645" s="323"/>
      <c r="M645" s="27">
        <f>_xlfn.XLOOKUP(packes[[#This Row],[productId]],CT[productId],CT[total],"NA")</f>
        <v>192.86500000000001</v>
      </c>
      <c r="N645" s="20" t="str">
        <f>_xlfn.XLOOKUP(packes[[#This Row],[productId]],bom[Id],bom[ph],"NA")</f>
        <v>flag</v>
      </c>
      <c r="O645" s="20" t="str">
        <f>_xlfn.XLOOKUP(packes[[#This Row],[productId]],bom[Id],bom[erth],"NA")</f>
        <v>sun</v>
      </c>
      <c r="P645" s="20" t="str">
        <f>_xlfn.XLOOKUP(packes[[#This Row],[productId]],bom[Id],bom[dbl],"NA")</f>
        <v>-</v>
      </c>
      <c r="Q645" s="20" t="str">
        <f>LEFT(packes[[#This Row],[date]],4)</f>
        <v>1404</v>
      </c>
    </row>
    <row r="646" spans="1:17" ht="16.5" x14ac:dyDescent="0.25">
      <c r="A646" s="23">
        <v>643</v>
      </c>
      <c r="B646" s="30" t="s">
        <v>241</v>
      </c>
      <c r="C646" s="23">
        <v>140450035</v>
      </c>
      <c r="D646" s="23">
        <v>44</v>
      </c>
      <c r="E646" s="27">
        <f>_xlfn.XLOOKUP(packes[[#This Row],[productId]],bom[Id],bom[wgt])</f>
        <v>1.6761448668063454</v>
      </c>
      <c r="F646" s="27">
        <f>packes[[#This Row],[num]]*packes[[#This Row],[wtg]]</f>
        <v>73.750374139479206</v>
      </c>
      <c r="G646" s="357">
        <v>11</v>
      </c>
      <c r="H646" s="21">
        <f>packes[[#This Row],[num]]-SUM(packes[[#This Row],[num2]])</f>
        <v>44</v>
      </c>
      <c r="I646" s="357"/>
      <c r="J646" s="21"/>
      <c r="K646" s="323"/>
      <c r="M646" s="27" t="str">
        <f>_xlfn.XLOOKUP(packes[[#This Row],[productId]],CT[productId],CT[total],"NA")</f>
        <v>NA</v>
      </c>
      <c r="N646" s="20" t="str">
        <f>_xlfn.XLOOKUP(packes[[#This Row],[productId]],bom[Id],bom[ph],"NA")</f>
        <v>hcb</v>
      </c>
      <c r="O646" s="20" t="str">
        <f>_xlfn.XLOOKUP(packes[[#This Row],[productId]],bom[Id],bom[erth],"NA")</f>
        <v>nut4</v>
      </c>
      <c r="P646" s="20">
        <f>_xlfn.XLOOKUP(packes[[#This Row],[productId]],bom[Id],bom[dbl],"NA")</f>
        <v>0</v>
      </c>
      <c r="Q646" s="20" t="str">
        <f>LEFT(packes[[#This Row],[date]],4)</f>
        <v>1404</v>
      </c>
    </row>
    <row r="647" spans="1:17" ht="16.5" x14ac:dyDescent="0.25">
      <c r="A647" s="23">
        <v>644</v>
      </c>
      <c r="B647" s="30" t="s">
        <v>241</v>
      </c>
      <c r="C647" s="23">
        <v>140550019</v>
      </c>
      <c r="D647" s="23">
        <v>34</v>
      </c>
      <c r="E647" s="27">
        <f>_xlfn.XLOOKUP(packes[[#This Row],[productId]],bom[Id],bom[wgt])</f>
        <v>2.6938042502244834</v>
      </c>
      <c r="F647" s="27">
        <f>packes[[#This Row],[num]]*packes[[#This Row],[wtg]]</f>
        <v>91.589344507632433</v>
      </c>
      <c r="G647" s="357">
        <v>1000</v>
      </c>
      <c r="H647" s="21">
        <f>packes[[#This Row],[num]]-SUM(packes[[#This Row],[num2]])</f>
        <v>34</v>
      </c>
      <c r="I647" s="357"/>
      <c r="J647" s="21"/>
      <c r="K647" s="323"/>
      <c r="M647" s="27">
        <f>_xlfn.XLOOKUP(packes[[#This Row],[productId]],CT[productId],CT[total],"NA")</f>
        <v>211.66499999999999</v>
      </c>
      <c r="N647" s="20" t="str">
        <f>_xlfn.XLOOKUP(packes[[#This Row],[productId]],bom[Id],bom[ph],"NA")</f>
        <v>6.3ch</v>
      </c>
      <c r="O647" s="20" t="str">
        <f>_xlfn.XLOOKUP(packes[[#This Row],[productId]],bom[Id],bom[erth],"NA")</f>
        <v>nut4</v>
      </c>
      <c r="P647" s="20" t="str">
        <f>_xlfn.XLOOKUP(packes[[#This Row],[productId]],bom[Id],bom[dbl],"NA")</f>
        <v>-</v>
      </c>
      <c r="Q647" s="20" t="str">
        <f>LEFT(packes[[#This Row],[date]],4)</f>
        <v>1404</v>
      </c>
    </row>
    <row r="648" spans="1:17" ht="16.5" x14ac:dyDescent="0.25">
      <c r="A648" s="23">
        <v>645</v>
      </c>
      <c r="B648" s="30" t="s">
        <v>236</v>
      </c>
      <c r="C648" s="23">
        <v>140010117</v>
      </c>
      <c r="D648" s="23">
        <v>1275</v>
      </c>
      <c r="E648" s="27">
        <f>_xlfn.XLOOKUP(packes[[#This Row],[productId]],bom[Id],bom[wgt])</f>
        <v>1</v>
      </c>
      <c r="F648" s="27">
        <f>packes[[#This Row],[num]]*packes[[#This Row],[wtg]]</f>
        <v>1275</v>
      </c>
      <c r="G648" s="357">
        <v>1</v>
      </c>
      <c r="H648" s="21">
        <f>packes[[#This Row],[num]]-SUM(packes[[#This Row],[num2]])</f>
        <v>1275</v>
      </c>
      <c r="I648" s="357"/>
      <c r="J648" s="21"/>
      <c r="K648" s="323"/>
      <c r="M648" s="27">
        <f>_xlfn.XLOOKUP(packes[[#This Row],[productId]],CT[productId],CT[total],"NA")</f>
        <v>98.295000000000016</v>
      </c>
      <c r="N648" s="20" t="str">
        <f>_xlfn.XLOOKUP(packes[[#This Row],[productId]],bom[Id],bom[ph],"NA")</f>
        <v>nar.p</v>
      </c>
      <c r="O648" s="20" t="str">
        <f>_xlfn.XLOOKUP(packes[[#This Row],[productId]],bom[Id],bom[erth],"NA")</f>
        <v>-</v>
      </c>
      <c r="P648" s="20" t="str">
        <f>_xlfn.XLOOKUP(packes[[#This Row],[productId]],bom[Id],bom[dbl],"NA")</f>
        <v>nar.p</v>
      </c>
      <c r="Q648" s="20" t="str">
        <f>LEFT(packes[[#This Row],[date]],4)</f>
        <v>1404</v>
      </c>
    </row>
    <row r="649" spans="1:17" ht="16.5" x14ac:dyDescent="0.25">
      <c r="A649" s="23">
        <v>646</v>
      </c>
      <c r="B649" s="30" t="s">
        <v>236</v>
      </c>
      <c r="C649" s="23">
        <v>140010230</v>
      </c>
      <c r="D649" s="23">
        <v>300</v>
      </c>
      <c r="E649" s="27">
        <f>_xlfn.XLOOKUP(packes[[#This Row],[productId]],bom[Id],bom[wgt])</f>
        <v>1.4486680634540554</v>
      </c>
      <c r="F649" s="27">
        <f>packes[[#This Row],[num]]*packes[[#This Row],[wtg]]</f>
        <v>434.60041903621664</v>
      </c>
      <c r="G649" s="357">
        <v>1</v>
      </c>
      <c r="H649" s="21">
        <f>packes[[#This Row],[num]]-SUM(packes[[#This Row],[num2]])</f>
        <v>300</v>
      </c>
      <c r="I649" s="357"/>
      <c r="J649" s="21"/>
      <c r="K649" s="323"/>
      <c r="M649" s="27">
        <f>_xlfn.XLOOKUP(packes[[#This Row],[productId]],CT[productId],CT[total],"NA")</f>
        <v>147.595</v>
      </c>
      <c r="N649" s="20" t="str">
        <f>_xlfn.XLOOKUP(packes[[#This Row],[productId]],bom[Id],bom[ph],"NA")</f>
        <v>nar.p</v>
      </c>
      <c r="O649" s="20" t="str">
        <f>_xlfn.XLOOKUP(packes[[#This Row],[productId]],bom[Id],bom[erth],"NA")</f>
        <v>-</v>
      </c>
      <c r="P649" s="20" t="str">
        <f>_xlfn.XLOOKUP(packes[[#This Row],[productId]],bom[Id],bom[dbl],"NA")</f>
        <v>nar.p</v>
      </c>
      <c r="Q649" s="20" t="str">
        <f>LEFT(packes[[#This Row],[date]],4)</f>
        <v>1404</v>
      </c>
    </row>
    <row r="650" spans="1:17" ht="16.5" x14ac:dyDescent="0.25">
      <c r="A650" s="23">
        <v>647</v>
      </c>
      <c r="B650" s="30" t="s">
        <v>236</v>
      </c>
      <c r="C650" s="23">
        <v>140010255</v>
      </c>
      <c r="D650" s="23">
        <v>500</v>
      </c>
      <c r="E650" s="27">
        <f>_xlfn.XLOOKUP(packes[[#This Row],[productId]],bom[Id],bom[wgt])</f>
        <v>1</v>
      </c>
      <c r="F650" s="27">
        <f>packes[[#This Row],[num]]*packes[[#This Row],[wtg]]</f>
        <v>500</v>
      </c>
      <c r="G650" s="357">
        <v>1</v>
      </c>
      <c r="H650" s="21">
        <f>packes[[#This Row],[num]]-SUM(packes[[#This Row],[num2]])</f>
        <v>500</v>
      </c>
      <c r="I650" s="357"/>
      <c r="J650" s="21"/>
      <c r="K650" s="323"/>
      <c r="M650" s="27">
        <f>_xlfn.XLOOKUP(packes[[#This Row],[productId]],CT[productId],CT[total],"NA")</f>
        <v>95.575000000000003</v>
      </c>
      <c r="N650" s="20" t="str">
        <f>_xlfn.XLOOKUP(packes[[#This Row],[productId]],bom[Id],bom[ph],"NA")</f>
        <v>-</v>
      </c>
      <c r="O650" s="20" t="str">
        <f>_xlfn.XLOOKUP(packes[[#This Row],[productId]],bom[Id],bom[erth],"NA")</f>
        <v>-</v>
      </c>
      <c r="P650" s="20" t="str">
        <f>_xlfn.XLOOKUP(packes[[#This Row],[productId]],bom[Id],bom[dbl],"NA")</f>
        <v>6.3flat</v>
      </c>
      <c r="Q650" s="20" t="str">
        <f>LEFT(packes[[#This Row],[date]],4)</f>
        <v>1404</v>
      </c>
    </row>
    <row r="651" spans="1:17" ht="16.5" x14ac:dyDescent="0.25">
      <c r="A651" s="23">
        <v>648</v>
      </c>
      <c r="B651" s="30" t="s">
        <v>236</v>
      </c>
      <c r="C651" s="23">
        <v>140090143</v>
      </c>
      <c r="D651" s="23">
        <v>1050</v>
      </c>
      <c r="E651" s="27">
        <f>_xlfn.XLOOKUP(packes[[#This Row],[productId]],bom[Id],bom[wgt])</f>
        <v>2.7237354085603114</v>
      </c>
      <c r="F651" s="27">
        <f>packes[[#This Row],[num]]*packes[[#This Row],[wtg]]</f>
        <v>2859.9221789883268</v>
      </c>
      <c r="G651" s="357">
        <v>12</v>
      </c>
      <c r="H651" s="21">
        <f>packes[[#This Row],[num]]-SUM(packes[[#This Row],[num2]])</f>
        <v>1050</v>
      </c>
      <c r="I651" s="357"/>
      <c r="J651" s="21"/>
      <c r="K651" s="323"/>
      <c r="M651" s="27">
        <f>_xlfn.XLOOKUP(packes[[#This Row],[productId]],CT[productId],CT[total],"NA")</f>
        <v>233.215</v>
      </c>
      <c r="N651" s="20" t="str">
        <f>_xlfn.XLOOKUP(packes[[#This Row],[productId]],bom[Id],bom[ph],"NA")</f>
        <v>molex</v>
      </c>
      <c r="O651" s="20" t="str">
        <f>_xlfn.XLOOKUP(packes[[#This Row],[productId]],bom[Id],bom[erth],"NA")</f>
        <v>-</v>
      </c>
      <c r="P651" s="20" t="str">
        <f>_xlfn.XLOOKUP(packes[[#This Row],[productId]],bom[Id],bom[dbl],"NA")</f>
        <v>splice</v>
      </c>
      <c r="Q651" s="20" t="str">
        <f>LEFT(packes[[#This Row],[date]],4)</f>
        <v>1404</v>
      </c>
    </row>
    <row r="652" spans="1:17" ht="16.5" x14ac:dyDescent="0.25">
      <c r="A652" s="23">
        <v>649</v>
      </c>
      <c r="B652" s="30" t="s">
        <v>236</v>
      </c>
      <c r="C652" s="23">
        <v>140220012</v>
      </c>
      <c r="D652" s="23">
        <v>1650</v>
      </c>
      <c r="E652" s="27">
        <f>_xlfn.XLOOKUP(packes[[#This Row],[productId]],bom[Id],bom[wgt])</f>
        <v>1.9455252918287937</v>
      </c>
      <c r="F652" s="27">
        <f>packes[[#This Row],[num]]*packes[[#This Row],[wtg]]</f>
        <v>3210.1167315175098</v>
      </c>
      <c r="G652" s="357">
        <v>12</v>
      </c>
      <c r="H652" s="21">
        <f>packes[[#This Row],[num]]-SUM(packes[[#This Row],[num2]])</f>
        <v>1650</v>
      </c>
      <c r="I652" s="357"/>
      <c r="J652" s="21"/>
      <c r="K652" s="323"/>
      <c r="M652" s="27">
        <f>_xlfn.XLOOKUP(packes[[#This Row],[productId]],CT[productId],CT[total],"NA")</f>
        <v>192.86500000000001</v>
      </c>
      <c r="N652" s="20" t="str">
        <f>_xlfn.XLOOKUP(packes[[#This Row],[productId]],bom[Id],bom[ph],"NA")</f>
        <v>flag</v>
      </c>
      <c r="O652" s="20" t="str">
        <f>_xlfn.XLOOKUP(packes[[#This Row],[productId]],bom[Id],bom[erth],"NA")</f>
        <v>sun</v>
      </c>
      <c r="P652" s="20" t="str">
        <f>_xlfn.XLOOKUP(packes[[#This Row],[productId]],bom[Id],bom[dbl],"NA")</f>
        <v>-</v>
      </c>
      <c r="Q652" s="20" t="str">
        <f>LEFT(packes[[#This Row],[date]],4)</f>
        <v>1404</v>
      </c>
    </row>
    <row r="653" spans="1:17" ht="16.5" x14ac:dyDescent="0.25">
      <c r="A653" s="23">
        <v>650</v>
      </c>
      <c r="B653" s="30" t="s">
        <v>260</v>
      </c>
      <c r="C653" s="23">
        <v>140010117</v>
      </c>
      <c r="D653" s="23">
        <v>2550</v>
      </c>
      <c r="E653" s="27">
        <f>_xlfn.XLOOKUP(packes[[#This Row],[productId]],bom[Id],bom[wgt])</f>
        <v>1</v>
      </c>
      <c r="F653" s="27">
        <f>packes[[#This Row],[num]]*packes[[#This Row],[wtg]]</f>
        <v>2550</v>
      </c>
      <c r="G653" s="357">
        <v>1</v>
      </c>
      <c r="H653" s="21">
        <f>packes[[#This Row],[num]]-SUM(packes[[#This Row],[num2]])</f>
        <v>2550</v>
      </c>
      <c r="I653" s="357"/>
      <c r="J653" s="21"/>
      <c r="K653" s="323"/>
      <c r="M653" s="27">
        <f>_xlfn.XLOOKUP(packes[[#This Row],[productId]],CT[productId],CT[total],"NA")</f>
        <v>98.295000000000016</v>
      </c>
      <c r="N653" s="20" t="str">
        <f>_xlfn.XLOOKUP(packes[[#This Row],[productId]],bom[Id],bom[ph],"NA")</f>
        <v>nar.p</v>
      </c>
      <c r="O653" s="20" t="str">
        <f>_xlfn.XLOOKUP(packes[[#This Row],[productId]],bom[Id],bom[erth],"NA")</f>
        <v>-</v>
      </c>
      <c r="P653" s="20" t="str">
        <f>_xlfn.XLOOKUP(packes[[#This Row],[productId]],bom[Id],bom[dbl],"NA")</f>
        <v>nar.p</v>
      </c>
      <c r="Q653" s="20" t="str">
        <f>LEFT(packes[[#This Row],[date]],4)</f>
        <v>1404</v>
      </c>
    </row>
    <row r="654" spans="1:17" ht="16.5" x14ac:dyDescent="0.25">
      <c r="A654" s="23">
        <v>651</v>
      </c>
      <c r="B654" s="30" t="s">
        <v>260</v>
      </c>
      <c r="C654" s="23">
        <v>140010230</v>
      </c>
      <c r="D654" s="23">
        <v>1150</v>
      </c>
      <c r="E654" s="27">
        <f>_xlfn.XLOOKUP(packes[[#This Row],[productId]],bom[Id],bom[wgt])</f>
        <v>1.4486680634540554</v>
      </c>
      <c r="F654" s="27">
        <f>packes[[#This Row],[num]]*packes[[#This Row],[wtg]]</f>
        <v>1665.9682729721637</v>
      </c>
      <c r="G654" s="357">
        <v>1</v>
      </c>
      <c r="H654" s="21">
        <f>packes[[#This Row],[num]]-SUM(packes[[#This Row],[num2]])</f>
        <v>1150</v>
      </c>
      <c r="I654" s="357"/>
      <c r="J654" s="21"/>
      <c r="K654" s="323"/>
      <c r="M654" s="27">
        <f>_xlfn.XLOOKUP(packes[[#This Row],[productId]],CT[productId],CT[total],"NA")</f>
        <v>147.595</v>
      </c>
      <c r="N654" s="20" t="str">
        <f>_xlfn.XLOOKUP(packes[[#This Row],[productId]],bom[Id],bom[ph],"NA")</f>
        <v>nar.p</v>
      </c>
      <c r="O654" s="20" t="str">
        <f>_xlfn.XLOOKUP(packes[[#This Row],[productId]],bom[Id],bom[erth],"NA")</f>
        <v>-</v>
      </c>
      <c r="P654" s="20" t="str">
        <f>_xlfn.XLOOKUP(packes[[#This Row],[productId]],bom[Id],bom[dbl],"NA")</f>
        <v>nar.p</v>
      </c>
      <c r="Q654" s="20" t="str">
        <f>LEFT(packes[[#This Row],[date]],4)</f>
        <v>1404</v>
      </c>
    </row>
    <row r="655" spans="1:17" ht="16.5" x14ac:dyDescent="0.25">
      <c r="A655" s="23">
        <v>652</v>
      </c>
      <c r="B655" s="30" t="s">
        <v>260</v>
      </c>
      <c r="C655" s="23">
        <v>140030039</v>
      </c>
      <c r="D655" s="23">
        <v>200</v>
      </c>
      <c r="E655" s="27">
        <f>_xlfn.XLOOKUP(packes[[#This Row],[productId]],bom[Id],bom[wgt])</f>
        <v>1.1413748378728923</v>
      </c>
      <c r="F655" s="27">
        <f>packes[[#This Row],[num]]*packes[[#This Row],[wtg]]</f>
        <v>228.27496757457845</v>
      </c>
      <c r="G655" s="357">
        <v>1</v>
      </c>
      <c r="H655" s="21">
        <f>packes[[#This Row],[num]]-SUM(packes[[#This Row],[num2]])</f>
        <v>200</v>
      </c>
      <c r="I655" s="357"/>
      <c r="J655" s="21"/>
      <c r="K655" s="323"/>
      <c r="M655" s="27">
        <f>_xlfn.XLOOKUP(packes[[#This Row],[productId]],CT[productId],CT[total],"NA")</f>
        <v>92.504999999999995</v>
      </c>
      <c r="N655" s="20" t="str">
        <f>_xlfn.XLOOKUP(packes[[#This Row],[productId]],bom[Id],bom[ph],"NA")</f>
        <v>YH</v>
      </c>
      <c r="O655" s="20" t="str">
        <f>_xlfn.XLOOKUP(packes[[#This Row],[productId]],bom[Id],bom[erth],"NA")</f>
        <v>sun</v>
      </c>
      <c r="P655" s="20" t="str">
        <f>_xlfn.XLOOKUP(packes[[#This Row],[productId]],bom[Id],bom[dbl],"NA")</f>
        <v>-</v>
      </c>
      <c r="Q655" s="20" t="str">
        <f>LEFT(packes[[#This Row],[date]],4)</f>
        <v>1404</v>
      </c>
    </row>
    <row r="656" spans="1:17" ht="16.5" x14ac:dyDescent="0.25">
      <c r="A656" s="23">
        <v>653</v>
      </c>
      <c r="B656" s="30" t="s">
        <v>260</v>
      </c>
      <c r="C656" s="23">
        <v>140030040</v>
      </c>
      <c r="D656" s="23">
        <v>300</v>
      </c>
      <c r="E656" s="27">
        <f>_xlfn.XLOOKUP(packes[[#This Row],[productId]],bom[Id],bom[wgt])</f>
        <v>1.1092487279257708</v>
      </c>
      <c r="F656" s="27">
        <f>packes[[#This Row],[num]]*packes[[#This Row],[wtg]]</f>
        <v>332.77461837773126</v>
      </c>
      <c r="G656" s="357" t="s">
        <v>259</v>
      </c>
      <c r="H656" s="21">
        <f>packes[[#This Row],[num]]-SUM(packes[[#This Row],[num2]])</f>
        <v>300</v>
      </c>
      <c r="I656" s="357"/>
      <c r="J656" s="21"/>
      <c r="K656" s="323"/>
      <c r="M656" s="27">
        <f>_xlfn.XLOOKUP(packes[[#This Row],[productId]],CT[productId],CT[total],"NA")</f>
        <v>97.305000000000007</v>
      </c>
      <c r="N656" s="20" t="str">
        <f>_xlfn.XLOOKUP(packes[[#This Row],[productId]],bom[Id],bom[ph],"NA")</f>
        <v>YH</v>
      </c>
      <c r="O656" s="20" t="str">
        <f>_xlfn.XLOOKUP(packes[[#This Row],[productId]],bom[Id],bom[erth],"NA")</f>
        <v>sun</v>
      </c>
      <c r="P656" s="20" t="str">
        <f>_xlfn.XLOOKUP(packes[[#This Row],[productId]],bom[Id],bom[dbl],"NA")</f>
        <v>-</v>
      </c>
      <c r="Q656" s="20" t="str">
        <f>LEFT(packes[[#This Row],[date]],4)</f>
        <v>1404</v>
      </c>
    </row>
    <row r="657" spans="1:17" ht="16.5" x14ac:dyDescent="0.25">
      <c r="A657" s="23">
        <v>654</v>
      </c>
      <c r="B657" s="30" t="s">
        <v>260</v>
      </c>
      <c r="C657" s="23">
        <v>140310016</v>
      </c>
      <c r="D657" s="23">
        <v>250</v>
      </c>
      <c r="E657" s="27">
        <f>_xlfn.XLOOKUP(packes[[#This Row],[productId]],bom[Id],bom[wgt])</f>
        <v>3</v>
      </c>
      <c r="F657" s="27">
        <f>packes[[#This Row],[num]]*packes[[#This Row],[wtg]]</f>
        <v>750</v>
      </c>
      <c r="G657" s="357">
        <v>12</v>
      </c>
      <c r="H657" s="21">
        <f>packes[[#This Row],[num]]-SUM(packes[[#This Row],[num2]])</f>
        <v>250</v>
      </c>
      <c r="I657" s="357"/>
      <c r="J657" s="21"/>
      <c r="K657" s="323"/>
      <c r="M657" s="27">
        <f>_xlfn.XLOOKUP(packes[[#This Row],[productId]],CT[productId],CT[total],"NA")</f>
        <v>84.4</v>
      </c>
      <c r="N657" s="20" t="str">
        <f>_xlfn.XLOOKUP(packes[[#This Row],[productId]],bom[Id],bom[ph],"NA")</f>
        <v>hcb</v>
      </c>
      <c r="O657" s="20">
        <f>_xlfn.XLOOKUP(packes[[#This Row],[productId]],bom[Id],bom[erth],"NA")</f>
        <v>0</v>
      </c>
      <c r="P657" s="20" t="str">
        <f>_xlfn.XLOOKUP(packes[[#This Row],[productId]],bom[Id],bom[dbl],"NA")</f>
        <v>splice</v>
      </c>
      <c r="Q657" s="20" t="str">
        <f>LEFT(packes[[#This Row],[date]],4)</f>
        <v>1404</v>
      </c>
    </row>
    <row r="658" spans="1:17" ht="16.5" x14ac:dyDescent="0.25">
      <c r="A658" s="23">
        <v>655</v>
      </c>
      <c r="B658" s="30" t="s">
        <v>260</v>
      </c>
      <c r="C658" s="23">
        <v>140220012</v>
      </c>
      <c r="D658" s="23">
        <v>400</v>
      </c>
      <c r="E658" s="27">
        <f>_xlfn.XLOOKUP(packes[[#This Row],[productId]],bom[Id],bom[wgt])</f>
        <v>1.9455252918287937</v>
      </c>
      <c r="F658" s="27">
        <f>packes[[#This Row],[num]]*packes[[#This Row],[wtg]]</f>
        <v>778.21011673151747</v>
      </c>
      <c r="G658" s="357">
        <v>12</v>
      </c>
      <c r="H658" s="21">
        <f>packes[[#This Row],[num]]-SUM(packes[[#This Row],[num2]])</f>
        <v>400</v>
      </c>
      <c r="I658" s="357"/>
      <c r="J658" s="21"/>
      <c r="K658" s="323"/>
      <c r="M658" s="27">
        <f>_xlfn.XLOOKUP(packes[[#This Row],[productId]],CT[productId],CT[total],"NA")</f>
        <v>192.86500000000001</v>
      </c>
      <c r="N658" s="20" t="str">
        <f>_xlfn.XLOOKUP(packes[[#This Row],[productId]],bom[Id],bom[ph],"NA")</f>
        <v>flag</v>
      </c>
      <c r="O658" s="20" t="str">
        <f>_xlfn.XLOOKUP(packes[[#This Row],[productId]],bom[Id],bom[erth],"NA")</f>
        <v>sun</v>
      </c>
      <c r="P658" s="20" t="str">
        <f>_xlfn.XLOOKUP(packes[[#This Row],[productId]],bom[Id],bom[dbl],"NA")</f>
        <v>-</v>
      </c>
      <c r="Q658" s="20" t="str">
        <f>LEFT(packes[[#This Row],[date]],4)</f>
        <v>1404</v>
      </c>
    </row>
    <row r="659" spans="1:17" ht="16.5" x14ac:dyDescent="0.25">
      <c r="A659" s="23">
        <v>656</v>
      </c>
      <c r="B659" s="30" t="s">
        <v>231</v>
      </c>
      <c r="C659" s="23">
        <v>140010117</v>
      </c>
      <c r="D659" s="23">
        <v>2325</v>
      </c>
      <c r="E659" s="27">
        <f>_xlfn.XLOOKUP(packes[[#This Row],[productId]],bom[Id],bom[wgt])</f>
        <v>1</v>
      </c>
      <c r="F659" s="27">
        <f>packes[[#This Row],[num]]*packes[[#This Row],[wtg]]</f>
        <v>2325</v>
      </c>
      <c r="G659" s="357">
        <v>1</v>
      </c>
      <c r="H659" s="21">
        <f>packes[[#This Row],[num]]-SUM(packes[[#This Row],[num2]])</f>
        <v>2325</v>
      </c>
      <c r="I659" s="357"/>
      <c r="J659" s="21"/>
      <c r="K659" s="323"/>
      <c r="M659" s="27">
        <f>_xlfn.XLOOKUP(packes[[#This Row],[productId]],CT[productId],CT[total],"NA")</f>
        <v>98.295000000000016</v>
      </c>
      <c r="N659" s="20" t="str">
        <f>_xlfn.XLOOKUP(packes[[#This Row],[productId]],bom[Id],bom[ph],"NA")</f>
        <v>nar.p</v>
      </c>
      <c r="O659" s="20" t="str">
        <f>_xlfn.XLOOKUP(packes[[#This Row],[productId]],bom[Id],bom[erth],"NA")</f>
        <v>-</v>
      </c>
      <c r="P659" s="20" t="str">
        <f>_xlfn.XLOOKUP(packes[[#This Row],[productId]],bom[Id],bom[dbl],"NA")</f>
        <v>nar.p</v>
      </c>
      <c r="Q659" s="20" t="str">
        <f>LEFT(packes[[#This Row],[date]],4)</f>
        <v>1404</v>
      </c>
    </row>
    <row r="660" spans="1:17" ht="16.5" x14ac:dyDescent="0.25">
      <c r="A660" s="23">
        <v>657</v>
      </c>
      <c r="B660" s="30" t="s">
        <v>231</v>
      </c>
      <c r="C660" s="23">
        <v>140010230</v>
      </c>
      <c r="D660" s="23">
        <v>1500</v>
      </c>
      <c r="E660" s="27">
        <f>_xlfn.XLOOKUP(packes[[#This Row],[productId]],bom[Id],bom[wgt])</f>
        <v>1.4486680634540554</v>
      </c>
      <c r="F660" s="27">
        <f>packes[[#This Row],[num]]*packes[[#This Row],[wtg]]</f>
        <v>2173.002095181083</v>
      </c>
      <c r="G660" s="357">
        <v>1</v>
      </c>
      <c r="H660" s="21">
        <f>packes[[#This Row],[num]]-SUM(packes[[#This Row],[num2]])</f>
        <v>1500</v>
      </c>
      <c r="I660" s="357"/>
      <c r="J660" s="21"/>
      <c r="K660" s="323"/>
      <c r="M660" s="27">
        <f>_xlfn.XLOOKUP(packes[[#This Row],[productId]],CT[productId],CT[total],"NA")</f>
        <v>147.595</v>
      </c>
      <c r="N660" s="20" t="str">
        <f>_xlfn.XLOOKUP(packes[[#This Row],[productId]],bom[Id],bom[ph],"NA")</f>
        <v>nar.p</v>
      </c>
      <c r="O660" s="20" t="str">
        <f>_xlfn.XLOOKUP(packes[[#This Row],[productId]],bom[Id],bom[erth],"NA")</f>
        <v>-</v>
      </c>
      <c r="P660" s="20" t="str">
        <f>_xlfn.XLOOKUP(packes[[#This Row],[productId]],bom[Id],bom[dbl],"NA")</f>
        <v>nar.p</v>
      </c>
      <c r="Q660" s="20" t="str">
        <f>LEFT(packes[[#This Row],[date]],4)</f>
        <v>1404</v>
      </c>
    </row>
    <row r="661" spans="1:17" ht="16.5" x14ac:dyDescent="0.25">
      <c r="A661" s="23">
        <v>658</v>
      </c>
      <c r="B661" s="30" t="s">
        <v>231</v>
      </c>
      <c r="C661" s="23">
        <v>140090143</v>
      </c>
      <c r="D661" s="23">
        <v>300</v>
      </c>
      <c r="E661" s="27">
        <f>_xlfn.XLOOKUP(packes[[#This Row],[productId]],bom[Id],bom[wgt])</f>
        <v>2.7237354085603114</v>
      </c>
      <c r="F661" s="27">
        <f>packes[[#This Row],[num]]*packes[[#This Row],[wtg]]</f>
        <v>817.12062256809338</v>
      </c>
      <c r="G661" s="357">
        <v>12</v>
      </c>
      <c r="H661" s="21">
        <f>packes[[#This Row],[num]]-SUM(packes[[#This Row],[num2]])</f>
        <v>300</v>
      </c>
      <c r="I661" s="357"/>
      <c r="J661" s="21"/>
      <c r="K661" s="323"/>
      <c r="M661" s="27">
        <f>_xlfn.XLOOKUP(packes[[#This Row],[productId]],CT[productId],CT[total],"NA")</f>
        <v>233.215</v>
      </c>
      <c r="N661" s="20" t="str">
        <f>_xlfn.XLOOKUP(packes[[#This Row],[productId]],bom[Id],bom[ph],"NA")</f>
        <v>molex</v>
      </c>
      <c r="O661" s="20" t="str">
        <f>_xlfn.XLOOKUP(packes[[#This Row],[productId]],bom[Id],bom[erth],"NA")</f>
        <v>-</v>
      </c>
      <c r="P661" s="20" t="str">
        <f>_xlfn.XLOOKUP(packes[[#This Row],[productId]],bom[Id],bom[dbl],"NA")</f>
        <v>splice</v>
      </c>
      <c r="Q661" s="20" t="str">
        <f>LEFT(packes[[#This Row],[date]],4)</f>
        <v>1404</v>
      </c>
    </row>
    <row r="662" spans="1:17" ht="16.5" x14ac:dyDescent="0.25">
      <c r="A662" s="23">
        <v>659</v>
      </c>
      <c r="B662" s="30" t="s">
        <v>231</v>
      </c>
      <c r="C662" s="23">
        <v>140220012</v>
      </c>
      <c r="D662" s="23">
        <v>700</v>
      </c>
      <c r="E662" s="27">
        <f>_xlfn.XLOOKUP(packes[[#This Row],[productId]],bom[Id],bom[wgt])</f>
        <v>1.9455252918287937</v>
      </c>
      <c r="F662" s="27">
        <f>packes[[#This Row],[num]]*packes[[#This Row],[wtg]]</f>
        <v>1361.8677042801555</v>
      </c>
      <c r="G662" s="357">
        <v>12</v>
      </c>
      <c r="H662" s="21">
        <f>packes[[#This Row],[num]]-SUM(packes[[#This Row],[num2]])</f>
        <v>700</v>
      </c>
      <c r="I662" s="357"/>
      <c r="J662" s="21"/>
      <c r="K662" s="323"/>
      <c r="M662" s="27">
        <f>_xlfn.XLOOKUP(packes[[#This Row],[productId]],CT[productId],CT[total],"NA")</f>
        <v>192.86500000000001</v>
      </c>
      <c r="N662" s="20" t="str">
        <f>_xlfn.XLOOKUP(packes[[#This Row],[productId]],bom[Id],bom[ph],"NA")</f>
        <v>flag</v>
      </c>
      <c r="O662" s="20" t="str">
        <f>_xlfn.XLOOKUP(packes[[#This Row],[productId]],bom[Id],bom[erth],"NA")</f>
        <v>sun</v>
      </c>
      <c r="P662" s="20" t="str">
        <f>_xlfn.XLOOKUP(packes[[#This Row],[productId]],bom[Id],bom[dbl],"NA")</f>
        <v>-</v>
      </c>
      <c r="Q662" s="20" t="str">
        <f>LEFT(packes[[#This Row],[date]],4)</f>
        <v>1404</v>
      </c>
    </row>
    <row r="663" spans="1:17" ht="16.5" x14ac:dyDescent="0.25">
      <c r="A663" s="23">
        <v>660</v>
      </c>
      <c r="B663" s="30" t="s">
        <v>234</v>
      </c>
      <c r="C663" s="23">
        <v>140010117</v>
      </c>
      <c r="D663" s="23">
        <v>1350</v>
      </c>
      <c r="E663" s="27">
        <f>_xlfn.XLOOKUP(packes[[#This Row],[productId]],bom[Id],bom[wgt])</f>
        <v>1</v>
      </c>
      <c r="F663" s="27">
        <f>packes[[#This Row],[num]]*packes[[#This Row],[wtg]]</f>
        <v>1350</v>
      </c>
      <c r="G663" s="357">
        <v>1</v>
      </c>
      <c r="H663" s="21">
        <f>packes[[#This Row],[num]]-SUM(packes[[#This Row],[num2]])</f>
        <v>1350</v>
      </c>
      <c r="I663" s="357"/>
      <c r="J663" s="21"/>
      <c r="K663" s="323"/>
      <c r="M663" s="27">
        <f>_xlfn.XLOOKUP(packes[[#This Row],[productId]],CT[productId],CT[total],"NA")</f>
        <v>98.295000000000016</v>
      </c>
      <c r="N663" s="20" t="str">
        <f>_xlfn.XLOOKUP(packes[[#This Row],[productId]],bom[Id],bom[ph],"NA")</f>
        <v>nar.p</v>
      </c>
      <c r="O663" s="20" t="str">
        <f>_xlfn.XLOOKUP(packes[[#This Row],[productId]],bom[Id],bom[erth],"NA")</f>
        <v>-</v>
      </c>
      <c r="P663" s="20" t="str">
        <f>_xlfn.XLOOKUP(packes[[#This Row],[productId]],bom[Id],bom[dbl],"NA")</f>
        <v>nar.p</v>
      </c>
      <c r="Q663" s="20" t="str">
        <f>LEFT(packes[[#This Row],[date]],4)</f>
        <v>1404</v>
      </c>
    </row>
    <row r="664" spans="1:17" ht="16.5" x14ac:dyDescent="0.25">
      <c r="A664" s="23">
        <v>661</v>
      </c>
      <c r="B664" s="30" t="s">
        <v>234</v>
      </c>
      <c r="C664" s="23">
        <v>140010230</v>
      </c>
      <c r="D664" s="23">
        <v>1600</v>
      </c>
      <c r="E664" s="27">
        <f>_xlfn.XLOOKUP(packes[[#This Row],[productId]],bom[Id],bom[wgt])</f>
        <v>1.4486680634540554</v>
      </c>
      <c r="F664" s="27">
        <f>packes[[#This Row],[num]]*packes[[#This Row],[wtg]]</f>
        <v>2317.8689015264886</v>
      </c>
      <c r="G664" s="357">
        <v>1</v>
      </c>
      <c r="H664" s="21">
        <f>packes[[#This Row],[num]]-SUM(packes[[#This Row],[num2]])</f>
        <v>1600</v>
      </c>
      <c r="I664" s="357"/>
      <c r="J664" s="21"/>
      <c r="K664" s="323"/>
      <c r="M664" s="27">
        <f>_xlfn.XLOOKUP(packes[[#This Row],[productId]],CT[productId],CT[total],"NA")</f>
        <v>147.595</v>
      </c>
      <c r="N664" s="20" t="str">
        <f>_xlfn.XLOOKUP(packes[[#This Row],[productId]],bom[Id],bom[ph],"NA")</f>
        <v>nar.p</v>
      </c>
      <c r="O664" s="20" t="str">
        <f>_xlfn.XLOOKUP(packes[[#This Row],[productId]],bom[Id],bom[erth],"NA")</f>
        <v>-</v>
      </c>
      <c r="P664" s="20" t="str">
        <f>_xlfn.XLOOKUP(packes[[#This Row],[productId]],bom[Id],bom[dbl],"NA")</f>
        <v>nar.p</v>
      </c>
      <c r="Q664" s="20" t="str">
        <f>LEFT(packes[[#This Row],[date]],4)</f>
        <v>1404</v>
      </c>
    </row>
    <row r="665" spans="1:17" ht="16.5" x14ac:dyDescent="0.25">
      <c r="A665" s="23">
        <v>662</v>
      </c>
      <c r="B665" s="30" t="s">
        <v>234</v>
      </c>
      <c r="C665" s="23">
        <v>140030039</v>
      </c>
      <c r="D665" s="23">
        <v>3000</v>
      </c>
      <c r="E665" s="27">
        <f>_xlfn.XLOOKUP(packes[[#This Row],[productId]],bom[Id],bom[wgt])</f>
        <v>1.1413748378728923</v>
      </c>
      <c r="F665" s="27">
        <f>packes[[#This Row],[num]]*packes[[#This Row],[wtg]]</f>
        <v>3424.1245136186767</v>
      </c>
      <c r="G665" s="357">
        <v>1</v>
      </c>
      <c r="H665" s="21">
        <f>packes[[#This Row],[num]]-SUM(packes[[#This Row],[num2]])</f>
        <v>3000</v>
      </c>
      <c r="I665" s="357"/>
      <c r="J665" s="21"/>
      <c r="K665" s="323"/>
      <c r="M665" s="27">
        <f>_xlfn.XLOOKUP(packes[[#This Row],[productId]],CT[productId],CT[total],"NA")</f>
        <v>92.504999999999995</v>
      </c>
      <c r="N665" s="20" t="str">
        <f>_xlfn.XLOOKUP(packes[[#This Row],[productId]],bom[Id],bom[ph],"NA")</f>
        <v>YH</v>
      </c>
      <c r="O665" s="20" t="str">
        <f>_xlfn.XLOOKUP(packes[[#This Row],[productId]],bom[Id],bom[erth],"NA")</f>
        <v>sun</v>
      </c>
      <c r="P665" s="20" t="str">
        <f>_xlfn.XLOOKUP(packes[[#This Row],[productId]],bom[Id],bom[dbl],"NA")</f>
        <v>-</v>
      </c>
      <c r="Q665" s="20" t="str">
        <f>LEFT(packes[[#This Row],[date]],4)</f>
        <v>1404</v>
      </c>
    </row>
    <row r="666" spans="1:17" ht="16.5" x14ac:dyDescent="0.25">
      <c r="A666" s="23">
        <v>663</v>
      </c>
      <c r="B666" s="30" t="s">
        <v>234</v>
      </c>
      <c r="C666" s="23">
        <v>140310017</v>
      </c>
      <c r="D666" s="23">
        <v>18</v>
      </c>
      <c r="E666" s="27">
        <f>_xlfn.XLOOKUP(packes[[#This Row],[productId]],bom[Id],bom[wgt])</f>
        <v>5</v>
      </c>
      <c r="F666" s="27">
        <f>packes[[#This Row],[num]]*packes[[#This Row],[wtg]]</f>
        <v>90</v>
      </c>
      <c r="G666" s="357">
        <v>12</v>
      </c>
      <c r="H666" s="21">
        <f>packes[[#This Row],[num]]-SUM(packes[[#This Row],[num2]])</f>
        <v>18</v>
      </c>
      <c r="I666" s="357"/>
      <c r="J666" s="21"/>
      <c r="K666" s="323"/>
      <c r="M666" s="27">
        <f>_xlfn.XLOOKUP(packes[[#This Row],[productId]],CT[productId],CT[total],"NA")</f>
        <v>83.63000000000001</v>
      </c>
      <c r="N666" s="20" t="str">
        <f>_xlfn.XLOOKUP(packes[[#This Row],[productId]],bom[Id],bom[ph],"NA")</f>
        <v>hcb</v>
      </c>
      <c r="O666" s="20">
        <f>_xlfn.XLOOKUP(packes[[#This Row],[productId]],bom[Id],bom[erth],"NA")</f>
        <v>0</v>
      </c>
      <c r="P666" s="20" t="str">
        <f>_xlfn.XLOOKUP(packes[[#This Row],[productId]],bom[Id],bom[dbl],"NA")</f>
        <v>splice</v>
      </c>
      <c r="Q666" s="20" t="str">
        <f>LEFT(packes[[#This Row],[date]],4)</f>
        <v>1404</v>
      </c>
    </row>
    <row r="667" spans="1:17" ht="16.5" x14ac:dyDescent="0.25">
      <c r="A667" s="23">
        <v>664</v>
      </c>
      <c r="B667" s="30" t="s">
        <v>234</v>
      </c>
      <c r="C667" s="23">
        <v>140010295</v>
      </c>
      <c r="D667" s="23">
        <v>800</v>
      </c>
      <c r="E667" s="27">
        <f>_xlfn.XLOOKUP(packes[[#This Row],[productId]],bom[Id],bom[wgt])</f>
        <v>1.1274069639828395</v>
      </c>
      <c r="F667" s="27">
        <f>packes[[#This Row],[num]]*packes[[#This Row],[wtg]]</f>
        <v>901.92557118627155</v>
      </c>
      <c r="G667" s="357">
        <v>1</v>
      </c>
      <c r="H667" s="21">
        <f>packes[[#This Row],[num]]-SUM(packes[[#This Row],[num2]])</f>
        <v>800</v>
      </c>
      <c r="I667" s="357"/>
      <c r="J667" s="21"/>
      <c r="K667" s="323"/>
      <c r="M667" s="27">
        <f>_xlfn.XLOOKUP(packes[[#This Row],[productId]],CT[productId],CT[total],"NA")</f>
        <v>41.13</v>
      </c>
      <c r="N667" s="20" t="str">
        <f>_xlfn.XLOOKUP(packes[[#This Row],[productId]],bom[Id],bom[ph],"NA")</f>
        <v>VH</v>
      </c>
      <c r="O667" s="20" t="str">
        <f>_xlfn.XLOOKUP(packes[[#This Row],[productId]],bom[Id],bom[erth],"NA")</f>
        <v>-</v>
      </c>
      <c r="P667" s="20" t="str">
        <f>_xlfn.XLOOKUP(packes[[#This Row],[productId]],bom[Id],bom[dbl],"NA")</f>
        <v>-</v>
      </c>
      <c r="Q667" s="20" t="str">
        <f>LEFT(packes[[#This Row],[date]],4)</f>
        <v>1404</v>
      </c>
    </row>
    <row r="668" spans="1:17" ht="16.5" x14ac:dyDescent="0.25">
      <c r="A668" s="23">
        <v>665</v>
      </c>
      <c r="B668" s="30" t="s">
        <v>233</v>
      </c>
      <c r="C668" s="23">
        <v>140010117</v>
      </c>
      <c r="D668" s="23">
        <v>2100</v>
      </c>
      <c r="E668" s="27">
        <f>_xlfn.XLOOKUP(packes[[#This Row],[productId]],bom[Id],bom[wgt])</f>
        <v>1</v>
      </c>
      <c r="F668" s="27">
        <f>packes[[#This Row],[num]]*packes[[#This Row],[wtg]]</f>
        <v>2100</v>
      </c>
      <c r="G668" s="357">
        <v>1</v>
      </c>
      <c r="H668" s="21">
        <f>packes[[#This Row],[num]]-SUM(packes[[#This Row],[num2]])</f>
        <v>2100</v>
      </c>
      <c r="I668" s="357"/>
      <c r="J668" s="21"/>
      <c r="K668" s="323"/>
      <c r="M668" s="27">
        <f>_xlfn.XLOOKUP(packes[[#This Row],[productId]],CT[productId],CT[total],"NA")</f>
        <v>98.295000000000016</v>
      </c>
      <c r="N668" s="20" t="str">
        <f>_xlfn.XLOOKUP(packes[[#This Row],[productId]],bom[Id],bom[ph],"NA")</f>
        <v>nar.p</v>
      </c>
      <c r="O668" s="20" t="str">
        <f>_xlfn.XLOOKUP(packes[[#This Row],[productId]],bom[Id],bom[erth],"NA")</f>
        <v>-</v>
      </c>
      <c r="P668" s="20" t="str">
        <f>_xlfn.XLOOKUP(packes[[#This Row],[productId]],bom[Id],bom[dbl],"NA")</f>
        <v>nar.p</v>
      </c>
      <c r="Q668" s="20" t="str">
        <f>LEFT(packes[[#This Row],[date]],4)</f>
        <v>1404</v>
      </c>
    </row>
    <row r="669" spans="1:17" ht="16.5" x14ac:dyDescent="0.25">
      <c r="A669" s="23">
        <v>666</v>
      </c>
      <c r="B669" s="30" t="s">
        <v>233</v>
      </c>
      <c r="C669" s="23">
        <v>140010230</v>
      </c>
      <c r="D669" s="23">
        <v>200</v>
      </c>
      <c r="E669" s="27">
        <f>_xlfn.XLOOKUP(packes[[#This Row],[productId]],bom[Id],bom[wgt])</f>
        <v>1.4486680634540554</v>
      </c>
      <c r="F669" s="27">
        <f>packes[[#This Row],[num]]*packes[[#This Row],[wtg]]</f>
        <v>289.73361269081107</v>
      </c>
      <c r="G669" s="357">
        <v>1</v>
      </c>
      <c r="H669" s="21">
        <f>packes[[#This Row],[num]]-SUM(packes[[#This Row],[num2]])</f>
        <v>200</v>
      </c>
      <c r="I669" s="357"/>
      <c r="J669" s="21"/>
      <c r="K669" s="323"/>
      <c r="M669" s="27">
        <f>_xlfn.XLOOKUP(packes[[#This Row],[productId]],CT[productId],CT[total],"NA")</f>
        <v>147.595</v>
      </c>
      <c r="N669" s="20" t="str">
        <f>_xlfn.XLOOKUP(packes[[#This Row],[productId]],bom[Id],bom[ph],"NA")</f>
        <v>nar.p</v>
      </c>
      <c r="O669" s="20" t="str">
        <f>_xlfn.XLOOKUP(packes[[#This Row],[productId]],bom[Id],bom[erth],"NA")</f>
        <v>-</v>
      </c>
      <c r="P669" s="20" t="str">
        <f>_xlfn.XLOOKUP(packes[[#This Row],[productId]],bom[Id],bom[dbl],"NA")</f>
        <v>nar.p</v>
      </c>
      <c r="Q669" s="20" t="str">
        <f>LEFT(packes[[#This Row],[date]],4)</f>
        <v>1404</v>
      </c>
    </row>
    <row r="670" spans="1:17" ht="16.5" x14ac:dyDescent="0.25">
      <c r="A670" s="23">
        <v>667</v>
      </c>
      <c r="B670" s="30" t="s">
        <v>233</v>
      </c>
      <c r="C670" s="23">
        <v>140030040</v>
      </c>
      <c r="D670" s="23">
        <v>2900</v>
      </c>
      <c r="E670" s="27">
        <f>_xlfn.XLOOKUP(packes[[#This Row],[productId]],bom[Id],bom[wgt])</f>
        <v>1.1092487279257708</v>
      </c>
      <c r="F670" s="27">
        <f>packes[[#This Row],[num]]*packes[[#This Row],[wtg]]</f>
        <v>3216.8213109847352</v>
      </c>
      <c r="G670" s="357" t="s">
        <v>242</v>
      </c>
      <c r="H670" s="21">
        <f>packes[[#This Row],[num]]-SUM(packes[[#This Row],[num2]])</f>
        <v>2600</v>
      </c>
      <c r="I670" s="357" t="s">
        <v>259</v>
      </c>
      <c r="J670" s="21">
        <v>300</v>
      </c>
      <c r="K670" s="323"/>
      <c r="M670" s="27">
        <f>_xlfn.XLOOKUP(packes[[#This Row],[productId]],CT[productId],CT[total],"NA")</f>
        <v>97.305000000000007</v>
      </c>
      <c r="N670" s="20" t="str">
        <f>_xlfn.XLOOKUP(packes[[#This Row],[productId]],bom[Id],bom[ph],"NA")</f>
        <v>YH</v>
      </c>
      <c r="O670" s="20" t="str">
        <f>_xlfn.XLOOKUP(packes[[#This Row],[productId]],bom[Id],bom[erth],"NA")</f>
        <v>sun</v>
      </c>
      <c r="P670" s="20" t="str">
        <f>_xlfn.XLOOKUP(packes[[#This Row],[productId]],bom[Id],bom[dbl],"NA")</f>
        <v>-</v>
      </c>
      <c r="Q670" s="20" t="str">
        <f>LEFT(packes[[#This Row],[date]],4)</f>
        <v>1404</v>
      </c>
    </row>
    <row r="671" spans="1:17" ht="16.5" x14ac:dyDescent="0.25">
      <c r="A671" s="23">
        <v>668</v>
      </c>
      <c r="B671" s="30" t="s">
        <v>233</v>
      </c>
      <c r="C671" s="23">
        <v>140010295</v>
      </c>
      <c r="D671" s="23">
        <v>2200</v>
      </c>
      <c r="E671" s="27">
        <f>_xlfn.XLOOKUP(packes[[#This Row],[productId]],bom[Id],bom[wgt])</f>
        <v>1.1274069639828395</v>
      </c>
      <c r="F671" s="27">
        <f>packes[[#This Row],[num]]*packes[[#This Row],[wtg]]</f>
        <v>2480.2953207622468</v>
      </c>
      <c r="G671" s="357">
        <v>1</v>
      </c>
      <c r="H671" s="21">
        <f>packes[[#This Row],[num]]-SUM(packes[[#This Row],[num2]])</f>
        <v>2200</v>
      </c>
      <c r="I671" s="357"/>
      <c r="J671" s="21"/>
      <c r="K671" s="323"/>
      <c r="M671" s="27">
        <f>_xlfn.XLOOKUP(packes[[#This Row],[productId]],CT[productId],CT[total],"NA")</f>
        <v>41.13</v>
      </c>
      <c r="N671" s="20" t="str">
        <f>_xlfn.XLOOKUP(packes[[#This Row],[productId]],bom[Id],bom[ph],"NA")</f>
        <v>VH</v>
      </c>
      <c r="O671" s="20" t="str">
        <f>_xlfn.XLOOKUP(packes[[#This Row],[productId]],bom[Id],bom[erth],"NA")</f>
        <v>-</v>
      </c>
      <c r="P671" s="20" t="str">
        <f>_xlfn.XLOOKUP(packes[[#This Row],[productId]],bom[Id],bom[dbl],"NA")</f>
        <v>-</v>
      </c>
      <c r="Q671" s="20" t="str">
        <f>LEFT(packes[[#This Row],[date]],4)</f>
        <v>1404</v>
      </c>
    </row>
    <row r="672" spans="1:17" ht="16.5" x14ac:dyDescent="0.25">
      <c r="A672" s="23">
        <v>669</v>
      </c>
      <c r="B672" s="30" t="s">
        <v>238</v>
      </c>
      <c r="C672" s="23">
        <v>140010117</v>
      </c>
      <c r="D672" s="23">
        <v>1800</v>
      </c>
      <c r="E672" s="27">
        <f>_xlfn.XLOOKUP(packes[[#This Row],[productId]],bom[Id],bom[wgt])</f>
        <v>1</v>
      </c>
      <c r="F672" s="27">
        <f>packes[[#This Row],[num]]*packes[[#This Row],[wtg]]</f>
        <v>1800</v>
      </c>
      <c r="G672" s="357">
        <v>1</v>
      </c>
      <c r="H672" s="21">
        <f>packes[[#This Row],[num]]-SUM(packes[[#This Row],[num2]])</f>
        <v>400</v>
      </c>
      <c r="I672" s="357" t="s">
        <v>242</v>
      </c>
      <c r="J672" s="21">
        <v>1400</v>
      </c>
      <c r="K672" s="323"/>
      <c r="M672" s="27">
        <f>_xlfn.XLOOKUP(packes[[#This Row],[productId]],CT[productId],CT[total],"NA")</f>
        <v>98.295000000000016</v>
      </c>
      <c r="N672" s="20" t="str">
        <f>_xlfn.XLOOKUP(packes[[#This Row],[productId]],bom[Id],bom[ph],"NA")</f>
        <v>nar.p</v>
      </c>
      <c r="O672" s="20" t="str">
        <f>_xlfn.XLOOKUP(packes[[#This Row],[productId]],bom[Id],bom[erth],"NA")</f>
        <v>-</v>
      </c>
      <c r="P672" s="20" t="str">
        <f>_xlfn.XLOOKUP(packes[[#This Row],[productId]],bom[Id],bom[dbl],"NA")</f>
        <v>nar.p</v>
      </c>
      <c r="Q672" s="20" t="str">
        <f>LEFT(packes[[#This Row],[date]],4)</f>
        <v>1404</v>
      </c>
    </row>
    <row r="673" spans="1:17" ht="16.5" x14ac:dyDescent="0.25">
      <c r="A673" s="23">
        <v>670</v>
      </c>
      <c r="B673" s="30" t="s">
        <v>238</v>
      </c>
      <c r="C673" s="23">
        <v>140020181</v>
      </c>
      <c r="D673" s="23">
        <v>1725</v>
      </c>
      <c r="E673" s="27">
        <f>_xlfn.XLOOKUP(packes[[#This Row],[productId]],bom[Id],bom[wgt])</f>
        <v>1.2670857028833682</v>
      </c>
      <c r="F673" s="27">
        <f>packes[[#This Row],[num]]*packes[[#This Row],[wtg]]</f>
        <v>2185.7228374738102</v>
      </c>
      <c r="G673" s="357">
        <v>2</v>
      </c>
      <c r="H673" s="21">
        <f>packes[[#This Row],[num]]-SUM(packes[[#This Row],[num2]])</f>
        <v>1725</v>
      </c>
      <c r="I673" s="357"/>
      <c r="J673" s="21"/>
      <c r="K673" s="323"/>
      <c r="M673" s="27">
        <f>_xlfn.XLOOKUP(packes[[#This Row],[productId]],CT[productId],CT[total],"NA")</f>
        <v>88.929999999999993</v>
      </c>
      <c r="N673" s="20" t="str">
        <f>_xlfn.XLOOKUP(packes[[#This Row],[productId]],bom[Id],bom[ph],"NA")</f>
        <v>VH</v>
      </c>
      <c r="O673" s="20" t="str">
        <f>_xlfn.XLOOKUP(packes[[#This Row],[productId]],bom[Id],bom[erth],"NA")</f>
        <v>nut4</v>
      </c>
      <c r="P673" s="20" t="str">
        <f>_xlfn.XLOOKUP(packes[[#This Row],[productId]],bom[Id],bom[dbl],"NA")</f>
        <v>-</v>
      </c>
      <c r="Q673" s="20" t="str">
        <f>LEFT(packes[[#This Row],[date]],4)</f>
        <v>1404</v>
      </c>
    </row>
    <row r="674" spans="1:17" ht="16.5" x14ac:dyDescent="0.25">
      <c r="A674" s="23">
        <v>671</v>
      </c>
      <c r="B674" s="30" t="s">
        <v>238</v>
      </c>
      <c r="C674" s="23">
        <v>140010279</v>
      </c>
      <c r="D674" s="23">
        <v>1000</v>
      </c>
      <c r="E674" s="27">
        <f>_xlfn.XLOOKUP(packes[[#This Row],[productId]],bom[Id],bom[wgt])</f>
        <v>1.0675446473111843</v>
      </c>
      <c r="F674" s="27">
        <f>packes[[#This Row],[num]]*packes[[#This Row],[wtg]]</f>
        <v>1067.5446473111842</v>
      </c>
      <c r="G674" s="357">
        <v>1</v>
      </c>
      <c r="H674" s="21">
        <f>packes[[#This Row],[num]]-SUM(packes[[#This Row],[num2]])</f>
        <v>1000</v>
      </c>
      <c r="I674" s="357"/>
      <c r="J674" s="21"/>
      <c r="K674" s="323"/>
      <c r="M674" s="27">
        <f>_xlfn.XLOOKUP(packes[[#This Row],[productId]],CT[productId],CT[total],"NA")</f>
        <v>49.44</v>
      </c>
      <c r="N674" s="20" t="str">
        <f>_xlfn.XLOOKUP(packes[[#This Row],[productId]],bom[Id],bom[ph],"NA")</f>
        <v>VH</v>
      </c>
      <c r="O674" s="20" t="str">
        <f>_xlfn.XLOOKUP(packes[[#This Row],[productId]],bom[Id],bom[erth],"NA")</f>
        <v>-</v>
      </c>
      <c r="P674" s="20" t="str">
        <f>_xlfn.XLOOKUP(packes[[#This Row],[productId]],bom[Id],bom[dbl],"NA")</f>
        <v>-</v>
      </c>
      <c r="Q674" s="20" t="str">
        <f>LEFT(packes[[#This Row],[date]],4)</f>
        <v>1404</v>
      </c>
    </row>
    <row r="675" spans="1:17" ht="16.5" x14ac:dyDescent="0.25">
      <c r="A675" s="23">
        <v>672</v>
      </c>
      <c r="B675" s="30" t="s">
        <v>238</v>
      </c>
      <c r="C675" s="23">
        <v>140010295</v>
      </c>
      <c r="D675" s="23">
        <v>1200</v>
      </c>
      <c r="E675" s="27">
        <f>_xlfn.XLOOKUP(packes[[#This Row],[productId]],bom[Id],bom[wgt])</f>
        <v>1.1274069639828395</v>
      </c>
      <c r="F675" s="27">
        <f>packes[[#This Row],[num]]*packes[[#This Row],[wtg]]</f>
        <v>1352.8883567794073</v>
      </c>
      <c r="G675" s="357">
        <v>1</v>
      </c>
      <c r="H675" s="21">
        <f>packes[[#This Row],[num]]-SUM(packes[[#This Row],[num2]])</f>
        <v>1200</v>
      </c>
      <c r="I675" s="357"/>
      <c r="J675" s="21"/>
      <c r="K675" s="323"/>
      <c r="M675" s="27">
        <f>_xlfn.XLOOKUP(packes[[#This Row],[productId]],CT[productId],CT[total],"NA")</f>
        <v>41.13</v>
      </c>
      <c r="N675" s="20" t="str">
        <f>_xlfn.XLOOKUP(packes[[#This Row],[productId]],bom[Id],bom[ph],"NA")</f>
        <v>VH</v>
      </c>
      <c r="O675" s="20" t="str">
        <f>_xlfn.XLOOKUP(packes[[#This Row],[productId]],bom[Id],bom[erth],"NA")</f>
        <v>-</v>
      </c>
      <c r="P675" s="20" t="str">
        <f>_xlfn.XLOOKUP(packes[[#This Row],[productId]],bom[Id],bom[dbl],"NA")</f>
        <v>-</v>
      </c>
      <c r="Q675" s="20" t="str">
        <f>LEFT(packes[[#This Row],[date]],4)</f>
        <v>1404</v>
      </c>
    </row>
    <row r="676" spans="1:17" ht="16.5" x14ac:dyDescent="0.25">
      <c r="A676" s="23">
        <v>673</v>
      </c>
      <c r="B676" s="30" t="s">
        <v>270</v>
      </c>
      <c r="C676" s="23">
        <v>140010117</v>
      </c>
      <c r="D676" s="23">
        <v>300</v>
      </c>
      <c r="E676" s="27">
        <f>_xlfn.XLOOKUP(packes[[#This Row],[productId]],bom[Id],bom[wgt])</f>
        <v>1</v>
      </c>
      <c r="F676" s="27">
        <f>packes[[#This Row],[num]]*packes[[#This Row],[wtg]]</f>
        <v>300</v>
      </c>
      <c r="G676" s="357" t="s">
        <v>242</v>
      </c>
      <c r="H676" s="21">
        <f>packes[[#This Row],[num]]-SUM(packes[[#This Row],[num2]])</f>
        <v>300</v>
      </c>
      <c r="I676" s="357"/>
      <c r="J676" s="21"/>
      <c r="K676" s="323"/>
      <c r="M676" s="27">
        <f>_xlfn.XLOOKUP(packes[[#This Row],[productId]],CT[productId],CT[total],"NA")</f>
        <v>98.295000000000016</v>
      </c>
      <c r="N676" s="20" t="str">
        <f>_xlfn.XLOOKUP(packes[[#This Row],[productId]],bom[Id],bom[ph],"NA")</f>
        <v>nar.p</v>
      </c>
      <c r="O676" s="20" t="str">
        <f>_xlfn.XLOOKUP(packes[[#This Row],[productId]],bom[Id],bom[erth],"NA")</f>
        <v>-</v>
      </c>
      <c r="P676" s="20" t="str">
        <f>_xlfn.XLOOKUP(packes[[#This Row],[productId]],bom[Id],bom[dbl],"NA")</f>
        <v>nar.p</v>
      </c>
      <c r="Q676" s="20" t="str">
        <f>LEFT(packes[[#This Row],[date]],4)</f>
        <v>1404</v>
      </c>
    </row>
    <row r="677" spans="1:17" ht="16.5" x14ac:dyDescent="0.25">
      <c r="A677" s="23">
        <v>674</v>
      </c>
      <c r="B677" s="30" t="s">
        <v>270</v>
      </c>
      <c r="C677" s="23">
        <v>140020181</v>
      </c>
      <c r="D677" s="23">
        <v>4050</v>
      </c>
      <c r="E677" s="27">
        <f>_xlfn.XLOOKUP(packes[[#This Row],[productId]],bom[Id],bom[wgt])</f>
        <v>1.2670857028833682</v>
      </c>
      <c r="F677" s="27">
        <f>packes[[#This Row],[num]]*packes[[#This Row],[wtg]]</f>
        <v>5131.6970966776407</v>
      </c>
      <c r="G677" s="357">
        <v>2</v>
      </c>
      <c r="H677" s="21">
        <f>packes[[#This Row],[num]]-SUM(packes[[#This Row],[num2]])</f>
        <v>4050</v>
      </c>
      <c r="I677" s="357"/>
      <c r="J677" s="21"/>
      <c r="K677" s="323"/>
      <c r="M677" s="27">
        <f>_xlfn.XLOOKUP(packes[[#This Row],[productId]],CT[productId],CT[total],"NA")</f>
        <v>88.929999999999993</v>
      </c>
      <c r="N677" s="20" t="str">
        <f>_xlfn.XLOOKUP(packes[[#This Row],[productId]],bom[Id],bom[ph],"NA")</f>
        <v>VH</v>
      </c>
      <c r="O677" s="20" t="str">
        <f>_xlfn.XLOOKUP(packes[[#This Row],[productId]],bom[Id],bom[erth],"NA")</f>
        <v>nut4</v>
      </c>
      <c r="P677" s="20" t="str">
        <f>_xlfn.XLOOKUP(packes[[#This Row],[productId]],bom[Id],bom[dbl],"NA")</f>
        <v>-</v>
      </c>
      <c r="Q677" s="20" t="str">
        <f>LEFT(packes[[#This Row],[date]],4)</f>
        <v>1404</v>
      </c>
    </row>
    <row r="678" spans="1:17" ht="16.5" x14ac:dyDescent="0.25">
      <c r="A678" s="23">
        <v>675</v>
      </c>
      <c r="B678" s="30" t="s">
        <v>270</v>
      </c>
      <c r="C678" s="23">
        <v>140030039</v>
      </c>
      <c r="D678" s="23">
        <v>2300</v>
      </c>
      <c r="E678" s="27">
        <f>_xlfn.XLOOKUP(packes[[#This Row],[productId]],bom[Id],bom[wgt])</f>
        <v>1.1413748378728923</v>
      </c>
      <c r="F678" s="27">
        <f>packes[[#This Row],[num]]*packes[[#This Row],[wtg]]</f>
        <v>2625.1621271076524</v>
      </c>
      <c r="G678" s="357" t="s">
        <v>242</v>
      </c>
      <c r="H678" s="21">
        <f>packes[[#This Row],[num]]-SUM(packes[[#This Row],[num2]])</f>
        <v>1000</v>
      </c>
      <c r="I678" s="357">
        <v>1</v>
      </c>
      <c r="J678" s="21">
        <v>1300</v>
      </c>
      <c r="K678" s="323"/>
      <c r="M678" s="27">
        <f>_xlfn.XLOOKUP(packes[[#This Row],[productId]],CT[productId],CT[total],"NA")</f>
        <v>92.504999999999995</v>
      </c>
      <c r="N678" s="20" t="str">
        <f>_xlfn.XLOOKUP(packes[[#This Row],[productId]],bom[Id],bom[ph],"NA")</f>
        <v>YH</v>
      </c>
      <c r="O678" s="20" t="str">
        <f>_xlfn.XLOOKUP(packes[[#This Row],[productId]],bom[Id],bom[erth],"NA")</f>
        <v>sun</v>
      </c>
      <c r="P678" s="20" t="str">
        <f>_xlfn.XLOOKUP(packes[[#This Row],[productId]],bom[Id],bom[dbl],"NA")</f>
        <v>-</v>
      </c>
      <c r="Q678" s="20" t="str">
        <f>LEFT(packes[[#This Row],[date]],4)</f>
        <v>1404</v>
      </c>
    </row>
    <row r="679" spans="1:17" ht="16.5" x14ac:dyDescent="0.25">
      <c r="A679" s="23">
        <v>676</v>
      </c>
      <c r="B679" s="30" t="s">
        <v>270</v>
      </c>
      <c r="C679" s="23">
        <v>140010279</v>
      </c>
      <c r="D679" s="23">
        <v>1800</v>
      </c>
      <c r="E679" s="27">
        <f>_xlfn.XLOOKUP(packes[[#This Row],[productId]],bom[Id],bom[wgt])</f>
        <v>1.0675446473111843</v>
      </c>
      <c r="F679" s="27">
        <f>packes[[#This Row],[num]]*packes[[#This Row],[wtg]]</f>
        <v>1921.5803651601316</v>
      </c>
      <c r="G679" s="357">
        <v>1</v>
      </c>
      <c r="H679" s="21">
        <f>packes[[#This Row],[num]]-SUM(packes[[#This Row],[num2]])</f>
        <v>1800</v>
      </c>
      <c r="I679" s="357"/>
      <c r="J679" s="21"/>
      <c r="K679" s="323"/>
      <c r="M679" s="27">
        <f>_xlfn.XLOOKUP(packes[[#This Row],[productId]],CT[productId],CT[total],"NA")</f>
        <v>49.44</v>
      </c>
      <c r="N679" s="20" t="str">
        <f>_xlfn.XLOOKUP(packes[[#This Row],[productId]],bom[Id],bom[ph],"NA")</f>
        <v>VH</v>
      </c>
      <c r="O679" s="20" t="str">
        <f>_xlfn.XLOOKUP(packes[[#This Row],[productId]],bom[Id],bom[erth],"NA")</f>
        <v>-</v>
      </c>
      <c r="P679" s="20" t="str">
        <f>_xlfn.XLOOKUP(packes[[#This Row],[productId]],bom[Id],bom[dbl],"NA")</f>
        <v>-</v>
      </c>
      <c r="Q679" s="20" t="str">
        <f>LEFT(packes[[#This Row],[date]],4)</f>
        <v>1404</v>
      </c>
    </row>
    <row r="680" spans="1:17" ht="16.5" x14ac:dyDescent="0.25">
      <c r="A680" s="23">
        <v>677</v>
      </c>
      <c r="B680" s="30" t="s">
        <v>275</v>
      </c>
      <c r="C680" s="23">
        <v>140010117</v>
      </c>
      <c r="D680" s="23">
        <v>1200</v>
      </c>
      <c r="E680" s="27">
        <f>_xlfn.XLOOKUP(packes[[#This Row],[productId]],bom[Id],bom[wgt])</f>
        <v>1</v>
      </c>
      <c r="F680" s="27">
        <f>packes[[#This Row],[num]]*packes[[#This Row],[wtg]]</f>
        <v>1200</v>
      </c>
      <c r="G680" s="357" t="s">
        <v>242</v>
      </c>
      <c r="H680" s="21">
        <f>packes[[#This Row],[num]]-SUM(packes[[#This Row],[num2]])</f>
        <v>1200</v>
      </c>
      <c r="I680" s="357"/>
      <c r="J680" s="21"/>
      <c r="K680" s="323"/>
      <c r="M680" s="27">
        <f>_xlfn.XLOOKUP(packes[[#This Row],[productId]],CT[productId],CT[total],"NA")</f>
        <v>98.295000000000016</v>
      </c>
      <c r="N680" s="20" t="str">
        <f>_xlfn.XLOOKUP(packes[[#This Row],[productId]],bom[Id],bom[ph],"NA")</f>
        <v>nar.p</v>
      </c>
      <c r="O680" s="20" t="str">
        <f>_xlfn.XLOOKUP(packes[[#This Row],[productId]],bom[Id],bom[erth],"NA")</f>
        <v>-</v>
      </c>
      <c r="P680" s="20" t="str">
        <f>_xlfn.XLOOKUP(packes[[#This Row],[productId]],bom[Id],bom[dbl],"NA")</f>
        <v>nar.p</v>
      </c>
      <c r="Q680" s="20" t="str">
        <f>LEFT(packes[[#This Row],[date]],4)</f>
        <v>1404</v>
      </c>
    </row>
    <row r="681" spans="1:17" ht="16.5" x14ac:dyDescent="0.25">
      <c r="A681" s="23">
        <v>678</v>
      </c>
      <c r="B681" s="30" t="s">
        <v>275</v>
      </c>
      <c r="C681" s="23">
        <v>140010230</v>
      </c>
      <c r="D681" s="23">
        <v>350</v>
      </c>
      <c r="E681" s="27">
        <f>_xlfn.XLOOKUP(packes[[#This Row],[productId]],bom[Id],bom[wgt])</f>
        <v>1.4486680634540554</v>
      </c>
      <c r="F681" s="27">
        <f>packes[[#This Row],[num]]*packes[[#This Row],[wtg]]</f>
        <v>507.03382220891939</v>
      </c>
      <c r="G681" s="357">
        <v>1</v>
      </c>
      <c r="H681" s="21">
        <f>packes[[#This Row],[num]]-SUM(packes[[#This Row],[num2]])</f>
        <v>250</v>
      </c>
      <c r="I681" s="357">
        <v>2</v>
      </c>
      <c r="J681" s="21">
        <v>100</v>
      </c>
      <c r="K681" s="323"/>
      <c r="M681" s="27">
        <f>_xlfn.XLOOKUP(packes[[#This Row],[productId]],CT[productId],CT[total],"NA")</f>
        <v>147.595</v>
      </c>
      <c r="N681" s="20" t="str">
        <f>_xlfn.XLOOKUP(packes[[#This Row],[productId]],bom[Id],bom[ph],"NA")</f>
        <v>nar.p</v>
      </c>
      <c r="O681" s="20" t="str">
        <f>_xlfn.XLOOKUP(packes[[#This Row],[productId]],bom[Id],bom[erth],"NA")</f>
        <v>-</v>
      </c>
      <c r="P681" s="20" t="str">
        <f>_xlfn.XLOOKUP(packes[[#This Row],[productId]],bom[Id],bom[dbl],"NA")</f>
        <v>nar.p</v>
      </c>
      <c r="Q681" s="20" t="str">
        <f>LEFT(packes[[#This Row],[date]],4)</f>
        <v>1404</v>
      </c>
    </row>
    <row r="682" spans="1:17" ht="16.5" x14ac:dyDescent="0.25">
      <c r="A682" s="23">
        <v>679</v>
      </c>
      <c r="B682" s="30" t="s">
        <v>275</v>
      </c>
      <c r="C682" s="23">
        <v>140020181</v>
      </c>
      <c r="D682" s="23">
        <v>2250</v>
      </c>
      <c r="E682" s="27">
        <f>_xlfn.XLOOKUP(packes[[#This Row],[productId]],bom[Id],bom[wgt])</f>
        <v>1.2670857028833682</v>
      </c>
      <c r="F682" s="27">
        <f>packes[[#This Row],[num]]*packes[[#This Row],[wtg]]</f>
        <v>2850.9428314875786</v>
      </c>
      <c r="G682" s="357">
        <v>2</v>
      </c>
      <c r="H682" s="21">
        <f>packes[[#This Row],[num]]-SUM(packes[[#This Row],[num2]])</f>
        <v>2250</v>
      </c>
      <c r="I682" s="357"/>
      <c r="J682" s="21"/>
      <c r="K682" s="323"/>
      <c r="M682" s="27">
        <f>_xlfn.XLOOKUP(packes[[#This Row],[productId]],CT[productId],CT[total],"NA")</f>
        <v>88.929999999999993</v>
      </c>
      <c r="N682" s="20" t="str">
        <f>_xlfn.XLOOKUP(packes[[#This Row],[productId]],bom[Id],bom[ph],"NA")</f>
        <v>VH</v>
      </c>
      <c r="O682" s="20" t="str">
        <f>_xlfn.XLOOKUP(packes[[#This Row],[productId]],bom[Id],bom[erth],"NA")</f>
        <v>nut4</v>
      </c>
      <c r="P682" s="20" t="str">
        <f>_xlfn.XLOOKUP(packes[[#This Row],[productId]],bom[Id],bom[dbl],"NA")</f>
        <v>-</v>
      </c>
      <c r="Q682" s="20" t="str">
        <f>LEFT(packes[[#This Row],[date]],4)</f>
        <v>1404</v>
      </c>
    </row>
    <row r="683" spans="1:17" ht="16.5" x14ac:dyDescent="0.25">
      <c r="A683" s="23">
        <v>680</v>
      </c>
      <c r="B683" s="30" t="s">
        <v>275</v>
      </c>
      <c r="C683" s="23">
        <v>140030039</v>
      </c>
      <c r="D683" s="23">
        <v>2000</v>
      </c>
      <c r="E683" s="27">
        <f>_xlfn.XLOOKUP(packes[[#This Row],[productId]],bom[Id],bom[wgt])</f>
        <v>1.1413748378728923</v>
      </c>
      <c r="F683" s="27">
        <f>packes[[#This Row],[num]]*packes[[#This Row],[wtg]]</f>
        <v>2282.7496757457848</v>
      </c>
      <c r="G683" s="357" t="s">
        <v>242</v>
      </c>
      <c r="H683" s="21">
        <f>packes[[#This Row],[num]]-SUM(packes[[#This Row],[num2]])</f>
        <v>2000</v>
      </c>
      <c r="I683" s="357"/>
      <c r="J683" s="21"/>
      <c r="K683" s="323"/>
      <c r="M683" s="27">
        <f>_xlfn.XLOOKUP(packes[[#This Row],[productId]],CT[productId],CT[total],"NA")</f>
        <v>92.504999999999995</v>
      </c>
      <c r="N683" s="20" t="str">
        <f>_xlfn.XLOOKUP(packes[[#This Row],[productId]],bom[Id],bom[ph],"NA")</f>
        <v>YH</v>
      </c>
      <c r="O683" s="20" t="str">
        <f>_xlfn.XLOOKUP(packes[[#This Row],[productId]],bom[Id],bom[erth],"NA")</f>
        <v>sun</v>
      </c>
      <c r="P683" s="20" t="str">
        <f>_xlfn.XLOOKUP(packes[[#This Row],[productId]],bom[Id],bom[dbl],"NA")</f>
        <v>-</v>
      </c>
      <c r="Q683" s="20" t="str">
        <f>LEFT(packes[[#This Row],[date]],4)</f>
        <v>1404</v>
      </c>
    </row>
    <row r="684" spans="1:17" ht="16.5" x14ac:dyDescent="0.25">
      <c r="A684" s="23">
        <v>681</v>
      </c>
      <c r="B684" s="30" t="s">
        <v>275</v>
      </c>
      <c r="C684" s="23">
        <v>140030040</v>
      </c>
      <c r="D684" s="23">
        <v>1300</v>
      </c>
      <c r="E684" s="27">
        <f>_xlfn.XLOOKUP(packes[[#This Row],[productId]],bom[Id],bom[wgt])</f>
        <v>1.1092487279257708</v>
      </c>
      <c r="F684" s="27">
        <f>packes[[#This Row],[num]]*packes[[#This Row],[wtg]]</f>
        <v>1442.023346303502</v>
      </c>
      <c r="G684" s="357">
        <v>2</v>
      </c>
      <c r="H684" s="21">
        <f>packes[[#This Row],[num]]-SUM(packes[[#This Row],[num2]])</f>
        <v>900</v>
      </c>
      <c r="I684" s="357" t="s">
        <v>242</v>
      </c>
      <c r="J684" s="21">
        <v>400</v>
      </c>
      <c r="K684" s="323"/>
      <c r="M684" s="27">
        <f>_xlfn.XLOOKUP(packes[[#This Row],[productId]],CT[productId],CT[total],"NA")</f>
        <v>97.305000000000007</v>
      </c>
      <c r="N684" s="20" t="str">
        <f>_xlfn.XLOOKUP(packes[[#This Row],[productId]],bom[Id],bom[ph],"NA")</f>
        <v>YH</v>
      </c>
      <c r="O684" s="20" t="str">
        <f>_xlfn.XLOOKUP(packes[[#This Row],[productId]],bom[Id],bom[erth],"NA")</f>
        <v>sun</v>
      </c>
      <c r="P684" s="20" t="str">
        <f>_xlfn.XLOOKUP(packes[[#This Row],[productId]],bom[Id],bom[dbl],"NA")</f>
        <v>-</v>
      </c>
      <c r="Q684" s="20" t="str">
        <f>LEFT(packes[[#This Row],[date]],4)</f>
        <v>1404</v>
      </c>
    </row>
    <row r="685" spans="1:17" ht="16.5" x14ac:dyDescent="0.25">
      <c r="A685" s="23">
        <v>682</v>
      </c>
      <c r="B685" s="30" t="s">
        <v>275</v>
      </c>
      <c r="C685" s="23">
        <v>140010279</v>
      </c>
      <c r="D685" s="23">
        <v>100</v>
      </c>
      <c r="E685" s="27">
        <f>_xlfn.XLOOKUP(packes[[#This Row],[productId]],bom[Id],bom[wgt])</f>
        <v>1.0675446473111843</v>
      </c>
      <c r="F685" s="27">
        <f>packes[[#This Row],[num]]*packes[[#This Row],[wtg]]</f>
        <v>106.75446473111843</v>
      </c>
      <c r="G685" s="357">
        <v>1</v>
      </c>
      <c r="H685" s="21">
        <f>packes[[#This Row],[num]]-SUM(packes[[#This Row],[num2]])</f>
        <v>100</v>
      </c>
      <c r="I685" s="357"/>
      <c r="J685" s="21"/>
      <c r="K685" s="323"/>
      <c r="M685" s="27">
        <f>_xlfn.XLOOKUP(packes[[#This Row],[productId]],CT[productId],CT[total],"NA")</f>
        <v>49.44</v>
      </c>
      <c r="N685" s="20" t="str">
        <f>_xlfn.XLOOKUP(packes[[#This Row],[productId]],bom[Id],bom[ph],"NA")</f>
        <v>VH</v>
      </c>
      <c r="O685" s="20" t="str">
        <f>_xlfn.XLOOKUP(packes[[#This Row],[productId]],bom[Id],bom[erth],"NA")</f>
        <v>-</v>
      </c>
      <c r="P685" s="20" t="str">
        <f>_xlfn.XLOOKUP(packes[[#This Row],[productId]],bom[Id],bom[dbl],"NA")</f>
        <v>-</v>
      </c>
      <c r="Q685" s="20" t="str">
        <f>LEFT(packes[[#This Row],[date]],4)</f>
        <v>1404</v>
      </c>
    </row>
    <row r="686" spans="1:17" ht="16.5" x14ac:dyDescent="0.25">
      <c r="A686" s="23">
        <v>683</v>
      </c>
      <c r="B686" s="30" t="s">
        <v>275</v>
      </c>
      <c r="C686" s="23">
        <v>140010280</v>
      </c>
      <c r="D686" s="23">
        <v>800</v>
      </c>
      <c r="E686" s="27">
        <f>_xlfn.XLOOKUP(packes[[#This Row],[productId]],bom[Id],bom[wgt])</f>
        <v>1.0775217000897934</v>
      </c>
      <c r="F686" s="27">
        <f>packes[[#This Row],[num]]*packes[[#This Row],[wtg]]</f>
        <v>862.01736007183479</v>
      </c>
      <c r="G686" s="357">
        <v>1</v>
      </c>
      <c r="H686" s="21">
        <f>packes[[#This Row],[num]]-SUM(packes[[#This Row],[num2]])</f>
        <v>800</v>
      </c>
      <c r="I686" s="357"/>
      <c r="J686" s="21"/>
      <c r="K686" s="323"/>
      <c r="M686" s="27">
        <f>_xlfn.XLOOKUP(packes[[#This Row],[productId]],CT[productId],CT[total],"NA")</f>
        <v>49.44</v>
      </c>
      <c r="N686" s="20" t="str">
        <f>_xlfn.XLOOKUP(packes[[#This Row],[productId]],bom[Id],bom[ph],"NA")</f>
        <v>VH</v>
      </c>
      <c r="O686" s="20" t="str">
        <f>_xlfn.XLOOKUP(packes[[#This Row],[productId]],bom[Id],bom[erth],"NA")</f>
        <v>-</v>
      </c>
      <c r="P686" s="20" t="str">
        <f>_xlfn.XLOOKUP(packes[[#This Row],[productId]],bom[Id],bom[dbl],"NA")</f>
        <v>-</v>
      </c>
      <c r="Q686" s="20" t="str">
        <f>LEFT(packes[[#This Row],[date]],4)</f>
        <v>1404</v>
      </c>
    </row>
    <row r="687" spans="1:17" ht="16.5" x14ac:dyDescent="0.25">
      <c r="A687" s="23">
        <v>684</v>
      </c>
      <c r="B687" s="30" t="s">
        <v>275</v>
      </c>
      <c r="C687" s="23">
        <v>140010298</v>
      </c>
      <c r="D687" s="23">
        <v>630</v>
      </c>
      <c r="E687" s="27">
        <f>_xlfn.XLOOKUP(packes[[#This Row],[productId]],bom[Id],bom[wgt])</f>
        <v>1.2471315973261499</v>
      </c>
      <c r="F687" s="27">
        <f>packes[[#This Row],[num]]*packes[[#This Row],[wtg]]</f>
        <v>785.69290631547437</v>
      </c>
      <c r="G687" s="357">
        <v>1</v>
      </c>
      <c r="H687" s="21">
        <f>packes[[#This Row],[num]]-SUM(packes[[#This Row],[num2]])</f>
        <v>630</v>
      </c>
      <c r="I687" s="357"/>
      <c r="J687" s="21"/>
      <c r="K687" s="323"/>
      <c r="M687" s="27">
        <f>_xlfn.XLOOKUP(packes[[#This Row],[productId]],CT[productId],CT[total],"NA")</f>
        <v>49.44</v>
      </c>
      <c r="N687" s="20">
        <f>_xlfn.XLOOKUP(packes[[#This Row],[productId]],bom[Id],bom[ph],"NA")</f>
        <v>0</v>
      </c>
      <c r="O687" s="20">
        <f>_xlfn.XLOOKUP(packes[[#This Row],[productId]],bom[Id],bom[erth],"NA")</f>
        <v>0</v>
      </c>
      <c r="P687" s="20">
        <f>_xlfn.XLOOKUP(packes[[#This Row],[productId]],bom[Id],bom[dbl],"NA")</f>
        <v>0</v>
      </c>
      <c r="Q687" s="20" t="str">
        <f>LEFT(packes[[#This Row],[date]],4)</f>
        <v>1404</v>
      </c>
    </row>
    <row r="688" spans="1:17" ht="16.5" x14ac:dyDescent="0.25">
      <c r="A688" s="23">
        <v>685</v>
      </c>
      <c r="B688" s="30" t="s">
        <v>253</v>
      </c>
      <c r="C688" s="23">
        <v>140030039</v>
      </c>
      <c r="D688" s="23">
        <v>1800</v>
      </c>
      <c r="E688" s="27">
        <f>_xlfn.XLOOKUP(packes[[#This Row],[productId]],bom[Id],bom[wgt])</f>
        <v>1.1413748378728923</v>
      </c>
      <c r="F688" s="27">
        <f>packes[[#This Row],[num]]*packes[[#This Row],[wtg]]</f>
        <v>2054.4747081712062</v>
      </c>
      <c r="G688" s="357">
        <v>2</v>
      </c>
      <c r="H688" s="21">
        <f>packes[[#This Row],[num]]-SUM(packes[[#This Row],[num2]])</f>
        <v>1800</v>
      </c>
      <c r="I688" s="357"/>
      <c r="J688" s="21"/>
      <c r="K688" s="323"/>
      <c r="M688" s="27">
        <f>_xlfn.XLOOKUP(packes[[#This Row],[productId]],CT[productId],CT[total],"NA")</f>
        <v>92.504999999999995</v>
      </c>
      <c r="N688" s="20" t="str">
        <f>_xlfn.XLOOKUP(packes[[#This Row],[productId]],bom[Id],bom[ph],"NA")</f>
        <v>YH</v>
      </c>
      <c r="O688" s="20" t="str">
        <f>_xlfn.XLOOKUP(packes[[#This Row],[productId]],bom[Id],bom[erth],"NA")</f>
        <v>sun</v>
      </c>
      <c r="P688" s="20" t="str">
        <f>_xlfn.XLOOKUP(packes[[#This Row],[productId]],bom[Id],bom[dbl],"NA")</f>
        <v>-</v>
      </c>
      <c r="Q688" s="20" t="str">
        <f>LEFT(packes[[#This Row],[date]],4)</f>
        <v>1404</v>
      </c>
    </row>
    <row r="689" spans="1:17" ht="16.5" x14ac:dyDescent="0.25">
      <c r="A689" s="23">
        <v>686</v>
      </c>
      <c r="B689" s="30" t="s">
        <v>253</v>
      </c>
      <c r="C689" s="23">
        <v>140030040</v>
      </c>
      <c r="D689" s="23">
        <v>3500</v>
      </c>
      <c r="E689" s="27">
        <f>_xlfn.XLOOKUP(packes[[#This Row],[productId]],bom[Id],bom[wgt])</f>
        <v>1.1092487279257708</v>
      </c>
      <c r="F689" s="27">
        <f>packes[[#This Row],[num]]*packes[[#This Row],[wtg]]</f>
        <v>3882.3705477401977</v>
      </c>
      <c r="G689" s="357">
        <v>2</v>
      </c>
      <c r="H689" s="21">
        <f>packes[[#This Row],[num]]-SUM(packes[[#This Row],[num2]])</f>
        <v>3500</v>
      </c>
      <c r="I689" s="357"/>
      <c r="J689" s="21"/>
      <c r="K689" s="323"/>
      <c r="M689" s="27">
        <f>_xlfn.XLOOKUP(packes[[#This Row],[productId]],CT[productId],CT[total],"NA")</f>
        <v>97.305000000000007</v>
      </c>
      <c r="N689" s="20" t="str">
        <f>_xlfn.XLOOKUP(packes[[#This Row],[productId]],bom[Id],bom[ph],"NA")</f>
        <v>YH</v>
      </c>
      <c r="O689" s="20" t="str">
        <f>_xlfn.XLOOKUP(packes[[#This Row],[productId]],bom[Id],bom[erth],"NA")</f>
        <v>sun</v>
      </c>
      <c r="P689" s="20" t="str">
        <f>_xlfn.XLOOKUP(packes[[#This Row],[productId]],bom[Id],bom[dbl],"NA")</f>
        <v>-</v>
      </c>
      <c r="Q689" s="20" t="str">
        <f>LEFT(packes[[#This Row],[date]],4)</f>
        <v>1404</v>
      </c>
    </row>
    <row r="690" spans="1:17" ht="16.5" x14ac:dyDescent="0.25">
      <c r="A690" s="23">
        <v>687</v>
      </c>
      <c r="B690" s="30" t="s">
        <v>253</v>
      </c>
      <c r="C690" s="23">
        <v>140010280</v>
      </c>
      <c r="D690" s="23">
        <v>2200</v>
      </c>
      <c r="E690" s="27">
        <f>_xlfn.XLOOKUP(packes[[#This Row],[productId]],bom[Id],bom[wgt])</f>
        <v>1.0775217000897934</v>
      </c>
      <c r="F690" s="27">
        <f>packes[[#This Row],[num]]*packes[[#This Row],[wtg]]</f>
        <v>2370.5477401975454</v>
      </c>
      <c r="G690" s="357">
        <v>1</v>
      </c>
      <c r="H690" s="21">
        <f>packes[[#This Row],[num]]-SUM(packes[[#This Row],[num2]])</f>
        <v>2200</v>
      </c>
      <c r="I690" s="357"/>
      <c r="J690" s="21"/>
      <c r="K690" s="323"/>
      <c r="M690" s="27">
        <f>_xlfn.XLOOKUP(packes[[#This Row],[productId]],CT[productId],CT[total],"NA")</f>
        <v>49.44</v>
      </c>
      <c r="N690" s="20" t="str">
        <f>_xlfn.XLOOKUP(packes[[#This Row],[productId]],bom[Id],bom[ph],"NA")</f>
        <v>VH</v>
      </c>
      <c r="O690" s="20" t="str">
        <f>_xlfn.XLOOKUP(packes[[#This Row],[productId]],bom[Id],bom[erth],"NA")</f>
        <v>-</v>
      </c>
      <c r="P690" s="20" t="str">
        <f>_xlfn.XLOOKUP(packes[[#This Row],[productId]],bom[Id],bom[dbl],"NA")</f>
        <v>-</v>
      </c>
      <c r="Q690" s="20" t="str">
        <f>LEFT(packes[[#This Row],[date]],4)</f>
        <v>1404</v>
      </c>
    </row>
    <row r="691" spans="1:17" ht="16.5" x14ac:dyDescent="0.25">
      <c r="A691" s="23">
        <v>688</v>
      </c>
      <c r="B691" s="30" t="s">
        <v>681</v>
      </c>
      <c r="C691" s="23">
        <v>140030039</v>
      </c>
      <c r="D691" s="23">
        <v>1300</v>
      </c>
      <c r="E691" s="27">
        <f>_xlfn.XLOOKUP(packes[[#This Row],[productId]],bom[Id],bom[wgt])</f>
        <v>1.1413748378728923</v>
      </c>
      <c r="F691" s="27">
        <f>packes[[#This Row],[num]]*packes[[#This Row],[wtg]]</f>
        <v>1483.78728923476</v>
      </c>
      <c r="G691" s="357">
        <v>2</v>
      </c>
      <c r="H691" s="21">
        <f>packes[[#This Row],[num]]-SUM(packes[[#This Row],[num2]])</f>
        <v>1300</v>
      </c>
      <c r="I691" s="357"/>
      <c r="J691" s="21"/>
      <c r="K691" s="323"/>
      <c r="M691" s="27">
        <f>_xlfn.XLOOKUP(packes[[#This Row],[productId]],CT[productId],CT[total],"NA")</f>
        <v>92.504999999999995</v>
      </c>
      <c r="N691" s="20" t="str">
        <f>_xlfn.XLOOKUP(packes[[#This Row],[productId]],bom[Id],bom[ph],"NA")</f>
        <v>YH</v>
      </c>
      <c r="O691" s="20" t="str">
        <f>_xlfn.XLOOKUP(packes[[#This Row],[productId]],bom[Id],bom[erth],"NA")</f>
        <v>sun</v>
      </c>
      <c r="P691" s="20" t="str">
        <f>_xlfn.XLOOKUP(packes[[#This Row],[productId]],bom[Id],bom[dbl],"NA")</f>
        <v>-</v>
      </c>
      <c r="Q691" s="20" t="str">
        <f>LEFT(packes[[#This Row],[date]],4)</f>
        <v>1404</v>
      </c>
    </row>
    <row r="692" spans="1:17" ht="16.5" x14ac:dyDescent="0.25">
      <c r="A692" s="23">
        <v>689</v>
      </c>
      <c r="B692" s="30" t="s">
        <v>681</v>
      </c>
      <c r="C692" s="23">
        <v>140030040</v>
      </c>
      <c r="D692" s="23">
        <v>2200</v>
      </c>
      <c r="E692" s="27">
        <f>_xlfn.XLOOKUP(packes[[#This Row],[productId]],bom[Id],bom[wgt])</f>
        <v>1.1092487279257708</v>
      </c>
      <c r="F692" s="27">
        <f>packes[[#This Row],[num]]*packes[[#This Row],[wtg]]</f>
        <v>2440.3472014366957</v>
      </c>
      <c r="G692" s="357">
        <v>2</v>
      </c>
      <c r="H692" s="21">
        <f>packes[[#This Row],[num]]-SUM(packes[[#This Row],[num2]])</f>
        <v>2200</v>
      </c>
      <c r="I692" s="357"/>
      <c r="J692" s="21"/>
      <c r="K692" s="323"/>
      <c r="M692" s="27">
        <f>_xlfn.XLOOKUP(packes[[#This Row],[productId]],CT[productId],CT[total],"NA")</f>
        <v>97.305000000000007</v>
      </c>
      <c r="N692" s="20" t="str">
        <f>_xlfn.XLOOKUP(packes[[#This Row],[productId]],bom[Id],bom[ph],"NA")</f>
        <v>YH</v>
      </c>
      <c r="O692" s="20" t="str">
        <f>_xlfn.XLOOKUP(packes[[#This Row],[productId]],bom[Id],bom[erth],"NA")</f>
        <v>sun</v>
      </c>
      <c r="P692" s="20" t="str">
        <f>_xlfn.XLOOKUP(packes[[#This Row],[productId]],bom[Id],bom[dbl],"NA")</f>
        <v>-</v>
      </c>
      <c r="Q692" s="20" t="str">
        <f>LEFT(packes[[#This Row],[date]],4)</f>
        <v>1404</v>
      </c>
    </row>
    <row r="693" spans="1:17" ht="16.5" x14ac:dyDescent="0.25">
      <c r="A693" s="23">
        <v>690</v>
      </c>
      <c r="B693" s="30" t="s">
        <v>681</v>
      </c>
      <c r="C693" s="23">
        <v>140010280</v>
      </c>
      <c r="D693" s="23">
        <v>3600</v>
      </c>
      <c r="E693" s="27">
        <f>_xlfn.XLOOKUP(packes[[#This Row],[productId]],bom[Id],bom[wgt])</f>
        <v>1.0775217000897934</v>
      </c>
      <c r="F693" s="27">
        <f>packes[[#This Row],[num]]*packes[[#This Row],[wtg]]</f>
        <v>3879.0781203232564</v>
      </c>
      <c r="G693" s="357">
        <v>1</v>
      </c>
      <c r="H693" s="21">
        <f>packes[[#This Row],[num]]-SUM(packes[[#This Row],[num2]])</f>
        <v>3600</v>
      </c>
      <c r="I693" s="357"/>
      <c r="J693" s="21"/>
      <c r="K693" s="323"/>
      <c r="M693" s="27">
        <f>_xlfn.XLOOKUP(packes[[#This Row],[productId]],CT[productId],CT[total],"NA")</f>
        <v>49.44</v>
      </c>
      <c r="N693" s="20" t="str">
        <f>_xlfn.XLOOKUP(packes[[#This Row],[productId]],bom[Id],bom[ph],"NA")</f>
        <v>VH</v>
      </c>
      <c r="O693" s="20" t="str">
        <f>_xlfn.XLOOKUP(packes[[#This Row],[productId]],bom[Id],bom[erth],"NA")</f>
        <v>-</v>
      </c>
      <c r="P693" s="20" t="str">
        <f>_xlfn.XLOOKUP(packes[[#This Row],[productId]],bom[Id],bom[dbl],"NA")</f>
        <v>-</v>
      </c>
      <c r="Q693" s="20" t="str">
        <f>LEFT(packes[[#This Row],[date]],4)</f>
        <v>1404</v>
      </c>
    </row>
    <row r="694" spans="1:17" ht="16.5" x14ac:dyDescent="0.25">
      <c r="A694" s="23">
        <v>691</v>
      </c>
      <c r="B694" s="30" t="s">
        <v>255</v>
      </c>
      <c r="C694" s="23">
        <v>140020181</v>
      </c>
      <c r="D694" s="23">
        <v>75</v>
      </c>
      <c r="E694" s="27">
        <f>_xlfn.XLOOKUP(packes[[#This Row],[productId]],bom[Id],bom[wgt])</f>
        <v>1.2670857028833682</v>
      </c>
      <c r="F694" s="27">
        <f>packes[[#This Row],[num]]*packes[[#This Row],[wtg]]</f>
        <v>95.031427716252608</v>
      </c>
      <c r="G694" s="357">
        <v>2</v>
      </c>
      <c r="H694" s="21">
        <f>packes[[#This Row],[num]]-SUM(packes[[#This Row],[num2]])</f>
        <v>75</v>
      </c>
      <c r="I694" s="357"/>
      <c r="J694" s="21"/>
      <c r="K694" s="323"/>
      <c r="M694" s="27">
        <f>_xlfn.XLOOKUP(packes[[#This Row],[productId]],CT[productId],CT[total],"NA")</f>
        <v>88.929999999999993</v>
      </c>
      <c r="N694" s="20" t="str">
        <f>_xlfn.XLOOKUP(packes[[#This Row],[productId]],bom[Id],bom[ph],"NA")</f>
        <v>VH</v>
      </c>
      <c r="O694" s="20" t="str">
        <f>_xlfn.XLOOKUP(packes[[#This Row],[productId]],bom[Id],bom[erth],"NA")</f>
        <v>nut4</v>
      </c>
      <c r="P694" s="20" t="str">
        <f>_xlfn.XLOOKUP(packes[[#This Row],[productId]],bom[Id],bom[dbl],"NA")</f>
        <v>-</v>
      </c>
      <c r="Q694" s="20" t="str">
        <f>LEFT(packes[[#This Row],[date]],4)</f>
        <v>1404</v>
      </c>
    </row>
    <row r="695" spans="1:17" ht="16.5" x14ac:dyDescent="0.25">
      <c r="A695" s="23">
        <v>692</v>
      </c>
      <c r="B695" s="30" t="s">
        <v>255</v>
      </c>
      <c r="C695" s="23">
        <v>140030040</v>
      </c>
      <c r="D695" s="23">
        <v>900</v>
      </c>
      <c r="E695" s="27">
        <f>_xlfn.XLOOKUP(packes[[#This Row],[productId]],bom[Id],bom[wgt])</f>
        <v>1.1092487279257708</v>
      </c>
      <c r="F695" s="27">
        <f>packes[[#This Row],[num]]*packes[[#This Row],[wtg]]</f>
        <v>998.32385513319366</v>
      </c>
      <c r="G695" s="357">
        <v>2</v>
      </c>
      <c r="H695" s="21">
        <f>packes[[#This Row],[num]]-SUM(packes[[#This Row],[num2]])</f>
        <v>900</v>
      </c>
      <c r="I695" s="357"/>
      <c r="J695" s="21"/>
      <c r="K695" s="323"/>
      <c r="M695" s="27">
        <f>_xlfn.XLOOKUP(packes[[#This Row],[productId]],CT[productId],CT[total],"NA")</f>
        <v>97.305000000000007</v>
      </c>
      <c r="N695" s="20" t="str">
        <f>_xlfn.XLOOKUP(packes[[#This Row],[productId]],bom[Id],bom[ph],"NA")</f>
        <v>YH</v>
      </c>
      <c r="O695" s="20" t="str">
        <f>_xlfn.XLOOKUP(packes[[#This Row],[productId]],bom[Id],bom[erth],"NA")</f>
        <v>sun</v>
      </c>
      <c r="P695" s="20" t="str">
        <f>_xlfn.XLOOKUP(packes[[#This Row],[productId]],bom[Id],bom[dbl],"NA")</f>
        <v>-</v>
      </c>
      <c r="Q695" s="20" t="str">
        <f>LEFT(packes[[#This Row],[date]],4)</f>
        <v>1404</v>
      </c>
    </row>
    <row r="696" spans="1:17" ht="16.5" x14ac:dyDescent="0.25">
      <c r="A696" s="23">
        <v>693</v>
      </c>
      <c r="B696" s="30" t="s">
        <v>255</v>
      </c>
      <c r="C696" s="23">
        <v>140310096</v>
      </c>
      <c r="D696" s="23">
        <v>1300</v>
      </c>
      <c r="E696" s="27">
        <f>_xlfn.XLOOKUP(packes[[#This Row],[productId]],bom[Id],bom[wgt])</f>
        <v>1.3</v>
      </c>
      <c r="F696" s="27">
        <f>packes[[#This Row],[num]]*packes[[#This Row],[wtg]]</f>
        <v>1690</v>
      </c>
      <c r="G696" s="357">
        <v>2</v>
      </c>
      <c r="H696" s="21">
        <f>packes[[#This Row],[num]]-SUM(packes[[#This Row],[num2]])</f>
        <v>1300</v>
      </c>
      <c r="I696" s="357"/>
      <c r="J696" s="21"/>
      <c r="K696" s="323"/>
      <c r="M696" s="27">
        <f>_xlfn.XLOOKUP(packes[[#This Row],[productId]],CT[productId],CT[total],"NA")</f>
        <v>76.239999999999995</v>
      </c>
      <c r="N696" s="20" t="str">
        <f>_xlfn.XLOOKUP(packes[[#This Row],[productId]],bom[Id],bom[ph],"NA")</f>
        <v>6.3ch</v>
      </c>
      <c r="O696" s="20" t="str">
        <f>_xlfn.XLOOKUP(packes[[#This Row],[productId]],bom[Id],bom[erth],"NA")</f>
        <v>6.3k</v>
      </c>
      <c r="P696" s="20">
        <f>_xlfn.XLOOKUP(packes[[#This Row],[productId]],bom[Id],bom[dbl],"NA")</f>
        <v>0</v>
      </c>
      <c r="Q696" s="20" t="str">
        <f>LEFT(packes[[#This Row],[date]],4)</f>
        <v>1404</v>
      </c>
    </row>
    <row r="697" spans="1:17" ht="16.5" x14ac:dyDescent="0.25">
      <c r="A697" s="23">
        <v>694</v>
      </c>
      <c r="B697" s="30" t="s">
        <v>255</v>
      </c>
      <c r="C697" s="23">
        <v>140220012</v>
      </c>
      <c r="D697" s="23">
        <v>50</v>
      </c>
      <c r="E697" s="27">
        <f>_xlfn.XLOOKUP(packes[[#This Row],[productId]],bom[Id],bom[wgt])</f>
        <v>1.9455252918287937</v>
      </c>
      <c r="F697" s="27">
        <f>packes[[#This Row],[num]]*packes[[#This Row],[wtg]]</f>
        <v>97.276264591439684</v>
      </c>
      <c r="G697" s="357">
        <v>12</v>
      </c>
      <c r="H697" s="21">
        <f>packes[[#This Row],[num]]-SUM(packes[[#This Row],[num2]])</f>
        <v>50</v>
      </c>
      <c r="I697" s="357"/>
      <c r="J697" s="21"/>
      <c r="K697" s="323"/>
      <c r="M697" s="27">
        <f>_xlfn.XLOOKUP(packes[[#This Row],[productId]],CT[productId],CT[total],"NA")</f>
        <v>192.86500000000001</v>
      </c>
      <c r="N697" s="20" t="str">
        <f>_xlfn.XLOOKUP(packes[[#This Row],[productId]],bom[Id],bom[ph],"NA")</f>
        <v>flag</v>
      </c>
      <c r="O697" s="20" t="str">
        <f>_xlfn.XLOOKUP(packes[[#This Row],[productId]],bom[Id],bom[erth],"NA")</f>
        <v>sun</v>
      </c>
      <c r="P697" s="20" t="str">
        <f>_xlfn.XLOOKUP(packes[[#This Row],[productId]],bom[Id],bom[dbl],"NA")</f>
        <v>-</v>
      </c>
      <c r="Q697" s="20" t="str">
        <f>LEFT(packes[[#This Row],[date]],4)</f>
        <v>1404</v>
      </c>
    </row>
    <row r="698" spans="1:17" ht="16.5" x14ac:dyDescent="0.25">
      <c r="A698" s="23">
        <v>695</v>
      </c>
      <c r="B698" s="30" t="s">
        <v>255</v>
      </c>
      <c r="C698" s="23">
        <v>140010279</v>
      </c>
      <c r="D698" s="23">
        <v>1600</v>
      </c>
      <c r="E698" s="27">
        <f>_xlfn.XLOOKUP(packes[[#This Row],[productId]],bom[Id],bom[wgt])</f>
        <v>1.0675446473111843</v>
      </c>
      <c r="F698" s="27">
        <f>packes[[#This Row],[num]]*packes[[#This Row],[wtg]]</f>
        <v>1708.0714356978949</v>
      </c>
      <c r="G698" s="357">
        <v>1</v>
      </c>
      <c r="H698" s="21">
        <f>packes[[#This Row],[num]]-SUM(packes[[#This Row],[num2]])</f>
        <v>1600</v>
      </c>
      <c r="I698" s="357"/>
      <c r="J698" s="21"/>
      <c r="K698" s="323"/>
      <c r="M698" s="27">
        <f>_xlfn.XLOOKUP(packes[[#This Row],[productId]],CT[productId],CT[total],"NA")</f>
        <v>49.44</v>
      </c>
      <c r="N698" s="20" t="str">
        <f>_xlfn.XLOOKUP(packes[[#This Row],[productId]],bom[Id],bom[ph],"NA")</f>
        <v>VH</v>
      </c>
      <c r="O698" s="20" t="str">
        <f>_xlfn.XLOOKUP(packes[[#This Row],[productId]],bom[Id],bom[erth],"NA")</f>
        <v>-</v>
      </c>
      <c r="P698" s="20" t="str">
        <f>_xlfn.XLOOKUP(packes[[#This Row],[productId]],bom[Id],bom[dbl],"NA")</f>
        <v>-</v>
      </c>
      <c r="Q698" s="20" t="str">
        <f>LEFT(packes[[#This Row],[date]],4)</f>
        <v>1404</v>
      </c>
    </row>
    <row r="699" spans="1:17" ht="16.5" x14ac:dyDescent="0.25">
      <c r="A699" s="23">
        <v>696</v>
      </c>
      <c r="B699" s="30" t="s">
        <v>255</v>
      </c>
      <c r="C699" s="23">
        <v>140010280</v>
      </c>
      <c r="D699" s="23">
        <v>1400</v>
      </c>
      <c r="E699" s="27">
        <f>_xlfn.XLOOKUP(packes[[#This Row],[productId]],bom[Id],bom[wgt])</f>
        <v>1.0775217000897934</v>
      </c>
      <c r="F699" s="27">
        <f>packes[[#This Row],[num]]*packes[[#This Row],[wtg]]</f>
        <v>1508.5303801257107</v>
      </c>
      <c r="G699" s="357">
        <v>1</v>
      </c>
      <c r="H699" s="21">
        <f>packes[[#This Row],[num]]-SUM(packes[[#This Row],[num2]])</f>
        <v>1400</v>
      </c>
      <c r="I699" s="357"/>
      <c r="J699" s="21"/>
      <c r="K699" s="323"/>
      <c r="M699" s="27">
        <f>_xlfn.XLOOKUP(packes[[#This Row],[productId]],CT[productId],CT[total],"NA")</f>
        <v>49.44</v>
      </c>
      <c r="N699" s="20" t="str">
        <f>_xlfn.XLOOKUP(packes[[#This Row],[productId]],bom[Id],bom[ph],"NA")</f>
        <v>VH</v>
      </c>
      <c r="O699" s="20" t="str">
        <f>_xlfn.XLOOKUP(packes[[#This Row],[productId]],bom[Id],bom[erth],"NA")</f>
        <v>-</v>
      </c>
      <c r="P699" s="20" t="str">
        <f>_xlfn.XLOOKUP(packes[[#This Row],[productId]],bom[Id],bom[dbl],"NA")</f>
        <v>-</v>
      </c>
      <c r="Q699" s="20" t="str">
        <f>LEFT(packes[[#This Row],[date]],4)</f>
        <v>1404</v>
      </c>
    </row>
    <row r="700" spans="1:17" ht="16.5" x14ac:dyDescent="0.25">
      <c r="A700" s="23">
        <v>697</v>
      </c>
      <c r="B700" s="30" t="s">
        <v>687</v>
      </c>
      <c r="C700" s="23">
        <v>140010117</v>
      </c>
      <c r="D700" s="23">
        <v>1950</v>
      </c>
      <c r="E700" s="27">
        <f>_xlfn.XLOOKUP(packes[[#This Row],[productId]],bom[Id],bom[wgt])</f>
        <v>1</v>
      </c>
      <c r="F700" s="27">
        <f>packes[[#This Row],[num]]*packes[[#This Row],[wtg]]</f>
        <v>1950</v>
      </c>
      <c r="G700" s="357">
        <v>2</v>
      </c>
      <c r="H700" s="21">
        <f>packes[[#This Row],[num]]-SUM(packes[[#This Row],[num2]])</f>
        <v>1850</v>
      </c>
      <c r="I700" s="357" t="s">
        <v>242</v>
      </c>
      <c r="J700" s="21">
        <v>100</v>
      </c>
      <c r="K700" s="323"/>
      <c r="M700" s="27">
        <f>_xlfn.XLOOKUP(packes[[#This Row],[productId]],CT[productId],CT[total],"NA")</f>
        <v>98.295000000000016</v>
      </c>
      <c r="N700" s="20" t="str">
        <f>_xlfn.XLOOKUP(packes[[#This Row],[productId]],bom[Id],bom[ph],"NA")</f>
        <v>nar.p</v>
      </c>
      <c r="O700" s="20" t="str">
        <f>_xlfn.XLOOKUP(packes[[#This Row],[productId]],bom[Id],bom[erth],"NA")</f>
        <v>-</v>
      </c>
      <c r="P700" s="20" t="str">
        <f>_xlfn.XLOOKUP(packes[[#This Row],[productId]],bom[Id],bom[dbl],"NA")</f>
        <v>nar.p</v>
      </c>
      <c r="Q700" s="20" t="str">
        <f>LEFT(packes[[#This Row],[date]],4)</f>
        <v>1404</v>
      </c>
    </row>
    <row r="701" spans="1:17" ht="16.5" x14ac:dyDescent="0.25">
      <c r="A701" s="23">
        <v>698</v>
      </c>
      <c r="B701" s="30" t="s">
        <v>687</v>
      </c>
      <c r="C701" s="23">
        <v>140010230</v>
      </c>
      <c r="D701" s="23">
        <v>300</v>
      </c>
      <c r="E701" s="27">
        <f>_xlfn.XLOOKUP(packes[[#This Row],[productId]],bom[Id],bom[wgt])</f>
        <v>1.4486680634540554</v>
      </c>
      <c r="F701" s="27">
        <f>packes[[#This Row],[num]]*packes[[#This Row],[wtg]]</f>
        <v>434.60041903621664</v>
      </c>
      <c r="G701" s="357">
        <v>2</v>
      </c>
      <c r="H701" s="21">
        <f>packes[[#This Row],[num]]-SUM(packes[[#This Row],[num2]])</f>
        <v>300</v>
      </c>
      <c r="I701" s="357"/>
      <c r="J701" s="21"/>
      <c r="K701" s="323"/>
      <c r="M701" s="27">
        <f>_xlfn.XLOOKUP(packes[[#This Row],[productId]],CT[productId],CT[total],"NA")</f>
        <v>147.595</v>
      </c>
      <c r="N701" s="20" t="str">
        <f>_xlfn.XLOOKUP(packes[[#This Row],[productId]],bom[Id],bom[ph],"NA")</f>
        <v>nar.p</v>
      </c>
      <c r="O701" s="20" t="str">
        <f>_xlfn.XLOOKUP(packes[[#This Row],[productId]],bom[Id],bom[erth],"NA")</f>
        <v>-</v>
      </c>
      <c r="P701" s="20" t="str">
        <f>_xlfn.XLOOKUP(packes[[#This Row],[productId]],bom[Id],bom[dbl],"NA")</f>
        <v>nar.p</v>
      </c>
      <c r="Q701" s="20" t="str">
        <f>LEFT(packes[[#This Row],[date]],4)</f>
        <v>1404</v>
      </c>
    </row>
    <row r="702" spans="1:17" ht="16.5" x14ac:dyDescent="0.25">
      <c r="A702" s="23">
        <v>699</v>
      </c>
      <c r="B702" s="30" t="s">
        <v>687</v>
      </c>
      <c r="C702" s="23">
        <v>140030039</v>
      </c>
      <c r="D702" s="23">
        <v>1500</v>
      </c>
      <c r="E702" s="27">
        <f>_xlfn.XLOOKUP(packes[[#This Row],[productId]],bom[Id],bom[wgt])</f>
        <v>1.1413748378728923</v>
      </c>
      <c r="F702" s="27">
        <f>packes[[#This Row],[num]]*packes[[#This Row],[wtg]]</f>
        <v>1712.0622568093384</v>
      </c>
      <c r="G702" s="357">
        <v>2</v>
      </c>
      <c r="H702" s="21">
        <f>packes[[#This Row],[num]]-SUM(packes[[#This Row],[num2]])</f>
        <v>1500</v>
      </c>
      <c r="I702" s="357"/>
      <c r="J702" s="21"/>
      <c r="K702" s="323"/>
      <c r="M702" s="27">
        <f>_xlfn.XLOOKUP(packes[[#This Row],[productId]],CT[productId],CT[total],"NA")</f>
        <v>92.504999999999995</v>
      </c>
      <c r="N702" s="20" t="str">
        <f>_xlfn.XLOOKUP(packes[[#This Row],[productId]],bom[Id],bom[ph],"NA")</f>
        <v>YH</v>
      </c>
      <c r="O702" s="20" t="str">
        <f>_xlfn.XLOOKUP(packes[[#This Row],[productId]],bom[Id],bom[erth],"NA")</f>
        <v>sun</v>
      </c>
      <c r="P702" s="20" t="str">
        <f>_xlfn.XLOOKUP(packes[[#This Row],[productId]],bom[Id],bom[dbl],"NA")</f>
        <v>-</v>
      </c>
      <c r="Q702" s="20" t="str">
        <f>LEFT(packes[[#This Row],[date]],4)</f>
        <v>1404</v>
      </c>
    </row>
    <row r="703" spans="1:17" ht="16.5" x14ac:dyDescent="0.25">
      <c r="A703" s="23">
        <v>700</v>
      </c>
      <c r="B703" s="30" t="s">
        <v>687</v>
      </c>
      <c r="C703" s="23">
        <v>140310096</v>
      </c>
      <c r="D703" s="23">
        <v>600</v>
      </c>
      <c r="E703" s="27">
        <f>_xlfn.XLOOKUP(packes[[#This Row],[productId]],bom[Id],bom[wgt])</f>
        <v>1.3</v>
      </c>
      <c r="F703" s="27">
        <f>packes[[#This Row],[num]]*packes[[#This Row],[wtg]]</f>
        <v>780</v>
      </c>
      <c r="G703" s="357">
        <v>2</v>
      </c>
      <c r="H703" s="21">
        <f>packes[[#This Row],[num]]-SUM(packes[[#This Row],[num2]])</f>
        <v>600</v>
      </c>
      <c r="I703" s="357"/>
      <c r="J703" s="21"/>
      <c r="K703" s="323"/>
      <c r="M703" s="27">
        <f>_xlfn.XLOOKUP(packes[[#This Row],[productId]],CT[productId],CT[total],"NA")</f>
        <v>76.239999999999995</v>
      </c>
      <c r="N703" s="20" t="str">
        <f>_xlfn.XLOOKUP(packes[[#This Row],[productId]],bom[Id],bom[ph],"NA")</f>
        <v>6.3ch</v>
      </c>
      <c r="O703" s="20" t="str">
        <f>_xlfn.XLOOKUP(packes[[#This Row],[productId]],bom[Id],bom[erth],"NA")</f>
        <v>6.3k</v>
      </c>
      <c r="P703" s="20">
        <f>_xlfn.XLOOKUP(packes[[#This Row],[productId]],bom[Id],bom[dbl],"NA")</f>
        <v>0</v>
      </c>
      <c r="Q703" s="20" t="str">
        <f>LEFT(packes[[#This Row],[date]],4)</f>
        <v>1404</v>
      </c>
    </row>
    <row r="704" spans="1:17" ht="16.5" x14ac:dyDescent="0.25">
      <c r="A704" s="23">
        <v>701</v>
      </c>
      <c r="B704" s="30" t="s">
        <v>687</v>
      </c>
      <c r="C704" s="23">
        <v>140010279</v>
      </c>
      <c r="D704" s="23">
        <v>3600</v>
      </c>
      <c r="E704" s="27">
        <f>_xlfn.XLOOKUP(packes[[#This Row],[productId]],bom[Id],bom[wgt])</f>
        <v>1.0675446473111843</v>
      </c>
      <c r="F704" s="27">
        <f>packes[[#This Row],[num]]*packes[[#This Row],[wtg]]</f>
        <v>3843.1607303202632</v>
      </c>
      <c r="G704" s="357">
        <v>1</v>
      </c>
      <c r="H704" s="21">
        <f>packes[[#This Row],[num]]-SUM(packes[[#This Row],[num2]])</f>
        <v>3600</v>
      </c>
      <c r="I704" s="357"/>
      <c r="J704" s="21"/>
      <c r="K704" s="323"/>
      <c r="M704" s="27">
        <f>_xlfn.XLOOKUP(packes[[#This Row],[productId]],CT[productId],CT[total],"NA")</f>
        <v>49.44</v>
      </c>
      <c r="N704" s="20" t="str">
        <f>_xlfn.XLOOKUP(packes[[#This Row],[productId]],bom[Id],bom[ph],"NA")</f>
        <v>VH</v>
      </c>
      <c r="O704" s="20" t="str">
        <f>_xlfn.XLOOKUP(packes[[#This Row],[productId]],bom[Id],bom[erth],"NA")</f>
        <v>-</v>
      </c>
      <c r="P704" s="20" t="str">
        <f>_xlfn.XLOOKUP(packes[[#This Row],[productId]],bom[Id],bom[dbl],"NA")</f>
        <v>-</v>
      </c>
      <c r="Q704" s="20" t="str">
        <f>LEFT(packes[[#This Row],[date]],4)</f>
        <v>1404</v>
      </c>
    </row>
    <row r="705" spans="1:17" ht="16.5" x14ac:dyDescent="0.25">
      <c r="A705" s="23">
        <v>702</v>
      </c>
      <c r="B705" s="30" t="s">
        <v>687</v>
      </c>
      <c r="C705" s="23">
        <v>140010295</v>
      </c>
      <c r="D705" s="23">
        <v>105</v>
      </c>
      <c r="E705" s="27">
        <f>_xlfn.XLOOKUP(packes[[#This Row],[productId]],bom[Id],bom[wgt])</f>
        <v>1.1274069639828395</v>
      </c>
      <c r="F705" s="27">
        <f>packes[[#This Row],[num]]*packes[[#This Row],[wtg]]</f>
        <v>118.37773121819815</v>
      </c>
      <c r="G705" s="357">
        <v>1</v>
      </c>
      <c r="H705" s="21">
        <f>packes[[#This Row],[num]]-SUM(packes[[#This Row],[num2]])</f>
        <v>105</v>
      </c>
      <c r="I705" s="357"/>
      <c r="J705" s="21"/>
      <c r="K705" s="323"/>
      <c r="M705" s="27">
        <f>_xlfn.XLOOKUP(packes[[#This Row],[productId]],CT[productId],CT[total],"NA")</f>
        <v>41.13</v>
      </c>
      <c r="N705" s="20" t="str">
        <f>_xlfn.XLOOKUP(packes[[#This Row],[productId]],bom[Id],bom[ph],"NA")</f>
        <v>VH</v>
      </c>
      <c r="O705" s="20" t="str">
        <f>_xlfn.XLOOKUP(packes[[#This Row],[productId]],bom[Id],bom[erth],"NA")</f>
        <v>-</v>
      </c>
      <c r="P705" s="20" t="str">
        <f>_xlfn.XLOOKUP(packes[[#This Row],[productId]],bom[Id],bom[dbl],"NA")</f>
        <v>-</v>
      </c>
      <c r="Q705" s="20" t="str">
        <f>LEFT(packes[[#This Row],[date]],4)</f>
        <v>1404</v>
      </c>
    </row>
    <row r="706" spans="1:17" ht="16.5" x14ac:dyDescent="0.25">
      <c r="A706" s="23">
        <v>703</v>
      </c>
      <c r="B706" s="30" t="s">
        <v>708</v>
      </c>
      <c r="C706" s="23">
        <v>140310058</v>
      </c>
      <c r="D706" s="23">
        <v>1300</v>
      </c>
      <c r="E706" s="27">
        <f>_xlfn.XLOOKUP(packes[[#This Row],[productId]],bom[Id],bom[wgt])</f>
        <v>1.3469021251122417</v>
      </c>
      <c r="F706" s="27">
        <f>packes[[#This Row],[num]]*packes[[#This Row],[wtg]]</f>
        <v>1750.9727626459141</v>
      </c>
      <c r="G706" s="357">
        <v>2</v>
      </c>
      <c r="H706" s="21">
        <f>packes[[#This Row],[num]]-SUM(packes[[#This Row],[num2]])</f>
        <v>1300</v>
      </c>
      <c r="I706" s="357"/>
      <c r="J706" s="21"/>
      <c r="K706" s="323"/>
      <c r="M706" s="27">
        <f>_xlfn.XLOOKUP(packes[[#This Row],[productId]],CT[productId],CT[total],"NA")</f>
        <v>147.595</v>
      </c>
      <c r="N706" s="20" t="str">
        <f>_xlfn.XLOOKUP(packes[[#This Row],[productId]],bom[Id],bom[ph],"NA")</f>
        <v>nar.p</v>
      </c>
      <c r="O706" s="20" t="str">
        <f>_xlfn.XLOOKUP(packes[[#This Row],[productId]],bom[Id],bom[erth],"NA")</f>
        <v>nar.p</v>
      </c>
      <c r="P706" s="20" t="str">
        <f>_xlfn.XLOOKUP(packes[[#This Row],[productId]],bom[Id],bom[dbl],"NA")</f>
        <v>nar.p</v>
      </c>
      <c r="Q706" s="20" t="str">
        <f>LEFT(packes[[#This Row],[date]],4)</f>
        <v>1404</v>
      </c>
    </row>
    <row r="707" spans="1:17" ht="16.5" x14ac:dyDescent="0.25">
      <c r="A707" s="23">
        <v>704</v>
      </c>
      <c r="B707" s="30" t="s">
        <v>280</v>
      </c>
      <c r="C707" s="23">
        <v>140010117</v>
      </c>
      <c r="D707" s="23">
        <v>1800</v>
      </c>
      <c r="E707" s="27">
        <f>_xlfn.XLOOKUP(packes[[#This Row],[productId]],bom[Id],bom[wgt])</f>
        <v>1</v>
      </c>
      <c r="F707" s="27">
        <f>packes[[#This Row],[num]]*packes[[#This Row],[wtg]]</f>
        <v>1800</v>
      </c>
      <c r="G707" s="357">
        <v>2</v>
      </c>
      <c r="H707" s="21">
        <f>packes[[#This Row],[num]]-SUM(packes[[#This Row],[num2]])</f>
        <v>1800</v>
      </c>
      <c r="I707" s="357"/>
      <c r="J707" s="21"/>
      <c r="K707" s="323"/>
      <c r="M707" s="27">
        <f>_xlfn.XLOOKUP(packes[[#This Row],[productId]],CT[productId],CT[total],"NA")</f>
        <v>98.295000000000016</v>
      </c>
      <c r="N707" s="20" t="str">
        <f>_xlfn.XLOOKUP(packes[[#This Row],[productId]],bom[Id],bom[ph],"NA")</f>
        <v>nar.p</v>
      </c>
      <c r="O707" s="20" t="str">
        <f>_xlfn.XLOOKUP(packes[[#This Row],[productId]],bom[Id],bom[erth],"NA")</f>
        <v>-</v>
      </c>
      <c r="P707" s="20" t="str">
        <f>_xlfn.XLOOKUP(packes[[#This Row],[productId]],bom[Id],bom[dbl],"NA")</f>
        <v>nar.p</v>
      </c>
      <c r="Q707" s="20" t="str">
        <f>LEFT(packes[[#This Row],[date]],4)</f>
        <v>1404</v>
      </c>
    </row>
    <row r="708" spans="1:17" ht="16.5" x14ac:dyDescent="0.25">
      <c r="A708" s="23">
        <v>705</v>
      </c>
      <c r="B708" s="30" t="s">
        <v>280</v>
      </c>
      <c r="C708" s="23">
        <v>140010230</v>
      </c>
      <c r="D708" s="23">
        <v>2850</v>
      </c>
      <c r="E708" s="27">
        <f>_xlfn.XLOOKUP(packes[[#This Row],[productId]],bom[Id],bom[wgt])</f>
        <v>1.4486680634540554</v>
      </c>
      <c r="F708" s="27">
        <f>packes[[#This Row],[num]]*packes[[#This Row],[wtg]]</f>
        <v>4128.7039808440577</v>
      </c>
      <c r="G708" s="357">
        <v>2</v>
      </c>
      <c r="H708" s="21">
        <f>packes[[#This Row],[num]]-SUM(packes[[#This Row],[num2]])</f>
        <v>2850</v>
      </c>
      <c r="I708" s="357"/>
      <c r="J708" s="21"/>
      <c r="K708" s="323"/>
      <c r="M708" s="27">
        <f>_xlfn.XLOOKUP(packes[[#This Row],[productId]],CT[productId],CT[total],"NA")</f>
        <v>147.595</v>
      </c>
      <c r="N708" s="20" t="str">
        <f>_xlfn.XLOOKUP(packes[[#This Row],[productId]],bom[Id],bom[ph],"NA")</f>
        <v>nar.p</v>
      </c>
      <c r="O708" s="20" t="str">
        <f>_xlfn.XLOOKUP(packes[[#This Row],[productId]],bom[Id],bom[erth],"NA")</f>
        <v>-</v>
      </c>
      <c r="P708" s="20" t="str">
        <f>_xlfn.XLOOKUP(packes[[#This Row],[productId]],bom[Id],bom[dbl],"NA")</f>
        <v>nar.p</v>
      </c>
      <c r="Q708" s="20" t="str">
        <f>LEFT(packes[[#This Row],[date]],4)</f>
        <v>1404</v>
      </c>
    </row>
    <row r="709" spans="1:17" ht="16.5" x14ac:dyDescent="0.25">
      <c r="A709" s="23">
        <v>706</v>
      </c>
      <c r="B709" s="30" t="s">
        <v>280</v>
      </c>
      <c r="C709" s="23">
        <v>140010255</v>
      </c>
      <c r="D709" s="23">
        <v>600</v>
      </c>
      <c r="E709" s="27">
        <f>_xlfn.XLOOKUP(packes[[#This Row],[productId]],bom[Id],bom[wgt])</f>
        <v>1</v>
      </c>
      <c r="F709" s="27">
        <f>packes[[#This Row],[num]]*packes[[#This Row],[wtg]]</f>
        <v>600</v>
      </c>
      <c r="G709" s="357">
        <v>2</v>
      </c>
      <c r="H709" s="21">
        <f>packes[[#This Row],[num]]-SUM(packes[[#This Row],[num2]])</f>
        <v>600</v>
      </c>
      <c r="I709" s="357"/>
      <c r="J709" s="21"/>
      <c r="K709" s="323"/>
      <c r="M709" s="27">
        <f>_xlfn.XLOOKUP(packes[[#This Row],[productId]],CT[productId],CT[total],"NA")</f>
        <v>95.575000000000003</v>
      </c>
      <c r="N709" s="20" t="str">
        <f>_xlfn.XLOOKUP(packes[[#This Row],[productId]],bom[Id],bom[ph],"NA")</f>
        <v>-</v>
      </c>
      <c r="O709" s="20" t="str">
        <f>_xlfn.XLOOKUP(packes[[#This Row],[productId]],bom[Id],bom[erth],"NA")</f>
        <v>-</v>
      </c>
      <c r="P709" s="20" t="str">
        <f>_xlfn.XLOOKUP(packes[[#This Row],[productId]],bom[Id],bom[dbl],"NA")</f>
        <v>6.3flat</v>
      </c>
      <c r="Q709" s="20" t="str">
        <f>LEFT(packes[[#This Row],[date]],4)</f>
        <v>1404</v>
      </c>
    </row>
    <row r="710" spans="1:17" ht="16.5" x14ac:dyDescent="0.25">
      <c r="A710" s="23">
        <v>707</v>
      </c>
      <c r="B710" s="30" t="s">
        <v>280</v>
      </c>
      <c r="C710" s="23">
        <v>140310096</v>
      </c>
      <c r="D710" s="23">
        <v>1000</v>
      </c>
      <c r="E710" s="27">
        <f>_xlfn.XLOOKUP(packes[[#This Row],[productId]],bom[Id],bom[wgt])</f>
        <v>1.3</v>
      </c>
      <c r="F710" s="27">
        <f>packes[[#This Row],[num]]*packes[[#This Row],[wtg]]</f>
        <v>1300</v>
      </c>
      <c r="G710" s="357">
        <v>2</v>
      </c>
      <c r="H710" s="21">
        <f>packes[[#This Row],[num]]-SUM(packes[[#This Row],[num2]])</f>
        <v>1000</v>
      </c>
      <c r="I710" s="357"/>
      <c r="J710" s="21"/>
      <c r="K710" s="323"/>
      <c r="M710" s="27">
        <f>_xlfn.XLOOKUP(packes[[#This Row],[productId]],CT[productId],CT[total],"NA")</f>
        <v>76.239999999999995</v>
      </c>
      <c r="N710" s="20" t="str">
        <f>_xlfn.XLOOKUP(packes[[#This Row],[productId]],bom[Id],bom[ph],"NA")</f>
        <v>6.3ch</v>
      </c>
      <c r="O710" s="20" t="str">
        <f>_xlfn.XLOOKUP(packes[[#This Row],[productId]],bom[Id],bom[erth],"NA")</f>
        <v>6.3k</v>
      </c>
      <c r="P710" s="20">
        <f>_xlfn.XLOOKUP(packes[[#This Row],[productId]],bom[Id],bom[dbl],"NA")</f>
        <v>0</v>
      </c>
      <c r="Q710" s="20" t="str">
        <f>LEFT(packes[[#This Row],[date]],4)</f>
        <v>1404</v>
      </c>
    </row>
    <row r="711" spans="1:17" ht="16.5" x14ac:dyDescent="0.25">
      <c r="A711" s="23">
        <v>708</v>
      </c>
      <c r="B711" s="30" t="s">
        <v>280</v>
      </c>
      <c r="C711" s="23">
        <v>140010279</v>
      </c>
      <c r="D711" s="23">
        <v>1600</v>
      </c>
      <c r="E711" s="27">
        <f>_xlfn.XLOOKUP(packes[[#This Row],[productId]],bom[Id],bom[wgt])</f>
        <v>1.0675446473111843</v>
      </c>
      <c r="F711" s="27">
        <f>packes[[#This Row],[num]]*packes[[#This Row],[wtg]]</f>
        <v>1708.0714356978949</v>
      </c>
      <c r="G711" s="357">
        <v>1</v>
      </c>
      <c r="H711" s="21">
        <f>packes[[#This Row],[num]]-SUM(packes[[#This Row],[num2]])</f>
        <v>1600</v>
      </c>
      <c r="I711" s="357"/>
      <c r="J711" s="21"/>
      <c r="K711" s="323"/>
      <c r="M711" s="27">
        <f>_xlfn.XLOOKUP(packes[[#This Row],[productId]],CT[productId],CT[total],"NA")</f>
        <v>49.44</v>
      </c>
      <c r="N711" s="20" t="str">
        <f>_xlfn.XLOOKUP(packes[[#This Row],[productId]],bom[Id],bom[ph],"NA")</f>
        <v>VH</v>
      </c>
      <c r="O711" s="20" t="str">
        <f>_xlfn.XLOOKUP(packes[[#This Row],[productId]],bom[Id],bom[erth],"NA")</f>
        <v>-</v>
      </c>
      <c r="P711" s="20" t="str">
        <f>_xlfn.XLOOKUP(packes[[#This Row],[productId]],bom[Id],bom[dbl],"NA")</f>
        <v>-</v>
      </c>
      <c r="Q711" s="20" t="str">
        <f>LEFT(packes[[#This Row],[date]],4)</f>
        <v>1404</v>
      </c>
    </row>
    <row r="712" spans="1:17" ht="16.5" x14ac:dyDescent="0.25">
      <c r="A712" s="23">
        <v>709</v>
      </c>
      <c r="B712" s="30" t="s">
        <v>709</v>
      </c>
      <c r="C712" s="23">
        <v>140010117</v>
      </c>
      <c r="D712" s="23">
        <v>750</v>
      </c>
      <c r="E712" s="27">
        <f>_xlfn.XLOOKUP(packes[[#This Row],[productId]],bom[Id],bom[wgt])</f>
        <v>1</v>
      </c>
      <c r="F712" s="27">
        <f>packes[[#This Row],[num]]*packes[[#This Row],[wtg]]</f>
        <v>750</v>
      </c>
      <c r="G712" s="357">
        <v>2</v>
      </c>
      <c r="H712" s="21">
        <f>packes[[#This Row],[num]]-SUM(packes[[#This Row],[num2]])</f>
        <v>750</v>
      </c>
      <c r="I712" s="357"/>
      <c r="J712" s="21"/>
      <c r="K712" s="323"/>
      <c r="M712" s="27">
        <f>_xlfn.XLOOKUP(packes[[#This Row],[productId]],CT[productId],CT[total],"NA")</f>
        <v>98.295000000000016</v>
      </c>
      <c r="N712" s="20" t="str">
        <f>_xlfn.XLOOKUP(packes[[#This Row],[productId]],bom[Id],bom[ph],"NA")</f>
        <v>nar.p</v>
      </c>
      <c r="O712" s="20" t="str">
        <f>_xlfn.XLOOKUP(packes[[#This Row],[productId]],bom[Id],bom[erth],"NA")</f>
        <v>-</v>
      </c>
      <c r="P712" s="20" t="str">
        <f>_xlfn.XLOOKUP(packes[[#This Row],[productId]],bom[Id],bom[dbl],"NA")</f>
        <v>nar.p</v>
      </c>
      <c r="Q712" s="20" t="str">
        <f>LEFT(packes[[#This Row],[date]],4)</f>
        <v>1404</v>
      </c>
    </row>
    <row r="713" spans="1:17" ht="16.5" x14ac:dyDescent="0.25">
      <c r="A713" s="23">
        <v>710</v>
      </c>
      <c r="B713" s="30" t="s">
        <v>709</v>
      </c>
      <c r="C713" s="23">
        <v>140010230</v>
      </c>
      <c r="D713" s="23">
        <v>1700</v>
      </c>
      <c r="E713" s="27">
        <f>_xlfn.XLOOKUP(packes[[#This Row],[productId]],bom[Id],bom[wgt])</f>
        <v>1.4486680634540554</v>
      </c>
      <c r="F713" s="27">
        <f>packes[[#This Row],[num]]*packes[[#This Row],[wtg]]</f>
        <v>2462.7357078718942</v>
      </c>
      <c r="G713" s="357">
        <v>2</v>
      </c>
      <c r="H713" s="21">
        <f>packes[[#This Row],[num]]-SUM(packes[[#This Row],[num2]])</f>
        <v>1700</v>
      </c>
      <c r="I713" s="357"/>
      <c r="J713" s="21"/>
      <c r="K713" s="323"/>
      <c r="M713" s="27">
        <f>_xlfn.XLOOKUP(packes[[#This Row],[productId]],CT[productId],CT[total],"NA")</f>
        <v>147.595</v>
      </c>
      <c r="N713" s="20" t="str">
        <f>_xlfn.XLOOKUP(packes[[#This Row],[productId]],bom[Id],bom[ph],"NA")</f>
        <v>nar.p</v>
      </c>
      <c r="O713" s="20" t="str">
        <f>_xlfn.XLOOKUP(packes[[#This Row],[productId]],bom[Id],bom[erth],"NA")</f>
        <v>-</v>
      </c>
      <c r="P713" s="20" t="str">
        <f>_xlfn.XLOOKUP(packes[[#This Row],[productId]],bom[Id],bom[dbl],"NA")</f>
        <v>nar.p</v>
      </c>
      <c r="Q713" s="20" t="str">
        <f>LEFT(packes[[#This Row],[date]],4)</f>
        <v>1404</v>
      </c>
    </row>
    <row r="714" spans="1:17" ht="16.5" x14ac:dyDescent="0.25">
      <c r="A714" s="23">
        <v>711</v>
      </c>
      <c r="B714" s="30" t="s">
        <v>709</v>
      </c>
      <c r="C714" s="23">
        <v>140010255</v>
      </c>
      <c r="D714" s="23">
        <v>400</v>
      </c>
      <c r="E714" s="27">
        <f>_xlfn.XLOOKUP(packes[[#This Row],[productId]],bom[Id],bom[wgt])</f>
        <v>1</v>
      </c>
      <c r="F714" s="27">
        <f>packes[[#This Row],[num]]*packes[[#This Row],[wtg]]</f>
        <v>400</v>
      </c>
      <c r="G714" s="357">
        <v>2</v>
      </c>
      <c r="H714" s="21">
        <f>packes[[#This Row],[num]]-SUM(packes[[#This Row],[num2]])</f>
        <v>400</v>
      </c>
      <c r="I714" s="357"/>
      <c r="J714" s="21"/>
      <c r="K714" s="323"/>
      <c r="M714" s="27">
        <f>_xlfn.XLOOKUP(packes[[#This Row],[productId]],CT[productId],CT[total],"NA")</f>
        <v>95.575000000000003</v>
      </c>
      <c r="N714" s="20" t="str">
        <f>_xlfn.XLOOKUP(packes[[#This Row],[productId]],bom[Id],bom[ph],"NA")</f>
        <v>-</v>
      </c>
      <c r="O714" s="20" t="str">
        <f>_xlfn.XLOOKUP(packes[[#This Row],[productId]],bom[Id],bom[erth],"NA")</f>
        <v>-</v>
      </c>
      <c r="P714" s="20" t="str">
        <f>_xlfn.XLOOKUP(packes[[#This Row],[productId]],bom[Id],bom[dbl],"NA")</f>
        <v>6.3flat</v>
      </c>
      <c r="Q714" s="20" t="str">
        <f>LEFT(packes[[#This Row],[date]],4)</f>
        <v>1404</v>
      </c>
    </row>
    <row r="715" spans="1:17" ht="16.5" x14ac:dyDescent="0.25">
      <c r="A715" s="23">
        <v>712</v>
      </c>
      <c r="B715" s="30" t="s">
        <v>709</v>
      </c>
      <c r="C715" s="23">
        <v>140030039</v>
      </c>
      <c r="D715" s="23">
        <v>2200</v>
      </c>
      <c r="E715" s="27">
        <f>_xlfn.XLOOKUP(packes[[#This Row],[productId]],bom[Id],bom[wgt])</f>
        <v>1.1413748378728923</v>
      </c>
      <c r="F715" s="27">
        <f>packes[[#This Row],[num]]*packes[[#This Row],[wtg]]</f>
        <v>2511.0246433203629</v>
      </c>
      <c r="G715" s="357">
        <v>2</v>
      </c>
      <c r="H715" s="21">
        <f>packes[[#This Row],[num]]-SUM(packes[[#This Row],[num2]])</f>
        <v>2200</v>
      </c>
      <c r="I715" s="357"/>
      <c r="J715" s="21"/>
      <c r="K715" s="323"/>
      <c r="M715" s="27">
        <f>_xlfn.XLOOKUP(packes[[#This Row],[productId]],CT[productId],CT[total],"NA")</f>
        <v>92.504999999999995</v>
      </c>
      <c r="N715" s="20" t="str">
        <f>_xlfn.XLOOKUP(packes[[#This Row],[productId]],bom[Id],bom[ph],"NA")</f>
        <v>YH</v>
      </c>
      <c r="O715" s="20" t="str">
        <f>_xlfn.XLOOKUP(packes[[#This Row],[productId]],bom[Id],bom[erth],"NA")</f>
        <v>sun</v>
      </c>
      <c r="P715" s="20" t="str">
        <f>_xlfn.XLOOKUP(packes[[#This Row],[productId]],bom[Id],bom[dbl],"NA")</f>
        <v>-</v>
      </c>
      <c r="Q715" s="20" t="str">
        <f>LEFT(packes[[#This Row],[date]],4)</f>
        <v>1404</v>
      </c>
    </row>
    <row r="716" spans="1:17" ht="16.5" x14ac:dyDescent="0.25">
      <c r="A716" s="23">
        <v>713</v>
      </c>
      <c r="B716" s="30" t="s">
        <v>709</v>
      </c>
      <c r="C716" s="23">
        <v>140310096</v>
      </c>
      <c r="D716" s="23">
        <v>100</v>
      </c>
      <c r="E716" s="27">
        <f>_xlfn.XLOOKUP(packes[[#This Row],[productId]],bom[Id],bom[wgt])</f>
        <v>1.3</v>
      </c>
      <c r="F716" s="27">
        <f>packes[[#This Row],[num]]*packes[[#This Row],[wtg]]</f>
        <v>130</v>
      </c>
      <c r="G716" s="357">
        <v>2</v>
      </c>
      <c r="H716" s="21">
        <f>packes[[#This Row],[num]]-SUM(packes[[#This Row],[num2]])</f>
        <v>100</v>
      </c>
      <c r="I716" s="357"/>
      <c r="J716" s="21"/>
      <c r="K716" s="323"/>
      <c r="M716" s="27">
        <f>_xlfn.XLOOKUP(packes[[#This Row],[productId]],CT[productId],CT[total],"NA")</f>
        <v>76.239999999999995</v>
      </c>
      <c r="N716" s="20" t="str">
        <f>_xlfn.XLOOKUP(packes[[#This Row],[productId]],bom[Id],bom[ph],"NA")</f>
        <v>6.3ch</v>
      </c>
      <c r="O716" s="20" t="str">
        <f>_xlfn.XLOOKUP(packes[[#This Row],[productId]],bom[Id],bom[erth],"NA")</f>
        <v>6.3k</v>
      </c>
      <c r="P716" s="20">
        <f>_xlfn.XLOOKUP(packes[[#This Row],[productId]],bom[Id],bom[dbl],"NA")</f>
        <v>0</v>
      </c>
      <c r="Q716" s="20" t="str">
        <f>LEFT(packes[[#This Row],[date]],4)</f>
        <v>1404</v>
      </c>
    </row>
    <row r="717" spans="1:17" ht="16.5" x14ac:dyDescent="0.25">
      <c r="A717" s="23">
        <v>714</v>
      </c>
      <c r="B717" s="30" t="s">
        <v>709</v>
      </c>
      <c r="C717" s="23">
        <v>140010279</v>
      </c>
      <c r="D717" s="23">
        <v>603</v>
      </c>
      <c r="E717" s="27">
        <f>_xlfn.XLOOKUP(packes[[#This Row],[productId]],bom[Id],bom[wgt])</f>
        <v>1.0675446473111843</v>
      </c>
      <c r="F717" s="27">
        <f>packes[[#This Row],[num]]*packes[[#This Row],[wtg]]</f>
        <v>643.72942232864409</v>
      </c>
      <c r="G717" s="357">
        <v>1</v>
      </c>
      <c r="H717" s="21">
        <f>packes[[#This Row],[num]]-SUM(packes[[#This Row],[num2]])</f>
        <v>603</v>
      </c>
      <c r="I717" s="357"/>
      <c r="J717" s="21"/>
      <c r="K717" s="323"/>
      <c r="M717" s="27">
        <f>_xlfn.XLOOKUP(packes[[#This Row],[productId]],CT[productId],CT[total],"NA")</f>
        <v>49.44</v>
      </c>
      <c r="N717" s="20" t="str">
        <f>_xlfn.XLOOKUP(packes[[#This Row],[productId]],bom[Id],bom[ph],"NA")</f>
        <v>VH</v>
      </c>
      <c r="O717" s="20" t="str">
        <f>_xlfn.XLOOKUP(packes[[#This Row],[productId]],bom[Id],bom[erth],"NA")</f>
        <v>-</v>
      </c>
      <c r="P717" s="20" t="str">
        <f>_xlfn.XLOOKUP(packes[[#This Row],[productId]],bom[Id],bom[dbl],"NA")</f>
        <v>-</v>
      </c>
      <c r="Q717" s="20" t="str">
        <f>LEFT(packes[[#This Row],[date]],4)</f>
        <v>1404</v>
      </c>
    </row>
    <row r="718" spans="1:17" ht="16.5" x14ac:dyDescent="0.25">
      <c r="A718" s="23">
        <v>715</v>
      </c>
      <c r="B718" s="30" t="s">
        <v>710</v>
      </c>
      <c r="C718" s="23">
        <v>140010117</v>
      </c>
      <c r="D718" s="23">
        <v>975</v>
      </c>
      <c r="E718" s="27">
        <f>_xlfn.XLOOKUP(packes[[#This Row],[productId]],bom[Id],bom[wgt])</f>
        <v>1</v>
      </c>
      <c r="F718" s="27">
        <f>packes[[#This Row],[num]]*packes[[#This Row],[wtg]]</f>
        <v>975</v>
      </c>
      <c r="G718" s="357">
        <v>2</v>
      </c>
      <c r="H718" s="21">
        <f>packes[[#This Row],[num]]-SUM(packes[[#This Row],[num2]])</f>
        <v>975</v>
      </c>
      <c r="I718" s="357"/>
      <c r="J718" s="21"/>
      <c r="K718" s="323"/>
      <c r="M718" s="27">
        <f>_xlfn.XLOOKUP(packes[[#This Row],[productId]],CT[productId],CT[total],"NA")</f>
        <v>98.295000000000016</v>
      </c>
      <c r="N718" s="20" t="str">
        <f>_xlfn.XLOOKUP(packes[[#This Row],[productId]],bom[Id],bom[ph],"NA")</f>
        <v>nar.p</v>
      </c>
      <c r="O718" s="20" t="str">
        <f>_xlfn.XLOOKUP(packes[[#This Row],[productId]],bom[Id],bom[erth],"NA")</f>
        <v>-</v>
      </c>
      <c r="P718" s="20" t="str">
        <f>_xlfn.XLOOKUP(packes[[#This Row],[productId]],bom[Id],bom[dbl],"NA")</f>
        <v>nar.p</v>
      </c>
      <c r="Q718" s="20" t="str">
        <f>LEFT(packes[[#This Row],[date]],4)</f>
        <v>1404</v>
      </c>
    </row>
    <row r="719" spans="1:17" s="23" customFormat="1" ht="16.5" x14ac:dyDescent="0.25">
      <c r="A719" s="23">
        <v>716</v>
      </c>
      <c r="B719" s="30" t="s">
        <v>710</v>
      </c>
      <c r="C719" s="23">
        <v>140010230</v>
      </c>
      <c r="D719" s="23">
        <v>3000</v>
      </c>
      <c r="E719" s="27">
        <f>_xlfn.XLOOKUP(packes[[#This Row],[productId]],bom[Id],bom[wgt])</f>
        <v>1.4486680634540554</v>
      </c>
      <c r="F719" s="27">
        <f>packes[[#This Row],[num]]*packes[[#This Row],[wtg]]</f>
        <v>4346.0041903621659</v>
      </c>
      <c r="G719" s="357">
        <v>2</v>
      </c>
      <c r="H719" s="21">
        <f>packes[[#This Row],[num]]-SUM(packes[[#This Row],[num2]])</f>
        <v>3000</v>
      </c>
      <c r="I719" s="357"/>
      <c r="J719" s="21"/>
      <c r="K719" s="323"/>
      <c r="M719" s="27">
        <f>_xlfn.XLOOKUP(packes[[#This Row],[productId]],CT[productId],CT[total],"NA")</f>
        <v>147.595</v>
      </c>
      <c r="N719" s="20" t="str">
        <f>_xlfn.XLOOKUP(packes[[#This Row],[productId]],bom[Id],bom[ph],"NA")</f>
        <v>nar.p</v>
      </c>
      <c r="O719" s="20" t="str">
        <f>_xlfn.XLOOKUP(packes[[#This Row],[productId]],bom[Id],bom[erth],"NA")</f>
        <v>-</v>
      </c>
      <c r="P719" s="20" t="str">
        <f>_xlfn.XLOOKUP(packes[[#This Row],[productId]],bom[Id],bom[dbl],"NA")</f>
        <v>nar.p</v>
      </c>
      <c r="Q719" s="20" t="str">
        <f>LEFT(packes[[#This Row],[date]],4)</f>
        <v>1404</v>
      </c>
    </row>
    <row r="720" spans="1:17" ht="16.5" x14ac:dyDescent="0.25">
      <c r="A720" s="23">
        <v>717</v>
      </c>
      <c r="B720" s="30" t="s">
        <v>710</v>
      </c>
      <c r="C720" s="23">
        <v>140030039</v>
      </c>
      <c r="D720" s="23">
        <v>600</v>
      </c>
      <c r="E720" s="27">
        <f>_xlfn.XLOOKUP(packes[[#This Row],[productId]],bom[Id],bom[wgt])</f>
        <v>1.1413748378728923</v>
      </c>
      <c r="F720" s="27">
        <f>packes[[#This Row],[num]]*packes[[#This Row],[wtg]]</f>
        <v>684.82490272373536</v>
      </c>
      <c r="G720" s="357" t="s">
        <v>1070</v>
      </c>
      <c r="H720" s="21">
        <f>packes[[#This Row],[num]]-SUM(packes[[#This Row],[num2]])</f>
        <v>600</v>
      </c>
      <c r="I720" s="357"/>
      <c r="J720" s="21"/>
      <c r="K720" s="323"/>
      <c r="M720" s="27">
        <f>_xlfn.XLOOKUP(packes[[#This Row],[productId]],CT[productId],CT[total],"NA")</f>
        <v>92.504999999999995</v>
      </c>
      <c r="N720" s="20" t="str">
        <f>_xlfn.XLOOKUP(packes[[#This Row],[productId]],bom[Id],bom[ph],"NA")</f>
        <v>YH</v>
      </c>
      <c r="O720" s="20" t="str">
        <f>_xlfn.XLOOKUP(packes[[#This Row],[productId]],bom[Id],bom[erth],"NA")</f>
        <v>sun</v>
      </c>
      <c r="P720" s="20" t="str">
        <f>_xlfn.XLOOKUP(packes[[#This Row],[productId]],bom[Id],bom[dbl],"NA")</f>
        <v>-</v>
      </c>
      <c r="Q720" s="20" t="str">
        <f>LEFT(packes[[#This Row],[date]],4)</f>
        <v>1404</v>
      </c>
    </row>
    <row r="721" spans="1:17" ht="16.5" x14ac:dyDescent="0.25">
      <c r="A721" s="23">
        <v>718</v>
      </c>
      <c r="B721" s="30" t="s">
        <v>710</v>
      </c>
      <c r="C721" s="23">
        <v>140030040</v>
      </c>
      <c r="D721" s="23">
        <v>500</v>
      </c>
      <c r="E721" s="27">
        <f>_xlfn.XLOOKUP(packes[[#This Row],[productId]],bom[Id],bom[wgt])</f>
        <v>1.1092487279257708</v>
      </c>
      <c r="F721" s="27">
        <f>packes[[#This Row],[num]]*packes[[#This Row],[wtg]]</f>
        <v>554.62436396288535</v>
      </c>
      <c r="G721" s="357">
        <v>2</v>
      </c>
      <c r="H721" s="21">
        <f>packes[[#This Row],[num]]-SUM(packes[[#This Row],[num2]])</f>
        <v>500</v>
      </c>
      <c r="I721" s="357"/>
      <c r="J721" s="21"/>
      <c r="K721" s="323"/>
      <c r="M721" s="27">
        <f>_xlfn.XLOOKUP(packes[[#This Row],[productId]],CT[productId],CT[total],"NA")</f>
        <v>97.305000000000007</v>
      </c>
      <c r="N721" s="20" t="str">
        <f>_xlfn.XLOOKUP(packes[[#This Row],[productId]],bom[Id],bom[ph],"NA")</f>
        <v>YH</v>
      </c>
      <c r="O721" s="20" t="str">
        <f>_xlfn.XLOOKUP(packes[[#This Row],[productId]],bom[Id],bom[erth],"NA")</f>
        <v>sun</v>
      </c>
      <c r="P721" s="20" t="str">
        <f>_xlfn.XLOOKUP(packes[[#This Row],[productId]],bom[Id],bom[dbl],"NA")</f>
        <v>-</v>
      </c>
      <c r="Q721" s="20" t="str">
        <f>LEFT(packes[[#This Row],[date]],4)</f>
        <v>1404</v>
      </c>
    </row>
    <row r="722" spans="1:17" ht="16.5" x14ac:dyDescent="0.25">
      <c r="A722" s="23">
        <v>719</v>
      </c>
      <c r="B722" s="30" t="s">
        <v>710</v>
      </c>
      <c r="C722" s="23">
        <v>140310058</v>
      </c>
      <c r="D722" s="23">
        <v>800</v>
      </c>
      <c r="E722" s="27">
        <f>_xlfn.XLOOKUP(packes[[#This Row],[productId]],bom[Id],bom[wgt])</f>
        <v>1.3469021251122417</v>
      </c>
      <c r="F722" s="27">
        <f>packes[[#This Row],[num]]*packes[[#This Row],[wtg]]</f>
        <v>1077.5217000897933</v>
      </c>
      <c r="G722" s="357">
        <v>2</v>
      </c>
      <c r="H722" s="21">
        <f>packes[[#This Row],[num]]-SUM(packes[[#This Row],[num2]])</f>
        <v>800</v>
      </c>
      <c r="I722" s="357"/>
      <c r="J722" s="21"/>
      <c r="K722" s="323"/>
      <c r="M722" s="27">
        <f>_xlfn.XLOOKUP(packes[[#This Row],[productId]],CT[productId],CT[total],"NA")</f>
        <v>147.595</v>
      </c>
      <c r="N722" s="20" t="str">
        <f>_xlfn.XLOOKUP(packes[[#This Row],[productId]],bom[Id],bom[ph],"NA")</f>
        <v>nar.p</v>
      </c>
      <c r="O722" s="20" t="str">
        <f>_xlfn.XLOOKUP(packes[[#This Row],[productId]],bom[Id],bom[erth],"NA")</f>
        <v>nar.p</v>
      </c>
      <c r="P722" s="20" t="str">
        <f>_xlfn.XLOOKUP(packes[[#This Row],[productId]],bom[Id],bom[dbl],"NA")</f>
        <v>nar.p</v>
      </c>
      <c r="Q722" s="20" t="str">
        <f>LEFT(packes[[#This Row],[date]],4)</f>
        <v>1404</v>
      </c>
    </row>
    <row r="723" spans="1:17" ht="16.5" x14ac:dyDescent="0.25">
      <c r="A723" s="23">
        <v>720</v>
      </c>
      <c r="B723" s="30" t="s">
        <v>258</v>
      </c>
      <c r="C723" s="23">
        <v>140010117</v>
      </c>
      <c r="D723" s="23">
        <v>300</v>
      </c>
      <c r="E723" s="27">
        <f>_xlfn.XLOOKUP(packes[[#This Row],[productId]],bom[Id],bom[wgt])</f>
        <v>1</v>
      </c>
      <c r="F723" s="27">
        <f>packes[[#This Row],[num]]*packes[[#This Row],[wtg]]</f>
        <v>300</v>
      </c>
      <c r="G723" s="357">
        <v>2</v>
      </c>
      <c r="H723" s="21">
        <f>packes[[#This Row],[num]]-SUM(packes[[#This Row],[num2]])</f>
        <v>300</v>
      </c>
      <c r="I723" s="357"/>
      <c r="J723" s="21"/>
      <c r="K723" s="323"/>
      <c r="M723" s="27">
        <f>_xlfn.XLOOKUP(packes[[#This Row],[productId]],CT[productId],CT[total],"NA")</f>
        <v>98.295000000000016</v>
      </c>
      <c r="N723" s="20" t="str">
        <f>_xlfn.XLOOKUP(packes[[#This Row],[productId]],bom[Id],bom[ph],"NA")</f>
        <v>nar.p</v>
      </c>
      <c r="O723" s="20" t="str">
        <f>_xlfn.XLOOKUP(packes[[#This Row],[productId]],bom[Id],bom[erth],"NA")</f>
        <v>-</v>
      </c>
      <c r="P723" s="20" t="str">
        <f>_xlfn.XLOOKUP(packes[[#This Row],[productId]],bom[Id],bom[dbl],"NA")</f>
        <v>nar.p</v>
      </c>
      <c r="Q723" s="20" t="str">
        <f>LEFT(packes[[#This Row],[date]],4)</f>
        <v>1404</v>
      </c>
    </row>
    <row r="724" spans="1:17" ht="16.5" x14ac:dyDescent="0.25">
      <c r="A724" s="23">
        <v>721</v>
      </c>
      <c r="B724" s="30" t="s">
        <v>258</v>
      </c>
      <c r="C724" s="23">
        <v>140010230</v>
      </c>
      <c r="D724" s="23">
        <v>1000</v>
      </c>
      <c r="E724" s="27">
        <f>_xlfn.XLOOKUP(packes[[#This Row],[productId]],bom[Id],bom[wgt])</f>
        <v>1.4486680634540554</v>
      </c>
      <c r="F724" s="27">
        <f>packes[[#This Row],[num]]*packes[[#This Row],[wtg]]</f>
        <v>1448.6680634540553</v>
      </c>
      <c r="G724" s="357">
        <v>2</v>
      </c>
      <c r="H724" s="21">
        <f>packes[[#This Row],[num]]-SUM(packes[[#This Row],[num2]])</f>
        <v>1000</v>
      </c>
      <c r="I724" s="357"/>
      <c r="J724" s="21"/>
      <c r="K724" s="323"/>
      <c r="M724" s="27">
        <f>_xlfn.XLOOKUP(packes[[#This Row],[productId]],CT[productId],CT[total],"NA")</f>
        <v>147.595</v>
      </c>
      <c r="N724" s="20" t="str">
        <f>_xlfn.XLOOKUP(packes[[#This Row],[productId]],bom[Id],bom[ph],"NA")</f>
        <v>nar.p</v>
      </c>
      <c r="O724" s="20" t="str">
        <f>_xlfn.XLOOKUP(packes[[#This Row],[productId]],bom[Id],bom[erth],"NA")</f>
        <v>-</v>
      </c>
      <c r="P724" s="20" t="str">
        <f>_xlfn.XLOOKUP(packes[[#This Row],[productId]],bom[Id],bom[dbl],"NA")</f>
        <v>nar.p</v>
      </c>
      <c r="Q724" s="20" t="str">
        <f>LEFT(packes[[#This Row],[date]],4)</f>
        <v>1404</v>
      </c>
    </row>
    <row r="725" spans="1:17" ht="16.5" x14ac:dyDescent="0.25">
      <c r="A725" s="23">
        <v>722</v>
      </c>
      <c r="B725" s="30" t="s">
        <v>258</v>
      </c>
      <c r="C725" s="23">
        <v>140030039</v>
      </c>
      <c r="D725" s="23">
        <v>100</v>
      </c>
      <c r="E725" s="27">
        <f>_xlfn.XLOOKUP(packes[[#This Row],[productId]],bom[Id],bom[wgt])</f>
        <v>1.1413748378728923</v>
      </c>
      <c r="F725" s="27">
        <f>packes[[#This Row],[num]]*packes[[#This Row],[wtg]]</f>
        <v>114.13748378728923</v>
      </c>
      <c r="G725" s="357" t="s">
        <v>1070</v>
      </c>
      <c r="H725" s="21">
        <f>packes[[#This Row],[num]]-SUM(packes[[#This Row],[num2]])</f>
        <v>100</v>
      </c>
      <c r="I725" s="357"/>
      <c r="J725" s="21"/>
      <c r="K725" s="323"/>
      <c r="M725" s="27">
        <f>_xlfn.XLOOKUP(packes[[#This Row],[productId]],CT[productId],CT[total],"NA")</f>
        <v>92.504999999999995</v>
      </c>
      <c r="N725" s="20" t="str">
        <f>_xlfn.XLOOKUP(packes[[#This Row],[productId]],bom[Id],bom[ph],"NA")</f>
        <v>YH</v>
      </c>
      <c r="O725" s="20" t="str">
        <f>_xlfn.XLOOKUP(packes[[#This Row],[productId]],bom[Id],bom[erth],"NA")</f>
        <v>sun</v>
      </c>
      <c r="P725" s="20" t="str">
        <f>_xlfn.XLOOKUP(packes[[#This Row],[productId]],bom[Id],bom[dbl],"NA")</f>
        <v>-</v>
      </c>
      <c r="Q725" s="20" t="str">
        <f>LEFT(packes[[#This Row],[date]],4)</f>
        <v>1404</v>
      </c>
    </row>
    <row r="726" spans="1:17" ht="16.5" x14ac:dyDescent="0.25">
      <c r="A726" s="23">
        <v>723</v>
      </c>
      <c r="B726" s="30" t="s">
        <v>258</v>
      </c>
      <c r="C726" s="23">
        <v>140310058</v>
      </c>
      <c r="D726" s="23">
        <v>1500</v>
      </c>
      <c r="E726" s="27">
        <f>_xlfn.XLOOKUP(packes[[#This Row],[productId]],bom[Id],bom[wgt])</f>
        <v>1.3469021251122417</v>
      </c>
      <c r="F726" s="27">
        <f>packes[[#This Row],[num]]*packes[[#This Row],[wtg]]</f>
        <v>2020.3531876683626</v>
      </c>
      <c r="G726" s="357">
        <v>2</v>
      </c>
      <c r="H726" s="21">
        <f>packes[[#This Row],[num]]-SUM(packes[[#This Row],[num2]])</f>
        <v>1500</v>
      </c>
      <c r="I726" s="357"/>
      <c r="J726" s="21"/>
      <c r="K726" s="323"/>
      <c r="M726" s="27">
        <f>_xlfn.XLOOKUP(packes[[#This Row],[productId]],CT[productId],CT[total],"NA")</f>
        <v>147.595</v>
      </c>
      <c r="N726" s="20" t="str">
        <f>_xlfn.XLOOKUP(packes[[#This Row],[productId]],bom[Id],bom[ph],"NA")</f>
        <v>nar.p</v>
      </c>
      <c r="O726" s="20" t="str">
        <f>_xlfn.XLOOKUP(packes[[#This Row],[productId]],bom[Id],bom[erth],"NA")</f>
        <v>nar.p</v>
      </c>
      <c r="P726" s="20" t="str">
        <f>_xlfn.XLOOKUP(packes[[#This Row],[productId]],bom[Id],bom[dbl],"NA")</f>
        <v>nar.p</v>
      </c>
      <c r="Q726" s="20" t="str">
        <f>LEFT(packes[[#This Row],[date]],4)</f>
        <v>1404</v>
      </c>
    </row>
    <row r="727" spans="1:17" ht="16.5" x14ac:dyDescent="0.25">
      <c r="A727" s="23">
        <v>724</v>
      </c>
      <c r="B727" s="30" t="s">
        <v>258</v>
      </c>
      <c r="C727" s="23">
        <v>140010280</v>
      </c>
      <c r="D727" s="23">
        <v>99</v>
      </c>
      <c r="E727" s="27">
        <f>_xlfn.XLOOKUP(packes[[#This Row],[productId]],bom[Id],bom[wgt])</f>
        <v>1.0775217000897934</v>
      </c>
      <c r="F727" s="27">
        <f>packes[[#This Row],[num]]*packes[[#This Row],[wtg]]</f>
        <v>106.67464830888954</v>
      </c>
      <c r="G727" s="357">
        <v>1</v>
      </c>
      <c r="H727" s="21">
        <f>packes[[#This Row],[num]]-SUM(packes[[#This Row],[num2]])</f>
        <v>99</v>
      </c>
      <c r="I727" s="357"/>
      <c r="J727" s="21"/>
      <c r="K727" s="323"/>
      <c r="M727" s="27">
        <f>_xlfn.XLOOKUP(packes[[#This Row],[productId]],CT[productId],CT[total],"NA")</f>
        <v>49.44</v>
      </c>
      <c r="N727" s="20" t="str">
        <f>_xlfn.XLOOKUP(packes[[#This Row],[productId]],bom[Id],bom[ph],"NA")</f>
        <v>VH</v>
      </c>
      <c r="O727" s="20" t="str">
        <f>_xlfn.XLOOKUP(packes[[#This Row],[productId]],bom[Id],bom[erth],"NA")</f>
        <v>-</v>
      </c>
      <c r="P727" s="20" t="str">
        <f>_xlfn.XLOOKUP(packes[[#This Row],[productId]],bom[Id],bom[dbl],"NA")</f>
        <v>-</v>
      </c>
      <c r="Q727" s="20" t="str">
        <f>LEFT(packes[[#This Row],[date]],4)</f>
        <v>1404</v>
      </c>
    </row>
    <row r="728" spans="1:17" ht="16.5" x14ac:dyDescent="0.25">
      <c r="A728" s="23">
        <v>725</v>
      </c>
      <c r="B728" s="30" t="s">
        <v>258</v>
      </c>
      <c r="C728" s="23">
        <v>141320055</v>
      </c>
      <c r="D728" s="23">
        <v>3200</v>
      </c>
      <c r="E728" s="27">
        <f>_xlfn.XLOOKUP(packes[[#This Row],[productId]],bom[Id],bom[wgt])</f>
        <v>1.1274069639828395</v>
      </c>
      <c r="F728" s="27">
        <f>packes[[#This Row],[num]]*packes[[#This Row],[wtg]]</f>
        <v>3607.7022847450862</v>
      </c>
      <c r="G728" s="357">
        <v>2</v>
      </c>
      <c r="H728" s="21">
        <f>packes[[#This Row],[num]]-SUM(packes[[#This Row],[num2]])</f>
        <v>3200</v>
      </c>
      <c r="I728" s="357"/>
      <c r="J728" s="21"/>
      <c r="K728" s="323"/>
      <c r="M728" s="27">
        <f>_xlfn.XLOOKUP(packes[[#This Row],[productId]],CT[productId],CT[total],"NA")</f>
        <v>41.13</v>
      </c>
      <c r="N728" s="20">
        <f>_xlfn.XLOOKUP(packes[[#This Row],[productId]],bom[Id],bom[ph],"NA")</f>
        <v>0</v>
      </c>
      <c r="O728" s="20">
        <f>_xlfn.XLOOKUP(packes[[#This Row],[productId]],bom[Id],bom[erth],"NA")</f>
        <v>0</v>
      </c>
      <c r="P728" s="20">
        <f>_xlfn.XLOOKUP(packes[[#This Row],[productId]],bom[Id],bom[dbl],"NA")</f>
        <v>0</v>
      </c>
      <c r="Q728" s="20" t="str">
        <f>LEFT(packes[[#This Row],[date]],4)</f>
        <v>1404</v>
      </c>
    </row>
    <row r="729" spans="1:17" ht="16.5" x14ac:dyDescent="0.25">
      <c r="A729" s="23">
        <v>726</v>
      </c>
      <c r="B729" s="30" t="s">
        <v>711</v>
      </c>
      <c r="C729" s="23">
        <v>140010230</v>
      </c>
      <c r="D729" s="23">
        <v>450</v>
      </c>
      <c r="E729" s="27">
        <f>_xlfn.XLOOKUP(packes[[#This Row],[productId]],bom[Id],bom[wgt])</f>
        <v>1.4486680634540554</v>
      </c>
      <c r="F729" s="27">
        <f>packes[[#This Row],[num]]*packes[[#This Row],[wtg]]</f>
        <v>651.90062855432495</v>
      </c>
      <c r="G729" s="357">
        <v>2</v>
      </c>
      <c r="H729" s="21">
        <f>packes[[#This Row],[num]]-SUM(packes[[#This Row],[num2]])</f>
        <v>450</v>
      </c>
      <c r="I729" s="357"/>
      <c r="J729" s="21"/>
      <c r="K729" s="323"/>
      <c r="M729" s="27">
        <f>_xlfn.XLOOKUP(packes[[#This Row],[productId]],CT[productId],CT[total],"NA")</f>
        <v>147.595</v>
      </c>
      <c r="N729" s="20" t="str">
        <f>_xlfn.XLOOKUP(packes[[#This Row],[productId]],bom[Id],bom[ph],"NA")</f>
        <v>nar.p</v>
      </c>
      <c r="O729" s="20" t="str">
        <f>_xlfn.XLOOKUP(packes[[#This Row],[productId]],bom[Id],bom[erth],"NA")</f>
        <v>-</v>
      </c>
      <c r="P729" s="20" t="str">
        <f>_xlfn.XLOOKUP(packes[[#This Row],[productId]],bom[Id],bom[dbl],"NA")</f>
        <v>nar.p</v>
      </c>
      <c r="Q729" s="20" t="str">
        <f>LEFT(packes[[#This Row],[date]],4)</f>
        <v>1404</v>
      </c>
    </row>
    <row r="730" spans="1:17" ht="16.5" x14ac:dyDescent="0.25">
      <c r="A730" s="23">
        <v>727</v>
      </c>
      <c r="B730" s="30" t="s">
        <v>711</v>
      </c>
      <c r="C730" s="23">
        <v>140030039</v>
      </c>
      <c r="D730" s="23">
        <v>200</v>
      </c>
      <c r="E730" s="27">
        <f>_xlfn.XLOOKUP(packes[[#This Row],[productId]],bom[Id],bom[wgt])</f>
        <v>1.1413748378728923</v>
      </c>
      <c r="F730" s="27">
        <f>packes[[#This Row],[num]]*packes[[#This Row],[wtg]]</f>
        <v>228.27496757457845</v>
      </c>
      <c r="G730" s="357" t="s">
        <v>1070</v>
      </c>
      <c r="H730" s="21">
        <f>packes[[#This Row],[num]]-SUM(packes[[#This Row],[num2]])</f>
        <v>200</v>
      </c>
      <c r="I730" s="357"/>
      <c r="J730" s="21"/>
      <c r="K730" s="323"/>
      <c r="M730" s="27">
        <f>_xlfn.XLOOKUP(packes[[#This Row],[productId]],CT[productId],CT[total],"NA")</f>
        <v>92.504999999999995</v>
      </c>
      <c r="N730" s="20" t="str">
        <f>_xlfn.XLOOKUP(packes[[#This Row],[productId]],bom[Id],bom[ph],"NA")</f>
        <v>YH</v>
      </c>
      <c r="O730" s="20" t="str">
        <f>_xlfn.XLOOKUP(packes[[#This Row],[productId]],bom[Id],bom[erth],"NA")</f>
        <v>sun</v>
      </c>
      <c r="P730" s="20" t="str">
        <f>_xlfn.XLOOKUP(packes[[#This Row],[productId]],bom[Id],bom[dbl],"NA")</f>
        <v>-</v>
      </c>
      <c r="Q730" s="20" t="str">
        <f>LEFT(packes[[#This Row],[date]],4)</f>
        <v>1404</v>
      </c>
    </row>
    <row r="731" spans="1:17" ht="16.5" x14ac:dyDescent="0.25">
      <c r="A731" s="23">
        <v>728</v>
      </c>
      <c r="B731" s="30" t="s">
        <v>711</v>
      </c>
      <c r="C731" s="23">
        <v>140030040</v>
      </c>
      <c r="D731" s="23">
        <v>1500</v>
      </c>
      <c r="E731" s="27">
        <f>_xlfn.XLOOKUP(packes[[#This Row],[productId]],bom[Id],bom[wgt])</f>
        <v>1.1092487279257708</v>
      </c>
      <c r="F731" s="27">
        <f>packes[[#This Row],[num]]*packes[[#This Row],[wtg]]</f>
        <v>1663.8730918886561</v>
      </c>
      <c r="G731" s="357" t="s">
        <v>1070</v>
      </c>
      <c r="H731" s="21">
        <f>packes[[#This Row],[num]]-SUM(packes[[#This Row],[num2]])</f>
        <v>1500</v>
      </c>
      <c r="I731" s="357"/>
      <c r="J731" s="21"/>
      <c r="K731" s="323"/>
      <c r="M731" s="27">
        <f>_xlfn.XLOOKUP(packes[[#This Row],[productId]],CT[productId],CT[total],"NA")</f>
        <v>97.305000000000007</v>
      </c>
      <c r="N731" s="20" t="str">
        <f>_xlfn.XLOOKUP(packes[[#This Row],[productId]],bom[Id],bom[ph],"NA")</f>
        <v>YH</v>
      </c>
      <c r="O731" s="20" t="str">
        <f>_xlfn.XLOOKUP(packes[[#This Row],[productId]],bom[Id],bom[erth],"NA")</f>
        <v>sun</v>
      </c>
      <c r="P731" s="20" t="str">
        <f>_xlfn.XLOOKUP(packes[[#This Row],[productId]],bom[Id],bom[dbl],"NA")</f>
        <v>-</v>
      </c>
      <c r="Q731" s="20" t="str">
        <f>LEFT(packes[[#This Row],[date]],4)</f>
        <v>1404</v>
      </c>
    </row>
    <row r="732" spans="1:17" ht="16.5" x14ac:dyDescent="0.25">
      <c r="A732" s="23">
        <v>729</v>
      </c>
      <c r="B732" s="30" t="s">
        <v>711</v>
      </c>
      <c r="C732" s="23">
        <v>140090143</v>
      </c>
      <c r="D732" s="23">
        <v>43</v>
      </c>
      <c r="E732" s="27">
        <f>_xlfn.XLOOKUP(packes[[#This Row],[productId]],bom[Id],bom[wgt])</f>
        <v>2.7237354085603114</v>
      </c>
      <c r="F732" s="27">
        <f>packes[[#This Row],[num]]*packes[[#This Row],[wtg]]</f>
        <v>117.1206225680934</v>
      </c>
      <c r="G732" s="357">
        <v>12</v>
      </c>
      <c r="H732" s="21">
        <f>packes[[#This Row],[num]]-SUM(packes[[#This Row],[num2]])</f>
        <v>43</v>
      </c>
      <c r="I732" s="357"/>
      <c r="J732" s="21"/>
      <c r="K732" s="323"/>
      <c r="M732" s="27">
        <f>_xlfn.XLOOKUP(packes[[#This Row],[productId]],CT[productId],CT[total],"NA")</f>
        <v>233.215</v>
      </c>
      <c r="N732" s="20" t="str">
        <f>_xlfn.XLOOKUP(packes[[#This Row],[productId]],bom[Id],bom[ph],"NA")</f>
        <v>molex</v>
      </c>
      <c r="O732" s="20" t="str">
        <f>_xlfn.XLOOKUP(packes[[#This Row],[productId]],bom[Id],bom[erth],"NA")</f>
        <v>-</v>
      </c>
      <c r="P732" s="20" t="str">
        <f>_xlfn.XLOOKUP(packes[[#This Row],[productId]],bom[Id],bom[dbl],"NA")</f>
        <v>splice</v>
      </c>
      <c r="Q732" s="20" t="str">
        <f>LEFT(packes[[#This Row],[date]],4)</f>
        <v>1404</v>
      </c>
    </row>
    <row r="733" spans="1:17" ht="16.5" x14ac:dyDescent="0.25">
      <c r="A733" s="23">
        <v>730</v>
      </c>
      <c r="B733" s="30" t="s">
        <v>711</v>
      </c>
      <c r="C733" s="23">
        <v>140310031</v>
      </c>
      <c r="D733" s="23">
        <v>514</v>
      </c>
      <c r="E733" s="27">
        <f>_xlfn.XLOOKUP(packes[[#This Row],[productId]],bom[Id],bom[wgt])</f>
        <v>1.9455252918287937</v>
      </c>
      <c r="F733" s="27">
        <f>packes[[#This Row],[num]]*packes[[#This Row],[wtg]]</f>
        <v>1000</v>
      </c>
      <c r="G733" s="357">
        <v>2</v>
      </c>
      <c r="H733" s="21">
        <f>packes[[#This Row],[num]]-SUM(packes[[#This Row],[num2]])</f>
        <v>514</v>
      </c>
      <c r="I733" s="357"/>
      <c r="J733" s="21"/>
      <c r="K733" s="323"/>
      <c r="M733" s="27">
        <f>_xlfn.XLOOKUP(packes[[#This Row],[productId]],CT[productId],CT[total],"NA")</f>
        <v>202.96500000000003</v>
      </c>
      <c r="N733" s="20">
        <f>_xlfn.XLOOKUP(packes[[#This Row],[productId]],bom[Id],bom[ph],"NA")</f>
        <v>461</v>
      </c>
      <c r="O733" s="20" t="str">
        <f>_xlfn.XLOOKUP(packes[[#This Row],[productId]],bom[Id],bom[erth],"NA")</f>
        <v>nut4</v>
      </c>
      <c r="P733" s="20" t="str">
        <f>_xlfn.XLOOKUP(packes[[#This Row],[productId]],bom[Id],bom[dbl],"NA")</f>
        <v>-</v>
      </c>
      <c r="Q733" s="20" t="str">
        <f>LEFT(packes[[#This Row],[date]],4)</f>
        <v>1404</v>
      </c>
    </row>
    <row r="734" spans="1:17" ht="16.5" x14ac:dyDescent="0.25">
      <c r="A734" s="23">
        <v>731</v>
      </c>
      <c r="B734" s="30" t="s">
        <v>711</v>
      </c>
      <c r="C734" s="23">
        <v>140310058</v>
      </c>
      <c r="D734" s="23">
        <v>450</v>
      </c>
      <c r="E734" s="27">
        <f>_xlfn.XLOOKUP(packes[[#This Row],[productId]],bom[Id],bom[wgt])</f>
        <v>1.3469021251122417</v>
      </c>
      <c r="F734" s="27">
        <f>packes[[#This Row],[num]]*packes[[#This Row],[wtg]]</f>
        <v>606.10595630050875</v>
      </c>
      <c r="G734" s="357">
        <v>2</v>
      </c>
      <c r="H734" s="21">
        <f>packes[[#This Row],[num]]-SUM(packes[[#This Row],[num2]])</f>
        <v>450</v>
      </c>
      <c r="I734" s="357"/>
      <c r="J734" s="21"/>
      <c r="K734" s="323"/>
      <c r="M734" s="27">
        <f>_xlfn.XLOOKUP(packes[[#This Row],[productId]],CT[productId],CT[total],"NA")</f>
        <v>147.595</v>
      </c>
      <c r="N734" s="20" t="str">
        <f>_xlfn.XLOOKUP(packes[[#This Row],[productId]],bom[Id],bom[ph],"NA")</f>
        <v>nar.p</v>
      </c>
      <c r="O734" s="20" t="str">
        <f>_xlfn.XLOOKUP(packes[[#This Row],[productId]],bom[Id],bom[erth],"NA")</f>
        <v>nar.p</v>
      </c>
      <c r="P734" s="20" t="str">
        <f>_xlfn.XLOOKUP(packes[[#This Row],[productId]],bom[Id],bom[dbl],"NA")</f>
        <v>nar.p</v>
      </c>
      <c r="Q734" s="20" t="str">
        <f>LEFT(packes[[#This Row],[date]],4)</f>
        <v>1404</v>
      </c>
    </row>
    <row r="735" spans="1:17" ht="16.5" x14ac:dyDescent="0.25">
      <c r="A735" s="23">
        <v>732</v>
      </c>
      <c r="B735" s="30" t="s">
        <v>711</v>
      </c>
      <c r="C735" s="23">
        <v>140220012</v>
      </c>
      <c r="D735" s="23">
        <v>15</v>
      </c>
      <c r="E735" s="27">
        <f>_xlfn.XLOOKUP(packes[[#This Row],[productId]],bom[Id],bom[wgt])</f>
        <v>1.9455252918287937</v>
      </c>
      <c r="F735" s="27">
        <f>packes[[#This Row],[num]]*packes[[#This Row],[wtg]]</f>
        <v>29.182879377431906</v>
      </c>
      <c r="G735" s="357">
        <v>12</v>
      </c>
      <c r="H735" s="21">
        <f>packes[[#This Row],[num]]-SUM(packes[[#This Row],[num2]])</f>
        <v>15</v>
      </c>
      <c r="I735" s="357"/>
      <c r="J735" s="21"/>
      <c r="K735" s="323"/>
      <c r="M735" s="27">
        <f>_xlfn.XLOOKUP(packes[[#This Row],[productId]],CT[productId],CT[total],"NA")</f>
        <v>192.86500000000001</v>
      </c>
      <c r="N735" s="20" t="str">
        <f>_xlfn.XLOOKUP(packes[[#This Row],[productId]],bom[Id],bom[ph],"NA")</f>
        <v>flag</v>
      </c>
      <c r="O735" s="20" t="str">
        <f>_xlfn.XLOOKUP(packes[[#This Row],[productId]],bom[Id],bom[erth],"NA")</f>
        <v>sun</v>
      </c>
      <c r="P735" s="20" t="str">
        <f>_xlfn.XLOOKUP(packes[[#This Row],[productId]],bom[Id],bom[dbl],"NA")</f>
        <v>-</v>
      </c>
      <c r="Q735" s="20" t="str">
        <f>LEFT(packes[[#This Row],[date]],4)</f>
        <v>1404</v>
      </c>
    </row>
    <row r="736" spans="1:17" ht="16.5" x14ac:dyDescent="0.25">
      <c r="A736" s="23">
        <v>733</v>
      </c>
      <c r="B736" s="30" t="s">
        <v>711</v>
      </c>
      <c r="C736" s="23">
        <v>141320055</v>
      </c>
      <c r="D736" s="23">
        <v>2200</v>
      </c>
      <c r="E736" s="27">
        <f>_xlfn.XLOOKUP(packes[[#This Row],[productId]],bom[Id],bom[wgt])</f>
        <v>1.1274069639828395</v>
      </c>
      <c r="F736" s="27">
        <f>packes[[#This Row],[num]]*packes[[#This Row],[wtg]]</f>
        <v>2480.2953207622468</v>
      </c>
      <c r="G736" s="357">
        <v>2</v>
      </c>
      <c r="H736" s="21">
        <f>packes[[#This Row],[num]]-SUM(packes[[#This Row],[num2]])</f>
        <v>2200</v>
      </c>
      <c r="I736" s="357"/>
      <c r="J736" s="21"/>
      <c r="K736" s="323"/>
      <c r="M736" s="27">
        <f>_xlfn.XLOOKUP(packes[[#This Row],[productId]],CT[productId],CT[total],"NA")</f>
        <v>41.13</v>
      </c>
      <c r="N736" s="20">
        <f>_xlfn.XLOOKUP(packes[[#This Row],[productId]],bom[Id],bom[ph],"NA")</f>
        <v>0</v>
      </c>
      <c r="O736" s="20">
        <f>_xlfn.XLOOKUP(packes[[#This Row],[productId]],bom[Id],bom[erth],"NA")</f>
        <v>0</v>
      </c>
      <c r="P736" s="20">
        <f>_xlfn.XLOOKUP(packes[[#This Row],[productId]],bom[Id],bom[dbl],"NA")</f>
        <v>0</v>
      </c>
      <c r="Q736" s="20" t="str">
        <f>LEFT(packes[[#This Row],[date]],4)</f>
        <v>1404</v>
      </c>
    </row>
    <row r="737" spans="1:17" ht="16.5" x14ac:dyDescent="0.25">
      <c r="A737" s="23">
        <v>734</v>
      </c>
      <c r="B737" s="30" t="s">
        <v>712</v>
      </c>
      <c r="C737" s="23">
        <v>140010230</v>
      </c>
      <c r="D737" s="23">
        <v>1000</v>
      </c>
      <c r="E737" s="27">
        <f>_xlfn.XLOOKUP(packes[[#This Row],[productId]],bom[Id],bom[wgt])</f>
        <v>1.4486680634540554</v>
      </c>
      <c r="F737" s="27">
        <f>packes[[#This Row],[num]]*packes[[#This Row],[wtg]]</f>
        <v>1448.6680634540553</v>
      </c>
      <c r="G737" s="357">
        <v>2</v>
      </c>
      <c r="H737" s="21">
        <f>packes[[#This Row],[num]]-SUM(packes[[#This Row],[num2]])</f>
        <v>1000</v>
      </c>
      <c r="I737" s="357"/>
      <c r="J737" s="21"/>
      <c r="K737" s="323"/>
      <c r="M737" s="27">
        <f>_xlfn.XLOOKUP(packes[[#This Row],[productId]],CT[productId],CT[total],"NA")</f>
        <v>147.595</v>
      </c>
      <c r="N737" s="20" t="str">
        <f>_xlfn.XLOOKUP(packes[[#This Row],[productId]],bom[Id],bom[ph],"NA")</f>
        <v>nar.p</v>
      </c>
      <c r="O737" s="20" t="str">
        <f>_xlfn.XLOOKUP(packes[[#This Row],[productId]],bom[Id],bom[erth],"NA")</f>
        <v>-</v>
      </c>
      <c r="P737" s="20" t="str">
        <f>_xlfn.XLOOKUP(packes[[#This Row],[productId]],bom[Id],bom[dbl],"NA")</f>
        <v>nar.p</v>
      </c>
      <c r="Q737" s="20" t="str">
        <f>LEFT(packes[[#This Row],[date]],4)</f>
        <v>1404</v>
      </c>
    </row>
    <row r="738" spans="1:17" ht="16.5" x14ac:dyDescent="0.25">
      <c r="A738" s="23">
        <v>735</v>
      </c>
      <c r="B738" s="30" t="s">
        <v>712</v>
      </c>
      <c r="C738" s="23">
        <v>140310058</v>
      </c>
      <c r="D738" s="23">
        <v>1950</v>
      </c>
      <c r="E738" s="27">
        <f>_xlfn.XLOOKUP(packes[[#This Row],[productId]],bom[Id],bom[wgt])</f>
        <v>1.3469021251122417</v>
      </c>
      <c r="F738" s="27">
        <f>packes[[#This Row],[num]]*packes[[#This Row],[wtg]]</f>
        <v>2626.4591439688716</v>
      </c>
      <c r="G738" s="357">
        <v>2</v>
      </c>
      <c r="H738" s="21">
        <f>packes[[#This Row],[num]]-SUM(packes[[#This Row],[num2]])</f>
        <v>1950</v>
      </c>
      <c r="I738" s="357"/>
      <c r="J738" s="21"/>
      <c r="K738" s="323"/>
      <c r="M738" s="27">
        <f>_xlfn.XLOOKUP(packes[[#This Row],[productId]],CT[productId],CT[total],"NA")</f>
        <v>147.595</v>
      </c>
      <c r="N738" s="20" t="str">
        <f>_xlfn.XLOOKUP(packes[[#This Row],[productId]],bom[Id],bom[ph],"NA")</f>
        <v>nar.p</v>
      </c>
      <c r="O738" s="20" t="str">
        <f>_xlfn.XLOOKUP(packes[[#This Row],[productId]],bom[Id],bom[erth],"NA")</f>
        <v>nar.p</v>
      </c>
      <c r="P738" s="20" t="str">
        <f>_xlfn.XLOOKUP(packes[[#This Row],[productId]],bom[Id],bom[dbl],"NA")</f>
        <v>nar.p</v>
      </c>
      <c r="Q738" s="20" t="str">
        <f>LEFT(packes[[#This Row],[date]],4)</f>
        <v>1404</v>
      </c>
    </row>
    <row r="739" spans="1:17" ht="16.5" x14ac:dyDescent="0.25">
      <c r="A739" s="23">
        <v>736</v>
      </c>
      <c r="B739" s="30" t="s">
        <v>712</v>
      </c>
      <c r="C739" s="23">
        <v>141320055</v>
      </c>
      <c r="D739" s="23">
        <v>900</v>
      </c>
      <c r="E739" s="27">
        <f>_xlfn.XLOOKUP(packes[[#This Row],[productId]],bom[Id],bom[wgt])</f>
        <v>1.1274069639828395</v>
      </c>
      <c r="F739" s="27">
        <f>packes[[#This Row],[num]]*packes[[#This Row],[wtg]]</f>
        <v>1014.6662675845555</v>
      </c>
      <c r="G739" s="357">
        <v>2</v>
      </c>
      <c r="H739" s="21">
        <f>packes[[#This Row],[num]]-SUM(packes[[#This Row],[num2]])</f>
        <v>900</v>
      </c>
      <c r="I739" s="357"/>
      <c r="J739" s="21"/>
      <c r="K739" s="323"/>
      <c r="M739" s="27">
        <f>_xlfn.XLOOKUP(packes[[#This Row],[productId]],CT[productId],CT[total],"NA")</f>
        <v>41.13</v>
      </c>
      <c r="N739" s="20">
        <f>_xlfn.XLOOKUP(packes[[#This Row],[productId]],bom[Id],bom[ph],"NA")</f>
        <v>0</v>
      </c>
      <c r="O739" s="20">
        <f>_xlfn.XLOOKUP(packes[[#This Row],[productId]],bom[Id],bom[erth],"NA")</f>
        <v>0</v>
      </c>
      <c r="P739" s="20">
        <f>_xlfn.XLOOKUP(packes[[#This Row],[productId]],bom[Id],bom[dbl],"NA")</f>
        <v>0</v>
      </c>
      <c r="Q739" s="20" t="str">
        <f>LEFT(packes[[#This Row],[date]],4)</f>
        <v>1404</v>
      </c>
    </row>
    <row r="740" spans="1:17" ht="16.5" x14ac:dyDescent="0.25">
      <c r="A740" s="23">
        <v>737</v>
      </c>
      <c r="B740" s="30" t="s">
        <v>713</v>
      </c>
      <c r="C740" s="23">
        <v>140010230</v>
      </c>
      <c r="D740" s="23">
        <v>2350</v>
      </c>
      <c r="E740" s="27">
        <f>_xlfn.XLOOKUP(packes[[#This Row],[productId]],bom[Id],bom[wgt])</f>
        <v>1.4486680634540554</v>
      </c>
      <c r="F740" s="27">
        <f>packes[[#This Row],[num]]*packes[[#This Row],[wtg]]</f>
        <v>3404.36994911703</v>
      </c>
      <c r="G740" s="357">
        <v>2</v>
      </c>
      <c r="H740" s="21">
        <f>packes[[#This Row],[num]]-SUM(packes[[#This Row],[num2]])</f>
        <v>2350</v>
      </c>
      <c r="I740" s="357"/>
      <c r="J740" s="21"/>
      <c r="K740" s="323"/>
      <c r="M740" s="27">
        <f>_xlfn.XLOOKUP(packes[[#This Row],[productId]],CT[productId],CT[total],"NA")</f>
        <v>147.595</v>
      </c>
      <c r="N740" s="20" t="str">
        <f>_xlfn.XLOOKUP(packes[[#This Row],[productId]],bom[Id],bom[ph],"NA")</f>
        <v>nar.p</v>
      </c>
      <c r="O740" s="20" t="str">
        <f>_xlfn.XLOOKUP(packes[[#This Row],[productId]],bom[Id],bom[erth],"NA")</f>
        <v>-</v>
      </c>
      <c r="P740" s="20" t="str">
        <f>_xlfn.XLOOKUP(packes[[#This Row],[productId]],bom[Id],bom[dbl],"NA")</f>
        <v>nar.p</v>
      </c>
      <c r="Q740" s="20" t="str">
        <f>LEFT(packes[[#This Row],[date]],4)</f>
        <v>1404</v>
      </c>
    </row>
    <row r="741" spans="1:17" ht="16.5" x14ac:dyDescent="0.25">
      <c r="A741" s="23">
        <v>738</v>
      </c>
      <c r="B741" s="30" t="s">
        <v>713</v>
      </c>
      <c r="C741" s="23">
        <v>140030040</v>
      </c>
      <c r="D741" s="23">
        <v>1400</v>
      </c>
      <c r="E741" s="27">
        <f>_xlfn.XLOOKUP(packes[[#This Row],[productId]],bom[Id],bom[wgt])</f>
        <v>1.1092487279257708</v>
      </c>
      <c r="F741" s="27">
        <f>packes[[#This Row],[num]]*packes[[#This Row],[wtg]]</f>
        <v>1552.9482190960791</v>
      </c>
      <c r="G741" s="357" t="s">
        <v>1070</v>
      </c>
      <c r="H741" s="21">
        <f>packes[[#This Row],[num]]-SUM(packes[[#This Row],[num2]])</f>
        <v>1400</v>
      </c>
      <c r="I741" s="357"/>
      <c r="J741" s="21"/>
      <c r="K741" s="323"/>
      <c r="M741" s="27">
        <f>_xlfn.XLOOKUP(packes[[#This Row],[productId]],CT[productId],CT[total],"NA")</f>
        <v>97.305000000000007</v>
      </c>
      <c r="N741" s="20" t="str">
        <f>_xlfn.XLOOKUP(packes[[#This Row],[productId]],bom[Id],bom[ph],"NA")</f>
        <v>YH</v>
      </c>
      <c r="O741" s="20" t="str">
        <f>_xlfn.XLOOKUP(packes[[#This Row],[productId]],bom[Id],bom[erth],"NA")</f>
        <v>sun</v>
      </c>
      <c r="P741" s="20" t="str">
        <f>_xlfn.XLOOKUP(packes[[#This Row],[productId]],bom[Id],bom[dbl],"NA")</f>
        <v>-</v>
      </c>
      <c r="Q741" s="20" t="str">
        <f>LEFT(packes[[#This Row],[date]],4)</f>
        <v>1404</v>
      </c>
    </row>
    <row r="742" spans="1:17" ht="16.5" x14ac:dyDescent="0.25">
      <c r="A742" s="23">
        <v>739</v>
      </c>
      <c r="B742" s="30" t="s">
        <v>714</v>
      </c>
      <c r="C742" s="23">
        <v>140010230</v>
      </c>
      <c r="D742" s="23">
        <v>3450</v>
      </c>
      <c r="E742" s="27">
        <f>_xlfn.XLOOKUP(packes[[#This Row],[productId]],bom[Id],bom[wgt])</f>
        <v>1.4486680634540554</v>
      </c>
      <c r="F742" s="27">
        <f>packes[[#This Row],[num]]*packes[[#This Row],[wtg]]</f>
        <v>4997.9048189164914</v>
      </c>
      <c r="G742" s="357">
        <v>2</v>
      </c>
      <c r="H742" s="21">
        <f>packes[[#This Row],[num]]-SUM(packes[[#This Row],[num2]])</f>
        <v>3450</v>
      </c>
      <c r="I742" s="357"/>
      <c r="J742" s="21"/>
      <c r="K742" s="323"/>
      <c r="M742" s="27">
        <f>_xlfn.XLOOKUP(packes[[#This Row],[productId]],CT[productId],CT[total],"NA")</f>
        <v>147.595</v>
      </c>
      <c r="N742" s="20" t="str">
        <f>_xlfn.XLOOKUP(packes[[#This Row],[productId]],bom[Id],bom[ph],"NA")</f>
        <v>nar.p</v>
      </c>
      <c r="O742" s="20" t="str">
        <f>_xlfn.XLOOKUP(packes[[#This Row],[productId]],bom[Id],bom[erth],"NA")</f>
        <v>-</v>
      </c>
      <c r="P742" s="20" t="str">
        <f>_xlfn.XLOOKUP(packes[[#This Row],[productId]],bom[Id],bom[dbl],"NA")</f>
        <v>nar.p</v>
      </c>
      <c r="Q742" s="20" t="str">
        <f>LEFT(packes[[#This Row],[date]],4)</f>
        <v>1404</v>
      </c>
    </row>
    <row r="743" spans="1:17" ht="16.5" x14ac:dyDescent="0.25">
      <c r="A743" s="23">
        <v>740</v>
      </c>
      <c r="B743" s="30" t="s">
        <v>256</v>
      </c>
      <c r="C743" s="23">
        <v>140010117</v>
      </c>
      <c r="D743" s="23">
        <v>1800</v>
      </c>
      <c r="E743" s="27">
        <f>_xlfn.XLOOKUP(packes[[#This Row],[productId]],bom[Id],bom[wgt])</f>
        <v>1</v>
      </c>
      <c r="F743" s="27">
        <f>packes[[#This Row],[num]]*packes[[#This Row],[wtg]]</f>
        <v>1800</v>
      </c>
      <c r="G743" s="357">
        <v>2</v>
      </c>
      <c r="H743" s="21">
        <f>packes[[#This Row],[num]]-SUM(packes[[#This Row],[num2]])</f>
        <v>1325</v>
      </c>
      <c r="I743" s="357" t="s">
        <v>1070</v>
      </c>
      <c r="J743" s="21">
        <v>475</v>
      </c>
      <c r="K743" s="323"/>
      <c r="M743" s="27">
        <f>_xlfn.XLOOKUP(packes[[#This Row],[productId]],CT[productId],CT[total],"NA")</f>
        <v>98.295000000000016</v>
      </c>
      <c r="N743" s="20" t="str">
        <f>_xlfn.XLOOKUP(packes[[#This Row],[productId]],bom[Id],bom[ph],"NA")</f>
        <v>nar.p</v>
      </c>
      <c r="O743" s="20" t="str">
        <f>_xlfn.XLOOKUP(packes[[#This Row],[productId]],bom[Id],bom[erth],"NA")</f>
        <v>-</v>
      </c>
      <c r="P743" s="20" t="str">
        <f>_xlfn.XLOOKUP(packes[[#This Row],[productId]],bom[Id],bom[dbl],"NA")</f>
        <v>nar.p</v>
      </c>
      <c r="Q743" s="20" t="str">
        <f>LEFT(packes[[#This Row],[date]],4)</f>
        <v>1404</v>
      </c>
    </row>
    <row r="744" spans="1:17" ht="16.5" x14ac:dyDescent="0.25">
      <c r="A744" s="23">
        <v>741</v>
      </c>
      <c r="B744" s="30" t="s">
        <v>256</v>
      </c>
      <c r="C744" s="23">
        <v>140010230</v>
      </c>
      <c r="D744" s="23">
        <v>1800</v>
      </c>
      <c r="E744" s="27">
        <f>_xlfn.XLOOKUP(packes[[#This Row],[productId]],bom[Id],bom[wgt])</f>
        <v>1.4486680634540554</v>
      </c>
      <c r="F744" s="27">
        <f>packes[[#This Row],[num]]*packes[[#This Row],[wtg]]</f>
        <v>2607.6025142172998</v>
      </c>
      <c r="G744" s="357">
        <v>2</v>
      </c>
      <c r="H744" s="21">
        <f>packes[[#This Row],[num]]-SUM(packes[[#This Row],[num2]])</f>
        <v>1800</v>
      </c>
      <c r="I744" s="357"/>
      <c r="J744" s="21"/>
      <c r="K744" s="323"/>
      <c r="M744" s="27">
        <f>_xlfn.XLOOKUP(packes[[#This Row],[productId]],CT[productId],CT[total],"NA")</f>
        <v>147.595</v>
      </c>
      <c r="N744" s="20" t="str">
        <f>_xlfn.XLOOKUP(packes[[#This Row],[productId]],bom[Id],bom[ph],"NA")</f>
        <v>nar.p</v>
      </c>
      <c r="O744" s="20" t="str">
        <f>_xlfn.XLOOKUP(packes[[#This Row],[productId]],bom[Id],bom[erth],"NA")</f>
        <v>-</v>
      </c>
      <c r="P744" s="20" t="str">
        <f>_xlfn.XLOOKUP(packes[[#This Row],[productId]],bom[Id],bom[dbl],"NA")</f>
        <v>nar.p</v>
      </c>
      <c r="Q744" s="20" t="str">
        <f>LEFT(packes[[#This Row],[date]],4)</f>
        <v>1404</v>
      </c>
    </row>
    <row r="745" spans="1:17" ht="16.5" x14ac:dyDescent="0.25">
      <c r="A745" s="23">
        <v>742</v>
      </c>
      <c r="B745" s="30" t="s">
        <v>256</v>
      </c>
      <c r="C745" s="23">
        <v>140030039</v>
      </c>
      <c r="D745" s="23">
        <v>400</v>
      </c>
      <c r="E745" s="27">
        <f>_xlfn.XLOOKUP(packes[[#This Row],[productId]],bom[Id],bom[wgt])</f>
        <v>1.1413748378728923</v>
      </c>
      <c r="F745" s="27">
        <f>packes[[#This Row],[num]]*packes[[#This Row],[wtg]]</f>
        <v>456.54993514915691</v>
      </c>
      <c r="G745" s="357" t="s">
        <v>1070</v>
      </c>
      <c r="H745" s="21">
        <f>packes[[#This Row],[num]]-SUM(packes[[#This Row],[num2]])</f>
        <v>400</v>
      </c>
      <c r="I745" s="357"/>
      <c r="J745" s="21"/>
      <c r="K745" s="323"/>
      <c r="M745" s="27">
        <f>_xlfn.XLOOKUP(packes[[#This Row],[productId]],CT[productId],CT[total],"NA")</f>
        <v>92.504999999999995</v>
      </c>
      <c r="N745" s="20" t="str">
        <f>_xlfn.XLOOKUP(packes[[#This Row],[productId]],bom[Id],bom[ph],"NA")</f>
        <v>YH</v>
      </c>
      <c r="O745" s="20" t="str">
        <f>_xlfn.XLOOKUP(packes[[#This Row],[productId]],bom[Id],bom[erth],"NA")</f>
        <v>sun</v>
      </c>
      <c r="P745" s="20" t="str">
        <f>_xlfn.XLOOKUP(packes[[#This Row],[productId]],bom[Id],bom[dbl],"NA")</f>
        <v>-</v>
      </c>
      <c r="Q745" s="20" t="str">
        <f>LEFT(packes[[#This Row],[date]],4)</f>
        <v>1404</v>
      </c>
    </row>
    <row r="746" spans="1:17" ht="16.5" x14ac:dyDescent="0.25">
      <c r="A746" s="23">
        <v>743</v>
      </c>
      <c r="B746" s="30" t="s">
        <v>256</v>
      </c>
      <c r="C746" s="23">
        <v>140030040</v>
      </c>
      <c r="D746" s="23">
        <v>100</v>
      </c>
      <c r="E746" s="27">
        <f>_xlfn.XLOOKUP(packes[[#This Row],[productId]],bom[Id],bom[wgt])</f>
        <v>1.1092487279257708</v>
      </c>
      <c r="F746" s="27">
        <f>packes[[#This Row],[num]]*packes[[#This Row],[wtg]]</f>
        <v>110.92487279257708</v>
      </c>
      <c r="G746" s="357" t="s">
        <v>1070</v>
      </c>
      <c r="H746" s="21">
        <f>packes[[#This Row],[num]]-SUM(packes[[#This Row],[num2]])</f>
        <v>100</v>
      </c>
      <c r="I746" s="357"/>
      <c r="J746" s="21"/>
      <c r="K746" s="323"/>
      <c r="M746" s="27">
        <f>_xlfn.XLOOKUP(packes[[#This Row],[productId]],CT[productId],CT[total],"NA")</f>
        <v>97.305000000000007</v>
      </c>
      <c r="N746" s="20" t="str">
        <f>_xlfn.XLOOKUP(packes[[#This Row],[productId]],bom[Id],bom[ph],"NA")</f>
        <v>YH</v>
      </c>
      <c r="O746" s="20" t="str">
        <f>_xlfn.XLOOKUP(packes[[#This Row],[productId]],bom[Id],bom[erth],"NA")</f>
        <v>sun</v>
      </c>
      <c r="P746" s="20" t="str">
        <f>_xlfn.XLOOKUP(packes[[#This Row],[productId]],bom[Id],bom[dbl],"NA")</f>
        <v>-</v>
      </c>
      <c r="Q746" s="20" t="str">
        <f>LEFT(packes[[#This Row],[date]],4)</f>
        <v>1404</v>
      </c>
    </row>
    <row r="747" spans="1:17" ht="16.5" x14ac:dyDescent="0.25">
      <c r="A747" s="23">
        <v>744</v>
      </c>
      <c r="B747" s="30" t="s">
        <v>282</v>
      </c>
      <c r="C747" s="23">
        <v>140010117</v>
      </c>
      <c r="D747" s="23">
        <v>1275</v>
      </c>
      <c r="E747" s="27">
        <f>_xlfn.XLOOKUP(packes[[#This Row],[productId]],bom[Id],bom[wgt])</f>
        <v>1</v>
      </c>
      <c r="F747" s="27">
        <f>packes[[#This Row],[num]]*packes[[#This Row],[wtg]]</f>
        <v>1275</v>
      </c>
      <c r="G747" s="357" t="s">
        <v>1070</v>
      </c>
      <c r="H747" s="21">
        <f>packes[[#This Row],[num]]-SUM(packes[[#This Row],[num2]])</f>
        <v>1275</v>
      </c>
      <c r="I747" s="357"/>
      <c r="J747" s="21"/>
      <c r="K747" s="323"/>
      <c r="M747" s="27">
        <f>_xlfn.XLOOKUP(packes[[#This Row],[productId]],CT[productId],CT[total],"NA")</f>
        <v>98.295000000000016</v>
      </c>
      <c r="N747" s="20" t="str">
        <f>_xlfn.XLOOKUP(packes[[#This Row],[productId]],bom[Id],bom[ph],"NA")</f>
        <v>nar.p</v>
      </c>
      <c r="O747" s="20" t="str">
        <f>_xlfn.XLOOKUP(packes[[#This Row],[productId]],bom[Id],bom[erth],"NA")</f>
        <v>-</v>
      </c>
      <c r="P747" s="20" t="str">
        <f>_xlfn.XLOOKUP(packes[[#This Row],[productId]],bom[Id],bom[dbl],"NA")</f>
        <v>nar.p</v>
      </c>
      <c r="Q747" s="20" t="str">
        <f>LEFT(packes[[#This Row],[date]],4)</f>
        <v>1404</v>
      </c>
    </row>
    <row r="748" spans="1:17" ht="16.5" x14ac:dyDescent="0.25">
      <c r="A748" s="23">
        <v>745</v>
      </c>
      <c r="B748" s="30" t="s">
        <v>282</v>
      </c>
      <c r="C748" s="23">
        <v>140010230</v>
      </c>
      <c r="D748" s="23">
        <v>450</v>
      </c>
      <c r="E748" s="27">
        <f>_xlfn.XLOOKUP(packes[[#This Row],[productId]],bom[Id],bom[wgt])</f>
        <v>1.4486680634540554</v>
      </c>
      <c r="F748" s="27">
        <f>packes[[#This Row],[num]]*packes[[#This Row],[wtg]]</f>
        <v>651.90062855432495</v>
      </c>
      <c r="G748" s="357">
        <v>2</v>
      </c>
      <c r="H748" s="21">
        <f>packes[[#This Row],[num]]-SUM(packes[[#This Row],[num2]])</f>
        <v>450</v>
      </c>
      <c r="I748" s="357"/>
      <c r="J748" s="21"/>
      <c r="K748" s="323"/>
      <c r="M748" s="27">
        <f>_xlfn.XLOOKUP(packes[[#This Row],[productId]],CT[productId],CT[total],"NA")</f>
        <v>147.595</v>
      </c>
      <c r="N748" s="20" t="str">
        <f>_xlfn.XLOOKUP(packes[[#This Row],[productId]],bom[Id],bom[ph],"NA")</f>
        <v>nar.p</v>
      </c>
      <c r="O748" s="20" t="str">
        <f>_xlfn.XLOOKUP(packes[[#This Row],[productId]],bom[Id],bom[erth],"NA")</f>
        <v>-</v>
      </c>
      <c r="P748" s="20" t="str">
        <f>_xlfn.XLOOKUP(packes[[#This Row],[productId]],bom[Id],bom[dbl],"NA")</f>
        <v>nar.p</v>
      </c>
      <c r="Q748" s="20" t="str">
        <f>LEFT(packes[[#This Row],[date]],4)</f>
        <v>1404</v>
      </c>
    </row>
    <row r="749" spans="1:17" ht="16.5" x14ac:dyDescent="0.25">
      <c r="A749" s="23">
        <v>746</v>
      </c>
      <c r="B749" s="30" t="s">
        <v>282</v>
      </c>
      <c r="C749" s="23">
        <v>140020181</v>
      </c>
      <c r="D749" s="23">
        <v>300</v>
      </c>
      <c r="E749" s="27">
        <f>_xlfn.XLOOKUP(packes[[#This Row],[productId]],bom[Id],bom[wgt])</f>
        <v>1.2670857028833682</v>
      </c>
      <c r="F749" s="27">
        <f>packes[[#This Row],[num]]*packes[[#This Row],[wtg]]</f>
        <v>380.12571086501043</v>
      </c>
      <c r="G749" s="357">
        <v>3</v>
      </c>
      <c r="H749" s="21">
        <f>packes[[#This Row],[num]]-SUM(packes[[#This Row],[num2]])</f>
        <v>300</v>
      </c>
      <c r="I749" s="357"/>
      <c r="J749" s="21"/>
      <c r="K749" s="323"/>
      <c r="M749" s="27">
        <f>_xlfn.XLOOKUP(packes[[#This Row],[productId]],CT[productId],CT[total],"NA")</f>
        <v>88.929999999999993</v>
      </c>
      <c r="N749" s="20" t="str">
        <f>_xlfn.XLOOKUP(packes[[#This Row],[productId]],bom[Id],bom[ph],"NA")</f>
        <v>VH</v>
      </c>
      <c r="O749" s="20" t="str">
        <f>_xlfn.XLOOKUP(packes[[#This Row],[productId]],bom[Id],bom[erth],"NA")</f>
        <v>nut4</v>
      </c>
      <c r="P749" s="20" t="str">
        <f>_xlfn.XLOOKUP(packes[[#This Row],[productId]],bom[Id],bom[dbl],"NA")</f>
        <v>-</v>
      </c>
      <c r="Q749" s="20" t="str">
        <f>LEFT(packes[[#This Row],[date]],4)</f>
        <v>1404</v>
      </c>
    </row>
    <row r="750" spans="1:17" ht="16.5" x14ac:dyDescent="0.25">
      <c r="A750" s="23">
        <v>747</v>
      </c>
      <c r="B750" s="30" t="s">
        <v>717</v>
      </c>
      <c r="C750" s="23">
        <v>140010117</v>
      </c>
      <c r="D750" s="23">
        <v>825</v>
      </c>
      <c r="E750" s="27">
        <f>_xlfn.XLOOKUP(packes[[#This Row],[productId]],bom[Id],bom[wgt])</f>
        <v>1</v>
      </c>
      <c r="F750" s="27">
        <f>packes[[#This Row],[num]]*packes[[#This Row],[wtg]]</f>
        <v>825</v>
      </c>
      <c r="G750" s="357" t="s">
        <v>1070</v>
      </c>
      <c r="H750" s="21">
        <f>packes[[#This Row],[num]]-SUM(packes[[#This Row],[num2]])</f>
        <v>825</v>
      </c>
      <c r="I750" s="357"/>
      <c r="J750" s="21"/>
      <c r="K750" s="323"/>
      <c r="M750" s="27">
        <f>_xlfn.XLOOKUP(packes[[#This Row],[productId]],CT[productId],CT[total],"NA")</f>
        <v>98.295000000000016</v>
      </c>
      <c r="N750" s="20" t="str">
        <f>_xlfn.XLOOKUP(packes[[#This Row],[productId]],bom[Id],bom[ph],"NA")</f>
        <v>nar.p</v>
      </c>
      <c r="O750" s="20" t="str">
        <f>_xlfn.XLOOKUP(packes[[#This Row],[productId]],bom[Id],bom[erth],"NA")</f>
        <v>-</v>
      </c>
      <c r="P750" s="20" t="str">
        <f>_xlfn.XLOOKUP(packes[[#This Row],[productId]],bom[Id],bom[dbl],"NA")</f>
        <v>nar.p</v>
      </c>
      <c r="Q750" s="20" t="str">
        <f>LEFT(packes[[#This Row],[date]],4)</f>
        <v>1404</v>
      </c>
    </row>
    <row r="751" spans="1:17" ht="16.5" x14ac:dyDescent="0.25">
      <c r="A751" s="23">
        <v>748</v>
      </c>
      <c r="B751" s="30" t="s">
        <v>717</v>
      </c>
      <c r="C751" s="23">
        <v>140020181</v>
      </c>
      <c r="D751" s="23">
        <v>1350</v>
      </c>
      <c r="E751" s="27">
        <f>_xlfn.XLOOKUP(packes[[#This Row],[productId]],bom[Id],bom[wgt])</f>
        <v>1.2670857028833682</v>
      </c>
      <c r="F751" s="27">
        <f>packes[[#This Row],[num]]*packes[[#This Row],[wtg]]</f>
        <v>1710.5656988925471</v>
      </c>
      <c r="G751" s="357">
        <v>3</v>
      </c>
      <c r="H751" s="21">
        <f>packes[[#This Row],[num]]-SUM(packes[[#This Row],[num2]])</f>
        <v>1350</v>
      </c>
      <c r="I751" s="357"/>
      <c r="J751" s="21"/>
      <c r="K751" s="323"/>
      <c r="M751" s="27">
        <f>_xlfn.XLOOKUP(packes[[#This Row],[productId]],CT[productId],CT[total],"NA")</f>
        <v>88.929999999999993</v>
      </c>
      <c r="N751" s="20" t="str">
        <f>_xlfn.XLOOKUP(packes[[#This Row],[productId]],bom[Id],bom[ph],"NA")</f>
        <v>VH</v>
      </c>
      <c r="O751" s="20" t="str">
        <f>_xlfn.XLOOKUP(packes[[#This Row],[productId]],bom[Id],bom[erth],"NA")</f>
        <v>nut4</v>
      </c>
      <c r="P751" s="20" t="str">
        <f>_xlfn.XLOOKUP(packes[[#This Row],[productId]],bom[Id],bom[dbl],"NA")</f>
        <v>-</v>
      </c>
      <c r="Q751" s="20" t="str">
        <f>LEFT(packes[[#This Row],[date]],4)</f>
        <v>1404</v>
      </c>
    </row>
    <row r="752" spans="1:17" ht="16.5" x14ac:dyDescent="0.25">
      <c r="A752" s="23">
        <v>749</v>
      </c>
      <c r="B752" s="30" t="s">
        <v>283</v>
      </c>
      <c r="C752" s="23">
        <v>140010230</v>
      </c>
      <c r="D752" s="23">
        <v>500</v>
      </c>
      <c r="E752" s="27">
        <f>_xlfn.XLOOKUP(packes[[#This Row],[productId]],bom[Id],bom[wgt])</f>
        <v>1.4486680634540554</v>
      </c>
      <c r="F752" s="27">
        <f>packes[[#This Row],[num]]*packes[[#This Row],[wtg]]</f>
        <v>724.33403172702765</v>
      </c>
      <c r="G752" s="357">
        <v>2</v>
      </c>
      <c r="H752" s="21">
        <f>packes[[#This Row],[num]]-SUM(packes[[#This Row],[num2]])</f>
        <v>500</v>
      </c>
      <c r="I752" s="357"/>
      <c r="J752" s="21"/>
      <c r="K752" s="323"/>
      <c r="M752" s="27">
        <f>_xlfn.XLOOKUP(packes[[#This Row],[productId]],CT[productId],CT[total],"NA")</f>
        <v>147.595</v>
      </c>
      <c r="N752" s="20" t="str">
        <f>_xlfn.XLOOKUP(packes[[#This Row],[productId]],bom[Id],bom[ph],"NA")</f>
        <v>nar.p</v>
      </c>
      <c r="O752" s="20" t="str">
        <f>_xlfn.XLOOKUP(packes[[#This Row],[productId]],bom[Id],bom[erth],"NA")</f>
        <v>-</v>
      </c>
      <c r="P752" s="20" t="str">
        <f>_xlfn.XLOOKUP(packes[[#This Row],[productId]],bom[Id],bom[dbl],"NA")</f>
        <v>nar.p</v>
      </c>
      <c r="Q752" s="20" t="str">
        <f>LEFT(packes[[#This Row],[date]],4)</f>
        <v>1404</v>
      </c>
    </row>
    <row r="753" spans="1:17" ht="16.5" x14ac:dyDescent="0.25">
      <c r="A753" s="23">
        <v>750</v>
      </c>
      <c r="B753" s="30" t="s">
        <v>283</v>
      </c>
      <c r="C753" s="23">
        <v>140020181</v>
      </c>
      <c r="D753" s="23">
        <v>3150</v>
      </c>
      <c r="E753" s="27">
        <f>_xlfn.XLOOKUP(packes[[#This Row],[productId]],bom[Id],bom[wgt])</f>
        <v>1.2670857028833682</v>
      </c>
      <c r="F753" s="27">
        <f>packes[[#This Row],[num]]*packes[[#This Row],[wtg]]</f>
        <v>3991.3199640826097</v>
      </c>
      <c r="G753" s="357">
        <v>3</v>
      </c>
      <c r="H753" s="21">
        <f>packes[[#This Row],[num]]-SUM(packes[[#This Row],[num2]])</f>
        <v>3150</v>
      </c>
      <c r="I753" s="357"/>
      <c r="J753" s="21"/>
      <c r="K753" s="323"/>
      <c r="M753" s="27">
        <f>_xlfn.XLOOKUP(packes[[#This Row],[productId]],CT[productId],CT[total],"NA")</f>
        <v>88.929999999999993</v>
      </c>
      <c r="N753" s="20" t="str">
        <f>_xlfn.XLOOKUP(packes[[#This Row],[productId]],bom[Id],bom[ph],"NA")</f>
        <v>VH</v>
      </c>
      <c r="O753" s="20" t="str">
        <f>_xlfn.XLOOKUP(packes[[#This Row],[productId]],bom[Id],bom[erth],"NA")</f>
        <v>nut4</v>
      </c>
      <c r="P753" s="20" t="str">
        <f>_xlfn.XLOOKUP(packes[[#This Row],[productId]],bom[Id],bom[dbl],"NA")</f>
        <v>-</v>
      </c>
      <c r="Q753" s="20" t="str">
        <f>LEFT(packes[[#This Row],[date]],4)</f>
        <v>1404</v>
      </c>
    </row>
    <row r="754" spans="1:17" ht="16.5" x14ac:dyDescent="0.25">
      <c r="A754" s="23">
        <v>751</v>
      </c>
      <c r="B754" s="30" t="s">
        <v>283</v>
      </c>
      <c r="C754" s="23">
        <v>140030039</v>
      </c>
      <c r="D754" s="23">
        <v>600</v>
      </c>
      <c r="E754" s="27">
        <f>_xlfn.XLOOKUP(packes[[#This Row],[productId]],bom[Id],bom[wgt])</f>
        <v>1.1413748378728923</v>
      </c>
      <c r="F754" s="27">
        <f>packes[[#This Row],[num]]*packes[[#This Row],[wtg]]</f>
        <v>684.82490272373536</v>
      </c>
      <c r="G754" s="357" t="s">
        <v>1070</v>
      </c>
      <c r="H754" s="21">
        <f>packes[[#This Row],[num]]-SUM(packes[[#This Row],[num2]])</f>
        <v>600</v>
      </c>
      <c r="I754" s="357"/>
      <c r="J754" s="21"/>
      <c r="K754" s="323"/>
      <c r="M754" s="27">
        <f>_xlfn.XLOOKUP(packes[[#This Row],[productId]],CT[productId],CT[total],"NA")</f>
        <v>92.504999999999995</v>
      </c>
      <c r="N754" s="20" t="str">
        <f>_xlfn.XLOOKUP(packes[[#This Row],[productId]],bom[Id],bom[ph],"NA")</f>
        <v>YH</v>
      </c>
      <c r="O754" s="20" t="str">
        <f>_xlfn.XLOOKUP(packes[[#This Row],[productId]],bom[Id],bom[erth],"NA")</f>
        <v>sun</v>
      </c>
      <c r="P754" s="20" t="str">
        <f>_xlfn.XLOOKUP(packes[[#This Row],[productId]],bom[Id],bom[dbl],"NA")</f>
        <v>-</v>
      </c>
      <c r="Q754" s="20" t="str">
        <f>LEFT(packes[[#This Row],[date]],4)</f>
        <v>1404</v>
      </c>
    </row>
    <row r="755" spans="1:17" ht="16.5" x14ac:dyDescent="0.25">
      <c r="A755" s="23">
        <v>752</v>
      </c>
      <c r="B755" s="30" t="s">
        <v>257</v>
      </c>
      <c r="C755" s="23">
        <v>140010230</v>
      </c>
      <c r="D755" s="23">
        <v>1900</v>
      </c>
      <c r="E755" s="27">
        <f>_xlfn.XLOOKUP(packes[[#This Row],[productId]],bom[Id],bom[wgt])</f>
        <v>1.4486680634540554</v>
      </c>
      <c r="F755" s="27">
        <f>packes[[#This Row],[num]]*packes[[#This Row],[wtg]]</f>
        <v>2752.4693205627054</v>
      </c>
      <c r="G755" s="357">
        <v>2</v>
      </c>
      <c r="H755" s="21">
        <f>packes[[#This Row],[num]]-SUM(packes[[#This Row],[num2]])</f>
        <v>1900</v>
      </c>
      <c r="I755" s="357"/>
      <c r="J755" s="21"/>
      <c r="K755" s="323"/>
      <c r="M755" s="27">
        <f>_xlfn.XLOOKUP(packes[[#This Row],[productId]],CT[productId],CT[total],"NA")</f>
        <v>147.595</v>
      </c>
      <c r="N755" s="20" t="str">
        <f>_xlfn.XLOOKUP(packes[[#This Row],[productId]],bom[Id],bom[ph],"NA")</f>
        <v>nar.p</v>
      </c>
      <c r="O755" s="20" t="str">
        <f>_xlfn.XLOOKUP(packes[[#This Row],[productId]],bom[Id],bom[erth],"NA")</f>
        <v>-</v>
      </c>
      <c r="P755" s="20" t="str">
        <f>_xlfn.XLOOKUP(packes[[#This Row],[productId]],bom[Id],bom[dbl],"NA")</f>
        <v>nar.p</v>
      </c>
      <c r="Q755" s="20" t="str">
        <f>LEFT(packes[[#This Row],[date]],4)</f>
        <v>1404</v>
      </c>
    </row>
    <row r="756" spans="1:17" ht="16.5" x14ac:dyDescent="0.25">
      <c r="A756" s="23">
        <v>753</v>
      </c>
      <c r="B756" s="30" t="s">
        <v>257</v>
      </c>
      <c r="C756" s="23">
        <v>140020181</v>
      </c>
      <c r="D756" s="23">
        <v>975</v>
      </c>
      <c r="E756" s="27">
        <f>_xlfn.XLOOKUP(packes[[#This Row],[productId]],bom[Id],bom[wgt])</f>
        <v>1.2670857028833682</v>
      </c>
      <c r="F756" s="27">
        <f>packes[[#This Row],[num]]*packes[[#This Row],[wtg]]</f>
        <v>1235.408560311284</v>
      </c>
      <c r="G756" s="357">
        <v>3</v>
      </c>
      <c r="H756" s="21">
        <f>packes[[#This Row],[num]]-SUM(packes[[#This Row],[num2]])</f>
        <v>975</v>
      </c>
      <c r="I756" s="357"/>
      <c r="J756" s="21"/>
      <c r="K756" s="323"/>
      <c r="M756" s="27">
        <f>_xlfn.XLOOKUP(packes[[#This Row],[productId]],CT[productId],CT[total],"NA")</f>
        <v>88.929999999999993</v>
      </c>
      <c r="N756" s="20" t="str">
        <f>_xlfn.XLOOKUP(packes[[#This Row],[productId]],bom[Id],bom[ph],"NA")</f>
        <v>VH</v>
      </c>
      <c r="O756" s="20" t="str">
        <f>_xlfn.XLOOKUP(packes[[#This Row],[productId]],bom[Id],bom[erth],"NA")</f>
        <v>nut4</v>
      </c>
      <c r="P756" s="20" t="str">
        <f>_xlfn.XLOOKUP(packes[[#This Row],[productId]],bom[Id],bom[dbl],"NA")</f>
        <v>-</v>
      </c>
      <c r="Q756" s="20" t="str">
        <f>LEFT(packes[[#This Row],[date]],4)</f>
        <v>1404</v>
      </c>
    </row>
    <row r="757" spans="1:17" ht="16.5" x14ac:dyDescent="0.25">
      <c r="A757" s="23">
        <v>754</v>
      </c>
      <c r="B757" s="30" t="s">
        <v>257</v>
      </c>
      <c r="C757" s="23">
        <v>140030039</v>
      </c>
      <c r="D757" s="23">
        <v>1100</v>
      </c>
      <c r="E757" s="27">
        <f>_xlfn.XLOOKUP(packes[[#This Row],[productId]],bom[Id],bom[wgt])</f>
        <v>1.1413748378728923</v>
      </c>
      <c r="F757" s="27">
        <f>packes[[#This Row],[num]]*packes[[#This Row],[wtg]]</f>
        <v>1255.5123216601814</v>
      </c>
      <c r="G757" s="357" t="s">
        <v>1070</v>
      </c>
      <c r="H757" s="21">
        <f>packes[[#This Row],[num]]-SUM(packes[[#This Row],[num2]])</f>
        <v>1100</v>
      </c>
      <c r="I757" s="357"/>
      <c r="J757" s="21"/>
      <c r="K757" s="323"/>
      <c r="M757" s="27">
        <f>_xlfn.XLOOKUP(packes[[#This Row],[productId]],CT[productId],CT[total],"NA")</f>
        <v>92.504999999999995</v>
      </c>
      <c r="N757" s="20" t="str">
        <f>_xlfn.XLOOKUP(packes[[#This Row],[productId]],bom[Id],bom[ph],"NA")</f>
        <v>YH</v>
      </c>
      <c r="O757" s="20" t="str">
        <f>_xlfn.XLOOKUP(packes[[#This Row],[productId]],bom[Id],bom[erth],"NA")</f>
        <v>sun</v>
      </c>
      <c r="P757" s="20" t="str">
        <f>_xlfn.XLOOKUP(packes[[#This Row],[productId]],bom[Id],bom[dbl],"NA")</f>
        <v>-</v>
      </c>
      <c r="Q757" s="20" t="str">
        <f>LEFT(packes[[#This Row],[date]],4)</f>
        <v>1404</v>
      </c>
    </row>
    <row r="758" spans="1:17" ht="16.5" x14ac:dyDescent="0.25">
      <c r="A758" s="23">
        <v>755</v>
      </c>
      <c r="B758" s="30" t="s">
        <v>718</v>
      </c>
      <c r="C758" s="23">
        <v>140010117</v>
      </c>
      <c r="D758" s="23">
        <v>375</v>
      </c>
      <c r="E758" s="27">
        <f>_xlfn.XLOOKUP(packes[[#This Row],[productId]],bom[Id],bom[wgt])</f>
        <v>1</v>
      </c>
      <c r="F758" s="27">
        <f>packes[[#This Row],[num]]*packes[[#This Row],[wtg]]</f>
        <v>375</v>
      </c>
      <c r="G758" s="357" t="s">
        <v>1070</v>
      </c>
      <c r="H758" s="21">
        <f>packes[[#This Row],[num]]-SUM(packes[[#This Row],[num2]])</f>
        <v>375</v>
      </c>
      <c r="I758" s="357"/>
      <c r="J758" s="21"/>
      <c r="K758" s="323"/>
      <c r="M758" s="27">
        <f>_xlfn.XLOOKUP(packes[[#This Row],[productId]],CT[productId],CT[total],"NA")</f>
        <v>98.295000000000016</v>
      </c>
      <c r="N758" s="20" t="str">
        <f>_xlfn.XLOOKUP(packes[[#This Row],[productId]],bom[Id],bom[ph],"NA")</f>
        <v>nar.p</v>
      </c>
      <c r="O758" s="20" t="str">
        <f>_xlfn.XLOOKUP(packes[[#This Row],[productId]],bom[Id],bom[erth],"NA")</f>
        <v>-</v>
      </c>
      <c r="P758" s="20" t="str">
        <f>_xlfn.XLOOKUP(packes[[#This Row],[productId]],bom[Id],bom[dbl],"NA")</f>
        <v>nar.p</v>
      </c>
      <c r="Q758" s="20" t="str">
        <f>LEFT(packes[[#This Row],[date]],4)</f>
        <v>1404</v>
      </c>
    </row>
    <row r="759" spans="1:17" ht="16.5" x14ac:dyDescent="0.25">
      <c r="A759" s="23">
        <v>756</v>
      </c>
      <c r="B759" s="30" t="s">
        <v>718</v>
      </c>
      <c r="C759" s="23">
        <v>140010230</v>
      </c>
      <c r="D759" s="23">
        <v>1050</v>
      </c>
      <c r="E759" s="27">
        <f>_xlfn.XLOOKUP(packes[[#This Row],[productId]],bom[Id],bom[wgt])</f>
        <v>1.4486680634540554</v>
      </c>
      <c r="F759" s="27">
        <f>packes[[#This Row],[num]]*packes[[#This Row],[wtg]]</f>
        <v>1521.1014666267581</v>
      </c>
      <c r="G759" s="357">
        <v>2</v>
      </c>
      <c r="H759" s="21">
        <f>packes[[#This Row],[num]]-SUM(packes[[#This Row],[num2]])</f>
        <v>1050</v>
      </c>
      <c r="I759" s="357"/>
      <c r="J759" s="21"/>
      <c r="K759" s="323"/>
      <c r="M759" s="27">
        <f>_xlfn.XLOOKUP(packes[[#This Row],[productId]],CT[productId],CT[total],"NA")</f>
        <v>147.595</v>
      </c>
      <c r="N759" s="20" t="str">
        <f>_xlfn.XLOOKUP(packes[[#This Row],[productId]],bom[Id],bom[ph],"NA")</f>
        <v>nar.p</v>
      </c>
      <c r="O759" s="20" t="str">
        <f>_xlfn.XLOOKUP(packes[[#This Row],[productId]],bom[Id],bom[erth],"NA")</f>
        <v>-</v>
      </c>
      <c r="P759" s="20" t="str">
        <f>_xlfn.XLOOKUP(packes[[#This Row],[productId]],bom[Id],bom[dbl],"NA")</f>
        <v>nar.p</v>
      </c>
      <c r="Q759" s="20" t="str">
        <f>LEFT(packes[[#This Row],[date]],4)</f>
        <v>1404</v>
      </c>
    </row>
    <row r="760" spans="1:17" ht="16.5" x14ac:dyDescent="0.25">
      <c r="A760" s="23">
        <v>757</v>
      </c>
      <c r="B760" s="30" t="s">
        <v>718</v>
      </c>
      <c r="C760" s="23">
        <v>140020181</v>
      </c>
      <c r="D760" s="23">
        <v>825</v>
      </c>
      <c r="E760" s="27">
        <f>_xlfn.XLOOKUP(packes[[#This Row],[productId]],bom[Id],bom[wgt])</f>
        <v>1.2670857028833682</v>
      </c>
      <c r="F760" s="27">
        <f>packes[[#This Row],[num]]*packes[[#This Row],[wtg]]</f>
        <v>1045.3457048787789</v>
      </c>
      <c r="G760" s="357">
        <v>3</v>
      </c>
      <c r="H760" s="21">
        <f>packes[[#This Row],[num]]-SUM(packes[[#This Row],[num2]])</f>
        <v>825</v>
      </c>
      <c r="I760" s="357"/>
      <c r="J760" s="21"/>
      <c r="K760" s="323"/>
      <c r="M760" s="27">
        <f>_xlfn.XLOOKUP(packes[[#This Row],[productId]],CT[productId],CT[total],"NA")</f>
        <v>88.929999999999993</v>
      </c>
      <c r="N760" s="20" t="str">
        <f>_xlfn.XLOOKUP(packes[[#This Row],[productId]],bom[Id],bom[ph],"NA")</f>
        <v>VH</v>
      </c>
      <c r="O760" s="20" t="str">
        <f>_xlfn.XLOOKUP(packes[[#This Row],[productId]],bom[Id],bom[erth],"NA")</f>
        <v>nut4</v>
      </c>
      <c r="P760" s="20" t="str">
        <f>_xlfn.XLOOKUP(packes[[#This Row],[productId]],bom[Id],bom[dbl],"NA")</f>
        <v>-</v>
      </c>
      <c r="Q760" s="20" t="str">
        <f>LEFT(packes[[#This Row],[date]],4)</f>
        <v>1404</v>
      </c>
    </row>
    <row r="761" spans="1:17" ht="16.5" x14ac:dyDescent="0.25">
      <c r="A761" s="23">
        <v>758</v>
      </c>
      <c r="B761" s="30" t="s">
        <v>718</v>
      </c>
      <c r="C761" s="23">
        <v>140030039</v>
      </c>
      <c r="D761" s="23">
        <v>700</v>
      </c>
      <c r="E761" s="27">
        <f>_xlfn.XLOOKUP(packes[[#This Row],[productId]],bom[Id],bom[wgt])</f>
        <v>1.1413748378728923</v>
      </c>
      <c r="F761" s="27">
        <f>packes[[#This Row],[num]]*packes[[#This Row],[wtg]]</f>
        <v>798.96238651102465</v>
      </c>
      <c r="G761" s="357" t="s">
        <v>1070</v>
      </c>
      <c r="H761" s="21">
        <f>packes[[#This Row],[num]]-SUM(packes[[#This Row],[num2]])</f>
        <v>700</v>
      </c>
      <c r="I761" s="357"/>
      <c r="J761" s="21"/>
      <c r="K761" s="323"/>
      <c r="M761" s="27">
        <f>_xlfn.XLOOKUP(packes[[#This Row],[productId]],CT[productId],CT[total],"NA")</f>
        <v>92.504999999999995</v>
      </c>
      <c r="N761" s="20" t="str">
        <f>_xlfn.XLOOKUP(packes[[#This Row],[productId]],bom[Id],bom[ph],"NA")</f>
        <v>YH</v>
      </c>
      <c r="O761" s="20" t="str">
        <f>_xlfn.XLOOKUP(packes[[#This Row],[productId]],bom[Id],bom[erth],"NA")</f>
        <v>sun</v>
      </c>
      <c r="P761" s="20" t="str">
        <f>_xlfn.XLOOKUP(packes[[#This Row],[productId]],bom[Id],bom[dbl],"NA")</f>
        <v>-</v>
      </c>
      <c r="Q761" s="20" t="str">
        <f>LEFT(packes[[#This Row],[date]],4)</f>
        <v>1404</v>
      </c>
    </row>
    <row r="762" spans="1:17" ht="16.5" x14ac:dyDescent="0.25">
      <c r="A762" s="23">
        <v>759</v>
      </c>
      <c r="B762" s="30" t="s">
        <v>718</v>
      </c>
      <c r="C762" s="23">
        <v>140010279</v>
      </c>
      <c r="D762" s="23">
        <v>12</v>
      </c>
      <c r="E762" s="27">
        <f>_xlfn.XLOOKUP(packes[[#This Row],[productId]],bom[Id],bom[wgt])</f>
        <v>1.0675446473111843</v>
      </c>
      <c r="F762" s="27">
        <f>packes[[#This Row],[num]]*packes[[#This Row],[wtg]]</f>
        <v>12.810535767734212</v>
      </c>
      <c r="G762" s="357">
        <v>1</v>
      </c>
      <c r="H762" s="21">
        <f>packes[[#This Row],[num]]-SUM(packes[[#This Row],[num2]])</f>
        <v>12</v>
      </c>
      <c r="I762" s="357"/>
      <c r="J762" s="21"/>
      <c r="K762" s="323"/>
      <c r="M762" s="27">
        <f>_xlfn.XLOOKUP(packes[[#This Row],[productId]],CT[productId],CT[total],"NA")</f>
        <v>49.44</v>
      </c>
      <c r="N762" s="20" t="str">
        <f>_xlfn.XLOOKUP(packes[[#This Row],[productId]],bom[Id],bom[ph],"NA")</f>
        <v>VH</v>
      </c>
      <c r="O762" s="20" t="str">
        <f>_xlfn.XLOOKUP(packes[[#This Row],[productId]],bom[Id],bom[erth],"NA")</f>
        <v>-</v>
      </c>
      <c r="P762" s="20" t="str">
        <f>_xlfn.XLOOKUP(packes[[#This Row],[productId]],bom[Id],bom[dbl],"NA")</f>
        <v>-</v>
      </c>
      <c r="Q762" s="20" t="str">
        <f>LEFT(packes[[#This Row],[date]],4)</f>
        <v>1404</v>
      </c>
    </row>
    <row r="763" spans="1:17" ht="16.5" x14ac:dyDescent="0.25">
      <c r="A763" s="23">
        <v>760</v>
      </c>
      <c r="B763" s="30" t="s">
        <v>718</v>
      </c>
      <c r="C763" s="23">
        <v>140550019</v>
      </c>
      <c r="D763" s="23">
        <v>11</v>
      </c>
      <c r="E763" s="27">
        <f>_xlfn.XLOOKUP(packes[[#This Row],[productId]],bom[Id],bom[wgt])</f>
        <v>2.6938042502244834</v>
      </c>
      <c r="F763" s="27">
        <f>packes[[#This Row],[num]]*packes[[#This Row],[wtg]]</f>
        <v>29.631846752469318</v>
      </c>
      <c r="G763" s="357">
        <v>1000</v>
      </c>
      <c r="H763" s="21">
        <f>packes[[#This Row],[num]]-SUM(packes[[#This Row],[num2]])</f>
        <v>11</v>
      </c>
      <c r="I763" s="357"/>
      <c r="J763" s="21"/>
      <c r="K763" s="323"/>
      <c r="M763" s="27">
        <f>_xlfn.XLOOKUP(packes[[#This Row],[productId]],CT[productId],CT[total],"NA")</f>
        <v>211.66499999999999</v>
      </c>
      <c r="N763" s="20" t="str">
        <f>_xlfn.XLOOKUP(packes[[#This Row],[productId]],bom[Id],bom[ph],"NA")</f>
        <v>6.3ch</v>
      </c>
      <c r="O763" s="20" t="str">
        <f>_xlfn.XLOOKUP(packes[[#This Row],[productId]],bom[Id],bom[erth],"NA")</f>
        <v>nut4</v>
      </c>
      <c r="P763" s="20" t="str">
        <f>_xlfn.XLOOKUP(packes[[#This Row],[productId]],bom[Id],bom[dbl],"NA")</f>
        <v>-</v>
      </c>
      <c r="Q763" s="20" t="str">
        <f>LEFT(packes[[#This Row],[date]],4)</f>
        <v>1404</v>
      </c>
    </row>
    <row r="764" spans="1:17" ht="16.5" x14ac:dyDescent="0.25">
      <c r="A764" s="23">
        <v>761</v>
      </c>
      <c r="B764" s="30" t="s">
        <v>718</v>
      </c>
      <c r="C764" s="23">
        <v>141320055</v>
      </c>
      <c r="D764" s="23">
        <v>1200</v>
      </c>
      <c r="E764" s="27">
        <f>_xlfn.XLOOKUP(packes[[#This Row],[productId]],bom[Id],bom[wgt])</f>
        <v>1.1274069639828395</v>
      </c>
      <c r="F764" s="27">
        <f>packes[[#This Row],[num]]*packes[[#This Row],[wtg]]</f>
        <v>1352.8883567794073</v>
      </c>
      <c r="G764" s="357">
        <v>2</v>
      </c>
      <c r="H764" s="21">
        <f>packes[[#This Row],[num]]-SUM(packes[[#This Row],[num2]])</f>
        <v>1200</v>
      </c>
      <c r="I764" s="357"/>
      <c r="J764" s="21"/>
      <c r="K764" s="323"/>
      <c r="M764" s="27">
        <f>_xlfn.XLOOKUP(packes[[#This Row],[productId]],CT[productId],CT[total],"NA")</f>
        <v>41.13</v>
      </c>
      <c r="N764" s="20">
        <f>_xlfn.XLOOKUP(packes[[#This Row],[productId]],bom[Id],bom[ph],"NA")</f>
        <v>0</v>
      </c>
      <c r="O764" s="20">
        <f>_xlfn.XLOOKUP(packes[[#This Row],[productId]],bom[Id],bom[erth],"NA")</f>
        <v>0</v>
      </c>
      <c r="P764" s="20">
        <f>_xlfn.XLOOKUP(packes[[#This Row],[productId]],bom[Id],bom[dbl],"NA")</f>
        <v>0</v>
      </c>
      <c r="Q764" s="20" t="str">
        <f>LEFT(packes[[#This Row],[date]],4)</f>
        <v>1404</v>
      </c>
    </row>
    <row r="765" spans="1:17" ht="16.5" x14ac:dyDescent="0.25">
      <c r="A765" s="23">
        <v>762</v>
      </c>
      <c r="B765" s="30" t="s">
        <v>719</v>
      </c>
      <c r="C765" s="23">
        <v>140020181</v>
      </c>
      <c r="D765" s="23">
        <v>1725</v>
      </c>
      <c r="E765" s="27">
        <f>_xlfn.XLOOKUP(packes[[#This Row],[productId]],bom[Id],bom[wgt])</f>
        <v>1.2670857028833682</v>
      </c>
      <c r="F765" s="27">
        <f>packes[[#This Row],[num]]*packes[[#This Row],[wtg]]</f>
        <v>2185.7228374738102</v>
      </c>
      <c r="G765" s="357">
        <v>3</v>
      </c>
      <c r="H765" s="21">
        <f>packes[[#This Row],[num]]-SUM(packes[[#This Row],[num2]])</f>
        <v>1725</v>
      </c>
      <c r="I765" s="357"/>
      <c r="J765" s="21"/>
      <c r="K765" s="323"/>
      <c r="M765" s="27">
        <f>_xlfn.XLOOKUP(packes[[#This Row],[productId]],CT[productId],CT[total],"NA")</f>
        <v>88.929999999999993</v>
      </c>
      <c r="N765" s="20" t="str">
        <f>_xlfn.XLOOKUP(packes[[#This Row],[productId]],bom[Id],bom[ph],"NA")</f>
        <v>VH</v>
      </c>
      <c r="O765" s="20" t="str">
        <f>_xlfn.XLOOKUP(packes[[#This Row],[productId]],bom[Id],bom[erth],"NA")</f>
        <v>nut4</v>
      </c>
      <c r="P765" s="20" t="str">
        <f>_xlfn.XLOOKUP(packes[[#This Row],[productId]],bom[Id],bom[dbl],"NA")</f>
        <v>-</v>
      </c>
      <c r="Q765" s="20" t="str">
        <f>LEFT(packes[[#This Row],[date]],4)</f>
        <v>1404</v>
      </c>
    </row>
    <row r="766" spans="1:17" ht="16.5" x14ac:dyDescent="0.25">
      <c r="A766" s="23">
        <v>763</v>
      </c>
      <c r="B766" s="30" t="s">
        <v>719</v>
      </c>
      <c r="C766" s="23">
        <v>141320055</v>
      </c>
      <c r="D766" s="23">
        <v>2100</v>
      </c>
      <c r="E766" s="27">
        <f>_xlfn.XLOOKUP(packes[[#This Row],[productId]],bom[Id],bom[wgt])</f>
        <v>1.1274069639828395</v>
      </c>
      <c r="F766" s="27">
        <f>packes[[#This Row],[num]]*packes[[#This Row],[wtg]]</f>
        <v>2367.5546243639628</v>
      </c>
      <c r="G766" s="357">
        <v>2</v>
      </c>
      <c r="H766" s="21">
        <f>packes[[#This Row],[num]]-SUM(packes[[#This Row],[num2]])</f>
        <v>2100</v>
      </c>
      <c r="I766" s="357"/>
      <c r="J766" s="21"/>
      <c r="K766" s="323"/>
      <c r="M766" s="27">
        <f>_xlfn.XLOOKUP(packes[[#This Row],[productId]],CT[productId],CT[total],"NA")</f>
        <v>41.13</v>
      </c>
      <c r="N766" s="20">
        <f>_xlfn.XLOOKUP(packes[[#This Row],[productId]],bom[Id],bom[ph],"NA")</f>
        <v>0</v>
      </c>
      <c r="O766" s="20">
        <f>_xlfn.XLOOKUP(packes[[#This Row],[productId]],bom[Id],bom[erth],"NA")</f>
        <v>0</v>
      </c>
      <c r="P766" s="20">
        <f>_xlfn.XLOOKUP(packes[[#This Row],[productId]],bom[Id],bom[dbl],"NA")</f>
        <v>0</v>
      </c>
      <c r="Q766" s="20" t="str">
        <f>LEFT(packes[[#This Row],[date]],4)</f>
        <v>1404</v>
      </c>
    </row>
    <row r="767" spans="1:17" ht="16.5" x14ac:dyDescent="0.25">
      <c r="A767" s="23">
        <v>764</v>
      </c>
      <c r="B767" s="30" t="s">
        <v>720</v>
      </c>
      <c r="C767" s="23">
        <v>140020181</v>
      </c>
      <c r="D767" s="23">
        <v>1575</v>
      </c>
      <c r="E767" s="27">
        <f>_xlfn.XLOOKUP(packes[[#This Row],[productId]],bom[Id],bom[wgt])</f>
        <v>1.2670857028833682</v>
      </c>
      <c r="F767" s="27">
        <f>packes[[#This Row],[num]]*packes[[#This Row],[wtg]]</f>
        <v>1995.6599820413048</v>
      </c>
      <c r="G767" s="357">
        <v>3</v>
      </c>
      <c r="H767" s="21">
        <f>packes[[#This Row],[num]]-SUM(packes[[#This Row],[num2]])</f>
        <v>1575</v>
      </c>
      <c r="I767" s="357"/>
      <c r="J767" s="21"/>
      <c r="K767" s="323"/>
      <c r="M767" s="27">
        <f>_xlfn.XLOOKUP(packes[[#This Row],[productId]],CT[productId],CT[total],"NA")</f>
        <v>88.929999999999993</v>
      </c>
      <c r="N767" s="20" t="str">
        <f>_xlfn.XLOOKUP(packes[[#This Row],[productId]],bom[Id],bom[ph],"NA")</f>
        <v>VH</v>
      </c>
      <c r="O767" s="20" t="str">
        <f>_xlfn.XLOOKUP(packes[[#This Row],[productId]],bom[Id],bom[erth],"NA")</f>
        <v>nut4</v>
      </c>
      <c r="P767" s="20" t="str">
        <f>_xlfn.XLOOKUP(packes[[#This Row],[productId]],bom[Id],bom[dbl],"NA")</f>
        <v>-</v>
      </c>
      <c r="Q767" s="20" t="str">
        <f>LEFT(packes[[#This Row],[date]],4)</f>
        <v>1404</v>
      </c>
    </row>
    <row r="768" spans="1:17" ht="16.5" x14ac:dyDescent="0.25">
      <c r="A768" s="23">
        <v>765</v>
      </c>
      <c r="B768" s="30" t="s">
        <v>720</v>
      </c>
      <c r="C768" s="23">
        <v>141320055</v>
      </c>
      <c r="D768" s="23">
        <v>1300</v>
      </c>
      <c r="E768" s="27">
        <f>_xlfn.XLOOKUP(packes[[#This Row],[productId]],bom[Id],bom[wgt])</f>
        <v>1.1274069639828395</v>
      </c>
      <c r="F768" s="27">
        <f>packes[[#This Row],[num]]*packes[[#This Row],[wtg]]</f>
        <v>1465.6290531776913</v>
      </c>
      <c r="G768" s="357">
        <v>2</v>
      </c>
      <c r="H768" s="21">
        <f>packes[[#This Row],[num]]-SUM(packes[[#This Row],[num2]])</f>
        <v>1300</v>
      </c>
      <c r="I768" s="357"/>
      <c r="J768" s="21"/>
      <c r="K768" s="323"/>
      <c r="M768" s="27">
        <f>_xlfn.XLOOKUP(packes[[#This Row],[productId]],CT[productId],CT[total],"NA")</f>
        <v>41.13</v>
      </c>
      <c r="N768" s="20">
        <f>_xlfn.XLOOKUP(packes[[#This Row],[productId]],bom[Id],bom[ph],"NA")</f>
        <v>0</v>
      </c>
      <c r="O768" s="20">
        <f>_xlfn.XLOOKUP(packes[[#This Row],[productId]],bom[Id],bom[erth],"NA")</f>
        <v>0</v>
      </c>
      <c r="P768" s="20">
        <f>_xlfn.XLOOKUP(packes[[#This Row],[productId]],bom[Id],bom[dbl],"NA")</f>
        <v>0</v>
      </c>
      <c r="Q768" s="20" t="str">
        <f>LEFT(packes[[#This Row],[date]],4)</f>
        <v>1404</v>
      </c>
    </row>
    <row r="769" spans="1:17" ht="16.5" x14ac:dyDescent="0.25">
      <c r="A769" s="23">
        <v>766</v>
      </c>
      <c r="B769" s="30" t="s">
        <v>722</v>
      </c>
      <c r="C769" s="23">
        <v>140310058</v>
      </c>
      <c r="D769" s="23">
        <v>1000</v>
      </c>
      <c r="E769" s="27">
        <f>_xlfn.XLOOKUP(packes[[#This Row],[productId]],bom[Id],bom[wgt])</f>
        <v>1.3469021251122417</v>
      </c>
      <c r="F769" s="27">
        <f>packes[[#This Row],[num]]*packes[[#This Row],[wtg]]</f>
        <v>1346.9021251122417</v>
      </c>
      <c r="G769" s="357">
        <v>3</v>
      </c>
      <c r="H769" s="21">
        <f>packes[[#This Row],[num]]-SUM(packes[[#This Row],[num2]])</f>
        <v>1000</v>
      </c>
      <c r="I769" s="357"/>
      <c r="J769" s="21"/>
      <c r="K769" s="323"/>
      <c r="M769" s="27">
        <f>_xlfn.XLOOKUP(packes[[#This Row],[productId]],CT[productId],CT[total],"NA")</f>
        <v>147.595</v>
      </c>
      <c r="N769" s="20" t="str">
        <f>_xlfn.XLOOKUP(packes[[#This Row],[productId]],bom[Id],bom[ph],"NA")</f>
        <v>nar.p</v>
      </c>
      <c r="O769" s="20" t="str">
        <f>_xlfn.XLOOKUP(packes[[#This Row],[productId]],bom[Id],bom[erth],"NA")</f>
        <v>nar.p</v>
      </c>
      <c r="P769" s="20" t="str">
        <f>_xlfn.XLOOKUP(packes[[#This Row],[productId]],bom[Id],bom[dbl],"NA")</f>
        <v>nar.p</v>
      </c>
      <c r="Q769" s="20" t="str">
        <f>LEFT(packes[[#This Row],[date]],4)</f>
        <v>1404</v>
      </c>
    </row>
    <row r="770" spans="1:17" ht="16.5" x14ac:dyDescent="0.25">
      <c r="A770" s="23">
        <v>767</v>
      </c>
      <c r="B770" s="30" t="s">
        <v>722</v>
      </c>
      <c r="C770" s="23">
        <v>140310096</v>
      </c>
      <c r="D770" s="23">
        <v>400</v>
      </c>
      <c r="E770" s="27">
        <f>_xlfn.XLOOKUP(packes[[#This Row],[productId]],bom[Id],bom[wgt])</f>
        <v>1.3</v>
      </c>
      <c r="F770" s="27">
        <f>packes[[#This Row],[num]]*packes[[#This Row],[wtg]]</f>
        <v>520</v>
      </c>
      <c r="G770" s="357">
        <v>3</v>
      </c>
      <c r="H770" s="21">
        <f>packes[[#This Row],[num]]-SUM(packes[[#This Row],[num2]])</f>
        <v>400</v>
      </c>
      <c r="I770" s="357"/>
      <c r="J770" s="21"/>
      <c r="K770" s="323"/>
      <c r="M770" s="27">
        <f>_xlfn.XLOOKUP(packes[[#This Row],[productId]],CT[productId],CT[total],"NA")</f>
        <v>76.239999999999995</v>
      </c>
      <c r="N770" s="20" t="str">
        <f>_xlfn.XLOOKUP(packes[[#This Row],[productId]],bom[Id],bom[ph],"NA")</f>
        <v>6.3ch</v>
      </c>
      <c r="O770" s="20" t="str">
        <f>_xlfn.XLOOKUP(packes[[#This Row],[productId]],bom[Id],bom[erth],"NA")</f>
        <v>6.3k</v>
      </c>
      <c r="P770" s="20">
        <f>_xlfn.XLOOKUP(packes[[#This Row],[productId]],bom[Id],bom[dbl],"NA")</f>
        <v>0</v>
      </c>
      <c r="Q770" s="20" t="str">
        <f>LEFT(packes[[#This Row],[date]],4)</f>
        <v>1404</v>
      </c>
    </row>
    <row r="771" spans="1:17" ht="16.5" x14ac:dyDescent="0.25">
      <c r="A771" s="23">
        <v>768</v>
      </c>
      <c r="B771" s="30" t="s">
        <v>722</v>
      </c>
      <c r="C771" s="23">
        <v>141320055</v>
      </c>
      <c r="D771" s="23">
        <v>2400</v>
      </c>
      <c r="E771" s="27">
        <f>_xlfn.XLOOKUP(packes[[#This Row],[productId]],bom[Id],bom[wgt])</f>
        <v>1.1274069639828395</v>
      </c>
      <c r="F771" s="27">
        <f>packes[[#This Row],[num]]*packes[[#This Row],[wtg]]</f>
        <v>2705.7767135588147</v>
      </c>
      <c r="G771" s="357">
        <v>2</v>
      </c>
      <c r="H771" s="21">
        <f>packes[[#This Row],[num]]-SUM(packes[[#This Row],[num2]])</f>
        <v>2400</v>
      </c>
      <c r="I771" s="357"/>
      <c r="J771" s="21"/>
      <c r="K771" s="323"/>
      <c r="M771" s="27">
        <f>_xlfn.XLOOKUP(packes[[#This Row],[productId]],CT[productId],CT[total],"NA")</f>
        <v>41.13</v>
      </c>
      <c r="N771" s="20">
        <f>_xlfn.XLOOKUP(packes[[#This Row],[productId]],bom[Id],bom[ph],"NA")</f>
        <v>0</v>
      </c>
      <c r="O771" s="20">
        <f>_xlfn.XLOOKUP(packes[[#This Row],[productId]],bom[Id],bom[erth],"NA")</f>
        <v>0</v>
      </c>
      <c r="P771" s="20">
        <f>_xlfn.XLOOKUP(packes[[#This Row],[productId]],bom[Id],bom[dbl],"NA")</f>
        <v>0</v>
      </c>
      <c r="Q771" s="20" t="str">
        <f>LEFT(packes[[#This Row],[date]],4)</f>
        <v>1404</v>
      </c>
    </row>
    <row r="772" spans="1:17" ht="16.5" x14ac:dyDescent="0.25">
      <c r="A772" s="23">
        <v>769</v>
      </c>
      <c r="B772" s="30" t="s">
        <v>723</v>
      </c>
      <c r="C772" s="23">
        <v>140310007</v>
      </c>
      <c r="D772" s="23">
        <v>1400</v>
      </c>
      <c r="E772" s="27">
        <f>_xlfn.XLOOKUP(packes[[#This Row],[productId]],bom[Id],bom[wgt])</f>
        <v>1.1413748378728923</v>
      </c>
      <c r="F772" s="27">
        <f>packes[[#This Row],[num]]*packes[[#This Row],[wtg]]</f>
        <v>1597.9247730220493</v>
      </c>
      <c r="G772" s="357">
        <v>3</v>
      </c>
      <c r="H772" s="21">
        <f>packes[[#This Row],[num]]-SUM(packes[[#This Row],[num2]])</f>
        <v>1400</v>
      </c>
      <c r="I772" s="357"/>
      <c r="J772" s="21"/>
      <c r="K772" s="323"/>
      <c r="M772" s="27">
        <f>_xlfn.XLOOKUP(packes[[#This Row],[productId]],CT[productId],CT[total],"NA")</f>
        <v>92.484999999999999</v>
      </c>
      <c r="N772" s="20" t="str">
        <f>_xlfn.XLOOKUP(packes[[#This Row],[productId]],bom[Id],bom[ph],"NA")</f>
        <v>-</v>
      </c>
      <c r="O772" s="20" t="str">
        <f>_xlfn.XLOOKUP(packes[[#This Row],[productId]],bom[Id],bom[erth],"NA")</f>
        <v>nut4</v>
      </c>
      <c r="P772" s="20" t="str">
        <f>_xlfn.XLOOKUP(packes[[#This Row],[productId]],bom[Id],bom[dbl],"NA")</f>
        <v>-</v>
      </c>
      <c r="Q772" s="20" t="str">
        <f>LEFT(packes[[#This Row],[date]],4)</f>
        <v>1404</v>
      </c>
    </row>
    <row r="773" spans="1:17" ht="16.5" x14ac:dyDescent="0.25">
      <c r="A773" s="23">
        <v>770</v>
      </c>
      <c r="B773" s="30" t="s">
        <v>723</v>
      </c>
      <c r="C773" s="23">
        <v>140310058</v>
      </c>
      <c r="D773" s="23">
        <v>1000</v>
      </c>
      <c r="E773" s="27">
        <f>_xlfn.XLOOKUP(packes[[#This Row],[productId]],bom[Id],bom[wgt])</f>
        <v>1.3469021251122417</v>
      </c>
      <c r="F773" s="27">
        <f>packes[[#This Row],[num]]*packes[[#This Row],[wtg]]</f>
        <v>1346.9021251122417</v>
      </c>
      <c r="G773" s="357">
        <v>3</v>
      </c>
      <c r="H773" s="21">
        <f>packes[[#This Row],[num]]-SUM(packes[[#This Row],[num2]])</f>
        <v>1000</v>
      </c>
      <c r="I773" s="357"/>
      <c r="J773" s="21"/>
      <c r="K773" s="323"/>
      <c r="M773" s="27">
        <f>_xlfn.XLOOKUP(packes[[#This Row],[productId]],CT[productId],CT[total],"NA")</f>
        <v>147.595</v>
      </c>
      <c r="N773" s="20" t="str">
        <f>_xlfn.XLOOKUP(packes[[#This Row],[productId]],bom[Id],bom[ph],"NA")</f>
        <v>nar.p</v>
      </c>
      <c r="O773" s="20" t="str">
        <f>_xlfn.XLOOKUP(packes[[#This Row],[productId]],bom[Id],bom[erth],"NA")</f>
        <v>nar.p</v>
      </c>
      <c r="P773" s="20" t="str">
        <f>_xlfn.XLOOKUP(packes[[#This Row],[productId]],bom[Id],bom[dbl],"NA")</f>
        <v>nar.p</v>
      </c>
      <c r="Q773" s="20" t="str">
        <f>LEFT(packes[[#This Row],[date]],4)</f>
        <v>1404</v>
      </c>
    </row>
    <row r="774" spans="1:17" ht="16.5" x14ac:dyDescent="0.25">
      <c r="A774" s="23">
        <v>771</v>
      </c>
      <c r="B774" s="30" t="s">
        <v>723</v>
      </c>
      <c r="C774" s="23">
        <v>140310096</v>
      </c>
      <c r="D774" s="23">
        <v>950</v>
      </c>
      <c r="E774" s="27">
        <f>_xlfn.XLOOKUP(packes[[#This Row],[productId]],bom[Id],bom[wgt])</f>
        <v>1.3</v>
      </c>
      <c r="F774" s="27">
        <f>packes[[#This Row],[num]]*packes[[#This Row],[wtg]]</f>
        <v>1235</v>
      </c>
      <c r="G774" s="357">
        <v>3</v>
      </c>
      <c r="H774" s="21">
        <f>packes[[#This Row],[num]]-SUM(packes[[#This Row],[num2]])</f>
        <v>950</v>
      </c>
      <c r="I774" s="357"/>
      <c r="J774" s="21"/>
      <c r="K774" s="323"/>
      <c r="M774" s="27">
        <f>_xlfn.XLOOKUP(packes[[#This Row],[productId]],CT[productId],CT[total],"NA")</f>
        <v>76.239999999999995</v>
      </c>
      <c r="N774" s="20" t="str">
        <f>_xlfn.XLOOKUP(packes[[#This Row],[productId]],bom[Id],bom[ph],"NA")</f>
        <v>6.3ch</v>
      </c>
      <c r="O774" s="20" t="str">
        <f>_xlfn.XLOOKUP(packes[[#This Row],[productId]],bom[Id],bom[erth],"NA")</f>
        <v>6.3k</v>
      </c>
      <c r="P774" s="20">
        <f>_xlfn.XLOOKUP(packes[[#This Row],[productId]],bom[Id],bom[dbl],"NA")</f>
        <v>0</v>
      </c>
      <c r="Q774" s="20" t="str">
        <f>LEFT(packes[[#This Row],[date]],4)</f>
        <v>1404</v>
      </c>
    </row>
    <row r="775" spans="1:17" ht="16.5" x14ac:dyDescent="0.25">
      <c r="A775" s="23">
        <v>772</v>
      </c>
      <c r="B775" s="30" t="s">
        <v>723</v>
      </c>
      <c r="C775" s="23">
        <v>141320055</v>
      </c>
      <c r="D775" s="23">
        <v>1200</v>
      </c>
      <c r="E775" s="27">
        <f>_xlfn.XLOOKUP(packes[[#This Row],[productId]],bom[Id],bom[wgt])</f>
        <v>1.1274069639828395</v>
      </c>
      <c r="F775" s="27">
        <f>packes[[#This Row],[num]]*packes[[#This Row],[wtg]]</f>
        <v>1352.8883567794073</v>
      </c>
      <c r="G775" s="357">
        <v>2</v>
      </c>
      <c r="H775" s="21">
        <f>packes[[#This Row],[num]]-SUM(packes[[#This Row],[num2]])</f>
        <v>1200</v>
      </c>
      <c r="I775" s="357"/>
      <c r="J775" s="21"/>
      <c r="K775" s="323"/>
      <c r="M775" s="27">
        <f>_xlfn.XLOOKUP(packes[[#This Row],[productId]],CT[productId],CT[total],"NA")</f>
        <v>41.13</v>
      </c>
      <c r="N775" s="20">
        <f>_xlfn.XLOOKUP(packes[[#This Row],[productId]],bom[Id],bom[ph],"NA")</f>
        <v>0</v>
      </c>
      <c r="O775" s="20">
        <f>_xlfn.XLOOKUP(packes[[#This Row],[productId]],bom[Id],bom[erth],"NA")</f>
        <v>0</v>
      </c>
      <c r="P775" s="20">
        <f>_xlfn.XLOOKUP(packes[[#This Row],[productId]],bom[Id],bom[dbl],"NA")</f>
        <v>0</v>
      </c>
      <c r="Q775" s="20" t="str">
        <f>LEFT(packes[[#This Row],[date]],4)</f>
        <v>1404</v>
      </c>
    </row>
    <row r="776" spans="1:17" ht="16.5" x14ac:dyDescent="0.25">
      <c r="A776" s="23">
        <v>773</v>
      </c>
      <c r="B776" s="30" t="s">
        <v>724</v>
      </c>
      <c r="C776" s="23">
        <v>140310007</v>
      </c>
      <c r="D776" s="23">
        <v>1800</v>
      </c>
      <c r="E776" s="27">
        <f>_xlfn.XLOOKUP(packes[[#This Row],[productId]],bom[Id],bom[wgt])</f>
        <v>1.1413748378728923</v>
      </c>
      <c r="F776" s="27">
        <f>packes[[#This Row],[num]]*packes[[#This Row],[wtg]]</f>
        <v>2054.4747081712062</v>
      </c>
      <c r="G776" s="357">
        <v>3</v>
      </c>
      <c r="H776" s="21">
        <f>packes[[#This Row],[num]]-SUM(packes[[#This Row],[num2]])</f>
        <v>1800</v>
      </c>
      <c r="I776" s="357"/>
      <c r="J776" s="21"/>
      <c r="K776" s="323"/>
      <c r="M776" s="27">
        <f>_xlfn.XLOOKUP(packes[[#This Row],[productId]],CT[productId],CT[total],"NA")</f>
        <v>92.484999999999999</v>
      </c>
      <c r="N776" s="20" t="str">
        <f>_xlfn.XLOOKUP(packes[[#This Row],[productId]],bom[Id],bom[ph],"NA")</f>
        <v>-</v>
      </c>
      <c r="O776" s="20" t="str">
        <f>_xlfn.XLOOKUP(packes[[#This Row],[productId]],bom[Id],bom[erth],"NA")</f>
        <v>nut4</v>
      </c>
      <c r="P776" s="20" t="str">
        <f>_xlfn.XLOOKUP(packes[[#This Row],[productId]],bom[Id],bom[dbl],"NA")</f>
        <v>-</v>
      </c>
      <c r="Q776" s="20" t="str">
        <f>LEFT(packes[[#This Row],[date]],4)</f>
        <v>1404</v>
      </c>
    </row>
    <row r="777" spans="1:17" ht="16.5" x14ac:dyDescent="0.25">
      <c r="A777" s="23">
        <v>774</v>
      </c>
      <c r="B777" s="30" t="s">
        <v>724</v>
      </c>
      <c r="C777" s="23">
        <v>140310096</v>
      </c>
      <c r="D777" s="23">
        <v>1000</v>
      </c>
      <c r="E777" s="27">
        <f>_xlfn.XLOOKUP(packes[[#This Row],[productId]],bom[Id],bom[wgt])</f>
        <v>1.3</v>
      </c>
      <c r="F777" s="27">
        <f>packes[[#This Row],[num]]*packes[[#This Row],[wtg]]</f>
        <v>1300</v>
      </c>
      <c r="G777" s="357">
        <v>3</v>
      </c>
      <c r="H777" s="21">
        <f>packes[[#This Row],[num]]-SUM(packes[[#This Row],[num2]])</f>
        <v>1000</v>
      </c>
      <c r="I777" s="357"/>
      <c r="J777" s="21"/>
      <c r="K777" s="323"/>
      <c r="M777" s="27">
        <f>_xlfn.XLOOKUP(packes[[#This Row],[productId]],CT[productId],CT[total],"NA")</f>
        <v>76.239999999999995</v>
      </c>
      <c r="N777" s="20" t="str">
        <f>_xlfn.XLOOKUP(packes[[#This Row],[productId]],bom[Id],bom[ph],"NA")</f>
        <v>6.3ch</v>
      </c>
      <c r="O777" s="20" t="str">
        <f>_xlfn.XLOOKUP(packes[[#This Row],[productId]],bom[Id],bom[erth],"NA")</f>
        <v>6.3k</v>
      </c>
      <c r="P777" s="20">
        <f>_xlfn.XLOOKUP(packes[[#This Row],[productId]],bom[Id],bom[dbl],"NA")</f>
        <v>0</v>
      </c>
      <c r="Q777" s="20" t="str">
        <f>LEFT(packes[[#This Row],[date]],4)</f>
        <v>1404</v>
      </c>
    </row>
    <row r="778" spans="1:17" ht="16.5" x14ac:dyDescent="0.25">
      <c r="A778" s="23">
        <v>775</v>
      </c>
      <c r="B778" s="30" t="s">
        <v>724</v>
      </c>
      <c r="C778" s="23">
        <v>141320055</v>
      </c>
      <c r="D778" s="23">
        <v>2500</v>
      </c>
      <c r="E778" s="27">
        <f>_xlfn.XLOOKUP(packes[[#This Row],[productId]],bom[Id],bom[wgt])</f>
        <v>1.1274069639828395</v>
      </c>
      <c r="F778" s="27">
        <f>packes[[#This Row],[num]]*packes[[#This Row],[wtg]]</f>
        <v>2818.5174099570986</v>
      </c>
      <c r="G778" s="357">
        <v>2</v>
      </c>
      <c r="H778" s="21">
        <f>packes[[#This Row],[num]]-SUM(packes[[#This Row],[num2]])</f>
        <v>2500</v>
      </c>
      <c r="I778" s="357"/>
      <c r="J778" s="21"/>
      <c r="K778" s="323"/>
      <c r="M778" s="27">
        <f>_xlfn.XLOOKUP(packes[[#This Row],[productId]],CT[productId],CT[total],"NA")</f>
        <v>41.13</v>
      </c>
      <c r="N778" s="20">
        <f>_xlfn.XLOOKUP(packes[[#This Row],[productId]],bom[Id],bom[ph],"NA")</f>
        <v>0</v>
      </c>
      <c r="O778" s="20">
        <f>_xlfn.XLOOKUP(packes[[#This Row],[productId]],bom[Id],bom[erth],"NA")</f>
        <v>0</v>
      </c>
      <c r="P778" s="20">
        <f>_xlfn.XLOOKUP(packes[[#This Row],[productId]],bom[Id],bom[dbl],"NA")</f>
        <v>0</v>
      </c>
      <c r="Q778" s="20" t="str">
        <f>LEFT(packes[[#This Row],[date]],4)</f>
        <v>1404</v>
      </c>
    </row>
    <row r="779" spans="1:17" ht="16.5" x14ac:dyDescent="0.25">
      <c r="A779" s="23">
        <v>776</v>
      </c>
      <c r="B779" s="30" t="s">
        <v>725</v>
      </c>
      <c r="C779" s="23">
        <v>140310007</v>
      </c>
      <c r="D779" s="23">
        <v>1600</v>
      </c>
      <c r="E779" s="27">
        <f>_xlfn.XLOOKUP(packes[[#This Row],[productId]],bom[Id],bom[wgt])</f>
        <v>1.1413748378728923</v>
      </c>
      <c r="F779" s="27">
        <f>packes[[#This Row],[num]]*packes[[#This Row],[wtg]]</f>
        <v>1826.1997405966276</v>
      </c>
      <c r="G779" s="357">
        <v>3</v>
      </c>
      <c r="H779" s="21">
        <f>packes[[#This Row],[num]]-SUM(packes[[#This Row],[num2]])</f>
        <v>1600</v>
      </c>
      <c r="I779" s="357"/>
      <c r="J779" s="21"/>
      <c r="K779" s="323"/>
      <c r="M779" s="27">
        <f>_xlfn.XLOOKUP(packes[[#This Row],[productId]],CT[productId],CT[total],"NA")</f>
        <v>92.484999999999999</v>
      </c>
      <c r="N779" s="20" t="str">
        <f>_xlfn.XLOOKUP(packes[[#This Row],[productId]],bom[Id],bom[ph],"NA")</f>
        <v>-</v>
      </c>
      <c r="O779" s="20" t="str">
        <f>_xlfn.XLOOKUP(packes[[#This Row],[productId]],bom[Id],bom[erth],"NA")</f>
        <v>nut4</v>
      </c>
      <c r="P779" s="20" t="str">
        <f>_xlfn.XLOOKUP(packes[[#This Row],[productId]],bom[Id],bom[dbl],"NA")</f>
        <v>-</v>
      </c>
      <c r="Q779" s="20" t="str">
        <f>LEFT(packes[[#This Row],[date]],4)</f>
        <v>1404</v>
      </c>
    </row>
    <row r="780" spans="1:17" ht="16.5" x14ac:dyDescent="0.25">
      <c r="A780" s="23">
        <v>777</v>
      </c>
      <c r="B780" s="30" t="s">
        <v>725</v>
      </c>
      <c r="C780" s="23">
        <v>140310071</v>
      </c>
      <c r="D780" s="23">
        <v>2050</v>
      </c>
      <c r="E780" s="27">
        <f>_xlfn.XLOOKUP(packes[[#This Row],[productId]],bom[Id],bom[wgt])</f>
        <v>1.3</v>
      </c>
      <c r="F780" s="27">
        <f>packes[[#This Row],[num]]*packes[[#This Row],[wtg]]</f>
        <v>2665</v>
      </c>
      <c r="G780" s="357">
        <v>3</v>
      </c>
      <c r="H780" s="21">
        <f>packes[[#This Row],[num]]-SUM(packes[[#This Row],[num2]])</f>
        <v>2050</v>
      </c>
      <c r="I780" s="357"/>
      <c r="J780" s="21"/>
      <c r="K780" s="323"/>
      <c r="M780" s="27">
        <f>_xlfn.XLOOKUP(packes[[#This Row],[productId]],CT[productId],CT[total],"NA")</f>
        <v>130.69500000000002</v>
      </c>
      <c r="N780" s="20" t="str">
        <f>_xlfn.XLOOKUP(packes[[#This Row],[productId]],bom[Id],bom[ph],"NA")</f>
        <v>6.3ch</v>
      </c>
      <c r="O780" s="20" t="str">
        <f>_xlfn.XLOOKUP(packes[[#This Row],[productId]],bom[Id],bom[erth],"NA")</f>
        <v>6.3k</v>
      </c>
      <c r="P780" s="20" t="str">
        <f>_xlfn.XLOOKUP(packes[[#This Row],[productId]],bom[Id],bom[dbl],"NA")</f>
        <v>-</v>
      </c>
      <c r="Q780" s="20" t="str">
        <f>LEFT(packes[[#This Row],[date]],4)</f>
        <v>1404</v>
      </c>
    </row>
    <row r="781" spans="1:17" ht="16.5" x14ac:dyDescent="0.25">
      <c r="A781" s="23">
        <v>778</v>
      </c>
      <c r="B781" s="30" t="s">
        <v>725</v>
      </c>
      <c r="C781" s="23">
        <v>140310083</v>
      </c>
      <c r="D781" s="23">
        <v>700</v>
      </c>
      <c r="E781" s="27">
        <f>_xlfn.XLOOKUP(packes[[#This Row],[productId]],bom[Id],bom[wgt])</f>
        <v>1.3369250723336326</v>
      </c>
      <c r="F781" s="27">
        <f>packes[[#This Row],[num]]*packes[[#This Row],[wtg]]</f>
        <v>935.84755063354282</v>
      </c>
      <c r="G781" s="357">
        <v>3</v>
      </c>
      <c r="H781" s="21">
        <f>packes[[#This Row],[num]]-SUM(packes[[#This Row],[num2]])</f>
        <v>700</v>
      </c>
      <c r="I781" s="357"/>
      <c r="J781" s="21"/>
      <c r="K781" s="323"/>
      <c r="M781" s="27">
        <f>_xlfn.XLOOKUP(packes[[#This Row],[productId]],CT[productId],CT[total],"NA")</f>
        <v>135.23500000000001</v>
      </c>
      <c r="N781" s="20" t="str">
        <f>_xlfn.XLOOKUP(packes[[#This Row],[productId]],bom[Id],bom[ph],"NA")</f>
        <v>6.3flat</v>
      </c>
      <c r="O781" s="20" t="str">
        <f>_xlfn.XLOOKUP(packes[[#This Row],[productId]],bom[Id],bom[erth],"NA")</f>
        <v>6.3flat</v>
      </c>
      <c r="P781" s="20" t="str">
        <f>_xlfn.XLOOKUP(packes[[#This Row],[productId]],bom[Id],bom[dbl],"NA")</f>
        <v>-</v>
      </c>
      <c r="Q781" s="20" t="str">
        <f>LEFT(packes[[#This Row],[date]],4)</f>
        <v>1404</v>
      </c>
    </row>
    <row r="782" spans="1:17" ht="16.5" x14ac:dyDescent="0.25">
      <c r="A782" s="23">
        <v>779</v>
      </c>
      <c r="B782" s="30" t="s">
        <v>726</v>
      </c>
      <c r="C782" s="23">
        <v>140010117</v>
      </c>
      <c r="D782" s="23">
        <v>975</v>
      </c>
      <c r="E782" s="27">
        <f>_xlfn.XLOOKUP(packes[[#This Row],[productId]],bom[Id],bom[wgt])</f>
        <v>1</v>
      </c>
      <c r="F782" s="27">
        <f>packes[[#This Row],[num]]*packes[[#This Row],[wtg]]</f>
        <v>975</v>
      </c>
      <c r="G782" s="357">
        <v>3</v>
      </c>
      <c r="H782" s="21">
        <f>packes[[#This Row],[num]]-SUM(packes[[#This Row],[num2]])</f>
        <v>925</v>
      </c>
      <c r="I782" s="357" t="s">
        <v>1070</v>
      </c>
      <c r="J782" s="21">
        <v>50</v>
      </c>
      <c r="K782" s="323"/>
      <c r="M782" s="27">
        <f>_xlfn.XLOOKUP(packes[[#This Row],[productId]],CT[productId],CT[total],"NA")</f>
        <v>98.295000000000016</v>
      </c>
      <c r="N782" s="20" t="str">
        <f>_xlfn.XLOOKUP(packes[[#This Row],[productId]],bom[Id],bom[ph],"NA")</f>
        <v>nar.p</v>
      </c>
      <c r="O782" s="20" t="str">
        <f>_xlfn.XLOOKUP(packes[[#This Row],[productId]],bom[Id],bom[erth],"NA")</f>
        <v>-</v>
      </c>
      <c r="P782" s="20" t="str">
        <f>_xlfn.XLOOKUP(packes[[#This Row],[productId]],bom[Id],bom[dbl],"NA")</f>
        <v>nar.p</v>
      </c>
      <c r="Q782" s="20" t="str">
        <f>LEFT(packes[[#This Row],[date]],4)</f>
        <v>1404</v>
      </c>
    </row>
    <row r="783" spans="1:17" ht="16.5" x14ac:dyDescent="0.25">
      <c r="A783" s="23">
        <v>780</v>
      </c>
      <c r="B783" s="30" t="s">
        <v>726</v>
      </c>
      <c r="C783" s="23">
        <v>140310007</v>
      </c>
      <c r="D783" s="23">
        <v>2600</v>
      </c>
      <c r="E783" s="27">
        <f>_xlfn.XLOOKUP(packes[[#This Row],[productId]],bom[Id],bom[wgt])</f>
        <v>1.1413748378728923</v>
      </c>
      <c r="F783" s="27">
        <f>packes[[#This Row],[num]]*packes[[#This Row],[wtg]]</f>
        <v>2967.57457846952</v>
      </c>
      <c r="G783" s="357">
        <v>3</v>
      </c>
      <c r="H783" s="21">
        <f>packes[[#This Row],[num]]-SUM(packes[[#This Row],[num2]])</f>
        <v>2600</v>
      </c>
      <c r="I783" s="357"/>
      <c r="J783" s="21"/>
      <c r="K783" s="323"/>
      <c r="M783" s="27">
        <f>_xlfn.XLOOKUP(packes[[#This Row],[productId]],CT[productId],CT[total],"NA")</f>
        <v>92.484999999999999</v>
      </c>
      <c r="N783" s="20" t="str">
        <f>_xlfn.XLOOKUP(packes[[#This Row],[productId]],bom[Id],bom[ph],"NA")</f>
        <v>-</v>
      </c>
      <c r="O783" s="20" t="str">
        <f>_xlfn.XLOOKUP(packes[[#This Row],[productId]],bom[Id],bom[erth],"NA")</f>
        <v>nut4</v>
      </c>
      <c r="P783" s="20" t="str">
        <f>_xlfn.XLOOKUP(packes[[#This Row],[productId]],bom[Id],bom[dbl],"NA")</f>
        <v>-</v>
      </c>
      <c r="Q783" s="20" t="str">
        <f>LEFT(packes[[#This Row],[date]],4)</f>
        <v>1404</v>
      </c>
    </row>
    <row r="784" spans="1:17" ht="16.5" x14ac:dyDescent="0.25">
      <c r="A784" s="23">
        <v>781</v>
      </c>
      <c r="B784" s="30" t="s">
        <v>726</v>
      </c>
      <c r="C784" s="23">
        <v>140310058</v>
      </c>
      <c r="D784" s="23">
        <v>800</v>
      </c>
      <c r="E784" s="27">
        <f>_xlfn.XLOOKUP(packes[[#This Row],[productId]],bom[Id],bom[wgt])</f>
        <v>1.3469021251122417</v>
      </c>
      <c r="F784" s="27">
        <f>packes[[#This Row],[num]]*packes[[#This Row],[wtg]]</f>
        <v>1077.5217000897933</v>
      </c>
      <c r="G784" s="357">
        <v>3</v>
      </c>
      <c r="H784" s="21">
        <f>packes[[#This Row],[num]]-SUM(packes[[#This Row],[num2]])</f>
        <v>800</v>
      </c>
      <c r="I784" s="357"/>
      <c r="J784" s="21"/>
      <c r="K784" s="323"/>
      <c r="M784" s="27">
        <f>_xlfn.XLOOKUP(packes[[#This Row],[productId]],CT[productId],CT[total],"NA")</f>
        <v>147.595</v>
      </c>
      <c r="N784" s="20" t="str">
        <f>_xlfn.XLOOKUP(packes[[#This Row],[productId]],bom[Id],bom[ph],"NA")</f>
        <v>nar.p</v>
      </c>
      <c r="O784" s="20" t="str">
        <f>_xlfn.XLOOKUP(packes[[#This Row],[productId]],bom[Id],bom[erth],"NA")</f>
        <v>nar.p</v>
      </c>
      <c r="P784" s="20" t="str">
        <f>_xlfn.XLOOKUP(packes[[#This Row],[productId]],bom[Id],bom[dbl],"NA")</f>
        <v>nar.p</v>
      </c>
      <c r="Q784" s="20" t="str">
        <f>LEFT(packes[[#This Row],[date]],4)</f>
        <v>1404</v>
      </c>
    </row>
    <row r="785" spans="1:17" ht="16.5" x14ac:dyDescent="0.25">
      <c r="A785" s="23">
        <v>782</v>
      </c>
      <c r="B785" s="30" t="s">
        <v>726</v>
      </c>
      <c r="C785" s="23">
        <v>140310071</v>
      </c>
      <c r="D785" s="23">
        <v>300</v>
      </c>
      <c r="E785" s="27">
        <f>_xlfn.XLOOKUP(packes[[#This Row],[productId]],bom[Id],bom[wgt])</f>
        <v>1.3</v>
      </c>
      <c r="F785" s="27">
        <f>packes[[#This Row],[num]]*packes[[#This Row],[wtg]]</f>
        <v>390</v>
      </c>
      <c r="G785" s="357">
        <v>3</v>
      </c>
      <c r="H785" s="21">
        <f>packes[[#This Row],[num]]-SUM(packes[[#This Row],[num2]])</f>
        <v>300</v>
      </c>
      <c r="I785" s="357"/>
      <c r="J785" s="21"/>
      <c r="K785" s="323"/>
      <c r="M785" s="27">
        <f>_xlfn.XLOOKUP(packes[[#This Row],[productId]],CT[productId],CT[total],"NA")</f>
        <v>130.69500000000002</v>
      </c>
      <c r="N785" s="20" t="str">
        <f>_xlfn.XLOOKUP(packes[[#This Row],[productId]],bom[Id],bom[ph],"NA")</f>
        <v>6.3ch</v>
      </c>
      <c r="O785" s="20" t="str">
        <f>_xlfn.XLOOKUP(packes[[#This Row],[productId]],bom[Id],bom[erth],"NA")</f>
        <v>6.3k</v>
      </c>
      <c r="P785" s="20" t="str">
        <f>_xlfn.XLOOKUP(packes[[#This Row],[productId]],bom[Id],bom[dbl],"NA")</f>
        <v>-</v>
      </c>
      <c r="Q785" s="20" t="str">
        <f>LEFT(packes[[#This Row],[date]],4)</f>
        <v>1404</v>
      </c>
    </row>
    <row r="786" spans="1:17" ht="16.5" x14ac:dyDescent="0.25">
      <c r="A786" s="23">
        <v>783</v>
      </c>
      <c r="B786" s="30" t="s">
        <v>726</v>
      </c>
      <c r="C786" s="23">
        <v>140310083</v>
      </c>
      <c r="D786" s="23">
        <v>1000</v>
      </c>
      <c r="E786" s="27">
        <f>_xlfn.XLOOKUP(packes[[#This Row],[productId]],bom[Id],bom[wgt])</f>
        <v>1.3369250723336326</v>
      </c>
      <c r="F786" s="27">
        <f>packes[[#This Row],[num]]*packes[[#This Row],[wtg]]</f>
        <v>1336.9250723336327</v>
      </c>
      <c r="G786" s="357">
        <v>3</v>
      </c>
      <c r="H786" s="21">
        <f>packes[[#This Row],[num]]-SUM(packes[[#This Row],[num2]])</f>
        <v>1000</v>
      </c>
      <c r="I786" s="357"/>
      <c r="J786" s="21"/>
      <c r="K786" s="323"/>
      <c r="M786" s="27">
        <f>_xlfn.XLOOKUP(packes[[#This Row],[productId]],CT[productId],CT[total],"NA")</f>
        <v>135.23500000000001</v>
      </c>
      <c r="N786" s="20" t="str">
        <f>_xlfn.XLOOKUP(packes[[#This Row],[productId]],bom[Id],bom[ph],"NA")</f>
        <v>6.3flat</v>
      </c>
      <c r="O786" s="20" t="str">
        <f>_xlfn.XLOOKUP(packes[[#This Row],[productId]],bom[Id],bom[erth],"NA")</f>
        <v>6.3flat</v>
      </c>
      <c r="P786" s="20" t="str">
        <f>_xlfn.XLOOKUP(packes[[#This Row],[productId]],bom[Id],bom[dbl],"NA")</f>
        <v>-</v>
      </c>
      <c r="Q786" s="20" t="str">
        <f>LEFT(packes[[#This Row],[date]],4)</f>
        <v>1404</v>
      </c>
    </row>
    <row r="787" spans="1:17" ht="16.5" x14ac:dyDescent="0.25">
      <c r="A787" s="23">
        <v>784</v>
      </c>
      <c r="B787" s="30" t="s">
        <v>726</v>
      </c>
      <c r="C787" s="23">
        <v>141320055</v>
      </c>
      <c r="D787" s="23">
        <v>1600</v>
      </c>
      <c r="E787" s="27">
        <f>_xlfn.XLOOKUP(packes[[#This Row],[productId]],bom[Id],bom[wgt])</f>
        <v>1.1274069639828395</v>
      </c>
      <c r="F787" s="27">
        <f>packes[[#This Row],[num]]*packes[[#This Row],[wtg]]</f>
        <v>1803.8511423725431</v>
      </c>
      <c r="G787" s="357">
        <v>2</v>
      </c>
      <c r="H787" s="21">
        <f>packes[[#This Row],[num]]-SUM(packes[[#This Row],[num2]])</f>
        <v>1600</v>
      </c>
      <c r="I787" s="357"/>
      <c r="J787" s="21"/>
      <c r="K787" s="323"/>
      <c r="M787" s="27">
        <f>_xlfn.XLOOKUP(packes[[#This Row],[productId]],CT[productId],CT[total],"NA")</f>
        <v>41.13</v>
      </c>
      <c r="N787" s="20">
        <f>_xlfn.XLOOKUP(packes[[#This Row],[productId]],bom[Id],bom[ph],"NA")</f>
        <v>0</v>
      </c>
      <c r="O787" s="20">
        <f>_xlfn.XLOOKUP(packes[[#This Row],[productId]],bom[Id],bom[erth],"NA")</f>
        <v>0</v>
      </c>
      <c r="P787" s="20">
        <f>_xlfn.XLOOKUP(packes[[#This Row],[productId]],bom[Id],bom[dbl],"NA")</f>
        <v>0</v>
      </c>
      <c r="Q787" s="20" t="str">
        <f>LEFT(packes[[#This Row],[date]],4)</f>
        <v>1404</v>
      </c>
    </row>
    <row r="788" spans="1:17" ht="16.5" x14ac:dyDescent="0.25">
      <c r="A788" s="23">
        <v>785</v>
      </c>
      <c r="B788" s="30" t="s">
        <v>727</v>
      </c>
      <c r="C788" s="23">
        <v>140010117</v>
      </c>
      <c r="D788" s="23">
        <f>375+100</f>
        <v>475</v>
      </c>
      <c r="E788" s="27">
        <f>_xlfn.XLOOKUP(packes[[#This Row],[productId]],bom[Id],bom[wgt])</f>
        <v>1</v>
      </c>
      <c r="F788" s="27">
        <f>packes[[#This Row],[num]]*packes[[#This Row],[wtg]]</f>
        <v>475</v>
      </c>
      <c r="G788" s="357">
        <v>3</v>
      </c>
      <c r="H788" s="21">
        <f>packes[[#This Row],[num]]-SUM(packes[[#This Row],[num2]])</f>
        <v>475</v>
      </c>
      <c r="I788" s="357"/>
      <c r="J788" s="21"/>
      <c r="K788" s="323"/>
      <c r="M788" s="27">
        <f>_xlfn.XLOOKUP(packes[[#This Row],[productId]],CT[productId],CT[total],"NA")</f>
        <v>98.295000000000016</v>
      </c>
      <c r="N788" s="20" t="str">
        <f>_xlfn.XLOOKUP(packes[[#This Row],[productId]],bom[Id],bom[ph],"NA")</f>
        <v>nar.p</v>
      </c>
      <c r="O788" s="20" t="str">
        <f>_xlfn.XLOOKUP(packes[[#This Row],[productId]],bom[Id],bom[erth],"NA")</f>
        <v>-</v>
      </c>
      <c r="P788" s="20" t="str">
        <f>_xlfn.XLOOKUP(packes[[#This Row],[productId]],bom[Id],bom[dbl],"NA")</f>
        <v>nar.p</v>
      </c>
      <c r="Q788" s="20" t="str">
        <f>LEFT(packes[[#This Row],[date]],4)</f>
        <v>1404</v>
      </c>
    </row>
    <row r="789" spans="1:17" ht="16.5" x14ac:dyDescent="0.25">
      <c r="A789" s="23">
        <v>786</v>
      </c>
      <c r="B789" s="30" t="s">
        <v>727</v>
      </c>
      <c r="C789" s="23">
        <v>140010230</v>
      </c>
      <c r="D789" s="23">
        <v>100</v>
      </c>
      <c r="E789" s="27">
        <f>_xlfn.XLOOKUP(packes[[#This Row],[productId]],bom[Id],bom[wgt])</f>
        <v>1.4486680634540554</v>
      </c>
      <c r="F789" s="27">
        <f>packes[[#This Row],[num]]*packes[[#This Row],[wtg]]</f>
        <v>144.86680634540554</v>
      </c>
      <c r="G789" s="357">
        <v>2</v>
      </c>
      <c r="H789" s="21">
        <f>packes[[#This Row],[num]]-SUM(packes[[#This Row],[num2]])</f>
        <v>100</v>
      </c>
      <c r="I789" s="357"/>
      <c r="J789" s="21"/>
      <c r="K789" s="323"/>
      <c r="M789" s="27">
        <f>_xlfn.XLOOKUP(packes[[#This Row],[productId]],CT[productId],CT[total],"NA")</f>
        <v>147.595</v>
      </c>
      <c r="N789" s="20" t="str">
        <f>_xlfn.XLOOKUP(packes[[#This Row],[productId]],bom[Id],bom[ph],"NA")</f>
        <v>nar.p</v>
      </c>
      <c r="O789" s="20" t="str">
        <f>_xlfn.XLOOKUP(packes[[#This Row],[productId]],bom[Id],bom[erth],"NA")</f>
        <v>-</v>
      </c>
      <c r="P789" s="20" t="str">
        <f>_xlfn.XLOOKUP(packes[[#This Row],[productId]],bom[Id],bom[dbl],"NA")</f>
        <v>nar.p</v>
      </c>
      <c r="Q789" s="20" t="str">
        <f>LEFT(packes[[#This Row],[date]],4)</f>
        <v>1404</v>
      </c>
    </row>
    <row r="790" spans="1:17" ht="16.5" x14ac:dyDescent="0.25">
      <c r="A790" s="23">
        <v>787</v>
      </c>
      <c r="B790" s="30" t="s">
        <v>727</v>
      </c>
      <c r="C790" s="23">
        <v>140310007</v>
      </c>
      <c r="D790" s="23">
        <v>800</v>
      </c>
      <c r="E790" s="27">
        <f>_xlfn.XLOOKUP(packes[[#This Row],[productId]],bom[Id],bom[wgt])</f>
        <v>1.1413748378728923</v>
      </c>
      <c r="F790" s="27">
        <f>packes[[#This Row],[num]]*packes[[#This Row],[wtg]]</f>
        <v>913.09987029831382</v>
      </c>
      <c r="G790" s="357">
        <v>3</v>
      </c>
      <c r="H790" s="21">
        <f>packes[[#This Row],[num]]-SUM(packes[[#This Row],[num2]])</f>
        <v>800</v>
      </c>
      <c r="I790" s="357"/>
      <c r="J790" s="21"/>
      <c r="K790" s="323"/>
      <c r="M790" s="27">
        <f>_xlfn.XLOOKUP(packes[[#This Row],[productId]],CT[productId],CT[total],"NA")</f>
        <v>92.484999999999999</v>
      </c>
      <c r="N790" s="20" t="str">
        <f>_xlfn.XLOOKUP(packes[[#This Row],[productId]],bom[Id],bom[ph],"NA")</f>
        <v>-</v>
      </c>
      <c r="O790" s="20" t="str">
        <f>_xlfn.XLOOKUP(packes[[#This Row],[productId]],bom[Id],bom[erth],"NA")</f>
        <v>nut4</v>
      </c>
      <c r="P790" s="20" t="str">
        <f>_xlfn.XLOOKUP(packes[[#This Row],[productId]],bom[Id],bom[dbl],"NA")</f>
        <v>-</v>
      </c>
      <c r="Q790" s="20" t="str">
        <f>LEFT(packes[[#This Row],[date]],4)</f>
        <v>1404</v>
      </c>
    </row>
    <row r="791" spans="1:17" ht="16.5" x14ac:dyDescent="0.25">
      <c r="A791" s="23">
        <v>788</v>
      </c>
      <c r="B791" s="30" t="s">
        <v>727</v>
      </c>
      <c r="C791" s="23">
        <v>140310071</v>
      </c>
      <c r="D791" s="23">
        <v>550</v>
      </c>
      <c r="E791" s="27">
        <f>_xlfn.XLOOKUP(packes[[#This Row],[productId]],bom[Id],bom[wgt])</f>
        <v>1.3</v>
      </c>
      <c r="F791" s="27">
        <f>packes[[#This Row],[num]]*packes[[#This Row],[wtg]]</f>
        <v>715</v>
      </c>
      <c r="G791" s="357">
        <v>3</v>
      </c>
      <c r="H791" s="21">
        <f>packes[[#This Row],[num]]-SUM(packes[[#This Row],[num2]])</f>
        <v>550</v>
      </c>
      <c r="I791" s="357"/>
      <c r="J791" s="21"/>
      <c r="K791" s="323"/>
      <c r="M791" s="27">
        <f>_xlfn.XLOOKUP(packes[[#This Row],[productId]],CT[productId],CT[total],"NA")</f>
        <v>130.69500000000002</v>
      </c>
      <c r="N791" s="20" t="str">
        <f>_xlfn.XLOOKUP(packes[[#This Row],[productId]],bom[Id],bom[ph],"NA")</f>
        <v>6.3ch</v>
      </c>
      <c r="O791" s="20" t="str">
        <f>_xlfn.XLOOKUP(packes[[#This Row],[productId]],bom[Id],bom[erth],"NA")</f>
        <v>6.3k</v>
      </c>
      <c r="P791" s="20" t="str">
        <f>_xlfn.XLOOKUP(packes[[#This Row],[productId]],bom[Id],bom[dbl],"NA")</f>
        <v>-</v>
      </c>
      <c r="Q791" s="20" t="str">
        <f>LEFT(packes[[#This Row],[date]],4)</f>
        <v>1404</v>
      </c>
    </row>
    <row r="792" spans="1:17" ht="16.5" x14ac:dyDescent="0.25">
      <c r="A792" s="23">
        <v>789</v>
      </c>
      <c r="B792" s="30" t="s">
        <v>727</v>
      </c>
      <c r="C792" s="23">
        <v>140310083</v>
      </c>
      <c r="D792" s="23">
        <v>900</v>
      </c>
      <c r="E792" s="27">
        <f>_xlfn.XLOOKUP(packes[[#This Row],[productId]],bom[Id],bom[wgt])</f>
        <v>1.3369250723336326</v>
      </c>
      <c r="F792" s="27">
        <f>packes[[#This Row],[num]]*packes[[#This Row],[wtg]]</f>
        <v>1203.2325651002693</v>
      </c>
      <c r="G792" s="357">
        <v>3</v>
      </c>
      <c r="H792" s="21">
        <f>packes[[#This Row],[num]]-SUM(packes[[#This Row],[num2]])</f>
        <v>900</v>
      </c>
      <c r="I792" s="357"/>
      <c r="J792" s="21"/>
      <c r="K792" s="323"/>
      <c r="M792" s="27">
        <f>_xlfn.XLOOKUP(packes[[#This Row],[productId]],CT[productId],CT[total],"NA")</f>
        <v>135.23500000000001</v>
      </c>
      <c r="N792" s="20" t="str">
        <f>_xlfn.XLOOKUP(packes[[#This Row],[productId]],bom[Id],bom[ph],"NA")</f>
        <v>6.3flat</v>
      </c>
      <c r="O792" s="20" t="str">
        <f>_xlfn.XLOOKUP(packes[[#This Row],[productId]],bom[Id],bom[erth],"NA")</f>
        <v>6.3flat</v>
      </c>
      <c r="P792" s="20" t="str">
        <f>_xlfn.XLOOKUP(packes[[#This Row],[productId]],bom[Id],bom[dbl],"NA")</f>
        <v>-</v>
      </c>
      <c r="Q792" s="20" t="str">
        <f>LEFT(packes[[#This Row],[date]],4)</f>
        <v>1404</v>
      </c>
    </row>
    <row r="793" spans="1:17" ht="16.5" x14ac:dyDescent="0.25">
      <c r="A793" s="23">
        <v>790</v>
      </c>
      <c r="B793" s="30" t="s">
        <v>727</v>
      </c>
      <c r="C793" s="23">
        <v>141320055</v>
      </c>
      <c r="D793" s="23">
        <v>1000</v>
      </c>
      <c r="E793" s="27">
        <f>_xlfn.XLOOKUP(packes[[#This Row],[productId]],bom[Id],bom[wgt])</f>
        <v>1.1274069639828395</v>
      </c>
      <c r="F793" s="27">
        <f>packes[[#This Row],[num]]*packes[[#This Row],[wtg]]</f>
        <v>1127.4069639828394</v>
      </c>
      <c r="G793" s="357">
        <v>2</v>
      </c>
      <c r="H793" s="21">
        <f>packes[[#This Row],[num]]-SUM(packes[[#This Row],[num2]])</f>
        <v>1000</v>
      </c>
      <c r="I793" s="357"/>
      <c r="J793" s="21"/>
      <c r="K793" s="323"/>
      <c r="M793" s="27">
        <f>_xlfn.XLOOKUP(packes[[#This Row],[productId]],CT[productId],CT[total],"NA")</f>
        <v>41.13</v>
      </c>
      <c r="N793" s="20">
        <f>_xlfn.XLOOKUP(packes[[#This Row],[productId]],bom[Id],bom[ph],"NA")</f>
        <v>0</v>
      </c>
      <c r="O793" s="20">
        <f>_xlfn.XLOOKUP(packes[[#This Row],[productId]],bom[Id],bom[erth],"NA")</f>
        <v>0</v>
      </c>
      <c r="P793" s="20">
        <f>_xlfn.XLOOKUP(packes[[#This Row],[productId]],bom[Id],bom[dbl],"NA")</f>
        <v>0</v>
      </c>
      <c r="Q793" s="20" t="str">
        <f>LEFT(packes[[#This Row],[date]],4)</f>
        <v>1404</v>
      </c>
    </row>
    <row r="794" spans="1:17" ht="16.5" x14ac:dyDescent="0.25">
      <c r="A794" s="23">
        <v>791</v>
      </c>
      <c r="B794" s="30" t="s">
        <v>729</v>
      </c>
      <c r="C794" s="23">
        <v>140010117</v>
      </c>
      <c r="D794" s="23">
        <v>825</v>
      </c>
      <c r="E794" s="27">
        <f>_xlfn.XLOOKUP(packes[[#This Row],[productId]],bom[Id],bom[wgt])</f>
        <v>1</v>
      </c>
      <c r="F794" s="27">
        <f>packes[[#This Row],[num]]*packes[[#This Row],[wtg]]</f>
        <v>825</v>
      </c>
      <c r="G794" s="357">
        <v>3</v>
      </c>
      <c r="H794" s="21">
        <f>packes[[#This Row],[num]]-SUM(packes[[#This Row],[num2]])</f>
        <v>825</v>
      </c>
      <c r="I794" s="357"/>
      <c r="J794" s="21"/>
      <c r="K794" s="323"/>
      <c r="M794" s="27">
        <f>_xlfn.XLOOKUP(packes[[#This Row],[productId]],CT[productId],CT[total],"NA")</f>
        <v>98.295000000000016</v>
      </c>
      <c r="N794" s="20" t="str">
        <f>_xlfn.XLOOKUP(packes[[#This Row],[productId]],bom[Id],bom[ph],"NA")</f>
        <v>nar.p</v>
      </c>
      <c r="O794" s="20" t="str">
        <f>_xlfn.XLOOKUP(packes[[#This Row],[productId]],bom[Id],bom[erth],"NA")</f>
        <v>-</v>
      </c>
      <c r="P794" s="20" t="str">
        <f>_xlfn.XLOOKUP(packes[[#This Row],[productId]],bom[Id],bom[dbl],"NA")</f>
        <v>nar.p</v>
      </c>
      <c r="Q794" s="20" t="str">
        <f>LEFT(packes[[#This Row],[date]],4)</f>
        <v>1404</v>
      </c>
    </row>
    <row r="795" spans="1:17" ht="16.5" x14ac:dyDescent="0.25">
      <c r="A795" s="23">
        <v>792</v>
      </c>
      <c r="B795" s="30" t="s">
        <v>729</v>
      </c>
      <c r="C795" s="23">
        <v>140310007</v>
      </c>
      <c r="D795" s="23">
        <v>1000</v>
      </c>
      <c r="E795" s="27">
        <f>_xlfn.XLOOKUP(packes[[#This Row],[productId]],bom[Id],bom[wgt])</f>
        <v>1.1413748378728923</v>
      </c>
      <c r="F795" s="27">
        <f>packes[[#This Row],[num]]*packes[[#This Row],[wtg]]</f>
        <v>1141.3748378728924</v>
      </c>
      <c r="G795" s="357">
        <v>3</v>
      </c>
      <c r="H795" s="21">
        <f>packes[[#This Row],[num]]-SUM(packes[[#This Row],[num2]])</f>
        <v>1000</v>
      </c>
      <c r="I795" s="357"/>
      <c r="J795" s="21"/>
      <c r="K795" s="323"/>
      <c r="M795" s="27">
        <f>_xlfn.XLOOKUP(packes[[#This Row],[productId]],CT[productId],CT[total],"NA")</f>
        <v>92.484999999999999</v>
      </c>
      <c r="N795" s="20" t="str">
        <f>_xlfn.XLOOKUP(packes[[#This Row],[productId]],bom[Id],bom[ph],"NA")</f>
        <v>-</v>
      </c>
      <c r="O795" s="20" t="str">
        <f>_xlfn.XLOOKUP(packes[[#This Row],[productId]],bom[Id],bom[erth],"NA")</f>
        <v>nut4</v>
      </c>
      <c r="P795" s="20" t="str">
        <f>_xlfn.XLOOKUP(packes[[#This Row],[productId]],bom[Id],bom[dbl],"NA")</f>
        <v>-</v>
      </c>
      <c r="Q795" s="20" t="str">
        <f>LEFT(packes[[#This Row],[date]],4)</f>
        <v>1404</v>
      </c>
    </row>
    <row r="796" spans="1:17" ht="16.5" x14ac:dyDescent="0.25">
      <c r="A796" s="23">
        <v>793</v>
      </c>
      <c r="B796" s="30" t="s">
        <v>729</v>
      </c>
      <c r="C796" s="23">
        <v>140310058</v>
      </c>
      <c r="D796" s="23">
        <v>400</v>
      </c>
      <c r="E796" s="27">
        <f>_xlfn.XLOOKUP(packes[[#This Row],[productId]],bom[Id],bom[wgt])</f>
        <v>1.3469021251122417</v>
      </c>
      <c r="F796" s="27">
        <f>packes[[#This Row],[num]]*packes[[#This Row],[wtg]]</f>
        <v>538.76085004489664</v>
      </c>
      <c r="G796" s="357">
        <v>3</v>
      </c>
      <c r="H796" s="21">
        <f>packes[[#This Row],[num]]-SUM(packes[[#This Row],[num2]])</f>
        <v>400</v>
      </c>
      <c r="I796" s="357"/>
      <c r="J796" s="21"/>
      <c r="K796" s="323"/>
      <c r="M796" s="27">
        <f>_xlfn.XLOOKUP(packes[[#This Row],[productId]],CT[productId],CT[total],"NA")</f>
        <v>147.595</v>
      </c>
      <c r="N796" s="20" t="str">
        <f>_xlfn.XLOOKUP(packes[[#This Row],[productId]],bom[Id],bom[ph],"NA")</f>
        <v>nar.p</v>
      </c>
      <c r="O796" s="20" t="str">
        <f>_xlfn.XLOOKUP(packes[[#This Row],[productId]],bom[Id],bom[erth],"NA")</f>
        <v>nar.p</v>
      </c>
      <c r="P796" s="20" t="str">
        <f>_xlfn.XLOOKUP(packes[[#This Row],[productId]],bom[Id],bom[dbl],"NA")</f>
        <v>nar.p</v>
      </c>
      <c r="Q796" s="20" t="str">
        <f>LEFT(packes[[#This Row],[date]],4)</f>
        <v>1404</v>
      </c>
    </row>
    <row r="797" spans="1:17" ht="16.5" x14ac:dyDescent="0.25">
      <c r="A797" s="23">
        <v>794</v>
      </c>
      <c r="B797" s="30" t="s">
        <v>729</v>
      </c>
      <c r="C797" s="23">
        <v>140310071</v>
      </c>
      <c r="D797" s="23">
        <v>1400</v>
      </c>
      <c r="E797" s="27">
        <f>_xlfn.XLOOKUP(packes[[#This Row],[productId]],bom[Id],bom[wgt])</f>
        <v>1.3</v>
      </c>
      <c r="F797" s="27">
        <f>packes[[#This Row],[num]]*packes[[#This Row],[wtg]]</f>
        <v>1820</v>
      </c>
      <c r="G797" s="357">
        <v>3</v>
      </c>
      <c r="H797" s="21">
        <f>packes[[#This Row],[num]]-SUM(packes[[#This Row],[num2]])</f>
        <v>1400</v>
      </c>
      <c r="I797" s="357"/>
      <c r="J797" s="21"/>
      <c r="K797" s="323"/>
      <c r="M797" s="27">
        <f>_xlfn.XLOOKUP(packes[[#This Row],[productId]],CT[productId],CT[total],"NA")</f>
        <v>130.69500000000002</v>
      </c>
      <c r="N797" s="20" t="str">
        <f>_xlfn.XLOOKUP(packes[[#This Row],[productId]],bom[Id],bom[ph],"NA")</f>
        <v>6.3ch</v>
      </c>
      <c r="O797" s="20" t="str">
        <f>_xlfn.XLOOKUP(packes[[#This Row],[productId]],bom[Id],bom[erth],"NA")</f>
        <v>6.3k</v>
      </c>
      <c r="P797" s="20" t="str">
        <f>_xlfn.XLOOKUP(packes[[#This Row],[productId]],bom[Id],bom[dbl],"NA")</f>
        <v>-</v>
      </c>
      <c r="Q797" s="20" t="str">
        <f>LEFT(packes[[#This Row],[date]],4)</f>
        <v>1404</v>
      </c>
    </row>
    <row r="798" spans="1:17" ht="16.5" x14ac:dyDescent="0.25">
      <c r="A798" s="23">
        <v>795</v>
      </c>
      <c r="B798" s="30" t="s">
        <v>729</v>
      </c>
      <c r="C798" s="23">
        <v>140310083</v>
      </c>
      <c r="D798" s="23">
        <v>1500</v>
      </c>
      <c r="E798" s="27">
        <f>_xlfn.XLOOKUP(packes[[#This Row],[productId]],bom[Id],bom[wgt])</f>
        <v>1.3369250723336326</v>
      </c>
      <c r="F798" s="27">
        <f>packes[[#This Row],[num]]*packes[[#This Row],[wtg]]</f>
        <v>2005.3876085004488</v>
      </c>
      <c r="G798" s="357">
        <v>3</v>
      </c>
      <c r="H798" s="21">
        <f>packes[[#This Row],[num]]-SUM(packes[[#This Row],[num2]])</f>
        <v>1500</v>
      </c>
      <c r="I798" s="357"/>
      <c r="J798" s="21"/>
      <c r="K798" s="323"/>
      <c r="M798" s="27">
        <f>_xlfn.XLOOKUP(packes[[#This Row],[productId]],CT[productId],CT[total],"NA")</f>
        <v>135.23500000000001</v>
      </c>
      <c r="N798" s="20" t="str">
        <f>_xlfn.XLOOKUP(packes[[#This Row],[productId]],bom[Id],bom[ph],"NA")</f>
        <v>6.3flat</v>
      </c>
      <c r="O798" s="20" t="str">
        <f>_xlfn.XLOOKUP(packes[[#This Row],[productId]],bom[Id],bom[erth],"NA")</f>
        <v>6.3flat</v>
      </c>
      <c r="P798" s="20" t="str">
        <f>_xlfn.XLOOKUP(packes[[#This Row],[productId]],bom[Id],bom[dbl],"NA")</f>
        <v>-</v>
      </c>
      <c r="Q798" s="20" t="str">
        <f>LEFT(packes[[#This Row],[date]],4)</f>
        <v>1404</v>
      </c>
    </row>
    <row r="799" spans="1:17" ht="16.5" x14ac:dyDescent="0.25">
      <c r="A799" s="23">
        <v>796</v>
      </c>
      <c r="B799" s="30" t="s">
        <v>729</v>
      </c>
      <c r="C799" s="23">
        <v>141320055</v>
      </c>
      <c r="D799" s="23">
        <v>3900</v>
      </c>
      <c r="E799" s="27">
        <f>_xlfn.XLOOKUP(packes[[#This Row],[productId]],bom[Id],bom[wgt])</f>
        <v>1.1274069639828395</v>
      </c>
      <c r="F799" s="27">
        <f>packes[[#This Row],[num]]*packes[[#This Row],[wtg]]</f>
        <v>4396.8871595330738</v>
      </c>
      <c r="G799" s="357">
        <v>2</v>
      </c>
      <c r="H799" s="21">
        <f>packes[[#This Row],[num]]-SUM(packes[[#This Row],[num2]])</f>
        <v>3900</v>
      </c>
      <c r="I799" s="357"/>
      <c r="J799" s="21"/>
      <c r="K799" s="323"/>
      <c r="M799" s="27">
        <f>_xlfn.XLOOKUP(packes[[#This Row],[productId]],CT[productId],CT[total],"NA")</f>
        <v>41.13</v>
      </c>
      <c r="N799" s="20">
        <f>_xlfn.XLOOKUP(packes[[#This Row],[productId]],bom[Id],bom[ph],"NA")</f>
        <v>0</v>
      </c>
      <c r="O799" s="20">
        <f>_xlfn.XLOOKUP(packes[[#This Row],[productId]],bom[Id],bom[erth],"NA")</f>
        <v>0</v>
      </c>
      <c r="P799" s="20">
        <f>_xlfn.XLOOKUP(packes[[#This Row],[productId]],bom[Id],bom[dbl],"NA")</f>
        <v>0</v>
      </c>
      <c r="Q799" s="20" t="str">
        <f>LEFT(packes[[#This Row],[date]],4)</f>
        <v>1404</v>
      </c>
    </row>
    <row r="800" spans="1:17" ht="16.5" x14ac:dyDescent="0.25">
      <c r="A800" s="23">
        <v>797</v>
      </c>
      <c r="B800" s="30" t="s">
        <v>730</v>
      </c>
      <c r="C800" s="23">
        <v>140010117</v>
      </c>
      <c r="D800" s="23">
        <v>1275</v>
      </c>
      <c r="E800" s="27">
        <f>_xlfn.XLOOKUP(packes[[#This Row],[productId]],bom[Id],bom[wgt])</f>
        <v>1</v>
      </c>
      <c r="F800" s="27">
        <f>packes[[#This Row],[num]]*packes[[#This Row],[wtg]]</f>
        <v>1275</v>
      </c>
      <c r="G800" s="357">
        <v>3</v>
      </c>
      <c r="H800" s="21">
        <f>packes[[#This Row],[num]]-SUM(packes[[#This Row],[num2]])</f>
        <v>1275</v>
      </c>
      <c r="I800" s="357"/>
      <c r="J800" s="21"/>
      <c r="K800" s="323"/>
      <c r="M800" s="27">
        <f>_xlfn.XLOOKUP(packes[[#This Row],[productId]],CT[productId],CT[total],"NA")</f>
        <v>98.295000000000016</v>
      </c>
      <c r="N800" s="20" t="str">
        <f>_xlfn.XLOOKUP(packes[[#This Row],[productId]],bom[Id],bom[ph],"NA")</f>
        <v>nar.p</v>
      </c>
      <c r="O800" s="20" t="str">
        <f>_xlfn.XLOOKUP(packes[[#This Row],[productId]],bom[Id],bom[erth],"NA")</f>
        <v>-</v>
      </c>
      <c r="P800" s="20" t="str">
        <f>_xlfn.XLOOKUP(packes[[#This Row],[productId]],bom[Id],bom[dbl],"NA")</f>
        <v>nar.p</v>
      </c>
      <c r="Q800" s="20" t="str">
        <f>LEFT(packes[[#This Row],[date]],4)</f>
        <v>1404</v>
      </c>
    </row>
    <row r="801" spans="1:17" ht="16.5" x14ac:dyDescent="0.25">
      <c r="A801" s="23">
        <v>798</v>
      </c>
      <c r="B801" s="30" t="s">
        <v>730</v>
      </c>
      <c r="C801" s="23">
        <v>140030039</v>
      </c>
      <c r="D801" s="23">
        <v>300</v>
      </c>
      <c r="E801" s="27">
        <f>_xlfn.XLOOKUP(packes[[#This Row],[productId]],bom[Id],bom[wgt])</f>
        <v>1.1413748378728923</v>
      </c>
      <c r="F801" s="27">
        <f>packes[[#This Row],[num]]*packes[[#This Row],[wtg]]</f>
        <v>342.41245136186768</v>
      </c>
      <c r="G801" s="357">
        <v>3</v>
      </c>
      <c r="H801" s="21">
        <f>packes[[#This Row],[num]]-SUM(packes[[#This Row],[num2]])</f>
        <v>300</v>
      </c>
      <c r="I801" s="357"/>
      <c r="J801" s="21"/>
      <c r="K801" s="323"/>
      <c r="M801" s="27">
        <f>_xlfn.XLOOKUP(packes[[#This Row],[productId]],CT[productId],CT[total],"NA")</f>
        <v>92.504999999999995</v>
      </c>
      <c r="N801" s="20" t="str">
        <f>_xlfn.XLOOKUP(packes[[#This Row],[productId]],bom[Id],bom[ph],"NA")</f>
        <v>YH</v>
      </c>
      <c r="O801" s="20" t="str">
        <f>_xlfn.XLOOKUP(packes[[#This Row],[productId]],bom[Id],bom[erth],"NA")</f>
        <v>sun</v>
      </c>
      <c r="P801" s="20" t="str">
        <f>_xlfn.XLOOKUP(packes[[#This Row],[productId]],bom[Id],bom[dbl],"NA")</f>
        <v>-</v>
      </c>
      <c r="Q801" s="20" t="str">
        <f>LEFT(packes[[#This Row],[date]],4)</f>
        <v>1404</v>
      </c>
    </row>
    <row r="802" spans="1:17" ht="16.5" x14ac:dyDescent="0.25">
      <c r="A802" s="23">
        <v>799</v>
      </c>
      <c r="B802" s="30" t="s">
        <v>730</v>
      </c>
      <c r="C802" s="23">
        <v>140310007</v>
      </c>
      <c r="D802" s="23">
        <v>400</v>
      </c>
      <c r="E802" s="27">
        <f>_xlfn.XLOOKUP(packes[[#This Row],[productId]],bom[Id],bom[wgt])</f>
        <v>1.1413748378728923</v>
      </c>
      <c r="F802" s="27">
        <f>packes[[#This Row],[num]]*packes[[#This Row],[wtg]]</f>
        <v>456.54993514915691</v>
      </c>
      <c r="G802" s="357">
        <v>3</v>
      </c>
      <c r="H802" s="21">
        <f>packes[[#This Row],[num]]-SUM(packes[[#This Row],[num2]])</f>
        <v>400</v>
      </c>
      <c r="I802" s="357"/>
      <c r="J802" s="21"/>
      <c r="K802" s="323"/>
      <c r="M802" s="27">
        <f>_xlfn.XLOOKUP(packes[[#This Row],[productId]],CT[productId],CT[total],"NA")</f>
        <v>92.484999999999999</v>
      </c>
      <c r="N802" s="20" t="str">
        <f>_xlfn.XLOOKUP(packes[[#This Row],[productId]],bom[Id],bom[ph],"NA")</f>
        <v>-</v>
      </c>
      <c r="O802" s="20" t="str">
        <f>_xlfn.XLOOKUP(packes[[#This Row],[productId]],bom[Id],bom[erth],"NA")</f>
        <v>nut4</v>
      </c>
      <c r="P802" s="20" t="str">
        <f>_xlfn.XLOOKUP(packes[[#This Row],[productId]],bom[Id],bom[dbl],"NA")</f>
        <v>-</v>
      </c>
      <c r="Q802" s="20" t="str">
        <f>LEFT(packes[[#This Row],[date]],4)</f>
        <v>1404</v>
      </c>
    </row>
    <row r="803" spans="1:17" ht="16.5" x14ac:dyDescent="0.25">
      <c r="A803" s="23">
        <v>800</v>
      </c>
      <c r="B803" s="30" t="s">
        <v>730</v>
      </c>
      <c r="C803" s="23">
        <v>140310058</v>
      </c>
      <c r="D803" s="23">
        <v>700</v>
      </c>
      <c r="E803" s="27">
        <f>_xlfn.XLOOKUP(packes[[#This Row],[productId]],bom[Id],bom[wgt])</f>
        <v>1.3469021251122417</v>
      </c>
      <c r="F803" s="27">
        <f>packes[[#This Row],[num]]*packes[[#This Row],[wtg]]</f>
        <v>942.83148757856918</v>
      </c>
      <c r="G803" s="357">
        <v>3</v>
      </c>
      <c r="H803" s="21">
        <f>packes[[#This Row],[num]]-SUM(packes[[#This Row],[num2]])</f>
        <v>700</v>
      </c>
      <c r="I803" s="357"/>
      <c r="J803" s="21"/>
      <c r="K803" s="323"/>
      <c r="M803" s="27">
        <f>_xlfn.XLOOKUP(packes[[#This Row],[productId]],CT[productId],CT[total],"NA")</f>
        <v>147.595</v>
      </c>
      <c r="N803" s="20" t="str">
        <f>_xlfn.XLOOKUP(packes[[#This Row],[productId]],bom[Id],bom[ph],"NA")</f>
        <v>nar.p</v>
      </c>
      <c r="O803" s="20" t="str">
        <f>_xlfn.XLOOKUP(packes[[#This Row],[productId]],bom[Id],bom[erth],"NA")</f>
        <v>nar.p</v>
      </c>
      <c r="P803" s="20" t="str">
        <f>_xlfn.XLOOKUP(packes[[#This Row],[productId]],bom[Id],bom[dbl],"NA")</f>
        <v>nar.p</v>
      </c>
      <c r="Q803" s="20" t="str">
        <f>LEFT(packes[[#This Row],[date]],4)</f>
        <v>1404</v>
      </c>
    </row>
    <row r="804" spans="1:17" ht="16.5" x14ac:dyDescent="0.25">
      <c r="A804" s="23">
        <v>801</v>
      </c>
      <c r="B804" s="30" t="s">
        <v>730</v>
      </c>
      <c r="C804" s="23">
        <v>140310071</v>
      </c>
      <c r="D804" s="23">
        <v>400</v>
      </c>
      <c r="E804" s="27">
        <f>_xlfn.XLOOKUP(packes[[#This Row],[productId]],bom[Id],bom[wgt])</f>
        <v>1.3</v>
      </c>
      <c r="F804" s="27">
        <f>packes[[#This Row],[num]]*packes[[#This Row],[wtg]]</f>
        <v>520</v>
      </c>
      <c r="G804" s="357">
        <v>3</v>
      </c>
      <c r="H804" s="21">
        <f>packes[[#This Row],[num]]-SUM(packes[[#This Row],[num2]])</f>
        <v>400</v>
      </c>
      <c r="I804" s="357"/>
      <c r="J804" s="21"/>
      <c r="K804" s="323"/>
      <c r="M804" s="27">
        <f>_xlfn.XLOOKUP(packes[[#This Row],[productId]],CT[productId],CT[total],"NA")</f>
        <v>130.69500000000002</v>
      </c>
      <c r="N804" s="20" t="str">
        <f>_xlfn.XLOOKUP(packes[[#This Row],[productId]],bom[Id],bom[ph],"NA")</f>
        <v>6.3ch</v>
      </c>
      <c r="O804" s="20" t="str">
        <f>_xlfn.XLOOKUP(packes[[#This Row],[productId]],bom[Id],bom[erth],"NA")</f>
        <v>6.3k</v>
      </c>
      <c r="P804" s="20" t="str">
        <f>_xlfn.XLOOKUP(packes[[#This Row],[productId]],bom[Id],bom[dbl],"NA")</f>
        <v>-</v>
      </c>
      <c r="Q804" s="20" t="str">
        <f>LEFT(packes[[#This Row],[date]],4)</f>
        <v>1404</v>
      </c>
    </row>
    <row r="805" spans="1:17" ht="16.5" x14ac:dyDescent="0.25">
      <c r="A805" s="23">
        <v>802</v>
      </c>
      <c r="B805" s="30" t="s">
        <v>730</v>
      </c>
      <c r="C805" s="23">
        <v>140310083</v>
      </c>
      <c r="D805" s="23">
        <v>1100</v>
      </c>
      <c r="E805" s="27">
        <f>_xlfn.XLOOKUP(packes[[#This Row],[productId]],bom[Id],bom[wgt])</f>
        <v>1.3369250723336326</v>
      </c>
      <c r="F805" s="27">
        <f>packes[[#This Row],[num]]*packes[[#This Row],[wtg]]</f>
        <v>1470.6175795669958</v>
      </c>
      <c r="G805" s="357">
        <v>3</v>
      </c>
      <c r="H805" s="21">
        <f>packes[[#This Row],[num]]-SUM(packes[[#This Row],[num2]])</f>
        <v>1100</v>
      </c>
      <c r="I805" s="357"/>
      <c r="J805" s="21"/>
      <c r="K805" s="323"/>
      <c r="M805" s="27">
        <f>_xlfn.XLOOKUP(packes[[#This Row],[productId]],CT[productId],CT[total],"NA")</f>
        <v>135.23500000000001</v>
      </c>
      <c r="N805" s="20" t="str">
        <f>_xlfn.XLOOKUP(packes[[#This Row],[productId]],bom[Id],bom[ph],"NA")</f>
        <v>6.3flat</v>
      </c>
      <c r="O805" s="20" t="str">
        <f>_xlfn.XLOOKUP(packes[[#This Row],[productId]],bom[Id],bom[erth],"NA")</f>
        <v>6.3flat</v>
      </c>
      <c r="P805" s="20" t="str">
        <f>_xlfn.XLOOKUP(packes[[#This Row],[productId]],bom[Id],bom[dbl],"NA")</f>
        <v>-</v>
      </c>
      <c r="Q805" s="20" t="str">
        <f>LEFT(packes[[#This Row],[date]],4)</f>
        <v>1404</v>
      </c>
    </row>
    <row r="806" spans="1:17" ht="16.5" x14ac:dyDescent="0.25">
      <c r="A806" s="23">
        <v>803</v>
      </c>
      <c r="B806" s="30" t="s">
        <v>730</v>
      </c>
      <c r="C806" s="23">
        <v>140310096</v>
      </c>
      <c r="D806" s="23">
        <v>900</v>
      </c>
      <c r="E806" s="27">
        <f>_xlfn.XLOOKUP(packes[[#This Row],[productId]],bom[Id],bom[wgt])</f>
        <v>1.3</v>
      </c>
      <c r="F806" s="27">
        <f>packes[[#This Row],[num]]*packes[[#This Row],[wtg]]</f>
        <v>1170</v>
      </c>
      <c r="G806" s="357">
        <v>3</v>
      </c>
      <c r="H806" s="21">
        <f>packes[[#This Row],[num]]-SUM(packes[[#This Row],[num2]])</f>
        <v>900</v>
      </c>
      <c r="I806" s="357"/>
      <c r="J806" s="21"/>
      <c r="K806" s="323"/>
      <c r="M806" s="27">
        <f>_xlfn.XLOOKUP(packes[[#This Row],[productId]],CT[productId],CT[total],"NA")</f>
        <v>76.239999999999995</v>
      </c>
      <c r="N806" s="20" t="str">
        <f>_xlfn.XLOOKUP(packes[[#This Row],[productId]],bom[Id],bom[ph],"NA")</f>
        <v>6.3ch</v>
      </c>
      <c r="O806" s="20" t="str">
        <f>_xlfn.XLOOKUP(packes[[#This Row],[productId]],bom[Id],bom[erth],"NA")</f>
        <v>6.3k</v>
      </c>
      <c r="P806" s="20">
        <f>_xlfn.XLOOKUP(packes[[#This Row],[productId]],bom[Id],bom[dbl],"NA")</f>
        <v>0</v>
      </c>
      <c r="Q806" s="20" t="str">
        <f>LEFT(packes[[#This Row],[date]],4)</f>
        <v>1404</v>
      </c>
    </row>
    <row r="807" spans="1:17" ht="16.5" x14ac:dyDescent="0.25">
      <c r="A807" s="23">
        <v>804</v>
      </c>
      <c r="B807" s="30" t="s">
        <v>730</v>
      </c>
      <c r="C807" s="23">
        <v>140450027</v>
      </c>
      <c r="D807" s="23">
        <v>440</v>
      </c>
      <c r="E807" s="27">
        <f>_xlfn.XLOOKUP(packes[[#This Row],[productId]],bom[Id],bom[wgt])</f>
        <v>1.5264890751272073</v>
      </c>
      <c r="F807" s="27">
        <f>packes[[#This Row],[num]]*packes[[#This Row],[wtg]]</f>
        <v>671.65519305597127</v>
      </c>
      <c r="G807" s="357">
        <v>11</v>
      </c>
      <c r="H807" s="21">
        <f>packes[[#This Row],[num]]-SUM(packes[[#This Row],[num2]])</f>
        <v>440</v>
      </c>
      <c r="I807" s="357"/>
      <c r="J807" s="21"/>
      <c r="K807" s="323"/>
      <c r="M807" s="27">
        <f>_xlfn.XLOOKUP(packes[[#This Row],[productId]],CT[productId],CT[total],"NA")</f>
        <v>103.66</v>
      </c>
      <c r="N807" s="20" t="str">
        <f>_xlfn.XLOOKUP(packes[[#This Row],[productId]],bom[Id],bom[ph],"NA")</f>
        <v>VH</v>
      </c>
      <c r="O807" s="20" t="str">
        <f>_xlfn.XLOOKUP(packes[[#This Row],[productId]],bom[Id],bom[erth],"NA")</f>
        <v>nut4</v>
      </c>
      <c r="P807" s="20">
        <f>_xlfn.XLOOKUP(packes[[#This Row],[productId]],bom[Id],bom[dbl],"NA")</f>
        <v>0</v>
      </c>
      <c r="Q807" s="20" t="str">
        <f>LEFT(packes[[#This Row],[date]],4)</f>
        <v>1404</v>
      </c>
    </row>
    <row r="808" spans="1:17" ht="16.5" x14ac:dyDescent="0.25">
      <c r="A808" s="23">
        <v>805</v>
      </c>
      <c r="B808" s="30" t="s">
        <v>730</v>
      </c>
      <c r="C808" s="23">
        <v>141320055</v>
      </c>
      <c r="D808" s="23">
        <v>2000</v>
      </c>
      <c r="E808" s="27">
        <f>_xlfn.XLOOKUP(packes[[#This Row],[productId]],bom[Id],bom[wgt])</f>
        <v>1.1274069639828395</v>
      </c>
      <c r="F808" s="27">
        <f>packes[[#This Row],[num]]*packes[[#This Row],[wtg]]</f>
        <v>2254.8139279656789</v>
      </c>
      <c r="G808" s="357">
        <v>2</v>
      </c>
      <c r="H808" s="21">
        <f>packes[[#This Row],[num]]-SUM(packes[[#This Row],[num2]])</f>
        <v>2000</v>
      </c>
      <c r="I808" s="357"/>
      <c r="J808" s="21"/>
      <c r="K808" s="323"/>
      <c r="M808" s="27">
        <f>_xlfn.XLOOKUP(packes[[#This Row],[productId]],CT[productId],CT[total],"NA")</f>
        <v>41.13</v>
      </c>
      <c r="N808" s="20">
        <f>_xlfn.XLOOKUP(packes[[#This Row],[productId]],bom[Id],bom[ph],"NA")</f>
        <v>0</v>
      </c>
      <c r="O808" s="20">
        <f>_xlfn.XLOOKUP(packes[[#This Row],[productId]],bom[Id],bom[erth],"NA")</f>
        <v>0</v>
      </c>
      <c r="P808" s="20">
        <f>_xlfn.XLOOKUP(packes[[#This Row],[productId]],bom[Id],bom[dbl],"NA")</f>
        <v>0</v>
      </c>
      <c r="Q808" s="20" t="str">
        <f>LEFT(packes[[#This Row],[date]],4)</f>
        <v>1404</v>
      </c>
    </row>
    <row r="809" spans="1:17" ht="16.5" x14ac:dyDescent="0.25">
      <c r="A809" s="23">
        <v>806</v>
      </c>
      <c r="B809" s="30" t="s">
        <v>731</v>
      </c>
      <c r="C809" s="23">
        <v>140010117</v>
      </c>
      <c r="D809" s="23">
        <v>900</v>
      </c>
      <c r="E809" s="27">
        <f>_xlfn.XLOOKUP(packes[[#This Row],[productId]],bom[Id],bom[wgt])</f>
        <v>1</v>
      </c>
      <c r="F809" s="27">
        <f>packes[[#This Row],[num]]*packes[[#This Row],[wtg]]</f>
        <v>900</v>
      </c>
      <c r="G809" s="357">
        <v>3</v>
      </c>
      <c r="H809" s="21">
        <f>packes[[#This Row],[num]]-SUM(packes[[#This Row],[num2]])</f>
        <v>900</v>
      </c>
      <c r="I809" s="357"/>
      <c r="J809" s="21"/>
      <c r="K809" s="323"/>
      <c r="M809" s="27">
        <f>_xlfn.XLOOKUP(packes[[#This Row],[productId]],CT[productId],CT[total],"NA")</f>
        <v>98.295000000000016</v>
      </c>
      <c r="N809" s="20" t="str">
        <f>_xlfn.XLOOKUP(packes[[#This Row],[productId]],bom[Id],bom[ph],"NA")</f>
        <v>nar.p</v>
      </c>
      <c r="O809" s="20" t="str">
        <f>_xlfn.XLOOKUP(packes[[#This Row],[productId]],bom[Id],bom[erth],"NA")</f>
        <v>-</v>
      </c>
      <c r="P809" s="20" t="str">
        <f>_xlfn.XLOOKUP(packes[[#This Row],[productId]],bom[Id],bom[dbl],"NA")</f>
        <v>nar.p</v>
      </c>
      <c r="Q809" s="20" t="str">
        <f>LEFT(packes[[#This Row],[date]],4)</f>
        <v>1404</v>
      </c>
    </row>
    <row r="810" spans="1:17" ht="16.5" x14ac:dyDescent="0.25">
      <c r="A810" s="23">
        <v>807</v>
      </c>
      <c r="B810" s="30" t="s">
        <v>731</v>
      </c>
      <c r="C810" s="23">
        <v>140030039</v>
      </c>
      <c r="D810" s="23">
        <v>600</v>
      </c>
      <c r="E810" s="27">
        <f>_xlfn.XLOOKUP(packes[[#This Row],[productId]],bom[Id],bom[wgt])</f>
        <v>1.1413748378728923</v>
      </c>
      <c r="F810" s="27">
        <f>packes[[#This Row],[num]]*packes[[#This Row],[wtg]]</f>
        <v>684.82490272373536</v>
      </c>
      <c r="G810" s="357">
        <v>3</v>
      </c>
      <c r="H810" s="21">
        <f>packes[[#This Row],[num]]-SUM(packes[[#This Row],[num2]])</f>
        <v>600</v>
      </c>
      <c r="I810" s="357"/>
      <c r="J810" s="21"/>
      <c r="K810" s="323"/>
      <c r="M810" s="27">
        <f>_xlfn.XLOOKUP(packes[[#This Row],[productId]],CT[productId],CT[total],"NA")</f>
        <v>92.504999999999995</v>
      </c>
      <c r="N810" s="20" t="str">
        <f>_xlfn.XLOOKUP(packes[[#This Row],[productId]],bom[Id],bom[ph],"NA")</f>
        <v>YH</v>
      </c>
      <c r="O810" s="20" t="str">
        <f>_xlfn.XLOOKUP(packes[[#This Row],[productId]],bom[Id],bom[erth],"NA")</f>
        <v>sun</v>
      </c>
      <c r="P810" s="20" t="str">
        <f>_xlfn.XLOOKUP(packes[[#This Row],[productId]],bom[Id],bom[dbl],"NA")</f>
        <v>-</v>
      </c>
      <c r="Q810" s="20" t="str">
        <f>LEFT(packes[[#This Row],[date]],4)</f>
        <v>1404</v>
      </c>
    </row>
    <row r="811" spans="1:17" ht="16.5" x14ac:dyDescent="0.25">
      <c r="A811" s="23">
        <v>808</v>
      </c>
      <c r="B811" s="30" t="s">
        <v>731</v>
      </c>
      <c r="C811" s="23">
        <v>140310007</v>
      </c>
      <c r="D811" s="23">
        <v>300</v>
      </c>
      <c r="E811" s="27">
        <f>_xlfn.XLOOKUP(packes[[#This Row],[productId]],bom[Id],bom[wgt])</f>
        <v>1.1413748378728923</v>
      </c>
      <c r="F811" s="27">
        <f>packes[[#This Row],[num]]*packes[[#This Row],[wtg]]</f>
        <v>342.41245136186768</v>
      </c>
      <c r="G811" s="357">
        <v>3</v>
      </c>
      <c r="H811" s="21">
        <f>packes[[#This Row],[num]]-SUM(packes[[#This Row],[num2]])</f>
        <v>300</v>
      </c>
      <c r="I811" s="357"/>
      <c r="J811" s="21"/>
      <c r="K811" s="323"/>
      <c r="M811" s="27">
        <f>_xlfn.XLOOKUP(packes[[#This Row],[productId]],CT[productId],CT[total],"NA")</f>
        <v>92.484999999999999</v>
      </c>
      <c r="N811" s="20" t="str">
        <f>_xlfn.XLOOKUP(packes[[#This Row],[productId]],bom[Id],bom[ph],"NA")</f>
        <v>-</v>
      </c>
      <c r="O811" s="20" t="str">
        <f>_xlfn.XLOOKUP(packes[[#This Row],[productId]],bom[Id],bom[erth],"NA")</f>
        <v>nut4</v>
      </c>
      <c r="P811" s="20" t="str">
        <f>_xlfn.XLOOKUP(packes[[#This Row],[productId]],bom[Id],bom[dbl],"NA")</f>
        <v>-</v>
      </c>
      <c r="Q811" s="20" t="str">
        <f>LEFT(packes[[#This Row],[date]],4)</f>
        <v>1404</v>
      </c>
    </row>
    <row r="812" spans="1:17" ht="16.5" x14ac:dyDescent="0.25">
      <c r="A812" s="23">
        <v>809</v>
      </c>
      <c r="B812" s="30" t="s">
        <v>731</v>
      </c>
      <c r="C812" s="23">
        <v>140310071</v>
      </c>
      <c r="D812" s="23">
        <v>1200</v>
      </c>
      <c r="E812" s="27">
        <f>_xlfn.XLOOKUP(packes[[#This Row],[productId]],bom[Id],bom[wgt])</f>
        <v>1.3</v>
      </c>
      <c r="F812" s="27">
        <f>packes[[#This Row],[num]]*packes[[#This Row],[wtg]]</f>
        <v>1560</v>
      </c>
      <c r="G812" s="357">
        <v>3</v>
      </c>
      <c r="H812" s="21">
        <f>packes[[#This Row],[num]]-SUM(packes[[#This Row],[num2]])</f>
        <v>1200</v>
      </c>
      <c r="I812" s="357"/>
      <c r="J812" s="21"/>
      <c r="K812" s="323"/>
      <c r="M812" s="27">
        <f>_xlfn.XLOOKUP(packes[[#This Row],[productId]],CT[productId],CT[total],"NA")</f>
        <v>130.69500000000002</v>
      </c>
      <c r="N812" s="20" t="str">
        <f>_xlfn.XLOOKUP(packes[[#This Row],[productId]],bom[Id],bom[ph],"NA")</f>
        <v>6.3ch</v>
      </c>
      <c r="O812" s="20" t="str">
        <f>_xlfn.XLOOKUP(packes[[#This Row],[productId]],bom[Id],bom[erth],"NA")</f>
        <v>6.3k</v>
      </c>
      <c r="P812" s="20" t="str">
        <f>_xlfn.XLOOKUP(packes[[#This Row],[productId]],bom[Id],bom[dbl],"NA")</f>
        <v>-</v>
      </c>
      <c r="Q812" s="20" t="str">
        <f>LEFT(packes[[#This Row],[date]],4)</f>
        <v>1404</v>
      </c>
    </row>
    <row r="813" spans="1:17" ht="16.5" x14ac:dyDescent="0.25">
      <c r="A813" s="23">
        <v>810</v>
      </c>
      <c r="B813" s="30" t="s">
        <v>731</v>
      </c>
      <c r="C813" s="23">
        <v>140310083</v>
      </c>
      <c r="D813" s="23">
        <v>1000</v>
      </c>
      <c r="E813" s="27">
        <f>_xlfn.XLOOKUP(packes[[#This Row],[productId]],bom[Id],bom[wgt])</f>
        <v>1.3369250723336326</v>
      </c>
      <c r="F813" s="27">
        <f>packes[[#This Row],[num]]*packes[[#This Row],[wtg]]</f>
        <v>1336.9250723336327</v>
      </c>
      <c r="G813" s="357">
        <v>3</v>
      </c>
      <c r="H813" s="21">
        <f>packes[[#This Row],[num]]-SUM(packes[[#This Row],[num2]])</f>
        <v>1000</v>
      </c>
      <c r="I813" s="357"/>
      <c r="J813" s="21"/>
      <c r="K813" s="323"/>
      <c r="M813" s="27">
        <f>_xlfn.XLOOKUP(packes[[#This Row],[productId]],CT[productId],CT[total],"NA")</f>
        <v>135.23500000000001</v>
      </c>
      <c r="N813" s="20" t="str">
        <f>_xlfn.XLOOKUP(packes[[#This Row],[productId]],bom[Id],bom[ph],"NA")</f>
        <v>6.3flat</v>
      </c>
      <c r="O813" s="20" t="str">
        <f>_xlfn.XLOOKUP(packes[[#This Row],[productId]],bom[Id],bom[erth],"NA")</f>
        <v>6.3flat</v>
      </c>
      <c r="P813" s="20" t="str">
        <f>_xlfn.XLOOKUP(packes[[#This Row],[productId]],bom[Id],bom[dbl],"NA")</f>
        <v>-</v>
      </c>
      <c r="Q813" s="20" t="str">
        <f>LEFT(packes[[#This Row],[date]],4)</f>
        <v>1404</v>
      </c>
    </row>
    <row r="814" spans="1:17" ht="16.5" x14ac:dyDescent="0.25">
      <c r="A814" s="23">
        <v>811</v>
      </c>
      <c r="B814" s="30" t="s">
        <v>731</v>
      </c>
      <c r="C814" s="23">
        <v>140310096</v>
      </c>
      <c r="D814" s="23">
        <v>250</v>
      </c>
      <c r="E814" s="27">
        <f>_xlfn.XLOOKUP(packes[[#This Row],[productId]],bom[Id],bom[wgt])</f>
        <v>1.3</v>
      </c>
      <c r="F814" s="27">
        <f>packes[[#This Row],[num]]*packes[[#This Row],[wtg]]</f>
        <v>325</v>
      </c>
      <c r="G814" s="357">
        <v>3</v>
      </c>
      <c r="H814" s="21">
        <f>packes[[#This Row],[num]]-SUM(packes[[#This Row],[num2]])</f>
        <v>250</v>
      </c>
      <c r="I814" s="357"/>
      <c r="J814" s="21"/>
      <c r="K814" s="323"/>
      <c r="M814" s="27">
        <f>_xlfn.XLOOKUP(packes[[#This Row],[productId]],CT[productId],CT[total],"NA")</f>
        <v>76.239999999999995</v>
      </c>
      <c r="N814" s="20" t="str">
        <f>_xlfn.XLOOKUP(packes[[#This Row],[productId]],bom[Id],bom[ph],"NA")</f>
        <v>6.3ch</v>
      </c>
      <c r="O814" s="20" t="str">
        <f>_xlfn.XLOOKUP(packes[[#This Row],[productId]],bom[Id],bom[erth],"NA")</f>
        <v>6.3k</v>
      </c>
      <c r="P814" s="20">
        <f>_xlfn.XLOOKUP(packes[[#This Row],[productId]],bom[Id],bom[dbl],"NA")</f>
        <v>0</v>
      </c>
      <c r="Q814" s="20" t="str">
        <f>LEFT(packes[[#This Row],[date]],4)</f>
        <v>1404</v>
      </c>
    </row>
    <row r="815" spans="1:17" ht="16.5" x14ac:dyDescent="0.25">
      <c r="A815" s="23">
        <v>812</v>
      </c>
      <c r="B815" s="30" t="s">
        <v>731</v>
      </c>
      <c r="C815" s="23">
        <v>140450027</v>
      </c>
      <c r="D815" s="23">
        <v>960</v>
      </c>
      <c r="E815" s="27">
        <f>_xlfn.XLOOKUP(packes[[#This Row],[productId]],bom[Id],bom[wgt])</f>
        <v>1.5264890751272073</v>
      </c>
      <c r="F815" s="27">
        <f>packes[[#This Row],[num]]*packes[[#This Row],[wtg]]</f>
        <v>1465.4295121221189</v>
      </c>
      <c r="G815" s="357">
        <v>11</v>
      </c>
      <c r="H815" s="21">
        <f>packes[[#This Row],[num]]-SUM(packes[[#This Row],[num2]])</f>
        <v>960</v>
      </c>
      <c r="I815" s="357"/>
      <c r="J815" s="21"/>
      <c r="K815" s="323"/>
      <c r="M815" s="27">
        <f>_xlfn.XLOOKUP(packes[[#This Row],[productId]],CT[productId],CT[total],"NA")</f>
        <v>103.66</v>
      </c>
      <c r="N815" s="20" t="str">
        <f>_xlfn.XLOOKUP(packes[[#This Row],[productId]],bom[Id],bom[ph],"NA")</f>
        <v>VH</v>
      </c>
      <c r="O815" s="20" t="str">
        <f>_xlfn.XLOOKUP(packes[[#This Row],[productId]],bom[Id],bom[erth],"NA")</f>
        <v>nut4</v>
      </c>
      <c r="P815" s="20">
        <f>_xlfn.XLOOKUP(packes[[#This Row],[productId]],bom[Id],bom[dbl],"NA")</f>
        <v>0</v>
      </c>
      <c r="Q815" s="20" t="str">
        <f>LEFT(packes[[#This Row],[date]],4)</f>
        <v>1404</v>
      </c>
    </row>
    <row r="816" spans="1:17" ht="16.5" x14ac:dyDescent="0.25">
      <c r="A816" s="23">
        <v>813</v>
      </c>
      <c r="B816" s="30" t="s">
        <v>731</v>
      </c>
      <c r="C816" s="23">
        <v>141320055</v>
      </c>
      <c r="D816" s="23">
        <v>2400</v>
      </c>
      <c r="E816" s="27">
        <f>_xlfn.XLOOKUP(packes[[#This Row],[productId]],bom[Id],bom[wgt])</f>
        <v>1.1274069639828395</v>
      </c>
      <c r="F816" s="27">
        <f>packes[[#This Row],[num]]*packes[[#This Row],[wtg]]</f>
        <v>2705.7767135588147</v>
      </c>
      <c r="G816" s="357">
        <v>2</v>
      </c>
      <c r="H816" s="21">
        <f>packes[[#This Row],[num]]-SUM(packes[[#This Row],[num2]])</f>
        <v>2400</v>
      </c>
      <c r="I816" s="357"/>
      <c r="J816" s="21"/>
      <c r="K816" s="323"/>
      <c r="M816" s="27">
        <f>_xlfn.XLOOKUP(packes[[#This Row],[productId]],CT[productId],CT[total],"NA")</f>
        <v>41.13</v>
      </c>
      <c r="N816" s="20">
        <f>_xlfn.XLOOKUP(packes[[#This Row],[productId]],bom[Id],bom[ph],"NA")</f>
        <v>0</v>
      </c>
      <c r="O816" s="20">
        <f>_xlfn.XLOOKUP(packes[[#This Row],[productId]],bom[Id],bom[erth],"NA")</f>
        <v>0</v>
      </c>
      <c r="P816" s="20">
        <f>_xlfn.XLOOKUP(packes[[#This Row],[productId]],bom[Id],bom[dbl],"NA")</f>
        <v>0</v>
      </c>
      <c r="Q816" s="20" t="str">
        <f>LEFT(packes[[#This Row],[date]],4)</f>
        <v>1404</v>
      </c>
    </row>
    <row r="817" spans="1:17" ht="16.5" x14ac:dyDescent="0.25">
      <c r="A817" s="23">
        <v>814</v>
      </c>
      <c r="B817" s="30" t="s">
        <v>732</v>
      </c>
      <c r="C817" s="23">
        <v>140010117</v>
      </c>
      <c r="D817" s="23">
        <v>225</v>
      </c>
      <c r="E817" s="27">
        <f>_xlfn.XLOOKUP(packes[[#This Row],[productId]],bom[Id],bom[wgt])</f>
        <v>1</v>
      </c>
      <c r="F817" s="27">
        <f>packes[[#This Row],[num]]*packes[[#This Row],[wtg]]</f>
        <v>225</v>
      </c>
      <c r="G817" s="357">
        <v>3</v>
      </c>
      <c r="H817" s="21">
        <f>packes[[#This Row],[num]]-SUM(packes[[#This Row],[num2]])</f>
        <v>225</v>
      </c>
      <c r="I817" s="357"/>
      <c r="J817" s="21"/>
      <c r="K817" s="323"/>
      <c r="M817" s="27">
        <f>_xlfn.XLOOKUP(packes[[#This Row],[productId]],CT[productId],CT[total],"NA")</f>
        <v>98.295000000000016</v>
      </c>
      <c r="N817" s="20" t="str">
        <f>_xlfn.XLOOKUP(packes[[#This Row],[productId]],bom[Id],bom[ph],"NA")</f>
        <v>nar.p</v>
      </c>
      <c r="O817" s="20" t="str">
        <f>_xlfn.XLOOKUP(packes[[#This Row],[productId]],bom[Id],bom[erth],"NA")</f>
        <v>-</v>
      </c>
      <c r="P817" s="20" t="str">
        <f>_xlfn.XLOOKUP(packes[[#This Row],[productId]],bom[Id],bom[dbl],"NA")</f>
        <v>nar.p</v>
      </c>
      <c r="Q817" s="20" t="str">
        <f>LEFT(packes[[#This Row],[date]],4)</f>
        <v>1404</v>
      </c>
    </row>
    <row r="818" spans="1:17" ht="16.5" x14ac:dyDescent="0.25">
      <c r="A818" s="23">
        <v>815</v>
      </c>
      <c r="B818" s="30" t="s">
        <v>732</v>
      </c>
      <c r="C818" s="23">
        <v>140030039</v>
      </c>
      <c r="D818" s="23">
        <v>1200</v>
      </c>
      <c r="E818" s="27">
        <f>_xlfn.XLOOKUP(packes[[#This Row],[productId]],bom[Id],bom[wgt])</f>
        <v>1.1413748378728923</v>
      </c>
      <c r="F818" s="27">
        <f>packes[[#This Row],[num]]*packes[[#This Row],[wtg]]</f>
        <v>1369.6498054474707</v>
      </c>
      <c r="G818" s="357">
        <v>3</v>
      </c>
      <c r="H818" s="21">
        <f>packes[[#This Row],[num]]-SUM(packes[[#This Row],[num2]])</f>
        <v>1200</v>
      </c>
      <c r="I818" s="357"/>
      <c r="J818" s="21"/>
      <c r="K818" s="323"/>
      <c r="M818" s="27">
        <f>_xlfn.XLOOKUP(packes[[#This Row],[productId]],CT[productId],CT[total],"NA")</f>
        <v>92.504999999999995</v>
      </c>
      <c r="N818" s="20" t="str">
        <f>_xlfn.XLOOKUP(packes[[#This Row],[productId]],bom[Id],bom[ph],"NA")</f>
        <v>YH</v>
      </c>
      <c r="O818" s="20" t="str">
        <f>_xlfn.XLOOKUP(packes[[#This Row],[productId]],bom[Id],bom[erth],"NA")</f>
        <v>sun</v>
      </c>
      <c r="P818" s="20" t="str">
        <f>_xlfn.XLOOKUP(packes[[#This Row],[productId]],bom[Id],bom[dbl],"NA")</f>
        <v>-</v>
      </c>
      <c r="Q818" s="20" t="str">
        <f>LEFT(packes[[#This Row],[date]],4)</f>
        <v>1404</v>
      </c>
    </row>
    <row r="819" spans="1:17" ht="16.5" x14ac:dyDescent="0.25">
      <c r="A819" s="23">
        <v>816</v>
      </c>
      <c r="B819" s="30" t="s">
        <v>732</v>
      </c>
      <c r="C819" s="23">
        <v>140030040</v>
      </c>
      <c r="D819" s="23">
        <v>500</v>
      </c>
      <c r="E819" s="27">
        <f>_xlfn.XLOOKUP(packes[[#This Row],[productId]],bom[Id],bom[wgt])</f>
        <v>1.1092487279257708</v>
      </c>
      <c r="F819" s="27">
        <f>packes[[#This Row],[num]]*packes[[#This Row],[wtg]]</f>
        <v>554.62436396288535</v>
      </c>
      <c r="G819" s="357">
        <v>3</v>
      </c>
      <c r="H819" s="21">
        <f>packes[[#This Row],[num]]-SUM(packes[[#This Row],[num2]])</f>
        <v>500</v>
      </c>
      <c r="I819" s="357"/>
      <c r="J819" s="21"/>
      <c r="K819" s="323"/>
      <c r="M819" s="27">
        <f>_xlfn.XLOOKUP(packes[[#This Row],[productId]],CT[productId],CT[total],"NA")</f>
        <v>97.305000000000007</v>
      </c>
      <c r="N819" s="23" t="str">
        <f>_xlfn.XLOOKUP(packes[[#This Row],[productId]],bom[Id],bom[ph],"NA")</f>
        <v>YH</v>
      </c>
      <c r="O819" s="23" t="str">
        <f>_xlfn.XLOOKUP(packes[[#This Row],[productId]],bom[Id],bom[erth],"NA")</f>
        <v>sun</v>
      </c>
      <c r="P819" s="23" t="str">
        <f>_xlfn.XLOOKUP(packes[[#This Row],[productId]],bom[Id],bom[dbl],"NA")</f>
        <v>-</v>
      </c>
      <c r="Q819" s="20" t="str">
        <f>LEFT(packes[[#This Row],[date]],4)</f>
        <v>1404</v>
      </c>
    </row>
    <row r="820" spans="1:17" ht="16.5" x14ac:dyDescent="0.25">
      <c r="A820" s="23">
        <v>817</v>
      </c>
      <c r="B820" s="30" t="s">
        <v>732</v>
      </c>
      <c r="C820" s="23">
        <v>140310071</v>
      </c>
      <c r="D820" s="23">
        <v>1450</v>
      </c>
      <c r="E820" s="27">
        <f>_xlfn.XLOOKUP(packes[[#This Row],[productId]],bom[Id],bom[wgt])</f>
        <v>1.3</v>
      </c>
      <c r="F820" s="27">
        <f>packes[[#This Row],[num]]*packes[[#This Row],[wtg]]</f>
        <v>1885</v>
      </c>
      <c r="G820" s="357">
        <v>3</v>
      </c>
      <c r="H820" s="21">
        <f>packes[[#This Row],[num]]-SUM(packes[[#This Row],[num2]])</f>
        <v>1450</v>
      </c>
      <c r="I820" s="357"/>
      <c r="J820" s="21"/>
      <c r="K820" s="323"/>
      <c r="M820" s="27">
        <f>_xlfn.XLOOKUP(packes[[#This Row],[productId]],CT[productId],CT[total],"NA")</f>
        <v>130.69500000000002</v>
      </c>
      <c r="N820" s="23" t="str">
        <f>_xlfn.XLOOKUP(packes[[#This Row],[productId]],bom[Id],bom[ph],"NA")</f>
        <v>6.3ch</v>
      </c>
      <c r="O820" s="23" t="str">
        <f>_xlfn.XLOOKUP(packes[[#This Row],[productId]],bom[Id],bom[erth],"NA")</f>
        <v>6.3k</v>
      </c>
      <c r="P820" s="23" t="str">
        <f>_xlfn.XLOOKUP(packes[[#This Row],[productId]],bom[Id],bom[dbl],"NA")</f>
        <v>-</v>
      </c>
      <c r="Q820" s="20" t="str">
        <f>LEFT(packes[[#This Row],[date]],4)</f>
        <v>1404</v>
      </c>
    </row>
    <row r="821" spans="1:17" ht="16.5" x14ac:dyDescent="0.25">
      <c r="A821" s="23">
        <v>818</v>
      </c>
      <c r="B821" s="30" t="s">
        <v>732</v>
      </c>
      <c r="C821" s="23">
        <v>140310083</v>
      </c>
      <c r="D821" s="23">
        <v>1600</v>
      </c>
      <c r="E821" s="27">
        <f>_xlfn.XLOOKUP(packes[[#This Row],[productId]],bom[Id],bom[wgt])</f>
        <v>1.3369250723336326</v>
      </c>
      <c r="F821" s="27">
        <f>packes[[#This Row],[num]]*packes[[#This Row],[wtg]]</f>
        <v>2139.0801157338119</v>
      </c>
      <c r="G821" s="357">
        <v>3</v>
      </c>
      <c r="H821" s="21">
        <f>packes[[#This Row],[num]]-SUM(packes[[#This Row],[num2]])</f>
        <v>1600</v>
      </c>
      <c r="I821" s="357"/>
      <c r="J821" s="21"/>
      <c r="K821" s="323"/>
      <c r="M821" s="27">
        <f>_xlfn.XLOOKUP(packes[[#This Row],[productId]],CT[productId],CT[total],"NA")</f>
        <v>135.23500000000001</v>
      </c>
      <c r="N821" s="23" t="str">
        <f>_xlfn.XLOOKUP(packes[[#This Row],[productId]],bom[Id],bom[ph],"NA")</f>
        <v>6.3flat</v>
      </c>
      <c r="O821" s="23" t="str">
        <f>_xlfn.XLOOKUP(packes[[#This Row],[productId]],bom[Id],bom[erth],"NA")</f>
        <v>6.3flat</v>
      </c>
      <c r="P821" s="23" t="str">
        <f>_xlfn.XLOOKUP(packes[[#This Row],[productId]],bom[Id],bom[dbl],"NA")</f>
        <v>-</v>
      </c>
      <c r="Q821" s="20" t="str">
        <f>LEFT(packes[[#This Row],[date]],4)</f>
        <v>1404</v>
      </c>
    </row>
    <row r="822" spans="1:17" ht="16.5" x14ac:dyDescent="0.25">
      <c r="A822" s="23">
        <v>819</v>
      </c>
      <c r="B822" s="30" t="s">
        <v>732</v>
      </c>
      <c r="C822" s="23">
        <v>140450027</v>
      </c>
      <c r="D822" s="23">
        <v>1760</v>
      </c>
      <c r="E822" s="27">
        <f>_xlfn.XLOOKUP(packes[[#This Row],[productId]],bom[Id],bom[wgt])</f>
        <v>1.5264890751272073</v>
      </c>
      <c r="F822" s="27">
        <f>packes[[#This Row],[num]]*packes[[#This Row],[wtg]]</f>
        <v>2686.6207722238851</v>
      </c>
      <c r="G822" s="357">
        <v>11</v>
      </c>
      <c r="H822" s="21">
        <f>packes[[#This Row],[num]]-SUM(packes[[#This Row],[num2]])</f>
        <v>1760</v>
      </c>
      <c r="I822" s="357"/>
      <c r="J822" s="21"/>
      <c r="K822" s="323"/>
      <c r="M822" s="27">
        <f>_xlfn.XLOOKUP(packes[[#This Row],[productId]],CT[productId],CT[total],"NA")</f>
        <v>103.66</v>
      </c>
      <c r="N822" s="23" t="str">
        <f>_xlfn.XLOOKUP(packes[[#This Row],[productId]],bom[Id],bom[ph],"NA")</f>
        <v>VH</v>
      </c>
      <c r="O822" s="23" t="str">
        <f>_xlfn.XLOOKUP(packes[[#This Row],[productId]],bom[Id],bom[erth],"NA")</f>
        <v>nut4</v>
      </c>
      <c r="P822" s="23">
        <f>_xlfn.XLOOKUP(packes[[#This Row],[productId]],bom[Id],bom[dbl],"NA")</f>
        <v>0</v>
      </c>
      <c r="Q822" s="20" t="str">
        <f>LEFT(packes[[#This Row],[date]],4)</f>
        <v>1404</v>
      </c>
    </row>
    <row r="823" spans="1:17" ht="16.5" x14ac:dyDescent="0.25">
      <c r="A823" s="23">
        <v>820</v>
      </c>
      <c r="B823" s="30" t="s">
        <v>732</v>
      </c>
      <c r="C823" s="23">
        <v>141320055</v>
      </c>
      <c r="D823" s="23">
        <v>2700</v>
      </c>
      <c r="E823" s="27">
        <f>_xlfn.XLOOKUP(packes[[#This Row],[productId]],bom[Id],bom[wgt])</f>
        <v>1.1274069639828395</v>
      </c>
      <c r="F823" s="27">
        <f>packes[[#This Row],[num]]*packes[[#This Row],[wtg]]</f>
        <v>3043.9988027536665</v>
      </c>
      <c r="G823" s="357">
        <v>2</v>
      </c>
      <c r="H823" s="21">
        <f>packes[[#This Row],[num]]-SUM(packes[[#This Row],[num2]])</f>
        <v>2700</v>
      </c>
      <c r="I823" s="357"/>
      <c r="J823" s="21"/>
      <c r="K823" s="323"/>
      <c r="M823" s="27">
        <f>_xlfn.XLOOKUP(packes[[#This Row],[productId]],CT[productId],CT[total],"NA")</f>
        <v>41.13</v>
      </c>
      <c r="N823" s="23">
        <f>_xlfn.XLOOKUP(packes[[#This Row],[productId]],bom[Id],bom[ph],"NA")</f>
        <v>0</v>
      </c>
      <c r="O823" s="23">
        <f>_xlfn.XLOOKUP(packes[[#This Row],[productId]],bom[Id],bom[erth],"NA")</f>
        <v>0</v>
      </c>
      <c r="P823" s="23">
        <f>_xlfn.XLOOKUP(packes[[#This Row],[productId]],bom[Id],bom[dbl],"NA")</f>
        <v>0</v>
      </c>
      <c r="Q823" s="20" t="str">
        <f>LEFT(packes[[#This Row],[date]],4)</f>
        <v>1404</v>
      </c>
    </row>
    <row r="824" spans="1:17" ht="16.5" x14ac:dyDescent="0.25">
      <c r="A824" s="23">
        <v>821</v>
      </c>
      <c r="B824" s="30" t="s">
        <v>733</v>
      </c>
      <c r="C824" s="23">
        <v>140010117</v>
      </c>
      <c r="D824" s="23">
        <v>1275</v>
      </c>
      <c r="E824" s="27">
        <f>_xlfn.XLOOKUP(packes[[#This Row],[productId]],bom[Id],bom[wgt])</f>
        <v>1</v>
      </c>
      <c r="F824" s="27">
        <f>packes[[#This Row],[num]]*packes[[#This Row],[wtg]]</f>
        <v>1275</v>
      </c>
      <c r="G824" s="357">
        <v>3</v>
      </c>
      <c r="H824" s="21">
        <f>packes[[#This Row],[num]]-SUM(packes[[#This Row],[num2]])</f>
        <v>1275</v>
      </c>
      <c r="I824" s="357"/>
      <c r="J824" s="21"/>
      <c r="K824" s="323"/>
      <c r="M824" s="27">
        <f>_xlfn.XLOOKUP(packes[[#This Row],[productId]],CT[productId],CT[total],"NA")</f>
        <v>98.295000000000016</v>
      </c>
      <c r="N824" s="23" t="str">
        <f>_xlfn.XLOOKUP(packes[[#This Row],[productId]],bom[Id],bom[ph],"NA")</f>
        <v>nar.p</v>
      </c>
      <c r="O824" s="23" t="str">
        <f>_xlfn.XLOOKUP(packes[[#This Row],[productId]],bom[Id],bom[erth],"NA")</f>
        <v>-</v>
      </c>
      <c r="P824" s="23" t="str">
        <f>_xlfn.XLOOKUP(packes[[#This Row],[productId]],bom[Id],bom[dbl],"NA")</f>
        <v>nar.p</v>
      </c>
      <c r="Q824" s="20" t="str">
        <f>LEFT(packes[[#This Row],[date]],4)</f>
        <v>1404</v>
      </c>
    </row>
    <row r="825" spans="1:17" ht="16.5" x14ac:dyDescent="0.25">
      <c r="A825" s="23">
        <v>822</v>
      </c>
      <c r="B825" s="30" t="s">
        <v>733</v>
      </c>
      <c r="C825" s="23">
        <v>140010255</v>
      </c>
      <c r="D825" s="23">
        <v>500</v>
      </c>
      <c r="E825" s="27">
        <f>_xlfn.XLOOKUP(packes[[#This Row],[productId]],bom[Id],bom[wgt])</f>
        <v>1</v>
      </c>
      <c r="F825" s="27">
        <f>packes[[#This Row],[num]]*packes[[#This Row],[wtg]]</f>
        <v>500</v>
      </c>
      <c r="G825" s="357">
        <v>3</v>
      </c>
      <c r="H825" s="21">
        <f>packes[[#This Row],[num]]-SUM(packes[[#This Row],[num2]])</f>
        <v>500</v>
      </c>
      <c r="I825" s="357"/>
      <c r="J825" s="21"/>
      <c r="K825" s="323"/>
      <c r="M825" s="27">
        <f>_xlfn.XLOOKUP(packes[[#This Row],[productId]],CT[productId],CT[total],"NA")</f>
        <v>95.575000000000003</v>
      </c>
      <c r="N825" s="23" t="str">
        <f>_xlfn.XLOOKUP(packes[[#This Row],[productId]],bom[Id],bom[ph],"NA")</f>
        <v>-</v>
      </c>
      <c r="O825" s="23" t="str">
        <f>_xlfn.XLOOKUP(packes[[#This Row],[productId]],bom[Id],bom[erth],"NA")</f>
        <v>-</v>
      </c>
      <c r="P825" s="23" t="str">
        <f>_xlfn.XLOOKUP(packes[[#This Row],[productId]],bom[Id],bom[dbl],"NA")</f>
        <v>6.3flat</v>
      </c>
      <c r="Q825" s="20" t="str">
        <f>LEFT(packes[[#This Row],[date]],4)</f>
        <v>1404</v>
      </c>
    </row>
    <row r="826" spans="1:17" ht="16.5" x14ac:dyDescent="0.25">
      <c r="A826" s="23">
        <v>823</v>
      </c>
      <c r="B826" s="30" t="s">
        <v>733</v>
      </c>
      <c r="C826" s="23">
        <v>140030039</v>
      </c>
      <c r="D826" s="23">
        <v>1200</v>
      </c>
      <c r="E826" s="27">
        <f>_xlfn.XLOOKUP(packes[[#This Row],[productId]],bom[Id],bom[wgt])</f>
        <v>1.1413748378728923</v>
      </c>
      <c r="F826" s="27">
        <f>packes[[#This Row],[num]]*packes[[#This Row],[wtg]]</f>
        <v>1369.6498054474707</v>
      </c>
      <c r="G826" s="357">
        <v>3</v>
      </c>
      <c r="H826" s="21">
        <f>packes[[#This Row],[num]]-SUM(packes[[#This Row],[num2]])</f>
        <v>1200</v>
      </c>
      <c r="I826" s="357"/>
      <c r="J826" s="21"/>
      <c r="K826" s="323"/>
      <c r="M826" s="27">
        <f>_xlfn.XLOOKUP(packes[[#This Row],[productId]],CT[productId],CT[total],"NA")</f>
        <v>92.504999999999995</v>
      </c>
      <c r="N826" s="23" t="str">
        <f>_xlfn.XLOOKUP(packes[[#This Row],[productId]],bom[Id],bom[ph],"NA")</f>
        <v>YH</v>
      </c>
      <c r="O826" s="23" t="str">
        <f>_xlfn.XLOOKUP(packes[[#This Row],[productId]],bom[Id],bom[erth],"NA")</f>
        <v>sun</v>
      </c>
      <c r="P826" s="23" t="str">
        <f>_xlfn.XLOOKUP(packes[[#This Row],[productId]],bom[Id],bom[dbl],"NA")</f>
        <v>-</v>
      </c>
      <c r="Q826" s="20" t="str">
        <f>LEFT(packes[[#This Row],[date]],4)</f>
        <v>1404</v>
      </c>
    </row>
    <row r="827" spans="1:17" ht="16.5" x14ac:dyDescent="0.25">
      <c r="A827" s="23">
        <v>824</v>
      </c>
      <c r="B827" s="30" t="s">
        <v>733</v>
      </c>
      <c r="C827" s="23">
        <v>140030040</v>
      </c>
      <c r="D827" s="23">
        <v>1500</v>
      </c>
      <c r="E827" s="27">
        <f>_xlfn.XLOOKUP(packes[[#This Row],[productId]],bom[Id],bom[wgt])</f>
        <v>1.1092487279257708</v>
      </c>
      <c r="F827" s="27">
        <f>packes[[#This Row],[num]]*packes[[#This Row],[wtg]]</f>
        <v>1663.8730918886561</v>
      </c>
      <c r="G827" s="357">
        <v>3</v>
      </c>
      <c r="H827" s="21">
        <f>packes[[#This Row],[num]]-SUM(packes[[#This Row],[num2]])</f>
        <v>1500</v>
      </c>
      <c r="I827" s="357"/>
      <c r="J827" s="21"/>
      <c r="K827" s="323"/>
      <c r="M827" s="27">
        <f>_xlfn.XLOOKUP(packes[[#This Row],[productId]],CT[productId],CT[total],"NA")</f>
        <v>97.305000000000007</v>
      </c>
      <c r="N827" s="23" t="str">
        <f>_xlfn.XLOOKUP(packes[[#This Row],[productId]],bom[Id],bom[ph],"NA")</f>
        <v>YH</v>
      </c>
      <c r="O827" s="23" t="str">
        <f>_xlfn.XLOOKUP(packes[[#This Row],[productId]],bom[Id],bom[erth],"NA")</f>
        <v>sun</v>
      </c>
      <c r="P827" s="23" t="str">
        <f>_xlfn.XLOOKUP(packes[[#This Row],[productId]],bom[Id],bom[dbl],"NA")</f>
        <v>-</v>
      </c>
      <c r="Q827" s="20" t="str">
        <f>LEFT(packes[[#This Row],[date]],4)</f>
        <v>1404</v>
      </c>
    </row>
    <row r="828" spans="1:17" ht="16.5" x14ac:dyDescent="0.25">
      <c r="A828" s="23">
        <v>825</v>
      </c>
      <c r="B828" s="30" t="s">
        <v>733</v>
      </c>
      <c r="C828" s="23">
        <v>140310071</v>
      </c>
      <c r="D828" s="23">
        <v>1350</v>
      </c>
      <c r="E828" s="27">
        <f>_xlfn.XLOOKUP(packes[[#This Row],[productId]],bom[Id],bom[wgt])</f>
        <v>1.3</v>
      </c>
      <c r="F828" s="27">
        <f>packes[[#This Row],[num]]*packes[[#This Row],[wtg]]</f>
        <v>1755</v>
      </c>
      <c r="G828" s="357">
        <v>3</v>
      </c>
      <c r="H828" s="21">
        <f>packes[[#This Row],[num]]-SUM(packes[[#This Row],[num2]])</f>
        <v>1350</v>
      </c>
      <c r="I828" s="357"/>
      <c r="J828" s="21"/>
      <c r="K828" s="323"/>
      <c r="M828" s="27">
        <f>_xlfn.XLOOKUP(packes[[#This Row],[productId]],CT[productId],CT[total],"NA")</f>
        <v>130.69500000000002</v>
      </c>
      <c r="N828" s="23" t="str">
        <f>_xlfn.XLOOKUP(packes[[#This Row],[productId]],bom[Id],bom[ph],"NA")</f>
        <v>6.3ch</v>
      </c>
      <c r="O828" s="23" t="str">
        <f>_xlfn.XLOOKUP(packes[[#This Row],[productId]],bom[Id],bom[erth],"NA")</f>
        <v>6.3k</v>
      </c>
      <c r="P828" s="23" t="str">
        <f>_xlfn.XLOOKUP(packes[[#This Row],[productId]],bom[Id],bom[dbl],"NA")</f>
        <v>-</v>
      </c>
      <c r="Q828" s="20" t="str">
        <f>LEFT(packes[[#This Row],[date]],4)</f>
        <v>1404</v>
      </c>
    </row>
    <row r="829" spans="1:17" ht="16.5" x14ac:dyDescent="0.25">
      <c r="A829" s="23">
        <v>826</v>
      </c>
      <c r="B829" s="30" t="s">
        <v>733</v>
      </c>
      <c r="C829" s="23">
        <v>140310083</v>
      </c>
      <c r="D829" s="23">
        <v>1400</v>
      </c>
      <c r="E829" s="27">
        <f>_xlfn.XLOOKUP(packes[[#This Row],[productId]],bom[Id],bom[wgt])</f>
        <v>1.3369250723336326</v>
      </c>
      <c r="F829" s="27">
        <f>packes[[#This Row],[num]]*packes[[#This Row],[wtg]]</f>
        <v>1871.6951012670856</v>
      </c>
      <c r="G829" s="357">
        <v>3</v>
      </c>
      <c r="H829" s="21">
        <f>packes[[#This Row],[num]]-SUM(packes[[#This Row],[num2]])</f>
        <v>1400</v>
      </c>
      <c r="I829" s="357"/>
      <c r="J829" s="21"/>
      <c r="K829" s="323"/>
      <c r="M829" s="27">
        <f>_xlfn.XLOOKUP(packes[[#This Row],[productId]],CT[productId],CT[total],"NA")</f>
        <v>135.23500000000001</v>
      </c>
      <c r="N829" s="23" t="str">
        <f>_xlfn.XLOOKUP(packes[[#This Row],[productId]],bom[Id],bom[ph],"NA")</f>
        <v>6.3flat</v>
      </c>
      <c r="O829" s="23" t="str">
        <f>_xlfn.XLOOKUP(packes[[#This Row],[productId]],bom[Id],bom[erth],"NA")</f>
        <v>6.3flat</v>
      </c>
      <c r="P829" s="23" t="str">
        <f>_xlfn.XLOOKUP(packes[[#This Row],[productId]],bom[Id],bom[dbl],"NA")</f>
        <v>-</v>
      </c>
      <c r="Q829" s="20" t="str">
        <f>LEFT(packes[[#This Row],[date]],4)</f>
        <v>1404</v>
      </c>
    </row>
    <row r="830" spans="1:17" ht="16.5" x14ac:dyDescent="0.25">
      <c r="A830" s="23">
        <v>827</v>
      </c>
      <c r="B830" s="30" t="s">
        <v>733</v>
      </c>
      <c r="C830" s="23">
        <v>140310096</v>
      </c>
      <c r="D830" s="23">
        <v>450</v>
      </c>
      <c r="E830" s="27">
        <f>_xlfn.XLOOKUP(packes[[#This Row],[productId]],bom[Id],bom[wgt])</f>
        <v>1.3</v>
      </c>
      <c r="F830" s="27">
        <f>packes[[#This Row],[num]]*packes[[#This Row],[wtg]]</f>
        <v>585</v>
      </c>
      <c r="G830" s="357">
        <v>3</v>
      </c>
      <c r="H830" s="21">
        <f>packes[[#This Row],[num]]-SUM(packes[[#This Row],[num2]])</f>
        <v>450</v>
      </c>
      <c r="I830" s="357"/>
      <c r="J830" s="21"/>
      <c r="K830" s="323"/>
      <c r="M830" s="27">
        <f>_xlfn.XLOOKUP(packes[[#This Row],[productId]],CT[productId],CT[total],"NA")</f>
        <v>76.239999999999995</v>
      </c>
      <c r="N830" s="23" t="str">
        <f>_xlfn.XLOOKUP(packes[[#This Row],[productId]],bom[Id],bom[ph],"NA")</f>
        <v>6.3ch</v>
      </c>
      <c r="O830" s="23" t="str">
        <f>_xlfn.XLOOKUP(packes[[#This Row],[productId]],bom[Id],bom[erth],"NA")</f>
        <v>6.3k</v>
      </c>
      <c r="P830" s="23">
        <f>_xlfn.XLOOKUP(packes[[#This Row],[productId]],bom[Id],bom[dbl],"NA")</f>
        <v>0</v>
      </c>
      <c r="Q830" s="20" t="str">
        <f>LEFT(packes[[#This Row],[date]],4)</f>
        <v>1404</v>
      </c>
    </row>
    <row r="831" spans="1:17" ht="16.5" x14ac:dyDescent="0.25">
      <c r="A831" s="23">
        <v>828</v>
      </c>
      <c r="B831" s="30" t="s">
        <v>733</v>
      </c>
      <c r="C831" s="23">
        <v>140450027</v>
      </c>
      <c r="D831" s="23">
        <v>200</v>
      </c>
      <c r="E831" s="27">
        <f>_xlfn.XLOOKUP(packes[[#This Row],[productId]],bom[Id],bom[wgt])</f>
        <v>1.5264890751272073</v>
      </c>
      <c r="F831" s="27">
        <f>packes[[#This Row],[num]]*packes[[#This Row],[wtg]]</f>
        <v>305.29781502544148</v>
      </c>
      <c r="G831" s="357">
        <v>11</v>
      </c>
      <c r="H831" s="21">
        <f>packes[[#This Row],[num]]-SUM(packes[[#This Row],[num2]])</f>
        <v>200</v>
      </c>
      <c r="I831" s="357"/>
      <c r="J831" s="21"/>
      <c r="K831" s="323"/>
      <c r="M831" s="27">
        <f>_xlfn.XLOOKUP(packes[[#This Row],[productId]],CT[productId],CT[total],"NA")</f>
        <v>103.66</v>
      </c>
      <c r="N831" s="23" t="str">
        <f>_xlfn.XLOOKUP(packes[[#This Row],[productId]],bom[Id],bom[ph],"NA")</f>
        <v>VH</v>
      </c>
      <c r="O831" s="23" t="str">
        <f>_xlfn.XLOOKUP(packes[[#This Row],[productId]],bom[Id],bom[erth],"NA")</f>
        <v>nut4</v>
      </c>
      <c r="P831" s="23">
        <f>_xlfn.XLOOKUP(packes[[#This Row],[productId]],bom[Id],bom[dbl],"NA")</f>
        <v>0</v>
      </c>
      <c r="Q831" s="20" t="str">
        <f>LEFT(packes[[#This Row],[date]],4)</f>
        <v>1404</v>
      </c>
    </row>
    <row r="832" spans="1:17" ht="16.5" x14ac:dyDescent="0.25">
      <c r="A832" s="23">
        <v>829</v>
      </c>
      <c r="B832" s="30" t="s">
        <v>733</v>
      </c>
      <c r="C832" s="23">
        <v>140450035</v>
      </c>
      <c r="D832" s="23">
        <v>750</v>
      </c>
      <c r="E832" s="27">
        <f>_xlfn.XLOOKUP(packes[[#This Row],[productId]],bom[Id],bom[wgt])</f>
        <v>1.6761448668063454</v>
      </c>
      <c r="F832" s="27">
        <f>packes[[#This Row],[num]]*packes[[#This Row],[wtg]]</f>
        <v>1257.1086501047591</v>
      </c>
      <c r="G832" s="357">
        <v>11</v>
      </c>
      <c r="H832" s="21">
        <f>packes[[#This Row],[num]]-SUM(packes[[#This Row],[num2]])</f>
        <v>750</v>
      </c>
      <c r="I832" s="357"/>
      <c r="J832" s="21"/>
      <c r="K832" s="323"/>
      <c r="M832" s="27" t="str">
        <f>_xlfn.XLOOKUP(packes[[#This Row],[productId]],CT[productId],CT[total],"NA")</f>
        <v>NA</v>
      </c>
      <c r="N832" s="23" t="str">
        <f>_xlfn.XLOOKUP(packes[[#This Row],[productId]],bom[Id],bom[ph],"NA")</f>
        <v>hcb</v>
      </c>
      <c r="O832" s="23" t="str">
        <f>_xlfn.XLOOKUP(packes[[#This Row],[productId]],bom[Id],bom[erth],"NA")</f>
        <v>nut4</v>
      </c>
      <c r="P832" s="23">
        <f>_xlfn.XLOOKUP(packes[[#This Row],[productId]],bom[Id],bom[dbl],"NA")</f>
        <v>0</v>
      </c>
      <c r="Q832" s="20" t="str">
        <f>LEFT(packes[[#This Row],[date]],4)</f>
        <v>1404</v>
      </c>
    </row>
    <row r="833" spans="1:17" ht="16.5" x14ac:dyDescent="0.25">
      <c r="A833" s="23">
        <v>830</v>
      </c>
      <c r="B833" s="30" t="s">
        <v>733</v>
      </c>
      <c r="C833" s="23">
        <v>141320055</v>
      </c>
      <c r="D833" s="23">
        <v>1900</v>
      </c>
      <c r="E833" s="27">
        <f>_xlfn.XLOOKUP(packes[[#This Row],[productId]],bom[Id],bom[wgt])</f>
        <v>1.1274069639828395</v>
      </c>
      <c r="F833" s="27">
        <f>packes[[#This Row],[num]]*packes[[#This Row],[wtg]]</f>
        <v>2142.0732315673949</v>
      </c>
      <c r="G833" s="357">
        <v>2</v>
      </c>
      <c r="H833" s="21">
        <f>packes[[#This Row],[num]]-SUM(packes[[#This Row],[num2]])</f>
        <v>1900</v>
      </c>
      <c r="I833" s="357"/>
      <c r="J833" s="21"/>
      <c r="K833" s="323"/>
      <c r="M833" s="27">
        <f>_xlfn.XLOOKUP(packes[[#This Row],[productId]],CT[productId],CT[total],"NA")</f>
        <v>41.13</v>
      </c>
      <c r="N833" s="23">
        <f>_xlfn.XLOOKUP(packes[[#This Row],[productId]],bom[Id],bom[ph],"NA")</f>
        <v>0</v>
      </c>
      <c r="O833" s="23">
        <f>_xlfn.XLOOKUP(packes[[#This Row],[productId]],bom[Id],bom[erth],"NA")</f>
        <v>0</v>
      </c>
      <c r="P833" s="23">
        <f>_xlfn.XLOOKUP(packes[[#This Row],[productId]],bom[Id],bom[dbl],"NA")</f>
        <v>0</v>
      </c>
      <c r="Q833" s="20" t="str">
        <f>LEFT(packes[[#This Row],[date]],4)</f>
        <v>1404</v>
      </c>
    </row>
    <row r="834" spans="1:17" ht="16.5" x14ac:dyDescent="0.25">
      <c r="A834" s="23">
        <v>831</v>
      </c>
      <c r="B834" s="30" t="s">
        <v>736</v>
      </c>
      <c r="C834" s="23">
        <v>140010117</v>
      </c>
      <c r="D834" s="23">
        <v>300</v>
      </c>
      <c r="E834" s="27">
        <f>_xlfn.XLOOKUP(packes[[#This Row],[productId]],bom[Id],bom[wgt])</f>
        <v>1</v>
      </c>
      <c r="F834" s="27">
        <f>packes[[#This Row],[num]]*packes[[#This Row],[wtg]]</f>
        <v>300</v>
      </c>
      <c r="G834" s="357">
        <v>3</v>
      </c>
      <c r="H834" s="21">
        <f>packes[[#This Row],[num]]-SUM(packes[[#This Row],[num2]])</f>
        <v>300</v>
      </c>
      <c r="I834" s="357"/>
      <c r="J834" s="21"/>
      <c r="K834" s="323"/>
      <c r="M834" s="27">
        <f>_xlfn.XLOOKUP(packes[[#This Row],[productId]],CT[productId],CT[total],"NA")</f>
        <v>98.295000000000016</v>
      </c>
      <c r="N834" s="23" t="str">
        <f>_xlfn.XLOOKUP(packes[[#This Row],[productId]],bom[Id],bom[ph],"NA")</f>
        <v>nar.p</v>
      </c>
      <c r="O834" s="23" t="str">
        <f>_xlfn.XLOOKUP(packes[[#This Row],[productId]],bom[Id],bom[erth],"NA")</f>
        <v>-</v>
      </c>
      <c r="P834" s="23" t="str">
        <f>_xlfn.XLOOKUP(packes[[#This Row],[productId]],bom[Id],bom[dbl],"NA")</f>
        <v>nar.p</v>
      </c>
      <c r="Q834" s="20" t="str">
        <f>LEFT(packes[[#This Row],[date]],4)</f>
        <v>1404</v>
      </c>
    </row>
    <row r="835" spans="1:17" ht="16.5" x14ac:dyDescent="0.25">
      <c r="A835" s="23">
        <v>832</v>
      </c>
      <c r="B835" s="30" t="s">
        <v>736</v>
      </c>
      <c r="C835" s="23">
        <v>140010230</v>
      </c>
      <c r="D835" s="23">
        <v>2550</v>
      </c>
      <c r="E835" s="27">
        <f>_xlfn.XLOOKUP(packes[[#This Row],[productId]],bom[Id],bom[wgt])</f>
        <v>1.4486680634540554</v>
      </c>
      <c r="F835" s="27">
        <f>packes[[#This Row],[num]]*packes[[#This Row],[wtg]]</f>
        <v>3694.1035618078413</v>
      </c>
      <c r="G835" s="357">
        <v>3</v>
      </c>
      <c r="H835" s="21">
        <f>packes[[#This Row],[num]]-SUM(packes[[#This Row],[num2]])</f>
        <v>2550</v>
      </c>
      <c r="I835" s="357"/>
      <c r="J835" s="21"/>
      <c r="K835" s="323"/>
      <c r="M835" s="27">
        <f>_xlfn.XLOOKUP(packes[[#This Row],[productId]],CT[productId],CT[total],"NA")</f>
        <v>147.595</v>
      </c>
      <c r="N835" s="23" t="str">
        <f>_xlfn.XLOOKUP(packes[[#This Row],[productId]],bom[Id],bom[ph],"NA")</f>
        <v>nar.p</v>
      </c>
      <c r="O835" s="23" t="str">
        <f>_xlfn.XLOOKUP(packes[[#This Row],[productId]],bom[Id],bom[erth],"NA")</f>
        <v>-</v>
      </c>
      <c r="P835" s="23" t="str">
        <f>_xlfn.XLOOKUP(packes[[#This Row],[productId]],bom[Id],bom[dbl],"NA")</f>
        <v>nar.p</v>
      </c>
      <c r="Q835" s="20" t="str">
        <f>LEFT(packes[[#This Row],[date]],4)</f>
        <v>1404</v>
      </c>
    </row>
    <row r="836" spans="1:17" ht="16.5" x14ac:dyDescent="0.25">
      <c r="A836" s="23">
        <v>833</v>
      </c>
      <c r="B836" s="30" t="s">
        <v>736</v>
      </c>
      <c r="C836" s="23">
        <v>140030039</v>
      </c>
      <c r="D836" s="23">
        <v>800</v>
      </c>
      <c r="E836" s="27">
        <f>_xlfn.XLOOKUP(packes[[#This Row],[productId]],bom[Id],bom[wgt])</f>
        <v>1.1413748378728923</v>
      </c>
      <c r="F836" s="27">
        <f>packes[[#This Row],[num]]*packes[[#This Row],[wtg]]</f>
        <v>913.09987029831382</v>
      </c>
      <c r="G836" s="357">
        <v>3</v>
      </c>
      <c r="H836" s="21">
        <f>packes[[#This Row],[num]]-SUM(packes[[#This Row],[num2]])</f>
        <v>800</v>
      </c>
      <c r="I836" s="357"/>
      <c r="J836" s="21"/>
      <c r="K836" s="323"/>
      <c r="M836" s="27">
        <f>_xlfn.XLOOKUP(packes[[#This Row],[productId]],CT[productId],CT[total],"NA")</f>
        <v>92.504999999999995</v>
      </c>
      <c r="N836" s="23" t="str">
        <f>_xlfn.XLOOKUP(packes[[#This Row],[productId]],bom[Id],bom[ph],"NA")</f>
        <v>YH</v>
      </c>
      <c r="O836" s="23" t="str">
        <f>_xlfn.XLOOKUP(packes[[#This Row],[productId]],bom[Id],bom[erth],"NA")</f>
        <v>sun</v>
      </c>
      <c r="P836" s="23" t="str">
        <f>_xlfn.XLOOKUP(packes[[#This Row],[productId]],bom[Id],bom[dbl],"NA")</f>
        <v>-</v>
      </c>
      <c r="Q836" s="20" t="str">
        <f>LEFT(packes[[#This Row],[date]],4)</f>
        <v>1404</v>
      </c>
    </row>
    <row r="837" spans="1:17" ht="16.5" x14ac:dyDescent="0.25">
      <c r="A837" s="23">
        <v>834</v>
      </c>
      <c r="B837" s="30" t="s">
        <v>736</v>
      </c>
      <c r="C837" s="23">
        <v>140030040</v>
      </c>
      <c r="D837" s="23">
        <v>1500</v>
      </c>
      <c r="E837" s="27">
        <f>_xlfn.XLOOKUP(packes[[#This Row],[productId]],bom[Id],bom[wgt])</f>
        <v>1.1092487279257708</v>
      </c>
      <c r="F837" s="27">
        <f>packes[[#This Row],[num]]*packes[[#This Row],[wtg]]</f>
        <v>1663.8730918886561</v>
      </c>
      <c r="G837" s="357">
        <v>3</v>
      </c>
      <c r="H837" s="21">
        <f>packes[[#This Row],[num]]-SUM(packes[[#This Row],[num2]])</f>
        <v>1500</v>
      </c>
      <c r="I837" s="357"/>
      <c r="J837" s="21"/>
      <c r="K837" s="323"/>
      <c r="M837" s="27">
        <f>_xlfn.XLOOKUP(packes[[#This Row],[productId]],CT[productId],CT[total],"NA")</f>
        <v>97.305000000000007</v>
      </c>
      <c r="N837" s="23" t="str">
        <f>_xlfn.XLOOKUP(packes[[#This Row],[productId]],bom[Id],bom[ph],"NA")</f>
        <v>YH</v>
      </c>
      <c r="O837" s="23" t="str">
        <f>_xlfn.XLOOKUP(packes[[#This Row],[productId]],bom[Id],bom[erth],"NA")</f>
        <v>sun</v>
      </c>
      <c r="P837" s="23" t="str">
        <f>_xlfn.XLOOKUP(packes[[#This Row],[productId]],bom[Id],bom[dbl],"NA")</f>
        <v>-</v>
      </c>
      <c r="Q837" s="20" t="str">
        <f>LEFT(packes[[#This Row],[date]],4)</f>
        <v>1404</v>
      </c>
    </row>
    <row r="838" spans="1:17" ht="16.5" x14ac:dyDescent="0.25">
      <c r="A838" s="23">
        <v>835</v>
      </c>
      <c r="B838" s="30" t="s">
        <v>736</v>
      </c>
      <c r="C838" s="23">
        <v>140310071</v>
      </c>
      <c r="D838" s="23">
        <v>950</v>
      </c>
      <c r="E838" s="27">
        <f>_xlfn.XLOOKUP(packes[[#This Row],[productId]],bom[Id],bom[wgt])</f>
        <v>1.3</v>
      </c>
      <c r="F838" s="27">
        <f>packes[[#This Row],[num]]*packes[[#This Row],[wtg]]</f>
        <v>1235</v>
      </c>
      <c r="G838" s="357">
        <v>3</v>
      </c>
      <c r="H838" s="21">
        <f>packes[[#This Row],[num]]-SUM(packes[[#This Row],[num2]])</f>
        <v>950</v>
      </c>
      <c r="I838" s="357"/>
      <c r="J838" s="21"/>
      <c r="K838" s="323"/>
      <c r="M838" s="27">
        <f>_xlfn.XLOOKUP(packes[[#This Row],[productId]],CT[productId],CT[total],"NA")</f>
        <v>130.69500000000002</v>
      </c>
      <c r="N838" s="23" t="str">
        <f>_xlfn.XLOOKUP(packes[[#This Row],[productId]],bom[Id],bom[ph],"NA")</f>
        <v>6.3ch</v>
      </c>
      <c r="O838" s="23" t="str">
        <f>_xlfn.XLOOKUP(packes[[#This Row],[productId]],bom[Id],bom[erth],"NA")</f>
        <v>6.3k</v>
      </c>
      <c r="P838" s="23" t="str">
        <f>_xlfn.XLOOKUP(packes[[#This Row],[productId]],bom[Id],bom[dbl],"NA")</f>
        <v>-</v>
      </c>
      <c r="Q838" s="20" t="str">
        <f>LEFT(packes[[#This Row],[date]],4)</f>
        <v>1404</v>
      </c>
    </row>
    <row r="839" spans="1:17" ht="16.5" x14ac:dyDescent="0.25">
      <c r="A839" s="23">
        <v>836</v>
      </c>
      <c r="B839" s="30" t="s">
        <v>736</v>
      </c>
      <c r="C839" s="23">
        <v>140310083</v>
      </c>
      <c r="D839" s="23">
        <v>800</v>
      </c>
      <c r="E839" s="27">
        <f>_xlfn.XLOOKUP(packes[[#This Row],[productId]],bom[Id],bom[wgt])</f>
        <v>1.3369250723336326</v>
      </c>
      <c r="F839" s="27">
        <f>packes[[#This Row],[num]]*packes[[#This Row],[wtg]]</f>
        <v>1069.540057866906</v>
      </c>
      <c r="G839" s="357">
        <v>3</v>
      </c>
      <c r="H839" s="21">
        <f>packes[[#This Row],[num]]-SUM(packes[[#This Row],[num2]])</f>
        <v>800</v>
      </c>
      <c r="I839" s="357"/>
      <c r="J839" s="21"/>
      <c r="K839" s="323"/>
      <c r="M839" s="27">
        <f>_xlfn.XLOOKUP(packes[[#This Row],[productId]],CT[productId],CT[total],"NA")</f>
        <v>135.23500000000001</v>
      </c>
      <c r="N839" s="23" t="str">
        <f>_xlfn.XLOOKUP(packes[[#This Row],[productId]],bom[Id],bom[ph],"NA")</f>
        <v>6.3flat</v>
      </c>
      <c r="O839" s="23" t="str">
        <f>_xlfn.XLOOKUP(packes[[#This Row],[productId]],bom[Id],bom[erth],"NA")</f>
        <v>6.3flat</v>
      </c>
      <c r="P839" s="23" t="str">
        <f>_xlfn.XLOOKUP(packes[[#This Row],[productId]],bom[Id],bom[dbl],"NA")</f>
        <v>-</v>
      </c>
      <c r="Q839" s="20" t="str">
        <f>LEFT(packes[[#This Row],[date]],4)</f>
        <v>1404</v>
      </c>
    </row>
    <row r="840" spans="1:17" ht="16.5" x14ac:dyDescent="0.25">
      <c r="A840" s="23">
        <v>837</v>
      </c>
      <c r="B840" s="30" t="s">
        <v>736</v>
      </c>
      <c r="C840" s="23">
        <v>140530039</v>
      </c>
      <c r="D840" s="23">
        <v>2400</v>
      </c>
      <c r="E840" s="27">
        <f>_xlfn.XLOOKUP(packes[[#This Row],[productId]],bom[Id],bom[wgt])</f>
        <v>1.1274069639828395</v>
      </c>
      <c r="F840" s="27">
        <f>packes[[#This Row],[num]]*packes[[#This Row],[wtg]]</f>
        <v>2705.7767135588147</v>
      </c>
      <c r="G840" s="357">
        <v>3</v>
      </c>
      <c r="H840" s="21">
        <f>packes[[#This Row],[num]]-SUM(packes[[#This Row],[num2]])</f>
        <v>2400</v>
      </c>
      <c r="I840" s="357"/>
      <c r="J840" s="21"/>
      <c r="K840" s="323"/>
      <c r="M840" s="27">
        <f>_xlfn.XLOOKUP(packes[[#This Row],[productId]],CT[productId],CT[total],"NA")</f>
        <v>41.13</v>
      </c>
      <c r="N840" s="23" t="str">
        <f>_xlfn.XLOOKUP(packes[[#This Row],[productId]],bom[Id],bom[ph],"NA")</f>
        <v>radio</v>
      </c>
      <c r="O840" s="23" t="str">
        <f>_xlfn.XLOOKUP(packes[[#This Row],[productId]],bom[Id],bom[erth],"NA")</f>
        <v>-</v>
      </c>
      <c r="P840" s="23" t="str">
        <f>_xlfn.XLOOKUP(packes[[#This Row],[productId]],bom[Id],bom[dbl],"NA")</f>
        <v>-</v>
      </c>
      <c r="Q840" s="20" t="str">
        <f>LEFT(packes[[#This Row],[date]],4)</f>
        <v>1404</v>
      </c>
    </row>
    <row r="841" spans="1:17" ht="16.5" x14ac:dyDescent="0.25">
      <c r="A841" s="23">
        <v>838</v>
      </c>
      <c r="B841" s="30" t="s">
        <v>737</v>
      </c>
      <c r="C841" s="23">
        <v>140010117</v>
      </c>
      <c r="D841" s="23">
        <v>300</v>
      </c>
      <c r="E841" s="27">
        <f>_xlfn.XLOOKUP(packes[[#This Row],[productId]],bom[Id],bom[wgt])</f>
        <v>1</v>
      </c>
      <c r="F841" s="27">
        <f>packes[[#This Row],[num]]*packes[[#This Row],[wtg]]</f>
        <v>300</v>
      </c>
      <c r="G841" s="357">
        <v>3</v>
      </c>
      <c r="H841" s="21">
        <f>packes[[#This Row],[num]]-SUM(packes[[#This Row],[num2]])</f>
        <v>300</v>
      </c>
      <c r="I841" s="357"/>
      <c r="J841" s="21"/>
      <c r="K841" s="323"/>
      <c r="M841" s="27">
        <f>_xlfn.XLOOKUP(packes[[#This Row],[productId]],CT[productId],CT[total],"NA")</f>
        <v>98.295000000000016</v>
      </c>
      <c r="N841" s="23" t="str">
        <f>_xlfn.XLOOKUP(packes[[#This Row],[productId]],bom[Id],bom[ph],"NA")</f>
        <v>nar.p</v>
      </c>
      <c r="O841" s="23" t="str">
        <f>_xlfn.XLOOKUP(packes[[#This Row],[productId]],bom[Id],bom[erth],"NA")</f>
        <v>-</v>
      </c>
      <c r="P841" s="23" t="str">
        <f>_xlfn.XLOOKUP(packes[[#This Row],[productId]],bom[Id],bom[dbl],"NA")</f>
        <v>nar.p</v>
      </c>
      <c r="Q841" s="20" t="str">
        <f>LEFT(packes[[#This Row],[date]],4)</f>
        <v>1404</v>
      </c>
    </row>
    <row r="842" spans="1:17" ht="16.5" x14ac:dyDescent="0.25">
      <c r="A842" s="23">
        <v>839</v>
      </c>
      <c r="B842" s="30" t="s">
        <v>737</v>
      </c>
      <c r="C842" s="23">
        <v>140010230</v>
      </c>
      <c r="D842" s="23">
        <v>450</v>
      </c>
      <c r="E842" s="27">
        <f>_xlfn.XLOOKUP(packes[[#This Row],[productId]],bom[Id],bom[wgt])</f>
        <v>1.4486680634540554</v>
      </c>
      <c r="F842" s="27">
        <f>packes[[#This Row],[num]]*packes[[#This Row],[wtg]]</f>
        <v>651.90062855432495</v>
      </c>
      <c r="G842" s="357">
        <v>3</v>
      </c>
      <c r="H842" s="21">
        <f>packes[[#This Row],[num]]-SUM(packes[[#This Row],[num2]])</f>
        <v>450</v>
      </c>
      <c r="I842" s="357"/>
      <c r="J842" s="21"/>
      <c r="K842" s="323"/>
      <c r="M842" s="27">
        <f>_xlfn.XLOOKUP(packes[[#This Row],[productId]],CT[productId],CT[total],"NA")</f>
        <v>147.595</v>
      </c>
      <c r="N842" s="23" t="str">
        <f>_xlfn.XLOOKUP(packes[[#This Row],[productId]],bom[Id],bom[ph],"NA")</f>
        <v>nar.p</v>
      </c>
      <c r="O842" s="23" t="str">
        <f>_xlfn.XLOOKUP(packes[[#This Row],[productId]],bom[Id],bom[erth],"NA")</f>
        <v>-</v>
      </c>
      <c r="P842" s="23" t="str">
        <f>_xlfn.XLOOKUP(packes[[#This Row],[productId]],bom[Id],bom[dbl],"NA")</f>
        <v>nar.p</v>
      </c>
      <c r="Q842" s="20" t="str">
        <f>LEFT(packes[[#This Row],[date]],4)</f>
        <v>1404</v>
      </c>
    </row>
    <row r="843" spans="1:17" ht="16.5" x14ac:dyDescent="0.25">
      <c r="A843" s="23">
        <v>840</v>
      </c>
      <c r="B843" s="30" t="s">
        <v>737</v>
      </c>
      <c r="C843" s="23">
        <v>140030039</v>
      </c>
      <c r="D843" s="23">
        <v>1700</v>
      </c>
      <c r="E843" s="27">
        <f>_xlfn.XLOOKUP(packes[[#This Row],[productId]],bom[Id],bom[wgt])</f>
        <v>1.1413748378728923</v>
      </c>
      <c r="F843" s="27">
        <f>packes[[#This Row],[num]]*packes[[#This Row],[wtg]]</f>
        <v>1940.3372243839169</v>
      </c>
      <c r="G843" s="357">
        <v>3</v>
      </c>
      <c r="H843" s="21">
        <f>packes[[#This Row],[num]]-SUM(packes[[#This Row],[num2]])</f>
        <v>1700</v>
      </c>
      <c r="I843" s="357"/>
      <c r="J843" s="21"/>
      <c r="K843" s="323"/>
      <c r="M843" s="27">
        <f>_xlfn.XLOOKUP(packes[[#This Row],[productId]],CT[productId],CT[total],"NA")</f>
        <v>92.504999999999995</v>
      </c>
      <c r="N843" s="23" t="str">
        <f>_xlfn.XLOOKUP(packes[[#This Row],[productId]],bom[Id],bom[ph],"NA")</f>
        <v>YH</v>
      </c>
      <c r="O843" s="23" t="str">
        <f>_xlfn.XLOOKUP(packes[[#This Row],[productId]],bom[Id],bom[erth],"NA")</f>
        <v>sun</v>
      </c>
      <c r="P843" s="23" t="str">
        <f>_xlfn.XLOOKUP(packes[[#This Row],[productId]],bom[Id],bom[dbl],"NA")</f>
        <v>-</v>
      </c>
      <c r="Q843" s="20" t="str">
        <f>LEFT(packes[[#This Row],[date]],4)</f>
        <v>1404</v>
      </c>
    </row>
    <row r="844" spans="1:17" ht="16.5" x14ac:dyDescent="0.25">
      <c r="A844" s="23">
        <v>841</v>
      </c>
      <c r="B844" s="30" t="s">
        <v>737</v>
      </c>
      <c r="C844" s="23">
        <v>140030040</v>
      </c>
      <c r="D844" s="23">
        <v>200</v>
      </c>
      <c r="E844" s="27">
        <f>_xlfn.XLOOKUP(packes[[#This Row],[productId]],bom[Id],bom[wgt])</f>
        <v>1.1092487279257708</v>
      </c>
      <c r="F844" s="27">
        <f>packes[[#This Row],[num]]*packes[[#This Row],[wtg]]</f>
        <v>221.84974558515415</v>
      </c>
      <c r="G844" s="357">
        <v>3</v>
      </c>
      <c r="H844" s="21">
        <f>packes[[#This Row],[num]]-SUM(packes[[#This Row],[num2]])</f>
        <v>200</v>
      </c>
      <c r="I844" s="357"/>
      <c r="J844" s="21"/>
      <c r="K844" s="323"/>
      <c r="M844" s="27">
        <f>_xlfn.XLOOKUP(packes[[#This Row],[productId]],CT[productId],CT[total],"NA")</f>
        <v>97.305000000000007</v>
      </c>
      <c r="N844" s="23" t="str">
        <f>_xlfn.XLOOKUP(packes[[#This Row],[productId]],bom[Id],bom[ph],"NA")</f>
        <v>YH</v>
      </c>
      <c r="O844" s="23" t="str">
        <f>_xlfn.XLOOKUP(packes[[#This Row],[productId]],bom[Id],bom[erth],"NA")</f>
        <v>sun</v>
      </c>
      <c r="P844" s="23" t="str">
        <f>_xlfn.XLOOKUP(packes[[#This Row],[productId]],bom[Id],bom[dbl],"NA")</f>
        <v>-</v>
      </c>
      <c r="Q844" s="20" t="str">
        <f>LEFT(packes[[#This Row],[date]],4)</f>
        <v>1404</v>
      </c>
    </row>
    <row r="845" spans="1:17" ht="16.5" x14ac:dyDescent="0.25">
      <c r="A845" s="23">
        <v>842</v>
      </c>
      <c r="B845" s="30" t="s">
        <v>737</v>
      </c>
      <c r="C845" s="23">
        <v>140310071</v>
      </c>
      <c r="D845" s="23">
        <v>1800</v>
      </c>
      <c r="E845" s="27">
        <f>_xlfn.XLOOKUP(packes[[#This Row],[productId]],bom[Id],bom[wgt])</f>
        <v>1.3</v>
      </c>
      <c r="F845" s="27">
        <f>packes[[#This Row],[num]]*packes[[#This Row],[wtg]]</f>
        <v>2340</v>
      </c>
      <c r="G845" s="357">
        <v>3</v>
      </c>
      <c r="H845" s="21">
        <f>packes[[#This Row],[num]]-SUM(packes[[#This Row],[num2]])</f>
        <v>1800</v>
      </c>
      <c r="I845" s="357"/>
      <c r="J845" s="21"/>
      <c r="K845" s="323"/>
      <c r="M845" s="27">
        <f>_xlfn.XLOOKUP(packes[[#This Row],[productId]],CT[productId],CT[total],"NA")</f>
        <v>130.69500000000002</v>
      </c>
      <c r="N845" s="23" t="str">
        <f>_xlfn.XLOOKUP(packes[[#This Row],[productId]],bom[Id],bom[ph],"NA")</f>
        <v>6.3ch</v>
      </c>
      <c r="O845" s="23" t="str">
        <f>_xlfn.XLOOKUP(packes[[#This Row],[productId]],bom[Id],bom[erth],"NA")</f>
        <v>6.3k</v>
      </c>
      <c r="P845" s="23" t="str">
        <f>_xlfn.XLOOKUP(packes[[#This Row],[productId]],bom[Id],bom[dbl],"NA")</f>
        <v>-</v>
      </c>
      <c r="Q845" s="20" t="str">
        <f>LEFT(packes[[#This Row],[date]],4)</f>
        <v>1404</v>
      </c>
    </row>
    <row r="846" spans="1:17" ht="16.5" x14ac:dyDescent="0.25">
      <c r="A846" s="23">
        <v>843</v>
      </c>
      <c r="B846" s="30" t="s">
        <v>737</v>
      </c>
      <c r="C846" s="23">
        <v>140310083</v>
      </c>
      <c r="D846" s="23">
        <v>1600</v>
      </c>
      <c r="E846" s="27">
        <f>_xlfn.XLOOKUP(packes[[#This Row],[productId]],bom[Id],bom[wgt])</f>
        <v>1.3369250723336326</v>
      </c>
      <c r="F846" s="27">
        <f>packes[[#This Row],[num]]*packes[[#This Row],[wtg]]</f>
        <v>2139.0801157338119</v>
      </c>
      <c r="G846" s="357">
        <v>3</v>
      </c>
      <c r="H846" s="21">
        <f>packes[[#This Row],[num]]-SUM(packes[[#This Row],[num2]])</f>
        <v>1600</v>
      </c>
      <c r="I846" s="357"/>
      <c r="J846" s="21"/>
      <c r="K846" s="323"/>
      <c r="M846" s="27">
        <f>_xlfn.XLOOKUP(packes[[#This Row],[productId]],CT[productId],CT[total],"NA")</f>
        <v>135.23500000000001</v>
      </c>
      <c r="N846" s="23" t="str">
        <f>_xlfn.XLOOKUP(packes[[#This Row],[productId]],bom[Id],bom[ph],"NA")</f>
        <v>6.3flat</v>
      </c>
      <c r="O846" s="23" t="str">
        <f>_xlfn.XLOOKUP(packes[[#This Row],[productId]],bom[Id],bom[erth],"NA")</f>
        <v>6.3flat</v>
      </c>
      <c r="P846" s="23" t="str">
        <f>_xlfn.XLOOKUP(packes[[#This Row],[productId]],bom[Id],bom[dbl],"NA")</f>
        <v>-</v>
      </c>
      <c r="Q846" s="20" t="str">
        <f>LEFT(packes[[#This Row],[date]],4)</f>
        <v>1404</v>
      </c>
    </row>
    <row r="847" spans="1:17" ht="16.5" x14ac:dyDescent="0.25">
      <c r="A847" s="23">
        <v>844</v>
      </c>
      <c r="B847" s="30" t="s">
        <v>737</v>
      </c>
      <c r="C847" s="23">
        <v>140640007</v>
      </c>
      <c r="D847" s="23">
        <v>800</v>
      </c>
      <c r="E847" s="27">
        <f>_xlfn.XLOOKUP(packes[[#This Row],[productId]],bom[Id],bom[wgt])</f>
        <v>1.1413748378728923</v>
      </c>
      <c r="F847" s="27">
        <f>packes[[#This Row],[num]]*packes[[#This Row],[wtg]]</f>
        <v>913.09987029831382</v>
      </c>
      <c r="G847" s="357">
        <v>2</v>
      </c>
      <c r="H847" s="21">
        <f>packes[[#This Row],[num]]-SUM(packes[[#This Row],[num2]])</f>
        <v>800</v>
      </c>
      <c r="I847" s="357"/>
      <c r="J847" s="21"/>
      <c r="K847" s="323"/>
      <c r="M847" s="27">
        <f>_xlfn.XLOOKUP(packes[[#This Row],[productId]],CT[productId],CT[total],"NA")</f>
        <v>77.11999999999999</v>
      </c>
      <c r="N847" s="23" t="str">
        <f>_xlfn.XLOOKUP(packes[[#This Row],[productId]],bom[Id],bom[ph],"NA")</f>
        <v>molex</v>
      </c>
      <c r="O847" s="23" t="str">
        <f>_xlfn.XLOOKUP(packes[[#This Row],[productId]],bom[Id],bom[erth],"NA")</f>
        <v>sun</v>
      </c>
      <c r="P847" s="23">
        <f>_xlfn.XLOOKUP(packes[[#This Row],[productId]],bom[Id],bom[dbl],"NA")</f>
        <v>0</v>
      </c>
      <c r="Q847" s="20" t="str">
        <f>LEFT(packes[[#This Row],[date]],4)</f>
        <v>1404</v>
      </c>
    </row>
    <row r="848" spans="1:17" ht="16.5" x14ac:dyDescent="0.25">
      <c r="A848" s="23">
        <v>845</v>
      </c>
      <c r="B848" s="30" t="s">
        <v>737</v>
      </c>
      <c r="C848" s="23">
        <v>140530039</v>
      </c>
      <c r="D848" s="23">
        <v>2400</v>
      </c>
      <c r="E848" s="27">
        <f>_xlfn.XLOOKUP(packes[[#This Row],[productId]],bom[Id],bom[wgt])</f>
        <v>1.1274069639828395</v>
      </c>
      <c r="F848" s="27">
        <f>packes[[#This Row],[num]]*packes[[#This Row],[wtg]]</f>
        <v>2705.7767135588147</v>
      </c>
      <c r="G848" s="357">
        <v>3</v>
      </c>
      <c r="H848" s="21">
        <f>packes[[#This Row],[num]]-SUM(packes[[#This Row],[num2]])</f>
        <v>2400</v>
      </c>
      <c r="I848" s="357"/>
      <c r="J848" s="21"/>
      <c r="K848" s="323"/>
      <c r="M848" s="27">
        <f>_xlfn.XLOOKUP(packes[[#This Row],[productId]],CT[productId],CT[total],"NA")</f>
        <v>41.13</v>
      </c>
      <c r="N848" s="23" t="str">
        <f>_xlfn.XLOOKUP(packes[[#This Row],[productId]],bom[Id],bom[ph],"NA")</f>
        <v>radio</v>
      </c>
      <c r="O848" s="23" t="str">
        <f>_xlfn.XLOOKUP(packes[[#This Row],[productId]],bom[Id],bom[erth],"NA")</f>
        <v>-</v>
      </c>
      <c r="P848" s="23" t="str">
        <f>_xlfn.XLOOKUP(packes[[#This Row],[productId]],bom[Id],bom[dbl],"NA")</f>
        <v>-</v>
      </c>
      <c r="Q848" s="20" t="str">
        <f>LEFT(packes[[#This Row],[date]],4)</f>
        <v>1404</v>
      </c>
    </row>
    <row r="849" spans="1:17" ht="16.5" x14ac:dyDescent="0.25">
      <c r="A849" s="23">
        <v>846</v>
      </c>
      <c r="B849" s="30" t="s">
        <v>738</v>
      </c>
      <c r="C849" s="23">
        <v>140010117</v>
      </c>
      <c r="D849" s="23">
        <v>1200</v>
      </c>
      <c r="E849" s="27">
        <f>_xlfn.XLOOKUP(packes[[#This Row],[productId]],bom[Id],bom[wgt])</f>
        <v>1</v>
      </c>
      <c r="F849" s="27">
        <f>packes[[#This Row],[num]]*packes[[#This Row],[wtg]]</f>
        <v>1200</v>
      </c>
      <c r="G849" s="357">
        <v>3</v>
      </c>
      <c r="H849" s="21">
        <f>packes[[#This Row],[num]]-SUM(packes[[#This Row],[num2]])</f>
        <v>1200</v>
      </c>
      <c r="I849" s="357"/>
      <c r="J849" s="21"/>
      <c r="K849" s="323"/>
      <c r="M849" s="27">
        <f>_xlfn.XLOOKUP(packes[[#This Row],[productId]],CT[productId],CT[total],"NA")</f>
        <v>98.295000000000016</v>
      </c>
      <c r="N849" s="23" t="str">
        <f>_xlfn.XLOOKUP(packes[[#This Row],[productId]],bom[Id],bom[ph],"NA")</f>
        <v>nar.p</v>
      </c>
      <c r="O849" s="23" t="str">
        <f>_xlfn.XLOOKUP(packes[[#This Row],[productId]],bom[Id],bom[erth],"NA")</f>
        <v>-</v>
      </c>
      <c r="P849" s="23" t="str">
        <f>_xlfn.XLOOKUP(packes[[#This Row],[productId]],bom[Id],bom[dbl],"NA")</f>
        <v>nar.p</v>
      </c>
      <c r="Q849" s="20" t="str">
        <f>LEFT(packes[[#This Row],[date]],4)</f>
        <v>1404</v>
      </c>
    </row>
    <row r="850" spans="1:17" ht="16.5" x14ac:dyDescent="0.25">
      <c r="A850" s="23">
        <v>847</v>
      </c>
      <c r="B850" s="30" t="s">
        <v>738</v>
      </c>
      <c r="C850" s="23">
        <v>140020181</v>
      </c>
      <c r="D850" s="23">
        <v>100</v>
      </c>
      <c r="E850" s="27">
        <f>_xlfn.XLOOKUP(packes[[#This Row],[productId]],bom[Id],bom[wgt])</f>
        <v>1.2670857028833682</v>
      </c>
      <c r="F850" s="27">
        <f>packes[[#This Row],[num]]*packes[[#This Row],[wtg]]</f>
        <v>126.70857028833682</v>
      </c>
      <c r="G850" s="357">
        <v>3</v>
      </c>
      <c r="H850" s="21">
        <f>packes[[#This Row],[num]]-SUM(packes[[#This Row],[num2]])</f>
        <v>100</v>
      </c>
      <c r="I850" s="357"/>
      <c r="J850" s="21"/>
      <c r="K850" s="323"/>
      <c r="M850" s="27">
        <f>_xlfn.XLOOKUP(packes[[#This Row],[productId]],CT[productId],CT[total],"NA")</f>
        <v>88.929999999999993</v>
      </c>
      <c r="N850" s="23" t="str">
        <f>_xlfn.XLOOKUP(packes[[#This Row],[productId]],bom[Id],bom[ph],"NA")</f>
        <v>VH</v>
      </c>
      <c r="O850" s="23" t="str">
        <f>_xlfn.XLOOKUP(packes[[#This Row],[productId]],bom[Id],bom[erth],"NA")</f>
        <v>nut4</v>
      </c>
      <c r="P850" s="23" t="str">
        <f>_xlfn.XLOOKUP(packes[[#This Row],[productId]],bom[Id],bom[dbl],"NA")</f>
        <v>-</v>
      </c>
      <c r="Q850" s="20" t="str">
        <f>LEFT(packes[[#This Row],[date]],4)</f>
        <v>1404</v>
      </c>
    </row>
    <row r="851" spans="1:17" s="23" customFormat="1" ht="16.5" x14ac:dyDescent="0.25">
      <c r="A851" s="23">
        <v>848</v>
      </c>
      <c r="B851" s="30" t="s">
        <v>738</v>
      </c>
      <c r="C851" s="23">
        <v>140030039</v>
      </c>
      <c r="D851" s="23">
        <v>400</v>
      </c>
      <c r="E851" s="27">
        <f>_xlfn.XLOOKUP(packes[[#This Row],[productId]],bom[Id],bom[wgt])</f>
        <v>1.1413748378728923</v>
      </c>
      <c r="F851" s="27">
        <f>packes[[#This Row],[num]]*packes[[#This Row],[wtg]]</f>
        <v>456.54993514915691</v>
      </c>
      <c r="G851" s="357">
        <v>3</v>
      </c>
      <c r="H851" s="21">
        <f>packes[[#This Row],[num]]-SUM(packes[[#This Row],[num2]])</f>
        <v>400</v>
      </c>
      <c r="I851" s="357"/>
      <c r="J851" s="21"/>
      <c r="K851" s="323"/>
      <c r="M851" s="27">
        <f>_xlfn.XLOOKUP(packes[[#This Row],[productId]],CT[productId],CT[total],"NA")</f>
        <v>92.504999999999995</v>
      </c>
      <c r="N851" s="23" t="str">
        <f>_xlfn.XLOOKUP(packes[[#This Row],[productId]],bom[Id],bom[ph],"NA")</f>
        <v>YH</v>
      </c>
      <c r="O851" s="23" t="str">
        <f>_xlfn.XLOOKUP(packes[[#This Row],[productId]],bom[Id],bom[erth],"NA")</f>
        <v>sun</v>
      </c>
      <c r="P851" s="23" t="str">
        <f>_xlfn.XLOOKUP(packes[[#This Row],[productId]],bom[Id],bom[dbl],"NA")</f>
        <v>-</v>
      </c>
      <c r="Q851" s="20" t="str">
        <f>LEFT(packes[[#This Row],[date]],4)</f>
        <v>1404</v>
      </c>
    </row>
    <row r="852" spans="1:17" ht="16.5" x14ac:dyDescent="0.25">
      <c r="A852" s="23">
        <v>849</v>
      </c>
      <c r="B852" s="30" t="s">
        <v>738</v>
      </c>
      <c r="C852" s="23">
        <v>140030040</v>
      </c>
      <c r="D852" s="23">
        <v>600</v>
      </c>
      <c r="E852" s="27">
        <f>_xlfn.XLOOKUP(packes[[#This Row],[productId]],bom[Id],bom[wgt])</f>
        <v>1.1092487279257708</v>
      </c>
      <c r="F852" s="27">
        <f>packes[[#This Row],[num]]*packes[[#This Row],[wtg]]</f>
        <v>665.54923675546252</v>
      </c>
      <c r="G852" s="357">
        <v>3</v>
      </c>
      <c r="H852" s="21">
        <f>packes[[#This Row],[num]]-SUM(packes[[#This Row],[num2]])</f>
        <v>600</v>
      </c>
      <c r="I852" s="357"/>
      <c r="J852" s="21"/>
      <c r="K852" s="323"/>
      <c r="M852" s="27">
        <f>_xlfn.XLOOKUP(packes[[#This Row],[productId]],CT[productId],CT[total],"NA")</f>
        <v>97.305000000000007</v>
      </c>
      <c r="N852" s="23" t="str">
        <f>_xlfn.XLOOKUP(packes[[#This Row],[productId]],bom[Id],bom[ph],"NA")</f>
        <v>YH</v>
      </c>
      <c r="O852" s="23" t="str">
        <f>_xlfn.XLOOKUP(packes[[#This Row],[productId]],bom[Id],bom[erth],"NA")</f>
        <v>sun</v>
      </c>
      <c r="P852" s="23" t="str">
        <f>_xlfn.XLOOKUP(packes[[#This Row],[productId]],bom[Id],bom[dbl],"NA")</f>
        <v>-</v>
      </c>
      <c r="Q852" s="20" t="str">
        <f>LEFT(packes[[#This Row],[date]],4)</f>
        <v>1404</v>
      </c>
    </row>
    <row r="853" spans="1:17" ht="16.5" x14ac:dyDescent="0.25">
      <c r="A853" s="23">
        <v>850</v>
      </c>
      <c r="B853" s="30" t="s">
        <v>738</v>
      </c>
      <c r="C853" s="23">
        <v>140310071</v>
      </c>
      <c r="D853" s="23">
        <v>1550</v>
      </c>
      <c r="E853" s="27">
        <f>_xlfn.XLOOKUP(packes[[#This Row],[productId]],bom[Id],bom[wgt])</f>
        <v>1.3</v>
      </c>
      <c r="F853" s="27">
        <f>packes[[#This Row],[num]]*packes[[#This Row],[wtg]]</f>
        <v>2015</v>
      </c>
      <c r="G853" s="357">
        <v>3</v>
      </c>
      <c r="H853" s="21">
        <f>packes[[#This Row],[num]]-SUM(packes[[#This Row],[num2]])</f>
        <v>1550</v>
      </c>
      <c r="I853" s="357"/>
      <c r="J853" s="21"/>
      <c r="K853" s="323"/>
      <c r="M853" s="27">
        <f>_xlfn.XLOOKUP(packes[[#This Row],[productId]],CT[productId],CT[total],"NA")</f>
        <v>130.69500000000002</v>
      </c>
      <c r="N853" s="23" t="str">
        <f>_xlfn.XLOOKUP(packes[[#This Row],[productId]],bom[Id],bom[ph],"NA")</f>
        <v>6.3ch</v>
      </c>
      <c r="O853" s="23" t="str">
        <f>_xlfn.XLOOKUP(packes[[#This Row],[productId]],bom[Id],bom[erth],"NA")</f>
        <v>6.3k</v>
      </c>
      <c r="P853" s="23" t="str">
        <f>_xlfn.XLOOKUP(packes[[#This Row],[productId]],bom[Id],bom[dbl],"NA")</f>
        <v>-</v>
      </c>
      <c r="Q853" s="20" t="str">
        <f>LEFT(packes[[#This Row],[date]],4)</f>
        <v>1404</v>
      </c>
    </row>
    <row r="854" spans="1:17" ht="16.5" x14ac:dyDescent="0.25">
      <c r="A854" s="23">
        <v>851</v>
      </c>
      <c r="B854" s="30" t="s">
        <v>738</v>
      </c>
      <c r="C854" s="23">
        <v>140310083</v>
      </c>
      <c r="D854" s="23">
        <v>2200</v>
      </c>
      <c r="E854" s="27">
        <f>_xlfn.XLOOKUP(packes[[#This Row],[productId]],bom[Id],bom[wgt])</f>
        <v>1.3369250723336326</v>
      </c>
      <c r="F854" s="27">
        <f>packes[[#This Row],[num]]*packes[[#This Row],[wtg]]</f>
        <v>2941.2351591339916</v>
      </c>
      <c r="G854" s="357">
        <v>3</v>
      </c>
      <c r="H854" s="21">
        <f>packes[[#This Row],[num]]-SUM(packes[[#This Row],[num2]])</f>
        <v>2200</v>
      </c>
      <c r="I854" s="357"/>
      <c r="J854" s="21"/>
      <c r="K854" s="323"/>
      <c r="M854" s="27">
        <f>_xlfn.XLOOKUP(packes[[#This Row],[productId]],CT[productId],CT[total],"NA")</f>
        <v>135.23500000000001</v>
      </c>
      <c r="N854" s="23" t="str">
        <f>_xlfn.XLOOKUP(packes[[#This Row],[productId]],bom[Id],bom[ph],"NA")</f>
        <v>6.3flat</v>
      </c>
      <c r="O854" s="23" t="str">
        <f>_xlfn.XLOOKUP(packes[[#This Row],[productId]],bom[Id],bom[erth],"NA")</f>
        <v>6.3flat</v>
      </c>
      <c r="P854" s="23" t="str">
        <f>_xlfn.XLOOKUP(packes[[#This Row],[productId]],bom[Id],bom[dbl],"NA")</f>
        <v>-</v>
      </c>
      <c r="Q854" s="20" t="str">
        <f>LEFT(packes[[#This Row],[date]],4)</f>
        <v>1404</v>
      </c>
    </row>
    <row r="855" spans="1:17" ht="16.5" x14ac:dyDescent="0.25">
      <c r="A855" s="23">
        <v>852</v>
      </c>
      <c r="B855" s="30" t="s">
        <v>738</v>
      </c>
      <c r="C855" s="23">
        <v>140450027</v>
      </c>
      <c r="D855" s="23">
        <v>49</v>
      </c>
      <c r="E855" s="27">
        <f>_xlfn.XLOOKUP(packes[[#This Row],[productId]],bom[Id],bom[wgt])</f>
        <v>1.5264890751272073</v>
      </c>
      <c r="F855" s="27">
        <f>packes[[#This Row],[num]]*packes[[#This Row],[wtg]]</f>
        <v>74.797964681233154</v>
      </c>
      <c r="G855" s="357">
        <v>11</v>
      </c>
      <c r="H855" s="21">
        <f>packes[[#This Row],[num]]-SUM(packes[[#This Row],[num2]])</f>
        <v>49</v>
      </c>
      <c r="I855" s="357"/>
      <c r="J855" s="21"/>
      <c r="K855" s="323"/>
      <c r="M855" s="27">
        <f>_xlfn.XLOOKUP(packes[[#This Row],[productId]],CT[productId],CT[total],"NA")</f>
        <v>103.66</v>
      </c>
      <c r="N855" s="23" t="str">
        <f>_xlfn.XLOOKUP(packes[[#This Row],[productId]],bom[Id],bom[ph],"NA")</f>
        <v>VH</v>
      </c>
      <c r="O855" s="23" t="str">
        <f>_xlfn.XLOOKUP(packes[[#This Row],[productId]],bom[Id],bom[erth],"NA")</f>
        <v>nut4</v>
      </c>
      <c r="P855" s="23">
        <f>_xlfn.XLOOKUP(packes[[#This Row],[productId]],bom[Id],bom[dbl],"NA")</f>
        <v>0</v>
      </c>
      <c r="Q855" s="20" t="str">
        <f>LEFT(packes[[#This Row],[date]],4)</f>
        <v>1404</v>
      </c>
    </row>
    <row r="856" spans="1:17" ht="16.5" x14ac:dyDescent="0.25">
      <c r="A856" s="23">
        <v>853</v>
      </c>
      <c r="B856" s="30" t="s">
        <v>738</v>
      </c>
      <c r="C856" s="23">
        <v>140450035</v>
      </c>
      <c r="D856" s="23">
        <v>64</v>
      </c>
      <c r="E856" s="27">
        <f>_xlfn.XLOOKUP(packes[[#This Row],[productId]],bom[Id],bom[wgt])</f>
        <v>1.6761448668063454</v>
      </c>
      <c r="F856" s="27">
        <f>packes[[#This Row],[num]]*packes[[#This Row],[wtg]]</f>
        <v>107.27327147560611</v>
      </c>
      <c r="G856" s="357">
        <v>11</v>
      </c>
      <c r="H856" s="21">
        <f>packes[[#This Row],[num]]-SUM(packes[[#This Row],[num2]])</f>
        <v>64</v>
      </c>
      <c r="I856" s="357"/>
      <c r="J856" s="21"/>
      <c r="K856" s="323"/>
      <c r="M856" s="27" t="str">
        <f>_xlfn.XLOOKUP(packes[[#This Row],[productId]],CT[productId],CT[total],"NA")</f>
        <v>NA</v>
      </c>
      <c r="N856" s="23" t="str">
        <f>_xlfn.XLOOKUP(packes[[#This Row],[productId]],bom[Id],bom[ph],"NA")</f>
        <v>hcb</v>
      </c>
      <c r="O856" s="23" t="str">
        <f>_xlfn.XLOOKUP(packes[[#This Row],[productId]],bom[Id],bom[erth],"NA")</f>
        <v>nut4</v>
      </c>
      <c r="P856" s="23">
        <f>_xlfn.XLOOKUP(packes[[#This Row],[productId]],bom[Id],bom[dbl],"NA")</f>
        <v>0</v>
      </c>
      <c r="Q856" s="20" t="str">
        <f>LEFT(packes[[#This Row],[date]],4)</f>
        <v>1404</v>
      </c>
    </row>
    <row r="857" spans="1:17" ht="16.5" x14ac:dyDescent="0.25">
      <c r="A857" s="23">
        <v>854</v>
      </c>
      <c r="B857" s="30" t="s">
        <v>738</v>
      </c>
      <c r="C857" s="23">
        <v>140640007</v>
      </c>
      <c r="D857" s="23">
        <v>1400</v>
      </c>
      <c r="E857" s="27">
        <f>_xlfn.XLOOKUP(packes[[#This Row],[productId]],bom[Id],bom[wgt])</f>
        <v>1.1413748378728923</v>
      </c>
      <c r="F857" s="27">
        <f>packes[[#This Row],[num]]*packes[[#This Row],[wtg]]</f>
        <v>1597.9247730220493</v>
      </c>
      <c r="G857" s="357">
        <v>2</v>
      </c>
      <c r="H857" s="21">
        <f>packes[[#This Row],[num]]-SUM(packes[[#This Row],[num2]])</f>
        <v>1400</v>
      </c>
      <c r="I857" s="357"/>
      <c r="J857" s="21"/>
      <c r="K857" s="323"/>
      <c r="M857" s="27">
        <f>_xlfn.XLOOKUP(packes[[#This Row],[productId]],CT[productId],CT[total],"NA")</f>
        <v>77.11999999999999</v>
      </c>
      <c r="N857" s="23" t="str">
        <f>_xlfn.XLOOKUP(packes[[#This Row],[productId]],bom[Id],bom[ph],"NA")</f>
        <v>molex</v>
      </c>
      <c r="O857" s="23" t="str">
        <f>_xlfn.XLOOKUP(packes[[#This Row],[productId]],bom[Id],bom[erth],"NA")</f>
        <v>sun</v>
      </c>
      <c r="P857" s="23">
        <f>_xlfn.XLOOKUP(packes[[#This Row],[productId]],bom[Id],bom[dbl],"NA")</f>
        <v>0</v>
      </c>
      <c r="Q857" s="20" t="str">
        <f>LEFT(packes[[#This Row],[date]],4)</f>
        <v>1404</v>
      </c>
    </row>
    <row r="858" spans="1:17" ht="16.5" x14ac:dyDescent="0.25">
      <c r="A858" s="23">
        <v>855</v>
      </c>
      <c r="B858" s="30" t="s">
        <v>738</v>
      </c>
      <c r="C858" s="23">
        <v>140530039</v>
      </c>
      <c r="D858" s="23">
        <v>2100</v>
      </c>
      <c r="E858" s="27">
        <f>_xlfn.XLOOKUP(packes[[#This Row],[productId]],bom[Id],bom[wgt])</f>
        <v>1.1274069639828395</v>
      </c>
      <c r="F858" s="27">
        <f>packes[[#This Row],[num]]*packes[[#This Row],[wtg]]</f>
        <v>2367.5546243639628</v>
      </c>
      <c r="G858" s="357">
        <v>3</v>
      </c>
      <c r="H858" s="21">
        <f>packes[[#This Row],[num]]-SUM(packes[[#This Row],[num2]])</f>
        <v>2100</v>
      </c>
      <c r="I858" s="357"/>
      <c r="J858" s="21"/>
      <c r="K858" s="323"/>
      <c r="M858" s="27">
        <f>_xlfn.XLOOKUP(packes[[#This Row],[productId]],CT[productId],CT[total],"NA")</f>
        <v>41.13</v>
      </c>
      <c r="N858" s="23" t="str">
        <f>_xlfn.XLOOKUP(packes[[#This Row],[productId]],bom[Id],bom[ph],"NA")</f>
        <v>radio</v>
      </c>
      <c r="O858" s="23" t="str">
        <f>_xlfn.XLOOKUP(packes[[#This Row],[productId]],bom[Id],bom[erth],"NA")</f>
        <v>-</v>
      </c>
      <c r="P858" s="23" t="str">
        <f>_xlfn.XLOOKUP(packes[[#This Row],[productId]],bom[Id],bom[dbl],"NA")</f>
        <v>-</v>
      </c>
      <c r="Q858" s="20" t="str">
        <f>LEFT(packes[[#This Row],[date]],4)</f>
        <v>1404</v>
      </c>
    </row>
    <row r="859" spans="1:17" ht="16.5" x14ac:dyDescent="0.25">
      <c r="A859" s="23">
        <v>856</v>
      </c>
      <c r="B859" s="30" t="s">
        <v>744</v>
      </c>
      <c r="C859" s="23">
        <v>140010117</v>
      </c>
      <c r="D859" s="23">
        <v>450</v>
      </c>
      <c r="E859" s="27">
        <f>_xlfn.XLOOKUP(packes[[#This Row],[productId]],bom[Id],bom[wgt])</f>
        <v>1</v>
      </c>
      <c r="F859" s="27">
        <f>packes[[#This Row],[num]]*packes[[#This Row],[wtg]]</f>
        <v>450</v>
      </c>
      <c r="G859" s="357">
        <v>3</v>
      </c>
      <c r="H859" s="21">
        <f>packes[[#This Row],[num]]-SUM(packes[[#This Row],[num2]])</f>
        <v>450</v>
      </c>
      <c r="I859" s="357"/>
      <c r="J859" s="21"/>
      <c r="K859" s="323"/>
      <c r="M859" s="27">
        <f>_xlfn.XLOOKUP(packes[[#This Row],[productId]],CT[productId],CT[total],"NA")</f>
        <v>98.295000000000016</v>
      </c>
      <c r="N859" s="23" t="str">
        <f>_xlfn.XLOOKUP(packes[[#This Row],[productId]],bom[Id],bom[ph],"NA")</f>
        <v>nar.p</v>
      </c>
      <c r="O859" s="23" t="str">
        <f>_xlfn.XLOOKUP(packes[[#This Row],[productId]],bom[Id],bom[erth],"NA")</f>
        <v>-</v>
      </c>
      <c r="P859" s="23" t="str">
        <f>_xlfn.XLOOKUP(packes[[#This Row],[productId]],bom[Id],bom[dbl],"NA")</f>
        <v>nar.p</v>
      </c>
      <c r="Q859" s="20" t="str">
        <f>LEFT(packes[[#This Row],[date]],4)</f>
        <v>1404</v>
      </c>
    </row>
    <row r="860" spans="1:17" ht="16.5" x14ac:dyDescent="0.25">
      <c r="A860" s="23">
        <v>857</v>
      </c>
      <c r="B860" s="30" t="s">
        <v>744</v>
      </c>
      <c r="C860" s="23">
        <v>140310083</v>
      </c>
      <c r="D860" s="23">
        <v>2500</v>
      </c>
      <c r="E860" s="27">
        <f>_xlfn.XLOOKUP(packes[[#This Row],[productId]],bom[Id],bom[wgt])</f>
        <v>1.3369250723336326</v>
      </c>
      <c r="F860" s="27">
        <f>packes[[#This Row],[num]]*packes[[#This Row],[wtg]]</f>
        <v>3342.3126808340812</v>
      </c>
      <c r="G860" s="357">
        <v>3</v>
      </c>
      <c r="H860" s="21">
        <f>packes[[#This Row],[num]]-SUM(packes[[#This Row],[num2]])</f>
        <v>2500</v>
      </c>
      <c r="I860" s="357"/>
      <c r="J860" s="21"/>
      <c r="K860" s="323"/>
      <c r="M860" s="27">
        <f>_xlfn.XLOOKUP(packes[[#This Row],[productId]],CT[productId],CT[total],"NA")</f>
        <v>135.23500000000001</v>
      </c>
      <c r="N860" s="23" t="str">
        <f>_xlfn.XLOOKUP(packes[[#This Row],[productId]],bom[Id],bom[ph],"NA")</f>
        <v>6.3flat</v>
      </c>
      <c r="O860" s="23" t="str">
        <f>_xlfn.XLOOKUP(packes[[#This Row],[productId]],bom[Id],bom[erth],"NA")</f>
        <v>6.3flat</v>
      </c>
      <c r="P860" s="23" t="str">
        <f>_xlfn.XLOOKUP(packes[[#This Row],[productId]],bom[Id],bom[dbl],"NA")</f>
        <v>-</v>
      </c>
      <c r="Q860" s="20" t="str">
        <f>LEFT(packes[[#This Row],[date]],4)</f>
        <v>1404</v>
      </c>
    </row>
    <row r="861" spans="1:17" ht="16.5" x14ac:dyDescent="0.25">
      <c r="A861" s="23">
        <v>858</v>
      </c>
      <c r="B861" s="30" t="s">
        <v>744</v>
      </c>
      <c r="C861" s="23">
        <v>140640007</v>
      </c>
      <c r="D861" s="23">
        <v>1300</v>
      </c>
      <c r="E861" s="27">
        <f>_xlfn.XLOOKUP(packes[[#This Row],[productId]],bom[Id],bom[wgt])</f>
        <v>1.1413748378728923</v>
      </c>
      <c r="F861" s="27">
        <f>packes[[#This Row],[num]]*packes[[#This Row],[wtg]]</f>
        <v>1483.78728923476</v>
      </c>
      <c r="G861" s="357">
        <v>2</v>
      </c>
      <c r="H861" s="21">
        <f>packes[[#This Row],[num]]-SUM(packes[[#This Row],[num2]])</f>
        <v>1300</v>
      </c>
      <c r="I861" s="357"/>
      <c r="J861" s="21"/>
      <c r="K861" s="323"/>
      <c r="M861" s="27">
        <f>_xlfn.XLOOKUP(packes[[#This Row],[productId]],CT[productId],CT[total],"NA")</f>
        <v>77.11999999999999</v>
      </c>
      <c r="N861" s="23" t="str">
        <f>_xlfn.XLOOKUP(packes[[#This Row],[productId]],bom[Id],bom[ph],"NA")</f>
        <v>molex</v>
      </c>
      <c r="O861" s="23" t="str">
        <f>_xlfn.XLOOKUP(packes[[#This Row],[productId]],bom[Id],bom[erth],"NA")</f>
        <v>sun</v>
      </c>
      <c r="P861" s="23">
        <f>_xlfn.XLOOKUP(packes[[#This Row],[productId]],bom[Id],bom[dbl],"NA")</f>
        <v>0</v>
      </c>
      <c r="Q861" s="20" t="str">
        <f>LEFT(packes[[#This Row],[date]],4)</f>
        <v>1404</v>
      </c>
    </row>
    <row r="862" spans="1:17" ht="16.5" x14ac:dyDescent="0.25">
      <c r="A862" s="23">
        <v>859</v>
      </c>
      <c r="B862" s="30" t="s">
        <v>744</v>
      </c>
      <c r="C862" s="23">
        <v>141320055</v>
      </c>
      <c r="D862" s="23">
        <v>2800</v>
      </c>
      <c r="E862" s="27">
        <f>_xlfn.XLOOKUP(packes[[#This Row],[productId]],bom[Id],bom[wgt])</f>
        <v>1.1274069639828395</v>
      </c>
      <c r="F862" s="27">
        <f>packes[[#This Row],[num]]*packes[[#This Row],[wtg]]</f>
        <v>3156.7394991519504</v>
      </c>
      <c r="G862" s="357">
        <v>2</v>
      </c>
      <c r="H862" s="21">
        <f>packes[[#This Row],[num]]-SUM(packes[[#This Row],[num2]])</f>
        <v>2800</v>
      </c>
      <c r="I862" s="357"/>
      <c r="J862" s="21"/>
      <c r="K862" s="323"/>
      <c r="M862" s="27">
        <f>_xlfn.XLOOKUP(packes[[#This Row],[productId]],CT[productId],CT[total],"NA")</f>
        <v>41.13</v>
      </c>
      <c r="N862" s="23">
        <f>_xlfn.XLOOKUP(packes[[#This Row],[productId]],bom[Id],bom[ph],"NA")</f>
        <v>0</v>
      </c>
      <c r="O862" s="23">
        <f>_xlfn.XLOOKUP(packes[[#This Row],[productId]],bom[Id],bom[erth],"NA")</f>
        <v>0</v>
      </c>
      <c r="P862" s="23">
        <f>_xlfn.XLOOKUP(packes[[#This Row],[productId]],bom[Id],bom[dbl],"NA")</f>
        <v>0</v>
      </c>
      <c r="Q862" s="20" t="str">
        <f>LEFT(packes[[#This Row],[date]],4)</f>
        <v>1404</v>
      </c>
    </row>
    <row r="863" spans="1:17" ht="16.5" x14ac:dyDescent="0.25">
      <c r="A863" s="23">
        <v>860</v>
      </c>
      <c r="B863" s="30" t="s">
        <v>745</v>
      </c>
      <c r="C863" s="23">
        <v>140010117</v>
      </c>
      <c r="D863" s="23">
        <v>1500</v>
      </c>
      <c r="E863" s="27">
        <f>_xlfn.XLOOKUP(packes[[#This Row],[productId]],bom[Id],bom[wgt])</f>
        <v>1</v>
      </c>
      <c r="F863" s="27">
        <f>packes[[#This Row],[num]]*packes[[#This Row],[wtg]]</f>
        <v>1500</v>
      </c>
      <c r="G863" s="357">
        <v>3</v>
      </c>
      <c r="H863" s="21">
        <f>packes[[#This Row],[num]]-SUM(packes[[#This Row],[num2]])</f>
        <v>1500</v>
      </c>
      <c r="I863" s="357"/>
      <c r="J863" s="21"/>
      <c r="K863" s="323"/>
      <c r="M863" s="27">
        <f>_xlfn.XLOOKUP(packes[[#This Row],[productId]],CT[productId],CT[total],"NA")</f>
        <v>98.295000000000016</v>
      </c>
      <c r="N863" s="23" t="str">
        <f>_xlfn.XLOOKUP(packes[[#This Row],[productId]],bom[Id],bom[ph],"NA")</f>
        <v>nar.p</v>
      </c>
      <c r="O863" s="23" t="str">
        <f>_xlfn.XLOOKUP(packes[[#This Row],[productId]],bom[Id],bom[erth],"NA")</f>
        <v>-</v>
      </c>
      <c r="P863" s="23" t="str">
        <f>_xlfn.XLOOKUP(packes[[#This Row],[productId]],bom[Id],bom[dbl],"NA")</f>
        <v>nar.p</v>
      </c>
      <c r="Q863" s="20" t="str">
        <f>LEFT(packes[[#This Row],[date]],4)</f>
        <v>1404</v>
      </c>
    </row>
    <row r="864" spans="1:17" ht="16.5" x14ac:dyDescent="0.25">
      <c r="A864" s="23">
        <v>861</v>
      </c>
      <c r="B864" s="30" t="s">
        <v>745</v>
      </c>
      <c r="C864" s="23">
        <v>140030039</v>
      </c>
      <c r="D864" s="23">
        <v>1200</v>
      </c>
      <c r="E864" s="27">
        <f>_xlfn.XLOOKUP(packes[[#This Row],[productId]],bom[Id],bom[wgt])</f>
        <v>1.1413748378728923</v>
      </c>
      <c r="F864" s="27">
        <f>packes[[#This Row],[num]]*packes[[#This Row],[wtg]]</f>
        <v>1369.6498054474707</v>
      </c>
      <c r="G864" s="357">
        <v>3</v>
      </c>
      <c r="H864" s="21">
        <f>packes[[#This Row],[num]]-SUM(packes[[#This Row],[num2]])</f>
        <v>1200</v>
      </c>
      <c r="I864" s="357"/>
      <c r="J864" s="21"/>
      <c r="K864" s="323"/>
      <c r="M864" s="27">
        <f>_xlfn.XLOOKUP(packes[[#This Row],[productId]],CT[productId],CT[total],"NA")</f>
        <v>92.504999999999995</v>
      </c>
      <c r="N864" s="23" t="str">
        <f>_xlfn.XLOOKUP(packes[[#This Row],[productId]],bom[Id],bom[ph],"NA")</f>
        <v>YH</v>
      </c>
      <c r="O864" s="23" t="str">
        <f>_xlfn.XLOOKUP(packes[[#This Row],[productId]],bom[Id],bom[erth],"NA")</f>
        <v>sun</v>
      </c>
      <c r="P864" s="23" t="str">
        <f>_xlfn.XLOOKUP(packes[[#This Row],[productId]],bom[Id],bom[dbl],"NA")</f>
        <v>-</v>
      </c>
      <c r="Q864" s="20" t="str">
        <f>LEFT(packes[[#This Row],[date]],4)</f>
        <v>1404</v>
      </c>
    </row>
    <row r="865" spans="1:17" ht="16.5" x14ac:dyDescent="0.25">
      <c r="A865" s="23">
        <v>862</v>
      </c>
      <c r="B865" s="30" t="s">
        <v>745</v>
      </c>
      <c r="C865" s="23">
        <v>140310071</v>
      </c>
      <c r="D865" s="23">
        <v>500</v>
      </c>
      <c r="E865" s="27">
        <f>_xlfn.XLOOKUP(packes[[#This Row],[productId]],bom[Id],bom[wgt])</f>
        <v>1.3</v>
      </c>
      <c r="F865" s="27">
        <f>packes[[#This Row],[num]]*packes[[#This Row],[wtg]]</f>
        <v>650</v>
      </c>
      <c r="G865" s="357">
        <v>3</v>
      </c>
      <c r="H865" s="21">
        <f>packes[[#This Row],[num]]-SUM(packes[[#This Row],[num2]])</f>
        <v>500</v>
      </c>
      <c r="I865" s="357"/>
      <c r="J865" s="21"/>
      <c r="K865" s="323"/>
      <c r="M865" s="27">
        <f>_xlfn.XLOOKUP(packes[[#This Row],[productId]],CT[productId],CT[total],"NA")</f>
        <v>130.69500000000002</v>
      </c>
      <c r="N865" s="23" t="str">
        <f>_xlfn.XLOOKUP(packes[[#This Row],[productId]],bom[Id],bom[ph],"NA")</f>
        <v>6.3ch</v>
      </c>
      <c r="O865" s="23" t="str">
        <f>_xlfn.XLOOKUP(packes[[#This Row],[productId]],bom[Id],bom[erth],"NA")</f>
        <v>6.3k</v>
      </c>
      <c r="P865" s="23" t="str">
        <f>_xlfn.XLOOKUP(packes[[#This Row],[productId]],bom[Id],bom[dbl],"NA")</f>
        <v>-</v>
      </c>
      <c r="Q865" s="20" t="str">
        <f>LEFT(packes[[#This Row],[date]],4)</f>
        <v>1404</v>
      </c>
    </row>
    <row r="866" spans="1:17" ht="16.5" x14ac:dyDescent="0.25">
      <c r="A866" s="23">
        <v>863</v>
      </c>
      <c r="B866" s="30" t="s">
        <v>745</v>
      </c>
      <c r="C866" s="23">
        <v>140310083</v>
      </c>
      <c r="D866" s="23">
        <v>1200</v>
      </c>
      <c r="E866" s="27">
        <f>_xlfn.XLOOKUP(packes[[#This Row],[productId]],bom[Id],bom[wgt])</f>
        <v>1.3369250723336326</v>
      </c>
      <c r="F866" s="27">
        <f>packes[[#This Row],[num]]*packes[[#This Row],[wtg]]</f>
        <v>1604.3100868003592</v>
      </c>
      <c r="G866" s="357">
        <v>3</v>
      </c>
      <c r="H866" s="21">
        <f>packes[[#This Row],[num]]-SUM(packes[[#This Row],[num2]])</f>
        <v>1200</v>
      </c>
      <c r="I866" s="357"/>
      <c r="J866" s="21"/>
      <c r="K866" s="323"/>
      <c r="M866" s="27">
        <f>_xlfn.XLOOKUP(packes[[#This Row],[productId]],CT[productId],CT[total],"NA")</f>
        <v>135.23500000000001</v>
      </c>
      <c r="N866" s="23" t="str">
        <f>_xlfn.XLOOKUP(packes[[#This Row],[productId]],bom[Id],bom[ph],"NA")</f>
        <v>6.3flat</v>
      </c>
      <c r="O866" s="23" t="str">
        <f>_xlfn.XLOOKUP(packes[[#This Row],[productId]],bom[Id],bom[erth],"NA")</f>
        <v>6.3flat</v>
      </c>
      <c r="P866" s="23" t="str">
        <f>_xlfn.XLOOKUP(packes[[#This Row],[productId]],bom[Id],bom[dbl],"NA")</f>
        <v>-</v>
      </c>
      <c r="Q866" s="20" t="str">
        <f>LEFT(packes[[#This Row],[date]],4)</f>
        <v>1404</v>
      </c>
    </row>
    <row r="867" spans="1:17" ht="16.5" x14ac:dyDescent="0.25">
      <c r="A867" s="23">
        <v>864</v>
      </c>
      <c r="B867" s="30" t="s">
        <v>745</v>
      </c>
      <c r="C867" s="23">
        <v>140640007</v>
      </c>
      <c r="D867" s="23">
        <v>1200</v>
      </c>
      <c r="E867" s="27">
        <f>_xlfn.XLOOKUP(packes[[#This Row],[productId]],bom[Id],bom[wgt])</f>
        <v>1.1413748378728923</v>
      </c>
      <c r="F867" s="27">
        <f>packes[[#This Row],[num]]*packes[[#This Row],[wtg]]</f>
        <v>1369.6498054474707</v>
      </c>
      <c r="G867" s="357">
        <v>2</v>
      </c>
      <c r="H867" s="21">
        <f>packes[[#This Row],[num]]-SUM(packes[[#This Row],[num2]])</f>
        <v>1200</v>
      </c>
      <c r="I867" s="357"/>
      <c r="J867" s="21"/>
      <c r="K867" s="323"/>
      <c r="M867" s="27">
        <f>_xlfn.XLOOKUP(packes[[#This Row],[productId]],CT[productId],CT[total],"NA")</f>
        <v>77.11999999999999</v>
      </c>
      <c r="N867" s="23" t="str">
        <f>_xlfn.XLOOKUP(packes[[#This Row],[productId]],bom[Id],bom[ph],"NA")</f>
        <v>molex</v>
      </c>
      <c r="O867" s="23" t="str">
        <f>_xlfn.XLOOKUP(packes[[#This Row],[productId]],bom[Id],bom[erth],"NA")</f>
        <v>sun</v>
      </c>
      <c r="P867" s="23">
        <f>_xlfn.XLOOKUP(packes[[#This Row],[productId]],bom[Id],bom[dbl],"NA")</f>
        <v>0</v>
      </c>
      <c r="Q867" s="20" t="str">
        <f>LEFT(packes[[#This Row],[date]],4)</f>
        <v>1404</v>
      </c>
    </row>
    <row r="868" spans="1:17" ht="16.5" x14ac:dyDescent="0.25">
      <c r="A868" s="23">
        <v>865</v>
      </c>
      <c r="B868" s="30" t="s">
        <v>745</v>
      </c>
      <c r="C868" s="23">
        <v>141320055</v>
      </c>
      <c r="D868" s="23">
        <v>2400</v>
      </c>
      <c r="E868" s="27">
        <f>_xlfn.XLOOKUP(packes[[#This Row],[productId]],bom[Id],bom[wgt])</f>
        <v>1.1274069639828395</v>
      </c>
      <c r="F868" s="27">
        <f>packes[[#This Row],[num]]*packes[[#This Row],[wtg]]</f>
        <v>2705.7767135588147</v>
      </c>
      <c r="G868" s="357">
        <v>2</v>
      </c>
      <c r="H868" s="21">
        <f>packes[[#This Row],[num]]-SUM(packes[[#This Row],[num2]])</f>
        <v>2400</v>
      </c>
      <c r="I868" s="357"/>
      <c r="J868" s="21"/>
      <c r="K868" s="323"/>
      <c r="M868" s="27">
        <f>_xlfn.XLOOKUP(packes[[#This Row],[productId]],CT[productId],CT[total],"NA")</f>
        <v>41.13</v>
      </c>
      <c r="N868" s="23">
        <f>_xlfn.XLOOKUP(packes[[#This Row],[productId]],bom[Id],bom[ph],"NA")</f>
        <v>0</v>
      </c>
      <c r="O868" s="23">
        <f>_xlfn.XLOOKUP(packes[[#This Row],[productId]],bom[Id],bom[erth],"NA")</f>
        <v>0</v>
      </c>
      <c r="P868" s="23">
        <f>_xlfn.XLOOKUP(packes[[#This Row],[productId]],bom[Id],bom[dbl],"NA")</f>
        <v>0</v>
      </c>
      <c r="Q868" s="20" t="str">
        <f>LEFT(packes[[#This Row],[date]],4)</f>
        <v>1404</v>
      </c>
    </row>
    <row r="869" spans="1:17" ht="16.5" x14ac:dyDescent="0.25">
      <c r="A869" s="23">
        <v>866</v>
      </c>
      <c r="B869" s="30" t="s">
        <v>746</v>
      </c>
      <c r="C869" s="23">
        <v>140010117</v>
      </c>
      <c r="D869" s="23">
        <v>1050</v>
      </c>
      <c r="E869" s="27">
        <f>_xlfn.XLOOKUP(packes[[#This Row],[productId]],bom[Id],bom[wgt])</f>
        <v>1</v>
      </c>
      <c r="F869" s="27">
        <f>packes[[#This Row],[num]]*packes[[#This Row],[wtg]]</f>
        <v>1050</v>
      </c>
      <c r="G869" s="357">
        <v>3</v>
      </c>
      <c r="H869" s="21">
        <f>packes[[#This Row],[num]]-SUM(packes[[#This Row],[num2]])</f>
        <v>1050</v>
      </c>
      <c r="I869" s="357"/>
      <c r="J869" s="21"/>
      <c r="K869" s="323"/>
      <c r="M869" s="27">
        <f>_xlfn.XLOOKUP(packes[[#This Row],[productId]],CT[productId],CT[total],"NA")</f>
        <v>98.295000000000016</v>
      </c>
      <c r="N869" s="23" t="str">
        <f>_xlfn.XLOOKUP(packes[[#This Row],[productId]],bom[Id],bom[ph],"NA")</f>
        <v>nar.p</v>
      </c>
      <c r="O869" s="23" t="str">
        <f>_xlfn.XLOOKUP(packes[[#This Row],[productId]],bom[Id],bom[erth],"NA")</f>
        <v>-</v>
      </c>
      <c r="P869" s="23" t="str">
        <f>_xlfn.XLOOKUP(packes[[#This Row],[productId]],bom[Id],bom[dbl],"NA")</f>
        <v>nar.p</v>
      </c>
      <c r="Q869" s="20" t="str">
        <f>LEFT(packes[[#This Row],[date]],4)</f>
        <v>1404</v>
      </c>
    </row>
    <row r="870" spans="1:17" ht="16.5" x14ac:dyDescent="0.25">
      <c r="A870" s="23">
        <v>867</v>
      </c>
      <c r="B870" s="30" t="s">
        <v>746</v>
      </c>
      <c r="C870" s="23">
        <v>140030039</v>
      </c>
      <c r="D870" s="23">
        <v>900</v>
      </c>
      <c r="E870" s="27">
        <f>_xlfn.XLOOKUP(packes[[#This Row],[productId]],bom[Id],bom[wgt])</f>
        <v>1.1413748378728923</v>
      </c>
      <c r="F870" s="27">
        <f>packes[[#This Row],[num]]*packes[[#This Row],[wtg]]</f>
        <v>1027.2373540856031</v>
      </c>
      <c r="G870" s="357">
        <v>3</v>
      </c>
      <c r="H870" s="21">
        <f>packes[[#This Row],[num]]-SUM(packes[[#This Row],[num2]])</f>
        <v>900</v>
      </c>
      <c r="I870" s="357"/>
      <c r="J870" s="21"/>
      <c r="K870" s="323"/>
      <c r="M870" s="27">
        <f>_xlfn.XLOOKUP(packes[[#This Row],[productId]],CT[productId],CT[total],"NA")</f>
        <v>92.504999999999995</v>
      </c>
      <c r="N870" s="23" t="str">
        <f>_xlfn.XLOOKUP(packes[[#This Row],[productId]],bom[Id],bom[ph],"NA")</f>
        <v>YH</v>
      </c>
      <c r="O870" s="23" t="str">
        <f>_xlfn.XLOOKUP(packes[[#This Row],[productId]],bom[Id],bom[erth],"NA")</f>
        <v>sun</v>
      </c>
      <c r="P870" s="23" t="str">
        <f>_xlfn.XLOOKUP(packes[[#This Row],[productId]],bom[Id],bom[dbl],"NA")</f>
        <v>-</v>
      </c>
      <c r="Q870" s="20" t="str">
        <f>LEFT(packes[[#This Row],[date]],4)</f>
        <v>1404</v>
      </c>
    </row>
    <row r="871" spans="1:17" ht="16.5" x14ac:dyDescent="0.25">
      <c r="A871" s="23">
        <v>868</v>
      </c>
      <c r="B871" s="30" t="s">
        <v>746</v>
      </c>
      <c r="C871" s="23">
        <v>140310071</v>
      </c>
      <c r="D871" s="23">
        <v>2000</v>
      </c>
      <c r="E871" s="27">
        <f>_xlfn.XLOOKUP(packes[[#This Row],[productId]],bom[Id],bom[wgt])</f>
        <v>1.3</v>
      </c>
      <c r="F871" s="27">
        <f>packes[[#This Row],[num]]*packes[[#This Row],[wtg]]</f>
        <v>2600</v>
      </c>
      <c r="G871" s="357">
        <v>3</v>
      </c>
      <c r="H871" s="21">
        <f>packes[[#This Row],[num]]-SUM(packes[[#This Row],[num2]])</f>
        <v>2000</v>
      </c>
      <c r="I871" s="357"/>
      <c r="J871" s="21"/>
      <c r="K871" s="323"/>
      <c r="M871" s="27">
        <f>_xlfn.XLOOKUP(packes[[#This Row],[productId]],CT[productId],CT[total],"NA")</f>
        <v>130.69500000000002</v>
      </c>
      <c r="N871" s="23" t="str">
        <f>_xlfn.XLOOKUP(packes[[#This Row],[productId]],bom[Id],bom[ph],"NA")</f>
        <v>6.3ch</v>
      </c>
      <c r="O871" s="23" t="str">
        <f>_xlfn.XLOOKUP(packes[[#This Row],[productId]],bom[Id],bom[erth],"NA")</f>
        <v>6.3k</v>
      </c>
      <c r="P871" s="23" t="str">
        <f>_xlfn.XLOOKUP(packes[[#This Row],[productId]],bom[Id],bom[dbl],"NA")</f>
        <v>-</v>
      </c>
      <c r="Q871" s="20" t="str">
        <f>LEFT(packes[[#This Row],[date]],4)</f>
        <v>1404</v>
      </c>
    </row>
    <row r="872" spans="1:17" ht="16.5" x14ac:dyDescent="0.25">
      <c r="A872" s="23">
        <v>869</v>
      </c>
      <c r="B872" s="30" t="s">
        <v>746</v>
      </c>
      <c r="C872" s="23">
        <v>140310083</v>
      </c>
      <c r="D872" s="23">
        <v>1100</v>
      </c>
      <c r="E872" s="27">
        <f>_xlfn.XLOOKUP(packes[[#This Row],[productId]],bom[Id],bom[wgt])</f>
        <v>1.3369250723336326</v>
      </c>
      <c r="F872" s="27">
        <f>packes[[#This Row],[num]]*packes[[#This Row],[wtg]]</f>
        <v>1470.6175795669958</v>
      </c>
      <c r="G872" s="357">
        <v>3</v>
      </c>
      <c r="H872" s="21">
        <f>packes[[#This Row],[num]]-SUM(packes[[#This Row],[num2]])</f>
        <v>1100</v>
      </c>
      <c r="I872" s="357"/>
      <c r="J872" s="21"/>
      <c r="K872" s="323"/>
      <c r="M872" s="27">
        <f>_xlfn.XLOOKUP(packes[[#This Row],[productId]],CT[productId],CT[total],"NA")</f>
        <v>135.23500000000001</v>
      </c>
      <c r="N872" s="23" t="str">
        <f>_xlfn.XLOOKUP(packes[[#This Row],[productId]],bom[Id],bom[ph],"NA")</f>
        <v>6.3flat</v>
      </c>
      <c r="O872" s="23" t="str">
        <f>_xlfn.XLOOKUP(packes[[#This Row],[productId]],bom[Id],bom[erth],"NA")</f>
        <v>6.3flat</v>
      </c>
      <c r="P872" s="23" t="str">
        <f>_xlfn.XLOOKUP(packes[[#This Row],[productId]],bom[Id],bom[dbl],"NA")</f>
        <v>-</v>
      </c>
      <c r="Q872" s="20" t="str">
        <f>LEFT(packes[[#This Row],[date]],4)</f>
        <v>1404</v>
      </c>
    </row>
    <row r="873" spans="1:17" ht="16.5" x14ac:dyDescent="0.25">
      <c r="A873" s="23">
        <v>870</v>
      </c>
      <c r="B873" s="30" t="s">
        <v>746</v>
      </c>
      <c r="C873" s="23">
        <v>140640007</v>
      </c>
      <c r="D873" s="23">
        <v>2300</v>
      </c>
      <c r="E873" s="27">
        <f>_xlfn.XLOOKUP(packes[[#This Row],[productId]],bom[Id],bom[wgt])</f>
        <v>1.1413748378728923</v>
      </c>
      <c r="F873" s="27">
        <f>packes[[#This Row],[num]]*packes[[#This Row],[wtg]]</f>
        <v>2625.1621271076524</v>
      </c>
      <c r="G873" s="357">
        <v>2</v>
      </c>
      <c r="H873" s="21">
        <f>packes[[#This Row],[num]]-SUM(packes[[#This Row],[num2]])</f>
        <v>2300</v>
      </c>
      <c r="I873" s="357"/>
      <c r="J873" s="21"/>
      <c r="K873" s="323"/>
      <c r="M873" s="27">
        <f>_xlfn.XLOOKUP(packes[[#This Row],[productId]],CT[productId],CT[total],"NA")</f>
        <v>77.11999999999999</v>
      </c>
      <c r="N873" s="23" t="str">
        <f>_xlfn.XLOOKUP(packes[[#This Row],[productId]],bom[Id],bom[ph],"NA")</f>
        <v>molex</v>
      </c>
      <c r="O873" s="23" t="str">
        <f>_xlfn.XLOOKUP(packes[[#This Row],[productId]],bom[Id],bom[erth],"NA")</f>
        <v>sun</v>
      </c>
      <c r="P873" s="23">
        <f>_xlfn.XLOOKUP(packes[[#This Row],[productId]],bom[Id],bom[dbl],"NA")</f>
        <v>0</v>
      </c>
      <c r="Q873" s="20" t="str">
        <f>LEFT(packes[[#This Row],[date]],4)</f>
        <v>1404</v>
      </c>
    </row>
    <row r="874" spans="1:17" ht="16.5" x14ac:dyDescent="0.25">
      <c r="A874" s="23">
        <v>871</v>
      </c>
      <c r="B874" s="30" t="s">
        <v>746</v>
      </c>
      <c r="C874" s="23">
        <v>140530039</v>
      </c>
      <c r="D874" s="23">
        <v>1700</v>
      </c>
      <c r="E874" s="27">
        <f>_xlfn.XLOOKUP(packes[[#This Row],[productId]],bom[Id],bom[wgt])</f>
        <v>1.1274069639828395</v>
      </c>
      <c r="F874" s="27">
        <f>packes[[#This Row],[num]]*packes[[#This Row],[wtg]]</f>
        <v>1916.5918387708271</v>
      </c>
      <c r="G874" s="357">
        <v>3</v>
      </c>
      <c r="H874" s="21">
        <f>packes[[#This Row],[num]]-SUM(packes[[#This Row],[num2]])</f>
        <v>1700</v>
      </c>
      <c r="I874" s="357"/>
      <c r="J874" s="21"/>
      <c r="K874" s="323"/>
      <c r="M874" s="27">
        <f>_xlfn.XLOOKUP(packes[[#This Row],[productId]],CT[productId],CT[total],"NA")</f>
        <v>41.13</v>
      </c>
      <c r="N874" s="23" t="str">
        <f>_xlfn.XLOOKUP(packes[[#This Row],[productId]],bom[Id],bom[ph],"NA")</f>
        <v>radio</v>
      </c>
      <c r="O874" s="23" t="str">
        <f>_xlfn.XLOOKUP(packes[[#This Row],[productId]],bom[Id],bom[erth],"NA")</f>
        <v>-</v>
      </c>
      <c r="P874" s="23" t="str">
        <f>_xlfn.XLOOKUP(packes[[#This Row],[productId]],bom[Id],bom[dbl],"NA")</f>
        <v>-</v>
      </c>
      <c r="Q874" s="20" t="str">
        <f>LEFT(packes[[#This Row],[date]],4)</f>
        <v>1404</v>
      </c>
    </row>
    <row r="875" spans="1:17" s="23" customFormat="1" ht="16.5" x14ac:dyDescent="0.25">
      <c r="A875" s="23">
        <v>872</v>
      </c>
      <c r="B875" s="30" t="s">
        <v>758</v>
      </c>
      <c r="C875" s="23">
        <v>140010117</v>
      </c>
      <c r="D875" s="23">
        <v>750</v>
      </c>
      <c r="E875" s="27">
        <f>_xlfn.XLOOKUP(packes[[#This Row],[productId]],bom[Id],bom[wgt])</f>
        <v>1</v>
      </c>
      <c r="F875" s="27">
        <f>packes[[#This Row],[num]]*packes[[#This Row],[wtg]]</f>
        <v>750</v>
      </c>
      <c r="G875" s="357">
        <v>3</v>
      </c>
      <c r="H875" s="21">
        <f>packes[[#This Row],[num]]-SUM(packes[[#This Row],[num2]])</f>
        <v>750</v>
      </c>
      <c r="I875" s="357"/>
      <c r="J875" s="21"/>
      <c r="K875" s="323"/>
      <c r="M875" s="27">
        <f>_xlfn.XLOOKUP(packes[[#This Row],[productId]],CT[productId],CT[total],"NA")</f>
        <v>98.295000000000016</v>
      </c>
      <c r="N875" s="23" t="str">
        <f>_xlfn.XLOOKUP(packes[[#This Row],[productId]],bom[Id],bom[ph],"NA")</f>
        <v>nar.p</v>
      </c>
      <c r="O875" s="23" t="str">
        <f>_xlfn.XLOOKUP(packes[[#This Row],[productId]],bom[Id],bom[erth],"NA")</f>
        <v>-</v>
      </c>
      <c r="P875" s="23" t="str">
        <f>_xlfn.XLOOKUP(packes[[#This Row],[productId]],bom[Id],bom[dbl],"NA")</f>
        <v>nar.p</v>
      </c>
      <c r="Q875" s="20" t="str">
        <f>LEFT(packes[[#This Row],[date]],4)</f>
        <v>1404</v>
      </c>
    </row>
    <row r="876" spans="1:17" ht="16.5" x14ac:dyDescent="0.25">
      <c r="A876" s="23">
        <v>873</v>
      </c>
      <c r="B876" s="30" t="s">
        <v>758</v>
      </c>
      <c r="C876" s="23">
        <v>140310071</v>
      </c>
      <c r="D876" s="23">
        <v>4800</v>
      </c>
      <c r="E876" s="27">
        <f>_xlfn.XLOOKUP(packes[[#This Row],[productId]],bom[Id],bom[wgt])</f>
        <v>1.3</v>
      </c>
      <c r="F876" s="27">
        <f>packes[[#This Row],[num]]*packes[[#This Row],[wtg]]</f>
        <v>6240</v>
      </c>
      <c r="G876" s="357">
        <v>3</v>
      </c>
      <c r="H876" s="21">
        <f>packes[[#This Row],[num]]-SUM(packes[[#This Row],[num2]])</f>
        <v>4800</v>
      </c>
      <c r="I876" s="357"/>
      <c r="J876" s="21"/>
      <c r="K876" s="323"/>
      <c r="M876" s="27">
        <f>_xlfn.XLOOKUP(packes[[#This Row],[productId]],CT[productId],CT[total],"NA")</f>
        <v>130.69500000000002</v>
      </c>
      <c r="N876" s="23" t="str">
        <f>_xlfn.XLOOKUP(packes[[#This Row],[productId]],bom[Id],bom[ph],"NA")</f>
        <v>6.3ch</v>
      </c>
      <c r="O876" s="23" t="str">
        <f>_xlfn.XLOOKUP(packes[[#This Row],[productId]],bom[Id],bom[erth],"NA")</f>
        <v>6.3k</v>
      </c>
      <c r="P876" s="23" t="str">
        <f>_xlfn.XLOOKUP(packes[[#This Row],[productId]],bom[Id],bom[dbl],"NA")</f>
        <v>-</v>
      </c>
      <c r="Q876" s="20" t="str">
        <f>LEFT(packes[[#This Row],[date]],4)</f>
        <v>1404</v>
      </c>
    </row>
    <row r="877" spans="1:17" ht="16.5" x14ac:dyDescent="0.25">
      <c r="A877" s="23">
        <v>874</v>
      </c>
      <c r="B877" s="30" t="s">
        <v>758</v>
      </c>
      <c r="C877" s="23">
        <v>140310083</v>
      </c>
      <c r="D877" s="23">
        <v>1400</v>
      </c>
      <c r="E877" s="27">
        <f>_xlfn.XLOOKUP(packes[[#This Row],[productId]],bom[Id],bom[wgt])</f>
        <v>1.3369250723336326</v>
      </c>
      <c r="F877" s="27">
        <f>packes[[#This Row],[num]]*packes[[#This Row],[wtg]]</f>
        <v>1871.6951012670856</v>
      </c>
      <c r="G877" s="357">
        <v>3</v>
      </c>
      <c r="H877" s="21">
        <f>packes[[#This Row],[num]]-SUM(packes[[#This Row],[num2]])</f>
        <v>1400</v>
      </c>
      <c r="I877" s="357"/>
      <c r="J877" s="21"/>
      <c r="K877" s="323"/>
      <c r="M877" s="27">
        <f>_xlfn.XLOOKUP(packes[[#This Row],[productId]],CT[productId],CT[total],"NA")</f>
        <v>135.23500000000001</v>
      </c>
      <c r="N877" s="23" t="str">
        <f>_xlfn.XLOOKUP(packes[[#This Row],[productId]],bom[Id],bom[ph],"NA")</f>
        <v>6.3flat</v>
      </c>
      <c r="O877" s="23" t="str">
        <f>_xlfn.XLOOKUP(packes[[#This Row],[productId]],bom[Id],bom[erth],"NA")</f>
        <v>6.3flat</v>
      </c>
      <c r="P877" s="23" t="str">
        <f>_xlfn.XLOOKUP(packes[[#This Row],[productId]],bom[Id],bom[dbl],"NA")</f>
        <v>-</v>
      </c>
      <c r="Q877" s="20" t="str">
        <f>LEFT(packes[[#This Row],[date]],4)</f>
        <v>1404</v>
      </c>
    </row>
    <row r="878" spans="1:17" ht="16.5" x14ac:dyDescent="0.25">
      <c r="A878" s="23">
        <v>875</v>
      </c>
      <c r="B878" s="30" t="s">
        <v>758</v>
      </c>
      <c r="C878" s="23">
        <v>140640007</v>
      </c>
      <c r="D878" s="23">
        <v>1900</v>
      </c>
      <c r="E878" s="27">
        <f>_xlfn.XLOOKUP(packes[[#This Row],[productId]],bom[Id],bom[wgt])</f>
        <v>1.1413748378728923</v>
      </c>
      <c r="F878" s="27">
        <f>packes[[#This Row],[num]]*packes[[#This Row],[wtg]]</f>
        <v>2168.6121919584953</v>
      </c>
      <c r="G878" s="357">
        <v>2</v>
      </c>
      <c r="H878" s="21">
        <f>packes[[#This Row],[num]]-SUM(packes[[#This Row],[num2]])</f>
        <v>1900</v>
      </c>
      <c r="I878" s="357"/>
      <c r="J878" s="21"/>
      <c r="K878" s="323"/>
      <c r="M878" s="27">
        <f>_xlfn.XLOOKUP(packes[[#This Row],[productId]],CT[productId],CT[total],"NA")</f>
        <v>77.11999999999999</v>
      </c>
      <c r="N878" s="23" t="str">
        <f>_xlfn.XLOOKUP(packes[[#This Row],[productId]],bom[Id],bom[ph],"NA")</f>
        <v>molex</v>
      </c>
      <c r="O878" s="23" t="str">
        <f>_xlfn.XLOOKUP(packes[[#This Row],[productId]],bom[Id],bom[erth],"NA")</f>
        <v>sun</v>
      </c>
      <c r="P878" s="23">
        <f>_xlfn.XLOOKUP(packes[[#This Row],[productId]],bom[Id],bom[dbl],"NA")</f>
        <v>0</v>
      </c>
      <c r="Q878" s="20" t="str">
        <f>LEFT(packes[[#This Row],[date]],4)</f>
        <v>1404</v>
      </c>
    </row>
    <row r="879" spans="1:17" ht="16.5" x14ac:dyDescent="0.25">
      <c r="A879" s="23">
        <v>876</v>
      </c>
      <c r="B879" s="30" t="s">
        <v>758</v>
      </c>
      <c r="C879" s="23">
        <v>140530039</v>
      </c>
      <c r="D879" s="23">
        <v>1400</v>
      </c>
      <c r="E879" s="27">
        <f>_xlfn.XLOOKUP(packes[[#This Row],[productId]],bom[Id],bom[wgt])</f>
        <v>1.1274069639828395</v>
      </c>
      <c r="F879" s="27">
        <f>packes[[#This Row],[num]]*packes[[#This Row],[wtg]]</f>
        <v>1578.3697495759752</v>
      </c>
      <c r="G879" s="357">
        <v>3</v>
      </c>
      <c r="H879" s="21">
        <f>packes[[#This Row],[num]]-SUM(packes[[#This Row],[num2]])</f>
        <v>1400</v>
      </c>
      <c r="I879" s="357"/>
      <c r="J879" s="21"/>
      <c r="K879" s="323"/>
      <c r="M879" s="27">
        <f>_xlfn.XLOOKUP(packes[[#This Row],[productId]],CT[productId],CT[total],"NA")</f>
        <v>41.13</v>
      </c>
      <c r="N879" s="23" t="str">
        <f>_xlfn.XLOOKUP(packes[[#This Row],[productId]],bom[Id],bom[ph],"NA")</f>
        <v>radio</v>
      </c>
      <c r="O879" s="23" t="str">
        <f>_xlfn.XLOOKUP(packes[[#This Row],[productId]],bom[Id],bom[erth],"NA")</f>
        <v>-</v>
      </c>
      <c r="P879" s="23" t="str">
        <f>_xlfn.XLOOKUP(packes[[#This Row],[productId]],bom[Id],bom[dbl],"NA")</f>
        <v>-</v>
      </c>
      <c r="Q879" s="20" t="str">
        <f>LEFT(packes[[#This Row],[date]],4)</f>
        <v>1404</v>
      </c>
    </row>
    <row r="880" spans="1:17" ht="16.5" x14ac:dyDescent="0.25">
      <c r="A880" s="23">
        <v>877</v>
      </c>
      <c r="B880" s="30" t="s">
        <v>758</v>
      </c>
      <c r="C880" s="23">
        <v>141320055</v>
      </c>
      <c r="D880" s="23">
        <v>1100</v>
      </c>
      <c r="E880" s="27">
        <f>_xlfn.XLOOKUP(packes[[#This Row],[productId]],bom[Id],bom[wgt])</f>
        <v>1.1274069639828395</v>
      </c>
      <c r="F880" s="27">
        <f>packes[[#This Row],[num]]*packes[[#This Row],[wtg]]</f>
        <v>1240.1476603811234</v>
      </c>
      <c r="G880" s="357">
        <v>2</v>
      </c>
      <c r="H880" s="21">
        <f>packes[[#This Row],[num]]-SUM(packes[[#This Row],[num2]])</f>
        <v>1100</v>
      </c>
      <c r="I880" s="357"/>
      <c r="J880" s="21"/>
      <c r="K880" s="323"/>
      <c r="M880" s="27">
        <f>_xlfn.XLOOKUP(packes[[#This Row],[productId]],CT[productId],CT[total],"NA")</f>
        <v>41.13</v>
      </c>
      <c r="N880" s="23">
        <f>_xlfn.XLOOKUP(packes[[#This Row],[productId]],bom[Id],bom[ph],"NA")</f>
        <v>0</v>
      </c>
      <c r="O880" s="23">
        <f>_xlfn.XLOOKUP(packes[[#This Row],[productId]],bom[Id],bom[erth],"NA")</f>
        <v>0</v>
      </c>
      <c r="P880" s="23">
        <f>_xlfn.XLOOKUP(packes[[#This Row],[productId]],bom[Id],bom[dbl],"NA")</f>
        <v>0</v>
      </c>
      <c r="Q880" s="20" t="str">
        <f>LEFT(packes[[#This Row],[date]],4)</f>
        <v>1404</v>
      </c>
    </row>
    <row r="881" spans="1:17" ht="16.5" x14ac:dyDescent="0.25">
      <c r="A881" s="23">
        <v>878</v>
      </c>
      <c r="B881" s="30" t="s">
        <v>759</v>
      </c>
      <c r="C881" s="23">
        <v>140010117</v>
      </c>
      <c r="D881" s="23">
        <v>300</v>
      </c>
      <c r="E881" s="27">
        <f>_xlfn.XLOOKUP(packes[[#This Row],[productId]],bom[Id],bom[wgt])</f>
        <v>1</v>
      </c>
      <c r="F881" s="27">
        <f>packes[[#This Row],[num]]*packes[[#This Row],[wtg]]</f>
        <v>300</v>
      </c>
      <c r="G881" s="357">
        <v>3</v>
      </c>
      <c r="H881" s="21">
        <f>packes[[#This Row],[num]]-SUM(packes[[#This Row],[num2]])</f>
        <v>300</v>
      </c>
      <c r="I881" s="357"/>
      <c r="J881" s="21"/>
      <c r="K881" s="323"/>
      <c r="M881" s="27">
        <f>_xlfn.XLOOKUP(packes[[#This Row],[productId]],CT[productId],CT[total],"NA")</f>
        <v>98.295000000000016</v>
      </c>
      <c r="N881" s="23" t="str">
        <f>_xlfn.XLOOKUP(packes[[#This Row],[productId]],bom[Id],bom[ph],"NA")</f>
        <v>nar.p</v>
      </c>
      <c r="O881" s="23" t="str">
        <f>_xlfn.XLOOKUP(packes[[#This Row],[productId]],bom[Id],bom[erth],"NA")</f>
        <v>-</v>
      </c>
      <c r="P881" s="23" t="str">
        <f>_xlfn.XLOOKUP(packes[[#This Row],[productId]],bom[Id],bom[dbl],"NA")</f>
        <v>nar.p</v>
      </c>
      <c r="Q881" s="20" t="str">
        <f>LEFT(packes[[#This Row],[date]],4)</f>
        <v>1404</v>
      </c>
    </row>
    <row r="882" spans="1:17" ht="16.5" x14ac:dyDescent="0.25">
      <c r="A882" s="23">
        <v>879</v>
      </c>
      <c r="B882" s="30" t="s">
        <v>759</v>
      </c>
      <c r="C882" s="23">
        <v>140310071</v>
      </c>
      <c r="D882" s="23">
        <v>2600</v>
      </c>
      <c r="E882" s="27">
        <f>_xlfn.XLOOKUP(packes[[#This Row],[productId]],bom[Id],bom[wgt])</f>
        <v>1.3</v>
      </c>
      <c r="F882" s="27">
        <f>packes[[#This Row],[num]]*packes[[#This Row],[wtg]]</f>
        <v>3380</v>
      </c>
      <c r="G882" s="357">
        <v>3</v>
      </c>
      <c r="H882" s="21">
        <f>packes[[#This Row],[num]]-SUM(packes[[#This Row],[num2]])</f>
        <v>2600</v>
      </c>
      <c r="I882" s="357"/>
      <c r="J882" s="21"/>
      <c r="K882" s="323"/>
      <c r="M882" s="27">
        <f>_xlfn.XLOOKUP(packes[[#This Row],[productId]],CT[productId],CT[total],"NA")</f>
        <v>130.69500000000002</v>
      </c>
      <c r="N882" s="23" t="str">
        <f>_xlfn.XLOOKUP(packes[[#This Row],[productId]],bom[Id],bom[ph],"NA")</f>
        <v>6.3ch</v>
      </c>
      <c r="O882" s="23" t="str">
        <f>_xlfn.XLOOKUP(packes[[#This Row],[productId]],bom[Id],bom[erth],"NA")</f>
        <v>6.3k</v>
      </c>
      <c r="P882" s="23" t="str">
        <f>_xlfn.XLOOKUP(packes[[#This Row],[productId]],bom[Id],bom[dbl],"NA")</f>
        <v>-</v>
      </c>
      <c r="Q882" s="20" t="str">
        <f>LEFT(packes[[#This Row],[date]],4)</f>
        <v>1404</v>
      </c>
    </row>
    <row r="883" spans="1:17" ht="16.5" x14ac:dyDescent="0.25">
      <c r="A883" s="23">
        <v>880</v>
      </c>
      <c r="B883" s="30" t="s">
        <v>759</v>
      </c>
      <c r="C883" s="23">
        <v>141320055</v>
      </c>
      <c r="D883" s="23">
        <v>2200</v>
      </c>
      <c r="E883" s="27">
        <f>_xlfn.XLOOKUP(packes[[#This Row],[productId]],bom[Id],bom[wgt])</f>
        <v>1.1274069639828395</v>
      </c>
      <c r="F883" s="27">
        <f>packes[[#This Row],[num]]*packes[[#This Row],[wtg]]</f>
        <v>2480.2953207622468</v>
      </c>
      <c r="G883" s="357">
        <v>2</v>
      </c>
      <c r="H883" s="21">
        <f>packes[[#This Row],[num]]-SUM(packes[[#This Row],[num2]])</f>
        <v>2200</v>
      </c>
      <c r="I883" s="357"/>
      <c r="J883" s="21"/>
      <c r="K883" s="323"/>
      <c r="M883" s="27">
        <f>_xlfn.XLOOKUP(packes[[#This Row],[productId]],CT[productId],CT[total],"NA")</f>
        <v>41.13</v>
      </c>
      <c r="N883" s="23">
        <f>_xlfn.XLOOKUP(packes[[#This Row],[productId]],bom[Id],bom[ph],"NA")</f>
        <v>0</v>
      </c>
      <c r="O883" s="23">
        <f>_xlfn.XLOOKUP(packes[[#This Row],[productId]],bom[Id],bom[erth],"NA")</f>
        <v>0</v>
      </c>
      <c r="P883" s="23">
        <f>_xlfn.XLOOKUP(packes[[#This Row],[productId]],bom[Id],bom[dbl],"NA")</f>
        <v>0</v>
      </c>
      <c r="Q883" s="20" t="str">
        <f>LEFT(packes[[#This Row],[date]],4)</f>
        <v>1404</v>
      </c>
    </row>
    <row r="884" spans="1:17" ht="16.5" x14ac:dyDescent="0.25">
      <c r="A884" s="23">
        <v>881</v>
      </c>
      <c r="B884" s="30" t="s">
        <v>760</v>
      </c>
      <c r="C884" s="23">
        <v>140010117</v>
      </c>
      <c r="D884" s="23">
        <v>150</v>
      </c>
      <c r="E884" s="27">
        <f>_xlfn.XLOOKUP(packes[[#This Row],[productId]],bom[Id],bom[wgt])</f>
        <v>1</v>
      </c>
      <c r="F884" s="27">
        <f>packes[[#This Row],[num]]*packes[[#This Row],[wtg]]</f>
        <v>150</v>
      </c>
      <c r="G884" s="357">
        <v>3</v>
      </c>
      <c r="H884" s="21">
        <f>packes[[#This Row],[num]]-SUM(packes[[#This Row],[num2]])</f>
        <v>150</v>
      </c>
      <c r="I884" s="357"/>
      <c r="J884" s="21"/>
      <c r="K884" s="323"/>
      <c r="M884" s="27">
        <f>_xlfn.XLOOKUP(packes[[#This Row],[productId]],CT[productId],CT[total],"NA")</f>
        <v>98.295000000000016</v>
      </c>
      <c r="N884" s="23" t="str">
        <f>_xlfn.XLOOKUP(packes[[#This Row],[productId]],bom[Id],bom[ph],"NA")</f>
        <v>nar.p</v>
      </c>
      <c r="O884" s="23" t="str">
        <f>_xlfn.XLOOKUP(packes[[#This Row],[productId]],bom[Id],bom[erth],"NA")</f>
        <v>-</v>
      </c>
      <c r="P884" s="23" t="str">
        <f>_xlfn.XLOOKUP(packes[[#This Row],[productId]],bom[Id],bom[dbl],"NA")</f>
        <v>nar.p</v>
      </c>
      <c r="Q884" s="20" t="str">
        <f>LEFT(packes[[#This Row],[date]],4)</f>
        <v>1404</v>
      </c>
    </row>
    <row r="885" spans="1:17" ht="16.5" x14ac:dyDescent="0.25">
      <c r="A885" s="23">
        <v>882</v>
      </c>
      <c r="B885" s="30" t="s">
        <v>760</v>
      </c>
      <c r="C885" s="23">
        <v>140010255</v>
      </c>
      <c r="D885" s="23">
        <v>500</v>
      </c>
      <c r="E885" s="27">
        <f>_xlfn.XLOOKUP(packes[[#This Row],[productId]],bom[Id],bom[wgt])</f>
        <v>1</v>
      </c>
      <c r="F885" s="27">
        <f>packes[[#This Row],[num]]*packes[[#This Row],[wtg]]</f>
        <v>500</v>
      </c>
      <c r="G885" s="357">
        <v>4</v>
      </c>
      <c r="H885" s="21">
        <f>packes[[#This Row],[num]]-SUM(packes[[#This Row],[num2]])</f>
        <v>500</v>
      </c>
      <c r="I885" s="357"/>
      <c r="J885" s="21"/>
      <c r="K885" s="323"/>
      <c r="M885" s="27">
        <f>_xlfn.XLOOKUP(packes[[#This Row],[productId]],CT[productId],CT[total],"NA")</f>
        <v>95.575000000000003</v>
      </c>
      <c r="N885" s="23" t="str">
        <f>_xlfn.XLOOKUP(packes[[#This Row],[productId]],bom[Id],bom[ph],"NA")</f>
        <v>-</v>
      </c>
      <c r="O885" s="23" t="str">
        <f>_xlfn.XLOOKUP(packes[[#This Row],[productId]],bom[Id],bom[erth],"NA")</f>
        <v>-</v>
      </c>
      <c r="P885" s="23" t="str">
        <f>_xlfn.XLOOKUP(packes[[#This Row],[productId]],bom[Id],bom[dbl],"NA")</f>
        <v>6.3flat</v>
      </c>
      <c r="Q885" s="20" t="str">
        <f>LEFT(packes[[#This Row],[date]],4)</f>
        <v>1404</v>
      </c>
    </row>
    <row r="886" spans="1:17" ht="16.5" x14ac:dyDescent="0.25">
      <c r="A886" s="23">
        <v>883</v>
      </c>
      <c r="B886" s="30" t="s">
        <v>760</v>
      </c>
      <c r="C886" s="23">
        <v>140310071</v>
      </c>
      <c r="D886" s="23">
        <v>2700</v>
      </c>
      <c r="E886" s="27">
        <f>_xlfn.XLOOKUP(packes[[#This Row],[productId]],bom[Id],bom[wgt])</f>
        <v>1.3</v>
      </c>
      <c r="F886" s="27">
        <f>packes[[#This Row],[num]]*packes[[#This Row],[wtg]]</f>
        <v>3510</v>
      </c>
      <c r="G886" s="357">
        <v>3</v>
      </c>
      <c r="H886" s="21">
        <f>packes[[#This Row],[num]]-SUM(packes[[#This Row],[num2]])</f>
        <v>2700</v>
      </c>
      <c r="I886" s="357"/>
      <c r="J886" s="21"/>
      <c r="K886" s="323"/>
      <c r="M886" s="27">
        <f>_xlfn.XLOOKUP(packes[[#This Row],[productId]],CT[productId],CT[total],"NA")</f>
        <v>130.69500000000002</v>
      </c>
      <c r="N886" s="23" t="str">
        <f>_xlfn.XLOOKUP(packes[[#This Row],[productId]],bom[Id],bom[ph],"NA")</f>
        <v>6.3ch</v>
      </c>
      <c r="O886" s="23" t="str">
        <f>_xlfn.XLOOKUP(packes[[#This Row],[productId]],bom[Id],bom[erth],"NA")</f>
        <v>6.3k</v>
      </c>
      <c r="P886" s="23" t="str">
        <f>_xlfn.XLOOKUP(packes[[#This Row],[productId]],bom[Id],bom[dbl],"NA")</f>
        <v>-</v>
      </c>
      <c r="Q886" s="20" t="str">
        <f>LEFT(packes[[#This Row],[date]],4)</f>
        <v>1404</v>
      </c>
    </row>
    <row r="887" spans="1:17" ht="16.5" x14ac:dyDescent="0.25">
      <c r="A887" s="23">
        <v>884</v>
      </c>
      <c r="B887" s="30" t="s">
        <v>760</v>
      </c>
      <c r="C887" s="23">
        <v>140640007</v>
      </c>
      <c r="D887" s="23">
        <v>1300</v>
      </c>
      <c r="E887" s="27">
        <f>_xlfn.XLOOKUP(packes[[#This Row],[productId]],bom[Id],bom[wgt])</f>
        <v>1.1413748378728923</v>
      </c>
      <c r="F887" s="27">
        <f>packes[[#This Row],[num]]*packes[[#This Row],[wtg]]</f>
        <v>1483.78728923476</v>
      </c>
      <c r="G887" s="357">
        <v>2</v>
      </c>
      <c r="H887" s="21">
        <f>packes[[#This Row],[num]]-SUM(packes[[#This Row],[num2]])</f>
        <v>1300</v>
      </c>
      <c r="I887" s="357"/>
      <c r="J887" s="21"/>
      <c r="K887" s="323"/>
      <c r="M887" s="27">
        <f>_xlfn.XLOOKUP(packes[[#This Row],[productId]],CT[productId],CT[total],"NA")</f>
        <v>77.11999999999999</v>
      </c>
      <c r="N887" s="23" t="str">
        <f>_xlfn.XLOOKUP(packes[[#This Row],[productId]],bom[Id],bom[ph],"NA")</f>
        <v>molex</v>
      </c>
      <c r="O887" s="23" t="str">
        <f>_xlfn.XLOOKUP(packes[[#This Row],[productId]],bom[Id],bom[erth],"NA")</f>
        <v>sun</v>
      </c>
      <c r="P887" s="23">
        <f>_xlfn.XLOOKUP(packes[[#This Row],[productId]],bom[Id],bom[dbl],"NA")</f>
        <v>0</v>
      </c>
      <c r="Q887" s="20" t="str">
        <f>LEFT(packes[[#This Row],[date]],4)</f>
        <v>1404</v>
      </c>
    </row>
    <row r="888" spans="1:17" ht="16.5" x14ac:dyDescent="0.25">
      <c r="A888" s="23">
        <v>885</v>
      </c>
      <c r="B888" s="30" t="s">
        <v>760</v>
      </c>
      <c r="C888" s="23">
        <v>141320055</v>
      </c>
      <c r="D888" s="23">
        <v>1900</v>
      </c>
      <c r="E888" s="27">
        <f>_xlfn.XLOOKUP(packes[[#This Row],[productId]],bom[Id],bom[wgt])</f>
        <v>1.1274069639828395</v>
      </c>
      <c r="F888" s="27">
        <f>packes[[#This Row],[num]]*packes[[#This Row],[wtg]]</f>
        <v>2142.0732315673949</v>
      </c>
      <c r="G888" s="357">
        <v>2</v>
      </c>
      <c r="H888" s="21">
        <f>packes[[#This Row],[num]]-SUM(packes[[#This Row],[num2]])</f>
        <v>1900</v>
      </c>
      <c r="I888" s="357"/>
      <c r="J888" s="21"/>
      <c r="K888" s="323"/>
      <c r="M888" s="27">
        <f>_xlfn.XLOOKUP(packes[[#This Row],[productId]],CT[productId],CT[total],"NA")</f>
        <v>41.13</v>
      </c>
      <c r="N888" s="23">
        <f>_xlfn.XLOOKUP(packes[[#This Row],[productId]],bom[Id],bom[ph],"NA")</f>
        <v>0</v>
      </c>
      <c r="O888" s="23">
        <f>_xlfn.XLOOKUP(packes[[#This Row],[productId]],bom[Id],bom[erth],"NA")</f>
        <v>0</v>
      </c>
      <c r="P888" s="23">
        <f>_xlfn.XLOOKUP(packes[[#This Row],[productId]],bom[Id],bom[dbl],"NA")</f>
        <v>0</v>
      </c>
      <c r="Q888" s="20" t="str">
        <f>LEFT(packes[[#This Row],[date]],4)</f>
        <v>1404</v>
      </c>
    </row>
    <row r="889" spans="1:17" ht="16.5" x14ac:dyDescent="0.25">
      <c r="A889" s="23">
        <v>886</v>
      </c>
      <c r="B889" s="30" t="s">
        <v>761</v>
      </c>
      <c r="C889" s="23">
        <v>140030039</v>
      </c>
      <c r="D889" s="23">
        <v>1200</v>
      </c>
      <c r="E889" s="27">
        <f>_xlfn.XLOOKUP(packes[[#This Row],[productId]],bom[Id],bom[wgt])</f>
        <v>1.1413748378728923</v>
      </c>
      <c r="F889" s="27">
        <f>packes[[#This Row],[num]]*packes[[#This Row],[wtg]]</f>
        <v>1369.6498054474707</v>
      </c>
      <c r="G889" s="357">
        <v>4</v>
      </c>
      <c r="H889" s="21">
        <f>packes[[#This Row],[num]]-SUM(packes[[#This Row],[num2]])</f>
        <v>1200</v>
      </c>
      <c r="I889" s="357"/>
      <c r="J889" s="21"/>
      <c r="K889" s="323"/>
      <c r="M889" s="27">
        <f>_xlfn.XLOOKUP(packes[[#This Row],[productId]],CT[productId],CT[total],"NA")</f>
        <v>92.504999999999995</v>
      </c>
      <c r="N889" s="23" t="str">
        <f>_xlfn.XLOOKUP(packes[[#This Row],[productId]],bom[Id],bom[ph],"NA")</f>
        <v>YH</v>
      </c>
      <c r="O889" s="23" t="str">
        <f>_xlfn.XLOOKUP(packes[[#This Row],[productId]],bom[Id],bom[erth],"NA")</f>
        <v>sun</v>
      </c>
      <c r="P889" s="23" t="str">
        <f>_xlfn.XLOOKUP(packes[[#This Row],[productId]],bom[Id],bom[dbl],"NA")</f>
        <v>-</v>
      </c>
      <c r="Q889" s="20" t="str">
        <f>LEFT(packes[[#This Row],[date]],4)</f>
        <v>1404</v>
      </c>
    </row>
    <row r="890" spans="1:17" ht="16.5" x14ac:dyDescent="0.25">
      <c r="A890" s="23">
        <v>887</v>
      </c>
      <c r="B890" s="30" t="s">
        <v>761</v>
      </c>
      <c r="C890" s="23">
        <v>140310071</v>
      </c>
      <c r="D890" s="23">
        <v>5200</v>
      </c>
      <c r="E890" s="27">
        <f>_xlfn.XLOOKUP(packes[[#This Row],[productId]],bom[Id],bom[wgt])</f>
        <v>1.3</v>
      </c>
      <c r="F890" s="27">
        <f>packes[[#This Row],[num]]*packes[[#This Row],[wtg]]</f>
        <v>6760</v>
      </c>
      <c r="G890" s="357">
        <v>3</v>
      </c>
      <c r="H890" s="21">
        <f>packes[[#This Row],[num]]-SUM(packes[[#This Row],[num2]])</f>
        <v>5200</v>
      </c>
      <c r="I890" s="357"/>
      <c r="J890" s="21"/>
      <c r="K890" s="323"/>
      <c r="M890" s="27">
        <f>_xlfn.XLOOKUP(packes[[#This Row],[productId]],CT[productId],CT[total],"NA")</f>
        <v>130.69500000000002</v>
      </c>
      <c r="N890" s="23" t="str">
        <f>_xlfn.XLOOKUP(packes[[#This Row],[productId]],bom[Id],bom[ph],"NA")</f>
        <v>6.3ch</v>
      </c>
      <c r="O890" s="23" t="str">
        <f>_xlfn.XLOOKUP(packes[[#This Row],[productId]],bom[Id],bom[erth],"NA")</f>
        <v>6.3k</v>
      </c>
      <c r="P890" s="23" t="str">
        <f>_xlfn.XLOOKUP(packes[[#This Row],[productId]],bom[Id],bom[dbl],"NA")</f>
        <v>-</v>
      </c>
      <c r="Q890" s="20" t="str">
        <f>LEFT(packes[[#This Row],[date]],4)</f>
        <v>1404</v>
      </c>
    </row>
    <row r="891" spans="1:17" ht="16.5" x14ac:dyDescent="0.25">
      <c r="A891" s="23">
        <v>888</v>
      </c>
      <c r="B891" s="30" t="s">
        <v>761</v>
      </c>
      <c r="C891" s="23">
        <v>140640007</v>
      </c>
      <c r="D891" s="23">
        <v>950</v>
      </c>
      <c r="E891" s="27">
        <f>_xlfn.XLOOKUP(packes[[#This Row],[productId]],bom[Id],bom[wgt])</f>
        <v>1.1413748378728923</v>
      </c>
      <c r="F891" s="27">
        <f>packes[[#This Row],[num]]*packes[[#This Row],[wtg]]</f>
        <v>1084.3060959792476</v>
      </c>
      <c r="G891" s="357">
        <v>2</v>
      </c>
      <c r="H891" s="21">
        <f>packes[[#This Row],[num]]-SUM(packes[[#This Row],[num2]])</f>
        <v>950</v>
      </c>
      <c r="I891" s="357"/>
      <c r="J891" s="21"/>
      <c r="K891" s="323"/>
      <c r="M891" s="27">
        <f>_xlfn.XLOOKUP(packes[[#This Row],[productId]],CT[productId],CT[total],"NA")</f>
        <v>77.11999999999999</v>
      </c>
      <c r="N891" s="23" t="str">
        <f>_xlfn.XLOOKUP(packes[[#This Row],[productId]],bom[Id],bom[ph],"NA")</f>
        <v>molex</v>
      </c>
      <c r="O891" s="23" t="str">
        <f>_xlfn.XLOOKUP(packes[[#This Row],[productId]],bom[Id],bom[erth],"NA")</f>
        <v>sun</v>
      </c>
      <c r="P891" s="23">
        <f>_xlfn.XLOOKUP(packes[[#This Row],[productId]],bom[Id],bom[dbl],"NA")</f>
        <v>0</v>
      </c>
      <c r="Q891" s="20" t="str">
        <f>LEFT(packes[[#This Row],[date]],4)</f>
        <v>1404</v>
      </c>
    </row>
    <row r="892" spans="1:17" ht="16.5" x14ac:dyDescent="0.25">
      <c r="A892" s="23">
        <v>889</v>
      </c>
      <c r="B892" s="30" t="s">
        <v>764</v>
      </c>
      <c r="C892" s="23">
        <v>140030039</v>
      </c>
      <c r="D892" s="23">
        <v>700</v>
      </c>
      <c r="E892" s="27">
        <f>_xlfn.XLOOKUP(packes[[#This Row],[productId]],bom[Id],bom[wgt])</f>
        <v>1.1413748378728923</v>
      </c>
      <c r="F892" s="27">
        <f>packes[[#This Row],[num]]*packes[[#This Row],[wtg]]</f>
        <v>798.96238651102465</v>
      </c>
      <c r="G892" s="357">
        <v>4</v>
      </c>
      <c r="H892" s="21">
        <f>packes[[#This Row],[num]]-SUM(packes[[#This Row],[num2]])</f>
        <v>700</v>
      </c>
      <c r="I892" s="357"/>
      <c r="J892" s="21"/>
      <c r="K892" s="323"/>
      <c r="M892" s="27">
        <f>_xlfn.XLOOKUP(packes[[#This Row],[productId]],CT[productId],CT[total],"NA")</f>
        <v>92.504999999999995</v>
      </c>
      <c r="N892" s="23" t="str">
        <f>_xlfn.XLOOKUP(packes[[#This Row],[productId]],bom[Id],bom[ph],"NA")</f>
        <v>YH</v>
      </c>
      <c r="O892" s="23" t="str">
        <f>_xlfn.XLOOKUP(packes[[#This Row],[productId]],bom[Id],bom[erth],"NA")</f>
        <v>sun</v>
      </c>
      <c r="P892" s="23" t="str">
        <f>_xlfn.XLOOKUP(packes[[#This Row],[productId]],bom[Id],bom[dbl],"NA")</f>
        <v>-</v>
      </c>
      <c r="Q892" s="20" t="str">
        <f>LEFT(packes[[#This Row],[date]],4)</f>
        <v>1404</v>
      </c>
    </row>
    <row r="893" spans="1:17" ht="16.5" x14ac:dyDescent="0.25">
      <c r="A893" s="23">
        <v>890</v>
      </c>
      <c r="B893" s="30" t="s">
        <v>764</v>
      </c>
      <c r="C893" s="23">
        <v>140030040</v>
      </c>
      <c r="D893" s="23">
        <v>1300</v>
      </c>
      <c r="E893" s="27">
        <f>_xlfn.XLOOKUP(packes[[#This Row],[productId]],bom[Id],bom[wgt])</f>
        <v>1.1092487279257708</v>
      </c>
      <c r="F893" s="27">
        <f>packes[[#This Row],[num]]*packes[[#This Row],[wtg]]</f>
        <v>1442.023346303502</v>
      </c>
      <c r="G893" s="357">
        <v>4</v>
      </c>
      <c r="H893" s="21">
        <f>packes[[#This Row],[num]]-SUM(packes[[#This Row],[num2]])</f>
        <v>1300</v>
      </c>
      <c r="I893" s="357"/>
      <c r="J893" s="21"/>
      <c r="K893" s="323"/>
      <c r="M893" s="27">
        <f>_xlfn.XLOOKUP(packes[[#This Row],[productId]],CT[productId],CT[total],"NA")</f>
        <v>97.305000000000007</v>
      </c>
      <c r="N893" s="23" t="str">
        <f>_xlfn.XLOOKUP(packes[[#This Row],[productId]],bom[Id],bom[ph],"NA")</f>
        <v>YH</v>
      </c>
      <c r="O893" s="23" t="str">
        <f>_xlfn.XLOOKUP(packes[[#This Row],[productId]],bom[Id],bom[erth],"NA")</f>
        <v>sun</v>
      </c>
      <c r="P893" s="23" t="str">
        <f>_xlfn.XLOOKUP(packes[[#This Row],[productId]],bom[Id],bom[dbl],"NA")</f>
        <v>-</v>
      </c>
      <c r="Q893" s="20" t="str">
        <f>LEFT(packes[[#This Row],[date]],4)</f>
        <v>1404</v>
      </c>
    </row>
    <row r="894" spans="1:17" ht="16.5" x14ac:dyDescent="0.25">
      <c r="A894" s="23">
        <v>891</v>
      </c>
      <c r="B894" s="30" t="s">
        <v>764</v>
      </c>
      <c r="C894" s="23">
        <v>140310071</v>
      </c>
      <c r="D894" s="23">
        <v>2900</v>
      </c>
      <c r="E894" s="27">
        <f>_xlfn.XLOOKUP(packes[[#This Row],[productId]],bom[Id],bom[wgt])</f>
        <v>1.3</v>
      </c>
      <c r="F894" s="27">
        <f>packes[[#This Row],[num]]*packes[[#This Row],[wtg]]</f>
        <v>3770</v>
      </c>
      <c r="G894" s="357">
        <v>3</v>
      </c>
      <c r="H894" s="21">
        <f>packes[[#This Row],[num]]-SUM(packes[[#This Row],[num2]])</f>
        <v>2900</v>
      </c>
      <c r="I894" s="357"/>
      <c r="J894" s="21"/>
      <c r="K894" s="323"/>
      <c r="M894" s="27">
        <f>_xlfn.XLOOKUP(packes[[#This Row],[productId]],CT[productId],CT[total],"NA")</f>
        <v>130.69500000000002</v>
      </c>
      <c r="N894" s="23" t="str">
        <f>_xlfn.XLOOKUP(packes[[#This Row],[productId]],bom[Id],bom[ph],"NA")</f>
        <v>6.3ch</v>
      </c>
      <c r="O894" s="23" t="str">
        <f>_xlfn.XLOOKUP(packes[[#This Row],[productId]],bom[Id],bom[erth],"NA")</f>
        <v>6.3k</v>
      </c>
      <c r="P894" s="23" t="str">
        <f>_xlfn.XLOOKUP(packes[[#This Row],[productId]],bom[Id],bom[dbl],"NA")</f>
        <v>-</v>
      </c>
      <c r="Q894" s="20" t="str">
        <f>LEFT(packes[[#This Row],[date]],4)</f>
        <v>1404</v>
      </c>
    </row>
    <row r="895" spans="1:17" ht="16.5" x14ac:dyDescent="0.25">
      <c r="A895" s="23">
        <v>892</v>
      </c>
      <c r="B895" s="30" t="s">
        <v>764</v>
      </c>
      <c r="C895" s="23">
        <v>140640007</v>
      </c>
      <c r="D895" s="23">
        <v>400</v>
      </c>
      <c r="E895" s="27">
        <f>_xlfn.XLOOKUP(packes[[#This Row],[productId]],bom[Id],bom[wgt])</f>
        <v>1.1413748378728923</v>
      </c>
      <c r="F895" s="27">
        <f>packes[[#This Row],[num]]*packes[[#This Row],[wtg]]</f>
        <v>456.54993514915691</v>
      </c>
      <c r="G895" s="357">
        <v>2</v>
      </c>
      <c r="H895" s="21">
        <f>packes[[#This Row],[num]]-SUM(packes[[#This Row],[num2]])</f>
        <v>400</v>
      </c>
      <c r="I895" s="357"/>
      <c r="J895" s="21"/>
      <c r="K895" s="323"/>
      <c r="M895" s="27">
        <f>_xlfn.XLOOKUP(packes[[#This Row],[productId]],CT[productId],CT[total],"NA")</f>
        <v>77.11999999999999</v>
      </c>
      <c r="N895" s="23" t="str">
        <f>_xlfn.XLOOKUP(packes[[#This Row],[productId]],bom[Id],bom[ph],"NA")</f>
        <v>molex</v>
      </c>
      <c r="O895" s="23" t="str">
        <f>_xlfn.XLOOKUP(packes[[#This Row],[productId]],bom[Id],bom[erth],"NA")</f>
        <v>sun</v>
      </c>
      <c r="P895" s="23">
        <f>_xlfn.XLOOKUP(packes[[#This Row],[productId]],bom[Id],bom[dbl],"NA")</f>
        <v>0</v>
      </c>
      <c r="Q895" s="20" t="str">
        <f>LEFT(packes[[#This Row],[date]],4)</f>
        <v>1404</v>
      </c>
    </row>
    <row r="896" spans="1:17" ht="16.5" x14ac:dyDescent="0.25">
      <c r="A896" s="23">
        <v>893</v>
      </c>
      <c r="B896" s="30" t="s">
        <v>764</v>
      </c>
      <c r="C896" s="23">
        <v>141320055</v>
      </c>
      <c r="D896" s="23">
        <v>400</v>
      </c>
      <c r="E896" s="27">
        <f>_xlfn.XLOOKUP(packes[[#This Row],[productId]],bom[Id],bom[wgt])</f>
        <v>1.1274069639828395</v>
      </c>
      <c r="F896" s="27">
        <f>packes[[#This Row],[num]]*packes[[#This Row],[wtg]]</f>
        <v>450.96278559313578</v>
      </c>
      <c r="G896" s="357">
        <v>2</v>
      </c>
      <c r="H896" s="21">
        <f>packes[[#This Row],[num]]-SUM(packes[[#This Row],[num2]])</f>
        <v>400</v>
      </c>
      <c r="I896" s="357"/>
      <c r="J896" s="21"/>
      <c r="K896" s="323"/>
      <c r="M896" s="27">
        <f>_xlfn.XLOOKUP(packes[[#This Row],[productId]],CT[productId],CT[total],"NA")</f>
        <v>41.13</v>
      </c>
      <c r="N896" s="23">
        <f>_xlfn.XLOOKUP(packes[[#This Row],[productId]],bom[Id],bom[ph],"NA")</f>
        <v>0</v>
      </c>
      <c r="O896" s="23">
        <f>_xlfn.XLOOKUP(packes[[#This Row],[productId]],bom[Id],bom[erth],"NA")</f>
        <v>0</v>
      </c>
      <c r="P896" s="23">
        <f>_xlfn.XLOOKUP(packes[[#This Row],[productId]],bom[Id],bom[dbl],"NA")</f>
        <v>0</v>
      </c>
      <c r="Q896" s="20" t="str">
        <f>LEFT(packes[[#This Row],[date]],4)</f>
        <v>1404</v>
      </c>
    </row>
    <row r="897" spans="1:17" ht="16.5" x14ac:dyDescent="0.25">
      <c r="A897" s="23">
        <v>894</v>
      </c>
      <c r="B897" s="30" t="s">
        <v>765</v>
      </c>
      <c r="C897" s="23">
        <v>140030039</v>
      </c>
      <c r="D897" s="23">
        <v>200</v>
      </c>
      <c r="E897" s="27">
        <f>_xlfn.XLOOKUP(packes[[#This Row],[productId]],bom[Id],bom[wgt])</f>
        <v>1.1413748378728923</v>
      </c>
      <c r="F897" s="27">
        <f>packes[[#This Row],[num]]*packes[[#This Row],[wtg]]</f>
        <v>228.27496757457845</v>
      </c>
      <c r="G897" s="357">
        <v>4</v>
      </c>
      <c r="H897" s="21">
        <f>packes[[#This Row],[num]]-SUM(packes[[#This Row],[num2]])</f>
        <v>200</v>
      </c>
      <c r="I897" s="357"/>
      <c r="J897" s="21"/>
      <c r="K897" s="323"/>
      <c r="M897" s="27">
        <f>_xlfn.XLOOKUP(packes[[#This Row],[productId]],CT[productId],CT[total],"NA")</f>
        <v>92.504999999999995</v>
      </c>
      <c r="N897" s="23" t="str">
        <f>_xlfn.XLOOKUP(packes[[#This Row],[productId]],bom[Id],bom[ph],"NA")</f>
        <v>YH</v>
      </c>
      <c r="O897" s="23" t="str">
        <f>_xlfn.XLOOKUP(packes[[#This Row],[productId]],bom[Id],bom[erth],"NA")</f>
        <v>sun</v>
      </c>
      <c r="P897" s="23" t="str">
        <f>_xlfn.XLOOKUP(packes[[#This Row],[productId]],bom[Id],bom[dbl],"NA")</f>
        <v>-</v>
      </c>
      <c r="Q897" s="20" t="str">
        <f>LEFT(packes[[#This Row],[date]],4)</f>
        <v>1404</v>
      </c>
    </row>
    <row r="898" spans="1:17" ht="16.5" x14ac:dyDescent="0.25">
      <c r="A898" s="23">
        <v>895</v>
      </c>
      <c r="B898" s="30" t="s">
        <v>765</v>
      </c>
      <c r="C898" s="23">
        <v>140030040</v>
      </c>
      <c r="D898" s="23">
        <v>700</v>
      </c>
      <c r="E898" s="27">
        <f>_xlfn.XLOOKUP(packes[[#This Row],[productId]],bom[Id],bom[wgt])</f>
        <v>1.1092487279257708</v>
      </c>
      <c r="F898" s="27">
        <f>packes[[#This Row],[num]]*packes[[#This Row],[wtg]]</f>
        <v>776.47410954803956</v>
      </c>
      <c r="G898" s="357">
        <v>4</v>
      </c>
      <c r="H898" s="21">
        <f>packes[[#This Row],[num]]-SUM(packes[[#This Row],[num2]])</f>
        <v>700</v>
      </c>
      <c r="I898" s="357"/>
      <c r="J898" s="21"/>
      <c r="K898" s="323"/>
      <c r="M898" s="27">
        <f>_xlfn.XLOOKUP(packes[[#This Row],[productId]],CT[productId],CT[total],"NA")</f>
        <v>97.305000000000007</v>
      </c>
      <c r="N898" s="23" t="str">
        <f>_xlfn.XLOOKUP(packes[[#This Row],[productId]],bom[Id],bom[ph],"NA")</f>
        <v>YH</v>
      </c>
      <c r="O898" s="23" t="str">
        <f>_xlfn.XLOOKUP(packes[[#This Row],[productId]],bom[Id],bom[erth],"NA")</f>
        <v>sun</v>
      </c>
      <c r="P898" s="23" t="str">
        <f>_xlfn.XLOOKUP(packes[[#This Row],[productId]],bom[Id],bom[dbl],"NA")</f>
        <v>-</v>
      </c>
      <c r="Q898" s="20" t="str">
        <f>LEFT(packes[[#This Row],[date]],4)</f>
        <v>1404</v>
      </c>
    </row>
    <row r="899" spans="1:17" ht="16.5" x14ac:dyDescent="0.25">
      <c r="A899" s="23">
        <v>896</v>
      </c>
      <c r="B899" s="30" t="s">
        <v>765</v>
      </c>
      <c r="C899" s="23">
        <v>140310071</v>
      </c>
      <c r="D899" s="23">
        <v>2250</v>
      </c>
      <c r="E899" s="27">
        <f>_xlfn.XLOOKUP(packes[[#This Row],[productId]],bom[Id],bom[wgt])</f>
        <v>1.3</v>
      </c>
      <c r="F899" s="27">
        <f>packes[[#This Row],[num]]*packes[[#This Row],[wtg]]</f>
        <v>2925</v>
      </c>
      <c r="G899" s="357">
        <v>3</v>
      </c>
      <c r="H899" s="21">
        <f>packes[[#This Row],[num]]-SUM(packes[[#This Row],[num2]])</f>
        <v>2250</v>
      </c>
      <c r="I899" s="357"/>
      <c r="J899" s="21"/>
      <c r="K899" s="323"/>
      <c r="M899" s="27">
        <f>_xlfn.XLOOKUP(packes[[#This Row],[productId]],CT[productId],CT[total],"NA")</f>
        <v>130.69500000000002</v>
      </c>
      <c r="N899" s="23" t="str">
        <f>_xlfn.XLOOKUP(packes[[#This Row],[productId]],bom[Id],bom[ph],"NA")</f>
        <v>6.3ch</v>
      </c>
      <c r="O899" s="23" t="str">
        <f>_xlfn.XLOOKUP(packes[[#This Row],[productId]],bom[Id],bom[erth],"NA")</f>
        <v>6.3k</v>
      </c>
      <c r="P899" s="23" t="str">
        <f>_xlfn.XLOOKUP(packes[[#This Row],[productId]],bom[Id],bom[dbl],"NA")</f>
        <v>-</v>
      </c>
      <c r="Q899" s="20" t="str">
        <f>LEFT(packes[[#This Row],[date]],4)</f>
        <v>1404</v>
      </c>
    </row>
    <row r="900" spans="1:17" ht="16.5" x14ac:dyDescent="0.25">
      <c r="A900" s="23">
        <v>897</v>
      </c>
      <c r="B900" s="30" t="s">
        <v>765</v>
      </c>
      <c r="C900" s="23">
        <v>140310083</v>
      </c>
      <c r="D900" s="23">
        <v>700</v>
      </c>
      <c r="E900" s="27">
        <f>_xlfn.XLOOKUP(packes[[#This Row],[productId]],bom[Id],bom[wgt])</f>
        <v>1.3369250723336326</v>
      </c>
      <c r="F900" s="27">
        <f>packes[[#This Row],[num]]*packes[[#This Row],[wtg]]</f>
        <v>935.84755063354282</v>
      </c>
      <c r="G900" s="357">
        <v>3</v>
      </c>
      <c r="H900" s="21">
        <f>packes[[#This Row],[num]]-SUM(packes[[#This Row],[num2]])</f>
        <v>700</v>
      </c>
      <c r="I900" s="357"/>
      <c r="J900" s="21"/>
      <c r="K900" s="323"/>
      <c r="M900" s="27">
        <f>_xlfn.XLOOKUP(packes[[#This Row],[productId]],CT[productId],CT[total],"NA")</f>
        <v>135.23500000000001</v>
      </c>
      <c r="N900" s="23" t="str">
        <f>_xlfn.XLOOKUP(packes[[#This Row],[productId]],bom[Id],bom[ph],"NA")</f>
        <v>6.3flat</v>
      </c>
      <c r="O900" s="23" t="str">
        <f>_xlfn.XLOOKUP(packes[[#This Row],[productId]],bom[Id],bom[erth],"NA")</f>
        <v>6.3flat</v>
      </c>
      <c r="P900" s="23" t="str">
        <f>_xlfn.XLOOKUP(packes[[#This Row],[productId]],bom[Id],bom[dbl],"NA")</f>
        <v>-</v>
      </c>
      <c r="Q900" s="20" t="str">
        <f>LEFT(packes[[#This Row],[date]],4)</f>
        <v>1404</v>
      </c>
    </row>
    <row r="901" spans="1:17" ht="16.5" x14ac:dyDescent="0.25">
      <c r="A901" s="23">
        <v>898</v>
      </c>
      <c r="B901" s="30" t="s">
        <v>765</v>
      </c>
      <c r="C901" s="23">
        <v>140640007</v>
      </c>
      <c r="D901" s="23">
        <v>250</v>
      </c>
      <c r="E901" s="27">
        <f>_xlfn.XLOOKUP(packes[[#This Row],[productId]],bom[Id],bom[wgt])</f>
        <v>1.1413748378728923</v>
      </c>
      <c r="F901" s="27">
        <f>packes[[#This Row],[num]]*packes[[#This Row],[wtg]]</f>
        <v>285.3437094682231</v>
      </c>
      <c r="G901" s="357">
        <v>2</v>
      </c>
      <c r="H901" s="21">
        <f>packes[[#This Row],[num]]-SUM(packes[[#This Row],[num2]])</f>
        <v>250</v>
      </c>
      <c r="I901" s="357"/>
      <c r="J901" s="21"/>
      <c r="K901" s="323"/>
      <c r="M901" s="27">
        <f>_xlfn.XLOOKUP(packes[[#This Row],[productId]],CT[productId],CT[total],"NA")</f>
        <v>77.11999999999999</v>
      </c>
      <c r="N901" s="23" t="str">
        <f>_xlfn.XLOOKUP(packes[[#This Row],[productId]],bom[Id],bom[ph],"NA")</f>
        <v>molex</v>
      </c>
      <c r="O901" s="23" t="str">
        <f>_xlfn.XLOOKUP(packes[[#This Row],[productId]],bom[Id],bom[erth],"NA")</f>
        <v>sun</v>
      </c>
      <c r="P901" s="23">
        <f>_xlfn.XLOOKUP(packes[[#This Row],[productId]],bom[Id],bom[dbl],"NA")</f>
        <v>0</v>
      </c>
      <c r="Q901" s="20" t="str">
        <f>LEFT(packes[[#This Row],[date]],4)</f>
        <v>1404</v>
      </c>
    </row>
    <row r="902" spans="1:17" ht="16.5" x14ac:dyDescent="0.25">
      <c r="A902" s="23">
        <v>899</v>
      </c>
      <c r="B902" s="30" t="s">
        <v>765</v>
      </c>
      <c r="C902" s="23">
        <v>140530039</v>
      </c>
      <c r="D902" s="23">
        <v>200</v>
      </c>
      <c r="E902" s="27">
        <f>_xlfn.XLOOKUP(packes[[#This Row],[productId]],bom[Id],bom[wgt])</f>
        <v>1.1274069639828395</v>
      </c>
      <c r="F902" s="27">
        <f>packes[[#This Row],[num]]*packes[[#This Row],[wtg]]</f>
        <v>225.48139279656789</v>
      </c>
      <c r="G902" s="357">
        <v>3</v>
      </c>
      <c r="H902" s="21">
        <f>packes[[#This Row],[num]]-SUM(packes[[#This Row],[num2]])</f>
        <v>200</v>
      </c>
      <c r="I902" s="357"/>
      <c r="J902" s="21"/>
      <c r="K902" s="323"/>
      <c r="M902" s="27">
        <f>_xlfn.XLOOKUP(packes[[#This Row],[productId]],CT[productId],CT[total],"NA")</f>
        <v>41.13</v>
      </c>
      <c r="N902" s="23" t="str">
        <f>_xlfn.XLOOKUP(packes[[#This Row],[productId]],bom[Id],bom[ph],"NA")</f>
        <v>radio</v>
      </c>
      <c r="O902" s="23" t="str">
        <f>_xlfn.XLOOKUP(packes[[#This Row],[productId]],bom[Id],bom[erth],"NA")</f>
        <v>-</v>
      </c>
      <c r="P902" s="23" t="str">
        <f>_xlfn.XLOOKUP(packes[[#This Row],[productId]],bom[Id],bom[dbl],"NA")</f>
        <v>-</v>
      </c>
      <c r="Q902" s="20" t="str">
        <f>LEFT(packes[[#This Row],[date]],4)</f>
        <v>1404</v>
      </c>
    </row>
    <row r="903" spans="1:17" ht="16.5" x14ac:dyDescent="0.25">
      <c r="A903" s="23">
        <v>900</v>
      </c>
      <c r="B903" s="30" t="s">
        <v>765</v>
      </c>
      <c r="C903" s="23">
        <v>141320055</v>
      </c>
      <c r="D903" s="23">
        <v>1300</v>
      </c>
      <c r="E903" s="27">
        <f>_xlfn.XLOOKUP(packes[[#This Row],[productId]],bom[Id],bom[wgt])</f>
        <v>1.1274069639828395</v>
      </c>
      <c r="F903" s="27">
        <f>packes[[#This Row],[num]]*packes[[#This Row],[wtg]]</f>
        <v>1465.6290531776913</v>
      </c>
      <c r="G903" s="357">
        <v>2</v>
      </c>
      <c r="H903" s="21">
        <f>packes[[#This Row],[num]]-SUM(packes[[#This Row],[num2]])</f>
        <v>1300</v>
      </c>
      <c r="I903" s="357"/>
      <c r="J903" s="21"/>
      <c r="K903" s="323"/>
      <c r="M903" s="27">
        <f>_xlfn.XLOOKUP(packes[[#This Row],[productId]],CT[productId],CT[total],"NA")</f>
        <v>41.13</v>
      </c>
      <c r="N903" s="23">
        <f>_xlfn.XLOOKUP(packes[[#This Row],[productId]],bom[Id],bom[ph],"NA")</f>
        <v>0</v>
      </c>
      <c r="O903" s="23">
        <f>_xlfn.XLOOKUP(packes[[#This Row],[productId]],bom[Id],bom[erth],"NA")</f>
        <v>0</v>
      </c>
      <c r="P903" s="23">
        <f>_xlfn.XLOOKUP(packes[[#This Row],[productId]],bom[Id],bom[dbl],"NA")</f>
        <v>0</v>
      </c>
      <c r="Q903" s="20" t="str">
        <f>LEFT(packes[[#This Row],[date]],4)</f>
        <v>1404</v>
      </c>
    </row>
    <row r="904" spans="1:17" ht="16.5" x14ac:dyDescent="0.25">
      <c r="A904" s="23">
        <v>901</v>
      </c>
      <c r="B904" s="30" t="s">
        <v>766</v>
      </c>
      <c r="C904" s="23">
        <v>140030040</v>
      </c>
      <c r="D904" s="23">
        <v>800</v>
      </c>
      <c r="E904" s="27">
        <f>_xlfn.XLOOKUP(packes[[#This Row],[productId]],bom[Id],bom[wgt])</f>
        <v>1.1092487279257708</v>
      </c>
      <c r="F904" s="27">
        <f>packes[[#This Row],[num]]*packes[[#This Row],[wtg]]</f>
        <v>887.39898234061661</v>
      </c>
      <c r="G904" s="357">
        <v>3</v>
      </c>
      <c r="H904" s="21">
        <f>packes[[#This Row],[num]]-SUM(packes[[#This Row],[num2]])</f>
        <v>100</v>
      </c>
      <c r="I904" s="357">
        <v>4</v>
      </c>
      <c r="J904" s="21">
        <v>700</v>
      </c>
      <c r="K904" s="323"/>
      <c r="M904" s="27">
        <f>_xlfn.XLOOKUP(packes[[#This Row],[productId]],CT[productId],CT[total],"NA")</f>
        <v>97.305000000000007</v>
      </c>
      <c r="N904" s="23" t="str">
        <f>_xlfn.XLOOKUP(packes[[#This Row],[productId]],bom[Id],bom[ph],"NA")</f>
        <v>YH</v>
      </c>
      <c r="O904" s="23" t="str">
        <f>_xlfn.XLOOKUP(packes[[#This Row],[productId]],bom[Id],bom[erth],"NA")</f>
        <v>sun</v>
      </c>
      <c r="P904" s="23" t="str">
        <f>_xlfn.XLOOKUP(packes[[#This Row],[productId]],bom[Id],bom[dbl],"NA")</f>
        <v>-</v>
      </c>
      <c r="Q904" s="20" t="str">
        <f>LEFT(packes[[#This Row],[date]],4)</f>
        <v>1404</v>
      </c>
    </row>
    <row r="905" spans="1:17" ht="16.5" x14ac:dyDescent="0.25">
      <c r="A905" s="23">
        <v>902</v>
      </c>
      <c r="B905" s="30" t="s">
        <v>766</v>
      </c>
      <c r="C905" s="23">
        <v>140310071</v>
      </c>
      <c r="D905" s="23">
        <v>1500</v>
      </c>
      <c r="E905" s="27">
        <f>_xlfn.XLOOKUP(packes[[#This Row],[productId]],bom[Id],bom[wgt])</f>
        <v>1.3</v>
      </c>
      <c r="F905" s="27">
        <f>packes[[#This Row],[num]]*packes[[#This Row],[wtg]]</f>
        <v>1950</v>
      </c>
      <c r="G905" s="357">
        <v>3</v>
      </c>
      <c r="H905" s="21">
        <f>packes[[#This Row],[num]]-SUM(packes[[#This Row],[num2]])</f>
        <v>1500</v>
      </c>
      <c r="I905" s="357"/>
      <c r="J905" s="21"/>
      <c r="K905" s="323"/>
      <c r="M905" s="27">
        <f>_xlfn.XLOOKUP(packes[[#This Row],[productId]],CT[productId],CT[total],"NA")</f>
        <v>130.69500000000002</v>
      </c>
      <c r="N905" s="23" t="str">
        <f>_xlfn.XLOOKUP(packes[[#This Row],[productId]],bom[Id],bom[ph],"NA")</f>
        <v>6.3ch</v>
      </c>
      <c r="O905" s="23" t="str">
        <f>_xlfn.XLOOKUP(packes[[#This Row],[productId]],bom[Id],bom[erth],"NA")</f>
        <v>6.3k</v>
      </c>
      <c r="P905" s="23" t="str">
        <f>_xlfn.XLOOKUP(packes[[#This Row],[productId]],bom[Id],bom[dbl],"NA")</f>
        <v>-</v>
      </c>
      <c r="Q905" s="20" t="str">
        <f>LEFT(packes[[#This Row],[date]],4)</f>
        <v>1404</v>
      </c>
    </row>
    <row r="906" spans="1:17" ht="16.5" x14ac:dyDescent="0.25">
      <c r="A906" s="23">
        <v>903</v>
      </c>
      <c r="B906" s="30" t="s">
        <v>766</v>
      </c>
      <c r="C906" s="23">
        <v>140310083</v>
      </c>
      <c r="D906" s="23">
        <v>400</v>
      </c>
      <c r="E906" s="27">
        <f>_xlfn.XLOOKUP(packes[[#This Row],[productId]],bom[Id],bom[wgt])</f>
        <v>1.3369250723336326</v>
      </c>
      <c r="F906" s="27">
        <f>packes[[#This Row],[num]]*packes[[#This Row],[wtg]]</f>
        <v>534.77002893345298</v>
      </c>
      <c r="G906" s="357">
        <v>3</v>
      </c>
      <c r="H906" s="21">
        <f>packes[[#This Row],[num]]-SUM(packes[[#This Row],[num2]])</f>
        <v>400</v>
      </c>
      <c r="I906" s="357"/>
      <c r="J906" s="21"/>
      <c r="K906" s="323"/>
      <c r="M906" s="27">
        <f>_xlfn.XLOOKUP(packes[[#This Row],[productId]],CT[productId],CT[total],"NA")</f>
        <v>135.23500000000001</v>
      </c>
      <c r="N906" s="23" t="str">
        <f>_xlfn.XLOOKUP(packes[[#This Row],[productId]],bom[Id],bom[ph],"NA")</f>
        <v>6.3flat</v>
      </c>
      <c r="O906" s="23" t="str">
        <f>_xlfn.XLOOKUP(packes[[#This Row],[productId]],bom[Id],bom[erth],"NA")</f>
        <v>6.3flat</v>
      </c>
      <c r="P906" s="23" t="str">
        <f>_xlfn.XLOOKUP(packes[[#This Row],[productId]],bom[Id],bom[dbl],"NA")</f>
        <v>-</v>
      </c>
      <c r="Q906" s="20" t="str">
        <f>LEFT(packes[[#This Row],[date]],4)</f>
        <v>1404</v>
      </c>
    </row>
    <row r="907" spans="1:17" ht="16.5" x14ac:dyDescent="0.25">
      <c r="A907" s="23">
        <v>904</v>
      </c>
      <c r="B907" s="30" t="s">
        <v>766</v>
      </c>
      <c r="C907" s="23">
        <v>140530039</v>
      </c>
      <c r="D907" s="23">
        <v>200</v>
      </c>
      <c r="E907" s="27">
        <f>_xlfn.XLOOKUP(packes[[#This Row],[productId]],bom[Id],bom[wgt])</f>
        <v>1.1274069639828395</v>
      </c>
      <c r="F907" s="27">
        <f>packes[[#This Row],[num]]*packes[[#This Row],[wtg]]</f>
        <v>225.48139279656789</v>
      </c>
      <c r="G907" s="357">
        <v>3</v>
      </c>
      <c r="H907" s="21">
        <f>packes[[#This Row],[num]]-SUM(packes[[#This Row],[num2]])</f>
        <v>200</v>
      </c>
      <c r="I907" s="357"/>
      <c r="J907" s="21"/>
      <c r="K907" s="323"/>
      <c r="M907" s="27">
        <f>_xlfn.XLOOKUP(packes[[#This Row],[productId]],CT[productId],CT[total],"NA")</f>
        <v>41.13</v>
      </c>
      <c r="N907" s="23" t="str">
        <f>_xlfn.XLOOKUP(packes[[#This Row],[productId]],bom[Id],bom[ph],"NA")</f>
        <v>radio</v>
      </c>
      <c r="O907" s="23" t="str">
        <f>_xlfn.XLOOKUP(packes[[#This Row],[productId]],bom[Id],bom[erth],"NA")</f>
        <v>-</v>
      </c>
      <c r="P907" s="23" t="str">
        <f>_xlfn.XLOOKUP(packes[[#This Row],[productId]],bom[Id],bom[dbl],"NA")</f>
        <v>-</v>
      </c>
      <c r="Q907" s="20" t="str">
        <f>LEFT(packes[[#This Row],[date]],4)</f>
        <v>1404</v>
      </c>
    </row>
    <row r="908" spans="1:17" ht="16.5" x14ac:dyDescent="0.25">
      <c r="A908" s="23">
        <v>905</v>
      </c>
      <c r="B908" s="30" t="s">
        <v>766</v>
      </c>
      <c r="C908" s="23">
        <v>141320055</v>
      </c>
      <c r="D908" s="23">
        <v>2200</v>
      </c>
      <c r="E908" s="27">
        <f>_xlfn.XLOOKUP(packes[[#This Row],[productId]],bom[Id],bom[wgt])</f>
        <v>1.1274069639828395</v>
      </c>
      <c r="F908" s="27">
        <f>packes[[#This Row],[num]]*packes[[#This Row],[wtg]]</f>
        <v>2480.2953207622468</v>
      </c>
      <c r="G908" s="357">
        <v>3</v>
      </c>
      <c r="H908" s="21">
        <f>packes[[#This Row],[num]]-SUM(packes[[#This Row],[num2]])</f>
        <v>1800</v>
      </c>
      <c r="I908" s="357">
        <v>2</v>
      </c>
      <c r="J908" s="21">
        <v>400</v>
      </c>
      <c r="K908" s="323"/>
      <c r="M908" s="27">
        <f>_xlfn.XLOOKUP(packes[[#This Row],[productId]],CT[productId],CT[total],"NA")</f>
        <v>41.13</v>
      </c>
      <c r="N908" s="23">
        <f>_xlfn.XLOOKUP(packes[[#This Row],[productId]],bom[Id],bom[ph],"NA")</f>
        <v>0</v>
      </c>
      <c r="O908" s="23">
        <f>_xlfn.XLOOKUP(packes[[#This Row],[productId]],bom[Id],bom[erth],"NA")</f>
        <v>0</v>
      </c>
      <c r="P908" s="23">
        <f>_xlfn.XLOOKUP(packes[[#This Row],[productId]],bom[Id],bom[dbl],"NA")</f>
        <v>0</v>
      </c>
      <c r="Q908" s="20" t="str">
        <f>LEFT(packes[[#This Row],[date]],4)</f>
        <v>1404</v>
      </c>
    </row>
    <row r="909" spans="1:17" s="23" customFormat="1" ht="16.5" x14ac:dyDescent="0.25">
      <c r="A909" s="23">
        <v>906</v>
      </c>
      <c r="B909" s="30" t="s">
        <v>767</v>
      </c>
      <c r="C909" s="23">
        <v>140010117</v>
      </c>
      <c r="D909" s="23">
        <v>600</v>
      </c>
      <c r="E909" s="27">
        <f>_xlfn.XLOOKUP(packes[[#This Row],[productId]],bom[Id],bom[wgt])</f>
        <v>1</v>
      </c>
      <c r="F909" s="27">
        <f>packes[[#This Row],[num]]*packes[[#This Row],[wtg]]</f>
        <v>600</v>
      </c>
      <c r="G909" s="357">
        <v>4</v>
      </c>
      <c r="H909" s="21">
        <f>packes[[#This Row],[num]]-SUM(packes[[#This Row],[num2]])</f>
        <v>500</v>
      </c>
      <c r="I909" s="357">
        <v>3</v>
      </c>
      <c r="J909" s="21">
        <v>100</v>
      </c>
      <c r="K909" s="323"/>
      <c r="M909" s="27">
        <f>_xlfn.XLOOKUP(packes[[#This Row],[productId]],CT[productId],CT[total],"NA")</f>
        <v>98.295000000000016</v>
      </c>
      <c r="N909" s="23" t="str">
        <f>_xlfn.XLOOKUP(packes[[#This Row],[productId]],bom[Id],bom[ph],"NA")</f>
        <v>nar.p</v>
      </c>
      <c r="O909" s="23" t="str">
        <f>_xlfn.XLOOKUP(packes[[#This Row],[productId]],bom[Id],bom[erth],"NA")</f>
        <v>-</v>
      </c>
      <c r="P909" s="23" t="str">
        <f>_xlfn.XLOOKUP(packes[[#This Row],[productId]],bom[Id],bom[dbl],"NA")</f>
        <v>nar.p</v>
      </c>
      <c r="Q909" s="20" t="str">
        <f>LEFT(packes[[#This Row],[date]],4)</f>
        <v>1404</v>
      </c>
    </row>
    <row r="910" spans="1:17" ht="16.5" x14ac:dyDescent="0.25">
      <c r="A910" s="23">
        <v>907</v>
      </c>
      <c r="B910" s="30" t="s">
        <v>767</v>
      </c>
      <c r="C910" s="23">
        <v>140030040</v>
      </c>
      <c r="D910" s="23">
        <v>200</v>
      </c>
      <c r="E910" s="27">
        <f>_xlfn.XLOOKUP(packes[[#This Row],[productId]],bom[Id],bom[wgt])</f>
        <v>1.1092487279257708</v>
      </c>
      <c r="F910" s="27">
        <f>packes[[#This Row],[num]]*packes[[#This Row],[wtg]]</f>
        <v>221.84974558515415</v>
      </c>
      <c r="G910" s="357">
        <v>4</v>
      </c>
      <c r="H910" s="21">
        <f>packes[[#This Row],[num]]-SUM(packes[[#This Row],[num2]])</f>
        <v>200</v>
      </c>
      <c r="I910" s="357"/>
      <c r="J910" s="21"/>
      <c r="K910" s="323"/>
      <c r="M910" s="27">
        <f>_xlfn.XLOOKUP(packes[[#This Row],[productId]],CT[productId],CT[total],"NA")</f>
        <v>97.305000000000007</v>
      </c>
      <c r="N910" s="23" t="str">
        <f>_xlfn.XLOOKUP(packes[[#This Row],[productId]],bom[Id],bom[ph],"NA")</f>
        <v>YH</v>
      </c>
      <c r="O910" s="23" t="str">
        <f>_xlfn.XLOOKUP(packes[[#This Row],[productId]],bom[Id],bom[erth],"NA")</f>
        <v>sun</v>
      </c>
      <c r="P910" s="23" t="str">
        <f>_xlfn.XLOOKUP(packes[[#This Row],[productId]],bom[Id],bom[dbl],"NA")</f>
        <v>-</v>
      </c>
      <c r="Q910" s="20" t="str">
        <f>LEFT(packes[[#This Row],[date]],4)</f>
        <v>1404</v>
      </c>
    </row>
    <row r="911" spans="1:17" ht="16.5" x14ac:dyDescent="0.25">
      <c r="A911" s="23">
        <v>908</v>
      </c>
      <c r="B911" s="30" t="s">
        <v>767</v>
      </c>
      <c r="C911" s="23">
        <v>140090143</v>
      </c>
      <c r="D911" s="23">
        <v>14</v>
      </c>
      <c r="E911" s="27">
        <f>_xlfn.XLOOKUP(packes[[#This Row],[productId]],bom[Id],bom[wgt])</f>
        <v>2.7237354085603114</v>
      </c>
      <c r="F911" s="27">
        <f>packes[[#This Row],[num]]*packes[[#This Row],[wtg]]</f>
        <v>38.132295719844358</v>
      </c>
      <c r="G911" s="357" t="s">
        <v>123</v>
      </c>
      <c r="H911" s="21">
        <f>packes[[#This Row],[num]]-SUM(packes[[#This Row],[num2]])</f>
        <v>14</v>
      </c>
      <c r="I911" s="357"/>
      <c r="J911" s="21"/>
      <c r="K911" s="323"/>
      <c r="M911" s="27">
        <f>_xlfn.XLOOKUP(packes[[#This Row],[productId]],CT[productId],CT[total],"NA")</f>
        <v>233.215</v>
      </c>
      <c r="N911" s="23" t="str">
        <f>_xlfn.XLOOKUP(packes[[#This Row],[productId]],bom[Id],bom[ph],"NA")</f>
        <v>molex</v>
      </c>
      <c r="O911" s="23" t="str">
        <f>_xlfn.XLOOKUP(packes[[#This Row],[productId]],bom[Id],bom[erth],"NA")</f>
        <v>-</v>
      </c>
      <c r="P911" s="23" t="str">
        <f>_xlfn.XLOOKUP(packes[[#This Row],[productId]],bom[Id],bom[dbl],"NA")</f>
        <v>splice</v>
      </c>
      <c r="Q911" s="20" t="str">
        <f>LEFT(packes[[#This Row],[date]],4)</f>
        <v>1404</v>
      </c>
    </row>
    <row r="912" spans="1:17" ht="16.5" x14ac:dyDescent="0.25">
      <c r="A912" s="23">
        <v>909</v>
      </c>
      <c r="B912" s="30" t="s">
        <v>767</v>
      </c>
      <c r="C912" s="23">
        <v>140310016</v>
      </c>
      <c r="D912" s="23">
        <v>2</v>
      </c>
      <c r="E912" s="27">
        <f>_xlfn.XLOOKUP(packes[[#This Row],[productId]],bom[Id],bom[wgt])</f>
        <v>3</v>
      </c>
      <c r="F912" s="27">
        <f>packes[[#This Row],[num]]*packes[[#This Row],[wtg]]</f>
        <v>6</v>
      </c>
      <c r="G912" s="357" t="s">
        <v>123</v>
      </c>
      <c r="H912" s="21">
        <f>packes[[#This Row],[num]]-SUM(packes[[#This Row],[num2]])</f>
        <v>2</v>
      </c>
      <c r="I912" s="357"/>
      <c r="J912" s="21"/>
      <c r="K912" s="323"/>
      <c r="M912" s="27">
        <f>_xlfn.XLOOKUP(packes[[#This Row],[productId]],CT[productId],CT[total],"NA")</f>
        <v>84.4</v>
      </c>
      <c r="N912" s="23" t="str">
        <f>_xlfn.XLOOKUP(packes[[#This Row],[productId]],bom[Id],bom[ph],"NA")</f>
        <v>hcb</v>
      </c>
      <c r="O912" s="23">
        <f>_xlfn.XLOOKUP(packes[[#This Row],[productId]],bom[Id],bom[erth],"NA")</f>
        <v>0</v>
      </c>
      <c r="P912" s="23" t="str">
        <f>_xlfn.XLOOKUP(packes[[#This Row],[productId]],bom[Id],bom[dbl],"NA")</f>
        <v>splice</v>
      </c>
      <c r="Q912" s="20" t="str">
        <f>LEFT(packes[[#This Row],[date]],4)</f>
        <v>1404</v>
      </c>
    </row>
    <row r="913" spans="1:17" ht="16.5" x14ac:dyDescent="0.25">
      <c r="A913" s="23">
        <v>910</v>
      </c>
      <c r="B913" s="30" t="s">
        <v>767</v>
      </c>
      <c r="C913" s="23">
        <v>140310071</v>
      </c>
      <c r="D913" s="23">
        <f>1900+500</f>
        <v>2400</v>
      </c>
      <c r="E913" s="27">
        <f>_xlfn.XLOOKUP(packes[[#This Row],[productId]],bom[Id],bom[wgt])</f>
        <v>1.3</v>
      </c>
      <c r="F913" s="27">
        <f>packes[[#This Row],[num]]*packes[[#This Row],[wtg]]</f>
        <v>3120</v>
      </c>
      <c r="G913" s="357">
        <v>3</v>
      </c>
      <c r="H913" s="21">
        <f>packes[[#This Row],[num]]-SUM(packes[[#This Row],[num2]])</f>
        <v>2400</v>
      </c>
      <c r="I913" s="357"/>
      <c r="J913" s="21"/>
      <c r="K913" s="323"/>
      <c r="M913" s="27">
        <f>_xlfn.XLOOKUP(packes[[#This Row],[productId]],CT[productId],CT[total],"NA")</f>
        <v>130.69500000000002</v>
      </c>
      <c r="N913" s="23" t="str">
        <f>_xlfn.XLOOKUP(packes[[#This Row],[productId]],bom[Id],bom[ph],"NA")</f>
        <v>6.3ch</v>
      </c>
      <c r="O913" s="23" t="str">
        <f>_xlfn.XLOOKUP(packes[[#This Row],[productId]],bom[Id],bom[erth],"NA")</f>
        <v>6.3k</v>
      </c>
      <c r="P913" s="23" t="str">
        <f>_xlfn.XLOOKUP(packes[[#This Row],[productId]],bom[Id],bom[dbl],"NA")</f>
        <v>-</v>
      </c>
      <c r="Q913" s="20" t="str">
        <f>LEFT(packes[[#This Row],[date]],4)</f>
        <v>1404</v>
      </c>
    </row>
    <row r="914" spans="1:17" ht="16.5" x14ac:dyDescent="0.25">
      <c r="A914" s="23">
        <v>911</v>
      </c>
      <c r="B914" s="30" t="s">
        <v>767</v>
      </c>
      <c r="C914" s="23">
        <v>140310075</v>
      </c>
      <c r="D914" s="23">
        <v>24</v>
      </c>
      <c r="E914" s="27">
        <f>_xlfn.XLOOKUP(packes[[#This Row],[productId]],bom[Id],bom[wgt])</f>
        <v>1.6063054973560809</v>
      </c>
      <c r="F914" s="27">
        <f>packes[[#This Row],[num]]*packes[[#This Row],[wtg]]</f>
        <v>38.551331936545942</v>
      </c>
      <c r="G914" s="357" t="s">
        <v>123</v>
      </c>
      <c r="H914" s="21">
        <f>packes[[#This Row],[num]]-SUM(packes[[#This Row],[num2]])</f>
        <v>24</v>
      </c>
      <c r="I914" s="357"/>
      <c r="J914" s="21"/>
      <c r="K914" s="323"/>
      <c r="M914" s="27">
        <f>_xlfn.XLOOKUP(packes[[#This Row],[productId]],CT[productId],CT[total],"NA")</f>
        <v>154.88499999999999</v>
      </c>
      <c r="N914" s="23" t="str">
        <f>_xlfn.XLOOKUP(packes[[#This Row],[productId]],bom[Id],bom[ph],"NA")</f>
        <v>molex</v>
      </c>
      <c r="O914" s="23" t="str">
        <f>_xlfn.XLOOKUP(packes[[#This Row],[productId]],bom[Id],bom[erth],"NA")</f>
        <v>nut4</v>
      </c>
      <c r="P914" s="23" t="str">
        <f>_xlfn.XLOOKUP(packes[[#This Row],[productId]],bom[Id],bom[dbl],"NA")</f>
        <v>-</v>
      </c>
      <c r="Q914" s="20" t="str">
        <f>LEFT(packes[[#This Row],[date]],4)</f>
        <v>1404</v>
      </c>
    </row>
    <row r="915" spans="1:17" s="23" customFormat="1" ht="16.5" x14ac:dyDescent="0.25">
      <c r="A915" s="23">
        <v>912</v>
      </c>
      <c r="B915" s="30" t="s">
        <v>767</v>
      </c>
      <c r="C915" s="23">
        <v>140310083</v>
      </c>
      <c r="D915" s="23">
        <v>400</v>
      </c>
      <c r="E915" s="27">
        <f>_xlfn.XLOOKUP(packes[[#This Row],[productId]],bom[Id],bom[wgt])</f>
        <v>1.3369250723336326</v>
      </c>
      <c r="F915" s="27">
        <f>packes[[#This Row],[num]]*packes[[#This Row],[wtg]]</f>
        <v>534.77002893345298</v>
      </c>
      <c r="G915" s="357">
        <v>3</v>
      </c>
      <c r="H915" s="21">
        <f>packes[[#This Row],[num]]-SUM(packes[[#This Row],[num2]])</f>
        <v>400</v>
      </c>
      <c r="I915" s="357"/>
      <c r="J915" s="21"/>
      <c r="K915" s="323"/>
      <c r="M915" s="27">
        <f>_xlfn.XLOOKUP(packes[[#This Row],[productId]],CT[productId],CT[total],"NA")</f>
        <v>135.23500000000001</v>
      </c>
      <c r="N915" s="23" t="str">
        <f>_xlfn.XLOOKUP(packes[[#This Row],[productId]],bom[Id],bom[ph],"NA")</f>
        <v>6.3flat</v>
      </c>
      <c r="O915" s="23" t="str">
        <f>_xlfn.XLOOKUP(packes[[#This Row],[productId]],bom[Id],bom[erth],"NA")</f>
        <v>6.3flat</v>
      </c>
      <c r="P915" s="23" t="str">
        <f>_xlfn.XLOOKUP(packes[[#This Row],[productId]],bom[Id],bom[dbl],"NA")</f>
        <v>-</v>
      </c>
      <c r="Q915" s="20" t="str">
        <f>LEFT(packes[[#This Row],[date]],4)</f>
        <v>1404</v>
      </c>
    </row>
    <row r="916" spans="1:17" s="194" customFormat="1" ht="16.5" x14ac:dyDescent="0.25">
      <c r="A916" s="23">
        <v>913</v>
      </c>
      <c r="B916" s="77" t="s">
        <v>767</v>
      </c>
      <c r="C916" s="194">
        <v>140220012</v>
      </c>
      <c r="D916" s="194">
        <v>19</v>
      </c>
      <c r="E916" s="471">
        <f>_xlfn.XLOOKUP(packes[[#This Row],[productId]],bom[Id],bom[wgt])</f>
        <v>1.9455252918287937</v>
      </c>
      <c r="F916" s="471">
        <f>packes[[#This Row],[num]]*packes[[#This Row],[wtg]]</f>
        <v>36.964980544747078</v>
      </c>
      <c r="G916" s="360" t="s">
        <v>123</v>
      </c>
      <c r="H916" s="359">
        <f>packes[[#This Row],[num]]-SUM(packes[[#This Row],[num2]])</f>
        <v>19</v>
      </c>
      <c r="I916" s="360"/>
      <c r="J916" s="359"/>
      <c r="K916" s="472"/>
      <c r="M916" s="471">
        <f>_xlfn.XLOOKUP(packes[[#This Row],[productId]],CT[productId],CT[total],"NA")</f>
        <v>192.86500000000001</v>
      </c>
      <c r="N916" s="194" t="str">
        <f>_xlfn.XLOOKUP(packes[[#This Row],[productId]],bom[Id],bom[ph],"NA")</f>
        <v>flag</v>
      </c>
      <c r="O916" s="194" t="str">
        <f>_xlfn.XLOOKUP(packes[[#This Row],[productId]],bom[Id],bom[erth],"NA")</f>
        <v>sun</v>
      </c>
      <c r="P916" s="194" t="str">
        <f>_xlfn.XLOOKUP(packes[[#This Row],[productId]],bom[Id],bom[dbl],"NA")</f>
        <v>-</v>
      </c>
      <c r="Q916" s="549" t="str">
        <f>LEFT(packes[[#This Row],[date]],4)</f>
        <v>1404</v>
      </c>
    </row>
    <row r="917" spans="1:17" ht="16.5" x14ac:dyDescent="0.25">
      <c r="A917" s="23">
        <v>914</v>
      </c>
      <c r="B917" s="30" t="s">
        <v>767</v>
      </c>
      <c r="C917" s="23">
        <v>141650001</v>
      </c>
      <c r="D917" s="23">
        <v>6</v>
      </c>
      <c r="E917" s="27">
        <f>_xlfn.XLOOKUP(packes[[#This Row],[productId]],bom[Id],bom[wgt])</f>
        <v>1.207223386211713</v>
      </c>
      <c r="F917" s="27">
        <f>packes[[#This Row],[num]]*packes[[#This Row],[wtg]]</f>
        <v>7.2433403172702775</v>
      </c>
      <c r="G917" s="357" t="s">
        <v>123</v>
      </c>
      <c r="H917" s="21">
        <f>packes[[#This Row],[num]]-SUM(packes[[#This Row],[num2]])</f>
        <v>6</v>
      </c>
      <c r="I917" s="357"/>
      <c r="J917" s="21"/>
      <c r="K917" s="323"/>
      <c r="M917" s="27">
        <f>_xlfn.XLOOKUP(packes[[#This Row],[productId]],CT[productId],CT[total],"NA")</f>
        <v>100.965</v>
      </c>
      <c r="N917" s="23" t="str">
        <f>_xlfn.XLOOKUP(packes[[#This Row],[productId]],bom[Id],bom[ph],"NA")</f>
        <v>6.3k</v>
      </c>
      <c r="O917" s="23" t="str">
        <f>_xlfn.XLOOKUP(packes[[#This Row],[productId]],bom[Id],bom[erth],"NA")</f>
        <v>flag</v>
      </c>
      <c r="P917" s="23" t="str">
        <f>_xlfn.XLOOKUP(packes[[#This Row],[productId]],bom[Id],bom[dbl],"NA")</f>
        <v>-</v>
      </c>
      <c r="Q917" s="20" t="str">
        <f>LEFT(packes[[#This Row],[date]],4)</f>
        <v>1404</v>
      </c>
    </row>
    <row r="918" spans="1:17" ht="16.5" x14ac:dyDescent="0.25">
      <c r="A918" s="23">
        <v>915</v>
      </c>
      <c r="B918" s="30" t="s">
        <v>767</v>
      </c>
      <c r="C918" s="23">
        <v>140550019</v>
      </c>
      <c r="D918" s="23">
        <v>1000</v>
      </c>
      <c r="E918" s="27">
        <f>_xlfn.XLOOKUP(packes[[#This Row],[productId]],bom[Id],bom[wgt])</f>
        <v>2.6938042502244834</v>
      </c>
      <c r="F918" s="27">
        <f>packes[[#This Row],[num]]*packes[[#This Row],[wtg]]</f>
        <v>2693.8042502244834</v>
      </c>
      <c r="G918" s="357">
        <v>10</v>
      </c>
      <c r="H918" s="21">
        <f>packes[[#This Row],[num]]-SUM(packes[[#This Row],[num2]])</f>
        <v>1000</v>
      </c>
      <c r="I918" s="357"/>
      <c r="J918" s="21"/>
      <c r="K918" s="323"/>
      <c r="M918" s="27">
        <f>_xlfn.XLOOKUP(packes[[#This Row],[productId]],CT[productId],CT[total],"NA")</f>
        <v>211.66499999999999</v>
      </c>
      <c r="N918" s="23" t="str">
        <f>_xlfn.XLOOKUP(packes[[#This Row],[productId]],bom[Id],bom[ph],"NA")</f>
        <v>6.3ch</v>
      </c>
      <c r="O918" s="23" t="str">
        <f>_xlfn.XLOOKUP(packes[[#This Row],[productId]],bom[Id],bom[erth],"NA")</f>
        <v>nut4</v>
      </c>
      <c r="P918" s="23" t="str">
        <f>_xlfn.XLOOKUP(packes[[#This Row],[productId]],bom[Id],bom[dbl],"NA")</f>
        <v>-</v>
      </c>
      <c r="Q918" s="20" t="str">
        <f>LEFT(packes[[#This Row],[date]],4)</f>
        <v>1404</v>
      </c>
    </row>
    <row r="919" spans="1:17" ht="16.5" x14ac:dyDescent="0.25">
      <c r="A919" s="23">
        <v>916</v>
      </c>
      <c r="B919" s="30" t="s">
        <v>768</v>
      </c>
      <c r="C919" s="23">
        <v>140010117</v>
      </c>
      <c r="D919" s="23">
        <v>225</v>
      </c>
      <c r="E919" s="27">
        <f>_xlfn.XLOOKUP(packes[[#This Row],[productId]],bom[Id],bom[wgt])</f>
        <v>1</v>
      </c>
      <c r="F919" s="27">
        <f>packes[[#This Row],[num]]*packes[[#This Row],[wtg]]</f>
        <v>225</v>
      </c>
      <c r="G919" s="357">
        <v>4</v>
      </c>
      <c r="H919" s="21">
        <f>packes[[#This Row],[num]]-SUM(packes[[#This Row],[num2]])</f>
        <v>225</v>
      </c>
      <c r="I919" s="357"/>
      <c r="J919" s="21"/>
      <c r="K919" s="323"/>
      <c r="M919" s="27">
        <f>_xlfn.XLOOKUP(packes[[#This Row],[productId]],CT[productId],CT[total],"NA")</f>
        <v>98.295000000000016</v>
      </c>
      <c r="N919" s="23" t="str">
        <f>_xlfn.XLOOKUP(packes[[#This Row],[productId]],bom[Id],bom[ph],"NA")</f>
        <v>nar.p</v>
      </c>
      <c r="O919" s="23" t="str">
        <f>_xlfn.XLOOKUP(packes[[#This Row],[productId]],bom[Id],bom[erth],"NA")</f>
        <v>-</v>
      </c>
      <c r="P919" s="23" t="str">
        <f>_xlfn.XLOOKUP(packes[[#This Row],[productId]],bom[Id],bom[dbl],"NA")</f>
        <v>nar.p</v>
      </c>
      <c r="Q919" s="20" t="str">
        <f>LEFT(packes[[#This Row],[date]],4)</f>
        <v>1404</v>
      </c>
    </row>
    <row r="920" spans="1:17" ht="16.5" x14ac:dyDescent="0.25">
      <c r="A920" s="23">
        <v>917</v>
      </c>
      <c r="B920" s="30" t="s">
        <v>768</v>
      </c>
      <c r="C920" s="23">
        <v>140010230</v>
      </c>
      <c r="D920" s="23">
        <v>300</v>
      </c>
      <c r="E920" s="27">
        <f>_xlfn.XLOOKUP(packes[[#This Row],[productId]],bom[Id],bom[wgt])</f>
        <v>1.4486680634540554</v>
      </c>
      <c r="F920" s="27">
        <f>packes[[#This Row],[num]]*packes[[#This Row],[wtg]]</f>
        <v>434.60041903621664</v>
      </c>
      <c r="G920" s="357">
        <v>4</v>
      </c>
      <c r="H920" s="21">
        <f>packes[[#This Row],[num]]-SUM(packes[[#This Row],[num2]])</f>
        <v>300</v>
      </c>
      <c r="I920" s="357"/>
      <c r="J920" s="21"/>
      <c r="K920" s="323"/>
      <c r="M920" s="27">
        <f>_xlfn.XLOOKUP(packes[[#This Row],[productId]],CT[productId],CT[total],"NA")</f>
        <v>147.595</v>
      </c>
      <c r="N920" s="23" t="str">
        <f>_xlfn.XLOOKUP(packes[[#This Row],[productId]],bom[Id],bom[ph],"NA")</f>
        <v>nar.p</v>
      </c>
      <c r="O920" s="23" t="str">
        <f>_xlfn.XLOOKUP(packes[[#This Row],[productId]],bom[Id],bom[erth],"NA")</f>
        <v>-</v>
      </c>
      <c r="P920" s="23" t="str">
        <f>_xlfn.XLOOKUP(packes[[#This Row],[productId]],bom[Id],bom[dbl],"NA")</f>
        <v>nar.p</v>
      </c>
      <c r="Q920" s="20" t="str">
        <f>LEFT(packes[[#This Row],[date]],4)</f>
        <v>1404</v>
      </c>
    </row>
    <row r="921" spans="1:17" ht="16.5" x14ac:dyDescent="0.25">
      <c r="A921" s="23">
        <v>918</v>
      </c>
      <c r="B921" s="30" t="s">
        <v>768</v>
      </c>
      <c r="C921" s="23">
        <v>140030039</v>
      </c>
      <c r="D921" s="23">
        <v>800</v>
      </c>
      <c r="E921" s="27">
        <f>_xlfn.XLOOKUP(packes[[#This Row],[productId]],bom[Id],bom[wgt])</f>
        <v>1.1413748378728923</v>
      </c>
      <c r="F921" s="27">
        <f>packes[[#This Row],[num]]*packes[[#This Row],[wtg]]</f>
        <v>913.09987029831382</v>
      </c>
      <c r="G921" s="357">
        <v>4</v>
      </c>
      <c r="H921" s="21">
        <f>packes[[#This Row],[num]]-SUM(packes[[#This Row],[num2]])</f>
        <v>800</v>
      </c>
      <c r="I921" s="357"/>
      <c r="J921" s="21"/>
      <c r="K921" s="323"/>
      <c r="M921" s="27">
        <f>_xlfn.XLOOKUP(packes[[#This Row],[productId]],CT[productId],CT[total],"NA")</f>
        <v>92.504999999999995</v>
      </c>
      <c r="N921" s="23" t="str">
        <f>_xlfn.XLOOKUP(packes[[#This Row],[productId]],bom[Id],bom[ph],"NA")</f>
        <v>YH</v>
      </c>
      <c r="O921" s="23" t="str">
        <f>_xlfn.XLOOKUP(packes[[#This Row],[productId]],bom[Id],bom[erth],"NA")</f>
        <v>sun</v>
      </c>
      <c r="P921" s="23" t="str">
        <f>_xlfn.XLOOKUP(packes[[#This Row],[productId]],bom[Id],bom[dbl],"NA")</f>
        <v>-</v>
      </c>
      <c r="Q921" s="20" t="str">
        <f>LEFT(packes[[#This Row],[date]],4)</f>
        <v>1404</v>
      </c>
    </row>
    <row r="922" spans="1:17" ht="16.5" x14ac:dyDescent="0.25">
      <c r="A922" s="23">
        <v>919</v>
      </c>
      <c r="B922" s="30" t="s">
        <v>768</v>
      </c>
      <c r="C922" s="23">
        <v>140030040</v>
      </c>
      <c r="D922" s="23">
        <v>900</v>
      </c>
      <c r="E922" s="27">
        <f>_xlfn.XLOOKUP(packes[[#This Row],[productId]],bom[Id],bom[wgt])</f>
        <v>1.1092487279257708</v>
      </c>
      <c r="F922" s="27">
        <f>packes[[#This Row],[num]]*packes[[#This Row],[wtg]]</f>
        <v>998.32385513319366</v>
      </c>
      <c r="G922" s="357">
        <v>4</v>
      </c>
      <c r="H922" s="21">
        <f>packes[[#This Row],[num]]-SUM(packes[[#This Row],[num2]])</f>
        <v>900</v>
      </c>
      <c r="I922" s="357"/>
      <c r="J922" s="21"/>
      <c r="K922" s="323"/>
      <c r="M922" s="27">
        <f>_xlfn.XLOOKUP(packes[[#This Row],[productId]],CT[productId],CT[total],"NA")</f>
        <v>97.305000000000007</v>
      </c>
      <c r="N922" s="23" t="str">
        <f>_xlfn.XLOOKUP(packes[[#This Row],[productId]],bom[Id],bom[ph],"NA")</f>
        <v>YH</v>
      </c>
      <c r="O922" s="23" t="str">
        <f>_xlfn.XLOOKUP(packes[[#This Row],[productId]],bom[Id],bom[erth],"NA")</f>
        <v>sun</v>
      </c>
      <c r="P922" s="23" t="str">
        <f>_xlfn.XLOOKUP(packes[[#This Row],[productId]],bom[Id],bom[dbl],"NA")</f>
        <v>-</v>
      </c>
      <c r="Q922" s="20" t="str">
        <f>LEFT(packes[[#This Row],[date]],4)</f>
        <v>1404</v>
      </c>
    </row>
    <row r="923" spans="1:17" ht="16.5" x14ac:dyDescent="0.25">
      <c r="A923" s="23">
        <v>920</v>
      </c>
      <c r="B923" s="30" t="s">
        <v>768</v>
      </c>
      <c r="C923" s="23">
        <v>140310071</v>
      </c>
      <c r="D923" s="23">
        <v>1150</v>
      </c>
      <c r="E923" s="27">
        <f>_xlfn.XLOOKUP(packes[[#This Row],[productId]],bom[Id],bom[wgt])</f>
        <v>1.3</v>
      </c>
      <c r="F923" s="27">
        <f>packes[[#This Row],[num]]*packes[[#This Row],[wtg]]</f>
        <v>1495</v>
      </c>
      <c r="G923" s="357">
        <v>3</v>
      </c>
      <c r="H923" s="21">
        <f>packes[[#This Row],[num]]-SUM(packes[[#This Row],[num2]])</f>
        <v>1150</v>
      </c>
      <c r="I923" s="357"/>
      <c r="J923" s="21"/>
      <c r="K923" s="323"/>
      <c r="M923" s="27">
        <f>_xlfn.XLOOKUP(packes[[#This Row],[productId]],CT[productId],CT[total],"NA")</f>
        <v>130.69500000000002</v>
      </c>
      <c r="N923" s="23" t="str">
        <f>_xlfn.XLOOKUP(packes[[#This Row],[productId]],bom[Id],bom[ph],"NA")</f>
        <v>6.3ch</v>
      </c>
      <c r="O923" s="23" t="str">
        <f>_xlfn.XLOOKUP(packes[[#This Row],[productId]],bom[Id],bom[erth],"NA")</f>
        <v>6.3k</v>
      </c>
      <c r="P923" s="23" t="str">
        <f>_xlfn.XLOOKUP(packes[[#This Row],[productId]],bom[Id],bom[dbl],"NA")</f>
        <v>-</v>
      </c>
      <c r="Q923" s="20" t="str">
        <f>LEFT(packes[[#This Row],[date]],4)</f>
        <v>1404</v>
      </c>
    </row>
    <row r="924" spans="1:17" ht="16.5" x14ac:dyDescent="0.25">
      <c r="A924" s="23">
        <v>921</v>
      </c>
      <c r="B924" s="30" t="s">
        <v>768</v>
      </c>
      <c r="C924" s="23">
        <v>140310083</v>
      </c>
      <c r="D924" s="23">
        <v>200</v>
      </c>
      <c r="E924" s="27">
        <f>_xlfn.XLOOKUP(packes[[#This Row],[productId]],bom[Id],bom[wgt])</f>
        <v>1.3369250723336326</v>
      </c>
      <c r="F924" s="27">
        <f>packes[[#This Row],[num]]*packes[[#This Row],[wtg]]</f>
        <v>267.38501446672649</v>
      </c>
      <c r="G924" s="357">
        <v>3</v>
      </c>
      <c r="H924" s="21">
        <f>packes[[#This Row],[num]]-SUM(packes[[#This Row],[num2]])</f>
        <v>200</v>
      </c>
      <c r="I924" s="357"/>
      <c r="J924" s="21"/>
      <c r="K924" s="323"/>
      <c r="M924" s="27">
        <f>_xlfn.XLOOKUP(packes[[#This Row],[productId]],CT[productId],CT[total],"NA")</f>
        <v>135.23500000000001</v>
      </c>
      <c r="N924" s="23" t="str">
        <f>_xlfn.XLOOKUP(packes[[#This Row],[productId]],bom[Id],bom[ph],"NA")</f>
        <v>6.3flat</v>
      </c>
      <c r="O924" s="23" t="str">
        <f>_xlfn.XLOOKUP(packes[[#This Row],[productId]],bom[Id],bom[erth],"NA")</f>
        <v>6.3flat</v>
      </c>
      <c r="P924" s="23" t="str">
        <f>_xlfn.XLOOKUP(packes[[#This Row],[productId]],bom[Id],bom[dbl],"NA")</f>
        <v>-</v>
      </c>
      <c r="Q924" s="20" t="str">
        <f>LEFT(packes[[#This Row],[date]],4)</f>
        <v>1404</v>
      </c>
    </row>
    <row r="925" spans="1:17" ht="16.5" x14ac:dyDescent="0.25">
      <c r="A925" s="23">
        <v>922</v>
      </c>
      <c r="B925" s="30" t="s">
        <v>768</v>
      </c>
      <c r="C925" s="23">
        <v>140450047</v>
      </c>
      <c r="D925" s="23">
        <v>500</v>
      </c>
      <c r="E925" s="27">
        <f>_xlfn.XLOOKUP(packes[[#This Row],[productId]],bom[Id],bom[wgt])</f>
        <v>0</v>
      </c>
      <c r="F925" s="27">
        <f>packes[[#This Row],[num]]*packes[[#This Row],[wtg]]</f>
        <v>0</v>
      </c>
      <c r="G925" s="357">
        <v>4</v>
      </c>
      <c r="H925" s="21">
        <f>packes[[#This Row],[num]]-SUM(packes[[#This Row],[num2]])</f>
        <v>500</v>
      </c>
      <c r="I925" s="357"/>
      <c r="J925" s="21"/>
      <c r="K925" s="323"/>
      <c r="M925" s="27">
        <f>_xlfn.XLOOKUP(packes[[#This Row],[productId]],CT[productId],CT[total],"NA")</f>
        <v>55.46</v>
      </c>
      <c r="N925" s="23" t="str">
        <f>_xlfn.XLOOKUP(packes[[#This Row],[productId]],bom[Id],bom[ph],"NA")</f>
        <v>-</v>
      </c>
      <c r="O925" s="23" t="str">
        <f>_xlfn.XLOOKUP(packes[[#This Row],[productId]],bom[Id],bom[erth],"NA")</f>
        <v>-</v>
      </c>
      <c r="P925" s="23" t="str">
        <f>_xlfn.XLOOKUP(packes[[#This Row],[productId]],bom[Id],bom[dbl],"NA")</f>
        <v>-</v>
      </c>
      <c r="Q925" s="20" t="str">
        <f>LEFT(packes[[#This Row],[date]],4)</f>
        <v>1404</v>
      </c>
    </row>
    <row r="926" spans="1:17" ht="16.5" x14ac:dyDescent="0.25">
      <c r="A926" s="23">
        <v>923</v>
      </c>
      <c r="B926" s="30" t="s">
        <v>768</v>
      </c>
      <c r="C926" s="23">
        <v>140550019</v>
      </c>
      <c r="D926" s="23">
        <v>600</v>
      </c>
      <c r="E926" s="27">
        <f>_xlfn.XLOOKUP(packes[[#This Row],[productId]],bom[Id],bom[wgt])</f>
        <v>2.6938042502244834</v>
      </c>
      <c r="F926" s="27">
        <f>packes[[#This Row],[num]]*packes[[#This Row],[wtg]]</f>
        <v>1616.2825501346902</v>
      </c>
      <c r="G926" s="357">
        <v>10</v>
      </c>
      <c r="H926" s="21">
        <f>packes[[#This Row],[num]]-SUM(packes[[#This Row],[num2]])</f>
        <v>600</v>
      </c>
      <c r="I926" s="357"/>
      <c r="J926" s="21"/>
      <c r="K926" s="323"/>
      <c r="M926" s="27">
        <f>_xlfn.XLOOKUP(packes[[#This Row],[productId]],CT[productId],CT[total],"NA")</f>
        <v>211.66499999999999</v>
      </c>
      <c r="N926" s="23" t="str">
        <f>_xlfn.XLOOKUP(packes[[#This Row],[productId]],bom[Id],bom[ph],"NA")</f>
        <v>6.3ch</v>
      </c>
      <c r="O926" s="23" t="str">
        <f>_xlfn.XLOOKUP(packes[[#This Row],[productId]],bom[Id],bom[erth],"NA")</f>
        <v>nut4</v>
      </c>
      <c r="P926" s="23" t="str">
        <f>_xlfn.XLOOKUP(packes[[#This Row],[productId]],bom[Id],bom[dbl],"NA")</f>
        <v>-</v>
      </c>
      <c r="Q926" s="20" t="str">
        <f>LEFT(packes[[#This Row],[date]],4)</f>
        <v>1404</v>
      </c>
    </row>
    <row r="927" spans="1:17" ht="16.5" x14ac:dyDescent="0.25">
      <c r="A927" s="23">
        <v>924</v>
      </c>
      <c r="B927" s="30" t="s">
        <v>768</v>
      </c>
      <c r="C927" s="23">
        <v>141320055</v>
      </c>
      <c r="D927" s="23">
        <v>1100</v>
      </c>
      <c r="E927" s="27">
        <f>_xlfn.XLOOKUP(packes[[#This Row],[productId]],bom[Id],bom[wgt])</f>
        <v>1.1274069639828395</v>
      </c>
      <c r="F927" s="27">
        <f>packes[[#This Row],[num]]*packes[[#This Row],[wtg]]</f>
        <v>1240.1476603811234</v>
      </c>
      <c r="G927" s="357">
        <v>3</v>
      </c>
      <c r="H927" s="21">
        <f>packes[[#This Row],[num]]-SUM(packes[[#This Row],[num2]])</f>
        <v>1100</v>
      </c>
      <c r="I927" s="357"/>
      <c r="J927" s="21"/>
      <c r="K927" s="323"/>
      <c r="M927" s="27">
        <f>_xlfn.XLOOKUP(packes[[#This Row],[productId]],CT[productId],CT[total],"NA")</f>
        <v>41.13</v>
      </c>
      <c r="N927" s="23">
        <f>_xlfn.XLOOKUP(packes[[#This Row],[productId]],bom[Id],bom[ph],"NA")</f>
        <v>0</v>
      </c>
      <c r="O927" s="23">
        <f>_xlfn.XLOOKUP(packes[[#This Row],[productId]],bom[Id],bom[erth],"NA")</f>
        <v>0</v>
      </c>
      <c r="P927" s="23">
        <f>_xlfn.XLOOKUP(packes[[#This Row],[productId]],bom[Id],bom[dbl],"NA")</f>
        <v>0</v>
      </c>
      <c r="Q927" s="20" t="str">
        <f>LEFT(packes[[#This Row],[date]],4)</f>
        <v>1404</v>
      </c>
    </row>
    <row r="928" spans="1:17" ht="16.5" x14ac:dyDescent="0.25">
      <c r="A928" s="23">
        <v>925</v>
      </c>
      <c r="B928" s="30" t="s">
        <v>773</v>
      </c>
      <c r="C928" s="23">
        <v>140030039</v>
      </c>
      <c r="D928" s="23">
        <v>600</v>
      </c>
      <c r="E928" s="27">
        <f>_xlfn.XLOOKUP(packes[[#This Row],[productId]],bom[Id],bom[wgt])</f>
        <v>1.1413748378728923</v>
      </c>
      <c r="F928" s="27">
        <f>packes[[#This Row],[num]]*packes[[#This Row],[wtg]]</f>
        <v>684.82490272373536</v>
      </c>
      <c r="G928" s="357">
        <v>4</v>
      </c>
      <c r="H928" s="21">
        <f>packes[[#This Row],[num]]-SUM(packes[[#This Row],[num2]])</f>
        <v>600</v>
      </c>
      <c r="I928" s="357"/>
      <c r="J928" s="21"/>
      <c r="K928" s="323"/>
      <c r="M928" s="27">
        <f>_xlfn.XLOOKUP(packes[[#This Row],[productId]],CT[productId],CT[total],"NA")</f>
        <v>92.504999999999995</v>
      </c>
      <c r="N928" s="23" t="str">
        <f>_xlfn.XLOOKUP(packes[[#This Row],[productId]],bom[Id],bom[ph],"NA")</f>
        <v>YH</v>
      </c>
      <c r="O928" s="23" t="str">
        <f>_xlfn.XLOOKUP(packes[[#This Row],[productId]],bom[Id],bom[erth],"NA")</f>
        <v>sun</v>
      </c>
      <c r="P928" s="23" t="str">
        <f>_xlfn.XLOOKUP(packes[[#This Row],[productId]],bom[Id],bom[dbl],"NA")</f>
        <v>-</v>
      </c>
      <c r="Q928" s="20" t="str">
        <f>LEFT(packes[[#This Row],[date]],4)</f>
        <v>1404</v>
      </c>
    </row>
    <row r="929" spans="1:17" ht="16.5" x14ac:dyDescent="0.25">
      <c r="A929" s="23">
        <v>926</v>
      </c>
      <c r="B929" s="30" t="s">
        <v>773</v>
      </c>
      <c r="C929" s="23">
        <v>140030040</v>
      </c>
      <c r="D929" s="23">
        <v>600</v>
      </c>
      <c r="E929" s="27">
        <f>_xlfn.XLOOKUP(packes[[#This Row],[productId]],bom[Id],bom[wgt])</f>
        <v>1.1092487279257708</v>
      </c>
      <c r="F929" s="27">
        <f>packes[[#This Row],[num]]*packes[[#This Row],[wtg]]</f>
        <v>665.54923675546252</v>
      </c>
      <c r="G929" s="357">
        <v>4</v>
      </c>
      <c r="H929" s="21">
        <f>packes[[#This Row],[num]]-SUM(packes[[#This Row],[num2]])</f>
        <v>600</v>
      </c>
      <c r="I929" s="357"/>
      <c r="J929" s="21"/>
      <c r="K929" s="323"/>
      <c r="M929" s="27">
        <f>_xlfn.XLOOKUP(packes[[#This Row],[productId]],CT[productId],CT[total],"NA")</f>
        <v>97.305000000000007</v>
      </c>
      <c r="N929" s="23" t="str">
        <f>_xlfn.XLOOKUP(packes[[#This Row],[productId]],bom[Id],bom[ph],"NA")</f>
        <v>YH</v>
      </c>
      <c r="O929" s="23" t="str">
        <f>_xlfn.XLOOKUP(packes[[#This Row],[productId]],bom[Id],bom[erth],"NA")</f>
        <v>sun</v>
      </c>
      <c r="P929" s="23" t="str">
        <f>_xlfn.XLOOKUP(packes[[#This Row],[productId]],bom[Id],bom[dbl],"NA")</f>
        <v>-</v>
      </c>
      <c r="Q929" s="20" t="str">
        <f>LEFT(packes[[#This Row],[date]],4)</f>
        <v>1404</v>
      </c>
    </row>
    <row r="930" spans="1:17" ht="16.5" x14ac:dyDescent="0.25">
      <c r="A930" s="23">
        <v>927</v>
      </c>
      <c r="B930" s="30" t="s">
        <v>773</v>
      </c>
      <c r="C930" s="23">
        <v>140310071</v>
      </c>
      <c r="D930" s="23">
        <v>1500</v>
      </c>
      <c r="E930" s="27">
        <f>_xlfn.XLOOKUP(packes[[#This Row],[productId]],bom[Id],bom[wgt])</f>
        <v>1.3</v>
      </c>
      <c r="F930" s="27">
        <f>packes[[#This Row],[num]]*packes[[#This Row],[wtg]]</f>
        <v>1950</v>
      </c>
      <c r="G930" s="357">
        <v>3</v>
      </c>
      <c r="H930" s="21">
        <f>packes[[#This Row],[num]]-SUM(packes[[#This Row],[num2]])</f>
        <v>1500</v>
      </c>
      <c r="I930" s="357"/>
      <c r="J930" s="21"/>
      <c r="K930" s="323"/>
      <c r="M930" s="27">
        <f>_xlfn.XLOOKUP(packes[[#This Row],[productId]],CT[productId],CT[total],"NA")</f>
        <v>130.69500000000002</v>
      </c>
      <c r="N930" s="23" t="str">
        <f>_xlfn.XLOOKUP(packes[[#This Row],[productId]],bom[Id],bom[ph],"NA")</f>
        <v>6.3ch</v>
      </c>
      <c r="O930" s="23" t="str">
        <f>_xlfn.XLOOKUP(packes[[#This Row],[productId]],bom[Id],bom[erth],"NA")</f>
        <v>6.3k</v>
      </c>
      <c r="P930" s="23" t="str">
        <f>_xlfn.XLOOKUP(packes[[#This Row],[productId]],bom[Id],bom[dbl],"NA")</f>
        <v>-</v>
      </c>
      <c r="Q930" s="20" t="str">
        <f>LEFT(packes[[#This Row],[date]],4)</f>
        <v>1404</v>
      </c>
    </row>
    <row r="931" spans="1:17" ht="16.5" x14ac:dyDescent="0.25">
      <c r="A931" s="23">
        <v>928</v>
      </c>
      <c r="B931" s="30" t="s">
        <v>773</v>
      </c>
      <c r="C931" s="23">
        <v>141320055</v>
      </c>
      <c r="D931" s="23">
        <v>1000</v>
      </c>
      <c r="E931" s="27">
        <f>_xlfn.XLOOKUP(packes[[#This Row],[productId]],bom[Id],bom[wgt])</f>
        <v>1.1274069639828395</v>
      </c>
      <c r="F931" s="27">
        <f>packes[[#This Row],[num]]*packes[[#This Row],[wtg]]</f>
        <v>1127.4069639828394</v>
      </c>
      <c r="G931" s="357">
        <v>3</v>
      </c>
      <c r="H931" s="21">
        <f>packes[[#This Row],[num]]-SUM(packes[[#This Row],[num2]])</f>
        <v>1000</v>
      </c>
      <c r="I931" s="357"/>
      <c r="J931" s="21"/>
      <c r="K931" s="323"/>
      <c r="M931" s="27">
        <f>_xlfn.XLOOKUP(packes[[#This Row],[productId]],CT[productId],CT[total],"NA")</f>
        <v>41.13</v>
      </c>
      <c r="N931" s="23">
        <f>_xlfn.XLOOKUP(packes[[#This Row],[productId]],bom[Id],bom[ph],"NA")</f>
        <v>0</v>
      </c>
      <c r="O931" s="23">
        <f>_xlfn.XLOOKUP(packes[[#This Row],[productId]],bom[Id],bom[erth],"NA")</f>
        <v>0</v>
      </c>
      <c r="P931" s="23">
        <f>_xlfn.XLOOKUP(packes[[#This Row],[productId]],bom[Id],bom[dbl],"NA")</f>
        <v>0</v>
      </c>
      <c r="Q931" s="20" t="str">
        <f>LEFT(packes[[#This Row],[date]],4)</f>
        <v>1404</v>
      </c>
    </row>
    <row r="932" spans="1:17" ht="16.5" x14ac:dyDescent="0.25">
      <c r="A932" s="23">
        <v>929</v>
      </c>
      <c r="B932" s="30" t="s">
        <v>774</v>
      </c>
      <c r="C932" s="23">
        <v>140030039</v>
      </c>
      <c r="D932" s="23">
        <v>600</v>
      </c>
      <c r="E932" s="27">
        <f>_xlfn.XLOOKUP(packes[[#This Row],[productId]],bom[Id],bom[wgt])</f>
        <v>1.1413748378728923</v>
      </c>
      <c r="F932" s="27">
        <f>packes[[#This Row],[num]]*packes[[#This Row],[wtg]]</f>
        <v>684.82490272373536</v>
      </c>
      <c r="G932" s="357">
        <v>4</v>
      </c>
      <c r="H932" s="21">
        <f>packes[[#This Row],[num]]-SUM(packes[[#This Row],[num2]])</f>
        <v>600</v>
      </c>
      <c r="I932" s="357"/>
      <c r="J932" s="21"/>
      <c r="K932" s="323"/>
      <c r="M932" s="27">
        <f>_xlfn.XLOOKUP(packes[[#This Row],[productId]],CT[productId],CT[total],"NA")</f>
        <v>92.504999999999995</v>
      </c>
      <c r="N932" s="23" t="str">
        <f>_xlfn.XLOOKUP(packes[[#This Row],[productId]],bom[Id],bom[ph],"NA")</f>
        <v>YH</v>
      </c>
      <c r="O932" s="23" t="str">
        <f>_xlfn.XLOOKUP(packes[[#This Row],[productId]],bom[Id],bom[erth],"NA")</f>
        <v>sun</v>
      </c>
      <c r="P932" s="23" t="str">
        <f>_xlfn.XLOOKUP(packes[[#This Row],[productId]],bom[Id],bom[dbl],"NA")</f>
        <v>-</v>
      </c>
      <c r="Q932" s="20" t="str">
        <f>LEFT(packes[[#This Row],[date]],4)</f>
        <v>1404</v>
      </c>
    </row>
    <row r="933" spans="1:17" ht="16.5" x14ac:dyDescent="0.25">
      <c r="A933" s="23">
        <v>930</v>
      </c>
      <c r="B933" s="30" t="s">
        <v>774</v>
      </c>
      <c r="C933" s="23">
        <v>140030040</v>
      </c>
      <c r="D933" s="23">
        <v>700</v>
      </c>
      <c r="E933" s="27">
        <f>_xlfn.XLOOKUP(packes[[#This Row],[productId]],bom[Id],bom[wgt])</f>
        <v>1.1092487279257708</v>
      </c>
      <c r="F933" s="27">
        <f>packes[[#This Row],[num]]*packes[[#This Row],[wtg]]</f>
        <v>776.47410954803956</v>
      </c>
      <c r="G933" s="357">
        <v>4</v>
      </c>
      <c r="H933" s="21">
        <f>packes[[#This Row],[num]]-SUM(packes[[#This Row],[num2]])</f>
        <v>700</v>
      </c>
      <c r="I933" s="357"/>
      <c r="J933" s="21"/>
      <c r="K933" s="323"/>
      <c r="M933" s="27">
        <f>_xlfn.XLOOKUP(packes[[#This Row],[productId]],CT[productId],CT[total],"NA")</f>
        <v>97.305000000000007</v>
      </c>
      <c r="N933" s="23" t="str">
        <f>_xlfn.XLOOKUP(packes[[#This Row],[productId]],bom[Id],bom[ph],"NA")</f>
        <v>YH</v>
      </c>
      <c r="O933" s="23" t="str">
        <f>_xlfn.XLOOKUP(packes[[#This Row],[productId]],bom[Id],bom[erth],"NA")</f>
        <v>sun</v>
      </c>
      <c r="P933" s="23" t="str">
        <f>_xlfn.XLOOKUP(packes[[#This Row],[productId]],bom[Id],bom[dbl],"NA")</f>
        <v>-</v>
      </c>
      <c r="Q933" s="20" t="str">
        <f>LEFT(packes[[#This Row],[date]],4)</f>
        <v>1404</v>
      </c>
    </row>
    <row r="934" spans="1:17" ht="16.5" x14ac:dyDescent="0.25">
      <c r="A934" s="23">
        <v>931</v>
      </c>
      <c r="B934" s="30" t="s">
        <v>774</v>
      </c>
      <c r="C934" s="23">
        <v>140310071</v>
      </c>
      <c r="D934" s="23">
        <v>1200</v>
      </c>
      <c r="E934" s="27">
        <f>_xlfn.XLOOKUP(packes[[#This Row],[productId]],bom[Id],bom[wgt])</f>
        <v>1.3</v>
      </c>
      <c r="F934" s="27">
        <f>packes[[#This Row],[num]]*packes[[#This Row],[wtg]]</f>
        <v>1560</v>
      </c>
      <c r="G934" s="357">
        <v>3</v>
      </c>
      <c r="H934" s="21">
        <f>packes[[#This Row],[num]]-SUM(packes[[#This Row],[num2]])</f>
        <v>1200</v>
      </c>
      <c r="I934" s="357"/>
      <c r="J934" s="21"/>
      <c r="K934" s="323"/>
      <c r="M934" s="27">
        <f>_xlfn.XLOOKUP(packes[[#This Row],[productId]],CT[productId],CT[total],"NA")</f>
        <v>130.69500000000002</v>
      </c>
      <c r="N934" s="23" t="str">
        <f>_xlfn.XLOOKUP(packes[[#This Row],[productId]],bom[Id],bom[ph],"NA")</f>
        <v>6.3ch</v>
      </c>
      <c r="O934" s="23" t="str">
        <f>_xlfn.XLOOKUP(packes[[#This Row],[productId]],bom[Id],bom[erth],"NA")</f>
        <v>6.3k</v>
      </c>
      <c r="P934" s="23" t="str">
        <f>_xlfn.XLOOKUP(packes[[#This Row],[productId]],bom[Id],bom[dbl],"NA")</f>
        <v>-</v>
      </c>
      <c r="Q934" s="20" t="str">
        <f>LEFT(packes[[#This Row],[date]],4)</f>
        <v>1404</v>
      </c>
    </row>
    <row r="935" spans="1:17" ht="16.5" x14ac:dyDescent="0.25">
      <c r="A935" s="23">
        <v>932</v>
      </c>
      <c r="B935" s="30" t="s">
        <v>774</v>
      </c>
      <c r="C935" s="23">
        <v>140310083</v>
      </c>
      <c r="D935" s="23">
        <v>400</v>
      </c>
      <c r="E935" s="27">
        <f>_xlfn.XLOOKUP(packes[[#This Row],[productId]],bom[Id],bom[wgt])</f>
        <v>1.3369250723336326</v>
      </c>
      <c r="F935" s="27">
        <f>packes[[#This Row],[num]]*packes[[#This Row],[wtg]]</f>
        <v>534.77002893345298</v>
      </c>
      <c r="G935" s="357">
        <v>3</v>
      </c>
      <c r="H935" s="21">
        <f>packes[[#This Row],[num]]-SUM(packes[[#This Row],[num2]])</f>
        <v>400</v>
      </c>
      <c r="I935" s="357"/>
      <c r="J935" s="21"/>
      <c r="K935" s="323"/>
      <c r="M935" s="27">
        <f>_xlfn.XLOOKUP(packes[[#This Row],[productId]],CT[productId],CT[total],"NA")</f>
        <v>135.23500000000001</v>
      </c>
      <c r="N935" s="23" t="str">
        <f>_xlfn.XLOOKUP(packes[[#This Row],[productId]],bom[Id],bom[ph],"NA")</f>
        <v>6.3flat</v>
      </c>
      <c r="O935" s="23" t="str">
        <f>_xlfn.XLOOKUP(packes[[#This Row],[productId]],bom[Id],bom[erth],"NA")</f>
        <v>6.3flat</v>
      </c>
      <c r="P935" s="23" t="str">
        <f>_xlfn.XLOOKUP(packes[[#This Row],[productId]],bom[Id],bom[dbl],"NA")</f>
        <v>-</v>
      </c>
      <c r="Q935" s="20" t="str">
        <f>LEFT(packes[[#This Row],[date]],4)</f>
        <v>1404</v>
      </c>
    </row>
    <row r="936" spans="1:17" ht="16.5" x14ac:dyDescent="0.25">
      <c r="A936" s="23">
        <v>933</v>
      </c>
      <c r="B936" s="30" t="s">
        <v>774</v>
      </c>
      <c r="C936" s="23">
        <v>140550019</v>
      </c>
      <c r="D936" s="23">
        <v>800</v>
      </c>
      <c r="E936" s="27">
        <f>_xlfn.XLOOKUP(packes[[#This Row],[productId]],bom[Id],bom[wgt])</f>
        <v>2.6938042502244834</v>
      </c>
      <c r="F936" s="27">
        <f>packes[[#This Row],[num]]*packes[[#This Row],[wtg]]</f>
        <v>2155.0434001795866</v>
      </c>
      <c r="G936" s="357">
        <v>10</v>
      </c>
      <c r="H936" s="21">
        <f>packes[[#This Row],[num]]-SUM(packes[[#This Row],[num2]])</f>
        <v>800</v>
      </c>
      <c r="I936" s="357"/>
      <c r="J936" s="21"/>
      <c r="K936" s="323"/>
      <c r="M936" s="27">
        <f>_xlfn.XLOOKUP(packes[[#This Row],[productId]],CT[productId],CT[total],"NA")</f>
        <v>211.66499999999999</v>
      </c>
      <c r="N936" s="23" t="str">
        <f>_xlfn.XLOOKUP(packes[[#This Row],[productId]],bom[Id],bom[ph],"NA")</f>
        <v>6.3ch</v>
      </c>
      <c r="O936" s="23" t="str">
        <f>_xlfn.XLOOKUP(packes[[#This Row],[productId]],bom[Id],bom[erth],"NA")</f>
        <v>nut4</v>
      </c>
      <c r="P936" s="23" t="str">
        <f>_xlfn.XLOOKUP(packes[[#This Row],[productId]],bom[Id],bom[dbl],"NA")</f>
        <v>-</v>
      </c>
      <c r="Q936" s="20" t="str">
        <f>LEFT(packes[[#This Row],[date]],4)</f>
        <v>1404</v>
      </c>
    </row>
    <row r="937" spans="1:17" ht="16.5" x14ac:dyDescent="0.25">
      <c r="A937" s="23">
        <v>934</v>
      </c>
      <c r="B937" s="30" t="s">
        <v>774</v>
      </c>
      <c r="C937" s="23">
        <v>141320055</v>
      </c>
      <c r="D937" s="23">
        <v>1000</v>
      </c>
      <c r="E937" s="27">
        <f>_xlfn.XLOOKUP(packes[[#This Row],[productId]],bom[Id],bom[wgt])</f>
        <v>1.1274069639828395</v>
      </c>
      <c r="F937" s="27">
        <f>packes[[#This Row],[num]]*packes[[#This Row],[wtg]]</f>
        <v>1127.4069639828394</v>
      </c>
      <c r="G937" s="357">
        <v>3</v>
      </c>
      <c r="H937" s="21">
        <f>packes[[#This Row],[num]]-SUM(packes[[#This Row],[num2]])</f>
        <v>1000</v>
      </c>
      <c r="I937" s="357"/>
      <c r="J937" s="21"/>
      <c r="K937" s="323"/>
      <c r="M937" s="27">
        <f>_xlfn.XLOOKUP(packes[[#This Row],[productId]],CT[productId],CT[total],"NA")</f>
        <v>41.13</v>
      </c>
      <c r="N937" s="23">
        <f>_xlfn.XLOOKUP(packes[[#This Row],[productId]],bom[Id],bom[ph],"NA")</f>
        <v>0</v>
      </c>
      <c r="O937" s="23">
        <f>_xlfn.XLOOKUP(packes[[#This Row],[productId]],bom[Id],bom[erth],"NA")</f>
        <v>0</v>
      </c>
      <c r="P937" s="23">
        <f>_xlfn.XLOOKUP(packes[[#This Row],[productId]],bom[Id],bom[dbl],"NA")</f>
        <v>0</v>
      </c>
      <c r="Q937" s="20" t="str">
        <f>LEFT(packes[[#This Row],[date]],4)</f>
        <v>1404</v>
      </c>
    </row>
    <row r="938" spans="1:17" ht="16.5" x14ac:dyDescent="0.25">
      <c r="A938" s="23">
        <v>935</v>
      </c>
      <c r="B938" s="30" t="s">
        <v>775</v>
      </c>
      <c r="C938" s="23">
        <v>140010230</v>
      </c>
      <c r="D938" s="23">
        <v>1300</v>
      </c>
      <c r="E938" s="27">
        <f>_xlfn.XLOOKUP(packes[[#This Row],[productId]],bom[Id],bom[wgt])</f>
        <v>1.4486680634540554</v>
      </c>
      <c r="F938" s="27">
        <f>packes[[#This Row],[num]]*packes[[#This Row],[wtg]]</f>
        <v>1883.2684824902719</v>
      </c>
      <c r="G938" s="357">
        <v>4</v>
      </c>
      <c r="H938" s="21">
        <f>packes[[#This Row],[num]]-SUM(packes[[#This Row],[num2]])</f>
        <v>1300</v>
      </c>
      <c r="I938" s="357"/>
      <c r="J938" s="21"/>
      <c r="K938" s="323"/>
      <c r="M938" s="27">
        <f>_xlfn.XLOOKUP(packes[[#This Row],[productId]],CT[productId],CT[total],"NA")</f>
        <v>147.595</v>
      </c>
      <c r="N938" s="23" t="str">
        <f>_xlfn.XLOOKUP(packes[[#This Row],[productId]],bom[Id],bom[ph],"NA")</f>
        <v>nar.p</v>
      </c>
      <c r="O938" s="23" t="str">
        <f>_xlfn.XLOOKUP(packes[[#This Row],[productId]],bom[Id],bom[erth],"NA")</f>
        <v>-</v>
      </c>
      <c r="P938" s="23" t="str">
        <f>_xlfn.XLOOKUP(packes[[#This Row],[productId]],bom[Id],bom[dbl],"NA")</f>
        <v>nar.p</v>
      </c>
      <c r="Q938" s="20" t="str">
        <f>LEFT(packes[[#This Row],[date]],4)</f>
        <v>1404</v>
      </c>
    </row>
    <row r="939" spans="1:17" ht="16.5" x14ac:dyDescent="0.25">
      <c r="A939" s="23">
        <v>936</v>
      </c>
      <c r="B939" s="30" t="s">
        <v>775</v>
      </c>
      <c r="C939" s="23">
        <v>140030040</v>
      </c>
      <c r="D939" s="23">
        <v>200</v>
      </c>
      <c r="E939" s="27">
        <f>_xlfn.XLOOKUP(packes[[#This Row],[productId]],bom[Id],bom[wgt])</f>
        <v>1.1092487279257708</v>
      </c>
      <c r="F939" s="27">
        <f>packes[[#This Row],[num]]*packes[[#This Row],[wtg]]</f>
        <v>221.84974558515415</v>
      </c>
      <c r="G939" s="357">
        <v>4</v>
      </c>
      <c r="H939" s="21">
        <f>packes[[#This Row],[num]]-SUM(packes[[#This Row],[num2]])</f>
        <v>200</v>
      </c>
      <c r="I939" s="357"/>
      <c r="J939" s="21"/>
      <c r="K939" s="323"/>
      <c r="M939" s="27">
        <f>_xlfn.XLOOKUP(packes[[#This Row],[productId]],CT[productId],CT[total],"NA")</f>
        <v>97.305000000000007</v>
      </c>
      <c r="N939" s="23" t="str">
        <f>_xlfn.XLOOKUP(packes[[#This Row],[productId]],bom[Id],bom[ph],"NA")</f>
        <v>YH</v>
      </c>
      <c r="O939" s="23" t="str">
        <f>_xlfn.XLOOKUP(packes[[#This Row],[productId]],bom[Id],bom[erth],"NA")</f>
        <v>sun</v>
      </c>
      <c r="P939" s="23" t="str">
        <f>_xlfn.XLOOKUP(packes[[#This Row],[productId]],bom[Id],bom[dbl],"NA")</f>
        <v>-</v>
      </c>
      <c r="Q939" s="20" t="str">
        <f>LEFT(packes[[#This Row],[date]],4)</f>
        <v>1404</v>
      </c>
    </row>
    <row r="940" spans="1:17" ht="16.5" x14ac:dyDescent="0.25">
      <c r="A940" s="23">
        <v>937</v>
      </c>
      <c r="B940" s="30" t="s">
        <v>775</v>
      </c>
      <c r="C940" s="23">
        <v>140310007</v>
      </c>
      <c r="D940" s="23">
        <v>1000</v>
      </c>
      <c r="E940" s="27">
        <f>_xlfn.XLOOKUP(packes[[#This Row],[productId]],bom[Id],bom[wgt])</f>
        <v>1.1413748378728923</v>
      </c>
      <c r="F940" s="27">
        <f>packes[[#This Row],[num]]*packes[[#This Row],[wtg]]</f>
        <v>1141.3748378728924</v>
      </c>
      <c r="G940" s="357">
        <v>4</v>
      </c>
      <c r="H940" s="21">
        <f>packes[[#This Row],[num]]-SUM(packes[[#This Row],[num2]])</f>
        <v>900</v>
      </c>
      <c r="I940" s="357">
        <v>3</v>
      </c>
      <c r="J940" s="21">
        <v>100</v>
      </c>
      <c r="K940" s="323"/>
      <c r="M940" s="27">
        <f>_xlfn.XLOOKUP(packes[[#This Row],[productId]],CT[productId],CT[total],"NA")</f>
        <v>92.484999999999999</v>
      </c>
      <c r="N940" s="23" t="str">
        <f>_xlfn.XLOOKUP(packes[[#This Row],[productId]],bom[Id],bom[ph],"NA")</f>
        <v>-</v>
      </c>
      <c r="O940" s="23" t="str">
        <f>_xlfn.XLOOKUP(packes[[#This Row],[productId]],bom[Id],bom[erth],"NA")</f>
        <v>nut4</v>
      </c>
      <c r="P940" s="23" t="str">
        <f>_xlfn.XLOOKUP(packes[[#This Row],[productId]],bom[Id],bom[dbl],"NA")</f>
        <v>-</v>
      </c>
      <c r="Q940" s="20" t="str">
        <f>LEFT(packes[[#This Row],[date]],4)</f>
        <v>1404</v>
      </c>
    </row>
    <row r="941" spans="1:17" ht="16.5" x14ac:dyDescent="0.25">
      <c r="A941" s="23">
        <v>938</v>
      </c>
      <c r="B941" s="30" t="s">
        <v>775</v>
      </c>
      <c r="C941" s="23">
        <v>140310071</v>
      </c>
      <c r="D941" s="23">
        <v>1800</v>
      </c>
      <c r="E941" s="27">
        <f>_xlfn.XLOOKUP(packes[[#This Row],[productId]],bom[Id],bom[wgt])</f>
        <v>1.3</v>
      </c>
      <c r="F941" s="27">
        <f>packes[[#This Row],[num]]*packes[[#This Row],[wtg]]</f>
        <v>2340</v>
      </c>
      <c r="G941" s="357">
        <v>3</v>
      </c>
      <c r="H941" s="21">
        <f>packes[[#This Row],[num]]-SUM(packes[[#This Row],[num2]])</f>
        <v>1800</v>
      </c>
      <c r="I941" s="357"/>
      <c r="J941" s="21"/>
      <c r="K941" s="323"/>
      <c r="M941" s="27">
        <f>_xlfn.XLOOKUP(packes[[#This Row],[productId]],CT[productId],CT[total],"NA")</f>
        <v>130.69500000000002</v>
      </c>
      <c r="N941" s="23" t="str">
        <f>_xlfn.XLOOKUP(packes[[#This Row],[productId]],bom[Id],bom[ph],"NA")</f>
        <v>6.3ch</v>
      </c>
      <c r="O941" s="23" t="str">
        <f>_xlfn.XLOOKUP(packes[[#This Row],[productId]],bom[Id],bom[erth],"NA")</f>
        <v>6.3k</v>
      </c>
      <c r="P941" s="23" t="str">
        <f>_xlfn.XLOOKUP(packes[[#This Row],[productId]],bom[Id],bom[dbl],"NA")</f>
        <v>-</v>
      </c>
      <c r="Q941" s="20" t="str">
        <f>LEFT(packes[[#This Row],[date]],4)</f>
        <v>1404</v>
      </c>
    </row>
    <row r="942" spans="1:17" ht="16.5" x14ac:dyDescent="0.25">
      <c r="A942" s="23">
        <v>939</v>
      </c>
      <c r="B942" s="30" t="s">
        <v>775</v>
      </c>
      <c r="C942" s="23">
        <v>141320055</v>
      </c>
      <c r="D942" s="23">
        <v>200</v>
      </c>
      <c r="E942" s="27">
        <f>_xlfn.XLOOKUP(packes[[#This Row],[productId]],bom[Id],bom[wgt])</f>
        <v>1.1274069639828395</v>
      </c>
      <c r="F942" s="27">
        <f>packes[[#This Row],[num]]*packes[[#This Row],[wtg]]</f>
        <v>225.48139279656789</v>
      </c>
      <c r="G942" s="357">
        <v>3</v>
      </c>
      <c r="H942" s="21">
        <f>packes[[#This Row],[num]]-SUM(packes[[#This Row],[num2]])</f>
        <v>200</v>
      </c>
      <c r="I942" s="357"/>
      <c r="J942" s="21"/>
      <c r="K942" s="323"/>
      <c r="M942" s="27">
        <f>_xlfn.XLOOKUP(packes[[#This Row],[productId]],CT[productId],CT[total],"NA")</f>
        <v>41.13</v>
      </c>
      <c r="N942" s="23">
        <f>_xlfn.XLOOKUP(packes[[#This Row],[productId]],bom[Id],bom[ph],"NA")</f>
        <v>0</v>
      </c>
      <c r="O942" s="23">
        <f>_xlfn.XLOOKUP(packes[[#This Row],[productId]],bom[Id],bom[erth],"NA")</f>
        <v>0</v>
      </c>
      <c r="P942" s="23">
        <f>_xlfn.XLOOKUP(packes[[#This Row],[productId]],bom[Id],bom[dbl],"NA")</f>
        <v>0</v>
      </c>
      <c r="Q942" s="20" t="str">
        <f>LEFT(packes[[#This Row],[date]],4)</f>
        <v>1404</v>
      </c>
    </row>
    <row r="943" spans="1:17" ht="16.5" x14ac:dyDescent="0.25">
      <c r="A943" s="23">
        <v>940</v>
      </c>
      <c r="B943" s="30" t="s">
        <v>778</v>
      </c>
      <c r="C943" s="23">
        <v>140010230</v>
      </c>
      <c r="D943" s="23">
        <v>500</v>
      </c>
      <c r="E943" s="27">
        <f>_xlfn.XLOOKUP(packes[[#This Row],[productId]],bom[Id],bom[wgt])</f>
        <v>1.4486680634540554</v>
      </c>
      <c r="F943" s="27">
        <f>packes[[#This Row],[num]]*packes[[#This Row],[wtg]]</f>
        <v>724.33403172702765</v>
      </c>
      <c r="G943" s="357">
        <v>4</v>
      </c>
      <c r="H943" s="21">
        <f>packes[[#This Row],[num]]-SUM(packes[[#This Row],[num2]])</f>
        <v>500</v>
      </c>
      <c r="I943" s="357"/>
      <c r="J943" s="21"/>
      <c r="K943" s="323"/>
      <c r="M943" s="27">
        <f>_xlfn.XLOOKUP(packes[[#This Row],[productId]],CT[productId],CT[total],"NA")</f>
        <v>147.595</v>
      </c>
      <c r="N943" s="23" t="str">
        <f>_xlfn.XLOOKUP(packes[[#This Row],[productId]],bom[Id],bom[ph],"NA")</f>
        <v>nar.p</v>
      </c>
      <c r="O943" s="23" t="str">
        <f>_xlfn.XLOOKUP(packes[[#This Row],[productId]],bom[Id],bom[erth],"NA")</f>
        <v>-</v>
      </c>
      <c r="P943" s="23" t="str">
        <f>_xlfn.XLOOKUP(packes[[#This Row],[productId]],bom[Id],bom[dbl],"NA")</f>
        <v>nar.p</v>
      </c>
      <c r="Q943" s="20" t="str">
        <f>LEFT(packes[[#This Row],[date]],4)</f>
        <v>1404</v>
      </c>
    </row>
    <row r="944" spans="1:17" ht="16.5" x14ac:dyDescent="0.25">
      <c r="A944" s="23">
        <v>941</v>
      </c>
      <c r="B944" s="30" t="s">
        <v>778</v>
      </c>
      <c r="C944" s="23">
        <v>140310007</v>
      </c>
      <c r="D944" s="23">
        <v>800</v>
      </c>
      <c r="E944" s="27">
        <f>_xlfn.XLOOKUP(packes[[#This Row],[productId]],bom[Id],bom[wgt])</f>
        <v>1.1413748378728923</v>
      </c>
      <c r="F944" s="27">
        <f>packes[[#This Row],[num]]*packes[[#This Row],[wtg]]</f>
        <v>913.09987029831382</v>
      </c>
      <c r="G944" s="357">
        <v>4</v>
      </c>
      <c r="H944" s="21">
        <f>packes[[#This Row],[num]]-SUM(packes[[#This Row],[num2]])</f>
        <v>800</v>
      </c>
      <c r="I944" s="357"/>
      <c r="J944" s="21"/>
      <c r="K944" s="323"/>
      <c r="M944" s="27">
        <f>_xlfn.XLOOKUP(packes[[#This Row],[productId]],CT[productId],CT[total],"NA")</f>
        <v>92.484999999999999</v>
      </c>
      <c r="N944" s="23" t="str">
        <f>_xlfn.XLOOKUP(packes[[#This Row],[productId]],bom[Id],bom[ph],"NA")</f>
        <v>-</v>
      </c>
      <c r="O944" s="23" t="str">
        <f>_xlfn.XLOOKUP(packes[[#This Row],[productId]],bom[Id],bom[erth],"NA")</f>
        <v>nut4</v>
      </c>
      <c r="P944" s="23" t="str">
        <f>_xlfn.XLOOKUP(packes[[#This Row],[productId]],bom[Id],bom[dbl],"NA")</f>
        <v>-</v>
      </c>
      <c r="Q944" s="20" t="str">
        <f>LEFT(packes[[#This Row],[date]],4)</f>
        <v>1404</v>
      </c>
    </row>
    <row r="945" spans="1:17" ht="16.5" x14ac:dyDescent="0.25">
      <c r="A945" s="23">
        <v>942</v>
      </c>
      <c r="B945" s="30" t="s">
        <v>778</v>
      </c>
      <c r="C945" s="23">
        <v>140310071</v>
      </c>
      <c r="D945" s="23">
        <v>2050</v>
      </c>
      <c r="E945" s="27">
        <f>_xlfn.XLOOKUP(packes[[#This Row],[productId]],bom[Id],bom[wgt])</f>
        <v>1.3</v>
      </c>
      <c r="F945" s="27">
        <f>packes[[#This Row],[num]]*packes[[#This Row],[wtg]]</f>
        <v>2665</v>
      </c>
      <c r="G945" s="357">
        <v>3</v>
      </c>
      <c r="H945" s="21">
        <f>packes[[#This Row],[num]]-SUM(packes[[#This Row],[num2]])</f>
        <v>2050</v>
      </c>
      <c r="I945" s="357"/>
      <c r="J945" s="21"/>
      <c r="K945" s="323"/>
      <c r="M945" s="27">
        <f>_xlfn.XLOOKUP(packes[[#This Row],[productId]],CT[productId],CT[total],"NA")</f>
        <v>130.69500000000002</v>
      </c>
      <c r="N945" s="23" t="str">
        <f>_xlfn.XLOOKUP(packes[[#This Row],[productId]],bom[Id],bom[ph],"NA")</f>
        <v>6.3ch</v>
      </c>
      <c r="O945" s="23" t="str">
        <f>_xlfn.XLOOKUP(packes[[#This Row],[productId]],bom[Id],bom[erth],"NA")</f>
        <v>6.3k</v>
      </c>
      <c r="P945" s="23" t="str">
        <f>_xlfn.XLOOKUP(packes[[#This Row],[productId]],bom[Id],bom[dbl],"NA")</f>
        <v>-</v>
      </c>
      <c r="Q945" s="20" t="str">
        <f>LEFT(packes[[#This Row],[date]],4)</f>
        <v>1404</v>
      </c>
    </row>
    <row r="946" spans="1:17" ht="16.5" x14ac:dyDescent="0.25">
      <c r="A946" s="23">
        <v>943</v>
      </c>
      <c r="B946" s="30" t="s">
        <v>778</v>
      </c>
      <c r="C946" s="23">
        <v>140310083</v>
      </c>
      <c r="D946" s="23">
        <v>800</v>
      </c>
      <c r="E946" s="27">
        <f>_xlfn.XLOOKUP(packes[[#This Row],[productId]],bom[Id],bom[wgt])</f>
        <v>1.3369250723336326</v>
      </c>
      <c r="F946" s="27">
        <f>packes[[#This Row],[num]]*packes[[#This Row],[wtg]]</f>
        <v>1069.540057866906</v>
      </c>
      <c r="G946" s="357">
        <v>3</v>
      </c>
      <c r="H946" s="21">
        <f>packes[[#This Row],[num]]-SUM(packes[[#This Row],[num2]])</f>
        <v>800</v>
      </c>
      <c r="I946" s="357"/>
      <c r="J946" s="21"/>
      <c r="K946" s="323"/>
      <c r="M946" s="27">
        <f>_xlfn.XLOOKUP(packes[[#This Row],[productId]],CT[productId],CT[total],"NA")</f>
        <v>135.23500000000001</v>
      </c>
      <c r="N946" s="23" t="str">
        <f>_xlfn.XLOOKUP(packes[[#This Row],[productId]],bom[Id],bom[ph],"NA")</f>
        <v>6.3flat</v>
      </c>
      <c r="O946" s="23" t="str">
        <f>_xlfn.XLOOKUP(packes[[#This Row],[productId]],bom[Id],bom[erth],"NA")</f>
        <v>6.3flat</v>
      </c>
      <c r="P946" s="23" t="str">
        <f>_xlfn.XLOOKUP(packes[[#This Row],[productId]],bom[Id],bom[dbl],"NA")</f>
        <v>-</v>
      </c>
      <c r="Q946" s="20" t="str">
        <f>LEFT(packes[[#This Row],[date]],4)</f>
        <v>1404</v>
      </c>
    </row>
    <row r="947" spans="1:17" ht="16.5" x14ac:dyDescent="0.25">
      <c r="A947" s="23">
        <v>944</v>
      </c>
      <c r="B947" s="30" t="s">
        <v>778</v>
      </c>
      <c r="C947" s="23">
        <v>140550019</v>
      </c>
      <c r="D947" s="23">
        <v>600</v>
      </c>
      <c r="E947" s="27">
        <f>_xlfn.XLOOKUP(packes[[#This Row],[productId]],bom[Id],bom[wgt])</f>
        <v>2.6938042502244834</v>
      </c>
      <c r="F947" s="27">
        <f>packes[[#This Row],[num]]*packes[[#This Row],[wtg]]</f>
        <v>1616.2825501346902</v>
      </c>
      <c r="G947" s="357">
        <v>10</v>
      </c>
      <c r="H947" s="21">
        <f>packes[[#This Row],[num]]-SUM(packes[[#This Row],[num2]])</f>
        <v>600</v>
      </c>
      <c r="I947" s="357"/>
      <c r="J947" s="21"/>
      <c r="K947" s="323"/>
      <c r="M947" s="27">
        <f>_xlfn.XLOOKUP(packes[[#This Row],[productId]],CT[productId],CT[total],"NA")</f>
        <v>211.66499999999999</v>
      </c>
      <c r="N947" s="23" t="str">
        <f>_xlfn.XLOOKUP(packes[[#This Row],[productId]],bom[Id],bom[ph],"NA")</f>
        <v>6.3ch</v>
      </c>
      <c r="O947" s="23" t="str">
        <f>_xlfn.XLOOKUP(packes[[#This Row],[productId]],bom[Id],bom[erth],"NA")</f>
        <v>nut4</v>
      </c>
      <c r="P947" s="23" t="str">
        <f>_xlfn.XLOOKUP(packes[[#This Row],[productId]],bom[Id],bom[dbl],"NA")</f>
        <v>-</v>
      </c>
      <c r="Q947" s="20" t="str">
        <f>LEFT(packes[[#This Row],[date]],4)</f>
        <v>1404</v>
      </c>
    </row>
    <row r="948" spans="1:17" ht="16.5" x14ac:dyDescent="0.25">
      <c r="A948" s="23">
        <v>945</v>
      </c>
      <c r="B948" s="30" t="s">
        <v>779</v>
      </c>
      <c r="C948" s="23">
        <v>140010230</v>
      </c>
      <c r="D948" s="23">
        <v>500</v>
      </c>
      <c r="E948" s="27">
        <f>_xlfn.XLOOKUP(packes[[#This Row],[productId]],bom[Id],bom[wgt])</f>
        <v>1.4486680634540554</v>
      </c>
      <c r="F948" s="27">
        <f>packes[[#This Row],[num]]*packes[[#This Row],[wtg]]</f>
        <v>724.33403172702765</v>
      </c>
      <c r="G948" s="357">
        <v>4</v>
      </c>
      <c r="H948" s="21">
        <f>packes[[#This Row],[num]]-SUM(packes[[#This Row],[num2]])</f>
        <v>500</v>
      </c>
      <c r="I948" s="357"/>
      <c r="J948" s="21"/>
      <c r="K948" s="323"/>
      <c r="M948" s="27">
        <f>_xlfn.XLOOKUP(packes[[#This Row],[productId]],CT[productId],CT[total],"NA")</f>
        <v>147.595</v>
      </c>
      <c r="N948" s="23" t="str">
        <f>_xlfn.XLOOKUP(packes[[#This Row],[productId]],bom[Id],bom[ph],"NA")</f>
        <v>nar.p</v>
      </c>
      <c r="O948" s="23" t="str">
        <f>_xlfn.XLOOKUP(packes[[#This Row],[productId]],bom[Id],bom[erth],"NA")</f>
        <v>-</v>
      </c>
      <c r="P948" s="23" t="str">
        <f>_xlfn.XLOOKUP(packes[[#This Row],[productId]],bom[Id],bom[dbl],"NA")</f>
        <v>nar.p</v>
      </c>
      <c r="Q948" s="20" t="str">
        <f>LEFT(packes[[#This Row],[date]],4)</f>
        <v>1404</v>
      </c>
    </row>
    <row r="949" spans="1:17" ht="16.5" x14ac:dyDescent="0.25">
      <c r="A949" s="23">
        <v>946</v>
      </c>
      <c r="B949" s="30" t="s">
        <v>779</v>
      </c>
      <c r="C949" s="23">
        <v>140310007</v>
      </c>
      <c r="D949" s="23">
        <v>1000</v>
      </c>
      <c r="E949" s="27">
        <f>_xlfn.XLOOKUP(packes[[#This Row],[productId]],bom[Id],bom[wgt])</f>
        <v>1.1413748378728923</v>
      </c>
      <c r="F949" s="27">
        <f>packes[[#This Row],[num]]*packes[[#This Row],[wtg]]</f>
        <v>1141.3748378728924</v>
      </c>
      <c r="G949" s="357">
        <v>4</v>
      </c>
      <c r="H949" s="21">
        <f>packes[[#This Row],[num]]-SUM(packes[[#This Row],[num2]])</f>
        <v>1000</v>
      </c>
      <c r="I949" s="357"/>
      <c r="J949" s="21"/>
      <c r="K949" s="323"/>
      <c r="M949" s="27">
        <f>_xlfn.XLOOKUP(packes[[#This Row],[productId]],CT[productId],CT[total],"NA")</f>
        <v>92.484999999999999</v>
      </c>
      <c r="N949" s="23" t="str">
        <f>_xlfn.XLOOKUP(packes[[#This Row],[productId]],bom[Id],bom[ph],"NA")</f>
        <v>-</v>
      </c>
      <c r="O949" s="23" t="str">
        <f>_xlfn.XLOOKUP(packes[[#This Row],[productId]],bom[Id],bom[erth],"NA")</f>
        <v>nut4</v>
      </c>
      <c r="P949" s="23" t="str">
        <f>_xlfn.XLOOKUP(packes[[#This Row],[productId]],bom[Id],bom[dbl],"NA")</f>
        <v>-</v>
      </c>
      <c r="Q949" s="20" t="str">
        <f>LEFT(packes[[#This Row],[date]],4)</f>
        <v>1404</v>
      </c>
    </row>
    <row r="950" spans="1:17" ht="16.5" x14ac:dyDescent="0.25">
      <c r="A950" s="23">
        <v>947</v>
      </c>
      <c r="B950" s="30" t="s">
        <v>779</v>
      </c>
      <c r="C950" s="23">
        <v>140310083</v>
      </c>
      <c r="D950" s="23">
        <v>800</v>
      </c>
      <c r="E950" s="27">
        <f>_xlfn.XLOOKUP(packes[[#This Row],[productId]],bom[Id],bom[wgt])</f>
        <v>1.3369250723336326</v>
      </c>
      <c r="F950" s="27">
        <f>packes[[#This Row],[num]]*packes[[#This Row],[wtg]]</f>
        <v>1069.540057866906</v>
      </c>
      <c r="G950" s="357">
        <v>3</v>
      </c>
      <c r="H950" s="21">
        <f>packes[[#This Row],[num]]-SUM(packes[[#This Row],[num2]])</f>
        <v>800</v>
      </c>
      <c r="I950" s="357"/>
      <c r="J950" s="21"/>
      <c r="K950" s="323"/>
      <c r="M950" s="27">
        <f>_xlfn.XLOOKUP(packes[[#This Row],[productId]],CT[productId],CT[total],"NA")</f>
        <v>135.23500000000001</v>
      </c>
      <c r="N950" s="23" t="str">
        <f>_xlfn.XLOOKUP(packes[[#This Row],[productId]],bom[Id],bom[ph],"NA")</f>
        <v>6.3flat</v>
      </c>
      <c r="O950" s="23" t="str">
        <f>_xlfn.XLOOKUP(packes[[#This Row],[productId]],bom[Id],bom[erth],"NA")</f>
        <v>6.3flat</v>
      </c>
      <c r="P950" s="23" t="str">
        <f>_xlfn.XLOOKUP(packes[[#This Row],[productId]],bom[Id],bom[dbl],"NA")</f>
        <v>-</v>
      </c>
      <c r="Q950" s="20" t="str">
        <f>LEFT(packes[[#This Row],[date]],4)</f>
        <v>1404</v>
      </c>
    </row>
    <row r="951" spans="1:17" ht="16.5" x14ac:dyDescent="0.25">
      <c r="A951" s="23">
        <v>948</v>
      </c>
      <c r="B951" s="30" t="s">
        <v>779</v>
      </c>
      <c r="C951" s="23">
        <v>140450047</v>
      </c>
      <c r="D951" s="23">
        <v>40</v>
      </c>
      <c r="E951" s="27">
        <f>_xlfn.XLOOKUP(packes[[#This Row],[productId]],bom[Id],bom[wgt])</f>
        <v>0</v>
      </c>
      <c r="F951" s="27">
        <f>packes[[#This Row],[num]]*packes[[#This Row],[wtg]]</f>
        <v>0</v>
      </c>
      <c r="G951" s="357">
        <v>4</v>
      </c>
      <c r="H951" s="21">
        <f>packes[[#This Row],[num]]-SUM(packes[[#This Row],[num2]])</f>
        <v>40</v>
      </c>
      <c r="I951" s="357"/>
      <c r="J951" s="21"/>
      <c r="K951" s="323"/>
      <c r="M951" s="27">
        <f>_xlfn.XLOOKUP(packes[[#This Row],[productId]],CT[productId],CT[total],"NA")</f>
        <v>55.46</v>
      </c>
      <c r="N951" s="23" t="str">
        <f>_xlfn.XLOOKUP(packes[[#This Row],[productId]],bom[Id],bom[ph],"NA")</f>
        <v>-</v>
      </c>
      <c r="O951" s="23" t="str">
        <f>_xlfn.XLOOKUP(packes[[#This Row],[productId]],bom[Id],bom[erth],"NA")</f>
        <v>-</v>
      </c>
      <c r="P951" s="23" t="str">
        <f>_xlfn.XLOOKUP(packes[[#This Row],[productId]],bom[Id],bom[dbl],"NA")</f>
        <v>-</v>
      </c>
      <c r="Q951" s="20" t="str">
        <f>LEFT(packes[[#This Row],[date]],4)</f>
        <v>1404</v>
      </c>
    </row>
    <row r="952" spans="1:17" ht="16.5" x14ac:dyDescent="0.25">
      <c r="A952" s="23">
        <v>949</v>
      </c>
      <c r="B952" s="30" t="s">
        <v>779</v>
      </c>
      <c r="C952" s="23">
        <v>140550019</v>
      </c>
      <c r="D952" s="23">
        <v>800</v>
      </c>
      <c r="E952" s="27">
        <f>_xlfn.XLOOKUP(packes[[#This Row],[productId]],bom[Id],bom[wgt])</f>
        <v>2.6938042502244834</v>
      </c>
      <c r="F952" s="27">
        <f>packes[[#This Row],[num]]*packes[[#This Row],[wtg]]</f>
        <v>2155.0434001795866</v>
      </c>
      <c r="G952" s="357">
        <v>10</v>
      </c>
      <c r="H952" s="21">
        <f>packes[[#This Row],[num]]-SUM(packes[[#This Row],[num2]])</f>
        <v>800</v>
      </c>
      <c r="I952" s="357"/>
      <c r="J952" s="21"/>
      <c r="K952" s="323"/>
      <c r="M952" s="27">
        <f>_xlfn.XLOOKUP(packes[[#This Row],[productId]],CT[productId],CT[total],"NA")</f>
        <v>211.66499999999999</v>
      </c>
      <c r="N952" s="23" t="str">
        <f>_xlfn.XLOOKUP(packes[[#This Row],[productId]],bom[Id],bom[ph],"NA")</f>
        <v>6.3ch</v>
      </c>
      <c r="O952" s="23" t="str">
        <f>_xlfn.XLOOKUP(packes[[#This Row],[productId]],bom[Id],bom[erth],"NA")</f>
        <v>nut4</v>
      </c>
      <c r="P952" s="23" t="str">
        <f>_xlfn.XLOOKUP(packes[[#This Row],[productId]],bom[Id],bom[dbl],"NA")</f>
        <v>-</v>
      </c>
      <c r="Q952" s="20" t="str">
        <f>LEFT(packes[[#This Row],[date]],4)</f>
        <v>1404</v>
      </c>
    </row>
    <row r="953" spans="1:17" ht="16.5" x14ac:dyDescent="0.25">
      <c r="A953" s="23">
        <v>950</v>
      </c>
      <c r="B953" s="30" t="s">
        <v>779</v>
      </c>
      <c r="C953" s="23">
        <v>141320055</v>
      </c>
      <c r="D953" s="23">
        <v>1400</v>
      </c>
      <c r="E953" s="27">
        <f>_xlfn.XLOOKUP(packes[[#This Row],[productId]],bom[Id],bom[wgt])</f>
        <v>1.1274069639828395</v>
      </c>
      <c r="F953" s="27">
        <f>packes[[#This Row],[num]]*packes[[#This Row],[wtg]]</f>
        <v>1578.3697495759752</v>
      </c>
      <c r="G953" s="357">
        <v>3</v>
      </c>
      <c r="H953" s="21">
        <f>packes[[#This Row],[num]]-SUM(packes[[#This Row],[num2]])</f>
        <v>1400</v>
      </c>
      <c r="I953" s="357"/>
      <c r="J953" s="21"/>
      <c r="K953" s="323"/>
      <c r="M953" s="27">
        <f>_xlfn.XLOOKUP(packes[[#This Row],[productId]],CT[productId],CT[total],"NA")</f>
        <v>41.13</v>
      </c>
      <c r="N953" s="23">
        <f>_xlfn.XLOOKUP(packes[[#This Row],[productId]],bom[Id],bom[ph],"NA")</f>
        <v>0</v>
      </c>
      <c r="O953" s="23">
        <f>_xlfn.XLOOKUP(packes[[#This Row],[productId]],bom[Id],bom[erth],"NA")</f>
        <v>0</v>
      </c>
      <c r="P953" s="23">
        <f>_xlfn.XLOOKUP(packes[[#This Row],[productId]],bom[Id],bom[dbl],"NA")</f>
        <v>0</v>
      </c>
      <c r="Q953" s="20" t="str">
        <f>LEFT(packes[[#This Row],[date]],4)</f>
        <v>1404</v>
      </c>
    </row>
    <row r="954" spans="1:17" ht="16.5" x14ac:dyDescent="0.25">
      <c r="A954" s="23">
        <v>951</v>
      </c>
      <c r="B954" s="30" t="s">
        <v>780</v>
      </c>
      <c r="C954" s="23">
        <v>140010230</v>
      </c>
      <c r="D954" s="23">
        <v>350</v>
      </c>
      <c r="E954" s="27">
        <f>_xlfn.XLOOKUP(packes[[#This Row],[productId]],bom[Id],bom[wgt])</f>
        <v>1.4486680634540554</v>
      </c>
      <c r="F954" s="27">
        <f>packes[[#This Row],[num]]*packes[[#This Row],[wtg]]</f>
        <v>507.03382220891939</v>
      </c>
      <c r="G954" s="357">
        <v>4</v>
      </c>
      <c r="H954" s="21">
        <f>packes[[#This Row],[num]]-SUM(packes[[#This Row],[num2]])</f>
        <v>350</v>
      </c>
      <c r="I954" s="357"/>
      <c r="J954" s="21"/>
      <c r="K954" s="323"/>
      <c r="M954" s="27">
        <f>_xlfn.XLOOKUP(packes[[#This Row],[productId]],CT[productId],CT[total],"NA")</f>
        <v>147.595</v>
      </c>
      <c r="N954" s="23" t="str">
        <f>_xlfn.XLOOKUP(packes[[#This Row],[productId]],bom[Id],bom[ph],"NA")</f>
        <v>nar.p</v>
      </c>
      <c r="O954" s="23" t="str">
        <f>_xlfn.XLOOKUP(packes[[#This Row],[productId]],bom[Id],bom[erth],"NA")</f>
        <v>-</v>
      </c>
      <c r="P954" s="23" t="str">
        <f>_xlfn.XLOOKUP(packes[[#This Row],[productId]],bom[Id],bom[dbl],"NA")</f>
        <v>nar.p</v>
      </c>
      <c r="Q954" s="20" t="str">
        <f>LEFT(packes[[#This Row],[date]],4)</f>
        <v>1404</v>
      </c>
    </row>
    <row r="955" spans="1:17" ht="16.5" x14ac:dyDescent="0.25">
      <c r="A955" s="23">
        <v>952</v>
      </c>
      <c r="B955" s="30" t="s">
        <v>780</v>
      </c>
      <c r="C955" s="23">
        <v>140310007</v>
      </c>
      <c r="D955" s="23">
        <v>1300</v>
      </c>
      <c r="E955" s="27">
        <f>_xlfn.XLOOKUP(packes[[#This Row],[productId]],bom[Id],bom[wgt])</f>
        <v>1.1413748378728923</v>
      </c>
      <c r="F955" s="27">
        <f>packes[[#This Row],[num]]*packes[[#This Row],[wtg]]</f>
        <v>1483.78728923476</v>
      </c>
      <c r="G955" s="357">
        <v>4</v>
      </c>
      <c r="H955" s="21">
        <f>packes[[#This Row],[num]]-SUM(packes[[#This Row],[num2]])</f>
        <v>1300</v>
      </c>
      <c r="I955" s="357"/>
      <c r="J955" s="21"/>
      <c r="K955" s="323"/>
      <c r="M955" s="27">
        <f>_xlfn.XLOOKUP(packes[[#This Row],[productId]],CT[productId],CT[total],"NA")</f>
        <v>92.484999999999999</v>
      </c>
      <c r="N955" s="23" t="str">
        <f>_xlfn.XLOOKUP(packes[[#This Row],[productId]],bom[Id],bom[ph],"NA")</f>
        <v>-</v>
      </c>
      <c r="O955" s="23" t="str">
        <f>_xlfn.XLOOKUP(packes[[#This Row],[productId]],bom[Id],bom[erth],"NA")</f>
        <v>nut4</v>
      </c>
      <c r="P955" s="23" t="str">
        <f>_xlfn.XLOOKUP(packes[[#This Row],[productId]],bom[Id],bom[dbl],"NA")</f>
        <v>-</v>
      </c>
      <c r="Q955" s="20" t="str">
        <f>LEFT(packes[[#This Row],[date]],4)</f>
        <v>1404</v>
      </c>
    </row>
    <row r="956" spans="1:17" ht="16.5" x14ac:dyDescent="0.25">
      <c r="A956" s="23">
        <v>953</v>
      </c>
      <c r="B956" s="30" t="s">
        <v>780</v>
      </c>
      <c r="C956" s="23">
        <v>140550019</v>
      </c>
      <c r="D956" s="23">
        <v>600</v>
      </c>
      <c r="E956" s="27">
        <f>_xlfn.XLOOKUP(packes[[#This Row],[productId]],bom[Id],bom[wgt])</f>
        <v>2.6938042502244834</v>
      </c>
      <c r="F956" s="27">
        <f>packes[[#This Row],[num]]*packes[[#This Row],[wtg]]</f>
        <v>1616.2825501346902</v>
      </c>
      <c r="G956" s="357">
        <v>10</v>
      </c>
      <c r="H956" s="21">
        <f>packes[[#This Row],[num]]-SUM(packes[[#This Row],[num2]])</f>
        <v>600</v>
      </c>
      <c r="I956" s="357"/>
      <c r="J956" s="21"/>
      <c r="K956" s="323"/>
      <c r="M956" s="27">
        <f>_xlfn.XLOOKUP(packes[[#This Row],[productId]],CT[productId],CT[total],"NA")</f>
        <v>211.66499999999999</v>
      </c>
      <c r="N956" s="23" t="str">
        <f>_xlfn.XLOOKUP(packes[[#This Row],[productId]],bom[Id],bom[ph],"NA")</f>
        <v>6.3ch</v>
      </c>
      <c r="O956" s="23" t="str">
        <f>_xlfn.XLOOKUP(packes[[#This Row],[productId]],bom[Id],bom[erth],"NA")</f>
        <v>nut4</v>
      </c>
      <c r="P956" s="23" t="str">
        <f>_xlfn.XLOOKUP(packes[[#This Row],[productId]],bom[Id],bom[dbl],"NA")</f>
        <v>-</v>
      </c>
      <c r="Q956" s="20" t="str">
        <f>LEFT(packes[[#This Row],[date]],4)</f>
        <v>1404</v>
      </c>
    </row>
    <row r="957" spans="1:17" ht="16.5" x14ac:dyDescent="0.25">
      <c r="A957" s="23">
        <v>954</v>
      </c>
      <c r="B957" s="30" t="s">
        <v>780</v>
      </c>
      <c r="C957" s="23">
        <v>140530039</v>
      </c>
      <c r="D957" s="23">
        <v>2600</v>
      </c>
      <c r="E957" s="27">
        <f>_xlfn.XLOOKUP(packes[[#This Row],[productId]],bom[Id],bom[wgt])</f>
        <v>1.1274069639828395</v>
      </c>
      <c r="F957" s="27">
        <f>packes[[#This Row],[num]]*packes[[#This Row],[wtg]]</f>
        <v>2931.2581063553826</v>
      </c>
      <c r="G957" s="357">
        <v>3</v>
      </c>
      <c r="H957" s="21">
        <f>packes[[#This Row],[num]]-SUM(packes[[#This Row],[num2]])</f>
        <v>2600</v>
      </c>
      <c r="I957" s="357"/>
      <c r="J957" s="21"/>
      <c r="K957" s="323"/>
      <c r="M957" s="27">
        <f>_xlfn.XLOOKUP(packes[[#This Row],[productId]],CT[productId],CT[total],"NA")</f>
        <v>41.13</v>
      </c>
      <c r="N957" s="23" t="str">
        <f>_xlfn.XLOOKUP(packes[[#This Row],[productId]],bom[Id],bom[ph],"NA")</f>
        <v>radio</v>
      </c>
      <c r="O957" s="23" t="str">
        <f>_xlfn.XLOOKUP(packes[[#This Row],[productId]],bom[Id],bom[erth],"NA")</f>
        <v>-</v>
      </c>
      <c r="P957" s="23" t="str">
        <f>_xlfn.XLOOKUP(packes[[#This Row],[productId]],bom[Id],bom[dbl],"NA")</f>
        <v>-</v>
      </c>
      <c r="Q957" s="20" t="str">
        <f>LEFT(packes[[#This Row],[date]],4)</f>
        <v>1404</v>
      </c>
    </row>
    <row r="958" spans="1:17" ht="16.5" x14ac:dyDescent="0.25">
      <c r="A958" s="23">
        <v>955</v>
      </c>
      <c r="B958" s="30" t="s">
        <v>781</v>
      </c>
      <c r="C958" s="23">
        <v>140310071</v>
      </c>
      <c r="D958" s="23">
        <v>2250</v>
      </c>
      <c r="E958" s="27">
        <f>_xlfn.XLOOKUP(packes[[#This Row],[productId]],bom[Id],bom[wgt])</f>
        <v>1.3</v>
      </c>
      <c r="F958" s="27">
        <f>packes[[#This Row],[num]]*packes[[#This Row],[wtg]]</f>
        <v>2925</v>
      </c>
      <c r="G958" s="357">
        <v>3</v>
      </c>
      <c r="H958" s="21">
        <f>packes[[#This Row],[num]]-SUM(packes[[#This Row],[num2]])</f>
        <v>2250</v>
      </c>
      <c r="I958" s="357"/>
      <c r="J958" s="21"/>
      <c r="K958" s="323"/>
      <c r="M958" s="27">
        <f>_xlfn.XLOOKUP(packes[[#This Row],[productId]],CT[productId],CT[total],"NA")</f>
        <v>130.69500000000002</v>
      </c>
      <c r="N958" s="23" t="str">
        <f>_xlfn.XLOOKUP(packes[[#This Row],[productId]],bom[Id],bom[ph],"NA")</f>
        <v>6.3ch</v>
      </c>
      <c r="O958" s="23" t="str">
        <f>_xlfn.XLOOKUP(packes[[#This Row],[productId]],bom[Id],bom[erth],"NA")</f>
        <v>6.3k</v>
      </c>
      <c r="P958" s="23" t="str">
        <f>_xlfn.XLOOKUP(packes[[#This Row],[productId]],bom[Id],bom[dbl],"NA")</f>
        <v>-</v>
      </c>
      <c r="Q958" s="20" t="str">
        <f>LEFT(packes[[#This Row],[date]],4)</f>
        <v>1404</v>
      </c>
    </row>
    <row r="959" spans="1:17" ht="16.5" x14ac:dyDescent="0.25">
      <c r="A959" s="23">
        <v>956</v>
      </c>
      <c r="B959" s="30" t="s">
        <v>781</v>
      </c>
      <c r="C959" s="23">
        <v>140640007</v>
      </c>
      <c r="D959" s="23">
        <v>1800</v>
      </c>
      <c r="E959" s="27">
        <f>_xlfn.XLOOKUP(packes[[#This Row],[productId]],bom[Id],bom[wgt])</f>
        <v>1.1413748378728923</v>
      </c>
      <c r="F959" s="27">
        <f>packes[[#This Row],[num]]*packes[[#This Row],[wtg]]</f>
        <v>2054.4747081712062</v>
      </c>
      <c r="G959" s="357">
        <v>2</v>
      </c>
      <c r="H959" s="21">
        <f>packes[[#This Row],[num]]-SUM(packes[[#This Row],[num2]])</f>
        <v>1800</v>
      </c>
      <c r="I959" s="357"/>
      <c r="J959" s="21"/>
      <c r="K959" s="323"/>
      <c r="M959" s="27">
        <f>_xlfn.XLOOKUP(packes[[#This Row],[productId]],CT[productId],CT[total],"NA")</f>
        <v>77.11999999999999</v>
      </c>
      <c r="N959" s="23" t="str">
        <f>_xlfn.XLOOKUP(packes[[#This Row],[productId]],bom[Id],bom[ph],"NA")</f>
        <v>molex</v>
      </c>
      <c r="O959" s="23" t="str">
        <f>_xlfn.XLOOKUP(packes[[#This Row],[productId]],bom[Id],bom[erth],"NA")</f>
        <v>sun</v>
      </c>
      <c r="P959" s="23">
        <f>_xlfn.XLOOKUP(packes[[#This Row],[productId]],bom[Id],bom[dbl],"NA")</f>
        <v>0</v>
      </c>
      <c r="Q959" s="20" t="str">
        <f>LEFT(packes[[#This Row],[date]],4)</f>
        <v>1404</v>
      </c>
    </row>
    <row r="960" spans="1:17" ht="16.5" x14ac:dyDescent="0.25">
      <c r="A960" s="23">
        <v>957</v>
      </c>
      <c r="B960" s="30" t="s">
        <v>781</v>
      </c>
      <c r="C960" s="23">
        <v>140550019</v>
      </c>
      <c r="D960" s="23">
        <v>600</v>
      </c>
      <c r="E960" s="27">
        <f>_xlfn.XLOOKUP(packes[[#This Row],[productId]],bom[Id],bom[wgt])</f>
        <v>2.6938042502244834</v>
      </c>
      <c r="F960" s="27">
        <f>packes[[#This Row],[num]]*packes[[#This Row],[wtg]]</f>
        <v>1616.2825501346902</v>
      </c>
      <c r="G960" s="357">
        <v>10</v>
      </c>
      <c r="H960" s="21">
        <f>packes[[#This Row],[num]]-SUM(packes[[#This Row],[num2]])</f>
        <v>600</v>
      </c>
      <c r="I960" s="357"/>
      <c r="J960" s="21"/>
      <c r="K960" s="323"/>
      <c r="M960" s="27">
        <f>_xlfn.XLOOKUP(packes[[#This Row],[productId]],CT[productId],CT[total],"NA")</f>
        <v>211.66499999999999</v>
      </c>
      <c r="N960" s="23" t="str">
        <f>_xlfn.XLOOKUP(packes[[#This Row],[productId]],bom[Id],bom[ph],"NA")</f>
        <v>6.3ch</v>
      </c>
      <c r="O960" s="23" t="str">
        <f>_xlfn.XLOOKUP(packes[[#This Row],[productId]],bom[Id],bom[erth],"NA")</f>
        <v>nut4</v>
      </c>
      <c r="P960" s="23" t="str">
        <f>_xlfn.XLOOKUP(packes[[#This Row],[productId]],bom[Id],bom[dbl],"NA")</f>
        <v>-</v>
      </c>
      <c r="Q960" s="20" t="str">
        <f>LEFT(packes[[#This Row],[date]],4)</f>
        <v>1404</v>
      </c>
    </row>
    <row r="961" spans="1:17" ht="16.5" x14ac:dyDescent="0.25">
      <c r="A961" s="23">
        <v>958</v>
      </c>
      <c r="B961" s="30" t="s">
        <v>782</v>
      </c>
      <c r="C961" s="23">
        <v>140030040</v>
      </c>
      <c r="D961" s="23">
        <v>300</v>
      </c>
      <c r="E961" s="27">
        <f>_xlfn.XLOOKUP(packes[[#This Row],[productId]],bom[Id],bom[wgt])</f>
        <v>1.1092487279257708</v>
      </c>
      <c r="F961" s="27">
        <f>packes[[#This Row],[num]]*packes[[#This Row],[wtg]]</f>
        <v>332.77461837773126</v>
      </c>
      <c r="G961" s="357">
        <v>4</v>
      </c>
      <c r="H961" s="21">
        <f>packes[[#This Row],[num]]-SUM(packes[[#This Row],[num2]])</f>
        <v>300</v>
      </c>
      <c r="I961" s="357"/>
      <c r="J961" s="21"/>
      <c r="K961" s="323"/>
      <c r="M961" s="27">
        <f>_xlfn.XLOOKUP(packes[[#This Row],[productId]],CT[productId],CT[total],"NA")</f>
        <v>97.305000000000007</v>
      </c>
      <c r="N961" s="23" t="str">
        <f>_xlfn.XLOOKUP(packes[[#This Row],[productId]],bom[Id],bom[ph],"NA")</f>
        <v>YH</v>
      </c>
      <c r="O961" s="23" t="str">
        <f>_xlfn.XLOOKUP(packes[[#This Row],[productId]],bom[Id],bom[erth],"NA")</f>
        <v>sun</v>
      </c>
      <c r="P961" s="23" t="str">
        <f>_xlfn.XLOOKUP(packes[[#This Row],[productId]],bom[Id],bom[dbl],"NA")</f>
        <v>-</v>
      </c>
      <c r="Q961" s="20" t="str">
        <f>LEFT(packes[[#This Row],[date]],4)</f>
        <v>1404</v>
      </c>
    </row>
    <row r="962" spans="1:17" ht="16.5" x14ac:dyDescent="0.25">
      <c r="A962" s="23">
        <v>959</v>
      </c>
      <c r="B962" s="30" t="s">
        <v>782</v>
      </c>
      <c r="C962" s="23">
        <v>140310071</v>
      </c>
      <c r="D962" s="23">
        <v>500</v>
      </c>
      <c r="E962" s="27">
        <f>_xlfn.XLOOKUP(packes[[#This Row],[productId]],bom[Id],bom[wgt])</f>
        <v>1.3</v>
      </c>
      <c r="F962" s="27">
        <f>packes[[#This Row],[num]]*packes[[#This Row],[wtg]]</f>
        <v>650</v>
      </c>
      <c r="G962" s="357">
        <v>3</v>
      </c>
      <c r="H962" s="21">
        <f>packes[[#This Row],[num]]-SUM(packes[[#This Row],[num2]])</f>
        <v>500</v>
      </c>
      <c r="I962" s="357"/>
      <c r="J962" s="21"/>
      <c r="K962" s="323"/>
      <c r="M962" s="27">
        <f>_xlfn.XLOOKUP(packes[[#This Row],[productId]],CT[productId],CT[total],"NA")</f>
        <v>130.69500000000002</v>
      </c>
      <c r="N962" s="23" t="str">
        <f>_xlfn.XLOOKUP(packes[[#This Row],[productId]],bom[Id],bom[ph],"NA")</f>
        <v>6.3ch</v>
      </c>
      <c r="O962" s="23" t="str">
        <f>_xlfn.XLOOKUP(packes[[#This Row],[productId]],bom[Id],bom[erth],"NA")</f>
        <v>6.3k</v>
      </c>
      <c r="P962" s="23" t="str">
        <f>_xlfn.XLOOKUP(packes[[#This Row],[productId]],bom[Id],bom[dbl],"NA")</f>
        <v>-</v>
      </c>
      <c r="Q962" s="20" t="str">
        <f>LEFT(packes[[#This Row],[date]],4)</f>
        <v>1404</v>
      </c>
    </row>
    <row r="963" spans="1:17" ht="16.5" x14ac:dyDescent="0.25">
      <c r="A963" s="23">
        <v>960</v>
      </c>
      <c r="B963" s="30" t="s">
        <v>782</v>
      </c>
      <c r="C963" s="23">
        <v>140310083</v>
      </c>
      <c r="D963" s="23">
        <v>1100</v>
      </c>
      <c r="E963" s="27">
        <f>_xlfn.XLOOKUP(packes[[#This Row],[productId]],bom[Id],bom[wgt])</f>
        <v>1.3369250723336326</v>
      </c>
      <c r="F963" s="27">
        <f>packes[[#This Row],[num]]*packes[[#This Row],[wtg]]</f>
        <v>1470.6175795669958</v>
      </c>
      <c r="G963" s="357">
        <v>3</v>
      </c>
      <c r="H963" s="21">
        <f>packes[[#This Row],[num]]-SUM(packes[[#This Row],[num2]])</f>
        <v>1100</v>
      </c>
      <c r="I963" s="357"/>
      <c r="J963" s="21"/>
      <c r="K963" s="323"/>
      <c r="M963" s="27">
        <f>_xlfn.XLOOKUP(packes[[#This Row],[productId]],CT[productId],CT[total],"NA")</f>
        <v>135.23500000000001</v>
      </c>
      <c r="N963" s="23" t="str">
        <f>_xlfn.XLOOKUP(packes[[#This Row],[productId]],bom[Id],bom[ph],"NA")</f>
        <v>6.3flat</v>
      </c>
      <c r="O963" s="23" t="str">
        <f>_xlfn.XLOOKUP(packes[[#This Row],[productId]],bom[Id],bom[erth],"NA")</f>
        <v>6.3flat</v>
      </c>
      <c r="P963" s="23" t="str">
        <f>_xlfn.XLOOKUP(packes[[#This Row],[productId]],bom[Id],bom[dbl],"NA")</f>
        <v>-</v>
      </c>
      <c r="Q963" s="20" t="str">
        <f>LEFT(packes[[#This Row],[date]],4)</f>
        <v>1404</v>
      </c>
    </row>
    <row r="964" spans="1:17" ht="16.5" x14ac:dyDescent="0.25">
      <c r="A964" s="23">
        <v>961</v>
      </c>
      <c r="B964" s="30" t="s">
        <v>782</v>
      </c>
      <c r="C964" s="23">
        <v>140640007</v>
      </c>
      <c r="D964" s="23">
        <v>1200</v>
      </c>
      <c r="E964" s="27">
        <f>_xlfn.XLOOKUP(packes[[#This Row],[productId]],bom[Id],bom[wgt])</f>
        <v>1.1413748378728923</v>
      </c>
      <c r="F964" s="27">
        <f>packes[[#This Row],[num]]*packes[[#This Row],[wtg]]</f>
        <v>1369.6498054474707</v>
      </c>
      <c r="G964" s="357">
        <v>2</v>
      </c>
      <c r="H964" s="21">
        <f>packes[[#This Row],[num]]-SUM(packes[[#This Row],[num2]])</f>
        <v>1200</v>
      </c>
      <c r="I964" s="357"/>
      <c r="J964" s="21"/>
      <c r="K964" s="323"/>
      <c r="M964" s="27">
        <f>_xlfn.XLOOKUP(packes[[#This Row],[productId]],CT[productId],CT[total],"NA")</f>
        <v>77.11999999999999</v>
      </c>
      <c r="N964" s="23" t="str">
        <f>_xlfn.XLOOKUP(packes[[#This Row],[productId]],bom[Id],bom[ph],"NA")</f>
        <v>molex</v>
      </c>
      <c r="O964" s="23" t="str">
        <f>_xlfn.XLOOKUP(packes[[#This Row],[productId]],bom[Id],bom[erth],"NA")</f>
        <v>sun</v>
      </c>
      <c r="P964" s="23">
        <f>_xlfn.XLOOKUP(packes[[#This Row],[productId]],bom[Id],bom[dbl],"NA")</f>
        <v>0</v>
      </c>
      <c r="Q964" s="20" t="str">
        <f>LEFT(packes[[#This Row],[date]],4)</f>
        <v>1404</v>
      </c>
    </row>
    <row r="965" spans="1:17" ht="16.5" x14ac:dyDescent="0.25">
      <c r="A965" s="23">
        <v>962</v>
      </c>
      <c r="B965" s="30" t="s">
        <v>782</v>
      </c>
      <c r="C965" s="23">
        <v>140550019</v>
      </c>
      <c r="D965" s="23">
        <v>500</v>
      </c>
      <c r="E965" s="27">
        <f>_xlfn.XLOOKUP(packes[[#This Row],[productId]],bom[Id],bom[wgt])</f>
        <v>2.6938042502244834</v>
      </c>
      <c r="F965" s="27">
        <f>packes[[#This Row],[num]]*packes[[#This Row],[wtg]]</f>
        <v>1346.9021251122417</v>
      </c>
      <c r="G965" s="357">
        <v>10</v>
      </c>
      <c r="H965" s="21">
        <f>packes[[#This Row],[num]]-SUM(packes[[#This Row],[num2]])</f>
        <v>500</v>
      </c>
      <c r="I965" s="357"/>
      <c r="J965" s="21"/>
      <c r="K965" s="323"/>
      <c r="M965" s="27">
        <f>_xlfn.XLOOKUP(packes[[#This Row],[productId]],CT[productId],CT[total],"NA")</f>
        <v>211.66499999999999</v>
      </c>
      <c r="N965" s="23" t="str">
        <f>_xlfn.XLOOKUP(packes[[#This Row],[productId]],bom[Id],bom[ph],"NA")</f>
        <v>6.3ch</v>
      </c>
      <c r="O965" s="23" t="str">
        <f>_xlfn.XLOOKUP(packes[[#This Row],[productId]],bom[Id],bom[erth],"NA")</f>
        <v>nut4</v>
      </c>
      <c r="P965" s="23" t="str">
        <f>_xlfn.XLOOKUP(packes[[#This Row],[productId]],bom[Id],bom[dbl],"NA")</f>
        <v>-</v>
      </c>
      <c r="Q965" s="20" t="str">
        <f>LEFT(packes[[#This Row],[date]],4)</f>
        <v>1404</v>
      </c>
    </row>
    <row r="966" spans="1:17" ht="16.5" x14ac:dyDescent="0.25">
      <c r="A966" s="23">
        <v>963</v>
      </c>
      <c r="B966" s="30" t="s">
        <v>782</v>
      </c>
      <c r="C966" s="23">
        <v>141320055</v>
      </c>
      <c r="D966" s="23">
        <v>1500</v>
      </c>
      <c r="E966" s="27">
        <f>_xlfn.XLOOKUP(packes[[#This Row],[productId]],bom[Id],bom[wgt])</f>
        <v>1.1274069639828395</v>
      </c>
      <c r="F966" s="27">
        <f>packes[[#This Row],[num]]*packes[[#This Row],[wtg]]</f>
        <v>1691.1104459742592</v>
      </c>
      <c r="G966" s="357">
        <v>3</v>
      </c>
      <c r="H966" s="21">
        <f>packes[[#This Row],[num]]-SUM(packes[[#This Row],[num2]])</f>
        <v>1500</v>
      </c>
      <c r="I966" s="357"/>
      <c r="J966" s="21"/>
      <c r="K966" s="323"/>
      <c r="M966" s="27">
        <f>_xlfn.XLOOKUP(packes[[#This Row],[productId]],CT[productId],CT[total],"NA")</f>
        <v>41.13</v>
      </c>
      <c r="N966" s="23">
        <f>_xlfn.XLOOKUP(packes[[#This Row],[productId]],bom[Id],bom[ph],"NA")</f>
        <v>0</v>
      </c>
      <c r="O966" s="23">
        <f>_xlfn.XLOOKUP(packes[[#This Row],[productId]],bom[Id],bom[erth],"NA")</f>
        <v>0</v>
      </c>
      <c r="P966" s="23">
        <f>_xlfn.XLOOKUP(packes[[#This Row],[productId]],bom[Id],bom[dbl],"NA")</f>
        <v>0</v>
      </c>
      <c r="Q966" s="20" t="str">
        <f>LEFT(packes[[#This Row],[date]],4)</f>
        <v>1404</v>
      </c>
    </row>
    <row r="967" spans="1:17" ht="16.5" x14ac:dyDescent="0.25">
      <c r="A967" s="23">
        <v>964</v>
      </c>
      <c r="B967" s="30" t="s">
        <v>785</v>
      </c>
      <c r="C967" s="23">
        <v>140010230</v>
      </c>
      <c r="D967" s="23">
        <v>360</v>
      </c>
      <c r="E967" s="27">
        <f>_xlfn.XLOOKUP(packes[[#This Row],[productId]],bom[Id],bom[wgt])</f>
        <v>1.4486680634540554</v>
      </c>
      <c r="F967" s="27">
        <f>packes[[#This Row],[num]]*packes[[#This Row],[wtg]]</f>
        <v>521.52050284345989</v>
      </c>
      <c r="G967" s="357">
        <v>4</v>
      </c>
      <c r="H967" s="21">
        <f>packes[[#This Row],[num]]-SUM(packes[[#This Row],[num2]])</f>
        <v>360</v>
      </c>
      <c r="I967" s="357"/>
      <c r="J967" s="21"/>
      <c r="K967" s="323"/>
      <c r="M967" s="27">
        <f>_xlfn.XLOOKUP(packes[[#This Row],[productId]],CT[productId],CT[total],"NA")</f>
        <v>147.595</v>
      </c>
      <c r="N967" s="23" t="str">
        <f>_xlfn.XLOOKUP(packes[[#This Row],[productId]],bom[Id],bom[ph],"NA")</f>
        <v>nar.p</v>
      </c>
      <c r="O967" s="23" t="str">
        <f>_xlfn.XLOOKUP(packes[[#This Row],[productId]],bom[Id],bom[erth],"NA")</f>
        <v>-</v>
      </c>
      <c r="P967" s="23" t="str">
        <f>_xlfn.XLOOKUP(packes[[#This Row],[productId]],bom[Id],bom[dbl],"NA")</f>
        <v>nar.p</v>
      </c>
      <c r="Q967" s="20" t="str">
        <f>LEFT(packes[[#This Row],[date]],4)</f>
        <v>1404</v>
      </c>
    </row>
    <row r="968" spans="1:17" ht="16.5" x14ac:dyDescent="0.25">
      <c r="A968" s="23">
        <v>965</v>
      </c>
      <c r="B968" s="30" t="s">
        <v>785</v>
      </c>
      <c r="C968" s="23">
        <v>140310071</v>
      </c>
      <c r="D968" s="23">
        <v>1200</v>
      </c>
      <c r="E968" s="27">
        <f>_xlfn.XLOOKUP(packes[[#This Row],[productId]],bom[Id],bom[wgt])</f>
        <v>1.3</v>
      </c>
      <c r="F968" s="27">
        <f>packes[[#This Row],[num]]*packes[[#This Row],[wtg]]</f>
        <v>1560</v>
      </c>
      <c r="G968" s="357">
        <v>3</v>
      </c>
      <c r="H968" s="21">
        <f>packes[[#This Row],[num]]-SUM(packes[[#This Row],[num2]])</f>
        <v>1200</v>
      </c>
      <c r="I968" s="357"/>
      <c r="J968" s="21"/>
      <c r="K968" s="323"/>
      <c r="M968" s="27">
        <f>_xlfn.XLOOKUP(packes[[#This Row],[productId]],CT[productId],CT[total],"NA")</f>
        <v>130.69500000000002</v>
      </c>
      <c r="N968" s="23" t="str">
        <f>_xlfn.XLOOKUP(packes[[#This Row],[productId]],bom[Id],bom[ph],"NA")</f>
        <v>6.3ch</v>
      </c>
      <c r="O968" s="23" t="str">
        <f>_xlfn.XLOOKUP(packes[[#This Row],[productId]],bom[Id],bom[erth],"NA")</f>
        <v>6.3k</v>
      </c>
      <c r="P968" s="23" t="str">
        <f>_xlfn.XLOOKUP(packes[[#This Row],[productId]],bom[Id],bom[dbl],"NA")</f>
        <v>-</v>
      </c>
      <c r="Q968" s="20" t="str">
        <f>LEFT(packes[[#This Row],[date]],4)</f>
        <v>1404</v>
      </c>
    </row>
    <row r="969" spans="1:17" ht="16.5" x14ac:dyDescent="0.25">
      <c r="A969" s="23">
        <v>966</v>
      </c>
      <c r="B969" s="30" t="s">
        <v>785</v>
      </c>
      <c r="C969" s="23">
        <v>140450047</v>
      </c>
      <c r="D969" s="23">
        <v>100</v>
      </c>
      <c r="E969" s="27">
        <f>_xlfn.XLOOKUP(packes[[#This Row],[productId]],bom[Id],bom[wgt])</f>
        <v>0</v>
      </c>
      <c r="F969" s="27">
        <f>packes[[#This Row],[num]]*packes[[#This Row],[wtg]]</f>
        <v>0</v>
      </c>
      <c r="G969" s="357">
        <v>4</v>
      </c>
      <c r="H969" s="21">
        <f>packes[[#This Row],[num]]-SUM(packes[[#This Row],[num2]])</f>
        <v>100</v>
      </c>
      <c r="I969" s="357"/>
      <c r="J969" s="21"/>
      <c r="K969" s="323"/>
      <c r="M969" s="27">
        <f>_xlfn.XLOOKUP(packes[[#This Row],[productId]],CT[productId],CT[total],"NA")</f>
        <v>55.46</v>
      </c>
      <c r="N969" s="23" t="str">
        <f>_xlfn.XLOOKUP(packes[[#This Row],[productId]],bom[Id],bom[ph],"NA")</f>
        <v>-</v>
      </c>
      <c r="O969" s="23" t="str">
        <f>_xlfn.XLOOKUP(packes[[#This Row],[productId]],bom[Id],bom[erth],"NA")</f>
        <v>-</v>
      </c>
      <c r="P969" s="23" t="str">
        <f>_xlfn.XLOOKUP(packes[[#This Row],[productId]],bom[Id],bom[dbl],"NA")</f>
        <v>-</v>
      </c>
      <c r="Q969" s="20" t="str">
        <f>LEFT(packes[[#This Row],[date]],4)</f>
        <v>1404</v>
      </c>
    </row>
    <row r="970" spans="1:17" ht="16.5" x14ac:dyDescent="0.25">
      <c r="A970" s="23">
        <v>967</v>
      </c>
      <c r="B970" s="30" t="s">
        <v>785</v>
      </c>
      <c r="C970" s="23">
        <v>140550019</v>
      </c>
      <c r="D970" s="23">
        <v>950</v>
      </c>
      <c r="E970" s="27">
        <f>_xlfn.XLOOKUP(packes[[#This Row],[productId]],bom[Id],bom[wgt])</f>
        <v>2.6938042502244834</v>
      </c>
      <c r="F970" s="27">
        <f>packes[[#This Row],[num]]*packes[[#This Row],[wtg]]</f>
        <v>2559.1140377132592</v>
      </c>
      <c r="G970" s="357">
        <v>10</v>
      </c>
      <c r="H970" s="21">
        <f>packes[[#This Row],[num]]-SUM(packes[[#This Row],[num2]])</f>
        <v>950</v>
      </c>
      <c r="I970" s="357"/>
      <c r="J970" s="21"/>
      <c r="K970" s="323"/>
      <c r="M970" s="27">
        <f>_xlfn.XLOOKUP(packes[[#This Row],[productId]],CT[productId],CT[total],"NA")</f>
        <v>211.66499999999999</v>
      </c>
      <c r="N970" s="23" t="str">
        <f>_xlfn.XLOOKUP(packes[[#This Row],[productId]],bom[Id],bom[ph],"NA")</f>
        <v>6.3ch</v>
      </c>
      <c r="O970" s="23" t="str">
        <f>_xlfn.XLOOKUP(packes[[#This Row],[productId]],bom[Id],bom[erth],"NA")</f>
        <v>nut4</v>
      </c>
      <c r="P970" s="23" t="str">
        <f>_xlfn.XLOOKUP(packes[[#This Row],[productId]],bom[Id],bom[dbl],"NA")</f>
        <v>-</v>
      </c>
      <c r="Q970" s="20" t="str">
        <f>LEFT(packes[[#This Row],[date]],4)</f>
        <v>1404</v>
      </c>
    </row>
    <row r="971" spans="1:17" ht="16.5" x14ac:dyDescent="0.25">
      <c r="A971" s="23">
        <v>968</v>
      </c>
      <c r="B971" s="30" t="s">
        <v>785</v>
      </c>
      <c r="C971" s="23">
        <v>140530039</v>
      </c>
      <c r="D971" s="23">
        <v>2300</v>
      </c>
      <c r="E971" s="27">
        <f>_xlfn.XLOOKUP(packes[[#This Row],[productId]],bom[Id],bom[wgt])</f>
        <v>1.1274069639828395</v>
      </c>
      <c r="F971" s="27">
        <f>packes[[#This Row],[num]]*packes[[#This Row],[wtg]]</f>
        <v>2593.0360171605307</v>
      </c>
      <c r="G971" s="357">
        <v>3</v>
      </c>
      <c r="H971" s="21">
        <f>packes[[#This Row],[num]]-SUM(packes[[#This Row],[num2]])</f>
        <v>2300</v>
      </c>
      <c r="I971" s="357"/>
      <c r="J971" s="21"/>
      <c r="K971" s="323"/>
      <c r="M971" s="27">
        <f>_xlfn.XLOOKUP(packes[[#This Row],[productId]],CT[productId],CT[total],"NA")</f>
        <v>41.13</v>
      </c>
      <c r="N971" s="23" t="str">
        <f>_xlfn.XLOOKUP(packes[[#This Row],[productId]],bom[Id],bom[ph],"NA")</f>
        <v>radio</v>
      </c>
      <c r="O971" s="23" t="str">
        <f>_xlfn.XLOOKUP(packes[[#This Row],[productId]],bom[Id],bom[erth],"NA")</f>
        <v>-</v>
      </c>
      <c r="P971" s="23" t="str">
        <f>_xlfn.XLOOKUP(packes[[#This Row],[productId]],bom[Id],bom[dbl],"NA")</f>
        <v>-</v>
      </c>
      <c r="Q971" s="20" t="str">
        <f>LEFT(packes[[#This Row],[date]],4)</f>
        <v>1404</v>
      </c>
    </row>
    <row r="972" spans="1:17" ht="16.5" x14ac:dyDescent="0.25">
      <c r="A972" s="23">
        <v>969</v>
      </c>
      <c r="B972" s="30" t="s">
        <v>786</v>
      </c>
      <c r="C972" s="23">
        <v>140310007</v>
      </c>
      <c r="D972" s="23">
        <v>4200</v>
      </c>
      <c r="E972" s="27">
        <f>_xlfn.XLOOKUP(packes[[#This Row],[productId]],bom[Id],bom[wgt])</f>
        <v>1.1413748378728923</v>
      </c>
      <c r="F972" s="27">
        <f>packes[[#This Row],[num]]*packes[[#This Row],[wtg]]</f>
        <v>4793.7743190661477</v>
      </c>
      <c r="G972" s="357">
        <v>4</v>
      </c>
      <c r="H972" s="21">
        <f>packes[[#This Row],[num]]-SUM(packes[[#This Row],[num2]])</f>
        <v>4200</v>
      </c>
      <c r="I972" s="357"/>
      <c r="J972" s="21"/>
      <c r="K972" s="323"/>
      <c r="M972" s="27">
        <f>_xlfn.XLOOKUP(packes[[#This Row],[productId]],CT[productId],CT[total],"NA")</f>
        <v>92.484999999999999</v>
      </c>
      <c r="N972" s="23" t="str">
        <f>_xlfn.XLOOKUP(packes[[#This Row],[productId]],bom[Id],bom[ph],"NA")</f>
        <v>-</v>
      </c>
      <c r="O972" s="23" t="str">
        <f>_xlfn.XLOOKUP(packes[[#This Row],[productId]],bom[Id],bom[erth],"NA")</f>
        <v>nut4</v>
      </c>
      <c r="P972" s="23" t="str">
        <f>_xlfn.XLOOKUP(packes[[#This Row],[productId]],bom[Id],bom[dbl],"NA")</f>
        <v>-</v>
      </c>
      <c r="Q972" s="20" t="str">
        <f>LEFT(packes[[#This Row],[date]],4)</f>
        <v>1404</v>
      </c>
    </row>
    <row r="973" spans="1:17" ht="16.5" x14ac:dyDescent="0.25">
      <c r="A973" s="23">
        <v>970</v>
      </c>
      <c r="B973" s="30" t="s">
        <v>786</v>
      </c>
      <c r="C973" s="23">
        <v>140310031</v>
      </c>
      <c r="D973" s="23">
        <v>900</v>
      </c>
      <c r="E973" s="27">
        <f>_xlfn.XLOOKUP(packes[[#This Row],[productId]],bom[Id],bom[wgt])</f>
        <v>1.9455252918287937</v>
      </c>
      <c r="F973" s="27">
        <f>packes[[#This Row],[num]]*packes[[#This Row],[wtg]]</f>
        <v>1750.9727626459144</v>
      </c>
      <c r="G973" s="357">
        <v>4</v>
      </c>
      <c r="H973" s="21">
        <f>packes[[#This Row],[num]]-SUM(packes[[#This Row],[num2]])</f>
        <v>900</v>
      </c>
      <c r="I973" s="357"/>
      <c r="J973" s="21"/>
      <c r="K973" s="323"/>
      <c r="M973" s="27">
        <f>_xlfn.XLOOKUP(packes[[#This Row],[productId]],CT[productId],CT[total],"NA")</f>
        <v>202.96500000000003</v>
      </c>
      <c r="N973" s="23">
        <f>_xlfn.XLOOKUP(packes[[#This Row],[productId]],bom[Id],bom[ph],"NA")</f>
        <v>461</v>
      </c>
      <c r="O973" s="23" t="str">
        <f>_xlfn.XLOOKUP(packes[[#This Row],[productId]],bom[Id],bom[erth],"NA")</f>
        <v>nut4</v>
      </c>
      <c r="P973" s="23" t="str">
        <f>_xlfn.XLOOKUP(packes[[#This Row],[productId]],bom[Id],bom[dbl],"NA")</f>
        <v>-</v>
      </c>
      <c r="Q973" s="20" t="str">
        <f>LEFT(packes[[#This Row],[date]],4)</f>
        <v>1404</v>
      </c>
    </row>
    <row r="974" spans="1:17" ht="16.5" x14ac:dyDescent="0.25">
      <c r="A974" s="23">
        <v>971</v>
      </c>
      <c r="B974" s="30" t="s">
        <v>787</v>
      </c>
      <c r="C974" s="23">
        <v>140010230</v>
      </c>
      <c r="D974" s="23">
        <v>200</v>
      </c>
      <c r="E974" s="27">
        <f>_xlfn.XLOOKUP(packes[[#This Row],[productId]],bom[Id],bom[wgt])</f>
        <v>1.4486680634540554</v>
      </c>
      <c r="F974" s="27">
        <f>packes[[#This Row],[num]]*packes[[#This Row],[wtg]]</f>
        <v>289.73361269081107</v>
      </c>
      <c r="G974" s="357">
        <v>4</v>
      </c>
      <c r="H974" s="21">
        <f>packes[[#This Row],[num]]-SUM(packes[[#This Row],[num2]])</f>
        <v>200</v>
      </c>
      <c r="I974" s="357"/>
      <c r="J974" s="21"/>
      <c r="K974" s="323"/>
      <c r="M974" s="27">
        <f>_xlfn.XLOOKUP(packes[[#This Row],[productId]],CT[productId],CT[total],"NA")</f>
        <v>147.595</v>
      </c>
      <c r="N974" s="23" t="str">
        <f>_xlfn.XLOOKUP(packes[[#This Row],[productId]],bom[Id],bom[ph],"NA")</f>
        <v>nar.p</v>
      </c>
      <c r="O974" s="23" t="str">
        <f>_xlfn.XLOOKUP(packes[[#This Row],[productId]],bom[Id],bom[erth],"NA")</f>
        <v>-</v>
      </c>
      <c r="P974" s="23" t="str">
        <f>_xlfn.XLOOKUP(packes[[#This Row],[productId]],bom[Id],bom[dbl],"NA")</f>
        <v>nar.p</v>
      </c>
      <c r="Q974" s="20" t="str">
        <f>LEFT(packes[[#This Row],[date]],4)</f>
        <v>1404</v>
      </c>
    </row>
    <row r="975" spans="1:17" ht="16.5" x14ac:dyDescent="0.25">
      <c r="A975" s="23">
        <v>972</v>
      </c>
      <c r="B975" s="30" t="s">
        <v>787</v>
      </c>
      <c r="C975" s="23">
        <v>140030039</v>
      </c>
      <c r="D975" s="23">
        <v>300</v>
      </c>
      <c r="E975" s="27">
        <f>_xlfn.XLOOKUP(packes[[#This Row],[productId]],bom[Id],bom[wgt])</f>
        <v>1.1413748378728923</v>
      </c>
      <c r="F975" s="27">
        <f>packes[[#This Row],[num]]*packes[[#This Row],[wtg]]</f>
        <v>342.41245136186768</v>
      </c>
      <c r="G975" s="357">
        <v>4</v>
      </c>
      <c r="H975" s="21">
        <f>packes[[#This Row],[num]]-SUM(packes[[#This Row],[num2]])</f>
        <v>300</v>
      </c>
      <c r="I975" s="357"/>
      <c r="J975" s="21"/>
      <c r="K975" s="323"/>
      <c r="M975" s="27">
        <f>_xlfn.XLOOKUP(packes[[#This Row],[productId]],CT[productId],CT[total],"NA")</f>
        <v>92.504999999999995</v>
      </c>
      <c r="N975" s="23" t="str">
        <f>_xlfn.XLOOKUP(packes[[#This Row],[productId]],bom[Id],bom[ph],"NA")</f>
        <v>YH</v>
      </c>
      <c r="O975" s="23" t="str">
        <f>_xlfn.XLOOKUP(packes[[#This Row],[productId]],bom[Id],bom[erth],"NA")</f>
        <v>sun</v>
      </c>
      <c r="P975" s="23" t="str">
        <f>_xlfn.XLOOKUP(packes[[#This Row],[productId]],bom[Id],bom[dbl],"NA")</f>
        <v>-</v>
      </c>
      <c r="Q975" s="20" t="str">
        <f>LEFT(packes[[#This Row],[date]],4)</f>
        <v>1404</v>
      </c>
    </row>
    <row r="976" spans="1:17" ht="16.5" x14ac:dyDescent="0.25">
      <c r="A976" s="23">
        <v>973</v>
      </c>
      <c r="B976" s="30" t="s">
        <v>787</v>
      </c>
      <c r="C976" s="23">
        <v>140030040</v>
      </c>
      <c r="D976" s="23">
        <v>600</v>
      </c>
      <c r="E976" s="27">
        <f>_xlfn.XLOOKUP(packes[[#This Row],[productId]],bom[Id],bom[wgt])</f>
        <v>1.1092487279257708</v>
      </c>
      <c r="F976" s="27">
        <f>packes[[#This Row],[num]]*packes[[#This Row],[wtg]]</f>
        <v>665.54923675546252</v>
      </c>
      <c r="G976" s="357">
        <v>4</v>
      </c>
      <c r="H976" s="21">
        <f>packes[[#This Row],[num]]-SUM(packes[[#This Row],[num2]])</f>
        <v>600</v>
      </c>
      <c r="I976" s="357"/>
      <c r="J976" s="21"/>
      <c r="K976" s="323"/>
      <c r="M976" s="27">
        <f>_xlfn.XLOOKUP(packes[[#This Row],[productId]],CT[productId],CT[total],"NA")</f>
        <v>97.305000000000007</v>
      </c>
      <c r="N976" s="23" t="str">
        <f>_xlfn.XLOOKUP(packes[[#This Row],[productId]],bom[Id],bom[ph],"NA")</f>
        <v>YH</v>
      </c>
      <c r="O976" s="23" t="str">
        <f>_xlfn.XLOOKUP(packes[[#This Row],[productId]],bom[Id],bom[erth],"NA")</f>
        <v>sun</v>
      </c>
      <c r="P976" s="23" t="str">
        <f>_xlfn.XLOOKUP(packes[[#This Row],[productId]],bom[Id],bom[dbl],"NA")</f>
        <v>-</v>
      </c>
      <c r="Q976" s="20" t="str">
        <f>LEFT(packes[[#This Row],[date]],4)</f>
        <v>1404</v>
      </c>
    </row>
    <row r="977" spans="1:17" ht="16.5" x14ac:dyDescent="0.25">
      <c r="A977" s="23">
        <v>974</v>
      </c>
      <c r="B977" s="30" t="s">
        <v>787</v>
      </c>
      <c r="C977" s="23">
        <v>140310007</v>
      </c>
      <c r="D977" s="23">
        <v>1100</v>
      </c>
      <c r="E977" s="27">
        <f>_xlfn.XLOOKUP(packes[[#This Row],[productId]],bom[Id],bom[wgt])</f>
        <v>1.1413748378728923</v>
      </c>
      <c r="F977" s="27">
        <f>packes[[#This Row],[num]]*packes[[#This Row],[wtg]]</f>
        <v>1255.5123216601814</v>
      </c>
      <c r="G977" s="357">
        <v>4</v>
      </c>
      <c r="H977" s="21">
        <f>packes[[#This Row],[num]]-SUM(packes[[#This Row],[num2]])</f>
        <v>1100</v>
      </c>
      <c r="I977" s="357"/>
      <c r="J977" s="21"/>
      <c r="K977" s="323"/>
      <c r="M977" s="27">
        <f>_xlfn.XLOOKUP(packes[[#This Row],[productId]],CT[productId],CT[total],"NA")</f>
        <v>92.484999999999999</v>
      </c>
      <c r="N977" s="23" t="str">
        <f>_xlfn.XLOOKUP(packes[[#This Row],[productId]],bom[Id],bom[ph],"NA")</f>
        <v>-</v>
      </c>
      <c r="O977" s="23" t="str">
        <f>_xlfn.XLOOKUP(packes[[#This Row],[productId]],bom[Id],bom[erth],"NA")</f>
        <v>nut4</v>
      </c>
      <c r="P977" s="23" t="str">
        <f>_xlfn.XLOOKUP(packes[[#This Row],[productId]],bom[Id],bom[dbl],"NA")</f>
        <v>-</v>
      </c>
      <c r="Q977" s="20" t="str">
        <f>LEFT(packes[[#This Row],[date]],4)</f>
        <v>1404</v>
      </c>
    </row>
    <row r="978" spans="1:17" ht="16.5" x14ac:dyDescent="0.25">
      <c r="A978" s="23">
        <v>975</v>
      </c>
      <c r="B978" s="30" t="s">
        <v>787</v>
      </c>
      <c r="C978" s="23">
        <v>140640007</v>
      </c>
      <c r="D978" s="23">
        <v>50</v>
      </c>
      <c r="E978" s="27">
        <f>_xlfn.XLOOKUP(packes[[#This Row],[productId]],bom[Id],bom[wgt])</f>
        <v>1.1413748378728923</v>
      </c>
      <c r="F978" s="27">
        <f>packes[[#This Row],[num]]*packes[[#This Row],[wtg]]</f>
        <v>57.068741893644614</v>
      </c>
      <c r="G978" s="357">
        <v>2</v>
      </c>
      <c r="H978" s="21">
        <f>packes[[#This Row],[num]]-SUM(packes[[#This Row],[num2]])</f>
        <v>50</v>
      </c>
      <c r="I978" s="357"/>
      <c r="J978" s="21"/>
      <c r="K978" s="323"/>
      <c r="M978" s="27">
        <f>_xlfn.XLOOKUP(packes[[#This Row],[productId]],CT[productId],CT[total],"NA")</f>
        <v>77.11999999999999</v>
      </c>
      <c r="N978" s="23" t="str">
        <f>_xlfn.XLOOKUP(packes[[#This Row],[productId]],bom[Id],bom[ph],"NA")</f>
        <v>molex</v>
      </c>
      <c r="O978" s="23" t="str">
        <f>_xlfn.XLOOKUP(packes[[#This Row],[productId]],bom[Id],bom[erth],"NA")</f>
        <v>sun</v>
      </c>
      <c r="P978" s="23">
        <f>_xlfn.XLOOKUP(packes[[#This Row],[productId]],bom[Id],bom[dbl],"NA")</f>
        <v>0</v>
      </c>
      <c r="Q978" s="20" t="str">
        <f>LEFT(packes[[#This Row],[date]],4)</f>
        <v>1404</v>
      </c>
    </row>
    <row r="979" spans="1:17" ht="16.5" x14ac:dyDescent="0.25">
      <c r="A979" s="23">
        <v>976</v>
      </c>
      <c r="B979" s="30" t="s">
        <v>787</v>
      </c>
      <c r="C979" s="23">
        <v>140550019</v>
      </c>
      <c r="D979" s="23">
        <v>650</v>
      </c>
      <c r="E979" s="27">
        <f>_xlfn.XLOOKUP(packes[[#This Row],[productId]],bom[Id],bom[wgt])</f>
        <v>2.6938042502244834</v>
      </c>
      <c r="F979" s="27">
        <f>packes[[#This Row],[num]]*packes[[#This Row],[wtg]]</f>
        <v>1750.9727626459141</v>
      </c>
      <c r="G979" s="357">
        <v>10</v>
      </c>
      <c r="H979" s="21">
        <f>packes[[#This Row],[num]]-SUM(packes[[#This Row],[num2]])</f>
        <v>650</v>
      </c>
      <c r="I979" s="357"/>
      <c r="J979" s="21"/>
      <c r="K979" s="323"/>
      <c r="M979" s="27">
        <f>_xlfn.XLOOKUP(packes[[#This Row],[productId]],CT[productId],CT[total],"NA")</f>
        <v>211.66499999999999</v>
      </c>
      <c r="N979" s="23" t="str">
        <f>_xlfn.XLOOKUP(packes[[#This Row],[productId]],bom[Id],bom[ph],"NA")</f>
        <v>6.3ch</v>
      </c>
      <c r="O979" s="23" t="str">
        <f>_xlfn.XLOOKUP(packes[[#This Row],[productId]],bom[Id],bom[erth],"NA")</f>
        <v>nut4</v>
      </c>
      <c r="P979" s="23" t="str">
        <f>_xlfn.XLOOKUP(packes[[#This Row],[productId]],bom[Id],bom[dbl],"NA")</f>
        <v>-</v>
      </c>
      <c r="Q979" s="20" t="str">
        <f>LEFT(packes[[#This Row],[date]],4)</f>
        <v>1404</v>
      </c>
    </row>
    <row r="980" spans="1:17" ht="16.5" x14ac:dyDescent="0.25">
      <c r="A980" s="23">
        <v>977</v>
      </c>
      <c r="B980" s="30" t="s">
        <v>787</v>
      </c>
      <c r="C980" s="23">
        <v>141320055</v>
      </c>
      <c r="D980" s="23">
        <v>2000</v>
      </c>
      <c r="E980" s="27">
        <f>_xlfn.XLOOKUP(packes[[#This Row],[productId]],bom[Id],bom[wgt])</f>
        <v>1.1274069639828395</v>
      </c>
      <c r="F980" s="27">
        <f>packes[[#This Row],[num]]*packes[[#This Row],[wtg]]</f>
        <v>2254.8139279656789</v>
      </c>
      <c r="G980" s="357">
        <v>3</v>
      </c>
      <c r="H980" s="21">
        <f>packes[[#This Row],[num]]-SUM(packes[[#This Row],[num2]])</f>
        <v>2000</v>
      </c>
      <c r="I980" s="357"/>
      <c r="J980" s="21"/>
      <c r="K980" s="323" t="s">
        <v>1226</v>
      </c>
      <c r="M980" s="27">
        <f>_xlfn.XLOOKUP(packes[[#This Row],[productId]],CT[productId],CT[total],"NA")</f>
        <v>41.13</v>
      </c>
      <c r="N980" s="23">
        <f>_xlfn.XLOOKUP(packes[[#This Row],[productId]],bom[Id],bom[ph],"NA")</f>
        <v>0</v>
      </c>
      <c r="O980" s="23">
        <f>_xlfn.XLOOKUP(packes[[#This Row],[productId]],bom[Id],bom[erth],"NA")</f>
        <v>0</v>
      </c>
      <c r="P980" s="23">
        <f>_xlfn.XLOOKUP(packes[[#This Row],[productId]],bom[Id],bom[dbl],"NA")</f>
        <v>0</v>
      </c>
      <c r="Q980" s="20" t="str">
        <f>LEFT(packes[[#This Row],[date]],4)</f>
        <v>1404</v>
      </c>
    </row>
    <row r="981" spans="1:17" ht="16.5" x14ac:dyDescent="0.25">
      <c r="A981" s="23">
        <v>978</v>
      </c>
      <c r="B981" s="30" t="s">
        <v>788</v>
      </c>
      <c r="C981" s="23">
        <v>140010230</v>
      </c>
      <c r="D981" s="23">
        <v>600</v>
      </c>
      <c r="E981" s="27">
        <f>_xlfn.XLOOKUP(packes[[#This Row],[productId]],bom[Id],bom[wgt])</f>
        <v>1.4486680634540554</v>
      </c>
      <c r="F981" s="27">
        <f>packes[[#This Row],[num]]*packes[[#This Row],[wtg]]</f>
        <v>869.20083807243327</v>
      </c>
      <c r="G981" s="357">
        <v>4</v>
      </c>
      <c r="H981" s="21">
        <f>packes[[#This Row],[num]]-SUM(packes[[#This Row],[num2]])</f>
        <v>600</v>
      </c>
      <c r="I981" s="357"/>
      <c r="J981" s="21"/>
      <c r="K981" s="323" t="s">
        <v>1223</v>
      </c>
      <c r="M981" s="27">
        <f>_xlfn.XLOOKUP(packes[[#This Row],[productId]],CT[productId],CT[total],"NA")</f>
        <v>147.595</v>
      </c>
      <c r="N981" s="23" t="str">
        <f>_xlfn.XLOOKUP(packes[[#This Row],[productId]],bom[Id],bom[ph],"NA")</f>
        <v>nar.p</v>
      </c>
      <c r="O981" s="23" t="str">
        <f>_xlfn.XLOOKUP(packes[[#This Row],[productId]],bom[Id],bom[erth],"NA")</f>
        <v>-</v>
      </c>
      <c r="P981" s="23" t="str">
        <f>_xlfn.XLOOKUP(packes[[#This Row],[productId]],bom[Id],bom[dbl],"NA")</f>
        <v>nar.p</v>
      </c>
      <c r="Q981" s="20" t="str">
        <f>LEFT(packes[[#This Row],[date]],4)</f>
        <v>1404</v>
      </c>
    </row>
    <row r="982" spans="1:17" ht="16.5" x14ac:dyDescent="0.25">
      <c r="A982" s="23">
        <v>979</v>
      </c>
      <c r="B982" s="30" t="s">
        <v>788</v>
      </c>
      <c r="C982" s="23">
        <v>140030039</v>
      </c>
      <c r="D982" s="23">
        <v>400</v>
      </c>
      <c r="E982" s="27">
        <f>_xlfn.XLOOKUP(packes[[#This Row],[productId]],bom[Id],bom[wgt])</f>
        <v>1.1413748378728923</v>
      </c>
      <c r="F982" s="27">
        <f>packes[[#This Row],[num]]*packes[[#This Row],[wtg]]</f>
        <v>456.54993514915691</v>
      </c>
      <c r="G982" s="357">
        <v>4</v>
      </c>
      <c r="H982" s="21">
        <f>packes[[#This Row],[num]]-SUM(packes[[#This Row],[num2]])</f>
        <v>400</v>
      </c>
      <c r="I982" s="357"/>
      <c r="J982" s="21"/>
      <c r="K982" s="323" t="s">
        <v>1224</v>
      </c>
      <c r="M982" s="27">
        <f>_xlfn.XLOOKUP(packes[[#This Row],[productId]],CT[productId],CT[total],"NA")</f>
        <v>92.504999999999995</v>
      </c>
      <c r="N982" s="23" t="str">
        <f>_xlfn.XLOOKUP(packes[[#This Row],[productId]],bom[Id],bom[ph],"NA")</f>
        <v>YH</v>
      </c>
      <c r="O982" s="23" t="str">
        <f>_xlfn.XLOOKUP(packes[[#This Row],[productId]],bom[Id],bom[erth],"NA")</f>
        <v>sun</v>
      </c>
      <c r="P982" s="23" t="str">
        <f>_xlfn.XLOOKUP(packes[[#This Row],[productId]],bom[Id],bom[dbl],"NA")</f>
        <v>-</v>
      </c>
      <c r="Q982" s="20" t="str">
        <f>LEFT(packes[[#This Row],[date]],4)</f>
        <v>1404</v>
      </c>
    </row>
    <row r="983" spans="1:17" ht="16.5" x14ac:dyDescent="0.25">
      <c r="A983" s="23">
        <v>980</v>
      </c>
      <c r="B983" s="30" t="s">
        <v>788</v>
      </c>
      <c r="C983" s="23">
        <v>140310007</v>
      </c>
      <c r="D983" s="23">
        <v>200</v>
      </c>
      <c r="E983" s="27">
        <f>_xlfn.XLOOKUP(packes[[#This Row],[productId]],bom[Id],bom[wgt])</f>
        <v>1.1413748378728923</v>
      </c>
      <c r="F983" s="27">
        <f>packes[[#This Row],[num]]*packes[[#This Row],[wtg]]</f>
        <v>228.27496757457845</v>
      </c>
      <c r="G983" s="357">
        <v>4</v>
      </c>
      <c r="H983" s="21">
        <f>packes[[#This Row],[num]]-SUM(packes[[#This Row],[num2]])</f>
        <v>200</v>
      </c>
      <c r="I983" s="357"/>
      <c r="J983" s="21"/>
      <c r="K983" s="323" t="s">
        <v>1225</v>
      </c>
      <c r="M983" s="27">
        <f>_xlfn.XLOOKUP(packes[[#This Row],[productId]],CT[productId],CT[total],"NA")</f>
        <v>92.484999999999999</v>
      </c>
      <c r="N983" s="23" t="str">
        <f>_xlfn.XLOOKUP(packes[[#This Row],[productId]],bom[Id],bom[ph],"NA")</f>
        <v>-</v>
      </c>
      <c r="O983" s="23" t="str">
        <f>_xlfn.XLOOKUP(packes[[#This Row],[productId]],bom[Id],bom[erth],"NA")</f>
        <v>nut4</v>
      </c>
      <c r="P983" s="23" t="str">
        <f>_xlfn.XLOOKUP(packes[[#This Row],[productId]],bom[Id],bom[dbl],"NA")</f>
        <v>-</v>
      </c>
      <c r="Q983" s="20" t="str">
        <f>LEFT(packes[[#This Row],[date]],4)</f>
        <v>1404</v>
      </c>
    </row>
    <row r="984" spans="1:17" ht="16.5" x14ac:dyDescent="0.25">
      <c r="A984" s="23">
        <v>981</v>
      </c>
      <c r="B984" s="30" t="s">
        <v>788</v>
      </c>
      <c r="C984" s="23">
        <v>140310083</v>
      </c>
      <c r="D984" s="23">
        <v>500</v>
      </c>
      <c r="E984" s="27">
        <f>_xlfn.XLOOKUP(packes[[#This Row],[productId]],bom[Id],bom[wgt])</f>
        <v>1.3369250723336326</v>
      </c>
      <c r="F984" s="27">
        <f>packes[[#This Row],[num]]*packes[[#This Row],[wtg]]</f>
        <v>668.46253616681634</v>
      </c>
      <c r="G984" s="357">
        <v>3</v>
      </c>
      <c r="H984" s="21">
        <f>packes[[#This Row],[num]]-SUM(packes[[#This Row],[num2]])</f>
        <v>500</v>
      </c>
      <c r="I984" s="357"/>
      <c r="J984" s="21"/>
      <c r="K984" s="323" t="s">
        <v>1228</v>
      </c>
      <c r="M984" s="27">
        <f>_xlfn.XLOOKUP(packes[[#This Row],[productId]],CT[productId],CT[total],"NA")</f>
        <v>135.23500000000001</v>
      </c>
      <c r="N984" s="23" t="str">
        <f>_xlfn.XLOOKUP(packes[[#This Row],[productId]],bom[Id],bom[ph],"NA")</f>
        <v>6.3flat</v>
      </c>
      <c r="O984" s="23" t="str">
        <f>_xlfn.XLOOKUP(packes[[#This Row],[productId]],bom[Id],bom[erth],"NA")</f>
        <v>6.3flat</v>
      </c>
      <c r="P984" s="23" t="str">
        <f>_xlfn.XLOOKUP(packes[[#This Row],[productId]],bom[Id],bom[dbl],"NA")</f>
        <v>-</v>
      </c>
      <c r="Q984" s="20" t="str">
        <f>LEFT(packes[[#This Row],[date]],4)</f>
        <v>1404</v>
      </c>
    </row>
    <row r="985" spans="1:17" ht="16.5" x14ac:dyDescent="0.25">
      <c r="A985" s="23">
        <v>982</v>
      </c>
      <c r="B985" s="30" t="s">
        <v>788</v>
      </c>
      <c r="C985" s="23">
        <v>140550019</v>
      </c>
      <c r="D985" s="23">
        <v>550</v>
      </c>
      <c r="E985" s="27">
        <f>_xlfn.XLOOKUP(packes[[#This Row],[productId]],bom[Id],bom[wgt])</f>
        <v>2.6938042502244834</v>
      </c>
      <c r="F985" s="27">
        <f>packes[[#This Row],[num]]*packes[[#This Row],[wtg]]</f>
        <v>1481.5923376234659</v>
      </c>
      <c r="G985" s="357">
        <v>10</v>
      </c>
      <c r="H985" s="21">
        <f>packes[[#This Row],[num]]-SUM(packes[[#This Row],[num2]])</f>
        <v>550</v>
      </c>
      <c r="I985" s="357"/>
      <c r="J985" s="21"/>
      <c r="K985" s="323" t="s">
        <v>1229</v>
      </c>
      <c r="M985" s="27">
        <f>_xlfn.XLOOKUP(packes[[#This Row],[productId]],CT[productId],CT[total],"NA")</f>
        <v>211.66499999999999</v>
      </c>
      <c r="N985" s="23" t="str">
        <f>_xlfn.XLOOKUP(packes[[#This Row],[productId]],bom[Id],bom[ph],"NA")</f>
        <v>6.3ch</v>
      </c>
      <c r="O985" s="23" t="str">
        <f>_xlfn.XLOOKUP(packes[[#This Row],[productId]],bom[Id],bom[erth],"NA")</f>
        <v>nut4</v>
      </c>
      <c r="P985" s="23" t="str">
        <f>_xlfn.XLOOKUP(packes[[#This Row],[productId]],bom[Id],bom[dbl],"NA")</f>
        <v>-</v>
      </c>
      <c r="Q985" s="20" t="str">
        <f>LEFT(packes[[#This Row],[date]],4)</f>
        <v>1404</v>
      </c>
    </row>
    <row r="986" spans="1:17" ht="16.5" x14ac:dyDescent="0.25">
      <c r="A986" s="23">
        <v>983</v>
      </c>
      <c r="B986" s="30" t="s">
        <v>788</v>
      </c>
      <c r="C986" s="23">
        <v>141320055</v>
      </c>
      <c r="D986" s="23">
        <v>2600</v>
      </c>
      <c r="E986" s="27">
        <f>_xlfn.XLOOKUP(packes[[#This Row],[productId]],bom[Id],bom[wgt])</f>
        <v>1.1274069639828395</v>
      </c>
      <c r="F986" s="27">
        <f>packes[[#This Row],[num]]*packes[[#This Row],[wtg]]</f>
        <v>2931.2581063553826</v>
      </c>
      <c r="G986" s="357">
        <v>3</v>
      </c>
      <c r="H986" s="21">
        <f>packes[[#This Row],[num]]-SUM(packes[[#This Row],[num2]])</f>
        <v>2600</v>
      </c>
      <c r="I986" s="357"/>
      <c r="J986" s="21"/>
      <c r="K986" s="323" t="s">
        <v>1226</v>
      </c>
      <c r="M986" s="27">
        <f>_xlfn.XLOOKUP(packes[[#This Row],[productId]],CT[productId],CT[total],"NA")</f>
        <v>41.13</v>
      </c>
      <c r="N986" s="23">
        <f>_xlfn.XLOOKUP(packes[[#This Row],[productId]],bom[Id],bom[ph],"NA")</f>
        <v>0</v>
      </c>
      <c r="O986" s="23">
        <f>_xlfn.XLOOKUP(packes[[#This Row],[productId]],bom[Id],bom[erth],"NA")</f>
        <v>0</v>
      </c>
      <c r="P986" s="23">
        <f>_xlfn.XLOOKUP(packes[[#This Row],[productId]],bom[Id],bom[dbl],"NA")</f>
        <v>0</v>
      </c>
      <c r="Q986" s="20" t="str">
        <f>LEFT(packes[[#This Row],[date]],4)</f>
        <v>1404</v>
      </c>
    </row>
    <row r="987" spans="1:17" ht="16.5" x14ac:dyDescent="0.25">
      <c r="A987" s="23">
        <v>984</v>
      </c>
      <c r="B987" s="30" t="s">
        <v>789</v>
      </c>
      <c r="C987" s="23">
        <v>140010230</v>
      </c>
      <c r="D987" s="23">
        <v>1050</v>
      </c>
      <c r="E987" s="27">
        <f>_xlfn.XLOOKUP(packes[[#This Row],[productId]],bom[Id],bom[wgt])</f>
        <v>1.4486680634540554</v>
      </c>
      <c r="F987" s="27">
        <f>packes[[#This Row],[num]]*packes[[#This Row],[wtg]]</f>
        <v>1521.1014666267581</v>
      </c>
      <c r="G987" s="357">
        <v>4</v>
      </c>
      <c r="H987" s="21">
        <f>packes[[#This Row],[num]]-SUM(packes[[#This Row],[num2]])</f>
        <v>1050</v>
      </c>
      <c r="I987" s="357"/>
      <c r="J987" s="21"/>
      <c r="K987" s="323" t="s">
        <v>1231</v>
      </c>
      <c r="M987" s="27">
        <f>_xlfn.XLOOKUP(packes[[#This Row],[productId]],CT[productId],CT[total],"NA")</f>
        <v>147.595</v>
      </c>
      <c r="N987" s="23" t="str">
        <f>_xlfn.XLOOKUP(packes[[#This Row],[productId]],bom[Id],bom[ph],"NA")</f>
        <v>nar.p</v>
      </c>
      <c r="O987" s="23" t="str">
        <f>_xlfn.XLOOKUP(packes[[#This Row],[productId]],bom[Id],bom[erth],"NA")</f>
        <v>-</v>
      </c>
      <c r="P987" s="23" t="str">
        <f>_xlfn.XLOOKUP(packes[[#This Row],[productId]],bom[Id],bom[dbl],"NA")</f>
        <v>nar.p</v>
      </c>
      <c r="Q987" s="20" t="str">
        <f>LEFT(packes[[#This Row],[date]],4)</f>
        <v>1404</v>
      </c>
    </row>
    <row r="988" spans="1:17" ht="16.5" x14ac:dyDescent="0.25">
      <c r="A988" s="23">
        <v>985</v>
      </c>
      <c r="B988" s="30" t="s">
        <v>789</v>
      </c>
      <c r="C988" s="23">
        <v>140030039</v>
      </c>
      <c r="D988" s="23">
        <v>300</v>
      </c>
      <c r="E988" s="27">
        <f>_xlfn.XLOOKUP(packes[[#This Row],[productId]],bom[Id],bom[wgt])</f>
        <v>1.1413748378728923</v>
      </c>
      <c r="F988" s="27">
        <f>packes[[#This Row],[num]]*packes[[#This Row],[wtg]]</f>
        <v>342.41245136186768</v>
      </c>
      <c r="G988" s="357">
        <v>4</v>
      </c>
      <c r="H988" s="21">
        <f>packes[[#This Row],[num]]-SUM(packes[[#This Row],[num2]])</f>
        <v>300</v>
      </c>
      <c r="I988" s="357"/>
      <c r="J988" s="21"/>
      <c r="K988" s="323" t="s">
        <v>1232</v>
      </c>
      <c r="M988" s="27">
        <f>_xlfn.XLOOKUP(packes[[#This Row],[productId]],CT[productId],CT[total],"NA")</f>
        <v>92.504999999999995</v>
      </c>
      <c r="N988" s="23" t="str">
        <f>_xlfn.XLOOKUP(packes[[#This Row],[productId]],bom[Id],bom[ph],"NA")</f>
        <v>YH</v>
      </c>
      <c r="O988" s="23" t="str">
        <f>_xlfn.XLOOKUP(packes[[#This Row],[productId]],bom[Id],bom[erth],"NA")</f>
        <v>sun</v>
      </c>
      <c r="P988" s="23" t="str">
        <f>_xlfn.XLOOKUP(packes[[#This Row],[productId]],bom[Id],bom[dbl],"NA")</f>
        <v>-</v>
      </c>
      <c r="Q988" s="20" t="str">
        <f>LEFT(packes[[#This Row],[date]],4)</f>
        <v>1404</v>
      </c>
    </row>
    <row r="989" spans="1:17" ht="16.5" x14ac:dyDescent="0.25">
      <c r="A989" s="23">
        <v>986</v>
      </c>
      <c r="B989" s="30" t="s">
        <v>789</v>
      </c>
      <c r="C989" s="23">
        <v>140310007</v>
      </c>
      <c r="D989" s="23">
        <v>1000</v>
      </c>
      <c r="E989" s="27">
        <f>_xlfn.XLOOKUP(packes[[#This Row],[productId]],bom[Id],bom[wgt])</f>
        <v>1.1413748378728923</v>
      </c>
      <c r="F989" s="27">
        <f>packes[[#This Row],[num]]*packes[[#This Row],[wtg]]</f>
        <v>1141.3748378728924</v>
      </c>
      <c r="G989" s="357">
        <v>4</v>
      </c>
      <c r="H989" s="21">
        <f>packes[[#This Row],[num]]-SUM(packes[[#This Row],[num2]])</f>
        <v>1000</v>
      </c>
      <c r="I989" s="357"/>
      <c r="J989" s="21"/>
      <c r="K989" s="323" t="s">
        <v>1233</v>
      </c>
      <c r="M989" s="27">
        <f>_xlfn.XLOOKUP(packes[[#This Row],[productId]],CT[productId],CT[total],"NA")</f>
        <v>92.484999999999999</v>
      </c>
      <c r="N989" s="23" t="str">
        <f>_xlfn.XLOOKUP(packes[[#This Row],[productId]],bom[Id],bom[ph],"NA")</f>
        <v>-</v>
      </c>
      <c r="O989" s="23" t="str">
        <f>_xlfn.XLOOKUP(packes[[#This Row],[productId]],bom[Id],bom[erth],"NA")</f>
        <v>nut4</v>
      </c>
      <c r="P989" s="23" t="str">
        <f>_xlfn.XLOOKUP(packes[[#This Row],[productId]],bom[Id],bom[dbl],"NA")</f>
        <v>-</v>
      </c>
      <c r="Q989" s="20" t="str">
        <f>LEFT(packes[[#This Row],[date]],4)</f>
        <v>1404</v>
      </c>
    </row>
    <row r="990" spans="1:17" ht="16.5" x14ac:dyDescent="0.25">
      <c r="A990" s="23">
        <v>987</v>
      </c>
      <c r="B990" s="30" t="s">
        <v>789</v>
      </c>
      <c r="C990" s="23">
        <v>140310031</v>
      </c>
      <c r="D990" s="23">
        <v>500</v>
      </c>
      <c r="E990" s="27">
        <f>_xlfn.XLOOKUP(packes[[#This Row],[productId]],bom[Id],bom[wgt])</f>
        <v>1.9455252918287937</v>
      </c>
      <c r="F990" s="27">
        <f>packes[[#This Row],[num]]*packes[[#This Row],[wtg]]</f>
        <v>972.7626459143969</v>
      </c>
      <c r="G990" s="357">
        <v>4</v>
      </c>
      <c r="H990" s="21">
        <f>packes[[#This Row],[num]]-SUM(packes[[#This Row],[num2]])</f>
        <v>500</v>
      </c>
      <c r="I990" s="357"/>
      <c r="J990" s="21"/>
      <c r="K990" s="323"/>
      <c r="M990" s="27">
        <f>_xlfn.XLOOKUP(packes[[#This Row],[productId]],CT[productId],CT[total],"NA")</f>
        <v>202.96500000000003</v>
      </c>
      <c r="N990" s="23">
        <f>_xlfn.XLOOKUP(packes[[#This Row],[productId]],bom[Id],bom[ph],"NA")</f>
        <v>461</v>
      </c>
      <c r="O990" s="23" t="str">
        <f>_xlfn.XLOOKUP(packes[[#This Row],[productId]],bom[Id],bom[erth],"NA")</f>
        <v>nut4</v>
      </c>
      <c r="P990" s="23" t="str">
        <f>_xlfn.XLOOKUP(packes[[#This Row],[productId]],bom[Id],bom[dbl],"NA")</f>
        <v>-</v>
      </c>
      <c r="Q990" s="20" t="str">
        <f>LEFT(packes[[#This Row],[date]],4)</f>
        <v>1404</v>
      </c>
    </row>
    <row r="991" spans="1:17" ht="16.5" x14ac:dyDescent="0.25">
      <c r="A991" s="23">
        <v>988</v>
      </c>
      <c r="B991" s="30" t="s">
        <v>789</v>
      </c>
      <c r="C991" s="23">
        <v>140310083</v>
      </c>
      <c r="D991" s="23">
        <v>700</v>
      </c>
      <c r="E991" s="27">
        <f>_xlfn.XLOOKUP(packes[[#This Row],[productId]],bom[Id],bom[wgt])</f>
        <v>1.3369250723336326</v>
      </c>
      <c r="F991" s="27">
        <f>packes[[#This Row],[num]]*packes[[#This Row],[wtg]]</f>
        <v>935.84755063354282</v>
      </c>
      <c r="G991" s="357">
        <v>3</v>
      </c>
      <c r="H991" s="21">
        <f>packes[[#This Row],[num]]-SUM(packes[[#This Row],[num2]])</f>
        <v>700</v>
      </c>
      <c r="I991" s="357"/>
      <c r="J991" s="21"/>
      <c r="K991" s="323" t="s">
        <v>1235</v>
      </c>
      <c r="M991" s="27">
        <f>_xlfn.XLOOKUP(packes[[#This Row],[productId]],CT[productId],CT[total],"NA")</f>
        <v>135.23500000000001</v>
      </c>
      <c r="N991" s="23" t="str">
        <f>_xlfn.XLOOKUP(packes[[#This Row],[productId]],bom[Id],bom[ph],"NA")</f>
        <v>6.3flat</v>
      </c>
      <c r="O991" s="23" t="str">
        <f>_xlfn.XLOOKUP(packes[[#This Row],[productId]],bom[Id],bom[erth],"NA")</f>
        <v>6.3flat</v>
      </c>
      <c r="P991" s="23" t="str">
        <f>_xlfn.XLOOKUP(packes[[#This Row],[productId]],bom[Id],bom[dbl],"NA")</f>
        <v>-</v>
      </c>
      <c r="Q991" s="20" t="str">
        <f>LEFT(packes[[#This Row],[date]],4)</f>
        <v>1404</v>
      </c>
    </row>
    <row r="992" spans="1:17" ht="16.5" x14ac:dyDescent="0.25">
      <c r="A992" s="23">
        <v>989</v>
      </c>
      <c r="B992" s="30" t="s">
        <v>789</v>
      </c>
      <c r="C992" s="23">
        <v>141320055</v>
      </c>
      <c r="D992" s="23">
        <v>1000</v>
      </c>
      <c r="E992" s="27">
        <f>_xlfn.XLOOKUP(packes[[#This Row],[productId]],bom[Id],bom[wgt])</f>
        <v>1.1274069639828395</v>
      </c>
      <c r="F992" s="27">
        <f>packes[[#This Row],[num]]*packes[[#This Row],[wtg]]</f>
        <v>1127.4069639828394</v>
      </c>
      <c r="G992" s="357">
        <v>3</v>
      </c>
      <c r="H992" s="21">
        <f>packes[[#This Row],[num]]-SUM(packes[[#This Row],[num2]])</f>
        <v>1000</v>
      </c>
      <c r="I992" s="357"/>
      <c r="J992" s="21"/>
      <c r="K992" s="323" t="s">
        <v>1234</v>
      </c>
      <c r="M992" s="27">
        <f>_xlfn.XLOOKUP(packes[[#This Row],[productId]],CT[productId],CT[total],"NA")</f>
        <v>41.13</v>
      </c>
      <c r="N992" s="23">
        <f>_xlfn.XLOOKUP(packes[[#This Row],[productId]],bom[Id],bom[ph],"NA")</f>
        <v>0</v>
      </c>
      <c r="O992" s="23">
        <f>_xlfn.XLOOKUP(packes[[#This Row],[productId]],bom[Id],bom[erth],"NA")</f>
        <v>0</v>
      </c>
      <c r="P992" s="23">
        <f>_xlfn.XLOOKUP(packes[[#This Row],[productId]],bom[Id],bom[dbl],"NA")</f>
        <v>0</v>
      </c>
      <c r="Q992" s="20" t="str">
        <f>LEFT(packes[[#This Row],[date]],4)</f>
        <v>1404</v>
      </c>
    </row>
    <row r="993" spans="1:17" ht="16.5" x14ac:dyDescent="0.25">
      <c r="A993" s="23">
        <v>990</v>
      </c>
      <c r="B993" s="30" t="s">
        <v>789</v>
      </c>
      <c r="C993" s="23">
        <v>140550022</v>
      </c>
      <c r="D993" s="23">
        <v>30</v>
      </c>
      <c r="E993" s="27" t="e">
        <f>_xlfn.XLOOKUP(packes[[#This Row],[productId]],bom[Id],bom[wgt])</f>
        <v>#N/A</v>
      </c>
      <c r="F993" s="27" t="e">
        <f>packes[[#This Row],[num]]*packes[[#This Row],[wtg]]</f>
        <v>#N/A</v>
      </c>
      <c r="G993" s="357">
        <v>1000</v>
      </c>
      <c r="H993" s="21">
        <f>packes[[#This Row],[num]]-SUM(packes[[#This Row],[num2]])</f>
        <v>30</v>
      </c>
      <c r="I993" s="357"/>
      <c r="J993" s="21"/>
      <c r="K993" s="323"/>
      <c r="M993" s="27" t="str">
        <f>_xlfn.XLOOKUP(packes[[#This Row],[productId]],CT[productId],CT[total],"NA")</f>
        <v>NA</v>
      </c>
      <c r="N993" s="23" t="str">
        <f>_xlfn.XLOOKUP(packes[[#This Row],[productId]],bom[Id],bom[ph],"NA")</f>
        <v>NA</v>
      </c>
      <c r="O993" s="23" t="str">
        <f>_xlfn.XLOOKUP(packes[[#This Row],[productId]],bom[Id],bom[erth],"NA")</f>
        <v>NA</v>
      </c>
      <c r="P993" s="23" t="str">
        <f>_xlfn.XLOOKUP(packes[[#This Row],[productId]],bom[Id],bom[dbl],"NA")</f>
        <v>NA</v>
      </c>
      <c r="Q993" s="20" t="str">
        <f>LEFT(packes[[#This Row],[date]],4)</f>
        <v>1404</v>
      </c>
    </row>
    <row r="994" spans="1:17" ht="16.5" x14ac:dyDescent="0.25">
      <c r="A994" s="23">
        <v>991</v>
      </c>
      <c r="B994" s="30" t="s">
        <v>792</v>
      </c>
      <c r="C994" s="23">
        <v>140010230</v>
      </c>
      <c r="D994" s="23">
        <v>1400</v>
      </c>
      <c r="E994" s="27">
        <f>_xlfn.XLOOKUP(packes[[#This Row],[productId]],bom[Id],bom[wgt])</f>
        <v>1.4486680634540554</v>
      </c>
      <c r="F994" s="27">
        <f>packes[[#This Row],[num]]*packes[[#This Row],[wtg]]</f>
        <v>2028.1352888356776</v>
      </c>
      <c r="G994" s="357">
        <v>4</v>
      </c>
      <c r="H994" s="21">
        <f>packes[[#This Row],[num]]-SUM(packes[[#This Row],[num2]])</f>
        <v>1400</v>
      </c>
      <c r="I994" s="357"/>
      <c r="J994" s="21"/>
      <c r="K994" s="323" t="s">
        <v>1268</v>
      </c>
      <c r="M994" s="27">
        <f>_xlfn.XLOOKUP(packes[[#This Row],[productId]],CT[productId],CT[total],"NA")</f>
        <v>147.595</v>
      </c>
      <c r="N994" s="23" t="str">
        <f>_xlfn.XLOOKUP(packes[[#This Row],[productId]],bom[Id],bom[ph],"NA")</f>
        <v>nar.p</v>
      </c>
      <c r="O994" s="23" t="str">
        <f>_xlfn.XLOOKUP(packes[[#This Row],[productId]],bom[Id],bom[erth],"NA")</f>
        <v>-</v>
      </c>
      <c r="P994" s="23" t="str">
        <f>_xlfn.XLOOKUP(packes[[#This Row],[productId]],bom[Id],bom[dbl],"NA")</f>
        <v>nar.p</v>
      </c>
      <c r="Q994" s="20" t="str">
        <f>LEFT(packes[[#This Row],[date]],4)</f>
        <v>1404</v>
      </c>
    </row>
    <row r="995" spans="1:17" ht="16.5" x14ac:dyDescent="0.25">
      <c r="A995" s="23">
        <v>992</v>
      </c>
      <c r="B995" s="30" t="s">
        <v>792</v>
      </c>
      <c r="C995" s="23">
        <v>140310007</v>
      </c>
      <c r="D995" s="23">
        <v>1600</v>
      </c>
      <c r="E995" s="27">
        <f>_xlfn.XLOOKUP(packes[[#This Row],[productId]],bom[Id],bom[wgt])</f>
        <v>1.1413748378728923</v>
      </c>
      <c r="F995" s="27">
        <f>packes[[#This Row],[num]]*packes[[#This Row],[wtg]]</f>
        <v>1826.1997405966276</v>
      </c>
      <c r="G995" s="357">
        <v>4</v>
      </c>
      <c r="H995" s="21">
        <f>packes[[#This Row],[num]]-SUM(packes[[#This Row],[num2]])</f>
        <v>1600</v>
      </c>
      <c r="I995" s="357"/>
      <c r="J995" s="21"/>
      <c r="K995" s="323" t="s">
        <v>1269</v>
      </c>
      <c r="M995" s="27">
        <f>_xlfn.XLOOKUP(packes[[#This Row],[productId]],CT[productId],CT[total],"NA")</f>
        <v>92.484999999999999</v>
      </c>
      <c r="N995" s="23" t="str">
        <f>_xlfn.XLOOKUP(packes[[#This Row],[productId]],bom[Id],bom[ph],"NA")</f>
        <v>-</v>
      </c>
      <c r="O995" s="23" t="str">
        <f>_xlfn.XLOOKUP(packes[[#This Row],[productId]],bom[Id],bom[erth],"NA")</f>
        <v>nut4</v>
      </c>
      <c r="P995" s="23" t="str">
        <f>_xlfn.XLOOKUP(packes[[#This Row],[productId]],bom[Id],bom[dbl],"NA")</f>
        <v>-</v>
      </c>
      <c r="Q995" s="20" t="str">
        <f>LEFT(packes[[#This Row],[date]],4)</f>
        <v>1404</v>
      </c>
    </row>
    <row r="996" spans="1:17" ht="16.5" x14ac:dyDescent="0.25">
      <c r="A996" s="23">
        <v>993</v>
      </c>
      <c r="B996" s="30" t="s">
        <v>792</v>
      </c>
      <c r="C996" s="23">
        <v>140310031</v>
      </c>
      <c r="D996" s="23">
        <v>50</v>
      </c>
      <c r="E996" s="27">
        <f>_xlfn.XLOOKUP(packes[[#This Row],[productId]],bom[Id],bom[wgt])</f>
        <v>1.9455252918287937</v>
      </c>
      <c r="F996" s="27">
        <f>packes[[#This Row],[num]]*packes[[#This Row],[wtg]]</f>
        <v>97.276264591439684</v>
      </c>
      <c r="G996" s="357">
        <v>4</v>
      </c>
      <c r="H996" s="21">
        <f>packes[[#This Row],[num]]-SUM(packes[[#This Row],[num2]])</f>
        <v>50</v>
      </c>
      <c r="I996" s="357"/>
      <c r="J996" s="21"/>
      <c r="K996" s="323" t="s">
        <v>1270</v>
      </c>
      <c r="M996" s="27">
        <f>_xlfn.XLOOKUP(packes[[#This Row],[productId]],CT[productId],CT[total],"NA")</f>
        <v>202.96500000000003</v>
      </c>
      <c r="N996" s="23">
        <f>_xlfn.XLOOKUP(packes[[#This Row],[productId]],bom[Id],bom[ph],"NA")</f>
        <v>461</v>
      </c>
      <c r="O996" s="23" t="str">
        <f>_xlfn.XLOOKUP(packes[[#This Row],[productId]],bom[Id],bom[erth],"NA")</f>
        <v>nut4</v>
      </c>
      <c r="P996" s="23" t="str">
        <f>_xlfn.XLOOKUP(packes[[#This Row],[productId]],bom[Id],bom[dbl],"NA")</f>
        <v>-</v>
      </c>
      <c r="Q996" s="20" t="str">
        <f>LEFT(packes[[#This Row],[date]],4)</f>
        <v>1404</v>
      </c>
    </row>
    <row r="997" spans="1:17" ht="16.5" x14ac:dyDescent="0.25">
      <c r="A997" s="23">
        <v>994</v>
      </c>
      <c r="B997" s="30" t="s">
        <v>792</v>
      </c>
      <c r="C997" s="23">
        <v>140310071</v>
      </c>
      <c r="D997" s="23">
        <v>250</v>
      </c>
      <c r="E997" s="27">
        <f>_xlfn.XLOOKUP(packes[[#This Row],[productId]],bom[Id],bom[wgt])</f>
        <v>1.3</v>
      </c>
      <c r="F997" s="27">
        <f>packes[[#This Row],[num]]*packes[[#This Row],[wtg]]</f>
        <v>325</v>
      </c>
      <c r="G997" s="357">
        <v>3</v>
      </c>
      <c r="H997" s="21">
        <f>packes[[#This Row],[num]]-SUM(packes[[#This Row],[num2]])</f>
        <v>250</v>
      </c>
      <c r="I997" s="357"/>
      <c r="J997" s="21"/>
      <c r="K997" s="323" t="s">
        <v>1271</v>
      </c>
      <c r="M997" s="27">
        <f>_xlfn.XLOOKUP(packes[[#This Row],[productId]],CT[productId],CT[total],"NA")</f>
        <v>130.69500000000002</v>
      </c>
      <c r="N997" s="23" t="str">
        <f>_xlfn.XLOOKUP(packes[[#This Row],[productId]],bom[Id],bom[ph],"NA")</f>
        <v>6.3ch</v>
      </c>
      <c r="O997" s="23" t="str">
        <f>_xlfn.XLOOKUP(packes[[#This Row],[productId]],bom[Id],bom[erth],"NA")</f>
        <v>6.3k</v>
      </c>
      <c r="P997" s="23" t="str">
        <f>_xlfn.XLOOKUP(packes[[#This Row],[productId]],bom[Id],bom[dbl],"NA")</f>
        <v>-</v>
      </c>
      <c r="Q997" s="20" t="str">
        <f>LEFT(packes[[#This Row],[date]],4)</f>
        <v>1404</v>
      </c>
    </row>
    <row r="998" spans="1:17" ht="16.5" x14ac:dyDescent="0.25">
      <c r="A998" s="23">
        <v>995</v>
      </c>
      <c r="B998" s="30" t="s">
        <v>792</v>
      </c>
      <c r="C998" s="23">
        <v>140310096</v>
      </c>
      <c r="D998" s="23">
        <v>57</v>
      </c>
      <c r="E998" s="27">
        <f>_xlfn.XLOOKUP(packes[[#This Row],[productId]],bom[Id],bom[wgt])</f>
        <v>1.3</v>
      </c>
      <c r="F998" s="27">
        <f>packes[[#This Row],[num]]*packes[[#This Row],[wtg]]</f>
        <v>74.100000000000009</v>
      </c>
      <c r="G998" s="357">
        <v>3</v>
      </c>
      <c r="H998" s="21">
        <f>packes[[#This Row],[num]]-SUM(packes[[#This Row],[num2]])</f>
        <v>57</v>
      </c>
      <c r="I998" s="357"/>
      <c r="J998" s="21"/>
      <c r="K998" s="323" t="s">
        <v>1272</v>
      </c>
      <c r="M998" s="27">
        <f>_xlfn.XLOOKUP(packes[[#This Row],[productId]],CT[productId],CT[total],"NA")</f>
        <v>76.239999999999995</v>
      </c>
      <c r="N998" s="23" t="str">
        <f>_xlfn.XLOOKUP(packes[[#This Row],[productId]],bom[Id],bom[ph],"NA")</f>
        <v>6.3ch</v>
      </c>
      <c r="O998" s="23" t="str">
        <f>_xlfn.XLOOKUP(packes[[#This Row],[productId]],bom[Id],bom[erth],"NA")</f>
        <v>6.3k</v>
      </c>
      <c r="P998" s="23">
        <f>_xlfn.XLOOKUP(packes[[#This Row],[productId]],bom[Id],bom[dbl],"NA")</f>
        <v>0</v>
      </c>
      <c r="Q998" s="20" t="str">
        <f>LEFT(packes[[#This Row],[date]],4)</f>
        <v>1404</v>
      </c>
    </row>
    <row r="999" spans="1:17" ht="16.5" x14ac:dyDescent="0.25">
      <c r="A999" s="23">
        <v>996</v>
      </c>
      <c r="B999" s="30" t="s">
        <v>792</v>
      </c>
      <c r="C999" s="23">
        <v>140450047</v>
      </c>
      <c r="D999" s="23">
        <f>22+3</f>
        <v>25</v>
      </c>
      <c r="E999" s="27">
        <f>_xlfn.XLOOKUP(packes[[#This Row],[productId]],bom[Id],bom[wgt])</f>
        <v>0</v>
      </c>
      <c r="F999" s="27">
        <f>packes[[#This Row],[num]]*packes[[#This Row],[wtg]]</f>
        <v>0</v>
      </c>
      <c r="G999" s="357">
        <v>4</v>
      </c>
      <c r="H999" s="21">
        <f>packes[[#This Row],[num]]-SUM(packes[[#This Row],[num2]])</f>
        <v>25</v>
      </c>
      <c r="I999" s="357"/>
      <c r="J999" s="21"/>
      <c r="K999" s="323" t="s">
        <v>1273</v>
      </c>
      <c r="M999" s="27">
        <f>_xlfn.XLOOKUP(packes[[#This Row],[productId]],CT[productId],CT[total],"NA")</f>
        <v>55.46</v>
      </c>
      <c r="N999" s="23" t="str">
        <f>_xlfn.XLOOKUP(packes[[#This Row],[productId]],bom[Id],bom[ph],"NA")</f>
        <v>-</v>
      </c>
      <c r="O999" s="23" t="str">
        <f>_xlfn.XLOOKUP(packes[[#This Row],[productId]],bom[Id],bom[erth],"NA")</f>
        <v>-</v>
      </c>
      <c r="P999" s="23" t="str">
        <f>_xlfn.XLOOKUP(packes[[#This Row],[productId]],bom[Id],bom[dbl],"NA")</f>
        <v>-</v>
      </c>
      <c r="Q999" s="20" t="str">
        <f>LEFT(packes[[#This Row],[date]],4)</f>
        <v>1404</v>
      </c>
    </row>
    <row r="1000" spans="1:17" ht="16.5" x14ac:dyDescent="0.25">
      <c r="A1000" s="23">
        <v>997</v>
      </c>
      <c r="B1000" s="30" t="s">
        <v>792</v>
      </c>
      <c r="C1000" s="23">
        <v>141320055</v>
      </c>
      <c r="D1000" s="23">
        <v>1300</v>
      </c>
      <c r="E1000" s="27">
        <f>_xlfn.XLOOKUP(packes[[#This Row],[productId]],bom[Id],bom[wgt])</f>
        <v>1.1274069639828395</v>
      </c>
      <c r="F1000" s="27">
        <f>packes[[#This Row],[num]]*packes[[#This Row],[wtg]]</f>
        <v>1465.6290531776913</v>
      </c>
      <c r="G1000" s="357">
        <v>3</v>
      </c>
      <c r="H1000" s="21">
        <f>packes[[#This Row],[num]]-SUM(packes[[#This Row],[num2]])</f>
        <v>1300</v>
      </c>
      <c r="I1000" s="357"/>
      <c r="J1000" s="21"/>
      <c r="K1000" s="323" t="s">
        <v>1274</v>
      </c>
      <c r="M1000" s="27">
        <f>_xlfn.XLOOKUP(packes[[#This Row],[productId]],CT[productId],CT[total],"NA")</f>
        <v>41.13</v>
      </c>
      <c r="N1000" s="23">
        <f>_xlfn.XLOOKUP(packes[[#This Row],[productId]],bom[Id],bom[ph],"NA")</f>
        <v>0</v>
      </c>
      <c r="O1000" s="23">
        <f>_xlfn.XLOOKUP(packes[[#This Row],[productId]],bom[Id],bom[erth],"NA")</f>
        <v>0</v>
      </c>
      <c r="P1000" s="23">
        <f>_xlfn.XLOOKUP(packes[[#This Row],[productId]],bom[Id],bom[dbl],"NA")</f>
        <v>0</v>
      </c>
      <c r="Q1000" s="20" t="str">
        <f>LEFT(packes[[#This Row],[date]],4)</f>
        <v>1404</v>
      </c>
    </row>
    <row r="1001" spans="1:17" ht="16.5" x14ac:dyDescent="0.25">
      <c r="A1001" s="23">
        <v>998</v>
      </c>
      <c r="B1001" s="30" t="s">
        <v>793</v>
      </c>
      <c r="C1001" s="23">
        <v>140010230</v>
      </c>
      <c r="D1001" s="23">
        <v>800</v>
      </c>
      <c r="E1001" s="27">
        <f>_xlfn.XLOOKUP(packes[[#This Row],[productId]],bom[Id],bom[wgt])</f>
        <v>1.4486680634540554</v>
      </c>
      <c r="F1001" s="27">
        <f>packes[[#This Row],[num]]*packes[[#This Row],[wtg]]</f>
        <v>1158.9344507632443</v>
      </c>
      <c r="G1001" s="357">
        <v>4</v>
      </c>
      <c r="H1001" s="21">
        <f>packes[[#This Row],[num]]-SUM(packes[[#This Row],[num2]])</f>
        <v>800</v>
      </c>
      <c r="I1001" s="357"/>
      <c r="J1001" s="21"/>
      <c r="K1001" s="323" t="s">
        <v>1278</v>
      </c>
      <c r="M1001" s="27">
        <f>_xlfn.XLOOKUP(packes[[#This Row],[productId]],CT[productId],CT[total],"NA")</f>
        <v>147.595</v>
      </c>
      <c r="N1001" s="23" t="str">
        <f>_xlfn.XLOOKUP(packes[[#This Row],[productId]],bom[Id],bom[ph],"NA")</f>
        <v>nar.p</v>
      </c>
      <c r="O1001" s="23" t="str">
        <f>_xlfn.XLOOKUP(packes[[#This Row],[productId]],bom[Id],bom[erth],"NA")</f>
        <v>-</v>
      </c>
      <c r="P1001" s="23" t="str">
        <f>_xlfn.XLOOKUP(packes[[#This Row],[productId]],bom[Id],bom[dbl],"NA")</f>
        <v>nar.p</v>
      </c>
      <c r="Q1001" s="20" t="str">
        <f>LEFT(packes[[#This Row],[date]],4)</f>
        <v>1404</v>
      </c>
    </row>
    <row r="1002" spans="1:17" ht="16.5" x14ac:dyDescent="0.25">
      <c r="A1002" s="23">
        <v>999</v>
      </c>
      <c r="B1002" s="30" t="s">
        <v>793</v>
      </c>
      <c r="C1002" s="30">
        <v>140310007</v>
      </c>
      <c r="D1002" s="23">
        <v>1300</v>
      </c>
      <c r="E1002" s="27">
        <f>_xlfn.XLOOKUP(packes[[#This Row],[productId]],bom[Id],bom[wgt])</f>
        <v>1.1413748378728923</v>
      </c>
      <c r="F1002" s="27">
        <f>packes[[#This Row],[num]]*packes[[#This Row],[wtg]]</f>
        <v>1483.78728923476</v>
      </c>
      <c r="G1002" s="357">
        <v>4</v>
      </c>
      <c r="H1002" s="21">
        <f>packes[[#This Row],[num]]-SUM(packes[[#This Row],[num2]])</f>
        <v>1300</v>
      </c>
      <c r="I1002" s="357"/>
      <c r="J1002" s="21"/>
      <c r="K1002" s="323" t="s">
        <v>1279</v>
      </c>
      <c r="M1002" s="27">
        <f>_xlfn.XLOOKUP(packes[[#This Row],[productId]],CT[productId],CT[total],"NA")</f>
        <v>92.484999999999999</v>
      </c>
      <c r="N1002" s="23" t="str">
        <f>_xlfn.XLOOKUP(packes[[#This Row],[productId]],bom[Id],bom[ph],"NA")</f>
        <v>-</v>
      </c>
      <c r="O1002" s="23" t="str">
        <f>_xlfn.XLOOKUP(packes[[#This Row],[productId]],bom[Id],bom[erth],"NA")</f>
        <v>nut4</v>
      </c>
      <c r="P1002" s="23" t="str">
        <f>_xlfn.XLOOKUP(packes[[#This Row],[productId]],bom[Id],bom[dbl],"NA")</f>
        <v>-</v>
      </c>
      <c r="Q1002" s="20" t="str">
        <f>LEFT(packes[[#This Row],[date]],4)</f>
        <v>1404</v>
      </c>
    </row>
    <row r="1003" spans="1:17" ht="16.5" x14ac:dyDescent="0.25">
      <c r="A1003" s="23">
        <v>1000</v>
      </c>
      <c r="B1003" s="30" t="s">
        <v>793</v>
      </c>
      <c r="C1003" s="30">
        <v>140310083</v>
      </c>
      <c r="D1003" s="23">
        <v>1600</v>
      </c>
      <c r="E1003" s="27">
        <f>_xlfn.XLOOKUP(packes[[#This Row],[productId]],bom[Id],bom[wgt])</f>
        <v>1.3369250723336326</v>
      </c>
      <c r="F1003" s="27">
        <f>packes[[#This Row],[num]]*packes[[#This Row],[wtg]]</f>
        <v>2139.0801157338119</v>
      </c>
      <c r="G1003" s="357">
        <v>3</v>
      </c>
      <c r="H1003" s="21">
        <f>packes[[#This Row],[num]]-SUM(packes[[#This Row],[num2]])</f>
        <v>1600</v>
      </c>
      <c r="I1003" s="357"/>
      <c r="J1003" s="21"/>
      <c r="K1003" s="323" t="s">
        <v>1280</v>
      </c>
      <c r="M1003" s="27">
        <f>_xlfn.XLOOKUP(packes[[#This Row],[productId]],CT[productId],CT[total],"NA")</f>
        <v>135.23500000000001</v>
      </c>
      <c r="N1003" s="23" t="str">
        <f>_xlfn.XLOOKUP(packes[[#This Row],[productId]],bom[Id],bom[ph],"NA")</f>
        <v>6.3flat</v>
      </c>
      <c r="O1003" s="23" t="str">
        <f>_xlfn.XLOOKUP(packes[[#This Row],[productId]],bom[Id],bom[erth],"NA")</f>
        <v>6.3flat</v>
      </c>
      <c r="P1003" s="23" t="str">
        <f>_xlfn.XLOOKUP(packes[[#This Row],[productId]],bom[Id],bom[dbl],"NA")</f>
        <v>-</v>
      </c>
      <c r="Q1003" s="20" t="str">
        <f>LEFT(packes[[#This Row],[date]],4)</f>
        <v>1404</v>
      </c>
    </row>
    <row r="1004" spans="1:17" ht="16.5" x14ac:dyDescent="0.25">
      <c r="A1004" s="23">
        <v>1001</v>
      </c>
      <c r="B1004" s="30" t="s">
        <v>793</v>
      </c>
      <c r="C1004" s="23">
        <v>140450047</v>
      </c>
      <c r="D1004" s="23">
        <v>400</v>
      </c>
      <c r="E1004" s="27">
        <f>_xlfn.XLOOKUP(packes[[#This Row],[productId]],bom[Id],bom[wgt])</f>
        <v>0</v>
      </c>
      <c r="F1004" s="27">
        <f>packes[[#This Row],[num]]*packes[[#This Row],[wtg]]</f>
        <v>0</v>
      </c>
      <c r="G1004" s="357">
        <v>4</v>
      </c>
      <c r="H1004" s="21">
        <f>packes[[#This Row],[num]]-SUM(packes[[#This Row],[num2]])</f>
        <v>400</v>
      </c>
      <c r="I1004" s="357"/>
      <c r="J1004" s="21"/>
      <c r="K1004" s="323" t="s">
        <v>1281</v>
      </c>
      <c r="M1004" s="27">
        <f>_xlfn.XLOOKUP(packes[[#This Row],[productId]],CT[productId],CT[total],"NA")</f>
        <v>55.46</v>
      </c>
      <c r="N1004" s="23" t="str">
        <f>_xlfn.XLOOKUP(packes[[#This Row],[productId]],bom[Id],bom[ph],"NA")</f>
        <v>-</v>
      </c>
      <c r="O1004" s="23" t="str">
        <f>_xlfn.XLOOKUP(packes[[#This Row],[productId]],bom[Id],bom[erth],"NA")</f>
        <v>-</v>
      </c>
      <c r="P1004" s="23" t="str">
        <f>_xlfn.XLOOKUP(packes[[#This Row],[productId]],bom[Id],bom[dbl],"NA")</f>
        <v>-</v>
      </c>
      <c r="Q1004" s="20" t="str">
        <f>LEFT(packes[[#This Row],[date]],4)</f>
        <v>1404</v>
      </c>
    </row>
    <row r="1005" spans="1:17" ht="16.5" x14ac:dyDescent="0.25">
      <c r="A1005" s="23">
        <v>1002</v>
      </c>
      <c r="B1005" s="30" t="s">
        <v>793</v>
      </c>
      <c r="C1005" s="23">
        <v>140530039</v>
      </c>
      <c r="D1005" s="23">
        <v>500</v>
      </c>
      <c r="E1005" s="27">
        <f>_xlfn.XLOOKUP(packes[[#This Row],[productId]],bom[Id],bom[wgt])</f>
        <v>1.1274069639828395</v>
      </c>
      <c r="F1005" s="27">
        <f>packes[[#This Row],[num]]*packes[[#This Row],[wtg]]</f>
        <v>563.70348199141972</v>
      </c>
      <c r="G1005" s="357">
        <v>3</v>
      </c>
      <c r="H1005" s="21">
        <f>packes[[#This Row],[num]]-SUM(packes[[#This Row],[num2]])</f>
        <v>500</v>
      </c>
      <c r="I1005" s="357"/>
      <c r="J1005" s="21"/>
      <c r="K1005" s="323" t="s">
        <v>1282</v>
      </c>
      <c r="M1005" s="27">
        <f>_xlfn.XLOOKUP(packes[[#This Row],[productId]],CT[productId],CT[total],"NA")</f>
        <v>41.13</v>
      </c>
      <c r="N1005" s="23" t="str">
        <f>_xlfn.XLOOKUP(packes[[#This Row],[productId]],bom[Id],bom[ph],"NA")</f>
        <v>radio</v>
      </c>
      <c r="O1005" s="23" t="str">
        <f>_xlfn.XLOOKUP(packes[[#This Row],[productId]],bom[Id],bom[erth],"NA")</f>
        <v>-</v>
      </c>
      <c r="P1005" s="23" t="str">
        <f>_xlfn.XLOOKUP(packes[[#This Row],[productId]],bom[Id],bom[dbl],"NA")</f>
        <v>-</v>
      </c>
      <c r="Q1005" s="20" t="str">
        <f>LEFT(packes[[#This Row],[date]],4)</f>
        <v>1404</v>
      </c>
    </row>
    <row r="1006" spans="1:17" ht="16.5" x14ac:dyDescent="0.25">
      <c r="A1006" s="23">
        <v>1003</v>
      </c>
      <c r="B1006" s="30" t="s">
        <v>793</v>
      </c>
      <c r="C1006" s="23">
        <v>141320055</v>
      </c>
      <c r="D1006" s="23">
        <v>100</v>
      </c>
      <c r="E1006" s="27">
        <f>_xlfn.XLOOKUP(packes[[#This Row],[productId]],bom[Id],bom[wgt])</f>
        <v>1.1274069639828395</v>
      </c>
      <c r="F1006" s="27">
        <f>packes[[#This Row],[num]]*packes[[#This Row],[wtg]]</f>
        <v>112.74069639828394</v>
      </c>
      <c r="G1006" s="357">
        <v>3</v>
      </c>
      <c r="H1006" s="21">
        <f>packes[[#This Row],[num]]-SUM(packes[[#This Row],[num2]])</f>
        <v>100</v>
      </c>
      <c r="I1006" s="357"/>
      <c r="J1006" s="21"/>
      <c r="K1006" s="323" t="s">
        <v>1283</v>
      </c>
      <c r="M1006" s="27">
        <f>_xlfn.XLOOKUP(packes[[#This Row],[productId]],CT[productId],CT[total],"NA")</f>
        <v>41.13</v>
      </c>
      <c r="N1006" s="23">
        <f>_xlfn.XLOOKUP(packes[[#This Row],[productId]],bom[Id],bom[ph],"NA")</f>
        <v>0</v>
      </c>
      <c r="O1006" s="23">
        <f>_xlfn.XLOOKUP(packes[[#This Row],[productId]],bom[Id],bom[erth],"NA")</f>
        <v>0</v>
      </c>
      <c r="P1006" s="23">
        <f>_xlfn.XLOOKUP(packes[[#This Row],[productId]],bom[Id],bom[dbl],"NA")</f>
        <v>0</v>
      </c>
      <c r="Q1006" s="20" t="str">
        <f>LEFT(packes[[#This Row],[date]],4)</f>
        <v>1404</v>
      </c>
    </row>
    <row r="1007" spans="1:17" ht="16.5" x14ac:dyDescent="0.25">
      <c r="A1007" s="23">
        <v>1004</v>
      </c>
      <c r="B1007" s="30" t="s">
        <v>794</v>
      </c>
      <c r="C1007" s="23">
        <v>140010117</v>
      </c>
      <c r="D1007" s="23">
        <v>450</v>
      </c>
      <c r="E1007" s="27">
        <f>_xlfn.XLOOKUP(packes[[#This Row],[productId]],bom[Id],bom[wgt])</f>
        <v>1</v>
      </c>
      <c r="F1007" s="27">
        <f>packes[[#This Row],[num]]*packes[[#This Row],[wtg]]</f>
        <v>450</v>
      </c>
      <c r="G1007" s="357">
        <v>4</v>
      </c>
      <c r="H1007" s="21">
        <f>packes[[#This Row],[num]]-SUM(packes[[#This Row],[num2]])</f>
        <v>450</v>
      </c>
      <c r="I1007" s="357"/>
      <c r="J1007" s="21"/>
      <c r="K1007" s="323"/>
      <c r="M1007" s="27">
        <f>_xlfn.XLOOKUP(packes[[#This Row],[productId]],CT[productId],CT[total],"NA")</f>
        <v>98.295000000000016</v>
      </c>
      <c r="N1007" s="23" t="str">
        <f>_xlfn.XLOOKUP(packes[[#This Row],[productId]],bom[Id],bom[ph],"NA")</f>
        <v>nar.p</v>
      </c>
      <c r="O1007" s="23" t="str">
        <f>_xlfn.XLOOKUP(packes[[#This Row],[productId]],bom[Id],bom[erth],"NA")</f>
        <v>-</v>
      </c>
      <c r="P1007" s="23" t="str">
        <f>_xlfn.XLOOKUP(packes[[#This Row],[productId]],bom[Id],bom[dbl],"NA")</f>
        <v>nar.p</v>
      </c>
      <c r="Q1007" s="20" t="str">
        <f>LEFT(packes[[#This Row],[date]],4)</f>
        <v>1404</v>
      </c>
    </row>
    <row r="1008" spans="1:17" ht="16.5" x14ac:dyDescent="0.25">
      <c r="A1008" s="23">
        <v>1005</v>
      </c>
      <c r="B1008" s="30" t="s">
        <v>794</v>
      </c>
      <c r="C1008" s="23">
        <v>140010230</v>
      </c>
      <c r="D1008" s="23">
        <v>400</v>
      </c>
      <c r="E1008" s="27">
        <f>_xlfn.XLOOKUP(packes[[#This Row],[productId]],bom[Id],bom[wgt])</f>
        <v>1.4486680634540554</v>
      </c>
      <c r="F1008" s="27">
        <f>packes[[#This Row],[num]]*packes[[#This Row],[wtg]]</f>
        <v>579.46722538162214</v>
      </c>
      <c r="G1008" s="357">
        <v>4</v>
      </c>
      <c r="H1008" s="21">
        <f>packes[[#This Row],[num]]-SUM(packes[[#This Row],[num2]])</f>
        <v>400</v>
      </c>
      <c r="I1008" s="357"/>
      <c r="J1008" s="21"/>
      <c r="K1008" s="323"/>
      <c r="M1008" s="27">
        <f>_xlfn.XLOOKUP(packes[[#This Row],[productId]],CT[productId],CT[total],"NA")</f>
        <v>147.595</v>
      </c>
      <c r="N1008" s="23" t="str">
        <f>_xlfn.XLOOKUP(packes[[#This Row],[productId]],bom[Id],bom[ph],"NA")</f>
        <v>nar.p</v>
      </c>
      <c r="O1008" s="23" t="str">
        <f>_xlfn.XLOOKUP(packes[[#This Row],[productId]],bom[Id],bom[erth],"NA")</f>
        <v>-</v>
      </c>
      <c r="P1008" s="23" t="str">
        <f>_xlfn.XLOOKUP(packes[[#This Row],[productId]],bom[Id],bom[dbl],"NA")</f>
        <v>nar.p</v>
      </c>
      <c r="Q1008" s="20" t="str">
        <f>LEFT(packes[[#This Row],[date]],4)</f>
        <v>1404</v>
      </c>
    </row>
    <row r="1009" spans="1:17" ht="16.5" x14ac:dyDescent="0.25">
      <c r="A1009" s="23">
        <v>1006</v>
      </c>
      <c r="B1009" s="30" t="s">
        <v>794</v>
      </c>
      <c r="C1009" s="23">
        <v>140310007</v>
      </c>
      <c r="D1009" s="23">
        <v>900</v>
      </c>
      <c r="E1009" s="27">
        <f>_xlfn.XLOOKUP(packes[[#This Row],[productId]],bom[Id],bom[wgt])</f>
        <v>1.1413748378728923</v>
      </c>
      <c r="F1009" s="27">
        <f>packes[[#This Row],[num]]*packes[[#This Row],[wtg]]</f>
        <v>1027.2373540856031</v>
      </c>
      <c r="G1009" s="357">
        <v>4</v>
      </c>
      <c r="H1009" s="21">
        <f>packes[[#This Row],[num]]-SUM(packes[[#This Row],[num2]])</f>
        <v>900</v>
      </c>
      <c r="I1009" s="357"/>
      <c r="J1009" s="21"/>
      <c r="K1009" s="323"/>
      <c r="M1009" s="27">
        <f>_xlfn.XLOOKUP(packes[[#This Row],[productId]],CT[productId],CT[total],"NA")</f>
        <v>92.484999999999999</v>
      </c>
      <c r="N1009" s="23" t="str">
        <f>_xlfn.XLOOKUP(packes[[#This Row],[productId]],bom[Id],bom[ph],"NA")</f>
        <v>-</v>
      </c>
      <c r="O1009" s="23" t="str">
        <f>_xlfn.XLOOKUP(packes[[#This Row],[productId]],bom[Id],bom[erth],"NA")</f>
        <v>nut4</v>
      </c>
      <c r="P1009" s="23" t="str">
        <f>_xlfn.XLOOKUP(packes[[#This Row],[productId]],bom[Id],bom[dbl],"NA")</f>
        <v>-</v>
      </c>
      <c r="Q1009" s="20" t="str">
        <f>LEFT(packes[[#This Row],[date]],4)</f>
        <v>1404</v>
      </c>
    </row>
    <row r="1010" spans="1:17" ht="16.5" x14ac:dyDescent="0.25">
      <c r="A1010" s="23">
        <v>1007</v>
      </c>
      <c r="B1010" s="30" t="s">
        <v>794</v>
      </c>
      <c r="C1010" s="23">
        <v>140310071</v>
      </c>
      <c r="D1010" s="23">
        <v>550</v>
      </c>
      <c r="E1010" s="27">
        <f>_xlfn.XLOOKUP(packes[[#This Row],[productId]],bom[Id],bom[wgt])</f>
        <v>1.3</v>
      </c>
      <c r="F1010" s="27">
        <f>packes[[#This Row],[num]]*packes[[#This Row],[wtg]]</f>
        <v>715</v>
      </c>
      <c r="G1010" s="357">
        <v>3</v>
      </c>
      <c r="H1010" s="21">
        <f>packes[[#This Row],[num]]-SUM(packes[[#This Row],[num2]])</f>
        <v>550</v>
      </c>
      <c r="I1010" s="357"/>
      <c r="J1010" s="21"/>
      <c r="K1010" s="323"/>
      <c r="M1010" s="27">
        <f>_xlfn.XLOOKUP(packes[[#This Row],[productId]],CT[productId],CT[total],"NA")</f>
        <v>130.69500000000002</v>
      </c>
      <c r="N1010" s="23" t="str">
        <f>_xlfn.XLOOKUP(packes[[#This Row],[productId]],bom[Id],bom[ph],"NA")</f>
        <v>6.3ch</v>
      </c>
      <c r="O1010" s="23" t="str">
        <f>_xlfn.XLOOKUP(packes[[#This Row],[productId]],bom[Id],bom[erth],"NA")</f>
        <v>6.3k</v>
      </c>
      <c r="P1010" s="23" t="str">
        <f>_xlfn.XLOOKUP(packes[[#This Row],[productId]],bom[Id],bom[dbl],"NA")</f>
        <v>-</v>
      </c>
      <c r="Q1010" s="20" t="str">
        <f>LEFT(packes[[#This Row],[date]],4)</f>
        <v>1404</v>
      </c>
    </row>
    <row r="1011" spans="1:17" ht="16.5" x14ac:dyDescent="0.25">
      <c r="A1011" s="23">
        <v>1008</v>
      </c>
      <c r="B1011" s="30" t="s">
        <v>794</v>
      </c>
      <c r="C1011" s="23">
        <v>140310083</v>
      </c>
      <c r="D1011" s="23">
        <v>400</v>
      </c>
      <c r="E1011" s="27">
        <f>_xlfn.XLOOKUP(packes[[#This Row],[productId]],bom[Id],bom[wgt])</f>
        <v>1.3369250723336326</v>
      </c>
      <c r="F1011" s="27">
        <f>packes[[#This Row],[num]]*packes[[#This Row],[wtg]]</f>
        <v>534.77002893345298</v>
      </c>
      <c r="G1011" s="357">
        <v>3</v>
      </c>
      <c r="H1011" s="21">
        <f>packes[[#This Row],[num]]-SUM(packes[[#This Row],[num2]])</f>
        <v>400</v>
      </c>
      <c r="I1011" s="357"/>
      <c r="J1011" s="21"/>
      <c r="K1011" s="323"/>
      <c r="M1011" s="27">
        <f>_xlfn.XLOOKUP(packes[[#This Row],[productId]],CT[productId],CT[total],"NA")</f>
        <v>135.23500000000001</v>
      </c>
      <c r="N1011" s="23" t="str">
        <f>_xlfn.XLOOKUP(packes[[#This Row],[productId]],bom[Id],bom[ph],"NA")</f>
        <v>6.3flat</v>
      </c>
      <c r="O1011" s="23" t="str">
        <f>_xlfn.XLOOKUP(packes[[#This Row],[productId]],bom[Id],bom[erth],"NA")</f>
        <v>6.3flat</v>
      </c>
      <c r="P1011" s="23" t="str">
        <f>_xlfn.XLOOKUP(packes[[#This Row],[productId]],bom[Id],bom[dbl],"NA")</f>
        <v>-</v>
      </c>
      <c r="Q1011" s="20" t="str">
        <f>LEFT(packes[[#This Row],[date]],4)</f>
        <v>1404</v>
      </c>
    </row>
    <row r="1012" spans="1:17" ht="16.5" x14ac:dyDescent="0.25">
      <c r="A1012" s="23">
        <v>1009</v>
      </c>
      <c r="B1012" s="30" t="s">
        <v>794</v>
      </c>
      <c r="C1012" s="23">
        <v>140450047</v>
      </c>
      <c r="D1012" s="23">
        <v>550</v>
      </c>
      <c r="E1012" s="27">
        <f>_xlfn.XLOOKUP(packes[[#This Row],[productId]],bom[Id],bom[wgt])</f>
        <v>0</v>
      </c>
      <c r="F1012" s="27">
        <f>packes[[#This Row],[num]]*packes[[#This Row],[wtg]]</f>
        <v>0</v>
      </c>
      <c r="G1012" s="357">
        <v>4</v>
      </c>
      <c r="H1012" s="21">
        <f>packes[[#This Row],[num]]-SUM(packes[[#This Row],[num2]])</f>
        <v>550</v>
      </c>
      <c r="I1012" s="357"/>
      <c r="J1012" s="21"/>
      <c r="K1012" s="323"/>
      <c r="M1012" s="27">
        <f>_xlfn.XLOOKUP(packes[[#This Row],[productId]],CT[productId],CT[total],"NA")</f>
        <v>55.46</v>
      </c>
      <c r="N1012" s="23" t="str">
        <f>_xlfn.XLOOKUP(packes[[#This Row],[productId]],bom[Id],bom[ph],"NA")</f>
        <v>-</v>
      </c>
      <c r="O1012" s="23" t="str">
        <f>_xlfn.XLOOKUP(packes[[#This Row],[productId]],bom[Id],bom[erth],"NA")</f>
        <v>-</v>
      </c>
      <c r="P1012" s="23" t="str">
        <f>_xlfn.XLOOKUP(packes[[#This Row],[productId]],bom[Id],bom[dbl],"NA")</f>
        <v>-</v>
      </c>
      <c r="Q1012" s="20" t="str">
        <f>LEFT(packes[[#This Row],[date]],4)</f>
        <v>1404</v>
      </c>
    </row>
    <row r="1013" spans="1:17" ht="16.5" x14ac:dyDescent="0.25">
      <c r="A1013" s="23">
        <v>1010</v>
      </c>
      <c r="B1013" s="30" t="s">
        <v>794</v>
      </c>
      <c r="C1013" s="23">
        <v>140550019</v>
      </c>
      <c r="D1013" s="23">
        <v>850</v>
      </c>
      <c r="E1013" s="27">
        <f>_xlfn.XLOOKUP(packes[[#This Row],[productId]],bom[Id],bom[wgt])</f>
        <v>2.6938042502244834</v>
      </c>
      <c r="F1013" s="27">
        <f>packes[[#This Row],[num]]*packes[[#This Row],[wtg]]</f>
        <v>2289.7336126908108</v>
      </c>
      <c r="G1013" s="357">
        <v>10</v>
      </c>
      <c r="H1013" s="21">
        <f>packes[[#This Row],[num]]-SUM(packes[[#This Row],[num2]])</f>
        <v>850</v>
      </c>
      <c r="I1013" s="357"/>
      <c r="J1013" s="21"/>
      <c r="K1013" s="323"/>
      <c r="M1013" s="27">
        <f>_xlfn.XLOOKUP(packes[[#This Row],[productId]],CT[productId],CT[total],"NA")</f>
        <v>211.66499999999999</v>
      </c>
      <c r="N1013" s="23" t="str">
        <f>_xlfn.XLOOKUP(packes[[#This Row],[productId]],bom[Id],bom[ph],"NA")</f>
        <v>6.3ch</v>
      </c>
      <c r="O1013" s="23" t="str">
        <f>_xlfn.XLOOKUP(packes[[#This Row],[productId]],bom[Id],bom[erth],"NA")</f>
        <v>nut4</v>
      </c>
      <c r="P1013" s="23" t="str">
        <f>_xlfn.XLOOKUP(packes[[#This Row],[productId]],bom[Id],bom[dbl],"NA")</f>
        <v>-</v>
      </c>
      <c r="Q1013" s="20" t="str">
        <f>LEFT(packes[[#This Row],[date]],4)</f>
        <v>1404</v>
      </c>
    </row>
    <row r="1014" spans="1:17" ht="16.5" x14ac:dyDescent="0.25">
      <c r="A1014" s="23">
        <v>1011</v>
      </c>
      <c r="B1014" s="30" t="s">
        <v>794</v>
      </c>
      <c r="C1014" s="23">
        <v>140530039</v>
      </c>
      <c r="D1014" s="23">
        <v>800</v>
      </c>
      <c r="E1014" s="27">
        <f>_xlfn.XLOOKUP(packes[[#This Row],[productId]],bom[Id],bom[wgt])</f>
        <v>1.1274069639828395</v>
      </c>
      <c r="F1014" s="27">
        <f>packes[[#This Row],[num]]*packes[[#This Row],[wtg]]</f>
        <v>901.92557118627155</v>
      </c>
      <c r="G1014" s="357">
        <v>3</v>
      </c>
      <c r="H1014" s="21">
        <f>packes[[#This Row],[num]]-SUM(packes[[#This Row],[num2]])</f>
        <v>800</v>
      </c>
      <c r="I1014" s="357"/>
      <c r="J1014" s="21"/>
      <c r="K1014" s="323"/>
      <c r="M1014" s="27">
        <f>_xlfn.XLOOKUP(packes[[#This Row],[productId]],CT[productId],CT[total],"NA")</f>
        <v>41.13</v>
      </c>
      <c r="N1014" s="23" t="str">
        <f>_xlfn.XLOOKUP(packes[[#This Row],[productId]],bom[Id],bom[ph],"NA")</f>
        <v>radio</v>
      </c>
      <c r="O1014" s="23" t="str">
        <f>_xlfn.XLOOKUP(packes[[#This Row],[productId]],bom[Id],bom[erth],"NA")</f>
        <v>-</v>
      </c>
      <c r="P1014" s="23" t="str">
        <f>_xlfn.XLOOKUP(packes[[#This Row],[productId]],bom[Id],bom[dbl],"NA")</f>
        <v>-</v>
      </c>
      <c r="Q1014" s="20" t="str">
        <f>LEFT(packes[[#This Row],[date]],4)</f>
        <v>1404</v>
      </c>
    </row>
    <row r="1015" spans="1:17" ht="16.5" x14ac:dyDescent="0.25">
      <c r="A1015" s="23">
        <v>1012</v>
      </c>
      <c r="B1015" s="30" t="s">
        <v>795</v>
      </c>
      <c r="C1015" s="23">
        <v>140010117</v>
      </c>
      <c r="D1015" s="23">
        <v>300</v>
      </c>
      <c r="E1015" s="27">
        <f>_xlfn.XLOOKUP(packes[[#This Row],[productId]],bom[Id],bom[wgt])</f>
        <v>1</v>
      </c>
      <c r="F1015" s="27">
        <f>packes[[#This Row],[num]]*packes[[#This Row],[wtg]]</f>
        <v>300</v>
      </c>
      <c r="G1015" s="357">
        <v>4</v>
      </c>
      <c r="H1015" s="21">
        <f>packes[[#This Row],[num]]-SUM(packes[[#This Row],[num2]])</f>
        <v>300</v>
      </c>
      <c r="I1015" s="357"/>
      <c r="J1015" s="21"/>
      <c r="K1015" s="323" t="s">
        <v>1289</v>
      </c>
      <c r="M1015" s="27">
        <f>_xlfn.XLOOKUP(packes[[#This Row],[productId]],CT[productId],CT[total],"NA")</f>
        <v>98.295000000000016</v>
      </c>
      <c r="N1015" s="23" t="str">
        <f>_xlfn.XLOOKUP(packes[[#This Row],[productId]],bom[Id],bom[ph],"NA")</f>
        <v>nar.p</v>
      </c>
      <c r="O1015" s="23" t="str">
        <f>_xlfn.XLOOKUP(packes[[#This Row],[productId]],bom[Id],bom[erth],"NA")</f>
        <v>-</v>
      </c>
      <c r="P1015" s="23" t="str">
        <f>_xlfn.XLOOKUP(packes[[#This Row],[productId]],bom[Id],bom[dbl],"NA")</f>
        <v>nar.p</v>
      </c>
      <c r="Q1015" s="20" t="str">
        <f>LEFT(packes[[#This Row],[date]],4)</f>
        <v>1404</v>
      </c>
    </row>
    <row r="1016" spans="1:17" ht="16.5" x14ac:dyDescent="0.25">
      <c r="A1016" s="23">
        <v>1013</v>
      </c>
      <c r="B1016" s="30" t="s">
        <v>795</v>
      </c>
      <c r="C1016" s="23">
        <v>140010230</v>
      </c>
      <c r="D1016" s="23">
        <v>800</v>
      </c>
      <c r="E1016" s="27">
        <f>_xlfn.XLOOKUP(packes[[#This Row],[productId]],bom[Id],bom[wgt])</f>
        <v>1.4486680634540554</v>
      </c>
      <c r="F1016" s="27">
        <f>packes[[#This Row],[num]]*packes[[#This Row],[wtg]]</f>
        <v>1158.9344507632443</v>
      </c>
      <c r="G1016" s="357">
        <v>4</v>
      </c>
      <c r="H1016" s="21">
        <f>packes[[#This Row],[num]]-SUM(packes[[#This Row],[num2]])</f>
        <v>800</v>
      </c>
      <c r="I1016" s="357"/>
      <c r="J1016" s="21"/>
      <c r="K1016" s="323" t="s">
        <v>1290</v>
      </c>
      <c r="M1016" s="27">
        <f>_xlfn.XLOOKUP(packes[[#This Row],[productId]],CT[productId],CT[total],"NA")</f>
        <v>147.595</v>
      </c>
      <c r="N1016" s="23" t="str">
        <f>_xlfn.XLOOKUP(packes[[#This Row],[productId]],bom[Id],bom[ph],"NA")</f>
        <v>nar.p</v>
      </c>
      <c r="O1016" s="23" t="str">
        <f>_xlfn.XLOOKUP(packes[[#This Row],[productId]],bom[Id],bom[erth],"NA")</f>
        <v>-</v>
      </c>
      <c r="P1016" s="23" t="str">
        <f>_xlfn.XLOOKUP(packes[[#This Row],[productId]],bom[Id],bom[dbl],"NA")</f>
        <v>nar.p</v>
      </c>
      <c r="Q1016" s="20" t="str">
        <f>LEFT(packes[[#This Row],[date]],4)</f>
        <v>1404</v>
      </c>
    </row>
    <row r="1017" spans="1:17" ht="16.5" x14ac:dyDescent="0.25">
      <c r="A1017" s="23">
        <v>1014</v>
      </c>
      <c r="B1017" s="30" t="s">
        <v>795</v>
      </c>
      <c r="C1017" s="23">
        <v>140030039</v>
      </c>
      <c r="D1017" s="23">
        <v>100</v>
      </c>
      <c r="E1017" s="27">
        <f>_xlfn.XLOOKUP(packes[[#This Row],[productId]],bom[Id],bom[wgt])</f>
        <v>1.1413748378728923</v>
      </c>
      <c r="F1017" s="27">
        <f>packes[[#This Row],[num]]*packes[[#This Row],[wtg]]</f>
        <v>114.13748378728923</v>
      </c>
      <c r="G1017" s="357">
        <v>4</v>
      </c>
      <c r="H1017" s="21">
        <f>packes[[#This Row],[num]]-SUM(packes[[#This Row],[num2]])</f>
        <v>100</v>
      </c>
      <c r="I1017" s="357"/>
      <c r="J1017" s="21"/>
      <c r="K1017" s="323" t="s">
        <v>1291</v>
      </c>
      <c r="M1017" s="27">
        <f>_xlfn.XLOOKUP(packes[[#This Row],[productId]],CT[productId],CT[total],"NA")</f>
        <v>92.504999999999995</v>
      </c>
      <c r="N1017" s="23" t="str">
        <f>_xlfn.XLOOKUP(packes[[#This Row],[productId]],bom[Id],bom[ph],"NA")</f>
        <v>YH</v>
      </c>
      <c r="O1017" s="23" t="str">
        <f>_xlfn.XLOOKUP(packes[[#This Row],[productId]],bom[Id],bom[erth],"NA")</f>
        <v>sun</v>
      </c>
      <c r="P1017" s="23" t="str">
        <f>_xlfn.XLOOKUP(packes[[#This Row],[productId]],bom[Id],bom[dbl],"NA")</f>
        <v>-</v>
      </c>
      <c r="Q1017" s="20" t="str">
        <f>LEFT(packes[[#This Row],[date]],4)</f>
        <v>1404</v>
      </c>
    </row>
    <row r="1018" spans="1:17" ht="16.5" x14ac:dyDescent="0.25">
      <c r="A1018" s="23">
        <v>1015</v>
      </c>
      <c r="B1018" s="30" t="s">
        <v>795</v>
      </c>
      <c r="C1018" s="23">
        <v>140030040</v>
      </c>
      <c r="D1018" s="23">
        <v>100</v>
      </c>
      <c r="E1018" s="27">
        <f>_xlfn.XLOOKUP(packes[[#This Row],[productId]],bom[Id],bom[wgt])</f>
        <v>1.1092487279257708</v>
      </c>
      <c r="F1018" s="27">
        <f>packes[[#This Row],[num]]*packes[[#This Row],[wtg]]</f>
        <v>110.92487279257708</v>
      </c>
      <c r="G1018" s="357">
        <v>4</v>
      </c>
      <c r="H1018" s="21">
        <f>packes[[#This Row],[num]]-SUM(packes[[#This Row],[num2]])</f>
        <v>100</v>
      </c>
      <c r="I1018" s="357"/>
      <c r="J1018" s="21"/>
      <c r="K1018" s="323" t="s">
        <v>1291</v>
      </c>
      <c r="M1018" s="27">
        <f>_xlfn.XLOOKUP(packes[[#This Row],[productId]],CT[productId],CT[total],"NA")</f>
        <v>97.305000000000007</v>
      </c>
      <c r="N1018" s="23" t="str">
        <f>_xlfn.XLOOKUP(packes[[#This Row],[productId]],bom[Id],bom[ph],"NA")</f>
        <v>YH</v>
      </c>
      <c r="O1018" s="23" t="str">
        <f>_xlfn.XLOOKUP(packes[[#This Row],[productId]],bom[Id],bom[erth],"NA")</f>
        <v>sun</v>
      </c>
      <c r="P1018" s="23" t="str">
        <f>_xlfn.XLOOKUP(packes[[#This Row],[productId]],bom[Id],bom[dbl],"NA")</f>
        <v>-</v>
      </c>
      <c r="Q1018" s="20" t="str">
        <f>LEFT(packes[[#This Row],[date]],4)</f>
        <v>1404</v>
      </c>
    </row>
    <row r="1019" spans="1:17" ht="16.5" x14ac:dyDescent="0.25">
      <c r="A1019" s="23">
        <v>1016</v>
      </c>
      <c r="B1019" s="30" t="s">
        <v>795</v>
      </c>
      <c r="C1019" s="23">
        <v>140310007</v>
      </c>
      <c r="D1019" s="23">
        <v>200</v>
      </c>
      <c r="E1019" s="27">
        <f>_xlfn.XLOOKUP(packes[[#This Row],[productId]],bom[Id],bom[wgt])</f>
        <v>1.1413748378728923</v>
      </c>
      <c r="F1019" s="27">
        <f>packes[[#This Row],[num]]*packes[[#This Row],[wtg]]</f>
        <v>228.27496757457845</v>
      </c>
      <c r="G1019" s="357">
        <v>4</v>
      </c>
      <c r="H1019" s="21">
        <f>packes[[#This Row],[num]]-SUM(packes[[#This Row],[num2]])</f>
        <v>200</v>
      </c>
      <c r="I1019" s="357"/>
      <c r="J1019" s="21"/>
      <c r="K1019" s="323" t="s">
        <v>1292</v>
      </c>
      <c r="M1019" s="27">
        <f>_xlfn.XLOOKUP(packes[[#This Row],[productId]],CT[productId],CT[total],"NA")</f>
        <v>92.484999999999999</v>
      </c>
      <c r="N1019" s="23" t="str">
        <f>_xlfn.XLOOKUP(packes[[#This Row],[productId]],bom[Id],bom[ph],"NA")</f>
        <v>-</v>
      </c>
      <c r="O1019" s="23" t="str">
        <f>_xlfn.XLOOKUP(packes[[#This Row],[productId]],bom[Id],bom[erth],"NA")</f>
        <v>nut4</v>
      </c>
      <c r="P1019" s="23" t="str">
        <f>_xlfn.XLOOKUP(packes[[#This Row],[productId]],bom[Id],bom[dbl],"NA")</f>
        <v>-</v>
      </c>
      <c r="Q1019" s="20" t="str">
        <f>LEFT(packes[[#This Row],[date]],4)</f>
        <v>1404</v>
      </c>
    </row>
    <row r="1020" spans="1:17" ht="16.5" x14ac:dyDescent="0.25">
      <c r="A1020" s="23">
        <v>1017</v>
      </c>
      <c r="B1020" s="30" t="s">
        <v>795</v>
      </c>
      <c r="C1020" s="23">
        <v>140550019</v>
      </c>
      <c r="D1020" s="23">
        <v>150</v>
      </c>
      <c r="E1020" s="27">
        <f>_xlfn.XLOOKUP(packes[[#This Row],[productId]],bom[Id],bom[wgt])</f>
        <v>2.6938042502244834</v>
      </c>
      <c r="F1020" s="27">
        <f>packes[[#This Row],[num]]*packes[[#This Row],[wtg]]</f>
        <v>404.07063753367254</v>
      </c>
      <c r="G1020" s="357">
        <v>10</v>
      </c>
      <c r="H1020" s="21">
        <f>packes[[#This Row],[num]]-SUM(packes[[#This Row],[num2]])</f>
        <v>150</v>
      </c>
      <c r="I1020" s="357"/>
      <c r="J1020" s="21"/>
      <c r="K1020" s="323" t="s">
        <v>1293</v>
      </c>
      <c r="M1020" s="27">
        <f>_xlfn.XLOOKUP(packes[[#This Row],[productId]],CT[productId],CT[total],"NA")</f>
        <v>211.66499999999999</v>
      </c>
      <c r="N1020" s="23" t="str">
        <f>_xlfn.XLOOKUP(packes[[#This Row],[productId]],bom[Id],bom[ph],"NA")</f>
        <v>6.3ch</v>
      </c>
      <c r="O1020" s="23" t="str">
        <f>_xlfn.XLOOKUP(packes[[#This Row],[productId]],bom[Id],bom[erth],"NA")</f>
        <v>nut4</v>
      </c>
      <c r="P1020" s="23" t="str">
        <f>_xlfn.XLOOKUP(packes[[#This Row],[productId]],bom[Id],bom[dbl],"NA")</f>
        <v>-</v>
      </c>
      <c r="Q1020" s="20" t="str">
        <f>LEFT(packes[[#This Row],[date]],4)</f>
        <v>1404</v>
      </c>
    </row>
    <row r="1021" spans="1:17" ht="16.5" x14ac:dyDescent="0.25">
      <c r="A1021" s="23">
        <v>1018</v>
      </c>
      <c r="B1021" s="30" t="s">
        <v>795</v>
      </c>
      <c r="C1021" s="23">
        <v>140530039</v>
      </c>
      <c r="D1021" s="23">
        <v>3200</v>
      </c>
      <c r="E1021" s="27">
        <f>_xlfn.XLOOKUP(packes[[#This Row],[productId]],bom[Id],bom[wgt])</f>
        <v>1.1274069639828395</v>
      </c>
      <c r="F1021" s="27">
        <f>packes[[#This Row],[num]]*packes[[#This Row],[wtg]]</f>
        <v>3607.7022847450862</v>
      </c>
      <c r="G1021" s="357">
        <v>3</v>
      </c>
      <c r="H1021" s="21">
        <f>packes[[#This Row],[num]]-SUM(packes[[#This Row],[num2]])</f>
        <v>3200</v>
      </c>
      <c r="I1021" s="357"/>
      <c r="J1021" s="21"/>
      <c r="K1021" s="323" t="s">
        <v>1294</v>
      </c>
      <c r="M1021" s="27">
        <f>_xlfn.XLOOKUP(packes[[#This Row],[productId]],CT[productId],CT[total],"NA")</f>
        <v>41.13</v>
      </c>
      <c r="N1021" s="23" t="str">
        <f>_xlfn.XLOOKUP(packes[[#This Row],[productId]],bom[Id],bom[ph],"NA")</f>
        <v>radio</v>
      </c>
      <c r="O1021" s="23" t="str">
        <f>_xlfn.XLOOKUP(packes[[#This Row],[productId]],bom[Id],bom[erth],"NA")</f>
        <v>-</v>
      </c>
      <c r="P1021" s="23" t="str">
        <f>_xlfn.XLOOKUP(packes[[#This Row],[productId]],bom[Id],bom[dbl],"NA")</f>
        <v>-</v>
      </c>
      <c r="Q1021" s="20" t="str">
        <f>LEFT(packes[[#This Row],[date]],4)</f>
        <v>1404</v>
      </c>
    </row>
    <row r="1022" spans="1:17" ht="16.5" x14ac:dyDescent="0.25">
      <c r="A1022" s="23">
        <v>1019</v>
      </c>
      <c r="B1022" s="30" t="s">
        <v>796</v>
      </c>
      <c r="C1022" s="23">
        <v>140010117</v>
      </c>
      <c r="D1022" s="23">
        <v>300</v>
      </c>
      <c r="E1022" s="27">
        <f>_xlfn.XLOOKUP(packes[[#This Row],[productId]],bom[Id],bom[wgt])</f>
        <v>1</v>
      </c>
      <c r="F1022" s="27">
        <f>packes[[#This Row],[num]]*packes[[#This Row],[wtg]]</f>
        <v>300</v>
      </c>
      <c r="G1022" s="357">
        <v>4</v>
      </c>
      <c r="H1022" s="21">
        <f>packes[[#This Row],[num]]-SUM(packes[[#This Row],[num2]])</f>
        <v>300</v>
      </c>
      <c r="I1022" s="357"/>
      <c r="J1022" s="21"/>
      <c r="K1022" s="323" t="s">
        <v>1298</v>
      </c>
      <c r="M1022" s="27">
        <f>_xlfn.XLOOKUP(packes[[#This Row],[productId]],CT[productId],CT[total],"NA")</f>
        <v>98.295000000000016</v>
      </c>
      <c r="N1022" s="23" t="str">
        <f>_xlfn.XLOOKUP(packes[[#This Row],[productId]],bom[Id],bom[ph],"NA")</f>
        <v>nar.p</v>
      </c>
      <c r="O1022" s="23" t="str">
        <f>_xlfn.XLOOKUP(packes[[#This Row],[productId]],bom[Id],bom[erth],"NA")</f>
        <v>-</v>
      </c>
      <c r="P1022" s="23" t="str">
        <f>_xlfn.XLOOKUP(packes[[#This Row],[productId]],bom[Id],bom[dbl],"NA")</f>
        <v>nar.p</v>
      </c>
      <c r="Q1022" s="20" t="str">
        <f>LEFT(packes[[#This Row],[date]],4)</f>
        <v>1404</v>
      </c>
    </row>
    <row r="1023" spans="1:17" ht="16.5" x14ac:dyDescent="0.25">
      <c r="A1023" s="23">
        <v>1020</v>
      </c>
      <c r="B1023" s="30" t="s">
        <v>796</v>
      </c>
      <c r="C1023" s="23">
        <v>140010230</v>
      </c>
      <c r="D1023" s="23">
        <v>440</v>
      </c>
      <c r="E1023" s="27">
        <f>_xlfn.XLOOKUP(packes[[#This Row],[productId]],bom[Id],bom[wgt])</f>
        <v>1.4486680634540554</v>
      </c>
      <c r="F1023" s="27">
        <f>packes[[#This Row],[num]]*packes[[#This Row],[wtg]]</f>
        <v>637.41394791978439</v>
      </c>
      <c r="G1023" s="357">
        <v>4</v>
      </c>
      <c r="H1023" s="21">
        <f>packes[[#This Row],[num]]-SUM(packes[[#This Row],[num2]])</f>
        <v>440</v>
      </c>
      <c r="I1023" s="357"/>
      <c r="J1023" s="21"/>
      <c r="K1023" s="323" t="s">
        <v>1299</v>
      </c>
      <c r="M1023" s="27">
        <f>_xlfn.XLOOKUP(packes[[#This Row],[productId]],CT[productId],CT[total],"NA")</f>
        <v>147.595</v>
      </c>
      <c r="N1023" s="23" t="str">
        <f>_xlfn.XLOOKUP(packes[[#This Row],[productId]],bom[Id],bom[ph],"NA")</f>
        <v>nar.p</v>
      </c>
      <c r="O1023" s="23" t="str">
        <f>_xlfn.XLOOKUP(packes[[#This Row],[productId]],bom[Id],bom[erth],"NA")</f>
        <v>-</v>
      </c>
      <c r="P1023" s="23" t="str">
        <f>_xlfn.XLOOKUP(packes[[#This Row],[productId]],bom[Id],bom[dbl],"NA")</f>
        <v>nar.p</v>
      </c>
      <c r="Q1023" s="20" t="str">
        <f>LEFT(packes[[#This Row],[date]],4)</f>
        <v>1404</v>
      </c>
    </row>
    <row r="1024" spans="1:17" ht="16.5" x14ac:dyDescent="0.25">
      <c r="A1024" s="23">
        <v>1021</v>
      </c>
      <c r="B1024" s="30" t="s">
        <v>796</v>
      </c>
      <c r="C1024" s="23">
        <v>140310007</v>
      </c>
      <c r="D1024" s="23">
        <v>2400</v>
      </c>
      <c r="E1024" s="27">
        <f>_xlfn.XLOOKUP(packes[[#This Row],[productId]],bom[Id],bom[wgt])</f>
        <v>1.1413748378728923</v>
      </c>
      <c r="F1024" s="27">
        <f>packes[[#This Row],[num]]*packes[[#This Row],[wtg]]</f>
        <v>2739.2996108949415</v>
      </c>
      <c r="G1024" s="357">
        <v>4</v>
      </c>
      <c r="H1024" s="21">
        <f>packes[[#This Row],[num]]-SUM(packes[[#This Row],[num2]])</f>
        <v>2400</v>
      </c>
      <c r="I1024" s="357"/>
      <c r="J1024" s="21"/>
      <c r="K1024" s="323" t="s">
        <v>1300</v>
      </c>
      <c r="M1024" s="27">
        <f>_xlfn.XLOOKUP(packes[[#This Row],[productId]],CT[productId],CT[total],"NA")</f>
        <v>92.484999999999999</v>
      </c>
      <c r="N1024" s="23" t="str">
        <f>_xlfn.XLOOKUP(packes[[#This Row],[productId]],bom[Id],bom[ph],"NA")</f>
        <v>-</v>
      </c>
      <c r="O1024" s="23" t="str">
        <f>_xlfn.XLOOKUP(packes[[#This Row],[productId]],bom[Id],bom[erth],"NA")</f>
        <v>nut4</v>
      </c>
      <c r="P1024" s="23" t="str">
        <f>_xlfn.XLOOKUP(packes[[#This Row],[productId]],bom[Id],bom[dbl],"NA")</f>
        <v>-</v>
      </c>
      <c r="Q1024" s="20" t="str">
        <f>LEFT(packes[[#This Row],[date]],4)</f>
        <v>1404</v>
      </c>
    </row>
    <row r="1025" spans="1:17" ht="16.5" x14ac:dyDescent="0.25">
      <c r="A1025" s="23">
        <v>1022</v>
      </c>
      <c r="B1025" s="30" t="s">
        <v>796</v>
      </c>
      <c r="C1025" s="23">
        <v>140310071</v>
      </c>
      <c r="D1025" s="23">
        <v>600</v>
      </c>
      <c r="E1025" s="27">
        <f>_xlfn.XLOOKUP(packes[[#This Row],[productId]],bom[Id],bom[wgt])</f>
        <v>1.3</v>
      </c>
      <c r="F1025" s="27">
        <f>packes[[#This Row],[num]]*packes[[#This Row],[wtg]]</f>
        <v>780</v>
      </c>
      <c r="G1025" s="357">
        <v>3</v>
      </c>
      <c r="H1025" s="21">
        <f>packes[[#This Row],[num]]-SUM(packes[[#This Row],[num2]])</f>
        <v>600</v>
      </c>
      <c r="I1025" s="357"/>
      <c r="J1025" s="21"/>
      <c r="K1025" s="323" t="s">
        <v>1301</v>
      </c>
      <c r="M1025" s="27">
        <f>_xlfn.XLOOKUP(packes[[#This Row],[productId]],CT[productId],CT[total],"NA")</f>
        <v>130.69500000000002</v>
      </c>
      <c r="N1025" s="23" t="str">
        <f>_xlfn.XLOOKUP(packes[[#This Row],[productId]],bom[Id],bom[ph],"NA")</f>
        <v>6.3ch</v>
      </c>
      <c r="O1025" s="23" t="str">
        <f>_xlfn.XLOOKUP(packes[[#This Row],[productId]],bom[Id],bom[erth],"NA")</f>
        <v>6.3k</v>
      </c>
      <c r="P1025" s="23" t="str">
        <f>_xlfn.XLOOKUP(packes[[#This Row],[productId]],bom[Id],bom[dbl],"NA")</f>
        <v>-</v>
      </c>
      <c r="Q1025" s="20" t="str">
        <f>LEFT(packes[[#This Row],[date]],4)</f>
        <v>1404</v>
      </c>
    </row>
    <row r="1026" spans="1:17" ht="16.5" x14ac:dyDescent="0.25">
      <c r="A1026" s="23">
        <v>1023</v>
      </c>
      <c r="B1026" s="30" t="s">
        <v>796</v>
      </c>
      <c r="C1026" s="23">
        <v>140310083</v>
      </c>
      <c r="D1026" s="23">
        <v>1000</v>
      </c>
      <c r="E1026" s="27">
        <f>_xlfn.XLOOKUP(packes[[#This Row],[productId]],bom[Id],bom[wgt])</f>
        <v>1.3369250723336326</v>
      </c>
      <c r="F1026" s="27">
        <f>packes[[#This Row],[num]]*packes[[#This Row],[wtg]]</f>
        <v>1336.9250723336327</v>
      </c>
      <c r="G1026" s="357">
        <v>3</v>
      </c>
      <c r="H1026" s="21">
        <f>packes[[#This Row],[num]]-SUM(packes[[#This Row],[num2]])</f>
        <v>1000</v>
      </c>
      <c r="I1026" s="357"/>
      <c r="J1026" s="21"/>
      <c r="K1026" s="323" t="s">
        <v>1234</v>
      </c>
      <c r="M1026" s="27">
        <f>_xlfn.XLOOKUP(packes[[#This Row],[productId]],CT[productId],CT[total],"NA")</f>
        <v>135.23500000000001</v>
      </c>
      <c r="N1026" s="23" t="str">
        <f>_xlfn.XLOOKUP(packes[[#This Row],[productId]],bom[Id],bom[ph],"NA")</f>
        <v>6.3flat</v>
      </c>
      <c r="O1026" s="23" t="str">
        <f>_xlfn.XLOOKUP(packes[[#This Row],[productId]],bom[Id],bom[erth],"NA")</f>
        <v>6.3flat</v>
      </c>
      <c r="P1026" s="23" t="str">
        <f>_xlfn.XLOOKUP(packes[[#This Row],[productId]],bom[Id],bom[dbl],"NA")</f>
        <v>-</v>
      </c>
      <c r="Q1026" s="20" t="str">
        <f>LEFT(packes[[#This Row],[date]],4)</f>
        <v>1404</v>
      </c>
    </row>
    <row r="1027" spans="1:17" ht="16.5" x14ac:dyDescent="0.25">
      <c r="A1027" s="23">
        <v>1024</v>
      </c>
      <c r="B1027" s="30" t="s">
        <v>796</v>
      </c>
      <c r="C1027" s="23">
        <v>140550088</v>
      </c>
      <c r="D1027" s="23">
        <v>30</v>
      </c>
      <c r="E1027" s="27" t="e">
        <f>_xlfn.XLOOKUP(packes[[#This Row],[productId]],bom[Id],bom[wgt])</f>
        <v>#N/A</v>
      </c>
      <c r="F1027" s="27" t="e">
        <f>packes[[#This Row],[num]]*packes[[#This Row],[wtg]]</f>
        <v>#N/A</v>
      </c>
      <c r="G1027" s="357">
        <v>1000</v>
      </c>
      <c r="H1027" s="21">
        <f>packes[[#This Row],[num]]-SUM(packes[[#This Row],[num2]])</f>
        <v>30</v>
      </c>
      <c r="I1027" s="357"/>
      <c r="J1027" s="21"/>
      <c r="K1027" s="323"/>
      <c r="M1027" s="27" t="str">
        <f>_xlfn.XLOOKUP(packes[[#This Row],[productId]],CT[productId],CT[total],"NA")</f>
        <v>NA</v>
      </c>
      <c r="N1027" s="23" t="str">
        <f>_xlfn.XLOOKUP(packes[[#This Row],[productId]],bom[Id],bom[ph],"NA")</f>
        <v>NA</v>
      </c>
      <c r="O1027" s="23" t="str">
        <f>_xlfn.XLOOKUP(packes[[#This Row],[productId]],bom[Id],bom[erth],"NA")</f>
        <v>NA</v>
      </c>
      <c r="P1027" s="23" t="str">
        <f>_xlfn.XLOOKUP(packes[[#This Row],[productId]],bom[Id],bom[dbl],"NA")</f>
        <v>NA</v>
      </c>
      <c r="Q1027" s="20" t="str">
        <f>LEFT(packes[[#This Row],[date]],4)</f>
        <v>1404</v>
      </c>
    </row>
    <row r="1028" spans="1:17" ht="16.5" x14ac:dyDescent="0.25">
      <c r="A1028" s="23">
        <v>1025</v>
      </c>
      <c r="B1028" s="30" t="s">
        <v>796</v>
      </c>
      <c r="C1028" s="23">
        <v>140530039</v>
      </c>
      <c r="D1028" s="23">
        <v>100</v>
      </c>
      <c r="E1028" s="27">
        <f>_xlfn.XLOOKUP(packes[[#This Row],[productId]],bom[Id],bom[wgt])</f>
        <v>1.1274069639828395</v>
      </c>
      <c r="F1028" s="27">
        <f>packes[[#This Row],[num]]*packes[[#This Row],[wtg]]</f>
        <v>112.74069639828394</v>
      </c>
      <c r="G1028" s="357">
        <v>3</v>
      </c>
      <c r="H1028" s="21">
        <f>packes[[#This Row],[num]]-SUM(packes[[#This Row],[num2]])</f>
        <v>100</v>
      </c>
      <c r="I1028" s="357"/>
      <c r="J1028" s="21"/>
      <c r="K1028" s="323" t="s">
        <v>1302</v>
      </c>
      <c r="M1028" s="27">
        <f>_xlfn.XLOOKUP(packes[[#This Row],[productId]],CT[productId],CT[total],"NA")</f>
        <v>41.13</v>
      </c>
      <c r="N1028" s="23" t="str">
        <f>_xlfn.XLOOKUP(packes[[#This Row],[productId]],bom[Id],bom[ph],"NA")</f>
        <v>radio</v>
      </c>
      <c r="O1028" s="23" t="str">
        <f>_xlfn.XLOOKUP(packes[[#This Row],[productId]],bom[Id],bom[erth],"NA")</f>
        <v>-</v>
      </c>
      <c r="P1028" s="23" t="str">
        <f>_xlfn.XLOOKUP(packes[[#This Row],[productId]],bom[Id],bom[dbl],"NA")</f>
        <v>-</v>
      </c>
      <c r="Q1028" s="20" t="str">
        <f>LEFT(packes[[#This Row],[date]],4)</f>
        <v>1404</v>
      </c>
    </row>
    <row r="1029" spans="1:17" ht="16.5" x14ac:dyDescent="0.25">
      <c r="A1029" s="23">
        <v>1026</v>
      </c>
      <c r="B1029" s="30" t="s">
        <v>799</v>
      </c>
      <c r="C1029" s="23">
        <v>140010117</v>
      </c>
      <c r="D1029" s="23">
        <v>150</v>
      </c>
      <c r="E1029" s="27">
        <f>_xlfn.XLOOKUP(packes[[#This Row],[productId]],bom[Id],bom[wgt])</f>
        <v>1</v>
      </c>
      <c r="F1029" s="27">
        <f>packes[[#This Row],[num]]*packes[[#This Row],[wtg]]</f>
        <v>150</v>
      </c>
      <c r="G1029" s="357">
        <v>4</v>
      </c>
      <c r="H1029" s="21">
        <f>packes[[#This Row],[num]]-SUM(packes[[#This Row],[num2]])</f>
        <v>150</v>
      </c>
      <c r="I1029" s="357"/>
      <c r="J1029" s="21"/>
      <c r="K1029" s="323" t="s">
        <v>1309</v>
      </c>
      <c r="M1029" s="27">
        <f>_xlfn.XLOOKUP(packes[[#This Row],[productId]],CT[productId],CT[total],"NA")</f>
        <v>98.295000000000016</v>
      </c>
      <c r="N1029" s="23" t="str">
        <f>_xlfn.XLOOKUP(packes[[#This Row],[productId]],bom[Id],bom[ph],"NA")</f>
        <v>nar.p</v>
      </c>
      <c r="O1029" s="23" t="str">
        <f>_xlfn.XLOOKUP(packes[[#This Row],[productId]],bom[Id],bom[erth],"NA")</f>
        <v>-</v>
      </c>
      <c r="P1029" s="23" t="str">
        <f>_xlfn.XLOOKUP(packes[[#This Row],[productId]],bom[Id],bom[dbl],"NA")</f>
        <v>nar.p</v>
      </c>
      <c r="Q1029" s="20" t="str">
        <f>LEFT(packes[[#This Row],[date]],4)</f>
        <v>1404</v>
      </c>
    </row>
    <row r="1030" spans="1:17" ht="16.5" x14ac:dyDescent="0.25">
      <c r="A1030" s="23">
        <v>1027</v>
      </c>
      <c r="B1030" s="30" t="s">
        <v>799</v>
      </c>
      <c r="C1030" s="23">
        <v>140310007</v>
      </c>
      <c r="D1030" s="23">
        <v>1700</v>
      </c>
      <c r="E1030" s="27">
        <f>_xlfn.XLOOKUP(packes[[#This Row],[productId]],bom[Id],bom[wgt])</f>
        <v>1.1413748378728923</v>
      </c>
      <c r="F1030" s="27">
        <f>packes[[#This Row],[num]]*packes[[#This Row],[wtg]]</f>
        <v>1940.3372243839169</v>
      </c>
      <c r="G1030" s="357">
        <v>4</v>
      </c>
      <c r="H1030" s="21">
        <f>packes[[#This Row],[num]]-SUM(packes[[#This Row],[num2]])</f>
        <v>1700</v>
      </c>
      <c r="I1030" s="357"/>
      <c r="J1030" s="21"/>
      <c r="K1030" s="323" t="s">
        <v>1310</v>
      </c>
      <c r="M1030" s="27">
        <f>_xlfn.XLOOKUP(packes[[#This Row],[productId]],CT[productId],CT[total],"NA")</f>
        <v>92.484999999999999</v>
      </c>
      <c r="N1030" s="23" t="str">
        <f>_xlfn.XLOOKUP(packes[[#This Row],[productId]],bom[Id],bom[ph],"NA")</f>
        <v>-</v>
      </c>
      <c r="O1030" s="23" t="str">
        <f>_xlfn.XLOOKUP(packes[[#This Row],[productId]],bom[Id],bom[erth],"NA")</f>
        <v>nut4</v>
      </c>
      <c r="P1030" s="23" t="str">
        <f>_xlfn.XLOOKUP(packes[[#This Row],[productId]],bom[Id],bom[dbl],"NA")</f>
        <v>-</v>
      </c>
      <c r="Q1030" s="20" t="str">
        <f>LEFT(packes[[#This Row],[date]],4)</f>
        <v>1404</v>
      </c>
    </row>
    <row r="1031" spans="1:17" ht="16.5" x14ac:dyDescent="0.25">
      <c r="A1031" s="23">
        <v>1028</v>
      </c>
      <c r="B1031" s="30" t="s">
        <v>799</v>
      </c>
      <c r="C1031" s="23">
        <v>140310031</v>
      </c>
      <c r="D1031" s="23">
        <v>350</v>
      </c>
      <c r="E1031" s="27">
        <f>_xlfn.XLOOKUP(packes[[#This Row],[productId]],bom[Id],bom[wgt])</f>
        <v>1.9455252918287937</v>
      </c>
      <c r="F1031" s="27">
        <f>packes[[#This Row],[num]]*packes[[#This Row],[wtg]]</f>
        <v>680.93385214007776</v>
      </c>
      <c r="G1031" s="357">
        <v>4</v>
      </c>
      <c r="H1031" s="21">
        <f>packes[[#This Row],[num]]-SUM(packes[[#This Row],[num2]])</f>
        <v>350</v>
      </c>
      <c r="I1031" s="357"/>
      <c r="J1031" s="21"/>
      <c r="K1031" s="323" t="s">
        <v>1311</v>
      </c>
      <c r="M1031" s="27">
        <f>_xlfn.XLOOKUP(packes[[#This Row],[productId]],CT[productId],CT[total],"NA")</f>
        <v>202.96500000000003</v>
      </c>
      <c r="N1031" s="23">
        <f>_xlfn.XLOOKUP(packes[[#This Row],[productId]],bom[Id],bom[ph],"NA")</f>
        <v>461</v>
      </c>
      <c r="O1031" s="23" t="str">
        <f>_xlfn.XLOOKUP(packes[[#This Row],[productId]],bom[Id],bom[erth],"NA")</f>
        <v>nut4</v>
      </c>
      <c r="P1031" s="23" t="str">
        <f>_xlfn.XLOOKUP(packes[[#This Row],[productId]],bom[Id],bom[dbl],"NA")</f>
        <v>-</v>
      </c>
      <c r="Q1031" s="20" t="str">
        <f>LEFT(packes[[#This Row],[date]],4)</f>
        <v>1404</v>
      </c>
    </row>
    <row r="1032" spans="1:17" ht="16.5" x14ac:dyDescent="0.25">
      <c r="A1032" s="23">
        <v>1029</v>
      </c>
      <c r="B1032" s="30" t="s">
        <v>799</v>
      </c>
      <c r="C1032" s="23">
        <v>140310071</v>
      </c>
      <c r="D1032" s="23">
        <v>1850</v>
      </c>
      <c r="E1032" s="27">
        <f>_xlfn.XLOOKUP(packes[[#This Row],[productId]],bom[Id],bom[wgt])</f>
        <v>1.3</v>
      </c>
      <c r="F1032" s="27">
        <f>packes[[#This Row],[num]]*packes[[#This Row],[wtg]]</f>
        <v>2405</v>
      </c>
      <c r="G1032" s="357">
        <v>3</v>
      </c>
      <c r="H1032" s="21">
        <f>packes[[#This Row],[num]]-SUM(packes[[#This Row],[num2]])</f>
        <v>1850</v>
      </c>
      <c r="I1032" s="357"/>
      <c r="J1032" s="21"/>
      <c r="K1032" s="323" t="s">
        <v>1312</v>
      </c>
      <c r="M1032" s="27">
        <f>_xlfn.XLOOKUP(packes[[#This Row],[productId]],CT[productId],CT[total],"NA")</f>
        <v>130.69500000000002</v>
      </c>
      <c r="N1032" s="23" t="str">
        <f>_xlfn.XLOOKUP(packes[[#This Row],[productId]],bom[Id],bom[ph],"NA")</f>
        <v>6.3ch</v>
      </c>
      <c r="O1032" s="23" t="str">
        <f>_xlfn.XLOOKUP(packes[[#This Row],[productId]],bom[Id],bom[erth],"NA")</f>
        <v>6.3k</v>
      </c>
      <c r="P1032" s="23" t="str">
        <f>_xlfn.XLOOKUP(packes[[#This Row],[productId]],bom[Id],bom[dbl],"NA")</f>
        <v>-</v>
      </c>
      <c r="Q1032" s="20" t="str">
        <f>LEFT(packes[[#This Row],[date]],4)</f>
        <v>1404</v>
      </c>
    </row>
    <row r="1033" spans="1:17" ht="16.5" x14ac:dyDescent="0.25">
      <c r="A1033" s="23">
        <v>1030</v>
      </c>
      <c r="B1033" s="30" t="s">
        <v>799</v>
      </c>
      <c r="C1033" s="23">
        <v>140450047</v>
      </c>
      <c r="D1033" s="23">
        <v>500</v>
      </c>
      <c r="E1033" s="27">
        <f>_xlfn.XLOOKUP(packes[[#This Row],[productId]],bom[Id],bom[wgt])</f>
        <v>0</v>
      </c>
      <c r="F1033" s="27">
        <f>packes[[#This Row],[num]]*packes[[#This Row],[wtg]]</f>
        <v>0</v>
      </c>
      <c r="G1033" s="357">
        <v>4</v>
      </c>
      <c r="H1033" s="21">
        <f>packes[[#This Row],[num]]-SUM(packes[[#This Row],[num2]])</f>
        <v>500</v>
      </c>
      <c r="I1033" s="357"/>
      <c r="J1033" s="21"/>
      <c r="K1033" s="323" t="s">
        <v>1313</v>
      </c>
      <c r="M1033" s="27">
        <f>_xlfn.XLOOKUP(packes[[#This Row],[productId]],CT[productId],CT[total],"NA")</f>
        <v>55.46</v>
      </c>
      <c r="N1033" s="23" t="str">
        <f>_xlfn.XLOOKUP(packes[[#This Row],[productId]],bom[Id],bom[ph],"NA")</f>
        <v>-</v>
      </c>
      <c r="O1033" s="23" t="str">
        <f>_xlfn.XLOOKUP(packes[[#This Row],[productId]],bom[Id],bom[erth],"NA")</f>
        <v>-</v>
      </c>
      <c r="P1033" s="23" t="str">
        <f>_xlfn.XLOOKUP(packes[[#This Row],[productId]],bom[Id],bom[dbl],"NA")</f>
        <v>-</v>
      </c>
      <c r="Q1033" s="20" t="str">
        <f>LEFT(packes[[#This Row],[date]],4)</f>
        <v>1404</v>
      </c>
    </row>
    <row r="1034" spans="1:17" ht="16.5" x14ac:dyDescent="0.25">
      <c r="A1034" s="23">
        <v>1031</v>
      </c>
      <c r="B1034" s="30" t="s">
        <v>800</v>
      </c>
      <c r="C1034" s="23">
        <v>140310007</v>
      </c>
      <c r="D1034" s="23">
        <v>2000</v>
      </c>
      <c r="E1034" s="27">
        <f>_xlfn.XLOOKUP(packes[[#This Row],[productId]],bom[Id],bom[wgt])</f>
        <v>1.1413748378728923</v>
      </c>
      <c r="F1034" s="27">
        <f>packes[[#This Row],[num]]*packes[[#This Row],[wtg]]</f>
        <v>2282.7496757457848</v>
      </c>
      <c r="G1034" s="357">
        <v>4</v>
      </c>
      <c r="H1034" s="21">
        <f>packes[[#This Row],[num]]-SUM(packes[[#This Row],[num2]])</f>
        <v>2000</v>
      </c>
      <c r="I1034" s="357"/>
      <c r="J1034" s="21"/>
      <c r="K1034" s="323" t="s">
        <v>1320</v>
      </c>
      <c r="M1034" s="27">
        <f>_xlfn.XLOOKUP(packes[[#This Row],[productId]],CT[productId],CT[total],"NA")</f>
        <v>92.484999999999999</v>
      </c>
      <c r="N1034" s="23" t="str">
        <f>_xlfn.XLOOKUP(packes[[#This Row],[productId]],bom[Id],bom[ph],"NA")</f>
        <v>-</v>
      </c>
      <c r="O1034" s="23" t="str">
        <f>_xlfn.XLOOKUP(packes[[#This Row],[productId]],bom[Id],bom[erth],"NA")</f>
        <v>nut4</v>
      </c>
      <c r="P1034" s="23" t="str">
        <f>_xlfn.XLOOKUP(packes[[#This Row],[productId]],bom[Id],bom[dbl],"NA")</f>
        <v>-</v>
      </c>
      <c r="Q1034" s="20" t="str">
        <f>LEFT(packes[[#This Row],[date]],4)</f>
        <v>1404</v>
      </c>
    </row>
    <row r="1035" spans="1:17" ht="16.5" x14ac:dyDescent="0.25">
      <c r="A1035" s="23">
        <v>1032</v>
      </c>
      <c r="B1035" s="30" t="s">
        <v>800</v>
      </c>
      <c r="C1035" s="23">
        <v>140310031</v>
      </c>
      <c r="D1035" s="23">
        <v>800</v>
      </c>
      <c r="E1035" s="27">
        <f>_xlfn.XLOOKUP(packes[[#This Row],[productId]],bom[Id],bom[wgt])</f>
        <v>1.9455252918287937</v>
      </c>
      <c r="F1035" s="27">
        <f>packes[[#This Row],[num]]*packes[[#This Row],[wtg]]</f>
        <v>1556.4202334630349</v>
      </c>
      <c r="G1035" s="357">
        <v>4</v>
      </c>
      <c r="H1035" s="21">
        <f>packes[[#This Row],[num]]-SUM(packes[[#This Row],[num2]])</f>
        <v>800</v>
      </c>
      <c r="I1035" s="357"/>
      <c r="J1035" s="21"/>
      <c r="K1035" s="323" t="s">
        <v>1321</v>
      </c>
      <c r="M1035" s="27">
        <f>_xlfn.XLOOKUP(packes[[#This Row],[productId]],CT[productId],CT[total],"NA")</f>
        <v>202.96500000000003</v>
      </c>
      <c r="N1035" s="23">
        <f>_xlfn.XLOOKUP(packes[[#This Row],[productId]],bom[Id],bom[ph],"NA")</f>
        <v>461</v>
      </c>
      <c r="O1035" s="23" t="str">
        <f>_xlfn.XLOOKUP(packes[[#This Row],[productId]],bom[Id],bom[erth],"NA")</f>
        <v>nut4</v>
      </c>
      <c r="P1035" s="23" t="str">
        <f>_xlfn.XLOOKUP(packes[[#This Row],[productId]],bom[Id],bom[dbl],"NA")</f>
        <v>-</v>
      </c>
      <c r="Q1035" s="20" t="str">
        <f>LEFT(packes[[#This Row],[date]],4)</f>
        <v>1404</v>
      </c>
    </row>
    <row r="1036" spans="1:17" ht="16.5" x14ac:dyDescent="0.25">
      <c r="A1036" s="23">
        <v>1033</v>
      </c>
      <c r="B1036" s="30" t="s">
        <v>800</v>
      </c>
      <c r="C1036" s="23">
        <v>140310071</v>
      </c>
      <c r="D1036" s="23">
        <v>1200</v>
      </c>
      <c r="E1036" s="27">
        <f>_xlfn.XLOOKUP(packes[[#This Row],[productId]],bom[Id],bom[wgt])</f>
        <v>1.3</v>
      </c>
      <c r="F1036" s="27">
        <f>packes[[#This Row],[num]]*packes[[#This Row],[wtg]]</f>
        <v>1560</v>
      </c>
      <c r="G1036" s="357">
        <v>3</v>
      </c>
      <c r="H1036" s="21">
        <f>packes[[#This Row],[num]]-SUM(packes[[#This Row],[num2]])</f>
        <v>1200</v>
      </c>
      <c r="I1036" s="357"/>
      <c r="J1036" s="21"/>
      <c r="K1036" s="323" t="s">
        <v>1322</v>
      </c>
      <c r="M1036" s="27">
        <f>_xlfn.XLOOKUP(packes[[#This Row],[productId]],CT[productId],CT[total],"NA")</f>
        <v>130.69500000000002</v>
      </c>
      <c r="N1036" s="23" t="str">
        <f>_xlfn.XLOOKUP(packes[[#This Row],[productId]],bom[Id],bom[ph],"NA")</f>
        <v>6.3ch</v>
      </c>
      <c r="O1036" s="23" t="str">
        <f>_xlfn.XLOOKUP(packes[[#This Row],[productId]],bom[Id],bom[erth],"NA")</f>
        <v>6.3k</v>
      </c>
      <c r="P1036" s="23" t="str">
        <f>_xlfn.XLOOKUP(packes[[#This Row],[productId]],bom[Id],bom[dbl],"NA")</f>
        <v>-</v>
      </c>
      <c r="Q1036" s="20" t="str">
        <f>LEFT(packes[[#This Row],[date]],4)</f>
        <v>1404</v>
      </c>
    </row>
    <row r="1037" spans="1:17" ht="16.5" x14ac:dyDescent="0.25">
      <c r="A1037" s="23">
        <v>1034</v>
      </c>
      <c r="B1037" s="30" t="s">
        <v>800</v>
      </c>
      <c r="C1037" s="23">
        <v>140450047</v>
      </c>
      <c r="D1037" s="23">
        <v>400</v>
      </c>
      <c r="E1037" s="27">
        <f>_xlfn.XLOOKUP(packes[[#This Row],[productId]],bom[Id],bom[wgt])</f>
        <v>0</v>
      </c>
      <c r="F1037" s="27">
        <f>packes[[#This Row],[num]]*packes[[#This Row],[wtg]]</f>
        <v>0</v>
      </c>
      <c r="G1037" s="357">
        <v>4</v>
      </c>
      <c r="H1037" s="21">
        <f>packes[[#This Row],[num]]-SUM(packes[[#This Row],[num2]])</f>
        <v>400</v>
      </c>
      <c r="I1037" s="357"/>
      <c r="J1037" s="21"/>
      <c r="K1037" s="323" t="s">
        <v>1323</v>
      </c>
      <c r="M1037" s="27">
        <f>_xlfn.XLOOKUP(packes[[#This Row],[productId]],CT[productId],CT[total],"NA")</f>
        <v>55.46</v>
      </c>
      <c r="N1037" s="23" t="str">
        <f>_xlfn.XLOOKUP(packes[[#This Row],[productId]],bom[Id],bom[ph],"NA")</f>
        <v>-</v>
      </c>
      <c r="O1037" s="23" t="str">
        <f>_xlfn.XLOOKUP(packes[[#This Row],[productId]],bom[Id],bom[erth],"NA")</f>
        <v>-</v>
      </c>
      <c r="P1037" s="23" t="str">
        <f>_xlfn.XLOOKUP(packes[[#This Row],[productId]],bom[Id],bom[dbl],"NA")</f>
        <v>-</v>
      </c>
      <c r="Q1037" s="20" t="str">
        <f>LEFT(packes[[#This Row],[date]],4)</f>
        <v>1404</v>
      </c>
    </row>
    <row r="1038" spans="1:17" ht="16.5" x14ac:dyDescent="0.25">
      <c r="A1038" s="23">
        <v>1035</v>
      </c>
      <c r="B1038" s="30" t="s">
        <v>800</v>
      </c>
      <c r="C1038" s="23">
        <v>140550019</v>
      </c>
      <c r="D1038" s="23">
        <v>214</v>
      </c>
      <c r="E1038" s="27">
        <f>_xlfn.XLOOKUP(packes[[#This Row],[productId]],bom[Id],bom[wgt])</f>
        <v>2.6938042502244834</v>
      </c>
      <c r="F1038" s="27">
        <f>packes[[#This Row],[num]]*packes[[#This Row],[wtg]]</f>
        <v>576.47410954803945</v>
      </c>
      <c r="G1038" s="357">
        <v>10</v>
      </c>
      <c r="H1038" s="21">
        <f>packes[[#This Row],[num]]-SUM(packes[[#This Row],[num2]])</f>
        <v>214</v>
      </c>
      <c r="I1038" s="357"/>
      <c r="J1038" s="21"/>
      <c r="K1038" s="323" t="s">
        <v>1324</v>
      </c>
      <c r="M1038" s="27">
        <f>_xlfn.XLOOKUP(packes[[#This Row],[productId]],CT[productId],CT[total],"NA")</f>
        <v>211.66499999999999</v>
      </c>
      <c r="N1038" s="23" t="str">
        <f>_xlfn.XLOOKUP(packes[[#This Row],[productId]],bom[Id],bom[ph],"NA")</f>
        <v>6.3ch</v>
      </c>
      <c r="O1038" s="23" t="str">
        <f>_xlfn.XLOOKUP(packes[[#This Row],[productId]],bom[Id],bom[erth],"NA")</f>
        <v>nut4</v>
      </c>
      <c r="P1038" s="23" t="str">
        <f>_xlfn.XLOOKUP(packes[[#This Row],[productId]],bom[Id],bom[dbl],"NA")</f>
        <v>-</v>
      </c>
      <c r="Q1038" s="20" t="str">
        <f>LEFT(packes[[#This Row],[date]],4)</f>
        <v>1404</v>
      </c>
    </row>
    <row r="1039" spans="1:17" ht="16.5" x14ac:dyDescent="0.25">
      <c r="A1039" s="23">
        <v>1036</v>
      </c>
      <c r="B1039" s="30" t="s">
        <v>800</v>
      </c>
      <c r="C1039" s="23">
        <v>140530039</v>
      </c>
      <c r="D1039" s="23">
        <v>173</v>
      </c>
      <c r="E1039" s="27">
        <f>_xlfn.XLOOKUP(packes[[#This Row],[productId]],bom[Id],bom[wgt])</f>
        <v>1.1274069639828395</v>
      </c>
      <c r="F1039" s="27">
        <f>packes[[#This Row],[num]]*packes[[#This Row],[wtg]]</f>
        <v>195.04140476903123</v>
      </c>
      <c r="G1039" s="357">
        <v>3</v>
      </c>
      <c r="H1039" s="21">
        <f>packes[[#This Row],[num]]-SUM(packes[[#This Row],[num2]])</f>
        <v>173</v>
      </c>
      <c r="I1039" s="357"/>
      <c r="J1039" s="21"/>
      <c r="K1039" s="323" t="s">
        <v>1283</v>
      </c>
      <c r="M1039" s="27">
        <f>_xlfn.XLOOKUP(packes[[#This Row],[productId]],CT[productId],CT[total],"NA")</f>
        <v>41.13</v>
      </c>
      <c r="N1039" s="23" t="str">
        <f>_xlfn.XLOOKUP(packes[[#This Row],[productId]],bom[Id],bom[ph],"NA")</f>
        <v>radio</v>
      </c>
      <c r="O1039" s="23" t="str">
        <f>_xlfn.XLOOKUP(packes[[#This Row],[productId]],bom[Id],bom[erth],"NA")</f>
        <v>-</v>
      </c>
      <c r="P1039" s="23" t="str">
        <f>_xlfn.XLOOKUP(packes[[#This Row],[productId]],bom[Id],bom[dbl],"NA")</f>
        <v>-</v>
      </c>
      <c r="Q1039" s="20" t="str">
        <f>LEFT(packes[[#This Row],[date]],4)</f>
        <v>1404</v>
      </c>
    </row>
    <row r="1040" spans="1:17" ht="16.5" x14ac:dyDescent="0.25">
      <c r="A1040" s="23">
        <v>1037</v>
      </c>
      <c r="B1040" s="30" t="s">
        <v>801</v>
      </c>
      <c r="C1040" s="23">
        <v>140310007</v>
      </c>
      <c r="D1040" s="23">
        <v>1200</v>
      </c>
      <c r="E1040" s="27">
        <f>_xlfn.XLOOKUP(packes[[#This Row],[productId]],bom[Id],bom[wgt])</f>
        <v>1.1413748378728923</v>
      </c>
      <c r="F1040" s="27">
        <f>packes[[#This Row],[num]]*packes[[#This Row],[wtg]]</f>
        <v>1369.6498054474707</v>
      </c>
      <c r="G1040" s="357">
        <v>4</v>
      </c>
      <c r="H1040" s="21">
        <f>packes[[#This Row],[num]]-SUM(packes[[#This Row],[num2]])</f>
        <v>1200</v>
      </c>
      <c r="I1040" s="357"/>
      <c r="J1040" s="21"/>
      <c r="K1040" s="323" t="s">
        <v>1328</v>
      </c>
      <c r="M1040" s="27">
        <f>_xlfn.XLOOKUP(packes[[#This Row],[productId]],CT[productId],CT[total],"NA")</f>
        <v>92.484999999999999</v>
      </c>
      <c r="N1040" s="23" t="str">
        <f>_xlfn.XLOOKUP(packes[[#This Row],[productId]],bom[Id],bom[ph],"NA")</f>
        <v>-</v>
      </c>
      <c r="O1040" s="23" t="str">
        <f>_xlfn.XLOOKUP(packes[[#This Row],[productId]],bom[Id],bom[erth],"NA")</f>
        <v>nut4</v>
      </c>
      <c r="P1040" s="23" t="str">
        <f>_xlfn.XLOOKUP(packes[[#This Row],[productId]],bom[Id],bom[dbl],"NA")</f>
        <v>-</v>
      </c>
      <c r="Q1040" s="20" t="str">
        <f>LEFT(packes[[#This Row],[date]],4)</f>
        <v>1404</v>
      </c>
    </row>
    <row r="1041" spans="1:17" ht="16.5" x14ac:dyDescent="0.25">
      <c r="A1041" s="23">
        <v>1038</v>
      </c>
      <c r="B1041" s="30" t="s">
        <v>801</v>
      </c>
      <c r="C1041" s="23">
        <v>140310031</v>
      </c>
      <c r="D1041" s="23">
        <v>500</v>
      </c>
      <c r="E1041" s="27">
        <f>_xlfn.XLOOKUP(packes[[#This Row],[productId]],bom[Id],bom[wgt])</f>
        <v>1.9455252918287937</v>
      </c>
      <c r="F1041" s="27">
        <f>packes[[#This Row],[num]]*packes[[#This Row],[wtg]]</f>
        <v>972.7626459143969</v>
      </c>
      <c r="G1041" s="357">
        <v>4</v>
      </c>
      <c r="H1041" s="21">
        <f>packes[[#This Row],[num]]-SUM(packes[[#This Row],[num2]])</f>
        <v>500</v>
      </c>
      <c r="I1041" s="357"/>
      <c r="J1041" s="21"/>
      <c r="K1041" s="323" t="s">
        <v>1283</v>
      </c>
      <c r="M1041" s="27">
        <f>_xlfn.XLOOKUP(packes[[#This Row],[productId]],CT[productId],CT[total],"NA")</f>
        <v>202.96500000000003</v>
      </c>
      <c r="N1041" s="23">
        <f>_xlfn.XLOOKUP(packes[[#This Row],[productId]],bom[Id],bom[ph],"NA")</f>
        <v>461</v>
      </c>
      <c r="O1041" s="23" t="str">
        <f>_xlfn.XLOOKUP(packes[[#This Row],[productId]],bom[Id],bom[erth],"NA")</f>
        <v>nut4</v>
      </c>
      <c r="P1041" s="23" t="str">
        <f>_xlfn.XLOOKUP(packes[[#This Row],[productId]],bom[Id],bom[dbl],"NA")</f>
        <v>-</v>
      </c>
      <c r="Q1041" s="20" t="str">
        <f>LEFT(packes[[#This Row],[date]],4)</f>
        <v>1404</v>
      </c>
    </row>
    <row r="1042" spans="1:17" ht="16.5" x14ac:dyDescent="0.25">
      <c r="A1042" s="23">
        <v>1039</v>
      </c>
      <c r="B1042" s="30" t="s">
        <v>801</v>
      </c>
      <c r="C1042" s="23">
        <v>140310071</v>
      </c>
      <c r="D1042" s="23">
        <v>1700</v>
      </c>
      <c r="E1042" s="27">
        <f>_xlfn.XLOOKUP(packes[[#This Row],[productId]],bom[Id],bom[wgt])</f>
        <v>1.3</v>
      </c>
      <c r="F1042" s="27">
        <f>packes[[#This Row],[num]]*packes[[#This Row],[wtg]]</f>
        <v>2210</v>
      </c>
      <c r="G1042" s="357">
        <v>3</v>
      </c>
      <c r="H1042" s="21">
        <f>packes[[#This Row],[num]]-SUM(packes[[#This Row],[num2]])</f>
        <v>1700</v>
      </c>
      <c r="I1042" s="357"/>
      <c r="J1042" s="21"/>
      <c r="K1042" s="323" t="s">
        <v>1329</v>
      </c>
      <c r="M1042" s="27">
        <f>_xlfn.XLOOKUP(packes[[#This Row],[productId]],CT[productId],CT[total],"NA")</f>
        <v>130.69500000000002</v>
      </c>
      <c r="N1042" s="23" t="str">
        <f>_xlfn.XLOOKUP(packes[[#This Row],[productId]],bom[Id],bom[ph],"NA")</f>
        <v>6.3ch</v>
      </c>
      <c r="O1042" s="23" t="str">
        <f>_xlfn.XLOOKUP(packes[[#This Row],[productId]],bom[Id],bom[erth],"NA")</f>
        <v>6.3k</v>
      </c>
      <c r="P1042" s="23" t="str">
        <f>_xlfn.XLOOKUP(packes[[#This Row],[productId]],bom[Id],bom[dbl],"NA")</f>
        <v>-</v>
      </c>
      <c r="Q1042" s="20" t="str">
        <f>LEFT(packes[[#This Row],[date]],4)</f>
        <v>1404</v>
      </c>
    </row>
    <row r="1043" spans="1:17" ht="16.5" x14ac:dyDescent="0.25">
      <c r="A1043" s="23">
        <v>1040</v>
      </c>
      <c r="B1043" s="30" t="s">
        <v>801</v>
      </c>
      <c r="C1043" s="23">
        <v>140450047</v>
      </c>
      <c r="D1043" s="23">
        <v>100</v>
      </c>
      <c r="E1043" s="27">
        <f>_xlfn.XLOOKUP(packes[[#This Row],[productId]],bom[Id],bom[wgt])</f>
        <v>0</v>
      </c>
      <c r="F1043" s="27">
        <f>packes[[#This Row],[num]]*packes[[#This Row],[wtg]]</f>
        <v>0</v>
      </c>
      <c r="G1043" s="357">
        <v>4</v>
      </c>
      <c r="H1043" s="21">
        <f>packes[[#This Row],[num]]-SUM(packes[[#This Row],[num2]])</f>
        <v>100</v>
      </c>
      <c r="I1043" s="357"/>
      <c r="J1043" s="21"/>
      <c r="K1043" s="323" t="s">
        <v>1330</v>
      </c>
      <c r="M1043" s="27">
        <f>_xlfn.XLOOKUP(packes[[#This Row],[productId]],CT[productId],CT[total],"NA")</f>
        <v>55.46</v>
      </c>
      <c r="N1043" s="23" t="str">
        <f>_xlfn.XLOOKUP(packes[[#This Row],[productId]],bom[Id],bom[ph],"NA")</f>
        <v>-</v>
      </c>
      <c r="O1043" s="23" t="str">
        <f>_xlfn.XLOOKUP(packes[[#This Row],[productId]],bom[Id],bom[erth],"NA")</f>
        <v>-</v>
      </c>
      <c r="P1043" s="23" t="str">
        <f>_xlfn.XLOOKUP(packes[[#This Row],[productId]],bom[Id],bom[dbl],"NA")</f>
        <v>-</v>
      </c>
      <c r="Q1043" s="20" t="str">
        <f>LEFT(packes[[#This Row],[date]],4)</f>
        <v>1404</v>
      </c>
    </row>
    <row r="1044" spans="1:17" ht="16.5" x14ac:dyDescent="0.25">
      <c r="A1044" s="23">
        <v>1041</v>
      </c>
      <c r="B1044" s="30" t="s">
        <v>802</v>
      </c>
      <c r="C1044" s="23">
        <v>140310007</v>
      </c>
      <c r="D1044" s="23">
        <v>900</v>
      </c>
      <c r="E1044" s="27">
        <f>_xlfn.XLOOKUP(packes[[#This Row],[productId]],bom[Id],bom[wgt])</f>
        <v>1.1413748378728923</v>
      </c>
      <c r="F1044" s="27">
        <f>packes[[#This Row],[num]]*packes[[#This Row],[wtg]]</f>
        <v>1027.2373540856031</v>
      </c>
      <c r="G1044" s="357">
        <v>4</v>
      </c>
      <c r="H1044" s="21">
        <f>packes[[#This Row],[num]]-SUM(packes[[#This Row],[num2]])</f>
        <v>900</v>
      </c>
      <c r="I1044" s="357"/>
      <c r="J1044" s="21"/>
      <c r="K1044" s="323" t="s">
        <v>1333</v>
      </c>
      <c r="M1044" s="27">
        <f>_xlfn.XLOOKUP(packes[[#This Row],[productId]],CT[productId],CT[total],"NA")</f>
        <v>92.484999999999999</v>
      </c>
      <c r="N1044" s="23" t="str">
        <f>_xlfn.XLOOKUP(packes[[#This Row],[productId]],bom[Id],bom[ph],"NA")</f>
        <v>-</v>
      </c>
      <c r="O1044" s="23" t="str">
        <f>_xlfn.XLOOKUP(packes[[#This Row],[productId]],bom[Id],bom[erth],"NA")</f>
        <v>nut4</v>
      </c>
      <c r="P1044" s="23" t="str">
        <f>_xlfn.XLOOKUP(packes[[#This Row],[productId]],bom[Id],bom[dbl],"NA")</f>
        <v>-</v>
      </c>
      <c r="Q1044" s="20" t="str">
        <f>LEFT(packes[[#This Row],[date]],4)</f>
        <v>1404</v>
      </c>
    </row>
    <row r="1045" spans="1:17" ht="16.5" x14ac:dyDescent="0.25">
      <c r="A1045" s="23">
        <v>1042</v>
      </c>
      <c r="B1045" s="30" t="s">
        <v>802</v>
      </c>
      <c r="C1045" s="23">
        <v>140310031</v>
      </c>
      <c r="D1045" s="23">
        <v>600</v>
      </c>
      <c r="E1045" s="27">
        <f>_xlfn.XLOOKUP(packes[[#This Row],[productId]],bom[Id],bom[wgt])</f>
        <v>1.9455252918287937</v>
      </c>
      <c r="F1045" s="27">
        <f>packes[[#This Row],[num]]*packes[[#This Row],[wtg]]</f>
        <v>1167.3151750972763</v>
      </c>
      <c r="G1045" s="357">
        <v>4</v>
      </c>
      <c r="H1045" s="21">
        <f>packes[[#This Row],[num]]-SUM(packes[[#This Row],[num2]])</f>
        <v>600</v>
      </c>
      <c r="I1045" s="357"/>
      <c r="J1045" s="21"/>
      <c r="K1045" s="323" t="s">
        <v>1336</v>
      </c>
      <c r="M1045" s="27">
        <f>_xlfn.XLOOKUP(packes[[#This Row],[productId]],CT[productId],CT[total],"NA")</f>
        <v>202.96500000000003</v>
      </c>
      <c r="N1045" s="23">
        <f>_xlfn.XLOOKUP(packes[[#This Row],[productId]],bom[Id],bom[ph],"NA")</f>
        <v>461</v>
      </c>
      <c r="O1045" s="23" t="str">
        <f>_xlfn.XLOOKUP(packes[[#This Row],[productId]],bom[Id],bom[erth],"NA")</f>
        <v>nut4</v>
      </c>
      <c r="P1045" s="23" t="str">
        <f>_xlfn.XLOOKUP(packes[[#This Row],[productId]],bom[Id],bom[dbl],"NA")</f>
        <v>-</v>
      </c>
      <c r="Q1045" s="20" t="str">
        <f>LEFT(packes[[#This Row],[date]],4)</f>
        <v>1404</v>
      </c>
    </row>
    <row r="1046" spans="1:17" ht="16.5" x14ac:dyDescent="0.25">
      <c r="A1046" s="23">
        <v>1043</v>
      </c>
      <c r="B1046" s="30" t="s">
        <v>802</v>
      </c>
      <c r="C1046" s="23">
        <v>140310071</v>
      </c>
      <c r="D1046" s="23">
        <v>850</v>
      </c>
      <c r="E1046" s="27">
        <f>_xlfn.XLOOKUP(packes[[#This Row],[productId]],bom[Id],bom[wgt])</f>
        <v>1.3</v>
      </c>
      <c r="F1046" s="27">
        <f>packes[[#This Row],[num]]*packes[[#This Row],[wtg]]</f>
        <v>1105</v>
      </c>
      <c r="G1046" s="357">
        <v>3</v>
      </c>
      <c r="H1046" s="21">
        <f>packes[[#This Row],[num]]-SUM(packes[[#This Row],[num2]])</f>
        <v>850</v>
      </c>
      <c r="I1046" s="357"/>
      <c r="J1046" s="21"/>
      <c r="K1046" s="323" t="s">
        <v>1334</v>
      </c>
      <c r="M1046" s="27">
        <f>_xlfn.XLOOKUP(packes[[#This Row],[productId]],CT[productId],CT[total],"NA")</f>
        <v>130.69500000000002</v>
      </c>
      <c r="N1046" s="23" t="str">
        <f>_xlfn.XLOOKUP(packes[[#This Row],[productId]],bom[Id],bom[ph],"NA")</f>
        <v>6.3ch</v>
      </c>
      <c r="O1046" s="23" t="str">
        <f>_xlfn.XLOOKUP(packes[[#This Row],[productId]],bom[Id],bom[erth],"NA")</f>
        <v>6.3k</v>
      </c>
      <c r="P1046" s="23" t="str">
        <f>_xlfn.XLOOKUP(packes[[#This Row],[productId]],bom[Id],bom[dbl],"NA")</f>
        <v>-</v>
      </c>
      <c r="Q1046" s="20" t="str">
        <f>LEFT(packes[[#This Row],[date]],4)</f>
        <v>1404</v>
      </c>
    </row>
    <row r="1047" spans="1:17" ht="16.5" x14ac:dyDescent="0.25">
      <c r="A1047" s="23">
        <v>1044</v>
      </c>
      <c r="B1047" s="30" t="s">
        <v>802</v>
      </c>
      <c r="C1047" s="23">
        <v>140450047</v>
      </c>
      <c r="D1047" s="23">
        <v>500</v>
      </c>
      <c r="E1047" s="27">
        <f>_xlfn.XLOOKUP(packes[[#This Row],[productId]],bom[Id],bom[wgt])</f>
        <v>0</v>
      </c>
      <c r="F1047" s="27">
        <f>packes[[#This Row],[num]]*packes[[#This Row],[wtg]]</f>
        <v>0</v>
      </c>
      <c r="G1047" s="357">
        <v>4</v>
      </c>
      <c r="H1047" s="21">
        <f>packes[[#This Row],[num]]-SUM(packes[[#This Row],[num2]])</f>
        <v>500</v>
      </c>
      <c r="I1047" s="357"/>
      <c r="J1047" s="21"/>
      <c r="K1047" s="323" t="s">
        <v>1335</v>
      </c>
      <c r="M1047" s="27">
        <f>_xlfn.XLOOKUP(packes[[#This Row],[productId]],CT[productId],CT[total],"NA")</f>
        <v>55.46</v>
      </c>
      <c r="N1047" s="23" t="str">
        <f>_xlfn.XLOOKUP(packes[[#This Row],[productId]],bom[Id],bom[ph],"NA")</f>
        <v>-</v>
      </c>
      <c r="O1047" s="23" t="str">
        <f>_xlfn.XLOOKUP(packes[[#This Row],[productId]],bom[Id],bom[erth],"NA")</f>
        <v>-</v>
      </c>
      <c r="P1047" s="23" t="str">
        <f>_xlfn.XLOOKUP(packes[[#This Row],[productId]],bom[Id],bom[dbl],"NA")</f>
        <v>-</v>
      </c>
      <c r="Q1047" s="20" t="str">
        <f>LEFT(packes[[#This Row],[date]],4)</f>
        <v>1404</v>
      </c>
    </row>
    <row r="1048" spans="1:17" ht="16.5" x14ac:dyDescent="0.25">
      <c r="A1048" s="23">
        <v>1045</v>
      </c>
      <c r="B1048" s="30" t="s">
        <v>803</v>
      </c>
      <c r="C1048" s="23">
        <v>140310007</v>
      </c>
      <c r="D1048" s="23">
        <v>1400</v>
      </c>
      <c r="E1048" s="27">
        <f>_xlfn.XLOOKUP(packes[[#This Row],[productId]],bom[Id],bom[wgt])</f>
        <v>1.1413748378728923</v>
      </c>
      <c r="F1048" s="27">
        <f>packes[[#This Row],[num]]*packes[[#This Row],[wtg]]</f>
        <v>1597.9247730220493</v>
      </c>
      <c r="G1048" s="357">
        <v>4</v>
      </c>
      <c r="H1048" s="21">
        <f>packes[[#This Row],[num]]-SUM(packes[[#This Row],[num2]])</f>
        <v>1400</v>
      </c>
      <c r="I1048" s="357"/>
      <c r="J1048" s="21"/>
      <c r="K1048" s="323" t="s">
        <v>1338</v>
      </c>
      <c r="M1048" s="27">
        <f>_xlfn.XLOOKUP(packes[[#This Row],[productId]],CT[productId],CT[total],"NA")</f>
        <v>92.484999999999999</v>
      </c>
      <c r="N1048" s="23" t="str">
        <f>_xlfn.XLOOKUP(packes[[#This Row],[productId]],bom[Id],bom[ph],"NA")</f>
        <v>-</v>
      </c>
      <c r="O1048" s="23" t="str">
        <f>_xlfn.XLOOKUP(packes[[#This Row],[productId]],bom[Id],bom[erth],"NA")</f>
        <v>nut4</v>
      </c>
      <c r="P1048" s="23" t="str">
        <f>_xlfn.XLOOKUP(packes[[#This Row],[productId]],bom[Id],bom[dbl],"NA")</f>
        <v>-</v>
      </c>
      <c r="Q1048" s="20" t="str">
        <f>LEFT(packes[[#This Row],[date]],4)</f>
        <v>1404</v>
      </c>
    </row>
    <row r="1049" spans="1:17" ht="16.5" x14ac:dyDescent="0.25">
      <c r="A1049" s="23">
        <v>1046</v>
      </c>
      <c r="B1049" s="30" t="s">
        <v>803</v>
      </c>
      <c r="C1049" s="23">
        <v>140310031</v>
      </c>
      <c r="D1049" s="23">
        <v>700</v>
      </c>
      <c r="E1049" s="27">
        <f>_xlfn.XLOOKUP(packes[[#This Row],[productId]],bom[Id],bom[wgt])</f>
        <v>1.9455252918287937</v>
      </c>
      <c r="F1049" s="27">
        <f>packes[[#This Row],[num]]*packes[[#This Row],[wtg]]</f>
        <v>1361.8677042801555</v>
      </c>
      <c r="G1049" s="357">
        <v>4</v>
      </c>
      <c r="H1049" s="21">
        <f>packes[[#This Row],[num]]-SUM(packes[[#This Row],[num2]])</f>
        <v>700</v>
      </c>
      <c r="I1049" s="357"/>
      <c r="J1049" s="21"/>
      <c r="K1049" s="323" t="s">
        <v>1339</v>
      </c>
      <c r="M1049" s="27">
        <f>_xlfn.XLOOKUP(packes[[#This Row],[productId]],CT[productId],CT[total],"NA")</f>
        <v>202.96500000000003</v>
      </c>
      <c r="N1049" s="23">
        <f>_xlfn.XLOOKUP(packes[[#This Row],[productId]],bom[Id],bom[ph],"NA")</f>
        <v>461</v>
      </c>
      <c r="O1049" s="23" t="str">
        <f>_xlfn.XLOOKUP(packes[[#This Row],[productId]],bom[Id],bom[erth],"NA")</f>
        <v>nut4</v>
      </c>
      <c r="P1049" s="23" t="str">
        <f>_xlfn.XLOOKUP(packes[[#This Row],[productId]],bom[Id],bom[dbl],"NA")</f>
        <v>-</v>
      </c>
      <c r="Q1049" s="20" t="str">
        <f>LEFT(packes[[#This Row],[date]],4)</f>
        <v>1404</v>
      </c>
    </row>
    <row r="1050" spans="1:17" ht="16.5" x14ac:dyDescent="0.25">
      <c r="A1050" s="23">
        <v>1047</v>
      </c>
      <c r="B1050" s="30" t="s">
        <v>803</v>
      </c>
      <c r="C1050" s="23">
        <v>140310083</v>
      </c>
      <c r="D1050" s="23">
        <v>250</v>
      </c>
      <c r="E1050" s="27">
        <f>_xlfn.XLOOKUP(packes[[#This Row],[productId]],bom[Id],bom[wgt])</f>
        <v>1.3369250723336326</v>
      </c>
      <c r="F1050" s="27">
        <f>packes[[#This Row],[num]]*packes[[#This Row],[wtg]]</f>
        <v>334.23126808340817</v>
      </c>
      <c r="G1050" s="357">
        <v>3</v>
      </c>
      <c r="H1050" s="21">
        <f>packes[[#This Row],[num]]-SUM(packes[[#This Row],[num2]])</f>
        <v>250</v>
      </c>
      <c r="I1050" s="357"/>
      <c r="J1050" s="21"/>
      <c r="K1050" s="323" t="s">
        <v>1274</v>
      </c>
      <c r="M1050" s="27">
        <f>_xlfn.XLOOKUP(packes[[#This Row],[productId]],CT[productId],CT[total],"NA")</f>
        <v>135.23500000000001</v>
      </c>
      <c r="N1050" s="23" t="str">
        <f>_xlfn.XLOOKUP(packes[[#This Row],[productId]],bom[Id],bom[ph],"NA")</f>
        <v>6.3flat</v>
      </c>
      <c r="O1050" s="23" t="str">
        <f>_xlfn.XLOOKUP(packes[[#This Row],[productId]],bom[Id],bom[erth],"NA")</f>
        <v>6.3flat</v>
      </c>
      <c r="P1050" s="23" t="str">
        <f>_xlfn.XLOOKUP(packes[[#This Row],[productId]],bom[Id],bom[dbl],"NA")</f>
        <v>-</v>
      </c>
      <c r="Q1050" s="20" t="str">
        <f>LEFT(packes[[#This Row],[date]],4)</f>
        <v>1404</v>
      </c>
    </row>
    <row r="1051" spans="1:17" ht="16.5" x14ac:dyDescent="0.25">
      <c r="A1051" s="23">
        <v>1048</v>
      </c>
      <c r="B1051" s="30" t="s">
        <v>803</v>
      </c>
      <c r="C1051" s="23">
        <v>140450047</v>
      </c>
      <c r="D1051" s="23">
        <v>750</v>
      </c>
      <c r="E1051" s="27">
        <f>_xlfn.XLOOKUP(packes[[#This Row],[productId]],bom[Id],bom[wgt])</f>
        <v>0</v>
      </c>
      <c r="F1051" s="27">
        <f>packes[[#This Row],[num]]*packes[[#This Row],[wtg]]</f>
        <v>0</v>
      </c>
      <c r="G1051" s="357">
        <v>4</v>
      </c>
      <c r="H1051" s="21">
        <f>packes[[#This Row],[num]]-SUM(packes[[#This Row],[num2]])</f>
        <v>750</v>
      </c>
      <c r="I1051" s="357"/>
      <c r="J1051" s="21"/>
      <c r="K1051" s="323" t="s">
        <v>1340</v>
      </c>
      <c r="M1051" s="27">
        <f>_xlfn.XLOOKUP(packes[[#This Row],[productId]],CT[productId],CT[total],"NA")</f>
        <v>55.46</v>
      </c>
      <c r="N1051" s="23" t="str">
        <f>_xlfn.XLOOKUP(packes[[#This Row],[productId]],bom[Id],bom[ph],"NA")</f>
        <v>-</v>
      </c>
      <c r="O1051" s="23" t="str">
        <f>_xlfn.XLOOKUP(packes[[#This Row],[productId]],bom[Id],bom[erth],"NA")</f>
        <v>-</v>
      </c>
      <c r="P1051" s="23" t="str">
        <f>_xlfn.XLOOKUP(packes[[#This Row],[productId]],bom[Id],bom[dbl],"NA")</f>
        <v>-</v>
      </c>
      <c r="Q1051" s="20" t="str">
        <f>LEFT(packes[[#This Row],[date]],4)</f>
        <v>1404</v>
      </c>
    </row>
    <row r="1052" spans="1:17" ht="16.5" x14ac:dyDescent="0.25">
      <c r="A1052" s="23">
        <v>1049</v>
      </c>
      <c r="B1052" s="30" t="s">
        <v>806</v>
      </c>
      <c r="C1052" s="23">
        <v>140310007</v>
      </c>
      <c r="D1052" s="23">
        <v>600</v>
      </c>
      <c r="E1052" s="27">
        <f>_xlfn.XLOOKUP(packes[[#This Row],[productId]],bom[Id],bom[wgt])</f>
        <v>1.1413748378728923</v>
      </c>
      <c r="F1052" s="27">
        <f>packes[[#This Row],[num]]*packes[[#This Row],[wtg]]</f>
        <v>684.82490272373536</v>
      </c>
      <c r="G1052" s="357">
        <v>4</v>
      </c>
      <c r="H1052" s="21">
        <f>packes[[#This Row],[num]]-SUM(packes[[#This Row],[num2]])</f>
        <v>600</v>
      </c>
      <c r="I1052" s="357"/>
      <c r="J1052" s="21"/>
      <c r="K1052" s="323" t="s">
        <v>1364</v>
      </c>
      <c r="M1052" s="27">
        <f>_xlfn.XLOOKUP(packes[[#This Row],[productId]],CT[productId],CT[total],"NA")</f>
        <v>92.484999999999999</v>
      </c>
      <c r="N1052" s="23" t="str">
        <f>_xlfn.XLOOKUP(packes[[#This Row],[productId]],bom[Id],bom[ph],"NA")</f>
        <v>-</v>
      </c>
      <c r="O1052" s="23" t="str">
        <f>_xlfn.XLOOKUP(packes[[#This Row],[productId]],bom[Id],bom[erth],"NA")</f>
        <v>nut4</v>
      </c>
      <c r="P1052" s="23" t="str">
        <f>_xlfn.XLOOKUP(packes[[#This Row],[productId]],bom[Id],bom[dbl],"NA")</f>
        <v>-</v>
      </c>
      <c r="Q1052" s="20" t="str">
        <f>LEFT(packes[[#This Row],[date]],4)</f>
        <v>1404</v>
      </c>
    </row>
    <row r="1053" spans="1:17" ht="16.5" x14ac:dyDescent="0.25">
      <c r="A1053" s="23">
        <v>1050</v>
      </c>
      <c r="B1053" s="30" t="s">
        <v>806</v>
      </c>
      <c r="C1053" s="23">
        <v>140310031</v>
      </c>
      <c r="D1053" s="23">
        <v>300</v>
      </c>
      <c r="E1053" s="27">
        <f>_xlfn.XLOOKUP(packes[[#This Row],[productId]],bom[Id],bom[wgt])</f>
        <v>1.9455252918287937</v>
      </c>
      <c r="F1053" s="27">
        <f>packes[[#This Row],[num]]*packes[[#This Row],[wtg]]</f>
        <v>583.65758754863816</v>
      </c>
      <c r="G1053" s="357">
        <v>4</v>
      </c>
      <c r="H1053" s="21">
        <f>packes[[#This Row],[num]]-SUM(packes[[#This Row],[num2]])</f>
        <v>300</v>
      </c>
      <c r="I1053" s="357"/>
      <c r="J1053" s="21"/>
      <c r="K1053" s="323" t="s">
        <v>1365</v>
      </c>
      <c r="M1053" s="27">
        <f>_xlfn.XLOOKUP(packes[[#This Row],[productId]],CT[productId],CT[total],"NA")</f>
        <v>202.96500000000003</v>
      </c>
      <c r="N1053" s="23">
        <f>_xlfn.XLOOKUP(packes[[#This Row],[productId]],bom[Id],bom[ph],"NA")</f>
        <v>461</v>
      </c>
      <c r="O1053" s="23" t="str">
        <f>_xlfn.XLOOKUP(packes[[#This Row],[productId]],bom[Id],bom[erth],"NA")</f>
        <v>nut4</v>
      </c>
      <c r="P1053" s="23" t="str">
        <f>_xlfn.XLOOKUP(packes[[#This Row],[productId]],bom[Id],bom[dbl],"NA")</f>
        <v>-</v>
      </c>
      <c r="Q1053" s="20" t="str">
        <f>LEFT(packes[[#This Row],[date]],4)</f>
        <v>1404</v>
      </c>
    </row>
    <row r="1054" spans="1:17" ht="16.5" x14ac:dyDescent="0.25">
      <c r="A1054" s="23">
        <v>1051</v>
      </c>
      <c r="B1054" s="30" t="s">
        <v>806</v>
      </c>
      <c r="C1054" s="23">
        <v>140310071</v>
      </c>
      <c r="D1054" s="23">
        <v>550</v>
      </c>
      <c r="E1054" s="27">
        <f>_xlfn.XLOOKUP(packes[[#This Row],[productId]],bom[Id],bom[wgt])</f>
        <v>1.3</v>
      </c>
      <c r="F1054" s="27">
        <f>packes[[#This Row],[num]]*packes[[#This Row],[wtg]]</f>
        <v>715</v>
      </c>
      <c r="G1054" s="357">
        <v>3</v>
      </c>
      <c r="H1054" s="21">
        <f>packes[[#This Row],[num]]-SUM(packes[[#This Row],[num2]])</f>
        <v>550</v>
      </c>
      <c r="I1054" s="357"/>
      <c r="J1054" s="21"/>
      <c r="K1054" s="323" t="s">
        <v>1366</v>
      </c>
      <c r="M1054" s="27">
        <f>_xlfn.XLOOKUP(packes[[#This Row],[productId]],CT[productId],CT[total],"NA")</f>
        <v>130.69500000000002</v>
      </c>
      <c r="N1054" s="23" t="str">
        <f>_xlfn.XLOOKUP(packes[[#This Row],[productId]],bom[Id],bom[ph],"NA")</f>
        <v>6.3ch</v>
      </c>
      <c r="O1054" s="23" t="str">
        <f>_xlfn.XLOOKUP(packes[[#This Row],[productId]],bom[Id],bom[erth],"NA")</f>
        <v>6.3k</v>
      </c>
      <c r="P1054" s="23" t="str">
        <f>_xlfn.XLOOKUP(packes[[#This Row],[productId]],bom[Id],bom[dbl],"NA")</f>
        <v>-</v>
      </c>
      <c r="Q1054" s="20" t="str">
        <f>LEFT(packes[[#This Row],[date]],4)</f>
        <v>1404</v>
      </c>
    </row>
    <row r="1055" spans="1:17" ht="16.5" x14ac:dyDescent="0.25">
      <c r="A1055" s="23">
        <v>1052</v>
      </c>
      <c r="B1055" s="30" t="s">
        <v>806</v>
      </c>
      <c r="C1055" s="23">
        <v>140310083</v>
      </c>
      <c r="D1055" s="23">
        <v>600</v>
      </c>
      <c r="E1055" s="27">
        <f>_xlfn.XLOOKUP(packes[[#This Row],[productId]],bom[Id],bom[wgt])</f>
        <v>1.3369250723336326</v>
      </c>
      <c r="F1055" s="27">
        <f>packes[[#This Row],[num]]*packes[[#This Row],[wtg]]</f>
        <v>802.15504340017958</v>
      </c>
      <c r="G1055" s="357">
        <v>3</v>
      </c>
      <c r="H1055" s="21">
        <f>packes[[#This Row],[num]]-SUM(packes[[#This Row],[num2]])</f>
        <v>600</v>
      </c>
      <c r="I1055" s="357"/>
      <c r="J1055" s="21"/>
      <c r="K1055" s="323" t="s">
        <v>1367</v>
      </c>
      <c r="M1055" s="27">
        <f>_xlfn.XLOOKUP(packes[[#This Row],[productId]],CT[productId],CT[total],"NA")</f>
        <v>135.23500000000001</v>
      </c>
      <c r="N1055" s="23" t="str">
        <f>_xlfn.XLOOKUP(packes[[#This Row],[productId]],bom[Id],bom[ph],"NA")</f>
        <v>6.3flat</v>
      </c>
      <c r="O1055" s="23" t="str">
        <f>_xlfn.XLOOKUP(packes[[#This Row],[productId]],bom[Id],bom[erth],"NA")</f>
        <v>6.3flat</v>
      </c>
      <c r="P1055" s="23" t="str">
        <f>_xlfn.XLOOKUP(packes[[#This Row],[productId]],bom[Id],bom[dbl],"NA")</f>
        <v>-</v>
      </c>
      <c r="Q1055" s="20" t="str">
        <f>LEFT(packes[[#This Row],[date]],4)</f>
        <v>1404</v>
      </c>
    </row>
    <row r="1056" spans="1:17" ht="16.5" x14ac:dyDescent="0.25">
      <c r="A1056" s="23">
        <v>1053</v>
      </c>
      <c r="B1056" s="30" t="s">
        <v>806</v>
      </c>
      <c r="C1056" s="23">
        <v>140450047</v>
      </c>
      <c r="D1056" s="23">
        <v>800</v>
      </c>
      <c r="E1056" s="27">
        <f>_xlfn.XLOOKUP(packes[[#This Row],[productId]],bom[Id],bom[wgt])</f>
        <v>0</v>
      </c>
      <c r="F1056" s="27">
        <f>packes[[#This Row],[num]]*packes[[#This Row],[wtg]]</f>
        <v>0</v>
      </c>
      <c r="G1056" s="357">
        <v>4</v>
      </c>
      <c r="H1056" s="21">
        <f>packes[[#This Row],[num]]-SUM(packes[[#This Row],[num2]])</f>
        <v>800</v>
      </c>
      <c r="I1056" s="357"/>
      <c r="J1056" s="21"/>
      <c r="K1056" s="323" t="s">
        <v>1368</v>
      </c>
      <c r="M1056" s="27">
        <f>_xlfn.XLOOKUP(packes[[#This Row],[productId]],CT[productId],CT[total],"NA")</f>
        <v>55.46</v>
      </c>
      <c r="N1056" s="23" t="str">
        <f>_xlfn.XLOOKUP(packes[[#This Row],[productId]],bom[Id],bom[ph],"NA")</f>
        <v>-</v>
      </c>
      <c r="O1056" s="23" t="str">
        <f>_xlfn.XLOOKUP(packes[[#This Row],[productId]],bom[Id],bom[erth],"NA")</f>
        <v>-</v>
      </c>
      <c r="P1056" s="23" t="str">
        <f>_xlfn.XLOOKUP(packes[[#This Row],[productId]],bom[Id],bom[dbl],"NA")</f>
        <v>-</v>
      </c>
      <c r="Q1056" s="20" t="str">
        <f>LEFT(packes[[#This Row],[date]],4)</f>
        <v>1404</v>
      </c>
    </row>
    <row r="1057" spans="1:17" ht="16.5" x14ac:dyDescent="0.25">
      <c r="A1057" s="23">
        <v>1054</v>
      </c>
      <c r="B1057" s="30" t="s">
        <v>807</v>
      </c>
      <c r="C1057" s="23">
        <v>140310007</v>
      </c>
      <c r="D1057" s="23">
        <v>750</v>
      </c>
      <c r="E1057" s="27">
        <f>_xlfn.XLOOKUP(packes[[#This Row],[productId]],bom[Id],bom[wgt])</f>
        <v>1.1413748378728923</v>
      </c>
      <c r="F1057" s="27">
        <f>packes[[#This Row],[num]]*packes[[#This Row],[wtg]]</f>
        <v>856.03112840466918</v>
      </c>
      <c r="G1057" s="357">
        <v>4</v>
      </c>
      <c r="H1057" s="21">
        <f>packes[[#This Row],[num]]-SUM(packes[[#This Row],[num2]])</f>
        <v>750</v>
      </c>
      <c r="I1057" s="357"/>
      <c r="J1057" s="21"/>
      <c r="K1057" s="323" t="s">
        <v>1378</v>
      </c>
      <c r="M1057" s="27">
        <f>_xlfn.XLOOKUP(packes[[#This Row],[productId]],CT[productId],CT[total],"NA")</f>
        <v>92.484999999999999</v>
      </c>
      <c r="N1057" s="23" t="str">
        <f>_xlfn.XLOOKUP(packes[[#This Row],[productId]],bom[Id],bom[ph],"NA")</f>
        <v>-</v>
      </c>
      <c r="O1057" s="23" t="str">
        <f>_xlfn.XLOOKUP(packes[[#This Row],[productId]],bom[Id],bom[erth],"NA")</f>
        <v>nut4</v>
      </c>
      <c r="P1057" s="23" t="str">
        <f>_xlfn.XLOOKUP(packes[[#This Row],[productId]],bom[Id],bom[dbl],"NA")</f>
        <v>-</v>
      </c>
      <c r="Q1057" s="20" t="str">
        <f>LEFT(packes[[#This Row],[date]],4)</f>
        <v>1404</v>
      </c>
    </row>
    <row r="1058" spans="1:17" ht="16.5" x14ac:dyDescent="0.25">
      <c r="A1058" s="23">
        <v>1055</v>
      </c>
      <c r="B1058" s="30" t="s">
        <v>807</v>
      </c>
      <c r="C1058" s="23">
        <v>140310031</v>
      </c>
      <c r="D1058" s="23">
        <v>1100</v>
      </c>
      <c r="E1058" s="27">
        <f>_xlfn.XLOOKUP(packes[[#This Row],[productId]],bom[Id],bom[wgt])</f>
        <v>1.9455252918287937</v>
      </c>
      <c r="F1058" s="27">
        <f>packes[[#This Row],[num]]*packes[[#This Row],[wtg]]</f>
        <v>2140.0778210116732</v>
      </c>
      <c r="G1058" s="357">
        <v>4</v>
      </c>
      <c r="H1058" s="21">
        <f>packes[[#This Row],[num]]-SUM(packes[[#This Row],[num2]])</f>
        <v>1100</v>
      </c>
      <c r="I1058" s="357"/>
      <c r="J1058" s="21"/>
      <c r="K1058" s="323" t="s">
        <v>1379</v>
      </c>
      <c r="M1058" s="27">
        <f>_xlfn.XLOOKUP(packes[[#This Row],[productId]],CT[productId],CT[total],"NA")</f>
        <v>202.96500000000003</v>
      </c>
      <c r="N1058" s="23">
        <f>_xlfn.XLOOKUP(packes[[#This Row],[productId]],bom[Id],bom[ph],"NA")</f>
        <v>461</v>
      </c>
      <c r="O1058" s="23" t="str">
        <f>_xlfn.XLOOKUP(packes[[#This Row],[productId]],bom[Id],bom[erth],"NA")</f>
        <v>nut4</v>
      </c>
      <c r="P1058" s="23" t="str">
        <f>_xlfn.XLOOKUP(packes[[#This Row],[productId]],bom[Id],bom[dbl],"NA")</f>
        <v>-</v>
      </c>
      <c r="Q1058" s="20" t="str">
        <f>LEFT(packes[[#This Row],[date]],4)</f>
        <v>1404</v>
      </c>
    </row>
    <row r="1059" spans="1:17" ht="16.5" x14ac:dyDescent="0.25">
      <c r="A1059" s="23">
        <v>1056</v>
      </c>
      <c r="B1059" s="30" t="s">
        <v>807</v>
      </c>
      <c r="C1059" s="23">
        <v>140310071</v>
      </c>
      <c r="D1059" s="23">
        <v>300</v>
      </c>
      <c r="E1059" s="27">
        <f>_xlfn.XLOOKUP(packes[[#This Row],[productId]],bom[Id],bom[wgt])</f>
        <v>1.3</v>
      </c>
      <c r="F1059" s="27">
        <f>packes[[#This Row],[num]]*packes[[#This Row],[wtg]]</f>
        <v>390</v>
      </c>
      <c r="G1059" s="357">
        <v>3</v>
      </c>
      <c r="H1059" s="21">
        <f>packes[[#This Row],[num]]-SUM(packes[[#This Row],[num2]])</f>
        <v>300</v>
      </c>
      <c r="I1059" s="357"/>
      <c r="J1059" s="21"/>
      <c r="K1059" s="323" t="s">
        <v>1380</v>
      </c>
      <c r="M1059" s="27">
        <f>_xlfn.XLOOKUP(packes[[#This Row],[productId]],CT[productId],CT[total],"NA")</f>
        <v>130.69500000000002</v>
      </c>
      <c r="N1059" s="23" t="str">
        <f>_xlfn.XLOOKUP(packes[[#This Row],[productId]],bom[Id],bom[ph],"NA")</f>
        <v>6.3ch</v>
      </c>
      <c r="O1059" s="23" t="str">
        <f>_xlfn.XLOOKUP(packes[[#This Row],[productId]],bom[Id],bom[erth],"NA")</f>
        <v>6.3k</v>
      </c>
      <c r="P1059" s="23" t="str">
        <f>_xlfn.XLOOKUP(packes[[#This Row],[productId]],bom[Id],bom[dbl],"NA")</f>
        <v>-</v>
      </c>
      <c r="Q1059" s="20" t="str">
        <f>LEFT(packes[[#This Row],[date]],4)</f>
        <v>1404</v>
      </c>
    </row>
    <row r="1060" spans="1:17" ht="16.5" x14ac:dyDescent="0.25">
      <c r="A1060" s="23">
        <v>1057</v>
      </c>
      <c r="B1060" s="30" t="s">
        <v>807</v>
      </c>
      <c r="C1060" s="23">
        <v>140450047</v>
      </c>
      <c r="D1060" s="23">
        <v>550</v>
      </c>
      <c r="E1060" s="27">
        <f>_xlfn.XLOOKUP(packes[[#This Row],[productId]],bom[Id],bom[wgt])</f>
        <v>0</v>
      </c>
      <c r="F1060" s="27">
        <f>packes[[#This Row],[num]]*packes[[#This Row],[wtg]]</f>
        <v>0</v>
      </c>
      <c r="G1060" s="357">
        <v>4</v>
      </c>
      <c r="H1060" s="21">
        <f>packes[[#This Row],[num]]-SUM(packes[[#This Row],[num2]])</f>
        <v>550</v>
      </c>
      <c r="I1060" s="357"/>
      <c r="J1060" s="21"/>
      <c r="K1060" s="323" t="s">
        <v>1381</v>
      </c>
      <c r="M1060" s="27">
        <f>_xlfn.XLOOKUP(packes[[#This Row],[productId]],CT[productId],CT[total],"NA")</f>
        <v>55.46</v>
      </c>
      <c r="N1060" s="23" t="str">
        <f>_xlfn.XLOOKUP(packes[[#This Row],[productId]],bom[Id],bom[ph],"NA")</f>
        <v>-</v>
      </c>
      <c r="O1060" s="23" t="str">
        <f>_xlfn.XLOOKUP(packes[[#This Row],[productId]],bom[Id],bom[erth],"NA")</f>
        <v>-</v>
      </c>
      <c r="P1060" s="23" t="str">
        <f>_xlfn.XLOOKUP(packes[[#This Row],[productId]],bom[Id],bom[dbl],"NA")</f>
        <v>-</v>
      </c>
      <c r="Q1060" s="20" t="str">
        <f>LEFT(packes[[#This Row],[date]],4)</f>
        <v>1404</v>
      </c>
    </row>
    <row r="1061" spans="1:17" ht="16.5" x14ac:dyDescent="0.25">
      <c r="A1061" s="23">
        <v>1058</v>
      </c>
      <c r="B1061" s="30" t="s">
        <v>807</v>
      </c>
      <c r="C1061" s="23">
        <v>140640007</v>
      </c>
      <c r="D1061" s="23">
        <v>150</v>
      </c>
      <c r="E1061" s="27">
        <f>_xlfn.XLOOKUP(packes[[#This Row],[productId]],bom[Id],bom[wgt])</f>
        <v>1.1413748378728923</v>
      </c>
      <c r="F1061" s="27">
        <f>packes[[#This Row],[num]]*packes[[#This Row],[wtg]]</f>
        <v>171.20622568093384</v>
      </c>
      <c r="G1061" s="357">
        <v>2</v>
      </c>
      <c r="H1061" s="21">
        <f>packes[[#This Row],[num]]-SUM(packes[[#This Row],[num2]])</f>
        <v>150</v>
      </c>
      <c r="I1061" s="357"/>
      <c r="J1061" s="21"/>
      <c r="K1061" s="323" t="s">
        <v>1382</v>
      </c>
      <c r="M1061" s="27">
        <f>_xlfn.XLOOKUP(packes[[#This Row],[productId]],CT[productId],CT[total],"NA")</f>
        <v>77.11999999999999</v>
      </c>
      <c r="N1061" s="23" t="str">
        <f>_xlfn.XLOOKUP(packes[[#This Row],[productId]],bom[Id],bom[ph],"NA")</f>
        <v>molex</v>
      </c>
      <c r="O1061" s="23" t="str">
        <f>_xlfn.XLOOKUP(packes[[#This Row],[productId]],bom[Id],bom[erth],"NA")</f>
        <v>sun</v>
      </c>
      <c r="P1061" s="23">
        <f>_xlfn.XLOOKUP(packes[[#This Row],[productId]],bom[Id],bom[dbl],"NA")</f>
        <v>0</v>
      </c>
      <c r="Q1061" s="20" t="str">
        <f>LEFT(packes[[#This Row],[date]],4)</f>
        <v>1404</v>
      </c>
    </row>
    <row r="1062" spans="1:17" ht="16.5" x14ac:dyDescent="0.25">
      <c r="A1062" s="23">
        <v>1059</v>
      </c>
      <c r="B1062" s="30" t="s">
        <v>808</v>
      </c>
      <c r="C1062" s="23">
        <v>140010255</v>
      </c>
      <c r="D1062" s="23">
        <v>300</v>
      </c>
      <c r="E1062" s="27">
        <f>_xlfn.XLOOKUP(packes[[#This Row],[productId]],bom[Id],bom[wgt])</f>
        <v>1</v>
      </c>
      <c r="F1062" s="27">
        <f>packes[[#This Row],[num]]*packes[[#This Row],[wtg]]</f>
        <v>300</v>
      </c>
      <c r="G1062" s="357">
        <v>5</v>
      </c>
      <c r="H1062" s="21">
        <f>packes[[#This Row],[num]]-SUM(packes[[#This Row],[num2]])</f>
        <v>300</v>
      </c>
      <c r="I1062" s="357"/>
      <c r="J1062" s="21"/>
      <c r="K1062" s="323"/>
      <c r="M1062" s="27">
        <f>_xlfn.XLOOKUP(packes[[#This Row],[productId]],CT[productId],CT[total],"NA")</f>
        <v>95.575000000000003</v>
      </c>
      <c r="N1062" s="23" t="str">
        <f>_xlfn.XLOOKUP(packes[[#This Row],[productId]],bom[Id],bom[ph],"NA")</f>
        <v>-</v>
      </c>
      <c r="O1062" s="23" t="str">
        <f>_xlfn.XLOOKUP(packes[[#This Row],[productId]],bom[Id],bom[erth],"NA")</f>
        <v>-</v>
      </c>
      <c r="P1062" s="23" t="str">
        <f>_xlfn.XLOOKUP(packes[[#This Row],[productId]],bom[Id],bom[dbl],"NA")</f>
        <v>6.3flat</v>
      </c>
      <c r="Q1062" s="20" t="str">
        <f>LEFT(packes[[#This Row],[date]],4)</f>
        <v>1404</v>
      </c>
    </row>
    <row r="1063" spans="1:17" ht="16.5" x14ac:dyDescent="0.25">
      <c r="A1063" s="23">
        <v>1060</v>
      </c>
      <c r="B1063" s="30" t="s">
        <v>808</v>
      </c>
      <c r="C1063" s="23">
        <v>140310007</v>
      </c>
      <c r="D1063" s="23">
        <v>1100</v>
      </c>
      <c r="E1063" s="27">
        <f>_xlfn.XLOOKUP(packes[[#This Row],[productId]],bom[Id],bom[wgt])</f>
        <v>1.1413748378728923</v>
      </c>
      <c r="F1063" s="27">
        <f>packes[[#This Row],[num]]*packes[[#This Row],[wtg]]</f>
        <v>1255.5123216601814</v>
      </c>
      <c r="G1063" s="357">
        <v>4</v>
      </c>
      <c r="H1063" s="21">
        <f>packes[[#This Row],[num]]-SUM(packes[[#This Row],[num2]])</f>
        <v>1100</v>
      </c>
      <c r="I1063" s="357"/>
      <c r="J1063" s="21"/>
      <c r="K1063" s="323" t="s">
        <v>1384</v>
      </c>
      <c r="M1063" s="27">
        <f>_xlfn.XLOOKUP(packes[[#This Row],[productId]],CT[productId],CT[total],"NA")</f>
        <v>92.484999999999999</v>
      </c>
      <c r="N1063" s="23" t="str">
        <f>_xlfn.XLOOKUP(packes[[#This Row],[productId]],bom[Id],bom[ph],"NA")</f>
        <v>-</v>
      </c>
      <c r="O1063" s="23" t="str">
        <f>_xlfn.XLOOKUP(packes[[#This Row],[productId]],bom[Id],bom[erth],"NA")</f>
        <v>nut4</v>
      </c>
      <c r="P1063" s="23" t="str">
        <f>_xlfn.XLOOKUP(packes[[#This Row],[productId]],bom[Id],bom[dbl],"NA")</f>
        <v>-</v>
      </c>
      <c r="Q1063" s="20" t="str">
        <f>LEFT(packes[[#This Row],[date]],4)</f>
        <v>1404</v>
      </c>
    </row>
    <row r="1064" spans="1:17" ht="16.5" x14ac:dyDescent="0.25">
      <c r="A1064" s="23">
        <v>1061</v>
      </c>
      <c r="B1064" s="30" t="s">
        <v>808</v>
      </c>
      <c r="C1064" s="23">
        <v>140310071</v>
      </c>
      <c r="D1064" s="23">
        <v>1500</v>
      </c>
      <c r="E1064" s="27">
        <f>_xlfn.XLOOKUP(packes[[#This Row],[productId]],bom[Id],bom[wgt])</f>
        <v>1.3</v>
      </c>
      <c r="F1064" s="27">
        <f>packes[[#This Row],[num]]*packes[[#This Row],[wtg]]</f>
        <v>1950</v>
      </c>
      <c r="G1064" s="357">
        <v>3</v>
      </c>
      <c r="H1064" s="21">
        <f>packes[[#This Row],[num]]-SUM(packes[[#This Row],[num2]])</f>
        <v>1500</v>
      </c>
      <c r="I1064" s="357"/>
      <c r="J1064" s="21"/>
      <c r="K1064" s="323" t="s">
        <v>1385</v>
      </c>
      <c r="M1064" s="27">
        <f>_xlfn.XLOOKUP(packes[[#This Row],[productId]],CT[productId],CT[total],"NA")</f>
        <v>130.69500000000002</v>
      </c>
      <c r="N1064" s="23" t="str">
        <f>_xlfn.XLOOKUP(packes[[#This Row],[productId]],bom[Id],bom[ph],"NA")</f>
        <v>6.3ch</v>
      </c>
      <c r="O1064" s="23" t="str">
        <f>_xlfn.XLOOKUP(packes[[#This Row],[productId]],bom[Id],bom[erth],"NA")</f>
        <v>6.3k</v>
      </c>
      <c r="P1064" s="23" t="str">
        <f>_xlfn.XLOOKUP(packes[[#This Row],[productId]],bom[Id],bom[dbl],"NA")</f>
        <v>-</v>
      </c>
      <c r="Q1064" s="20" t="str">
        <f>LEFT(packes[[#This Row],[date]],4)</f>
        <v>1404</v>
      </c>
    </row>
    <row r="1065" spans="1:17" ht="16.5" x14ac:dyDescent="0.25">
      <c r="A1065" s="23">
        <v>1062</v>
      </c>
      <c r="B1065" s="30" t="s">
        <v>808</v>
      </c>
      <c r="C1065" s="23">
        <v>140310083</v>
      </c>
      <c r="D1065" s="23">
        <v>50</v>
      </c>
      <c r="E1065" s="27">
        <f>_xlfn.XLOOKUP(packes[[#This Row],[productId]],bom[Id],bom[wgt])</f>
        <v>1.3369250723336326</v>
      </c>
      <c r="F1065" s="27">
        <f>packes[[#This Row],[num]]*packes[[#This Row],[wtg]]</f>
        <v>66.846253616681622</v>
      </c>
      <c r="G1065" s="357">
        <v>3</v>
      </c>
      <c r="H1065" s="21">
        <f>packes[[#This Row],[num]]-SUM(packes[[#This Row],[num2]])</f>
        <v>50</v>
      </c>
      <c r="I1065" s="357"/>
      <c r="J1065" s="21"/>
      <c r="K1065" s="323" t="s">
        <v>1386</v>
      </c>
      <c r="M1065" s="27">
        <f>_xlfn.XLOOKUP(packes[[#This Row],[productId]],CT[productId],CT[total],"NA")</f>
        <v>135.23500000000001</v>
      </c>
      <c r="N1065" s="23" t="str">
        <f>_xlfn.XLOOKUP(packes[[#This Row],[productId]],bom[Id],bom[ph],"NA")</f>
        <v>6.3flat</v>
      </c>
      <c r="O1065" s="23" t="str">
        <f>_xlfn.XLOOKUP(packes[[#This Row],[productId]],bom[Id],bom[erth],"NA")</f>
        <v>6.3flat</v>
      </c>
      <c r="P1065" s="23" t="str">
        <f>_xlfn.XLOOKUP(packes[[#This Row],[productId]],bom[Id],bom[dbl],"NA")</f>
        <v>-</v>
      </c>
      <c r="Q1065" s="20" t="str">
        <f>LEFT(packes[[#This Row],[date]],4)</f>
        <v>1404</v>
      </c>
    </row>
    <row r="1066" spans="1:17" ht="16.5" x14ac:dyDescent="0.25">
      <c r="A1066" s="23">
        <v>1063</v>
      </c>
      <c r="B1066" s="30" t="s">
        <v>808</v>
      </c>
      <c r="C1066" s="23">
        <v>140450047</v>
      </c>
      <c r="D1066" s="23">
        <v>650</v>
      </c>
      <c r="E1066" s="27">
        <f>_xlfn.XLOOKUP(packes[[#This Row],[productId]],bom[Id],bom[wgt])</f>
        <v>0</v>
      </c>
      <c r="F1066" s="27">
        <f>packes[[#This Row],[num]]*packes[[#This Row],[wtg]]</f>
        <v>0</v>
      </c>
      <c r="G1066" s="357">
        <v>4</v>
      </c>
      <c r="H1066" s="21">
        <f>packes[[#This Row],[num]]-SUM(packes[[#This Row],[num2]])</f>
        <v>650</v>
      </c>
      <c r="I1066" s="357"/>
      <c r="J1066" s="21"/>
      <c r="K1066" s="323" t="s">
        <v>1387</v>
      </c>
      <c r="M1066" s="27">
        <f>_xlfn.XLOOKUP(packes[[#This Row],[productId]],CT[productId],CT[total],"NA")</f>
        <v>55.46</v>
      </c>
      <c r="N1066" s="23" t="str">
        <f>_xlfn.XLOOKUP(packes[[#This Row],[productId]],bom[Id],bom[ph],"NA")</f>
        <v>-</v>
      </c>
      <c r="O1066" s="23" t="str">
        <f>_xlfn.XLOOKUP(packes[[#This Row],[productId]],bom[Id],bom[erth],"NA")</f>
        <v>-</v>
      </c>
      <c r="P1066" s="23" t="str">
        <f>_xlfn.XLOOKUP(packes[[#This Row],[productId]],bom[Id],bom[dbl],"NA")</f>
        <v>-</v>
      </c>
      <c r="Q1066" s="20" t="str">
        <f>LEFT(packes[[#This Row],[date]],4)</f>
        <v>1404</v>
      </c>
    </row>
    <row r="1067" spans="1:17" ht="16.5" x14ac:dyDescent="0.25">
      <c r="A1067" s="23">
        <v>1064</v>
      </c>
      <c r="B1067" s="30" t="s">
        <v>809</v>
      </c>
      <c r="C1067" s="23">
        <v>140010255</v>
      </c>
      <c r="D1067" s="23">
        <v>400</v>
      </c>
      <c r="E1067" s="27">
        <f>_xlfn.XLOOKUP(packes[[#This Row],[productId]],bom[Id],bom[wgt])</f>
        <v>1</v>
      </c>
      <c r="F1067" s="27">
        <f>packes[[#This Row],[num]]*packes[[#This Row],[wtg]]</f>
        <v>400</v>
      </c>
      <c r="G1067" s="357">
        <v>5</v>
      </c>
      <c r="H1067" s="21">
        <f>packes[[#This Row],[num]]-SUM(packes[[#This Row],[num2]])</f>
        <v>400</v>
      </c>
      <c r="I1067" s="357"/>
      <c r="J1067" s="21"/>
      <c r="K1067" s="323"/>
      <c r="M1067" s="27">
        <f>_xlfn.XLOOKUP(packes[[#This Row],[productId]],CT[productId],CT[total],"NA")</f>
        <v>95.575000000000003</v>
      </c>
      <c r="N1067" s="23" t="str">
        <f>_xlfn.XLOOKUP(packes[[#This Row],[productId]],bom[Id],bom[ph],"NA")</f>
        <v>-</v>
      </c>
      <c r="O1067" s="23" t="str">
        <f>_xlfn.XLOOKUP(packes[[#This Row],[productId]],bom[Id],bom[erth],"NA")</f>
        <v>-</v>
      </c>
      <c r="P1067" s="23" t="str">
        <f>_xlfn.XLOOKUP(packes[[#This Row],[productId]],bom[Id],bom[dbl],"NA")</f>
        <v>6.3flat</v>
      </c>
      <c r="Q1067" s="20" t="str">
        <f>LEFT(packes[[#This Row],[date]],4)</f>
        <v>1404</v>
      </c>
    </row>
    <row r="1068" spans="1:17" ht="16.5" x14ac:dyDescent="0.25">
      <c r="A1068" s="23">
        <v>1065</v>
      </c>
      <c r="B1068" s="30" t="s">
        <v>809</v>
      </c>
      <c r="C1068" s="23">
        <v>140310007</v>
      </c>
      <c r="D1068" s="23">
        <v>1450</v>
      </c>
      <c r="E1068" s="27">
        <f>_xlfn.XLOOKUP(packes[[#This Row],[productId]],bom[Id],bom[wgt])</f>
        <v>1.1413748378728923</v>
      </c>
      <c r="F1068" s="27">
        <f>packes[[#This Row],[num]]*packes[[#This Row],[wtg]]</f>
        <v>1654.9935149156938</v>
      </c>
      <c r="G1068" s="357">
        <v>4</v>
      </c>
      <c r="H1068" s="21">
        <f>packes[[#This Row],[num]]-SUM(packes[[#This Row],[num2]])</f>
        <v>1450</v>
      </c>
      <c r="I1068" s="357"/>
      <c r="J1068" s="21"/>
      <c r="K1068" s="323" t="s">
        <v>1388</v>
      </c>
      <c r="M1068" s="27">
        <f>_xlfn.XLOOKUP(packes[[#This Row],[productId]],CT[productId],CT[total],"NA")</f>
        <v>92.484999999999999</v>
      </c>
      <c r="N1068" s="23" t="str">
        <f>_xlfn.XLOOKUP(packes[[#This Row],[productId]],bom[Id],bom[ph],"NA")</f>
        <v>-</v>
      </c>
      <c r="O1068" s="23" t="str">
        <f>_xlfn.XLOOKUP(packes[[#This Row],[productId]],bom[Id],bom[erth],"NA")</f>
        <v>nut4</v>
      </c>
      <c r="P1068" s="23" t="str">
        <f>_xlfn.XLOOKUP(packes[[#This Row],[productId]],bom[Id],bom[dbl],"NA")</f>
        <v>-</v>
      </c>
      <c r="Q1068" s="20" t="str">
        <f>LEFT(packes[[#This Row],[date]],4)</f>
        <v>1404</v>
      </c>
    </row>
    <row r="1069" spans="1:17" ht="16.5" x14ac:dyDescent="0.25">
      <c r="A1069" s="23">
        <v>1066</v>
      </c>
      <c r="B1069" s="30" t="s">
        <v>809</v>
      </c>
      <c r="C1069" s="23">
        <v>140310031</v>
      </c>
      <c r="D1069" s="23">
        <v>500</v>
      </c>
      <c r="E1069" s="27">
        <f>_xlfn.XLOOKUP(packes[[#This Row],[productId]],bom[Id],bom[wgt])</f>
        <v>1.9455252918287937</v>
      </c>
      <c r="F1069" s="27">
        <f>packes[[#This Row],[num]]*packes[[#This Row],[wtg]]</f>
        <v>972.7626459143969</v>
      </c>
      <c r="G1069" s="357">
        <v>4</v>
      </c>
      <c r="H1069" s="21">
        <f>packes[[#This Row],[num]]-SUM(packes[[#This Row],[num2]])</f>
        <v>500</v>
      </c>
      <c r="I1069" s="357"/>
      <c r="J1069" s="21"/>
      <c r="K1069" s="323" t="s">
        <v>1389</v>
      </c>
      <c r="M1069" s="27">
        <f>_xlfn.XLOOKUP(packes[[#This Row],[productId]],CT[productId],CT[total],"NA")</f>
        <v>202.96500000000003</v>
      </c>
      <c r="N1069" s="23">
        <f>_xlfn.XLOOKUP(packes[[#This Row],[productId]],bom[Id],bom[ph],"NA")</f>
        <v>461</v>
      </c>
      <c r="O1069" s="23" t="str">
        <f>_xlfn.XLOOKUP(packes[[#This Row],[productId]],bom[Id],bom[erth],"NA")</f>
        <v>nut4</v>
      </c>
      <c r="P1069" s="23" t="str">
        <f>_xlfn.XLOOKUP(packes[[#This Row],[productId]],bom[Id],bom[dbl],"NA")</f>
        <v>-</v>
      </c>
      <c r="Q1069" s="20" t="str">
        <f>LEFT(packes[[#This Row],[date]],4)</f>
        <v>1404</v>
      </c>
    </row>
    <row r="1070" spans="1:17" ht="16.5" x14ac:dyDescent="0.25">
      <c r="A1070" s="23">
        <v>1067</v>
      </c>
      <c r="B1070" s="30" t="s">
        <v>809</v>
      </c>
      <c r="C1070" s="23">
        <v>140310071</v>
      </c>
      <c r="D1070" s="23">
        <v>1500</v>
      </c>
      <c r="E1070" s="27">
        <f>_xlfn.XLOOKUP(packes[[#This Row],[productId]],bom[Id],bom[wgt])</f>
        <v>1.3</v>
      </c>
      <c r="F1070" s="27">
        <f>packes[[#This Row],[num]]*packes[[#This Row],[wtg]]</f>
        <v>1950</v>
      </c>
      <c r="G1070" s="357">
        <v>3</v>
      </c>
      <c r="H1070" s="21">
        <f>packes[[#This Row],[num]]-SUM(packes[[#This Row],[num2]])</f>
        <v>1500</v>
      </c>
      <c r="I1070" s="357"/>
      <c r="J1070" s="21"/>
      <c r="K1070" s="323" t="s">
        <v>1390</v>
      </c>
      <c r="M1070" s="27">
        <f>_xlfn.XLOOKUP(packes[[#This Row],[productId]],CT[productId],CT[total],"NA")</f>
        <v>130.69500000000002</v>
      </c>
      <c r="N1070" s="23" t="str">
        <f>_xlfn.XLOOKUP(packes[[#This Row],[productId]],bom[Id],bom[ph],"NA")</f>
        <v>6.3ch</v>
      </c>
      <c r="O1070" s="23" t="str">
        <f>_xlfn.XLOOKUP(packes[[#This Row],[productId]],bom[Id],bom[erth],"NA")</f>
        <v>6.3k</v>
      </c>
      <c r="P1070" s="23" t="str">
        <f>_xlfn.XLOOKUP(packes[[#This Row],[productId]],bom[Id],bom[dbl],"NA")</f>
        <v>-</v>
      </c>
      <c r="Q1070" s="20" t="str">
        <f>LEFT(packes[[#This Row],[date]],4)</f>
        <v>1404</v>
      </c>
    </row>
    <row r="1071" spans="1:17" ht="16.5" x14ac:dyDescent="0.25">
      <c r="A1071" s="23">
        <v>1068</v>
      </c>
      <c r="B1071" s="30" t="s">
        <v>810</v>
      </c>
      <c r="C1071" s="23">
        <v>140310007</v>
      </c>
      <c r="D1071" s="23">
        <v>150</v>
      </c>
      <c r="E1071" s="27">
        <f>_xlfn.XLOOKUP(packes[[#This Row],[productId]],bom[Id],bom[wgt])</f>
        <v>1.1413748378728923</v>
      </c>
      <c r="F1071" s="27">
        <f>packes[[#This Row],[num]]*packes[[#This Row],[wtg]]</f>
        <v>171.20622568093384</v>
      </c>
      <c r="G1071" s="357">
        <v>4</v>
      </c>
      <c r="H1071" s="21">
        <f>packes[[#This Row],[num]]-SUM(packes[[#This Row],[num2]])</f>
        <v>150</v>
      </c>
      <c r="I1071" s="357"/>
      <c r="J1071" s="21"/>
      <c r="K1071" s="323" t="s">
        <v>1391</v>
      </c>
      <c r="M1071" s="27">
        <f>_xlfn.XLOOKUP(packes[[#This Row],[productId]],CT[productId],CT[total],"NA")</f>
        <v>92.484999999999999</v>
      </c>
      <c r="N1071" s="23" t="str">
        <f>_xlfn.XLOOKUP(packes[[#This Row],[productId]],bom[Id],bom[ph],"NA")</f>
        <v>-</v>
      </c>
      <c r="O1071" s="23" t="str">
        <f>_xlfn.XLOOKUP(packes[[#This Row],[productId]],bom[Id],bom[erth],"NA")</f>
        <v>nut4</v>
      </c>
      <c r="P1071" s="23" t="str">
        <f>_xlfn.XLOOKUP(packes[[#This Row],[productId]],bom[Id],bom[dbl],"NA")</f>
        <v>-</v>
      </c>
      <c r="Q1071" s="20" t="str">
        <f>LEFT(packes[[#This Row],[date]],4)</f>
        <v>1404</v>
      </c>
    </row>
    <row r="1072" spans="1:17" ht="16.5" x14ac:dyDescent="0.25">
      <c r="A1072" s="23">
        <v>1069</v>
      </c>
      <c r="B1072" s="30" t="s">
        <v>810</v>
      </c>
      <c r="C1072" s="23">
        <v>140310031</v>
      </c>
      <c r="D1072" s="23">
        <v>600</v>
      </c>
      <c r="E1072" s="27">
        <f>_xlfn.XLOOKUP(packes[[#This Row],[productId]],bom[Id],bom[wgt])</f>
        <v>1.9455252918287937</v>
      </c>
      <c r="F1072" s="27">
        <f>packes[[#This Row],[num]]*packes[[#This Row],[wtg]]</f>
        <v>1167.3151750972763</v>
      </c>
      <c r="G1072" s="357">
        <v>4</v>
      </c>
      <c r="H1072" s="21">
        <f>packes[[#This Row],[num]]-SUM(packes[[#This Row],[num2]])</f>
        <v>600</v>
      </c>
      <c r="I1072" s="357"/>
      <c r="J1072" s="21"/>
      <c r="K1072" s="323" t="s">
        <v>1392</v>
      </c>
      <c r="M1072" s="27">
        <f>_xlfn.XLOOKUP(packes[[#This Row],[productId]],CT[productId],CT[total],"NA")</f>
        <v>202.96500000000003</v>
      </c>
      <c r="N1072" s="23">
        <f>_xlfn.XLOOKUP(packes[[#This Row],[productId]],bom[Id],bom[ph],"NA")</f>
        <v>461</v>
      </c>
      <c r="O1072" s="23" t="str">
        <f>_xlfn.XLOOKUP(packes[[#This Row],[productId]],bom[Id],bom[erth],"NA")</f>
        <v>nut4</v>
      </c>
      <c r="P1072" s="23" t="str">
        <f>_xlfn.XLOOKUP(packes[[#This Row],[productId]],bom[Id],bom[dbl],"NA")</f>
        <v>-</v>
      </c>
      <c r="Q1072" s="20" t="str">
        <f>LEFT(packes[[#This Row],[date]],4)</f>
        <v>1404</v>
      </c>
    </row>
    <row r="1073" spans="1:17" ht="16.5" x14ac:dyDescent="0.25">
      <c r="A1073" s="23">
        <v>1070</v>
      </c>
      <c r="B1073" s="30" t="s">
        <v>810</v>
      </c>
      <c r="C1073" s="23">
        <v>140310071</v>
      </c>
      <c r="D1073" s="23">
        <v>1500</v>
      </c>
      <c r="E1073" s="27">
        <f>_xlfn.XLOOKUP(packes[[#This Row],[productId]],bom[Id],bom[wgt])</f>
        <v>1.3</v>
      </c>
      <c r="F1073" s="27">
        <f>packes[[#This Row],[num]]*packes[[#This Row],[wtg]]</f>
        <v>1950</v>
      </c>
      <c r="G1073" s="357">
        <v>3</v>
      </c>
      <c r="H1073" s="21">
        <f>packes[[#This Row],[num]]-SUM(packes[[#This Row],[num2]])</f>
        <v>1500</v>
      </c>
      <c r="I1073" s="357"/>
      <c r="J1073" s="21"/>
      <c r="K1073" s="323" t="s">
        <v>1393</v>
      </c>
      <c r="M1073" s="27">
        <f>_xlfn.XLOOKUP(packes[[#This Row],[productId]],CT[productId],CT[total],"NA")</f>
        <v>130.69500000000002</v>
      </c>
      <c r="N1073" s="23" t="str">
        <f>_xlfn.XLOOKUP(packes[[#This Row],[productId]],bom[Id],bom[ph],"NA")</f>
        <v>6.3ch</v>
      </c>
      <c r="O1073" s="23" t="str">
        <f>_xlfn.XLOOKUP(packes[[#This Row],[productId]],bom[Id],bom[erth],"NA")</f>
        <v>6.3k</v>
      </c>
      <c r="P1073" s="23" t="str">
        <f>_xlfn.XLOOKUP(packes[[#This Row],[productId]],bom[Id],bom[dbl],"NA")</f>
        <v>-</v>
      </c>
      <c r="Q1073" s="20" t="str">
        <f>LEFT(packes[[#This Row],[date]],4)</f>
        <v>1404</v>
      </c>
    </row>
    <row r="1074" spans="1:17" ht="16.5" x14ac:dyDescent="0.25">
      <c r="A1074" s="23">
        <v>1071</v>
      </c>
      <c r="B1074" s="30" t="s">
        <v>810</v>
      </c>
      <c r="C1074" s="23">
        <v>140450047</v>
      </c>
      <c r="D1074" s="23">
        <v>1750</v>
      </c>
      <c r="E1074" s="27">
        <f>_xlfn.XLOOKUP(packes[[#This Row],[productId]],bom[Id],bom[wgt])</f>
        <v>0</v>
      </c>
      <c r="F1074" s="27">
        <f>packes[[#This Row],[num]]*packes[[#This Row],[wtg]]</f>
        <v>0</v>
      </c>
      <c r="G1074" s="357">
        <v>4</v>
      </c>
      <c r="H1074" s="21">
        <f>packes[[#This Row],[num]]-SUM(packes[[#This Row],[num2]])</f>
        <v>1750</v>
      </c>
      <c r="I1074" s="357"/>
      <c r="J1074" s="21"/>
      <c r="K1074" s="323" t="s">
        <v>1394</v>
      </c>
      <c r="M1074" s="27">
        <f>_xlfn.XLOOKUP(packes[[#This Row],[productId]],CT[productId],CT[total],"NA")</f>
        <v>55.46</v>
      </c>
      <c r="N1074" s="23" t="str">
        <f>_xlfn.XLOOKUP(packes[[#This Row],[productId]],bom[Id],bom[ph],"NA")</f>
        <v>-</v>
      </c>
      <c r="O1074" s="23" t="str">
        <f>_xlfn.XLOOKUP(packes[[#This Row],[productId]],bom[Id],bom[erth],"NA")</f>
        <v>-</v>
      </c>
      <c r="P1074" s="23" t="str">
        <f>_xlfn.XLOOKUP(packes[[#This Row],[productId]],bom[Id],bom[dbl],"NA")</f>
        <v>-</v>
      </c>
      <c r="Q1074" s="20" t="str">
        <f>LEFT(packes[[#This Row],[date]],4)</f>
        <v>1404</v>
      </c>
    </row>
    <row r="1075" spans="1:17" ht="16.5" x14ac:dyDescent="0.25">
      <c r="A1075" s="23">
        <v>1072</v>
      </c>
      <c r="B1075" s="30" t="s">
        <v>813</v>
      </c>
      <c r="C1075" s="23">
        <v>140310071</v>
      </c>
      <c r="D1075" s="23">
        <v>3000</v>
      </c>
      <c r="E1075" s="27">
        <f>_xlfn.XLOOKUP(packes[[#This Row],[productId]],bom[Id],bom[wgt])</f>
        <v>1.3</v>
      </c>
      <c r="F1075" s="27">
        <f>packes[[#This Row],[num]]*packes[[#This Row],[wtg]]</f>
        <v>3900</v>
      </c>
      <c r="G1075" s="357">
        <v>3</v>
      </c>
      <c r="H1075" s="21">
        <f>packes[[#This Row],[num]]-SUM(packes[[#This Row],[num2]])</f>
        <v>3000</v>
      </c>
      <c r="I1075" s="357"/>
      <c r="J1075" s="21"/>
      <c r="K1075" s="323" t="s">
        <v>1397</v>
      </c>
      <c r="M1075" s="27">
        <f>_xlfn.XLOOKUP(packes[[#This Row],[productId]],CT[productId],CT[total],"NA")</f>
        <v>130.69500000000002</v>
      </c>
      <c r="N1075" s="23" t="str">
        <f>_xlfn.XLOOKUP(packes[[#This Row],[productId]],bom[Id],bom[ph],"NA")</f>
        <v>6.3ch</v>
      </c>
      <c r="O1075" s="23" t="str">
        <f>_xlfn.XLOOKUP(packes[[#This Row],[productId]],bom[Id],bom[erth],"NA")</f>
        <v>6.3k</v>
      </c>
      <c r="P1075" s="23" t="str">
        <f>_xlfn.XLOOKUP(packes[[#This Row],[productId]],bom[Id],bom[dbl],"NA")</f>
        <v>-</v>
      </c>
      <c r="Q1075" s="20" t="str">
        <f>LEFT(packes[[#This Row],[date]],4)</f>
        <v>1404</v>
      </c>
    </row>
    <row r="1076" spans="1:17" ht="16.5" x14ac:dyDescent="0.25">
      <c r="A1076" s="23">
        <v>1073</v>
      </c>
      <c r="B1076" s="30" t="s">
        <v>813</v>
      </c>
      <c r="C1076" s="23">
        <v>140450047</v>
      </c>
      <c r="D1076" s="23">
        <v>750</v>
      </c>
      <c r="E1076" s="27">
        <f>_xlfn.XLOOKUP(packes[[#This Row],[productId]],bom[Id],bom[wgt])</f>
        <v>0</v>
      </c>
      <c r="F1076" s="27">
        <f>packes[[#This Row],[num]]*packes[[#This Row],[wtg]]</f>
        <v>0</v>
      </c>
      <c r="G1076" s="357">
        <v>4</v>
      </c>
      <c r="H1076" s="21">
        <f>packes[[#This Row],[num]]-SUM(packes[[#This Row],[num2]])</f>
        <v>750</v>
      </c>
      <c r="I1076" s="357"/>
      <c r="J1076" s="21"/>
      <c r="K1076" s="323" t="s">
        <v>1398</v>
      </c>
      <c r="M1076" s="27">
        <f>_xlfn.XLOOKUP(packes[[#This Row],[productId]],CT[productId],CT[total],"NA")</f>
        <v>55.46</v>
      </c>
      <c r="N1076" s="23" t="str">
        <f>_xlfn.XLOOKUP(packes[[#This Row],[productId]],bom[Id],bom[ph],"NA")</f>
        <v>-</v>
      </c>
      <c r="O1076" s="23" t="str">
        <f>_xlfn.XLOOKUP(packes[[#This Row],[productId]],bom[Id],bom[erth],"NA")</f>
        <v>-</v>
      </c>
      <c r="P1076" s="23" t="str">
        <f>_xlfn.XLOOKUP(packes[[#This Row],[productId]],bom[Id],bom[dbl],"NA")</f>
        <v>-</v>
      </c>
      <c r="Q1076" s="20" t="str">
        <f>LEFT(packes[[#This Row],[date]],4)</f>
        <v>1404</v>
      </c>
    </row>
    <row r="1077" spans="1:17" ht="16.5" x14ac:dyDescent="0.25">
      <c r="A1077" s="23">
        <v>1074</v>
      </c>
      <c r="B1077" s="30" t="s">
        <v>814</v>
      </c>
      <c r="C1077" s="23">
        <v>140010117</v>
      </c>
      <c r="D1077" s="23">
        <v>75</v>
      </c>
      <c r="E1077" s="27">
        <f>_xlfn.XLOOKUP(packes[[#This Row],[productId]],bom[Id],bom[wgt])</f>
        <v>1</v>
      </c>
      <c r="F1077" s="27">
        <f>packes[[#This Row],[num]]*packes[[#This Row],[wtg]]</f>
        <v>75</v>
      </c>
      <c r="G1077" s="357">
        <v>4</v>
      </c>
      <c r="H1077" s="21">
        <f>packes[[#This Row],[num]]-SUM(packes[[#This Row],[num2]])</f>
        <v>75</v>
      </c>
      <c r="I1077" s="357"/>
      <c r="J1077" s="21"/>
      <c r="K1077" s="323" t="s">
        <v>1412</v>
      </c>
      <c r="M1077" s="27">
        <f>_xlfn.XLOOKUP(packes[[#This Row],[productId]],CT[productId],CT[total],"NA")</f>
        <v>98.295000000000016</v>
      </c>
      <c r="N1077" s="23" t="str">
        <f>_xlfn.XLOOKUP(packes[[#This Row],[productId]],bom[Id],bom[ph],"NA")</f>
        <v>nar.p</v>
      </c>
      <c r="O1077" s="23" t="str">
        <f>_xlfn.XLOOKUP(packes[[#This Row],[productId]],bom[Id],bom[erth],"NA")</f>
        <v>-</v>
      </c>
      <c r="P1077" s="23" t="str">
        <f>_xlfn.XLOOKUP(packes[[#This Row],[productId]],bom[Id],bom[dbl],"NA")</f>
        <v>nar.p</v>
      </c>
      <c r="Q1077" s="20" t="str">
        <f>LEFT(packes[[#This Row],[date]],4)</f>
        <v>1404</v>
      </c>
    </row>
    <row r="1078" spans="1:17" ht="16.5" x14ac:dyDescent="0.25">
      <c r="A1078" s="23">
        <v>1075</v>
      </c>
      <c r="B1078" s="30" t="s">
        <v>814</v>
      </c>
      <c r="C1078" s="23">
        <v>140010230</v>
      </c>
      <c r="D1078" s="23">
        <v>400</v>
      </c>
      <c r="E1078" s="27">
        <f>_xlfn.XLOOKUP(packes[[#This Row],[productId]],bom[Id],bom[wgt])</f>
        <v>1.4486680634540554</v>
      </c>
      <c r="F1078" s="27">
        <f>packes[[#This Row],[num]]*packes[[#This Row],[wtg]]</f>
        <v>579.46722538162214</v>
      </c>
      <c r="G1078" s="357">
        <v>5</v>
      </c>
      <c r="H1078" s="21">
        <f>packes[[#This Row],[num]]-SUM(packes[[#This Row],[num2]])</f>
        <v>400</v>
      </c>
      <c r="I1078" s="357"/>
      <c r="J1078" s="21"/>
      <c r="K1078" s="323" t="s">
        <v>1413</v>
      </c>
      <c r="M1078" s="27">
        <f>_xlfn.XLOOKUP(packes[[#This Row],[productId]],CT[productId],CT[total],"NA")</f>
        <v>147.595</v>
      </c>
      <c r="N1078" s="23" t="str">
        <f>_xlfn.XLOOKUP(packes[[#This Row],[productId]],bom[Id],bom[ph],"NA")</f>
        <v>nar.p</v>
      </c>
      <c r="O1078" s="23" t="str">
        <f>_xlfn.XLOOKUP(packes[[#This Row],[productId]],bom[Id],bom[erth],"NA")</f>
        <v>-</v>
      </c>
      <c r="P1078" s="23" t="str">
        <f>_xlfn.XLOOKUP(packes[[#This Row],[productId]],bom[Id],bom[dbl],"NA")</f>
        <v>nar.p</v>
      </c>
      <c r="Q1078" s="20" t="str">
        <f>LEFT(packes[[#This Row],[date]],4)</f>
        <v>1404</v>
      </c>
    </row>
    <row r="1079" spans="1:17" ht="16.5" x14ac:dyDescent="0.25">
      <c r="A1079" s="23">
        <v>1076</v>
      </c>
      <c r="B1079" s="30" t="s">
        <v>814</v>
      </c>
      <c r="C1079" s="23">
        <v>140310007</v>
      </c>
      <c r="D1079" s="23">
        <v>2700</v>
      </c>
      <c r="E1079" s="27">
        <f>_xlfn.XLOOKUP(packes[[#This Row],[productId]],bom[Id],bom[wgt])</f>
        <v>1.1413748378728923</v>
      </c>
      <c r="F1079" s="27">
        <f>packes[[#This Row],[num]]*packes[[#This Row],[wtg]]</f>
        <v>3081.7120622568091</v>
      </c>
      <c r="G1079" s="357">
        <v>4</v>
      </c>
      <c r="H1079" s="21">
        <f>packes[[#This Row],[num]]-SUM(packes[[#This Row],[num2]])</f>
        <v>2700</v>
      </c>
      <c r="I1079" s="357"/>
      <c r="J1079" s="21"/>
      <c r="K1079" s="323" t="s">
        <v>1414</v>
      </c>
      <c r="M1079" s="27">
        <f>_xlfn.XLOOKUP(packes[[#This Row],[productId]],CT[productId],CT[total],"NA")</f>
        <v>92.484999999999999</v>
      </c>
      <c r="N1079" s="23" t="str">
        <f>_xlfn.XLOOKUP(packes[[#This Row],[productId]],bom[Id],bom[ph],"NA")</f>
        <v>-</v>
      </c>
      <c r="O1079" s="23" t="str">
        <f>_xlfn.XLOOKUP(packes[[#This Row],[productId]],bom[Id],bom[erth],"NA")</f>
        <v>nut4</v>
      </c>
      <c r="P1079" s="23" t="str">
        <f>_xlfn.XLOOKUP(packes[[#This Row],[productId]],bom[Id],bom[dbl],"NA")</f>
        <v>-</v>
      </c>
      <c r="Q1079" s="20" t="str">
        <f>LEFT(packes[[#This Row],[date]],4)</f>
        <v>1404</v>
      </c>
    </row>
    <row r="1080" spans="1:17" ht="16.5" x14ac:dyDescent="0.25">
      <c r="A1080" s="23">
        <v>1077</v>
      </c>
      <c r="B1080" s="30" t="s">
        <v>814</v>
      </c>
      <c r="C1080" s="23">
        <v>140310031</v>
      </c>
      <c r="D1080" s="23">
        <v>700</v>
      </c>
      <c r="E1080" s="27">
        <f>_xlfn.XLOOKUP(packes[[#This Row],[productId]],bom[Id],bom[wgt])</f>
        <v>1.9455252918287937</v>
      </c>
      <c r="F1080" s="27">
        <f>packes[[#This Row],[num]]*packes[[#This Row],[wtg]]</f>
        <v>1361.8677042801555</v>
      </c>
      <c r="G1080" s="357">
        <v>4</v>
      </c>
      <c r="H1080" s="21">
        <f>packes[[#This Row],[num]]-SUM(packes[[#This Row],[num2]])</f>
        <v>700</v>
      </c>
      <c r="I1080" s="357"/>
      <c r="J1080" s="21"/>
      <c r="K1080" s="323" t="s">
        <v>1415</v>
      </c>
      <c r="M1080" s="27">
        <f>_xlfn.XLOOKUP(packes[[#This Row],[productId]],CT[productId],CT[total],"NA")</f>
        <v>202.96500000000003</v>
      </c>
      <c r="N1080" s="23">
        <f>_xlfn.XLOOKUP(packes[[#This Row],[productId]],bom[Id],bom[ph],"NA")</f>
        <v>461</v>
      </c>
      <c r="O1080" s="23" t="str">
        <f>_xlfn.XLOOKUP(packes[[#This Row],[productId]],bom[Id],bom[erth],"NA")</f>
        <v>nut4</v>
      </c>
      <c r="P1080" s="23" t="str">
        <f>_xlfn.XLOOKUP(packes[[#This Row],[productId]],bom[Id],bom[dbl],"NA")</f>
        <v>-</v>
      </c>
      <c r="Q1080" s="20" t="str">
        <f>LEFT(packes[[#This Row],[date]],4)</f>
        <v>1404</v>
      </c>
    </row>
    <row r="1081" spans="1:17" ht="16.5" x14ac:dyDescent="0.25">
      <c r="A1081" s="23">
        <v>1078</v>
      </c>
      <c r="B1081" s="30" t="s">
        <v>814</v>
      </c>
      <c r="C1081" s="23">
        <v>140550056</v>
      </c>
      <c r="D1081" s="23">
        <v>30</v>
      </c>
      <c r="E1081" s="27" t="e">
        <f>_xlfn.XLOOKUP(packes[[#This Row],[productId]],bom[Id],bom[wgt])</f>
        <v>#N/A</v>
      </c>
      <c r="F1081" s="27" t="e">
        <f>packes[[#This Row],[num]]*packes[[#This Row],[wtg]]</f>
        <v>#N/A</v>
      </c>
      <c r="G1081" s="357"/>
      <c r="H1081" s="21">
        <f>packes[[#This Row],[num]]-SUM(packes[[#This Row],[num2]])</f>
        <v>30</v>
      </c>
      <c r="I1081" s="357"/>
      <c r="J1081" s="21"/>
      <c r="K1081" s="323"/>
      <c r="M1081" s="27" t="str">
        <f>_xlfn.XLOOKUP(packes[[#This Row],[productId]],CT[productId],CT[total],"NA")</f>
        <v>NA</v>
      </c>
      <c r="N1081" s="23" t="str">
        <f>_xlfn.XLOOKUP(packes[[#This Row],[productId]],bom[Id],bom[ph],"NA")</f>
        <v>NA</v>
      </c>
      <c r="O1081" s="23" t="str">
        <f>_xlfn.XLOOKUP(packes[[#This Row],[productId]],bom[Id],bom[erth],"NA")</f>
        <v>NA</v>
      </c>
      <c r="P1081" s="23" t="str">
        <f>_xlfn.XLOOKUP(packes[[#This Row],[productId]],bom[Id],bom[dbl],"NA")</f>
        <v>NA</v>
      </c>
      <c r="Q1081" s="20" t="str">
        <f>LEFT(packes[[#This Row],[date]],4)</f>
        <v>1404</v>
      </c>
    </row>
    <row r="1082" spans="1:17" ht="16.5" x14ac:dyDescent="0.25">
      <c r="A1082" s="23">
        <v>1079</v>
      </c>
      <c r="B1082" s="30" t="s">
        <v>815</v>
      </c>
      <c r="C1082" s="23">
        <v>140310007</v>
      </c>
      <c r="D1082" s="23">
        <v>1650</v>
      </c>
      <c r="E1082" s="27">
        <f>_xlfn.XLOOKUP(packes[[#This Row],[productId]],bom[Id],bom[wgt])</f>
        <v>1.1413748378728923</v>
      </c>
      <c r="F1082" s="27">
        <f>packes[[#This Row],[num]]*packes[[#This Row],[wtg]]</f>
        <v>1883.2684824902724</v>
      </c>
      <c r="G1082" s="357">
        <v>4</v>
      </c>
      <c r="H1082" s="21">
        <f>packes[[#This Row],[num]]-SUM(packes[[#This Row],[num2]])</f>
        <v>1650</v>
      </c>
      <c r="I1082" s="357"/>
      <c r="J1082" s="21"/>
      <c r="K1082" s="323" t="s">
        <v>1416</v>
      </c>
      <c r="M1082" s="27">
        <f>_xlfn.XLOOKUP(packes[[#This Row],[productId]],CT[productId],CT[total],"NA")</f>
        <v>92.484999999999999</v>
      </c>
      <c r="N1082" s="23" t="str">
        <f>_xlfn.XLOOKUP(packes[[#This Row],[productId]],bom[Id],bom[ph],"NA")</f>
        <v>-</v>
      </c>
      <c r="O1082" s="23" t="str">
        <f>_xlfn.XLOOKUP(packes[[#This Row],[productId]],bom[Id],bom[erth],"NA")</f>
        <v>nut4</v>
      </c>
      <c r="P1082" s="23" t="str">
        <f>_xlfn.XLOOKUP(packes[[#This Row],[productId]],bom[Id],bom[dbl],"NA")</f>
        <v>-</v>
      </c>
      <c r="Q1082" s="20" t="str">
        <f>LEFT(packes[[#This Row],[date]],4)</f>
        <v>1404</v>
      </c>
    </row>
    <row r="1083" spans="1:17" ht="16.5" x14ac:dyDescent="0.25">
      <c r="A1083" s="23">
        <v>1080</v>
      </c>
      <c r="B1083" s="30" t="s">
        <v>815</v>
      </c>
      <c r="C1083" s="23">
        <v>140310031</v>
      </c>
      <c r="D1083" s="23">
        <v>800</v>
      </c>
      <c r="E1083" s="27">
        <f>_xlfn.XLOOKUP(packes[[#This Row],[productId]],bom[Id],bom[wgt])</f>
        <v>1.9455252918287937</v>
      </c>
      <c r="F1083" s="27">
        <f>packes[[#This Row],[num]]*packes[[#This Row],[wtg]]</f>
        <v>1556.4202334630349</v>
      </c>
      <c r="G1083" s="357">
        <v>4</v>
      </c>
      <c r="H1083" s="21">
        <f>packes[[#This Row],[num]]-SUM(packes[[#This Row],[num2]])</f>
        <v>800</v>
      </c>
      <c r="I1083" s="357"/>
      <c r="J1083" s="21"/>
      <c r="K1083" s="323" t="s">
        <v>1417</v>
      </c>
      <c r="M1083" s="27">
        <f>_xlfn.XLOOKUP(packes[[#This Row],[productId]],CT[productId],CT[total],"NA")</f>
        <v>202.96500000000003</v>
      </c>
      <c r="N1083" s="23">
        <f>_xlfn.XLOOKUP(packes[[#This Row],[productId]],bom[Id],bom[ph],"NA")</f>
        <v>461</v>
      </c>
      <c r="O1083" s="23" t="str">
        <f>_xlfn.XLOOKUP(packes[[#This Row],[productId]],bom[Id],bom[erth],"NA")</f>
        <v>nut4</v>
      </c>
      <c r="P1083" s="23" t="str">
        <f>_xlfn.XLOOKUP(packes[[#This Row],[productId]],bom[Id],bom[dbl],"NA")</f>
        <v>-</v>
      </c>
      <c r="Q1083" s="20" t="str">
        <f>LEFT(packes[[#This Row],[date]],4)</f>
        <v>1404</v>
      </c>
    </row>
    <row r="1084" spans="1:17" ht="16.5" x14ac:dyDescent="0.25">
      <c r="A1084" s="23">
        <v>1081</v>
      </c>
      <c r="B1084" s="30" t="s">
        <v>815</v>
      </c>
      <c r="C1084" s="23">
        <v>140310071</v>
      </c>
      <c r="D1084" s="23">
        <v>700</v>
      </c>
      <c r="E1084" s="27">
        <f>_xlfn.XLOOKUP(packes[[#This Row],[productId]],bom[Id],bom[wgt])</f>
        <v>1.3</v>
      </c>
      <c r="F1084" s="27">
        <f>packes[[#This Row],[num]]*packes[[#This Row],[wtg]]</f>
        <v>910</v>
      </c>
      <c r="G1084" s="357">
        <v>3</v>
      </c>
      <c r="H1084" s="21">
        <f>packes[[#This Row],[num]]-SUM(packes[[#This Row],[num2]])</f>
        <v>700</v>
      </c>
      <c r="I1084" s="357"/>
      <c r="J1084" s="21"/>
      <c r="K1084" s="323" t="s">
        <v>1418</v>
      </c>
      <c r="M1084" s="27">
        <f>_xlfn.XLOOKUP(packes[[#This Row],[productId]],CT[productId],CT[total],"NA")</f>
        <v>130.69500000000002</v>
      </c>
      <c r="N1084" s="23" t="str">
        <f>_xlfn.XLOOKUP(packes[[#This Row],[productId]],bom[Id],bom[ph],"NA")</f>
        <v>6.3ch</v>
      </c>
      <c r="O1084" s="23" t="str">
        <f>_xlfn.XLOOKUP(packes[[#This Row],[productId]],bom[Id],bom[erth],"NA")</f>
        <v>6.3k</v>
      </c>
      <c r="P1084" s="23" t="str">
        <f>_xlfn.XLOOKUP(packes[[#This Row],[productId]],bom[Id],bom[dbl],"NA")</f>
        <v>-</v>
      </c>
      <c r="Q1084" s="20" t="str">
        <f>LEFT(packes[[#This Row],[date]],4)</f>
        <v>1404</v>
      </c>
    </row>
    <row r="1085" spans="1:17" ht="16.5" x14ac:dyDescent="0.25">
      <c r="A1085" s="23">
        <v>1082</v>
      </c>
      <c r="B1085" s="30" t="s">
        <v>815</v>
      </c>
      <c r="C1085" s="23">
        <v>140450047</v>
      </c>
      <c r="D1085" s="23">
        <v>600</v>
      </c>
      <c r="E1085" s="27">
        <f>_xlfn.XLOOKUP(packes[[#This Row],[productId]],bom[Id],bom[wgt])</f>
        <v>0</v>
      </c>
      <c r="F1085" s="27">
        <f>packes[[#This Row],[num]]*packes[[#This Row],[wtg]]</f>
        <v>0</v>
      </c>
      <c r="G1085" s="357">
        <v>4</v>
      </c>
      <c r="H1085" s="21">
        <f>packes[[#This Row],[num]]-SUM(packes[[#This Row],[num2]])</f>
        <v>600</v>
      </c>
      <c r="I1085" s="357"/>
      <c r="J1085" s="21"/>
      <c r="K1085" s="323" t="s">
        <v>1419</v>
      </c>
      <c r="M1085" s="27">
        <f>_xlfn.XLOOKUP(packes[[#This Row],[productId]],CT[productId],CT[total],"NA")</f>
        <v>55.46</v>
      </c>
      <c r="N1085" s="23" t="str">
        <f>_xlfn.XLOOKUP(packes[[#This Row],[productId]],bom[Id],bom[ph],"NA")</f>
        <v>-</v>
      </c>
      <c r="O1085" s="23" t="str">
        <f>_xlfn.XLOOKUP(packes[[#This Row],[productId]],bom[Id],bom[erth],"NA")</f>
        <v>-</v>
      </c>
      <c r="P1085" s="23" t="str">
        <f>_xlfn.XLOOKUP(packes[[#This Row],[productId]],bom[Id],bom[dbl],"NA")</f>
        <v>-</v>
      </c>
      <c r="Q1085" s="20" t="str">
        <f>LEFT(packes[[#This Row],[date]],4)</f>
        <v>1404</v>
      </c>
    </row>
    <row r="1086" spans="1:17" ht="16.5" x14ac:dyDescent="0.25">
      <c r="A1086" s="23">
        <v>1083</v>
      </c>
      <c r="B1086" s="30" t="s">
        <v>816</v>
      </c>
      <c r="C1086" s="23">
        <v>140310007</v>
      </c>
      <c r="D1086" s="23">
        <v>1100</v>
      </c>
      <c r="E1086" s="27">
        <f>_xlfn.XLOOKUP(packes[[#This Row],[productId]],bom[Id],bom[wgt])</f>
        <v>1.1413748378728923</v>
      </c>
      <c r="F1086" s="27">
        <f>packes[[#This Row],[num]]*packes[[#This Row],[wtg]]</f>
        <v>1255.5123216601814</v>
      </c>
      <c r="G1086" s="357">
        <v>4</v>
      </c>
      <c r="H1086" s="21">
        <f>packes[[#This Row],[num]]-SUM(packes[[#This Row],[num2]])</f>
        <v>1100</v>
      </c>
      <c r="I1086" s="357"/>
      <c r="J1086" s="21"/>
      <c r="K1086" s="323" t="s">
        <v>1424</v>
      </c>
      <c r="M1086" s="27">
        <f>_xlfn.XLOOKUP(packes[[#This Row],[productId]],CT[productId],CT[total],"NA")</f>
        <v>92.484999999999999</v>
      </c>
      <c r="N1086" s="23" t="str">
        <f>_xlfn.XLOOKUP(packes[[#This Row],[productId]],bom[Id],bom[ph],"NA")</f>
        <v>-</v>
      </c>
      <c r="O1086" s="23" t="str">
        <f>_xlfn.XLOOKUP(packes[[#This Row],[productId]],bom[Id],bom[erth],"NA")</f>
        <v>nut4</v>
      </c>
      <c r="P1086" s="23" t="str">
        <f>_xlfn.XLOOKUP(packes[[#This Row],[productId]],bom[Id],bom[dbl],"NA")</f>
        <v>-</v>
      </c>
      <c r="Q1086" s="20" t="str">
        <f>LEFT(packes[[#This Row],[date]],4)</f>
        <v>1404</v>
      </c>
    </row>
    <row r="1087" spans="1:17" ht="16.5" x14ac:dyDescent="0.25">
      <c r="A1087" s="23">
        <v>1084</v>
      </c>
      <c r="B1087" s="30" t="s">
        <v>816</v>
      </c>
      <c r="C1087" s="23">
        <v>140310031</v>
      </c>
      <c r="D1087" s="23">
        <v>50</v>
      </c>
      <c r="E1087" s="27">
        <f>_xlfn.XLOOKUP(packes[[#This Row],[productId]],bom[Id],bom[wgt])</f>
        <v>1.9455252918287937</v>
      </c>
      <c r="F1087" s="27">
        <f>packes[[#This Row],[num]]*packes[[#This Row],[wtg]]</f>
        <v>97.276264591439684</v>
      </c>
      <c r="G1087" s="357">
        <v>4</v>
      </c>
      <c r="H1087" s="21">
        <f>packes[[#This Row],[num]]-SUM(packes[[#This Row],[num2]])</f>
        <v>50</v>
      </c>
      <c r="I1087" s="357"/>
      <c r="J1087" s="21"/>
      <c r="K1087" s="323" t="s">
        <v>1291</v>
      </c>
      <c r="M1087" s="27">
        <f>_xlfn.XLOOKUP(packes[[#This Row],[productId]],CT[productId],CT[total],"NA")</f>
        <v>202.96500000000003</v>
      </c>
      <c r="N1087" s="23">
        <f>_xlfn.XLOOKUP(packes[[#This Row],[productId]],bom[Id],bom[ph],"NA")</f>
        <v>461</v>
      </c>
      <c r="O1087" s="23" t="str">
        <f>_xlfn.XLOOKUP(packes[[#This Row],[productId]],bom[Id],bom[erth],"NA")</f>
        <v>nut4</v>
      </c>
      <c r="P1087" s="23" t="str">
        <f>_xlfn.XLOOKUP(packes[[#This Row],[productId]],bom[Id],bom[dbl],"NA")</f>
        <v>-</v>
      </c>
      <c r="Q1087" s="20" t="str">
        <f>LEFT(packes[[#This Row],[date]],4)</f>
        <v>1404</v>
      </c>
    </row>
    <row r="1088" spans="1:17" ht="16.5" x14ac:dyDescent="0.25">
      <c r="A1088" s="23">
        <v>1085</v>
      </c>
      <c r="B1088" s="30" t="s">
        <v>816</v>
      </c>
      <c r="C1088" s="23">
        <v>140310071</v>
      </c>
      <c r="D1088" s="23">
        <v>2200</v>
      </c>
      <c r="E1088" s="27">
        <f>_xlfn.XLOOKUP(packes[[#This Row],[productId]],bom[Id],bom[wgt])</f>
        <v>1.3</v>
      </c>
      <c r="F1088" s="27">
        <f>packes[[#This Row],[num]]*packes[[#This Row],[wtg]]</f>
        <v>2860</v>
      </c>
      <c r="G1088" s="357">
        <v>3</v>
      </c>
      <c r="H1088" s="21">
        <f>packes[[#This Row],[num]]-SUM(packes[[#This Row],[num2]])</f>
        <v>2200</v>
      </c>
      <c r="I1088" s="357"/>
      <c r="J1088" s="21"/>
      <c r="K1088" s="323" t="s">
        <v>1425</v>
      </c>
      <c r="M1088" s="27">
        <f>_xlfn.XLOOKUP(packes[[#This Row],[productId]],CT[productId],CT[total],"NA")</f>
        <v>130.69500000000002</v>
      </c>
      <c r="N1088" s="23" t="str">
        <f>_xlfn.XLOOKUP(packes[[#This Row],[productId]],bom[Id],bom[ph],"NA")</f>
        <v>6.3ch</v>
      </c>
      <c r="O1088" s="23" t="str">
        <f>_xlfn.XLOOKUP(packes[[#This Row],[productId]],bom[Id],bom[erth],"NA")</f>
        <v>6.3k</v>
      </c>
      <c r="P1088" s="23" t="str">
        <f>_xlfn.XLOOKUP(packes[[#This Row],[productId]],bom[Id],bom[dbl],"NA")</f>
        <v>-</v>
      </c>
      <c r="Q1088" s="20" t="str">
        <f>LEFT(packes[[#This Row],[date]],4)</f>
        <v>1404</v>
      </c>
    </row>
    <row r="1089" spans="1:17" ht="16.5" x14ac:dyDescent="0.25">
      <c r="A1089" s="23">
        <v>1086</v>
      </c>
      <c r="B1089" s="30" t="s">
        <v>816</v>
      </c>
      <c r="C1089" s="23">
        <v>140450047</v>
      </c>
      <c r="D1089" s="23">
        <v>200</v>
      </c>
      <c r="E1089" s="27">
        <f>_xlfn.XLOOKUP(packes[[#This Row],[productId]],bom[Id],bom[wgt])</f>
        <v>0</v>
      </c>
      <c r="F1089" s="27">
        <f>packes[[#This Row],[num]]*packes[[#This Row],[wtg]]</f>
        <v>0</v>
      </c>
      <c r="G1089" s="357">
        <v>4</v>
      </c>
      <c r="H1089" s="21">
        <f>packes[[#This Row],[num]]-SUM(packes[[#This Row],[num2]])</f>
        <v>200</v>
      </c>
      <c r="I1089" s="357"/>
      <c r="J1089" s="21"/>
      <c r="K1089" s="323" t="s">
        <v>1426</v>
      </c>
      <c r="M1089" s="27">
        <f>_xlfn.XLOOKUP(packes[[#This Row],[productId]],CT[productId],CT[total],"NA")</f>
        <v>55.46</v>
      </c>
      <c r="N1089" s="23" t="str">
        <f>_xlfn.XLOOKUP(packes[[#This Row],[productId]],bom[Id],bom[ph],"NA")</f>
        <v>-</v>
      </c>
      <c r="O1089" s="23" t="str">
        <f>_xlfn.XLOOKUP(packes[[#This Row],[productId]],bom[Id],bom[erth],"NA")</f>
        <v>-</v>
      </c>
      <c r="P1089" s="23" t="str">
        <f>_xlfn.XLOOKUP(packes[[#This Row],[productId]],bom[Id],bom[dbl],"NA")</f>
        <v>-</v>
      </c>
      <c r="Q1089" s="20" t="str">
        <f>LEFT(packes[[#This Row],[date]],4)</f>
        <v>1404</v>
      </c>
    </row>
    <row r="1090" spans="1:17" ht="16.5" x14ac:dyDescent="0.25">
      <c r="A1090" s="23">
        <v>1087</v>
      </c>
      <c r="B1090" s="30" t="s">
        <v>817</v>
      </c>
      <c r="C1090" s="23">
        <v>140010117</v>
      </c>
      <c r="D1090" s="23">
        <v>750</v>
      </c>
      <c r="E1090" s="27">
        <f>_xlfn.XLOOKUP(packes[[#This Row],[productId]],bom[Id],bom[wgt])</f>
        <v>1</v>
      </c>
      <c r="F1090" s="27">
        <f>packes[[#This Row],[num]]*packes[[#This Row],[wtg]]</f>
        <v>750</v>
      </c>
      <c r="G1090" s="357">
        <v>6</v>
      </c>
      <c r="H1090" s="21">
        <f>packes[[#This Row],[num]]-SUM(packes[[#This Row],[num2]])</f>
        <v>750</v>
      </c>
      <c r="I1090" s="357"/>
      <c r="J1090" s="21"/>
      <c r="K1090" s="323" t="s">
        <v>1428</v>
      </c>
      <c r="M1090" s="27">
        <f>_xlfn.XLOOKUP(packes[[#This Row],[productId]],CT[productId],CT[total],"NA")</f>
        <v>98.295000000000016</v>
      </c>
      <c r="N1090" s="23" t="str">
        <f>_xlfn.XLOOKUP(packes[[#This Row],[productId]],bom[Id],bom[ph],"NA")</f>
        <v>nar.p</v>
      </c>
      <c r="O1090" s="23" t="str">
        <f>_xlfn.XLOOKUP(packes[[#This Row],[productId]],bom[Id],bom[erth],"NA")</f>
        <v>-</v>
      </c>
      <c r="P1090" s="23" t="str">
        <f>_xlfn.XLOOKUP(packes[[#This Row],[productId]],bom[Id],bom[dbl],"NA")</f>
        <v>nar.p</v>
      </c>
      <c r="Q1090" s="20" t="str">
        <f>LEFT(packes[[#This Row],[date]],4)</f>
        <v>1404</v>
      </c>
    </row>
    <row r="1091" spans="1:17" ht="16.5" x14ac:dyDescent="0.25">
      <c r="A1091" s="23">
        <v>1088</v>
      </c>
      <c r="B1091" s="30" t="s">
        <v>817</v>
      </c>
      <c r="C1091" s="23">
        <v>140010230</v>
      </c>
      <c r="D1091" s="23">
        <v>10</v>
      </c>
      <c r="E1091" s="27">
        <f>_xlfn.XLOOKUP(packes[[#This Row],[productId]],bom[Id],bom[wgt])</f>
        <v>1.4486680634540554</v>
      </c>
      <c r="F1091" s="27">
        <f>packes[[#This Row],[num]]*packes[[#This Row],[wtg]]</f>
        <v>14.486680634540555</v>
      </c>
      <c r="G1091" s="357">
        <v>6</v>
      </c>
      <c r="H1091" s="21">
        <f>packes[[#This Row],[num]]-SUM(packes[[#This Row],[num2]])</f>
        <v>10</v>
      </c>
      <c r="I1091" s="357"/>
      <c r="J1091" s="21"/>
      <c r="K1091" s="323" t="s">
        <v>1429</v>
      </c>
      <c r="M1091" s="27">
        <f>_xlfn.XLOOKUP(packes[[#This Row],[productId]],CT[productId],CT[total],"NA")</f>
        <v>147.595</v>
      </c>
      <c r="N1091" s="23" t="str">
        <f>_xlfn.XLOOKUP(packes[[#This Row],[productId]],bom[Id],bom[ph],"NA")</f>
        <v>nar.p</v>
      </c>
      <c r="O1091" s="23" t="str">
        <f>_xlfn.XLOOKUP(packes[[#This Row],[productId]],bom[Id],bom[erth],"NA")</f>
        <v>-</v>
      </c>
      <c r="P1091" s="23" t="str">
        <f>_xlfn.XLOOKUP(packes[[#This Row],[productId]],bom[Id],bom[dbl],"NA")</f>
        <v>nar.p</v>
      </c>
      <c r="Q1091" s="20" t="str">
        <f>LEFT(packes[[#This Row],[date]],4)</f>
        <v>1404</v>
      </c>
    </row>
    <row r="1092" spans="1:17" ht="16.5" x14ac:dyDescent="0.25">
      <c r="A1092" s="23">
        <v>1089</v>
      </c>
      <c r="B1092" s="30" t="s">
        <v>817</v>
      </c>
      <c r="C1092" s="23">
        <v>140310007</v>
      </c>
      <c r="D1092" s="23">
        <v>1800</v>
      </c>
      <c r="E1092" s="27">
        <f>_xlfn.XLOOKUP(packes[[#This Row],[productId]],bom[Id],bom[wgt])</f>
        <v>1.1413748378728923</v>
      </c>
      <c r="F1092" s="27">
        <f>packes[[#This Row],[num]]*packes[[#This Row],[wtg]]</f>
        <v>2054.4747081712062</v>
      </c>
      <c r="G1092" s="357">
        <v>4</v>
      </c>
      <c r="H1092" s="21">
        <f>packes[[#This Row],[num]]-SUM(packes[[#This Row],[num2]])</f>
        <v>1800</v>
      </c>
      <c r="I1092" s="357"/>
      <c r="J1092" s="21"/>
      <c r="K1092" s="323" t="s">
        <v>1430</v>
      </c>
      <c r="M1092" s="27">
        <f>_xlfn.XLOOKUP(packes[[#This Row],[productId]],CT[productId],CT[total],"NA")</f>
        <v>92.484999999999999</v>
      </c>
      <c r="N1092" s="23" t="str">
        <f>_xlfn.XLOOKUP(packes[[#This Row],[productId]],bom[Id],bom[ph],"NA")</f>
        <v>-</v>
      </c>
      <c r="O1092" s="23" t="str">
        <f>_xlfn.XLOOKUP(packes[[#This Row],[productId]],bom[Id],bom[erth],"NA")</f>
        <v>nut4</v>
      </c>
      <c r="P1092" s="23" t="str">
        <f>_xlfn.XLOOKUP(packes[[#This Row],[productId]],bom[Id],bom[dbl],"NA")</f>
        <v>-</v>
      </c>
      <c r="Q1092" s="20" t="str">
        <f>LEFT(packes[[#This Row],[date]],4)</f>
        <v>1404</v>
      </c>
    </row>
    <row r="1093" spans="1:17" ht="16.5" x14ac:dyDescent="0.25">
      <c r="A1093" s="23">
        <v>1090</v>
      </c>
      <c r="B1093" s="30" t="s">
        <v>820</v>
      </c>
      <c r="C1093" s="23">
        <v>140010117</v>
      </c>
      <c r="D1093" s="23">
        <v>1500</v>
      </c>
      <c r="E1093" s="27">
        <f>_xlfn.XLOOKUP(packes[[#This Row],[productId]],bom[Id],bom[wgt])</f>
        <v>1</v>
      </c>
      <c r="F1093" s="27">
        <f>packes[[#This Row],[num]]*packes[[#This Row],[wtg]]</f>
        <v>1500</v>
      </c>
      <c r="G1093" s="357">
        <v>6</v>
      </c>
      <c r="H1093" s="21">
        <f>packes[[#This Row],[num]]-SUM(packes[[#This Row],[num2]])</f>
        <v>1500</v>
      </c>
      <c r="I1093" s="357"/>
      <c r="J1093" s="21"/>
      <c r="K1093" s="323" t="s">
        <v>1431</v>
      </c>
      <c r="M1093" s="27">
        <f>_xlfn.XLOOKUP(packes[[#This Row],[productId]],CT[productId],CT[total],"NA")</f>
        <v>98.295000000000016</v>
      </c>
      <c r="N1093" s="23" t="str">
        <f>_xlfn.XLOOKUP(packes[[#This Row],[productId]],bom[Id],bom[ph],"NA")</f>
        <v>nar.p</v>
      </c>
      <c r="O1093" s="23" t="str">
        <f>_xlfn.XLOOKUP(packes[[#This Row],[productId]],bom[Id],bom[erth],"NA")</f>
        <v>-</v>
      </c>
      <c r="P1093" s="23" t="str">
        <f>_xlfn.XLOOKUP(packes[[#This Row],[productId]],bom[Id],bom[dbl],"NA")</f>
        <v>nar.p</v>
      </c>
      <c r="Q1093" s="20" t="str">
        <f>LEFT(packes[[#This Row],[date]],4)</f>
        <v>1404</v>
      </c>
    </row>
    <row r="1094" spans="1:17" ht="16.5" x14ac:dyDescent="0.25">
      <c r="A1094" s="23">
        <v>1091</v>
      </c>
      <c r="B1094" s="30" t="s">
        <v>820</v>
      </c>
      <c r="C1094" s="23">
        <v>140310007</v>
      </c>
      <c r="D1094" s="23">
        <v>1200</v>
      </c>
      <c r="E1094" s="27">
        <f>_xlfn.XLOOKUP(packes[[#This Row],[productId]],bom[Id],bom[wgt])</f>
        <v>1.1413748378728923</v>
      </c>
      <c r="F1094" s="27">
        <f>packes[[#This Row],[num]]*packes[[#This Row],[wtg]]</f>
        <v>1369.6498054474707</v>
      </c>
      <c r="G1094" s="357">
        <v>4</v>
      </c>
      <c r="H1094" s="21">
        <f>packes[[#This Row],[num]]-SUM(packes[[#This Row],[num2]])</f>
        <v>1200</v>
      </c>
      <c r="I1094" s="357"/>
      <c r="J1094" s="21"/>
      <c r="K1094" s="323" t="s">
        <v>1432</v>
      </c>
      <c r="M1094" s="27">
        <f>_xlfn.XLOOKUP(packes[[#This Row],[productId]],CT[productId],CT[total],"NA")</f>
        <v>92.484999999999999</v>
      </c>
      <c r="N1094" s="23" t="str">
        <f>_xlfn.XLOOKUP(packes[[#This Row],[productId]],bom[Id],bom[ph],"NA")</f>
        <v>-</v>
      </c>
      <c r="O1094" s="23" t="str">
        <f>_xlfn.XLOOKUP(packes[[#This Row],[productId]],bom[Id],bom[erth],"NA")</f>
        <v>nut4</v>
      </c>
      <c r="P1094" s="23" t="str">
        <f>_xlfn.XLOOKUP(packes[[#This Row],[productId]],bom[Id],bom[dbl],"NA")</f>
        <v>-</v>
      </c>
      <c r="Q1094" s="20" t="str">
        <f>LEFT(packes[[#This Row],[date]],4)</f>
        <v>1404</v>
      </c>
    </row>
    <row r="1095" spans="1:17" ht="16.5" x14ac:dyDescent="0.25">
      <c r="A1095" s="23">
        <v>1092</v>
      </c>
      <c r="B1095" s="30" t="s">
        <v>820</v>
      </c>
      <c r="C1095" s="23">
        <v>140310083</v>
      </c>
      <c r="D1095" s="23">
        <v>100</v>
      </c>
      <c r="E1095" s="27">
        <f>_xlfn.XLOOKUP(packes[[#This Row],[productId]],bom[Id],bom[wgt])</f>
        <v>1.3369250723336326</v>
      </c>
      <c r="F1095" s="27">
        <f>packes[[#This Row],[num]]*packes[[#This Row],[wtg]]</f>
        <v>133.69250723336324</v>
      </c>
      <c r="G1095" s="357">
        <v>3</v>
      </c>
      <c r="H1095" s="21">
        <f>packes[[#This Row],[num]]-SUM(packes[[#This Row],[num2]])</f>
        <v>100</v>
      </c>
      <c r="I1095" s="357"/>
      <c r="J1095" s="21"/>
      <c r="K1095" s="323" t="s">
        <v>1283</v>
      </c>
      <c r="M1095" s="27">
        <f>_xlfn.XLOOKUP(packes[[#This Row],[productId]],CT[productId],CT[total],"NA")</f>
        <v>135.23500000000001</v>
      </c>
      <c r="N1095" s="23" t="str">
        <f>_xlfn.XLOOKUP(packes[[#This Row],[productId]],bom[Id],bom[ph],"NA")</f>
        <v>6.3flat</v>
      </c>
      <c r="O1095" s="23" t="str">
        <f>_xlfn.XLOOKUP(packes[[#This Row],[productId]],bom[Id],bom[erth],"NA")</f>
        <v>6.3flat</v>
      </c>
      <c r="P1095" s="23" t="str">
        <f>_xlfn.XLOOKUP(packes[[#This Row],[productId]],bom[Id],bom[dbl],"NA")</f>
        <v>-</v>
      </c>
      <c r="Q1095" s="20" t="str">
        <f>LEFT(packes[[#This Row],[date]],4)</f>
        <v>1404</v>
      </c>
    </row>
    <row r="1096" spans="1:17" ht="16.5" x14ac:dyDescent="0.25">
      <c r="A1096" s="23">
        <v>1093</v>
      </c>
      <c r="B1096" s="30" t="s">
        <v>822</v>
      </c>
      <c r="C1096" s="23">
        <v>140010117</v>
      </c>
      <c r="D1096" s="23">
        <v>75</v>
      </c>
      <c r="E1096" s="27">
        <f>_xlfn.XLOOKUP(packes[[#This Row],[productId]],bom[Id],bom[wgt])</f>
        <v>1</v>
      </c>
      <c r="F1096" s="27">
        <f>packes[[#This Row],[num]]*packes[[#This Row],[wtg]]</f>
        <v>75</v>
      </c>
      <c r="G1096" s="357">
        <v>6</v>
      </c>
      <c r="H1096" s="21">
        <f>packes[[#This Row],[num]]-SUM(packes[[#This Row],[num2]])</f>
        <v>75</v>
      </c>
      <c r="I1096" s="357"/>
      <c r="J1096" s="21"/>
      <c r="K1096" s="323" t="s">
        <v>1435</v>
      </c>
      <c r="M1096" s="27">
        <f>_xlfn.XLOOKUP(packes[[#This Row],[productId]],CT[productId],CT[total],"NA")</f>
        <v>98.295000000000016</v>
      </c>
      <c r="N1096" s="23" t="str">
        <f>_xlfn.XLOOKUP(packes[[#This Row],[productId]],bom[Id],bom[ph],"NA")</f>
        <v>nar.p</v>
      </c>
      <c r="O1096" s="23" t="str">
        <f>_xlfn.XLOOKUP(packes[[#This Row],[productId]],bom[Id],bom[erth],"NA")</f>
        <v>-</v>
      </c>
      <c r="P1096" s="23" t="str">
        <f>_xlfn.XLOOKUP(packes[[#This Row],[productId]],bom[Id],bom[dbl],"NA")</f>
        <v>nar.p</v>
      </c>
      <c r="Q1096" s="20" t="str">
        <f>LEFT(packes[[#This Row],[date]],4)</f>
        <v>1404</v>
      </c>
    </row>
    <row r="1097" spans="1:17" ht="16.5" x14ac:dyDescent="0.25">
      <c r="A1097" s="23">
        <v>1094</v>
      </c>
      <c r="B1097" s="30" t="s">
        <v>822</v>
      </c>
      <c r="C1097" s="23">
        <v>140010230</v>
      </c>
      <c r="D1097" s="23">
        <v>500</v>
      </c>
      <c r="E1097" s="27">
        <f>_xlfn.XLOOKUP(packes[[#This Row],[productId]],bom[Id],bom[wgt])</f>
        <v>1.4486680634540554</v>
      </c>
      <c r="F1097" s="27">
        <f>packes[[#This Row],[num]]*packes[[#This Row],[wtg]]</f>
        <v>724.33403172702765</v>
      </c>
      <c r="G1097" s="357">
        <v>6</v>
      </c>
      <c r="H1097" s="21">
        <f>packes[[#This Row],[num]]-SUM(packes[[#This Row],[num2]])</f>
        <v>500</v>
      </c>
      <c r="I1097" s="357"/>
      <c r="J1097" s="21"/>
      <c r="K1097" s="323" t="s">
        <v>1436</v>
      </c>
      <c r="M1097" s="27">
        <f>_xlfn.XLOOKUP(packes[[#This Row],[productId]],CT[productId],CT[total],"NA")</f>
        <v>147.595</v>
      </c>
      <c r="N1097" s="23" t="str">
        <f>_xlfn.XLOOKUP(packes[[#This Row],[productId]],bom[Id],bom[ph],"NA")</f>
        <v>nar.p</v>
      </c>
      <c r="O1097" s="23" t="str">
        <f>_xlfn.XLOOKUP(packes[[#This Row],[productId]],bom[Id],bom[erth],"NA")</f>
        <v>-</v>
      </c>
      <c r="P1097" s="23" t="str">
        <f>_xlfn.XLOOKUP(packes[[#This Row],[productId]],bom[Id],bom[dbl],"NA")</f>
        <v>nar.p</v>
      </c>
      <c r="Q1097" s="20" t="str">
        <f>LEFT(packes[[#This Row],[date]],4)</f>
        <v>1404</v>
      </c>
    </row>
    <row r="1098" spans="1:17" ht="16.5" x14ac:dyDescent="0.25">
      <c r="A1098" s="23">
        <v>1095</v>
      </c>
      <c r="B1098" s="30" t="s">
        <v>822</v>
      </c>
      <c r="C1098" s="23">
        <v>140310007</v>
      </c>
      <c r="D1098" s="23">
        <v>1100</v>
      </c>
      <c r="E1098" s="27">
        <f>_xlfn.XLOOKUP(packes[[#This Row],[productId]],bom[Id],bom[wgt])</f>
        <v>1.1413748378728923</v>
      </c>
      <c r="F1098" s="27">
        <f>packes[[#This Row],[num]]*packes[[#This Row],[wtg]]</f>
        <v>1255.5123216601814</v>
      </c>
      <c r="G1098" s="357">
        <v>4</v>
      </c>
      <c r="H1098" s="21">
        <f>packes[[#This Row],[num]]-SUM(packes[[#This Row],[num2]])</f>
        <v>1100</v>
      </c>
      <c r="I1098" s="357"/>
      <c r="J1098" s="21"/>
      <c r="K1098" s="323" t="s">
        <v>1437</v>
      </c>
      <c r="M1098" s="27">
        <f>_xlfn.XLOOKUP(packes[[#This Row],[productId]],CT[productId],CT[total],"NA")</f>
        <v>92.484999999999999</v>
      </c>
      <c r="N1098" s="23" t="str">
        <f>_xlfn.XLOOKUP(packes[[#This Row],[productId]],bom[Id],bom[ph],"NA")</f>
        <v>-</v>
      </c>
      <c r="O1098" s="23" t="str">
        <f>_xlfn.XLOOKUP(packes[[#This Row],[productId]],bom[Id],bom[erth],"NA")</f>
        <v>nut4</v>
      </c>
      <c r="P1098" s="23" t="str">
        <f>_xlfn.XLOOKUP(packes[[#This Row],[productId]],bom[Id],bom[dbl],"NA")</f>
        <v>-</v>
      </c>
      <c r="Q1098" s="20" t="str">
        <f>LEFT(packes[[#This Row],[date]],4)</f>
        <v>1404</v>
      </c>
    </row>
    <row r="1099" spans="1:17" ht="16.5" x14ac:dyDescent="0.25">
      <c r="A1099" s="23">
        <v>1096</v>
      </c>
      <c r="B1099" s="30" t="s">
        <v>822</v>
      </c>
      <c r="C1099" s="23">
        <v>140310071</v>
      </c>
      <c r="D1099" s="23">
        <v>200</v>
      </c>
      <c r="E1099" s="27">
        <f>_xlfn.XLOOKUP(packes[[#This Row],[productId]],bom[Id],bom[wgt])</f>
        <v>1.3</v>
      </c>
      <c r="F1099" s="27">
        <f>packes[[#This Row],[num]]*packes[[#This Row],[wtg]]</f>
        <v>260</v>
      </c>
      <c r="G1099" s="357">
        <v>3</v>
      </c>
      <c r="H1099" s="21">
        <f>packes[[#This Row],[num]]-SUM(packes[[#This Row],[num2]])</f>
        <v>200</v>
      </c>
      <c r="I1099" s="357"/>
      <c r="J1099" s="21"/>
      <c r="K1099" s="323" t="s">
        <v>1438</v>
      </c>
      <c r="M1099" s="27">
        <f>_xlfn.XLOOKUP(packes[[#This Row],[productId]],CT[productId],CT[total],"NA")</f>
        <v>130.69500000000002</v>
      </c>
      <c r="N1099" s="23" t="str">
        <f>_xlfn.XLOOKUP(packes[[#This Row],[productId]],bom[Id],bom[ph],"NA")</f>
        <v>6.3ch</v>
      </c>
      <c r="O1099" s="23" t="str">
        <f>_xlfn.XLOOKUP(packes[[#This Row],[productId]],bom[Id],bom[erth],"NA")</f>
        <v>6.3k</v>
      </c>
      <c r="P1099" s="23" t="str">
        <f>_xlfn.XLOOKUP(packes[[#This Row],[productId]],bom[Id],bom[dbl],"NA")</f>
        <v>-</v>
      </c>
      <c r="Q1099" s="20" t="str">
        <f>LEFT(packes[[#This Row],[date]],4)</f>
        <v>1404</v>
      </c>
    </row>
    <row r="1100" spans="1:17" ht="16.5" x14ac:dyDescent="0.25">
      <c r="A1100" s="23">
        <v>1097</v>
      </c>
      <c r="B1100" s="30" t="s">
        <v>823</v>
      </c>
      <c r="C1100" s="23">
        <v>140010117</v>
      </c>
      <c r="D1100" s="23">
        <v>375</v>
      </c>
      <c r="E1100" s="27">
        <f>_xlfn.XLOOKUP(packes[[#This Row],[productId]],bom[Id],bom[wgt])</f>
        <v>1</v>
      </c>
      <c r="F1100" s="27">
        <f>packes[[#This Row],[num]]*packes[[#This Row],[wtg]]</f>
        <v>375</v>
      </c>
      <c r="G1100" s="357">
        <v>6</v>
      </c>
      <c r="H1100" s="21">
        <f>packes[[#This Row],[num]]-SUM(packes[[#This Row],[num2]])</f>
        <v>375</v>
      </c>
      <c r="I1100" s="357"/>
      <c r="J1100" s="21"/>
      <c r="K1100" s="323" t="s">
        <v>1441</v>
      </c>
      <c r="M1100" s="27">
        <f>_xlfn.XLOOKUP(packes[[#This Row],[productId]],CT[productId],CT[total],"NA")</f>
        <v>98.295000000000016</v>
      </c>
      <c r="N1100" s="23" t="str">
        <f>_xlfn.XLOOKUP(packes[[#This Row],[productId]],bom[Id],bom[ph],"NA")</f>
        <v>nar.p</v>
      </c>
      <c r="O1100" s="23" t="str">
        <f>_xlfn.XLOOKUP(packes[[#This Row],[productId]],bom[Id],bom[erth],"NA")</f>
        <v>-</v>
      </c>
      <c r="P1100" s="23" t="str">
        <f>_xlfn.XLOOKUP(packes[[#This Row],[productId]],bom[Id],bom[dbl],"NA")</f>
        <v>nar.p</v>
      </c>
      <c r="Q1100" s="20" t="str">
        <f>LEFT(packes[[#This Row],[date]],4)</f>
        <v>1404</v>
      </c>
    </row>
    <row r="1101" spans="1:17" ht="16.5" x14ac:dyDescent="0.25">
      <c r="A1101" s="23">
        <v>1098</v>
      </c>
      <c r="B1101" s="30" t="s">
        <v>823</v>
      </c>
      <c r="C1101" s="23">
        <v>140010230</v>
      </c>
      <c r="D1101" s="23">
        <v>500</v>
      </c>
      <c r="E1101" s="27">
        <f>_xlfn.XLOOKUP(packes[[#This Row],[productId]],bom[Id],bom[wgt])</f>
        <v>1.4486680634540554</v>
      </c>
      <c r="F1101" s="27">
        <f>packes[[#This Row],[num]]*packes[[#This Row],[wtg]]</f>
        <v>724.33403172702765</v>
      </c>
      <c r="G1101" s="357">
        <v>6</v>
      </c>
      <c r="H1101" s="21">
        <f>packes[[#This Row],[num]]-SUM(packes[[#This Row],[num2]])</f>
        <v>500</v>
      </c>
      <c r="I1101" s="357"/>
      <c r="J1101" s="21"/>
      <c r="K1101" s="323" t="s">
        <v>1442</v>
      </c>
      <c r="M1101" s="27">
        <f>_xlfn.XLOOKUP(packes[[#This Row],[productId]],CT[productId],CT[total],"NA")</f>
        <v>147.595</v>
      </c>
      <c r="N1101" s="23" t="str">
        <f>_xlfn.XLOOKUP(packes[[#This Row],[productId]],bom[Id],bom[ph],"NA")</f>
        <v>nar.p</v>
      </c>
      <c r="O1101" s="23" t="str">
        <f>_xlfn.XLOOKUP(packes[[#This Row],[productId]],bom[Id],bom[erth],"NA")</f>
        <v>-</v>
      </c>
      <c r="P1101" s="23" t="str">
        <f>_xlfn.XLOOKUP(packes[[#This Row],[productId]],bom[Id],bom[dbl],"NA")</f>
        <v>nar.p</v>
      </c>
      <c r="Q1101" s="20" t="str">
        <f>LEFT(packes[[#This Row],[date]],4)</f>
        <v>1404</v>
      </c>
    </row>
    <row r="1102" spans="1:17" ht="16.5" x14ac:dyDescent="0.25">
      <c r="A1102" s="23">
        <v>1099</v>
      </c>
      <c r="B1102" s="30" t="s">
        <v>823</v>
      </c>
      <c r="C1102" s="23">
        <v>140310007</v>
      </c>
      <c r="D1102" s="23">
        <v>200</v>
      </c>
      <c r="E1102" s="27">
        <f>_xlfn.XLOOKUP(packes[[#This Row],[productId]],bom[Id],bom[wgt])</f>
        <v>1.1413748378728923</v>
      </c>
      <c r="F1102" s="27">
        <f>packes[[#This Row],[num]]*packes[[#This Row],[wtg]]</f>
        <v>228.27496757457845</v>
      </c>
      <c r="G1102" s="357">
        <v>4</v>
      </c>
      <c r="H1102" s="21">
        <f>packes[[#This Row],[num]]-SUM(packes[[#This Row],[num2]])</f>
        <v>200</v>
      </c>
      <c r="I1102" s="357"/>
      <c r="J1102" s="21"/>
      <c r="K1102" s="323" t="s">
        <v>1443</v>
      </c>
      <c r="M1102" s="27">
        <f>_xlfn.XLOOKUP(packes[[#This Row],[productId]],CT[productId],CT[total],"NA")</f>
        <v>92.484999999999999</v>
      </c>
      <c r="N1102" s="23" t="str">
        <f>_xlfn.XLOOKUP(packes[[#This Row],[productId]],bom[Id],bom[ph],"NA")</f>
        <v>-</v>
      </c>
      <c r="O1102" s="23" t="str">
        <f>_xlfn.XLOOKUP(packes[[#This Row],[productId]],bom[Id],bom[erth],"NA")</f>
        <v>nut4</v>
      </c>
      <c r="P1102" s="23" t="str">
        <f>_xlfn.XLOOKUP(packes[[#This Row],[productId]],bom[Id],bom[dbl],"NA")</f>
        <v>-</v>
      </c>
      <c r="Q1102" s="20" t="str">
        <f>LEFT(packes[[#This Row],[date]],4)</f>
        <v>1404</v>
      </c>
    </row>
    <row r="1103" spans="1:17" ht="16.5" x14ac:dyDescent="0.25">
      <c r="A1103" s="23">
        <v>1100</v>
      </c>
      <c r="B1103" s="30" t="s">
        <v>823</v>
      </c>
      <c r="C1103" s="23">
        <v>140450047</v>
      </c>
      <c r="D1103" s="23">
        <v>1500</v>
      </c>
      <c r="E1103" s="27">
        <f>_xlfn.XLOOKUP(packes[[#This Row],[productId]],bom[Id],bom[wgt])</f>
        <v>0</v>
      </c>
      <c r="F1103" s="27">
        <f>packes[[#This Row],[num]]*packes[[#This Row],[wtg]]</f>
        <v>0</v>
      </c>
      <c r="G1103" s="357">
        <v>4</v>
      </c>
      <c r="H1103" s="21">
        <f>packes[[#This Row],[num]]-SUM(packes[[#This Row],[num2]])</f>
        <v>1500</v>
      </c>
      <c r="I1103" s="357"/>
      <c r="J1103" s="21"/>
      <c r="K1103" s="323" t="s">
        <v>1444</v>
      </c>
      <c r="M1103" s="27">
        <f>_xlfn.XLOOKUP(packes[[#This Row],[productId]],CT[productId],CT[total],"NA")</f>
        <v>55.46</v>
      </c>
      <c r="N1103" s="23" t="str">
        <f>_xlfn.XLOOKUP(packes[[#This Row],[productId]],bom[Id],bom[ph],"NA")</f>
        <v>-</v>
      </c>
      <c r="O1103" s="23" t="str">
        <f>_xlfn.XLOOKUP(packes[[#This Row],[productId]],bom[Id],bom[erth],"NA")</f>
        <v>-</v>
      </c>
      <c r="P1103" s="23" t="str">
        <f>_xlfn.XLOOKUP(packes[[#This Row],[productId]],bom[Id],bom[dbl],"NA")</f>
        <v>-</v>
      </c>
      <c r="Q1103" s="20" t="str">
        <f>LEFT(packes[[#This Row],[date]],4)</f>
        <v>1404</v>
      </c>
    </row>
    <row r="1104" spans="1:17" ht="16.5" x14ac:dyDescent="0.25">
      <c r="A1104" s="23">
        <v>1101</v>
      </c>
      <c r="B1104" s="30" t="s">
        <v>824</v>
      </c>
      <c r="C1104" s="23">
        <v>140010117</v>
      </c>
      <c r="D1104" s="23">
        <v>225</v>
      </c>
      <c r="E1104" s="27">
        <f>_xlfn.XLOOKUP(packes[[#This Row],[productId]],bom[Id],bom[wgt])</f>
        <v>1</v>
      </c>
      <c r="F1104" s="27">
        <f>packes[[#This Row],[num]]*packes[[#This Row],[wtg]]</f>
        <v>225</v>
      </c>
      <c r="G1104" s="357">
        <v>6</v>
      </c>
      <c r="H1104" s="21">
        <f>packes[[#This Row],[num]]-SUM(packes[[#This Row],[num2]])</f>
        <v>225</v>
      </c>
      <c r="I1104" s="357"/>
      <c r="J1104" s="21"/>
      <c r="K1104" s="323" t="s">
        <v>1449</v>
      </c>
      <c r="M1104" s="27">
        <f>_xlfn.XLOOKUP(packes[[#This Row],[productId]],CT[productId],CT[total],"NA")</f>
        <v>98.295000000000016</v>
      </c>
      <c r="N1104" s="23" t="str">
        <f>_xlfn.XLOOKUP(packes[[#This Row],[productId]],bom[Id],bom[ph],"NA")</f>
        <v>nar.p</v>
      </c>
      <c r="O1104" s="23" t="str">
        <f>_xlfn.XLOOKUP(packes[[#This Row],[productId]],bom[Id],bom[erth],"NA")</f>
        <v>-</v>
      </c>
      <c r="P1104" s="23" t="str">
        <f>_xlfn.XLOOKUP(packes[[#This Row],[productId]],bom[Id],bom[dbl],"NA")</f>
        <v>nar.p</v>
      </c>
      <c r="Q1104" s="20" t="str">
        <f>LEFT(packes[[#This Row],[date]],4)</f>
        <v>1404</v>
      </c>
    </row>
    <row r="1105" spans="1:17" ht="16.5" x14ac:dyDescent="0.25">
      <c r="A1105" s="23">
        <v>1102</v>
      </c>
      <c r="B1105" s="30" t="s">
        <v>824</v>
      </c>
      <c r="C1105" s="23">
        <v>140010230</v>
      </c>
      <c r="D1105" s="23">
        <v>1000</v>
      </c>
      <c r="E1105" s="27">
        <f>_xlfn.XLOOKUP(packes[[#This Row],[productId]],bom[Id],bom[wgt])</f>
        <v>1.4486680634540554</v>
      </c>
      <c r="F1105" s="27">
        <f>packes[[#This Row],[num]]*packes[[#This Row],[wtg]]</f>
        <v>1448.6680634540553</v>
      </c>
      <c r="G1105" s="357">
        <v>6</v>
      </c>
      <c r="H1105" s="21">
        <f>packes[[#This Row],[num]]-SUM(packes[[#This Row],[num2]])</f>
        <v>1000</v>
      </c>
      <c r="I1105" s="357"/>
      <c r="J1105" s="21"/>
      <c r="K1105" s="323" t="s">
        <v>1450</v>
      </c>
      <c r="M1105" s="27">
        <f>_xlfn.XLOOKUP(packes[[#This Row],[productId]],CT[productId],CT[total],"NA")</f>
        <v>147.595</v>
      </c>
      <c r="N1105" s="23" t="str">
        <f>_xlfn.XLOOKUP(packes[[#This Row],[productId]],bom[Id],bom[ph],"NA")</f>
        <v>nar.p</v>
      </c>
      <c r="O1105" s="23" t="str">
        <f>_xlfn.XLOOKUP(packes[[#This Row],[productId]],bom[Id],bom[erth],"NA")</f>
        <v>-</v>
      </c>
      <c r="P1105" s="23" t="str">
        <f>_xlfn.XLOOKUP(packes[[#This Row],[productId]],bom[Id],bom[dbl],"NA")</f>
        <v>nar.p</v>
      </c>
      <c r="Q1105" s="20" t="str">
        <f>LEFT(packes[[#This Row],[date]],4)</f>
        <v>1404</v>
      </c>
    </row>
    <row r="1106" spans="1:17" ht="16.5" x14ac:dyDescent="0.25">
      <c r="A1106" s="23">
        <v>1103</v>
      </c>
      <c r="B1106" s="30" t="s">
        <v>824</v>
      </c>
      <c r="C1106" s="23">
        <v>140010255</v>
      </c>
      <c r="D1106" s="23">
        <v>900</v>
      </c>
      <c r="E1106" s="27">
        <f>_xlfn.XLOOKUP(packes[[#This Row],[productId]],bom[Id],bom[wgt])</f>
        <v>1</v>
      </c>
      <c r="F1106" s="27">
        <f>packes[[#This Row],[num]]*packes[[#This Row],[wtg]]</f>
        <v>900</v>
      </c>
      <c r="G1106" s="357">
        <v>6</v>
      </c>
      <c r="H1106" s="21">
        <f>packes[[#This Row],[num]]-SUM(packes[[#This Row],[num2]])</f>
        <v>900</v>
      </c>
      <c r="I1106" s="357"/>
      <c r="J1106" s="21"/>
      <c r="K1106" s="323" t="s">
        <v>1451</v>
      </c>
      <c r="M1106" s="27">
        <f>_xlfn.XLOOKUP(packes[[#This Row],[productId]],CT[productId],CT[total],"NA")</f>
        <v>95.575000000000003</v>
      </c>
      <c r="N1106" s="23" t="str">
        <f>_xlfn.XLOOKUP(packes[[#This Row],[productId]],bom[Id],bom[ph],"NA")</f>
        <v>-</v>
      </c>
      <c r="O1106" s="23" t="str">
        <f>_xlfn.XLOOKUP(packes[[#This Row],[productId]],bom[Id],bom[erth],"NA")</f>
        <v>-</v>
      </c>
      <c r="P1106" s="23" t="str">
        <f>_xlfn.XLOOKUP(packes[[#This Row],[productId]],bom[Id],bom[dbl],"NA")</f>
        <v>6.3flat</v>
      </c>
      <c r="Q1106" s="20" t="str">
        <f>LEFT(packes[[#This Row],[date]],4)</f>
        <v>1404</v>
      </c>
    </row>
    <row r="1107" spans="1:17" ht="16.5" x14ac:dyDescent="0.25">
      <c r="A1107" s="23">
        <v>1104</v>
      </c>
      <c r="B1107" s="30" t="s">
        <v>824</v>
      </c>
      <c r="C1107" s="23">
        <v>140310096</v>
      </c>
      <c r="D1107" s="23">
        <v>300</v>
      </c>
      <c r="E1107" s="27">
        <f>_xlfn.XLOOKUP(packes[[#This Row],[productId]],bom[Id],bom[wgt])</f>
        <v>1.3</v>
      </c>
      <c r="F1107" s="27">
        <f>packes[[#This Row],[num]]*packes[[#This Row],[wtg]]</f>
        <v>390</v>
      </c>
      <c r="G1107" s="357">
        <v>6</v>
      </c>
      <c r="H1107" s="21">
        <f>packes[[#This Row],[num]]-SUM(packes[[#This Row],[num2]])</f>
        <v>300</v>
      </c>
      <c r="I1107" s="357"/>
      <c r="J1107" s="21"/>
      <c r="K1107" s="323" t="s">
        <v>1453</v>
      </c>
      <c r="M1107" s="27">
        <f>_xlfn.XLOOKUP(packes[[#This Row],[productId]],CT[productId],CT[total],"NA")</f>
        <v>76.239999999999995</v>
      </c>
      <c r="N1107" s="23" t="str">
        <f>_xlfn.XLOOKUP(packes[[#This Row],[productId]],bom[Id],bom[ph],"NA")</f>
        <v>6.3ch</v>
      </c>
      <c r="O1107" s="23" t="str">
        <f>_xlfn.XLOOKUP(packes[[#This Row],[productId]],bom[Id],bom[erth],"NA")</f>
        <v>6.3k</v>
      </c>
      <c r="P1107" s="23">
        <f>_xlfn.XLOOKUP(packes[[#This Row],[productId]],bom[Id],bom[dbl],"NA")</f>
        <v>0</v>
      </c>
      <c r="Q1107" s="20" t="str">
        <f>LEFT(packes[[#This Row],[date]],4)</f>
        <v>1404</v>
      </c>
    </row>
    <row r="1108" spans="1:17" ht="16.5" x14ac:dyDescent="0.25">
      <c r="A1108" s="23">
        <v>1105</v>
      </c>
      <c r="B1108" s="30" t="s">
        <v>824</v>
      </c>
      <c r="C1108" s="23">
        <v>140450047</v>
      </c>
      <c r="D1108" s="23">
        <v>200</v>
      </c>
      <c r="E1108" s="27">
        <f>_xlfn.XLOOKUP(packes[[#This Row],[productId]],bom[Id],bom[wgt])</f>
        <v>0</v>
      </c>
      <c r="F1108" s="27">
        <f>packes[[#This Row],[num]]*packes[[#This Row],[wtg]]</f>
        <v>0</v>
      </c>
      <c r="G1108" s="357">
        <v>4</v>
      </c>
      <c r="H1108" s="21">
        <f>packes[[#This Row],[num]]-SUM(packes[[#This Row],[num2]])</f>
        <v>200</v>
      </c>
      <c r="I1108" s="357"/>
      <c r="J1108" s="21"/>
      <c r="K1108" s="323" t="s">
        <v>1452</v>
      </c>
      <c r="M1108" s="27">
        <f>_xlfn.XLOOKUP(packes[[#This Row],[productId]],CT[productId],CT[total],"NA")</f>
        <v>55.46</v>
      </c>
      <c r="N1108" s="23" t="str">
        <f>_xlfn.XLOOKUP(packes[[#This Row],[productId]],bom[Id],bom[ph],"NA")</f>
        <v>-</v>
      </c>
      <c r="O1108" s="23" t="str">
        <f>_xlfn.XLOOKUP(packes[[#This Row],[productId]],bom[Id],bom[erth],"NA")</f>
        <v>-</v>
      </c>
      <c r="P1108" s="23" t="str">
        <f>_xlfn.XLOOKUP(packes[[#This Row],[productId]],bom[Id],bom[dbl],"NA")</f>
        <v>-</v>
      </c>
      <c r="Q1108" s="20" t="str">
        <f>LEFT(packes[[#This Row],[date]],4)</f>
        <v>1404</v>
      </c>
    </row>
    <row r="1109" spans="1:17" ht="16.5" x14ac:dyDescent="0.25">
      <c r="A1109" s="23">
        <v>1106</v>
      </c>
      <c r="B1109" s="30" t="s">
        <v>827</v>
      </c>
      <c r="C1109" s="23">
        <v>140010230</v>
      </c>
      <c r="D1109" s="23">
        <v>950</v>
      </c>
      <c r="E1109" s="27">
        <f>_xlfn.XLOOKUP(packes[[#This Row],[productId]],bom[Id],bom[wgt])</f>
        <v>1.4486680634540554</v>
      </c>
      <c r="F1109" s="27">
        <f>packes[[#This Row],[num]]*packes[[#This Row],[wtg]]</f>
        <v>1376.2346602813527</v>
      </c>
      <c r="G1109" s="357">
        <v>6</v>
      </c>
      <c r="H1109" s="21">
        <f>packes[[#This Row],[num]]-SUM(packes[[#This Row],[num2]])</f>
        <v>950</v>
      </c>
      <c r="I1109" s="357"/>
      <c r="J1109" s="21"/>
      <c r="K1109" s="323" t="s">
        <v>1454</v>
      </c>
      <c r="M1109" s="27">
        <f>_xlfn.XLOOKUP(packes[[#This Row],[productId]],CT[productId],CT[total],"NA")</f>
        <v>147.595</v>
      </c>
      <c r="N1109" s="23" t="str">
        <f>_xlfn.XLOOKUP(packes[[#This Row],[productId]],bom[Id],bom[ph],"NA")</f>
        <v>nar.p</v>
      </c>
      <c r="O1109" s="23" t="str">
        <f>_xlfn.XLOOKUP(packes[[#This Row],[productId]],bom[Id],bom[erth],"NA")</f>
        <v>-</v>
      </c>
      <c r="P1109" s="23" t="str">
        <f>_xlfn.XLOOKUP(packes[[#This Row],[productId]],bom[Id],bom[dbl],"NA")</f>
        <v>nar.p</v>
      </c>
      <c r="Q1109" s="20" t="str">
        <f>LEFT(packes[[#This Row],[date]],4)</f>
        <v>1404</v>
      </c>
    </row>
    <row r="1110" spans="1:17" ht="16.5" x14ac:dyDescent="0.25">
      <c r="A1110" s="23">
        <v>1107</v>
      </c>
      <c r="B1110" s="30" t="s">
        <v>827</v>
      </c>
      <c r="C1110" s="23">
        <v>140010255</v>
      </c>
      <c r="D1110" s="23">
        <v>675</v>
      </c>
      <c r="E1110" s="27">
        <f>_xlfn.XLOOKUP(packes[[#This Row],[productId]],bom[Id],bom[wgt])</f>
        <v>1</v>
      </c>
      <c r="F1110" s="27">
        <f>packes[[#This Row],[num]]*packes[[#This Row],[wtg]]</f>
        <v>675</v>
      </c>
      <c r="G1110" s="357">
        <v>6</v>
      </c>
      <c r="H1110" s="21">
        <f>packes[[#This Row],[num]]-SUM(packes[[#This Row],[num2]])</f>
        <v>675</v>
      </c>
      <c r="I1110" s="357"/>
      <c r="J1110" s="21"/>
      <c r="K1110" s="323" t="s">
        <v>1455</v>
      </c>
      <c r="M1110" s="27">
        <f>_xlfn.XLOOKUP(packes[[#This Row],[productId]],CT[productId],CT[total],"NA")</f>
        <v>95.575000000000003</v>
      </c>
      <c r="N1110" s="23" t="str">
        <f>_xlfn.XLOOKUP(packes[[#This Row],[productId]],bom[Id],bom[ph],"NA")</f>
        <v>-</v>
      </c>
      <c r="O1110" s="23" t="str">
        <f>_xlfn.XLOOKUP(packes[[#This Row],[productId]],bom[Id],bom[erth],"NA")</f>
        <v>-</v>
      </c>
      <c r="P1110" s="23" t="str">
        <f>_xlfn.XLOOKUP(packes[[#This Row],[productId]],bom[Id],bom[dbl],"NA")</f>
        <v>6.3flat</v>
      </c>
      <c r="Q1110" s="20" t="str">
        <f>LEFT(packes[[#This Row],[date]],4)</f>
        <v>1404</v>
      </c>
    </row>
    <row r="1111" spans="1:17" ht="16.5" x14ac:dyDescent="0.25">
      <c r="A1111" s="23">
        <v>1108</v>
      </c>
      <c r="B1111" s="30" t="s">
        <v>827</v>
      </c>
      <c r="C1111" s="23">
        <v>140310007</v>
      </c>
      <c r="D1111" s="23">
        <v>1700</v>
      </c>
      <c r="E1111" s="27">
        <f>_xlfn.XLOOKUP(packes[[#This Row],[productId]],bom[Id],bom[wgt])</f>
        <v>1.1413748378728923</v>
      </c>
      <c r="F1111" s="27">
        <f>packes[[#This Row],[num]]*packes[[#This Row],[wtg]]</f>
        <v>1940.3372243839169</v>
      </c>
      <c r="G1111" s="357">
        <v>4</v>
      </c>
      <c r="H1111" s="21">
        <f>packes[[#This Row],[num]]-SUM(packes[[#This Row],[num2]])</f>
        <v>1700</v>
      </c>
      <c r="I1111" s="357"/>
      <c r="J1111" s="21"/>
      <c r="K1111" s="323" t="s">
        <v>1456</v>
      </c>
      <c r="M1111" s="27">
        <f>_xlfn.XLOOKUP(packes[[#This Row],[productId]],CT[productId],CT[total],"NA")</f>
        <v>92.484999999999999</v>
      </c>
      <c r="N1111" s="23" t="str">
        <f>_xlfn.XLOOKUP(packes[[#This Row],[productId]],bom[Id],bom[ph],"NA")</f>
        <v>-</v>
      </c>
      <c r="O1111" s="23" t="str">
        <f>_xlfn.XLOOKUP(packes[[#This Row],[productId]],bom[Id],bom[erth],"NA")</f>
        <v>nut4</v>
      </c>
      <c r="P1111" s="23" t="str">
        <f>_xlfn.XLOOKUP(packes[[#This Row],[productId]],bom[Id],bom[dbl],"NA")</f>
        <v>-</v>
      </c>
      <c r="Q1111" s="20" t="str">
        <f>LEFT(packes[[#This Row],[date]],4)</f>
        <v>1404</v>
      </c>
    </row>
    <row r="1112" spans="1:17" ht="16.5" x14ac:dyDescent="0.25">
      <c r="A1112" s="23">
        <v>1109</v>
      </c>
      <c r="B1112" s="30" t="s">
        <v>827</v>
      </c>
      <c r="C1112" s="23">
        <v>140310031</v>
      </c>
      <c r="D1112" s="23">
        <v>50</v>
      </c>
      <c r="E1112" s="27">
        <f>_xlfn.XLOOKUP(packes[[#This Row],[productId]],bom[Id],bom[wgt])</f>
        <v>1.9455252918287937</v>
      </c>
      <c r="F1112" s="27">
        <f>packes[[#This Row],[num]]*packes[[#This Row],[wtg]]</f>
        <v>97.276264591439684</v>
      </c>
      <c r="G1112" s="357">
        <v>4</v>
      </c>
      <c r="H1112" s="21">
        <f>packes[[#This Row],[num]]-SUM(packes[[#This Row],[num2]])</f>
        <v>50</v>
      </c>
      <c r="I1112" s="357"/>
      <c r="J1112" s="21"/>
      <c r="K1112" s="323" t="s">
        <v>1457</v>
      </c>
      <c r="M1112" s="27">
        <f>_xlfn.XLOOKUP(packes[[#This Row],[productId]],CT[productId],CT[total],"NA")</f>
        <v>202.96500000000003</v>
      </c>
      <c r="N1112" s="23">
        <f>_xlfn.XLOOKUP(packes[[#This Row],[productId]],bom[Id],bom[ph],"NA")</f>
        <v>461</v>
      </c>
      <c r="O1112" s="23" t="str">
        <f>_xlfn.XLOOKUP(packes[[#This Row],[productId]],bom[Id],bom[erth],"NA")</f>
        <v>nut4</v>
      </c>
      <c r="P1112" s="23" t="str">
        <f>_xlfn.XLOOKUP(packes[[#This Row],[productId]],bom[Id],bom[dbl],"NA")</f>
        <v>-</v>
      </c>
      <c r="Q1112" s="20" t="str">
        <f>LEFT(packes[[#This Row],[date]],4)</f>
        <v>1404</v>
      </c>
    </row>
    <row r="1113" spans="1:17" ht="16.5" x14ac:dyDescent="0.25">
      <c r="A1113" s="23">
        <v>1110</v>
      </c>
      <c r="B1113" s="30" t="s">
        <v>828</v>
      </c>
      <c r="C1113" s="23">
        <v>140010117</v>
      </c>
      <c r="D1113" s="23">
        <v>1500</v>
      </c>
      <c r="E1113" s="27">
        <f>_xlfn.XLOOKUP(packes[[#This Row],[productId]],bom[Id],bom[wgt])</f>
        <v>1</v>
      </c>
      <c r="F1113" s="27">
        <f>packes[[#This Row],[num]]*packes[[#This Row],[wtg]]</f>
        <v>1500</v>
      </c>
      <c r="G1113" s="357">
        <v>6</v>
      </c>
      <c r="H1113" s="21">
        <f>packes[[#This Row],[num]]-SUM(packes[[#This Row],[num2]])</f>
        <v>1500</v>
      </c>
      <c r="I1113" s="357"/>
      <c r="J1113" s="21"/>
      <c r="K1113" s="323" t="s">
        <v>1461</v>
      </c>
      <c r="M1113" s="27">
        <f>_xlfn.XLOOKUP(packes[[#This Row],[productId]],CT[productId],CT[total],"NA")</f>
        <v>98.295000000000016</v>
      </c>
      <c r="N1113" s="23" t="str">
        <f>_xlfn.XLOOKUP(packes[[#This Row],[productId]],bom[Id],bom[ph],"NA")</f>
        <v>nar.p</v>
      </c>
      <c r="O1113" s="23" t="str">
        <f>_xlfn.XLOOKUP(packes[[#This Row],[productId]],bom[Id],bom[erth],"NA")</f>
        <v>-</v>
      </c>
      <c r="P1113" s="23" t="str">
        <f>_xlfn.XLOOKUP(packes[[#This Row],[productId]],bom[Id],bom[dbl],"NA")</f>
        <v>nar.p</v>
      </c>
      <c r="Q1113" s="20" t="str">
        <f>LEFT(packes[[#This Row],[date]],4)</f>
        <v>1404</v>
      </c>
    </row>
    <row r="1114" spans="1:17" ht="16.5" x14ac:dyDescent="0.25">
      <c r="A1114" s="23">
        <v>1111</v>
      </c>
      <c r="B1114" s="30" t="s">
        <v>828</v>
      </c>
      <c r="C1114" s="23">
        <v>140010230</v>
      </c>
      <c r="D1114" s="23">
        <v>200</v>
      </c>
      <c r="E1114" s="27">
        <f>_xlfn.XLOOKUP(packes[[#This Row],[productId]],bom[Id],bom[wgt])</f>
        <v>1.4486680634540554</v>
      </c>
      <c r="F1114" s="27">
        <f>packes[[#This Row],[num]]*packes[[#This Row],[wtg]]</f>
        <v>289.73361269081107</v>
      </c>
      <c r="G1114" s="357">
        <v>6</v>
      </c>
      <c r="H1114" s="21">
        <f>packes[[#This Row],[num]]-SUM(packes[[#This Row],[num2]])</f>
        <v>200</v>
      </c>
      <c r="I1114" s="357"/>
      <c r="J1114" s="21"/>
      <c r="K1114" s="323" t="s">
        <v>1462</v>
      </c>
      <c r="M1114" s="27">
        <f>_xlfn.XLOOKUP(packes[[#This Row],[productId]],CT[productId],CT[total],"NA")</f>
        <v>147.595</v>
      </c>
      <c r="N1114" s="23" t="str">
        <f>_xlfn.XLOOKUP(packes[[#This Row],[productId]],bom[Id],bom[ph],"NA")</f>
        <v>nar.p</v>
      </c>
      <c r="O1114" s="23" t="str">
        <f>_xlfn.XLOOKUP(packes[[#This Row],[productId]],bom[Id],bom[erth],"NA")</f>
        <v>-</v>
      </c>
      <c r="P1114" s="23" t="str">
        <f>_xlfn.XLOOKUP(packes[[#This Row],[productId]],bom[Id],bom[dbl],"NA")</f>
        <v>nar.p</v>
      </c>
      <c r="Q1114" s="20" t="str">
        <f>LEFT(packes[[#This Row],[date]],4)</f>
        <v>1404</v>
      </c>
    </row>
    <row r="1115" spans="1:17" ht="16.5" x14ac:dyDescent="0.25">
      <c r="A1115" s="23">
        <v>1112</v>
      </c>
      <c r="B1115" s="30" t="s">
        <v>828</v>
      </c>
      <c r="C1115" s="23">
        <v>140030039</v>
      </c>
      <c r="D1115" s="23">
        <v>800</v>
      </c>
      <c r="E1115" s="27">
        <f>_xlfn.XLOOKUP(packes[[#This Row],[productId]],bom[Id],bom[wgt])</f>
        <v>1.1413748378728923</v>
      </c>
      <c r="F1115" s="27">
        <f>packes[[#This Row],[num]]*packes[[#This Row],[wtg]]</f>
        <v>913.09987029831382</v>
      </c>
      <c r="G1115" s="357">
        <v>6</v>
      </c>
      <c r="H1115" s="21">
        <f>packes[[#This Row],[num]]-SUM(packes[[#This Row],[num2]])</f>
        <v>800</v>
      </c>
      <c r="I1115" s="357"/>
      <c r="J1115" s="21"/>
      <c r="K1115" s="323" t="s">
        <v>1451</v>
      </c>
      <c r="M1115" s="27">
        <f>_xlfn.XLOOKUP(packes[[#This Row],[productId]],CT[productId],CT[total],"NA")</f>
        <v>92.504999999999995</v>
      </c>
      <c r="N1115" s="23" t="str">
        <f>_xlfn.XLOOKUP(packes[[#This Row],[productId]],bom[Id],bom[ph],"NA")</f>
        <v>YH</v>
      </c>
      <c r="O1115" s="23" t="str">
        <f>_xlfn.XLOOKUP(packes[[#This Row],[productId]],bom[Id],bom[erth],"NA")</f>
        <v>sun</v>
      </c>
      <c r="P1115" s="23" t="str">
        <f>_xlfn.XLOOKUP(packes[[#This Row],[productId]],bom[Id],bom[dbl],"NA")</f>
        <v>-</v>
      </c>
      <c r="Q1115" s="20" t="str">
        <f>LEFT(packes[[#This Row],[date]],4)</f>
        <v>1404</v>
      </c>
    </row>
    <row r="1116" spans="1:17" ht="16.5" x14ac:dyDescent="0.25">
      <c r="A1116" s="23">
        <v>1113</v>
      </c>
      <c r="B1116" s="30" t="s">
        <v>828</v>
      </c>
      <c r="C1116" s="23">
        <v>140310007</v>
      </c>
      <c r="D1116" s="23">
        <v>900</v>
      </c>
      <c r="E1116" s="27">
        <f>_xlfn.XLOOKUP(packes[[#This Row],[productId]],bom[Id],bom[wgt])</f>
        <v>1.1413748378728923</v>
      </c>
      <c r="F1116" s="27">
        <f>packes[[#This Row],[num]]*packes[[#This Row],[wtg]]</f>
        <v>1027.2373540856031</v>
      </c>
      <c r="G1116" s="357">
        <v>4</v>
      </c>
      <c r="H1116" s="21">
        <f>packes[[#This Row],[num]]-SUM(packes[[#This Row],[num2]])</f>
        <v>900</v>
      </c>
      <c r="I1116" s="357"/>
      <c r="J1116" s="21"/>
      <c r="K1116" s="323" t="s">
        <v>1463</v>
      </c>
      <c r="M1116" s="27">
        <f>_xlfn.XLOOKUP(packes[[#This Row],[productId]],CT[productId],CT[total],"NA")</f>
        <v>92.484999999999999</v>
      </c>
      <c r="N1116" s="23" t="str">
        <f>_xlfn.XLOOKUP(packes[[#This Row],[productId]],bom[Id],bom[ph],"NA")</f>
        <v>-</v>
      </c>
      <c r="O1116" s="23" t="str">
        <f>_xlfn.XLOOKUP(packes[[#This Row],[productId]],bom[Id],bom[erth],"NA")</f>
        <v>nut4</v>
      </c>
      <c r="P1116" s="23" t="str">
        <f>_xlfn.XLOOKUP(packes[[#This Row],[productId]],bom[Id],bom[dbl],"NA")</f>
        <v>-</v>
      </c>
      <c r="Q1116" s="20" t="str">
        <f>LEFT(packes[[#This Row],[date]],4)</f>
        <v>1404</v>
      </c>
    </row>
    <row r="1117" spans="1:17" ht="16.5" x14ac:dyDescent="0.25">
      <c r="A1117" s="23">
        <v>1114</v>
      </c>
      <c r="B1117" s="30" t="s">
        <v>830</v>
      </c>
      <c r="C1117" s="23">
        <v>140010230</v>
      </c>
      <c r="D1117" s="23">
        <v>300</v>
      </c>
      <c r="E1117" s="27">
        <f>_xlfn.XLOOKUP(packes[[#This Row],[productId]],bom[Id],bom[wgt])</f>
        <v>1.4486680634540554</v>
      </c>
      <c r="F1117" s="27">
        <f>packes[[#This Row],[num]]*packes[[#This Row],[wtg]]</f>
        <v>434.60041903621664</v>
      </c>
      <c r="G1117" s="357">
        <v>6</v>
      </c>
      <c r="H1117" s="21">
        <f>packes[[#This Row],[num]]-SUM(packes[[#This Row],[num2]])</f>
        <v>300</v>
      </c>
      <c r="I1117" s="357"/>
      <c r="J1117" s="21"/>
      <c r="K1117" s="323" t="s">
        <v>1464</v>
      </c>
      <c r="M1117" s="27">
        <f>_xlfn.XLOOKUP(packes[[#This Row],[productId]],CT[productId],CT[total],"NA")</f>
        <v>147.595</v>
      </c>
      <c r="N1117" s="23" t="str">
        <f>_xlfn.XLOOKUP(packes[[#This Row],[productId]],bom[Id],bom[ph],"NA")</f>
        <v>nar.p</v>
      </c>
      <c r="O1117" s="23" t="str">
        <f>_xlfn.XLOOKUP(packes[[#This Row],[productId]],bom[Id],bom[erth],"NA")</f>
        <v>-</v>
      </c>
      <c r="P1117" s="23" t="str">
        <f>_xlfn.XLOOKUP(packes[[#This Row],[productId]],bom[Id],bom[dbl],"NA")</f>
        <v>nar.p</v>
      </c>
      <c r="Q1117" s="20" t="str">
        <f>LEFT(packes[[#This Row],[date]],4)</f>
        <v>1404</v>
      </c>
    </row>
    <row r="1118" spans="1:17" ht="16.5" x14ac:dyDescent="0.25">
      <c r="A1118" s="23">
        <v>1115</v>
      </c>
      <c r="B1118" s="30" t="s">
        <v>830</v>
      </c>
      <c r="C1118" s="23">
        <v>140030039</v>
      </c>
      <c r="D1118" s="23">
        <v>600</v>
      </c>
      <c r="E1118" s="27">
        <f>_xlfn.XLOOKUP(packes[[#This Row],[productId]],bom[Id],bom[wgt])</f>
        <v>1.1413748378728923</v>
      </c>
      <c r="F1118" s="27">
        <f>packes[[#This Row],[num]]*packes[[#This Row],[wtg]]</f>
        <v>684.82490272373536</v>
      </c>
      <c r="G1118" s="357">
        <v>6</v>
      </c>
      <c r="H1118" s="21">
        <f>packes[[#This Row],[num]]-SUM(packes[[#This Row],[num2]])</f>
        <v>600</v>
      </c>
      <c r="I1118" s="357"/>
      <c r="J1118" s="21"/>
      <c r="K1118" s="323" t="s">
        <v>1465</v>
      </c>
      <c r="M1118" s="27">
        <f>_xlfn.XLOOKUP(packes[[#This Row],[productId]],CT[productId],CT[total],"NA")</f>
        <v>92.504999999999995</v>
      </c>
      <c r="N1118" s="23" t="str">
        <f>_xlfn.XLOOKUP(packes[[#This Row],[productId]],bom[Id],bom[ph],"NA")</f>
        <v>YH</v>
      </c>
      <c r="O1118" s="23" t="str">
        <f>_xlfn.XLOOKUP(packes[[#This Row],[productId]],bom[Id],bom[erth],"NA")</f>
        <v>sun</v>
      </c>
      <c r="P1118" s="23" t="str">
        <f>_xlfn.XLOOKUP(packes[[#This Row],[productId]],bom[Id],bom[dbl],"NA")</f>
        <v>-</v>
      </c>
      <c r="Q1118" s="20" t="str">
        <f>LEFT(packes[[#This Row],[date]],4)</f>
        <v>1404</v>
      </c>
    </row>
    <row r="1119" spans="1:17" ht="16.5" x14ac:dyDescent="0.25">
      <c r="A1119" s="23">
        <v>1116</v>
      </c>
      <c r="B1119" s="30" t="s">
        <v>830</v>
      </c>
      <c r="C1119" s="23">
        <v>140310007</v>
      </c>
      <c r="D1119" s="23">
        <v>1500</v>
      </c>
      <c r="E1119" s="27">
        <f>_xlfn.XLOOKUP(packes[[#This Row],[productId]],bom[Id],bom[wgt])</f>
        <v>1.1413748378728923</v>
      </c>
      <c r="F1119" s="27">
        <f>packes[[#This Row],[num]]*packes[[#This Row],[wtg]]</f>
        <v>1712.0622568093384</v>
      </c>
      <c r="G1119" s="357">
        <v>4</v>
      </c>
      <c r="H1119" s="21">
        <f>packes[[#This Row],[num]]-SUM(packes[[#This Row],[num2]])</f>
        <v>1500</v>
      </c>
      <c r="I1119" s="357"/>
      <c r="J1119" s="21"/>
      <c r="K1119" s="323" t="s">
        <v>1466</v>
      </c>
      <c r="M1119" s="27">
        <f>_xlfn.XLOOKUP(packes[[#This Row],[productId]],CT[productId],CT[total],"NA")</f>
        <v>92.484999999999999</v>
      </c>
      <c r="N1119" s="23" t="str">
        <f>_xlfn.XLOOKUP(packes[[#This Row],[productId]],bom[Id],bom[ph],"NA")</f>
        <v>-</v>
      </c>
      <c r="O1119" s="23" t="str">
        <f>_xlfn.XLOOKUP(packes[[#This Row],[productId]],bom[Id],bom[erth],"NA")</f>
        <v>nut4</v>
      </c>
      <c r="P1119" s="23" t="str">
        <f>_xlfn.XLOOKUP(packes[[#This Row],[productId]],bom[Id],bom[dbl],"NA")</f>
        <v>-</v>
      </c>
      <c r="Q1119" s="20" t="str">
        <f>LEFT(packes[[#This Row],[date]],4)</f>
        <v>1404</v>
      </c>
    </row>
    <row r="1120" spans="1:17" ht="16.5" x14ac:dyDescent="0.25">
      <c r="A1120" s="23">
        <v>1117</v>
      </c>
      <c r="B1120" s="30" t="s">
        <v>830</v>
      </c>
      <c r="C1120" s="23">
        <v>140310096</v>
      </c>
      <c r="D1120" s="23">
        <v>1500</v>
      </c>
      <c r="E1120" s="27">
        <f>_xlfn.XLOOKUP(packes[[#This Row],[productId]],bom[Id],bom[wgt])</f>
        <v>1.3</v>
      </c>
      <c r="F1120" s="27">
        <f>packes[[#This Row],[num]]*packes[[#This Row],[wtg]]</f>
        <v>1950</v>
      </c>
      <c r="G1120" s="357">
        <v>6</v>
      </c>
      <c r="H1120" s="21">
        <f>packes[[#This Row],[num]]-SUM(packes[[#This Row],[num2]])</f>
        <v>1500</v>
      </c>
      <c r="I1120" s="357"/>
      <c r="J1120" s="21"/>
      <c r="K1120" s="323" t="s">
        <v>1467</v>
      </c>
      <c r="M1120" s="27">
        <f>_xlfn.XLOOKUP(packes[[#This Row],[productId]],CT[productId],CT[total],"NA")</f>
        <v>76.239999999999995</v>
      </c>
      <c r="N1120" s="23" t="str">
        <f>_xlfn.XLOOKUP(packes[[#This Row],[productId]],bom[Id],bom[ph],"NA")</f>
        <v>6.3ch</v>
      </c>
      <c r="O1120" s="23" t="str">
        <f>_xlfn.XLOOKUP(packes[[#This Row],[productId]],bom[Id],bom[erth],"NA")</f>
        <v>6.3k</v>
      </c>
      <c r="P1120" s="23">
        <f>_xlfn.XLOOKUP(packes[[#This Row],[productId]],bom[Id],bom[dbl],"NA")</f>
        <v>0</v>
      </c>
      <c r="Q1120" s="20" t="str">
        <f>LEFT(packes[[#This Row],[date]],4)</f>
        <v>1404</v>
      </c>
    </row>
    <row r="1121" spans="1:17" ht="16.5" x14ac:dyDescent="0.25">
      <c r="A1121" s="23">
        <v>1118</v>
      </c>
      <c r="B1121" s="30" t="s">
        <v>830</v>
      </c>
      <c r="C1121" s="23">
        <v>140450047</v>
      </c>
      <c r="D1121" s="23">
        <v>135</v>
      </c>
      <c r="E1121" s="27">
        <f>_xlfn.XLOOKUP(packes[[#This Row],[productId]],bom[Id],bom[wgt])</f>
        <v>0</v>
      </c>
      <c r="F1121" s="27">
        <f>packes[[#This Row],[num]]*packes[[#This Row],[wtg]]</f>
        <v>0</v>
      </c>
      <c r="G1121" s="357">
        <v>4</v>
      </c>
      <c r="H1121" s="21">
        <f>packes[[#This Row],[num]]-SUM(packes[[#This Row],[num2]])</f>
        <v>135</v>
      </c>
      <c r="I1121" s="357"/>
      <c r="J1121" s="21"/>
      <c r="K1121" s="323" t="s">
        <v>1468</v>
      </c>
      <c r="M1121" s="27">
        <f>_xlfn.XLOOKUP(packes[[#This Row],[productId]],CT[productId],CT[total],"NA")</f>
        <v>55.46</v>
      </c>
      <c r="N1121" s="23" t="str">
        <f>_xlfn.XLOOKUP(packes[[#This Row],[productId]],bom[Id],bom[ph],"NA")</f>
        <v>-</v>
      </c>
      <c r="O1121" s="23" t="str">
        <f>_xlfn.XLOOKUP(packes[[#This Row],[productId]],bom[Id],bom[erth],"NA")</f>
        <v>-</v>
      </c>
      <c r="P1121" s="23" t="str">
        <f>_xlfn.XLOOKUP(packes[[#This Row],[productId]],bom[Id],bom[dbl],"NA")</f>
        <v>-</v>
      </c>
      <c r="Q1121" s="20" t="str">
        <f>LEFT(packes[[#This Row],[date]],4)</f>
        <v>1404</v>
      </c>
    </row>
    <row r="1122" spans="1:17" ht="16.5" x14ac:dyDescent="0.25">
      <c r="A1122" s="23">
        <v>1119</v>
      </c>
      <c r="B1122" s="30" t="s">
        <v>831</v>
      </c>
      <c r="C1122" s="23">
        <v>140010117</v>
      </c>
      <c r="D1122" s="23">
        <v>1200</v>
      </c>
      <c r="E1122" s="27">
        <f>_xlfn.XLOOKUP(packes[[#This Row],[productId]],bom[Id],bom[wgt])</f>
        <v>1</v>
      </c>
      <c r="F1122" s="27">
        <f>packes[[#This Row],[num]]*packes[[#This Row],[wtg]]</f>
        <v>1200</v>
      </c>
      <c r="G1122" s="357">
        <v>6</v>
      </c>
      <c r="H1122" s="21">
        <f>packes[[#This Row],[num]]-SUM(packes[[#This Row],[num2]])</f>
        <v>1200</v>
      </c>
      <c r="I1122" s="357"/>
      <c r="J1122" s="21"/>
      <c r="K1122" s="323" t="s">
        <v>1469</v>
      </c>
      <c r="M1122" s="27">
        <f>_xlfn.XLOOKUP(packes[[#This Row],[productId]],CT[productId],CT[total],"NA")</f>
        <v>98.295000000000016</v>
      </c>
      <c r="N1122" s="23" t="str">
        <f>_xlfn.XLOOKUP(packes[[#This Row],[productId]],bom[Id],bom[ph],"NA")</f>
        <v>nar.p</v>
      </c>
      <c r="O1122" s="23" t="str">
        <f>_xlfn.XLOOKUP(packes[[#This Row],[productId]],bom[Id],bom[erth],"NA")</f>
        <v>-</v>
      </c>
      <c r="P1122" s="23" t="str">
        <f>_xlfn.XLOOKUP(packes[[#This Row],[productId]],bom[Id],bom[dbl],"NA")</f>
        <v>nar.p</v>
      </c>
      <c r="Q1122" s="20" t="str">
        <f>LEFT(packes[[#This Row],[date]],4)</f>
        <v>1404</v>
      </c>
    </row>
    <row r="1123" spans="1:17" ht="16.5" x14ac:dyDescent="0.25">
      <c r="A1123" s="23">
        <v>1120</v>
      </c>
      <c r="B1123" s="30" t="s">
        <v>831</v>
      </c>
      <c r="C1123" s="23">
        <v>140010230</v>
      </c>
      <c r="D1123" s="23">
        <v>700</v>
      </c>
      <c r="E1123" s="27">
        <f>_xlfn.XLOOKUP(packes[[#This Row],[productId]],bom[Id],bom[wgt])</f>
        <v>1.4486680634540554</v>
      </c>
      <c r="F1123" s="27">
        <f>packes[[#This Row],[num]]*packes[[#This Row],[wtg]]</f>
        <v>1014.0676444178388</v>
      </c>
      <c r="G1123" s="357">
        <v>6</v>
      </c>
      <c r="H1123" s="21">
        <f>packes[[#This Row],[num]]-SUM(packes[[#This Row],[num2]])</f>
        <v>700</v>
      </c>
      <c r="I1123" s="357"/>
      <c r="J1123" s="21"/>
      <c r="K1123" s="323" t="s">
        <v>1470</v>
      </c>
      <c r="M1123" s="27">
        <f>_xlfn.XLOOKUP(packes[[#This Row],[productId]],CT[productId],CT[total],"NA")</f>
        <v>147.595</v>
      </c>
      <c r="N1123" s="23" t="str">
        <f>_xlfn.XLOOKUP(packes[[#This Row],[productId]],bom[Id],bom[ph],"NA")</f>
        <v>nar.p</v>
      </c>
      <c r="O1123" s="23" t="str">
        <f>_xlfn.XLOOKUP(packes[[#This Row],[productId]],bom[Id],bom[erth],"NA")</f>
        <v>-</v>
      </c>
      <c r="P1123" s="23" t="str">
        <f>_xlfn.XLOOKUP(packes[[#This Row],[productId]],bom[Id],bom[dbl],"NA")</f>
        <v>nar.p</v>
      </c>
      <c r="Q1123" s="20" t="str">
        <f>LEFT(packes[[#This Row],[date]],4)</f>
        <v>1404</v>
      </c>
    </row>
    <row r="1124" spans="1:17" ht="16.5" x14ac:dyDescent="0.25">
      <c r="A1124" s="23">
        <v>1121</v>
      </c>
      <c r="B1124" s="30" t="s">
        <v>831</v>
      </c>
      <c r="C1124" s="23">
        <v>140010255</v>
      </c>
      <c r="D1124" s="23">
        <v>750</v>
      </c>
      <c r="E1124" s="27">
        <f>_xlfn.XLOOKUP(packes[[#This Row],[productId]],bom[Id],bom[wgt])</f>
        <v>1</v>
      </c>
      <c r="F1124" s="27">
        <f>packes[[#This Row],[num]]*packes[[#This Row],[wtg]]</f>
        <v>750</v>
      </c>
      <c r="G1124" s="357">
        <v>6</v>
      </c>
      <c r="H1124" s="21">
        <f>packes[[#This Row],[num]]-SUM(packes[[#This Row],[num2]])</f>
        <v>750</v>
      </c>
      <c r="I1124" s="357"/>
      <c r="J1124" s="21"/>
      <c r="K1124" s="323" t="s">
        <v>1471</v>
      </c>
      <c r="M1124" s="27">
        <f>_xlfn.XLOOKUP(packes[[#This Row],[productId]],CT[productId],CT[total],"NA")</f>
        <v>95.575000000000003</v>
      </c>
      <c r="N1124" s="23" t="str">
        <f>_xlfn.XLOOKUP(packes[[#This Row],[productId]],bom[Id],bom[ph],"NA")</f>
        <v>-</v>
      </c>
      <c r="O1124" s="23" t="str">
        <f>_xlfn.XLOOKUP(packes[[#This Row],[productId]],bom[Id],bom[erth],"NA")</f>
        <v>-</v>
      </c>
      <c r="P1124" s="23" t="str">
        <f>_xlfn.XLOOKUP(packes[[#This Row],[productId]],bom[Id],bom[dbl],"NA")</f>
        <v>6.3flat</v>
      </c>
      <c r="Q1124" s="20" t="str">
        <f>LEFT(packes[[#This Row],[date]],4)</f>
        <v>1404</v>
      </c>
    </row>
    <row r="1125" spans="1:17" ht="16.5" x14ac:dyDescent="0.25">
      <c r="A1125" s="23">
        <v>1122</v>
      </c>
      <c r="B1125" s="30" t="s">
        <v>831</v>
      </c>
      <c r="C1125" s="23">
        <v>140310007</v>
      </c>
      <c r="D1125" s="23">
        <v>1350</v>
      </c>
      <c r="E1125" s="27">
        <f>_xlfn.XLOOKUP(packes[[#This Row],[productId]],bom[Id],bom[wgt])</f>
        <v>1.1413748378728923</v>
      </c>
      <c r="F1125" s="27">
        <f>packes[[#This Row],[num]]*packes[[#This Row],[wtg]]</f>
        <v>1540.8560311284045</v>
      </c>
      <c r="G1125" s="357">
        <v>4</v>
      </c>
      <c r="H1125" s="21">
        <f>packes[[#This Row],[num]]-SUM(packes[[#This Row],[num2]])</f>
        <v>1350</v>
      </c>
      <c r="I1125" s="357"/>
      <c r="J1125" s="21"/>
      <c r="K1125" s="323" t="s">
        <v>1472</v>
      </c>
      <c r="M1125" s="27">
        <f>_xlfn.XLOOKUP(packes[[#This Row],[productId]],CT[productId],CT[total],"NA")</f>
        <v>92.484999999999999</v>
      </c>
      <c r="N1125" s="23" t="str">
        <f>_xlfn.XLOOKUP(packes[[#This Row],[productId]],bom[Id],bom[ph],"NA")</f>
        <v>-</v>
      </c>
      <c r="O1125" s="23" t="str">
        <f>_xlfn.XLOOKUP(packes[[#This Row],[productId]],bom[Id],bom[erth],"NA")</f>
        <v>nut4</v>
      </c>
      <c r="P1125" s="23" t="str">
        <f>_xlfn.XLOOKUP(packes[[#This Row],[productId]],bom[Id],bom[dbl],"NA")</f>
        <v>-</v>
      </c>
      <c r="Q1125" s="20" t="str">
        <f>LEFT(packes[[#This Row],[date]],4)</f>
        <v>1404</v>
      </c>
    </row>
    <row r="1126" spans="1:17" ht="16.5" x14ac:dyDescent="0.25">
      <c r="A1126" s="23">
        <v>1123</v>
      </c>
      <c r="B1126" s="30" t="s">
        <v>834</v>
      </c>
      <c r="C1126" s="23">
        <v>140010117</v>
      </c>
      <c r="D1126" s="23">
        <v>1950</v>
      </c>
      <c r="E1126" s="27">
        <f>_xlfn.XLOOKUP(packes[[#This Row],[productId]],bom[Id],bom[wgt])</f>
        <v>1</v>
      </c>
      <c r="F1126" s="27">
        <f>packes[[#This Row],[num]]*packes[[#This Row],[wtg]]</f>
        <v>1950</v>
      </c>
      <c r="G1126" s="357">
        <v>6</v>
      </c>
      <c r="H1126" s="21">
        <f>packes[[#This Row],[num]]-SUM(packes[[#This Row],[num2]])</f>
        <v>1950</v>
      </c>
      <c r="I1126" s="357"/>
      <c r="J1126" s="21"/>
      <c r="K1126" s="323" t="s">
        <v>1528</v>
      </c>
      <c r="M1126" s="27">
        <f>_xlfn.XLOOKUP(packes[[#This Row],[productId]],CT[productId],CT[total],"NA")</f>
        <v>98.295000000000016</v>
      </c>
      <c r="N1126" s="20" t="str">
        <f>_xlfn.XLOOKUP(packes[[#This Row],[productId]],bom[Id],bom[ph],"NA")</f>
        <v>nar.p</v>
      </c>
      <c r="O1126" s="20" t="str">
        <f>_xlfn.XLOOKUP(packes[[#This Row],[productId]],bom[Id],bom[erth],"NA")</f>
        <v>-</v>
      </c>
      <c r="P1126" s="20" t="str">
        <f>_xlfn.XLOOKUP(packes[[#This Row],[productId]],bom[Id],bom[dbl],"NA")</f>
        <v>nar.p</v>
      </c>
      <c r="Q1126" s="20" t="str">
        <f>LEFT(packes[[#This Row],[date]],4)</f>
        <v>1404</v>
      </c>
    </row>
    <row r="1127" spans="1:17" ht="16.5" x14ac:dyDescent="0.25">
      <c r="A1127" s="23">
        <v>1124</v>
      </c>
      <c r="B1127" s="30" t="s">
        <v>834</v>
      </c>
      <c r="C1127" s="23">
        <v>140010255</v>
      </c>
      <c r="D1127" s="23">
        <v>475</v>
      </c>
      <c r="E1127" s="27">
        <f>_xlfn.XLOOKUP(packes[[#This Row],[productId]],bom[Id],bom[wgt])</f>
        <v>1</v>
      </c>
      <c r="F1127" s="27">
        <f>packes[[#This Row],[num]]*packes[[#This Row],[wtg]]</f>
        <v>475</v>
      </c>
      <c r="G1127" s="357">
        <v>6</v>
      </c>
      <c r="H1127" s="21">
        <f>packes[[#This Row],[num]]-SUM(packes[[#This Row],[num2]])</f>
        <v>475</v>
      </c>
      <c r="I1127" s="357"/>
      <c r="J1127" s="21"/>
      <c r="K1127" s="323" t="s">
        <v>1529</v>
      </c>
      <c r="M1127" s="27">
        <f>_xlfn.XLOOKUP(packes[[#This Row],[productId]],CT[productId],CT[total],"NA")</f>
        <v>95.575000000000003</v>
      </c>
      <c r="N1127" s="20" t="str">
        <f>_xlfn.XLOOKUP(packes[[#This Row],[productId]],bom[Id],bom[ph],"NA")</f>
        <v>-</v>
      </c>
      <c r="O1127" s="20" t="str">
        <f>_xlfn.XLOOKUP(packes[[#This Row],[productId]],bom[Id],bom[erth],"NA")</f>
        <v>-</v>
      </c>
      <c r="P1127" s="20" t="str">
        <f>_xlfn.XLOOKUP(packes[[#This Row],[productId]],bom[Id],bom[dbl],"NA")</f>
        <v>6.3flat</v>
      </c>
      <c r="Q1127" s="20" t="str">
        <f>LEFT(packes[[#This Row],[date]],4)</f>
        <v>1404</v>
      </c>
    </row>
    <row r="1128" spans="1:17" ht="16.5" x14ac:dyDescent="0.25">
      <c r="A1128" s="23">
        <v>1125</v>
      </c>
      <c r="B1128" s="30" t="s">
        <v>834</v>
      </c>
      <c r="C1128" s="23">
        <v>140030039</v>
      </c>
      <c r="D1128" s="23">
        <v>300</v>
      </c>
      <c r="E1128" s="27">
        <f>_xlfn.XLOOKUP(packes[[#This Row],[productId]],bom[Id],bom[wgt])</f>
        <v>1.1413748378728923</v>
      </c>
      <c r="F1128" s="27">
        <f>packes[[#This Row],[num]]*packes[[#This Row],[wtg]]</f>
        <v>342.41245136186768</v>
      </c>
      <c r="G1128" s="357">
        <v>6</v>
      </c>
      <c r="H1128" s="21">
        <f>packes[[#This Row],[num]]-SUM(packes[[#This Row],[num2]])</f>
        <v>300</v>
      </c>
      <c r="I1128" s="357"/>
      <c r="J1128" s="21"/>
      <c r="K1128" s="323" t="s">
        <v>1530</v>
      </c>
      <c r="M1128" s="27">
        <f>_xlfn.XLOOKUP(packes[[#This Row],[productId]],CT[productId],CT[total],"NA")</f>
        <v>92.504999999999995</v>
      </c>
      <c r="N1128" s="20" t="str">
        <f>_xlfn.XLOOKUP(packes[[#This Row],[productId]],bom[Id],bom[ph],"NA")</f>
        <v>YH</v>
      </c>
      <c r="O1128" s="20" t="str">
        <f>_xlfn.XLOOKUP(packes[[#This Row],[productId]],bom[Id],bom[erth],"NA")</f>
        <v>sun</v>
      </c>
      <c r="P1128" s="20" t="str">
        <f>_xlfn.XLOOKUP(packes[[#This Row],[productId]],bom[Id],bom[dbl],"NA")</f>
        <v>-</v>
      </c>
      <c r="Q1128" s="20" t="str">
        <f>LEFT(packes[[#This Row],[date]],4)</f>
        <v>1404</v>
      </c>
    </row>
    <row r="1129" spans="1:17" ht="16.5" x14ac:dyDescent="0.25">
      <c r="A1129" s="23">
        <v>1126</v>
      </c>
      <c r="B1129" s="30" t="s">
        <v>834</v>
      </c>
      <c r="C1129" s="23">
        <v>140310007</v>
      </c>
      <c r="D1129" s="23">
        <v>650</v>
      </c>
      <c r="E1129" s="27">
        <f>_xlfn.XLOOKUP(packes[[#This Row],[productId]],bom[Id],bom[wgt])</f>
        <v>1.1413748378728923</v>
      </c>
      <c r="F1129" s="27">
        <f>packes[[#This Row],[num]]*packes[[#This Row],[wtg]]</f>
        <v>741.89364461738001</v>
      </c>
      <c r="G1129" s="357">
        <v>4</v>
      </c>
      <c r="H1129" s="21">
        <f>packes[[#This Row],[num]]-SUM(packes[[#This Row],[num2]])</f>
        <v>650</v>
      </c>
      <c r="I1129" s="357"/>
      <c r="J1129" s="21"/>
      <c r="K1129" s="323" t="s">
        <v>1531</v>
      </c>
      <c r="M1129" s="27">
        <f>_xlfn.XLOOKUP(packes[[#This Row],[productId]],CT[productId],CT[total],"NA")</f>
        <v>92.484999999999999</v>
      </c>
      <c r="N1129" s="20" t="str">
        <f>_xlfn.XLOOKUP(packes[[#This Row],[productId]],bom[Id],bom[ph],"NA")</f>
        <v>-</v>
      </c>
      <c r="O1129" s="20" t="str">
        <f>_xlfn.XLOOKUP(packes[[#This Row],[productId]],bom[Id],bom[erth],"NA")</f>
        <v>nut4</v>
      </c>
      <c r="P1129" s="20" t="str">
        <f>_xlfn.XLOOKUP(packes[[#This Row],[productId]],bom[Id],bom[dbl],"NA")</f>
        <v>-</v>
      </c>
      <c r="Q1129" s="20" t="str">
        <f>LEFT(packes[[#This Row],[date]],4)</f>
        <v>1404</v>
      </c>
    </row>
    <row r="1130" spans="1:17" ht="16.5" x14ac:dyDescent="0.25">
      <c r="A1130" s="23">
        <v>1127</v>
      </c>
      <c r="B1130" s="30" t="s">
        <v>834</v>
      </c>
      <c r="C1130" s="23">
        <v>140310096</v>
      </c>
      <c r="D1130" s="23">
        <v>700</v>
      </c>
      <c r="E1130" s="27">
        <f>_xlfn.XLOOKUP(packes[[#This Row],[productId]],bom[Id],bom[wgt])</f>
        <v>1.3</v>
      </c>
      <c r="F1130" s="27">
        <f>packes[[#This Row],[num]]*packes[[#This Row],[wtg]]</f>
        <v>910</v>
      </c>
      <c r="G1130" s="357">
        <v>6</v>
      </c>
      <c r="H1130" s="21">
        <f>packes[[#This Row],[num]]-SUM(packes[[#This Row],[num2]])</f>
        <v>700</v>
      </c>
      <c r="I1130" s="357"/>
      <c r="J1130" s="21"/>
      <c r="K1130" s="323" t="s">
        <v>1532</v>
      </c>
      <c r="M1130" s="27">
        <f>_xlfn.XLOOKUP(packes[[#This Row],[productId]],CT[productId],CT[total],"NA")</f>
        <v>76.239999999999995</v>
      </c>
      <c r="N1130" s="20" t="str">
        <f>_xlfn.XLOOKUP(packes[[#This Row],[productId]],bom[Id],bom[ph],"NA")</f>
        <v>6.3ch</v>
      </c>
      <c r="O1130" s="20" t="str">
        <f>_xlfn.XLOOKUP(packes[[#This Row],[productId]],bom[Id],bom[erth],"NA")</f>
        <v>6.3k</v>
      </c>
      <c r="P1130" s="20">
        <f>_xlfn.XLOOKUP(packes[[#This Row],[productId]],bom[Id],bom[dbl],"NA")</f>
        <v>0</v>
      </c>
      <c r="Q1130" s="20" t="str">
        <f>LEFT(packes[[#This Row],[date]],4)</f>
        <v>1404</v>
      </c>
    </row>
    <row r="1131" spans="1:17" ht="16.5" x14ac:dyDescent="0.25">
      <c r="A1131" s="23">
        <v>1128</v>
      </c>
      <c r="B1131" s="30" t="s">
        <v>835</v>
      </c>
      <c r="C1131" s="23">
        <v>140010117</v>
      </c>
      <c r="D1131" s="23">
        <v>1800</v>
      </c>
      <c r="E1131" s="27">
        <f>_xlfn.XLOOKUP(packes[[#This Row],[productId]],bom[Id],bom[wgt])</f>
        <v>1</v>
      </c>
      <c r="F1131" s="27">
        <f>packes[[#This Row],[num]]*packes[[#This Row],[wtg]]</f>
        <v>1800</v>
      </c>
      <c r="G1131" s="357">
        <v>6</v>
      </c>
      <c r="H1131" s="21">
        <f>packes[[#This Row],[num]]-SUM(packes[[#This Row],[num2]])</f>
        <v>1800</v>
      </c>
      <c r="I1131" s="357"/>
      <c r="J1131" s="21"/>
      <c r="K1131" s="323" t="s">
        <v>1535</v>
      </c>
      <c r="M1131" s="27">
        <f>_xlfn.XLOOKUP(packes[[#This Row],[productId]],CT[productId],CT[total],"NA")</f>
        <v>98.295000000000016</v>
      </c>
      <c r="N1131" s="20" t="str">
        <f>_xlfn.XLOOKUP(packes[[#This Row],[productId]],bom[Id],bom[ph],"NA")</f>
        <v>nar.p</v>
      </c>
      <c r="O1131" s="20" t="str">
        <f>_xlfn.XLOOKUP(packes[[#This Row],[productId]],bom[Id],bom[erth],"NA")</f>
        <v>-</v>
      </c>
      <c r="P1131" s="20" t="str">
        <f>_xlfn.XLOOKUP(packes[[#This Row],[productId]],bom[Id],bom[dbl],"NA")</f>
        <v>nar.p</v>
      </c>
      <c r="Q1131" s="20" t="str">
        <f>LEFT(packes[[#This Row],[date]],4)</f>
        <v>1404</v>
      </c>
    </row>
    <row r="1132" spans="1:17" ht="16.5" x14ac:dyDescent="0.25">
      <c r="A1132" s="23">
        <v>1129</v>
      </c>
      <c r="B1132" s="30" t="s">
        <v>835</v>
      </c>
      <c r="C1132" s="23">
        <v>140010230</v>
      </c>
      <c r="D1132" s="23">
        <v>1500</v>
      </c>
      <c r="E1132" s="27">
        <f>_xlfn.XLOOKUP(packes[[#This Row],[productId]],bom[Id],bom[wgt])</f>
        <v>1.4486680634540554</v>
      </c>
      <c r="F1132" s="27">
        <f>packes[[#This Row],[num]]*packes[[#This Row],[wtg]]</f>
        <v>2173.002095181083</v>
      </c>
      <c r="G1132" s="357">
        <v>6</v>
      </c>
      <c r="H1132" s="21">
        <f>packes[[#This Row],[num]]-SUM(packes[[#This Row],[num2]])</f>
        <v>1500</v>
      </c>
      <c r="I1132" s="357"/>
      <c r="J1132" s="21"/>
      <c r="K1132" s="323" t="s">
        <v>1536</v>
      </c>
      <c r="M1132" s="27">
        <f>_xlfn.XLOOKUP(packes[[#This Row],[productId]],CT[productId],CT[total],"NA")</f>
        <v>147.595</v>
      </c>
      <c r="N1132" s="20" t="str">
        <f>_xlfn.XLOOKUP(packes[[#This Row],[productId]],bom[Id],bom[ph],"NA")</f>
        <v>nar.p</v>
      </c>
      <c r="O1132" s="20" t="str">
        <f>_xlfn.XLOOKUP(packes[[#This Row],[productId]],bom[Id],bom[erth],"NA")</f>
        <v>-</v>
      </c>
      <c r="P1132" s="20" t="str">
        <f>_xlfn.XLOOKUP(packes[[#This Row],[productId]],bom[Id],bom[dbl],"NA")</f>
        <v>nar.p</v>
      </c>
      <c r="Q1132" s="20" t="str">
        <f>LEFT(packes[[#This Row],[date]],4)</f>
        <v>1404</v>
      </c>
    </row>
    <row r="1133" spans="1:17" ht="16.5" x14ac:dyDescent="0.25">
      <c r="A1133" s="23">
        <v>1130</v>
      </c>
      <c r="B1133" s="30" t="s">
        <v>835</v>
      </c>
      <c r="C1133" s="23">
        <v>140310007</v>
      </c>
      <c r="D1133" s="23">
        <v>950</v>
      </c>
      <c r="E1133" s="27">
        <f>_xlfn.XLOOKUP(packes[[#This Row],[productId]],bom[Id],bom[wgt])</f>
        <v>1.1413748378728923</v>
      </c>
      <c r="F1133" s="27">
        <f>packes[[#This Row],[num]]*packes[[#This Row],[wtg]]</f>
        <v>1084.3060959792476</v>
      </c>
      <c r="G1133" s="357">
        <v>4</v>
      </c>
      <c r="H1133" s="21">
        <f>packes[[#This Row],[num]]-SUM(packes[[#This Row],[num2]])</f>
        <v>950</v>
      </c>
      <c r="I1133" s="357"/>
      <c r="J1133" s="21"/>
      <c r="K1133" s="323" t="s">
        <v>1537</v>
      </c>
      <c r="M1133" s="27">
        <f>_xlfn.XLOOKUP(packes[[#This Row],[productId]],CT[productId],CT[total],"NA")</f>
        <v>92.484999999999999</v>
      </c>
      <c r="N1133" s="20" t="str">
        <f>_xlfn.XLOOKUP(packes[[#This Row],[productId]],bom[Id],bom[ph],"NA")</f>
        <v>-</v>
      </c>
      <c r="O1133" s="20" t="str">
        <f>_xlfn.XLOOKUP(packes[[#This Row],[productId]],bom[Id],bom[erth],"NA")</f>
        <v>nut4</v>
      </c>
      <c r="P1133" s="20" t="str">
        <f>_xlfn.XLOOKUP(packes[[#This Row],[productId]],bom[Id],bom[dbl],"NA")</f>
        <v>-</v>
      </c>
      <c r="Q1133" s="20" t="str">
        <f>LEFT(packes[[#This Row],[date]],4)</f>
        <v>1404</v>
      </c>
    </row>
    <row r="1134" spans="1:17" ht="16.5" x14ac:dyDescent="0.25">
      <c r="A1134" s="23">
        <v>1131</v>
      </c>
      <c r="B1134" s="30" t="s">
        <v>836</v>
      </c>
      <c r="C1134" s="23">
        <v>140010117</v>
      </c>
      <c r="D1134" s="23">
        <v>1125</v>
      </c>
      <c r="E1134" s="27">
        <f>_xlfn.XLOOKUP(packes[[#This Row],[productId]],bom[Id],bom[wgt])</f>
        <v>1</v>
      </c>
      <c r="F1134" s="27">
        <f>packes[[#This Row],[num]]*packes[[#This Row],[wtg]]</f>
        <v>1125</v>
      </c>
      <c r="G1134" s="357">
        <v>6</v>
      </c>
      <c r="H1134" s="21">
        <f>packes[[#This Row],[num]]-SUM(packes[[#This Row],[num2]])</f>
        <v>1125</v>
      </c>
      <c r="I1134" s="357"/>
      <c r="J1134" s="21"/>
      <c r="K1134" s="323" t="s">
        <v>1588</v>
      </c>
      <c r="M1134" s="27">
        <f>_xlfn.XLOOKUP(packes[[#This Row],[productId]],CT[productId],CT[total],"NA")</f>
        <v>98.295000000000016</v>
      </c>
      <c r="N1134" s="20" t="str">
        <f>_xlfn.XLOOKUP(packes[[#This Row],[productId]],bom[Id],bom[ph],"NA")</f>
        <v>nar.p</v>
      </c>
      <c r="O1134" s="20" t="str">
        <f>_xlfn.XLOOKUP(packes[[#This Row],[productId]],bom[Id],bom[erth],"NA")</f>
        <v>-</v>
      </c>
      <c r="P1134" s="20" t="str">
        <f>_xlfn.XLOOKUP(packes[[#This Row],[productId]],bom[Id],bom[dbl],"NA")</f>
        <v>nar.p</v>
      </c>
      <c r="Q1134" s="20" t="str">
        <f>LEFT(packes[[#This Row],[date]],4)</f>
        <v>1404</v>
      </c>
    </row>
    <row r="1135" spans="1:17" ht="16.5" x14ac:dyDescent="0.25">
      <c r="A1135" s="23">
        <v>1132</v>
      </c>
      <c r="B1135" s="30" t="s">
        <v>836</v>
      </c>
      <c r="C1135" s="23">
        <v>140010230</v>
      </c>
      <c r="D1135" s="23">
        <v>1700</v>
      </c>
      <c r="E1135" s="27">
        <f>_xlfn.XLOOKUP(packes[[#This Row],[productId]],bom[Id],bom[wgt])</f>
        <v>1.4486680634540554</v>
      </c>
      <c r="F1135" s="27">
        <f>packes[[#This Row],[num]]*packes[[#This Row],[wtg]]</f>
        <v>2462.7357078718942</v>
      </c>
      <c r="G1135" s="357">
        <v>6</v>
      </c>
      <c r="H1135" s="21">
        <f>packes[[#This Row],[num]]-SUM(packes[[#This Row],[num2]])</f>
        <v>1700</v>
      </c>
      <c r="I1135" s="357"/>
      <c r="J1135" s="21"/>
      <c r="K1135" s="323" t="s">
        <v>1589</v>
      </c>
      <c r="M1135" s="27">
        <f>_xlfn.XLOOKUP(packes[[#This Row],[productId]],CT[productId],CT[total],"NA")</f>
        <v>147.595</v>
      </c>
      <c r="N1135" s="20" t="str">
        <f>_xlfn.XLOOKUP(packes[[#This Row],[productId]],bom[Id],bom[ph],"NA")</f>
        <v>nar.p</v>
      </c>
      <c r="O1135" s="20" t="str">
        <f>_xlfn.XLOOKUP(packes[[#This Row],[productId]],bom[Id],bom[erth],"NA")</f>
        <v>-</v>
      </c>
      <c r="P1135" s="20" t="str">
        <f>_xlfn.XLOOKUP(packes[[#This Row],[productId]],bom[Id],bom[dbl],"NA")</f>
        <v>nar.p</v>
      </c>
      <c r="Q1135" s="20" t="str">
        <f>LEFT(packes[[#This Row],[date]],4)</f>
        <v>1404</v>
      </c>
    </row>
    <row r="1136" spans="1:17" ht="16.5" x14ac:dyDescent="0.25">
      <c r="A1136" s="23">
        <v>1133</v>
      </c>
      <c r="B1136" s="30" t="s">
        <v>836</v>
      </c>
      <c r="C1136" s="23">
        <v>140030039</v>
      </c>
      <c r="D1136" s="23">
        <v>100</v>
      </c>
      <c r="E1136" s="27">
        <f>_xlfn.XLOOKUP(packes[[#This Row],[productId]],bom[Id],bom[wgt])</f>
        <v>1.1413748378728923</v>
      </c>
      <c r="F1136" s="27">
        <f>packes[[#This Row],[num]]*packes[[#This Row],[wtg]]</f>
        <v>114.13748378728923</v>
      </c>
      <c r="G1136" s="357">
        <v>6</v>
      </c>
      <c r="H1136" s="21">
        <f>packes[[#This Row],[num]]-SUM(packes[[#This Row],[num2]])</f>
        <v>100</v>
      </c>
      <c r="I1136" s="357"/>
      <c r="J1136" s="21"/>
      <c r="K1136" s="323" t="s">
        <v>1590</v>
      </c>
      <c r="M1136" s="27">
        <f>_xlfn.XLOOKUP(packes[[#This Row],[productId]],CT[productId],CT[total],"NA")</f>
        <v>92.504999999999995</v>
      </c>
      <c r="N1136" s="20" t="str">
        <f>_xlfn.XLOOKUP(packes[[#This Row],[productId]],bom[Id],bom[ph],"NA")</f>
        <v>YH</v>
      </c>
      <c r="O1136" s="20" t="str">
        <f>_xlfn.XLOOKUP(packes[[#This Row],[productId]],bom[Id],bom[erth],"NA")</f>
        <v>sun</v>
      </c>
      <c r="P1136" s="20" t="str">
        <f>_xlfn.XLOOKUP(packes[[#This Row],[productId]],bom[Id],bom[dbl],"NA")</f>
        <v>-</v>
      </c>
      <c r="Q1136" s="20" t="str">
        <f>LEFT(packes[[#This Row],[date]],4)</f>
        <v>1404</v>
      </c>
    </row>
    <row r="1137" spans="1:17" ht="16.5" x14ac:dyDescent="0.25">
      <c r="A1137" s="23">
        <v>1134</v>
      </c>
      <c r="B1137" s="30" t="s">
        <v>836</v>
      </c>
      <c r="C1137" s="23">
        <v>140310007</v>
      </c>
      <c r="D1137" s="23">
        <v>1100</v>
      </c>
      <c r="E1137" s="27">
        <f>_xlfn.XLOOKUP(packes[[#This Row],[productId]],bom[Id],bom[wgt])</f>
        <v>1.1413748378728923</v>
      </c>
      <c r="F1137" s="27">
        <f>packes[[#This Row],[num]]*packes[[#This Row],[wtg]]</f>
        <v>1255.5123216601814</v>
      </c>
      <c r="G1137" s="357">
        <v>4</v>
      </c>
      <c r="H1137" s="21">
        <f>packes[[#This Row],[num]]-SUM(packes[[#This Row],[num2]])</f>
        <v>1100</v>
      </c>
      <c r="I1137" s="357"/>
      <c r="J1137" s="21"/>
      <c r="K1137" s="323" t="s">
        <v>1591</v>
      </c>
      <c r="M1137" s="27">
        <f>_xlfn.XLOOKUP(packes[[#This Row],[productId]],CT[productId],CT[total],"NA")</f>
        <v>92.484999999999999</v>
      </c>
      <c r="N1137" s="20" t="str">
        <f>_xlfn.XLOOKUP(packes[[#This Row],[productId]],bom[Id],bom[ph],"NA")</f>
        <v>-</v>
      </c>
      <c r="O1137" s="20" t="str">
        <f>_xlfn.XLOOKUP(packes[[#This Row],[productId]],bom[Id],bom[erth],"NA")</f>
        <v>nut4</v>
      </c>
      <c r="P1137" s="20" t="str">
        <f>_xlfn.XLOOKUP(packes[[#This Row],[productId]],bom[Id],bom[dbl],"NA")</f>
        <v>-</v>
      </c>
      <c r="Q1137" s="20" t="str">
        <f>LEFT(packes[[#This Row],[date]],4)</f>
        <v>1404</v>
      </c>
    </row>
    <row r="1138" spans="1:17" ht="16.5" x14ac:dyDescent="0.25">
      <c r="A1138" s="23">
        <v>1135</v>
      </c>
      <c r="B1138" s="30" t="s">
        <v>837</v>
      </c>
      <c r="C1138" s="23">
        <v>140010117</v>
      </c>
      <c r="D1138" s="23">
        <v>1125</v>
      </c>
      <c r="E1138" s="27">
        <f>_xlfn.XLOOKUP(packes[[#This Row],[productId]],bom[Id],bom[wgt])</f>
        <v>1</v>
      </c>
      <c r="F1138" s="27">
        <f>packes[[#This Row],[num]]*packes[[#This Row],[wtg]]</f>
        <v>1125</v>
      </c>
      <c r="G1138" s="357">
        <v>6</v>
      </c>
      <c r="H1138" s="21">
        <f>packes[[#This Row],[num]]-SUM(packes[[#This Row],[num2]])</f>
        <v>1125</v>
      </c>
      <c r="I1138" s="357"/>
      <c r="J1138" s="21"/>
      <c r="K1138" s="323" t="s">
        <v>1619</v>
      </c>
      <c r="M1138" s="27">
        <f>_xlfn.XLOOKUP(packes[[#This Row],[productId]],CT[productId],CT[total],"NA")</f>
        <v>98.295000000000016</v>
      </c>
      <c r="N1138" s="20" t="str">
        <f>_xlfn.XLOOKUP(packes[[#This Row],[productId]],bom[Id],bom[ph],"NA")</f>
        <v>nar.p</v>
      </c>
      <c r="O1138" s="20" t="str">
        <f>_xlfn.XLOOKUP(packes[[#This Row],[productId]],bom[Id],bom[erth],"NA")</f>
        <v>-</v>
      </c>
      <c r="P1138" s="20" t="str">
        <f>_xlfn.XLOOKUP(packes[[#This Row],[productId]],bom[Id],bom[dbl],"NA")</f>
        <v>nar.p</v>
      </c>
      <c r="Q1138" s="20" t="str">
        <f>LEFT(packes[[#This Row],[date]],4)</f>
        <v>1404</v>
      </c>
    </row>
    <row r="1139" spans="1:17" ht="16.5" x14ac:dyDescent="0.25">
      <c r="A1139" s="23">
        <v>1136</v>
      </c>
      <c r="B1139" s="30" t="s">
        <v>837</v>
      </c>
      <c r="C1139" s="23">
        <v>140010230</v>
      </c>
      <c r="D1139" s="23">
        <v>1500</v>
      </c>
      <c r="E1139" s="27">
        <f>_xlfn.XLOOKUP(packes[[#This Row],[productId]],bom[Id],bom[wgt])</f>
        <v>1.4486680634540554</v>
      </c>
      <c r="F1139" s="27">
        <f>packes[[#This Row],[num]]*packes[[#This Row],[wtg]]</f>
        <v>2173.002095181083</v>
      </c>
      <c r="G1139" s="357">
        <v>6</v>
      </c>
      <c r="H1139" s="21">
        <f>packes[[#This Row],[num]]-SUM(packes[[#This Row],[num2]])</f>
        <v>1500</v>
      </c>
      <c r="I1139" s="357"/>
      <c r="J1139" s="21"/>
      <c r="K1139" s="323" t="s">
        <v>1620</v>
      </c>
      <c r="M1139" s="27">
        <f>_xlfn.XLOOKUP(packes[[#This Row],[productId]],CT[productId],CT[total],"NA")</f>
        <v>147.595</v>
      </c>
      <c r="N1139" s="20" t="str">
        <f>_xlfn.XLOOKUP(packes[[#This Row],[productId]],bom[Id],bom[ph],"NA")</f>
        <v>nar.p</v>
      </c>
      <c r="O1139" s="20" t="str">
        <f>_xlfn.XLOOKUP(packes[[#This Row],[productId]],bom[Id],bom[erth],"NA")</f>
        <v>-</v>
      </c>
      <c r="P1139" s="20" t="str">
        <f>_xlfn.XLOOKUP(packes[[#This Row],[productId]],bom[Id],bom[dbl],"NA")</f>
        <v>nar.p</v>
      </c>
      <c r="Q1139" s="20" t="str">
        <f>LEFT(packes[[#This Row],[date]],4)</f>
        <v>1404</v>
      </c>
    </row>
    <row r="1140" spans="1:17" ht="16.5" x14ac:dyDescent="0.25">
      <c r="A1140" s="23">
        <v>1137</v>
      </c>
      <c r="B1140" s="30" t="s">
        <v>837</v>
      </c>
      <c r="C1140" s="23">
        <v>140310007</v>
      </c>
      <c r="D1140" s="23">
        <v>1400</v>
      </c>
      <c r="E1140" s="27">
        <f>_xlfn.XLOOKUP(packes[[#This Row],[productId]],bom[Id],bom[wgt])</f>
        <v>1.1413748378728923</v>
      </c>
      <c r="F1140" s="27">
        <f>packes[[#This Row],[num]]*packes[[#This Row],[wtg]]</f>
        <v>1597.9247730220493</v>
      </c>
      <c r="G1140" s="357">
        <v>4</v>
      </c>
      <c r="H1140" s="21">
        <f>packes[[#This Row],[num]]-SUM(packes[[#This Row],[num2]])</f>
        <v>1400</v>
      </c>
      <c r="I1140" s="357"/>
      <c r="J1140" s="21"/>
      <c r="K1140" s="323" t="s">
        <v>1621</v>
      </c>
      <c r="M1140" s="27">
        <f>_xlfn.XLOOKUP(packes[[#This Row],[productId]],CT[productId],CT[total],"NA")</f>
        <v>92.484999999999999</v>
      </c>
      <c r="N1140" s="20" t="str">
        <f>_xlfn.XLOOKUP(packes[[#This Row],[productId]],bom[Id],bom[ph],"NA")</f>
        <v>-</v>
      </c>
      <c r="O1140" s="20" t="str">
        <f>_xlfn.XLOOKUP(packes[[#This Row],[productId]],bom[Id],bom[erth],"NA")</f>
        <v>nut4</v>
      </c>
      <c r="P1140" s="20" t="str">
        <f>_xlfn.XLOOKUP(packes[[#This Row],[productId]],bom[Id],bom[dbl],"NA")</f>
        <v>-</v>
      </c>
      <c r="Q1140" s="20" t="str">
        <f>LEFT(packes[[#This Row],[date]],4)</f>
        <v>1404</v>
      </c>
    </row>
    <row r="1141" spans="1:17" ht="16.5" x14ac:dyDescent="0.25">
      <c r="A1141" s="23">
        <v>1138</v>
      </c>
      <c r="B1141" s="30" t="s">
        <v>841</v>
      </c>
      <c r="C1141" s="23">
        <v>140010117</v>
      </c>
      <c r="D1141" s="23">
        <v>2025</v>
      </c>
      <c r="E1141" s="27">
        <f>_xlfn.XLOOKUP(packes[[#This Row],[productId]],bom[Id],bom[wgt])</f>
        <v>1</v>
      </c>
      <c r="F1141" s="27">
        <f>packes[[#This Row],[num]]*packes[[#This Row],[wtg]]</f>
        <v>2025</v>
      </c>
      <c r="G1141" s="357">
        <v>6</v>
      </c>
      <c r="H1141" s="21">
        <f>packes[[#This Row],[num]]-SUM(packes[[#This Row],[num2]])</f>
        <v>2025</v>
      </c>
      <c r="I1141" s="357"/>
      <c r="J1141" s="21"/>
      <c r="K1141" s="323" t="s">
        <v>1623</v>
      </c>
      <c r="M1141" s="27">
        <f>_xlfn.XLOOKUP(packes[[#This Row],[productId]],CT[productId],CT[total],"NA")</f>
        <v>98.295000000000016</v>
      </c>
      <c r="N1141" s="20" t="str">
        <f>_xlfn.XLOOKUP(packes[[#This Row],[productId]],bom[Id],bom[ph],"NA")</f>
        <v>nar.p</v>
      </c>
      <c r="O1141" s="20" t="str">
        <f>_xlfn.XLOOKUP(packes[[#This Row],[productId]],bom[Id],bom[erth],"NA")</f>
        <v>-</v>
      </c>
      <c r="P1141" s="20" t="str">
        <f>_xlfn.XLOOKUP(packes[[#This Row],[productId]],bom[Id],bom[dbl],"NA")</f>
        <v>nar.p</v>
      </c>
      <c r="Q1141" s="20" t="str">
        <f>LEFT(packes[[#This Row],[date]],4)</f>
        <v>1404</v>
      </c>
    </row>
    <row r="1142" spans="1:17" ht="16.5" x14ac:dyDescent="0.25">
      <c r="A1142" s="23">
        <v>1139</v>
      </c>
      <c r="B1142" s="30" t="s">
        <v>841</v>
      </c>
      <c r="C1142" s="23">
        <v>140010230</v>
      </c>
      <c r="D1142" s="23">
        <v>2000</v>
      </c>
      <c r="E1142" s="27">
        <f>_xlfn.XLOOKUP(packes[[#This Row],[productId]],bom[Id],bom[wgt])</f>
        <v>1.4486680634540554</v>
      </c>
      <c r="F1142" s="27">
        <f>packes[[#This Row],[num]]*packes[[#This Row],[wtg]]</f>
        <v>2897.3361269081106</v>
      </c>
      <c r="G1142" s="357">
        <v>6</v>
      </c>
      <c r="H1142" s="21">
        <f>packes[[#This Row],[num]]-SUM(packes[[#This Row],[num2]])</f>
        <v>2000</v>
      </c>
      <c r="I1142" s="357"/>
      <c r="J1142" s="21"/>
      <c r="K1142" s="323" t="s">
        <v>1624</v>
      </c>
      <c r="M1142" s="27">
        <f>_xlfn.XLOOKUP(packes[[#This Row],[productId]],CT[productId],CT[total],"NA")</f>
        <v>147.595</v>
      </c>
      <c r="N1142" s="20" t="str">
        <f>_xlfn.XLOOKUP(packes[[#This Row],[productId]],bom[Id],bom[ph],"NA")</f>
        <v>nar.p</v>
      </c>
      <c r="O1142" s="20" t="str">
        <f>_xlfn.XLOOKUP(packes[[#This Row],[productId]],bom[Id],bom[erth],"NA")</f>
        <v>-</v>
      </c>
      <c r="P1142" s="20" t="str">
        <f>_xlfn.XLOOKUP(packes[[#This Row],[productId]],bom[Id],bom[dbl],"NA")</f>
        <v>nar.p</v>
      </c>
      <c r="Q1142" s="20" t="str">
        <f>LEFT(packes[[#This Row],[date]],4)</f>
        <v>1404</v>
      </c>
    </row>
    <row r="1143" spans="1:17" ht="16.5" x14ac:dyDescent="0.25">
      <c r="A1143" s="23">
        <v>1140</v>
      </c>
      <c r="B1143" s="30" t="s">
        <v>842</v>
      </c>
      <c r="C1143" s="23">
        <v>140010117</v>
      </c>
      <c r="D1143" s="23">
        <v>900</v>
      </c>
      <c r="E1143" s="27">
        <f>_xlfn.XLOOKUP(packes[[#This Row],[productId]],bom[Id],bom[wgt])</f>
        <v>1</v>
      </c>
      <c r="F1143" s="27">
        <f>packes[[#This Row],[num]]*packes[[#This Row],[wtg]]</f>
        <v>900</v>
      </c>
      <c r="G1143" s="357">
        <v>6</v>
      </c>
      <c r="H1143" s="21">
        <f>packes[[#This Row],[num]]-SUM(packes[[#This Row],[num2]])</f>
        <v>900</v>
      </c>
      <c r="I1143" s="357"/>
      <c r="J1143" s="21"/>
      <c r="K1143" s="323" t="s">
        <v>1623</v>
      </c>
      <c r="M1143" s="27">
        <f>_xlfn.XLOOKUP(packes[[#This Row],[productId]],CT[productId],CT[total],"NA")</f>
        <v>98.295000000000016</v>
      </c>
      <c r="N1143" s="20" t="str">
        <f>_xlfn.XLOOKUP(packes[[#This Row],[productId]],bom[Id],bom[ph],"NA")</f>
        <v>nar.p</v>
      </c>
      <c r="O1143" s="20" t="str">
        <f>_xlfn.XLOOKUP(packes[[#This Row],[productId]],bom[Id],bom[erth],"NA")</f>
        <v>-</v>
      </c>
      <c r="P1143" s="20" t="str">
        <f>_xlfn.XLOOKUP(packes[[#This Row],[productId]],bom[Id],bom[dbl],"NA")</f>
        <v>nar.p</v>
      </c>
      <c r="Q1143" s="20" t="str">
        <f>LEFT(packes[[#This Row],[date]],4)</f>
        <v>1404</v>
      </c>
    </row>
    <row r="1144" spans="1:17" ht="16.5" x14ac:dyDescent="0.25">
      <c r="A1144" s="23">
        <v>1141</v>
      </c>
      <c r="B1144" s="30" t="s">
        <v>842</v>
      </c>
      <c r="C1144" s="23">
        <v>140010230</v>
      </c>
      <c r="D1144" s="23">
        <v>1510</v>
      </c>
      <c r="E1144" s="27">
        <f>_xlfn.XLOOKUP(packes[[#This Row],[productId]],bom[Id],bom[wgt])</f>
        <v>1.4486680634540554</v>
      </c>
      <c r="F1144" s="27">
        <f>packes[[#This Row],[num]]*packes[[#This Row],[wtg]]</f>
        <v>2187.4887758156237</v>
      </c>
      <c r="G1144" s="357">
        <v>6</v>
      </c>
      <c r="H1144" s="21">
        <f>packes[[#This Row],[num]]-SUM(packes[[#This Row],[num2]])</f>
        <v>1510</v>
      </c>
      <c r="I1144" s="357"/>
      <c r="J1144" s="21"/>
      <c r="K1144" s="323" t="s">
        <v>1624</v>
      </c>
      <c r="M1144" s="27">
        <f>_xlfn.XLOOKUP(packes[[#This Row],[productId]],CT[productId],CT[total],"NA")</f>
        <v>147.595</v>
      </c>
      <c r="N1144" s="20" t="str">
        <f>_xlfn.XLOOKUP(packes[[#This Row],[productId]],bom[Id],bom[ph],"NA")</f>
        <v>nar.p</v>
      </c>
      <c r="O1144" s="20" t="str">
        <f>_xlfn.XLOOKUP(packes[[#This Row],[productId]],bom[Id],bom[erth],"NA")</f>
        <v>-</v>
      </c>
      <c r="P1144" s="20" t="str">
        <f>_xlfn.XLOOKUP(packes[[#This Row],[productId]],bom[Id],bom[dbl],"NA")</f>
        <v>nar.p</v>
      </c>
      <c r="Q1144" s="20" t="str">
        <f>LEFT(packes[[#This Row],[date]],4)</f>
        <v>1404</v>
      </c>
    </row>
    <row r="1145" spans="1:17" ht="16.5" x14ac:dyDescent="0.25">
      <c r="A1145" s="23">
        <v>1142</v>
      </c>
      <c r="B1145" s="30" t="s">
        <v>842</v>
      </c>
      <c r="C1145" s="23">
        <v>140310007</v>
      </c>
      <c r="D1145" s="23">
        <v>1600</v>
      </c>
      <c r="E1145" s="27">
        <f>_xlfn.XLOOKUP(packes[[#This Row],[productId]],bom[Id],bom[wgt])</f>
        <v>1.1413748378728923</v>
      </c>
      <c r="F1145" s="27">
        <f>packes[[#This Row],[num]]*packes[[#This Row],[wtg]]</f>
        <v>1826.1997405966276</v>
      </c>
      <c r="G1145" s="357">
        <v>4</v>
      </c>
      <c r="H1145" s="21">
        <f>packes[[#This Row],[num]]-SUM(packes[[#This Row],[num2]])</f>
        <v>1600</v>
      </c>
      <c r="I1145" s="357"/>
      <c r="J1145" s="21"/>
      <c r="K1145" s="323" t="s">
        <v>1626</v>
      </c>
      <c r="M1145" s="27">
        <f>_xlfn.XLOOKUP(packes[[#This Row],[productId]],CT[productId],CT[total],"NA")</f>
        <v>92.484999999999999</v>
      </c>
      <c r="N1145" s="20" t="str">
        <f>_xlfn.XLOOKUP(packes[[#This Row],[productId]],bom[Id],bom[ph],"NA")</f>
        <v>-</v>
      </c>
      <c r="O1145" s="20" t="str">
        <f>_xlfn.XLOOKUP(packes[[#This Row],[productId]],bom[Id],bom[erth],"NA")</f>
        <v>nut4</v>
      </c>
      <c r="P1145" s="20" t="str">
        <f>_xlfn.XLOOKUP(packes[[#This Row],[productId]],bom[Id],bom[dbl],"NA")</f>
        <v>-</v>
      </c>
      <c r="Q1145" s="20" t="str">
        <f>LEFT(packes[[#This Row],[date]],4)</f>
        <v>1404</v>
      </c>
    </row>
    <row r="1146" spans="1:17" ht="16.5" x14ac:dyDescent="0.25">
      <c r="A1146" s="23">
        <v>1143</v>
      </c>
      <c r="B1146" s="30" t="s">
        <v>843</v>
      </c>
      <c r="C1146" s="23">
        <v>140010117</v>
      </c>
      <c r="D1146" s="23">
        <v>450</v>
      </c>
      <c r="E1146" s="27">
        <f>_xlfn.XLOOKUP(packes[[#This Row],[productId]],bom[Id],bom[wgt])</f>
        <v>1</v>
      </c>
      <c r="F1146" s="27">
        <f>packes[[#This Row],[num]]*packes[[#This Row],[wtg]]</f>
        <v>450</v>
      </c>
      <c r="G1146" s="357">
        <v>6</v>
      </c>
      <c r="H1146" s="21">
        <f>packes[[#This Row],[num]]-SUM(packes[[#This Row],[num2]])</f>
        <v>450</v>
      </c>
      <c r="I1146" s="357"/>
      <c r="J1146" s="21"/>
      <c r="K1146" s="323" t="s">
        <v>1628</v>
      </c>
      <c r="M1146" s="27">
        <f>_xlfn.XLOOKUP(packes[[#This Row],[productId]],CT[productId],CT[total],"NA")</f>
        <v>98.295000000000016</v>
      </c>
      <c r="N1146" s="20" t="str">
        <f>_xlfn.XLOOKUP(packes[[#This Row],[productId]],bom[Id],bom[ph],"NA")</f>
        <v>nar.p</v>
      </c>
      <c r="O1146" s="20" t="str">
        <f>_xlfn.XLOOKUP(packes[[#This Row],[productId]],bom[Id],bom[erth],"NA")</f>
        <v>-</v>
      </c>
      <c r="P1146" s="20" t="str">
        <f>_xlfn.XLOOKUP(packes[[#This Row],[productId]],bom[Id],bom[dbl],"NA")</f>
        <v>nar.p</v>
      </c>
      <c r="Q1146" s="20" t="str">
        <f>LEFT(packes[[#This Row],[date]],4)</f>
        <v>1404</v>
      </c>
    </row>
    <row r="1147" spans="1:17" ht="16.5" x14ac:dyDescent="0.25">
      <c r="A1147" s="23">
        <v>1144</v>
      </c>
      <c r="B1147" s="30" t="s">
        <v>843</v>
      </c>
      <c r="C1147" s="23">
        <v>140010230</v>
      </c>
      <c r="D1147" s="23">
        <v>1900</v>
      </c>
      <c r="E1147" s="27">
        <f>_xlfn.XLOOKUP(packes[[#This Row],[productId]],bom[Id],bom[wgt])</f>
        <v>1.4486680634540554</v>
      </c>
      <c r="F1147" s="27">
        <f>packes[[#This Row],[num]]*packes[[#This Row],[wtg]]</f>
        <v>2752.4693205627054</v>
      </c>
      <c r="G1147" s="357">
        <v>6</v>
      </c>
      <c r="H1147" s="21">
        <f>packes[[#This Row],[num]]-SUM(packes[[#This Row],[num2]])</f>
        <v>1900</v>
      </c>
      <c r="I1147" s="357"/>
      <c r="J1147" s="21"/>
      <c r="K1147" s="323" t="s">
        <v>1629</v>
      </c>
      <c r="M1147" s="27">
        <f>_xlfn.XLOOKUP(packes[[#This Row],[productId]],CT[productId],CT[total],"NA")</f>
        <v>147.595</v>
      </c>
      <c r="N1147" s="20" t="str">
        <f>_xlfn.XLOOKUP(packes[[#This Row],[productId]],bom[Id],bom[ph],"NA")</f>
        <v>nar.p</v>
      </c>
      <c r="O1147" s="20" t="str">
        <f>_xlfn.XLOOKUP(packes[[#This Row],[productId]],bom[Id],bom[erth],"NA")</f>
        <v>-</v>
      </c>
      <c r="P1147" s="20" t="str">
        <f>_xlfn.XLOOKUP(packes[[#This Row],[productId]],bom[Id],bom[dbl],"NA")</f>
        <v>nar.p</v>
      </c>
      <c r="Q1147" s="20" t="str">
        <f>LEFT(packes[[#This Row],[date]],4)</f>
        <v>1404</v>
      </c>
    </row>
    <row r="1148" spans="1:17" ht="16.5" x14ac:dyDescent="0.25">
      <c r="A1148" s="23">
        <v>1145</v>
      </c>
      <c r="B1148" s="30" t="s">
        <v>843</v>
      </c>
      <c r="C1148" s="23">
        <v>140310007</v>
      </c>
      <c r="D1148" s="23">
        <v>1700</v>
      </c>
      <c r="E1148" s="27">
        <f>_xlfn.XLOOKUP(packes[[#This Row],[productId]],bom[Id],bom[wgt])</f>
        <v>1.1413748378728923</v>
      </c>
      <c r="F1148" s="27">
        <f>packes[[#This Row],[num]]*packes[[#This Row],[wtg]]</f>
        <v>1940.3372243839169</v>
      </c>
      <c r="G1148" s="357">
        <v>4</v>
      </c>
      <c r="H1148" s="21">
        <f>packes[[#This Row],[num]]-SUM(packes[[#This Row],[num2]])</f>
        <v>1700</v>
      </c>
      <c r="I1148" s="357"/>
      <c r="J1148" s="21"/>
      <c r="K1148" s="323" t="s">
        <v>1630</v>
      </c>
      <c r="M1148" s="27">
        <f>_xlfn.XLOOKUP(packes[[#This Row],[productId]],CT[productId],CT[total],"NA")</f>
        <v>92.484999999999999</v>
      </c>
      <c r="N1148" s="20" t="str">
        <f>_xlfn.XLOOKUP(packes[[#This Row],[productId]],bom[Id],bom[ph],"NA")</f>
        <v>-</v>
      </c>
      <c r="O1148" s="20" t="str">
        <f>_xlfn.XLOOKUP(packes[[#This Row],[productId]],bom[Id],bom[erth],"NA")</f>
        <v>nut4</v>
      </c>
      <c r="P1148" s="20" t="str">
        <f>_xlfn.XLOOKUP(packes[[#This Row],[productId]],bom[Id],bom[dbl],"NA")</f>
        <v>-</v>
      </c>
      <c r="Q1148" s="20" t="str">
        <f>LEFT(packes[[#This Row],[date]],4)</f>
        <v>1404</v>
      </c>
    </row>
    <row r="1149" spans="1:17" ht="16.5" x14ac:dyDescent="0.25">
      <c r="A1149" s="23">
        <v>1146</v>
      </c>
      <c r="B1149" s="30" t="s">
        <v>844</v>
      </c>
      <c r="C1149" s="23">
        <v>140010117</v>
      </c>
      <c r="D1149" s="23">
        <v>1125</v>
      </c>
      <c r="E1149" s="27">
        <f>_xlfn.XLOOKUP(packes[[#This Row],[productId]],bom[Id],bom[wgt])</f>
        <v>1</v>
      </c>
      <c r="F1149" s="27">
        <f>packes[[#This Row],[num]]*packes[[#This Row],[wtg]]</f>
        <v>1125</v>
      </c>
      <c r="G1149" s="357">
        <v>6</v>
      </c>
      <c r="H1149" s="21">
        <f>packes[[#This Row],[num]]-SUM(packes[[#This Row],[num2]])</f>
        <v>1125</v>
      </c>
      <c r="I1149" s="357"/>
      <c r="J1149" s="21"/>
      <c r="K1149" s="323" t="s">
        <v>1632</v>
      </c>
      <c r="M1149" s="27">
        <f>_xlfn.XLOOKUP(packes[[#This Row],[productId]],CT[productId],CT[total],"NA")</f>
        <v>98.295000000000016</v>
      </c>
      <c r="N1149" s="20" t="str">
        <f>_xlfn.XLOOKUP(packes[[#This Row],[productId]],bom[Id],bom[ph],"NA")</f>
        <v>nar.p</v>
      </c>
      <c r="O1149" s="20" t="str">
        <f>_xlfn.XLOOKUP(packes[[#This Row],[productId]],bom[Id],bom[erth],"NA")</f>
        <v>-</v>
      </c>
      <c r="P1149" s="20" t="str">
        <f>_xlfn.XLOOKUP(packes[[#This Row],[productId]],bom[Id],bom[dbl],"NA")</f>
        <v>nar.p</v>
      </c>
      <c r="Q1149" s="20" t="str">
        <f>LEFT(packes[[#This Row],[date]],4)</f>
        <v>1404</v>
      </c>
    </row>
    <row r="1150" spans="1:17" ht="16.5" x14ac:dyDescent="0.25">
      <c r="A1150" s="23">
        <v>1147</v>
      </c>
      <c r="B1150" s="30" t="s">
        <v>844</v>
      </c>
      <c r="C1150" s="23">
        <v>140010230</v>
      </c>
      <c r="D1150" s="23">
        <v>1800</v>
      </c>
      <c r="E1150" s="27">
        <f>_xlfn.XLOOKUP(packes[[#This Row],[productId]],bom[Id],bom[wgt])</f>
        <v>1.4486680634540554</v>
      </c>
      <c r="F1150" s="27">
        <f>packes[[#This Row],[num]]*packes[[#This Row],[wtg]]</f>
        <v>2607.6025142172998</v>
      </c>
      <c r="G1150" s="357">
        <v>6</v>
      </c>
      <c r="H1150" s="21">
        <f>packes[[#This Row],[num]]-SUM(packes[[#This Row],[num2]])</f>
        <v>1800</v>
      </c>
      <c r="I1150" s="357"/>
      <c r="J1150" s="21"/>
      <c r="K1150" s="323" t="s">
        <v>1633</v>
      </c>
      <c r="M1150" s="27">
        <f>_xlfn.XLOOKUP(packes[[#This Row],[productId]],CT[productId],CT[total],"NA")</f>
        <v>147.595</v>
      </c>
      <c r="N1150" s="20" t="str">
        <f>_xlfn.XLOOKUP(packes[[#This Row],[productId]],bom[Id],bom[ph],"NA")</f>
        <v>nar.p</v>
      </c>
      <c r="O1150" s="20" t="str">
        <f>_xlfn.XLOOKUP(packes[[#This Row],[productId]],bom[Id],bom[erth],"NA")</f>
        <v>-</v>
      </c>
      <c r="P1150" s="20" t="str">
        <f>_xlfn.XLOOKUP(packes[[#This Row],[productId]],bom[Id],bom[dbl],"NA")</f>
        <v>nar.p</v>
      </c>
      <c r="Q1150" s="20" t="str">
        <f>LEFT(packes[[#This Row],[date]],4)</f>
        <v>1404</v>
      </c>
    </row>
    <row r="1151" spans="1:17" ht="16.5" x14ac:dyDescent="0.25">
      <c r="A1151" s="23">
        <v>1148</v>
      </c>
      <c r="B1151" s="30" t="s">
        <v>844</v>
      </c>
      <c r="C1151" s="23">
        <v>140310007</v>
      </c>
      <c r="D1151" s="23">
        <v>1200</v>
      </c>
      <c r="E1151" s="27">
        <f>_xlfn.XLOOKUP(packes[[#This Row],[productId]],bom[Id],bom[wgt])</f>
        <v>1.1413748378728923</v>
      </c>
      <c r="F1151" s="27">
        <f>packes[[#This Row],[num]]*packes[[#This Row],[wtg]]</f>
        <v>1369.6498054474707</v>
      </c>
      <c r="G1151" s="357">
        <v>4</v>
      </c>
      <c r="H1151" s="21">
        <f>packes[[#This Row],[num]]-SUM(packes[[#This Row],[num2]])</f>
        <v>1200</v>
      </c>
      <c r="I1151" s="357"/>
      <c r="J1151" s="21"/>
      <c r="K1151" s="323" t="s">
        <v>1634</v>
      </c>
      <c r="M1151" s="27">
        <f>_xlfn.XLOOKUP(packes[[#This Row],[productId]],CT[productId],CT[total],"NA")</f>
        <v>92.484999999999999</v>
      </c>
      <c r="N1151" s="20" t="str">
        <f>_xlfn.XLOOKUP(packes[[#This Row],[productId]],bom[Id],bom[ph],"NA")</f>
        <v>-</v>
      </c>
      <c r="O1151" s="20" t="str">
        <f>_xlfn.XLOOKUP(packes[[#This Row],[productId]],bom[Id],bom[erth],"NA")</f>
        <v>nut4</v>
      </c>
      <c r="P1151" s="20" t="str">
        <f>_xlfn.XLOOKUP(packes[[#This Row],[productId]],bom[Id],bom[dbl],"NA")</f>
        <v>-</v>
      </c>
      <c r="Q1151" s="20" t="str">
        <f>LEFT(packes[[#This Row],[date]],4)</f>
        <v>1404</v>
      </c>
    </row>
    <row r="1152" spans="1:17" ht="16.5" x14ac:dyDescent="0.25">
      <c r="A1152" s="23">
        <v>1149</v>
      </c>
      <c r="B1152" s="30" t="s">
        <v>845</v>
      </c>
      <c r="C1152" s="23">
        <v>140010117</v>
      </c>
      <c r="D1152" s="23">
        <v>900</v>
      </c>
      <c r="E1152" s="27">
        <f>_xlfn.XLOOKUP(packes[[#This Row],[productId]],bom[Id],bom[wgt])</f>
        <v>1</v>
      </c>
      <c r="F1152" s="27">
        <f>packes[[#This Row],[num]]*packes[[#This Row],[wtg]]</f>
        <v>900</v>
      </c>
      <c r="G1152" s="357">
        <v>6</v>
      </c>
      <c r="H1152" s="21">
        <f>packes[[#This Row],[num]]-SUM(packes[[#This Row],[num2]])</f>
        <v>875</v>
      </c>
      <c r="I1152" s="357">
        <v>7</v>
      </c>
      <c r="J1152" s="21">
        <v>25</v>
      </c>
      <c r="K1152" s="323" t="s">
        <v>1639</v>
      </c>
      <c r="M1152" s="27">
        <f>_xlfn.XLOOKUP(packes[[#This Row],[productId]],CT[productId],CT[total],"NA")</f>
        <v>98.295000000000016</v>
      </c>
      <c r="N1152" s="20" t="str">
        <f>_xlfn.XLOOKUP(packes[[#This Row],[productId]],bom[Id],bom[ph],"NA")</f>
        <v>nar.p</v>
      </c>
      <c r="O1152" s="20" t="str">
        <f>_xlfn.XLOOKUP(packes[[#This Row],[productId]],bom[Id],bom[erth],"NA")</f>
        <v>-</v>
      </c>
      <c r="P1152" s="20" t="str">
        <f>_xlfn.XLOOKUP(packes[[#This Row],[productId]],bom[Id],bom[dbl],"NA")</f>
        <v>nar.p</v>
      </c>
      <c r="Q1152" s="20" t="str">
        <f>LEFT(packes[[#This Row],[date]],4)</f>
        <v>1404</v>
      </c>
    </row>
    <row r="1153" spans="1:17" ht="16.5" x14ac:dyDescent="0.25">
      <c r="A1153" s="23">
        <v>1150</v>
      </c>
      <c r="B1153" s="30" t="s">
        <v>845</v>
      </c>
      <c r="C1153" s="23">
        <v>140010230</v>
      </c>
      <c r="D1153" s="23">
        <v>1550</v>
      </c>
      <c r="E1153" s="27">
        <f>_xlfn.XLOOKUP(packes[[#This Row],[productId]],bom[Id],bom[wgt])</f>
        <v>1.4486680634540554</v>
      </c>
      <c r="F1153" s="27">
        <f>packes[[#This Row],[num]]*packes[[#This Row],[wtg]]</f>
        <v>2245.435498353786</v>
      </c>
      <c r="G1153" s="357">
        <v>6</v>
      </c>
      <c r="H1153" s="21">
        <f>packes[[#This Row],[num]]-SUM(packes[[#This Row],[num2]])</f>
        <v>1550</v>
      </c>
      <c r="I1153" s="357"/>
      <c r="J1153" s="21"/>
      <c r="K1153" s="323" t="s">
        <v>1640</v>
      </c>
      <c r="M1153" s="27">
        <f>_xlfn.XLOOKUP(packes[[#This Row],[productId]],CT[productId],CT[total],"NA")</f>
        <v>147.595</v>
      </c>
      <c r="N1153" s="20" t="str">
        <f>_xlfn.XLOOKUP(packes[[#This Row],[productId]],bom[Id],bom[ph],"NA")</f>
        <v>nar.p</v>
      </c>
      <c r="O1153" s="20" t="str">
        <f>_xlfn.XLOOKUP(packes[[#This Row],[productId]],bom[Id],bom[erth],"NA")</f>
        <v>-</v>
      </c>
      <c r="P1153" s="20" t="str">
        <f>_xlfn.XLOOKUP(packes[[#This Row],[productId]],bom[Id],bom[dbl],"NA")</f>
        <v>nar.p</v>
      </c>
      <c r="Q1153" s="20" t="str">
        <f>LEFT(packes[[#This Row],[date]],4)</f>
        <v>1404</v>
      </c>
    </row>
    <row r="1154" spans="1:17" ht="16.5" x14ac:dyDescent="0.25">
      <c r="A1154" s="23">
        <v>1151</v>
      </c>
      <c r="B1154" s="30" t="s">
        <v>845</v>
      </c>
      <c r="C1154" s="23">
        <v>140310007</v>
      </c>
      <c r="D1154" s="23">
        <v>1500</v>
      </c>
      <c r="E1154" s="27">
        <f>_xlfn.XLOOKUP(packes[[#This Row],[productId]],bom[Id],bom[wgt])</f>
        <v>1.1413748378728923</v>
      </c>
      <c r="F1154" s="27">
        <f>packes[[#This Row],[num]]*packes[[#This Row],[wtg]]</f>
        <v>1712.0622568093384</v>
      </c>
      <c r="G1154" s="357">
        <v>4</v>
      </c>
      <c r="H1154" s="21">
        <f>packes[[#This Row],[num]]-SUM(packes[[#This Row],[num2]])</f>
        <v>1500</v>
      </c>
      <c r="I1154" s="357"/>
      <c r="J1154" s="21"/>
      <c r="K1154" s="323" t="s">
        <v>1641</v>
      </c>
      <c r="M1154" s="27">
        <f>_xlfn.XLOOKUP(packes[[#This Row],[productId]],CT[productId],CT[total],"NA")</f>
        <v>92.484999999999999</v>
      </c>
      <c r="N1154" s="20" t="str">
        <f>_xlfn.XLOOKUP(packes[[#This Row],[productId]],bom[Id],bom[ph],"NA")</f>
        <v>-</v>
      </c>
      <c r="O1154" s="20" t="str">
        <f>_xlfn.XLOOKUP(packes[[#This Row],[productId]],bom[Id],bom[erth],"NA")</f>
        <v>nut4</v>
      </c>
      <c r="P1154" s="20" t="str">
        <f>_xlfn.XLOOKUP(packes[[#This Row],[productId]],bom[Id],bom[dbl],"NA")</f>
        <v>-</v>
      </c>
      <c r="Q1154" s="20" t="str">
        <f>LEFT(packes[[#This Row],[date]],4)</f>
        <v>1404</v>
      </c>
    </row>
    <row r="1155" spans="1:17" ht="16.5" x14ac:dyDescent="0.25">
      <c r="A1155" s="23">
        <v>1152</v>
      </c>
      <c r="B1155" s="30" t="s">
        <v>845</v>
      </c>
      <c r="C1155" s="23">
        <v>140310071</v>
      </c>
      <c r="D1155" s="23">
        <v>50</v>
      </c>
      <c r="E1155" s="27">
        <f>_xlfn.XLOOKUP(packes[[#This Row],[productId]],bom[Id],bom[wgt])</f>
        <v>1.3</v>
      </c>
      <c r="F1155" s="27">
        <f>packes[[#This Row],[num]]*packes[[#This Row],[wtg]]</f>
        <v>65</v>
      </c>
      <c r="G1155" s="357">
        <v>3</v>
      </c>
      <c r="H1155" s="21">
        <f>packes[[#This Row],[num]]-SUM(packes[[#This Row],[num2]])</f>
        <v>50</v>
      </c>
      <c r="I1155" s="357"/>
      <c r="J1155" s="21"/>
      <c r="K1155" s="323" t="s">
        <v>1272</v>
      </c>
      <c r="M1155" s="27">
        <f>_xlfn.XLOOKUP(packes[[#This Row],[productId]],CT[productId],CT[total],"NA")</f>
        <v>130.69500000000002</v>
      </c>
      <c r="N1155" s="20" t="str">
        <f>_xlfn.XLOOKUP(packes[[#This Row],[productId]],bom[Id],bom[ph],"NA")</f>
        <v>6.3ch</v>
      </c>
      <c r="O1155" s="20" t="str">
        <f>_xlfn.XLOOKUP(packes[[#This Row],[productId]],bom[Id],bom[erth],"NA")</f>
        <v>6.3k</v>
      </c>
      <c r="P1155" s="20" t="str">
        <f>_xlfn.XLOOKUP(packes[[#This Row],[productId]],bom[Id],bom[dbl],"NA")</f>
        <v>-</v>
      </c>
      <c r="Q1155" s="20" t="str">
        <f>LEFT(packes[[#This Row],[date]],4)</f>
        <v>1404</v>
      </c>
    </row>
    <row r="1156" spans="1:17" ht="16.5" x14ac:dyDescent="0.25">
      <c r="A1156" s="23">
        <v>1153</v>
      </c>
      <c r="B1156" s="30" t="s">
        <v>846</v>
      </c>
      <c r="C1156" s="23">
        <v>140010117</v>
      </c>
      <c r="D1156" s="23">
        <v>1200</v>
      </c>
      <c r="E1156" s="27">
        <f>_xlfn.XLOOKUP(packes[[#This Row],[productId]],bom[Id],bom[wgt])</f>
        <v>1</v>
      </c>
      <c r="F1156" s="27">
        <f>packes[[#This Row],[num]]*packes[[#This Row],[wtg]]</f>
        <v>1200</v>
      </c>
      <c r="G1156" s="357">
        <v>7</v>
      </c>
      <c r="H1156" s="21">
        <f>packes[[#This Row],[num]]-SUM(packes[[#This Row],[num2]])</f>
        <v>1200</v>
      </c>
      <c r="I1156" s="357"/>
      <c r="J1156" s="21"/>
      <c r="K1156" s="323"/>
      <c r="M1156" s="27">
        <f>_xlfn.XLOOKUP(packes[[#This Row],[productId]],CT[productId],CT[total],"NA")</f>
        <v>98.295000000000016</v>
      </c>
      <c r="N1156" s="20" t="str">
        <f>_xlfn.XLOOKUP(packes[[#This Row],[productId]],bom[Id],bom[ph],"NA")</f>
        <v>nar.p</v>
      </c>
      <c r="O1156" s="20" t="str">
        <f>_xlfn.XLOOKUP(packes[[#This Row],[productId]],bom[Id],bom[erth],"NA")</f>
        <v>-</v>
      </c>
      <c r="P1156" s="20" t="str">
        <f>_xlfn.XLOOKUP(packes[[#This Row],[productId]],bom[Id],bom[dbl],"NA")</f>
        <v>nar.p</v>
      </c>
      <c r="Q1156" s="20" t="str">
        <f>LEFT(packes[[#This Row],[date]],4)</f>
        <v>1404</v>
      </c>
    </row>
    <row r="1157" spans="1:17" ht="16.5" x14ac:dyDescent="0.25">
      <c r="A1157" s="23">
        <v>1154</v>
      </c>
      <c r="B1157" s="30" t="s">
        <v>846</v>
      </c>
      <c r="C1157" s="23">
        <v>140310007</v>
      </c>
      <c r="D1157" s="23">
        <v>1800</v>
      </c>
      <c r="E1157" s="27">
        <f>_xlfn.XLOOKUP(packes[[#This Row],[productId]],bom[Id],bom[wgt])</f>
        <v>1.1413748378728923</v>
      </c>
      <c r="F1157" s="27">
        <f>packes[[#This Row],[num]]*packes[[#This Row],[wtg]]</f>
        <v>2054.4747081712062</v>
      </c>
      <c r="G1157" s="357">
        <v>4</v>
      </c>
      <c r="H1157" s="21">
        <f>packes[[#This Row],[num]]-SUM(packes[[#This Row],[num2]])</f>
        <v>1800</v>
      </c>
      <c r="I1157" s="357"/>
      <c r="J1157" s="21"/>
      <c r="K1157" s="323" t="s">
        <v>1708</v>
      </c>
      <c r="M1157" s="27">
        <f>_xlfn.XLOOKUP(packes[[#This Row],[productId]],CT[productId],CT[total],"NA")</f>
        <v>92.484999999999999</v>
      </c>
      <c r="N1157" s="20" t="str">
        <f>_xlfn.XLOOKUP(packes[[#This Row],[productId]],bom[Id],bom[ph],"NA")</f>
        <v>-</v>
      </c>
      <c r="O1157" s="20" t="str">
        <f>_xlfn.XLOOKUP(packes[[#This Row],[productId]],bom[Id],bom[erth],"NA")</f>
        <v>nut4</v>
      </c>
      <c r="P1157" s="20" t="str">
        <f>_xlfn.XLOOKUP(packes[[#This Row],[productId]],bom[Id],bom[dbl],"NA")</f>
        <v>-</v>
      </c>
      <c r="Q1157" s="20" t="str">
        <f>LEFT(packes[[#This Row],[date]],4)</f>
        <v>1404</v>
      </c>
    </row>
    <row r="1158" spans="1:17" ht="16.5" x14ac:dyDescent="0.25">
      <c r="A1158" s="23">
        <v>1155</v>
      </c>
      <c r="B1158" s="30" t="s">
        <v>848</v>
      </c>
      <c r="C1158" s="23">
        <v>140010117</v>
      </c>
      <c r="D1158" s="23">
        <v>3375</v>
      </c>
      <c r="E1158" s="27">
        <f>_xlfn.XLOOKUP(packes[[#This Row],[productId]],bom[Id],bom[wgt])</f>
        <v>1</v>
      </c>
      <c r="F1158" s="27">
        <f>packes[[#This Row],[num]]*packes[[#This Row],[wtg]]</f>
        <v>3375</v>
      </c>
      <c r="G1158" s="357">
        <v>7</v>
      </c>
      <c r="H1158" s="21">
        <f>packes[[#This Row],[num]]-SUM(packes[[#This Row],[num2]])</f>
        <v>3375</v>
      </c>
      <c r="I1158" s="357"/>
      <c r="J1158" s="21"/>
      <c r="K1158" s="323"/>
      <c r="M1158" s="27">
        <f>_xlfn.XLOOKUP(packes[[#This Row],[productId]],CT[productId],CT[total],"NA")</f>
        <v>98.295000000000016</v>
      </c>
      <c r="N1158" s="20" t="str">
        <f>_xlfn.XLOOKUP(packes[[#This Row],[productId]],bom[Id],bom[ph],"NA")</f>
        <v>nar.p</v>
      </c>
      <c r="O1158" s="20" t="str">
        <f>_xlfn.XLOOKUP(packes[[#This Row],[productId]],bom[Id],bom[erth],"NA")</f>
        <v>-</v>
      </c>
      <c r="P1158" s="20" t="str">
        <f>_xlfn.XLOOKUP(packes[[#This Row],[productId]],bom[Id],bom[dbl],"NA")</f>
        <v>nar.p</v>
      </c>
      <c r="Q1158" s="20" t="str">
        <f>LEFT(packes[[#This Row],[date]],4)</f>
        <v>1404</v>
      </c>
    </row>
    <row r="1159" spans="1:17" ht="16.5" x14ac:dyDescent="0.25">
      <c r="A1159" s="23">
        <v>1156</v>
      </c>
      <c r="B1159" s="30" t="s">
        <v>848</v>
      </c>
      <c r="C1159" s="23">
        <v>140010230</v>
      </c>
      <c r="D1159" s="23">
        <v>350</v>
      </c>
      <c r="E1159" s="27">
        <f>_xlfn.XLOOKUP(packes[[#This Row],[productId]],bom[Id],bom[wgt])</f>
        <v>1.4486680634540554</v>
      </c>
      <c r="F1159" s="27">
        <f>packes[[#This Row],[num]]*packes[[#This Row],[wtg]]</f>
        <v>507.03382220891939</v>
      </c>
      <c r="G1159" s="357">
        <v>6</v>
      </c>
      <c r="H1159" s="21">
        <f>packes[[#This Row],[num]]-SUM(packes[[#This Row],[num2]])</f>
        <v>350</v>
      </c>
      <c r="I1159" s="357"/>
      <c r="J1159" s="21"/>
      <c r="K1159" s="323" t="s">
        <v>1728</v>
      </c>
      <c r="M1159" s="27">
        <f>_xlfn.XLOOKUP(packes[[#This Row],[productId]],CT[productId],CT[total],"NA")</f>
        <v>147.595</v>
      </c>
      <c r="N1159" s="20" t="str">
        <f>_xlfn.XLOOKUP(packes[[#This Row],[productId]],bom[Id],bom[ph],"NA")</f>
        <v>nar.p</v>
      </c>
      <c r="O1159" s="20" t="str">
        <f>_xlfn.XLOOKUP(packes[[#This Row],[productId]],bom[Id],bom[erth],"NA")</f>
        <v>-</v>
      </c>
      <c r="P1159" s="20" t="str">
        <f>_xlfn.XLOOKUP(packes[[#This Row],[productId]],bom[Id],bom[dbl],"NA")</f>
        <v>nar.p</v>
      </c>
      <c r="Q1159" s="20" t="str">
        <f>LEFT(packes[[#This Row],[date]],4)</f>
        <v>1404</v>
      </c>
    </row>
    <row r="1160" spans="1:17" ht="16.5" x14ac:dyDescent="0.25">
      <c r="A1160" s="23">
        <v>1157</v>
      </c>
      <c r="B1160" s="30" t="s">
        <v>848</v>
      </c>
      <c r="C1160" s="23">
        <v>140010255</v>
      </c>
      <c r="D1160" s="23">
        <v>300</v>
      </c>
      <c r="E1160" s="27">
        <f>_xlfn.XLOOKUP(packes[[#This Row],[productId]],bom[Id],bom[wgt])</f>
        <v>1</v>
      </c>
      <c r="F1160" s="27">
        <f>packes[[#This Row],[num]]*packes[[#This Row],[wtg]]</f>
        <v>300</v>
      </c>
      <c r="G1160" s="357">
        <v>7</v>
      </c>
      <c r="H1160" s="21">
        <f>packes[[#This Row],[num]]-SUM(packes[[#This Row],[num2]])</f>
        <v>300</v>
      </c>
      <c r="I1160" s="357"/>
      <c r="J1160" s="21"/>
      <c r="K1160" s="323"/>
      <c r="M1160" s="27">
        <f>_xlfn.XLOOKUP(packes[[#This Row],[productId]],CT[productId],CT[total],"NA")</f>
        <v>95.575000000000003</v>
      </c>
      <c r="N1160" s="20" t="str">
        <f>_xlfn.XLOOKUP(packes[[#This Row],[productId]],bom[Id],bom[ph],"NA")</f>
        <v>-</v>
      </c>
      <c r="O1160" s="20" t="str">
        <f>_xlfn.XLOOKUP(packes[[#This Row],[productId]],bom[Id],bom[erth],"NA")</f>
        <v>-</v>
      </c>
      <c r="P1160" s="20" t="str">
        <f>_xlfn.XLOOKUP(packes[[#This Row],[productId]],bom[Id],bom[dbl],"NA")</f>
        <v>6.3flat</v>
      </c>
      <c r="Q1160" s="20" t="str">
        <f>LEFT(packes[[#This Row],[date]],4)</f>
        <v>1404</v>
      </c>
    </row>
    <row r="1161" spans="1:17" ht="16.5" x14ac:dyDescent="0.25">
      <c r="A1161" s="23">
        <v>1158</v>
      </c>
      <c r="B1161" s="30" t="s">
        <v>848</v>
      </c>
      <c r="C1161" s="23">
        <v>140030039</v>
      </c>
      <c r="D1161" s="23">
        <v>500</v>
      </c>
      <c r="E1161" s="27">
        <f>_xlfn.XLOOKUP(packes[[#This Row],[productId]],bom[Id],bom[wgt])</f>
        <v>1.1413748378728923</v>
      </c>
      <c r="F1161" s="27">
        <f>packes[[#This Row],[num]]*packes[[#This Row],[wtg]]</f>
        <v>570.68741893644619</v>
      </c>
      <c r="G1161" s="357">
        <v>7</v>
      </c>
      <c r="H1161" s="21">
        <f>packes[[#This Row],[num]]-SUM(packes[[#This Row],[num2]])</f>
        <v>500</v>
      </c>
      <c r="I1161" s="357"/>
      <c r="J1161" s="21"/>
      <c r="K1161" s="323"/>
      <c r="M1161" s="27">
        <f>_xlfn.XLOOKUP(packes[[#This Row],[productId]],CT[productId],CT[total],"NA")</f>
        <v>92.504999999999995</v>
      </c>
      <c r="N1161" s="20" t="str">
        <f>_xlfn.XLOOKUP(packes[[#This Row],[productId]],bom[Id],bom[ph],"NA")</f>
        <v>YH</v>
      </c>
      <c r="O1161" s="20" t="str">
        <f>_xlfn.XLOOKUP(packes[[#This Row],[productId]],bom[Id],bom[erth],"NA")</f>
        <v>sun</v>
      </c>
      <c r="P1161" s="20" t="str">
        <f>_xlfn.XLOOKUP(packes[[#This Row],[productId]],bom[Id],bom[dbl],"NA")</f>
        <v>-</v>
      </c>
      <c r="Q1161" s="20" t="str">
        <f>LEFT(packes[[#This Row],[date]],4)</f>
        <v>1404</v>
      </c>
    </row>
    <row r="1162" spans="1:17" ht="16.5" x14ac:dyDescent="0.25">
      <c r="A1162" s="23">
        <v>1159</v>
      </c>
      <c r="B1162" s="30" t="s">
        <v>848</v>
      </c>
      <c r="C1162" s="23">
        <v>140310007</v>
      </c>
      <c r="D1162" s="23">
        <v>2000</v>
      </c>
      <c r="E1162" s="27">
        <f>_xlfn.XLOOKUP(packes[[#This Row],[productId]],bom[Id],bom[wgt])</f>
        <v>1.1413748378728923</v>
      </c>
      <c r="F1162" s="27">
        <f>packes[[#This Row],[num]]*packes[[#This Row],[wtg]]</f>
        <v>2282.7496757457848</v>
      </c>
      <c r="G1162" s="357">
        <v>4</v>
      </c>
      <c r="H1162" s="21">
        <f>packes[[#This Row],[num]]-SUM(packes[[#This Row],[num2]])</f>
        <v>2000</v>
      </c>
      <c r="I1162" s="357"/>
      <c r="J1162" s="21"/>
      <c r="K1162" s="323" t="s">
        <v>1729</v>
      </c>
      <c r="M1162" s="27">
        <f>_xlfn.XLOOKUP(packes[[#This Row],[productId]],CT[productId],CT[total],"NA")</f>
        <v>92.484999999999999</v>
      </c>
      <c r="N1162" s="20" t="str">
        <f>_xlfn.XLOOKUP(packes[[#This Row],[productId]],bom[Id],bom[ph],"NA")</f>
        <v>-</v>
      </c>
      <c r="O1162" s="20" t="str">
        <f>_xlfn.XLOOKUP(packes[[#This Row],[productId]],bom[Id],bom[erth],"NA")</f>
        <v>nut4</v>
      </c>
      <c r="P1162" s="20" t="str">
        <f>_xlfn.XLOOKUP(packes[[#This Row],[productId]],bom[Id],bom[dbl],"NA")</f>
        <v>-</v>
      </c>
      <c r="Q1162" s="20" t="str">
        <f>LEFT(packes[[#This Row],[date]],4)</f>
        <v>1404</v>
      </c>
    </row>
    <row r="1163" spans="1:17" ht="16.5" x14ac:dyDescent="0.25">
      <c r="A1163" s="23">
        <v>1160</v>
      </c>
      <c r="B1163" s="30" t="s">
        <v>849</v>
      </c>
      <c r="C1163" s="23">
        <v>140010117</v>
      </c>
      <c r="D1163" s="23">
        <v>300</v>
      </c>
      <c r="E1163" s="27">
        <f>_xlfn.XLOOKUP(packes[[#This Row],[productId]],bom[Id],bom[wgt])</f>
        <v>1</v>
      </c>
      <c r="F1163" s="27">
        <f>packes[[#This Row],[num]]*packes[[#This Row],[wtg]]</f>
        <v>300</v>
      </c>
      <c r="G1163" s="357">
        <v>7</v>
      </c>
      <c r="H1163" s="21">
        <f>packes[[#This Row],[num]]-SUM(packes[[#This Row],[num2]])</f>
        <v>300</v>
      </c>
      <c r="I1163" s="357"/>
      <c r="J1163" s="21"/>
      <c r="K1163" s="323"/>
      <c r="M1163" s="27">
        <f>_xlfn.XLOOKUP(packes[[#This Row],[productId]],CT[productId],CT[total],"NA")</f>
        <v>98.295000000000016</v>
      </c>
      <c r="N1163" s="20" t="str">
        <f>_xlfn.XLOOKUP(packes[[#This Row],[productId]],bom[Id],bom[ph],"NA")</f>
        <v>nar.p</v>
      </c>
      <c r="O1163" s="20" t="str">
        <f>_xlfn.XLOOKUP(packes[[#This Row],[productId]],bom[Id],bom[erth],"NA")</f>
        <v>-</v>
      </c>
      <c r="P1163" s="20" t="str">
        <f>_xlfn.XLOOKUP(packes[[#This Row],[productId]],bom[Id],bom[dbl],"NA")</f>
        <v>nar.p</v>
      </c>
      <c r="Q1163" s="20" t="str">
        <f>LEFT(packes[[#This Row],[date]],4)</f>
        <v>1404</v>
      </c>
    </row>
    <row r="1164" spans="1:17" ht="16.5" x14ac:dyDescent="0.25">
      <c r="A1164" s="23">
        <v>1161</v>
      </c>
      <c r="B1164" s="30" t="s">
        <v>849</v>
      </c>
      <c r="C1164" s="23">
        <v>140010230</v>
      </c>
      <c r="D1164" s="23">
        <v>730</v>
      </c>
      <c r="E1164" s="27">
        <f>_xlfn.XLOOKUP(packes[[#This Row],[productId]],bom[Id],bom[wgt])</f>
        <v>1.4486680634540554</v>
      </c>
      <c r="F1164" s="27">
        <f>packes[[#This Row],[num]]*packes[[#This Row],[wtg]]</f>
        <v>1057.5276863214604</v>
      </c>
      <c r="G1164" s="357">
        <v>6</v>
      </c>
      <c r="H1164" s="21">
        <f>packes[[#This Row],[num]]-SUM(packes[[#This Row],[num2]])</f>
        <v>30</v>
      </c>
      <c r="I1164" s="357">
        <v>7</v>
      </c>
      <c r="J1164" s="21">
        <v>700</v>
      </c>
      <c r="K1164" s="323" t="s">
        <v>1732</v>
      </c>
      <c r="M1164" s="27">
        <f>_xlfn.XLOOKUP(packes[[#This Row],[productId]],CT[productId],CT[total],"NA")</f>
        <v>147.595</v>
      </c>
      <c r="N1164" s="20" t="str">
        <f>_xlfn.XLOOKUP(packes[[#This Row],[productId]],bom[Id],bom[ph],"NA")</f>
        <v>nar.p</v>
      </c>
      <c r="O1164" s="20" t="str">
        <f>_xlfn.XLOOKUP(packes[[#This Row],[productId]],bom[Id],bom[erth],"NA")</f>
        <v>-</v>
      </c>
      <c r="P1164" s="20" t="str">
        <f>_xlfn.XLOOKUP(packes[[#This Row],[productId]],bom[Id],bom[dbl],"NA")</f>
        <v>nar.p</v>
      </c>
      <c r="Q1164" s="20" t="str">
        <f>LEFT(packes[[#This Row],[date]],4)</f>
        <v>1404</v>
      </c>
    </row>
    <row r="1165" spans="1:17" ht="16.5" x14ac:dyDescent="0.25">
      <c r="A1165" s="23">
        <v>1162</v>
      </c>
      <c r="B1165" s="30" t="s">
        <v>849</v>
      </c>
      <c r="C1165" s="23">
        <v>140010255</v>
      </c>
      <c r="D1165" s="23">
        <v>700</v>
      </c>
      <c r="E1165" s="27">
        <f>_xlfn.XLOOKUP(packes[[#This Row],[productId]],bom[Id],bom[wgt])</f>
        <v>1</v>
      </c>
      <c r="F1165" s="27">
        <f>packes[[#This Row],[num]]*packes[[#This Row],[wtg]]</f>
        <v>700</v>
      </c>
      <c r="G1165" s="357">
        <v>7</v>
      </c>
      <c r="H1165" s="21">
        <f>packes[[#This Row],[num]]-SUM(packes[[#This Row],[num2]])</f>
        <v>700</v>
      </c>
      <c r="I1165" s="357"/>
      <c r="J1165" s="21"/>
      <c r="K1165" s="323"/>
      <c r="M1165" s="27">
        <f>_xlfn.XLOOKUP(packes[[#This Row],[productId]],CT[productId],CT[total],"NA")</f>
        <v>95.575000000000003</v>
      </c>
      <c r="N1165" s="20" t="str">
        <f>_xlfn.XLOOKUP(packes[[#This Row],[productId]],bom[Id],bom[ph],"NA")</f>
        <v>-</v>
      </c>
      <c r="O1165" s="20" t="str">
        <f>_xlfn.XLOOKUP(packes[[#This Row],[productId]],bom[Id],bom[erth],"NA")</f>
        <v>-</v>
      </c>
      <c r="P1165" s="20" t="str">
        <f>_xlfn.XLOOKUP(packes[[#This Row],[productId]],bom[Id],bom[dbl],"NA")</f>
        <v>6.3flat</v>
      </c>
      <c r="Q1165" s="20" t="str">
        <f>LEFT(packes[[#This Row],[date]],4)</f>
        <v>1404</v>
      </c>
    </row>
    <row r="1166" spans="1:17" ht="16.5" x14ac:dyDescent="0.25">
      <c r="A1166" s="23">
        <v>1163</v>
      </c>
      <c r="B1166" s="30" t="s">
        <v>849</v>
      </c>
      <c r="C1166" s="23">
        <v>140030039</v>
      </c>
      <c r="D1166" s="23">
        <v>2900</v>
      </c>
      <c r="E1166" s="27">
        <f>_xlfn.XLOOKUP(packes[[#This Row],[productId]],bom[Id],bom[wgt])</f>
        <v>1.1413748378728923</v>
      </c>
      <c r="F1166" s="27">
        <f>packes[[#This Row],[num]]*packes[[#This Row],[wtg]]</f>
        <v>3309.9870298313876</v>
      </c>
      <c r="G1166" s="357">
        <v>7</v>
      </c>
      <c r="H1166" s="21">
        <f>packes[[#This Row],[num]]-SUM(packes[[#This Row],[num2]])</f>
        <v>2900</v>
      </c>
      <c r="I1166" s="357"/>
      <c r="J1166" s="21"/>
      <c r="K1166" s="323"/>
      <c r="M1166" s="27">
        <f>_xlfn.XLOOKUP(packes[[#This Row],[productId]],CT[productId],CT[total],"NA")</f>
        <v>92.504999999999995</v>
      </c>
      <c r="N1166" s="20" t="str">
        <f>_xlfn.XLOOKUP(packes[[#This Row],[productId]],bom[Id],bom[ph],"NA")</f>
        <v>YH</v>
      </c>
      <c r="O1166" s="20" t="str">
        <f>_xlfn.XLOOKUP(packes[[#This Row],[productId]],bom[Id],bom[erth],"NA")</f>
        <v>sun</v>
      </c>
      <c r="P1166" s="20" t="str">
        <f>_xlfn.XLOOKUP(packes[[#This Row],[productId]],bom[Id],bom[dbl],"NA")</f>
        <v>-</v>
      </c>
      <c r="Q1166" s="20" t="str">
        <f>LEFT(packes[[#This Row],[date]],4)</f>
        <v>1404</v>
      </c>
    </row>
    <row r="1167" spans="1:17" ht="16.5" x14ac:dyDescent="0.25">
      <c r="A1167" s="23">
        <v>1164</v>
      </c>
      <c r="B1167" s="30" t="s">
        <v>849</v>
      </c>
      <c r="C1167" s="23">
        <v>140310007</v>
      </c>
      <c r="D1167" s="23">
        <v>1500</v>
      </c>
      <c r="E1167" s="27">
        <f>_xlfn.XLOOKUP(packes[[#This Row],[productId]],bom[Id],bom[wgt])</f>
        <v>1.1413748378728923</v>
      </c>
      <c r="F1167" s="27">
        <f>packes[[#This Row],[num]]*packes[[#This Row],[wtg]]</f>
        <v>1712.0622568093384</v>
      </c>
      <c r="G1167" s="357">
        <v>4</v>
      </c>
      <c r="H1167" s="21">
        <f>packes[[#This Row],[num]]-SUM(packes[[#This Row],[num2]])</f>
        <v>1500</v>
      </c>
      <c r="I1167" s="357"/>
      <c r="J1167" s="21"/>
      <c r="K1167" s="323" t="s">
        <v>1733</v>
      </c>
      <c r="M1167" s="27">
        <f>_xlfn.XLOOKUP(packes[[#This Row],[productId]],CT[productId],CT[total],"NA")</f>
        <v>92.484999999999999</v>
      </c>
      <c r="N1167" s="20" t="str">
        <f>_xlfn.XLOOKUP(packes[[#This Row],[productId]],bom[Id],bom[ph],"NA")</f>
        <v>-</v>
      </c>
      <c r="O1167" s="20" t="str">
        <f>_xlfn.XLOOKUP(packes[[#This Row],[productId]],bom[Id],bom[erth],"NA")</f>
        <v>nut4</v>
      </c>
      <c r="P1167" s="20" t="str">
        <f>_xlfn.XLOOKUP(packes[[#This Row],[productId]],bom[Id],bom[dbl],"NA")</f>
        <v>-</v>
      </c>
      <c r="Q1167" s="20" t="str">
        <f>LEFT(packes[[#This Row],[date]],4)</f>
        <v>1404</v>
      </c>
    </row>
    <row r="1168" spans="1:17" ht="16.5" x14ac:dyDescent="0.25">
      <c r="A1168" s="23">
        <v>1165</v>
      </c>
      <c r="B1168" s="30" t="s">
        <v>850</v>
      </c>
      <c r="C1168" s="23">
        <v>140010117</v>
      </c>
      <c r="D1168" s="23">
        <v>1425</v>
      </c>
      <c r="E1168" s="27">
        <f>_xlfn.XLOOKUP(packes[[#This Row],[productId]],bom[Id],bom[wgt])</f>
        <v>1</v>
      </c>
      <c r="F1168" s="27">
        <f>packes[[#This Row],[num]]*packes[[#This Row],[wtg]]</f>
        <v>1425</v>
      </c>
      <c r="G1168" s="357">
        <v>7</v>
      </c>
      <c r="H1168" s="21">
        <f>packes[[#This Row],[num]]-SUM(packes[[#This Row],[num2]])</f>
        <v>1425</v>
      </c>
      <c r="I1168" s="357"/>
      <c r="J1168" s="21"/>
      <c r="K1168" s="323"/>
      <c r="M1168" s="27">
        <f>_xlfn.XLOOKUP(packes[[#This Row],[productId]],CT[productId],CT[total],"NA")</f>
        <v>98.295000000000016</v>
      </c>
      <c r="N1168" s="20" t="str">
        <f>_xlfn.XLOOKUP(packes[[#This Row],[productId]],bom[Id],bom[ph],"NA")</f>
        <v>nar.p</v>
      </c>
      <c r="O1168" s="20" t="str">
        <f>_xlfn.XLOOKUP(packes[[#This Row],[productId]],bom[Id],bom[erth],"NA")</f>
        <v>-</v>
      </c>
      <c r="P1168" s="20" t="str">
        <f>_xlfn.XLOOKUP(packes[[#This Row],[productId]],bom[Id],bom[dbl],"NA")</f>
        <v>nar.p</v>
      </c>
      <c r="Q1168" s="20" t="str">
        <f>LEFT(packes[[#This Row],[date]],4)</f>
        <v>1404</v>
      </c>
    </row>
    <row r="1169" spans="1:17" ht="16.5" x14ac:dyDescent="0.25">
      <c r="A1169" s="23">
        <v>1166</v>
      </c>
      <c r="B1169" s="30" t="s">
        <v>850</v>
      </c>
      <c r="C1169" s="23">
        <v>140010230</v>
      </c>
      <c r="D1169" s="23">
        <v>1500</v>
      </c>
      <c r="E1169" s="27">
        <f>_xlfn.XLOOKUP(packes[[#This Row],[productId]],bom[Id],bom[wgt])</f>
        <v>1.4486680634540554</v>
      </c>
      <c r="F1169" s="27">
        <f>packes[[#This Row],[num]]*packes[[#This Row],[wtg]]</f>
        <v>2173.002095181083</v>
      </c>
      <c r="G1169" s="357">
        <v>7</v>
      </c>
      <c r="H1169" s="21">
        <f>packes[[#This Row],[num]]-SUM(packes[[#This Row],[num2]])</f>
        <v>1500</v>
      </c>
      <c r="I1169" s="357"/>
      <c r="J1169" s="21"/>
      <c r="K1169" s="323"/>
      <c r="M1169" s="27">
        <f>_xlfn.XLOOKUP(packes[[#This Row],[productId]],CT[productId],CT[total],"NA")</f>
        <v>147.595</v>
      </c>
      <c r="N1169" s="20" t="str">
        <f>_xlfn.XLOOKUP(packes[[#This Row],[productId]],bom[Id],bom[ph],"NA")</f>
        <v>nar.p</v>
      </c>
      <c r="O1169" s="20" t="str">
        <f>_xlfn.XLOOKUP(packes[[#This Row],[productId]],bom[Id],bom[erth],"NA")</f>
        <v>-</v>
      </c>
      <c r="P1169" s="20" t="str">
        <f>_xlfn.XLOOKUP(packes[[#This Row],[productId]],bom[Id],bom[dbl],"NA")</f>
        <v>nar.p</v>
      </c>
      <c r="Q1169" s="20" t="str">
        <f>LEFT(packes[[#This Row],[date]],4)</f>
        <v>1404</v>
      </c>
    </row>
    <row r="1170" spans="1:17" ht="16.5" x14ac:dyDescent="0.25">
      <c r="A1170" s="23">
        <v>1167</v>
      </c>
      <c r="B1170" s="30" t="s">
        <v>850</v>
      </c>
      <c r="C1170" s="23">
        <v>140030039</v>
      </c>
      <c r="D1170" s="23">
        <v>1500</v>
      </c>
      <c r="E1170" s="27">
        <f>_xlfn.XLOOKUP(packes[[#This Row],[productId]],bom[Id],bom[wgt])</f>
        <v>1.1413748378728923</v>
      </c>
      <c r="F1170" s="27">
        <f>packes[[#This Row],[num]]*packes[[#This Row],[wtg]]</f>
        <v>1712.0622568093384</v>
      </c>
      <c r="G1170" s="357">
        <v>7</v>
      </c>
      <c r="H1170" s="21">
        <f>packes[[#This Row],[num]]-SUM(packes[[#This Row],[num2]])</f>
        <v>1500</v>
      </c>
      <c r="I1170" s="357"/>
      <c r="J1170" s="21"/>
      <c r="K1170" s="323"/>
      <c r="M1170" s="27">
        <f>_xlfn.XLOOKUP(packes[[#This Row],[productId]],CT[productId],CT[total],"NA")</f>
        <v>92.504999999999995</v>
      </c>
      <c r="N1170" s="20" t="str">
        <f>_xlfn.XLOOKUP(packes[[#This Row],[productId]],bom[Id],bom[ph],"NA")</f>
        <v>YH</v>
      </c>
      <c r="O1170" s="20" t="str">
        <f>_xlfn.XLOOKUP(packes[[#This Row],[productId]],bom[Id],bom[erth],"NA")</f>
        <v>sun</v>
      </c>
      <c r="P1170" s="20" t="str">
        <f>_xlfn.XLOOKUP(packes[[#This Row],[productId]],bom[Id],bom[dbl],"NA")</f>
        <v>-</v>
      </c>
      <c r="Q1170" s="20" t="str">
        <f>LEFT(packes[[#This Row],[date]],4)</f>
        <v>1404</v>
      </c>
    </row>
    <row r="1171" spans="1:17" ht="16.5" x14ac:dyDescent="0.25">
      <c r="A1171" s="23">
        <v>1168</v>
      </c>
      <c r="B1171" s="30" t="s">
        <v>850</v>
      </c>
      <c r="C1171" s="23">
        <v>140030040</v>
      </c>
      <c r="D1171" s="23">
        <v>1000</v>
      </c>
      <c r="E1171" s="27">
        <f>_xlfn.XLOOKUP(packes[[#This Row],[productId]],bom[Id],bom[wgt])</f>
        <v>1.1092487279257708</v>
      </c>
      <c r="F1171" s="27">
        <f>packes[[#This Row],[num]]*packes[[#This Row],[wtg]]</f>
        <v>1109.2487279257707</v>
      </c>
      <c r="G1171" s="357">
        <v>7</v>
      </c>
      <c r="H1171" s="21">
        <f>packes[[#This Row],[num]]-SUM(packes[[#This Row],[num2]])</f>
        <v>1000</v>
      </c>
      <c r="I1171" s="357"/>
      <c r="J1171" s="21"/>
      <c r="K1171" s="323"/>
      <c r="M1171" s="27">
        <f>_xlfn.XLOOKUP(packes[[#This Row],[productId]],CT[productId],CT[total],"NA")</f>
        <v>97.305000000000007</v>
      </c>
      <c r="N1171" s="20" t="str">
        <f>_xlfn.XLOOKUP(packes[[#This Row],[productId]],bom[Id],bom[ph],"NA")</f>
        <v>YH</v>
      </c>
      <c r="O1171" s="20" t="str">
        <f>_xlfn.XLOOKUP(packes[[#This Row],[productId]],bom[Id],bom[erth],"NA")</f>
        <v>sun</v>
      </c>
      <c r="P1171" s="20" t="str">
        <f>_xlfn.XLOOKUP(packes[[#This Row],[productId]],bom[Id],bom[dbl],"NA")</f>
        <v>-</v>
      </c>
      <c r="Q1171" s="20" t="str">
        <f>LEFT(packes[[#This Row],[date]],4)</f>
        <v>1404</v>
      </c>
    </row>
    <row r="1172" spans="1:17" ht="16.5" x14ac:dyDescent="0.25">
      <c r="A1172" s="23">
        <v>1169</v>
      </c>
      <c r="B1172" s="30" t="s">
        <v>850</v>
      </c>
      <c r="C1172" s="23">
        <v>140310007</v>
      </c>
      <c r="D1172" s="23">
        <v>1100</v>
      </c>
      <c r="E1172" s="27">
        <f>_xlfn.XLOOKUP(packes[[#This Row],[productId]],bom[Id],bom[wgt])</f>
        <v>1.1413748378728923</v>
      </c>
      <c r="F1172" s="27">
        <f>packes[[#This Row],[num]]*packes[[#This Row],[wtg]]</f>
        <v>1255.5123216601814</v>
      </c>
      <c r="G1172" s="357">
        <v>4</v>
      </c>
      <c r="H1172" s="21">
        <f>packes[[#This Row],[num]]-SUM(packes[[#This Row],[num2]])</f>
        <v>1100</v>
      </c>
      <c r="I1172" s="357"/>
      <c r="J1172" s="21"/>
      <c r="K1172" s="323" t="s">
        <v>1734</v>
      </c>
      <c r="M1172" s="27">
        <f>_xlfn.XLOOKUP(packes[[#This Row],[productId]],CT[productId],CT[total],"NA")</f>
        <v>92.484999999999999</v>
      </c>
      <c r="N1172" s="20" t="str">
        <f>_xlfn.XLOOKUP(packes[[#This Row],[productId]],bom[Id],bom[ph],"NA")</f>
        <v>-</v>
      </c>
      <c r="O1172" s="20" t="str">
        <f>_xlfn.XLOOKUP(packes[[#This Row],[productId]],bom[Id],bom[erth],"NA")</f>
        <v>nut4</v>
      </c>
      <c r="P1172" s="20" t="str">
        <f>_xlfn.XLOOKUP(packes[[#This Row],[productId]],bom[Id],bom[dbl],"NA")</f>
        <v>-</v>
      </c>
      <c r="Q1172" s="20" t="str">
        <f>LEFT(packes[[#This Row],[date]],4)</f>
        <v>1404</v>
      </c>
    </row>
    <row r="1173" spans="1:17" ht="16.5" x14ac:dyDescent="0.25">
      <c r="A1173" s="23">
        <v>1170</v>
      </c>
      <c r="B1173" s="30" t="s">
        <v>850</v>
      </c>
      <c r="C1173" s="23">
        <v>140450047</v>
      </c>
      <c r="D1173" s="23">
        <v>24</v>
      </c>
      <c r="E1173" s="27">
        <f>_xlfn.XLOOKUP(packes[[#This Row],[productId]],bom[Id],bom[wgt])</f>
        <v>0</v>
      </c>
      <c r="F1173" s="27">
        <f>packes[[#This Row],[num]]*packes[[#This Row],[wtg]]</f>
        <v>0</v>
      </c>
      <c r="G1173" s="357">
        <v>4</v>
      </c>
      <c r="H1173" s="21">
        <f>packes[[#This Row],[num]]-SUM(packes[[#This Row],[num2]])</f>
        <v>24</v>
      </c>
      <c r="I1173" s="357"/>
      <c r="J1173" s="21"/>
      <c r="K1173" s="323"/>
      <c r="L1173" s="23" t="s">
        <v>1735</v>
      </c>
      <c r="M1173" s="27">
        <f>_xlfn.XLOOKUP(packes[[#This Row],[productId]],CT[productId],CT[total],"NA")</f>
        <v>55.46</v>
      </c>
      <c r="N1173" s="20" t="str">
        <f>_xlfn.XLOOKUP(packes[[#This Row],[productId]],bom[Id],bom[ph],"NA")</f>
        <v>-</v>
      </c>
      <c r="O1173" s="20" t="str">
        <f>_xlfn.XLOOKUP(packes[[#This Row],[productId]],bom[Id],bom[erth],"NA")</f>
        <v>-</v>
      </c>
      <c r="P1173" s="20" t="str">
        <f>_xlfn.XLOOKUP(packes[[#This Row],[productId]],bom[Id],bom[dbl],"NA")</f>
        <v>-</v>
      </c>
      <c r="Q1173" s="20" t="str">
        <f>LEFT(packes[[#This Row],[date]],4)</f>
        <v>1404</v>
      </c>
    </row>
    <row r="1174" spans="1:17" ht="16.5" x14ac:dyDescent="0.25">
      <c r="A1174" s="23">
        <v>1171</v>
      </c>
      <c r="B1174" s="30" t="s">
        <v>851</v>
      </c>
      <c r="C1174" s="23">
        <v>140010117</v>
      </c>
      <c r="D1174" s="23">
        <v>2250</v>
      </c>
      <c r="E1174" s="27">
        <f>_xlfn.XLOOKUP(packes[[#This Row],[productId]],bom[Id],bom[wgt])</f>
        <v>1</v>
      </c>
      <c r="F1174" s="27">
        <f>packes[[#This Row],[num]]*packes[[#This Row],[wtg]]</f>
        <v>2250</v>
      </c>
      <c r="G1174" s="357">
        <v>7</v>
      </c>
      <c r="H1174" s="21">
        <f>packes[[#This Row],[num]]-SUM(packes[[#This Row],[num2]])</f>
        <v>2250</v>
      </c>
      <c r="I1174" s="357"/>
      <c r="J1174" s="21"/>
      <c r="K1174" s="323" t="s">
        <v>1747</v>
      </c>
      <c r="M1174" s="27">
        <f>_xlfn.XLOOKUP(packes[[#This Row],[productId]],CT[productId],CT[total],"NA")</f>
        <v>98.295000000000016</v>
      </c>
      <c r="N1174" s="20" t="str">
        <f>_xlfn.XLOOKUP(packes[[#This Row],[productId]],bom[Id],bom[ph],"NA")</f>
        <v>nar.p</v>
      </c>
      <c r="O1174" s="20" t="str">
        <f>_xlfn.XLOOKUP(packes[[#This Row],[productId]],bom[Id],bom[erth],"NA")</f>
        <v>-</v>
      </c>
      <c r="P1174" s="20" t="str">
        <f>_xlfn.XLOOKUP(packes[[#This Row],[productId]],bom[Id],bom[dbl],"NA")</f>
        <v>nar.p</v>
      </c>
      <c r="Q1174" s="20" t="str">
        <f>LEFT(packes[[#This Row],[date]],4)</f>
        <v>1404</v>
      </c>
    </row>
    <row r="1175" spans="1:17" ht="16.5" x14ac:dyDescent="0.25">
      <c r="A1175" s="23">
        <v>1172</v>
      </c>
      <c r="B1175" s="30" t="s">
        <v>851</v>
      </c>
      <c r="C1175" s="23">
        <v>140010230</v>
      </c>
      <c r="D1175" s="23">
        <v>2000</v>
      </c>
      <c r="E1175" s="27">
        <f>_xlfn.XLOOKUP(packes[[#This Row],[productId]],bom[Id],bom[wgt])</f>
        <v>1.4486680634540554</v>
      </c>
      <c r="F1175" s="27">
        <f>packes[[#This Row],[num]]*packes[[#This Row],[wtg]]</f>
        <v>2897.3361269081106</v>
      </c>
      <c r="G1175" s="357">
        <v>7</v>
      </c>
      <c r="H1175" s="21">
        <f>packes[[#This Row],[num]]-SUM(packes[[#This Row],[num2]])</f>
        <v>2000</v>
      </c>
      <c r="I1175" s="357"/>
      <c r="J1175" s="21"/>
      <c r="K1175" s="323" t="s">
        <v>1748</v>
      </c>
      <c r="M1175" s="27">
        <f>_xlfn.XLOOKUP(packes[[#This Row],[productId]],CT[productId],CT[total],"NA")</f>
        <v>147.595</v>
      </c>
      <c r="N1175" s="20" t="str">
        <f>_xlfn.XLOOKUP(packes[[#This Row],[productId]],bom[Id],bom[ph],"NA")</f>
        <v>nar.p</v>
      </c>
      <c r="O1175" s="20" t="str">
        <f>_xlfn.XLOOKUP(packes[[#This Row],[productId]],bom[Id],bom[erth],"NA")</f>
        <v>-</v>
      </c>
      <c r="P1175" s="20" t="str">
        <f>_xlfn.XLOOKUP(packes[[#This Row],[productId]],bom[Id],bom[dbl],"NA")</f>
        <v>nar.p</v>
      </c>
      <c r="Q1175" s="20" t="str">
        <f>LEFT(packes[[#This Row],[date]],4)</f>
        <v>1404</v>
      </c>
    </row>
    <row r="1176" spans="1:17" ht="16.5" x14ac:dyDescent="0.25">
      <c r="A1176" s="23">
        <v>1173</v>
      </c>
      <c r="B1176" s="30" t="s">
        <v>851</v>
      </c>
      <c r="C1176" s="23">
        <v>140030039</v>
      </c>
      <c r="D1176" s="23">
        <v>700</v>
      </c>
      <c r="E1176" s="27">
        <f>_xlfn.XLOOKUP(packes[[#This Row],[productId]],bom[Id],bom[wgt])</f>
        <v>1.1413748378728923</v>
      </c>
      <c r="F1176" s="27">
        <f>packes[[#This Row],[num]]*packes[[#This Row],[wtg]]</f>
        <v>798.96238651102465</v>
      </c>
      <c r="G1176" s="357">
        <v>7</v>
      </c>
      <c r="H1176" s="21">
        <f>packes[[#This Row],[num]]-SUM(packes[[#This Row],[num2]])</f>
        <v>700</v>
      </c>
      <c r="I1176" s="357"/>
      <c r="J1176" s="21"/>
      <c r="K1176" s="323" t="s">
        <v>1739</v>
      </c>
      <c r="M1176" s="27">
        <f>_xlfn.XLOOKUP(packes[[#This Row],[productId]],CT[productId],CT[total],"NA")</f>
        <v>92.504999999999995</v>
      </c>
      <c r="N1176" s="20" t="str">
        <f>_xlfn.XLOOKUP(packes[[#This Row],[productId]],bom[Id],bom[ph],"NA")</f>
        <v>YH</v>
      </c>
      <c r="O1176" s="20" t="str">
        <f>_xlfn.XLOOKUP(packes[[#This Row],[productId]],bom[Id],bom[erth],"NA")</f>
        <v>sun</v>
      </c>
      <c r="P1176" s="20" t="str">
        <f>_xlfn.XLOOKUP(packes[[#This Row],[productId]],bom[Id],bom[dbl],"NA")</f>
        <v>-</v>
      </c>
      <c r="Q1176" s="20" t="str">
        <f>LEFT(packes[[#This Row],[date]],4)</f>
        <v>1404</v>
      </c>
    </row>
    <row r="1177" spans="1:17" ht="16.5" x14ac:dyDescent="0.25">
      <c r="A1177" s="23">
        <v>1174</v>
      </c>
      <c r="B1177" s="30" t="s">
        <v>851</v>
      </c>
      <c r="C1177" s="23">
        <v>140030040</v>
      </c>
      <c r="D1177" s="23">
        <v>700</v>
      </c>
      <c r="E1177" s="27">
        <f>_xlfn.XLOOKUP(packes[[#This Row],[productId]],bom[Id],bom[wgt])</f>
        <v>1.1092487279257708</v>
      </c>
      <c r="F1177" s="27">
        <f>packes[[#This Row],[num]]*packes[[#This Row],[wtg]]</f>
        <v>776.47410954803956</v>
      </c>
      <c r="G1177" s="357">
        <v>7</v>
      </c>
      <c r="H1177" s="21">
        <f>packes[[#This Row],[num]]-SUM(packes[[#This Row],[num2]])</f>
        <v>700</v>
      </c>
      <c r="I1177" s="357"/>
      <c r="J1177" s="21"/>
      <c r="K1177" s="323" t="s">
        <v>1739</v>
      </c>
      <c r="M1177" s="27">
        <f>_xlfn.XLOOKUP(packes[[#This Row],[productId]],CT[productId],CT[total],"NA")</f>
        <v>97.305000000000007</v>
      </c>
      <c r="N1177" s="20" t="str">
        <f>_xlfn.XLOOKUP(packes[[#This Row],[productId]],bom[Id],bom[ph],"NA")</f>
        <v>YH</v>
      </c>
      <c r="O1177" s="20" t="str">
        <f>_xlfn.XLOOKUP(packes[[#This Row],[productId]],bom[Id],bom[erth],"NA")</f>
        <v>sun</v>
      </c>
      <c r="P1177" s="20" t="str">
        <f>_xlfn.XLOOKUP(packes[[#This Row],[productId]],bom[Id],bom[dbl],"NA")</f>
        <v>-</v>
      </c>
      <c r="Q1177" s="20" t="str">
        <f>LEFT(packes[[#This Row],[date]],4)</f>
        <v>1404</v>
      </c>
    </row>
    <row r="1178" spans="1:17" ht="16.5" x14ac:dyDescent="0.25">
      <c r="A1178" s="23">
        <v>1175</v>
      </c>
      <c r="B1178" s="30" t="s">
        <v>851</v>
      </c>
      <c r="C1178" s="23">
        <v>140310007</v>
      </c>
      <c r="D1178" s="23">
        <v>850</v>
      </c>
      <c r="E1178" s="27">
        <f>_xlfn.XLOOKUP(packes[[#This Row],[productId]],bom[Id],bom[wgt])</f>
        <v>1.1413748378728923</v>
      </c>
      <c r="F1178" s="27">
        <f>packes[[#This Row],[num]]*packes[[#This Row],[wtg]]</f>
        <v>970.16861219195846</v>
      </c>
      <c r="G1178" s="357">
        <v>4</v>
      </c>
      <c r="H1178" s="21">
        <f>packes[[#This Row],[num]]-SUM(packes[[#This Row],[num2]])</f>
        <v>150</v>
      </c>
      <c r="I1178" s="357">
        <v>7</v>
      </c>
      <c r="J1178" s="21">
        <v>700</v>
      </c>
      <c r="K1178" s="323" t="s">
        <v>1737</v>
      </c>
      <c r="M1178" s="27">
        <f>_xlfn.XLOOKUP(packes[[#This Row],[productId]],CT[productId],CT[total],"NA")</f>
        <v>92.484999999999999</v>
      </c>
      <c r="N1178" s="20" t="str">
        <f>_xlfn.XLOOKUP(packes[[#This Row],[productId]],bom[Id],bom[ph],"NA")</f>
        <v>-</v>
      </c>
      <c r="O1178" s="20" t="str">
        <f>_xlfn.XLOOKUP(packes[[#This Row],[productId]],bom[Id],bom[erth],"NA")</f>
        <v>nut4</v>
      </c>
      <c r="P1178" s="20" t="str">
        <f>_xlfn.XLOOKUP(packes[[#This Row],[productId]],bom[Id],bom[dbl],"NA")</f>
        <v>-</v>
      </c>
      <c r="Q1178" s="20" t="str">
        <f>LEFT(packes[[#This Row],[date]],4)</f>
        <v>1404</v>
      </c>
    </row>
    <row r="1179" spans="1:17" ht="16.5" x14ac:dyDescent="0.25">
      <c r="A1179" s="23">
        <v>1176</v>
      </c>
      <c r="B1179" s="30" t="s">
        <v>852</v>
      </c>
      <c r="C1179" s="23">
        <v>140010117</v>
      </c>
      <c r="D1179" s="23">
        <v>3900</v>
      </c>
      <c r="E1179" s="27">
        <f>_xlfn.XLOOKUP(packes[[#This Row],[productId]],bom[Id],bom[wgt])</f>
        <v>1</v>
      </c>
      <c r="F1179" s="27">
        <f>packes[[#This Row],[num]]*packes[[#This Row],[wtg]]</f>
        <v>3900</v>
      </c>
      <c r="G1179" s="357">
        <v>7</v>
      </c>
      <c r="H1179" s="21">
        <f>packes[[#This Row],[num]]-SUM(packes[[#This Row],[num2]])</f>
        <v>3900</v>
      </c>
      <c r="I1179" s="357"/>
      <c r="J1179" s="21"/>
      <c r="K1179" s="323" t="s">
        <v>1741</v>
      </c>
      <c r="M1179" s="27">
        <f>_xlfn.XLOOKUP(packes[[#This Row],[productId]],CT[productId],CT[total],"NA")</f>
        <v>98.295000000000016</v>
      </c>
      <c r="N1179" s="20" t="str">
        <f>_xlfn.XLOOKUP(packes[[#This Row],[productId]],bom[Id],bom[ph],"NA")</f>
        <v>nar.p</v>
      </c>
      <c r="O1179" s="20" t="str">
        <f>_xlfn.XLOOKUP(packes[[#This Row],[productId]],bom[Id],bom[erth],"NA")</f>
        <v>-</v>
      </c>
      <c r="P1179" s="20" t="str">
        <f>_xlfn.XLOOKUP(packes[[#This Row],[productId]],bom[Id],bom[dbl],"NA")</f>
        <v>nar.p</v>
      </c>
      <c r="Q1179" s="20" t="str">
        <f>LEFT(packes[[#This Row],[date]],4)</f>
        <v>1404</v>
      </c>
    </row>
    <row r="1180" spans="1:17" ht="16.5" x14ac:dyDescent="0.25">
      <c r="A1180" s="23">
        <v>1177</v>
      </c>
      <c r="B1180" s="30" t="s">
        <v>852</v>
      </c>
      <c r="C1180" s="23">
        <v>140010230</v>
      </c>
      <c r="D1180" s="23">
        <v>900</v>
      </c>
      <c r="E1180" s="27">
        <f>_xlfn.XLOOKUP(packes[[#This Row],[productId]],bom[Id],bom[wgt])</f>
        <v>1.4486680634540554</v>
      </c>
      <c r="F1180" s="27">
        <f>packes[[#This Row],[num]]*packes[[#This Row],[wtg]]</f>
        <v>1303.8012571086499</v>
      </c>
      <c r="G1180" s="357">
        <v>7</v>
      </c>
      <c r="H1180" s="21">
        <f>packes[[#This Row],[num]]-SUM(packes[[#This Row],[num2]])</f>
        <v>900</v>
      </c>
      <c r="I1180" s="357"/>
      <c r="J1180" s="21"/>
      <c r="K1180" s="323" t="s">
        <v>1742</v>
      </c>
      <c r="M1180" s="27">
        <f>_xlfn.XLOOKUP(packes[[#This Row],[productId]],CT[productId],CT[total],"NA")</f>
        <v>147.595</v>
      </c>
      <c r="N1180" s="20" t="str">
        <f>_xlfn.XLOOKUP(packes[[#This Row],[productId]],bom[Id],bom[ph],"NA")</f>
        <v>nar.p</v>
      </c>
      <c r="O1180" s="20" t="str">
        <f>_xlfn.XLOOKUP(packes[[#This Row],[productId]],bom[Id],bom[erth],"NA")</f>
        <v>-</v>
      </c>
      <c r="P1180" s="20" t="str">
        <f>_xlfn.XLOOKUP(packes[[#This Row],[productId]],bom[Id],bom[dbl],"NA")</f>
        <v>nar.p</v>
      </c>
      <c r="Q1180" s="20" t="str">
        <f>LEFT(packes[[#This Row],[date]],4)</f>
        <v>1404</v>
      </c>
    </row>
    <row r="1181" spans="1:17" ht="16.5" x14ac:dyDescent="0.25">
      <c r="A1181" s="23">
        <v>1178</v>
      </c>
      <c r="B1181" s="30" t="s">
        <v>852</v>
      </c>
      <c r="C1181" s="23">
        <v>140310007</v>
      </c>
      <c r="D1181" s="23">
        <v>2000</v>
      </c>
      <c r="E1181" s="27">
        <f>_xlfn.XLOOKUP(packes[[#This Row],[productId]],bom[Id],bom[wgt])</f>
        <v>1.1413748378728923</v>
      </c>
      <c r="F1181" s="27">
        <f>packes[[#This Row],[num]]*packes[[#This Row],[wtg]]</f>
        <v>2282.7496757457848</v>
      </c>
      <c r="G1181" s="357">
        <v>7</v>
      </c>
      <c r="H1181" s="21">
        <f>packes[[#This Row],[num]]-SUM(packes[[#This Row],[num2]])</f>
        <v>2000</v>
      </c>
      <c r="I1181" s="357"/>
      <c r="J1181" s="21"/>
      <c r="K1181" s="323" t="s">
        <v>1740</v>
      </c>
      <c r="M1181" s="27">
        <f>_xlfn.XLOOKUP(packes[[#This Row],[productId]],CT[productId],CT[total],"NA")</f>
        <v>92.484999999999999</v>
      </c>
      <c r="N1181" s="20" t="str">
        <f>_xlfn.XLOOKUP(packes[[#This Row],[productId]],bom[Id],bom[ph],"NA")</f>
        <v>-</v>
      </c>
      <c r="O1181" s="20" t="str">
        <f>_xlfn.XLOOKUP(packes[[#This Row],[productId]],bom[Id],bom[erth],"NA")</f>
        <v>nut4</v>
      </c>
      <c r="P1181" s="20" t="str">
        <f>_xlfn.XLOOKUP(packes[[#This Row],[productId]],bom[Id],bom[dbl],"NA")</f>
        <v>-</v>
      </c>
      <c r="Q1181" s="20" t="str">
        <f>LEFT(packes[[#This Row],[date]],4)</f>
        <v>1404</v>
      </c>
    </row>
    <row r="1182" spans="1:17" ht="16.5" x14ac:dyDescent="0.25">
      <c r="A1182" s="23">
        <v>1179</v>
      </c>
      <c r="B1182" s="30" t="s">
        <v>855</v>
      </c>
      <c r="C1182" s="23">
        <v>140010117</v>
      </c>
      <c r="D1182" s="23">
        <v>1350</v>
      </c>
      <c r="E1182" s="27">
        <f>_xlfn.XLOOKUP(packes[[#This Row],[productId]],bom[Id],bom[wgt])</f>
        <v>1</v>
      </c>
      <c r="F1182" s="27">
        <f>packes[[#This Row],[num]]*packes[[#This Row],[wtg]]</f>
        <v>1350</v>
      </c>
      <c r="G1182" s="357">
        <v>7</v>
      </c>
      <c r="H1182" s="21">
        <f>packes[[#This Row],[num]]-SUM(packes[[#This Row],[num2]])</f>
        <v>1350</v>
      </c>
      <c r="I1182" s="357"/>
      <c r="J1182" s="21"/>
      <c r="K1182" s="323" t="s">
        <v>1744</v>
      </c>
      <c r="M1182" s="27">
        <f>_xlfn.XLOOKUP(packes[[#This Row],[productId]],CT[productId],CT[total],"NA")</f>
        <v>98.295000000000016</v>
      </c>
      <c r="N1182" s="20" t="str">
        <f>_xlfn.XLOOKUP(packes[[#This Row],[productId]],bom[Id],bom[ph],"NA")</f>
        <v>nar.p</v>
      </c>
      <c r="O1182" s="20" t="str">
        <f>_xlfn.XLOOKUP(packes[[#This Row],[productId]],bom[Id],bom[erth],"NA")</f>
        <v>-</v>
      </c>
      <c r="P1182" s="20" t="str">
        <f>_xlfn.XLOOKUP(packes[[#This Row],[productId]],bom[Id],bom[dbl],"NA")</f>
        <v>nar.p</v>
      </c>
      <c r="Q1182" s="20" t="str">
        <f>LEFT(packes[[#This Row],[date]],4)</f>
        <v>1404</v>
      </c>
    </row>
    <row r="1183" spans="1:17" ht="16.5" x14ac:dyDescent="0.25">
      <c r="A1183" s="23">
        <v>1180</v>
      </c>
      <c r="B1183" s="30" t="s">
        <v>855</v>
      </c>
      <c r="C1183" s="23">
        <v>140010230</v>
      </c>
      <c r="D1183" s="23">
        <v>3900</v>
      </c>
      <c r="E1183" s="27">
        <f>_xlfn.XLOOKUP(packes[[#This Row],[productId]],bom[Id],bom[wgt])</f>
        <v>1.4486680634540554</v>
      </c>
      <c r="F1183" s="27">
        <f>packes[[#This Row],[num]]*packes[[#This Row],[wtg]]</f>
        <v>5649.805447470816</v>
      </c>
      <c r="G1183" s="357">
        <v>7</v>
      </c>
      <c r="H1183" s="21">
        <f>packes[[#This Row],[num]]-SUM(packes[[#This Row],[num2]])</f>
        <v>3900</v>
      </c>
      <c r="I1183" s="357"/>
      <c r="J1183" s="21"/>
      <c r="K1183" s="323" t="s">
        <v>1745</v>
      </c>
      <c r="M1183" s="27">
        <f>_xlfn.XLOOKUP(packes[[#This Row],[productId]],CT[productId],CT[total],"NA")</f>
        <v>147.595</v>
      </c>
      <c r="N1183" s="20" t="str">
        <f>_xlfn.XLOOKUP(packes[[#This Row],[productId]],bom[Id],bom[ph],"NA")</f>
        <v>nar.p</v>
      </c>
      <c r="O1183" s="20" t="str">
        <f>_xlfn.XLOOKUP(packes[[#This Row],[productId]],bom[Id],bom[erth],"NA")</f>
        <v>-</v>
      </c>
      <c r="P1183" s="20" t="str">
        <f>_xlfn.XLOOKUP(packes[[#This Row],[productId]],bom[Id],bom[dbl],"NA")</f>
        <v>nar.p</v>
      </c>
      <c r="Q1183" s="20" t="str">
        <f>LEFT(packes[[#This Row],[date]],4)</f>
        <v>1404</v>
      </c>
    </row>
    <row r="1184" spans="1:17" ht="16.5" x14ac:dyDescent="0.25">
      <c r="A1184" s="23">
        <v>1181</v>
      </c>
      <c r="B1184" s="30" t="s">
        <v>855</v>
      </c>
      <c r="C1184" s="23">
        <v>140310007</v>
      </c>
      <c r="D1184" s="23">
        <v>1200</v>
      </c>
      <c r="E1184" s="27">
        <f>_xlfn.XLOOKUP(packes[[#This Row],[productId]],bom[Id],bom[wgt])</f>
        <v>1.1413748378728923</v>
      </c>
      <c r="F1184" s="27">
        <f>packes[[#This Row],[num]]*packes[[#This Row],[wtg]]</f>
        <v>1369.6498054474707</v>
      </c>
      <c r="G1184" s="357">
        <v>7</v>
      </c>
      <c r="H1184" s="21">
        <f>packes[[#This Row],[num]]-SUM(packes[[#This Row],[num2]])</f>
        <v>1200</v>
      </c>
      <c r="I1184" s="357"/>
      <c r="J1184" s="21"/>
      <c r="K1184" s="323" t="s">
        <v>1746</v>
      </c>
      <c r="M1184" s="27">
        <f>_xlfn.XLOOKUP(packes[[#This Row],[productId]],CT[productId],CT[total],"NA")</f>
        <v>92.484999999999999</v>
      </c>
      <c r="N1184" s="20" t="str">
        <f>_xlfn.XLOOKUP(packes[[#This Row],[productId]],bom[Id],bom[ph],"NA")</f>
        <v>-</v>
      </c>
      <c r="O1184" s="20" t="str">
        <f>_xlfn.XLOOKUP(packes[[#This Row],[productId]],bom[Id],bom[erth],"NA")</f>
        <v>nut4</v>
      </c>
      <c r="P1184" s="20" t="str">
        <f>_xlfn.XLOOKUP(packes[[#This Row],[productId]],bom[Id],bom[dbl],"NA")</f>
        <v>-</v>
      </c>
      <c r="Q1184" s="20" t="str">
        <f>LEFT(packes[[#This Row],[date]],4)</f>
        <v>1404</v>
      </c>
    </row>
    <row r="1185" spans="1:17" ht="16.5" x14ac:dyDescent="0.25">
      <c r="A1185" s="23">
        <v>1182</v>
      </c>
      <c r="B1185" s="30" t="s">
        <v>856</v>
      </c>
      <c r="C1185" s="23">
        <v>140010117</v>
      </c>
      <c r="D1185" s="23">
        <v>75</v>
      </c>
      <c r="E1185" s="27">
        <f>_xlfn.XLOOKUP(packes[[#This Row],[productId]],bom[Id],bom[wgt])</f>
        <v>1</v>
      </c>
      <c r="F1185" s="27">
        <f>packes[[#This Row],[num]]*packes[[#This Row],[wtg]]</f>
        <v>75</v>
      </c>
      <c r="G1185" s="357">
        <v>7</v>
      </c>
      <c r="H1185" s="21">
        <f>packes[[#This Row],[num]]-SUM(packes[[#This Row],[num2]])</f>
        <v>75</v>
      </c>
      <c r="I1185" s="357"/>
      <c r="J1185" s="21"/>
      <c r="K1185" s="323" t="s">
        <v>1744</v>
      </c>
      <c r="M1185" s="27">
        <f>_xlfn.XLOOKUP(packes[[#This Row],[productId]],CT[productId],CT[total],"NA")</f>
        <v>98.295000000000016</v>
      </c>
      <c r="N1185" s="20" t="str">
        <f>_xlfn.XLOOKUP(packes[[#This Row],[productId]],bom[Id],bom[ph],"NA")</f>
        <v>nar.p</v>
      </c>
      <c r="O1185" s="20" t="str">
        <f>_xlfn.XLOOKUP(packes[[#This Row],[productId]],bom[Id],bom[erth],"NA")</f>
        <v>-</v>
      </c>
      <c r="P1185" s="20" t="str">
        <f>_xlfn.XLOOKUP(packes[[#This Row],[productId]],bom[Id],bom[dbl],"NA")</f>
        <v>nar.p</v>
      </c>
      <c r="Q1185" s="20" t="str">
        <f>LEFT(packes[[#This Row],[date]],4)</f>
        <v>1404</v>
      </c>
    </row>
    <row r="1186" spans="1:17" ht="16.5" x14ac:dyDescent="0.25">
      <c r="A1186" s="23">
        <v>1183</v>
      </c>
      <c r="B1186" s="30" t="s">
        <v>856</v>
      </c>
      <c r="C1186" s="23">
        <v>140010230</v>
      </c>
      <c r="D1186" s="23">
        <v>1500</v>
      </c>
      <c r="E1186" s="27">
        <f>_xlfn.XLOOKUP(packes[[#This Row],[productId]],bom[Id],bom[wgt])</f>
        <v>1.4486680634540554</v>
      </c>
      <c r="F1186" s="27">
        <f>packes[[#This Row],[num]]*packes[[#This Row],[wtg]]</f>
        <v>2173.002095181083</v>
      </c>
      <c r="G1186" s="357">
        <v>7</v>
      </c>
      <c r="H1186" s="21">
        <f>packes[[#This Row],[num]]-SUM(packes[[#This Row],[num2]])</f>
        <v>1500</v>
      </c>
      <c r="I1186" s="357"/>
      <c r="J1186" s="21"/>
      <c r="K1186" s="323" t="s">
        <v>1745</v>
      </c>
      <c r="M1186" s="27">
        <f>_xlfn.XLOOKUP(packes[[#This Row],[productId]],CT[productId],CT[total],"NA")</f>
        <v>147.595</v>
      </c>
      <c r="N1186" s="20" t="str">
        <f>_xlfn.XLOOKUP(packes[[#This Row],[productId]],bom[Id],bom[ph],"NA")</f>
        <v>nar.p</v>
      </c>
      <c r="O1186" s="20" t="str">
        <f>_xlfn.XLOOKUP(packes[[#This Row],[productId]],bom[Id],bom[erth],"NA")</f>
        <v>-</v>
      </c>
      <c r="P1186" s="20" t="str">
        <f>_xlfn.XLOOKUP(packes[[#This Row],[productId]],bom[Id],bom[dbl],"NA")</f>
        <v>nar.p</v>
      </c>
      <c r="Q1186" s="20" t="str">
        <f>LEFT(packes[[#This Row],[date]],4)</f>
        <v>1404</v>
      </c>
    </row>
    <row r="1187" spans="1:17" ht="16.5" x14ac:dyDescent="0.25">
      <c r="A1187" s="23">
        <v>1184</v>
      </c>
      <c r="B1187" s="30" t="s">
        <v>856</v>
      </c>
      <c r="C1187" s="23">
        <v>140310007</v>
      </c>
      <c r="D1187" s="23">
        <v>1000</v>
      </c>
      <c r="E1187" s="27">
        <f>_xlfn.XLOOKUP(packes[[#This Row],[productId]],bom[Id],bom[wgt])</f>
        <v>1.1413748378728923</v>
      </c>
      <c r="F1187" s="27">
        <f>packes[[#This Row],[num]]*packes[[#This Row],[wtg]]</f>
        <v>1141.3748378728924</v>
      </c>
      <c r="G1187" s="357">
        <v>7</v>
      </c>
      <c r="H1187" s="21">
        <f>packes[[#This Row],[num]]-SUM(packes[[#This Row],[num2]])</f>
        <v>1000</v>
      </c>
      <c r="I1187" s="357"/>
      <c r="J1187" s="21"/>
      <c r="K1187" s="323" t="s">
        <v>1746</v>
      </c>
      <c r="M1187" s="27">
        <f>_xlfn.XLOOKUP(packes[[#This Row],[productId]],CT[productId],CT[total],"NA")</f>
        <v>92.484999999999999</v>
      </c>
      <c r="N1187" s="20" t="str">
        <f>_xlfn.XLOOKUP(packes[[#This Row],[productId]],bom[Id],bom[ph],"NA")</f>
        <v>-</v>
      </c>
      <c r="O1187" s="20" t="str">
        <f>_xlfn.XLOOKUP(packes[[#This Row],[productId]],bom[Id],bom[erth],"NA")</f>
        <v>nut4</v>
      </c>
      <c r="P1187" s="20" t="str">
        <f>_xlfn.XLOOKUP(packes[[#This Row],[productId]],bom[Id],bom[dbl],"NA")</f>
        <v>-</v>
      </c>
      <c r="Q1187" s="20" t="str">
        <f>LEFT(packes[[#This Row],[date]],4)</f>
        <v>1404</v>
      </c>
    </row>
    <row r="1188" spans="1:17" ht="16.5" x14ac:dyDescent="0.25">
      <c r="A1188" s="23">
        <v>1185</v>
      </c>
      <c r="B1188" s="30" t="s">
        <v>857</v>
      </c>
      <c r="C1188" s="23">
        <v>140010230</v>
      </c>
      <c r="D1188" s="23">
        <v>1450</v>
      </c>
      <c r="E1188" s="27">
        <f>_xlfn.XLOOKUP(packes[[#This Row],[productId]],bom[Id],bom[wgt])</f>
        <v>1.4486680634540554</v>
      </c>
      <c r="F1188" s="27">
        <f>packes[[#This Row],[num]]*packes[[#This Row],[wtg]]</f>
        <v>2100.5686920083804</v>
      </c>
      <c r="G1188" s="357">
        <v>7</v>
      </c>
      <c r="H1188" s="21">
        <f>packes[[#This Row],[num]]-SUM(packes[[#This Row],[num2]])</f>
        <v>1450</v>
      </c>
      <c r="I1188" s="357"/>
      <c r="J1188" s="21"/>
      <c r="K1188" s="323" t="s">
        <v>1749</v>
      </c>
      <c r="M1188" s="27">
        <f>_xlfn.XLOOKUP(packes[[#This Row],[productId]],CT[productId],CT[total],"NA")</f>
        <v>147.595</v>
      </c>
      <c r="N1188" s="20" t="str">
        <f>_xlfn.XLOOKUP(packes[[#This Row],[productId]],bom[Id],bom[ph],"NA")</f>
        <v>nar.p</v>
      </c>
      <c r="O1188" s="20" t="str">
        <f>_xlfn.XLOOKUP(packes[[#This Row],[productId]],bom[Id],bom[erth],"NA")</f>
        <v>-</v>
      </c>
      <c r="P1188" s="20" t="str">
        <f>_xlfn.XLOOKUP(packes[[#This Row],[productId]],bom[Id],bom[dbl],"NA")</f>
        <v>nar.p</v>
      </c>
      <c r="Q1188" s="20" t="str">
        <f>LEFT(packes[[#This Row],[date]],4)</f>
        <v>1404</v>
      </c>
    </row>
    <row r="1189" spans="1:17" ht="16.5" x14ac:dyDescent="0.25">
      <c r="A1189" s="23">
        <v>1186</v>
      </c>
      <c r="B1189" s="30" t="s">
        <v>859</v>
      </c>
      <c r="C1189" s="23">
        <v>140010117</v>
      </c>
      <c r="D1189" s="23">
        <v>75</v>
      </c>
      <c r="E1189" s="27">
        <f>_xlfn.XLOOKUP(packes[[#This Row],[productId]],bom[Id],bom[wgt])</f>
        <v>1</v>
      </c>
      <c r="F1189" s="27">
        <f>packes[[#This Row],[num]]*packes[[#This Row],[wtg]]</f>
        <v>75</v>
      </c>
      <c r="G1189" s="357">
        <v>7</v>
      </c>
      <c r="H1189" s="21">
        <f>packes[[#This Row],[num]]-SUM(packes[[#This Row],[num2]])</f>
        <v>75</v>
      </c>
      <c r="I1189" s="357"/>
      <c r="J1189" s="21"/>
      <c r="K1189" s="323" t="s">
        <v>1752</v>
      </c>
      <c r="M1189" s="27">
        <f>_xlfn.XLOOKUP(packes[[#This Row],[productId]],CT[productId],CT[total],"NA")</f>
        <v>98.295000000000016</v>
      </c>
      <c r="N1189" s="20" t="str">
        <f>_xlfn.XLOOKUP(packes[[#This Row],[productId]],bom[Id],bom[ph],"NA")</f>
        <v>nar.p</v>
      </c>
      <c r="O1189" s="20" t="str">
        <f>_xlfn.XLOOKUP(packes[[#This Row],[productId]],bom[Id],bom[erth],"NA")</f>
        <v>-</v>
      </c>
      <c r="P1189" s="20" t="str">
        <f>_xlfn.XLOOKUP(packes[[#This Row],[productId]],bom[Id],bom[dbl],"NA")</f>
        <v>nar.p</v>
      </c>
      <c r="Q1189" s="20" t="str">
        <f>LEFT(packes[[#This Row],[date]],4)</f>
        <v>1404</v>
      </c>
    </row>
    <row r="1190" spans="1:17" ht="16.5" x14ac:dyDescent="0.25">
      <c r="A1190" s="23">
        <v>1187</v>
      </c>
      <c r="B1190" s="30" t="s">
        <v>859</v>
      </c>
      <c r="C1190" s="23">
        <v>140010230</v>
      </c>
      <c r="D1190" s="23">
        <v>50</v>
      </c>
      <c r="E1190" s="27">
        <f>_xlfn.XLOOKUP(packes[[#This Row],[productId]],bom[Id],bom[wgt])</f>
        <v>1.4486680634540554</v>
      </c>
      <c r="F1190" s="27">
        <f>packes[[#This Row],[num]]*packes[[#This Row],[wtg]]</f>
        <v>72.433403172702768</v>
      </c>
      <c r="G1190" s="357">
        <v>7</v>
      </c>
      <c r="H1190" s="21">
        <f>packes[[#This Row],[num]]-SUM(packes[[#This Row],[num2]])</f>
        <v>50</v>
      </c>
      <c r="I1190" s="357"/>
      <c r="J1190" s="21"/>
      <c r="K1190" s="323" t="s">
        <v>1753</v>
      </c>
      <c r="M1190" s="27">
        <f>_xlfn.XLOOKUP(packes[[#This Row],[productId]],CT[productId],CT[total],"NA")</f>
        <v>147.595</v>
      </c>
      <c r="N1190" s="20" t="str">
        <f>_xlfn.XLOOKUP(packes[[#This Row],[productId]],bom[Id],bom[ph],"NA")</f>
        <v>nar.p</v>
      </c>
      <c r="O1190" s="20" t="str">
        <f>_xlfn.XLOOKUP(packes[[#This Row],[productId]],bom[Id],bom[erth],"NA")</f>
        <v>-</v>
      </c>
      <c r="P1190" s="20" t="str">
        <f>_xlfn.XLOOKUP(packes[[#This Row],[productId]],bom[Id],bom[dbl],"NA")</f>
        <v>nar.p</v>
      </c>
      <c r="Q1190" s="20" t="str">
        <f>LEFT(packes[[#This Row],[date]],4)</f>
        <v>1404</v>
      </c>
    </row>
    <row r="1191" spans="1:17" ht="16.5" x14ac:dyDescent="0.25">
      <c r="A1191" s="23">
        <v>1188</v>
      </c>
      <c r="B1191" s="30" t="s">
        <v>859</v>
      </c>
      <c r="C1191" s="23">
        <v>140310071</v>
      </c>
      <c r="D1191" s="23">
        <v>2100</v>
      </c>
      <c r="E1191" s="27">
        <f>_xlfn.XLOOKUP(packes[[#This Row],[productId]],bom[Id],bom[wgt])</f>
        <v>1.3</v>
      </c>
      <c r="F1191" s="27">
        <f>packes[[#This Row],[num]]*packes[[#This Row],[wtg]]</f>
        <v>2730</v>
      </c>
      <c r="G1191" s="357">
        <v>7</v>
      </c>
      <c r="H1191" s="21">
        <f>packes[[#This Row],[num]]-SUM(packes[[#This Row],[num2]])</f>
        <v>2100</v>
      </c>
      <c r="I1191" s="357"/>
      <c r="J1191" s="21"/>
      <c r="K1191" s="323" t="s">
        <v>1754</v>
      </c>
      <c r="M1191" s="27">
        <f>_xlfn.XLOOKUP(packes[[#This Row],[productId]],CT[productId],CT[total],"NA")</f>
        <v>130.69500000000002</v>
      </c>
      <c r="N1191" s="20" t="str">
        <f>_xlfn.XLOOKUP(packes[[#This Row],[productId]],bom[Id],bom[ph],"NA")</f>
        <v>6.3ch</v>
      </c>
      <c r="O1191" s="20" t="str">
        <f>_xlfn.XLOOKUP(packes[[#This Row],[productId]],bom[Id],bom[erth],"NA")</f>
        <v>6.3k</v>
      </c>
      <c r="P1191" s="20" t="str">
        <f>_xlfn.XLOOKUP(packes[[#This Row],[productId]],bom[Id],bom[dbl],"NA")</f>
        <v>-</v>
      </c>
      <c r="Q1191" s="20" t="str">
        <f>LEFT(packes[[#This Row],[date]],4)</f>
        <v>1404</v>
      </c>
    </row>
    <row r="1192" spans="1:17" ht="16.5" x14ac:dyDescent="0.25">
      <c r="A1192" s="23">
        <v>1189</v>
      </c>
      <c r="B1192" s="30" t="s">
        <v>859</v>
      </c>
      <c r="C1192" s="23">
        <v>140310083</v>
      </c>
      <c r="D1192" s="23">
        <v>850</v>
      </c>
      <c r="E1192" s="27">
        <f>_xlfn.XLOOKUP(packes[[#This Row],[productId]],bom[Id],bom[wgt])</f>
        <v>1.3369250723336326</v>
      </c>
      <c r="F1192" s="27">
        <f>packes[[#This Row],[num]]*packes[[#This Row],[wtg]]</f>
        <v>1136.3863114835876</v>
      </c>
      <c r="G1192" s="357">
        <v>7</v>
      </c>
      <c r="H1192" s="21">
        <f>packes[[#This Row],[num]]-SUM(packes[[#This Row],[num2]])</f>
        <v>850</v>
      </c>
      <c r="I1192" s="357"/>
      <c r="J1192" s="21"/>
      <c r="K1192" s="323" t="s">
        <v>1755</v>
      </c>
      <c r="M1192" s="27">
        <f>_xlfn.XLOOKUP(packes[[#This Row],[productId]],CT[productId],CT[total],"NA")</f>
        <v>135.23500000000001</v>
      </c>
      <c r="N1192" s="20" t="str">
        <f>_xlfn.XLOOKUP(packes[[#This Row],[productId]],bom[Id],bom[ph],"NA")</f>
        <v>6.3flat</v>
      </c>
      <c r="O1192" s="20" t="str">
        <f>_xlfn.XLOOKUP(packes[[#This Row],[productId]],bom[Id],bom[erth],"NA")</f>
        <v>6.3flat</v>
      </c>
      <c r="P1192" s="20" t="str">
        <f>_xlfn.XLOOKUP(packes[[#This Row],[productId]],bom[Id],bom[dbl],"NA")</f>
        <v>-</v>
      </c>
      <c r="Q1192" s="20" t="str">
        <f>LEFT(packes[[#This Row],[date]],4)</f>
        <v>1404</v>
      </c>
    </row>
    <row r="1193" spans="1:17" ht="16.5" x14ac:dyDescent="0.25">
      <c r="A1193" s="23">
        <v>1190</v>
      </c>
      <c r="B1193" s="30" t="s">
        <v>862</v>
      </c>
      <c r="C1193" s="23">
        <v>140310007</v>
      </c>
      <c r="D1193" s="23">
        <v>500</v>
      </c>
      <c r="E1193" s="27">
        <f>_xlfn.XLOOKUP(packes[[#This Row],[productId]],bom[Id],bom[wgt])</f>
        <v>1.1413748378728923</v>
      </c>
      <c r="F1193" s="27">
        <f>packes[[#This Row],[num]]*packes[[#This Row],[wtg]]</f>
        <v>570.68741893644619</v>
      </c>
      <c r="G1193" s="357">
        <v>7</v>
      </c>
      <c r="H1193" s="21">
        <f>packes[[#This Row],[num]]-SUM(packes[[#This Row],[num2]])</f>
        <v>500</v>
      </c>
      <c r="I1193" s="357"/>
      <c r="J1193" s="21"/>
      <c r="K1193" s="323" t="s">
        <v>1756</v>
      </c>
      <c r="M1193" s="27">
        <f>_xlfn.XLOOKUP(packes[[#This Row],[productId]],CT[productId],CT[total],"NA")</f>
        <v>92.484999999999999</v>
      </c>
      <c r="N1193" s="20" t="str">
        <f>_xlfn.XLOOKUP(packes[[#This Row],[productId]],bom[Id],bom[ph],"NA")</f>
        <v>-</v>
      </c>
      <c r="O1193" s="20" t="str">
        <f>_xlfn.XLOOKUP(packes[[#This Row],[productId]],bom[Id],bom[erth],"NA")</f>
        <v>nut4</v>
      </c>
      <c r="P1193" s="20" t="str">
        <f>_xlfn.XLOOKUP(packes[[#This Row],[productId]],bom[Id],bom[dbl],"NA")</f>
        <v>-</v>
      </c>
      <c r="Q1193" s="20" t="str">
        <f>LEFT(packes[[#This Row],[date]],4)</f>
        <v>1404</v>
      </c>
    </row>
    <row r="1194" spans="1:17" ht="16.5" x14ac:dyDescent="0.25">
      <c r="A1194" s="23">
        <v>1191</v>
      </c>
      <c r="B1194" s="30" t="s">
        <v>863</v>
      </c>
      <c r="C1194" s="23">
        <v>140010117</v>
      </c>
      <c r="D1194" s="23">
        <v>1800</v>
      </c>
      <c r="E1194" s="27">
        <f>_xlfn.XLOOKUP(packes[[#This Row],[productId]],bom[Id],bom[wgt])</f>
        <v>1</v>
      </c>
      <c r="F1194" s="27">
        <f>packes[[#This Row],[num]]*packes[[#This Row],[wtg]]</f>
        <v>1800</v>
      </c>
      <c r="G1194" s="357">
        <v>7</v>
      </c>
      <c r="H1194" s="21">
        <f>packes[[#This Row],[num]]-SUM(packes[[#This Row],[num2]])</f>
        <v>1800</v>
      </c>
      <c r="I1194" s="357"/>
      <c r="J1194" s="21"/>
      <c r="K1194" s="323" t="s">
        <v>1763</v>
      </c>
      <c r="M1194" s="27">
        <f>_xlfn.XLOOKUP(packes[[#This Row],[productId]],CT[productId],CT[total],"NA")</f>
        <v>98.295000000000016</v>
      </c>
      <c r="N1194" s="20" t="str">
        <f>_xlfn.XLOOKUP(packes[[#This Row],[productId]],bom[Id],bom[ph],"NA")</f>
        <v>nar.p</v>
      </c>
      <c r="O1194" s="20" t="str">
        <f>_xlfn.XLOOKUP(packes[[#This Row],[productId]],bom[Id],bom[erth],"NA")</f>
        <v>-</v>
      </c>
      <c r="P1194" s="20" t="str">
        <f>_xlfn.XLOOKUP(packes[[#This Row],[productId]],bom[Id],bom[dbl],"NA")</f>
        <v>nar.p</v>
      </c>
      <c r="Q1194" s="20" t="str">
        <f>LEFT(packes[[#This Row],[date]],4)</f>
        <v>1404</v>
      </c>
    </row>
    <row r="1195" spans="1:17" ht="16.5" x14ac:dyDescent="0.25">
      <c r="A1195" s="23">
        <v>1192</v>
      </c>
      <c r="B1195" s="30" t="s">
        <v>863</v>
      </c>
      <c r="C1195" s="23">
        <v>140310007</v>
      </c>
      <c r="D1195" s="23">
        <v>700</v>
      </c>
      <c r="E1195" s="27">
        <f>_xlfn.XLOOKUP(packes[[#This Row],[productId]],bom[Id],bom[wgt])</f>
        <v>1.1413748378728923</v>
      </c>
      <c r="F1195" s="27">
        <f>packes[[#This Row],[num]]*packes[[#This Row],[wtg]]</f>
        <v>798.96238651102465</v>
      </c>
      <c r="G1195" s="357">
        <v>7</v>
      </c>
      <c r="H1195" s="21">
        <f>packes[[#This Row],[num]]-SUM(packes[[#This Row],[num2]])</f>
        <v>700</v>
      </c>
      <c r="I1195" s="357"/>
      <c r="J1195" s="21"/>
      <c r="K1195" s="323" t="s">
        <v>1764</v>
      </c>
      <c r="M1195" s="27">
        <f>_xlfn.XLOOKUP(packes[[#This Row],[productId]],CT[productId],CT[total],"NA")</f>
        <v>92.484999999999999</v>
      </c>
      <c r="N1195" s="20" t="str">
        <f>_xlfn.XLOOKUP(packes[[#This Row],[productId]],bom[Id],bom[ph],"NA")</f>
        <v>-</v>
      </c>
      <c r="O1195" s="20" t="str">
        <f>_xlfn.XLOOKUP(packes[[#This Row],[productId]],bom[Id],bom[erth],"NA")</f>
        <v>nut4</v>
      </c>
      <c r="P1195" s="20" t="str">
        <f>_xlfn.XLOOKUP(packes[[#This Row],[productId]],bom[Id],bom[dbl],"NA")</f>
        <v>-</v>
      </c>
      <c r="Q1195" s="20" t="str">
        <f>LEFT(packes[[#This Row],[date]],4)</f>
        <v>1404</v>
      </c>
    </row>
    <row r="1196" spans="1:17" ht="16.5" x14ac:dyDescent="0.25">
      <c r="A1196" s="23">
        <v>1193</v>
      </c>
      <c r="B1196" s="30" t="s">
        <v>864</v>
      </c>
      <c r="C1196" s="23">
        <v>140010117</v>
      </c>
      <c r="D1196" s="23">
        <v>225</v>
      </c>
      <c r="E1196" s="27">
        <f>_xlfn.XLOOKUP(packes[[#This Row],[productId]],bom[Id],bom[wgt])</f>
        <v>1</v>
      </c>
      <c r="F1196" s="27">
        <f>packes[[#This Row],[num]]*packes[[#This Row],[wtg]]</f>
        <v>225</v>
      </c>
      <c r="G1196" s="357">
        <v>7</v>
      </c>
      <c r="H1196" s="21">
        <f>packes[[#This Row],[num]]-SUM(packes[[#This Row],[num2]])</f>
        <v>225</v>
      </c>
      <c r="I1196" s="357"/>
      <c r="J1196" s="21"/>
      <c r="K1196" s="323" t="s">
        <v>1763</v>
      </c>
      <c r="M1196" s="27">
        <f>_xlfn.XLOOKUP(packes[[#This Row],[productId]],CT[productId],CT[total],"NA")</f>
        <v>98.295000000000016</v>
      </c>
      <c r="N1196" s="20" t="str">
        <f>_xlfn.XLOOKUP(packes[[#This Row],[productId]],bom[Id],bom[ph],"NA")</f>
        <v>nar.p</v>
      </c>
      <c r="O1196" s="20" t="str">
        <f>_xlfn.XLOOKUP(packes[[#This Row],[productId]],bom[Id],bom[erth],"NA")</f>
        <v>-</v>
      </c>
      <c r="P1196" s="20" t="str">
        <f>_xlfn.XLOOKUP(packes[[#This Row],[productId]],bom[Id],bom[dbl],"NA")</f>
        <v>nar.p</v>
      </c>
      <c r="Q1196" s="20" t="str">
        <f>LEFT(packes[[#This Row],[date]],4)</f>
        <v>1404</v>
      </c>
    </row>
    <row r="1197" spans="1:17" ht="16.5" x14ac:dyDescent="0.25">
      <c r="A1197" s="23">
        <v>1194</v>
      </c>
      <c r="B1197" s="30" t="s">
        <v>864</v>
      </c>
      <c r="C1197" s="23">
        <v>140010230</v>
      </c>
      <c r="D1197" s="23">
        <v>250</v>
      </c>
      <c r="E1197" s="27">
        <f>_xlfn.XLOOKUP(packes[[#This Row],[productId]],bom[Id],bom[wgt])</f>
        <v>1.4486680634540554</v>
      </c>
      <c r="F1197" s="27">
        <f>packes[[#This Row],[num]]*packes[[#This Row],[wtg]]</f>
        <v>362.16701586351383</v>
      </c>
      <c r="G1197" s="357">
        <v>7</v>
      </c>
      <c r="H1197" s="21">
        <f>packes[[#This Row],[num]]-SUM(packes[[#This Row],[num2]])</f>
        <v>250</v>
      </c>
      <c r="I1197" s="357"/>
      <c r="J1197" s="21"/>
      <c r="K1197" s="323" t="s">
        <v>1765</v>
      </c>
      <c r="M1197" s="27">
        <f>_xlfn.XLOOKUP(packes[[#This Row],[productId]],CT[productId],CT[total],"NA")</f>
        <v>147.595</v>
      </c>
      <c r="N1197" s="20" t="str">
        <f>_xlfn.XLOOKUP(packes[[#This Row],[productId]],bom[Id],bom[ph],"NA")</f>
        <v>nar.p</v>
      </c>
      <c r="O1197" s="20" t="str">
        <f>_xlfn.XLOOKUP(packes[[#This Row],[productId]],bom[Id],bom[erth],"NA")</f>
        <v>-</v>
      </c>
      <c r="P1197" s="20" t="str">
        <f>_xlfn.XLOOKUP(packes[[#This Row],[productId]],bom[Id],bom[dbl],"NA")</f>
        <v>nar.p</v>
      </c>
      <c r="Q1197" s="20" t="str">
        <f>LEFT(packes[[#This Row],[date]],4)</f>
        <v>1404</v>
      </c>
    </row>
    <row r="1198" spans="1:17" ht="16.5" x14ac:dyDescent="0.25">
      <c r="A1198" s="23">
        <v>1195</v>
      </c>
      <c r="B1198" s="30" t="s">
        <v>864</v>
      </c>
      <c r="C1198" s="23">
        <v>140310007</v>
      </c>
      <c r="D1198" s="23">
        <v>2250</v>
      </c>
      <c r="E1198" s="27">
        <f>_xlfn.XLOOKUP(packes[[#This Row],[productId]],bom[Id],bom[wgt])</f>
        <v>1.1413748378728923</v>
      </c>
      <c r="F1198" s="27">
        <f>packes[[#This Row],[num]]*packes[[#This Row],[wtg]]</f>
        <v>2568.0933852140079</v>
      </c>
      <c r="G1198" s="357">
        <v>7</v>
      </c>
      <c r="H1198" s="21">
        <f>packes[[#This Row],[num]]-SUM(packes[[#This Row],[num2]])</f>
        <v>2250</v>
      </c>
      <c r="I1198" s="357"/>
      <c r="J1198" s="21"/>
      <c r="K1198" s="323" t="s">
        <v>1764</v>
      </c>
      <c r="M1198" s="27">
        <f>_xlfn.XLOOKUP(packes[[#This Row],[productId]],CT[productId],CT[total],"NA")</f>
        <v>92.484999999999999</v>
      </c>
      <c r="N1198" s="20" t="str">
        <f>_xlfn.XLOOKUP(packes[[#This Row],[productId]],bom[Id],bom[ph],"NA")</f>
        <v>-</v>
      </c>
      <c r="O1198" s="20" t="str">
        <f>_xlfn.XLOOKUP(packes[[#This Row],[productId]],bom[Id],bom[erth],"NA")</f>
        <v>nut4</v>
      </c>
      <c r="P1198" s="20" t="str">
        <f>_xlfn.XLOOKUP(packes[[#This Row],[productId]],bom[Id],bom[dbl],"NA")</f>
        <v>-</v>
      </c>
      <c r="Q1198" s="20" t="str">
        <f>LEFT(packes[[#This Row],[date]],4)</f>
        <v>1404</v>
      </c>
    </row>
    <row r="1199" spans="1:17" ht="16.5" x14ac:dyDescent="0.25">
      <c r="A1199" s="23">
        <v>1196</v>
      </c>
      <c r="B1199" s="30" t="s">
        <v>865</v>
      </c>
      <c r="C1199" s="23">
        <v>140010117</v>
      </c>
      <c r="D1199" s="23">
        <v>975</v>
      </c>
      <c r="E1199" s="27">
        <f>_xlfn.XLOOKUP(packes[[#This Row],[productId]],bom[Id],bom[wgt])</f>
        <v>1</v>
      </c>
      <c r="F1199" s="27">
        <f>packes[[#This Row],[num]]*packes[[#This Row],[wtg]]</f>
        <v>975</v>
      </c>
      <c r="G1199" s="357">
        <v>7</v>
      </c>
      <c r="H1199" s="21">
        <f>packes[[#This Row],[num]]-SUM(packes[[#This Row],[num2]])</f>
        <v>975</v>
      </c>
      <c r="I1199" s="357"/>
      <c r="J1199" s="21"/>
      <c r="K1199" s="323" t="s">
        <v>1769</v>
      </c>
      <c r="M1199" s="27">
        <f>_xlfn.XLOOKUP(packes[[#This Row],[productId]],CT[productId],CT[total],"NA")</f>
        <v>98.295000000000016</v>
      </c>
      <c r="N1199" s="20" t="str">
        <f>_xlfn.XLOOKUP(packes[[#This Row],[productId]],bom[Id],bom[ph],"NA")</f>
        <v>nar.p</v>
      </c>
      <c r="O1199" s="20" t="str">
        <f>_xlfn.XLOOKUP(packes[[#This Row],[productId]],bom[Id],bom[erth],"NA")</f>
        <v>-</v>
      </c>
      <c r="P1199" s="20" t="str">
        <f>_xlfn.XLOOKUP(packes[[#This Row],[productId]],bom[Id],bom[dbl],"NA")</f>
        <v>nar.p</v>
      </c>
      <c r="Q1199" s="20" t="str">
        <f>LEFT(packes[[#This Row],[date]],4)</f>
        <v>1404</v>
      </c>
    </row>
    <row r="1200" spans="1:17" ht="16.5" x14ac:dyDescent="0.25">
      <c r="A1200" s="23">
        <v>1197</v>
      </c>
      <c r="B1200" s="30" t="s">
        <v>865</v>
      </c>
      <c r="C1200" s="23">
        <v>140310007</v>
      </c>
      <c r="D1200" s="23">
        <v>1300</v>
      </c>
      <c r="E1200" s="27">
        <f>_xlfn.XLOOKUP(packes[[#This Row],[productId]],bom[Id],bom[wgt])</f>
        <v>1.1413748378728923</v>
      </c>
      <c r="F1200" s="27">
        <f>packes[[#This Row],[num]]*packes[[#This Row],[wtg]]</f>
        <v>1483.78728923476</v>
      </c>
      <c r="G1200" s="357">
        <v>7</v>
      </c>
      <c r="H1200" s="21">
        <f>packes[[#This Row],[num]]-SUM(packes[[#This Row],[num2]])</f>
        <v>1300</v>
      </c>
      <c r="I1200" s="357"/>
      <c r="J1200" s="21"/>
      <c r="K1200" s="323" t="s">
        <v>1770</v>
      </c>
      <c r="M1200" s="27">
        <f>_xlfn.XLOOKUP(packes[[#This Row],[productId]],CT[productId],CT[total],"NA")</f>
        <v>92.484999999999999</v>
      </c>
      <c r="N1200" s="20" t="str">
        <f>_xlfn.XLOOKUP(packes[[#This Row],[productId]],bom[Id],bom[ph],"NA")</f>
        <v>-</v>
      </c>
      <c r="O1200" s="20" t="str">
        <f>_xlfn.XLOOKUP(packes[[#This Row],[productId]],bom[Id],bom[erth],"NA")</f>
        <v>nut4</v>
      </c>
      <c r="P1200" s="20" t="str">
        <f>_xlfn.XLOOKUP(packes[[#This Row],[productId]],bom[Id],bom[dbl],"NA")</f>
        <v>-</v>
      </c>
      <c r="Q1200" s="20" t="str">
        <f>LEFT(packes[[#This Row],[date]],4)</f>
        <v>1404</v>
      </c>
    </row>
    <row r="1201" spans="1:17" ht="16.5" x14ac:dyDescent="0.25">
      <c r="A1201" s="23">
        <v>1198</v>
      </c>
      <c r="B1201" s="30" t="s">
        <v>865</v>
      </c>
      <c r="C1201" s="23">
        <v>140310083</v>
      </c>
      <c r="D1201" s="23">
        <v>550</v>
      </c>
      <c r="E1201" s="27">
        <f>_xlfn.XLOOKUP(packes[[#This Row],[productId]],bom[Id],bom[wgt])</f>
        <v>1.3369250723336326</v>
      </c>
      <c r="F1201" s="27">
        <f>packes[[#This Row],[num]]*packes[[#This Row],[wtg]]</f>
        <v>735.3087897834979</v>
      </c>
      <c r="G1201" s="357">
        <v>7</v>
      </c>
      <c r="H1201" s="21">
        <f>packes[[#This Row],[num]]-SUM(packes[[#This Row],[num2]])</f>
        <v>550</v>
      </c>
      <c r="I1201" s="357"/>
      <c r="J1201" s="21"/>
      <c r="K1201" s="323" t="s">
        <v>1784</v>
      </c>
      <c r="M1201" s="27">
        <f>_xlfn.XLOOKUP(packes[[#This Row],[productId]],CT[productId],CT[total],"NA")</f>
        <v>135.23500000000001</v>
      </c>
      <c r="N1201" s="20" t="str">
        <f>_xlfn.XLOOKUP(packes[[#This Row],[productId]],bom[Id],bom[ph],"NA")</f>
        <v>6.3flat</v>
      </c>
      <c r="O1201" s="20" t="str">
        <f>_xlfn.XLOOKUP(packes[[#This Row],[productId]],bom[Id],bom[erth],"NA")</f>
        <v>6.3flat</v>
      </c>
      <c r="P1201" s="20" t="str">
        <f>_xlfn.XLOOKUP(packes[[#This Row],[productId]],bom[Id],bom[dbl],"NA")</f>
        <v>-</v>
      </c>
      <c r="Q1201" s="20" t="str">
        <f>LEFT(packes[[#This Row],[date]],4)</f>
        <v>1404</v>
      </c>
    </row>
    <row r="1202" spans="1:17" ht="16.5" x14ac:dyDescent="0.25">
      <c r="A1202" s="23">
        <v>1199</v>
      </c>
      <c r="B1202" s="30" t="s">
        <v>866</v>
      </c>
      <c r="C1202" s="23">
        <v>140010117</v>
      </c>
      <c r="D1202" s="23">
        <v>25</v>
      </c>
      <c r="E1202" s="27">
        <f>_xlfn.XLOOKUP(packes[[#This Row],[productId]],bom[Id],bom[wgt])</f>
        <v>1</v>
      </c>
      <c r="F1202" s="27">
        <f>packes[[#This Row],[num]]*packes[[#This Row],[wtg]]</f>
        <v>25</v>
      </c>
      <c r="G1202" s="357">
        <v>7</v>
      </c>
      <c r="H1202" s="21">
        <f>packes[[#This Row],[num]]-SUM(packes[[#This Row],[num2]])</f>
        <v>25</v>
      </c>
      <c r="I1202" s="357"/>
      <c r="J1202" s="21"/>
      <c r="K1202" s="550"/>
      <c r="M1202" s="27">
        <f>_xlfn.XLOOKUP(packes[[#This Row],[productId]],CT[productId],CT[total],"NA")</f>
        <v>98.295000000000016</v>
      </c>
      <c r="N1202" s="20" t="str">
        <f>_xlfn.XLOOKUP(packes[[#This Row],[productId]],bom[Id],bom[ph],"NA")</f>
        <v>nar.p</v>
      </c>
      <c r="O1202" s="20" t="str">
        <f>_xlfn.XLOOKUP(packes[[#This Row],[productId]],bom[Id],bom[erth],"NA")</f>
        <v>-</v>
      </c>
      <c r="P1202" s="20" t="str">
        <f>_xlfn.XLOOKUP(packes[[#This Row],[productId]],bom[Id],bom[dbl],"NA")</f>
        <v>nar.p</v>
      </c>
      <c r="Q1202" s="20" t="str">
        <f>LEFT(packes[[#This Row],[date]],4)</f>
        <v>1404</v>
      </c>
    </row>
    <row r="1203" spans="1:17" ht="16.5" x14ac:dyDescent="0.25">
      <c r="A1203" s="23">
        <v>1200</v>
      </c>
      <c r="B1203" s="30" t="s">
        <v>866</v>
      </c>
      <c r="C1203" s="23">
        <v>140310007</v>
      </c>
      <c r="D1203" s="23">
        <v>800</v>
      </c>
      <c r="E1203" s="27">
        <f>_xlfn.XLOOKUP(packes[[#This Row],[productId]],bom[Id],bom[wgt])</f>
        <v>1.1413748378728923</v>
      </c>
      <c r="F1203" s="27">
        <f>packes[[#This Row],[num]]*packes[[#This Row],[wtg]]</f>
        <v>913.09987029831382</v>
      </c>
      <c r="G1203" s="357">
        <v>7</v>
      </c>
      <c r="H1203" s="21">
        <f>packes[[#This Row],[num]]-SUM(packes[[#This Row],[num2]])</f>
        <v>800</v>
      </c>
      <c r="I1203" s="357"/>
      <c r="J1203" s="21"/>
      <c r="K1203" s="323" t="s">
        <v>1785</v>
      </c>
      <c r="M1203" s="27">
        <f>_xlfn.XLOOKUP(packes[[#This Row],[productId]],CT[productId],CT[total],"NA")</f>
        <v>92.484999999999999</v>
      </c>
      <c r="N1203" s="20" t="str">
        <f>_xlfn.XLOOKUP(packes[[#This Row],[productId]],bom[Id],bom[ph],"NA")</f>
        <v>-</v>
      </c>
      <c r="O1203" s="20" t="str">
        <f>_xlfn.XLOOKUP(packes[[#This Row],[productId]],bom[Id],bom[erth],"NA")</f>
        <v>nut4</v>
      </c>
      <c r="P1203" s="20" t="str">
        <f>_xlfn.XLOOKUP(packes[[#This Row],[productId]],bom[Id],bom[dbl],"NA")</f>
        <v>-</v>
      </c>
      <c r="Q1203" s="20" t="str">
        <f>LEFT(packes[[#This Row],[date]],4)</f>
        <v>1404</v>
      </c>
    </row>
    <row r="1204" spans="1:17" ht="16.5" x14ac:dyDescent="0.25">
      <c r="A1204" s="23">
        <v>1201</v>
      </c>
      <c r="B1204" s="30" t="s">
        <v>866</v>
      </c>
      <c r="C1204" s="23">
        <v>140310071</v>
      </c>
      <c r="D1204" s="23">
        <v>1700</v>
      </c>
      <c r="E1204" s="27">
        <f>_xlfn.XLOOKUP(packes[[#This Row],[productId]],bom[Id],bom[wgt])</f>
        <v>1.3</v>
      </c>
      <c r="F1204" s="27">
        <f>packes[[#This Row],[num]]*packes[[#This Row],[wtg]]</f>
        <v>2210</v>
      </c>
      <c r="G1204" s="357">
        <v>7</v>
      </c>
      <c r="H1204" s="21">
        <f>packes[[#This Row],[num]]-SUM(packes[[#This Row],[num2]])</f>
        <v>1700</v>
      </c>
      <c r="I1204" s="357"/>
      <c r="J1204" s="21"/>
      <c r="K1204" s="323" t="s">
        <v>1786</v>
      </c>
      <c r="M1204" s="27">
        <f>_xlfn.XLOOKUP(packes[[#This Row],[productId]],CT[productId],CT[total],"NA")</f>
        <v>130.69500000000002</v>
      </c>
      <c r="N1204" s="20" t="str">
        <f>_xlfn.XLOOKUP(packes[[#This Row],[productId]],bom[Id],bom[ph],"NA")</f>
        <v>6.3ch</v>
      </c>
      <c r="O1204" s="20" t="str">
        <f>_xlfn.XLOOKUP(packes[[#This Row],[productId]],bom[Id],bom[erth],"NA")</f>
        <v>6.3k</v>
      </c>
      <c r="P1204" s="20" t="str">
        <f>_xlfn.XLOOKUP(packes[[#This Row],[productId]],bom[Id],bom[dbl],"NA")</f>
        <v>-</v>
      </c>
      <c r="Q1204" s="20" t="str">
        <f>LEFT(packes[[#This Row],[date]],4)</f>
        <v>1404</v>
      </c>
    </row>
    <row r="1205" spans="1:17" ht="16.5" x14ac:dyDescent="0.25">
      <c r="A1205" s="23">
        <v>1202</v>
      </c>
      <c r="B1205" s="30" t="s">
        <v>866</v>
      </c>
      <c r="C1205" s="23">
        <v>140310083</v>
      </c>
      <c r="D1205" s="23">
        <v>400</v>
      </c>
      <c r="E1205" s="27">
        <f>_xlfn.XLOOKUP(packes[[#This Row],[productId]],bom[Id],bom[wgt])</f>
        <v>1.3369250723336326</v>
      </c>
      <c r="F1205" s="27">
        <f>packes[[#This Row],[num]]*packes[[#This Row],[wtg]]</f>
        <v>534.77002893345298</v>
      </c>
      <c r="G1205" s="357">
        <v>7</v>
      </c>
      <c r="H1205" s="21">
        <f>packes[[#This Row],[num]]-SUM(packes[[#This Row],[num2]])</f>
        <v>400</v>
      </c>
      <c r="I1205" s="357"/>
      <c r="J1205" s="21"/>
      <c r="K1205" s="323" t="s">
        <v>1784</v>
      </c>
      <c r="M1205" s="27">
        <f>_xlfn.XLOOKUP(packes[[#This Row],[productId]],CT[productId],CT[total],"NA")</f>
        <v>135.23500000000001</v>
      </c>
      <c r="N1205" s="20" t="str">
        <f>_xlfn.XLOOKUP(packes[[#This Row],[productId]],bom[Id],bom[ph],"NA")</f>
        <v>6.3flat</v>
      </c>
      <c r="O1205" s="20" t="str">
        <f>_xlfn.XLOOKUP(packes[[#This Row],[productId]],bom[Id],bom[erth],"NA")</f>
        <v>6.3flat</v>
      </c>
      <c r="P1205" s="20" t="str">
        <f>_xlfn.XLOOKUP(packes[[#This Row],[productId]],bom[Id],bom[dbl],"NA")</f>
        <v>-</v>
      </c>
      <c r="Q1205" s="20" t="str">
        <f>LEFT(packes[[#This Row],[date]],4)</f>
        <v>1404</v>
      </c>
    </row>
    <row r="1206" spans="1:17" ht="16.5" x14ac:dyDescent="0.25">
      <c r="A1206" s="23">
        <v>1203</v>
      </c>
      <c r="B1206" s="30" t="s">
        <v>869</v>
      </c>
      <c r="C1206" s="23">
        <v>140010230</v>
      </c>
      <c r="D1206" s="23">
        <v>900</v>
      </c>
      <c r="E1206" s="27">
        <f>_xlfn.XLOOKUP(packes[[#This Row],[productId]],bom[Id],bom[wgt])</f>
        <v>1.4486680634540554</v>
      </c>
      <c r="F1206" s="27">
        <f>packes[[#This Row],[num]]*packes[[#This Row],[wtg]]</f>
        <v>1303.8012571086499</v>
      </c>
      <c r="G1206" s="357">
        <v>7</v>
      </c>
      <c r="H1206" s="21">
        <f>packes[[#This Row],[num]]-SUM(packes[[#This Row],[num2]])</f>
        <v>900</v>
      </c>
      <c r="I1206" s="357"/>
      <c r="J1206" s="21"/>
      <c r="K1206" s="323" t="s">
        <v>1787</v>
      </c>
      <c r="M1206" s="27">
        <f>_xlfn.XLOOKUP(packes[[#This Row],[productId]],CT[productId],CT[total],"NA")</f>
        <v>147.595</v>
      </c>
      <c r="N1206" s="20" t="str">
        <f>_xlfn.XLOOKUP(packes[[#This Row],[productId]],bom[Id],bom[ph],"NA")</f>
        <v>nar.p</v>
      </c>
      <c r="O1206" s="20" t="str">
        <f>_xlfn.XLOOKUP(packes[[#This Row],[productId]],bom[Id],bom[erth],"NA")</f>
        <v>-</v>
      </c>
      <c r="P1206" s="20" t="str">
        <f>_xlfn.XLOOKUP(packes[[#This Row],[productId]],bom[Id],bom[dbl],"NA")</f>
        <v>nar.p</v>
      </c>
      <c r="Q1206" s="20" t="str">
        <f>LEFT(packes[[#This Row],[date]],4)</f>
        <v>1404</v>
      </c>
    </row>
    <row r="1207" spans="1:17" ht="16.5" x14ac:dyDescent="0.25">
      <c r="A1207" s="23">
        <v>1204</v>
      </c>
      <c r="B1207" s="30" t="s">
        <v>869</v>
      </c>
      <c r="C1207" s="23">
        <v>140310007</v>
      </c>
      <c r="D1207" s="23">
        <v>1200</v>
      </c>
      <c r="E1207" s="27">
        <f>_xlfn.XLOOKUP(packes[[#This Row],[productId]],bom[Id],bom[wgt])</f>
        <v>1.1413748378728923</v>
      </c>
      <c r="F1207" s="27">
        <f>packes[[#This Row],[num]]*packes[[#This Row],[wtg]]</f>
        <v>1369.6498054474707</v>
      </c>
      <c r="G1207" s="357">
        <v>7</v>
      </c>
      <c r="H1207" s="21">
        <f>packes[[#This Row],[num]]-SUM(packes[[#This Row],[num2]])</f>
        <v>1200</v>
      </c>
      <c r="I1207" s="357"/>
      <c r="J1207" s="21"/>
      <c r="K1207" s="323" t="s">
        <v>1780</v>
      </c>
      <c r="M1207" s="27">
        <f>_xlfn.XLOOKUP(packes[[#This Row],[productId]],CT[productId],CT[total],"NA")</f>
        <v>92.484999999999999</v>
      </c>
      <c r="N1207" s="20" t="str">
        <f>_xlfn.XLOOKUP(packes[[#This Row],[productId]],bom[Id],bom[ph],"NA")</f>
        <v>-</v>
      </c>
      <c r="O1207" s="20" t="str">
        <f>_xlfn.XLOOKUP(packes[[#This Row],[productId]],bom[Id],bom[erth],"NA")</f>
        <v>nut4</v>
      </c>
      <c r="P1207" s="20" t="str">
        <f>_xlfn.XLOOKUP(packes[[#This Row],[productId]],bom[Id],bom[dbl],"NA")</f>
        <v>-</v>
      </c>
      <c r="Q1207" s="20" t="str">
        <f>LEFT(packes[[#This Row],[date]],4)</f>
        <v>1404</v>
      </c>
    </row>
    <row r="1208" spans="1:17" ht="16.5" x14ac:dyDescent="0.25">
      <c r="A1208" s="23">
        <v>1205</v>
      </c>
      <c r="B1208" s="30" t="s">
        <v>869</v>
      </c>
      <c r="C1208" s="23">
        <v>140310071</v>
      </c>
      <c r="D1208" s="23">
        <v>2100</v>
      </c>
      <c r="E1208" s="27">
        <f>_xlfn.XLOOKUP(packes[[#This Row],[productId]],bom[Id],bom[wgt])</f>
        <v>1.3</v>
      </c>
      <c r="F1208" s="27">
        <f>packes[[#This Row],[num]]*packes[[#This Row],[wtg]]</f>
        <v>2730</v>
      </c>
      <c r="G1208" s="357">
        <v>7</v>
      </c>
      <c r="H1208" s="21">
        <f>packes[[#This Row],[num]]-SUM(packes[[#This Row],[num2]])</f>
        <v>2100</v>
      </c>
      <c r="I1208" s="357"/>
      <c r="J1208" s="21"/>
      <c r="K1208" s="323" t="s">
        <v>1781</v>
      </c>
      <c r="M1208" s="27">
        <f>_xlfn.XLOOKUP(packes[[#This Row],[productId]],CT[productId],CT[total],"NA")</f>
        <v>130.69500000000002</v>
      </c>
      <c r="N1208" s="20" t="str">
        <f>_xlfn.XLOOKUP(packes[[#This Row],[productId]],bom[Id],bom[ph],"NA")</f>
        <v>6.3ch</v>
      </c>
      <c r="O1208" s="20" t="str">
        <f>_xlfn.XLOOKUP(packes[[#This Row],[productId]],bom[Id],bom[erth],"NA")</f>
        <v>6.3k</v>
      </c>
      <c r="P1208" s="20" t="str">
        <f>_xlfn.XLOOKUP(packes[[#This Row],[productId]],bom[Id],bom[dbl],"NA")</f>
        <v>-</v>
      </c>
      <c r="Q1208" s="20" t="str">
        <f>LEFT(packes[[#This Row],[date]],4)</f>
        <v>1404</v>
      </c>
    </row>
    <row r="1209" spans="1:17" ht="16.5" x14ac:dyDescent="0.25">
      <c r="A1209" s="23">
        <v>1206</v>
      </c>
      <c r="B1209" s="30" t="s">
        <v>869</v>
      </c>
      <c r="C1209" s="23">
        <v>140310083</v>
      </c>
      <c r="D1209" s="23">
        <v>600</v>
      </c>
      <c r="E1209" s="27">
        <f>_xlfn.XLOOKUP(packes[[#This Row],[productId]],bom[Id],bom[wgt])</f>
        <v>1.3369250723336326</v>
      </c>
      <c r="F1209" s="27">
        <f>packes[[#This Row],[num]]*packes[[#This Row],[wtg]]</f>
        <v>802.15504340017958</v>
      </c>
      <c r="G1209" s="357">
        <v>7</v>
      </c>
      <c r="H1209" s="21">
        <f>packes[[#This Row],[num]]-SUM(packes[[#This Row],[num2]])</f>
        <v>600</v>
      </c>
      <c r="I1209" s="357"/>
      <c r="J1209" s="21"/>
      <c r="K1209" s="323" t="s">
        <v>1782</v>
      </c>
      <c r="M1209" s="27">
        <f>_xlfn.XLOOKUP(packes[[#This Row],[productId]],CT[productId],CT[total],"NA")</f>
        <v>135.23500000000001</v>
      </c>
      <c r="N1209" s="20" t="str">
        <f>_xlfn.XLOOKUP(packes[[#This Row],[productId]],bom[Id],bom[ph],"NA")</f>
        <v>6.3flat</v>
      </c>
      <c r="O1209" s="20" t="str">
        <f>_xlfn.XLOOKUP(packes[[#This Row],[productId]],bom[Id],bom[erth],"NA")</f>
        <v>6.3flat</v>
      </c>
      <c r="P1209" s="20" t="str">
        <f>_xlfn.XLOOKUP(packes[[#This Row],[productId]],bom[Id],bom[dbl],"NA")</f>
        <v>-</v>
      </c>
      <c r="Q1209" s="20" t="str">
        <f>LEFT(packes[[#This Row],[date]],4)</f>
        <v>1404</v>
      </c>
    </row>
    <row r="1210" spans="1:17" ht="16.5" x14ac:dyDescent="0.25">
      <c r="A1210" s="23">
        <v>1207</v>
      </c>
      <c r="B1210" s="30" t="s">
        <v>869</v>
      </c>
      <c r="C1210" s="23">
        <v>140310091</v>
      </c>
      <c r="D1210" s="23">
        <v>200</v>
      </c>
      <c r="E1210" s="27">
        <f>_xlfn.XLOOKUP(packes[[#This Row],[productId]],bom[Id],bom[wgt])</f>
        <v>0</v>
      </c>
      <c r="F1210" s="27">
        <f>packes[[#This Row],[num]]*packes[[#This Row],[wtg]]</f>
        <v>0</v>
      </c>
      <c r="G1210" s="357">
        <v>7</v>
      </c>
      <c r="H1210" s="21">
        <f>packes[[#This Row],[num]]-SUM(packes[[#This Row],[num2]])</f>
        <v>200</v>
      </c>
      <c r="I1210" s="357"/>
      <c r="J1210" s="21"/>
      <c r="K1210" s="323" t="s">
        <v>1783</v>
      </c>
      <c r="M1210" s="27" t="str">
        <f>_xlfn.XLOOKUP(packes[[#This Row],[productId]],CT[productId],CT[total],"NA")</f>
        <v>NA</v>
      </c>
      <c r="N1210" s="20" t="str">
        <f>_xlfn.XLOOKUP(packes[[#This Row],[productId]],bom[Id],bom[ph],"NA")</f>
        <v>-</v>
      </c>
      <c r="O1210" s="20" t="str">
        <f>_xlfn.XLOOKUP(packes[[#This Row],[productId]],bom[Id],bom[erth],"NA")</f>
        <v>-</v>
      </c>
      <c r="P1210" s="20" t="str">
        <f>_xlfn.XLOOKUP(packes[[#This Row],[productId]],bom[Id],bom[dbl],"NA")</f>
        <v>-</v>
      </c>
      <c r="Q1210" s="20" t="str">
        <f>LEFT(packes[[#This Row],[date]],4)</f>
        <v>1404</v>
      </c>
    </row>
    <row r="1211" spans="1:17" ht="16.5" x14ac:dyDescent="0.25">
      <c r="A1211" s="23">
        <v>1208</v>
      </c>
      <c r="B1211" s="30" t="s">
        <v>870</v>
      </c>
      <c r="C1211" s="23">
        <v>140010230</v>
      </c>
      <c r="D1211" s="23">
        <v>2100</v>
      </c>
      <c r="E1211" s="27">
        <f>_xlfn.XLOOKUP(packes[[#This Row],[productId]],bom[Id],bom[wgt])</f>
        <v>1.4486680634540554</v>
      </c>
      <c r="F1211" s="27">
        <f>packes[[#This Row],[num]]*packes[[#This Row],[wtg]]</f>
        <v>3042.2029332535162</v>
      </c>
      <c r="G1211" s="357">
        <v>7</v>
      </c>
      <c r="H1211" s="21">
        <f>packes[[#This Row],[num]]-SUM(packes[[#This Row],[num2]])</f>
        <v>2100</v>
      </c>
      <c r="I1211" s="357"/>
      <c r="J1211" s="21"/>
      <c r="K1211" s="323" t="s">
        <v>1787</v>
      </c>
      <c r="M1211" s="27">
        <f>_xlfn.XLOOKUP(packes[[#This Row],[productId]],CT[productId],CT[total],"NA")</f>
        <v>147.595</v>
      </c>
      <c r="N1211" s="20" t="str">
        <f>_xlfn.XLOOKUP(packes[[#This Row],[productId]],bom[Id],bom[ph],"NA")</f>
        <v>nar.p</v>
      </c>
      <c r="O1211" s="20" t="str">
        <f>_xlfn.XLOOKUP(packes[[#This Row],[productId]],bom[Id],bom[erth],"NA")</f>
        <v>-</v>
      </c>
      <c r="P1211" s="20" t="str">
        <f>_xlfn.XLOOKUP(packes[[#This Row],[productId]],bom[Id],bom[dbl],"NA")</f>
        <v>nar.p</v>
      </c>
      <c r="Q1211" s="20" t="str">
        <f>LEFT(packes[[#This Row],[date]],4)</f>
        <v>1404</v>
      </c>
    </row>
    <row r="1212" spans="1:17" ht="16.5" x14ac:dyDescent="0.25">
      <c r="A1212" s="23">
        <v>1209</v>
      </c>
      <c r="B1212" s="30" t="s">
        <v>870</v>
      </c>
      <c r="C1212" s="23">
        <v>140310007</v>
      </c>
      <c r="D1212" s="23">
        <v>700</v>
      </c>
      <c r="E1212" s="27">
        <f>_xlfn.XLOOKUP(packes[[#This Row],[productId]],bom[Id],bom[wgt])</f>
        <v>1.1413748378728923</v>
      </c>
      <c r="F1212" s="27">
        <f>packes[[#This Row],[num]]*packes[[#This Row],[wtg]]</f>
        <v>798.96238651102465</v>
      </c>
      <c r="G1212" s="357">
        <v>7</v>
      </c>
      <c r="H1212" s="21">
        <f>packes[[#This Row],[num]]-SUM(packes[[#This Row],[num2]])</f>
        <v>700</v>
      </c>
      <c r="I1212" s="357"/>
      <c r="J1212" s="21"/>
      <c r="K1212" s="323" t="s">
        <v>1785</v>
      </c>
      <c r="M1212" s="27">
        <f>_xlfn.XLOOKUP(packes[[#This Row],[productId]],CT[productId],CT[total],"NA")</f>
        <v>92.484999999999999</v>
      </c>
      <c r="N1212" s="20" t="str">
        <f>_xlfn.XLOOKUP(packes[[#This Row],[productId]],bom[Id],bom[ph],"NA")</f>
        <v>-</v>
      </c>
      <c r="O1212" s="20" t="str">
        <f>_xlfn.XLOOKUP(packes[[#This Row],[productId]],bom[Id],bom[erth],"NA")</f>
        <v>nut4</v>
      </c>
      <c r="P1212" s="20" t="str">
        <f>_xlfn.XLOOKUP(packes[[#This Row],[productId]],bom[Id],bom[dbl],"NA")</f>
        <v>-</v>
      </c>
      <c r="Q1212" s="20" t="str">
        <f>LEFT(packes[[#This Row],[date]],4)</f>
        <v>1404</v>
      </c>
    </row>
    <row r="1213" spans="1:17" ht="16.5" x14ac:dyDescent="0.25">
      <c r="A1213" s="23">
        <v>1210</v>
      </c>
      <c r="B1213" s="30" t="s">
        <v>870</v>
      </c>
      <c r="C1213" s="23">
        <v>140310071</v>
      </c>
      <c r="D1213" s="23">
        <v>1950</v>
      </c>
      <c r="E1213" s="27">
        <f>_xlfn.XLOOKUP(packes[[#This Row],[productId]],bom[Id],bom[wgt])</f>
        <v>1.3</v>
      </c>
      <c r="F1213" s="27">
        <f>packes[[#This Row],[num]]*packes[[#This Row],[wtg]]</f>
        <v>2535</v>
      </c>
      <c r="G1213" s="357">
        <v>7</v>
      </c>
      <c r="H1213" s="21">
        <f>packes[[#This Row],[num]]-SUM(packes[[#This Row],[num2]])</f>
        <v>1950</v>
      </c>
      <c r="I1213" s="357"/>
      <c r="J1213" s="21"/>
      <c r="K1213" s="323" t="s">
        <v>1786</v>
      </c>
      <c r="M1213" s="27">
        <f>_xlfn.XLOOKUP(packes[[#This Row],[productId]],CT[productId],CT[total],"NA")</f>
        <v>130.69500000000002</v>
      </c>
      <c r="N1213" s="20" t="str">
        <f>_xlfn.XLOOKUP(packes[[#This Row],[productId]],bom[Id],bom[ph],"NA")</f>
        <v>6.3ch</v>
      </c>
      <c r="O1213" s="20" t="str">
        <f>_xlfn.XLOOKUP(packes[[#This Row],[productId]],bom[Id],bom[erth],"NA")</f>
        <v>6.3k</v>
      </c>
      <c r="P1213" s="20" t="str">
        <f>_xlfn.XLOOKUP(packes[[#This Row],[productId]],bom[Id],bom[dbl],"NA")</f>
        <v>-</v>
      </c>
      <c r="Q1213" s="20" t="str">
        <f>LEFT(packes[[#This Row],[date]],4)</f>
        <v>1404</v>
      </c>
    </row>
    <row r="1214" spans="1:17" ht="16.5" x14ac:dyDescent="0.25">
      <c r="A1214" s="23">
        <v>1211</v>
      </c>
      <c r="B1214" s="30" t="s">
        <v>870</v>
      </c>
      <c r="C1214" s="23">
        <v>140310091</v>
      </c>
      <c r="D1214" s="23">
        <v>300</v>
      </c>
      <c r="E1214" s="27">
        <f>_xlfn.XLOOKUP(packes[[#This Row],[productId]],bom[Id],bom[wgt])</f>
        <v>0</v>
      </c>
      <c r="F1214" s="27">
        <f>packes[[#This Row],[num]]*packes[[#This Row],[wtg]]</f>
        <v>0</v>
      </c>
      <c r="G1214" s="357">
        <v>7</v>
      </c>
      <c r="H1214" s="21">
        <f>packes[[#This Row],[num]]-SUM(packes[[#This Row],[num2]])</f>
        <v>300</v>
      </c>
      <c r="I1214" s="357"/>
      <c r="J1214" s="21"/>
      <c r="K1214" s="323" t="s">
        <v>1791</v>
      </c>
      <c r="M1214" s="27" t="str">
        <f>_xlfn.XLOOKUP(packes[[#This Row],[productId]],CT[productId],CT[total],"NA")</f>
        <v>NA</v>
      </c>
      <c r="N1214" s="20" t="str">
        <f>_xlfn.XLOOKUP(packes[[#This Row],[productId]],bom[Id],bom[ph],"NA")</f>
        <v>-</v>
      </c>
      <c r="O1214" s="20" t="str">
        <f>_xlfn.XLOOKUP(packes[[#This Row],[productId]],bom[Id],bom[erth],"NA")</f>
        <v>-</v>
      </c>
      <c r="P1214" s="20" t="str">
        <f>_xlfn.XLOOKUP(packes[[#This Row],[productId]],bom[Id],bom[dbl],"NA")</f>
        <v>-</v>
      </c>
      <c r="Q1214" s="20" t="str">
        <f>LEFT(packes[[#This Row],[date]],4)</f>
        <v>1404</v>
      </c>
    </row>
    <row r="1215" spans="1:17" ht="16.5" x14ac:dyDescent="0.25">
      <c r="A1215" s="23">
        <v>1212</v>
      </c>
      <c r="B1215" s="30" t="s">
        <v>870</v>
      </c>
      <c r="C1215" s="23">
        <v>140310083</v>
      </c>
      <c r="D1215" s="23">
        <v>100</v>
      </c>
      <c r="E1215" s="27">
        <f>_xlfn.XLOOKUP(packes[[#This Row],[productId]],bom[Id],bom[wgt])</f>
        <v>1.3369250723336326</v>
      </c>
      <c r="F1215" s="27">
        <f>packes[[#This Row],[num]]*packes[[#This Row],[wtg]]</f>
        <v>133.69250723336324</v>
      </c>
      <c r="G1215" s="357">
        <v>7</v>
      </c>
      <c r="H1215" s="21">
        <f>packes[[#This Row],[num]]-SUM(packes[[#This Row],[num2]])</f>
        <v>100</v>
      </c>
      <c r="I1215" s="357"/>
      <c r="J1215" s="21"/>
      <c r="K1215" s="323" t="s">
        <v>1784</v>
      </c>
      <c r="M1215" s="27">
        <f>_xlfn.XLOOKUP(packes[[#This Row],[productId]],CT[productId],CT[total],"NA")</f>
        <v>135.23500000000001</v>
      </c>
      <c r="N1215" s="20" t="str">
        <f>_xlfn.XLOOKUP(packes[[#This Row],[productId]],bom[Id],bom[ph],"NA")</f>
        <v>6.3flat</v>
      </c>
      <c r="O1215" s="20" t="str">
        <f>_xlfn.XLOOKUP(packes[[#This Row],[productId]],bom[Id],bom[erth],"NA")</f>
        <v>6.3flat</v>
      </c>
      <c r="P1215" s="20" t="str">
        <f>_xlfn.XLOOKUP(packes[[#This Row],[productId]],bom[Id],bom[dbl],"NA")</f>
        <v>-</v>
      </c>
      <c r="Q1215" s="20" t="str">
        <f>LEFT(packes[[#This Row],[date]],4)</f>
        <v>1404</v>
      </c>
    </row>
    <row r="1216" spans="1:17" ht="16.5" x14ac:dyDescent="0.25">
      <c r="A1216" s="23">
        <v>1213</v>
      </c>
      <c r="B1216" s="30" t="s">
        <v>871</v>
      </c>
      <c r="C1216" s="23">
        <v>140010230</v>
      </c>
      <c r="D1216" s="23">
        <v>1500</v>
      </c>
      <c r="E1216" s="27">
        <f>_xlfn.XLOOKUP(packes[[#This Row],[productId]],bom[Id],bom[wgt])</f>
        <v>1.4486680634540554</v>
      </c>
      <c r="F1216" s="27">
        <f>packes[[#This Row],[num]]*packes[[#This Row],[wtg]]</f>
        <v>2173.002095181083</v>
      </c>
      <c r="G1216" s="357">
        <v>7</v>
      </c>
      <c r="H1216" s="21">
        <f>packes[[#This Row],[num]]-SUM(packes[[#This Row],[num2]])</f>
        <v>1500</v>
      </c>
      <c r="I1216" s="357"/>
      <c r="J1216" s="21"/>
      <c r="K1216" s="323" t="s">
        <v>1792</v>
      </c>
      <c r="M1216" s="27">
        <f>_xlfn.XLOOKUP(packes[[#This Row],[productId]],CT[productId],CT[total],"NA")</f>
        <v>147.595</v>
      </c>
      <c r="N1216" s="20" t="str">
        <f>_xlfn.XLOOKUP(packes[[#This Row],[productId]],bom[Id],bom[ph],"NA")</f>
        <v>nar.p</v>
      </c>
      <c r="O1216" s="20" t="str">
        <f>_xlfn.XLOOKUP(packes[[#This Row],[productId]],bom[Id],bom[erth],"NA")</f>
        <v>-</v>
      </c>
      <c r="P1216" s="20" t="str">
        <f>_xlfn.XLOOKUP(packes[[#This Row],[productId]],bom[Id],bom[dbl],"NA")</f>
        <v>nar.p</v>
      </c>
      <c r="Q1216" s="20" t="str">
        <f>LEFT(packes[[#This Row],[date]],4)</f>
        <v>1404</v>
      </c>
    </row>
    <row r="1217" spans="1:17" ht="16.5" x14ac:dyDescent="0.25">
      <c r="A1217" s="23">
        <v>1214</v>
      </c>
      <c r="B1217" s="30" t="s">
        <v>871</v>
      </c>
      <c r="C1217" s="23">
        <v>140310007</v>
      </c>
      <c r="D1217" s="23">
        <v>1000</v>
      </c>
      <c r="E1217" s="27">
        <f>_xlfn.XLOOKUP(packes[[#This Row],[productId]],bom[Id],bom[wgt])</f>
        <v>1.1413748378728923</v>
      </c>
      <c r="F1217" s="27">
        <f>packes[[#This Row],[num]]*packes[[#This Row],[wtg]]</f>
        <v>1141.3748378728924</v>
      </c>
      <c r="G1217" s="357">
        <v>7</v>
      </c>
      <c r="H1217" s="21">
        <f>packes[[#This Row],[num]]-SUM(packes[[#This Row],[num2]])</f>
        <v>1000</v>
      </c>
      <c r="I1217" s="357"/>
      <c r="J1217" s="21"/>
      <c r="K1217" s="323" t="s">
        <v>1793</v>
      </c>
      <c r="M1217" s="27">
        <f>_xlfn.XLOOKUP(packes[[#This Row],[productId]],CT[productId],CT[total],"NA")</f>
        <v>92.484999999999999</v>
      </c>
      <c r="N1217" s="20" t="str">
        <f>_xlfn.XLOOKUP(packes[[#This Row],[productId]],bom[Id],bom[ph],"NA")</f>
        <v>-</v>
      </c>
      <c r="O1217" s="20" t="str">
        <f>_xlfn.XLOOKUP(packes[[#This Row],[productId]],bom[Id],bom[erth],"NA")</f>
        <v>nut4</v>
      </c>
      <c r="P1217" s="20" t="str">
        <f>_xlfn.XLOOKUP(packes[[#This Row],[productId]],bom[Id],bom[dbl],"NA")</f>
        <v>-</v>
      </c>
      <c r="Q1217" s="20" t="str">
        <f>LEFT(packes[[#This Row],[date]],4)</f>
        <v>1404</v>
      </c>
    </row>
    <row r="1218" spans="1:17" ht="16.5" x14ac:dyDescent="0.25">
      <c r="A1218" s="23">
        <v>1215</v>
      </c>
      <c r="B1218" s="30" t="s">
        <v>871</v>
      </c>
      <c r="C1218" s="23">
        <v>140310071</v>
      </c>
      <c r="D1218" s="23">
        <v>2400</v>
      </c>
      <c r="E1218" s="27">
        <f>_xlfn.XLOOKUP(packes[[#This Row],[productId]],bom[Id],bom[wgt])</f>
        <v>1.3</v>
      </c>
      <c r="F1218" s="27">
        <f>packes[[#This Row],[num]]*packes[[#This Row],[wtg]]</f>
        <v>3120</v>
      </c>
      <c r="G1218" s="357">
        <v>7</v>
      </c>
      <c r="H1218" s="21">
        <f>packes[[#This Row],[num]]-SUM(packes[[#This Row],[num2]])</f>
        <v>2400</v>
      </c>
      <c r="I1218" s="357"/>
      <c r="J1218" s="21"/>
      <c r="K1218" s="323" t="s">
        <v>1794</v>
      </c>
      <c r="M1218" s="27">
        <f>_xlfn.XLOOKUP(packes[[#This Row],[productId]],CT[productId],CT[total],"NA")</f>
        <v>130.69500000000002</v>
      </c>
      <c r="N1218" s="20" t="str">
        <f>_xlfn.XLOOKUP(packes[[#This Row],[productId]],bom[Id],bom[ph],"NA")</f>
        <v>6.3ch</v>
      </c>
      <c r="O1218" s="20" t="str">
        <f>_xlfn.XLOOKUP(packes[[#This Row],[productId]],bom[Id],bom[erth],"NA")</f>
        <v>6.3k</v>
      </c>
      <c r="P1218" s="20" t="str">
        <f>_xlfn.XLOOKUP(packes[[#This Row],[productId]],bom[Id],bom[dbl],"NA")</f>
        <v>-</v>
      </c>
      <c r="Q1218" s="20" t="str">
        <f>LEFT(packes[[#This Row],[date]],4)</f>
        <v>1404</v>
      </c>
    </row>
    <row r="1219" spans="1:17" ht="16.5" x14ac:dyDescent="0.25">
      <c r="A1219" s="23">
        <v>1216</v>
      </c>
      <c r="B1219" s="30" t="s">
        <v>871</v>
      </c>
      <c r="C1219" s="23">
        <v>140310097</v>
      </c>
      <c r="D1219" s="23">
        <v>300</v>
      </c>
      <c r="E1219" s="27">
        <f>_xlfn.XLOOKUP(packes[[#This Row],[productId]],bom[Id],bom[wgt])</f>
        <v>0</v>
      </c>
      <c r="F1219" s="27">
        <f>packes[[#This Row],[num]]*packes[[#This Row],[wtg]]</f>
        <v>0</v>
      </c>
      <c r="G1219" s="357">
        <v>7</v>
      </c>
      <c r="H1219" s="21">
        <f>packes[[#This Row],[num]]-SUM(packes[[#This Row],[num2]])</f>
        <v>300</v>
      </c>
      <c r="I1219" s="357"/>
      <c r="J1219" s="21"/>
      <c r="K1219" s="323" t="s">
        <v>1795</v>
      </c>
      <c r="M1219" s="27" t="str">
        <f>_xlfn.XLOOKUP(packes[[#This Row],[productId]],CT[productId],CT[total],"NA")</f>
        <v>NA</v>
      </c>
      <c r="N1219" s="20">
        <f>_xlfn.XLOOKUP(packes[[#This Row],[productId]],bom[Id],bom[ph],"NA")</f>
        <v>0</v>
      </c>
      <c r="O1219" s="20">
        <f>_xlfn.XLOOKUP(packes[[#This Row],[productId]],bom[Id],bom[erth],"NA")</f>
        <v>0</v>
      </c>
      <c r="P1219" s="20">
        <f>_xlfn.XLOOKUP(packes[[#This Row],[productId]],bom[Id],bom[dbl],"NA")</f>
        <v>0</v>
      </c>
      <c r="Q1219" s="20" t="str">
        <f>LEFT(packes[[#This Row],[date]],4)</f>
        <v>1404</v>
      </c>
    </row>
    <row r="1220" spans="1:17" ht="16.5" x14ac:dyDescent="0.25">
      <c r="A1220" s="23">
        <v>1217</v>
      </c>
      <c r="B1220" s="30" t="s">
        <v>872</v>
      </c>
      <c r="C1220" s="23">
        <v>140310007</v>
      </c>
      <c r="D1220" s="23">
        <v>1850</v>
      </c>
      <c r="E1220" s="27">
        <f>_xlfn.XLOOKUP(packes[[#This Row],[productId]],bom[Id],bom[wgt])</f>
        <v>1.1413748378728923</v>
      </c>
      <c r="F1220" s="27">
        <f>packes[[#This Row],[num]]*packes[[#This Row],[wtg]]</f>
        <v>2111.5434500648507</v>
      </c>
      <c r="G1220" s="357">
        <v>7</v>
      </c>
      <c r="H1220" s="21">
        <f>packes[[#This Row],[num]]-SUM(packes[[#This Row],[num2]])</f>
        <v>1850</v>
      </c>
      <c r="I1220" s="357"/>
      <c r="J1220" s="21"/>
      <c r="K1220" s="323" t="s">
        <v>1803</v>
      </c>
      <c r="M1220" s="27">
        <f>_xlfn.XLOOKUP(packes[[#This Row],[productId]],CT[productId],CT[total],"NA")</f>
        <v>92.484999999999999</v>
      </c>
      <c r="N1220" s="20" t="str">
        <f>_xlfn.XLOOKUP(packes[[#This Row],[productId]],bom[Id],bom[ph],"NA")</f>
        <v>-</v>
      </c>
      <c r="O1220" s="20" t="str">
        <f>_xlfn.XLOOKUP(packes[[#This Row],[productId]],bom[Id],bom[erth],"NA")</f>
        <v>nut4</v>
      </c>
      <c r="P1220" s="20" t="str">
        <f>_xlfn.XLOOKUP(packes[[#This Row],[productId]],bom[Id],bom[dbl],"NA")</f>
        <v>-</v>
      </c>
      <c r="Q1220" s="20" t="str">
        <f>LEFT(packes[[#This Row],[date]],4)</f>
        <v>1404</v>
      </c>
    </row>
    <row r="1221" spans="1:17" ht="16.5" x14ac:dyDescent="0.25">
      <c r="A1221" s="23">
        <v>1218</v>
      </c>
      <c r="B1221" s="30" t="s">
        <v>872</v>
      </c>
      <c r="C1221" s="23">
        <v>140310097</v>
      </c>
      <c r="D1221" s="23">
        <v>1500</v>
      </c>
      <c r="E1221" s="27">
        <f>_xlfn.XLOOKUP(packes[[#This Row],[productId]],bom[Id],bom[wgt])</f>
        <v>0</v>
      </c>
      <c r="F1221" s="27">
        <f>packes[[#This Row],[num]]*packes[[#This Row],[wtg]]</f>
        <v>0</v>
      </c>
      <c r="G1221" s="357">
        <v>7</v>
      </c>
      <c r="H1221" s="21">
        <f>packes[[#This Row],[num]]-SUM(packes[[#This Row],[num2]])</f>
        <v>1500</v>
      </c>
      <c r="I1221" s="357"/>
      <c r="J1221" s="21"/>
      <c r="K1221" s="323" t="s">
        <v>1804</v>
      </c>
      <c r="M1221" s="27" t="str">
        <f>_xlfn.XLOOKUP(packes[[#This Row],[productId]],CT[productId],CT[total],"NA")</f>
        <v>NA</v>
      </c>
      <c r="N1221" s="20">
        <f>_xlfn.XLOOKUP(packes[[#This Row],[productId]],bom[Id],bom[ph],"NA")</f>
        <v>0</v>
      </c>
      <c r="O1221" s="20">
        <f>_xlfn.XLOOKUP(packes[[#This Row],[productId]],bom[Id],bom[erth],"NA")</f>
        <v>0</v>
      </c>
      <c r="P1221" s="20">
        <f>_xlfn.XLOOKUP(packes[[#This Row],[productId]],bom[Id],bom[dbl],"NA")</f>
        <v>0</v>
      </c>
      <c r="Q1221" s="20" t="str">
        <f>LEFT(packes[[#This Row],[date]],4)</f>
        <v>1404</v>
      </c>
    </row>
    <row r="1222" spans="1:17" ht="16.5" x14ac:dyDescent="0.25">
      <c r="A1222" s="23">
        <v>1219</v>
      </c>
      <c r="B1222" s="30" t="s">
        <v>872</v>
      </c>
      <c r="C1222" s="23">
        <v>140310071</v>
      </c>
      <c r="D1222" s="23">
        <v>2600</v>
      </c>
      <c r="E1222" s="27">
        <f>_xlfn.XLOOKUP(packes[[#This Row],[productId]],bom[Id],bom[wgt])</f>
        <v>1.3</v>
      </c>
      <c r="F1222" s="27">
        <f>packes[[#This Row],[num]]*packes[[#This Row],[wtg]]</f>
        <v>3380</v>
      </c>
      <c r="G1222" s="357">
        <v>7</v>
      </c>
      <c r="H1222" s="21">
        <f>packes[[#This Row],[num]]-SUM(packes[[#This Row],[num2]])</f>
        <v>2600</v>
      </c>
      <c r="I1222" s="357"/>
      <c r="J1222" s="21"/>
      <c r="K1222" s="323" t="s">
        <v>1805</v>
      </c>
      <c r="M1222" s="27">
        <f>_xlfn.XLOOKUP(packes[[#This Row],[productId]],CT[productId],CT[total],"NA")</f>
        <v>130.69500000000002</v>
      </c>
      <c r="N1222" s="20" t="str">
        <f>_xlfn.XLOOKUP(packes[[#This Row],[productId]],bom[Id],bom[ph],"NA")</f>
        <v>6.3ch</v>
      </c>
      <c r="O1222" s="20" t="str">
        <f>_xlfn.XLOOKUP(packes[[#This Row],[productId]],bom[Id],bom[erth],"NA")</f>
        <v>6.3k</v>
      </c>
      <c r="P1222" s="20" t="str">
        <f>_xlfn.XLOOKUP(packes[[#This Row],[productId]],bom[Id],bom[dbl],"NA")</f>
        <v>-</v>
      </c>
      <c r="Q1222" s="20" t="str">
        <f>LEFT(packes[[#This Row],[date]],4)</f>
        <v>1404</v>
      </c>
    </row>
    <row r="1223" spans="1:17" ht="16.5" x14ac:dyDescent="0.25">
      <c r="A1223" s="23">
        <v>1220</v>
      </c>
      <c r="B1223" s="30" t="s">
        <v>873</v>
      </c>
      <c r="C1223" s="23">
        <v>140310091</v>
      </c>
      <c r="D1223" s="23">
        <v>900</v>
      </c>
      <c r="E1223" s="27">
        <f>_xlfn.XLOOKUP(packes[[#This Row],[productId]],bom[Id],bom[wgt])</f>
        <v>0</v>
      </c>
      <c r="F1223" s="27">
        <f>packes[[#This Row],[num]]*packes[[#This Row],[wtg]]</f>
        <v>0</v>
      </c>
      <c r="G1223" s="357">
        <v>7</v>
      </c>
      <c r="H1223" s="21">
        <f>packes[[#This Row],[num]]-SUM(packes[[#This Row],[num2]])</f>
        <v>900</v>
      </c>
      <c r="I1223" s="357"/>
      <c r="J1223" s="21"/>
      <c r="K1223" s="323"/>
      <c r="M1223" s="27" t="str">
        <f>_xlfn.XLOOKUP(packes[[#This Row],[productId]],CT[productId],CT[total],"NA")</f>
        <v>NA</v>
      </c>
      <c r="N1223" s="20" t="str">
        <f>_xlfn.XLOOKUP(packes[[#This Row],[productId]],bom[Id],bom[ph],"NA")</f>
        <v>-</v>
      </c>
      <c r="O1223" s="20" t="str">
        <f>_xlfn.XLOOKUP(packes[[#This Row],[productId]],bom[Id],bom[erth],"NA")</f>
        <v>-</v>
      </c>
      <c r="P1223" s="20" t="str">
        <f>_xlfn.XLOOKUP(packes[[#This Row],[productId]],bom[Id],bom[dbl],"NA")</f>
        <v>-</v>
      </c>
      <c r="Q1223" s="20" t="str">
        <f>LEFT(packes[[#This Row],[date]],4)</f>
        <v>1404</v>
      </c>
    </row>
    <row r="1224" spans="1:17" ht="16.5" x14ac:dyDescent="0.25">
      <c r="A1224" s="23">
        <v>1221</v>
      </c>
      <c r="B1224" s="30" t="s">
        <v>873</v>
      </c>
      <c r="C1224" s="23">
        <v>140310083</v>
      </c>
      <c r="D1224" s="23">
        <v>1800</v>
      </c>
      <c r="E1224" s="27">
        <f>_xlfn.XLOOKUP(packes[[#This Row],[productId]],bom[Id],bom[wgt])</f>
        <v>1.3369250723336326</v>
      </c>
      <c r="F1224" s="27">
        <f>packes[[#This Row],[num]]*packes[[#This Row],[wtg]]</f>
        <v>2406.4651302005386</v>
      </c>
      <c r="G1224" s="357">
        <v>7</v>
      </c>
      <c r="H1224" s="21">
        <f>packes[[#This Row],[num]]-SUM(packes[[#This Row],[num2]])</f>
        <v>1800</v>
      </c>
      <c r="I1224" s="357"/>
      <c r="J1224" s="21"/>
      <c r="K1224" s="323" t="s">
        <v>1806</v>
      </c>
      <c r="M1224" s="27">
        <f>_xlfn.XLOOKUP(packes[[#This Row],[productId]],CT[productId],CT[total],"NA")</f>
        <v>135.23500000000001</v>
      </c>
      <c r="N1224" s="20" t="str">
        <f>_xlfn.XLOOKUP(packes[[#This Row],[productId]],bom[Id],bom[ph],"NA")</f>
        <v>6.3flat</v>
      </c>
      <c r="O1224" s="20" t="str">
        <f>_xlfn.XLOOKUP(packes[[#This Row],[productId]],bom[Id],bom[erth],"NA")</f>
        <v>6.3flat</v>
      </c>
      <c r="P1224" s="20" t="str">
        <f>_xlfn.XLOOKUP(packes[[#This Row],[productId]],bom[Id],bom[dbl],"NA")</f>
        <v>-</v>
      </c>
      <c r="Q1224" s="20" t="str">
        <f>LEFT(packes[[#This Row],[date]],4)</f>
        <v>1404</v>
      </c>
    </row>
    <row r="1225" spans="1:17" ht="16.5" x14ac:dyDescent="0.25">
      <c r="A1225" s="23">
        <v>1222</v>
      </c>
      <c r="B1225" s="30" t="s">
        <v>873</v>
      </c>
      <c r="C1225" s="23">
        <v>140310097</v>
      </c>
      <c r="D1225" s="23">
        <v>1300</v>
      </c>
      <c r="E1225" s="27">
        <f>_xlfn.XLOOKUP(packes[[#This Row],[productId]],bom[Id],bom[wgt])</f>
        <v>0</v>
      </c>
      <c r="F1225" s="27">
        <f>packes[[#This Row],[num]]*packes[[#This Row],[wtg]]</f>
        <v>0</v>
      </c>
      <c r="G1225" s="357">
        <v>7</v>
      </c>
      <c r="H1225" s="21">
        <f>packes[[#This Row],[num]]-SUM(packes[[#This Row],[num2]])</f>
        <v>1300</v>
      </c>
      <c r="I1225" s="357"/>
      <c r="J1225" s="21"/>
      <c r="K1225" s="323" t="s">
        <v>1807</v>
      </c>
      <c r="M1225" s="27" t="str">
        <f>_xlfn.XLOOKUP(packes[[#This Row],[productId]],CT[productId],CT[total],"NA")</f>
        <v>NA</v>
      </c>
      <c r="N1225" s="20">
        <f>_xlfn.XLOOKUP(packes[[#This Row],[productId]],bom[Id],bom[ph],"NA")</f>
        <v>0</v>
      </c>
      <c r="O1225" s="20">
        <f>_xlfn.XLOOKUP(packes[[#This Row],[productId]],bom[Id],bom[erth],"NA")</f>
        <v>0</v>
      </c>
      <c r="P1225" s="20">
        <f>_xlfn.XLOOKUP(packes[[#This Row],[productId]],bom[Id],bom[dbl],"NA")</f>
        <v>0</v>
      </c>
      <c r="Q1225" s="20" t="str">
        <f>LEFT(packes[[#This Row],[date]],4)</f>
        <v>1404</v>
      </c>
    </row>
    <row r="1226" spans="1:17" ht="16.5" x14ac:dyDescent="0.25">
      <c r="A1226" s="23">
        <v>1223</v>
      </c>
      <c r="B1226" s="30" t="s">
        <v>873</v>
      </c>
      <c r="C1226" s="23">
        <v>140310071</v>
      </c>
      <c r="D1226" s="23">
        <v>500</v>
      </c>
      <c r="E1226" s="27">
        <f>_xlfn.XLOOKUP(packes[[#This Row],[productId]],bom[Id],bom[wgt])</f>
        <v>1.3</v>
      </c>
      <c r="F1226" s="27">
        <f>packes[[#This Row],[num]]*packes[[#This Row],[wtg]]</f>
        <v>650</v>
      </c>
      <c r="G1226" s="357">
        <v>7</v>
      </c>
      <c r="H1226" s="21">
        <f>packes[[#This Row],[num]]-SUM(packes[[#This Row],[num2]])</f>
        <v>500</v>
      </c>
      <c r="I1226" s="357"/>
      <c r="J1226" s="21"/>
      <c r="K1226" s="323" t="s">
        <v>1808</v>
      </c>
      <c r="M1226" s="27">
        <f>_xlfn.XLOOKUP(packes[[#This Row],[productId]],CT[productId],CT[total],"NA")</f>
        <v>130.69500000000002</v>
      </c>
      <c r="N1226" s="20" t="str">
        <f>_xlfn.XLOOKUP(packes[[#This Row],[productId]],bom[Id],bom[ph],"NA")</f>
        <v>6.3ch</v>
      </c>
      <c r="O1226" s="20" t="str">
        <f>_xlfn.XLOOKUP(packes[[#This Row],[productId]],bom[Id],bom[erth],"NA")</f>
        <v>6.3k</v>
      </c>
      <c r="P1226" s="20" t="str">
        <f>_xlfn.XLOOKUP(packes[[#This Row],[productId]],bom[Id],bom[dbl],"NA")</f>
        <v>-</v>
      </c>
      <c r="Q1226" s="20" t="str">
        <f>LEFT(packes[[#This Row],[date]],4)</f>
        <v>1404</v>
      </c>
    </row>
    <row r="1227" spans="1:17" ht="16.5" x14ac:dyDescent="0.25">
      <c r="A1227" s="23">
        <v>1224</v>
      </c>
      <c r="B1227" s="30" t="s">
        <v>873</v>
      </c>
      <c r="C1227" s="23">
        <v>140010230</v>
      </c>
      <c r="D1227" s="23">
        <v>1200</v>
      </c>
      <c r="E1227" s="27">
        <f>_xlfn.XLOOKUP(packes[[#This Row],[productId]],bom[Id],bom[wgt])</f>
        <v>1.4486680634540554</v>
      </c>
      <c r="F1227" s="27">
        <f>packes[[#This Row],[num]]*packes[[#This Row],[wtg]]</f>
        <v>1738.4016761448665</v>
      </c>
      <c r="G1227" s="357">
        <v>7</v>
      </c>
      <c r="H1227" s="21">
        <f>packes[[#This Row],[num]]-SUM(packes[[#This Row],[num2]])</f>
        <v>1200</v>
      </c>
      <c r="I1227" s="357"/>
      <c r="J1227" s="21"/>
      <c r="K1227" s="323" t="s">
        <v>1809</v>
      </c>
      <c r="M1227" s="27">
        <f>_xlfn.XLOOKUP(packes[[#This Row],[productId]],CT[productId],CT[total],"NA")</f>
        <v>147.595</v>
      </c>
      <c r="N1227" s="20" t="str">
        <f>_xlfn.XLOOKUP(packes[[#This Row],[productId]],bom[Id],bom[ph],"NA")</f>
        <v>nar.p</v>
      </c>
      <c r="O1227" s="20" t="str">
        <f>_xlfn.XLOOKUP(packes[[#This Row],[productId]],bom[Id],bom[erth],"NA")</f>
        <v>-</v>
      </c>
      <c r="P1227" s="20" t="str">
        <f>_xlfn.XLOOKUP(packes[[#This Row],[productId]],bom[Id],bom[dbl],"NA")</f>
        <v>nar.p</v>
      </c>
      <c r="Q1227" s="20" t="str">
        <f>LEFT(packes[[#This Row],[date]],4)</f>
        <v>1404</v>
      </c>
    </row>
  </sheetData>
  <phoneticPr fontId="1" type="noConversion"/>
  <conditionalFormatting sqref="B633 B2:B207">
    <cfRule type="expression" dxfId="11" priority="5">
      <formula>OR($C2="جمعه",$C2="پنجشنبه")</formula>
    </cfRule>
  </conditionalFormatting>
  <conditionalFormatting sqref="B208:B268 B270:B420">
    <cfRule type="expression" dxfId="10" priority="2">
      <formula>OR($C208="جمعه",$C208="پنجشنبه")</formula>
    </cfRule>
  </conditionalFormatting>
  <conditionalFormatting sqref="B269">
    <cfRule type="expression" dxfId="9" priority="1">
      <formula>OR($C269="جمعه",$C269="پنجشنبه")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remain_in_progress">
                <anchor moveWithCells="1" sizeWithCells="1">
                  <from>
                    <xdr:col>17</xdr:col>
                    <xdr:colOff>114300</xdr:colOff>
                    <xdr:row>0</xdr:row>
                    <xdr:rowOff>66675</xdr:rowOff>
                  </from>
                  <to>
                    <xdr:col>17</xdr:col>
                    <xdr:colOff>676275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PtoductIdFilter">
                <anchor moveWithCells="1" sizeWithCells="1">
                  <from>
                    <xdr:col>18</xdr:col>
                    <xdr:colOff>114300</xdr:colOff>
                    <xdr:row>0</xdr:row>
                    <xdr:rowOff>66675</xdr:rowOff>
                  </from>
                  <to>
                    <xdr:col>18</xdr:col>
                    <xdr:colOff>647700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Button 4">
              <controlPr defaultSize="0" print="0" autoFill="0" autoPict="0" macro="[0]!GenerateApplicatorsReport">
                <anchor moveWithCells="1" sizeWithCells="1">
                  <from>
                    <xdr:col>19</xdr:col>
                    <xdr:colOff>114300</xdr:colOff>
                    <xdr:row>0</xdr:row>
                    <xdr:rowOff>76200</xdr:rowOff>
                  </from>
                  <to>
                    <xdr:col>19</xdr:col>
                    <xdr:colOff>638175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44F07D5-B2B5-4102-955A-5602AA5FB545}">
          <x14:formula1>
            <xm:f>bom!$A$2:$A$145</xm:f>
          </x14:formula1>
          <xm:sqref>C1082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C114-2A43-4CEF-9234-12802791AD20}">
  <sheetPr codeName="Sheet11">
    <outlinePr summaryBelow="0" summaryRight="0"/>
  </sheetPr>
  <dimension ref="A1:CI96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D17" sqref="AD17"/>
    </sheetView>
  </sheetViews>
  <sheetFormatPr defaultColWidth="12.7109375" defaultRowHeight="16.5" outlineLevelCol="1" x14ac:dyDescent="0.25"/>
  <cols>
    <col min="1" max="1" width="9.7109375" style="295" customWidth="1"/>
    <col min="2" max="2" width="4.7109375" style="285" customWidth="1"/>
    <col min="3" max="3" width="8.7109375" style="119" customWidth="1" collapsed="1"/>
    <col min="4" max="5" width="5.7109375" style="39" hidden="1" customWidth="1" outlineLevel="1"/>
    <col min="6" max="6" width="5.7109375" style="29" hidden="1" customWidth="1" outlineLevel="1"/>
    <col min="7" max="8" width="5.7109375" style="39" hidden="1" customWidth="1" outlineLevel="1"/>
    <col min="9" max="9" width="6.7109375" style="38" customWidth="1"/>
    <col min="10" max="10" width="12.7109375" outlineLevel="1"/>
    <col min="11" max="11" width="6.7109375" style="58" customWidth="1" outlineLevel="1"/>
    <col min="12" max="14" width="6.7109375" style="55" customWidth="1" outlineLevel="1"/>
    <col min="15" max="15" width="6.7109375" style="55" customWidth="1" collapsed="1"/>
    <col min="16" max="16" width="6.7109375" style="115" hidden="1" customWidth="1" outlineLevel="1" collapsed="1"/>
    <col min="17" max="17" width="6.7109375" style="55" hidden="1" customWidth="1" outlineLevel="1"/>
    <col min="18" max="21" width="5.7109375" style="39" hidden="1" customWidth="1" outlineLevel="1"/>
    <col min="22" max="22" width="5.7109375" style="19" customWidth="1"/>
    <col min="23" max="23" width="5.7109375" style="25" customWidth="1" outlineLevel="1"/>
    <col min="24" max="24" width="5.7109375" style="37" customWidth="1" outlineLevel="1"/>
    <col min="25" max="27" width="5.7109375" style="19" customWidth="1" outlineLevel="1"/>
    <col min="28" max="28" width="5.7109375" style="37" customWidth="1" outlineLevel="1"/>
    <col min="29" max="30" width="5.7109375" style="19" customWidth="1" outlineLevel="1"/>
    <col min="31" max="31" width="5.7109375" style="37" customWidth="1" outlineLevel="1"/>
    <col min="32" max="34" width="5.7109375" style="19" customWidth="1" outlineLevel="1"/>
    <col min="35" max="35" width="5.7109375" style="37" customWidth="1" outlineLevel="1"/>
    <col min="36" max="37" width="5.7109375" style="19" customWidth="1" outlineLevel="1"/>
    <col min="38" max="38" width="5.7109375" style="37" customWidth="1" outlineLevel="1"/>
    <col min="39" max="41" width="5.7109375" style="19" customWidth="1" outlineLevel="1"/>
    <col min="42" max="42" width="5.7109375" style="37" customWidth="1" outlineLevel="1"/>
    <col min="43" max="51" width="5.7109375" style="19" customWidth="1" outlineLevel="1"/>
    <col min="52" max="52" width="5.7109375" style="37" customWidth="1" outlineLevel="1"/>
    <col min="53" max="53" width="5.7109375" style="19" customWidth="1"/>
    <col min="54" max="54" width="5.7109375" style="25" customWidth="1"/>
    <col min="55" max="55" width="5.7109375" style="37" customWidth="1"/>
    <col min="56" max="58" width="5.7109375" style="19" customWidth="1"/>
    <col min="59" max="59" width="5.7109375" style="37" customWidth="1"/>
    <col min="60" max="61" width="5.7109375" style="19" customWidth="1"/>
    <col min="62" max="62" width="5.7109375" style="37" customWidth="1"/>
    <col min="63" max="65" width="5.7109375" style="19" customWidth="1"/>
    <col min="66" max="66" width="5.7109375" style="37" customWidth="1"/>
    <col min="67" max="68" width="5.7109375" style="19" customWidth="1"/>
    <col min="69" max="69" width="5.7109375" style="37" customWidth="1"/>
    <col min="70" max="72" width="5.7109375" style="19" customWidth="1"/>
    <col min="73" max="73" width="5.7109375" style="37" customWidth="1"/>
    <col min="74" max="82" width="5.7109375" style="19" customWidth="1"/>
    <col min="83" max="83" width="5.7109375" style="37" customWidth="1"/>
    <col min="84" max="84" width="4.7109375" style="19" customWidth="1"/>
    <col min="85" max="85" width="6.42578125" style="19" customWidth="1" collapsed="1"/>
    <col min="86" max="95" width="6.7109375" style="19" customWidth="1"/>
    <col min="96" max="16384" width="12.7109375" style="19"/>
  </cols>
  <sheetData>
    <row r="1" spans="1:83" x14ac:dyDescent="0.25">
      <c r="A1" s="291" t="str" cm="1">
        <f t="array" aca="1" ref="A1" ca="1">J_TODAY(1)</f>
        <v>1404/07/26</v>
      </c>
      <c r="I1" s="322">
        <f t="shared" ref="I1:N1" si="0">ABS(SUM(I3:I14))</f>
        <v>207600</v>
      </c>
      <c r="J1" s="322">
        <f t="shared" si="0"/>
        <v>97600</v>
      </c>
      <c r="K1" s="322">
        <f t="shared" si="0"/>
        <v>55300</v>
      </c>
      <c r="L1" s="322">
        <f t="shared" si="0"/>
        <v>110000</v>
      </c>
      <c r="M1" s="322">
        <f t="shared" si="0"/>
        <v>152300</v>
      </c>
      <c r="N1" s="322">
        <f t="shared" si="0"/>
        <v>42300</v>
      </c>
      <c r="O1" s="115"/>
      <c r="P1" s="55"/>
      <c r="Q1" s="39"/>
      <c r="U1" s="29"/>
      <c r="V1" s="25"/>
      <c r="W1" s="37"/>
      <c r="X1" s="19"/>
      <c r="AA1" s="37"/>
      <c r="AB1" s="19"/>
      <c r="AD1" s="37"/>
      <c r="AE1" s="19"/>
      <c r="AH1" s="37"/>
      <c r="AI1" s="19"/>
      <c r="AK1" s="37"/>
      <c r="AL1" s="19"/>
      <c r="AO1" s="37"/>
      <c r="AP1" s="19"/>
      <c r="AY1" s="37"/>
      <c r="AZ1" s="19"/>
      <c r="BB1" s="19"/>
      <c r="BC1" s="19"/>
      <c r="BG1" s="19"/>
      <c r="BJ1" s="19"/>
      <c r="BN1" s="19"/>
      <c r="BQ1" s="19"/>
      <c r="BU1" s="19"/>
      <c r="CE1" s="19"/>
    </row>
    <row r="2" spans="1:83" s="131" customFormat="1" ht="24.95" customHeight="1" thickBot="1" x14ac:dyDescent="0.3">
      <c r="A2" s="137" t="s">
        <v>183</v>
      </c>
      <c r="B2" s="286" t="s">
        <v>192</v>
      </c>
      <c r="C2" s="138" t="s">
        <v>1057</v>
      </c>
      <c r="D2" s="133" t="s">
        <v>150</v>
      </c>
      <c r="E2" s="132" t="s">
        <v>151</v>
      </c>
      <c r="F2" s="134" t="s">
        <v>152</v>
      </c>
      <c r="G2" s="133" t="s">
        <v>1106</v>
      </c>
      <c r="H2" s="133" t="s">
        <v>173</v>
      </c>
      <c r="I2" s="123" t="s">
        <v>198</v>
      </c>
      <c r="J2" s="139" t="s">
        <v>230</v>
      </c>
      <c r="K2" s="124" t="s">
        <v>110</v>
      </c>
      <c r="L2" s="125" t="s">
        <v>229</v>
      </c>
      <c r="M2" s="125" t="s">
        <v>228</v>
      </c>
      <c r="N2" s="124" t="s">
        <v>237</v>
      </c>
      <c r="O2" s="126" t="s">
        <v>1048</v>
      </c>
      <c r="P2" s="127" t="s">
        <v>219</v>
      </c>
      <c r="Q2" s="127" t="s">
        <v>220</v>
      </c>
      <c r="R2" s="127" t="s">
        <v>221</v>
      </c>
      <c r="S2" s="127" t="s">
        <v>222</v>
      </c>
      <c r="T2" s="127" t="s">
        <v>223</v>
      </c>
      <c r="U2" s="128" t="s">
        <v>1049</v>
      </c>
      <c r="V2" s="335" t="s">
        <v>1236</v>
      </c>
      <c r="W2" s="336" t="s">
        <v>1237</v>
      </c>
      <c r="X2" s="337" t="s">
        <v>1238</v>
      </c>
      <c r="Y2" s="338" t="s">
        <v>1239</v>
      </c>
      <c r="Z2" s="339" t="s">
        <v>1240</v>
      </c>
      <c r="AA2" s="340" t="s">
        <v>1241</v>
      </c>
      <c r="AB2" s="341" t="s">
        <v>1242</v>
      </c>
      <c r="AC2" s="342" t="s">
        <v>1243</v>
      </c>
      <c r="AD2" s="340" t="s">
        <v>1244</v>
      </c>
      <c r="AE2" s="337" t="s">
        <v>1245</v>
      </c>
      <c r="AF2" s="338" t="s">
        <v>1246</v>
      </c>
      <c r="AG2" s="339" t="s">
        <v>1247</v>
      </c>
      <c r="AH2" s="340" t="s">
        <v>1248</v>
      </c>
      <c r="AI2" s="341" t="s">
        <v>1249</v>
      </c>
      <c r="AJ2" s="342" t="s">
        <v>1250</v>
      </c>
      <c r="AK2" s="340" t="s">
        <v>1251</v>
      </c>
      <c r="AL2" s="337" t="s">
        <v>1252</v>
      </c>
      <c r="AM2" s="338" t="s">
        <v>1253</v>
      </c>
      <c r="AN2" s="339" t="s">
        <v>1254</v>
      </c>
      <c r="AO2" s="340" t="s">
        <v>1255</v>
      </c>
      <c r="AP2" s="341" t="s">
        <v>1256</v>
      </c>
      <c r="AQ2" s="342" t="s">
        <v>1257</v>
      </c>
      <c r="AR2" s="340" t="s">
        <v>1258</v>
      </c>
      <c r="AS2" s="337" t="s">
        <v>1259</v>
      </c>
      <c r="AT2" s="338" t="s">
        <v>1260</v>
      </c>
      <c r="AU2" s="339" t="s">
        <v>1261</v>
      </c>
      <c r="AV2" s="340" t="s">
        <v>1262</v>
      </c>
      <c r="AW2" s="341" t="s">
        <v>1263</v>
      </c>
      <c r="AX2" s="342" t="s">
        <v>1264</v>
      </c>
      <c r="AY2" s="340" t="s">
        <v>1265</v>
      </c>
      <c r="AZ2" s="337" t="s">
        <v>1266</v>
      </c>
      <c r="BA2" s="129" t="s">
        <v>202</v>
      </c>
      <c r="BB2" s="343"/>
      <c r="BC2" s="130"/>
      <c r="BD2" s="130"/>
    </row>
    <row r="3" spans="1:83" s="113" customFormat="1" ht="24.95" customHeight="1" thickTop="1" thickBot="1" x14ac:dyDescent="0.3">
      <c r="A3" s="176">
        <v>140010230</v>
      </c>
      <c r="B3" s="351">
        <v>7</v>
      </c>
      <c r="C3" s="352" t="s">
        <v>0</v>
      </c>
      <c r="D3" s="260" t="str">
        <f>_xlfn.XLOOKUP(progress_tbl[[#This Row],[productId]],bom[Id],bom[ph],"NA")</f>
        <v>nar.p</v>
      </c>
      <c r="E3" s="260" t="str">
        <f>_xlfn.XLOOKUP(progress_tbl[[#This Row],[productId]],bom[Id],bom[erth],"NA")</f>
        <v>-</v>
      </c>
      <c r="F3" s="260" t="str">
        <f>_xlfn.XLOOKUP(progress_tbl[[#This Row],[productId]],bom[Id],bom[dbl],"NA")</f>
        <v>nar.p</v>
      </c>
      <c r="G3" s="260" t="str">
        <f>_xlfn.XLOOKUP(progress_tbl[[#This Row],[productId]],bom[Id],bom[نوع کابل],"NA")</f>
        <v>3*0.75</v>
      </c>
      <c r="H3" s="260" t="str">
        <f>_xlfn.XLOOKUP(progress_tbl[[#This Row],[productId]],bom[Id],bom[strip],"NA")</f>
        <v>?</v>
      </c>
      <c r="I3" s="181">
        <f>SUMIFS(plans[num],plans[productId],A3,plans[planId],B3)</f>
        <v>18000</v>
      </c>
      <c r="J3" s="105">
        <f>SUMIFS(cutts[num1],cutts[productId],A3,cutts[plan1],B3)+SUMIFS(cutts[num2],cutts[productId],A3,cutts[plan2],B3)</f>
        <v>18000</v>
      </c>
      <c r="K3" s="182">
        <f>SUMIFS(packes[num1],packes[productId],A3,packes[plan1],B3)+SUMIFS(packes[num2],packes[productId],A3,packes[plan2],B3)</f>
        <v>17950</v>
      </c>
      <c r="L3" s="183">
        <f t="shared" ref="L3" si="1">-I3+J3</f>
        <v>0</v>
      </c>
      <c r="M3" s="184">
        <f t="shared" ref="M3" si="2">K3-I3</f>
        <v>-50</v>
      </c>
      <c r="N3" s="185">
        <f t="shared" ref="N3" si="3">J3-K3</f>
        <v>50</v>
      </c>
      <c r="O3" s="186"/>
      <c r="P3" s="187"/>
      <c r="Q3" s="188"/>
      <c r="R3" s="189"/>
      <c r="S3" s="189"/>
      <c r="T3" s="189"/>
      <c r="U3" s="265"/>
      <c r="V3" s="296"/>
      <c r="W3" s="297"/>
      <c r="X3" s="300"/>
      <c r="Y3" s="306"/>
      <c r="Z3" s="299"/>
      <c r="AA3" s="307"/>
      <c r="AB3" s="298"/>
      <c r="AC3" s="307"/>
      <c r="AD3" s="307"/>
      <c r="AE3" s="300"/>
      <c r="AF3" s="306"/>
      <c r="AG3" s="299"/>
      <c r="AH3" s="307"/>
      <c r="AI3" s="298"/>
      <c r="AJ3" s="307"/>
      <c r="AK3" s="307"/>
      <c r="AL3" s="300"/>
      <c r="AM3" s="306"/>
      <c r="AN3" s="299"/>
      <c r="AO3" s="307"/>
      <c r="AP3" s="298"/>
      <c r="AQ3" s="307"/>
      <c r="AR3" s="307"/>
      <c r="AS3" s="300"/>
      <c r="AT3" s="306"/>
      <c r="AU3" s="299"/>
      <c r="AV3" s="307"/>
      <c r="AW3" s="298"/>
      <c r="AX3" s="307"/>
      <c r="AY3" s="307"/>
      <c r="AZ3" s="300"/>
      <c r="BA3" s="111"/>
      <c r="BB3" s="112"/>
      <c r="BC3" s="112"/>
    </row>
    <row r="4" spans="1:83" s="113" customFormat="1" ht="24.95" customHeight="1" thickTop="1" thickBot="1" x14ac:dyDescent="0.3">
      <c r="A4" s="176">
        <v>140310007</v>
      </c>
      <c r="B4" s="351">
        <v>7</v>
      </c>
      <c r="C4" s="352" t="s">
        <v>55</v>
      </c>
      <c r="D4" s="260" t="str">
        <f>_xlfn.XLOOKUP(progress_tbl[[#This Row],[productId]],bom[Id],bom[ph],"NA")</f>
        <v>-</v>
      </c>
      <c r="E4" s="260" t="str">
        <f>_xlfn.XLOOKUP(progress_tbl[[#This Row],[productId]],bom[Id],bom[erth],"NA")</f>
        <v>nut4</v>
      </c>
      <c r="F4" s="260" t="str">
        <f>_xlfn.XLOOKUP(progress_tbl[[#This Row],[productId]],bom[Id],bom[dbl],"NA")</f>
        <v>-</v>
      </c>
      <c r="G4" s="260" t="str">
        <f>_xlfn.XLOOKUP(progress_tbl[[#This Row],[productId]],bom[Id],bom[نوع کابل],"NA")</f>
        <v>3*0.75</v>
      </c>
      <c r="H4" s="260" t="str">
        <f>_xlfn.XLOOKUP(progress_tbl[[#This Row],[productId]],bom[Id],bom[strip],"NA")</f>
        <v>strp</v>
      </c>
      <c r="I4" s="181">
        <f>SUMIFS(plans[num],plans[productId],A4,plans[planId],B4)</f>
        <v>30000</v>
      </c>
      <c r="J4" s="105">
        <f>SUMIFS(cutts[num1],cutts[productId],A4,cutts[plan1],B4)+SUMIFS(cutts[num2],cutts[productId],A4,cutts[plan2],B4)</f>
        <v>22900</v>
      </c>
      <c r="K4" s="182">
        <f>SUMIFS(packes[num1],packes[productId],A4,packes[plan1],B4)+SUMIFS(packes[num2],packes[productId],A4,packes[plan2],B4)</f>
        <v>15200</v>
      </c>
      <c r="L4" s="183">
        <f t="shared" ref="L4:L14" si="4">-I4+J4</f>
        <v>-7100</v>
      </c>
      <c r="M4" s="184">
        <f t="shared" ref="M4:M14" si="5">K4-I4</f>
        <v>-14800</v>
      </c>
      <c r="N4" s="185">
        <f t="shared" ref="N4:N14" si="6">J4-K4</f>
        <v>7700</v>
      </c>
      <c r="O4" s="186"/>
      <c r="P4" s="187"/>
      <c r="Q4" s="188"/>
      <c r="R4" s="189"/>
      <c r="S4" s="189"/>
      <c r="T4" s="189"/>
      <c r="U4" s="265"/>
      <c r="V4" s="296"/>
      <c r="W4" s="297"/>
      <c r="X4" s="300"/>
      <c r="Y4" s="306"/>
      <c r="Z4" s="299"/>
      <c r="AA4" s="307"/>
      <c r="AB4" s="298"/>
      <c r="AC4" s="307"/>
      <c r="AD4" s="307"/>
      <c r="AE4" s="300"/>
      <c r="AF4" s="306"/>
      <c r="AG4" s="299"/>
      <c r="AH4" s="307"/>
      <c r="AI4" s="298"/>
      <c r="AJ4" s="307"/>
      <c r="AK4" s="307"/>
      <c r="AL4" s="300"/>
      <c r="AM4" s="306"/>
      <c r="AN4" s="299"/>
      <c r="AO4" s="307"/>
      <c r="AP4" s="298"/>
      <c r="AQ4" s="307"/>
      <c r="AR4" s="307"/>
      <c r="AS4" s="300"/>
      <c r="AT4" s="306"/>
      <c r="AU4" s="299"/>
      <c r="AV4" s="307"/>
      <c r="AW4" s="298"/>
      <c r="AX4" s="307"/>
      <c r="AY4" s="307"/>
      <c r="AZ4" s="300"/>
      <c r="BA4" s="111"/>
      <c r="BB4" s="112"/>
      <c r="BC4" s="112"/>
    </row>
    <row r="5" spans="1:83" s="113" customFormat="1" ht="24.95" customHeight="1" thickTop="1" thickBot="1" x14ac:dyDescent="0.3">
      <c r="A5" s="176">
        <v>140310071</v>
      </c>
      <c r="B5" s="351">
        <v>7</v>
      </c>
      <c r="C5" s="352" t="s">
        <v>55</v>
      </c>
      <c r="D5" s="260" t="str">
        <f>_xlfn.XLOOKUP(progress_tbl[[#This Row],[productId]],bom[Id],bom[ph],"NA")</f>
        <v>6.3ch</v>
      </c>
      <c r="E5" s="260" t="str">
        <f>_xlfn.XLOOKUP(progress_tbl[[#This Row],[productId]],bom[Id],bom[erth],"NA")</f>
        <v>6.3k</v>
      </c>
      <c r="F5" s="260" t="str">
        <f>_xlfn.XLOOKUP(progress_tbl[[#This Row],[productId]],bom[Id],bom[dbl],"NA")</f>
        <v>-</v>
      </c>
      <c r="G5" s="260" t="str">
        <f>_xlfn.XLOOKUP(progress_tbl[[#This Row],[productId]],bom[Id],bom[نوع کابل],"NA")</f>
        <v>3*1</v>
      </c>
      <c r="H5" s="260" t="str">
        <f>_xlfn.XLOOKUP(progress_tbl[[#This Row],[productId]],bom[Id],bom[strip],"NA")</f>
        <v>noStrp</v>
      </c>
      <c r="I5" s="181">
        <f>SUMIFS(plans[num],plans[productId],A5,plans[planId],B5)</f>
        <v>70000</v>
      </c>
      <c r="J5" s="105">
        <f>SUMIFS(cutts[num1],cutts[productId],A5,cutts[plan1],B5)+SUMIFS(cutts[num2],cutts[productId],A5,cutts[plan2],B5)</f>
        <v>27300</v>
      </c>
      <c r="K5" s="182">
        <f>SUMIFS(packes[num1],packes[productId],A5,packes[plan1],B5)+SUMIFS(packes[num2],packes[productId],A5,packes[plan2],B5)</f>
        <v>13350</v>
      </c>
      <c r="L5" s="183">
        <f t="shared" si="4"/>
        <v>-42700</v>
      </c>
      <c r="M5" s="184">
        <f t="shared" si="5"/>
        <v>-56650</v>
      </c>
      <c r="N5" s="185">
        <f t="shared" si="6"/>
        <v>13950</v>
      </c>
      <c r="O5" s="186"/>
      <c r="P5" s="187"/>
      <c r="Q5" s="188"/>
      <c r="R5" s="189"/>
      <c r="S5" s="189"/>
      <c r="T5" s="189"/>
      <c r="U5" s="265"/>
      <c r="V5" s="296"/>
      <c r="W5" s="297"/>
      <c r="X5" s="300"/>
      <c r="Y5" s="306"/>
      <c r="Z5" s="299"/>
      <c r="AA5" s="307"/>
      <c r="AB5" s="298"/>
      <c r="AC5" s="307"/>
      <c r="AD5" s="307"/>
      <c r="AE5" s="300"/>
      <c r="AF5" s="306"/>
      <c r="AG5" s="299"/>
      <c r="AH5" s="307"/>
      <c r="AI5" s="298"/>
      <c r="AJ5" s="307"/>
      <c r="AK5" s="307"/>
      <c r="AL5" s="300"/>
      <c r="AM5" s="306"/>
      <c r="AN5" s="299"/>
      <c r="AO5" s="307"/>
      <c r="AP5" s="298"/>
      <c r="AQ5" s="307"/>
      <c r="AR5" s="307"/>
      <c r="AS5" s="300"/>
      <c r="AT5" s="306"/>
      <c r="AU5" s="299"/>
      <c r="AV5" s="307"/>
      <c r="AW5" s="298"/>
      <c r="AX5" s="307"/>
      <c r="AY5" s="307"/>
      <c r="AZ5" s="300"/>
      <c r="BA5" s="111"/>
      <c r="BB5" s="112"/>
      <c r="BC5" s="112"/>
    </row>
    <row r="6" spans="1:83" s="113" customFormat="1" ht="24.95" customHeight="1" thickTop="1" thickBot="1" x14ac:dyDescent="0.3">
      <c r="A6" s="176">
        <v>140310083</v>
      </c>
      <c r="B6" s="351">
        <v>7</v>
      </c>
      <c r="C6" s="352" t="s">
        <v>55</v>
      </c>
      <c r="D6" s="260" t="str">
        <f>_xlfn.XLOOKUP(progress_tbl[[#This Row],[productId]],bom[Id],bom[ph],"NA")</f>
        <v>6.3flat</v>
      </c>
      <c r="E6" s="260" t="str">
        <f>_xlfn.XLOOKUP(progress_tbl[[#This Row],[productId]],bom[Id],bom[erth],"NA")</f>
        <v>6.3flat</v>
      </c>
      <c r="F6" s="260" t="str">
        <f>_xlfn.XLOOKUP(progress_tbl[[#This Row],[productId]],bom[Id],bom[dbl],"NA")</f>
        <v>-</v>
      </c>
      <c r="G6" s="260" t="str">
        <f>_xlfn.XLOOKUP(progress_tbl[[#This Row],[productId]],bom[Id],bom[نوع کابل],"NA")</f>
        <v>3*1</v>
      </c>
      <c r="H6" s="260" t="str">
        <f>_xlfn.XLOOKUP(progress_tbl[[#This Row],[productId]],bom[Id],bom[strip],"NA")</f>
        <v>noStrp</v>
      </c>
      <c r="I6" s="181">
        <f>SUMIFS(plans[num],plans[productId],A6,plans[planId],B6)</f>
        <v>30000</v>
      </c>
      <c r="J6" s="105">
        <f>SUMIFS(cutts[num1],cutts[productId],A6,cutts[plan1],B6)+SUMIFS(cutts[num2],cutts[productId],A6,cutts[plan2],B6)</f>
        <v>15900</v>
      </c>
      <c r="K6" s="182">
        <f>SUMIFS(packes[num1],packes[productId],A6,packes[plan1],B6)+SUMIFS(packes[num2],packes[productId],A6,packes[plan2],B6)</f>
        <v>4300</v>
      </c>
      <c r="L6" s="183">
        <f t="shared" si="4"/>
        <v>-14100</v>
      </c>
      <c r="M6" s="184">
        <f t="shared" si="5"/>
        <v>-25700</v>
      </c>
      <c r="N6" s="185">
        <f t="shared" si="6"/>
        <v>11600</v>
      </c>
      <c r="O6" s="186"/>
      <c r="P6" s="187"/>
      <c r="Q6" s="188"/>
      <c r="R6" s="189"/>
      <c r="S6" s="189"/>
      <c r="T6" s="189"/>
      <c r="U6" s="470"/>
      <c r="V6" s="301"/>
      <c r="W6" s="302"/>
      <c r="X6" s="305"/>
      <c r="Y6" s="308"/>
      <c r="Z6" s="304"/>
      <c r="AA6" s="309"/>
      <c r="AB6" s="303"/>
      <c r="AC6" s="309"/>
      <c r="AD6" s="309"/>
      <c r="AE6" s="305"/>
      <c r="AF6" s="308"/>
      <c r="AG6" s="304"/>
      <c r="AH6" s="309"/>
      <c r="AI6" s="303"/>
      <c r="AJ6" s="309"/>
      <c r="AK6" s="309"/>
      <c r="AL6" s="305"/>
      <c r="AM6" s="308"/>
      <c r="AN6" s="304"/>
      <c r="AO6" s="309"/>
      <c r="AP6" s="303"/>
      <c r="AQ6" s="309"/>
      <c r="AR6" s="309"/>
      <c r="AS6" s="305"/>
      <c r="AT6" s="308"/>
      <c r="AU6" s="304"/>
      <c r="AV6" s="309"/>
      <c r="AW6" s="303"/>
      <c r="AX6" s="309"/>
      <c r="AY6" s="309"/>
      <c r="AZ6" s="305"/>
      <c r="BA6" s="111"/>
      <c r="BB6" s="112"/>
      <c r="BC6" s="112"/>
    </row>
    <row r="7" spans="1:83" s="113" customFormat="1" ht="24.95" customHeight="1" thickTop="1" thickBot="1" x14ac:dyDescent="0.3">
      <c r="A7" s="176">
        <v>140310097</v>
      </c>
      <c r="B7" s="351">
        <v>7</v>
      </c>
      <c r="C7" s="352" t="s">
        <v>55</v>
      </c>
      <c r="D7" s="260"/>
      <c r="E7" s="260"/>
      <c r="F7" s="260"/>
      <c r="G7" s="260"/>
      <c r="H7" s="260"/>
      <c r="I7" s="181">
        <f>SUMIFS(plans[num],plans[productId],A7,plans[planId],B7)</f>
        <v>5000</v>
      </c>
      <c r="J7" s="105">
        <f>SUMIFS(cutts[num1],cutts[productId],A7,cutts[plan1],B7)+SUMIFS(cutts[num2],cutts[productId],A7,cutts[plan2],B7)</f>
        <v>5000</v>
      </c>
      <c r="K7" s="182">
        <f>SUMIFS(packes[num1],packes[productId],A7,packes[plan1],B7)+SUMIFS(packes[num2],packes[productId],A7,packes[plan2],B7)</f>
        <v>3100</v>
      </c>
      <c r="L7" s="183">
        <f t="shared" si="4"/>
        <v>0</v>
      </c>
      <c r="M7" s="184">
        <f t="shared" si="5"/>
        <v>-1900</v>
      </c>
      <c r="N7" s="185">
        <f t="shared" si="6"/>
        <v>1900</v>
      </c>
      <c r="O7" s="186"/>
      <c r="P7" s="187"/>
      <c r="Q7" s="188"/>
      <c r="R7" s="189"/>
      <c r="S7" s="189"/>
      <c r="T7" s="189"/>
      <c r="U7" s="470"/>
      <c r="V7" s="301"/>
      <c r="W7" s="302"/>
      <c r="X7" s="305"/>
      <c r="Y7" s="308"/>
      <c r="Z7" s="304"/>
      <c r="AA7" s="309"/>
      <c r="AB7" s="303"/>
      <c r="AC7" s="309"/>
      <c r="AD7" s="309"/>
      <c r="AE7" s="305"/>
      <c r="AF7" s="308"/>
      <c r="AG7" s="304"/>
      <c r="AH7" s="309"/>
      <c r="AI7" s="303"/>
      <c r="AJ7" s="309"/>
      <c r="AK7" s="309"/>
      <c r="AL7" s="305"/>
      <c r="AM7" s="308"/>
      <c r="AN7" s="304"/>
      <c r="AO7" s="309"/>
      <c r="AP7" s="303"/>
      <c r="AQ7" s="309"/>
      <c r="AR7" s="309"/>
      <c r="AS7" s="305"/>
      <c r="AT7" s="308"/>
      <c r="AU7" s="304"/>
      <c r="AV7" s="309"/>
      <c r="AW7" s="303"/>
      <c r="AX7" s="309"/>
      <c r="AY7" s="309"/>
      <c r="AZ7" s="305"/>
      <c r="BA7" s="111"/>
      <c r="BB7" s="112"/>
      <c r="BC7" s="112"/>
    </row>
    <row r="8" spans="1:83" s="113" customFormat="1" ht="24.95" customHeight="1" thickTop="1" thickBot="1" x14ac:dyDescent="0.3">
      <c r="A8" s="176">
        <v>140310091</v>
      </c>
      <c r="B8" s="351">
        <v>7</v>
      </c>
      <c r="C8" s="352" t="s">
        <v>55</v>
      </c>
      <c r="D8" s="260" t="str">
        <f>_xlfn.XLOOKUP(progress_tbl[[#This Row],[productId]],bom[Id],bom[ph],"NA")</f>
        <v>-</v>
      </c>
      <c r="E8" s="260" t="str">
        <f>_xlfn.XLOOKUP(progress_tbl[[#This Row],[productId]],bom[Id],bom[erth],"NA")</f>
        <v>-</v>
      </c>
      <c r="F8" s="260" t="str">
        <f>_xlfn.XLOOKUP(progress_tbl[[#This Row],[productId]],bom[Id],bom[dbl],"NA")</f>
        <v>-</v>
      </c>
      <c r="G8" s="260" t="str">
        <f>_xlfn.XLOOKUP(progress_tbl[[#This Row],[productId]],bom[Id],bom[نوع کابل],"NA")</f>
        <v>3*0.75</v>
      </c>
      <c r="H8" s="260" t="str">
        <f>_xlfn.XLOOKUP(progress_tbl[[#This Row],[productId]],bom[Id],bom[strip],"NA")</f>
        <v>noStrp</v>
      </c>
      <c r="I8" s="181">
        <f>SUMIFS(plans[num],plans[productId],A8,plans[planId],B8)</f>
        <v>2500</v>
      </c>
      <c r="J8" s="105">
        <f>SUMIFS(cutts[num1],cutts[productId],A8,cutts[plan1],B8)+SUMIFS(cutts[num2],cutts[productId],A8,cutts[plan2],B8)</f>
        <v>2500</v>
      </c>
      <c r="K8" s="182">
        <f>SUMIFS(packes[num1],packes[productId],A8,packes[plan1],B8)+SUMIFS(packes[num2],packes[productId],A8,packes[plan2],B8)</f>
        <v>1400</v>
      </c>
      <c r="L8" s="183">
        <f t="shared" si="4"/>
        <v>0</v>
      </c>
      <c r="M8" s="184">
        <f t="shared" si="5"/>
        <v>-1100</v>
      </c>
      <c r="N8" s="185">
        <f t="shared" si="6"/>
        <v>1100</v>
      </c>
      <c r="O8" s="186"/>
      <c r="P8" s="187"/>
      <c r="Q8" s="188"/>
      <c r="R8" s="189"/>
      <c r="S8" s="189"/>
      <c r="T8" s="189"/>
      <c r="U8" s="470"/>
      <c r="V8" s="301"/>
      <c r="W8" s="302"/>
      <c r="X8" s="305"/>
      <c r="Y8" s="308"/>
      <c r="Z8" s="304"/>
      <c r="AA8" s="309"/>
      <c r="AB8" s="303"/>
      <c r="AC8" s="309"/>
      <c r="AD8" s="309"/>
      <c r="AE8" s="305"/>
      <c r="AF8" s="308"/>
      <c r="AG8" s="304"/>
      <c r="AH8" s="309"/>
      <c r="AI8" s="303"/>
      <c r="AJ8" s="309"/>
      <c r="AK8" s="309"/>
      <c r="AL8" s="305"/>
      <c r="AM8" s="308"/>
      <c r="AN8" s="304"/>
      <c r="AO8" s="309"/>
      <c r="AP8" s="303"/>
      <c r="AQ8" s="309"/>
      <c r="AR8" s="309"/>
      <c r="AS8" s="305"/>
      <c r="AT8" s="308"/>
      <c r="AU8" s="304"/>
      <c r="AV8" s="309"/>
      <c r="AW8" s="303"/>
      <c r="AX8" s="309"/>
      <c r="AY8" s="309"/>
      <c r="AZ8" s="305"/>
      <c r="BA8" s="111"/>
      <c r="BB8" s="112"/>
      <c r="BC8" s="112"/>
    </row>
    <row r="9" spans="1:83" s="113" customFormat="1" ht="24.95" customHeight="1" thickTop="1" thickBot="1" x14ac:dyDescent="0.3">
      <c r="A9" s="176">
        <v>140010117</v>
      </c>
      <c r="B9" s="351">
        <v>8</v>
      </c>
      <c r="C9" s="352" t="s">
        <v>0</v>
      </c>
      <c r="D9" s="260" t="str">
        <f>_xlfn.XLOOKUP(progress_tbl[[#This Row],[productId]],bom[Id],bom[ph],"NA")</f>
        <v>nar.p</v>
      </c>
      <c r="E9" s="260" t="str">
        <f>_xlfn.XLOOKUP(progress_tbl[[#This Row],[productId]],bom[Id],bom[erth],"NA")</f>
        <v>-</v>
      </c>
      <c r="F9" s="260" t="str">
        <f>_xlfn.XLOOKUP(progress_tbl[[#This Row],[productId]],bom[Id],bom[dbl],"NA")</f>
        <v>nar.p</v>
      </c>
      <c r="G9" s="260" t="str">
        <f>_xlfn.XLOOKUP(progress_tbl[[#This Row],[productId]],bom[Id],bom[نوع کابل],"NA")</f>
        <v>3*0.75</v>
      </c>
      <c r="H9" s="260" t="str">
        <f>_xlfn.XLOOKUP(progress_tbl[[#This Row],[productId]],bom[Id],bom[strip],"NA")</f>
        <v>?</v>
      </c>
      <c r="I9" s="181">
        <f>SUMIFS(plans[num],plans[productId],A9,plans[planId],B9)</f>
        <v>12000</v>
      </c>
      <c r="J9" s="105">
        <f>SUMIFS(cutts[num1],cutts[productId],A9,cutts[plan1],B9)+SUMIFS(cutts[num2],cutts[productId],A9,cutts[plan2],B9)</f>
        <v>3000</v>
      </c>
      <c r="K9" s="182">
        <f>SUMIFS(packes[num1],packes[productId],A9,packes[plan1],B9)+SUMIFS(packes[num2],packes[productId],A9,packes[plan2],B9)</f>
        <v>0</v>
      </c>
      <c r="L9" s="183">
        <f t="shared" si="4"/>
        <v>-9000</v>
      </c>
      <c r="M9" s="184">
        <f t="shared" si="5"/>
        <v>-12000</v>
      </c>
      <c r="N9" s="185">
        <f t="shared" si="6"/>
        <v>3000</v>
      </c>
      <c r="O9" s="186"/>
      <c r="P9" s="187"/>
      <c r="Q9" s="188"/>
      <c r="R9" s="189"/>
      <c r="S9" s="189"/>
      <c r="T9" s="189"/>
      <c r="U9" s="470"/>
      <c r="V9" s="301"/>
      <c r="W9" s="302"/>
      <c r="X9" s="305"/>
      <c r="Y9" s="308"/>
      <c r="Z9" s="304"/>
      <c r="AA9" s="309"/>
      <c r="AB9" s="303"/>
      <c r="AC9" s="309"/>
      <c r="AD9" s="309"/>
      <c r="AE9" s="305"/>
      <c r="AF9" s="308"/>
      <c r="AG9" s="304"/>
      <c r="AH9" s="309"/>
      <c r="AI9" s="303"/>
      <c r="AJ9" s="309"/>
      <c r="AK9" s="309"/>
      <c r="AL9" s="305"/>
      <c r="AM9" s="308"/>
      <c r="AN9" s="304"/>
      <c r="AO9" s="309"/>
      <c r="AP9" s="303"/>
      <c r="AQ9" s="309"/>
      <c r="AR9" s="309"/>
      <c r="AS9" s="305"/>
      <c r="AT9" s="308"/>
      <c r="AU9" s="304"/>
      <c r="AV9" s="309"/>
      <c r="AW9" s="303"/>
      <c r="AX9" s="309"/>
      <c r="AY9" s="309"/>
      <c r="AZ9" s="305"/>
      <c r="BA9" s="111"/>
      <c r="BB9" s="112"/>
      <c r="BC9" s="112"/>
    </row>
    <row r="10" spans="1:83" s="113" customFormat="1" ht="24.95" customHeight="1" thickTop="1" thickBot="1" x14ac:dyDescent="0.3">
      <c r="A10" s="176">
        <v>140010230</v>
      </c>
      <c r="B10" s="351">
        <v>8</v>
      </c>
      <c r="C10" s="352" t="s">
        <v>0</v>
      </c>
      <c r="D10" s="260" t="str">
        <f>_xlfn.XLOOKUP(progress_tbl[[#This Row],[productId]],bom[Id],bom[ph],"NA")</f>
        <v>nar.p</v>
      </c>
      <c r="E10" s="260" t="str">
        <f>_xlfn.XLOOKUP(progress_tbl[[#This Row],[productId]],bom[Id],bom[erth],"NA")</f>
        <v>-</v>
      </c>
      <c r="F10" s="260" t="str">
        <f>_xlfn.XLOOKUP(progress_tbl[[#This Row],[productId]],bom[Id],bom[dbl],"NA")</f>
        <v>nar.p</v>
      </c>
      <c r="G10" s="260" t="str">
        <f>_xlfn.XLOOKUP(progress_tbl[[#This Row],[productId]],bom[Id],bom[نوع کابل],"NA")</f>
        <v>3*0.75</v>
      </c>
      <c r="H10" s="260" t="str">
        <f>_xlfn.XLOOKUP(progress_tbl[[#This Row],[productId]],bom[Id],bom[strip],"NA")</f>
        <v>?</v>
      </c>
      <c r="I10" s="181">
        <f>SUMIFS(plans[num],plans[productId],A10,plans[planId],B10)</f>
        <v>15000</v>
      </c>
      <c r="J10" s="105">
        <f>SUMIFS(cutts[num1],cutts[productId],A10,cutts[plan1],B10)+SUMIFS(cutts[num2],cutts[productId],A10,cutts[plan2],B10)</f>
        <v>0</v>
      </c>
      <c r="K10" s="182">
        <f>SUMIFS(packes[num1],packes[productId],A10,packes[plan1],B10)+SUMIFS(packes[num2],packes[productId],A10,packes[plan2],B10)</f>
        <v>0</v>
      </c>
      <c r="L10" s="183">
        <f t="shared" si="4"/>
        <v>-15000</v>
      </c>
      <c r="M10" s="184">
        <f t="shared" si="5"/>
        <v>-15000</v>
      </c>
      <c r="N10" s="185">
        <f t="shared" si="6"/>
        <v>0</v>
      </c>
      <c r="O10" s="186"/>
      <c r="P10" s="187"/>
      <c r="Q10" s="188"/>
      <c r="R10" s="189"/>
      <c r="S10" s="189"/>
      <c r="T10" s="189"/>
      <c r="U10" s="470"/>
      <c r="V10" s="301"/>
      <c r="W10" s="302"/>
      <c r="X10" s="305"/>
      <c r="Y10" s="308"/>
      <c r="Z10" s="304"/>
      <c r="AA10" s="309"/>
      <c r="AB10" s="303"/>
      <c r="AC10" s="309"/>
      <c r="AD10" s="309"/>
      <c r="AE10" s="305"/>
      <c r="AF10" s="308"/>
      <c r="AG10" s="304"/>
      <c r="AH10" s="309"/>
      <c r="AI10" s="303"/>
      <c r="AJ10" s="309"/>
      <c r="AK10" s="309"/>
      <c r="AL10" s="305"/>
      <c r="AM10" s="308"/>
      <c r="AN10" s="304"/>
      <c r="AO10" s="309"/>
      <c r="AP10" s="303"/>
      <c r="AQ10" s="309"/>
      <c r="AR10" s="309"/>
      <c r="AS10" s="305"/>
      <c r="AT10" s="308"/>
      <c r="AU10" s="304"/>
      <c r="AV10" s="309"/>
      <c r="AW10" s="303"/>
      <c r="AX10" s="309"/>
      <c r="AY10" s="309"/>
      <c r="AZ10" s="305"/>
      <c r="BA10" s="111"/>
      <c r="BB10" s="112"/>
      <c r="BC10" s="112"/>
    </row>
    <row r="11" spans="1:83" s="113" customFormat="1" ht="24.95" customHeight="1" thickTop="1" thickBot="1" x14ac:dyDescent="0.3">
      <c r="A11" s="176">
        <v>140030039</v>
      </c>
      <c r="B11" s="351">
        <v>8</v>
      </c>
      <c r="C11" s="352" t="s">
        <v>1126</v>
      </c>
      <c r="D11" s="260" t="str">
        <f>_xlfn.XLOOKUP(progress_tbl[[#This Row],[productId]],bom[Id],bom[ph],"NA")</f>
        <v>YH</v>
      </c>
      <c r="E11" s="260" t="str">
        <f>_xlfn.XLOOKUP(progress_tbl[[#This Row],[productId]],bom[Id],bom[erth],"NA")</f>
        <v>sun</v>
      </c>
      <c r="F11" s="260" t="str">
        <f>_xlfn.XLOOKUP(progress_tbl[[#This Row],[productId]],bom[Id],bom[dbl],"NA")</f>
        <v>-</v>
      </c>
      <c r="G11" s="260" t="str">
        <f>_xlfn.XLOOKUP(progress_tbl[[#This Row],[productId]],bom[Id],bom[نوع کابل],"NA")</f>
        <v>3*0.75</v>
      </c>
      <c r="H11" s="260" t="str">
        <f>_xlfn.XLOOKUP(progress_tbl[[#This Row],[productId]],bom[Id],bom[strip],"NA")</f>
        <v>noStrp</v>
      </c>
      <c r="I11" s="181">
        <f>SUMIFS(plans[num],plans[productId],A11,plans[planId],B11)</f>
        <v>8500</v>
      </c>
      <c r="J11" s="105">
        <f>SUMIFS(cutts[num1],cutts[productId],A11,cutts[plan1],B11)+SUMIFS(cutts[num2],cutts[productId],A11,cutts[plan2],B11)</f>
        <v>3000</v>
      </c>
      <c r="K11" s="182">
        <f>SUMIFS(packes[num1],packes[productId],A11,packes[plan1],B11)+SUMIFS(packes[num2],packes[productId],A11,packes[plan2],B11)</f>
        <v>0</v>
      </c>
      <c r="L11" s="183">
        <f>-I11+J11</f>
        <v>-5500</v>
      </c>
      <c r="M11" s="184">
        <f>K11-I11</f>
        <v>-8500</v>
      </c>
      <c r="N11" s="185">
        <f>J11-K11</f>
        <v>3000</v>
      </c>
      <c r="O11" s="186"/>
      <c r="P11" s="187"/>
      <c r="Q11" s="188"/>
      <c r="R11" s="189"/>
      <c r="S11" s="189"/>
      <c r="T11" s="189"/>
      <c r="U11" s="470"/>
      <c r="V11" s="301"/>
      <c r="W11" s="302"/>
      <c r="X11" s="305"/>
      <c r="Y11" s="308"/>
      <c r="Z11" s="304"/>
      <c r="AA11" s="309"/>
      <c r="AB11" s="303"/>
      <c r="AC11" s="309"/>
      <c r="AD11" s="309"/>
      <c r="AE11" s="305"/>
      <c r="AF11" s="308"/>
      <c r="AG11" s="304"/>
      <c r="AH11" s="309"/>
      <c r="AI11" s="303"/>
      <c r="AJ11" s="309"/>
      <c r="AK11" s="309"/>
      <c r="AL11" s="305"/>
      <c r="AM11" s="308"/>
      <c r="AN11" s="304"/>
      <c r="AO11" s="309"/>
      <c r="AP11" s="303"/>
      <c r="AQ11" s="309"/>
      <c r="AR11" s="309"/>
      <c r="AS11" s="305"/>
      <c r="AT11" s="308"/>
      <c r="AU11" s="304"/>
      <c r="AV11" s="309"/>
      <c r="AW11" s="303"/>
      <c r="AX11" s="309"/>
      <c r="AY11" s="309"/>
      <c r="AZ11" s="305"/>
      <c r="BA11" s="111"/>
      <c r="BB11" s="112"/>
      <c r="BC11" s="112"/>
    </row>
    <row r="12" spans="1:83" s="113" customFormat="1" ht="24.95" customHeight="1" thickTop="1" thickBot="1" x14ac:dyDescent="0.3">
      <c r="A12" s="176">
        <v>140030040</v>
      </c>
      <c r="B12" s="351">
        <v>8</v>
      </c>
      <c r="C12" s="352" t="s">
        <v>1126</v>
      </c>
      <c r="D12" s="260" t="str">
        <f>_xlfn.XLOOKUP(progress_tbl[[#This Row],[productId]],bom[Id],bom[ph],"NA")</f>
        <v>YH</v>
      </c>
      <c r="E12" s="260" t="str">
        <f>_xlfn.XLOOKUP(progress_tbl[[#This Row],[productId]],bom[Id],bom[erth],"NA")</f>
        <v>sun</v>
      </c>
      <c r="F12" s="260" t="str">
        <f>_xlfn.XLOOKUP(progress_tbl[[#This Row],[productId]],bom[Id],bom[dbl],"NA")</f>
        <v>-</v>
      </c>
      <c r="G12" s="260" t="str">
        <f>_xlfn.XLOOKUP(progress_tbl[[#This Row],[productId]],bom[Id],bom[نوع کابل],"NA")</f>
        <v>3*0.75</v>
      </c>
      <c r="H12" s="260" t="str">
        <f>_xlfn.XLOOKUP(progress_tbl[[#This Row],[productId]],bom[Id],bom[strip],"NA")</f>
        <v>noStrp</v>
      </c>
      <c r="I12" s="181">
        <f>SUMIFS(plans[num],plans[productId],A12,plans[planId],B12)</f>
        <v>16600</v>
      </c>
      <c r="J12" s="105">
        <f>SUMIFS(cutts[num1],cutts[productId],A12,cutts[plan1],B12)+SUMIFS(cutts[num2],cutts[productId],A12,cutts[plan2],B12)</f>
        <v>0</v>
      </c>
      <c r="K12" s="182">
        <f>SUMIFS(packes[num1],packes[productId],A12,packes[plan1],B12)+SUMIFS(packes[num2],packes[productId],A12,packes[plan2],B12)</f>
        <v>0</v>
      </c>
      <c r="L12" s="183">
        <f>-I12+J12</f>
        <v>-16600</v>
      </c>
      <c r="M12" s="184">
        <f>K12-I12</f>
        <v>-16600</v>
      </c>
      <c r="N12" s="185">
        <f>J12-K12</f>
        <v>0</v>
      </c>
      <c r="O12" s="186"/>
      <c r="P12" s="187"/>
      <c r="Q12" s="188"/>
      <c r="R12" s="189"/>
      <c r="S12" s="189"/>
      <c r="T12" s="189"/>
      <c r="U12" s="470"/>
      <c r="V12" s="301"/>
      <c r="W12" s="302"/>
      <c r="X12" s="305"/>
      <c r="Y12" s="308"/>
      <c r="Z12" s="304"/>
      <c r="AA12" s="309"/>
      <c r="AB12" s="303"/>
      <c r="AC12" s="309"/>
      <c r="AD12" s="309"/>
      <c r="AE12" s="305"/>
      <c r="AF12" s="308"/>
      <c r="AG12" s="304"/>
      <c r="AH12" s="309"/>
      <c r="AI12" s="303"/>
      <c r="AJ12" s="309"/>
      <c r="AK12" s="309"/>
      <c r="AL12" s="305"/>
      <c r="AM12" s="308"/>
      <c r="AN12" s="304"/>
      <c r="AO12" s="309"/>
      <c r="AP12" s="303"/>
      <c r="AQ12" s="309"/>
      <c r="AR12" s="309"/>
      <c r="AS12" s="305"/>
      <c r="AT12" s="308"/>
      <c r="AU12" s="304"/>
      <c r="AV12" s="309"/>
      <c r="AW12" s="303"/>
      <c r="AX12" s="309"/>
      <c r="AY12" s="309"/>
      <c r="AZ12" s="305"/>
      <c r="BA12" s="111"/>
      <c r="BB12" s="112"/>
      <c r="BC12" s="112"/>
    </row>
    <row r="13" spans="1:83" s="113" customFormat="1" ht="24.95" customHeight="1" thickTop="1" thickBot="1" x14ac:dyDescent="0.3">
      <c r="A13" s="176"/>
      <c r="B13" s="351"/>
      <c r="C13" s="352"/>
      <c r="D13" s="260"/>
      <c r="E13" s="260"/>
      <c r="F13" s="260"/>
      <c r="G13" s="260"/>
      <c r="H13" s="260"/>
      <c r="I13" s="181">
        <f>SUMIFS(plans[num],plans[productId],A13,plans[planId],B13)</f>
        <v>0</v>
      </c>
      <c r="J13" s="105">
        <f>SUMIFS(cutts[num1],cutts[productId],A13,cutts[plan1],B13)+SUMIFS(cutts[num2],cutts[productId],A13,cutts[plan2],B13)</f>
        <v>0</v>
      </c>
      <c r="K13" s="182">
        <f>SUMIFS(packes[num1],packes[productId],A13,packes[plan1],B13)+SUMIFS(packes[num2],packes[productId],A13,packes[plan2],B13)</f>
        <v>0</v>
      </c>
      <c r="L13" s="183">
        <f t="shared" si="4"/>
        <v>0</v>
      </c>
      <c r="M13" s="184">
        <f t="shared" si="5"/>
        <v>0</v>
      </c>
      <c r="N13" s="185">
        <f t="shared" si="6"/>
        <v>0</v>
      </c>
      <c r="O13" s="186"/>
      <c r="P13" s="187"/>
      <c r="Q13" s="188"/>
      <c r="R13" s="189"/>
      <c r="S13" s="189"/>
      <c r="T13" s="189"/>
      <c r="U13" s="470"/>
      <c r="V13" s="301"/>
      <c r="W13" s="302"/>
      <c r="X13" s="305"/>
      <c r="Y13" s="308"/>
      <c r="Z13" s="304"/>
      <c r="AA13" s="309"/>
      <c r="AB13" s="303"/>
      <c r="AC13" s="309"/>
      <c r="AD13" s="309"/>
      <c r="AE13" s="305"/>
      <c r="AF13" s="308"/>
      <c r="AG13" s="304"/>
      <c r="AH13" s="309"/>
      <c r="AI13" s="303"/>
      <c r="AJ13" s="309"/>
      <c r="AK13" s="309"/>
      <c r="AL13" s="305"/>
      <c r="AM13" s="308"/>
      <c r="AN13" s="304"/>
      <c r="AO13" s="309"/>
      <c r="AP13" s="303"/>
      <c r="AQ13" s="309"/>
      <c r="AR13" s="309"/>
      <c r="AS13" s="305"/>
      <c r="AT13" s="308"/>
      <c r="AU13" s="304"/>
      <c r="AV13" s="309"/>
      <c r="AW13" s="303"/>
      <c r="AX13" s="309"/>
      <c r="AY13" s="309"/>
      <c r="AZ13" s="305"/>
      <c r="BA13" s="111"/>
      <c r="BB13" s="112"/>
      <c r="BC13" s="112"/>
    </row>
    <row r="14" spans="1:83" s="113" customFormat="1" ht="24.95" customHeight="1" thickTop="1" thickBot="1" x14ac:dyDescent="0.3">
      <c r="A14" s="190"/>
      <c r="B14" s="473"/>
      <c r="C14" s="474"/>
      <c r="D14" s="257" t="str">
        <f>_xlfn.XLOOKUP(progress_tbl[[#This Row],[productId]],bom[Id],bom[ph],"NA")</f>
        <v>NA</v>
      </c>
      <c r="E14" s="257" t="str">
        <f>_xlfn.XLOOKUP(progress_tbl[[#This Row],[productId]],bom[Id],bom[erth],"NA")</f>
        <v>NA</v>
      </c>
      <c r="F14" s="257" t="str">
        <f>_xlfn.XLOOKUP(progress_tbl[[#This Row],[productId]],bom[Id],bom[dbl],"NA")</f>
        <v>NA</v>
      </c>
      <c r="G14" s="257" t="str">
        <f>_xlfn.XLOOKUP(progress_tbl[[#This Row],[productId]],bom[Id],bom[نوع کابل],"NA")</f>
        <v>NA</v>
      </c>
      <c r="H14" s="257" t="str">
        <f>_xlfn.XLOOKUP(progress_tbl[[#This Row],[productId]],bom[Id],bom[strip],"NA")</f>
        <v>NA</v>
      </c>
      <c r="I14" s="181">
        <f>SUMIFS(plans[num],plans[productId],A14,plans[planId],B14)</f>
        <v>0</v>
      </c>
      <c r="J14" s="105">
        <f>SUMIFS(cutts[num1],cutts[productId],A14,cutts[plan1],B14)+SUMIFS(cutts[num2],cutts[productId],A14,cutts[plan2],B14)</f>
        <v>0</v>
      </c>
      <c r="K14" s="182">
        <f>SUMIFS(packes[num1],packes[productId],A14,packes[plan1],B14)+SUMIFS(packes[num2],packes[productId],A14,packes[plan2],B14)</f>
        <v>0</v>
      </c>
      <c r="L14" s="183">
        <f t="shared" si="4"/>
        <v>0</v>
      </c>
      <c r="M14" s="184">
        <f t="shared" si="5"/>
        <v>0</v>
      </c>
      <c r="N14" s="185">
        <f t="shared" si="6"/>
        <v>0</v>
      </c>
      <c r="O14" s="170"/>
      <c r="P14" s="171"/>
      <c r="Q14" s="172"/>
      <c r="R14" s="173"/>
      <c r="S14" s="173"/>
      <c r="T14" s="173"/>
      <c r="U14" s="547"/>
      <c r="V14" s="540"/>
      <c r="W14" s="541"/>
      <c r="X14" s="542"/>
      <c r="Y14" s="543"/>
      <c r="Z14" s="544"/>
      <c r="AA14" s="545"/>
      <c r="AB14" s="546"/>
      <c r="AC14" s="545"/>
      <c r="AD14" s="545"/>
      <c r="AE14" s="542"/>
      <c r="AF14" s="543"/>
      <c r="AG14" s="544"/>
      <c r="AH14" s="545"/>
      <c r="AI14" s="546"/>
      <c r="AJ14" s="545"/>
      <c r="AK14" s="545"/>
      <c r="AL14" s="542"/>
      <c r="AM14" s="543"/>
      <c r="AN14" s="544"/>
      <c r="AO14" s="545"/>
      <c r="AP14" s="546"/>
      <c r="AQ14" s="545"/>
      <c r="AR14" s="545"/>
      <c r="AS14" s="542"/>
      <c r="AT14" s="543"/>
      <c r="AU14" s="544"/>
      <c r="AV14" s="545"/>
      <c r="AW14" s="546"/>
      <c r="AX14" s="545"/>
      <c r="AY14" s="545"/>
      <c r="AZ14" s="542"/>
      <c r="BA14" s="111"/>
      <c r="BB14" s="112"/>
      <c r="BC14" s="112"/>
    </row>
    <row r="15" spans="1:83" s="509" customFormat="1" ht="24.95" customHeight="1" thickTop="1" thickBot="1" x14ac:dyDescent="0.3">
      <c r="A15" s="510"/>
      <c r="B15" s="511"/>
      <c r="C15" s="512"/>
      <c r="D15" s="513"/>
      <c r="E15" s="513"/>
      <c r="F15" s="513"/>
      <c r="G15" s="513"/>
      <c r="H15" s="513"/>
      <c r="I15" s="514"/>
      <c r="J15" s="515"/>
      <c r="K15" s="516"/>
      <c r="L15" s="517"/>
      <c r="M15" s="518"/>
      <c r="N15" s="519"/>
      <c r="O15" s="235"/>
      <c r="P15" s="236"/>
      <c r="Q15" s="237"/>
      <c r="R15" s="238"/>
      <c r="S15" s="238"/>
      <c r="T15" s="238"/>
      <c r="U15" s="238"/>
      <c r="V15" s="240"/>
      <c r="W15" s="241"/>
      <c r="X15" s="241"/>
      <c r="Y15" s="241"/>
      <c r="Z15" s="242"/>
      <c r="AA15" s="241"/>
      <c r="AB15" s="241"/>
      <c r="AC15" s="241"/>
      <c r="AD15" s="241"/>
      <c r="AE15" s="241"/>
      <c r="AF15" s="241"/>
      <c r="AG15" s="242"/>
      <c r="AH15" s="241"/>
      <c r="AI15" s="241"/>
      <c r="AJ15" s="241"/>
      <c r="AK15" s="241"/>
      <c r="AL15" s="241"/>
      <c r="AM15" s="241"/>
      <c r="AN15" s="242"/>
      <c r="AO15" s="241"/>
      <c r="AP15" s="241"/>
      <c r="AQ15" s="241"/>
      <c r="AR15" s="241"/>
      <c r="AS15" s="241"/>
      <c r="AT15" s="241"/>
      <c r="AU15" s="242"/>
      <c r="AV15" s="241"/>
      <c r="AW15" s="241"/>
      <c r="AX15" s="241"/>
      <c r="AY15" s="241"/>
      <c r="AZ15" s="241"/>
      <c r="BA15" s="507"/>
      <c r="BB15" s="508"/>
      <c r="BC15" s="508"/>
    </row>
    <row r="16" spans="1:83" s="223" customFormat="1" ht="24.95" customHeight="1" thickBot="1" x14ac:dyDescent="0.3">
      <c r="A16" s="290" t="s">
        <v>215</v>
      </c>
      <c r="B16" s="287"/>
      <c r="C16" s="216"/>
      <c r="D16" s="220"/>
      <c r="E16" s="220"/>
      <c r="F16" s="221"/>
      <c r="G16" s="220"/>
      <c r="H16" s="220"/>
      <c r="I16" s="222"/>
      <c r="K16" s="224"/>
      <c r="L16" s="225"/>
      <c r="M16" s="226"/>
      <c r="N16" s="226"/>
      <c r="O16" s="235"/>
      <c r="P16" s="236"/>
      <c r="Q16" s="237"/>
      <c r="R16" s="238"/>
      <c r="S16" s="238"/>
      <c r="T16" s="238"/>
      <c r="U16" s="149"/>
      <c r="V16" s="240"/>
      <c r="W16" s="241"/>
      <c r="X16" s="241"/>
      <c r="Y16" s="241"/>
      <c r="Z16" s="242"/>
      <c r="AA16" s="241"/>
      <c r="AB16" s="241"/>
      <c r="AC16" s="241"/>
      <c r="AD16" s="241"/>
      <c r="AE16" s="241"/>
      <c r="AF16" s="241"/>
      <c r="AG16" s="242"/>
      <c r="AH16" s="241"/>
      <c r="AI16" s="241"/>
      <c r="AJ16" s="241"/>
      <c r="AK16" s="241"/>
      <c r="AL16" s="241"/>
      <c r="AM16" s="241"/>
      <c r="AN16" s="242"/>
      <c r="AO16" s="241"/>
      <c r="AP16" s="241"/>
      <c r="AQ16" s="241"/>
      <c r="AR16" s="241"/>
      <c r="AS16" s="241"/>
      <c r="AT16" s="241"/>
      <c r="AU16" s="242"/>
      <c r="AV16" s="241"/>
      <c r="AW16" s="241"/>
      <c r="AX16" s="241"/>
      <c r="AY16" s="241"/>
      <c r="AZ16" s="241"/>
      <c r="BA16" s="164"/>
      <c r="BB16" s="232"/>
      <c r="BC16" s="232"/>
      <c r="BD16" s="233"/>
      <c r="BE16" s="233"/>
      <c r="BF16" s="233"/>
      <c r="BG16" s="233"/>
    </row>
    <row r="17" spans="1:59" s="113" customFormat="1" ht="24.95" customHeight="1" thickTop="1" thickBot="1" x14ac:dyDescent="0.3">
      <c r="A17" s="176">
        <v>140310091</v>
      </c>
      <c r="B17" s="351">
        <v>7</v>
      </c>
      <c r="C17" s="352" t="s">
        <v>55</v>
      </c>
      <c r="D17" s="260"/>
      <c r="E17" s="260"/>
      <c r="F17" s="260"/>
      <c r="G17" s="260"/>
      <c r="H17" s="260"/>
      <c r="I17" s="181">
        <v>500</v>
      </c>
      <c r="J17" s="344">
        <v>500</v>
      </c>
      <c r="K17" s="182">
        <v>500</v>
      </c>
      <c r="L17" s="183">
        <v>0</v>
      </c>
      <c r="M17" s="184">
        <v>0</v>
      </c>
      <c r="N17" s="185">
        <v>0</v>
      </c>
      <c r="O17" s="235"/>
      <c r="P17" s="236"/>
      <c r="Q17" s="237"/>
      <c r="R17" s="238"/>
      <c r="S17" s="238"/>
      <c r="T17" s="238"/>
      <c r="U17" s="238"/>
      <c r="V17" s="240"/>
      <c r="W17" s="241"/>
      <c r="X17" s="241"/>
      <c r="Y17" s="241"/>
      <c r="Z17" s="242"/>
      <c r="AA17" s="241"/>
      <c r="AB17" s="241"/>
      <c r="AC17" s="241"/>
      <c r="AD17" s="241"/>
      <c r="AE17" s="241"/>
      <c r="AF17" s="241"/>
      <c r="AG17" s="242"/>
      <c r="AH17" s="241"/>
      <c r="AI17" s="241"/>
      <c r="AJ17" s="241"/>
      <c r="AK17" s="241"/>
      <c r="AL17" s="241"/>
      <c r="AM17" s="241"/>
      <c r="AN17" s="242"/>
      <c r="AO17" s="241"/>
      <c r="AP17" s="241"/>
      <c r="AQ17" s="241"/>
      <c r="AR17" s="241"/>
      <c r="AS17" s="241"/>
      <c r="AT17" s="241"/>
      <c r="AU17" s="242"/>
      <c r="AV17" s="241"/>
      <c r="AW17" s="241"/>
      <c r="AX17" s="241"/>
      <c r="AY17" s="241"/>
      <c r="AZ17" s="241"/>
      <c r="BA17" s="164"/>
      <c r="BB17" s="232"/>
      <c r="BC17" s="232"/>
      <c r="BD17" s="233"/>
      <c r="BE17" s="233"/>
      <c r="BF17" s="233"/>
      <c r="BG17" s="233"/>
    </row>
    <row r="18" spans="1:59" s="113" customFormat="1" ht="24.95" customHeight="1" thickTop="1" thickBot="1" x14ac:dyDescent="0.3">
      <c r="A18" s="176">
        <v>140010117</v>
      </c>
      <c r="B18" s="351">
        <v>7</v>
      </c>
      <c r="C18" s="352" t="s">
        <v>0</v>
      </c>
      <c r="D18" s="260" t="e">
        <f>_xlfn.XLOOKUP(progress_tbl[[#This Row],[productId]],bom[Id],bom[ph],"NA")</f>
        <v>#VALUE!</v>
      </c>
      <c r="E18" s="260" t="e">
        <f>_xlfn.XLOOKUP(progress_tbl[[#This Row],[productId]],bom[Id],bom[erth],"NA")</f>
        <v>#VALUE!</v>
      </c>
      <c r="F18" s="260" t="e">
        <f>_xlfn.XLOOKUP(progress_tbl[[#This Row],[productId]],bom[Id],bom[dbl],"NA")</f>
        <v>#VALUE!</v>
      </c>
      <c r="G18" s="260" t="e">
        <f>_xlfn.XLOOKUP(progress_tbl[[#This Row],[productId]],bom[Id],bom[نوع کابل],"NA")</f>
        <v>#VALUE!</v>
      </c>
      <c r="H18" s="260" t="e">
        <f>_xlfn.XLOOKUP(progress_tbl[[#This Row],[productId]],bom[Id],bom[strip],"NA")</f>
        <v>#VALUE!</v>
      </c>
      <c r="I18" s="181">
        <f>SUMIFS(plans[num],plans[productId],A18,plans[planId],B18)</f>
        <v>17000</v>
      </c>
      <c r="J18" s="344">
        <f>SUMIFS(cutts[num1],cutts[productId],A18,cutts[plan1],B18)+SUMIFS(cutts[num2],cutts[productId],A18,cutts[plan2],B18)</f>
        <v>17000</v>
      </c>
      <c r="K18" s="182">
        <f>SUMIFS(packes[num1],packes[productId],A18,packes[plan1],B18)+SUMIFS(packes[num2],packes[productId],A18,packes[plan2],B18)</f>
        <v>17000</v>
      </c>
      <c r="L18" s="183">
        <f t="shared" ref="L18:L21" si="7">-I18+J18</f>
        <v>0</v>
      </c>
      <c r="M18" s="184">
        <f t="shared" ref="M18:M21" si="8">K18-I18</f>
        <v>0</v>
      </c>
      <c r="N18" s="185">
        <f t="shared" ref="N18:N21" si="9">J18-K18</f>
        <v>0</v>
      </c>
      <c r="O18" s="235"/>
      <c r="P18" s="236"/>
      <c r="Q18" s="237"/>
      <c r="R18" s="238"/>
      <c r="S18" s="238"/>
      <c r="T18" s="238"/>
      <c r="U18" s="238"/>
      <c r="V18" s="240"/>
      <c r="W18" s="241"/>
      <c r="X18" s="241"/>
      <c r="Y18" s="241"/>
      <c r="Z18" s="242"/>
      <c r="AA18" s="241"/>
      <c r="AB18" s="241"/>
      <c r="AC18" s="241"/>
      <c r="AD18" s="241"/>
      <c r="AE18" s="241"/>
      <c r="AF18" s="241"/>
      <c r="AG18" s="242"/>
      <c r="AH18" s="241"/>
      <c r="AI18" s="241"/>
      <c r="AJ18" s="241"/>
      <c r="AK18" s="241"/>
      <c r="AL18" s="241"/>
      <c r="AM18" s="241"/>
      <c r="AN18" s="242"/>
      <c r="AO18" s="241"/>
      <c r="AP18" s="241"/>
      <c r="AQ18" s="241"/>
      <c r="AR18" s="241"/>
      <c r="AS18" s="241"/>
      <c r="AT18" s="241"/>
      <c r="AU18" s="242"/>
      <c r="AV18" s="241"/>
      <c r="AW18" s="241"/>
      <c r="AX18" s="241"/>
      <c r="AY18" s="241"/>
      <c r="AZ18" s="241"/>
      <c r="BA18" s="164"/>
      <c r="BB18" s="232"/>
      <c r="BC18" s="232"/>
      <c r="BD18" s="233"/>
      <c r="BE18" s="233"/>
      <c r="BF18" s="233"/>
      <c r="BG18" s="233"/>
    </row>
    <row r="19" spans="1:59" s="113" customFormat="1" ht="24.95" customHeight="1" thickTop="1" thickBot="1" x14ac:dyDescent="0.3">
      <c r="A19" s="176">
        <v>140010255</v>
      </c>
      <c r="B19" s="351">
        <v>7</v>
      </c>
      <c r="C19" s="352" t="s">
        <v>0</v>
      </c>
      <c r="D19" s="260" t="e">
        <f>_xlfn.XLOOKUP(progress_tbl[[#This Row],[productId]],bom[Id],bom[ph],"NA")</f>
        <v>#VALUE!</v>
      </c>
      <c r="E19" s="260" t="e">
        <f>_xlfn.XLOOKUP(progress_tbl[[#This Row],[productId]],bom[Id],bom[erth],"NA")</f>
        <v>#VALUE!</v>
      </c>
      <c r="F19" s="260" t="e">
        <f>_xlfn.XLOOKUP(progress_tbl[[#This Row],[productId]],bom[Id],bom[dbl],"NA")</f>
        <v>#VALUE!</v>
      </c>
      <c r="G19" s="260" t="e">
        <f>_xlfn.XLOOKUP(progress_tbl[[#This Row],[productId]],bom[Id],bom[نوع کابل],"NA")</f>
        <v>#VALUE!</v>
      </c>
      <c r="H19" s="260" t="e">
        <f>_xlfn.XLOOKUP(progress_tbl[[#This Row],[productId]],bom[Id],bom[strip],"NA")</f>
        <v>#VALUE!</v>
      </c>
      <c r="I19" s="181">
        <f>SUMIFS(plans[num],plans[productId],A19,plans[planId],B19)</f>
        <v>1000</v>
      </c>
      <c r="J19" s="105">
        <f>SUMIFS(cutts[num1],cutts[productId],A19,cutts[plan1],B19)+SUMIFS(cutts[num2],cutts[productId],A19,cutts[plan2],B19)</f>
        <v>1000</v>
      </c>
      <c r="K19" s="182">
        <f>SUMIFS(packes[num1],packes[productId],A19,packes[plan1],B19)+SUMIFS(packes[num2],packes[productId],A19,packes[plan2],B19)</f>
        <v>1000</v>
      </c>
      <c r="L19" s="183">
        <f t="shared" si="7"/>
        <v>0</v>
      </c>
      <c r="M19" s="184">
        <f t="shared" si="8"/>
        <v>0</v>
      </c>
      <c r="N19" s="185">
        <f t="shared" si="9"/>
        <v>0</v>
      </c>
      <c r="O19" s="235"/>
      <c r="P19" s="236"/>
      <c r="Q19" s="237"/>
      <c r="R19" s="238"/>
      <c r="S19" s="238"/>
      <c r="T19" s="238"/>
      <c r="U19" s="149"/>
      <c r="V19" s="240"/>
      <c r="W19" s="241"/>
      <c r="X19" s="241"/>
      <c r="Y19" s="241"/>
      <c r="Z19" s="242"/>
      <c r="AA19" s="241"/>
      <c r="AB19" s="241"/>
      <c r="AC19" s="241"/>
      <c r="AD19" s="241"/>
      <c r="AE19" s="241"/>
      <c r="AF19" s="241"/>
      <c r="AG19" s="242"/>
      <c r="AH19" s="241"/>
      <c r="AI19" s="241"/>
      <c r="AJ19" s="241"/>
      <c r="AK19" s="241"/>
      <c r="AL19" s="241"/>
      <c r="AM19" s="241"/>
      <c r="AN19" s="242"/>
      <c r="AO19" s="241"/>
      <c r="AP19" s="241"/>
      <c r="AQ19" s="241"/>
      <c r="AR19" s="241"/>
      <c r="AS19" s="241"/>
      <c r="AT19" s="241"/>
      <c r="AU19" s="242"/>
      <c r="AV19" s="241"/>
      <c r="AW19" s="241"/>
      <c r="AX19" s="241"/>
      <c r="AY19" s="241"/>
      <c r="AZ19" s="241"/>
      <c r="BA19" s="164"/>
      <c r="BB19" s="232"/>
      <c r="BC19" s="232"/>
      <c r="BD19" s="233"/>
      <c r="BE19" s="233"/>
      <c r="BF19" s="233"/>
      <c r="BG19" s="233"/>
    </row>
    <row r="20" spans="1:59" s="113" customFormat="1" ht="24.95" customHeight="1" thickTop="1" thickBot="1" x14ac:dyDescent="0.3">
      <c r="A20" s="176">
        <v>140030039</v>
      </c>
      <c r="B20" s="351">
        <v>7</v>
      </c>
      <c r="C20" s="352" t="s">
        <v>1126</v>
      </c>
      <c r="D20" s="260" t="e">
        <f>_xlfn.XLOOKUP(progress_tbl[[#This Row],[productId]],bom[Id],bom[ph],"NA")</f>
        <v>#VALUE!</v>
      </c>
      <c r="E20" s="260" t="e">
        <f>_xlfn.XLOOKUP(progress_tbl[[#This Row],[productId]],bom[Id],bom[erth],"NA")</f>
        <v>#VALUE!</v>
      </c>
      <c r="F20" s="260" t="e">
        <f>_xlfn.XLOOKUP(progress_tbl[[#This Row],[productId]],bom[Id],bom[dbl],"NA")</f>
        <v>#VALUE!</v>
      </c>
      <c r="G20" s="260" t="e">
        <f>_xlfn.XLOOKUP(progress_tbl[[#This Row],[productId]],bom[Id],bom[نوع کابل],"NA")</f>
        <v>#VALUE!</v>
      </c>
      <c r="H20" s="260" t="e">
        <f>_xlfn.XLOOKUP(progress_tbl[[#This Row],[productId]],bom[Id],bom[strip],"NA")</f>
        <v>#VALUE!</v>
      </c>
      <c r="I20" s="181">
        <f>SUMIFS(plans[num],plans[productId],A20,plans[planId],B20)</f>
        <v>5600</v>
      </c>
      <c r="J20" s="105">
        <f>SUMIFS(cutts[num1],cutts[productId],A20,cutts[plan1],B20)+SUMIFS(cutts[num2],cutts[productId],A20,cutts[plan2],B20)</f>
        <v>5600</v>
      </c>
      <c r="K20" s="182">
        <f>SUMIFS(packes[num1],packes[productId],A20,packes[plan1],B20)+SUMIFS(packes[num2],packes[productId],A20,packes[plan2],B20)</f>
        <v>5600</v>
      </c>
      <c r="L20" s="183">
        <f t="shared" si="7"/>
        <v>0</v>
      </c>
      <c r="M20" s="184">
        <f t="shared" si="8"/>
        <v>0</v>
      </c>
      <c r="N20" s="185">
        <f t="shared" si="9"/>
        <v>0</v>
      </c>
      <c r="O20" s="235"/>
      <c r="P20" s="236"/>
      <c r="Q20" s="237"/>
      <c r="R20" s="238"/>
      <c r="S20" s="238"/>
      <c r="T20" s="238"/>
      <c r="U20" s="149"/>
      <c r="V20" s="240"/>
      <c r="W20" s="241"/>
      <c r="X20" s="241"/>
      <c r="Y20" s="241"/>
      <c r="Z20" s="242"/>
      <c r="AA20" s="241"/>
      <c r="AB20" s="241"/>
      <c r="AC20" s="241"/>
      <c r="AD20" s="241"/>
      <c r="AE20" s="241"/>
      <c r="AF20" s="241"/>
      <c r="AG20" s="242"/>
      <c r="AH20" s="241"/>
      <c r="AI20" s="241"/>
      <c r="AJ20" s="241"/>
      <c r="AK20" s="241"/>
      <c r="AL20" s="241"/>
      <c r="AM20" s="241"/>
      <c r="AN20" s="242"/>
      <c r="AO20" s="241"/>
      <c r="AP20" s="241"/>
      <c r="AQ20" s="241"/>
      <c r="AR20" s="241"/>
      <c r="AS20" s="241"/>
      <c r="AT20" s="241"/>
      <c r="AU20" s="242"/>
      <c r="AV20" s="241"/>
      <c r="AW20" s="241"/>
      <c r="AX20" s="241"/>
      <c r="AY20" s="241"/>
      <c r="AZ20" s="241"/>
      <c r="BA20" s="164"/>
      <c r="BB20" s="231"/>
      <c r="BC20" s="231"/>
      <c r="BD20" s="223"/>
      <c r="BE20" s="223"/>
      <c r="BF20" s="223"/>
      <c r="BG20" s="223"/>
    </row>
    <row r="21" spans="1:59" s="113" customFormat="1" ht="24.95" customHeight="1" thickTop="1" thickBot="1" x14ac:dyDescent="0.3">
      <c r="A21" s="176">
        <v>140030040</v>
      </c>
      <c r="B21" s="351">
        <v>7</v>
      </c>
      <c r="C21" s="352" t="s">
        <v>1126</v>
      </c>
      <c r="D21" s="260" t="e">
        <f>_xlfn.XLOOKUP(progress_tbl[[#This Row],[productId]],bom[Id],bom[ph],"NA")</f>
        <v>#VALUE!</v>
      </c>
      <c r="E21" s="260" t="e">
        <f>_xlfn.XLOOKUP(progress_tbl[[#This Row],[productId]],bom[Id],bom[erth],"NA")</f>
        <v>#VALUE!</v>
      </c>
      <c r="F21" s="260" t="e">
        <f>_xlfn.XLOOKUP(progress_tbl[[#This Row],[productId]],bom[Id],bom[dbl],"NA")</f>
        <v>#VALUE!</v>
      </c>
      <c r="G21" s="260" t="e">
        <f>_xlfn.XLOOKUP(progress_tbl[[#This Row],[productId]],bom[Id],bom[نوع کابل],"NA")</f>
        <v>#VALUE!</v>
      </c>
      <c r="H21" s="260" t="e">
        <f>_xlfn.XLOOKUP(progress_tbl[[#This Row],[productId]],bom[Id],bom[strip],"NA")</f>
        <v>#VALUE!</v>
      </c>
      <c r="I21" s="181">
        <f>SUMIFS(plans[num],plans[productId],A21,plans[planId],B21)</f>
        <v>1700</v>
      </c>
      <c r="J21" s="344">
        <f>SUMIFS(cutts[num1],cutts[productId],A21,cutts[plan1],B21)+SUMIFS(cutts[num2],cutts[productId],A21,cutts[plan2],B21)</f>
        <v>1700</v>
      </c>
      <c r="K21" s="182">
        <f>SUMIFS(packes[num1],packes[productId],A21,packes[plan1],B21)+SUMIFS(packes[num2],packes[productId],A21,packes[plan2],B21)</f>
        <v>1700</v>
      </c>
      <c r="L21" s="183">
        <f t="shared" si="7"/>
        <v>0</v>
      </c>
      <c r="M21" s="184">
        <f t="shared" si="8"/>
        <v>0</v>
      </c>
      <c r="N21" s="185">
        <f t="shared" si="9"/>
        <v>0</v>
      </c>
      <c r="O21" s="235"/>
      <c r="P21" s="236"/>
      <c r="Q21" s="237"/>
      <c r="R21" s="238"/>
      <c r="S21" s="238"/>
      <c r="T21" s="238"/>
      <c r="U21" s="238"/>
      <c r="V21" s="240"/>
      <c r="W21" s="241"/>
      <c r="X21" s="241"/>
      <c r="Y21" s="241"/>
      <c r="Z21" s="242"/>
      <c r="AA21" s="241"/>
      <c r="AB21" s="241"/>
      <c r="AC21" s="241"/>
      <c r="AD21" s="241"/>
      <c r="AE21" s="241"/>
      <c r="AF21" s="241"/>
      <c r="AG21" s="242"/>
      <c r="AH21" s="241"/>
      <c r="AI21" s="241"/>
      <c r="AJ21" s="241"/>
      <c r="AK21" s="241"/>
      <c r="AL21" s="241"/>
      <c r="AM21" s="241"/>
      <c r="AN21" s="242"/>
      <c r="AO21" s="241"/>
      <c r="AP21" s="241"/>
      <c r="AQ21" s="241"/>
      <c r="AR21" s="241"/>
      <c r="AS21" s="241"/>
      <c r="AT21" s="241"/>
      <c r="AU21" s="242"/>
      <c r="AV21" s="241"/>
      <c r="AW21" s="241"/>
      <c r="AX21" s="241"/>
      <c r="AY21" s="241"/>
      <c r="AZ21" s="241"/>
      <c r="BA21" s="164"/>
      <c r="BB21" s="112"/>
      <c r="BC21" s="112"/>
    </row>
    <row r="22" spans="1:59" s="113" customFormat="1" ht="24.95" customHeight="1" thickTop="1" thickBot="1" x14ac:dyDescent="0.3">
      <c r="A22" s="176">
        <v>140010117</v>
      </c>
      <c r="B22" s="267">
        <v>6</v>
      </c>
      <c r="C22" s="259" t="s">
        <v>0</v>
      </c>
      <c r="D22" s="260" t="e">
        <v>#VALUE!</v>
      </c>
      <c r="E22" s="260" t="e">
        <v>#VALUE!</v>
      </c>
      <c r="F22" s="261" t="e">
        <v>#VALUE!</v>
      </c>
      <c r="G22" s="260" t="e">
        <v>#VALUE!</v>
      </c>
      <c r="H22" s="260" t="e">
        <v>#VALUE!</v>
      </c>
      <c r="I22" s="181">
        <v>17000</v>
      </c>
      <c r="J22" s="344">
        <v>17000</v>
      </c>
      <c r="K22" s="182">
        <v>17000</v>
      </c>
      <c r="L22" s="183">
        <v>0</v>
      </c>
      <c r="M22" s="184">
        <v>0</v>
      </c>
      <c r="N22" s="185">
        <v>0</v>
      </c>
      <c r="O22" s="235"/>
      <c r="P22" s="236"/>
      <c r="Q22" s="237"/>
      <c r="R22" s="238"/>
      <c r="S22" s="238"/>
      <c r="T22" s="238"/>
      <c r="U22" s="238"/>
      <c r="V22" s="240"/>
      <c r="W22" s="241"/>
      <c r="X22" s="241"/>
      <c r="Y22" s="241"/>
      <c r="Z22" s="242"/>
      <c r="AA22" s="241"/>
      <c r="AB22" s="241"/>
      <c r="AC22" s="241"/>
      <c r="AD22" s="241"/>
      <c r="AE22" s="241"/>
      <c r="AF22" s="241"/>
      <c r="AG22" s="242"/>
      <c r="AH22" s="241"/>
      <c r="AI22" s="241"/>
      <c r="AJ22" s="241"/>
      <c r="AK22" s="241"/>
      <c r="AL22" s="241"/>
      <c r="AM22" s="241"/>
      <c r="AN22" s="242"/>
      <c r="AO22" s="241"/>
      <c r="AP22" s="241"/>
      <c r="AQ22" s="241"/>
      <c r="AR22" s="241"/>
      <c r="AS22" s="241"/>
      <c r="AT22" s="241"/>
      <c r="AU22" s="242"/>
      <c r="AV22" s="241"/>
      <c r="AW22" s="241"/>
      <c r="AX22" s="241"/>
      <c r="AY22" s="241"/>
      <c r="AZ22" s="241"/>
      <c r="BA22" s="551"/>
      <c r="BB22" s="112"/>
      <c r="BC22" s="112"/>
    </row>
    <row r="23" spans="1:59" s="113" customFormat="1" ht="24.95" customHeight="1" thickTop="1" thickBot="1" x14ac:dyDescent="0.3">
      <c r="A23" s="176">
        <v>140010230</v>
      </c>
      <c r="B23" s="267">
        <v>6</v>
      </c>
      <c r="C23" s="259" t="s">
        <v>0</v>
      </c>
      <c r="D23" s="260" t="e">
        <f>_xlfn.XLOOKUP(progress_tbl[[#This Row],[productId]],bom[Id],bom[ph],"NA")</f>
        <v>#VALUE!</v>
      </c>
      <c r="E23" s="260" t="e">
        <f>_xlfn.XLOOKUP(progress_tbl[[#This Row],[productId]],bom[Id],bom[erth],"NA")</f>
        <v>#VALUE!</v>
      </c>
      <c r="F23" s="261" t="e">
        <f>_xlfn.XLOOKUP(progress_tbl[[#This Row],[productId]],bom[Id],bom[dbl],"NA")</f>
        <v>#VALUE!</v>
      </c>
      <c r="G23" s="260" t="e">
        <f>_xlfn.XLOOKUP(progress_tbl[[#This Row],[productId]],bom[Id],bom[نوع کابل],"NA")</f>
        <v>#VALUE!</v>
      </c>
      <c r="H23" s="260" t="e">
        <f>_xlfn.XLOOKUP(progress_tbl[[#This Row],[productId]],bom[Id],bom[strip],"NA")</f>
        <v>#VALUE!</v>
      </c>
      <c r="I23" s="181">
        <v>18000</v>
      </c>
      <c r="J23" s="344">
        <v>18000</v>
      </c>
      <c r="K23" s="182">
        <v>18000</v>
      </c>
      <c r="L23" s="183">
        <v>0</v>
      </c>
      <c r="M23" s="184">
        <v>0</v>
      </c>
      <c r="N23" s="185">
        <v>0</v>
      </c>
      <c r="O23" s="235"/>
      <c r="P23" s="236"/>
      <c r="Q23" s="237"/>
      <c r="R23" s="238"/>
      <c r="S23" s="238"/>
      <c r="T23" s="238"/>
      <c r="U23" s="238"/>
      <c r="V23" s="240"/>
      <c r="W23" s="241"/>
      <c r="X23" s="241"/>
      <c r="Y23" s="241"/>
      <c r="Z23" s="242"/>
      <c r="AA23" s="241"/>
      <c r="AB23" s="241"/>
      <c r="AC23" s="241"/>
      <c r="AD23" s="241"/>
      <c r="AE23" s="241"/>
      <c r="AF23" s="241"/>
      <c r="AG23" s="242"/>
      <c r="AH23" s="241"/>
      <c r="AI23" s="241"/>
      <c r="AJ23" s="241"/>
      <c r="AK23" s="241"/>
      <c r="AL23" s="241"/>
      <c r="AM23" s="241"/>
      <c r="AN23" s="242"/>
      <c r="AO23" s="241"/>
      <c r="AP23" s="241"/>
      <c r="AQ23" s="241"/>
      <c r="AR23" s="241"/>
      <c r="AS23" s="241"/>
      <c r="AT23" s="241"/>
      <c r="AU23" s="242"/>
      <c r="AV23" s="241"/>
      <c r="AW23" s="241"/>
      <c r="AX23" s="241"/>
      <c r="AY23" s="241"/>
      <c r="AZ23" s="241"/>
      <c r="BA23" s="164"/>
      <c r="BB23" s="112"/>
      <c r="BC23" s="112"/>
    </row>
    <row r="24" spans="1:59" s="113" customFormat="1" ht="24.95" customHeight="1" thickTop="1" thickBot="1" x14ac:dyDescent="0.3">
      <c r="A24" s="190">
        <v>140310007</v>
      </c>
      <c r="B24" s="266">
        <v>4</v>
      </c>
      <c r="C24" s="256" t="s">
        <v>55</v>
      </c>
      <c r="D24" s="257" t="s">
        <v>123</v>
      </c>
      <c r="E24" s="257" t="s">
        <v>166</v>
      </c>
      <c r="F24" s="261" t="s">
        <v>123</v>
      </c>
      <c r="G24" s="257" t="s">
        <v>311</v>
      </c>
      <c r="H24" s="257" t="s">
        <v>174</v>
      </c>
      <c r="I24" s="165">
        <v>60000</v>
      </c>
      <c r="J24" s="264">
        <v>60000</v>
      </c>
      <c r="K24" s="166">
        <v>60000</v>
      </c>
      <c r="L24" s="167">
        <v>0</v>
      </c>
      <c r="M24" s="168">
        <v>0</v>
      </c>
      <c r="N24" s="169">
        <v>0</v>
      </c>
      <c r="O24" s="235"/>
      <c r="P24" s="236"/>
      <c r="Q24" s="237"/>
      <c r="R24" s="238"/>
      <c r="S24" s="238"/>
      <c r="T24" s="238"/>
      <c r="U24" s="238"/>
      <c r="V24" s="240"/>
      <c r="W24" s="241"/>
      <c r="X24" s="241"/>
      <c r="Y24" s="241"/>
      <c r="Z24" s="242"/>
      <c r="AA24" s="241"/>
      <c r="AB24" s="241"/>
      <c r="AC24" s="241"/>
      <c r="AD24" s="241"/>
      <c r="AE24" s="241"/>
      <c r="AF24" s="241"/>
      <c r="AG24" s="242"/>
      <c r="AH24" s="241"/>
      <c r="AI24" s="241"/>
      <c r="AJ24" s="241"/>
      <c r="AK24" s="241"/>
      <c r="AL24" s="241"/>
      <c r="AM24" s="241"/>
      <c r="AN24" s="242"/>
      <c r="AO24" s="241"/>
      <c r="AP24" s="241"/>
      <c r="AQ24" s="241"/>
      <c r="AR24" s="241"/>
      <c r="AS24" s="241"/>
      <c r="AT24" s="241"/>
      <c r="AU24" s="242"/>
      <c r="AV24" s="241"/>
      <c r="AW24" s="241"/>
      <c r="AX24" s="241"/>
      <c r="AY24" s="241"/>
      <c r="AZ24" s="241"/>
      <c r="BA24" s="164"/>
      <c r="BB24" s="112"/>
      <c r="BC24" s="112"/>
    </row>
    <row r="25" spans="1:59" s="113" customFormat="1" ht="24.95" customHeight="1" thickTop="1" thickBot="1" x14ac:dyDescent="0.3">
      <c r="A25" s="190">
        <v>140310071</v>
      </c>
      <c r="B25" s="266">
        <v>3</v>
      </c>
      <c r="C25" s="256" t="s">
        <v>55</v>
      </c>
      <c r="D25" s="257" t="e">
        <v>#VALUE!</v>
      </c>
      <c r="E25" s="257" t="e">
        <v>#VALUE!</v>
      </c>
      <c r="F25" s="261" t="e">
        <v>#VALUE!</v>
      </c>
      <c r="G25" s="257" t="e">
        <v>#VALUE!</v>
      </c>
      <c r="H25" s="257" t="e">
        <v>#VALUE!</v>
      </c>
      <c r="I25" s="165">
        <v>70000</v>
      </c>
      <c r="J25" s="135">
        <v>70000</v>
      </c>
      <c r="K25" s="166">
        <v>70000</v>
      </c>
      <c r="L25" s="167">
        <v>0</v>
      </c>
      <c r="M25" s="168">
        <v>0</v>
      </c>
      <c r="N25" s="169">
        <v>0</v>
      </c>
      <c r="O25" s="235"/>
      <c r="P25" s="236"/>
      <c r="Q25" s="237"/>
      <c r="R25" s="238"/>
      <c r="S25" s="238"/>
      <c r="T25" s="238"/>
      <c r="U25" s="149"/>
      <c r="V25" s="240"/>
      <c r="W25" s="241"/>
      <c r="X25" s="241"/>
      <c r="Y25" s="241"/>
      <c r="Z25" s="242"/>
      <c r="AA25" s="241"/>
      <c r="AB25" s="241"/>
      <c r="AC25" s="241"/>
      <c r="AD25" s="241"/>
      <c r="AE25" s="241"/>
      <c r="AF25" s="241"/>
      <c r="AG25" s="242"/>
      <c r="AH25" s="241"/>
      <c r="AI25" s="241"/>
      <c r="AJ25" s="241"/>
      <c r="AK25" s="241"/>
      <c r="AL25" s="241"/>
      <c r="AM25" s="241"/>
      <c r="AN25" s="242"/>
      <c r="AO25" s="241"/>
      <c r="AP25" s="241"/>
      <c r="AQ25" s="241"/>
      <c r="AR25" s="241"/>
      <c r="AS25" s="241"/>
      <c r="AT25" s="241"/>
      <c r="AU25" s="242"/>
      <c r="AV25" s="241"/>
      <c r="AW25" s="241"/>
      <c r="AX25" s="241"/>
      <c r="AY25" s="241"/>
      <c r="AZ25" s="241"/>
      <c r="BA25" s="164"/>
      <c r="BB25" s="112"/>
      <c r="BC25" s="112"/>
    </row>
    <row r="26" spans="1:59" s="113" customFormat="1" ht="24.95" customHeight="1" thickTop="1" thickBot="1" x14ac:dyDescent="0.3">
      <c r="A26" s="190">
        <v>140450047</v>
      </c>
      <c r="B26" s="266">
        <v>4</v>
      </c>
      <c r="C26" s="256" t="s">
        <v>205</v>
      </c>
      <c r="D26" s="257" t="e">
        <f>_xlfn.XLOOKUP(progress_tbl[[#This Row],[productId]],bom[Id],bom[ph],"NA")</f>
        <v>#VALUE!</v>
      </c>
      <c r="E26" s="257" t="e">
        <f>_xlfn.XLOOKUP(progress_tbl[[#This Row],[productId]],bom[Id],bom[erth],"NA")</f>
        <v>#VALUE!</v>
      </c>
      <c r="F26" s="258" t="e">
        <f>_xlfn.XLOOKUP(progress_tbl[[#This Row],[productId]],bom[Id],bom[dbl],"NA")</f>
        <v>#VALUE!</v>
      </c>
      <c r="G26" s="257" t="e">
        <f>_xlfn.XLOOKUP(progress_tbl[[#This Row],[productId]],bom[Id],bom[نوع کابل],"NA")</f>
        <v>#VALUE!</v>
      </c>
      <c r="H26" s="257" t="e">
        <f>_xlfn.XLOOKUP(progress_tbl[[#This Row],[productId]],bom[Id],bom[strip],"NA")</f>
        <v>#VALUE!</v>
      </c>
      <c r="I26" s="165">
        <v>11000</v>
      </c>
      <c r="J26" s="264">
        <v>11000</v>
      </c>
      <c r="K26" s="166">
        <v>11024</v>
      </c>
      <c r="L26" s="167">
        <v>0</v>
      </c>
      <c r="M26" s="168">
        <v>24</v>
      </c>
      <c r="N26" s="169">
        <v>-24</v>
      </c>
      <c r="O26" s="235"/>
      <c r="P26" s="236"/>
      <c r="Q26" s="237"/>
      <c r="R26" s="238"/>
      <c r="S26" s="238"/>
      <c r="T26" s="238"/>
      <c r="U26" s="149"/>
      <c r="V26" s="240"/>
      <c r="W26" s="241"/>
      <c r="X26" s="241"/>
      <c r="Y26" s="241"/>
      <c r="Z26" s="242"/>
      <c r="AA26" s="241"/>
      <c r="AB26" s="241"/>
      <c r="AC26" s="241"/>
      <c r="AD26" s="241"/>
      <c r="AE26" s="241"/>
      <c r="AF26" s="241"/>
      <c r="AG26" s="242"/>
      <c r="AH26" s="241"/>
      <c r="AI26" s="241"/>
      <c r="AJ26" s="241"/>
      <c r="AK26" s="241"/>
      <c r="AL26" s="241"/>
      <c r="AM26" s="241"/>
      <c r="AN26" s="242"/>
      <c r="AO26" s="241"/>
      <c r="AP26" s="241"/>
      <c r="AQ26" s="241"/>
      <c r="AR26" s="241"/>
      <c r="AS26" s="241"/>
      <c r="AT26" s="241"/>
      <c r="AU26" s="242"/>
      <c r="AV26" s="241"/>
      <c r="AW26" s="241"/>
      <c r="AX26" s="241"/>
      <c r="AY26" s="241"/>
      <c r="AZ26" s="241"/>
      <c r="BA26" s="161"/>
      <c r="BB26" s="112"/>
      <c r="BC26" s="112"/>
    </row>
    <row r="27" spans="1:59" s="113" customFormat="1" ht="24.95" customHeight="1" thickTop="1" thickBot="1" x14ac:dyDescent="0.3">
      <c r="A27" s="190">
        <v>140010255</v>
      </c>
      <c r="B27" s="266">
        <v>6</v>
      </c>
      <c r="C27" s="256" t="s">
        <v>0</v>
      </c>
      <c r="D27" s="257" t="e">
        <f>_xlfn.XLOOKUP(progress_tbl[[#This Row],[productId]],bom[Id],bom[ph],"NA")</f>
        <v>#VALUE!</v>
      </c>
      <c r="E27" s="257" t="e">
        <f>_xlfn.XLOOKUP(progress_tbl[[#This Row],[productId]],bom[Id],bom[erth],"NA")</f>
        <v>#VALUE!</v>
      </c>
      <c r="F27" s="258" t="e">
        <f>_xlfn.XLOOKUP(progress_tbl[[#This Row],[productId]],bom[Id],bom[dbl],"NA")</f>
        <v>#VALUE!</v>
      </c>
      <c r="G27" s="257" t="e">
        <f>_xlfn.XLOOKUP(progress_tbl[[#This Row],[productId]],bom[Id],bom[نوع کابل],"NA")</f>
        <v>#VALUE!</v>
      </c>
      <c r="H27" s="257" t="e">
        <f>_xlfn.XLOOKUP(progress_tbl[[#This Row],[productId]],bom[Id],bom[strip],"NA")</f>
        <v>#VALUE!</v>
      </c>
      <c r="I27" s="165">
        <v>2800</v>
      </c>
      <c r="J27" s="264">
        <v>2800</v>
      </c>
      <c r="K27" s="166">
        <v>2800</v>
      </c>
      <c r="L27" s="167">
        <v>0</v>
      </c>
      <c r="M27" s="168">
        <v>0</v>
      </c>
      <c r="N27" s="169">
        <v>0</v>
      </c>
      <c r="O27" s="235"/>
      <c r="P27" s="236"/>
      <c r="Q27" s="237"/>
      <c r="R27" s="238"/>
      <c r="S27" s="238"/>
      <c r="T27" s="238"/>
      <c r="U27" s="149"/>
      <c r="V27" s="240"/>
      <c r="W27" s="241"/>
      <c r="X27" s="241"/>
      <c r="Y27" s="241"/>
      <c r="Z27" s="242"/>
      <c r="AA27" s="241"/>
      <c r="AB27" s="241"/>
      <c r="AC27" s="241"/>
      <c r="AD27" s="241"/>
      <c r="AE27" s="241"/>
      <c r="AF27" s="241"/>
      <c r="AG27" s="242"/>
      <c r="AH27" s="241"/>
      <c r="AI27" s="241"/>
      <c r="AJ27" s="241"/>
      <c r="AK27" s="241"/>
      <c r="AL27" s="241"/>
      <c r="AM27" s="241"/>
      <c r="AN27" s="242"/>
      <c r="AO27" s="241"/>
      <c r="AP27" s="241"/>
      <c r="AQ27" s="241"/>
      <c r="AR27" s="241"/>
      <c r="AS27" s="241"/>
      <c r="AT27" s="241"/>
      <c r="AU27" s="242"/>
      <c r="AV27" s="241"/>
      <c r="AW27" s="241"/>
      <c r="AX27" s="241"/>
      <c r="AY27" s="241"/>
      <c r="AZ27" s="241"/>
      <c r="BA27" s="111"/>
      <c r="BB27" s="112"/>
      <c r="BC27" s="112"/>
    </row>
    <row r="28" spans="1:59" s="113" customFormat="1" ht="24.95" customHeight="1" thickTop="1" thickBot="1" x14ac:dyDescent="0.3">
      <c r="A28" s="176">
        <v>140030039</v>
      </c>
      <c r="B28" s="266">
        <v>6</v>
      </c>
      <c r="C28" s="259" t="s">
        <v>1126</v>
      </c>
      <c r="D28" s="260" t="e">
        <f>_xlfn.XLOOKUP(progress_tbl[[#This Row],[productId]],bom[Id],bom[ph],"NA")</f>
        <v>#VALUE!</v>
      </c>
      <c r="E28" s="260" t="e">
        <f>_xlfn.XLOOKUP(progress_tbl[[#This Row],[productId]],bom[Id],bom[erth],"NA")</f>
        <v>#VALUE!</v>
      </c>
      <c r="F28" s="261" t="e">
        <f>_xlfn.XLOOKUP(progress_tbl[[#This Row],[productId]],bom[Id],bom[dbl],"NA")</f>
        <v>#VALUE!</v>
      </c>
      <c r="G28" s="260" t="e">
        <f>_xlfn.XLOOKUP(progress_tbl[[#This Row],[productId]],bom[Id],bom[نوع کابل],"NA")</f>
        <v>#VALUE!</v>
      </c>
      <c r="H28" s="260" t="e">
        <f>_xlfn.XLOOKUP(progress_tbl[[#This Row],[productId]],bom[Id],bom[strip],"NA")</f>
        <v>#VALUE!</v>
      </c>
      <c r="I28" s="181">
        <v>1800</v>
      </c>
      <c r="J28" s="344">
        <v>1800</v>
      </c>
      <c r="K28" s="182">
        <v>1800</v>
      </c>
      <c r="L28" s="183">
        <v>0</v>
      </c>
      <c r="M28" s="184">
        <v>0</v>
      </c>
      <c r="N28" s="185">
        <v>0</v>
      </c>
      <c r="O28" s="235"/>
      <c r="P28" s="236"/>
      <c r="Q28" s="237"/>
      <c r="R28" s="238"/>
      <c r="S28" s="238"/>
      <c r="T28" s="238"/>
      <c r="U28" s="238"/>
      <c r="V28" s="240"/>
      <c r="W28" s="241"/>
      <c r="X28" s="241"/>
      <c r="Y28" s="241"/>
      <c r="Z28" s="242"/>
      <c r="AA28" s="241"/>
      <c r="AB28" s="241"/>
      <c r="AC28" s="241"/>
      <c r="AD28" s="241"/>
      <c r="AE28" s="241"/>
      <c r="AF28" s="241"/>
      <c r="AG28" s="242"/>
      <c r="AH28" s="241"/>
      <c r="AI28" s="241"/>
      <c r="AJ28" s="241"/>
      <c r="AK28" s="241"/>
      <c r="AL28" s="241"/>
      <c r="AM28" s="241"/>
      <c r="AN28" s="242"/>
      <c r="AO28" s="241"/>
      <c r="AP28" s="241"/>
      <c r="AQ28" s="241"/>
      <c r="AR28" s="241"/>
      <c r="AS28" s="241"/>
      <c r="AT28" s="241"/>
      <c r="AU28" s="242"/>
      <c r="AV28" s="241"/>
      <c r="AW28" s="241"/>
      <c r="AX28" s="241"/>
      <c r="AY28" s="241"/>
      <c r="AZ28" s="241"/>
      <c r="BA28" s="111"/>
      <c r="BB28" s="112"/>
      <c r="BC28" s="112"/>
    </row>
    <row r="29" spans="1:59" s="113" customFormat="1" ht="24.95" customHeight="1" thickTop="1" thickBot="1" x14ac:dyDescent="0.3">
      <c r="A29" s="190">
        <v>140310031</v>
      </c>
      <c r="B29" s="473">
        <v>4</v>
      </c>
      <c r="C29" s="474" t="s">
        <v>55</v>
      </c>
      <c r="D29" s="257" t="e">
        <f>_xlfn.XLOOKUP(progress_tbl[[#This Row],[productId]],bom[Id],bom[ph],"NA")</f>
        <v>#VALUE!</v>
      </c>
      <c r="E29" s="257" t="e">
        <f>_xlfn.XLOOKUP(progress_tbl[[#This Row],[productId]],bom[Id],bom[erth],"NA")</f>
        <v>#VALUE!</v>
      </c>
      <c r="F29" s="257" t="e">
        <f>_xlfn.XLOOKUP(progress_tbl[[#This Row],[productId]],bom[Id],bom[dbl],"NA")</f>
        <v>#VALUE!</v>
      </c>
      <c r="G29" s="257" t="e">
        <f>_xlfn.XLOOKUP(progress_tbl[[#This Row],[productId]],bom[Id],bom[نوع کابل],"NA")</f>
        <v>#VALUE!</v>
      </c>
      <c r="H29" s="257" t="e">
        <f>_xlfn.XLOOKUP(progress_tbl[[#This Row],[productId]],bom[Id],bom[strip],"NA")</f>
        <v>#VALUE!</v>
      </c>
      <c r="I29" s="165">
        <v>8500</v>
      </c>
      <c r="J29" s="264">
        <v>8502</v>
      </c>
      <c r="K29" s="166">
        <v>8500</v>
      </c>
      <c r="L29" s="167">
        <v>2</v>
      </c>
      <c r="M29" s="168">
        <v>0</v>
      </c>
      <c r="N29" s="169">
        <v>2</v>
      </c>
      <c r="O29" s="235"/>
      <c r="P29" s="236"/>
      <c r="Q29" s="237"/>
      <c r="R29" s="238"/>
      <c r="S29" s="238"/>
      <c r="T29" s="238"/>
      <c r="U29" s="238"/>
      <c r="V29" s="240"/>
      <c r="W29" s="241"/>
      <c r="X29" s="241"/>
      <c r="Y29" s="241"/>
      <c r="Z29" s="242"/>
      <c r="AA29" s="241"/>
      <c r="AB29" s="241"/>
      <c r="AC29" s="241"/>
      <c r="AD29" s="241"/>
      <c r="AE29" s="241"/>
      <c r="AF29" s="241"/>
      <c r="AG29" s="242"/>
      <c r="AH29" s="241"/>
      <c r="AI29" s="241"/>
      <c r="AJ29" s="241"/>
      <c r="AK29" s="241"/>
      <c r="AL29" s="241"/>
      <c r="AM29" s="241"/>
      <c r="AN29" s="242"/>
      <c r="AO29" s="241"/>
      <c r="AP29" s="241"/>
      <c r="AQ29" s="241"/>
      <c r="AR29" s="241"/>
      <c r="AS29" s="241"/>
      <c r="AT29" s="241"/>
      <c r="AU29" s="242"/>
      <c r="AV29" s="241"/>
      <c r="AW29" s="241"/>
      <c r="AX29" s="241"/>
      <c r="AY29" s="241"/>
      <c r="AZ29" s="241"/>
      <c r="BA29" s="111"/>
      <c r="BB29" s="112"/>
      <c r="BC29" s="112"/>
    </row>
    <row r="30" spans="1:59" s="113" customFormat="1" ht="24.95" customHeight="1" thickTop="1" thickBot="1" x14ac:dyDescent="0.3">
      <c r="A30" s="475">
        <v>140310096</v>
      </c>
      <c r="B30" s="476">
        <v>6</v>
      </c>
      <c r="C30" s="477" t="s">
        <v>55</v>
      </c>
      <c r="D30" s="478" t="e">
        <f>_xlfn.XLOOKUP(progress_tbl[[#This Row],[productId]],bom[Id],bom[ph],"NA")</f>
        <v>#VALUE!</v>
      </c>
      <c r="E30" s="478" t="e">
        <f>_xlfn.XLOOKUP(progress_tbl[[#This Row],[productId]],bom[Id],bom[erth],"NA")</f>
        <v>#VALUE!</v>
      </c>
      <c r="F30" s="478" t="e">
        <f>_xlfn.XLOOKUP(progress_tbl[[#This Row],[productId]],bom[Id],bom[dbl],"NA")</f>
        <v>#VALUE!</v>
      </c>
      <c r="G30" s="257" t="e">
        <f>_xlfn.XLOOKUP(progress_tbl[[#This Row],[productId]],bom[Id],bom[نوع کابل],"NA")</f>
        <v>#VALUE!</v>
      </c>
      <c r="H30" s="257" t="e">
        <f>_xlfn.XLOOKUP(progress_tbl[[#This Row],[productId]],bom[Id],bom[strip],"NA")</f>
        <v>#VALUE!</v>
      </c>
      <c r="I30" s="479">
        <f>SUMIFS(plans[num],plans[productId],A30,plans[planId],B30)</f>
        <v>2500</v>
      </c>
      <c r="J30" s="135">
        <f>SUMIFS(cutts[num1],cutts[productId],A30,cutts[plan1],B30)+SUMIFS(cutts[num2],cutts[productId],A30,cutts[plan2],B30)</f>
        <v>2500</v>
      </c>
      <c r="K30" s="480">
        <f>SUMIFS(packes[num1],packes[productId],A30,packes[plan1],B30)+SUMIFS(packes[num2],packes[productId],A30,packes[plan2],B30)</f>
        <v>2500</v>
      </c>
      <c r="L30" s="481">
        <f>-I30+J30</f>
        <v>0</v>
      </c>
      <c r="M30" s="482">
        <f>K30-I30</f>
        <v>0</v>
      </c>
      <c r="N30" s="483">
        <f>J30-K30</f>
        <v>0</v>
      </c>
      <c r="O30" s="445" t="s">
        <v>1370</v>
      </c>
      <c r="P30" s="236"/>
      <c r="Q30" s="237"/>
      <c r="R30" s="238"/>
      <c r="S30" s="238"/>
      <c r="T30" s="238"/>
      <c r="U30" s="149"/>
      <c r="V30" s="240"/>
      <c r="W30" s="241"/>
      <c r="X30" s="241"/>
      <c r="Y30" s="241"/>
      <c r="Z30" s="242"/>
      <c r="AA30" s="241"/>
      <c r="AB30" s="241"/>
      <c r="AC30" s="241"/>
      <c r="AD30" s="241"/>
      <c r="AE30" s="241"/>
      <c r="AF30" s="241"/>
      <c r="AG30" s="242"/>
      <c r="AH30" s="241"/>
      <c r="AI30" s="241"/>
      <c r="AJ30" s="241"/>
      <c r="AK30" s="241"/>
      <c r="AL30" s="241"/>
      <c r="AM30" s="241"/>
      <c r="AN30" s="242"/>
      <c r="AO30" s="241"/>
      <c r="AP30" s="241"/>
      <c r="AQ30" s="241"/>
      <c r="AR30" s="241"/>
      <c r="AS30" s="241"/>
      <c r="AT30" s="241"/>
      <c r="AU30" s="242"/>
      <c r="AV30" s="241"/>
      <c r="AW30" s="241"/>
      <c r="AX30" s="241"/>
      <c r="AY30" s="241"/>
      <c r="AZ30" s="241"/>
      <c r="BA30" s="162"/>
      <c r="BB30" s="112"/>
      <c r="BC30" s="112"/>
    </row>
    <row r="31" spans="1:59" s="113" customFormat="1" ht="24.95" customHeight="1" thickTop="1" thickBot="1" x14ac:dyDescent="0.3">
      <c r="A31" s="310">
        <v>140310083</v>
      </c>
      <c r="B31" s="311">
        <v>3</v>
      </c>
      <c r="C31" s="312" t="s">
        <v>55</v>
      </c>
      <c r="D31" s="313" t="e">
        <v>#VALUE!</v>
      </c>
      <c r="E31" s="313" t="e">
        <v>#VALUE!</v>
      </c>
      <c r="F31" s="261" t="e">
        <v>#VALUE!</v>
      </c>
      <c r="G31" s="313" t="e">
        <v>#VALUE!</v>
      </c>
      <c r="H31" s="313" t="e">
        <v>#VALUE!</v>
      </c>
      <c r="I31" s="314">
        <v>30000</v>
      </c>
      <c r="J31" s="209">
        <v>30000</v>
      </c>
      <c r="K31" s="315">
        <v>30000</v>
      </c>
      <c r="L31" s="316">
        <v>0</v>
      </c>
      <c r="M31" s="317">
        <v>0</v>
      </c>
      <c r="N31" s="318">
        <v>0</v>
      </c>
      <c r="O31" s="235"/>
      <c r="P31" s="236"/>
      <c r="Q31" s="237"/>
      <c r="R31" s="238"/>
      <c r="S31" s="238"/>
      <c r="T31" s="238"/>
      <c r="U31" s="149"/>
      <c r="V31" s="240"/>
      <c r="W31" s="241"/>
      <c r="X31" s="241"/>
      <c r="Y31" s="241"/>
      <c r="Z31" s="242"/>
      <c r="AA31" s="241"/>
      <c r="AB31" s="241"/>
      <c r="AC31" s="241"/>
      <c r="AD31" s="241"/>
      <c r="AE31" s="241"/>
      <c r="AF31" s="241"/>
      <c r="AG31" s="242"/>
      <c r="AH31" s="241"/>
      <c r="AI31" s="241"/>
      <c r="AJ31" s="241"/>
      <c r="AK31" s="241"/>
      <c r="AL31" s="241"/>
      <c r="AM31" s="241"/>
      <c r="AN31" s="242"/>
      <c r="AO31" s="241"/>
      <c r="AP31" s="241"/>
      <c r="AQ31" s="241"/>
      <c r="AR31" s="241"/>
      <c r="AS31" s="241"/>
      <c r="AT31" s="241"/>
      <c r="AU31" s="242"/>
      <c r="AV31" s="241"/>
      <c r="AW31" s="241"/>
      <c r="AX31" s="241"/>
      <c r="AY31" s="241"/>
      <c r="AZ31" s="241"/>
      <c r="BA31" s="162"/>
      <c r="BB31" s="112"/>
      <c r="BC31" s="112"/>
    </row>
    <row r="32" spans="1:59" s="113" customFormat="1" ht="24.95" customHeight="1" thickTop="1" thickBot="1" x14ac:dyDescent="0.3">
      <c r="A32" s="310">
        <v>140640007</v>
      </c>
      <c r="B32" s="345">
        <v>2</v>
      </c>
      <c r="C32" s="346" t="s">
        <v>1095</v>
      </c>
      <c r="D32" s="313" t="e">
        <v>#VALUE!</v>
      </c>
      <c r="E32" s="313" t="e">
        <v>#VALUE!</v>
      </c>
      <c r="F32" s="313" t="e">
        <v>#VALUE!</v>
      </c>
      <c r="G32" s="313" t="e">
        <v>#VALUE!</v>
      </c>
      <c r="H32" s="313" t="e">
        <v>#VALUE!</v>
      </c>
      <c r="I32" s="314">
        <v>15000</v>
      </c>
      <c r="J32" s="209">
        <v>15070</v>
      </c>
      <c r="K32" s="315">
        <v>15000</v>
      </c>
      <c r="L32" s="316">
        <v>70</v>
      </c>
      <c r="M32" s="317">
        <v>0</v>
      </c>
      <c r="N32" s="318">
        <v>70</v>
      </c>
      <c r="O32" s="235"/>
      <c r="P32" s="236"/>
      <c r="Q32" s="237"/>
      <c r="R32" s="238"/>
      <c r="S32" s="238"/>
      <c r="T32" s="238"/>
      <c r="U32" s="149"/>
      <c r="V32" s="240"/>
      <c r="W32" s="241"/>
      <c r="X32" s="241"/>
      <c r="Y32" s="241"/>
      <c r="Z32" s="242"/>
      <c r="AA32" s="241"/>
      <c r="AB32" s="241"/>
      <c r="AC32" s="241"/>
      <c r="AD32" s="241"/>
      <c r="AE32" s="241"/>
      <c r="AF32" s="241"/>
      <c r="AG32" s="242"/>
      <c r="AH32" s="241"/>
      <c r="AI32" s="241"/>
      <c r="AJ32" s="241"/>
      <c r="AK32" s="241"/>
      <c r="AL32" s="241"/>
      <c r="AM32" s="241"/>
      <c r="AN32" s="242"/>
      <c r="AO32" s="241"/>
      <c r="AP32" s="241"/>
      <c r="AQ32" s="241"/>
      <c r="AR32" s="241"/>
      <c r="AS32" s="241"/>
      <c r="AT32" s="241"/>
      <c r="AU32" s="242"/>
      <c r="AV32" s="241"/>
      <c r="AW32" s="241"/>
      <c r="AX32" s="241"/>
      <c r="AY32" s="241"/>
      <c r="AZ32" s="241"/>
      <c r="BA32" s="162"/>
      <c r="BB32" s="112"/>
      <c r="BC32" s="112"/>
    </row>
    <row r="33" spans="1:86" s="113" customFormat="1" ht="24.95" customHeight="1" thickTop="1" thickBot="1" x14ac:dyDescent="0.3">
      <c r="A33" s="310">
        <v>140010117</v>
      </c>
      <c r="B33" s="345">
        <v>4</v>
      </c>
      <c r="C33" s="346" t="s">
        <v>0</v>
      </c>
      <c r="D33" s="313" t="e">
        <v>#VALUE!</v>
      </c>
      <c r="E33" s="313" t="e">
        <v>#VALUE!</v>
      </c>
      <c r="F33" s="313" t="e">
        <v>#VALUE!</v>
      </c>
      <c r="G33" s="313" t="e">
        <v>#VALUE!</v>
      </c>
      <c r="H33" s="313" t="e">
        <v>#VALUE!</v>
      </c>
      <c r="I33" s="314">
        <v>2000</v>
      </c>
      <c r="J33" s="319">
        <v>2075</v>
      </c>
      <c r="K33" s="315">
        <v>2000</v>
      </c>
      <c r="L33" s="316">
        <v>75</v>
      </c>
      <c r="M33" s="317">
        <v>0</v>
      </c>
      <c r="N33" s="318">
        <v>75</v>
      </c>
      <c r="O33" s="235"/>
      <c r="P33" s="236"/>
      <c r="Q33" s="237"/>
      <c r="R33" s="238"/>
      <c r="S33" s="238"/>
      <c r="T33" s="238"/>
      <c r="U33" s="149"/>
      <c r="V33" s="240"/>
      <c r="W33" s="241"/>
      <c r="X33" s="241"/>
      <c r="Y33" s="241"/>
      <c r="Z33" s="242"/>
      <c r="AA33" s="241"/>
      <c r="AB33" s="241"/>
      <c r="AC33" s="241"/>
      <c r="AD33" s="241"/>
      <c r="AE33" s="241"/>
      <c r="AF33" s="241"/>
      <c r="AG33" s="242"/>
      <c r="AH33" s="241"/>
      <c r="AI33" s="241"/>
      <c r="AJ33" s="241"/>
      <c r="AK33" s="241"/>
      <c r="AL33" s="241"/>
      <c r="AM33" s="241"/>
      <c r="AN33" s="242"/>
      <c r="AO33" s="241"/>
      <c r="AP33" s="241"/>
      <c r="AQ33" s="241"/>
      <c r="AR33" s="241"/>
      <c r="AS33" s="241"/>
      <c r="AT33" s="241"/>
      <c r="AU33" s="242"/>
      <c r="AV33" s="241"/>
      <c r="AW33" s="241"/>
      <c r="AX33" s="241"/>
      <c r="AY33" s="241"/>
      <c r="AZ33" s="241"/>
      <c r="BA33" s="162"/>
      <c r="BB33" s="112"/>
      <c r="BC33" s="112"/>
    </row>
    <row r="34" spans="1:86" s="113" customFormat="1" ht="24.95" customHeight="1" thickTop="1" thickBot="1" x14ac:dyDescent="0.3">
      <c r="A34" s="310">
        <v>140550019</v>
      </c>
      <c r="B34" s="345">
        <v>10</v>
      </c>
      <c r="C34" s="346" t="s">
        <v>74</v>
      </c>
      <c r="D34" s="313" t="e">
        <v>#VALUE!</v>
      </c>
      <c r="E34" s="313" t="e">
        <v>#VALUE!</v>
      </c>
      <c r="F34" s="313" t="e">
        <v>#VALUE!</v>
      </c>
      <c r="G34" s="313" t="e">
        <v>#VALUE!</v>
      </c>
      <c r="H34" s="313" t="e">
        <v>#VALUE!</v>
      </c>
      <c r="I34" s="314">
        <v>8864</v>
      </c>
      <c r="J34" s="319">
        <v>8888</v>
      </c>
      <c r="K34" s="315">
        <v>8864</v>
      </c>
      <c r="L34" s="316">
        <v>24</v>
      </c>
      <c r="M34" s="317">
        <v>0</v>
      </c>
      <c r="N34" s="318">
        <v>24</v>
      </c>
      <c r="O34" s="235"/>
      <c r="P34" s="236"/>
      <c r="Q34" s="237"/>
      <c r="R34" s="238"/>
      <c r="S34" s="238"/>
      <c r="T34" s="238"/>
      <c r="U34" s="149"/>
      <c r="V34" s="240"/>
      <c r="W34" s="241"/>
      <c r="X34" s="241"/>
      <c r="Y34" s="241"/>
      <c r="Z34" s="242"/>
      <c r="AA34" s="241"/>
      <c r="AB34" s="241"/>
      <c r="AC34" s="241"/>
      <c r="AD34" s="241"/>
      <c r="AE34" s="241"/>
      <c r="AF34" s="241"/>
      <c r="AG34" s="242"/>
      <c r="AH34" s="241"/>
      <c r="AI34" s="241"/>
      <c r="AJ34" s="241"/>
      <c r="AK34" s="241"/>
      <c r="AL34" s="241"/>
      <c r="AM34" s="241"/>
      <c r="AN34" s="242"/>
      <c r="AO34" s="241"/>
      <c r="AP34" s="241"/>
      <c r="AQ34" s="241"/>
      <c r="AR34" s="241"/>
      <c r="AS34" s="241"/>
      <c r="AT34" s="241"/>
      <c r="AU34" s="242"/>
      <c r="AV34" s="241"/>
      <c r="AW34" s="241"/>
      <c r="AX34" s="241"/>
      <c r="AY34" s="241"/>
      <c r="AZ34" s="241"/>
      <c r="BA34" s="162"/>
      <c r="BB34" s="112"/>
      <c r="BC34" s="112"/>
    </row>
    <row r="35" spans="1:86" s="113" customFormat="1" ht="24.95" customHeight="1" thickTop="1" thickBot="1" x14ac:dyDescent="0.3">
      <c r="A35" s="310">
        <v>140010230</v>
      </c>
      <c r="B35" s="345">
        <v>5</v>
      </c>
      <c r="C35" s="346" t="s">
        <v>0</v>
      </c>
      <c r="D35" s="313" t="e">
        <v>#VALUE!</v>
      </c>
      <c r="E35" s="313" t="e">
        <v>#VALUE!</v>
      </c>
      <c r="F35" s="313" t="e">
        <v>#VALUE!</v>
      </c>
      <c r="G35" s="313" t="e">
        <v>#VALUE!</v>
      </c>
      <c r="H35" s="313" t="e">
        <v>#VALUE!</v>
      </c>
      <c r="I35" s="314">
        <v>400</v>
      </c>
      <c r="J35" s="319">
        <v>403</v>
      </c>
      <c r="K35" s="315">
        <v>400</v>
      </c>
      <c r="L35" s="316">
        <v>3</v>
      </c>
      <c r="M35" s="317">
        <v>0</v>
      </c>
      <c r="N35" s="318">
        <v>3</v>
      </c>
      <c r="O35" s="235"/>
      <c r="P35" s="236"/>
      <c r="Q35" s="237"/>
      <c r="R35" s="238"/>
      <c r="S35" s="238"/>
      <c r="T35" s="238"/>
      <c r="U35" s="149"/>
      <c r="V35" s="240"/>
      <c r="W35" s="241"/>
      <c r="X35" s="241"/>
      <c r="Y35" s="241"/>
      <c r="Z35" s="242"/>
      <c r="AA35" s="241"/>
      <c r="AB35" s="241"/>
      <c r="AC35" s="241"/>
      <c r="AD35" s="241"/>
      <c r="AE35" s="241"/>
      <c r="AF35" s="241"/>
      <c r="AG35" s="242"/>
      <c r="AH35" s="241"/>
      <c r="AI35" s="241"/>
      <c r="AJ35" s="241"/>
      <c r="AK35" s="241"/>
      <c r="AL35" s="241"/>
      <c r="AM35" s="241"/>
      <c r="AN35" s="242"/>
      <c r="AO35" s="241"/>
      <c r="AP35" s="241"/>
      <c r="AQ35" s="241"/>
      <c r="AR35" s="241"/>
      <c r="AS35" s="241"/>
      <c r="AT35" s="241"/>
      <c r="AU35" s="242"/>
      <c r="AV35" s="241"/>
      <c r="AW35" s="241"/>
      <c r="AX35" s="241"/>
      <c r="AY35" s="241"/>
      <c r="AZ35" s="241"/>
      <c r="BA35" s="162"/>
      <c r="BB35" s="112"/>
      <c r="BC35" s="112"/>
    </row>
    <row r="36" spans="1:86" s="113" customFormat="1" ht="24.95" customHeight="1" thickTop="1" thickBot="1" x14ac:dyDescent="0.3">
      <c r="A36" s="234">
        <v>140010255</v>
      </c>
      <c r="B36" s="351">
        <v>5</v>
      </c>
      <c r="C36" s="346" t="s">
        <v>0</v>
      </c>
      <c r="D36" s="260" t="e">
        <v>#VALUE!</v>
      </c>
      <c r="E36" s="260" t="e">
        <v>#VALUE!</v>
      </c>
      <c r="F36" s="260" t="e">
        <v>#VALUE!</v>
      </c>
      <c r="G36" s="260" t="e">
        <v>#VALUE!</v>
      </c>
      <c r="H36" s="260" t="e">
        <v>#VALUE!</v>
      </c>
      <c r="I36" s="181">
        <v>700</v>
      </c>
      <c r="J36" s="344">
        <v>700</v>
      </c>
      <c r="K36" s="182">
        <v>700</v>
      </c>
      <c r="L36" s="183">
        <v>0</v>
      </c>
      <c r="M36" s="184">
        <v>0</v>
      </c>
      <c r="N36" s="185">
        <v>0</v>
      </c>
      <c r="O36" s="235"/>
      <c r="P36" s="236"/>
      <c r="Q36" s="237"/>
      <c r="R36" s="238"/>
      <c r="S36" s="238"/>
      <c r="T36" s="238"/>
      <c r="U36" s="149"/>
      <c r="V36" s="240"/>
      <c r="W36" s="241"/>
      <c r="X36" s="241"/>
      <c r="Y36" s="241"/>
      <c r="Z36" s="242"/>
      <c r="AA36" s="241"/>
      <c r="AB36" s="241"/>
      <c r="AC36" s="241"/>
      <c r="AD36" s="241"/>
      <c r="AE36" s="241"/>
      <c r="AF36" s="241"/>
      <c r="AG36" s="242"/>
      <c r="AH36" s="241"/>
      <c r="AI36" s="241"/>
      <c r="AJ36" s="241"/>
      <c r="AK36" s="241"/>
      <c r="AL36" s="241"/>
      <c r="AM36" s="241"/>
      <c r="AN36" s="242"/>
      <c r="AO36" s="241"/>
      <c r="AP36" s="241"/>
      <c r="AQ36" s="241"/>
      <c r="AR36" s="241"/>
      <c r="AS36" s="241"/>
      <c r="AT36" s="241"/>
      <c r="AU36" s="242"/>
      <c r="AV36" s="241"/>
      <c r="AW36" s="241"/>
      <c r="AX36" s="241"/>
      <c r="AY36" s="241"/>
      <c r="AZ36" s="241"/>
      <c r="BA36" s="162"/>
      <c r="BB36" s="112"/>
      <c r="BC36" s="112"/>
    </row>
    <row r="37" spans="1:86" s="113" customFormat="1" ht="24.95" customHeight="1" thickTop="1" thickBot="1" x14ac:dyDescent="0.3">
      <c r="A37" s="234">
        <v>140310058</v>
      </c>
      <c r="B37" s="311">
        <v>3</v>
      </c>
      <c r="C37" s="312" t="s">
        <v>55</v>
      </c>
      <c r="D37" s="260"/>
      <c r="E37" s="260"/>
      <c r="F37" s="261"/>
      <c r="G37" s="260"/>
      <c r="H37" s="260"/>
      <c r="I37" s="181">
        <v>4000</v>
      </c>
      <c r="J37" s="105">
        <v>4000</v>
      </c>
      <c r="K37" s="182">
        <v>3900</v>
      </c>
      <c r="L37" s="183">
        <v>0</v>
      </c>
      <c r="M37" s="184">
        <v>-100</v>
      </c>
      <c r="N37" s="185">
        <v>100</v>
      </c>
      <c r="O37" s="235"/>
      <c r="P37" s="236"/>
      <c r="Q37" s="237"/>
      <c r="R37" s="238"/>
      <c r="S37" s="238"/>
      <c r="T37" s="238"/>
      <c r="U37" s="149"/>
      <c r="V37" s="240"/>
      <c r="W37" s="241"/>
      <c r="X37" s="241"/>
      <c r="Y37" s="241"/>
      <c r="Z37" s="242"/>
      <c r="AA37" s="241"/>
      <c r="AB37" s="241"/>
      <c r="AC37" s="241"/>
      <c r="AD37" s="241"/>
      <c r="AE37" s="241"/>
      <c r="AF37" s="241"/>
      <c r="AG37" s="242"/>
      <c r="AH37" s="241"/>
      <c r="AI37" s="241"/>
      <c r="AJ37" s="241"/>
      <c r="AK37" s="241"/>
      <c r="AL37" s="241"/>
      <c r="AM37" s="241"/>
      <c r="AN37" s="242"/>
      <c r="AO37" s="241"/>
      <c r="AP37" s="241"/>
      <c r="AQ37" s="241"/>
      <c r="AR37" s="241"/>
      <c r="AS37" s="241"/>
      <c r="AT37" s="241"/>
      <c r="AU37" s="242"/>
      <c r="AV37" s="241"/>
      <c r="AW37" s="241"/>
      <c r="AX37" s="241"/>
      <c r="AY37" s="241"/>
      <c r="AZ37" s="241"/>
      <c r="BA37" s="162"/>
      <c r="BB37" s="157"/>
      <c r="BC37" s="158"/>
      <c r="BD37" s="158"/>
      <c r="BE37" s="158"/>
      <c r="BF37" s="162"/>
      <c r="BG37" s="158"/>
      <c r="BH37" s="158"/>
      <c r="BI37" s="158"/>
      <c r="BJ37" s="158"/>
      <c r="BK37" s="158"/>
      <c r="BL37" s="158"/>
      <c r="BM37" s="162"/>
      <c r="BN37" s="158"/>
      <c r="BO37" s="158"/>
      <c r="BP37" s="158"/>
      <c r="BQ37" s="158"/>
      <c r="BR37" s="158"/>
      <c r="BS37" s="158"/>
      <c r="BT37" s="158"/>
      <c r="BU37" s="158"/>
      <c r="BV37" s="158"/>
      <c r="BW37" s="158"/>
      <c r="BX37" s="158"/>
      <c r="BY37" s="158"/>
      <c r="BZ37" s="158"/>
      <c r="CA37" s="162"/>
      <c r="CB37" s="158"/>
      <c r="CC37" s="158"/>
      <c r="CD37" s="158"/>
      <c r="CE37" s="158"/>
      <c r="CF37" s="111"/>
      <c r="CG37" s="112"/>
      <c r="CH37" s="112"/>
    </row>
    <row r="38" spans="1:86" s="113" customFormat="1" ht="24.95" customHeight="1" thickTop="1" thickBot="1" x14ac:dyDescent="0.3">
      <c r="A38" s="234">
        <v>140010230</v>
      </c>
      <c r="B38" s="351">
        <v>4</v>
      </c>
      <c r="C38" s="259" t="s">
        <v>0</v>
      </c>
      <c r="D38" s="260"/>
      <c r="E38" s="260"/>
      <c r="F38" s="261"/>
      <c r="G38" s="260"/>
      <c r="H38" s="260"/>
      <c r="I38" s="181">
        <v>9000</v>
      </c>
      <c r="J38" s="344">
        <v>9000</v>
      </c>
      <c r="K38" s="182">
        <v>9000</v>
      </c>
      <c r="L38" s="183">
        <v>0</v>
      </c>
      <c r="M38" s="184">
        <v>0</v>
      </c>
      <c r="N38" s="185">
        <v>0</v>
      </c>
      <c r="O38" s="235"/>
      <c r="P38" s="236"/>
      <c r="Q38" s="237"/>
      <c r="R38" s="238"/>
      <c r="S38" s="238"/>
      <c r="T38" s="238"/>
      <c r="U38" s="149"/>
      <c r="V38" s="240"/>
      <c r="W38" s="241"/>
      <c r="X38" s="241"/>
      <c r="Y38" s="241"/>
      <c r="Z38" s="242"/>
      <c r="AA38" s="241"/>
      <c r="AB38" s="241"/>
      <c r="AC38" s="241"/>
      <c r="AD38" s="241"/>
      <c r="AE38" s="241"/>
      <c r="AF38" s="241"/>
      <c r="AG38" s="242"/>
      <c r="AH38" s="241"/>
      <c r="AI38" s="241"/>
      <c r="AJ38" s="241"/>
      <c r="AK38" s="241"/>
      <c r="AL38" s="241"/>
      <c r="AM38" s="241"/>
      <c r="AN38" s="242"/>
      <c r="AO38" s="241"/>
      <c r="AP38" s="241"/>
      <c r="AQ38" s="241"/>
      <c r="AR38" s="241"/>
      <c r="AS38" s="241"/>
      <c r="AT38" s="241"/>
      <c r="AU38" s="242"/>
      <c r="AV38" s="241"/>
      <c r="AW38" s="241"/>
      <c r="AX38" s="241"/>
      <c r="AY38" s="241"/>
      <c r="AZ38" s="241"/>
      <c r="BA38" s="152"/>
      <c r="BB38" s="157"/>
      <c r="BC38" s="158"/>
      <c r="BD38" s="158"/>
      <c r="BE38" s="158"/>
      <c r="BF38" s="162"/>
      <c r="BG38" s="158"/>
      <c r="BH38" s="158"/>
      <c r="BI38" s="158"/>
      <c r="BJ38" s="158"/>
      <c r="BK38" s="158"/>
      <c r="BL38" s="158"/>
      <c r="BM38" s="162"/>
      <c r="BN38" s="158"/>
      <c r="BO38" s="158"/>
      <c r="BP38" s="158"/>
      <c r="BQ38" s="158"/>
      <c r="BR38" s="158"/>
      <c r="BS38" s="158"/>
      <c r="BT38" s="158"/>
      <c r="BU38" s="158"/>
      <c r="BV38" s="158"/>
      <c r="BW38" s="158"/>
      <c r="BX38" s="158"/>
      <c r="BY38" s="158"/>
      <c r="BZ38" s="158"/>
      <c r="CA38" s="162"/>
      <c r="CB38" s="158"/>
      <c r="CC38" s="158"/>
      <c r="CD38" s="158"/>
      <c r="CE38" s="158"/>
      <c r="CF38" s="111"/>
      <c r="CG38" s="112"/>
      <c r="CH38" s="112"/>
    </row>
    <row r="39" spans="1:86" s="113" customFormat="1" ht="24.95" customHeight="1" thickTop="1" thickBot="1" x14ac:dyDescent="0.3">
      <c r="A39" s="436">
        <v>140530039</v>
      </c>
      <c r="B39" s="437">
        <v>3</v>
      </c>
      <c r="C39" s="356" t="s">
        <v>1195</v>
      </c>
      <c r="D39" s="438"/>
      <c r="E39" s="438"/>
      <c r="F39" s="321"/>
      <c r="G39" s="438"/>
      <c r="H39" s="438"/>
      <c r="I39" s="439">
        <v>20000</v>
      </c>
      <c r="J39" s="440">
        <v>20100</v>
      </c>
      <c r="K39" s="441">
        <v>20073</v>
      </c>
      <c r="L39" s="442">
        <v>100</v>
      </c>
      <c r="M39" s="443">
        <v>73</v>
      </c>
      <c r="N39" s="444">
        <v>27</v>
      </c>
      <c r="O39" s="235"/>
      <c r="P39" s="236"/>
      <c r="Q39" s="237"/>
      <c r="R39" s="238"/>
      <c r="S39" s="238"/>
      <c r="T39" s="238"/>
      <c r="U39" s="149"/>
      <c r="V39" s="240"/>
      <c r="W39" s="241"/>
      <c r="X39" s="241"/>
      <c r="Y39" s="241"/>
      <c r="Z39" s="242"/>
      <c r="AA39" s="241"/>
      <c r="AB39" s="241"/>
      <c r="AC39" s="241"/>
      <c r="AD39" s="241"/>
      <c r="AE39" s="241"/>
      <c r="AF39" s="241"/>
      <c r="AG39" s="241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152"/>
      <c r="BB39" s="157"/>
      <c r="BC39" s="158"/>
      <c r="BD39" s="158"/>
      <c r="BE39" s="158"/>
      <c r="BF39" s="162"/>
      <c r="BG39" s="158"/>
      <c r="BH39" s="158"/>
      <c r="BI39" s="158"/>
      <c r="BJ39" s="158"/>
      <c r="BK39" s="158"/>
      <c r="BL39" s="158"/>
      <c r="BM39" s="162"/>
      <c r="BN39" s="158"/>
      <c r="BO39" s="158"/>
      <c r="BP39" s="158"/>
      <c r="BQ39" s="158"/>
      <c r="BR39" s="158"/>
      <c r="BS39" s="158"/>
      <c r="BT39" s="158"/>
      <c r="BU39" s="158"/>
      <c r="BV39" s="158"/>
      <c r="BW39" s="158"/>
      <c r="BX39" s="158"/>
      <c r="BY39" s="158"/>
      <c r="BZ39" s="158"/>
      <c r="CA39" s="162"/>
      <c r="CB39" s="158"/>
      <c r="CC39" s="158"/>
      <c r="CD39" s="158"/>
      <c r="CE39" s="158"/>
      <c r="CF39" s="111"/>
      <c r="CG39" s="112"/>
      <c r="CH39" s="112"/>
    </row>
    <row r="40" spans="1:86" s="113" customFormat="1" ht="24.95" customHeight="1" thickTop="1" thickBot="1" x14ac:dyDescent="0.3">
      <c r="A40" s="310">
        <v>140030039</v>
      </c>
      <c r="B40" s="345">
        <v>4</v>
      </c>
      <c r="C40" s="346" t="s">
        <v>1126</v>
      </c>
      <c r="D40" s="313"/>
      <c r="E40" s="313"/>
      <c r="F40" s="261"/>
      <c r="G40" s="313"/>
      <c r="H40" s="313"/>
      <c r="I40" s="314">
        <v>5200</v>
      </c>
      <c r="J40" s="319">
        <v>5200</v>
      </c>
      <c r="K40" s="315">
        <v>5200</v>
      </c>
      <c r="L40" s="316">
        <v>0</v>
      </c>
      <c r="M40" s="317">
        <v>0</v>
      </c>
      <c r="N40" s="318">
        <v>0</v>
      </c>
      <c r="O40" s="235"/>
      <c r="P40" s="236"/>
      <c r="Q40" s="237"/>
      <c r="R40" s="238"/>
      <c r="S40" s="238"/>
      <c r="T40" s="238"/>
      <c r="U40" s="149"/>
      <c r="V40" s="240"/>
      <c r="W40" s="241"/>
      <c r="X40" s="241"/>
      <c r="Y40" s="241"/>
      <c r="Z40" s="242"/>
      <c r="AA40" s="241"/>
      <c r="AB40" s="241"/>
      <c r="AC40" s="241"/>
      <c r="AD40" s="241"/>
      <c r="AE40" s="241"/>
      <c r="AF40" s="241"/>
      <c r="AG40" s="241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152"/>
      <c r="BB40" s="157"/>
      <c r="BC40" s="158"/>
      <c r="BD40" s="158"/>
      <c r="BE40" s="158"/>
      <c r="BF40" s="162"/>
      <c r="BG40" s="158"/>
      <c r="BH40" s="158"/>
      <c r="BI40" s="158"/>
      <c r="BJ40" s="158"/>
      <c r="BK40" s="158"/>
      <c r="BL40" s="158"/>
      <c r="BM40" s="162"/>
      <c r="BN40" s="158"/>
      <c r="BO40" s="158"/>
      <c r="BP40" s="158"/>
      <c r="BQ40" s="158"/>
      <c r="BR40" s="158"/>
      <c r="BS40" s="158"/>
      <c r="BT40" s="158"/>
      <c r="BU40" s="158"/>
      <c r="BV40" s="158"/>
      <c r="BW40" s="158"/>
      <c r="BX40" s="158"/>
      <c r="BY40" s="158"/>
      <c r="BZ40" s="158"/>
      <c r="CA40" s="162"/>
      <c r="CB40" s="158"/>
      <c r="CC40" s="158"/>
      <c r="CD40" s="158"/>
      <c r="CE40" s="158"/>
      <c r="CF40" s="111"/>
      <c r="CG40" s="112"/>
      <c r="CH40" s="112"/>
    </row>
    <row r="41" spans="1:86" s="113" customFormat="1" ht="24.95" customHeight="1" thickTop="1" thickBot="1" x14ac:dyDescent="0.3">
      <c r="A41" s="234">
        <v>140030040</v>
      </c>
      <c r="B41" s="351">
        <v>4</v>
      </c>
      <c r="C41" s="352" t="s">
        <v>1126</v>
      </c>
      <c r="D41" s="260"/>
      <c r="E41" s="260"/>
      <c r="F41" s="261"/>
      <c r="G41" s="260"/>
      <c r="H41" s="260"/>
      <c r="I41" s="181">
        <v>6300</v>
      </c>
      <c r="J41" s="344">
        <v>6300</v>
      </c>
      <c r="K41" s="182">
        <v>6300</v>
      </c>
      <c r="L41" s="183">
        <v>0</v>
      </c>
      <c r="M41" s="184">
        <v>0</v>
      </c>
      <c r="N41" s="185">
        <v>0</v>
      </c>
      <c r="O41" s="235"/>
      <c r="P41" s="236"/>
      <c r="Q41" s="237"/>
      <c r="R41" s="238"/>
      <c r="S41" s="238"/>
      <c r="T41" s="238"/>
      <c r="U41" s="149"/>
      <c r="V41" s="240"/>
      <c r="W41" s="241"/>
      <c r="X41" s="241"/>
      <c r="Y41" s="241"/>
      <c r="Z41" s="242"/>
      <c r="AA41" s="241"/>
      <c r="AB41" s="241"/>
      <c r="AC41" s="241"/>
      <c r="AD41" s="241"/>
      <c r="AE41" s="241"/>
      <c r="AF41" s="241"/>
      <c r="AG41" s="241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152"/>
      <c r="BB41" s="157"/>
      <c r="BC41" s="158"/>
      <c r="BD41" s="158"/>
      <c r="BE41" s="158"/>
      <c r="BF41" s="162"/>
      <c r="BG41" s="158"/>
      <c r="BH41" s="158"/>
      <c r="BI41" s="158"/>
      <c r="BJ41" s="158"/>
      <c r="BK41" s="158"/>
      <c r="BL41" s="158"/>
      <c r="BM41" s="162"/>
      <c r="BN41" s="158"/>
      <c r="BO41" s="158"/>
      <c r="BP41" s="158"/>
      <c r="BQ41" s="158"/>
      <c r="BR41" s="158"/>
      <c r="BS41" s="158"/>
      <c r="BT41" s="158"/>
      <c r="BU41" s="158"/>
      <c r="BV41" s="158"/>
      <c r="BW41" s="158"/>
      <c r="BX41" s="158"/>
      <c r="BY41" s="158"/>
      <c r="BZ41" s="158"/>
      <c r="CA41" s="162"/>
      <c r="CB41" s="158"/>
      <c r="CC41" s="158"/>
      <c r="CD41" s="158"/>
      <c r="CE41" s="158"/>
      <c r="CF41" s="111"/>
      <c r="CG41" s="112"/>
      <c r="CH41" s="112"/>
    </row>
    <row r="42" spans="1:86" s="113" customFormat="1" ht="24.95" customHeight="1" thickTop="1" thickBot="1" x14ac:dyDescent="0.3">
      <c r="A42" s="310">
        <v>140010117</v>
      </c>
      <c r="B42" s="345">
        <v>3</v>
      </c>
      <c r="C42" s="346" t="s">
        <v>0</v>
      </c>
      <c r="D42" s="313"/>
      <c r="E42" s="313"/>
      <c r="F42" s="261"/>
      <c r="G42" s="313"/>
      <c r="H42" s="313"/>
      <c r="I42" s="314">
        <v>12000</v>
      </c>
      <c r="J42" s="209">
        <v>12000</v>
      </c>
      <c r="K42" s="315">
        <v>12000</v>
      </c>
      <c r="L42" s="316">
        <v>0</v>
      </c>
      <c r="M42" s="317">
        <v>0</v>
      </c>
      <c r="N42" s="318">
        <v>0</v>
      </c>
      <c r="O42" s="219"/>
      <c r="P42" s="146"/>
      <c r="Q42" s="147"/>
      <c r="R42" s="148"/>
      <c r="S42" s="149"/>
      <c r="T42" s="149"/>
      <c r="U42" s="149"/>
      <c r="V42" s="152"/>
      <c r="W42" s="151"/>
      <c r="X42" s="152"/>
      <c r="Y42" s="152"/>
      <c r="Z42" s="152"/>
      <c r="AA42" s="154"/>
      <c r="AB42" s="152"/>
      <c r="AC42" s="152"/>
      <c r="AD42" s="152"/>
      <c r="AE42" s="152"/>
      <c r="AF42" s="152"/>
      <c r="AG42" s="152"/>
      <c r="AH42" s="152"/>
      <c r="AI42" s="152"/>
      <c r="AJ42" s="152"/>
      <c r="AK42" s="152"/>
      <c r="AL42" s="152"/>
      <c r="AM42" s="152"/>
      <c r="AN42" s="152"/>
      <c r="AO42" s="152"/>
      <c r="AP42" s="152"/>
      <c r="AQ42" s="152"/>
      <c r="AR42" s="152"/>
      <c r="AS42" s="152"/>
      <c r="AT42" s="152"/>
      <c r="AU42" s="152"/>
      <c r="AV42" s="152"/>
      <c r="AW42" s="152"/>
      <c r="AX42" s="152"/>
      <c r="AY42" s="152"/>
      <c r="AZ42" s="151"/>
      <c r="BA42" s="152"/>
      <c r="BB42" s="157"/>
      <c r="BC42" s="158"/>
      <c r="BD42" s="158"/>
      <c r="BE42" s="158"/>
      <c r="BF42" s="162"/>
      <c r="BG42" s="158"/>
      <c r="BH42" s="158"/>
      <c r="BI42" s="158"/>
      <c r="BJ42" s="158"/>
      <c r="BK42" s="158"/>
      <c r="BL42" s="158"/>
      <c r="BM42" s="162"/>
      <c r="BN42" s="158"/>
      <c r="BO42" s="158"/>
      <c r="BP42" s="158"/>
      <c r="BQ42" s="158"/>
      <c r="BR42" s="158"/>
      <c r="BS42" s="158"/>
      <c r="BT42" s="158"/>
      <c r="BU42" s="158"/>
      <c r="BV42" s="158"/>
      <c r="BW42" s="158"/>
      <c r="BX42" s="158"/>
      <c r="BY42" s="158"/>
      <c r="BZ42" s="158"/>
      <c r="CA42" s="162"/>
      <c r="CB42" s="158"/>
      <c r="CC42" s="158"/>
      <c r="CD42" s="158"/>
      <c r="CE42" s="158"/>
      <c r="CF42" s="111"/>
      <c r="CG42" s="112"/>
      <c r="CH42" s="112"/>
    </row>
    <row r="43" spans="1:86" s="113" customFormat="1" ht="24.95" customHeight="1" thickTop="1" thickBot="1" x14ac:dyDescent="0.3">
      <c r="A43" s="347">
        <v>141320055</v>
      </c>
      <c r="B43" s="348">
        <v>3</v>
      </c>
      <c r="C43" s="349" t="s">
        <v>1194</v>
      </c>
      <c r="D43" s="327"/>
      <c r="E43" s="327"/>
      <c r="F43" s="321"/>
      <c r="G43" s="327"/>
      <c r="H43" s="327"/>
      <c r="I43" s="329">
        <v>15000</v>
      </c>
      <c r="J43" s="350">
        <v>15000</v>
      </c>
      <c r="K43" s="331">
        <v>15000</v>
      </c>
      <c r="L43" s="332">
        <v>0</v>
      </c>
      <c r="M43" s="333">
        <v>0</v>
      </c>
      <c r="N43" s="334">
        <v>0</v>
      </c>
      <c r="O43" s="219"/>
      <c r="P43" s="146"/>
      <c r="Q43" s="147"/>
      <c r="R43" s="148"/>
      <c r="S43" s="149"/>
      <c r="T43" s="149"/>
      <c r="U43" s="149"/>
      <c r="V43" s="152"/>
      <c r="W43" s="151"/>
      <c r="X43" s="152"/>
      <c r="Y43" s="152"/>
      <c r="Z43" s="152"/>
      <c r="AA43" s="154"/>
      <c r="AB43" s="152"/>
      <c r="AC43" s="152"/>
      <c r="AD43" s="152"/>
      <c r="AE43" s="152"/>
      <c r="AF43" s="152"/>
      <c r="AG43" s="152"/>
      <c r="AH43" s="152"/>
      <c r="AI43" s="152"/>
      <c r="AJ43" s="152"/>
      <c r="AK43" s="152"/>
      <c r="AL43" s="152"/>
      <c r="AM43" s="152"/>
      <c r="AN43" s="152"/>
      <c r="AO43" s="152"/>
      <c r="AP43" s="152"/>
      <c r="AQ43" s="152"/>
      <c r="AR43" s="152"/>
      <c r="AS43" s="152"/>
      <c r="AT43" s="152"/>
      <c r="AU43" s="152"/>
      <c r="AV43" s="152"/>
      <c r="AW43" s="152"/>
      <c r="AX43" s="152"/>
      <c r="AY43" s="152"/>
      <c r="AZ43" s="151"/>
      <c r="BA43" s="152"/>
      <c r="BB43" s="157"/>
      <c r="BC43" s="158"/>
      <c r="BD43" s="158"/>
      <c r="BE43" s="158"/>
      <c r="BF43" s="162"/>
      <c r="BG43" s="158"/>
      <c r="BH43" s="158"/>
      <c r="BI43" s="158"/>
      <c r="BJ43" s="158"/>
      <c r="BK43" s="158"/>
      <c r="BL43" s="158"/>
      <c r="BM43" s="162"/>
      <c r="BN43" s="158"/>
      <c r="BO43" s="158"/>
      <c r="BP43" s="158"/>
      <c r="BQ43" s="158"/>
      <c r="BR43" s="158"/>
      <c r="BS43" s="158"/>
      <c r="BT43" s="158"/>
      <c r="BU43" s="158"/>
      <c r="BV43" s="158"/>
      <c r="BW43" s="158"/>
      <c r="BX43" s="158"/>
      <c r="BY43" s="158"/>
      <c r="BZ43" s="158"/>
      <c r="CA43" s="162"/>
      <c r="CB43" s="158"/>
      <c r="CC43" s="158"/>
      <c r="CD43" s="158"/>
      <c r="CE43" s="158"/>
      <c r="CF43" s="111"/>
      <c r="CG43" s="112"/>
      <c r="CH43" s="112"/>
    </row>
    <row r="44" spans="1:86" s="113" customFormat="1" ht="24.95" customHeight="1" thickTop="1" thickBot="1" x14ac:dyDescent="0.3">
      <c r="A44" s="310">
        <v>140010255</v>
      </c>
      <c r="B44" s="345">
        <v>4</v>
      </c>
      <c r="C44" s="346" t="s">
        <v>0</v>
      </c>
      <c r="D44" s="313"/>
      <c r="E44" s="313"/>
      <c r="F44" s="261"/>
      <c r="G44" s="313"/>
      <c r="H44" s="313"/>
      <c r="I44" s="314">
        <v>500</v>
      </c>
      <c r="J44" s="319">
        <v>500</v>
      </c>
      <c r="K44" s="315">
        <v>500</v>
      </c>
      <c r="L44" s="316">
        <v>0</v>
      </c>
      <c r="M44" s="317">
        <v>0</v>
      </c>
      <c r="N44" s="318">
        <v>0</v>
      </c>
      <c r="O44" s="219"/>
      <c r="P44" s="146"/>
      <c r="Q44" s="147"/>
      <c r="R44" s="148"/>
      <c r="S44" s="149"/>
      <c r="T44" s="149"/>
      <c r="U44" s="149"/>
      <c r="V44" s="152"/>
      <c r="W44" s="151"/>
      <c r="X44" s="152"/>
      <c r="Y44" s="152"/>
      <c r="Z44" s="152"/>
      <c r="AA44" s="154"/>
      <c r="AB44" s="152"/>
      <c r="AC44" s="152"/>
      <c r="AD44" s="152"/>
      <c r="AE44" s="152"/>
      <c r="AF44" s="152"/>
      <c r="AG44" s="152"/>
      <c r="AH44" s="152"/>
      <c r="AI44" s="152"/>
      <c r="AJ44" s="152"/>
      <c r="AK44" s="152"/>
      <c r="AL44" s="152"/>
      <c r="AM44" s="152"/>
      <c r="AN44" s="152"/>
      <c r="AO44" s="152"/>
      <c r="AP44" s="152"/>
      <c r="AQ44" s="152"/>
      <c r="AR44" s="152"/>
      <c r="AS44" s="152"/>
      <c r="AT44" s="152"/>
      <c r="AU44" s="152"/>
      <c r="AV44" s="152"/>
      <c r="AW44" s="152"/>
      <c r="AX44" s="152"/>
      <c r="AY44" s="152"/>
      <c r="AZ44" s="151"/>
      <c r="BA44" s="152"/>
      <c r="BB44" s="157"/>
      <c r="BC44" s="158"/>
      <c r="BD44" s="158"/>
      <c r="BE44" s="158"/>
      <c r="BF44" s="162"/>
      <c r="BG44" s="158"/>
      <c r="BH44" s="158"/>
      <c r="BI44" s="158"/>
      <c r="BJ44" s="158"/>
      <c r="BK44" s="158"/>
      <c r="BL44" s="158"/>
      <c r="BM44" s="162"/>
      <c r="BN44" s="158"/>
      <c r="BO44" s="158"/>
      <c r="BP44" s="158"/>
      <c r="BQ44" s="158"/>
      <c r="BR44" s="158"/>
      <c r="BS44" s="158"/>
      <c r="BT44" s="158"/>
      <c r="BU44" s="158"/>
      <c r="BV44" s="158"/>
      <c r="BW44" s="158"/>
      <c r="BX44" s="158"/>
      <c r="BY44" s="158"/>
      <c r="BZ44" s="158"/>
      <c r="CA44" s="162"/>
      <c r="CB44" s="158"/>
      <c r="CC44" s="158"/>
      <c r="CD44" s="158"/>
      <c r="CE44" s="158"/>
      <c r="CF44" s="111"/>
      <c r="CG44" s="112"/>
      <c r="CH44" s="112"/>
    </row>
    <row r="45" spans="1:86" s="113" customFormat="1" ht="24.95" customHeight="1" thickTop="1" thickBot="1" x14ac:dyDescent="0.3">
      <c r="A45" s="234">
        <v>140310096</v>
      </c>
      <c r="B45" s="351">
        <v>3</v>
      </c>
      <c r="C45" s="352" t="s">
        <v>55</v>
      </c>
      <c r="D45" s="260"/>
      <c r="E45" s="260"/>
      <c r="F45" s="260"/>
      <c r="G45" s="260"/>
      <c r="H45" s="260"/>
      <c r="I45" s="181">
        <v>4000</v>
      </c>
      <c r="J45" s="105">
        <v>4000</v>
      </c>
      <c r="K45" s="182">
        <v>4007</v>
      </c>
      <c r="L45" s="183">
        <v>0</v>
      </c>
      <c r="M45" s="184">
        <v>7</v>
      </c>
      <c r="N45" s="185">
        <v>-7</v>
      </c>
      <c r="O45" s="219"/>
      <c r="P45" s="146"/>
      <c r="Q45" s="147"/>
      <c r="R45" s="148"/>
      <c r="S45" s="149"/>
      <c r="T45" s="149"/>
      <c r="U45" s="149"/>
      <c r="V45" s="152"/>
      <c r="W45" s="151"/>
      <c r="X45" s="152"/>
      <c r="Y45" s="152"/>
      <c r="Z45" s="152"/>
      <c r="AA45" s="154"/>
      <c r="AB45" s="152"/>
      <c r="AC45" s="152"/>
      <c r="AD45" s="152"/>
      <c r="AE45" s="152"/>
      <c r="AF45" s="152"/>
      <c r="AG45" s="152"/>
      <c r="AH45" s="152"/>
      <c r="AI45" s="152"/>
      <c r="AJ45" s="152"/>
      <c r="AK45" s="152"/>
      <c r="AL45" s="152"/>
      <c r="AM45" s="152"/>
      <c r="AN45" s="152"/>
      <c r="AO45" s="152"/>
      <c r="AP45" s="152"/>
      <c r="AQ45" s="152"/>
      <c r="AR45" s="152"/>
      <c r="AS45" s="152"/>
      <c r="AT45" s="152"/>
      <c r="AU45" s="152"/>
      <c r="AV45" s="152"/>
      <c r="AW45" s="152"/>
      <c r="AX45" s="152"/>
      <c r="AY45" s="152"/>
      <c r="AZ45" s="151"/>
      <c r="BA45" s="152"/>
      <c r="BB45" s="151"/>
      <c r="BC45" s="152"/>
      <c r="BD45" s="152"/>
      <c r="BE45" s="152"/>
      <c r="BF45" s="154"/>
      <c r="BG45" s="152"/>
      <c r="BH45" s="152"/>
      <c r="BI45" s="152"/>
      <c r="BJ45" s="152"/>
      <c r="BK45" s="152"/>
      <c r="BL45" s="152"/>
      <c r="BM45" s="152"/>
      <c r="BN45" s="152"/>
      <c r="BO45" s="152"/>
      <c r="BP45" s="152"/>
      <c r="BQ45" s="152"/>
      <c r="BR45" s="152"/>
      <c r="BS45" s="152"/>
      <c r="BT45" s="152"/>
      <c r="BU45" s="152"/>
      <c r="BV45" s="152"/>
      <c r="BW45" s="152"/>
      <c r="BX45" s="152"/>
      <c r="BY45" s="152"/>
      <c r="BZ45" s="152"/>
      <c r="CA45" s="152"/>
      <c r="CB45" s="152"/>
      <c r="CC45" s="152"/>
      <c r="CD45" s="152"/>
      <c r="CE45" s="151"/>
      <c r="CF45" s="111"/>
      <c r="CG45" s="112"/>
      <c r="CH45" s="112"/>
    </row>
    <row r="46" spans="1:86" s="113" customFormat="1" ht="24.95" customHeight="1" thickTop="1" thickBot="1" x14ac:dyDescent="0.3">
      <c r="A46" s="324">
        <v>141320055</v>
      </c>
      <c r="B46" s="325">
        <v>2</v>
      </c>
      <c r="C46" s="326" t="s">
        <v>1045</v>
      </c>
      <c r="D46" s="327"/>
      <c r="E46" s="327"/>
      <c r="F46" s="328"/>
      <c r="G46" s="327"/>
      <c r="H46" s="327"/>
      <c r="I46" s="329">
        <v>45000</v>
      </c>
      <c r="J46" s="330">
        <v>45000</v>
      </c>
      <c r="K46" s="331">
        <v>45000</v>
      </c>
      <c r="L46" s="332">
        <v>0</v>
      </c>
      <c r="M46" s="333">
        <v>0</v>
      </c>
      <c r="N46" s="334">
        <v>0</v>
      </c>
      <c r="O46" s="219"/>
      <c r="P46" s="146"/>
      <c r="Q46" s="147"/>
      <c r="R46" s="148"/>
      <c r="S46" s="149"/>
      <c r="T46" s="149"/>
      <c r="U46" s="149"/>
      <c r="V46" s="152"/>
      <c r="W46" s="151"/>
      <c r="X46" s="152"/>
      <c r="Y46" s="152"/>
      <c r="Z46" s="152"/>
      <c r="AA46" s="154"/>
      <c r="AB46" s="152"/>
      <c r="AC46" s="152"/>
      <c r="AD46" s="152"/>
      <c r="AE46" s="152"/>
      <c r="AF46" s="152"/>
      <c r="AG46" s="152"/>
      <c r="AH46" s="152"/>
      <c r="AI46" s="152"/>
      <c r="AJ46" s="152"/>
      <c r="AK46" s="152"/>
      <c r="AL46" s="152"/>
      <c r="AM46" s="152"/>
      <c r="AN46" s="152"/>
      <c r="AO46" s="152"/>
      <c r="AP46" s="152"/>
      <c r="AQ46" s="152"/>
      <c r="AR46" s="152"/>
      <c r="AS46" s="152"/>
      <c r="AT46" s="152"/>
      <c r="AU46" s="152"/>
      <c r="AV46" s="152"/>
      <c r="AW46" s="152"/>
      <c r="AX46" s="152"/>
      <c r="AY46" s="152"/>
      <c r="AZ46" s="151"/>
      <c r="BA46" s="152"/>
      <c r="BB46" s="151"/>
      <c r="BC46" s="152"/>
      <c r="BD46" s="152"/>
      <c r="BE46" s="152"/>
      <c r="BF46" s="154"/>
      <c r="BG46" s="152"/>
      <c r="BH46" s="152"/>
      <c r="BI46" s="152"/>
      <c r="BJ46" s="152"/>
      <c r="BK46" s="152"/>
      <c r="BL46" s="152"/>
      <c r="BM46" s="152"/>
      <c r="BN46" s="152"/>
      <c r="BO46" s="152"/>
      <c r="BP46" s="152"/>
      <c r="BQ46" s="152"/>
      <c r="BR46" s="152"/>
      <c r="BS46" s="152"/>
      <c r="BT46" s="152"/>
      <c r="BU46" s="152"/>
      <c r="BV46" s="152"/>
      <c r="BW46" s="152"/>
      <c r="BX46" s="152"/>
      <c r="BY46" s="152"/>
      <c r="BZ46" s="152"/>
      <c r="CA46" s="152"/>
      <c r="CB46" s="152"/>
      <c r="CC46" s="152"/>
      <c r="CD46" s="152"/>
      <c r="CE46" s="151"/>
      <c r="CF46" s="111"/>
      <c r="CG46" s="112"/>
      <c r="CH46" s="112"/>
    </row>
    <row r="47" spans="1:86" s="113" customFormat="1" ht="24.95" customHeight="1" thickTop="1" thickBot="1" x14ac:dyDescent="0.3">
      <c r="A47" s="234">
        <v>140310007</v>
      </c>
      <c r="B47" s="267">
        <v>3</v>
      </c>
      <c r="C47" s="259" t="s">
        <v>55</v>
      </c>
      <c r="D47" s="260"/>
      <c r="E47" s="260"/>
      <c r="F47" s="261"/>
      <c r="G47" s="260"/>
      <c r="H47" s="260"/>
      <c r="I47" s="181">
        <v>10000</v>
      </c>
      <c r="J47" s="105">
        <v>10010</v>
      </c>
      <c r="K47" s="182">
        <v>10000</v>
      </c>
      <c r="L47" s="183">
        <v>10</v>
      </c>
      <c r="M47" s="184">
        <v>0</v>
      </c>
      <c r="N47" s="185">
        <v>10</v>
      </c>
      <c r="O47" s="219"/>
      <c r="P47" s="146"/>
      <c r="Q47" s="147"/>
      <c r="R47" s="148"/>
      <c r="S47" s="149"/>
      <c r="T47" s="149"/>
      <c r="U47" s="149"/>
      <c r="V47" s="152"/>
      <c r="W47" s="151"/>
      <c r="X47" s="152"/>
      <c r="Y47" s="152"/>
      <c r="Z47" s="152"/>
      <c r="AA47" s="154"/>
      <c r="AB47" s="152"/>
      <c r="AC47" s="152"/>
      <c r="AD47" s="152"/>
      <c r="AE47" s="152"/>
      <c r="AF47" s="152"/>
      <c r="AG47" s="152"/>
      <c r="AH47" s="152"/>
      <c r="AI47" s="152"/>
      <c r="AJ47" s="152"/>
      <c r="AK47" s="152"/>
      <c r="AL47" s="152"/>
      <c r="AM47" s="152"/>
      <c r="AN47" s="152"/>
      <c r="AO47" s="152"/>
      <c r="AP47" s="152"/>
      <c r="AQ47" s="152"/>
      <c r="AR47" s="152"/>
      <c r="AS47" s="152"/>
      <c r="AT47" s="152"/>
      <c r="AU47" s="152"/>
      <c r="AV47" s="152"/>
      <c r="AW47" s="152"/>
      <c r="AX47" s="152"/>
      <c r="AY47" s="152"/>
      <c r="AZ47" s="151"/>
      <c r="BA47" s="152"/>
      <c r="BB47" s="151"/>
      <c r="BC47" s="152"/>
      <c r="BD47" s="152"/>
      <c r="BE47" s="152"/>
      <c r="BF47" s="154"/>
      <c r="BG47" s="152"/>
      <c r="BH47" s="152"/>
      <c r="BI47" s="152"/>
      <c r="BJ47" s="152"/>
      <c r="BK47" s="152"/>
      <c r="BL47" s="152"/>
      <c r="BM47" s="152"/>
      <c r="BN47" s="152"/>
      <c r="BO47" s="152"/>
      <c r="BP47" s="152"/>
      <c r="BQ47" s="152"/>
      <c r="BR47" s="152"/>
      <c r="BS47" s="152"/>
      <c r="BT47" s="152"/>
      <c r="BU47" s="152"/>
      <c r="BV47" s="152"/>
      <c r="BW47" s="152"/>
      <c r="BX47" s="152"/>
      <c r="BY47" s="152"/>
      <c r="BZ47" s="152"/>
      <c r="CA47" s="152"/>
      <c r="CB47" s="152"/>
      <c r="CC47" s="152"/>
      <c r="CD47" s="152"/>
      <c r="CE47" s="151"/>
      <c r="CF47" s="111"/>
      <c r="CG47" s="112"/>
      <c r="CH47" s="112"/>
    </row>
    <row r="48" spans="1:86" s="113" customFormat="1" ht="24.95" customHeight="1" thickTop="1" thickBot="1" x14ac:dyDescent="0.3">
      <c r="A48" s="310">
        <v>140030040</v>
      </c>
      <c r="B48" s="311">
        <v>3</v>
      </c>
      <c r="C48" s="312" t="s">
        <v>1126</v>
      </c>
      <c r="D48" s="313"/>
      <c r="E48" s="313"/>
      <c r="F48" s="320"/>
      <c r="G48" s="313"/>
      <c r="H48" s="313"/>
      <c r="I48" s="314">
        <v>4400</v>
      </c>
      <c r="J48" s="319">
        <v>4400</v>
      </c>
      <c r="K48" s="315">
        <v>4400</v>
      </c>
      <c r="L48" s="316">
        <v>0</v>
      </c>
      <c r="M48" s="317">
        <v>0</v>
      </c>
      <c r="N48" s="318">
        <v>0</v>
      </c>
      <c r="O48" s="219"/>
      <c r="P48" s="146"/>
      <c r="Q48" s="147"/>
      <c r="R48" s="148"/>
      <c r="S48" s="149"/>
      <c r="T48" s="149"/>
      <c r="U48" s="149"/>
      <c r="V48" s="152"/>
      <c r="W48" s="151"/>
      <c r="X48" s="152"/>
      <c r="Y48" s="152"/>
      <c r="Z48" s="152"/>
      <c r="AA48" s="154"/>
      <c r="AB48" s="152"/>
      <c r="AC48" s="152"/>
      <c r="AD48" s="152"/>
      <c r="AE48" s="152"/>
      <c r="AF48" s="152"/>
      <c r="AG48" s="152"/>
      <c r="AH48" s="152"/>
      <c r="AI48" s="152"/>
      <c r="AJ48" s="152"/>
      <c r="AK48" s="152"/>
      <c r="AL48" s="152"/>
      <c r="AM48" s="152"/>
      <c r="AN48" s="152"/>
      <c r="AO48" s="152"/>
      <c r="AP48" s="152"/>
      <c r="AQ48" s="152"/>
      <c r="AR48" s="152"/>
      <c r="AS48" s="152"/>
      <c r="AT48" s="152"/>
      <c r="AU48" s="152"/>
      <c r="AV48" s="152"/>
      <c r="AW48" s="152"/>
      <c r="AX48" s="152"/>
      <c r="AY48" s="152"/>
      <c r="AZ48" s="151"/>
      <c r="BA48" s="152"/>
      <c r="BB48" s="151"/>
      <c r="BC48" s="152"/>
      <c r="BD48" s="152"/>
      <c r="BE48" s="152"/>
      <c r="BF48" s="154"/>
      <c r="BG48" s="152"/>
      <c r="BH48" s="152"/>
      <c r="BI48" s="152"/>
      <c r="BJ48" s="152"/>
      <c r="BK48" s="152"/>
      <c r="BL48" s="152"/>
      <c r="BM48" s="152"/>
      <c r="BN48" s="152"/>
      <c r="BO48" s="152"/>
      <c r="BP48" s="152"/>
      <c r="BQ48" s="152"/>
      <c r="BR48" s="152"/>
      <c r="BS48" s="152"/>
      <c r="BT48" s="152"/>
      <c r="BU48" s="152"/>
      <c r="BV48" s="152"/>
      <c r="BW48" s="152"/>
      <c r="BX48" s="152"/>
      <c r="BY48" s="152"/>
      <c r="BZ48" s="152"/>
      <c r="CA48" s="152"/>
      <c r="CB48" s="152"/>
      <c r="CC48" s="152"/>
      <c r="CD48" s="152"/>
      <c r="CE48" s="151"/>
      <c r="CF48" s="111"/>
      <c r="CG48" s="112"/>
      <c r="CH48" s="112"/>
    </row>
    <row r="49" spans="1:87" s="113" customFormat="1" ht="24.95" customHeight="1" thickTop="1" thickBot="1" x14ac:dyDescent="0.3">
      <c r="A49" s="310">
        <v>140030039</v>
      </c>
      <c r="B49" s="311">
        <v>3</v>
      </c>
      <c r="C49" s="312" t="s">
        <v>1126</v>
      </c>
      <c r="D49" s="313"/>
      <c r="E49" s="313"/>
      <c r="F49" s="320"/>
      <c r="G49" s="313"/>
      <c r="H49" s="313"/>
      <c r="I49" s="314">
        <v>8300</v>
      </c>
      <c r="J49" s="319">
        <v>8310</v>
      </c>
      <c r="K49" s="315">
        <v>8300</v>
      </c>
      <c r="L49" s="316">
        <v>10</v>
      </c>
      <c r="M49" s="317">
        <v>0</v>
      </c>
      <c r="N49" s="318">
        <v>10</v>
      </c>
      <c r="O49" s="235"/>
      <c r="P49" s="236"/>
      <c r="Q49" s="237"/>
      <c r="R49" s="238"/>
      <c r="S49" s="238"/>
      <c r="T49" s="238"/>
      <c r="U49" s="239"/>
      <c r="V49" s="240"/>
      <c r="W49" s="241"/>
      <c r="X49" s="241"/>
      <c r="Y49" s="241"/>
      <c r="Z49" s="242"/>
      <c r="AA49" s="241"/>
      <c r="AB49" s="241"/>
      <c r="AC49" s="241"/>
      <c r="AD49" s="241"/>
      <c r="AE49" s="241"/>
      <c r="AF49" s="241"/>
      <c r="AG49" s="241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0"/>
      <c r="AZ49" s="243"/>
      <c r="BA49" s="240"/>
      <c r="BB49" s="151"/>
      <c r="BC49" s="152"/>
      <c r="BD49" s="152"/>
      <c r="BE49" s="152"/>
      <c r="BF49" s="154"/>
      <c r="BG49" s="152"/>
      <c r="BH49" s="152"/>
      <c r="BI49" s="152"/>
      <c r="BJ49" s="152"/>
      <c r="BK49" s="152"/>
      <c r="BL49" s="152"/>
      <c r="BM49" s="152"/>
      <c r="BN49" s="152"/>
      <c r="BO49" s="152"/>
      <c r="BP49" s="152"/>
      <c r="BQ49" s="152"/>
      <c r="BR49" s="152"/>
      <c r="BS49" s="152"/>
      <c r="BT49" s="152"/>
      <c r="BU49" s="152"/>
      <c r="BV49" s="152"/>
      <c r="BW49" s="152"/>
      <c r="BX49" s="152"/>
      <c r="BY49" s="152"/>
      <c r="BZ49" s="152"/>
      <c r="CA49" s="152"/>
      <c r="CB49" s="152"/>
      <c r="CC49" s="152"/>
      <c r="CD49" s="152"/>
      <c r="CE49" s="151"/>
      <c r="CF49" s="111"/>
      <c r="CG49" s="112"/>
      <c r="CH49" s="112"/>
    </row>
    <row r="50" spans="1:87" s="113" customFormat="1" ht="24.95" customHeight="1" thickTop="1" thickBot="1" x14ac:dyDescent="0.3">
      <c r="A50" s="294">
        <v>140450027</v>
      </c>
      <c r="B50" s="311">
        <v>11</v>
      </c>
      <c r="C50" s="312" t="s">
        <v>205</v>
      </c>
      <c r="D50" s="313"/>
      <c r="E50" s="313"/>
      <c r="F50" s="261"/>
      <c r="G50" s="313"/>
      <c r="H50" s="313"/>
      <c r="I50" s="314">
        <v>6400</v>
      </c>
      <c r="J50" s="319">
        <v>6410</v>
      </c>
      <c r="K50" s="315">
        <v>6402</v>
      </c>
      <c r="L50" s="316">
        <v>10</v>
      </c>
      <c r="M50" s="317">
        <v>2</v>
      </c>
      <c r="N50" s="318">
        <v>8</v>
      </c>
      <c r="O50" s="235"/>
      <c r="P50" s="236"/>
      <c r="Q50" s="237"/>
      <c r="R50" s="238"/>
      <c r="S50" s="238"/>
      <c r="T50" s="238"/>
      <c r="U50" s="239"/>
      <c r="V50" s="240"/>
      <c r="W50" s="241"/>
      <c r="X50" s="241"/>
      <c r="Y50" s="241"/>
      <c r="Z50" s="242"/>
      <c r="AA50" s="241"/>
      <c r="AB50" s="241"/>
      <c r="AC50" s="241"/>
      <c r="AD50" s="241"/>
      <c r="AE50" s="241"/>
      <c r="AF50" s="241"/>
      <c r="AG50" s="241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0"/>
      <c r="AZ50" s="243"/>
      <c r="BA50" s="240"/>
      <c r="BB50" s="151"/>
      <c r="BC50" s="152"/>
      <c r="BD50" s="152"/>
      <c r="BE50" s="152"/>
      <c r="BF50" s="154"/>
      <c r="BG50" s="152"/>
      <c r="BH50" s="152"/>
      <c r="BI50" s="152"/>
      <c r="BJ50" s="152"/>
      <c r="BK50" s="152"/>
      <c r="BL50" s="152"/>
      <c r="BM50" s="152"/>
      <c r="BN50" s="152"/>
      <c r="BO50" s="152"/>
      <c r="BP50" s="152"/>
      <c r="BQ50" s="152"/>
      <c r="BR50" s="152"/>
      <c r="BS50" s="152"/>
      <c r="BT50" s="152"/>
      <c r="BU50" s="152"/>
      <c r="BV50" s="152"/>
      <c r="BW50" s="152"/>
      <c r="BX50" s="152"/>
      <c r="BY50" s="152"/>
      <c r="BZ50" s="152"/>
      <c r="CA50" s="152"/>
      <c r="CB50" s="152"/>
      <c r="CC50" s="152"/>
      <c r="CD50" s="152"/>
      <c r="CE50" s="151"/>
      <c r="CF50" s="111"/>
      <c r="CG50" s="112"/>
      <c r="CH50" s="112"/>
    </row>
    <row r="51" spans="1:87" s="113" customFormat="1" ht="24.95" customHeight="1" thickTop="1" thickBot="1" x14ac:dyDescent="0.3">
      <c r="A51" s="310">
        <v>140450035</v>
      </c>
      <c r="B51" s="311">
        <v>11</v>
      </c>
      <c r="C51" s="312" t="s">
        <v>205</v>
      </c>
      <c r="D51" s="313"/>
      <c r="E51" s="313"/>
      <c r="F51" s="261"/>
      <c r="G51" s="313"/>
      <c r="H51" s="313"/>
      <c r="I51" s="314">
        <v>2800</v>
      </c>
      <c r="J51" s="319">
        <v>2808</v>
      </c>
      <c r="K51" s="315">
        <v>2808</v>
      </c>
      <c r="L51" s="316">
        <v>8</v>
      </c>
      <c r="M51" s="317">
        <v>8</v>
      </c>
      <c r="N51" s="318">
        <v>0</v>
      </c>
      <c r="O51" s="146"/>
      <c r="P51" s="147"/>
      <c r="Q51" s="148"/>
      <c r="R51" s="149"/>
      <c r="S51" s="149"/>
      <c r="T51" s="149"/>
      <c r="U51" s="150"/>
      <c r="V51" s="151"/>
      <c r="W51" s="152"/>
      <c r="X51" s="152"/>
      <c r="Y51" s="152"/>
      <c r="Z51" s="154"/>
      <c r="AA51" s="153"/>
      <c r="AB51" s="152"/>
      <c r="AC51" s="152"/>
      <c r="AD51" s="152"/>
      <c r="AE51" s="152"/>
      <c r="AF51" s="153"/>
      <c r="AG51" s="152"/>
      <c r="AH51" s="152"/>
      <c r="AI51" s="152"/>
      <c r="AJ51" s="152"/>
      <c r="AK51" s="152"/>
      <c r="AL51" s="153"/>
      <c r="AM51" s="152"/>
      <c r="AN51" s="152"/>
      <c r="AO51" s="152"/>
      <c r="AP51" s="152"/>
      <c r="AQ51" s="152"/>
      <c r="AR51" s="152"/>
      <c r="AS51" s="152"/>
      <c r="AT51" s="152"/>
      <c r="AU51" s="152"/>
      <c r="AV51" s="152"/>
      <c r="AW51" s="152"/>
      <c r="AX51" s="152"/>
      <c r="AY51" s="151"/>
      <c r="AZ51" s="152"/>
      <c r="BA51" s="151"/>
      <c r="BB51" s="151"/>
      <c r="BC51" s="152"/>
      <c r="BD51" s="152"/>
      <c r="BE51" s="152"/>
      <c r="BF51" s="154"/>
      <c r="BG51" s="152"/>
      <c r="BH51" s="152"/>
      <c r="BI51" s="152"/>
      <c r="BJ51" s="152"/>
      <c r="BK51" s="152"/>
      <c r="BL51" s="152"/>
      <c r="BM51" s="152"/>
      <c r="BN51" s="152"/>
      <c r="BO51" s="152"/>
      <c r="BP51" s="152"/>
      <c r="BQ51" s="152"/>
      <c r="BR51" s="152"/>
      <c r="BS51" s="152"/>
      <c r="BT51" s="152"/>
      <c r="BU51" s="152"/>
      <c r="BV51" s="152"/>
      <c r="BW51" s="152"/>
      <c r="BX51" s="152"/>
      <c r="BY51" s="152"/>
      <c r="BZ51" s="152"/>
      <c r="CA51" s="152"/>
      <c r="CB51" s="152"/>
      <c r="CC51" s="152"/>
      <c r="CD51" s="152"/>
      <c r="CE51" s="151"/>
      <c r="CF51" s="111"/>
      <c r="CG51" s="112"/>
      <c r="CH51" s="112"/>
    </row>
    <row r="52" spans="1:87" s="113" customFormat="1" ht="24.95" customHeight="1" thickTop="1" thickBot="1" x14ac:dyDescent="0.3">
      <c r="A52" s="234">
        <v>140010117</v>
      </c>
      <c r="B52" s="177" t="s">
        <v>1070</v>
      </c>
      <c r="C52" s="178" t="s">
        <v>0</v>
      </c>
      <c r="D52" s="179"/>
      <c r="E52" s="179"/>
      <c r="F52" s="180"/>
      <c r="G52" s="179"/>
      <c r="H52" s="179"/>
      <c r="I52" s="181">
        <v>3000</v>
      </c>
      <c r="J52" s="105">
        <v>3000</v>
      </c>
      <c r="K52" s="182">
        <v>3000</v>
      </c>
      <c r="L52" s="183">
        <v>0</v>
      </c>
      <c r="M52" s="184">
        <v>0</v>
      </c>
      <c r="N52" s="185">
        <v>0</v>
      </c>
      <c r="O52" s="227"/>
      <c r="P52" s="228"/>
      <c r="Q52" s="227"/>
      <c r="R52" s="229"/>
      <c r="S52" s="230"/>
      <c r="T52" s="230"/>
      <c r="U52" s="230"/>
      <c r="V52" s="158"/>
      <c r="W52" s="157"/>
      <c r="X52" s="158"/>
      <c r="Y52" s="158"/>
      <c r="Z52" s="158"/>
      <c r="AA52" s="158"/>
      <c r="AB52" s="158"/>
      <c r="AC52" s="158"/>
      <c r="AD52" s="158"/>
      <c r="AE52" s="158"/>
      <c r="AF52" s="158"/>
      <c r="AG52" s="158"/>
      <c r="AH52" s="158"/>
      <c r="AI52" s="158"/>
      <c r="AJ52" s="158"/>
      <c r="AK52" s="158"/>
      <c r="AL52" s="158"/>
      <c r="AM52" s="158"/>
      <c r="AN52" s="158"/>
      <c r="AO52" s="158"/>
      <c r="AP52" s="158"/>
      <c r="AQ52" s="158"/>
      <c r="AR52" s="158"/>
      <c r="AS52" s="158"/>
      <c r="AT52" s="158"/>
      <c r="AU52" s="158"/>
      <c r="AV52" s="158"/>
      <c r="AW52" s="158"/>
      <c r="AX52" s="158"/>
      <c r="AY52" s="158"/>
      <c r="AZ52" s="158"/>
      <c r="BA52" s="158"/>
      <c r="BB52" s="151"/>
      <c r="BC52" s="152"/>
      <c r="BD52" s="152"/>
      <c r="BE52" s="152"/>
      <c r="BF52" s="154"/>
      <c r="BG52" s="152"/>
      <c r="BH52" s="152"/>
      <c r="BI52" s="152"/>
      <c r="BJ52" s="152"/>
      <c r="BK52" s="152"/>
      <c r="BL52" s="152"/>
      <c r="BM52" s="152"/>
      <c r="BN52" s="152"/>
      <c r="BO52" s="152"/>
      <c r="BP52" s="152"/>
      <c r="BQ52" s="152"/>
      <c r="BR52" s="152"/>
      <c r="BS52" s="152"/>
      <c r="BT52" s="152"/>
      <c r="BU52" s="152"/>
      <c r="BV52" s="152"/>
      <c r="BW52" s="152"/>
      <c r="BX52" s="152"/>
      <c r="BY52" s="152"/>
      <c r="BZ52" s="152"/>
      <c r="CA52" s="152"/>
      <c r="CB52" s="152"/>
      <c r="CC52" s="152"/>
      <c r="CD52" s="152"/>
      <c r="CE52" s="151"/>
      <c r="CF52" s="111"/>
      <c r="CG52" s="112"/>
      <c r="CH52" s="112"/>
    </row>
    <row r="53" spans="1:87" s="113" customFormat="1" ht="24.95" customHeight="1" thickTop="1" thickBot="1" x14ac:dyDescent="0.3">
      <c r="A53" s="234">
        <v>140010230</v>
      </c>
      <c r="B53" s="177">
        <v>2</v>
      </c>
      <c r="C53" s="178" t="s">
        <v>0</v>
      </c>
      <c r="D53" s="179"/>
      <c r="E53" s="179"/>
      <c r="F53" s="180"/>
      <c r="G53" s="179"/>
      <c r="H53" s="179"/>
      <c r="I53" s="181">
        <v>22000</v>
      </c>
      <c r="J53" s="105">
        <v>22000</v>
      </c>
      <c r="K53" s="182">
        <v>22000</v>
      </c>
      <c r="L53" s="183">
        <v>0</v>
      </c>
      <c r="M53" s="184">
        <v>0</v>
      </c>
      <c r="N53" s="185">
        <v>0</v>
      </c>
      <c r="O53" s="146"/>
      <c r="P53" s="147"/>
      <c r="Q53" s="148"/>
      <c r="R53" s="149"/>
      <c r="S53" s="149"/>
      <c r="T53" s="149"/>
      <c r="U53" s="150"/>
      <c r="V53" s="151"/>
      <c r="W53" s="152"/>
      <c r="X53" s="152"/>
      <c r="Y53" s="152"/>
      <c r="Z53" s="154"/>
      <c r="AA53" s="153"/>
      <c r="AB53" s="152"/>
      <c r="AC53" s="152"/>
      <c r="AD53" s="152"/>
      <c r="AE53" s="153"/>
      <c r="AF53" s="152"/>
      <c r="AG53" s="153"/>
      <c r="AH53" s="152"/>
      <c r="AI53" s="152"/>
      <c r="AJ53" s="152"/>
      <c r="AK53" s="152"/>
      <c r="AL53" s="152"/>
      <c r="AM53" s="152"/>
      <c r="AN53" s="152"/>
      <c r="AO53" s="152"/>
      <c r="AP53" s="152"/>
      <c r="AQ53" s="152"/>
      <c r="AR53" s="152"/>
      <c r="AS53" s="152"/>
      <c r="AT53" s="152"/>
      <c r="AU53" s="152"/>
      <c r="AV53" s="152"/>
      <c r="AW53" s="152"/>
      <c r="AX53" s="152"/>
      <c r="AY53" s="151"/>
      <c r="AZ53" s="152"/>
      <c r="BA53" s="151"/>
      <c r="BB53" s="151"/>
      <c r="BC53" s="152"/>
      <c r="BD53" s="152"/>
      <c r="BE53" s="152"/>
      <c r="BF53" s="154"/>
      <c r="BG53" s="152"/>
      <c r="BH53" s="152"/>
      <c r="BI53" s="152"/>
      <c r="BJ53" s="152"/>
      <c r="BK53" s="152"/>
      <c r="BL53" s="152"/>
      <c r="BM53" s="152"/>
      <c r="BN53" s="152"/>
      <c r="BO53" s="152"/>
      <c r="BP53" s="152"/>
      <c r="BQ53" s="152"/>
      <c r="BR53" s="152"/>
      <c r="BS53" s="152"/>
      <c r="BT53" s="152"/>
      <c r="BU53" s="152"/>
      <c r="BV53" s="152"/>
      <c r="BW53" s="152"/>
      <c r="BX53" s="152"/>
      <c r="BY53" s="152"/>
      <c r="BZ53" s="152"/>
      <c r="CA53" s="152"/>
      <c r="CB53" s="152"/>
      <c r="CC53" s="152"/>
      <c r="CD53" s="152"/>
      <c r="CE53" s="151"/>
      <c r="CF53" s="111"/>
      <c r="CG53" s="112"/>
      <c r="CH53" s="112"/>
    </row>
    <row r="54" spans="1:87" s="113" customFormat="1" ht="24.95" customHeight="1" thickTop="1" thickBot="1" x14ac:dyDescent="0.3">
      <c r="A54" s="234">
        <v>140020181</v>
      </c>
      <c r="B54" s="177">
        <v>3</v>
      </c>
      <c r="C54" s="178" t="s">
        <v>19</v>
      </c>
      <c r="D54" s="179"/>
      <c r="E54" s="179"/>
      <c r="F54" s="180"/>
      <c r="G54" s="179"/>
      <c r="H54" s="179"/>
      <c r="I54" s="181">
        <v>10000</v>
      </c>
      <c r="J54" s="105">
        <v>10000</v>
      </c>
      <c r="K54" s="182">
        <v>10000</v>
      </c>
      <c r="L54" s="183">
        <v>0</v>
      </c>
      <c r="M54" s="184">
        <v>0</v>
      </c>
      <c r="N54" s="185">
        <v>0</v>
      </c>
      <c r="O54" s="146"/>
      <c r="P54" s="147"/>
      <c r="Q54" s="148"/>
      <c r="R54" s="149"/>
      <c r="S54" s="149"/>
      <c r="T54" s="149"/>
      <c r="U54" s="150"/>
      <c r="V54" s="151"/>
      <c r="W54" s="152"/>
      <c r="X54" s="152"/>
      <c r="Y54" s="152"/>
      <c r="Z54" s="154"/>
      <c r="AA54" s="152"/>
      <c r="AB54" s="152"/>
      <c r="AC54" s="152"/>
      <c r="AD54" s="152"/>
      <c r="AE54" s="152"/>
      <c r="AF54" s="152"/>
      <c r="AG54" s="152"/>
      <c r="AH54" s="152"/>
      <c r="AI54" s="152"/>
      <c r="AJ54" s="152"/>
      <c r="AK54" s="152"/>
      <c r="AL54" s="152"/>
      <c r="AM54" s="152"/>
      <c r="AN54" s="152"/>
      <c r="AO54" s="152"/>
      <c r="AP54" s="152"/>
      <c r="AQ54" s="152"/>
      <c r="AR54" s="152"/>
      <c r="AS54" s="152"/>
      <c r="AT54" s="152"/>
      <c r="AU54" s="152"/>
      <c r="AV54" s="152"/>
      <c r="AW54" s="152"/>
      <c r="AX54" s="152"/>
      <c r="AY54" s="151"/>
      <c r="AZ54" s="152"/>
      <c r="BA54" s="151"/>
      <c r="BB54" s="151"/>
      <c r="BC54" s="152"/>
      <c r="BD54" s="152"/>
      <c r="BE54" s="152"/>
      <c r="BF54" s="154"/>
      <c r="BG54" s="152"/>
      <c r="BH54" s="152"/>
      <c r="BI54" s="152"/>
      <c r="BJ54" s="152"/>
      <c r="BK54" s="152"/>
      <c r="BL54" s="152"/>
      <c r="BM54" s="152"/>
      <c r="BN54" s="152"/>
      <c r="BO54" s="152"/>
      <c r="BP54" s="152"/>
      <c r="BQ54" s="152"/>
      <c r="BR54" s="152"/>
      <c r="BS54" s="152"/>
      <c r="BT54" s="152"/>
      <c r="BU54" s="152"/>
      <c r="BV54" s="152"/>
      <c r="BW54" s="152"/>
      <c r="BX54" s="152"/>
      <c r="BY54" s="152"/>
      <c r="BZ54" s="152"/>
      <c r="CA54" s="152"/>
      <c r="CB54" s="152"/>
      <c r="CC54" s="152"/>
      <c r="CD54" s="152"/>
      <c r="CE54" s="151"/>
      <c r="CF54" s="111"/>
      <c r="CG54" s="112"/>
      <c r="CH54" s="112"/>
    </row>
    <row r="55" spans="1:87" s="113" customFormat="1" ht="24.95" customHeight="1" thickTop="1" thickBot="1" x14ac:dyDescent="0.3">
      <c r="A55" s="234">
        <v>140010230</v>
      </c>
      <c r="B55" s="177">
        <v>3</v>
      </c>
      <c r="C55" s="178" t="s">
        <v>0</v>
      </c>
      <c r="D55" s="179"/>
      <c r="E55" s="179"/>
      <c r="F55" s="180"/>
      <c r="G55" s="179"/>
      <c r="H55" s="179"/>
      <c r="I55" s="181">
        <v>3000</v>
      </c>
      <c r="J55" s="105">
        <v>3000</v>
      </c>
      <c r="K55" s="182">
        <v>3000</v>
      </c>
      <c r="L55" s="183">
        <v>0</v>
      </c>
      <c r="M55" s="184">
        <v>0</v>
      </c>
      <c r="N55" s="185">
        <v>0</v>
      </c>
      <c r="O55" s="146"/>
      <c r="P55" s="147"/>
      <c r="Q55" s="148"/>
      <c r="R55" s="149"/>
      <c r="S55" s="149"/>
      <c r="T55" s="149"/>
      <c r="U55" s="150"/>
      <c r="V55" s="151"/>
      <c r="W55" s="152"/>
      <c r="X55" s="152"/>
      <c r="Y55" s="152"/>
      <c r="Z55" s="215"/>
      <c r="AA55" s="152"/>
      <c r="AB55" s="152"/>
      <c r="AC55" s="152"/>
      <c r="AD55" s="152"/>
      <c r="AE55" s="152"/>
      <c r="AF55" s="152"/>
      <c r="AG55" s="152"/>
      <c r="AH55" s="152"/>
      <c r="AI55" s="152"/>
      <c r="AJ55" s="152"/>
      <c r="AK55" s="152"/>
      <c r="AL55" s="152"/>
      <c r="AM55" s="152"/>
      <c r="AN55" s="152"/>
      <c r="AO55" s="152"/>
      <c r="AP55" s="152"/>
      <c r="AQ55" s="152"/>
      <c r="AR55" s="152"/>
      <c r="AS55" s="152"/>
      <c r="AT55" s="152"/>
      <c r="AU55" s="152"/>
      <c r="AV55" s="152"/>
      <c r="AW55" s="152"/>
      <c r="AX55" s="152"/>
      <c r="AY55" s="151"/>
      <c r="AZ55" s="152"/>
      <c r="BA55" s="151"/>
      <c r="BB55" s="151"/>
      <c r="BC55" s="152"/>
      <c r="BD55" s="152"/>
      <c r="BE55" s="152"/>
      <c r="BF55" s="154"/>
      <c r="BG55" s="152"/>
      <c r="BH55" s="152"/>
      <c r="BI55" s="152"/>
      <c r="BJ55" s="152"/>
      <c r="BK55" s="152"/>
      <c r="BL55" s="152"/>
      <c r="BM55" s="152"/>
      <c r="BN55" s="152"/>
      <c r="BO55" s="152"/>
      <c r="BP55" s="152"/>
      <c r="BQ55" s="152"/>
      <c r="BR55" s="152"/>
      <c r="BS55" s="152"/>
      <c r="BT55" s="152"/>
      <c r="BU55" s="152"/>
      <c r="BV55" s="152"/>
      <c r="BW55" s="152"/>
      <c r="BX55" s="152"/>
      <c r="BY55" s="152"/>
      <c r="BZ55" s="152"/>
      <c r="CA55" s="152"/>
      <c r="CB55" s="152"/>
      <c r="CC55" s="152"/>
      <c r="CD55" s="152"/>
      <c r="CE55" s="151"/>
      <c r="CF55" s="111"/>
      <c r="CG55" s="112"/>
      <c r="CH55" s="112"/>
    </row>
    <row r="56" spans="1:87" s="113" customFormat="1" ht="24.95" customHeight="1" thickTop="1" thickBot="1" x14ac:dyDescent="0.3">
      <c r="A56" s="234">
        <v>140010255</v>
      </c>
      <c r="B56" s="177">
        <v>3</v>
      </c>
      <c r="C56" s="178" t="s">
        <v>0</v>
      </c>
      <c r="D56" s="179"/>
      <c r="E56" s="179"/>
      <c r="F56" s="180"/>
      <c r="G56" s="179"/>
      <c r="H56" s="179"/>
      <c r="I56" s="181">
        <v>500</v>
      </c>
      <c r="J56" s="105">
        <v>500</v>
      </c>
      <c r="K56" s="182">
        <v>500</v>
      </c>
      <c r="L56" s="183">
        <v>0</v>
      </c>
      <c r="M56" s="184">
        <v>0</v>
      </c>
      <c r="N56" s="185">
        <v>0</v>
      </c>
      <c r="O56" s="146"/>
      <c r="P56" s="147"/>
      <c r="Q56" s="148"/>
      <c r="R56" s="149"/>
      <c r="S56" s="149"/>
      <c r="T56" s="149"/>
      <c r="U56" s="150"/>
      <c r="V56" s="151"/>
      <c r="W56" s="152"/>
      <c r="X56" s="152"/>
      <c r="Y56" s="152"/>
      <c r="Z56" s="154"/>
      <c r="AA56" s="153"/>
      <c r="AB56" s="152"/>
      <c r="AC56" s="152"/>
      <c r="AD56" s="152"/>
      <c r="AE56" s="152"/>
      <c r="AF56" s="152"/>
      <c r="AG56" s="152"/>
      <c r="AH56" s="152"/>
      <c r="AI56" s="152"/>
      <c r="AJ56" s="152"/>
      <c r="AK56" s="152"/>
      <c r="AL56" s="153"/>
      <c r="AM56" s="152"/>
      <c r="AN56" s="152"/>
      <c r="AO56" s="152"/>
      <c r="AP56" s="152"/>
      <c r="AQ56" s="152"/>
      <c r="AR56" s="152"/>
      <c r="AS56" s="152"/>
      <c r="AT56" s="152"/>
      <c r="AU56" s="152"/>
      <c r="AV56" s="152"/>
      <c r="AW56" s="152"/>
      <c r="AX56" s="152"/>
      <c r="AY56" s="151"/>
      <c r="AZ56" s="152"/>
      <c r="BA56" s="151"/>
      <c r="BB56" s="241"/>
      <c r="BC56" s="241"/>
      <c r="BD56" s="241"/>
      <c r="BE56" s="242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41"/>
      <c r="BU56" s="241"/>
      <c r="BV56" s="241"/>
      <c r="BW56" s="241"/>
      <c r="BX56" s="241"/>
      <c r="BY56" s="241"/>
      <c r="BZ56" s="241"/>
      <c r="CA56" s="241"/>
      <c r="CB56" s="241"/>
      <c r="CC56" s="241"/>
      <c r="CD56" s="240"/>
      <c r="CE56" s="243"/>
      <c r="CF56" s="111"/>
      <c r="CG56" s="112"/>
      <c r="CH56" s="112"/>
    </row>
    <row r="57" spans="1:87" s="218" customFormat="1" ht="24.95" customHeight="1" thickTop="1" thickBot="1" x14ac:dyDescent="0.3">
      <c r="A57" s="234">
        <v>140030039</v>
      </c>
      <c r="B57" s="177" t="s">
        <v>1070</v>
      </c>
      <c r="C57" s="178" t="s">
        <v>1054</v>
      </c>
      <c r="D57" s="179"/>
      <c r="E57" s="179"/>
      <c r="F57" s="180"/>
      <c r="G57" s="179"/>
      <c r="H57" s="179"/>
      <c r="I57" s="181">
        <v>3000</v>
      </c>
      <c r="J57" s="105">
        <v>3000</v>
      </c>
      <c r="K57" s="182">
        <v>3700</v>
      </c>
      <c r="L57" s="183">
        <v>700</v>
      </c>
      <c r="M57" s="184">
        <v>700</v>
      </c>
      <c r="N57" s="185">
        <v>-700</v>
      </c>
      <c r="O57" s="146"/>
      <c r="P57" s="147"/>
      <c r="Q57" s="148"/>
      <c r="R57" s="149"/>
      <c r="S57" s="149"/>
      <c r="T57" s="149"/>
      <c r="U57" s="150"/>
      <c r="V57" s="151"/>
      <c r="W57" s="152"/>
      <c r="X57" s="152"/>
      <c r="Y57" s="152"/>
      <c r="Z57" s="154"/>
      <c r="AA57" s="152"/>
      <c r="AB57" s="152"/>
      <c r="AC57" s="152"/>
      <c r="AD57" s="152"/>
      <c r="AE57" s="152"/>
      <c r="AF57" s="152"/>
      <c r="AG57" s="152"/>
      <c r="AH57" s="152"/>
      <c r="AI57" s="152"/>
      <c r="AJ57" s="152"/>
      <c r="AK57" s="152"/>
      <c r="AL57" s="152"/>
      <c r="AM57" s="152"/>
      <c r="AN57" s="152"/>
      <c r="AO57" s="152"/>
      <c r="AP57" s="152"/>
      <c r="AQ57" s="152"/>
      <c r="AR57" s="152"/>
      <c r="AS57" s="152"/>
      <c r="AT57" s="152"/>
      <c r="AU57" s="152"/>
      <c r="AV57" s="152"/>
      <c r="AW57" s="152"/>
      <c r="AX57" s="152"/>
      <c r="AY57" s="151"/>
      <c r="AZ57" s="152"/>
      <c r="BA57" s="151"/>
      <c r="BB57" s="241"/>
      <c r="BC57" s="241"/>
      <c r="BD57" s="241"/>
      <c r="BE57" s="242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41"/>
      <c r="BU57" s="241"/>
      <c r="BV57" s="241"/>
      <c r="BW57" s="241"/>
      <c r="BX57" s="241"/>
      <c r="BY57" s="241"/>
      <c r="BZ57" s="241"/>
      <c r="CA57" s="241"/>
      <c r="CB57" s="241"/>
      <c r="CC57" s="241"/>
      <c r="CD57" s="240"/>
      <c r="CE57" s="243"/>
      <c r="CF57" s="136"/>
      <c r="CG57" s="217"/>
      <c r="CH57" s="217"/>
    </row>
    <row r="58" spans="1:87" s="233" customFormat="1" ht="24.95" customHeight="1" thickTop="1" thickBot="1" x14ac:dyDescent="0.3">
      <c r="A58" s="234">
        <v>140030040</v>
      </c>
      <c r="B58" s="177" t="s">
        <v>1070</v>
      </c>
      <c r="C58" s="178" t="s">
        <v>1055</v>
      </c>
      <c r="D58" s="179"/>
      <c r="E58" s="179"/>
      <c r="F58" s="180"/>
      <c r="G58" s="179"/>
      <c r="H58" s="179"/>
      <c r="I58" s="181">
        <v>3000</v>
      </c>
      <c r="J58" s="105">
        <v>3000</v>
      </c>
      <c r="K58" s="182">
        <v>3000</v>
      </c>
      <c r="L58" s="183">
        <v>0</v>
      </c>
      <c r="M58" s="184">
        <v>0</v>
      </c>
      <c r="N58" s="185">
        <v>0</v>
      </c>
      <c r="O58" s="146"/>
      <c r="P58" s="147"/>
      <c r="Q58" s="148"/>
      <c r="R58" s="149"/>
      <c r="S58" s="149"/>
      <c r="T58" s="149"/>
      <c r="U58" s="150"/>
      <c r="V58" s="151"/>
      <c r="W58" s="152"/>
      <c r="X58" s="152"/>
      <c r="Y58" s="152"/>
      <c r="Z58" s="215"/>
      <c r="AA58" s="152"/>
      <c r="AB58" s="152"/>
      <c r="AC58" s="152"/>
      <c r="AD58" s="152"/>
      <c r="AE58" s="152"/>
      <c r="AF58" s="152"/>
      <c r="AG58" s="153"/>
      <c r="AH58" s="152"/>
      <c r="AI58" s="152"/>
      <c r="AJ58" s="152"/>
      <c r="AK58" s="152"/>
      <c r="AL58" s="152"/>
      <c r="AM58" s="152"/>
      <c r="AN58" s="152"/>
      <c r="AO58" s="152"/>
      <c r="AP58" s="152"/>
      <c r="AQ58" s="152"/>
      <c r="AR58" s="152"/>
      <c r="AS58" s="152"/>
      <c r="AT58" s="152"/>
      <c r="AU58" s="152"/>
      <c r="AV58" s="152"/>
      <c r="AW58" s="152"/>
      <c r="AX58" s="152"/>
      <c r="AY58" s="151"/>
      <c r="AZ58" s="152"/>
      <c r="BA58" s="151"/>
      <c r="BB58" s="152"/>
      <c r="BC58" s="152"/>
      <c r="BD58" s="152"/>
      <c r="BE58" s="154"/>
      <c r="BF58" s="153"/>
      <c r="BG58" s="152"/>
      <c r="BH58" s="152"/>
      <c r="BI58" s="152"/>
      <c r="BJ58" s="152"/>
      <c r="BK58" s="153"/>
      <c r="BL58" s="152"/>
      <c r="BM58" s="152"/>
      <c r="BN58" s="152"/>
      <c r="BO58" s="152"/>
      <c r="BP58" s="152"/>
      <c r="BQ58" s="153"/>
      <c r="BR58" s="152"/>
      <c r="BS58" s="152"/>
      <c r="BT58" s="152"/>
      <c r="BU58" s="152"/>
      <c r="BV58" s="152"/>
      <c r="BW58" s="152"/>
      <c r="BX58" s="152"/>
      <c r="BY58" s="152"/>
      <c r="BZ58" s="152"/>
      <c r="CA58" s="152"/>
      <c r="CB58" s="152"/>
      <c r="CC58" s="152"/>
      <c r="CD58" s="151"/>
      <c r="CE58" s="152"/>
      <c r="CF58" s="164"/>
      <c r="CG58" s="232"/>
      <c r="CH58" s="232"/>
    </row>
    <row r="59" spans="1:87" s="233" customFormat="1" ht="24.95" customHeight="1" thickTop="1" thickBot="1" x14ac:dyDescent="0.3">
      <c r="A59" s="293">
        <v>140010117</v>
      </c>
      <c r="B59" s="114">
        <v>2</v>
      </c>
      <c r="C59" s="155" t="s">
        <v>0</v>
      </c>
      <c r="D59" s="110"/>
      <c r="E59" s="110"/>
      <c r="F59" s="118"/>
      <c r="G59" s="110"/>
      <c r="H59" s="110"/>
      <c r="I59" s="104">
        <v>7000</v>
      </c>
      <c r="J59" s="105">
        <v>7000</v>
      </c>
      <c r="K59" s="106">
        <v>7000</v>
      </c>
      <c r="L59" s="107">
        <v>0</v>
      </c>
      <c r="M59" s="108">
        <v>0</v>
      </c>
      <c r="N59" s="109">
        <v>0</v>
      </c>
      <c r="O59" s="146"/>
      <c r="P59" s="147"/>
      <c r="Q59" s="148"/>
      <c r="R59" s="149"/>
      <c r="S59" s="149"/>
      <c r="T59" s="149"/>
      <c r="U59" s="150"/>
      <c r="V59" s="151"/>
      <c r="W59" s="152"/>
      <c r="X59" s="152"/>
      <c r="Y59" s="152"/>
      <c r="Z59" s="215"/>
      <c r="AA59" s="152"/>
      <c r="AB59" s="152"/>
      <c r="AC59" s="152"/>
      <c r="AD59" s="152"/>
      <c r="AE59" s="152"/>
      <c r="AF59" s="152"/>
      <c r="AG59" s="152"/>
      <c r="AH59" s="152"/>
      <c r="AI59" s="152"/>
      <c r="AJ59" s="152"/>
      <c r="AK59" s="152"/>
      <c r="AL59" s="152"/>
      <c r="AM59" s="152"/>
      <c r="AN59" s="152"/>
      <c r="AO59" s="152"/>
      <c r="AP59" s="152"/>
      <c r="AQ59" s="152"/>
      <c r="AR59" s="152"/>
      <c r="AS59" s="152"/>
      <c r="AT59" s="152"/>
      <c r="AU59" s="152"/>
      <c r="AV59" s="152"/>
      <c r="AW59" s="152"/>
      <c r="AX59" s="152"/>
      <c r="AY59" s="151"/>
      <c r="AZ59" s="152"/>
      <c r="BA59" s="151"/>
      <c r="BB59" s="157"/>
      <c r="BC59" s="158"/>
      <c r="BD59" s="158"/>
      <c r="BE59" s="158"/>
      <c r="BF59" s="158"/>
      <c r="BG59" s="158"/>
      <c r="BH59" s="158"/>
      <c r="BI59" s="158"/>
      <c r="BJ59" s="158"/>
      <c r="BK59" s="158"/>
      <c r="BL59" s="158"/>
      <c r="BM59" s="158"/>
      <c r="BN59" s="158"/>
      <c r="BO59" s="158"/>
      <c r="BP59" s="158"/>
      <c r="BQ59" s="158"/>
      <c r="BR59" s="158"/>
      <c r="BS59" s="158"/>
      <c r="BT59" s="158"/>
      <c r="BU59" s="158"/>
      <c r="BV59" s="158"/>
      <c r="BW59" s="158"/>
      <c r="BX59" s="158"/>
      <c r="BY59" s="158"/>
      <c r="BZ59" s="158"/>
      <c r="CA59" s="158"/>
      <c r="CB59" s="158"/>
      <c r="CC59" s="158"/>
      <c r="CD59" s="158"/>
      <c r="CE59" s="158"/>
      <c r="CF59" s="164"/>
      <c r="CG59" s="232"/>
      <c r="CH59" s="232"/>
    </row>
    <row r="60" spans="1:87" s="223" customFormat="1" ht="24.95" customHeight="1" thickTop="1" thickBot="1" x14ac:dyDescent="0.3">
      <c r="A60" s="293">
        <v>140310058</v>
      </c>
      <c r="B60" s="114">
        <v>2</v>
      </c>
      <c r="C60" s="155" t="s">
        <v>0</v>
      </c>
      <c r="D60" s="110"/>
      <c r="E60" s="110"/>
      <c r="F60" s="118"/>
      <c r="G60" s="110"/>
      <c r="H60" s="110"/>
      <c r="I60" s="104">
        <v>6000</v>
      </c>
      <c r="J60" s="105">
        <v>6000</v>
      </c>
      <c r="K60" s="106">
        <v>6000</v>
      </c>
      <c r="L60" s="107">
        <v>0</v>
      </c>
      <c r="M60" s="108">
        <v>0</v>
      </c>
      <c r="N60" s="109">
        <v>0</v>
      </c>
      <c r="O60" s="146"/>
      <c r="P60" s="147"/>
      <c r="Q60" s="148"/>
      <c r="R60" s="149"/>
      <c r="S60" s="149"/>
      <c r="T60" s="149"/>
      <c r="U60" s="150"/>
      <c r="V60" s="151"/>
      <c r="W60" s="152"/>
      <c r="X60" s="152"/>
      <c r="Y60" s="152"/>
      <c r="Z60" s="154"/>
      <c r="AA60" s="152"/>
      <c r="AB60" s="152"/>
      <c r="AC60" s="152"/>
      <c r="AD60" s="152"/>
      <c r="AE60" s="152"/>
      <c r="AF60" s="152"/>
      <c r="AG60" s="152"/>
      <c r="AH60" s="152"/>
      <c r="AI60" s="152"/>
      <c r="AJ60" s="152"/>
      <c r="AK60" s="152"/>
      <c r="AL60" s="152"/>
      <c r="AM60" s="152"/>
      <c r="AN60" s="152"/>
      <c r="AO60" s="152"/>
      <c r="AP60" s="152"/>
      <c r="AQ60" s="152"/>
      <c r="AR60" s="152"/>
      <c r="AS60" s="152"/>
      <c r="AT60" s="152"/>
      <c r="AU60" s="152"/>
      <c r="AV60" s="152"/>
      <c r="AW60" s="152"/>
      <c r="AX60" s="152"/>
      <c r="AY60" s="151"/>
      <c r="AZ60" s="152"/>
      <c r="BA60" s="151"/>
      <c r="BB60" s="152"/>
      <c r="BC60" s="152"/>
      <c r="BD60" s="152"/>
      <c r="BE60" s="154"/>
      <c r="BF60" s="153"/>
      <c r="BG60" s="152"/>
      <c r="BH60" s="152"/>
      <c r="BI60" s="152"/>
      <c r="BJ60" s="153"/>
      <c r="BK60" s="152"/>
      <c r="BL60" s="153"/>
      <c r="BM60" s="152"/>
      <c r="BN60" s="152"/>
      <c r="BO60" s="152"/>
      <c r="BP60" s="152"/>
      <c r="BQ60" s="152"/>
      <c r="BR60" s="152"/>
      <c r="BS60" s="152"/>
      <c r="BT60" s="152"/>
      <c r="BU60" s="152"/>
      <c r="BV60" s="152"/>
      <c r="BW60" s="152"/>
      <c r="BX60" s="152"/>
      <c r="BY60" s="152"/>
      <c r="BZ60" s="152"/>
      <c r="CA60" s="152"/>
      <c r="CB60" s="152"/>
      <c r="CC60" s="152"/>
      <c r="CD60" s="151"/>
      <c r="CE60" s="152"/>
      <c r="CF60" s="161"/>
      <c r="CG60" s="231"/>
      <c r="CH60" s="231"/>
    </row>
    <row r="61" spans="1:87" s="113" customFormat="1" ht="24.95" customHeight="1" thickTop="1" thickBot="1" x14ac:dyDescent="0.3">
      <c r="A61" s="234">
        <v>140310031</v>
      </c>
      <c r="B61" s="177">
        <v>2</v>
      </c>
      <c r="C61" s="178" t="s">
        <v>55</v>
      </c>
      <c r="D61" s="179"/>
      <c r="E61" s="179"/>
      <c r="F61" s="180"/>
      <c r="G61" s="179"/>
      <c r="H61" s="179"/>
      <c r="I61" s="181">
        <v>500</v>
      </c>
      <c r="J61" s="105">
        <v>513</v>
      </c>
      <c r="K61" s="182">
        <v>514</v>
      </c>
      <c r="L61" s="183">
        <v>14</v>
      </c>
      <c r="M61" s="184">
        <v>14</v>
      </c>
      <c r="N61" s="185">
        <v>-1</v>
      </c>
      <c r="O61" s="146"/>
      <c r="P61" s="147"/>
      <c r="Q61" s="148"/>
      <c r="R61" s="149"/>
      <c r="S61" s="149"/>
      <c r="T61" s="149"/>
      <c r="U61" s="150"/>
      <c r="V61" s="151"/>
      <c r="W61" s="152"/>
      <c r="X61" s="152"/>
      <c r="Y61" s="152"/>
      <c r="Z61" s="215"/>
      <c r="AA61" s="152"/>
      <c r="AB61" s="152"/>
      <c r="AC61" s="152"/>
      <c r="AD61" s="152"/>
      <c r="AE61" s="152"/>
      <c r="AF61" s="152"/>
      <c r="AG61" s="153"/>
      <c r="AH61" s="152"/>
      <c r="AI61" s="152"/>
      <c r="AJ61" s="152"/>
      <c r="AK61" s="152"/>
      <c r="AL61" s="152"/>
      <c r="AM61" s="152"/>
      <c r="AN61" s="152"/>
      <c r="AO61" s="152"/>
      <c r="AP61" s="152"/>
      <c r="AQ61" s="152"/>
      <c r="AR61" s="152"/>
      <c r="AS61" s="152"/>
      <c r="AT61" s="152"/>
      <c r="AU61" s="152"/>
      <c r="AV61" s="152"/>
      <c r="AW61" s="152"/>
      <c r="AX61" s="152"/>
      <c r="AY61" s="151"/>
      <c r="AZ61" s="152"/>
      <c r="BA61" s="151"/>
      <c r="BB61" s="152"/>
      <c r="BC61" s="152"/>
      <c r="BD61" s="152"/>
      <c r="BE61" s="154"/>
      <c r="BF61" s="152"/>
      <c r="BG61" s="152"/>
      <c r="BH61" s="152"/>
      <c r="BI61" s="152"/>
      <c r="BJ61" s="152"/>
      <c r="BK61" s="152"/>
      <c r="BL61" s="152"/>
      <c r="BM61" s="152"/>
      <c r="BN61" s="152"/>
      <c r="BO61" s="152"/>
      <c r="BP61" s="152"/>
      <c r="BQ61" s="152"/>
      <c r="BR61" s="152"/>
      <c r="BS61" s="152"/>
      <c r="BT61" s="152"/>
      <c r="BU61" s="152"/>
      <c r="BV61" s="152"/>
      <c r="BW61" s="152"/>
      <c r="BX61" s="152"/>
      <c r="BY61" s="152"/>
      <c r="BZ61" s="152"/>
      <c r="CA61" s="152"/>
      <c r="CB61" s="152"/>
      <c r="CC61" s="152"/>
      <c r="CD61" s="151"/>
      <c r="CE61" s="152"/>
      <c r="CF61" s="111"/>
      <c r="CG61" s="112"/>
      <c r="CH61" s="112"/>
    </row>
    <row r="62" spans="1:87" s="113" customFormat="1" ht="24.95" customHeight="1" thickTop="1" thickBot="1" x14ac:dyDescent="0.3">
      <c r="A62" s="294">
        <v>140310096</v>
      </c>
      <c r="B62" s="204">
        <v>2</v>
      </c>
      <c r="C62" s="205" t="s">
        <v>55</v>
      </c>
      <c r="D62" s="206"/>
      <c r="E62" s="206"/>
      <c r="F62" s="207"/>
      <c r="G62" s="206"/>
      <c r="H62" s="206"/>
      <c r="I62" s="208">
        <v>3000</v>
      </c>
      <c r="J62" s="209">
        <v>3000</v>
      </c>
      <c r="K62" s="210">
        <v>3000</v>
      </c>
      <c r="L62" s="211">
        <v>0</v>
      </c>
      <c r="M62" s="212">
        <v>0</v>
      </c>
      <c r="N62" s="213">
        <v>0</v>
      </c>
      <c r="O62" s="146"/>
      <c r="P62" s="147"/>
      <c r="Q62" s="148"/>
      <c r="R62" s="149"/>
      <c r="S62" s="149"/>
      <c r="T62" s="149"/>
      <c r="U62" s="150"/>
      <c r="V62" s="151"/>
      <c r="W62" s="152"/>
      <c r="X62" s="152"/>
      <c r="Y62" s="152"/>
      <c r="Z62" s="215"/>
      <c r="AA62" s="152"/>
      <c r="AB62" s="152"/>
      <c r="AC62" s="152"/>
      <c r="AD62" s="152"/>
      <c r="AE62" s="152"/>
      <c r="AF62" s="152"/>
      <c r="AG62" s="152"/>
      <c r="AH62" s="152"/>
      <c r="AI62" s="152"/>
      <c r="AJ62" s="152"/>
      <c r="AK62" s="152"/>
      <c r="AL62" s="152"/>
      <c r="AM62" s="152"/>
      <c r="AN62" s="152"/>
      <c r="AO62" s="152"/>
      <c r="AP62" s="152"/>
      <c r="AQ62" s="152"/>
      <c r="AR62" s="152"/>
      <c r="AS62" s="152"/>
      <c r="AT62" s="152"/>
      <c r="AU62" s="152"/>
      <c r="AV62" s="152"/>
      <c r="AW62" s="152"/>
      <c r="AX62" s="152"/>
      <c r="AY62" s="151"/>
      <c r="AZ62" s="152"/>
      <c r="BA62" s="151"/>
      <c r="BB62" s="152"/>
      <c r="BC62" s="152"/>
      <c r="BD62" s="152"/>
      <c r="BE62" s="215"/>
      <c r="BF62" s="152"/>
      <c r="BG62" s="152"/>
      <c r="BH62" s="152"/>
      <c r="BI62" s="152"/>
      <c r="BJ62" s="152"/>
      <c r="BK62" s="152"/>
      <c r="BL62" s="152"/>
      <c r="BM62" s="152"/>
      <c r="BN62" s="152"/>
      <c r="BO62" s="152"/>
      <c r="BP62" s="152"/>
      <c r="BQ62" s="152"/>
      <c r="BR62" s="152"/>
      <c r="BS62" s="152"/>
      <c r="BT62" s="152"/>
      <c r="BU62" s="152"/>
      <c r="BV62" s="152"/>
      <c r="BW62" s="152"/>
      <c r="BX62" s="152"/>
      <c r="BY62" s="152"/>
      <c r="BZ62" s="152"/>
      <c r="CA62" s="152"/>
      <c r="CB62" s="152"/>
      <c r="CC62" s="152"/>
      <c r="CD62" s="151"/>
      <c r="CE62" s="152"/>
      <c r="CF62" s="120"/>
      <c r="CG62" s="111"/>
      <c r="CH62" s="112"/>
      <c r="CI62" s="112"/>
    </row>
    <row r="63" spans="1:87" s="113" customFormat="1" ht="24.95" customHeight="1" thickTop="1" thickBot="1" x14ac:dyDescent="0.3">
      <c r="A63" s="293">
        <v>140010255</v>
      </c>
      <c r="B63" s="114">
        <v>2</v>
      </c>
      <c r="C63" s="155" t="s">
        <v>0</v>
      </c>
      <c r="D63" s="110"/>
      <c r="E63" s="110"/>
      <c r="F63" s="118"/>
      <c r="G63" s="110"/>
      <c r="H63" s="110"/>
      <c r="I63" s="104">
        <v>1000</v>
      </c>
      <c r="J63" s="105">
        <v>1000</v>
      </c>
      <c r="K63" s="106">
        <v>1000</v>
      </c>
      <c r="L63" s="107">
        <v>0</v>
      </c>
      <c r="M63" s="108">
        <v>0</v>
      </c>
      <c r="N63" s="109">
        <v>0</v>
      </c>
      <c r="O63" s="146"/>
      <c r="P63" s="147"/>
      <c r="Q63" s="148"/>
      <c r="R63" s="149"/>
      <c r="S63" s="149"/>
      <c r="T63" s="149"/>
      <c r="U63" s="150"/>
      <c r="V63" s="151"/>
      <c r="W63" s="152"/>
      <c r="X63" s="152"/>
      <c r="Y63" s="152"/>
      <c r="Z63" s="154"/>
      <c r="AA63" s="152"/>
      <c r="AB63" s="152"/>
      <c r="AC63" s="152"/>
      <c r="AD63" s="152"/>
      <c r="AE63" s="152"/>
      <c r="AF63" s="152"/>
      <c r="AG63" s="152"/>
      <c r="AH63" s="152"/>
      <c r="AI63" s="152"/>
      <c r="AJ63" s="152"/>
      <c r="AK63" s="152"/>
      <c r="AL63" s="152"/>
      <c r="AM63" s="152"/>
      <c r="AN63" s="152"/>
      <c r="AO63" s="152"/>
      <c r="AP63" s="152"/>
      <c r="AQ63" s="152"/>
      <c r="AR63" s="152"/>
      <c r="AS63" s="152"/>
      <c r="AT63" s="152"/>
      <c r="AU63" s="152"/>
      <c r="AV63" s="152"/>
      <c r="AW63" s="152"/>
      <c r="AX63" s="152"/>
      <c r="AY63" s="151"/>
      <c r="AZ63" s="152"/>
      <c r="BA63" s="151"/>
      <c r="BB63" s="152"/>
      <c r="BC63" s="152"/>
      <c r="BD63" s="152"/>
      <c r="BE63" s="154"/>
      <c r="BF63" s="153"/>
      <c r="BG63" s="152"/>
      <c r="BH63" s="152"/>
      <c r="BI63" s="152"/>
      <c r="BJ63" s="152"/>
      <c r="BK63" s="152"/>
      <c r="BL63" s="152"/>
      <c r="BM63" s="152"/>
      <c r="BN63" s="152"/>
      <c r="BO63" s="152"/>
      <c r="BP63" s="152"/>
      <c r="BQ63" s="153"/>
      <c r="BR63" s="152"/>
      <c r="BS63" s="152"/>
      <c r="BT63" s="152"/>
      <c r="BU63" s="152"/>
      <c r="BV63" s="152"/>
      <c r="BW63" s="152"/>
      <c r="BX63" s="152"/>
      <c r="BY63" s="152"/>
      <c r="BZ63" s="152"/>
      <c r="CA63" s="152"/>
      <c r="CB63" s="152"/>
      <c r="CC63" s="152"/>
      <c r="CD63" s="151"/>
      <c r="CE63" s="152"/>
      <c r="CF63" s="120"/>
      <c r="CG63" s="111"/>
      <c r="CH63" s="112"/>
      <c r="CI63" s="112"/>
    </row>
    <row r="64" spans="1:87" s="113" customFormat="1" ht="24.95" customHeight="1" thickTop="1" thickBot="1" x14ac:dyDescent="0.3">
      <c r="A64" s="293">
        <v>140010117</v>
      </c>
      <c r="B64" s="114" t="s">
        <v>242</v>
      </c>
      <c r="C64" s="155" t="s">
        <v>0</v>
      </c>
      <c r="D64" s="110"/>
      <c r="E64" s="110"/>
      <c r="F64" s="118"/>
      <c r="G64" s="110"/>
      <c r="H64" s="110"/>
      <c r="I64" s="104">
        <v>3000</v>
      </c>
      <c r="J64" s="105">
        <v>3000</v>
      </c>
      <c r="K64" s="106">
        <v>3000</v>
      </c>
      <c r="L64" s="107">
        <v>0</v>
      </c>
      <c r="M64" s="108">
        <v>0</v>
      </c>
      <c r="N64" s="109">
        <v>0</v>
      </c>
      <c r="O64" s="146"/>
      <c r="P64" s="147"/>
      <c r="Q64" s="148"/>
      <c r="R64" s="149"/>
      <c r="S64" s="149"/>
      <c r="T64" s="149"/>
      <c r="U64" s="150"/>
      <c r="V64" s="151"/>
      <c r="W64" s="152"/>
      <c r="X64" s="152"/>
      <c r="Y64" s="152"/>
      <c r="Z64" s="154"/>
      <c r="AA64" s="152"/>
      <c r="AB64" s="152"/>
      <c r="AC64" s="152"/>
      <c r="AD64" s="152"/>
      <c r="AE64" s="152"/>
      <c r="AF64" s="152"/>
      <c r="AG64" s="152"/>
      <c r="AH64" s="152"/>
      <c r="AI64" s="152"/>
      <c r="AJ64" s="152"/>
      <c r="AK64" s="152"/>
      <c r="AL64" s="152"/>
      <c r="AM64" s="152"/>
      <c r="AN64" s="152"/>
      <c r="AO64" s="152"/>
      <c r="AP64" s="152"/>
      <c r="AQ64" s="152"/>
      <c r="AR64" s="152"/>
      <c r="AS64" s="152"/>
      <c r="AT64" s="152"/>
      <c r="AU64" s="152"/>
      <c r="AV64" s="152"/>
      <c r="AW64" s="152"/>
      <c r="AX64" s="152"/>
      <c r="AY64" s="151"/>
      <c r="AZ64" s="152"/>
      <c r="BA64" s="151"/>
      <c r="BB64" s="152"/>
      <c r="BC64" s="152"/>
      <c r="BD64" s="152"/>
      <c r="BE64" s="154"/>
      <c r="BF64" s="152"/>
      <c r="BG64" s="152"/>
      <c r="BH64" s="152"/>
      <c r="BI64" s="152"/>
      <c r="BJ64" s="152"/>
      <c r="BK64" s="152"/>
      <c r="BL64" s="152"/>
      <c r="BM64" s="152"/>
      <c r="BN64" s="152"/>
      <c r="BO64" s="152"/>
      <c r="BP64" s="152"/>
      <c r="BQ64" s="152"/>
      <c r="BR64" s="152"/>
      <c r="BS64" s="152"/>
      <c r="BT64" s="152"/>
      <c r="BU64" s="152"/>
      <c r="BV64" s="152"/>
      <c r="BW64" s="152"/>
      <c r="BX64" s="152"/>
      <c r="BY64" s="152"/>
      <c r="BZ64" s="152"/>
      <c r="CA64" s="152"/>
      <c r="CB64" s="152"/>
      <c r="CC64" s="152"/>
      <c r="CD64" s="151"/>
      <c r="CE64" s="152"/>
      <c r="CF64" s="120"/>
      <c r="CG64" s="111"/>
      <c r="CH64" s="112"/>
      <c r="CI64" s="112"/>
    </row>
    <row r="65" spans="1:87" s="113" customFormat="1" ht="24.95" customHeight="1" thickTop="1" thickBot="1" x14ac:dyDescent="0.3">
      <c r="A65" s="293">
        <v>140030039</v>
      </c>
      <c r="B65" s="114">
        <v>2</v>
      </c>
      <c r="C65" s="155" t="s">
        <v>1054</v>
      </c>
      <c r="D65" s="110"/>
      <c r="E65" s="110"/>
      <c r="F65" s="118"/>
      <c r="G65" s="110"/>
      <c r="H65" s="110"/>
      <c r="I65" s="104">
        <v>8000</v>
      </c>
      <c r="J65" s="105">
        <v>8000</v>
      </c>
      <c r="K65" s="106">
        <v>6800</v>
      </c>
      <c r="L65" s="107">
        <v>0</v>
      </c>
      <c r="M65" s="108">
        <v>-1200</v>
      </c>
      <c r="N65" s="109">
        <v>1200</v>
      </c>
      <c r="O65" s="146"/>
      <c r="P65" s="147"/>
      <c r="Q65" s="148"/>
      <c r="R65" s="149"/>
      <c r="S65" s="149"/>
      <c r="T65" s="149"/>
      <c r="U65" s="150"/>
      <c r="V65" s="151"/>
      <c r="W65" s="152"/>
      <c r="X65" s="152"/>
      <c r="Y65" s="152"/>
      <c r="Z65" s="154"/>
      <c r="AA65" s="152"/>
      <c r="AB65" s="152"/>
      <c r="AC65" s="152"/>
      <c r="AD65" s="152"/>
      <c r="AE65" s="152"/>
      <c r="AF65" s="152"/>
      <c r="AG65" s="152"/>
      <c r="AH65" s="152"/>
      <c r="AI65" s="152"/>
      <c r="AJ65" s="152"/>
      <c r="AK65" s="152"/>
      <c r="AL65" s="152"/>
      <c r="AM65" s="152"/>
      <c r="AN65" s="152"/>
      <c r="AO65" s="152"/>
      <c r="AP65" s="152"/>
      <c r="AQ65" s="152"/>
      <c r="AR65" s="152"/>
      <c r="AS65" s="152"/>
      <c r="AT65" s="152"/>
      <c r="AU65" s="152"/>
      <c r="AV65" s="152"/>
      <c r="AW65" s="152"/>
      <c r="AX65" s="152"/>
      <c r="AY65" s="151"/>
      <c r="AZ65" s="152"/>
      <c r="BA65" s="151"/>
      <c r="BB65" s="152"/>
      <c r="BC65" s="152"/>
      <c r="BD65" s="152"/>
      <c r="BE65" s="215"/>
      <c r="BF65" s="152"/>
      <c r="BG65" s="152"/>
      <c r="BH65" s="152"/>
      <c r="BI65" s="152"/>
      <c r="BJ65" s="152"/>
      <c r="BK65" s="152"/>
      <c r="BL65" s="153"/>
      <c r="BM65" s="152"/>
      <c r="BN65" s="152"/>
      <c r="BO65" s="152"/>
      <c r="BP65" s="152"/>
      <c r="BQ65" s="152"/>
      <c r="BR65" s="152"/>
      <c r="BS65" s="152"/>
      <c r="BT65" s="152"/>
      <c r="BU65" s="152"/>
      <c r="BV65" s="152"/>
      <c r="BW65" s="152"/>
      <c r="BX65" s="152"/>
      <c r="BY65" s="152"/>
      <c r="BZ65" s="152"/>
      <c r="CA65" s="152"/>
      <c r="CB65" s="152"/>
      <c r="CC65" s="152"/>
      <c r="CD65" s="151"/>
      <c r="CE65" s="152"/>
      <c r="CF65" s="120"/>
      <c r="CG65" s="111"/>
      <c r="CH65" s="112"/>
      <c r="CI65" s="112"/>
    </row>
    <row r="66" spans="1:87" s="113" customFormat="1" ht="24.95" customHeight="1" thickTop="1" thickBot="1" x14ac:dyDescent="0.3">
      <c r="A66" s="293">
        <v>140030039</v>
      </c>
      <c r="B66" s="114" t="s">
        <v>242</v>
      </c>
      <c r="C66" s="155" t="s">
        <v>1054</v>
      </c>
      <c r="D66" s="110"/>
      <c r="E66" s="110"/>
      <c r="F66" s="118"/>
      <c r="G66" s="110"/>
      <c r="H66" s="110"/>
      <c r="I66" s="104">
        <v>3000</v>
      </c>
      <c r="J66" s="105">
        <v>3000</v>
      </c>
      <c r="K66" s="106">
        <v>3000</v>
      </c>
      <c r="L66" s="107">
        <v>0</v>
      </c>
      <c r="M66" s="108">
        <v>0</v>
      </c>
      <c r="N66" s="109">
        <v>0</v>
      </c>
      <c r="O66" s="146"/>
      <c r="P66" s="147"/>
      <c r="Q66" s="148"/>
      <c r="R66" s="149"/>
      <c r="S66" s="149"/>
      <c r="T66" s="149"/>
      <c r="U66" s="150"/>
      <c r="V66" s="151"/>
      <c r="W66" s="152"/>
      <c r="X66" s="152"/>
      <c r="Y66" s="152"/>
      <c r="Z66" s="154"/>
      <c r="AA66" s="152"/>
      <c r="AB66" s="152"/>
      <c r="AC66" s="152"/>
      <c r="AD66" s="152"/>
      <c r="AE66" s="152"/>
      <c r="AF66" s="152"/>
      <c r="AG66" s="152"/>
      <c r="AH66" s="152"/>
      <c r="AI66" s="152"/>
      <c r="AJ66" s="152"/>
      <c r="AK66" s="152"/>
      <c r="AL66" s="152"/>
      <c r="AM66" s="152"/>
      <c r="AN66" s="152"/>
      <c r="AO66" s="152"/>
      <c r="AP66" s="152"/>
      <c r="AQ66" s="152"/>
      <c r="AR66" s="152"/>
      <c r="AS66" s="152"/>
      <c r="AT66" s="152"/>
      <c r="AU66" s="152"/>
      <c r="AV66" s="152"/>
      <c r="AW66" s="152"/>
      <c r="AX66" s="152"/>
      <c r="AY66" s="151"/>
      <c r="AZ66" s="152"/>
      <c r="BA66" s="151"/>
      <c r="BB66" s="152"/>
      <c r="BC66" s="152"/>
      <c r="BD66" s="152"/>
      <c r="BE66" s="215"/>
      <c r="BF66" s="152"/>
      <c r="BG66" s="152"/>
      <c r="BH66" s="152"/>
      <c r="BI66" s="152"/>
      <c r="BJ66" s="152"/>
      <c r="BK66" s="152"/>
      <c r="BL66" s="152"/>
      <c r="BM66" s="152"/>
      <c r="BN66" s="152"/>
      <c r="BO66" s="152"/>
      <c r="BP66" s="152"/>
      <c r="BQ66" s="152"/>
      <c r="BR66" s="152"/>
      <c r="BS66" s="152"/>
      <c r="BT66" s="152"/>
      <c r="BU66" s="152"/>
      <c r="BV66" s="152"/>
      <c r="BW66" s="152"/>
      <c r="BX66" s="152"/>
      <c r="BY66" s="152"/>
      <c r="BZ66" s="152"/>
      <c r="CA66" s="152"/>
      <c r="CB66" s="152"/>
      <c r="CC66" s="152"/>
      <c r="CD66" s="151"/>
      <c r="CE66" s="152"/>
      <c r="CF66" s="120"/>
      <c r="CG66" s="111"/>
      <c r="CH66" s="112"/>
      <c r="CI66" s="112"/>
    </row>
    <row r="67" spans="1:87" s="113" customFormat="1" ht="24.95" customHeight="1" thickTop="1" thickBot="1" x14ac:dyDescent="0.3">
      <c r="A67" s="293">
        <v>140030039</v>
      </c>
      <c r="B67" s="114">
        <v>1</v>
      </c>
      <c r="C67" s="155" t="s">
        <v>1054</v>
      </c>
      <c r="D67" s="110"/>
      <c r="E67" s="110"/>
      <c r="F67" s="118"/>
      <c r="G67" s="110"/>
      <c r="H67" s="110"/>
      <c r="I67" s="104">
        <v>6600</v>
      </c>
      <c r="J67" s="105">
        <v>6600</v>
      </c>
      <c r="K67" s="106">
        <v>6600</v>
      </c>
      <c r="L67" s="107">
        <v>0</v>
      </c>
      <c r="M67" s="108">
        <v>0</v>
      </c>
      <c r="N67" s="109">
        <v>0</v>
      </c>
      <c r="O67" s="146"/>
      <c r="P67" s="147"/>
      <c r="Q67" s="148"/>
      <c r="R67" s="149"/>
      <c r="S67" s="149"/>
      <c r="T67" s="149"/>
      <c r="U67" s="150"/>
      <c r="V67" s="151"/>
      <c r="W67" s="152"/>
      <c r="X67" s="152"/>
      <c r="Y67" s="152"/>
      <c r="Z67" s="154"/>
      <c r="AA67" s="152"/>
      <c r="AB67" s="152"/>
      <c r="AC67" s="152"/>
      <c r="AD67" s="152"/>
      <c r="AE67" s="152"/>
      <c r="AF67" s="152"/>
      <c r="AG67" s="152"/>
      <c r="AH67" s="152"/>
      <c r="AI67" s="152"/>
      <c r="AJ67" s="152"/>
      <c r="AK67" s="152"/>
      <c r="AL67" s="152"/>
      <c r="AM67" s="152"/>
      <c r="AN67" s="152"/>
      <c r="AO67" s="152"/>
      <c r="AP67" s="152"/>
      <c r="AQ67" s="152"/>
      <c r="AR67" s="152"/>
      <c r="AS67" s="152"/>
      <c r="AT67" s="152"/>
      <c r="AU67" s="152"/>
      <c r="AV67" s="152"/>
      <c r="AW67" s="152"/>
      <c r="AX67" s="152"/>
      <c r="AY67" s="151"/>
      <c r="AZ67" s="152"/>
      <c r="BA67" s="151"/>
      <c r="BB67" s="152"/>
      <c r="BC67" s="152"/>
      <c r="BD67" s="152"/>
      <c r="BE67" s="154"/>
      <c r="BF67" s="152"/>
      <c r="BG67" s="152"/>
      <c r="BH67" s="152"/>
      <c r="BI67" s="152"/>
      <c r="BJ67" s="152"/>
      <c r="BK67" s="152"/>
      <c r="BL67" s="152"/>
      <c r="BM67" s="152"/>
      <c r="BN67" s="152"/>
      <c r="BO67" s="152"/>
      <c r="BP67" s="152"/>
      <c r="BQ67" s="152"/>
      <c r="BR67" s="152"/>
      <c r="BS67" s="152"/>
      <c r="BT67" s="152"/>
      <c r="BU67" s="152"/>
      <c r="BV67" s="152"/>
      <c r="BW67" s="152"/>
      <c r="BX67" s="152"/>
      <c r="BY67" s="152"/>
      <c r="BZ67" s="152"/>
      <c r="CA67" s="152"/>
      <c r="CB67" s="152"/>
      <c r="CC67" s="152"/>
      <c r="CD67" s="151"/>
      <c r="CE67" s="152"/>
      <c r="CF67" s="120"/>
      <c r="CG67" s="111"/>
      <c r="CH67" s="112"/>
      <c r="CI67" s="112"/>
    </row>
    <row r="68" spans="1:87" s="113" customFormat="1" ht="24.95" customHeight="1" thickTop="1" thickBot="1" x14ac:dyDescent="0.3">
      <c r="A68" s="293">
        <v>140030040</v>
      </c>
      <c r="B68" s="114">
        <v>2</v>
      </c>
      <c r="C68" s="155" t="s">
        <v>1055</v>
      </c>
      <c r="D68" s="110"/>
      <c r="E68" s="110"/>
      <c r="F68" s="118"/>
      <c r="G68" s="110"/>
      <c r="H68" s="110"/>
      <c r="I68" s="104">
        <v>8000</v>
      </c>
      <c r="J68" s="105">
        <v>8000</v>
      </c>
      <c r="K68" s="106">
        <v>8000</v>
      </c>
      <c r="L68" s="107">
        <v>0</v>
      </c>
      <c r="M68" s="108">
        <v>0</v>
      </c>
      <c r="N68" s="109">
        <v>0</v>
      </c>
      <c r="O68" s="214"/>
      <c r="P68" s="201"/>
      <c r="Q68" s="200"/>
      <c r="R68" s="202"/>
      <c r="S68" s="202"/>
      <c r="T68" s="202"/>
      <c r="U68" s="203"/>
      <c r="V68" s="151"/>
      <c r="W68" s="153"/>
      <c r="X68" s="152"/>
      <c r="Y68" s="152"/>
      <c r="Z68" s="154"/>
      <c r="AA68" s="152"/>
      <c r="AB68" s="152"/>
      <c r="AC68" s="152"/>
      <c r="AD68" s="153"/>
      <c r="AE68" s="152"/>
      <c r="AF68" s="152"/>
      <c r="AG68" s="152"/>
      <c r="AH68" s="152"/>
      <c r="AI68" s="152"/>
      <c r="AJ68" s="152"/>
      <c r="AK68" s="153"/>
      <c r="AL68" s="152"/>
      <c r="AM68" s="152"/>
      <c r="AN68" s="152"/>
      <c r="AO68" s="152"/>
      <c r="AP68" s="152"/>
      <c r="AQ68" s="153"/>
      <c r="AR68" s="152"/>
      <c r="AS68" s="152"/>
      <c r="AT68" s="152"/>
      <c r="AU68" s="152"/>
      <c r="AV68" s="152"/>
      <c r="AW68" s="152"/>
      <c r="AX68" s="152"/>
      <c r="AY68" s="151"/>
      <c r="AZ68" s="152"/>
      <c r="BA68" s="151"/>
      <c r="BB68" s="152"/>
      <c r="BC68" s="152"/>
      <c r="BD68" s="152"/>
      <c r="BE68" s="215"/>
      <c r="BF68" s="152"/>
      <c r="BG68" s="152"/>
      <c r="BH68" s="152"/>
      <c r="BI68" s="152"/>
      <c r="BJ68" s="152"/>
      <c r="BK68" s="152"/>
      <c r="BL68" s="153"/>
      <c r="BM68" s="152"/>
      <c r="BN68" s="152"/>
      <c r="BO68" s="152"/>
      <c r="BP68" s="152"/>
      <c r="BQ68" s="152"/>
      <c r="BR68" s="152"/>
      <c r="BS68" s="152"/>
      <c r="BT68" s="152"/>
      <c r="BU68" s="152"/>
      <c r="BV68" s="152"/>
      <c r="BW68" s="152"/>
      <c r="BX68" s="152"/>
      <c r="BY68" s="152"/>
      <c r="BZ68" s="152"/>
      <c r="CA68" s="152"/>
      <c r="CB68" s="152"/>
      <c r="CC68" s="152"/>
      <c r="CD68" s="151"/>
      <c r="CE68" s="152"/>
      <c r="CF68" s="160"/>
      <c r="CG68" s="136"/>
      <c r="CH68" s="112"/>
      <c r="CI68" s="112"/>
    </row>
    <row r="69" spans="1:87" s="121" customFormat="1" ht="24.95" customHeight="1" thickTop="1" thickBot="1" x14ac:dyDescent="0.3">
      <c r="A69" s="293">
        <v>140030040</v>
      </c>
      <c r="B69" s="114" t="s">
        <v>242</v>
      </c>
      <c r="C69" s="155" t="s">
        <v>1055</v>
      </c>
      <c r="D69" s="110"/>
      <c r="E69" s="110"/>
      <c r="F69" s="118"/>
      <c r="G69" s="110"/>
      <c r="H69" s="110"/>
      <c r="I69" s="104">
        <v>3000</v>
      </c>
      <c r="J69" s="105">
        <v>3000</v>
      </c>
      <c r="K69" s="106">
        <v>3000</v>
      </c>
      <c r="L69" s="107">
        <v>0</v>
      </c>
      <c r="M69" s="108">
        <v>0</v>
      </c>
      <c r="N69" s="109">
        <v>0</v>
      </c>
      <c r="O69" s="113"/>
      <c r="P69" s="146"/>
      <c r="Q69" s="147"/>
      <c r="R69" s="148"/>
      <c r="S69" s="149"/>
      <c r="T69" s="149"/>
      <c r="U69" s="149"/>
      <c r="V69" s="152"/>
      <c r="W69" s="151"/>
      <c r="X69" s="152"/>
      <c r="Y69" s="152"/>
      <c r="Z69" s="152"/>
      <c r="AA69" s="154"/>
      <c r="AB69" s="152"/>
      <c r="AC69" s="152"/>
      <c r="AD69" s="152"/>
      <c r="AE69" s="152"/>
      <c r="AF69" s="152"/>
      <c r="AG69" s="152"/>
      <c r="AH69" s="152"/>
      <c r="AI69" s="152"/>
      <c r="AJ69" s="152"/>
      <c r="AK69" s="152"/>
      <c r="AL69" s="152"/>
      <c r="AM69" s="152"/>
      <c r="AN69" s="152"/>
      <c r="AO69" s="152"/>
      <c r="AP69" s="152"/>
      <c r="AQ69" s="152"/>
      <c r="AR69" s="152"/>
      <c r="AS69" s="152"/>
      <c r="AT69" s="152"/>
      <c r="AU69" s="152"/>
      <c r="AV69" s="152"/>
      <c r="AW69" s="152"/>
      <c r="AX69" s="152"/>
      <c r="AY69" s="152"/>
      <c r="AZ69" s="151"/>
      <c r="BA69" s="152"/>
      <c r="BB69" s="152"/>
      <c r="BC69" s="152"/>
      <c r="BD69" s="152"/>
      <c r="BE69" s="215"/>
      <c r="BF69" s="152"/>
      <c r="BG69" s="152"/>
      <c r="BH69" s="152"/>
      <c r="BI69" s="152"/>
      <c r="BJ69" s="152"/>
      <c r="BK69" s="152"/>
      <c r="BL69" s="152"/>
      <c r="BM69" s="152"/>
      <c r="BN69" s="152"/>
      <c r="BO69" s="152"/>
      <c r="BP69" s="152"/>
      <c r="BQ69" s="152"/>
      <c r="BR69" s="152"/>
      <c r="BS69" s="152"/>
      <c r="BT69" s="152"/>
      <c r="BU69" s="152"/>
      <c r="BV69" s="152"/>
      <c r="BW69" s="152"/>
      <c r="BX69" s="152"/>
      <c r="BY69" s="152"/>
      <c r="BZ69" s="152"/>
      <c r="CA69" s="152"/>
      <c r="CB69" s="152"/>
      <c r="CC69" s="152"/>
      <c r="CD69" s="151"/>
      <c r="CE69" s="152"/>
      <c r="CF69" s="162"/>
      <c r="CG69" s="163"/>
    </row>
    <row r="70" spans="1:87" s="121" customFormat="1" ht="24.95" customHeight="1" thickTop="1" thickBot="1" x14ac:dyDescent="0.3">
      <c r="A70" s="293">
        <v>140030040</v>
      </c>
      <c r="B70" s="114" t="s">
        <v>259</v>
      </c>
      <c r="C70" s="155" t="s">
        <v>1055</v>
      </c>
      <c r="D70" s="110"/>
      <c r="E70" s="110"/>
      <c r="F70" s="118"/>
      <c r="G70" s="110"/>
      <c r="H70" s="110"/>
      <c r="I70" s="104">
        <v>600</v>
      </c>
      <c r="J70" s="105">
        <v>600</v>
      </c>
      <c r="K70" s="106">
        <v>600</v>
      </c>
      <c r="L70" s="107">
        <v>0</v>
      </c>
      <c r="M70" s="108">
        <v>0</v>
      </c>
      <c r="N70" s="109">
        <v>0</v>
      </c>
      <c r="O70" s="113"/>
      <c r="P70" s="146"/>
      <c r="Q70" s="147"/>
      <c r="R70" s="148"/>
      <c r="S70" s="149"/>
      <c r="T70" s="149"/>
      <c r="U70" s="149"/>
      <c r="V70" s="152"/>
      <c r="W70" s="151"/>
      <c r="X70" s="152"/>
      <c r="Y70" s="152"/>
      <c r="Z70" s="152"/>
      <c r="AA70" s="154"/>
      <c r="AB70" s="152"/>
      <c r="AC70" s="152"/>
      <c r="AD70" s="152"/>
      <c r="AE70" s="152"/>
      <c r="AF70" s="152"/>
      <c r="AG70" s="152"/>
      <c r="AH70" s="152"/>
      <c r="AI70" s="152"/>
      <c r="AJ70" s="152"/>
      <c r="AK70" s="152"/>
      <c r="AL70" s="152"/>
      <c r="AM70" s="152"/>
      <c r="AN70" s="152"/>
      <c r="AO70" s="152"/>
      <c r="AP70" s="152"/>
      <c r="AQ70" s="152"/>
      <c r="AR70" s="152"/>
      <c r="AS70" s="152"/>
      <c r="AT70" s="152"/>
      <c r="AU70" s="152"/>
      <c r="AV70" s="152"/>
      <c r="AW70" s="152"/>
      <c r="AX70" s="152"/>
      <c r="AY70" s="152"/>
      <c r="AZ70" s="151"/>
      <c r="BA70" s="152"/>
      <c r="BB70" s="152"/>
      <c r="BC70" s="152"/>
      <c r="BD70" s="152"/>
      <c r="BE70" s="154"/>
      <c r="BF70" s="152"/>
      <c r="BG70" s="152"/>
      <c r="BH70" s="152"/>
      <c r="BI70" s="152"/>
      <c r="BJ70" s="152"/>
      <c r="BK70" s="152"/>
      <c r="BL70" s="152"/>
      <c r="BM70" s="152"/>
      <c r="BN70" s="152"/>
      <c r="BO70" s="152"/>
      <c r="BP70" s="152"/>
      <c r="BQ70" s="152"/>
      <c r="BR70" s="152"/>
      <c r="BS70" s="152"/>
      <c r="BT70" s="152"/>
      <c r="BU70" s="152"/>
      <c r="BV70" s="152"/>
      <c r="BW70" s="152"/>
      <c r="BX70" s="152"/>
      <c r="BY70" s="152"/>
      <c r="BZ70" s="152"/>
      <c r="CA70" s="152"/>
      <c r="CB70" s="152"/>
      <c r="CC70" s="152"/>
      <c r="CD70" s="151"/>
      <c r="CE70" s="152"/>
      <c r="CF70" s="152"/>
      <c r="CG70" s="163"/>
    </row>
    <row r="71" spans="1:87" s="121" customFormat="1" ht="24.95" customHeight="1" thickTop="1" thickBot="1" x14ac:dyDescent="0.3">
      <c r="A71" s="293">
        <v>140010298</v>
      </c>
      <c r="B71" s="114">
        <v>1</v>
      </c>
      <c r="C71" s="199" t="s">
        <v>1045</v>
      </c>
      <c r="D71" s="110"/>
      <c r="E71" s="110"/>
      <c r="F71" s="118"/>
      <c r="G71" s="110"/>
      <c r="H71" s="110"/>
      <c r="I71" s="104">
        <v>630</v>
      </c>
      <c r="J71" s="105">
        <v>632</v>
      </c>
      <c r="K71" s="106">
        <v>630</v>
      </c>
      <c r="L71" s="107">
        <v>2</v>
      </c>
      <c r="M71" s="108">
        <v>0</v>
      </c>
      <c r="N71" s="109">
        <v>2</v>
      </c>
      <c r="O71" s="113"/>
      <c r="P71" s="146"/>
      <c r="Q71" s="147"/>
      <c r="R71" s="148"/>
      <c r="S71" s="149"/>
      <c r="T71" s="149"/>
      <c r="U71" s="149"/>
      <c r="V71" s="152"/>
      <c r="W71" s="151"/>
      <c r="X71" s="152"/>
      <c r="Y71" s="152"/>
      <c r="Z71" s="152"/>
      <c r="AA71" s="154"/>
      <c r="AB71" s="153"/>
      <c r="AC71" s="152"/>
      <c r="AD71" s="152"/>
      <c r="AE71" s="152"/>
      <c r="AF71" s="152"/>
      <c r="AG71" s="153"/>
      <c r="AH71" s="152"/>
      <c r="AI71" s="152"/>
      <c r="AJ71" s="152"/>
      <c r="AK71" s="152"/>
      <c r="AL71" s="152"/>
      <c r="AM71" s="153"/>
      <c r="AN71" s="152"/>
      <c r="AO71" s="152"/>
      <c r="AP71" s="152"/>
      <c r="AQ71" s="153"/>
      <c r="AR71" s="152"/>
      <c r="AS71" s="152"/>
      <c r="AT71" s="152"/>
      <c r="AU71" s="152"/>
      <c r="AV71" s="152"/>
      <c r="AW71" s="152"/>
      <c r="AX71" s="152"/>
      <c r="AY71" s="152"/>
      <c r="AZ71" s="151"/>
      <c r="BA71" s="152"/>
      <c r="BB71" s="152"/>
      <c r="BC71" s="152"/>
      <c r="BD71" s="152"/>
      <c r="BE71" s="154"/>
      <c r="BF71" s="152"/>
      <c r="BG71" s="152"/>
      <c r="BH71" s="152"/>
      <c r="BI71" s="152"/>
      <c r="BJ71" s="152"/>
      <c r="BK71" s="152"/>
      <c r="BL71" s="152"/>
      <c r="BM71" s="152"/>
      <c r="BN71" s="152"/>
      <c r="BO71" s="152"/>
      <c r="BP71" s="152"/>
      <c r="BQ71" s="152"/>
      <c r="BR71" s="152"/>
      <c r="BS71" s="152"/>
      <c r="BT71" s="152"/>
      <c r="BU71" s="152"/>
      <c r="BV71" s="152"/>
      <c r="BW71" s="152"/>
      <c r="BX71" s="152"/>
      <c r="BY71" s="152"/>
      <c r="BZ71" s="152"/>
      <c r="CA71" s="152"/>
      <c r="CB71" s="152"/>
      <c r="CC71" s="152"/>
      <c r="CD71" s="151"/>
      <c r="CE71" s="152"/>
      <c r="CF71" s="152"/>
      <c r="CG71" s="163"/>
    </row>
    <row r="72" spans="1:87" s="43" customFormat="1" ht="24.95" customHeight="1" thickTop="1" thickBot="1" x14ac:dyDescent="0.3">
      <c r="A72" s="293">
        <v>140010279</v>
      </c>
      <c r="B72" s="114">
        <v>1</v>
      </c>
      <c r="C72" s="199" t="s">
        <v>1045</v>
      </c>
      <c r="D72" s="110"/>
      <c r="E72" s="110"/>
      <c r="F72" s="118"/>
      <c r="G72" s="110"/>
      <c r="H72" s="110"/>
      <c r="I72" s="104">
        <v>10300</v>
      </c>
      <c r="J72" s="105">
        <v>10298</v>
      </c>
      <c r="K72" s="106">
        <v>10315</v>
      </c>
      <c r="L72" s="107">
        <v>15</v>
      </c>
      <c r="M72" s="108">
        <v>15</v>
      </c>
      <c r="N72" s="109">
        <v>-5</v>
      </c>
      <c r="O72" s="61"/>
      <c r="P72" s="116"/>
      <c r="Q72" s="61"/>
      <c r="R72" s="56"/>
      <c r="S72" s="44"/>
      <c r="T72" s="44"/>
      <c r="U72" s="44"/>
      <c r="V72" s="46"/>
      <c r="W72" s="45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46"/>
      <c r="AV72" s="46"/>
      <c r="AW72" s="46"/>
      <c r="AX72" s="46"/>
      <c r="AY72" s="46"/>
      <c r="AZ72" s="46"/>
      <c r="BA72" s="46"/>
      <c r="BB72" s="152"/>
      <c r="BC72" s="152"/>
      <c r="BD72" s="152"/>
      <c r="BE72" s="154"/>
      <c r="BF72" s="152"/>
      <c r="BG72" s="152"/>
      <c r="BH72" s="152"/>
      <c r="BI72" s="152"/>
      <c r="BJ72" s="152"/>
      <c r="BK72" s="152"/>
      <c r="BL72" s="152"/>
      <c r="BM72" s="152"/>
      <c r="BN72" s="152"/>
      <c r="BO72" s="152"/>
      <c r="BP72" s="152"/>
      <c r="BQ72" s="152"/>
      <c r="BR72" s="152"/>
      <c r="BS72" s="152"/>
      <c r="BT72" s="152"/>
      <c r="BU72" s="152"/>
      <c r="BV72" s="152"/>
      <c r="BW72" s="152"/>
      <c r="BX72" s="152"/>
      <c r="BY72" s="152"/>
      <c r="BZ72" s="152"/>
      <c r="CA72" s="152"/>
      <c r="CB72" s="152"/>
      <c r="CC72" s="152"/>
      <c r="CD72" s="151"/>
      <c r="CE72" s="152"/>
      <c r="CF72" s="158"/>
      <c r="CG72" s="163"/>
      <c r="CH72" s="159"/>
    </row>
    <row r="73" spans="1:87" s="113" customFormat="1" ht="24.95" customHeight="1" thickTop="1" thickBot="1" x14ac:dyDescent="0.3">
      <c r="A73" s="293">
        <v>140010280</v>
      </c>
      <c r="B73" s="114">
        <v>1</v>
      </c>
      <c r="C73" s="199" t="s">
        <v>1045</v>
      </c>
      <c r="D73" s="110"/>
      <c r="E73" s="110"/>
      <c r="F73" s="118"/>
      <c r="G73" s="110"/>
      <c r="H73" s="110"/>
      <c r="I73" s="104">
        <v>8100</v>
      </c>
      <c r="J73" s="105">
        <v>8105</v>
      </c>
      <c r="K73" s="106">
        <v>8099</v>
      </c>
      <c r="L73" s="107">
        <v>5</v>
      </c>
      <c r="M73" s="108">
        <v>-1</v>
      </c>
      <c r="N73" s="109">
        <v>6</v>
      </c>
      <c r="O73" s="55"/>
      <c r="P73" s="115"/>
      <c r="Q73" s="55"/>
      <c r="R73" s="39"/>
      <c r="S73" s="39"/>
      <c r="T73" s="39"/>
      <c r="U73" s="39"/>
      <c r="V73" s="19"/>
      <c r="W73" s="25"/>
      <c r="X73" s="37"/>
      <c r="Y73" s="19"/>
      <c r="Z73" s="19"/>
      <c r="AA73" s="19"/>
      <c r="AB73" s="37"/>
      <c r="AC73" s="19"/>
      <c r="AD73" s="19"/>
      <c r="AE73" s="37"/>
      <c r="AF73" s="19"/>
      <c r="AG73" s="19"/>
      <c r="AH73" s="19"/>
      <c r="AI73" s="37"/>
      <c r="AJ73" s="19"/>
      <c r="AK73" s="19"/>
      <c r="AL73" s="37"/>
      <c r="AM73" s="19"/>
      <c r="AN73" s="19"/>
      <c r="AO73" s="19"/>
      <c r="AP73" s="37"/>
      <c r="AQ73" s="19"/>
      <c r="AR73" s="19"/>
      <c r="AS73" s="19"/>
      <c r="AT73" s="19"/>
      <c r="AU73" s="19"/>
      <c r="AV73" s="19"/>
      <c r="AW73" s="19"/>
      <c r="AX73" s="19"/>
      <c r="AY73" s="19"/>
      <c r="AZ73" s="37"/>
      <c r="BA73" s="19"/>
      <c r="BB73" s="152"/>
      <c r="BC73" s="152"/>
      <c r="BD73" s="152"/>
      <c r="BE73" s="154"/>
      <c r="BF73" s="152"/>
      <c r="BG73" s="152"/>
      <c r="BH73" s="152"/>
      <c r="BI73" s="152"/>
      <c r="BJ73" s="152"/>
      <c r="BK73" s="152"/>
      <c r="BL73" s="152"/>
      <c r="BM73" s="152"/>
      <c r="BN73" s="152"/>
      <c r="BO73" s="152"/>
      <c r="BP73" s="152"/>
      <c r="BQ73" s="152"/>
      <c r="BR73" s="152"/>
      <c r="BS73" s="152"/>
      <c r="BT73" s="152"/>
      <c r="BU73" s="152"/>
      <c r="BV73" s="152"/>
      <c r="BW73" s="152"/>
      <c r="BX73" s="152"/>
      <c r="BY73" s="152"/>
      <c r="BZ73" s="152"/>
      <c r="CA73" s="152"/>
      <c r="CB73" s="152"/>
      <c r="CC73" s="152"/>
      <c r="CD73" s="151"/>
      <c r="CE73" s="152"/>
      <c r="CF73" s="152"/>
      <c r="CG73" s="164"/>
      <c r="CH73" s="112"/>
      <c r="CI73" s="112"/>
    </row>
    <row r="74" spans="1:87" s="113" customFormat="1" ht="24.95" customHeight="1" thickTop="1" thickBot="1" x14ac:dyDescent="0.3">
      <c r="A74" s="293">
        <v>140010295</v>
      </c>
      <c r="B74" s="114">
        <v>1</v>
      </c>
      <c r="C74" s="199" t="s">
        <v>1045</v>
      </c>
      <c r="D74" s="110"/>
      <c r="E74" s="110"/>
      <c r="F74" s="118"/>
      <c r="G74" s="110"/>
      <c r="H74" s="110"/>
      <c r="I74" s="104">
        <v>4300</v>
      </c>
      <c r="J74" s="105">
        <v>4310</v>
      </c>
      <c r="K74" s="106">
        <v>4305</v>
      </c>
      <c r="L74" s="107">
        <v>10</v>
      </c>
      <c r="M74" s="108">
        <v>5</v>
      </c>
      <c r="N74" s="109">
        <v>5</v>
      </c>
      <c r="O74" s="55"/>
      <c r="P74" s="115"/>
      <c r="Q74" s="55"/>
      <c r="R74" s="39"/>
      <c r="S74" s="39"/>
      <c r="T74" s="39"/>
      <c r="U74" s="39"/>
      <c r="V74" s="19"/>
      <c r="W74" s="25"/>
      <c r="X74" s="37"/>
      <c r="Y74" s="19"/>
      <c r="Z74" s="19"/>
      <c r="AA74" s="19"/>
      <c r="AB74" s="37"/>
      <c r="AC74" s="19"/>
      <c r="AD74" s="19"/>
      <c r="AE74" s="37"/>
      <c r="AF74" s="19"/>
      <c r="AG74" s="19"/>
      <c r="AH74" s="19"/>
      <c r="AI74" s="37"/>
      <c r="AJ74" s="19"/>
      <c r="AK74" s="19"/>
      <c r="AL74" s="37"/>
      <c r="AM74" s="19"/>
      <c r="AN74" s="19"/>
      <c r="AO74" s="19"/>
      <c r="AP74" s="37"/>
      <c r="AQ74" s="19"/>
      <c r="AR74" s="19"/>
      <c r="AS74" s="19"/>
      <c r="AT74" s="19"/>
      <c r="AU74" s="19"/>
      <c r="AV74" s="19"/>
      <c r="AW74" s="19"/>
      <c r="AX74" s="19"/>
      <c r="AY74" s="19"/>
      <c r="AZ74" s="37"/>
      <c r="BA74" s="19"/>
      <c r="BB74" s="152"/>
      <c r="BC74" s="152"/>
      <c r="BD74" s="152"/>
      <c r="BE74" s="154"/>
      <c r="BF74" s="152"/>
      <c r="BG74" s="152"/>
      <c r="BH74" s="152"/>
      <c r="BI74" s="152"/>
      <c r="BJ74" s="152"/>
      <c r="BK74" s="152"/>
      <c r="BL74" s="152"/>
      <c r="BM74" s="152"/>
      <c r="BN74" s="152"/>
      <c r="BO74" s="152"/>
      <c r="BP74" s="152"/>
      <c r="BQ74" s="152"/>
      <c r="BR74" s="152"/>
      <c r="BS74" s="152"/>
      <c r="BT74" s="152"/>
      <c r="BU74" s="152"/>
      <c r="BV74" s="152"/>
      <c r="BW74" s="152"/>
      <c r="BX74" s="152"/>
      <c r="BY74" s="152"/>
      <c r="BZ74" s="152"/>
      <c r="CA74" s="152"/>
      <c r="CB74" s="152"/>
      <c r="CC74" s="152"/>
      <c r="CD74" s="151"/>
      <c r="CE74" s="152"/>
      <c r="CF74" s="158"/>
      <c r="CG74" s="164"/>
      <c r="CH74" s="112"/>
      <c r="CI74" s="112"/>
    </row>
    <row r="75" spans="1:87" s="113" customFormat="1" ht="24.95" customHeight="1" thickTop="1" thickBot="1" x14ac:dyDescent="0.3">
      <c r="A75" s="293">
        <v>140020181</v>
      </c>
      <c r="B75" s="114">
        <v>2</v>
      </c>
      <c r="C75" s="155" t="s">
        <v>19</v>
      </c>
      <c r="D75" s="110"/>
      <c r="E75" s="110"/>
      <c r="F75" s="118"/>
      <c r="G75" s="110"/>
      <c r="H75" s="110"/>
      <c r="I75" s="104">
        <v>8100</v>
      </c>
      <c r="J75" s="105">
        <v>8100</v>
      </c>
      <c r="K75" s="106">
        <v>8100</v>
      </c>
      <c r="L75" s="107">
        <v>0</v>
      </c>
      <c r="M75" s="108">
        <v>0</v>
      </c>
      <c r="N75" s="109">
        <v>0</v>
      </c>
      <c r="O75" s="55"/>
      <c r="P75" s="115"/>
      <c r="Q75" s="55"/>
      <c r="R75" s="39"/>
      <c r="S75" s="39"/>
      <c r="T75" s="39"/>
      <c r="U75" s="39"/>
      <c r="V75" s="19"/>
      <c r="W75" s="25"/>
      <c r="X75" s="37"/>
      <c r="Y75" s="19"/>
      <c r="Z75" s="19"/>
      <c r="AA75" s="19"/>
      <c r="AB75" s="37"/>
      <c r="AC75" s="19"/>
      <c r="AD75" s="19"/>
      <c r="AE75" s="37"/>
      <c r="AF75" s="19"/>
      <c r="AG75" s="19"/>
      <c r="AH75" s="19"/>
      <c r="AI75" s="37"/>
      <c r="AJ75" s="19"/>
      <c r="AK75" s="19"/>
      <c r="AL75" s="37"/>
      <c r="AM75" s="19"/>
      <c r="AN75" s="19"/>
      <c r="AO75" s="19"/>
      <c r="AP75" s="37"/>
      <c r="AQ75" s="19"/>
      <c r="AR75" s="19"/>
      <c r="AS75" s="19"/>
      <c r="AT75" s="19"/>
      <c r="AU75" s="19"/>
      <c r="AV75" s="19"/>
      <c r="AW75" s="19"/>
      <c r="AX75" s="19"/>
      <c r="AY75" s="19"/>
      <c r="AZ75" s="37"/>
      <c r="BA75" s="19"/>
      <c r="BB75" s="153"/>
      <c r="BC75" s="152"/>
      <c r="BD75" s="152"/>
      <c r="BE75" s="154"/>
      <c r="BF75" s="152"/>
      <c r="BG75" s="152"/>
      <c r="BH75" s="152"/>
      <c r="BI75" s="153"/>
      <c r="BJ75" s="152"/>
      <c r="BK75" s="152"/>
      <c r="BL75" s="152"/>
      <c r="BM75" s="152"/>
      <c r="BN75" s="152"/>
      <c r="BO75" s="152"/>
      <c r="BP75" s="153"/>
      <c r="BQ75" s="152"/>
      <c r="BR75" s="152"/>
      <c r="BS75" s="152"/>
      <c r="BT75" s="152"/>
      <c r="BU75" s="152"/>
      <c r="BV75" s="153"/>
      <c r="BW75" s="152"/>
      <c r="BX75" s="152"/>
      <c r="BY75" s="152"/>
      <c r="BZ75" s="152"/>
      <c r="CA75" s="152"/>
      <c r="CB75" s="152"/>
      <c r="CC75" s="152"/>
      <c r="CD75" s="151"/>
      <c r="CE75" s="152"/>
      <c r="CF75" s="152"/>
      <c r="CG75" s="161"/>
      <c r="CH75" s="112"/>
      <c r="CI75" s="112"/>
    </row>
    <row r="76" spans="1:87" s="113" customFormat="1" ht="24.95" customHeight="1" thickTop="1" thickBot="1" x14ac:dyDescent="0.3">
      <c r="A76" s="293">
        <v>140010117</v>
      </c>
      <c r="B76" s="114">
        <v>1</v>
      </c>
      <c r="C76" s="155" t="s">
        <v>0</v>
      </c>
      <c r="D76" s="110"/>
      <c r="E76" s="110"/>
      <c r="F76" s="118"/>
      <c r="G76" s="110"/>
      <c r="H76" s="110"/>
      <c r="I76" s="104">
        <v>10000</v>
      </c>
      <c r="J76" s="105">
        <v>10000</v>
      </c>
      <c r="K76" s="106">
        <v>10000</v>
      </c>
      <c r="L76" s="107">
        <v>0</v>
      </c>
      <c r="M76" s="108">
        <v>0</v>
      </c>
      <c r="N76" s="109">
        <v>0</v>
      </c>
      <c r="O76" s="55"/>
      <c r="P76" s="115"/>
      <c r="Q76" s="55"/>
      <c r="R76" s="39"/>
      <c r="S76" s="39"/>
      <c r="T76" s="39"/>
      <c r="U76" s="39"/>
      <c r="V76" s="19"/>
      <c r="W76" s="25"/>
      <c r="X76" s="37"/>
      <c r="Y76" s="19"/>
      <c r="Z76" s="19"/>
      <c r="AA76" s="19"/>
      <c r="AB76" s="37"/>
      <c r="AC76" s="19"/>
      <c r="AD76" s="19"/>
      <c r="AE76" s="37"/>
      <c r="AF76" s="19"/>
      <c r="AG76" s="19"/>
      <c r="AH76" s="19"/>
      <c r="AI76" s="37"/>
      <c r="AJ76" s="19"/>
      <c r="AK76" s="19"/>
      <c r="AL76" s="37"/>
      <c r="AM76" s="19"/>
      <c r="AN76" s="19"/>
      <c r="AO76" s="19"/>
      <c r="AP76" s="37"/>
      <c r="AQ76" s="19"/>
      <c r="AR76" s="19"/>
      <c r="AS76" s="19"/>
      <c r="AT76" s="19"/>
      <c r="AU76" s="19"/>
      <c r="AV76" s="19"/>
      <c r="AW76" s="19"/>
      <c r="AX76" s="19"/>
      <c r="AY76" s="19"/>
      <c r="AZ76" s="37"/>
      <c r="BA76" s="19"/>
      <c r="BB76" s="151"/>
      <c r="BC76" s="152"/>
      <c r="BD76" s="152"/>
      <c r="BE76" s="152"/>
      <c r="BF76" s="154"/>
      <c r="BG76" s="152"/>
      <c r="BH76" s="152"/>
      <c r="BI76" s="152"/>
      <c r="BJ76" s="152"/>
      <c r="BK76" s="152"/>
      <c r="BL76" s="152"/>
      <c r="BM76" s="152"/>
      <c r="BN76" s="152"/>
      <c r="BO76" s="152"/>
      <c r="BP76" s="152"/>
      <c r="BQ76" s="152"/>
      <c r="BR76" s="152"/>
      <c r="BS76" s="152"/>
      <c r="BT76" s="152"/>
      <c r="BU76" s="152"/>
      <c r="BV76" s="152"/>
      <c r="BW76" s="152"/>
      <c r="BX76" s="152"/>
      <c r="BY76" s="152"/>
      <c r="BZ76" s="152"/>
      <c r="CA76" s="152"/>
      <c r="CB76" s="152"/>
      <c r="CC76" s="152"/>
      <c r="CD76" s="152"/>
      <c r="CE76" s="151"/>
      <c r="CF76" s="152"/>
      <c r="CG76" s="111"/>
      <c r="CH76" s="112"/>
      <c r="CI76" s="112"/>
    </row>
    <row r="77" spans="1:87" s="113" customFormat="1" ht="24.95" customHeight="1" thickTop="1" thickBot="1" x14ac:dyDescent="0.3">
      <c r="A77" s="293">
        <v>140010255</v>
      </c>
      <c r="B77" s="114">
        <v>1</v>
      </c>
      <c r="C77" s="155" t="s">
        <v>0</v>
      </c>
      <c r="D77" s="110"/>
      <c r="E77" s="110"/>
      <c r="F77" s="118"/>
      <c r="G77" s="110"/>
      <c r="H77" s="110"/>
      <c r="I77" s="104">
        <v>500</v>
      </c>
      <c r="J77" s="105">
        <v>500</v>
      </c>
      <c r="K77" s="106">
        <v>500</v>
      </c>
      <c r="L77" s="107">
        <v>0</v>
      </c>
      <c r="M77" s="108">
        <v>0</v>
      </c>
      <c r="N77" s="109">
        <v>0</v>
      </c>
      <c r="O77" s="55"/>
      <c r="P77" s="115"/>
      <c r="Q77" s="55"/>
      <c r="R77" s="39"/>
      <c r="S77" s="39"/>
      <c r="T77" s="39"/>
      <c r="U77" s="39"/>
      <c r="V77" s="19"/>
      <c r="W77" s="25"/>
      <c r="X77" s="37"/>
      <c r="Y77" s="19"/>
      <c r="Z77" s="19"/>
      <c r="AA77" s="19"/>
      <c r="AB77" s="37"/>
      <c r="AC77" s="19"/>
      <c r="AD77" s="19"/>
      <c r="AE77" s="37"/>
      <c r="AF77" s="19"/>
      <c r="AG77" s="19"/>
      <c r="AH77" s="19"/>
      <c r="AI77" s="37"/>
      <c r="AJ77" s="19"/>
      <c r="AK77" s="19"/>
      <c r="AL77" s="37"/>
      <c r="AM77" s="19"/>
      <c r="AN77" s="19"/>
      <c r="AO77" s="19"/>
      <c r="AP77" s="37"/>
      <c r="AQ77" s="19"/>
      <c r="AR77" s="19"/>
      <c r="AS77" s="19"/>
      <c r="AT77" s="19"/>
      <c r="AU77" s="19"/>
      <c r="AV77" s="19"/>
      <c r="AW77" s="19"/>
      <c r="AX77" s="19"/>
      <c r="AY77" s="19"/>
      <c r="AZ77" s="37"/>
      <c r="BA77" s="19"/>
      <c r="BB77" s="151"/>
      <c r="BC77" s="152"/>
      <c r="BD77" s="152"/>
      <c r="BE77" s="152"/>
      <c r="BF77" s="154"/>
      <c r="BG77" s="152"/>
      <c r="BH77" s="152"/>
      <c r="BI77" s="152"/>
      <c r="BJ77" s="152"/>
      <c r="BK77" s="152"/>
      <c r="BL77" s="152"/>
      <c r="BM77" s="152"/>
      <c r="BN77" s="152"/>
      <c r="BO77" s="152"/>
      <c r="BP77" s="152"/>
      <c r="BQ77" s="152"/>
      <c r="BR77" s="152"/>
      <c r="BS77" s="152"/>
      <c r="BT77" s="152"/>
      <c r="BU77" s="152"/>
      <c r="BV77" s="152"/>
      <c r="BW77" s="152"/>
      <c r="BX77" s="152"/>
      <c r="BY77" s="152"/>
      <c r="BZ77" s="152"/>
      <c r="CA77" s="152"/>
      <c r="CB77" s="152"/>
      <c r="CC77" s="152"/>
      <c r="CD77" s="152"/>
      <c r="CE77" s="151"/>
      <c r="CF77" s="152"/>
      <c r="CG77" s="111"/>
      <c r="CH77" s="112"/>
      <c r="CI77" s="112"/>
    </row>
    <row r="78" spans="1:87" s="113" customFormat="1" ht="24.95" customHeight="1" thickTop="1" thickBot="1" x14ac:dyDescent="0.3">
      <c r="A78" s="293">
        <v>140010230</v>
      </c>
      <c r="B78" s="114">
        <v>1</v>
      </c>
      <c r="C78" s="155" t="s">
        <v>0</v>
      </c>
      <c r="D78" s="110"/>
      <c r="E78" s="110"/>
      <c r="F78" s="118"/>
      <c r="G78" s="110"/>
      <c r="H78" s="110"/>
      <c r="I78" s="104">
        <v>5000</v>
      </c>
      <c r="J78" s="105">
        <v>5000</v>
      </c>
      <c r="K78" s="106">
        <v>5000</v>
      </c>
      <c r="L78" s="107">
        <v>0</v>
      </c>
      <c r="M78" s="108">
        <v>0</v>
      </c>
      <c r="N78" s="109">
        <v>0</v>
      </c>
      <c r="O78" s="55"/>
      <c r="P78" s="115"/>
      <c r="Q78" s="55"/>
      <c r="R78" s="39"/>
      <c r="S78" s="39"/>
      <c r="T78" s="39"/>
      <c r="U78" s="39"/>
      <c r="V78" s="19"/>
      <c r="W78" s="25"/>
      <c r="X78" s="37"/>
      <c r="Y78" s="19"/>
      <c r="Z78" s="19"/>
      <c r="AA78" s="19"/>
      <c r="AB78" s="37"/>
      <c r="AC78" s="19"/>
      <c r="AD78" s="19"/>
      <c r="AE78" s="37"/>
      <c r="AF78" s="19"/>
      <c r="AG78" s="19"/>
      <c r="AH78" s="19"/>
      <c r="AI78" s="37"/>
      <c r="AJ78" s="19"/>
      <c r="AK78" s="19"/>
      <c r="AL78" s="37"/>
      <c r="AM78" s="19"/>
      <c r="AN78" s="19"/>
      <c r="AO78" s="19"/>
      <c r="AP78" s="37"/>
      <c r="AQ78" s="19"/>
      <c r="AR78" s="19"/>
      <c r="AS78" s="19"/>
      <c r="AT78" s="19"/>
      <c r="AU78" s="19"/>
      <c r="AV78" s="19"/>
      <c r="AW78" s="19"/>
      <c r="AX78" s="19"/>
      <c r="AY78" s="19"/>
      <c r="AZ78" s="37"/>
      <c r="BA78" s="19"/>
      <c r="BB78" s="151"/>
      <c r="BC78" s="152"/>
      <c r="BD78" s="152"/>
      <c r="BE78" s="152"/>
      <c r="BF78" s="154"/>
      <c r="BG78" s="153"/>
      <c r="BH78" s="152"/>
      <c r="BI78" s="152"/>
      <c r="BJ78" s="152"/>
      <c r="BK78" s="152"/>
      <c r="BL78" s="153"/>
      <c r="BM78" s="152"/>
      <c r="BN78" s="152"/>
      <c r="BO78" s="152"/>
      <c r="BP78" s="152"/>
      <c r="BQ78" s="152"/>
      <c r="BR78" s="153"/>
      <c r="BS78" s="152"/>
      <c r="BT78" s="152"/>
      <c r="BU78" s="152"/>
      <c r="BV78" s="153"/>
      <c r="BW78" s="152"/>
      <c r="BX78" s="152"/>
      <c r="BY78" s="152"/>
      <c r="BZ78" s="152"/>
      <c r="CA78" s="152"/>
      <c r="CB78" s="152"/>
      <c r="CC78" s="152"/>
      <c r="CD78" s="152"/>
      <c r="CE78" s="151"/>
      <c r="CF78" s="152"/>
      <c r="CG78" s="111"/>
      <c r="CH78" s="112"/>
      <c r="CI78" s="112"/>
    </row>
    <row r="79" spans="1:87" ht="24.95" customHeight="1" thickTop="1" thickBot="1" x14ac:dyDescent="0.3">
      <c r="A79" s="292">
        <v>140030040</v>
      </c>
      <c r="B79" s="114">
        <v>1</v>
      </c>
      <c r="C79" s="155" t="s">
        <v>1056</v>
      </c>
      <c r="D79" s="110"/>
      <c r="E79" s="110"/>
      <c r="F79" s="118"/>
      <c r="G79" s="110"/>
      <c r="H79" s="110"/>
      <c r="I79" s="104">
        <v>4700</v>
      </c>
      <c r="J79" s="105">
        <v>4700</v>
      </c>
      <c r="K79" s="106">
        <v>4972</v>
      </c>
      <c r="L79" s="107">
        <v>272</v>
      </c>
      <c r="M79" s="108">
        <v>272</v>
      </c>
      <c r="N79" s="109">
        <v>-272</v>
      </c>
      <c r="BB79" s="45"/>
      <c r="BC79" s="46"/>
      <c r="BD79" s="46"/>
      <c r="BE79" s="46"/>
      <c r="BF79" s="46"/>
      <c r="BG79" s="46"/>
      <c r="BH79" s="46"/>
      <c r="BI79" s="46"/>
      <c r="BJ79" s="46"/>
      <c r="BK79" s="46"/>
      <c r="BL79" s="46"/>
      <c r="BM79" s="46"/>
      <c r="BN79" s="46"/>
      <c r="BO79" s="46"/>
      <c r="BP79" s="46"/>
      <c r="BQ79" s="46"/>
      <c r="BR79" s="46"/>
      <c r="BS79" s="46"/>
      <c r="BT79" s="46"/>
      <c r="BU79" s="46"/>
      <c r="BV79" s="46"/>
      <c r="BW79" s="46"/>
      <c r="BX79" s="46"/>
      <c r="BY79" s="46"/>
      <c r="BZ79" s="46"/>
      <c r="CA79" s="46"/>
      <c r="CB79" s="46"/>
      <c r="CC79" s="46"/>
      <c r="CD79" s="46"/>
      <c r="CE79" s="46"/>
    </row>
    <row r="80" spans="1:87" ht="24.95" customHeight="1" thickTop="1" thickBot="1" x14ac:dyDescent="0.3">
      <c r="A80" s="289"/>
      <c r="B80" s="288"/>
      <c r="C80" s="156"/>
      <c r="D80" s="122"/>
      <c r="E80" s="122"/>
      <c r="F80" s="117"/>
      <c r="G80" s="122"/>
      <c r="H80" s="122"/>
      <c r="I80" s="53"/>
      <c r="J80" s="43"/>
      <c r="K80" s="57"/>
      <c r="L80" s="54"/>
      <c r="M80" s="61"/>
      <c r="N80" s="61"/>
    </row>
    <row r="81" spans="9:9" ht="24.95" customHeight="1" thickTop="1" x14ac:dyDescent="0.25">
      <c r="I81" s="103"/>
    </row>
    <row r="82" spans="9:9" ht="24.95" customHeight="1" x14ac:dyDescent="0.25"/>
    <row r="83" spans="9:9" ht="24.95" customHeight="1" x14ac:dyDescent="0.25"/>
    <row r="84" spans="9:9" ht="24.95" customHeight="1" x14ac:dyDescent="0.25"/>
    <row r="85" spans="9:9" ht="24.95" customHeight="1" x14ac:dyDescent="0.25"/>
    <row r="86" spans="9:9" ht="24.95" customHeight="1" x14ac:dyDescent="0.25"/>
    <row r="87" spans="9:9" ht="24.95" customHeight="1" x14ac:dyDescent="0.25"/>
    <row r="88" spans="9:9" ht="24.95" customHeight="1" x14ac:dyDescent="0.25"/>
    <row r="89" spans="9:9" ht="24.95" customHeight="1" x14ac:dyDescent="0.25"/>
    <row r="90" spans="9:9" ht="24.95" customHeight="1" x14ac:dyDescent="0.25"/>
    <row r="91" spans="9:9" ht="24.95" customHeight="1" x14ac:dyDescent="0.25"/>
    <row r="92" spans="9:9" ht="24.95" customHeight="1" x14ac:dyDescent="0.25"/>
    <row r="93" spans="9:9" ht="24.95" customHeight="1" x14ac:dyDescent="0.25"/>
    <row r="94" spans="9:9" ht="24.95" customHeight="1" x14ac:dyDescent="0.25"/>
    <row r="95" spans="9:9" ht="24.95" customHeight="1" x14ac:dyDescent="0.25"/>
    <row r="96" spans="9:9" ht="24.95" customHeight="1" x14ac:dyDescent="0.25"/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1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8" r:id="rId4" name="Button 6">
              <controlPr defaultSize="0" print="0" autoFill="0" autoPict="0" macro="[0]!progress">
                <anchor moveWithCells="1" sizeWithCells="1">
                  <from>
                    <xdr:col>2</xdr:col>
                    <xdr:colOff>133350</xdr:colOff>
                    <xdr:row>0</xdr:row>
                    <xdr:rowOff>19050</xdr:rowOff>
                  </from>
                  <to>
                    <xdr:col>2</xdr:col>
                    <xdr:colOff>476250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5" name="Button 9">
              <controlPr defaultSize="0" print="0" autoFill="0" autoPict="0" macro="[0]!clearAll">
                <anchor moveWithCells="1" sizeWithCells="1">
                  <from>
                    <xdr:col>2</xdr:col>
                    <xdr:colOff>28575</xdr:colOff>
                    <xdr:row>15</xdr:row>
                    <xdr:rowOff>38100</xdr:rowOff>
                  </from>
                  <to>
                    <xdr:col>9</xdr:col>
                    <xdr:colOff>38100</xdr:colOff>
                    <xdr:row>15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72E2BF4-A2C7-4070-9AEE-06A3E605E948}">
          <x14:formula1>
            <xm:f>data!$A$7:$A$8</xm:f>
          </x14:formula1>
          <xm:sqref>P69:P71 O49:O51 P50:P51 O53:O68 P26:P48 P16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A6ED0-A52A-4788-B336-A56168972701}">
  <sheetPr codeName="Sheet6"/>
  <dimension ref="A1:Z367"/>
  <sheetViews>
    <sheetView showGridLines="0" zoomScaleNormal="100" workbookViewId="0">
      <pane ySplit="1" topLeftCell="A14" activePane="bottomLeft" state="frozen"/>
      <selection pane="bottomLeft" activeCell="I125" sqref="I125"/>
    </sheetView>
  </sheetViews>
  <sheetFormatPr defaultColWidth="6.7109375" defaultRowHeight="15" customHeight="1" x14ac:dyDescent="0.25"/>
  <cols>
    <col min="1" max="1" width="9.7109375" style="3" customWidth="1"/>
    <col min="2" max="2" width="8.7109375" style="3" customWidth="1"/>
    <col min="3" max="4" width="6.7109375" style="3" customWidth="1"/>
    <col min="5" max="6" width="6.7109375" style="4" customWidth="1"/>
    <col min="7" max="8" width="4.7109375" style="4" customWidth="1"/>
    <col min="9" max="9" width="8.140625" style="4" customWidth="1"/>
    <col min="10" max="10" width="94" style="60" bestFit="1" customWidth="1"/>
    <col min="11" max="14" width="5.7109375" style="60" customWidth="1"/>
    <col min="15" max="16" width="3.7109375" style="60" customWidth="1"/>
    <col min="17" max="18" width="8.7109375" style="60" customWidth="1"/>
    <col min="19" max="19" width="6.7109375" style="2"/>
    <col min="20" max="20" width="9.85546875" style="2" bestFit="1" customWidth="1"/>
    <col min="21" max="21" width="9.85546875" style="143" customWidth="1"/>
    <col min="22" max="22" width="10.85546875" style="143" customWidth="1"/>
    <col min="23" max="23" width="6.7109375" style="143"/>
    <col min="24" max="16384" width="6.7109375" style="2"/>
  </cols>
  <sheetData>
    <row r="1" spans="1:26" s="5" customFormat="1" ht="50.1" customHeight="1" x14ac:dyDescent="0.25">
      <c r="A1" s="6" t="s">
        <v>111</v>
      </c>
      <c r="B1" s="87" t="s">
        <v>179</v>
      </c>
      <c r="C1" s="88" t="s">
        <v>246</v>
      </c>
      <c r="D1" s="88" t="s">
        <v>1084</v>
      </c>
      <c r="E1" s="88" t="s">
        <v>247</v>
      </c>
      <c r="F1" s="88" t="s">
        <v>1089</v>
      </c>
      <c r="G1" s="101" t="s">
        <v>1088</v>
      </c>
      <c r="H1" s="174" t="s">
        <v>1066</v>
      </c>
      <c r="I1" s="175" t="s">
        <v>1063</v>
      </c>
      <c r="J1" s="89" t="s">
        <v>252</v>
      </c>
      <c r="K1" s="90" t="s">
        <v>1040</v>
      </c>
      <c r="L1" s="90" t="s">
        <v>1041</v>
      </c>
      <c r="M1" s="90" t="s">
        <v>1042</v>
      </c>
      <c r="N1" s="90" t="s">
        <v>1045</v>
      </c>
      <c r="O1" s="102" t="s">
        <v>1072</v>
      </c>
      <c r="P1" s="101" t="s">
        <v>1073</v>
      </c>
      <c r="Q1" s="248" t="s">
        <v>1091</v>
      </c>
      <c r="R1" s="248" t="s">
        <v>1201</v>
      </c>
      <c r="S1" s="62"/>
      <c r="T1" s="63"/>
      <c r="U1" s="140"/>
      <c r="V1" s="141"/>
      <c r="W1" s="142"/>
      <c r="Y1" s="100"/>
      <c r="Z1" s="99"/>
    </row>
    <row r="2" spans="1:26" ht="20.25" x14ac:dyDescent="0.25">
      <c r="A2" s="7" t="s">
        <v>244</v>
      </c>
      <c r="B2" s="91" t="s">
        <v>122</v>
      </c>
      <c r="C2" s="92">
        <f>SUMIF(cutts[date],A2,cutts[num])</f>
        <v>0</v>
      </c>
      <c r="D2" s="92"/>
      <c r="E2" s="93">
        <f>SUMIF(packes[date],A2,packes[num])</f>
        <v>0</v>
      </c>
      <c r="F2" s="93">
        <f>SUMIF(packes[date],A2,packes[wPacked])</f>
        <v>0</v>
      </c>
      <c r="G2" s="93"/>
      <c r="H2" s="93">
        <f>reportTbl[[#This Row],[personels]]-reportTbl[[#This Row],[personels]]*2.5/22-0.5</f>
        <v>-0.5</v>
      </c>
      <c r="I2" s="94">
        <f>(reportTbl[[#This Row],[وزن تولید]]*unityCycleTime-reportTbl[[#This Row],[received TimeOut]])/(reportTbl[[#This Row],[available time]]*reportTbl[[#This Row],[تعداد نیرو]])</f>
        <v>0</v>
      </c>
      <c r="J2" s="95" t="s">
        <v>1047</v>
      </c>
      <c r="K2" s="97"/>
      <c r="L2" s="97"/>
      <c r="M2" s="97"/>
      <c r="N2" s="97"/>
      <c r="O2" s="97">
        <v>0</v>
      </c>
      <c r="P2" s="96" t="s">
        <v>1030</v>
      </c>
      <c r="Q2" s="92">
        <f>_xlfn.XLOOKUP(reportTbl[[#This Row],[date]],IIITbl[date],IIITbl[totalCT],0)</f>
        <v>0</v>
      </c>
      <c r="R2" s="92">
        <v>30000</v>
      </c>
      <c r="S2" s="12"/>
      <c r="W2" s="144"/>
    </row>
    <row r="3" spans="1:26" ht="20.25" x14ac:dyDescent="0.25">
      <c r="A3" s="7" t="s">
        <v>691</v>
      </c>
      <c r="B3" s="91" t="s">
        <v>116</v>
      </c>
      <c r="C3" s="92">
        <f>SUMIF(cutts[date],A3,cutts[num])</f>
        <v>0</v>
      </c>
      <c r="D3" s="92"/>
      <c r="E3" s="93">
        <f>SUMIF(packes[date],A3,packes[num])</f>
        <v>0</v>
      </c>
      <c r="F3" s="93">
        <f>SUMIF(packes[date],A3,packes[wPacked])</f>
        <v>0</v>
      </c>
      <c r="G3" s="93"/>
      <c r="H3" s="93">
        <f>reportTbl[[#This Row],[personels]]-reportTbl[[#This Row],[personels]]*2.5/22-0.5</f>
        <v>-0.5</v>
      </c>
      <c r="I3" s="94">
        <f>(reportTbl[[#This Row],[وزن تولید]]*unityCycleTime-reportTbl[[#This Row],[received TimeOut]])/(reportTbl[[#This Row],[available time]]*reportTbl[[#This Row],[تعداد نیرو]])</f>
        <v>0</v>
      </c>
      <c r="J3" s="95" t="s">
        <v>1047</v>
      </c>
      <c r="K3" s="97"/>
      <c r="L3" s="97"/>
      <c r="M3" s="97"/>
      <c r="N3" s="97"/>
      <c r="O3" s="97">
        <v>0</v>
      </c>
      <c r="P3" s="96" t="s">
        <v>1030</v>
      </c>
      <c r="Q3" s="92">
        <f>_xlfn.XLOOKUP(reportTbl[[#This Row],[date]],IIITbl[date],IIITbl[totalCT],0)</f>
        <v>0</v>
      </c>
      <c r="R3" s="92">
        <v>30000</v>
      </c>
      <c r="S3" s="12"/>
      <c r="W3" s="144"/>
    </row>
    <row r="4" spans="1:26" ht="20.25" x14ac:dyDescent="0.25">
      <c r="A4" s="7" t="s">
        <v>692</v>
      </c>
      <c r="B4" s="91" t="s">
        <v>117</v>
      </c>
      <c r="C4" s="92">
        <f>SUMIF(cutts[date],A4,cutts[num])</f>
        <v>0</v>
      </c>
      <c r="D4" s="92"/>
      <c r="E4" s="93">
        <f>SUMIF(packes[date],A4,packes[num])</f>
        <v>0</v>
      </c>
      <c r="F4" s="93">
        <f>SUMIF(packes[date],A4,packes[wPacked])</f>
        <v>0</v>
      </c>
      <c r="G4" s="93"/>
      <c r="H4" s="93">
        <f>reportTbl[[#This Row],[personels]]-reportTbl[[#This Row],[personels]]*2.5/22-0.5</f>
        <v>-0.5</v>
      </c>
      <c r="I4" s="94">
        <f>(reportTbl[[#This Row],[وزن تولید]]*unityCycleTime-reportTbl[[#This Row],[received TimeOut]])/(reportTbl[[#This Row],[available time]]*reportTbl[[#This Row],[تعداد نیرو]])</f>
        <v>0</v>
      </c>
      <c r="J4" s="95" t="s">
        <v>1047</v>
      </c>
      <c r="K4" s="97"/>
      <c r="L4" s="97"/>
      <c r="M4" s="97"/>
      <c r="N4" s="97"/>
      <c r="O4" s="97">
        <v>0</v>
      </c>
      <c r="P4" s="96" t="s">
        <v>1030</v>
      </c>
      <c r="Q4" s="92">
        <f>_xlfn.XLOOKUP(reportTbl[[#This Row],[date]],IIITbl[date],IIITbl[totalCT],0)</f>
        <v>0</v>
      </c>
      <c r="R4" s="92">
        <v>30000</v>
      </c>
      <c r="S4" s="12"/>
      <c r="W4" s="144"/>
    </row>
    <row r="5" spans="1:26" ht="20.25" x14ac:dyDescent="0.25">
      <c r="A5" s="7" t="s">
        <v>693</v>
      </c>
      <c r="B5" s="91" t="s">
        <v>118</v>
      </c>
      <c r="C5" s="92">
        <f>SUMIF(cutts[date],A5,cutts[num])</f>
        <v>0</v>
      </c>
      <c r="D5" s="92"/>
      <c r="E5" s="93">
        <f>SUMIF(packes[date],A5,packes[num])</f>
        <v>0</v>
      </c>
      <c r="F5" s="93">
        <f>SUMIF(packes[date],A5,packes[wPacked])</f>
        <v>0</v>
      </c>
      <c r="G5" s="93"/>
      <c r="H5" s="93">
        <f>reportTbl[[#This Row],[personels]]-reportTbl[[#This Row],[personels]]*2.5/22-0.5</f>
        <v>-0.5</v>
      </c>
      <c r="I5" s="94">
        <f>(reportTbl[[#This Row],[وزن تولید]]*unityCycleTime-reportTbl[[#This Row],[received TimeOut]])/(reportTbl[[#This Row],[available time]]*reportTbl[[#This Row],[تعداد نیرو]])</f>
        <v>0</v>
      </c>
      <c r="J5" s="95" t="s">
        <v>1047</v>
      </c>
      <c r="K5" s="97"/>
      <c r="L5" s="97"/>
      <c r="M5" s="97"/>
      <c r="N5" s="97"/>
      <c r="O5" s="97">
        <v>0</v>
      </c>
      <c r="P5" s="96" t="s">
        <v>1030</v>
      </c>
      <c r="Q5" s="92">
        <f>_xlfn.XLOOKUP(reportTbl[[#This Row],[date]],IIITbl[date],IIITbl[totalCT],0)</f>
        <v>0</v>
      </c>
      <c r="R5" s="92">
        <v>30000</v>
      </c>
      <c r="S5" s="12"/>
      <c r="W5" s="144"/>
    </row>
    <row r="6" spans="1:26" ht="20.25" x14ac:dyDescent="0.25">
      <c r="A6" s="7" t="s">
        <v>694</v>
      </c>
      <c r="B6" s="91" t="s">
        <v>119</v>
      </c>
      <c r="C6" s="92">
        <f>SUMIF(cutts[date],A6,cutts[num])</f>
        <v>0</v>
      </c>
      <c r="D6" s="92"/>
      <c r="E6" s="93">
        <f>SUMIF(packes[date],A6,packes[num])</f>
        <v>0</v>
      </c>
      <c r="F6" s="93">
        <f>SUMIF(packes[date],A6,packes[wPacked])</f>
        <v>0</v>
      </c>
      <c r="G6" s="93"/>
      <c r="H6" s="93">
        <f>reportTbl[[#This Row],[personels]]-reportTbl[[#This Row],[personels]]*2.5/22-0.5</f>
        <v>-0.5</v>
      </c>
      <c r="I6" s="94">
        <f>(reportTbl[[#This Row],[وزن تولید]]*unityCycleTime-reportTbl[[#This Row],[received TimeOut]])/(reportTbl[[#This Row],[available time]]*reportTbl[[#This Row],[تعداد نیرو]])</f>
        <v>0</v>
      </c>
      <c r="J6" s="95" t="s">
        <v>1047</v>
      </c>
      <c r="K6" s="97"/>
      <c r="L6" s="97"/>
      <c r="M6" s="97"/>
      <c r="N6" s="97"/>
      <c r="O6" s="97">
        <v>0</v>
      </c>
      <c r="P6" s="96" t="s">
        <v>1030</v>
      </c>
      <c r="Q6" s="92">
        <f>_xlfn.XLOOKUP(reportTbl[[#This Row],[date]],IIITbl[date],IIITbl[totalCT],0)</f>
        <v>0</v>
      </c>
      <c r="R6" s="92">
        <v>30000</v>
      </c>
      <c r="S6" s="12"/>
      <c r="W6" s="144"/>
    </row>
    <row r="7" spans="1:26" ht="20.25" x14ac:dyDescent="0.25">
      <c r="A7" s="7" t="s">
        <v>695</v>
      </c>
      <c r="B7" s="91" t="s">
        <v>120</v>
      </c>
      <c r="C7" s="92">
        <f>SUMIF(cutts[date],A7,cutts[num])</f>
        <v>0</v>
      </c>
      <c r="D7" s="92"/>
      <c r="E7" s="93">
        <f>SUMIF(packes[date],A7,packes[num])</f>
        <v>0</v>
      </c>
      <c r="F7" s="93">
        <f>SUMIF(packes[date],A7,packes[wPacked])</f>
        <v>0</v>
      </c>
      <c r="G7" s="93"/>
      <c r="H7" s="93">
        <f>reportTbl[[#This Row],[personels]]-reportTbl[[#This Row],[personels]]*2.5/22-0.5</f>
        <v>-0.5</v>
      </c>
      <c r="I7" s="94">
        <f>(reportTbl[[#This Row],[وزن تولید]]*unityCycleTime-reportTbl[[#This Row],[received TimeOut]])/(reportTbl[[#This Row],[available time]]*reportTbl[[#This Row],[تعداد نیرو]])</f>
        <v>0</v>
      </c>
      <c r="J7" s="95" t="s">
        <v>1047</v>
      </c>
      <c r="K7" s="97"/>
      <c r="L7" s="97"/>
      <c r="M7" s="97"/>
      <c r="N7" s="97"/>
      <c r="O7" s="97">
        <v>0</v>
      </c>
      <c r="P7" s="96" t="s">
        <v>1030</v>
      </c>
      <c r="Q7" s="92">
        <f>_xlfn.XLOOKUP(reportTbl[[#This Row],[date]],IIITbl[date],IIITbl[totalCT],0)</f>
        <v>0</v>
      </c>
      <c r="R7" s="92">
        <v>30000</v>
      </c>
      <c r="S7" s="12"/>
      <c r="W7" s="144"/>
    </row>
    <row r="8" spans="1:26" ht="20.25" x14ac:dyDescent="0.25">
      <c r="A8" s="7" t="s">
        <v>696</v>
      </c>
      <c r="B8" s="91" t="s">
        <v>121</v>
      </c>
      <c r="C8" s="92">
        <f>SUMIF(cutts[date],A8,cutts[num])</f>
        <v>0</v>
      </c>
      <c r="D8" s="92"/>
      <c r="E8" s="93">
        <f>SUMIF(packes[date],A8,packes[num])</f>
        <v>0</v>
      </c>
      <c r="F8" s="93">
        <f>SUMIF(packes[date],A8,packes[wPacked])</f>
        <v>0</v>
      </c>
      <c r="G8" s="93"/>
      <c r="H8" s="93">
        <f>reportTbl[[#This Row],[personels]]-reportTbl[[#This Row],[personels]]*2.5/22-0.5</f>
        <v>-0.5</v>
      </c>
      <c r="I8" s="94">
        <f>(reportTbl[[#This Row],[وزن تولید]]*unityCycleTime-reportTbl[[#This Row],[received TimeOut]])/(reportTbl[[#This Row],[available time]]*reportTbl[[#This Row],[تعداد نیرو]])</f>
        <v>0</v>
      </c>
      <c r="J8" s="95"/>
      <c r="K8" s="97"/>
      <c r="L8" s="97"/>
      <c r="M8" s="97"/>
      <c r="N8" s="97"/>
      <c r="O8" s="97">
        <v>0</v>
      </c>
      <c r="P8" s="96" t="s">
        <v>1030</v>
      </c>
      <c r="Q8" s="92">
        <f>_xlfn.XLOOKUP(reportTbl[[#This Row],[date]],IIITbl[date],IIITbl[totalCT],0)</f>
        <v>0</v>
      </c>
      <c r="R8" s="92">
        <v>30000</v>
      </c>
      <c r="S8" s="12"/>
      <c r="W8" s="144"/>
    </row>
    <row r="9" spans="1:26" ht="20.25" x14ac:dyDescent="0.25">
      <c r="A9" s="7" t="s">
        <v>697</v>
      </c>
      <c r="B9" s="91" t="s">
        <v>122</v>
      </c>
      <c r="C9" s="92">
        <f>SUMIF(cutts[date],A9,cutts[num])</f>
        <v>0</v>
      </c>
      <c r="D9" s="92"/>
      <c r="E9" s="93">
        <f>SUMIF(packes[date],A9,packes[num])</f>
        <v>0</v>
      </c>
      <c r="F9" s="93">
        <f>SUMIF(packes[date],A9,packes[wPacked])</f>
        <v>0</v>
      </c>
      <c r="G9" s="93"/>
      <c r="H9" s="93">
        <f>reportTbl[[#This Row],[personels]]-reportTbl[[#This Row],[personels]]*2.5/22-0.5</f>
        <v>-0.5</v>
      </c>
      <c r="I9" s="94">
        <f>(reportTbl[[#This Row],[وزن تولید]]*unityCycleTime-reportTbl[[#This Row],[received TimeOut]])/(reportTbl[[#This Row],[available time]]*reportTbl[[#This Row],[تعداد نیرو]])</f>
        <v>0</v>
      </c>
      <c r="J9" s="95"/>
      <c r="K9" s="97"/>
      <c r="L9" s="97"/>
      <c r="M9" s="97"/>
      <c r="N9" s="97"/>
      <c r="O9" s="97">
        <v>0</v>
      </c>
      <c r="P9" s="96" t="s">
        <v>1030</v>
      </c>
      <c r="Q9" s="92">
        <f>_xlfn.XLOOKUP(reportTbl[[#This Row],[date]],IIITbl[date],IIITbl[totalCT],0)</f>
        <v>0</v>
      </c>
      <c r="R9" s="92">
        <v>30000</v>
      </c>
      <c r="S9" s="12"/>
      <c r="W9" s="144"/>
    </row>
    <row r="10" spans="1:26" ht="20.25" x14ac:dyDescent="0.25">
      <c r="A10" s="7" t="s">
        <v>698</v>
      </c>
      <c r="B10" s="91" t="s">
        <v>116</v>
      </c>
      <c r="C10" s="92">
        <f>SUMIF(cutts[date],A10,cutts[num])</f>
        <v>0</v>
      </c>
      <c r="D10" s="92"/>
      <c r="E10" s="93">
        <f>SUMIF(packes[date],A10,packes[num])</f>
        <v>0</v>
      </c>
      <c r="F10" s="93">
        <f>SUMIF(packes[date],A10,packes[wPacked])</f>
        <v>0</v>
      </c>
      <c r="G10" s="93"/>
      <c r="H10" s="93">
        <f>reportTbl[[#This Row],[personels]]-reportTbl[[#This Row],[personels]]*2.5/22-0.5</f>
        <v>-0.5</v>
      </c>
      <c r="I10" s="94">
        <f>(reportTbl[[#This Row],[وزن تولید]]*unityCycleTime-reportTbl[[#This Row],[received TimeOut]])/(reportTbl[[#This Row],[available time]]*reportTbl[[#This Row],[تعداد نیرو]])</f>
        <v>0</v>
      </c>
      <c r="J10" s="95" t="s">
        <v>1047</v>
      </c>
      <c r="K10" s="97"/>
      <c r="L10" s="97"/>
      <c r="M10" s="97"/>
      <c r="N10" s="97"/>
      <c r="O10" s="97">
        <v>0</v>
      </c>
      <c r="P10" s="96" t="s">
        <v>1030</v>
      </c>
      <c r="Q10" s="92">
        <f>_xlfn.XLOOKUP(reportTbl[[#This Row],[date]],IIITbl[date],IIITbl[totalCT],0)</f>
        <v>0</v>
      </c>
      <c r="R10" s="92">
        <v>30000</v>
      </c>
      <c r="S10" s="12"/>
      <c r="W10" s="144"/>
    </row>
    <row r="11" spans="1:26" ht="20.25" x14ac:dyDescent="0.25">
      <c r="A11" s="7" t="s">
        <v>699</v>
      </c>
      <c r="B11" s="91" t="s">
        <v>117</v>
      </c>
      <c r="C11" s="92">
        <f>SUMIF(cutts[date],A11,cutts[num])</f>
        <v>0</v>
      </c>
      <c r="D11" s="92"/>
      <c r="E11" s="93">
        <f>SUMIF(packes[date],A11,packes[num])</f>
        <v>0</v>
      </c>
      <c r="F11" s="93">
        <f>SUMIF(packes[date],A11,packes[wPacked])</f>
        <v>0</v>
      </c>
      <c r="G11" s="93"/>
      <c r="H11" s="93">
        <f>reportTbl[[#This Row],[personels]]-reportTbl[[#This Row],[personels]]*2.5/22-0.5</f>
        <v>-0.5</v>
      </c>
      <c r="I11" s="94">
        <f>(reportTbl[[#This Row],[وزن تولید]]*unityCycleTime-reportTbl[[#This Row],[received TimeOut]])/(reportTbl[[#This Row],[available time]]*reportTbl[[#This Row],[تعداد نیرو]])</f>
        <v>0</v>
      </c>
      <c r="J11" s="95" t="s">
        <v>1047</v>
      </c>
      <c r="K11" s="97"/>
      <c r="L11" s="97"/>
      <c r="M11" s="97"/>
      <c r="N11" s="97"/>
      <c r="O11" s="97">
        <v>0</v>
      </c>
      <c r="P11" s="96" t="s">
        <v>1030</v>
      </c>
      <c r="Q11" s="92">
        <f>_xlfn.XLOOKUP(reportTbl[[#This Row],[date]],IIITbl[date],IIITbl[totalCT],0)</f>
        <v>0</v>
      </c>
      <c r="R11" s="92">
        <v>30000</v>
      </c>
      <c r="S11" s="12"/>
      <c r="W11" s="144"/>
    </row>
    <row r="12" spans="1:26" ht="20.25" x14ac:dyDescent="0.25">
      <c r="A12" s="7" t="s">
        <v>700</v>
      </c>
      <c r="B12" s="91" t="s">
        <v>118</v>
      </c>
      <c r="C12" s="92">
        <f>SUMIF(cutts[date],A12,cutts[num])</f>
        <v>0</v>
      </c>
      <c r="D12" s="92"/>
      <c r="E12" s="93">
        <f>SUMIF(packes[date],A12,packes[num])</f>
        <v>0</v>
      </c>
      <c r="F12" s="93">
        <f>SUMIF(packes[date],A12,packes[wPacked])</f>
        <v>0</v>
      </c>
      <c r="G12" s="93"/>
      <c r="H12" s="93">
        <f>reportTbl[[#This Row],[personels]]-reportTbl[[#This Row],[personels]]*2.5/22-0.5</f>
        <v>-0.5</v>
      </c>
      <c r="I12" s="94">
        <f>(reportTbl[[#This Row],[وزن تولید]]*unityCycleTime-reportTbl[[#This Row],[received TimeOut]])/(reportTbl[[#This Row],[available time]]*reportTbl[[#This Row],[تعداد نیرو]])</f>
        <v>0</v>
      </c>
      <c r="J12" s="95" t="s">
        <v>1047</v>
      </c>
      <c r="K12" s="97"/>
      <c r="L12" s="97"/>
      <c r="M12" s="97"/>
      <c r="N12" s="97"/>
      <c r="O12" s="97">
        <v>0</v>
      </c>
      <c r="P12" s="96" t="s">
        <v>1030</v>
      </c>
      <c r="Q12" s="92">
        <f>_xlfn.XLOOKUP(reportTbl[[#This Row],[date]],IIITbl[date],IIITbl[totalCT],0)</f>
        <v>0</v>
      </c>
      <c r="R12" s="92">
        <v>30000</v>
      </c>
      <c r="S12" s="12"/>
      <c r="W12" s="144"/>
    </row>
    <row r="13" spans="1:26" ht="20.25" x14ac:dyDescent="0.25">
      <c r="A13" s="7" t="s">
        <v>701</v>
      </c>
      <c r="B13" s="91" t="s">
        <v>119</v>
      </c>
      <c r="C13" s="92">
        <f>SUMIF(cutts[date],A13,cutts[num])</f>
        <v>0</v>
      </c>
      <c r="D13" s="92"/>
      <c r="E13" s="93">
        <f>SUMIF(packes[date],A13,packes[num])</f>
        <v>0</v>
      </c>
      <c r="F13" s="93">
        <f>SUMIF(packes[date],A13,packes[wPacked])</f>
        <v>0</v>
      </c>
      <c r="G13" s="93"/>
      <c r="H13" s="93">
        <f>reportTbl[[#This Row],[personels]]-reportTbl[[#This Row],[personels]]*2.5/22-0.5</f>
        <v>-0.5</v>
      </c>
      <c r="I13" s="94">
        <f>(reportTbl[[#This Row],[وزن تولید]]*unityCycleTime-reportTbl[[#This Row],[received TimeOut]])/(reportTbl[[#This Row],[available time]]*reportTbl[[#This Row],[تعداد نیرو]])</f>
        <v>0</v>
      </c>
      <c r="J13" s="95" t="s">
        <v>1047</v>
      </c>
      <c r="K13" s="97"/>
      <c r="L13" s="97"/>
      <c r="M13" s="97"/>
      <c r="N13" s="97"/>
      <c r="O13" s="97">
        <v>0</v>
      </c>
      <c r="P13" s="96" t="s">
        <v>1030</v>
      </c>
      <c r="Q13" s="92">
        <f>_xlfn.XLOOKUP(reportTbl[[#This Row],[date]],IIITbl[date],IIITbl[totalCT],0)</f>
        <v>0</v>
      </c>
      <c r="R13" s="92">
        <v>30000</v>
      </c>
      <c r="S13" s="12"/>
      <c r="W13" s="144"/>
    </row>
    <row r="14" spans="1:26" ht="20.25" x14ac:dyDescent="0.25">
      <c r="A14" s="7" t="s">
        <v>702</v>
      </c>
      <c r="B14" s="91" t="s">
        <v>120</v>
      </c>
      <c r="C14" s="92">
        <f>SUMIF(cutts[date],A14,cutts[num])</f>
        <v>0</v>
      </c>
      <c r="D14" s="92"/>
      <c r="E14" s="93">
        <f>SUMIF(packes[date],A14,packes[num])</f>
        <v>0</v>
      </c>
      <c r="F14" s="93">
        <f>SUMIF(packes[date],A14,packes[wPacked])</f>
        <v>0</v>
      </c>
      <c r="G14" s="93"/>
      <c r="H14" s="93">
        <f>reportTbl[[#This Row],[personels]]-reportTbl[[#This Row],[personels]]*2.5/22-0.5</f>
        <v>-0.5</v>
      </c>
      <c r="I14" s="94">
        <f>(reportTbl[[#This Row],[وزن تولید]]*unityCycleTime-reportTbl[[#This Row],[received TimeOut]])/(reportTbl[[#This Row],[available time]]*reportTbl[[#This Row],[تعداد نیرو]])</f>
        <v>0</v>
      </c>
      <c r="J14" s="95" t="s">
        <v>1047</v>
      </c>
      <c r="K14" s="97"/>
      <c r="L14" s="97"/>
      <c r="M14" s="97"/>
      <c r="N14" s="97"/>
      <c r="O14" s="97">
        <v>0</v>
      </c>
      <c r="P14" s="96" t="s">
        <v>1030</v>
      </c>
      <c r="Q14" s="92">
        <f>_xlfn.XLOOKUP(reportTbl[[#This Row],[date]],IIITbl[date],IIITbl[totalCT],0)</f>
        <v>0</v>
      </c>
      <c r="R14" s="92">
        <v>30000</v>
      </c>
      <c r="S14" s="12"/>
      <c r="W14" s="144"/>
    </row>
    <row r="15" spans="1:26" ht="20.25" x14ac:dyDescent="0.25">
      <c r="A15" s="7" t="s">
        <v>703</v>
      </c>
      <c r="B15" s="91" t="s">
        <v>121</v>
      </c>
      <c r="C15" s="92">
        <f>SUMIF(cutts[date],A15,cutts[num])</f>
        <v>0</v>
      </c>
      <c r="D15" s="92"/>
      <c r="E15" s="93">
        <f>SUMIF(packes[date],A15,packes[num])</f>
        <v>0</v>
      </c>
      <c r="F15" s="93">
        <f>SUMIF(packes[date],A15,packes[wPacked])</f>
        <v>0</v>
      </c>
      <c r="G15" s="93"/>
      <c r="H15" s="93">
        <f>reportTbl[[#This Row],[personels]]-reportTbl[[#This Row],[personels]]*2.5/22-0.5</f>
        <v>-0.5</v>
      </c>
      <c r="I15" s="94">
        <f>(reportTbl[[#This Row],[وزن تولید]]*unityCycleTime-reportTbl[[#This Row],[received TimeOut]])/(reportTbl[[#This Row],[available time]]*reportTbl[[#This Row],[تعداد نیرو]])</f>
        <v>0</v>
      </c>
      <c r="J15" s="95"/>
      <c r="K15" s="97"/>
      <c r="L15" s="97"/>
      <c r="M15" s="97"/>
      <c r="N15" s="97"/>
      <c r="O15" s="97">
        <v>0</v>
      </c>
      <c r="P15" s="96" t="s">
        <v>1030</v>
      </c>
      <c r="Q15" s="92">
        <f>_xlfn.XLOOKUP(reportTbl[[#This Row],[date]],IIITbl[date],IIITbl[totalCT],0)</f>
        <v>0</v>
      </c>
      <c r="R15" s="92">
        <v>30000</v>
      </c>
      <c r="S15" s="12"/>
      <c r="W15" s="144"/>
    </row>
    <row r="16" spans="1:26" ht="20.25" x14ac:dyDescent="0.25">
      <c r="A16" s="7" t="s">
        <v>704</v>
      </c>
      <c r="B16" s="91" t="s">
        <v>122</v>
      </c>
      <c r="C16" s="92">
        <f>SUMIF(cutts[date],A16,cutts[num])</f>
        <v>0</v>
      </c>
      <c r="D16" s="92"/>
      <c r="E16" s="93">
        <f>SUMIF(packes[date],A16,packes[num])</f>
        <v>0</v>
      </c>
      <c r="F16" s="93">
        <f>SUMIF(packes[date],A16,packes[wPacked])</f>
        <v>0</v>
      </c>
      <c r="G16" s="93"/>
      <c r="H16" s="93">
        <f>reportTbl[[#This Row],[personels]]-reportTbl[[#This Row],[personels]]*2.5/22-0.5</f>
        <v>-0.5</v>
      </c>
      <c r="I16" s="94">
        <f>(reportTbl[[#This Row],[وزن تولید]]*unityCycleTime-reportTbl[[#This Row],[received TimeOut]])/(reportTbl[[#This Row],[available time]]*reportTbl[[#This Row],[تعداد نیرو]])</f>
        <v>0</v>
      </c>
      <c r="J16" s="95"/>
      <c r="K16" s="97"/>
      <c r="L16" s="97"/>
      <c r="M16" s="97"/>
      <c r="N16" s="97"/>
      <c r="O16" s="97">
        <v>0</v>
      </c>
      <c r="P16" s="96" t="s">
        <v>1030</v>
      </c>
      <c r="Q16" s="92">
        <f>_xlfn.XLOOKUP(reportTbl[[#This Row],[date]],IIITbl[date],IIITbl[totalCT],0)</f>
        <v>0</v>
      </c>
      <c r="R16" s="92">
        <v>30000</v>
      </c>
      <c r="S16" s="12"/>
      <c r="W16" s="144"/>
    </row>
    <row r="17" spans="1:23" ht="20.25" x14ac:dyDescent="0.25">
      <c r="A17" s="7" t="s">
        <v>232</v>
      </c>
      <c r="B17" s="91" t="s">
        <v>116</v>
      </c>
      <c r="C17" s="92">
        <f>SUMIF(cutts[date],A17,cutts[num])</f>
        <v>4700</v>
      </c>
      <c r="D17" s="92"/>
      <c r="E17" s="93">
        <f>SUMIF(packes[date],A17,packes[num])</f>
        <v>0</v>
      </c>
      <c r="F17" s="93">
        <f>SUMIF(packes[date],A17,packes[wPacked])</f>
        <v>0</v>
      </c>
      <c r="G17" s="93">
        <v>50</v>
      </c>
      <c r="H17" s="93">
        <f>reportTbl[[#This Row],[personels]]-reportTbl[[#This Row],[personels]]*2.5/22-0.5</f>
        <v>43.81818181818182</v>
      </c>
      <c r="I17" s="94">
        <f>(reportTbl[[#This Row],[وزن تولید]]*unityCycleTime-reportTbl[[#This Row],[received TimeOut]])/(reportTbl[[#This Row],[available time]]*reportTbl[[#This Row],[تعداد نیرو]])</f>
        <v>0</v>
      </c>
      <c r="J17" s="95" t="s">
        <v>245</v>
      </c>
      <c r="K17" s="97">
        <v>900</v>
      </c>
      <c r="L17" s="97">
        <v>0</v>
      </c>
      <c r="M17" s="97">
        <v>0</v>
      </c>
      <c r="N17" s="97">
        <v>0</v>
      </c>
      <c r="O17" s="97">
        <v>1</v>
      </c>
      <c r="P17" s="96" t="s">
        <v>1030</v>
      </c>
      <c r="Q17" s="92">
        <f>_xlfn.XLOOKUP(reportTbl[[#This Row],[date]],IIITbl[date],IIITbl[totalCT],0)</f>
        <v>0</v>
      </c>
      <c r="R17" s="92">
        <v>30000</v>
      </c>
      <c r="S17" s="249"/>
      <c r="W17" s="144"/>
    </row>
    <row r="18" spans="1:23" ht="20.25" x14ac:dyDescent="0.25">
      <c r="A18" s="7" t="s">
        <v>240</v>
      </c>
      <c r="B18" s="91" t="s">
        <v>117</v>
      </c>
      <c r="C18" s="92">
        <f>SUMIF(cutts[date],A18,cutts[num])</f>
        <v>6000</v>
      </c>
      <c r="D18" s="92"/>
      <c r="E18" s="93">
        <f>SUMIF(packes[date],A18,packes[num])</f>
        <v>7275</v>
      </c>
      <c r="F18" s="93">
        <f>SUMIF(packes[date],A18,packes[wPacked])</f>
        <v>20725.379128005588</v>
      </c>
      <c r="G18" s="93">
        <v>50</v>
      </c>
      <c r="H18" s="93">
        <f>reportTbl[[#This Row],[personels]]-reportTbl[[#This Row],[personels]]*2.5/22-0.5</f>
        <v>43.81818181818182</v>
      </c>
      <c r="I18" s="94">
        <f>(reportTbl[[#This Row],[وزن تولید]]*unityCycleTime-reportTbl[[#This Row],[received TimeOut]])/(reportTbl[[#This Row],[available time]]*reportTbl[[#This Row],[تعداد نیرو]])</f>
        <v>1.5159195874643923</v>
      </c>
      <c r="J18" s="95" t="s">
        <v>248</v>
      </c>
      <c r="K18" s="97">
        <v>1500</v>
      </c>
      <c r="L18" s="97">
        <v>1800</v>
      </c>
      <c r="M18" s="97">
        <v>900</v>
      </c>
      <c r="N18" s="97">
        <v>0</v>
      </c>
      <c r="O18" s="97">
        <v>1</v>
      </c>
      <c r="P18" s="96" t="s">
        <v>1030</v>
      </c>
      <c r="Q18" s="92">
        <f>_xlfn.XLOOKUP(reportTbl[[#This Row],[date]],IIITbl[date],IIITbl[totalCT],0)</f>
        <v>0</v>
      </c>
      <c r="R18" s="92">
        <v>30000</v>
      </c>
      <c r="S18" s="249"/>
      <c r="W18" s="144"/>
    </row>
    <row r="19" spans="1:23" ht="20.25" x14ac:dyDescent="0.25">
      <c r="A19" s="7" t="s">
        <v>241</v>
      </c>
      <c r="B19" s="91" t="s">
        <v>118</v>
      </c>
      <c r="C19" s="92">
        <f>SUMIF(cutts[date],A19,cutts[num])</f>
        <v>5500</v>
      </c>
      <c r="D19" s="92">
        <v>300</v>
      </c>
      <c r="E19" s="93">
        <f>SUMIF(packes[date],A19,packes[num])</f>
        <v>5556</v>
      </c>
      <c r="F19" s="93">
        <f>SUMIF(packes[date],A19,packes[wPacked])</f>
        <v>13075.469420333235</v>
      </c>
      <c r="G19" s="93">
        <v>50</v>
      </c>
      <c r="H19" s="93">
        <f>reportTbl[[#This Row],[personels]]-reportTbl[[#This Row],[personels]]*2.5/22-0.5</f>
        <v>43.81818181818182</v>
      </c>
      <c r="I19" s="94">
        <f>(reportTbl[[#This Row],[وزن تولید]]*unityCycleTime-reportTbl[[#This Row],[received TimeOut]])/(reportTbl[[#This Row],[available time]]*reportTbl[[#This Row],[تعداد نیرو]])</f>
        <v>0.94996135770507928</v>
      </c>
      <c r="J19" s="95" t="s">
        <v>250</v>
      </c>
      <c r="K19" s="97">
        <v>2400</v>
      </c>
      <c r="L19" s="97">
        <v>2400</v>
      </c>
      <c r="M19" s="97">
        <v>2400</v>
      </c>
      <c r="N19" s="97">
        <v>0</v>
      </c>
      <c r="O19" s="97">
        <v>1</v>
      </c>
      <c r="P19" s="96" t="s">
        <v>1030</v>
      </c>
      <c r="Q19" s="92">
        <f>_xlfn.XLOOKUP(reportTbl[[#This Row],[date]],IIITbl[date],IIITbl[totalCT],0)</f>
        <v>8439</v>
      </c>
      <c r="R19" s="92">
        <v>30000</v>
      </c>
      <c r="S19" s="249"/>
      <c r="W19" s="144"/>
    </row>
    <row r="20" spans="1:23" ht="20.25" x14ac:dyDescent="0.25">
      <c r="A20" s="7" t="s">
        <v>236</v>
      </c>
      <c r="B20" s="91" t="s">
        <v>119</v>
      </c>
      <c r="C20" s="92">
        <v>9000</v>
      </c>
      <c r="D20" s="92"/>
      <c r="E20" s="93">
        <f>SUMIF(packes[date],A20,packes[num])</f>
        <v>4775</v>
      </c>
      <c r="F20" s="93">
        <f>SUMIF(packes[date],A20,packes[wPacked])</f>
        <v>8279.639329542053</v>
      </c>
      <c r="G20" s="93">
        <v>50</v>
      </c>
      <c r="H20" s="93">
        <f>reportTbl[[#This Row],[personels]]-reportTbl[[#This Row],[personels]]*2.5/22-0.5</f>
        <v>43.81818181818182</v>
      </c>
      <c r="I20" s="94">
        <f>(reportTbl[[#This Row],[وزن تولید]]*unityCycleTime-reportTbl[[#This Row],[received TimeOut]])/(reportTbl[[#This Row],[available time]]*reportTbl[[#This Row],[تعداد نیرو]])</f>
        <v>0.60559893062864123</v>
      </c>
      <c r="J20" s="95" t="s">
        <v>251</v>
      </c>
      <c r="K20" s="97">
        <v>2400</v>
      </c>
      <c r="L20" s="97">
        <v>3300</v>
      </c>
      <c r="M20" s="97">
        <v>0</v>
      </c>
      <c r="N20" s="97">
        <v>0</v>
      </c>
      <c r="O20" s="97">
        <v>1</v>
      </c>
      <c r="P20" s="96" t="s">
        <v>1030</v>
      </c>
      <c r="Q20" s="92">
        <f>_xlfn.XLOOKUP(reportTbl[[#This Row],[date]],IIITbl[date],IIITbl[totalCT],0)</f>
        <v>0</v>
      </c>
      <c r="R20" s="92">
        <v>30000</v>
      </c>
      <c r="S20" s="249"/>
      <c r="W20" s="144"/>
    </row>
    <row r="21" spans="1:23" ht="20.25" x14ac:dyDescent="0.25">
      <c r="A21" s="7" t="s">
        <v>260</v>
      </c>
      <c r="B21" s="91" t="s">
        <v>120</v>
      </c>
      <c r="C21" s="92">
        <v>7930</v>
      </c>
      <c r="D21" s="92"/>
      <c r="E21" s="93">
        <f>SUMIF(packes[date],A21,packes[num])</f>
        <v>4850</v>
      </c>
      <c r="F21" s="93">
        <f>SUMIF(packes[date],A21,packes[wPacked])</f>
        <v>6305.227975655991</v>
      </c>
      <c r="G21" s="93">
        <v>50</v>
      </c>
      <c r="H21" s="93">
        <f>reportTbl[[#This Row],[personels]]-reportTbl[[#This Row],[personels]]*2.5/22-0.5</f>
        <v>43.81818181818182</v>
      </c>
      <c r="I21" s="94">
        <f>(reportTbl[[#This Row],[وزن تولید]]*unityCycleTime-reportTbl[[#This Row],[received TimeOut]])/(reportTbl[[#This Row],[available time]]*reportTbl[[#This Row],[تعداد نیرو]])</f>
        <v>0.4611842578459584</v>
      </c>
      <c r="J21" s="95" t="s">
        <v>261</v>
      </c>
      <c r="K21" s="97">
        <v>0</v>
      </c>
      <c r="L21" s="97">
        <v>2100</v>
      </c>
      <c r="M21" s="97">
        <v>0</v>
      </c>
      <c r="N21" s="97">
        <v>0</v>
      </c>
      <c r="O21" s="97">
        <v>1</v>
      </c>
      <c r="P21" s="96" t="s">
        <v>1030</v>
      </c>
      <c r="Q21" s="92">
        <f>_xlfn.XLOOKUP(reportTbl[[#This Row],[date]],IIITbl[date],IIITbl[totalCT],0)</f>
        <v>0</v>
      </c>
      <c r="R21" s="92">
        <v>30000</v>
      </c>
      <c r="S21" s="249"/>
      <c r="W21" s="144"/>
    </row>
    <row r="22" spans="1:23" ht="20.25" x14ac:dyDescent="0.25">
      <c r="A22" s="7" t="s">
        <v>705</v>
      </c>
      <c r="B22" s="91" t="s">
        <v>121</v>
      </c>
      <c r="C22" s="92">
        <f>SUMIF(cutts[date],A22,cutts[num])</f>
        <v>0</v>
      </c>
      <c r="D22" s="92"/>
      <c r="E22" s="93">
        <f>SUMIF(packes[date],A22,packes[num])</f>
        <v>0</v>
      </c>
      <c r="F22" s="93">
        <f>SUMIF(packes[date],A22,packes[wPacked])</f>
        <v>0</v>
      </c>
      <c r="G22" s="93"/>
      <c r="H22" s="93">
        <f>reportTbl[[#This Row],[personels]]-reportTbl[[#This Row],[personels]]*2.5/22-0.5</f>
        <v>-0.5</v>
      </c>
      <c r="I22" s="94">
        <f>(reportTbl[[#This Row],[وزن تولید]]*unityCycleTime-reportTbl[[#This Row],[received TimeOut]])/(reportTbl[[#This Row],[available time]]*reportTbl[[#This Row],[تعداد نیرو]])</f>
        <v>0</v>
      </c>
      <c r="J22" s="95"/>
      <c r="K22" s="97"/>
      <c r="L22" s="97"/>
      <c r="M22" s="97"/>
      <c r="N22" s="97"/>
      <c r="O22" s="97">
        <v>0</v>
      </c>
      <c r="P22" s="96" t="s">
        <v>1030</v>
      </c>
      <c r="Q22" s="92">
        <f>_xlfn.XLOOKUP(reportTbl[[#This Row],[date]],IIITbl[date],IIITbl[totalCT],0)</f>
        <v>0</v>
      </c>
      <c r="R22" s="92">
        <v>30000</v>
      </c>
      <c r="S22" s="249"/>
      <c r="W22" s="144"/>
    </row>
    <row r="23" spans="1:23" ht="20.25" x14ac:dyDescent="0.25">
      <c r="A23" s="7" t="s">
        <v>706</v>
      </c>
      <c r="B23" s="91" t="s">
        <v>122</v>
      </c>
      <c r="C23" s="92">
        <f>SUMIF(cutts[date],A23,cutts[num])</f>
        <v>0</v>
      </c>
      <c r="D23" s="92"/>
      <c r="E23" s="93">
        <f>SUMIF(packes[date],A23,packes[num])</f>
        <v>0</v>
      </c>
      <c r="F23" s="93">
        <f>SUMIF(packes[date],A23,packes[wPacked])</f>
        <v>0</v>
      </c>
      <c r="G23" s="93"/>
      <c r="H23" s="93">
        <f>reportTbl[[#This Row],[personels]]-reportTbl[[#This Row],[personels]]*2.5/22-0.5</f>
        <v>-0.5</v>
      </c>
      <c r="I23" s="94">
        <f>(reportTbl[[#This Row],[وزن تولید]]*unityCycleTime-reportTbl[[#This Row],[received TimeOut]])/(reportTbl[[#This Row],[available time]]*reportTbl[[#This Row],[تعداد نیرو]])</f>
        <v>0</v>
      </c>
      <c r="J23" s="95"/>
      <c r="K23" s="97"/>
      <c r="L23" s="97"/>
      <c r="M23" s="97"/>
      <c r="N23" s="97"/>
      <c r="O23" s="97">
        <v>0</v>
      </c>
      <c r="P23" s="96" t="s">
        <v>1030</v>
      </c>
      <c r="Q23" s="92">
        <f>_xlfn.XLOOKUP(reportTbl[[#This Row],[date]],IIITbl[date],IIITbl[totalCT],0)</f>
        <v>0</v>
      </c>
      <c r="R23" s="92">
        <v>30000</v>
      </c>
      <c r="S23" s="249"/>
      <c r="W23" s="144"/>
    </row>
    <row r="24" spans="1:23" ht="20.25" x14ac:dyDescent="0.25">
      <c r="A24" s="7" t="s">
        <v>231</v>
      </c>
      <c r="B24" s="91" t="s">
        <v>116</v>
      </c>
      <c r="C24" s="92">
        <f>SUMIF(cutts[date],A24,cutts[num])</f>
        <v>0</v>
      </c>
      <c r="D24" s="92">
        <v>3600</v>
      </c>
      <c r="E24" s="93">
        <f>SUMIF(packes[date],A24,packes[num])</f>
        <v>4825</v>
      </c>
      <c r="F24" s="93">
        <f>SUMIF(packes[date],A24,packes[wPacked])</f>
        <v>6676.990422029332</v>
      </c>
      <c r="G24" s="93">
        <v>50</v>
      </c>
      <c r="H24" s="93">
        <f>reportTbl[[#This Row],[personels]]-reportTbl[[#This Row],[personels]]*2.5/22-0.5</f>
        <v>43.81818181818182</v>
      </c>
      <c r="I24" s="94">
        <f>(reportTbl[[#This Row],[وزن تولید]]*unityCycleTime-reportTbl[[#This Row],[received TimeOut]])/(reportTbl[[#This Row],[available time]]*reportTbl[[#This Row],[تعداد نیرو]])</f>
        <v>0.42417904010092139</v>
      </c>
      <c r="J24" s="95" t="s">
        <v>263</v>
      </c>
      <c r="K24" s="97">
        <v>2100</v>
      </c>
      <c r="L24" s="97">
        <v>3000</v>
      </c>
      <c r="M24" s="97">
        <v>0</v>
      </c>
      <c r="N24" s="97">
        <v>500</v>
      </c>
      <c r="O24" s="97">
        <v>1</v>
      </c>
      <c r="P24" s="96" t="s">
        <v>1030</v>
      </c>
      <c r="Q24" s="92">
        <f>_xlfn.XLOOKUP(reportTbl[[#This Row],[date]],IIITbl[date],IIITbl[totalCT],0)</f>
        <v>84390.000000000015</v>
      </c>
      <c r="R24" s="92">
        <v>30000</v>
      </c>
      <c r="S24" s="249"/>
      <c r="W24" s="144"/>
    </row>
    <row r="25" spans="1:23" ht="20.25" x14ac:dyDescent="0.25">
      <c r="A25" s="7" t="s">
        <v>234</v>
      </c>
      <c r="B25" s="91" t="s">
        <v>117</v>
      </c>
      <c r="C25" s="92">
        <f>SUMIF(cutts[date],A25,cutts[num])</f>
        <v>14695</v>
      </c>
      <c r="D25" s="92"/>
      <c r="E25" s="93">
        <f>SUMIF(packes[date],A25,packes[num])</f>
        <v>6768</v>
      </c>
      <c r="F25" s="93">
        <f>SUMIF(packes[date],A25,packes[wPacked])</f>
        <v>8083.9189863314368</v>
      </c>
      <c r="G25" s="93">
        <v>50</v>
      </c>
      <c r="H25" s="93">
        <f>reportTbl[[#This Row],[personels]]-reportTbl[[#This Row],[personels]]*2.5/22-0.5</f>
        <v>43.81818181818182</v>
      </c>
      <c r="I25" s="94">
        <f>(reportTbl[[#This Row],[وزن تولید]]*unityCycleTime-reportTbl[[#This Row],[received TimeOut]])/(reportTbl[[#This Row],[available time]]*reportTbl[[#This Row],[تعداد نیرو]])</f>
        <v>0.59128332751683577</v>
      </c>
      <c r="J25" s="95" t="s">
        <v>266</v>
      </c>
      <c r="K25" s="97">
        <v>3000</v>
      </c>
      <c r="L25" s="97">
        <v>2500</v>
      </c>
      <c r="M25" s="97">
        <v>0</v>
      </c>
      <c r="N25" s="97">
        <v>2500</v>
      </c>
      <c r="O25" s="97">
        <v>1</v>
      </c>
      <c r="P25" s="96" t="s">
        <v>1030</v>
      </c>
      <c r="Q25" s="92">
        <f>_xlfn.XLOOKUP(reportTbl[[#This Row],[date]],IIITbl[date],IIITbl[totalCT],0)</f>
        <v>0</v>
      </c>
      <c r="R25" s="92">
        <v>30000</v>
      </c>
      <c r="S25" s="249"/>
    </row>
    <row r="26" spans="1:23" ht="20.25" x14ac:dyDescent="0.25">
      <c r="A26" s="7" t="s">
        <v>233</v>
      </c>
      <c r="B26" s="91" t="s">
        <v>118</v>
      </c>
      <c r="C26" s="92">
        <f>SUMIF(cutts[date],A26,cutts[num])</f>
        <v>6000</v>
      </c>
      <c r="D26" s="92"/>
      <c r="E26" s="93">
        <f>SUMIF(packes[date],A26,packes[num])</f>
        <v>7400</v>
      </c>
      <c r="F26" s="93">
        <f>SUMIF(packes[date],A26,packes[wPacked])</f>
        <v>8086.8502444377937</v>
      </c>
      <c r="G26" s="93">
        <v>50</v>
      </c>
      <c r="H26" s="93">
        <f>reportTbl[[#This Row],[personels]]-reportTbl[[#This Row],[personels]]*2.5/22-0.5</f>
        <v>43.81818181818182</v>
      </c>
      <c r="I26" s="94">
        <f>(reportTbl[[#This Row],[وزن تولید]]*unityCycleTime-reportTbl[[#This Row],[received TimeOut]])/(reportTbl[[#This Row],[available time]]*reportTbl[[#This Row],[تعداد نیرو]])</f>
        <v>0.59149772897853614</v>
      </c>
      <c r="J26" s="95" t="s">
        <v>265</v>
      </c>
      <c r="K26" s="97">
        <v>0</v>
      </c>
      <c r="L26" s="97">
        <v>2700</v>
      </c>
      <c r="M26" s="97">
        <v>0</v>
      </c>
      <c r="N26" s="97">
        <v>2500</v>
      </c>
      <c r="O26" s="97">
        <v>1</v>
      </c>
      <c r="P26" s="96" t="s">
        <v>1030</v>
      </c>
      <c r="Q26" s="92">
        <f>_xlfn.XLOOKUP(reportTbl[[#This Row],[date]],IIITbl[date],IIITbl[totalCT],0)</f>
        <v>0</v>
      </c>
      <c r="R26" s="92">
        <v>30000</v>
      </c>
      <c r="S26" s="249"/>
    </row>
    <row r="27" spans="1:23" ht="20.25" x14ac:dyDescent="0.25">
      <c r="A27" s="7" t="s">
        <v>238</v>
      </c>
      <c r="B27" s="91" t="s">
        <v>119</v>
      </c>
      <c r="C27" s="92">
        <f>SUMIF(cutts[date],A27,cutts[num])</f>
        <v>9610</v>
      </c>
      <c r="D27" s="92">
        <v>4400</v>
      </c>
      <c r="E27" s="93">
        <f>SUMIF(packes[date],A27,packes[num])</f>
        <v>5725</v>
      </c>
      <c r="F27" s="93">
        <f>SUMIF(packes[date],A27,packes[wPacked])</f>
        <v>6406.1558415644013</v>
      </c>
      <c r="G27" s="93">
        <v>50</v>
      </c>
      <c r="H27" s="93">
        <v>42</v>
      </c>
      <c r="I27" s="94">
        <f>(reportTbl[[#This Row],[وزن تولید]]*unityCycleTime-reportTbl[[#This Row],[received TimeOut]])/(reportTbl[[#This Row],[available time]]*reportTbl[[#This Row],[تعداد نیرو]])</f>
        <v>0.39061895568763266</v>
      </c>
      <c r="J27" s="95" t="s">
        <v>264</v>
      </c>
      <c r="K27" s="97">
        <v>2500</v>
      </c>
      <c r="L27" s="97">
        <v>2500</v>
      </c>
      <c r="M27" s="97">
        <v>0</v>
      </c>
      <c r="N27" s="97">
        <v>2500</v>
      </c>
      <c r="O27" s="97">
        <v>1</v>
      </c>
      <c r="P27" s="96" t="s">
        <v>1030</v>
      </c>
      <c r="Q27" s="92">
        <f>_xlfn.XLOOKUP(reportTbl[[#This Row],[date]],IIITbl[date],IIITbl[totalCT],0)</f>
        <v>123772.00000000001</v>
      </c>
      <c r="R27" s="92">
        <v>30000</v>
      </c>
      <c r="S27" s="249"/>
    </row>
    <row r="28" spans="1:23" ht="20.25" x14ac:dyDescent="0.25">
      <c r="A28" s="7" t="s">
        <v>270</v>
      </c>
      <c r="B28" s="91" t="s">
        <v>120</v>
      </c>
      <c r="C28" s="92">
        <f>SUMIF(cutts[date],A28,cutts[num])</f>
        <v>9200</v>
      </c>
      <c r="D28" s="92"/>
      <c r="E28" s="93">
        <f>SUMIF(packes[date],A28,packes[num])</f>
        <v>8450</v>
      </c>
      <c r="F28" s="93">
        <f>SUMIF(packes[date],A28,packes[wPacked])</f>
        <v>9978.4395889454245</v>
      </c>
      <c r="G28" s="93">
        <v>50</v>
      </c>
      <c r="H28" s="93">
        <f>reportTbl[[#This Row],[personels]]-reportTbl[[#This Row],[personels]]*2.5/22-0.5</f>
        <v>43.81818181818182</v>
      </c>
      <c r="I28" s="94">
        <f>(reportTbl[[#This Row],[وزن تولید]]*unityCycleTime-reportTbl[[#This Row],[received TimeOut]])/(reportTbl[[#This Row],[available time]]*reportTbl[[#This Row],[تعداد نیرو]])</f>
        <v>0.7298545388138401</v>
      </c>
      <c r="J28" s="95" t="s">
        <v>271</v>
      </c>
      <c r="K28" s="97">
        <v>3000</v>
      </c>
      <c r="L28" s="97">
        <v>3300</v>
      </c>
      <c r="M28" s="97">
        <v>0</v>
      </c>
      <c r="N28" s="97">
        <v>2500</v>
      </c>
      <c r="O28" s="97">
        <v>1</v>
      </c>
      <c r="P28" s="96" t="s">
        <v>1030</v>
      </c>
      <c r="Q28" s="92">
        <f>_xlfn.XLOOKUP(reportTbl[[#This Row],[date]],IIITbl[date],IIITbl[totalCT],0)</f>
        <v>0</v>
      </c>
      <c r="R28" s="92">
        <v>30000</v>
      </c>
      <c r="S28" s="249"/>
      <c r="W28" s="144"/>
    </row>
    <row r="29" spans="1:23" ht="20.25" x14ac:dyDescent="0.25">
      <c r="A29" s="7" t="s">
        <v>235</v>
      </c>
      <c r="B29" s="91" t="s">
        <v>121</v>
      </c>
      <c r="C29" s="92">
        <f>SUMIF(cutts[date],A29,cutts[num])</f>
        <v>0</v>
      </c>
      <c r="D29" s="92"/>
      <c r="E29" s="93">
        <f>SUMIF(packes[date],A29,packes[num])</f>
        <v>0</v>
      </c>
      <c r="F29" s="93">
        <f>SUMIF(packes[date],A29,packes[wPacked])</f>
        <v>0</v>
      </c>
      <c r="G29" s="93"/>
      <c r="H29" s="93">
        <f>reportTbl[[#This Row],[personels]]-reportTbl[[#This Row],[personels]]*2.5/22-0.5</f>
        <v>-0.5</v>
      </c>
      <c r="I29" s="94">
        <f>(reportTbl[[#This Row],[وزن تولید]]*unityCycleTime-reportTbl[[#This Row],[received TimeOut]])/(reportTbl[[#This Row],[available time]]*reportTbl[[#This Row],[تعداد نیرو]])</f>
        <v>0</v>
      </c>
      <c r="J29" s="95"/>
      <c r="K29" s="97"/>
      <c r="L29" s="97"/>
      <c r="M29" s="97"/>
      <c r="N29" s="97"/>
      <c r="O29" s="97">
        <v>0</v>
      </c>
      <c r="P29" s="96" t="s">
        <v>1030</v>
      </c>
      <c r="Q29" s="92">
        <f>_xlfn.XLOOKUP(reportTbl[[#This Row],[date]],IIITbl[date],IIITbl[totalCT],0)</f>
        <v>0</v>
      </c>
      <c r="R29" s="92">
        <v>30000</v>
      </c>
      <c r="S29" s="249"/>
      <c r="W29" s="144"/>
    </row>
    <row r="30" spans="1:23" ht="20.25" x14ac:dyDescent="0.25">
      <c r="A30" s="7" t="s">
        <v>707</v>
      </c>
      <c r="B30" s="91" t="s">
        <v>122</v>
      </c>
      <c r="C30" s="92">
        <f>SUMIF(cutts[date],A30,cutts[num])</f>
        <v>0</v>
      </c>
      <c r="D30" s="92"/>
      <c r="E30" s="93">
        <f>SUMIF(packes[date],A30,packes[num])</f>
        <v>0</v>
      </c>
      <c r="F30" s="93">
        <f>SUMIF(packes[date],A30,packes[wPacked])</f>
        <v>0</v>
      </c>
      <c r="G30" s="93"/>
      <c r="H30" s="93">
        <f>reportTbl[[#This Row],[personels]]-reportTbl[[#This Row],[personels]]*2.5/22-0.5</f>
        <v>-0.5</v>
      </c>
      <c r="I30" s="94">
        <f>(reportTbl[[#This Row],[وزن تولید]]*unityCycleTime-reportTbl[[#This Row],[received TimeOut]])/(reportTbl[[#This Row],[available time]]*reportTbl[[#This Row],[تعداد نیرو]])</f>
        <v>0</v>
      </c>
      <c r="J30" s="95"/>
      <c r="K30" s="97"/>
      <c r="L30" s="97"/>
      <c r="M30" s="97"/>
      <c r="N30" s="97"/>
      <c r="O30" s="97">
        <v>0</v>
      </c>
      <c r="P30" s="96" t="s">
        <v>1030</v>
      </c>
      <c r="Q30" s="92">
        <f>_xlfn.XLOOKUP(reportTbl[[#This Row],[date]],IIITbl[date],IIITbl[totalCT],0)</f>
        <v>0</v>
      </c>
      <c r="R30" s="92">
        <v>30000</v>
      </c>
      <c r="S30" s="249"/>
    </row>
    <row r="31" spans="1:23" ht="20.25" x14ac:dyDescent="0.25">
      <c r="A31" s="7" t="s">
        <v>275</v>
      </c>
      <c r="B31" s="91" t="s">
        <v>116</v>
      </c>
      <c r="C31" s="92">
        <f>SUMIF(cutts[date],A31,cutts[num])</f>
        <v>10</v>
      </c>
      <c r="D31" s="92">
        <v>2400</v>
      </c>
      <c r="E31" s="93">
        <f>SUMIF(packes[date],A31,packes[num])</f>
        <v>8630</v>
      </c>
      <c r="F31" s="93">
        <f>SUMIF(packes[date],A31,packes[wPacked])</f>
        <v>10037.214406864214</v>
      </c>
      <c r="G31" s="93">
        <v>48</v>
      </c>
      <c r="H31" s="93">
        <f>reportTbl[[#This Row],[personels]]-reportTbl[[#This Row],[personels]]*2.5/22-0.5</f>
        <v>42.045454545454547</v>
      </c>
      <c r="I31" s="94">
        <f>(reportTbl[[#This Row],[وزن تولید]]*unityCycleTime-reportTbl[[#This Row],[received TimeOut]])/(reportTbl[[#This Row],[available time]]*reportTbl[[#This Row],[تعداد نیرو]])</f>
        <v>0.71158398684107649</v>
      </c>
      <c r="J31" s="95" t="s">
        <v>1046</v>
      </c>
      <c r="K31" s="97">
        <v>3000</v>
      </c>
      <c r="L31" s="97">
        <v>3300</v>
      </c>
      <c r="M31" s="97">
        <v>0</v>
      </c>
      <c r="N31" s="97">
        <v>2700</v>
      </c>
      <c r="O31" s="97">
        <v>1</v>
      </c>
      <c r="P31" s="96" t="s">
        <v>1030</v>
      </c>
      <c r="Q31" s="92">
        <f>_xlfn.XLOOKUP(reportTbl[[#This Row],[date]],IIITbl[date],IIITbl[totalCT],0)</f>
        <v>67512</v>
      </c>
      <c r="R31" s="92">
        <v>30000</v>
      </c>
      <c r="S31" s="249"/>
    </row>
    <row r="32" spans="1:23" ht="20.25" x14ac:dyDescent="0.25">
      <c r="A32" s="7" t="s">
        <v>253</v>
      </c>
      <c r="B32" s="91" t="s">
        <v>117</v>
      </c>
      <c r="C32" s="92">
        <f>SUMIF(cutts[date],A32,cutts[num])</f>
        <v>13000</v>
      </c>
      <c r="D32" s="92"/>
      <c r="E32" s="93">
        <f>SUMIF(packes[date],A32,packes[num])</f>
        <v>7500</v>
      </c>
      <c r="F32" s="93">
        <f>SUMIF(packes[date],A32,packes[wPacked])</f>
        <v>8307.3929961089489</v>
      </c>
      <c r="G32" s="93">
        <v>48</v>
      </c>
      <c r="H32" s="93">
        <f>reportTbl[[#This Row],[personels]]-reportTbl[[#This Row],[personels]]*2.5/22-0.5</f>
        <v>42.045454545454547</v>
      </c>
      <c r="I32" s="94">
        <f>(reportTbl[[#This Row],[وزن تولید]]*unityCycleTime-reportTbl[[#This Row],[received TimeOut]])/(reportTbl[[#This Row],[available time]]*reportTbl[[#This Row],[تعداد نیرو]])</f>
        <v>0.63324787043853192</v>
      </c>
      <c r="J32" s="95" t="s">
        <v>1043</v>
      </c>
      <c r="K32" s="97">
        <v>2800</v>
      </c>
      <c r="L32" s="97">
        <v>3000</v>
      </c>
      <c r="M32" s="97">
        <v>0</v>
      </c>
      <c r="N32" s="97">
        <v>3100</v>
      </c>
      <c r="O32" s="97">
        <v>1</v>
      </c>
      <c r="P32" s="96" t="s">
        <v>1030</v>
      </c>
      <c r="Q32" s="92">
        <f>_xlfn.XLOOKUP(reportTbl[[#This Row],[date]],IIITbl[date],IIITbl[totalCT],0)</f>
        <v>0</v>
      </c>
      <c r="R32" s="92">
        <v>30000</v>
      </c>
      <c r="S32" s="249"/>
    </row>
    <row r="33" spans="1:19" ht="20.25" x14ac:dyDescent="0.25">
      <c r="A33" s="7" t="s">
        <v>681</v>
      </c>
      <c r="B33" s="91" t="s">
        <v>118</v>
      </c>
      <c r="C33" s="92">
        <f>SUMIF(cutts[date],A33,cutts[num])</f>
        <v>3000</v>
      </c>
      <c r="D33" s="92"/>
      <c r="E33" s="93">
        <f>SUMIF(packes[date],A33,packes[num])</f>
        <v>7100</v>
      </c>
      <c r="F33" s="93">
        <f>SUMIF(packes[date],A33,packes[wPacked])</f>
        <v>7803.2126109947121</v>
      </c>
      <c r="G33" s="93">
        <v>48</v>
      </c>
      <c r="H33" s="93">
        <f>reportTbl[[#This Row],[personels]]-reportTbl[[#This Row],[personels]]*2.5/22-0.5</f>
        <v>42.045454545454547</v>
      </c>
      <c r="I33" s="94">
        <f>(reportTbl[[#This Row],[وزن تولید]]*unityCycleTime-reportTbl[[#This Row],[received TimeOut]])/(reportTbl[[#This Row],[available time]]*reportTbl[[#This Row],[تعداد نیرو]])</f>
        <v>0.59481569859593209</v>
      </c>
      <c r="J33" s="95" t="s">
        <v>1044</v>
      </c>
      <c r="K33" s="97">
        <v>1500</v>
      </c>
      <c r="L33" s="97">
        <v>2700</v>
      </c>
      <c r="M33" s="97">
        <v>600</v>
      </c>
      <c r="N33" s="97">
        <v>2500</v>
      </c>
      <c r="O33" s="97">
        <v>1</v>
      </c>
      <c r="P33" s="96" t="s">
        <v>1031</v>
      </c>
      <c r="Q33" s="92">
        <f>_xlfn.XLOOKUP(reportTbl[[#This Row],[date]],IIITbl[date],IIITbl[totalCT],0)</f>
        <v>0</v>
      </c>
      <c r="R33" s="92">
        <v>30000</v>
      </c>
      <c r="S33" s="250"/>
    </row>
    <row r="34" spans="1:19" ht="20.25" x14ac:dyDescent="0.25">
      <c r="A34" s="7" t="s">
        <v>255</v>
      </c>
      <c r="B34" s="91" t="s">
        <v>119</v>
      </c>
      <c r="C34" s="92">
        <f>SUMIF(cutts[date],A34,cutts[num])</f>
        <v>13000</v>
      </c>
      <c r="D34" s="92"/>
      <c r="E34" s="93">
        <f>SUMIF(packes[date],A34,packes[num])</f>
        <v>5325</v>
      </c>
      <c r="F34" s="93">
        <f>SUMIF(packes[date],A34,packes[wPacked])</f>
        <v>6097.2333632644913</v>
      </c>
      <c r="G34" s="93">
        <v>48</v>
      </c>
      <c r="H34" s="93">
        <f>reportTbl[[#This Row],[personels]]-reportTbl[[#This Row],[personels]]*2.5/22-0.5</f>
        <v>42.045454545454547</v>
      </c>
      <c r="I34" s="94">
        <f>(reportTbl[[#This Row],[وزن تولید]]*unityCycleTime-reportTbl[[#This Row],[received TimeOut]])/(reportTbl[[#This Row],[available time]]*reportTbl[[#This Row],[تعداد نیرو]])</f>
        <v>0.4647739723716533</v>
      </c>
      <c r="J34" s="95" t="s">
        <v>1043</v>
      </c>
      <c r="K34" s="97">
        <v>0</v>
      </c>
      <c r="L34" s="97">
        <v>3000</v>
      </c>
      <c r="M34" s="97">
        <v>2400</v>
      </c>
      <c r="N34" s="97">
        <v>3000</v>
      </c>
      <c r="O34" s="97">
        <v>1</v>
      </c>
      <c r="P34" s="96" t="s">
        <v>1031</v>
      </c>
      <c r="Q34" s="92">
        <f>_xlfn.XLOOKUP(reportTbl[[#This Row],[date]],IIITbl[date],IIITbl[totalCT],0)</f>
        <v>0</v>
      </c>
      <c r="R34" s="92">
        <v>30000</v>
      </c>
      <c r="S34" s="250"/>
    </row>
    <row r="35" spans="1:19" ht="20.25" x14ac:dyDescent="0.25">
      <c r="A35" s="7" t="s">
        <v>687</v>
      </c>
      <c r="B35" s="91" t="s">
        <v>120</v>
      </c>
      <c r="C35" s="92">
        <f>SUMIF(cutts[date],A35,cutts[num])</f>
        <v>7413</v>
      </c>
      <c r="D35" s="92"/>
      <c r="E35" s="93">
        <f>SUMIF(packes[date],A35,packes[num])</f>
        <v>8055</v>
      </c>
      <c r="F35" s="93">
        <f>SUMIF(packes[date],A35,packes[wPacked])</f>
        <v>8838.201137384016</v>
      </c>
      <c r="G35" s="93">
        <v>48</v>
      </c>
      <c r="H35" s="93">
        <f>reportTbl[[#This Row],[personels]]-reportTbl[[#This Row],[personels]]*2.5/22-0.5</f>
        <v>42.045454545454547</v>
      </c>
      <c r="I35" s="94">
        <f>(reportTbl[[#This Row],[وزن تولید]]*unityCycleTime-reportTbl[[#This Row],[received TimeOut]])/(reportTbl[[#This Row],[available time]]*reportTbl[[#This Row],[تعداد نیرو]])</f>
        <v>0.67370979696967237</v>
      </c>
      <c r="J35" s="95"/>
      <c r="K35" s="97">
        <v>2700</v>
      </c>
      <c r="L35" s="97">
        <v>3000</v>
      </c>
      <c r="M35" s="97">
        <v>600</v>
      </c>
      <c r="N35" s="97">
        <v>2400</v>
      </c>
      <c r="O35" s="97">
        <v>1</v>
      </c>
      <c r="P35" s="96" t="s">
        <v>1031</v>
      </c>
      <c r="Q35" s="92">
        <f>_xlfn.XLOOKUP(reportTbl[[#This Row],[date]],IIITbl[date],IIITbl[totalCT],0)</f>
        <v>0</v>
      </c>
      <c r="R35" s="92">
        <v>30000</v>
      </c>
      <c r="S35" s="250"/>
    </row>
    <row r="36" spans="1:19" ht="20.25" x14ac:dyDescent="0.25">
      <c r="A36" s="7" t="s">
        <v>708</v>
      </c>
      <c r="B36" s="91" t="s">
        <v>121</v>
      </c>
      <c r="C36" s="92">
        <f>SUMIF(cutts[date],A36,cutts[num])</f>
        <v>0</v>
      </c>
      <c r="D36" s="92"/>
      <c r="E36" s="93">
        <f>SUMIF(packes[date],A36,packes[num])</f>
        <v>1300</v>
      </c>
      <c r="F36" s="93">
        <f>SUMIF(packes[date],A36,packes[wPacked])</f>
        <v>1750.9727626459141</v>
      </c>
      <c r="G36" s="93">
        <v>5</v>
      </c>
      <c r="H36" s="93">
        <f>reportTbl[[#This Row],[personels]]-reportTbl[[#This Row],[personels]]*2.5/22-0.5</f>
        <v>3.9318181818181817</v>
      </c>
      <c r="I36" s="94">
        <f>(reportTbl[[#This Row],[وزن تولید]]*unityCycleTime-reportTbl[[#This Row],[received TimeOut]])/(reportTbl[[#This Row],[available time]]*reportTbl[[#This Row],[تعداد نیرو]])</f>
        <v>1.4272958323024671</v>
      </c>
      <c r="J36" s="95" t="s">
        <v>1064</v>
      </c>
      <c r="K36" s="97"/>
      <c r="L36" s="97"/>
      <c r="M36" s="97"/>
      <c r="N36" s="97"/>
      <c r="O36" s="97">
        <v>0</v>
      </c>
      <c r="P36" s="96" t="s">
        <v>1031</v>
      </c>
      <c r="Q36" s="92">
        <f>_xlfn.XLOOKUP(reportTbl[[#This Row],[date]],IIITbl[date],IIITbl[totalCT],0)</f>
        <v>0</v>
      </c>
      <c r="R36" s="92">
        <v>30000</v>
      </c>
    </row>
    <row r="37" spans="1:19" ht="20.25" x14ac:dyDescent="0.25">
      <c r="A37" s="7" t="s">
        <v>243</v>
      </c>
      <c r="B37" s="91" t="s">
        <v>122</v>
      </c>
      <c r="C37" s="92">
        <f>SUMIF(cutts[date],A37,cutts[num])</f>
        <v>0</v>
      </c>
      <c r="D37" s="92"/>
      <c r="E37" s="93">
        <f>SUMIF(packes[date],A37,packes[num])</f>
        <v>0</v>
      </c>
      <c r="F37" s="93">
        <f>SUMIF(packes[date],A37,packes[wPacked])</f>
        <v>0</v>
      </c>
      <c r="G37" s="93"/>
      <c r="H37" s="93">
        <f>reportTbl[[#This Row],[personels]]-reportTbl[[#This Row],[personels]]*2.5/22-0.5</f>
        <v>-0.5</v>
      </c>
      <c r="I37" s="94">
        <f>(reportTbl[[#This Row],[وزن تولید]]*unityCycleTime-reportTbl[[#This Row],[received TimeOut]])/(reportTbl[[#This Row],[available time]]*reportTbl[[#This Row],[تعداد نیرو]])</f>
        <v>0</v>
      </c>
      <c r="J37" s="95"/>
      <c r="K37" s="97"/>
      <c r="L37" s="97"/>
      <c r="M37" s="97"/>
      <c r="N37" s="97"/>
      <c r="O37" s="97">
        <v>0</v>
      </c>
      <c r="P37" s="96" t="s">
        <v>1031</v>
      </c>
      <c r="Q37" s="92">
        <f>_xlfn.XLOOKUP(reportTbl[[#This Row],[date]],IIITbl[date],IIITbl[totalCT],0)</f>
        <v>0</v>
      </c>
      <c r="R37" s="92">
        <v>30000</v>
      </c>
    </row>
    <row r="38" spans="1:19" ht="31.5" x14ac:dyDescent="0.25">
      <c r="A38" s="7" t="s">
        <v>280</v>
      </c>
      <c r="B38" s="91" t="s">
        <v>116</v>
      </c>
      <c r="C38" s="92">
        <f>SUMIF(cutts[date],A38,cutts[num])</f>
        <v>3000</v>
      </c>
      <c r="D38" s="92">
        <v>2900</v>
      </c>
      <c r="E38" s="93">
        <f>SUMIF(packes[date],A38,packes[num])</f>
        <v>7850</v>
      </c>
      <c r="F38" s="93">
        <f>SUMIF(packes[date],A38,packes[wPacked])</f>
        <v>9536.7754165419519</v>
      </c>
      <c r="G38" s="93">
        <v>48</v>
      </c>
      <c r="H38" s="93">
        <f>reportTbl[[#This Row],[personels]]-reportTbl[[#This Row],[personels]]*2.5/22-0.5</f>
        <v>42.045454545454547</v>
      </c>
      <c r="I38" s="94">
        <f>(reportTbl[[#This Row],[وزن تولید]]*unityCycleTime-reportTbl[[#This Row],[received TimeOut]])/(reportTbl[[#This Row],[available time]]*reportTbl[[#This Row],[تعداد نیرو]])</f>
        <v>0.66228637976977256</v>
      </c>
      <c r="J38" s="95" t="s">
        <v>1079</v>
      </c>
      <c r="K38" s="97">
        <v>3000</v>
      </c>
      <c r="L38" s="97">
        <v>3000</v>
      </c>
      <c r="M38" s="97">
        <v>0</v>
      </c>
      <c r="N38" s="97">
        <v>0</v>
      </c>
      <c r="O38" s="97">
        <v>1</v>
      </c>
      <c r="P38" s="96" t="s">
        <v>1031</v>
      </c>
      <c r="Q38" s="92">
        <f>_xlfn.XLOOKUP(reportTbl[[#This Row],[date]],IIITbl[date],IIITbl[totalCT],0)</f>
        <v>81577.000000000015</v>
      </c>
      <c r="R38" s="92">
        <v>30000</v>
      </c>
    </row>
    <row r="39" spans="1:19" ht="20.25" x14ac:dyDescent="0.25">
      <c r="A39" s="7" t="s">
        <v>709</v>
      </c>
      <c r="B39" s="91" t="s">
        <v>117</v>
      </c>
      <c r="C39" s="92">
        <f>SUMIF(cutts[date],A39,cutts[num])</f>
        <v>9347</v>
      </c>
      <c r="D39" s="92"/>
      <c r="E39" s="93">
        <f>SUMIF(packes[date],A39,packes[num])</f>
        <v>5753</v>
      </c>
      <c r="F39" s="93">
        <f>SUMIF(packes[date],A39,packes[wPacked])</f>
        <v>6897.4897735209015</v>
      </c>
      <c r="G39" s="93">
        <v>48</v>
      </c>
      <c r="H39" s="93">
        <f>reportTbl[[#This Row],[personels]]-reportTbl[[#This Row],[personels]]*2.5/22-0.5</f>
        <v>42.045454545454547</v>
      </c>
      <c r="I39" s="94">
        <f>(reportTbl[[#This Row],[وزن تولید]]*unityCycleTime-reportTbl[[#This Row],[received TimeOut]])/(reportTbl[[#This Row],[available time]]*reportTbl[[#This Row],[تعداد نیرو]])</f>
        <v>0.52577513938482023</v>
      </c>
      <c r="J39" s="95" t="s">
        <v>1080</v>
      </c>
      <c r="K39" s="97">
        <v>3000</v>
      </c>
      <c r="L39" s="97">
        <v>3600</v>
      </c>
      <c r="M39" s="97">
        <v>0</v>
      </c>
      <c r="N39" s="97">
        <v>0</v>
      </c>
      <c r="O39" s="97">
        <v>1</v>
      </c>
      <c r="P39" s="96" t="s">
        <v>1031</v>
      </c>
      <c r="Q39" s="92">
        <f>_xlfn.XLOOKUP(reportTbl[[#This Row],[date]],IIITbl[date],IIITbl[totalCT],0)</f>
        <v>0</v>
      </c>
      <c r="R39" s="92">
        <v>30000</v>
      </c>
    </row>
    <row r="40" spans="1:19" ht="20.25" x14ac:dyDescent="0.25">
      <c r="A40" s="7" t="s">
        <v>710</v>
      </c>
      <c r="B40" s="91" t="s">
        <v>118</v>
      </c>
      <c r="C40" s="92">
        <f>SUMIF(cutts[date],A40,cutts[num])</f>
        <v>3000</v>
      </c>
      <c r="D40" s="92"/>
      <c r="E40" s="93">
        <f>SUMIF(packes[date],A40,packes[num])</f>
        <v>5875</v>
      </c>
      <c r="F40" s="93">
        <f>SUMIF(packes[date],A40,packes[wPacked])</f>
        <v>7637.9751571385805</v>
      </c>
      <c r="G40" s="93">
        <v>48</v>
      </c>
      <c r="H40" s="93">
        <f>reportTbl[[#This Row],[personels]]-reportTbl[[#This Row],[personels]]*2.5/22-0.5</f>
        <v>42.045454545454547</v>
      </c>
      <c r="I40" s="94">
        <f>(reportTbl[[#This Row],[وزن تولید]]*unityCycleTime-reportTbl[[#This Row],[received TimeOut]])/(reportTbl[[#This Row],[available time]]*reportTbl[[#This Row],[تعداد نیرو]])</f>
        <v>0.58222013873496359</v>
      </c>
      <c r="J40" s="95" t="s">
        <v>1081</v>
      </c>
      <c r="K40" s="97">
        <v>3000</v>
      </c>
      <c r="L40" s="97">
        <v>3300</v>
      </c>
      <c r="M40" s="97">
        <v>0</v>
      </c>
      <c r="N40" s="97">
        <v>2500</v>
      </c>
      <c r="O40" s="97">
        <v>1</v>
      </c>
      <c r="P40" s="96" t="s">
        <v>1031</v>
      </c>
      <c r="Q40" s="92">
        <f>_xlfn.XLOOKUP(reportTbl[[#This Row],[date]],IIITbl[date],IIITbl[totalCT],0)</f>
        <v>0</v>
      </c>
      <c r="R40" s="92">
        <v>30000</v>
      </c>
    </row>
    <row r="41" spans="1:19" ht="20.25" x14ac:dyDescent="0.25">
      <c r="A41" s="7" t="s">
        <v>258</v>
      </c>
      <c r="B41" s="91" t="s">
        <v>119</v>
      </c>
      <c r="C41" s="92">
        <f>SUMIF(cutts[date],A41,cutts[num])</f>
        <v>3000</v>
      </c>
      <c r="D41" s="92"/>
      <c r="E41" s="93">
        <f>SUMIF(packes[date],A41,packes[num])</f>
        <v>6199</v>
      </c>
      <c r="F41" s="93">
        <f>SUMIF(packes[date],A41,packes[wPacked])</f>
        <v>7597.5356679636825</v>
      </c>
      <c r="G41" s="93">
        <v>48</v>
      </c>
      <c r="H41" s="93">
        <f>reportTbl[[#This Row],[personels]]-reportTbl[[#This Row],[personels]]*2.5/22-0.5</f>
        <v>42.045454545454547</v>
      </c>
      <c r="I41" s="94">
        <f>(reportTbl[[#This Row],[وزن تولید]]*unityCycleTime-reportTbl[[#This Row],[received TimeOut]])/(reportTbl[[#This Row],[available time]]*reportTbl[[#This Row],[تعداد نیرو]])</f>
        <v>0.57913755670066946</v>
      </c>
      <c r="J41" s="95"/>
      <c r="K41" s="97">
        <v>3000</v>
      </c>
      <c r="L41" s="97">
        <v>600</v>
      </c>
      <c r="M41" s="97">
        <v>0</v>
      </c>
      <c r="N41" s="97">
        <v>2650</v>
      </c>
      <c r="O41" s="97">
        <v>1</v>
      </c>
      <c r="P41" s="96" t="s">
        <v>1031</v>
      </c>
      <c r="Q41" s="92">
        <f>_xlfn.XLOOKUP(reportTbl[[#This Row],[date]],IIITbl[date],IIITbl[totalCT],0)</f>
        <v>0</v>
      </c>
      <c r="R41" s="92">
        <v>30000</v>
      </c>
    </row>
    <row r="42" spans="1:19" ht="20.25" x14ac:dyDescent="0.25">
      <c r="A42" s="7" t="s">
        <v>711</v>
      </c>
      <c r="B42" s="91" t="s">
        <v>120</v>
      </c>
      <c r="C42" s="92">
        <f>SUMIF(cutts[date],A42,cutts[num])</f>
        <v>0</v>
      </c>
      <c r="D42" s="92">
        <v>3000</v>
      </c>
      <c r="E42" s="93">
        <f>SUMIF(packes[date],A42,packes[num])</f>
        <v>5372</v>
      </c>
      <c r="F42" s="93">
        <f>SUMIF(packes[date],A42,packes[wPacked])</f>
        <v>6776.7534670258401</v>
      </c>
      <c r="G42" s="93">
        <v>48</v>
      </c>
      <c r="H42" s="93">
        <f>reportTbl[[#This Row],[personels]]-reportTbl[[#This Row],[personels]]*2.5/22-0.5</f>
        <v>42.045454545454547</v>
      </c>
      <c r="I42" s="94">
        <f>(reportTbl[[#This Row],[وزن تولید]]*unityCycleTime-reportTbl[[#This Row],[received TimeOut]])/(reportTbl[[#This Row],[available time]]*reportTbl[[#This Row],[تعداد نیرو]])</f>
        <v>0.39800960752431563</v>
      </c>
      <c r="J42" s="95" t="s">
        <v>1083</v>
      </c>
      <c r="K42" s="97">
        <v>2700</v>
      </c>
      <c r="L42" s="97">
        <v>3200</v>
      </c>
      <c r="M42" s="97">
        <v>0</v>
      </c>
      <c r="N42" s="97">
        <v>1150</v>
      </c>
      <c r="O42" s="97">
        <v>1</v>
      </c>
      <c r="P42" s="96" t="s">
        <v>1031</v>
      </c>
      <c r="Q42" s="92">
        <f>_xlfn.XLOOKUP(reportTbl[[#This Row],[date]],IIITbl[date],IIITbl[totalCT],0)</f>
        <v>149550</v>
      </c>
      <c r="R42" s="92">
        <v>30000</v>
      </c>
    </row>
    <row r="43" spans="1:19" ht="20.25" x14ac:dyDescent="0.25">
      <c r="A43" s="7" t="s">
        <v>281</v>
      </c>
      <c r="B43" s="91" t="s">
        <v>121</v>
      </c>
      <c r="C43" s="92">
        <f>SUMIF(cutts[date],A43,cutts[num])</f>
        <v>0</v>
      </c>
      <c r="D43" s="92"/>
      <c r="E43" s="93">
        <f>SUMIF(packes[date],A43,packes[num])</f>
        <v>0</v>
      </c>
      <c r="F43" s="93">
        <f>SUMIF(packes[date],A43,packes[wPacked])</f>
        <v>0</v>
      </c>
      <c r="G43" s="93"/>
      <c r="H43" s="93">
        <f>reportTbl[[#This Row],[personels]]-reportTbl[[#This Row],[personels]]*2.5/22-0.5</f>
        <v>-0.5</v>
      </c>
      <c r="I43" s="94">
        <f>(reportTbl[[#This Row],[وزن تولید]]*unityCycleTime-reportTbl[[#This Row],[received TimeOut]])/(reportTbl[[#This Row],[available time]]*reportTbl[[#This Row],[تعداد نیرو]])</f>
        <v>0</v>
      </c>
      <c r="J43" s="95"/>
      <c r="K43" s="97"/>
      <c r="L43" s="97"/>
      <c r="M43" s="97"/>
      <c r="N43" s="97"/>
      <c r="O43" s="97">
        <v>0</v>
      </c>
      <c r="P43" s="96" t="s">
        <v>1031</v>
      </c>
      <c r="Q43" s="92">
        <f>_xlfn.XLOOKUP(reportTbl[[#This Row],[date]],IIITbl[date],IIITbl[totalCT],0)</f>
        <v>0</v>
      </c>
      <c r="R43" s="92">
        <v>30000</v>
      </c>
    </row>
    <row r="44" spans="1:19" ht="20.25" x14ac:dyDescent="0.25">
      <c r="A44" s="7" t="s">
        <v>254</v>
      </c>
      <c r="B44" s="91" t="s">
        <v>122</v>
      </c>
      <c r="C44" s="92">
        <f>SUMIF(cutts[date],A44,cutts[num])</f>
        <v>0</v>
      </c>
      <c r="D44" s="92"/>
      <c r="E44" s="93">
        <f>SUMIF(packes[date],A44,packes[num])</f>
        <v>0</v>
      </c>
      <c r="F44" s="93">
        <f>SUMIF(packes[date],A44,packes[wPacked])</f>
        <v>0</v>
      </c>
      <c r="G44" s="93"/>
      <c r="H44" s="93">
        <f>reportTbl[[#This Row],[personels]]-reportTbl[[#This Row],[personels]]*2.5/22-0.5</f>
        <v>-0.5</v>
      </c>
      <c r="I44" s="94">
        <f>(reportTbl[[#This Row],[وزن تولید]]*unityCycleTime-reportTbl[[#This Row],[received TimeOut]])/(reportTbl[[#This Row],[available time]]*reportTbl[[#This Row],[تعداد نیرو]])</f>
        <v>0</v>
      </c>
      <c r="J44" s="95"/>
      <c r="K44" s="97"/>
      <c r="L44" s="97"/>
      <c r="M44" s="97"/>
      <c r="N44" s="97"/>
      <c r="O44" s="97">
        <v>0</v>
      </c>
      <c r="P44" s="96" t="s">
        <v>1031</v>
      </c>
      <c r="Q44" s="92">
        <f>_xlfn.XLOOKUP(reportTbl[[#This Row],[date]],IIITbl[date],IIITbl[totalCT],0)</f>
        <v>0</v>
      </c>
      <c r="R44" s="92">
        <v>30000</v>
      </c>
    </row>
    <row r="45" spans="1:19" ht="20.25" x14ac:dyDescent="0.25">
      <c r="A45" s="7" t="s">
        <v>712</v>
      </c>
      <c r="B45" s="91" t="s">
        <v>116</v>
      </c>
      <c r="C45" s="92">
        <f>SUMIF(cutts[date],A45,cutts[num])</f>
        <v>0</v>
      </c>
      <c r="D45" s="92"/>
      <c r="E45" s="93">
        <f>SUMIF(packes[date],A45,packes[num])</f>
        <v>3850</v>
      </c>
      <c r="F45" s="93">
        <f>SUMIF(packes[date],A45,packes[wPacked])</f>
        <v>5089.7934750074819</v>
      </c>
      <c r="G45" s="93" t="s">
        <v>135</v>
      </c>
      <c r="H45" s="93">
        <v>20</v>
      </c>
      <c r="I45" s="94">
        <f>(reportTbl[[#This Row],[وزن تولید]]*unityCycleTime-reportTbl[[#This Row],[received TimeOut]])/(reportTbl[[#This Row],[available time]]*reportTbl[[#This Row],[تعداد نیرو]])</f>
        <v>0.81563940436994897</v>
      </c>
      <c r="J45" s="95" t="s">
        <v>1085</v>
      </c>
      <c r="K45" s="97">
        <v>3000</v>
      </c>
      <c r="L45" s="97">
        <v>0</v>
      </c>
      <c r="M45" s="97">
        <v>0</v>
      </c>
      <c r="N45" s="97">
        <v>0</v>
      </c>
      <c r="O45" s="97">
        <v>1</v>
      </c>
      <c r="P45" s="96" t="s">
        <v>1031</v>
      </c>
      <c r="Q45" s="92">
        <f>_xlfn.XLOOKUP(reportTbl[[#This Row],[date]],IIITbl[date],IIITbl[totalCT],0)</f>
        <v>0</v>
      </c>
      <c r="R45" s="92">
        <v>30000</v>
      </c>
    </row>
    <row r="46" spans="1:19" ht="20.25" x14ac:dyDescent="0.25">
      <c r="A46" s="7" t="s">
        <v>713</v>
      </c>
      <c r="B46" s="91" t="s">
        <v>117</v>
      </c>
      <c r="C46" s="92">
        <f>SUMIF(cutts[date],A46,cutts[num])</f>
        <v>0</v>
      </c>
      <c r="D46" s="92"/>
      <c r="E46" s="93">
        <f>SUMIF(packes[date],A46,packes[num])</f>
        <v>3750</v>
      </c>
      <c r="F46" s="93">
        <f>SUMIF(packes[date],A46,packes[wPacked])</f>
        <v>4957.3181682131089</v>
      </c>
      <c r="G46" s="93" t="s">
        <v>135</v>
      </c>
      <c r="H46" s="93">
        <v>18</v>
      </c>
      <c r="I46" s="94">
        <f>(reportTbl[[#This Row],[وزن تولید]]*unityCycleTime-reportTbl[[#This Row],[received TimeOut]])/(reportTbl[[#This Row],[available time]]*reportTbl[[#This Row],[تعداد نیرو]])</f>
        <v>0.88267804050683418</v>
      </c>
      <c r="J46" s="95"/>
      <c r="K46" s="97">
        <v>1200</v>
      </c>
      <c r="L46" s="97">
        <v>900</v>
      </c>
      <c r="M46" s="97">
        <v>0</v>
      </c>
      <c r="N46" s="97">
        <v>0</v>
      </c>
      <c r="O46" s="97">
        <v>1</v>
      </c>
      <c r="P46" s="96" t="s">
        <v>1031</v>
      </c>
      <c r="Q46" s="92">
        <f>_xlfn.XLOOKUP(reportTbl[[#This Row],[date]],IIITbl[date],IIITbl[totalCT],0)</f>
        <v>0</v>
      </c>
      <c r="R46" s="92">
        <v>30000</v>
      </c>
    </row>
    <row r="47" spans="1:19" ht="20.25" x14ac:dyDescent="0.25">
      <c r="A47" s="7" t="s">
        <v>714</v>
      </c>
      <c r="B47" s="91" t="s">
        <v>118</v>
      </c>
      <c r="C47" s="92">
        <f>SUMIF(cutts[date],A47,cutts[num])</f>
        <v>6000</v>
      </c>
      <c r="D47" s="92"/>
      <c r="E47" s="93">
        <f>SUMIF(packes[date],A47,packes[num])</f>
        <v>3450</v>
      </c>
      <c r="F47" s="93">
        <f>SUMIF(packes[date],A47,packes[wPacked])</f>
        <v>4997.9048189164914</v>
      </c>
      <c r="G47" s="93"/>
      <c r="H47" s="93">
        <v>17</v>
      </c>
      <c r="I47" s="94">
        <f>(reportTbl[[#This Row],[وزن تولید]]*unityCycleTime-reportTbl[[#This Row],[received TimeOut]])/(reportTbl[[#This Row],[available time]]*reportTbl[[#This Row],[تعداد نیرو]])</f>
        <v>0.94225205556631508</v>
      </c>
      <c r="J47" s="95"/>
      <c r="K47" s="97">
        <v>300</v>
      </c>
      <c r="L47" s="97">
        <v>0</v>
      </c>
      <c r="M47" s="97">
        <v>0</v>
      </c>
      <c r="N47" s="97">
        <v>0</v>
      </c>
      <c r="O47" s="97">
        <v>1</v>
      </c>
      <c r="P47" s="96" t="s">
        <v>1031</v>
      </c>
      <c r="Q47" s="92">
        <f>_xlfn.XLOOKUP(reportTbl[[#This Row],[date]],IIITbl[date],IIITbl[totalCT],0)</f>
        <v>0</v>
      </c>
      <c r="R47" s="92">
        <v>30000</v>
      </c>
    </row>
    <row r="48" spans="1:19" ht="20.25" x14ac:dyDescent="0.25">
      <c r="A48" s="7" t="s">
        <v>256</v>
      </c>
      <c r="B48" s="91" t="s">
        <v>119</v>
      </c>
      <c r="C48" s="92">
        <f>SUMIF(cutts[date],A48,cutts[num])</f>
        <v>3000</v>
      </c>
      <c r="D48" s="92"/>
      <c r="E48" s="93">
        <f>SUMIF(packes[date],A48,packes[num])</f>
        <v>4100</v>
      </c>
      <c r="F48" s="93">
        <f>SUMIF(packes[date],A48,packes[wPacked])</f>
        <v>4975.0773221590343</v>
      </c>
      <c r="G48" s="93"/>
      <c r="H48" s="93">
        <v>17</v>
      </c>
      <c r="I48" s="94">
        <f>(reportTbl[[#This Row],[وزن تولید]]*unityCycleTime-reportTbl[[#This Row],[received TimeOut]])/(reportTbl[[#This Row],[available time]]*reportTbl[[#This Row],[تعداد نیرو]])</f>
        <v>0.93794840103057098</v>
      </c>
      <c r="J48" s="95"/>
      <c r="K48" s="97">
        <v>2400</v>
      </c>
      <c r="L48" s="97">
        <v>0</v>
      </c>
      <c r="M48" s="97">
        <v>0</v>
      </c>
      <c r="N48" s="97">
        <v>0</v>
      </c>
      <c r="O48" s="97">
        <v>1</v>
      </c>
      <c r="P48" s="96" t="s">
        <v>1031</v>
      </c>
      <c r="Q48" s="92">
        <f>_xlfn.XLOOKUP(reportTbl[[#This Row],[date]],IIITbl[date],IIITbl[totalCT],0)</f>
        <v>0</v>
      </c>
      <c r="R48" s="92">
        <v>30000</v>
      </c>
    </row>
    <row r="49" spans="1:18" ht="20.25" x14ac:dyDescent="0.25">
      <c r="A49" s="7" t="s">
        <v>282</v>
      </c>
      <c r="B49" s="91" t="s">
        <v>120</v>
      </c>
      <c r="C49" s="92">
        <f>SUMIF(cutts[date],A49,cutts[num])</f>
        <v>1000</v>
      </c>
      <c r="D49" s="92"/>
      <c r="E49" s="93">
        <f>SUMIF(packes[date],A49,packes[num])</f>
        <v>2025</v>
      </c>
      <c r="F49" s="93">
        <f>SUMIF(packes[date],A49,packes[wPacked])</f>
        <v>2307.0263394193353</v>
      </c>
      <c r="G49" s="93"/>
      <c r="H49" s="93">
        <v>17</v>
      </c>
      <c r="I49" s="94">
        <f>(reportTbl[[#This Row],[وزن تولید]]*unityCycleTime-reportTbl[[#This Row],[received TimeOut]])/(reportTbl[[#This Row],[available time]]*reportTbl[[#This Row],[تعداد نیرو]])</f>
        <v>0.43494231869640998</v>
      </c>
      <c r="J49" s="95"/>
      <c r="K49" s="97">
        <v>0</v>
      </c>
      <c r="L49" s="97">
        <v>2400</v>
      </c>
      <c r="M49" s="97">
        <v>0</v>
      </c>
      <c r="N49" s="97">
        <v>0</v>
      </c>
      <c r="O49" s="97">
        <v>1</v>
      </c>
      <c r="P49" s="96" t="s">
        <v>1031</v>
      </c>
      <c r="Q49" s="92">
        <f>_xlfn.XLOOKUP(reportTbl[[#This Row],[date]],IIITbl[date],IIITbl[totalCT],0)</f>
        <v>0</v>
      </c>
      <c r="R49" s="92">
        <v>30000</v>
      </c>
    </row>
    <row r="50" spans="1:18" ht="20.25" x14ac:dyDescent="0.25">
      <c r="A50" s="7" t="s">
        <v>715</v>
      </c>
      <c r="B50" s="91" t="s">
        <v>121</v>
      </c>
      <c r="C50" s="92">
        <f>SUMIF(cutts[date],A50,cutts[num])</f>
        <v>0</v>
      </c>
      <c r="D50" s="92"/>
      <c r="E50" s="93">
        <f>SUMIF(packes[date],A50,packes[num])</f>
        <v>0</v>
      </c>
      <c r="F50" s="93">
        <f>SUMIF(packes[date],A50,packes[wPacked])</f>
        <v>0</v>
      </c>
      <c r="G50" s="93"/>
      <c r="H50" s="93">
        <f>reportTbl[[#This Row],[personels]]-reportTbl[[#This Row],[personels]]*2.5/22-0.5</f>
        <v>-0.5</v>
      </c>
      <c r="I50" s="94">
        <f>(reportTbl[[#This Row],[وزن تولید]]*unityCycleTime-reportTbl[[#This Row],[received TimeOut]])/(reportTbl[[#This Row],[available time]]*reportTbl[[#This Row],[تعداد نیرو]])</f>
        <v>0</v>
      </c>
      <c r="J50" s="95"/>
      <c r="K50" s="97"/>
      <c r="L50" s="97"/>
      <c r="M50" s="97"/>
      <c r="N50" s="97"/>
      <c r="O50" s="97">
        <v>0</v>
      </c>
      <c r="P50" s="96" t="s">
        <v>1031</v>
      </c>
      <c r="Q50" s="92">
        <f>_xlfn.XLOOKUP(reportTbl[[#This Row],[date]],IIITbl[date],IIITbl[totalCT],0)</f>
        <v>0</v>
      </c>
      <c r="R50" s="92">
        <v>30000</v>
      </c>
    </row>
    <row r="51" spans="1:18" ht="20.25" x14ac:dyDescent="0.25">
      <c r="A51" s="7" t="s">
        <v>716</v>
      </c>
      <c r="B51" s="91" t="s">
        <v>122</v>
      </c>
      <c r="C51" s="92">
        <f>SUMIF(cutts[date],A51,cutts[num])</f>
        <v>0</v>
      </c>
      <c r="D51" s="92"/>
      <c r="E51" s="93">
        <f>SUMIF(packes[date],A51,packes[num])</f>
        <v>0</v>
      </c>
      <c r="F51" s="93">
        <f>SUMIF(packes[date],A51,packes[wPacked])</f>
        <v>0</v>
      </c>
      <c r="G51" s="93"/>
      <c r="H51" s="93">
        <f>reportTbl[[#This Row],[personels]]-reportTbl[[#This Row],[personels]]*2.5/22-0.5</f>
        <v>-0.5</v>
      </c>
      <c r="I51" s="94">
        <f>(reportTbl[[#This Row],[وزن تولید]]*unityCycleTime-reportTbl[[#This Row],[received TimeOut]])/(reportTbl[[#This Row],[available time]]*reportTbl[[#This Row],[تعداد نیرو]])</f>
        <v>0</v>
      </c>
      <c r="J51" s="95"/>
      <c r="K51" s="97"/>
      <c r="L51" s="97"/>
      <c r="M51" s="97"/>
      <c r="N51" s="97"/>
      <c r="O51" s="97">
        <v>0</v>
      </c>
      <c r="P51" s="96" t="s">
        <v>1031</v>
      </c>
      <c r="Q51" s="92">
        <f>_xlfn.XLOOKUP(reportTbl[[#This Row],[date]],IIITbl[date],IIITbl[totalCT],0)</f>
        <v>0</v>
      </c>
      <c r="R51" s="92">
        <v>30000</v>
      </c>
    </row>
    <row r="52" spans="1:18" ht="20.25" x14ac:dyDescent="0.25">
      <c r="A52" s="7" t="s">
        <v>717</v>
      </c>
      <c r="B52" s="91" t="s">
        <v>116</v>
      </c>
      <c r="C52" s="92">
        <f>SUMIF(cutts[date],A52,cutts[num])</f>
        <v>3000</v>
      </c>
      <c r="D52" s="92"/>
      <c r="E52" s="93">
        <f>SUMIF(packes[date],A52,packes[num])</f>
        <v>2175</v>
      </c>
      <c r="F52" s="93">
        <f>SUMIF(packes[date],A52,packes[wPacked])</f>
        <v>2535.5656988925471</v>
      </c>
      <c r="G52" s="93"/>
      <c r="H52" s="93">
        <v>24</v>
      </c>
      <c r="I52" s="94">
        <f>(reportTbl[[#This Row],[وزن تولید]]*unityCycleTime-reportTbl[[#This Row],[received TimeOut]])/(reportTbl[[#This Row],[available time]]*reportTbl[[#This Row],[تعداد نیرو]])</f>
        <v>0.24569653048405332</v>
      </c>
      <c r="J52" s="95" t="s">
        <v>1111</v>
      </c>
      <c r="K52" s="97">
        <v>2700</v>
      </c>
      <c r="L52" s="97">
        <v>0</v>
      </c>
      <c r="M52" s="97">
        <v>0</v>
      </c>
      <c r="N52" s="97">
        <v>0</v>
      </c>
      <c r="O52" s="97">
        <v>1</v>
      </c>
      <c r="P52" s="96" t="s">
        <v>1031</v>
      </c>
      <c r="Q52" s="92">
        <f>_xlfn.XLOOKUP(reportTbl[[#This Row],[date]],IIITbl[date],IIITbl[totalCT],0)</f>
        <v>66893.14</v>
      </c>
      <c r="R52" s="92">
        <v>30000</v>
      </c>
    </row>
    <row r="53" spans="1:18" ht="20.25" x14ac:dyDescent="0.25">
      <c r="A53" s="7" t="s">
        <v>283</v>
      </c>
      <c r="B53" s="91" t="s">
        <v>117</v>
      </c>
      <c r="C53" s="92">
        <f>SUMIF(cutts[date],A53,cutts[num])</f>
        <v>8400</v>
      </c>
      <c r="D53" s="92"/>
      <c r="E53" s="93">
        <f>SUMIF(packes[date],A53,packes[num])</f>
        <v>4250</v>
      </c>
      <c r="F53" s="93">
        <f>SUMIF(packes[date],A53,packes[wPacked])</f>
        <v>5400.4788985333726</v>
      </c>
      <c r="G53" s="93"/>
      <c r="H53" s="93">
        <v>24</v>
      </c>
      <c r="I53" s="94">
        <f>(reportTbl[[#This Row],[وزن تولید]]*unityCycleTime-reportTbl[[#This Row],[received TimeOut]])/(reportTbl[[#This Row],[available time]]*reportTbl[[#This Row],[تعداد نیرو]])</f>
        <v>0.72118895290831087</v>
      </c>
      <c r="J53" s="95" t="s">
        <v>1115</v>
      </c>
      <c r="K53" s="97">
        <v>3000</v>
      </c>
      <c r="L53" s="97">
        <v>900</v>
      </c>
      <c r="M53" s="97">
        <v>0</v>
      </c>
      <c r="N53" s="97">
        <v>2000</v>
      </c>
      <c r="O53" s="97">
        <v>1</v>
      </c>
      <c r="P53" s="96" t="s">
        <v>1031</v>
      </c>
      <c r="Q53" s="92">
        <f>_xlfn.XLOOKUP(reportTbl[[#This Row],[date]],IIITbl[date],IIITbl[totalCT],0)</f>
        <v>0</v>
      </c>
      <c r="R53" s="92">
        <v>30000</v>
      </c>
    </row>
    <row r="54" spans="1:18" ht="20.25" x14ac:dyDescent="0.25">
      <c r="A54" s="7" t="s">
        <v>257</v>
      </c>
      <c r="B54" s="91" t="s">
        <v>118</v>
      </c>
      <c r="C54" s="92">
        <f>SUMIF(cutts[date],A54,cutts[num])</f>
        <v>11000</v>
      </c>
      <c r="D54" s="92"/>
      <c r="E54" s="93">
        <f>SUMIF(packes[date],A54,packes[num])</f>
        <v>3975</v>
      </c>
      <c r="F54" s="93">
        <f>SUMIF(packes[date],A54,packes[wPacked])</f>
        <v>5243.3902025341704</v>
      </c>
      <c r="G54" s="93"/>
      <c r="H54" s="93">
        <v>24</v>
      </c>
      <c r="I54" s="94">
        <f>(reportTbl[[#This Row],[وزن تولید]]*unityCycleTime-reportTbl[[#This Row],[received TimeOut]])/(reportTbl[[#This Row],[available time]]*reportTbl[[#This Row],[تعداد نیرو]])</f>
        <v>0.70021106663008403</v>
      </c>
      <c r="J54" s="95" t="s">
        <v>1112</v>
      </c>
      <c r="K54" s="97">
        <v>3000</v>
      </c>
      <c r="L54" s="97">
        <v>0</v>
      </c>
      <c r="M54" s="97">
        <v>0</v>
      </c>
      <c r="N54" s="97">
        <v>1300</v>
      </c>
      <c r="O54" s="97">
        <v>1</v>
      </c>
      <c r="P54" s="96" t="s">
        <v>1031</v>
      </c>
      <c r="Q54" s="92">
        <f>_xlfn.XLOOKUP(reportTbl[[#This Row],[date]],IIITbl[date],IIITbl[totalCT],0)</f>
        <v>0</v>
      </c>
      <c r="R54" s="92">
        <v>30000</v>
      </c>
    </row>
    <row r="55" spans="1:18" ht="20.25" x14ac:dyDescent="0.25">
      <c r="A55" s="7" t="s">
        <v>718</v>
      </c>
      <c r="B55" s="91" t="s">
        <v>119</v>
      </c>
      <c r="C55" s="92">
        <f>SUMIF(cutts[date],A55,cutts[num])</f>
        <v>13400</v>
      </c>
      <c r="D55" s="92"/>
      <c r="E55" s="93">
        <f>SUMIF(packes[date],A55,packes[num])</f>
        <v>4173</v>
      </c>
      <c r="F55" s="93">
        <f>SUMIF(packes[date],A55,packes[wPacked])</f>
        <v>5135.7402973161725</v>
      </c>
      <c r="G55" s="93"/>
      <c r="H55" s="93">
        <v>24</v>
      </c>
      <c r="I55" s="94">
        <f>(reportTbl[[#This Row],[وزن تولید]]*unityCycleTime-reportTbl[[#This Row],[received TimeOut]])/(reportTbl[[#This Row],[available time]]*reportTbl[[#This Row],[تعداد نیرو]])</f>
        <v>0.68583531887076388</v>
      </c>
      <c r="J55" s="95" t="s">
        <v>1113</v>
      </c>
      <c r="K55" s="97">
        <v>2700</v>
      </c>
      <c r="L55" s="97">
        <v>1500</v>
      </c>
      <c r="M55" s="97">
        <v>0</v>
      </c>
      <c r="N55" s="97">
        <v>2600</v>
      </c>
      <c r="O55" s="97">
        <v>1</v>
      </c>
      <c r="P55" s="96" t="s">
        <v>1031</v>
      </c>
      <c r="Q55" s="92">
        <f>_xlfn.XLOOKUP(reportTbl[[#This Row],[date]],IIITbl[date],IIITbl[totalCT],0)</f>
        <v>0</v>
      </c>
      <c r="R55" s="92">
        <v>30000</v>
      </c>
    </row>
    <row r="56" spans="1:18" ht="20.25" x14ac:dyDescent="0.25">
      <c r="A56" s="7" t="s">
        <v>719</v>
      </c>
      <c r="B56" s="91" t="s">
        <v>120</v>
      </c>
      <c r="C56" s="92">
        <f>SUMIF(cutts[date],A56,cutts[num])</f>
        <v>3200</v>
      </c>
      <c r="D56" s="92"/>
      <c r="E56" s="93">
        <f>SUMIF(packes[date],A56,packes[num])</f>
        <v>3825</v>
      </c>
      <c r="F56" s="93">
        <f>SUMIF(packes[date],A56,packes[wPacked])</f>
        <v>4553.2774618377734</v>
      </c>
      <c r="G56" s="93"/>
      <c r="H56" s="93">
        <v>24</v>
      </c>
      <c r="I56" s="94">
        <f>(reportTbl[[#This Row],[وزن تولید]]*unityCycleTime-reportTbl[[#This Row],[received TimeOut]])/(reportTbl[[#This Row],[available time]]*reportTbl[[#This Row],[تعداد نیرو]])</f>
        <v>0.6080522610495861</v>
      </c>
      <c r="J56" s="95" t="s">
        <v>1114</v>
      </c>
      <c r="K56" s="97">
        <v>2900</v>
      </c>
      <c r="L56" s="97">
        <v>300</v>
      </c>
      <c r="M56" s="97">
        <v>0</v>
      </c>
      <c r="N56" s="97">
        <v>2800</v>
      </c>
      <c r="O56" s="97">
        <v>1</v>
      </c>
      <c r="P56" s="96" t="s">
        <v>1031</v>
      </c>
      <c r="Q56" s="92">
        <f>_xlfn.XLOOKUP(reportTbl[[#This Row],[date]],IIITbl[date],IIITbl[totalCT],0)</f>
        <v>0</v>
      </c>
      <c r="R56" s="92">
        <v>30000</v>
      </c>
    </row>
    <row r="57" spans="1:18" ht="20.25" x14ac:dyDescent="0.25">
      <c r="A57" s="7" t="s">
        <v>720</v>
      </c>
      <c r="B57" s="91" t="s">
        <v>121</v>
      </c>
      <c r="C57" s="92">
        <f>SUMIF(cutts[date],A57,cutts[num])</f>
        <v>14100</v>
      </c>
      <c r="D57" s="92"/>
      <c r="E57" s="93">
        <f>SUMIF(packes[date],A57,packes[num])</f>
        <v>2875</v>
      </c>
      <c r="F57" s="93">
        <f>SUMIF(packes[date],A57,packes[wPacked])</f>
        <v>3461.2890352189961</v>
      </c>
      <c r="G57" s="93"/>
      <c r="H57" s="93">
        <v>29</v>
      </c>
      <c r="I57" s="94">
        <f>(reportTbl[[#This Row],[وزن تولید]]*unityCycleTime-reportTbl[[#This Row],[received TimeOut]])/(reportTbl[[#This Row],[available time]]*reportTbl[[#This Row],[تعداد نیرو]])</f>
        <v>0.38253211578885804</v>
      </c>
      <c r="J57" s="95"/>
      <c r="K57" s="97"/>
      <c r="L57" s="97"/>
      <c r="M57" s="97"/>
      <c r="N57" s="97"/>
      <c r="O57" s="97">
        <v>0</v>
      </c>
      <c r="P57" s="96" t="s">
        <v>1031</v>
      </c>
      <c r="Q57" s="92">
        <f>_xlfn.XLOOKUP(reportTbl[[#This Row],[date]],IIITbl[date],IIITbl[totalCT],0)</f>
        <v>0</v>
      </c>
      <c r="R57" s="92">
        <v>30000</v>
      </c>
    </row>
    <row r="58" spans="1:18" ht="20.25" x14ac:dyDescent="0.25">
      <c r="A58" s="7" t="s">
        <v>721</v>
      </c>
      <c r="B58" s="91" t="s">
        <v>122</v>
      </c>
      <c r="C58" s="92">
        <f>SUMIF(cutts[date],A58,cutts[num])</f>
        <v>0</v>
      </c>
      <c r="D58" s="92"/>
      <c r="E58" s="93">
        <f>SUMIF(packes[date],A58,packes[num])</f>
        <v>0</v>
      </c>
      <c r="F58" s="93">
        <f>SUMIF(packes[date],A58,packes[wPacked])</f>
        <v>0</v>
      </c>
      <c r="G58" s="93"/>
      <c r="H58" s="93">
        <f>reportTbl[[#This Row],[personels]]-reportTbl[[#This Row],[personels]]*2.5/22-0.5</f>
        <v>-0.5</v>
      </c>
      <c r="I58" s="94">
        <f>(reportTbl[[#This Row],[وزن تولید]]*unityCycleTime-reportTbl[[#This Row],[received TimeOut]])/(reportTbl[[#This Row],[available time]]*reportTbl[[#This Row],[تعداد نیرو]])</f>
        <v>0</v>
      </c>
      <c r="J58" s="95"/>
      <c r="K58" s="97"/>
      <c r="L58" s="97"/>
      <c r="M58" s="97"/>
      <c r="N58" s="97"/>
      <c r="O58" s="97">
        <v>0</v>
      </c>
      <c r="P58" s="96" t="s">
        <v>1031</v>
      </c>
      <c r="Q58" s="92">
        <f>_xlfn.XLOOKUP(reportTbl[[#This Row],[date]],IIITbl[date],IIITbl[totalCT],0)</f>
        <v>0</v>
      </c>
      <c r="R58" s="92">
        <v>30000</v>
      </c>
    </row>
    <row r="59" spans="1:18" ht="20.25" x14ac:dyDescent="0.25">
      <c r="A59" s="7" t="s">
        <v>722</v>
      </c>
      <c r="B59" s="91" t="s">
        <v>116</v>
      </c>
      <c r="C59" s="92">
        <f>SUMIF(cutts[date],A59,cutts[num])</f>
        <v>7910</v>
      </c>
      <c r="D59" s="92"/>
      <c r="E59" s="93">
        <f>SUMIF(packes[date],A59,packes[num])</f>
        <v>3800</v>
      </c>
      <c r="F59" s="93">
        <f>SUMIF(packes[date],A59,packes[wPacked])</f>
        <v>4572.6788386710559</v>
      </c>
      <c r="G59" s="93"/>
      <c r="H59" s="93">
        <v>27</v>
      </c>
      <c r="I59" s="94">
        <f>(reportTbl[[#This Row],[وزن تولید]]*unityCycleTime-reportTbl[[#This Row],[received TimeOut]])/(reportTbl[[#This Row],[available time]]*reportTbl[[#This Row],[تعداد نیرو]])</f>
        <v>0.54279391399780508</v>
      </c>
      <c r="J59" s="95"/>
      <c r="K59" s="97">
        <v>3000</v>
      </c>
      <c r="L59" s="97">
        <v>2650</v>
      </c>
      <c r="M59" s="97">
        <v>0</v>
      </c>
      <c r="N59" s="97">
        <v>2400</v>
      </c>
      <c r="O59" s="97">
        <v>1</v>
      </c>
      <c r="P59" s="96" t="s">
        <v>1031</v>
      </c>
      <c r="Q59" s="92">
        <f>_xlfn.XLOOKUP(reportTbl[[#This Row],[date]],IIITbl[date],IIITbl[totalCT],0)</f>
        <v>0</v>
      </c>
      <c r="R59" s="92">
        <v>30000</v>
      </c>
    </row>
    <row r="60" spans="1:18" ht="20.25" x14ac:dyDescent="0.25">
      <c r="A60" s="7" t="s">
        <v>723</v>
      </c>
      <c r="B60" s="91" t="s">
        <v>117</v>
      </c>
      <c r="C60" s="92">
        <f>SUMIF(cutts[date],A60,cutts[num])</f>
        <v>9700</v>
      </c>
      <c r="D60" s="92"/>
      <c r="E60" s="93">
        <f>SUMIF(packes[date],A60,packes[num])</f>
        <v>4550</v>
      </c>
      <c r="F60" s="93">
        <f>SUMIF(packes[date],A60,packes[wPacked])</f>
        <v>5532.7152549136981</v>
      </c>
      <c r="G60" s="93"/>
      <c r="H60" s="93">
        <v>26</v>
      </c>
      <c r="I60" s="94">
        <f>(reportTbl[[#This Row],[وزن تولید]]*unityCycleTime-reportTbl[[#This Row],[received TimeOut]])/(reportTbl[[#This Row],[available time]]*reportTbl[[#This Row],[تعداد نیرو]])</f>
        <v>0.6820135535384001</v>
      </c>
      <c r="J60" s="95"/>
      <c r="K60" s="97">
        <v>2600</v>
      </c>
      <c r="L60" s="97">
        <v>2100</v>
      </c>
      <c r="M60" s="97">
        <v>0</v>
      </c>
      <c r="N60" s="97">
        <v>2400</v>
      </c>
      <c r="O60" s="97">
        <v>1</v>
      </c>
      <c r="P60" s="96" t="s">
        <v>1031</v>
      </c>
      <c r="Q60" s="92">
        <f>_xlfn.XLOOKUP(reportTbl[[#This Row],[date]],IIITbl[date],IIITbl[totalCT],0)</f>
        <v>0</v>
      </c>
      <c r="R60" s="92">
        <v>30000</v>
      </c>
    </row>
    <row r="61" spans="1:18" ht="20.25" x14ac:dyDescent="0.25">
      <c r="A61" s="7" t="s">
        <v>724</v>
      </c>
      <c r="B61" s="91" t="s">
        <v>118</v>
      </c>
      <c r="C61" s="92">
        <f>SUMIF(cutts[date],A61,cutts[num])</f>
        <v>0</v>
      </c>
      <c r="D61" s="92"/>
      <c r="E61" s="93">
        <f>SUMIF(packes[date],A61,packes[num])</f>
        <v>5300</v>
      </c>
      <c r="F61" s="93">
        <f>SUMIF(packes[date],A61,packes[wPacked])</f>
        <v>6172.9921181283044</v>
      </c>
      <c r="G61" s="93"/>
      <c r="H61" s="93">
        <v>27</v>
      </c>
      <c r="I61" s="94">
        <f>(reportTbl[[#This Row],[وزن تولید]]*unityCycleTime-reportTbl[[#This Row],[received TimeOut]])/(reportTbl[[#This Row],[available time]]*reportTbl[[#This Row],[تعداد نیرو]])</f>
        <v>0.73275702735560067</v>
      </c>
      <c r="J61" s="95"/>
      <c r="K61" s="97">
        <v>1200</v>
      </c>
      <c r="L61" s="97">
        <v>1800</v>
      </c>
      <c r="M61" s="97">
        <v>0</v>
      </c>
      <c r="N61" s="97">
        <v>2200</v>
      </c>
      <c r="O61" s="97">
        <v>1</v>
      </c>
      <c r="P61" s="96" t="s">
        <v>1031</v>
      </c>
      <c r="Q61" s="92">
        <f>_xlfn.XLOOKUP(reportTbl[[#This Row],[date]],IIITbl[date],IIITbl[totalCT],0)</f>
        <v>0</v>
      </c>
      <c r="R61" s="92">
        <v>30000</v>
      </c>
    </row>
    <row r="62" spans="1:18" ht="20.25" x14ac:dyDescent="0.25">
      <c r="A62" s="7" t="s">
        <v>725</v>
      </c>
      <c r="B62" s="91" t="s">
        <v>119</v>
      </c>
      <c r="C62" s="92">
        <f>SUMIF(cutts[date],A62,cutts[num])</f>
        <v>6000</v>
      </c>
      <c r="D62" s="92"/>
      <c r="E62" s="93">
        <f>SUMIF(packes[date],A62,packes[num])</f>
        <v>4350</v>
      </c>
      <c r="F62" s="93">
        <f>SUMIF(packes[date],A62,packes[wPacked])</f>
        <v>5427.0472912301702</v>
      </c>
      <c r="G62" s="93"/>
      <c r="H62" s="93">
        <v>28</v>
      </c>
      <c r="I62" s="94">
        <f>(reportTbl[[#This Row],[وزن تولید]]*unityCycleTime-reportTbl[[#This Row],[received TimeOut]])/(reportTbl[[#This Row],[available time]]*reportTbl[[#This Row],[تعداد نیرو]])</f>
        <v>0.62120309172831056</v>
      </c>
      <c r="J62" s="95"/>
      <c r="K62" s="97">
        <v>3000</v>
      </c>
      <c r="L62" s="97">
        <v>2900</v>
      </c>
      <c r="M62" s="97">
        <v>0</v>
      </c>
      <c r="N62" s="97">
        <v>2200</v>
      </c>
      <c r="O62" s="97">
        <v>1</v>
      </c>
      <c r="P62" s="96" t="s">
        <v>1031</v>
      </c>
      <c r="Q62" s="92">
        <f>_xlfn.XLOOKUP(reportTbl[[#This Row],[date]],IIITbl[date],IIITbl[totalCT],0)</f>
        <v>0</v>
      </c>
      <c r="R62" s="92">
        <v>30000</v>
      </c>
    </row>
    <row r="63" spans="1:18" ht="20.25" x14ac:dyDescent="0.25">
      <c r="A63" s="7" t="s">
        <v>726</v>
      </c>
      <c r="B63" s="91" t="s">
        <v>120</v>
      </c>
      <c r="C63" s="92">
        <f>SUMIF(cutts[date],A63,cutts[num])</f>
        <v>6300</v>
      </c>
      <c r="D63" s="92"/>
      <c r="E63" s="93">
        <f>SUMIF(packes[date],A63,packes[num])</f>
        <v>7275</v>
      </c>
      <c r="F63" s="93">
        <f>SUMIF(packes[date],A63,packes[wPacked])</f>
        <v>8550.8724932654877</v>
      </c>
      <c r="G63" s="93"/>
      <c r="H63" s="93">
        <v>28</v>
      </c>
      <c r="I63" s="94">
        <f>(reportTbl[[#This Row],[وزن تولید]]*unityCycleTime-reportTbl[[#This Row],[received TimeOut]])/(reportTbl[[#This Row],[available time]]*reportTbl[[#This Row],[تعداد نیرو]])</f>
        <v>0.92787665503271033</v>
      </c>
      <c r="J63" s="95"/>
      <c r="K63" s="97">
        <v>2400</v>
      </c>
      <c r="L63" s="97">
        <v>2400</v>
      </c>
      <c r="M63" s="97">
        <v>0</v>
      </c>
      <c r="N63" s="97">
        <v>3200</v>
      </c>
      <c r="O63" s="97">
        <v>0</v>
      </c>
      <c r="P63" s="96" t="s">
        <v>1031</v>
      </c>
      <c r="Q63" s="92">
        <f>_xlfn.XLOOKUP(reportTbl[[#This Row],[date]],IIITbl[date],IIITbl[totalCT],0)</f>
        <v>42750</v>
      </c>
      <c r="R63" s="92">
        <v>30000</v>
      </c>
    </row>
    <row r="64" spans="1:18" ht="20.25" x14ac:dyDescent="0.25">
      <c r="A64" s="7" t="s">
        <v>727</v>
      </c>
      <c r="B64" s="91" t="s">
        <v>121</v>
      </c>
      <c r="C64" s="92">
        <f>SUMIF(cutts[date],A64,cutts[num])</f>
        <v>4218</v>
      </c>
      <c r="D64" s="92"/>
      <c r="E64" s="93">
        <f>SUMIF(packes[date],A64,packes[num])</f>
        <v>3825</v>
      </c>
      <c r="F64" s="93">
        <f>SUMIF(packes[date],A64,packes[wPacked])</f>
        <v>4578.6062057268282</v>
      </c>
      <c r="G64" s="93"/>
      <c r="H64" s="93">
        <f>reportTbl[[#This Row],[personels]]-reportTbl[[#This Row],[personels]]*2.5/22-0.5</f>
        <v>-0.5</v>
      </c>
      <c r="I64" s="94">
        <f>(reportTbl[[#This Row],[وزن تولید]]*unityCycleTime-reportTbl[[#This Row],[received TimeOut]])/(reportTbl[[#This Row],[available time]]*reportTbl[[#This Row],[تعداد نیرو]])</f>
        <v>-29.348865778708969</v>
      </c>
      <c r="J64" s="95"/>
      <c r="K64" s="97"/>
      <c r="L64" s="97"/>
      <c r="M64" s="97"/>
      <c r="N64" s="97"/>
      <c r="O64" s="97">
        <v>0</v>
      </c>
      <c r="P64" s="96" t="s">
        <v>1032</v>
      </c>
      <c r="Q64" s="92">
        <f>_xlfn.XLOOKUP(reportTbl[[#This Row],[date]],IIITbl[date],IIITbl[totalCT],0)</f>
        <v>0</v>
      </c>
      <c r="R64" s="92">
        <v>30000</v>
      </c>
    </row>
    <row r="65" spans="1:18" ht="20.25" x14ac:dyDescent="0.25">
      <c r="A65" s="7" t="s">
        <v>728</v>
      </c>
      <c r="B65" s="91" t="s">
        <v>122</v>
      </c>
      <c r="C65" s="92">
        <f>SUMIF(cutts[date],A65,cutts[num])</f>
        <v>13000</v>
      </c>
      <c r="D65" s="92"/>
      <c r="E65" s="93">
        <f>SUMIF(packes[date],A65,packes[num])</f>
        <v>0</v>
      </c>
      <c r="F65" s="93">
        <f>SUMIF(packes[date],A65,packes[wPacked])</f>
        <v>0</v>
      </c>
      <c r="G65" s="93"/>
      <c r="H65" s="93">
        <f>reportTbl[[#This Row],[personels]]-reportTbl[[#This Row],[personels]]*2.5/22-0.5</f>
        <v>-0.5</v>
      </c>
      <c r="I65" s="94">
        <f>(reportTbl[[#This Row],[وزن تولید]]*unityCycleTime-reportTbl[[#This Row],[received TimeOut]])/(reportTbl[[#This Row],[available time]]*reportTbl[[#This Row],[تعداد نیرو]])</f>
        <v>0</v>
      </c>
      <c r="J65" s="95"/>
      <c r="K65" s="97"/>
      <c r="L65" s="97"/>
      <c r="M65" s="97"/>
      <c r="N65" s="97"/>
      <c r="O65" s="97">
        <v>0</v>
      </c>
      <c r="P65" s="96" t="s">
        <v>1032</v>
      </c>
      <c r="Q65" s="92">
        <f>_xlfn.XLOOKUP(reportTbl[[#This Row],[date]],IIITbl[date],IIITbl[totalCT],0)</f>
        <v>0</v>
      </c>
      <c r="R65" s="92">
        <v>30000</v>
      </c>
    </row>
    <row r="66" spans="1:18" ht="20.25" x14ac:dyDescent="0.25">
      <c r="A66" s="7" t="s">
        <v>729</v>
      </c>
      <c r="B66" s="91" t="s">
        <v>116</v>
      </c>
      <c r="C66" s="92">
        <f>SUMIF(cutts[date],A66,cutts[num])</f>
        <v>9500</v>
      </c>
      <c r="D66" s="92"/>
      <c r="E66" s="93">
        <f>SUMIF(packes[date],A66,packes[num])</f>
        <v>9025</v>
      </c>
      <c r="F66" s="93">
        <f>SUMIF(packes[date],A66,packes[wPacked])</f>
        <v>10727.410455951311</v>
      </c>
      <c r="G66" s="93">
        <v>44</v>
      </c>
      <c r="H66" s="93">
        <f>reportTbl[[#This Row],[personels]]-reportTbl[[#This Row],[personels]]*2.5/22-0.5</f>
        <v>38.5</v>
      </c>
      <c r="I66" s="94">
        <f>(reportTbl[[#This Row],[وزن تولید]]*unityCycleTime-reportTbl[[#This Row],[received TimeOut]])/(reportTbl[[#This Row],[available time]]*reportTbl[[#This Row],[تعداد نیرو]])</f>
        <v>0.83133377951490783</v>
      </c>
      <c r="J66" s="95" t="s">
        <v>1170</v>
      </c>
      <c r="K66" s="97">
        <v>2700</v>
      </c>
      <c r="L66" s="97">
        <v>300</v>
      </c>
      <c r="M66" s="97">
        <v>0</v>
      </c>
      <c r="N66" s="97">
        <v>2200</v>
      </c>
      <c r="O66" s="97">
        <v>1</v>
      </c>
      <c r="P66" s="96" t="s">
        <v>1032</v>
      </c>
      <c r="Q66" s="92">
        <f>_xlfn.XLOOKUP(reportTbl[[#This Row],[date]],IIITbl[date],IIITbl[totalCT],0)</f>
        <v>71250</v>
      </c>
      <c r="R66" s="92">
        <v>30000</v>
      </c>
    </row>
    <row r="67" spans="1:18" ht="20.25" x14ac:dyDescent="0.25">
      <c r="A67" s="7" t="s">
        <v>730</v>
      </c>
      <c r="B67" s="91" t="s">
        <v>117</v>
      </c>
      <c r="C67" s="92">
        <f>SUMIF(cutts[date],A67,cutts[num])</f>
        <v>14163</v>
      </c>
      <c r="D67" s="92"/>
      <c r="E67" s="93">
        <f>SUMIF(packes[date],A67,packes[num])</f>
        <v>7515</v>
      </c>
      <c r="F67" s="93">
        <f>SUMIF(packes[date],A67,packes[wPacked])</f>
        <v>9103.88057467824</v>
      </c>
      <c r="G67" s="93">
        <v>44</v>
      </c>
      <c r="H67" s="93">
        <f>reportTbl[[#This Row],[personels]]-reportTbl[[#This Row],[personels]]*2.5/22-0.5</f>
        <v>38.5</v>
      </c>
      <c r="I67" s="94">
        <f>(reportTbl[[#This Row],[وزن تولید]]*unityCycleTime-reportTbl[[#This Row],[received TimeOut]])/(reportTbl[[#This Row],[available time]]*reportTbl[[#This Row],[تعداد نیرو]])</f>
        <v>0.75786849978814963</v>
      </c>
      <c r="J67" s="95"/>
      <c r="K67" s="97">
        <v>3500</v>
      </c>
      <c r="L67" s="97">
        <v>2700</v>
      </c>
      <c r="M67" s="97">
        <v>0</v>
      </c>
      <c r="N67" s="97">
        <v>2200</v>
      </c>
      <c r="O67" s="97">
        <v>1</v>
      </c>
      <c r="P67" s="96" t="s">
        <v>1032</v>
      </c>
      <c r="Q67" s="92">
        <f>_xlfn.XLOOKUP(reportTbl[[#This Row],[date]],IIITbl[date],IIITbl[totalCT],0)</f>
        <v>0</v>
      </c>
      <c r="R67" s="92">
        <v>30000</v>
      </c>
    </row>
    <row r="68" spans="1:18" ht="20.25" x14ac:dyDescent="0.25">
      <c r="A68" s="7" t="s">
        <v>731</v>
      </c>
      <c r="B68" s="91" t="s">
        <v>118</v>
      </c>
      <c r="C68" s="92">
        <f>SUMIF(cutts[date],A68,cutts[num])</f>
        <v>6000</v>
      </c>
      <c r="D68" s="92"/>
      <c r="E68" s="93">
        <f>SUMIF(packes[date],A68,packes[num])</f>
        <v>7610</v>
      </c>
      <c r="F68" s="93">
        <f>SUMIF(packes[date],A68,packes[wPacked])</f>
        <v>9320.3686521001691</v>
      </c>
      <c r="G68" s="93">
        <v>44</v>
      </c>
      <c r="H68" s="93">
        <f>reportTbl[[#This Row],[personels]]-reportTbl[[#This Row],[personels]]*2.5/22-0.5</f>
        <v>38.5</v>
      </c>
      <c r="I68" s="94">
        <f>(reportTbl[[#This Row],[وزن تولید]]*unityCycleTime-reportTbl[[#This Row],[received TimeOut]])/(reportTbl[[#This Row],[available time]]*reportTbl[[#This Row],[تعداد نیرو]])</f>
        <v>0.75121510467483232</v>
      </c>
      <c r="J68" s="95"/>
      <c r="K68" s="97">
        <v>3600</v>
      </c>
      <c r="L68" s="97">
        <v>3400</v>
      </c>
      <c r="M68" s="97">
        <v>1900</v>
      </c>
      <c r="N68" s="97">
        <v>2300</v>
      </c>
      <c r="O68" s="97">
        <v>1</v>
      </c>
      <c r="P68" s="96" t="s">
        <v>1032</v>
      </c>
      <c r="Q68" s="92">
        <f>_xlfn.XLOOKUP(reportTbl[[#This Row],[date]],IIITbl[date],IIITbl[totalCT],0)</f>
        <v>28500</v>
      </c>
      <c r="R68" s="92">
        <v>30000</v>
      </c>
    </row>
    <row r="69" spans="1:18" ht="20.25" x14ac:dyDescent="0.25">
      <c r="A69" s="7" t="s">
        <v>732</v>
      </c>
      <c r="B69" s="91" t="s">
        <v>119</v>
      </c>
      <c r="C69" s="92">
        <f>SUMIF(cutts[date],A69,cutts[num])</f>
        <v>5700</v>
      </c>
      <c r="D69" s="92"/>
      <c r="E69" s="93">
        <f>SUMIF(packes[date],A69,packes[num])</f>
        <v>9435</v>
      </c>
      <c r="F69" s="93">
        <f>SUMIF(packes[date],A69,packes[wPacked])</f>
        <v>11903.973860121721</v>
      </c>
      <c r="G69" s="93">
        <v>44</v>
      </c>
      <c r="H69" s="93">
        <f>reportTbl[[#This Row],[personels]]-reportTbl[[#This Row],[personels]]*2.5/22-0.5</f>
        <v>38.5</v>
      </c>
      <c r="I69" s="94">
        <f>(reportTbl[[#This Row],[وزن تولید]]*unityCycleTime-reportTbl[[#This Row],[received TimeOut]])/(reportTbl[[#This Row],[available time]]*reportTbl[[#This Row],[تعداد نیرو]])</f>
        <v>0.99096717458935368</v>
      </c>
      <c r="J69" s="95" t="s">
        <v>1166</v>
      </c>
      <c r="K69" s="97">
        <v>2700</v>
      </c>
      <c r="L69" s="97">
        <v>3000</v>
      </c>
      <c r="M69" s="97">
        <v>2400</v>
      </c>
      <c r="N69" s="97">
        <v>500</v>
      </c>
      <c r="O69" s="97">
        <v>1</v>
      </c>
      <c r="P69" s="96" t="s">
        <v>1032</v>
      </c>
      <c r="Q69" s="92">
        <f>_xlfn.XLOOKUP(reportTbl[[#This Row],[date]],IIITbl[date],IIITbl[totalCT],0)</f>
        <v>0</v>
      </c>
      <c r="R69" s="92">
        <v>30000</v>
      </c>
    </row>
    <row r="70" spans="1:18" ht="20.25" x14ac:dyDescent="0.25">
      <c r="A70" s="7" t="s">
        <v>733</v>
      </c>
      <c r="B70" s="91" t="s">
        <v>120</v>
      </c>
      <c r="C70" s="92">
        <f>SUMIF(cutts[date],A70,cutts[num])</f>
        <v>9500</v>
      </c>
      <c r="D70" s="92"/>
      <c r="E70" s="93">
        <f>SUMIF(packes[date],A70,packes[num])</f>
        <v>10525</v>
      </c>
      <c r="F70" s="93">
        <f>SUMIF(packes[date],A70,packes[wPacked])</f>
        <v>12724.697695300809</v>
      </c>
      <c r="G70" s="93">
        <v>44</v>
      </c>
      <c r="H70" s="93">
        <f>reportTbl[[#This Row],[personels]]-reportTbl[[#This Row],[personels]]*2.5/22-0.5</f>
        <v>38.5</v>
      </c>
      <c r="I70" s="94">
        <f>(reportTbl[[#This Row],[وزن تولید]]*unityCycleTime-reportTbl[[#This Row],[received TimeOut]])/(reportTbl[[#This Row],[available time]]*reportTbl[[#This Row],[تعداد نیرو]])</f>
        <v>1.0034508081412752</v>
      </c>
      <c r="J70" s="95"/>
      <c r="K70" s="97">
        <v>2700</v>
      </c>
      <c r="L70" s="97">
        <v>2400</v>
      </c>
      <c r="M70" s="97">
        <v>0</v>
      </c>
      <c r="N70" s="97">
        <v>2500</v>
      </c>
      <c r="O70" s="97">
        <v>1</v>
      </c>
      <c r="P70" s="96" t="s">
        <v>1032</v>
      </c>
      <c r="Q70" s="92">
        <f>_xlfn.XLOOKUP(reportTbl[[#This Row],[date]],IIITbl[date],IIITbl[totalCT],0)</f>
        <v>64494</v>
      </c>
      <c r="R70" s="92">
        <v>30000</v>
      </c>
    </row>
    <row r="71" spans="1:18" ht="20.25" x14ac:dyDescent="0.25">
      <c r="A71" s="7" t="s">
        <v>734</v>
      </c>
      <c r="B71" s="91" t="s">
        <v>121</v>
      </c>
      <c r="C71" s="92">
        <f>SUMIF(cutts[date],A71,cutts[num])</f>
        <v>0</v>
      </c>
      <c r="D71" s="92"/>
      <c r="E71" s="93">
        <f>SUMIF(packes[date],A71,packes[num])</f>
        <v>0</v>
      </c>
      <c r="F71" s="93">
        <f>SUMIF(packes[date],A71,packes[wPacked])</f>
        <v>0</v>
      </c>
      <c r="G71" s="93"/>
      <c r="H71" s="93">
        <f>reportTbl[[#This Row],[personels]]-reportTbl[[#This Row],[personels]]*2.5/22-0.5</f>
        <v>-0.5</v>
      </c>
      <c r="I71" s="94">
        <f>(reportTbl[[#This Row],[وزن تولید]]*unityCycleTime-reportTbl[[#This Row],[received TimeOut]])/(reportTbl[[#This Row],[available time]]*reportTbl[[#This Row],[تعداد نیرو]])</f>
        <v>0</v>
      </c>
      <c r="J71" s="95"/>
      <c r="K71" s="97"/>
      <c r="L71" s="97"/>
      <c r="M71" s="97"/>
      <c r="N71" s="97"/>
      <c r="O71" s="97">
        <v>0</v>
      </c>
      <c r="P71" s="96" t="s">
        <v>1032</v>
      </c>
      <c r="Q71" s="92">
        <f>_xlfn.XLOOKUP(reportTbl[[#This Row],[date]],IIITbl[date],IIITbl[totalCT],0)</f>
        <v>0</v>
      </c>
      <c r="R71" s="92">
        <v>30000</v>
      </c>
    </row>
    <row r="72" spans="1:18" ht="20.25" x14ac:dyDescent="0.25">
      <c r="A72" s="7" t="s">
        <v>735</v>
      </c>
      <c r="B72" s="91" t="s">
        <v>122</v>
      </c>
      <c r="C72" s="92">
        <f>SUMIF(cutts[date],A72,cutts[num])</f>
        <v>0</v>
      </c>
      <c r="D72" s="92"/>
      <c r="E72" s="93">
        <f>SUMIF(packes[date],A72,packes[num])</f>
        <v>0</v>
      </c>
      <c r="F72" s="93">
        <f>SUMIF(packes[date],A72,packes[wPacked])</f>
        <v>0</v>
      </c>
      <c r="G72" s="93"/>
      <c r="H72" s="93">
        <f>reportTbl[[#This Row],[personels]]-reportTbl[[#This Row],[personels]]*2.5/22-0.5</f>
        <v>-0.5</v>
      </c>
      <c r="I72" s="94">
        <f>(reportTbl[[#This Row],[وزن تولید]]*unityCycleTime-reportTbl[[#This Row],[received TimeOut]])/(reportTbl[[#This Row],[available time]]*reportTbl[[#This Row],[تعداد نیرو]])</f>
        <v>0</v>
      </c>
      <c r="J72" s="95"/>
      <c r="K72" s="97"/>
      <c r="L72" s="97"/>
      <c r="M72" s="97"/>
      <c r="N72" s="97"/>
      <c r="O72" s="97">
        <v>0</v>
      </c>
      <c r="P72" s="96" t="s">
        <v>1032</v>
      </c>
      <c r="Q72" s="92">
        <f>_xlfn.XLOOKUP(reportTbl[[#This Row],[date]],IIITbl[date],IIITbl[totalCT],0)</f>
        <v>0</v>
      </c>
      <c r="R72" s="92">
        <v>30000</v>
      </c>
    </row>
    <row r="73" spans="1:18" ht="20.25" x14ac:dyDescent="0.25">
      <c r="A73" s="7" t="s">
        <v>736</v>
      </c>
      <c r="B73" s="91" t="s">
        <v>116</v>
      </c>
      <c r="C73" s="92">
        <f>SUMIF(cutts[date],A73,cutts[num])</f>
        <v>7500</v>
      </c>
      <c r="D73" s="92"/>
      <c r="E73" s="93">
        <f>SUMIF(packes[date],A73,packes[num])</f>
        <v>9300</v>
      </c>
      <c r="F73" s="93">
        <f>SUMIF(packes[date],A73,packes[wPacked])</f>
        <v>11581.39329542053</v>
      </c>
      <c r="G73" s="93">
        <v>44</v>
      </c>
      <c r="H73" s="93">
        <f>reportTbl[[#This Row],[personels]]-reportTbl[[#This Row],[personels]]*2.5/22-0.5</f>
        <v>38.5</v>
      </c>
      <c r="I73" s="94">
        <f>(reportTbl[[#This Row],[وزن تولید]]*unityCycleTime-reportTbl[[#This Row],[received TimeOut]])/(reportTbl[[#This Row],[available time]]*reportTbl[[#This Row],[تعداد نیرو]])</f>
        <v>0.90827442887851428</v>
      </c>
      <c r="J73" s="95"/>
      <c r="K73" s="97">
        <v>2650</v>
      </c>
      <c r="L73" s="97">
        <v>0</v>
      </c>
      <c r="M73" s="97">
        <v>3600</v>
      </c>
      <c r="N73" s="97">
        <v>2400</v>
      </c>
      <c r="O73" s="97">
        <v>1</v>
      </c>
      <c r="P73" s="96" t="s">
        <v>1032</v>
      </c>
      <c r="Q73" s="92">
        <f>_xlfn.XLOOKUP(reportTbl[[#This Row],[date]],IIITbl[date],IIITbl[totalCT],0)</f>
        <v>64494</v>
      </c>
      <c r="R73" s="92">
        <v>30000</v>
      </c>
    </row>
    <row r="74" spans="1:18" ht="20.25" x14ac:dyDescent="0.25">
      <c r="A74" s="7" t="s">
        <v>737</v>
      </c>
      <c r="B74" s="91" t="s">
        <v>117</v>
      </c>
      <c r="C74" s="92">
        <f>SUMIF(cutts[date],A74,cutts[num])</f>
        <v>3000</v>
      </c>
      <c r="D74" s="92"/>
      <c r="E74" s="93">
        <f>SUMIF(packes[date],A74,packes[num])</f>
        <v>9250</v>
      </c>
      <c r="F74" s="93">
        <f>SUMIF(packes[date],A74,packes[wPacked])</f>
        <v>11212.044298114337</v>
      </c>
      <c r="G74" s="93">
        <v>44</v>
      </c>
      <c r="H74" s="93">
        <f>reportTbl[[#This Row],[personels]]-reportTbl[[#This Row],[personels]]*2.5/22-0.5</f>
        <v>38.5</v>
      </c>
      <c r="I74" s="94">
        <f>(reportTbl[[#This Row],[وزن تولید]]*unityCycleTime-reportTbl[[#This Row],[received TimeOut]])/(reportTbl[[#This Row],[available time]]*reportTbl[[#This Row],[تعداد نیرو]])</f>
        <v>0.93336628507679098</v>
      </c>
      <c r="J74" s="95"/>
      <c r="K74" s="97">
        <v>2400</v>
      </c>
      <c r="L74" s="97">
        <v>0</v>
      </c>
      <c r="M74" s="97">
        <v>3600</v>
      </c>
      <c r="N74" s="97">
        <v>2200</v>
      </c>
      <c r="O74" s="97">
        <v>1</v>
      </c>
      <c r="P74" s="96" t="s">
        <v>1032</v>
      </c>
      <c r="Q74" s="92">
        <f>_xlfn.XLOOKUP(reportTbl[[#This Row],[date]],IIITbl[date],IIITbl[totalCT],0)</f>
        <v>0</v>
      </c>
      <c r="R74" s="92">
        <v>30000</v>
      </c>
    </row>
    <row r="75" spans="1:18" ht="20.25" x14ac:dyDescent="0.25">
      <c r="A75" s="7" t="s">
        <v>738</v>
      </c>
      <c r="B75" s="91" t="s">
        <v>118</v>
      </c>
      <c r="C75" s="92">
        <f>SUMIF(cutts[date],A75,cutts[num])</f>
        <v>3000</v>
      </c>
      <c r="D75" s="92"/>
      <c r="E75" s="93">
        <f>SUMIF(packes[date],A75,packes[num])</f>
        <v>9663</v>
      </c>
      <c r="F75" s="93">
        <f>SUMIF(packes[date],A75,packes[wPacked])</f>
        <v>11552.593534869797</v>
      </c>
      <c r="G75" s="93">
        <v>44</v>
      </c>
      <c r="H75" s="93">
        <f>reportTbl[[#This Row],[personels]]-reportTbl[[#This Row],[personels]]*2.5/22-0.5</f>
        <v>38.5</v>
      </c>
      <c r="I75" s="94">
        <f>(reportTbl[[#This Row],[وزن تولید]]*unityCycleTime-reportTbl[[#This Row],[received TimeOut]])/(reportTbl[[#This Row],[available time]]*reportTbl[[#This Row],[تعداد نیرو]])</f>
        <v>0.96171590335734281</v>
      </c>
      <c r="J75" s="95"/>
      <c r="K75" s="97">
        <v>2100</v>
      </c>
      <c r="L75" s="97">
        <v>0</v>
      </c>
      <c r="M75" s="97">
        <v>2700</v>
      </c>
      <c r="N75" s="97">
        <v>2700</v>
      </c>
      <c r="O75" s="97">
        <v>1</v>
      </c>
      <c r="P75" s="96" t="s">
        <v>1032</v>
      </c>
      <c r="Q75" s="92">
        <f>_xlfn.XLOOKUP(reportTbl[[#This Row],[date]],IIITbl[date],IIITbl[totalCT],0)</f>
        <v>0</v>
      </c>
      <c r="R75" s="92">
        <v>30000</v>
      </c>
    </row>
    <row r="76" spans="1:18" ht="20.25" x14ac:dyDescent="0.25">
      <c r="A76" s="7" t="s">
        <v>739</v>
      </c>
      <c r="B76" s="91" t="s">
        <v>119</v>
      </c>
      <c r="C76" s="92">
        <f>SUMIF(cutts[date],A76,cutts[num])</f>
        <v>0</v>
      </c>
      <c r="D76" s="92"/>
      <c r="E76" s="93">
        <f>SUMIF(packes[date],A76,packes[num])</f>
        <v>0</v>
      </c>
      <c r="F76" s="93">
        <f>SUMIF(packes[date],A76,packes[wPacked])</f>
        <v>0</v>
      </c>
      <c r="G76" s="93"/>
      <c r="H76" s="93">
        <f>reportTbl[[#This Row],[personels]]-reportTbl[[#This Row],[personels]]*2.5/22-0.5</f>
        <v>-0.5</v>
      </c>
      <c r="I76" s="94">
        <f>(reportTbl[[#This Row],[وزن تولید]]*unityCycleTime-reportTbl[[#This Row],[received TimeOut]])/(reportTbl[[#This Row],[available time]]*reportTbl[[#This Row],[تعداد نیرو]])</f>
        <v>0</v>
      </c>
      <c r="J76" s="95"/>
      <c r="K76" s="97"/>
      <c r="L76" s="97"/>
      <c r="M76" s="97"/>
      <c r="N76" s="97"/>
      <c r="O76" s="97">
        <v>0</v>
      </c>
      <c r="P76" s="96" t="s">
        <v>1032</v>
      </c>
      <c r="Q76" s="92">
        <f>_xlfn.XLOOKUP(reportTbl[[#This Row],[date]],IIITbl[date],IIITbl[totalCT],0)</f>
        <v>0</v>
      </c>
      <c r="R76" s="92">
        <v>30000</v>
      </c>
    </row>
    <row r="77" spans="1:18" ht="20.25" x14ac:dyDescent="0.25">
      <c r="A77" s="7" t="s">
        <v>740</v>
      </c>
      <c r="B77" s="91" t="s">
        <v>120</v>
      </c>
      <c r="C77" s="92">
        <f>SUMIF(cutts[date],A77,cutts[num])</f>
        <v>0</v>
      </c>
      <c r="D77" s="92"/>
      <c r="E77" s="93">
        <f>SUMIF(packes[date],A77,packes[num])</f>
        <v>0</v>
      </c>
      <c r="F77" s="93">
        <f>SUMIF(packes[date],A77,packes[wPacked])</f>
        <v>0</v>
      </c>
      <c r="G77" s="93"/>
      <c r="H77" s="93">
        <f>reportTbl[[#This Row],[personels]]-reportTbl[[#This Row],[personels]]*2.5/22-0.5</f>
        <v>-0.5</v>
      </c>
      <c r="I77" s="94">
        <f>(reportTbl[[#This Row],[وزن تولید]]*unityCycleTime-reportTbl[[#This Row],[received TimeOut]])/(reportTbl[[#This Row],[available time]]*reportTbl[[#This Row],[تعداد نیرو]])</f>
        <v>0</v>
      </c>
      <c r="J77" s="95"/>
      <c r="K77" s="97"/>
      <c r="L77" s="97"/>
      <c r="M77" s="97"/>
      <c r="N77" s="97"/>
      <c r="O77" s="97">
        <v>0</v>
      </c>
      <c r="P77" s="96" t="s">
        <v>1032</v>
      </c>
      <c r="Q77" s="92">
        <f>_xlfn.XLOOKUP(reportTbl[[#This Row],[date]],IIITbl[date],IIITbl[totalCT],0)</f>
        <v>0</v>
      </c>
      <c r="R77" s="92">
        <v>30000</v>
      </c>
    </row>
    <row r="78" spans="1:18" ht="20.25" x14ac:dyDescent="0.25">
      <c r="A78" s="7" t="s">
        <v>741</v>
      </c>
      <c r="B78" s="91" t="s">
        <v>121</v>
      </c>
      <c r="C78" s="92">
        <f>SUMIF(cutts[date],A78,cutts[num])</f>
        <v>0</v>
      </c>
      <c r="D78" s="92"/>
      <c r="E78" s="93">
        <f>SUMIF(packes[date],A78,packes[num])</f>
        <v>0</v>
      </c>
      <c r="F78" s="93">
        <f>SUMIF(packes[date],A78,packes[wPacked])</f>
        <v>0</v>
      </c>
      <c r="G78" s="93"/>
      <c r="H78" s="93">
        <f>reportTbl[[#This Row],[personels]]-reportTbl[[#This Row],[personels]]*2.5/22-0.5</f>
        <v>-0.5</v>
      </c>
      <c r="I78" s="94">
        <f>(reportTbl[[#This Row],[وزن تولید]]*unityCycleTime-reportTbl[[#This Row],[received TimeOut]])/(reportTbl[[#This Row],[available time]]*reportTbl[[#This Row],[تعداد نیرو]])</f>
        <v>0</v>
      </c>
      <c r="J78" s="95"/>
      <c r="K78" s="97"/>
      <c r="L78" s="97"/>
      <c r="M78" s="97"/>
      <c r="N78" s="97"/>
      <c r="O78" s="97">
        <v>0</v>
      </c>
      <c r="P78" s="96" t="s">
        <v>1032</v>
      </c>
      <c r="Q78" s="92">
        <f>_xlfn.XLOOKUP(reportTbl[[#This Row],[date]],IIITbl[date],IIITbl[totalCT],0)</f>
        <v>0</v>
      </c>
      <c r="R78" s="92">
        <v>30000</v>
      </c>
    </row>
    <row r="79" spans="1:18" ht="20.25" x14ac:dyDescent="0.25">
      <c r="A79" s="7" t="s">
        <v>742</v>
      </c>
      <c r="B79" s="91" t="s">
        <v>122</v>
      </c>
      <c r="C79" s="92">
        <f>SUMIF(cutts[date],A79,cutts[num])</f>
        <v>0</v>
      </c>
      <c r="D79" s="92"/>
      <c r="E79" s="93">
        <f>SUMIF(packes[date],A79,packes[num])</f>
        <v>0</v>
      </c>
      <c r="F79" s="93">
        <f>SUMIF(packes[date],A79,packes[wPacked])</f>
        <v>0</v>
      </c>
      <c r="G79" s="93"/>
      <c r="H79" s="93">
        <f>reportTbl[[#This Row],[personels]]-reportTbl[[#This Row],[personels]]*2.5/22-0.5</f>
        <v>-0.5</v>
      </c>
      <c r="I79" s="94">
        <f>(reportTbl[[#This Row],[وزن تولید]]*unityCycleTime-reportTbl[[#This Row],[received TimeOut]])/(reportTbl[[#This Row],[available time]]*reportTbl[[#This Row],[تعداد نیرو]])</f>
        <v>0</v>
      </c>
      <c r="J79" s="95"/>
      <c r="K79" s="97"/>
      <c r="L79" s="97"/>
      <c r="M79" s="97"/>
      <c r="N79" s="97"/>
      <c r="O79" s="97">
        <v>0</v>
      </c>
      <c r="P79" s="96" t="s">
        <v>1032</v>
      </c>
      <c r="Q79" s="92">
        <f>_xlfn.XLOOKUP(reportTbl[[#This Row],[date]],IIITbl[date],IIITbl[totalCT],0)</f>
        <v>0</v>
      </c>
      <c r="R79" s="92">
        <v>30000</v>
      </c>
    </row>
    <row r="80" spans="1:18" ht="20.25" x14ac:dyDescent="0.25">
      <c r="A80" s="7" t="s">
        <v>743</v>
      </c>
      <c r="B80" s="91" t="s">
        <v>116</v>
      </c>
      <c r="C80" s="92">
        <f>SUMIF(cutts[date],A80,cutts[num])</f>
        <v>0</v>
      </c>
      <c r="D80" s="92"/>
      <c r="E80" s="93">
        <f>SUMIF(packes[date],A80,packes[num])</f>
        <v>0</v>
      </c>
      <c r="F80" s="93">
        <f>SUMIF(packes[date],A80,packes[wPacked])</f>
        <v>0</v>
      </c>
      <c r="G80" s="93"/>
      <c r="H80" s="93">
        <f>reportTbl[[#This Row],[personels]]-reportTbl[[#This Row],[personels]]*2.5/22-0.5</f>
        <v>-0.5</v>
      </c>
      <c r="I80" s="94">
        <f>(reportTbl[[#This Row],[وزن تولید]]*unityCycleTime-reportTbl[[#This Row],[received TimeOut]])/(reportTbl[[#This Row],[available time]]*reportTbl[[#This Row],[تعداد نیرو]])</f>
        <v>0</v>
      </c>
      <c r="J80" s="95"/>
      <c r="K80" s="97"/>
      <c r="L80" s="97"/>
      <c r="M80" s="97"/>
      <c r="N80" s="97"/>
      <c r="O80" s="97">
        <v>0</v>
      </c>
      <c r="P80" s="96" t="s">
        <v>1032</v>
      </c>
      <c r="Q80" s="92">
        <f>_xlfn.XLOOKUP(reportTbl[[#This Row],[date]],IIITbl[date],IIITbl[totalCT],0)</f>
        <v>0</v>
      </c>
      <c r="R80" s="92">
        <v>30000</v>
      </c>
    </row>
    <row r="81" spans="1:18" ht="20.25" x14ac:dyDescent="0.25">
      <c r="A81" s="7" t="s">
        <v>744</v>
      </c>
      <c r="B81" s="91" t="s">
        <v>117</v>
      </c>
      <c r="C81" s="92">
        <f>SUMIF(cutts[date],A81,cutts[num])</f>
        <v>6000</v>
      </c>
      <c r="D81" s="92"/>
      <c r="E81" s="93">
        <f>SUMIF(packes[date],A81,packes[num])</f>
        <v>7050</v>
      </c>
      <c r="F81" s="93">
        <f>SUMIF(packes[date],A81,packes[wPacked])</f>
        <v>8432.8394692207912</v>
      </c>
      <c r="G81" s="93">
        <v>44</v>
      </c>
      <c r="H81" s="93">
        <f>reportTbl[[#This Row],[personels]]-reportTbl[[#This Row],[personels]]*2.5/22-0.5</f>
        <v>38.5</v>
      </c>
      <c r="I81" s="94">
        <f>(reportTbl[[#This Row],[وزن تولید]]*unityCycleTime-reportTbl[[#This Row],[received TimeOut]])/(reportTbl[[#This Row],[available time]]*reportTbl[[#This Row],[تعداد نیرو]])</f>
        <v>0.70200650646370488</v>
      </c>
      <c r="J81" s="95" t="s">
        <v>1175</v>
      </c>
      <c r="K81" s="97">
        <v>2400</v>
      </c>
      <c r="L81" s="97">
        <v>3000</v>
      </c>
      <c r="M81" s="97">
        <v>2700</v>
      </c>
      <c r="N81" s="97">
        <v>2400</v>
      </c>
      <c r="O81" s="97">
        <v>1</v>
      </c>
      <c r="P81" s="96" t="s">
        <v>1032</v>
      </c>
      <c r="Q81" s="92">
        <f>_xlfn.XLOOKUP(reportTbl[[#This Row],[date]],IIITbl[date],IIITbl[totalCT],0)</f>
        <v>0</v>
      </c>
      <c r="R81" s="92">
        <v>30000</v>
      </c>
    </row>
    <row r="82" spans="1:18" ht="20.25" x14ac:dyDescent="0.25">
      <c r="A82" s="7" t="s">
        <v>745</v>
      </c>
      <c r="B82" s="91" t="s">
        <v>118</v>
      </c>
      <c r="C82" s="92">
        <f>SUMIF(cutts[date],A82,cutts[num])</f>
        <v>0</v>
      </c>
      <c r="D82" s="92"/>
      <c r="E82" s="93">
        <f>SUMIF(packes[date],A82,packes[num])</f>
        <v>8000</v>
      </c>
      <c r="F82" s="93">
        <f>SUMIF(packes[date],A82,packes[wPacked])</f>
        <v>9199.386411254116</v>
      </c>
      <c r="G82" s="93">
        <v>44</v>
      </c>
      <c r="H82" s="93">
        <f>reportTbl[[#This Row],[personels]]-reportTbl[[#This Row],[personels]]*2.5/22-0.5</f>
        <v>38.5</v>
      </c>
      <c r="I82" s="94">
        <f>(reportTbl[[#This Row],[وزن تولید]]*unityCycleTime-reportTbl[[#This Row],[received TimeOut]])/(reportTbl[[#This Row],[available time]]*reportTbl[[#This Row],[تعداد نیرو]])</f>
        <v>0.7658190505992063</v>
      </c>
      <c r="J82" s="95" t="s">
        <v>1181</v>
      </c>
      <c r="K82" s="97">
        <v>2400</v>
      </c>
      <c r="L82" s="97">
        <v>3000</v>
      </c>
      <c r="M82" s="97">
        <v>3600</v>
      </c>
      <c r="N82" s="97">
        <v>2500</v>
      </c>
      <c r="O82" s="97">
        <v>1</v>
      </c>
      <c r="P82" s="96" t="s">
        <v>1032</v>
      </c>
      <c r="Q82" s="92">
        <f>_xlfn.XLOOKUP(reportTbl[[#This Row],[date]],IIITbl[date],IIITbl[totalCT],0)</f>
        <v>0</v>
      </c>
      <c r="R82" s="92">
        <v>30000</v>
      </c>
    </row>
    <row r="83" spans="1:18" ht="20.25" x14ac:dyDescent="0.25">
      <c r="A83" s="7" t="s">
        <v>746</v>
      </c>
      <c r="B83" s="91" t="s">
        <v>119</v>
      </c>
      <c r="C83" s="92">
        <f>SUMIF(cutts[date],A83,cutts[num])</f>
        <v>17800</v>
      </c>
      <c r="D83" s="92"/>
      <c r="E83" s="93">
        <f>SUMIF(packes[date],A83,packes[num])</f>
        <v>9050</v>
      </c>
      <c r="F83" s="93">
        <f>SUMIF(packes[date],A83,packes[wPacked])</f>
        <v>10689.608899531078</v>
      </c>
      <c r="G83" s="93">
        <v>44</v>
      </c>
      <c r="H83" s="93">
        <f>reportTbl[[#This Row],[personels]]-reportTbl[[#This Row],[personels]]*2.5/22-0.5</f>
        <v>38.5</v>
      </c>
      <c r="I83" s="94">
        <f>(reportTbl[[#This Row],[وزن تولید]]*unityCycleTime-reportTbl[[#This Row],[received TimeOut]])/(reportTbl[[#This Row],[available time]]*reportTbl[[#This Row],[تعداد نیرو]])</f>
        <v>0.8898752343635612</v>
      </c>
      <c r="J83" s="95" t="s">
        <v>1184</v>
      </c>
      <c r="K83" s="97">
        <v>0</v>
      </c>
      <c r="L83" s="97">
        <v>3100</v>
      </c>
      <c r="M83" s="97">
        <v>3300</v>
      </c>
      <c r="N83" s="97">
        <v>2400</v>
      </c>
      <c r="O83" s="97">
        <v>1</v>
      </c>
      <c r="P83" s="96" t="s">
        <v>1032</v>
      </c>
      <c r="Q83" s="92">
        <f>_xlfn.XLOOKUP(reportTbl[[#This Row],[date]],IIITbl[date],IIITbl[totalCT],0)</f>
        <v>0</v>
      </c>
      <c r="R83" s="92">
        <v>30000</v>
      </c>
    </row>
    <row r="84" spans="1:18" ht="20.25" x14ac:dyDescent="0.25">
      <c r="A84" s="7" t="s">
        <v>747</v>
      </c>
      <c r="B84" s="91" t="s">
        <v>120</v>
      </c>
      <c r="C84" s="92">
        <f>SUMIF(cutts[date],A84,cutts[num])</f>
        <v>0</v>
      </c>
      <c r="D84" s="92"/>
      <c r="E84" s="93">
        <f>SUMIF(packes[date],A84,packes[num])</f>
        <v>0</v>
      </c>
      <c r="F84" s="93">
        <f>SUMIF(packes[date],A84,packes[wPacked])</f>
        <v>0</v>
      </c>
      <c r="G84" s="93">
        <v>44</v>
      </c>
      <c r="H84" s="93">
        <f>reportTbl[[#This Row],[personels]]-reportTbl[[#This Row],[personels]]*2.5/22-0.5</f>
        <v>38.5</v>
      </c>
      <c r="I84" s="94">
        <f>(reportTbl[[#This Row],[وزن تولید]]*unityCycleTime-reportTbl[[#This Row],[received TimeOut]])/(reportTbl[[#This Row],[available time]]*reportTbl[[#This Row],[تعداد نیرو]])</f>
        <v>0</v>
      </c>
      <c r="J84" s="95" t="s">
        <v>1315</v>
      </c>
      <c r="K84" s="97">
        <v>0</v>
      </c>
      <c r="L84" s="97">
        <v>1500</v>
      </c>
      <c r="M84" s="97">
        <v>1800</v>
      </c>
      <c r="N84" s="97">
        <v>1250</v>
      </c>
      <c r="O84" s="97">
        <v>1</v>
      </c>
      <c r="P84" s="96" t="s">
        <v>1032</v>
      </c>
      <c r="Q84" s="92">
        <f>_xlfn.XLOOKUP(reportTbl[[#This Row],[date]],IIITbl[date],IIITbl[totalCT],0)</f>
        <v>0</v>
      </c>
      <c r="R84" s="92">
        <v>15000</v>
      </c>
    </row>
    <row r="85" spans="1:18" ht="20.25" x14ac:dyDescent="0.25">
      <c r="A85" s="7" t="s">
        <v>748</v>
      </c>
      <c r="B85" s="91" t="s">
        <v>121</v>
      </c>
      <c r="C85" s="92">
        <f>SUMIF(cutts[date],A85,cutts[num])</f>
        <v>0</v>
      </c>
      <c r="D85" s="92"/>
      <c r="E85" s="93">
        <f>SUMIF(packes[date],A85,packes[num])</f>
        <v>0</v>
      </c>
      <c r="F85" s="93">
        <f>SUMIF(packes[date],A85,packes[wPacked])</f>
        <v>0</v>
      </c>
      <c r="G85" s="93"/>
      <c r="H85" s="93">
        <f>reportTbl[[#This Row],[personels]]-reportTbl[[#This Row],[personels]]*2.5/22-0.5</f>
        <v>-0.5</v>
      </c>
      <c r="I85" s="94">
        <f>(reportTbl[[#This Row],[وزن تولید]]*unityCycleTime-reportTbl[[#This Row],[received TimeOut]])/(reportTbl[[#This Row],[available time]]*reportTbl[[#This Row],[تعداد نیرو]])</f>
        <v>0</v>
      </c>
      <c r="J85" s="95"/>
      <c r="K85" s="97"/>
      <c r="L85" s="97"/>
      <c r="M85" s="97"/>
      <c r="N85" s="97"/>
      <c r="O85" s="97">
        <v>0</v>
      </c>
      <c r="P85" s="96" t="s">
        <v>1032</v>
      </c>
      <c r="Q85" s="92">
        <f>_xlfn.XLOOKUP(reportTbl[[#This Row],[date]],IIITbl[date],IIITbl[totalCT],0)</f>
        <v>0</v>
      </c>
      <c r="R85" s="92">
        <v>30000</v>
      </c>
    </row>
    <row r="86" spans="1:18" ht="20.25" x14ac:dyDescent="0.25">
      <c r="A86" s="7" t="s">
        <v>749</v>
      </c>
      <c r="B86" s="91" t="s">
        <v>122</v>
      </c>
      <c r="C86" s="92">
        <f>SUMIF(cutts[date],A86,cutts[num])</f>
        <v>0</v>
      </c>
      <c r="D86" s="92"/>
      <c r="E86" s="93">
        <f>SUMIF(packes[date],A86,packes[num])</f>
        <v>0</v>
      </c>
      <c r="F86" s="93">
        <f>SUMIF(packes[date],A86,packes[wPacked])</f>
        <v>0</v>
      </c>
      <c r="G86" s="93"/>
      <c r="H86" s="93">
        <f>reportTbl[[#This Row],[personels]]-reportTbl[[#This Row],[personels]]*2.5/22-0.5</f>
        <v>-0.5</v>
      </c>
      <c r="I86" s="94">
        <f>(reportTbl[[#This Row],[وزن تولید]]*unityCycleTime-reportTbl[[#This Row],[received TimeOut]])/(reportTbl[[#This Row],[available time]]*reportTbl[[#This Row],[تعداد نیرو]])</f>
        <v>0</v>
      </c>
      <c r="J86" s="95"/>
      <c r="K86" s="97"/>
      <c r="L86" s="97"/>
      <c r="M86" s="97"/>
      <c r="N86" s="97"/>
      <c r="O86" s="97">
        <v>0</v>
      </c>
      <c r="P86" s="96" t="s">
        <v>1032</v>
      </c>
      <c r="Q86" s="92">
        <f>_xlfn.XLOOKUP(reportTbl[[#This Row],[date]],IIITbl[date],IIITbl[totalCT],0)</f>
        <v>0</v>
      </c>
      <c r="R86" s="92">
        <v>30000</v>
      </c>
    </row>
    <row r="87" spans="1:18" ht="20.25" x14ac:dyDescent="0.25">
      <c r="A87" s="7" t="s">
        <v>750</v>
      </c>
      <c r="B87" s="91" t="s">
        <v>116</v>
      </c>
      <c r="C87" s="92">
        <f>SUMIF(cutts[date],A87,cutts[num])</f>
        <v>0</v>
      </c>
      <c r="D87" s="92"/>
      <c r="E87" s="93">
        <f>SUMIF(packes[date],A87,packes[num])</f>
        <v>0</v>
      </c>
      <c r="F87" s="93">
        <f>SUMIF(packes[date],A87,packes[wPacked])</f>
        <v>0</v>
      </c>
      <c r="G87" s="93"/>
      <c r="H87" s="93">
        <f>reportTbl[[#This Row],[personels]]-reportTbl[[#This Row],[personels]]*2.5/22-0.5</f>
        <v>-0.5</v>
      </c>
      <c r="I87" s="94">
        <f>(reportTbl[[#This Row],[وزن تولید]]*unityCycleTime-reportTbl[[#This Row],[received TimeOut]])/(reportTbl[[#This Row],[available time]]*reportTbl[[#This Row],[تعداد نیرو]])</f>
        <v>0</v>
      </c>
      <c r="J87" s="95"/>
      <c r="K87" s="97"/>
      <c r="L87" s="97"/>
      <c r="M87" s="97"/>
      <c r="N87" s="97"/>
      <c r="O87" s="97">
        <v>0</v>
      </c>
      <c r="P87" s="96" t="s">
        <v>1032</v>
      </c>
      <c r="Q87" s="92">
        <f>_xlfn.XLOOKUP(reportTbl[[#This Row],[date]],IIITbl[date],IIITbl[totalCT],0)</f>
        <v>0</v>
      </c>
      <c r="R87" s="92">
        <v>30000</v>
      </c>
    </row>
    <row r="88" spans="1:18" ht="20.25" x14ac:dyDescent="0.25">
      <c r="A88" s="7" t="s">
        <v>751</v>
      </c>
      <c r="B88" s="91" t="s">
        <v>117</v>
      </c>
      <c r="C88" s="92">
        <f>SUMIF(cutts[date],A88,cutts[num])</f>
        <v>0</v>
      </c>
      <c r="D88" s="92"/>
      <c r="E88" s="93">
        <f>SUMIF(packes[date],A88,packes[num])</f>
        <v>0</v>
      </c>
      <c r="F88" s="93">
        <f>SUMIF(packes[date],A88,packes[wPacked])</f>
        <v>0</v>
      </c>
      <c r="G88" s="93"/>
      <c r="H88" s="93">
        <f>reportTbl[[#This Row],[personels]]-reportTbl[[#This Row],[personels]]*2.5/22-0.5</f>
        <v>-0.5</v>
      </c>
      <c r="I88" s="94">
        <f>(reportTbl[[#This Row],[وزن تولید]]*unityCycleTime-reportTbl[[#This Row],[received TimeOut]])/(reportTbl[[#This Row],[available time]]*reportTbl[[#This Row],[تعداد نیرو]])</f>
        <v>0</v>
      </c>
      <c r="J88" s="95"/>
      <c r="K88" s="97"/>
      <c r="L88" s="97"/>
      <c r="M88" s="97"/>
      <c r="N88" s="97"/>
      <c r="O88" s="97">
        <v>0</v>
      </c>
      <c r="P88" s="96" t="s">
        <v>1032</v>
      </c>
      <c r="Q88" s="92">
        <f>_xlfn.XLOOKUP(reportTbl[[#This Row],[date]],IIITbl[date],IIITbl[totalCT],0)</f>
        <v>0</v>
      </c>
      <c r="R88" s="92">
        <v>30000</v>
      </c>
    </row>
    <row r="89" spans="1:18" ht="20.25" x14ac:dyDescent="0.25">
      <c r="A89" s="7" t="s">
        <v>752</v>
      </c>
      <c r="B89" s="91" t="s">
        <v>118</v>
      </c>
      <c r="C89" s="92">
        <f>SUMIF(cutts[date],A89,cutts[num])</f>
        <v>0</v>
      </c>
      <c r="D89" s="92"/>
      <c r="E89" s="93">
        <f>SUMIF(packes[date],A89,packes[num])</f>
        <v>0</v>
      </c>
      <c r="F89" s="93">
        <f>SUMIF(packes[date],A89,packes[wPacked])</f>
        <v>0</v>
      </c>
      <c r="G89" s="93"/>
      <c r="H89" s="93">
        <f>reportTbl[[#This Row],[personels]]-reportTbl[[#This Row],[personels]]*2.5/22-0.5</f>
        <v>-0.5</v>
      </c>
      <c r="I89" s="94">
        <f>(reportTbl[[#This Row],[وزن تولید]]*unityCycleTime-reportTbl[[#This Row],[received TimeOut]])/(reportTbl[[#This Row],[available time]]*reportTbl[[#This Row],[تعداد نیرو]])</f>
        <v>0</v>
      </c>
      <c r="J89" s="95"/>
      <c r="K89" s="97"/>
      <c r="L89" s="97"/>
      <c r="M89" s="97"/>
      <c r="N89" s="97"/>
      <c r="O89" s="97">
        <v>0</v>
      </c>
      <c r="P89" s="96" t="s">
        <v>1032</v>
      </c>
      <c r="Q89" s="92">
        <f>_xlfn.XLOOKUP(reportTbl[[#This Row],[date]],IIITbl[date],IIITbl[totalCT],0)</f>
        <v>0</v>
      </c>
      <c r="R89" s="92">
        <v>30000</v>
      </c>
    </row>
    <row r="90" spans="1:18" ht="20.25" x14ac:dyDescent="0.25">
      <c r="A90" s="7" t="s">
        <v>753</v>
      </c>
      <c r="B90" s="91" t="s">
        <v>119</v>
      </c>
      <c r="C90" s="92">
        <f>SUMIF(cutts[date],A90,cutts[num])</f>
        <v>0</v>
      </c>
      <c r="D90" s="92"/>
      <c r="E90" s="93">
        <f>SUMIF(packes[date],A90,packes[num])</f>
        <v>0</v>
      </c>
      <c r="F90" s="93">
        <f>SUMIF(packes[date],A90,packes[wPacked])</f>
        <v>0</v>
      </c>
      <c r="G90" s="93"/>
      <c r="H90" s="93">
        <f>reportTbl[[#This Row],[personels]]-reportTbl[[#This Row],[personels]]*2.5/22-0.5</f>
        <v>-0.5</v>
      </c>
      <c r="I90" s="94">
        <f>(reportTbl[[#This Row],[وزن تولید]]*unityCycleTime-reportTbl[[#This Row],[received TimeOut]])/(reportTbl[[#This Row],[available time]]*reportTbl[[#This Row],[تعداد نیرو]])</f>
        <v>0</v>
      </c>
      <c r="J90" s="95"/>
      <c r="K90" s="97"/>
      <c r="L90" s="97"/>
      <c r="M90" s="97"/>
      <c r="N90" s="97"/>
      <c r="O90" s="97">
        <v>0</v>
      </c>
      <c r="P90" s="96" t="s">
        <v>1032</v>
      </c>
      <c r="Q90" s="92">
        <f>_xlfn.XLOOKUP(reportTbl[[#This Row],[date]],IIITbl[date],IIITbl[totalCT],0)</f>
        <v>0</v>
      </c>
      <c r="R90" s="92">
        <v>30000</v>
      </c>
    </row>
    <row r="91" spans="1:18" ht="20.25" x14ac:dyDescent="0.25">
      <c r="A91" s="7" t="s">
        <v>754</v>
      </c>
      <c r="B91" s="91" t="s">
        <v>120</v>
      </c>
      <c r="C91" s="92">
        <f>SUMIF(cutts[date],A91,cutts[num])</f>
        <v>0</v>
      </c>
      <c r="D91" s="92"/>
      <c r="E91" s="93">
        <f>SUMIF(packes[date],A91,packes[num])</f>
        <v>0</v>
      </c>
      <c r="F91" s="93">
        <f>SUMIF(packes[date],A91,packes[wPacked])</f>
        <v>0</v>
      </c>
      <c r="G91" s="93"/>
      <c r="H91" s="93">
        <f>reportTbl[[#This Row],[personels]]-reportTbl[[#This Row],[personels]]*2.5/22-0.5</f>
        <v>-0.5</v>
      </c>
      <c r="I91" s="94">
        <f>(reportTbl[[#This Row],[وزن تولید]]*unityCycleTime-reportTbl[[#This Row],[received TimeOut]])/(reportTbl[[#This Row],[available time]]*reportTbl[[#This Row],[تعداد نیرو]])</f>
        <v>0</v>
      </c>
      <c r="J91" s="95"/>
      <c r="K91" s="97"/>
      <c r="L91" s="97"/>
      <c r="M91" s="97"/>
      <c r="N91" s="97"/>
      <c r="O91" s="97">
        <v>0</v>
      </c>
      <c r="P91" s="96" t="s">
        <v>1032</v>
      </c>
      <c r="Q91" s="92">
        <f>_xlfn.XLOOKUP(reportTbl[[#This Row],[date]],IIITbl[date],IIITbl[totalCT],0)</f>
        <v>0</v>
      </c>
      <c r="R91" s="92">
        <v>30000</v>
      </c>
    </row>
    <row r="92" spans="1:18" ht="20.25" x14ac:dyDescent="0.25">
      <c r="A92" s="7" t="s">
        <v>755</v>
      </c>
      <c r="B92" s="91" t="s">
        <v>121</v>
      </c>
      <c r="C92" s="92">
        <f>SUMIF(cutts[date],A92,cutts[num])</f>
        <v>0</v>
      </c>
      <c r="D92" s="92"/>
      <c r="E92" s="93">
        <f>SUMIF(packes[date],A92,packes[num])</f>
        <v>0</v>
      </c>
      <c r="F92" s="93">
        <f>SUMIF(packes[date],A92,packes[wPacked])</f>
        <v>0</v>
      </c>
      <c r="G92" s="93"/>
      <c r="H92" s="93">
        <f>reportTbl[[#This Row],[personels]]-reportTbl[[#This Row],[personels]]*2.5/22-0.5</f>
        <v>-0.5</v>
      </c>
      <c r="I92" s="94">
        <f>(reportTbl[[#This Row],[وزن تولید]]*unityCycleTime-reportTbl[[#This Row],[received TimeOut]])/(reportTbl[[#This Row],[available time]]*reportTbl[[#This Row],[تعداد نیرو]])</f>
        <v>0</v>
      </c>
      <c r="J92" s="95"/>
      <c r="K92" s="97"/>
      <c r="L92" s="97"/>
      <c r="M92" s="97"/>
      <c r="N92" s="97"/>
      <c r="O92" s="97">
        <v>0</v>
      </c>
      <c r="P92" s="96" t="s">
        <v>1032</v>
      </c>
      <c r="Q92" s="92">
        <f>_xlfn.XLOOKUP(reportTbl[[#This Row],[date]],IIITbl[date],IIITbl[totalCT],0)</f>
        <v>0</v>
      </c>
      <c r="R92" s="92">
        <v>30000</v>
      </c>
    </row>
    <row r="93" spans="1:18" ht="20.25" x14ac:dyDescent="0.25">
      <c r="A93" s="7" t="s">
        <v>756</v>
      </c>
      <c r="B93" s="91" t="s">
        <v>122</v>
      </c>
      <c r="C93" s="92">
        <f>SUMIF(cutts[date],A93,cutts[num])</f>
        <v>0</v>
      </c>
      <c r="D93" s="92"/>
      <c r="E93" s="93">
        <f>SUMIF(packes[date],A93,packes[num])</f>
        <v>0</v>
      </c>
      <c r="F93" s="93">
        <f>SUMIF(packes[date],A93,packes[wPacked])</f>
        <v>0</v>
      </c>
      <c r="G93" s="93"/>
      <c r="H93" s="93">
        <f>reportTbl[[#This Row],[personels]]-reportTbl[[#This Row],[personels]]*2.5/22-0.5</f>
        <v>-0.5</v>
      </c>
      <c r="I93" s="94">
        <f>(reportTbl[[#This Row],[وزن تولید]]*unityCycleTime-reportTbl[[#This Row],[received TimeOut]])/(reportTbl[[#This Row],[available time]]*reportTbl[[#This Row],[تعداد نیرو]])</f>
        <v>0</v>
      </c>
      <c r="J93" s="95"/>
      <c r="K93" s="97"/>
      <c r="L93" s="97"/>
      <c r="M93" s="97"/>
      <c r="N93" s="97"/>
      <c r="O93" s="97">
        <v>0</v>
      </c>
      <c r="P93" s="96" t="s">
        <v>1032</v>
      </c>
      <c r="Q93" s="92">
        <f>_xlfn.XLOOKUP(reportTbl[[#This Row],[date]],IIITbl[date],IIITbl[totalCT],0)</f>
        <v>0</v>
      </c>
      <c r="R93" s="92">
        <v>30000</v>
      </c>
    </row>
    <row r="94" spans="1:18" ht="20.25" x14ac:dyDescent="0.25">
      <c r="A94" s="7" t="s">
        <v>757</v>
      </c>
      <c r="B94" s="91" t="s">
        <v>116</v>
      </c>
      <c r="C94" s="92">
        <f>SUMIF(cutts[date],A94,cutts[num])</f>
        <v>0</v>
      </c>
      <c r="D94" s="92"/>
      <c r="E94" s="93">
        <f>SUMIF(packes[date],A94,packes[num])</f>
        <v>0</v>
      </c>
      <c r="F94" s="93">
        <f>SUMIF(packes[date],A94,packes[wPacked])</f>
        <v>0</v>
      </c>
      <c r="G94" s="93"/>
      <c r="H94" s="93">
        <f>reportTbl[[#This Row],[personels]]-reportTbl[[#This Row],[personels]]*2.5/22-0.5</f>
        <v>-0.5</v>
      </c>
      <c r="I94" s="94">
        <f>(reportTbl[[#This Row],[وزن تولید]]*unityCycleTime-reportTbl[[#This Row],[received TimeOut]])/(reportTbl[[#This Row],[available time]]*reportTbl[[#This Row],[تعداد نیرو]])</f>
        <v>0</v>
      </c>
      <c r="J94" s="95"/>
      <c r="K94" s="97"/>
      <c r="L94" s="97"/>
      <c r="M94" s="97"/>
      <c r="N94" s="97"/>
      <c r="O94" s="97">
        <v>0</v>
      </c>
      <c r="P94" s="96" t="s">
        <v>1032</v>
      </c>
      <c r="Q94" s="92">
        <f>_xlfn.XLOOKUP(reportTbl[[#This Row],[date]],IIITbl[date],IIITbl[totalCT],0)</f>
        <v>0</v>
      </c>
      <c r="R94" s="92">
        <v>30000</v>
      </c>
    </row>
    <row r="95" spans="1:18" ht="20.25" x14ac:dyDescent="0.25">
      <c r="A95" s="7" t="s">
        <v>758</v>
      </c>
      <c r="B95" s="91" t="s">
        <v>117</v>
      </c>
      <c r="C95" s="92">
        <f>SUMIF(cutts[date],A95,cutts[num])</f>
        <v>6000</v>
      </c>
      <c r="D95" s="92"/>
      <c r="E95" s="93">
        <f>SUMIF(packes[date],A95,packes[num])</f>
        <v>11350</v>
      </c>
      <c r="F95" s="93">
        <f>SUMIF(packes[date],A95,packes[wPacked])</f>
        <v>13848.82470318268</v>
      </c>
      <c r="G95" s="93">
        <v>44</v>
      </c>
      <c r="H95" s="93">
        <f>reportTbl[[#This Row],[personels]]-reportTbl[[#This Row],[personels]]*2.5/22-0.5</f>
        <v>38.5</v>
      </c>
      <c r="I95" s="94">
        <f>(reportTbl[[#This Row],[وزن تولید]]*unityCycleTime-reportTbl[[#This Row],[received TimeOut]])/(reportTbl[[#This Row],[available time]]*reportTbl[[#This Row],[تعداد نیرو]])</f>
        <v>1.1528696928233895</v>
      </c>
      <c r="J95" s="95" t="s">
        <v>1316</v>
      </c>
      <c r="K95" s="97">
        <v>0</v>
      </c>
      <c r="L95" s="97">
        <v>2100</v>
      </c>
      <c r="M95" s="97">
        <v>2100</v>
      </c>
      <c r="N95" s="97">
        <v>2300</v>
      </c>
      <c r="O95" s="97">
        <v>1</v>
      </c>
      <c r="P95" s="96" t="s">
        <v>1033</v>
      </c>
      <c r="Q95" s="92">
        <f>_xlfn.XLOOKUP(reportTbl[[#This Row],[date]],IIITbl[date],IIITbl[totalCT],0)</f>
        <v>0</v>
      </c>
      <c r="R95" s="92">
        <v>30000</v>
      </c>
    </row>
    <row r="96" spans="1:18" ht="20.25" x14ac:dyDescent="0.25">
      <c r="A96" s="7" t="s">
        <v>759</v>
      </c>
      <c r="B96" s="91" t="s">
        <v>118</v>
      </c>
      <c r="C96" s="92">
        <f>SUMIF(cutts[date],A96,cutts[num])</f>
        <v>10300</v>
      </c>
      <c r="D96" s="92"/>
      <c r="E96" s="93">
        <f>SUMIF(packes[date],A96,packes[num])</f>
        <v>5100</v>
      </c>
      <c r="F96" s="93">
        <f>SUMIF(packes[date],A96,packes[wPacked])</f>
        <v>6160.2953207622468</v>
      </c>
      <c r="G96" s="93">
        <v>44</v>
      </c>
      <c r="H96" s="93">
        <f>reportTbl[[#This Row],[personels]]-reportTbl[[#This Row],[personels]]*2.5/22-0.5</f>
        <v>38.5</v>
      </c>
      <c r="I96" s="94">
        <f>(reportTbl[[#This Row],[وزن تولید]]*unityCycleTime-reportTbl[[#This Row],[received TimeOut]])/(reportTbl[[#This Row],[available time]]*reportTbl[[#This Row],[تعداد نیرو]])</f>
        <v>0.51282458449462343</v>
      </c>
      <c r="J96" s="95" t="s">
        <v>1200</v>
      </c>
      <c r="K96" s="97">
        <v>1200</v>
      </c>
      <c r="L96" s="97">
        <v>1700</v>
      </c>
      <c r="M96" s="97">
        <v>1200</v>
      </c>
      <c r="N96" s="97">
        <v>0</v>
      </c>
      <c r="O96" s="97">
        <v>1</v>
      </c>
      <c r="P96" s="96" t="s">
        <v>1033</v>
      </c>
      <c r="Q96" s="92">
        <f>_xlfn.XLOOKUP(reportTbl[[#This Row],[date]],IIITbl[date],IIITbl[totalCT],0)</f>
        <v>0</v>
      </c>
      <c r="R96" s="92">
        <v>30000</v>
      </c>
    </row>
    <row r="97" spans="1:18" ht="20.25" x14ac:dyDescent="0.25">
      <c r="A97" s="7" t="s">
        <v>760</v>
      </c>
      <c r="B97" s="91" t="s">
        <v>119</v>
      </c>
      <c r="C97" s="92">
        <f>SUMIF(cutts[date],A97,cutts[num])</f>
        <v>14870</v>
      </c>
      <c r="D97" s="92"/>
      <c r="E97" s="93">
        <f>SUMIF(packes[date],A97,packes[num])</f>
        <v>6550</v>
      </c>
      <c r="F97" s="93">
        <f>SUMIF(packes[date],A97,packes[wPacked])</f>
        <v>7785.8605208021554</v>
      </c>
      <c r="G97" s="93">
        <v>44</v>
      </c>
      <c r="H97" s="93">
        <f>reportTbl[[#This Row],[personels]]-reportTbl[[#This Row],[personels]]*2.5/22-0.5</f>
        <v>38.5</v>
      </c>
      <c r="I97" s="94">
        <f>(reportTbl[[#This Row],[وزن تولید]]*unityCycleTime-reportTbl[[#This Row],[received TimeOut]])/(reportTbl[[#This Row],[available time]]*reportTbl[[#This Row],[تعداد نیرو]])</f>
        <v>0.64814760958885476</v>
      </c>
      <c r="J97" s="95" t="s">
        <v>1200</v>
      </c>
      <c r="K97" s="97">
        <v>1400</v>
      </c>
      <c r="L97" s="97">
        <v>2400</v>
      </c>
      <c r="M97" s="97">
        <v>1800</v>
      </c>
      <c r="N97" s="97">
        <v>0</v>
      </c>
      <c r="O97" s="97">
        <v>1</v>
      </c>
      <c r="P97" s="96" t="s">
        <v>1033</v>
      </c>
      <c r="Q97" s="92">
        <f>_xlfn.XLOOKUP(reportTbl[[#This Row],[date]],IIITbl[date],IIITbl[totalCT],0)</f>
        <v>0</v>
      </c>
      <c r="R97" s="92">
        <v>30000</v>
      </c>
    </row>
    <row r="98" spans="1:18" ht="20.25" x14ac:dyDescent="0.25">
      <c r="A98" s="7" t="s">
        <v>761</v>
      </c>
      <c r="B98" s="91" t="s">
        <v>120</v>
      </c>
      <c r="C98" s="92">
        <f>SUMIF(cutts[date],A98,cutts[num])</f>
        <v>5205</v>
      </c>
      <c r="D98" s="92"/>
      <c r="E98" s="93">
        <f>SUMIF(packes[date],A98,packes[num])</f>
        <v>7350</v>
      </c>
      <c r="F98" s="93">
        <f>SUMIF(packes[date],A98,packes[wPacked])</f>
        <v>9213.9559014267179</v>
      </c>
      <c r="G98" s="93">
        <v>44</v>
      </c>
      <c r="H98" s="93">
        <f>reportTbl[[#This Row],[personels]]-reportTbl[[#This Row],[personels]]*2.5/22-0.5</f>
        <v>38.5</v>
      </c>
      <c r="I98" s="94">
        <f>(reportTbl[[#This Row],[وزن تولید]]*unityCycleTime-reportTbl[[#This Row],[received TimeOut]])/(reportTbl[[#This Row],[available time]]*reportTbl[[#This Row],[تعداد نیرو]])</f>
        <v>0.76703191335253595</v>
      </c>
      <c r="J98" s="95" t="s">
        <v>1200</v>
      </c>
      <c r="K98" s="97">
        <v>1800</v>
      </c>
      <c r="L98" s="97">
        <v>2100</v>
      </c>
      <c r="M98" s="97">
        <v>1500</v>
      </c>
      <c r="N98" s="97">
        <v>1000</v>
      </c>
      <c r="O98" s="97">
        <v>1</v>
      </c>
      <c r="P98" s="96" t="s">
        <v>1033</v>
      </c>
      <c r="Q98" s="92">
        <f>_xlfn.XLOOKUP(reportTbl[[#This Row],[date]],IIITbl[date],IIITbl[totalCT],0)</f>
        <v>0</v>
      </c>
      <c r="R98" s="92">
        <v>30000</v>
      </c>
    </row>
    <row r="99" spans="1:18" ht="20.25" x14ac:dyDescent="0.25">
      <c r="A99" s="7" t="s">
        <v>762</v>
      </c>
      <c r="B99" s="91" t="s">
        <v>121</v>
      </c>
      <c r="C99" s="92">
        <f>SUMIF(cutts[date],A99,cutts[num])</f>
        <v>0</v>
      </c>
      <c r="D99" s="92"/>
      <c r="E99" s="93">
        <f>SUMIF(packes[date],A99,packes[num])</f>
        <v>0</v>
      </c>
      <c r="F99" s="93">
        <f>SUMIF(packes[date],A99,packes[wPacked])</f>
        <v>0</v>
      </c>
      <c r="G99" s="93"/>
      <c r="H99" s="93">
        <f>reportTbl[[#This Row],[personels]]-reportTbl[[#This Row],[personels]]*2.5/22-0.5</f>
        <v>-0.5</v>
      </c>
      <c r="I99" s="94">
        <f>(reportTbl[[#This Row],[وزن تولید]]*unityCycleTime-reportTbl[[#This Row],[received TimeOut]])/(reportTbl[[#This Row],[available time]]*reportTbl[[#This Row],[تعداد نیرو]])</f>
        <v>0</v>
      </c>
      <c r="J99" s="95"/>
      <c r="K99" s="97"/>
      <c r="L99" s="97"/>
      <c r="M99" s="97"/>
      <c r="N99" s="97"/>
      <c r="O99" s="97">
        <v>0</v>
      </c>
      <c r="P99" s="96" t="s">
        <v>1033</v>
      </c>
      <c r="Q99" s="92">
        <f>_xlfn.XLOOKUP(reportTbl[[#This Row],[date]],IIITbl[date],IIITbl[totalCT],0)</f>
        <v>0</v>
      </c>
      <c r="R99" s="92">
        <v>30000</v>
      </c>
    </row>
    <row r="100" spans="1:18" ht="20.25" x14ac:dyDescent="0.25">
      <c r="A100" s="7" t="s">
        <v>763</v>
      </c>
      <c r="B100" s="91" t="s">
        <v>122</v>
      </c>
      <c r="C100" s="92">
        <f>SUMIF(cutts[date],A100,cutts[num])</f>
        <v>0</v>
      </c>
      <c r="D100" s="92"/>
      <c r="E100" s="93">
        <f>SUMIF(packes[date],A100,packes[num])</f>
        <v>0</v>
      </c>
      <c r="F100" s="93">
        <f>SUMIF(packes[date],A100,packes[wPacked])</f>
        <v>0</v>
      </c>
      <c r="G100" s="93"/>
      <c r="H100" s="93">
        <f>reportTbl[[#This Row],[personels]]-reportTbl[[#This Row],[personels]]*2.5/22-0.5</f>
        <v>-0.5</v>
      </c>
      <c r="I100" s="94">
        <f>(reportTbl[[#This Row],[وزن تولید]]*unityCycleTime-reportTbl[[#This Row],[received TimeOut]])/(reportTbl[[#This Row],[available time]]*reportTbl[[#This Row],[تعداد نیرو]])</f>
        <v>0</v>
      </c>
      <c r="J100" s="95"/>
      <c r="K100" s="97"/>
      <c r="L100" s="97"/>
      <c r="M100" s="97"/>
      <c r="N100" s="97"/>
      <c r="O100" s="97">
        <v>0</v>
      </c>
      <c r="P100" s="96" t="s">
        <v>1033</v>
      </c>
      <c r="Q100" s="92">
        <f>_xlfn.XLOOKUP(reportTbl[[#This Row],[date]],IIITbl[date],IIITbl[totalCT],0)</f>
        <v>0</v>
      </c>
      <c r="R100" s="92">
        <v>30000</v>
      </c>
    </row>
    <row r="101" spans="1:18" ht="20.25" x14ac:dyDescent="0.25">
      <c r="A101" s="7" t="s">
        <v>764</v>
      </c>
      <c r="B101" s="91" t="s">
        <v>116</v>
      </c>
      <c r="C101" s="92">
        <f>SUMIF(cutts[date],A101,cutts[num])</f>
        <v>9500</v>
      </c>
      <c r="D101" s="92"/>
      <c r="E101" s="93">
        <f>SUMIF(packes[date],A101,packes[num])</f>
        <v>5700</v>
      </c>
      <c r="F101" s="93">
        <f>SUMIF(packes[date],A101,packes[wPacked])</f>
        <v>6918.4984535568192</v>
      </c>
      <c r="G101" s="93">
        <v>44</v>
      </c>
      <c r="H101" s="93">
        <f>reportTbl[[#This Row],[personels]]-reportTbl[[#This Row],[personels]]*2.5/22-0.5</f>
        <v>38.5</v>
      </c>
      <c r="I101" s="94">
        <f>(reportTbl[[#This Row],[وزن تولید]]*unityCycleTime-reportTbl[[#This Row],[received TimeOut]])/(reportTbl[[#This Row],[available time]]*reportTbl[[#This Row],[تعداد نیرو]])</f>
        <v>0.95990422266881414</v>
      </c>
      <c r="J101" s="95" t="s">
        <v>1317</v>
      </c>
      <c r="K101" s="97">
        <v>900</v>
      </c>
      <c r="L101" s="97">
        <v>600</v>
      </c>
      <c r="M101" s="97">
        <v>1500</v>
      </c>
      <c r="N101" s="97">
        <v>1300</v>
      </c>
      <c r="O101" s="97">
        <v>1</v>
      </c>
      <c r="P101" s="96" t="s">
        <v>1033</v>
      </c>
      <c r="Q101" s="92">
        <f>_xlfn.XLOOKUP(reportTbl[[#This Row],[date]],IIITbl[date],IIITbl[totalCT],0)</f>
        <v>0</v>
      </c>
      <c r="R101" s="92">
        <v>18000</v>
      </c>
    </row>
    <row r="102" spans="1:18" ht="20.25" x14ac:dyDescent="0.25">
      <c r="A102" s="7" t="s">
        <v>765</v>
      </c>
      <c r="B102" s="91" t="s">
        <v>117</v>
      </c>
      <c r="C102" s="92">
        <f>SUMIF(cutts[date],A102,cutts[num])</f>
        <v>1500</v>
      </c>
      <c r="D102" s="92"/>
      <c r="E102" s="93">
        <f>SUMIF(packes[date],A102,packes[num])</f>
        <v>5600</v>
      </c>
      <c r="F102" s="93">
        <f>SUMIF(packes[date],A102,packes[wPacked])</f>
        <v>6842.0507831986433</v>
      </c>
      <c r="G102" s="93">
        <v>44</v>
      </c>
      <c r="H102" s="93">
        <f>reportTbl[[#This Row],[personels]]-reportTbl[[#This Row],[personels]]*2.5/22-0.5</f>
        <v>38.5</v>
      </c>
      <c r="I102" s="94">
        <f>(reportTbl[[#This Row],[وزن تولید]]*unityCycleTime-reportTbl[[#This Row],[received TimeOut]])/(reportTbl[[#This Row],[available time]]*reportTbl[[#This Row],[تعداد نیرو]])</f>
        <v>0.94929752208448714</v>
      </c>
      <c r="J102" s="95" t="s">
        <v>1200</v>
      </c>
      <c r="K102" s="97">
        <v>1200</v>
      </c>
      <c r="L102" s="97">
        <v>900</v>
      </c>
      <c r="M102" s="97">
        <v>1200</v>
      </c>
      <c r="N102" s="97">
        <v>1400</v>
      </c>
      <c r="O102" s="97">
        <v>1</v>
      </c>
      <c r="P102" s="96" t="s">
        <v>1033</v>
      </c>
      <c r="Q102" s="92">
        <f>_xlfn.XLOOKUP(reportTbl[[#This Row],[date]],IIITbl[date],IIITbl[totalCT],0)</f>
        <v>0</v>
      </c>
      <c r="R102" s="92">
        <v>18000</v>
      </c>
    </row>
    <row r="103" spans="1:18" ht="20.25" x14ac:dyDescent="0.25">
      <c r="A103" s="7" t="s">
        <v>766</v>
      </c>
      <c r="B103" s="91" t="s">
        <v>118</v>
      </c>
      <c r="C103" s="92">
        <f>SUMIF(cutts[date],A103,cutts[num])</f>
        <v>11000</v>
      </c>
      <c r="D103" s="92"/>
      <c r="E103" s="93">
        <f>SUMIF(packes[date],A103,packes[num])</f>
        <v>5100</v>
      </c>
      <c r="F103" s="93">
        <f>SUMIF(packes[date],A103,packes[wPacked])</f>
        <v>6077.9457248328836</v>
      </c>
      <c r="G103" s="93">
        <v>44</v>
      </c>
      <c r="H103" s="93">
        <f>reportTbl[[#This Row],[personels]]-reportTbl[[#This Row],[personels]]*2.5/22-0.5</f>
        <v>38.5</v>
      </c>
      <c r="I103" s="94">
        <f>(reportTbl[[#This Row],[وزن تولید]]*unityCycleTime-reportTbl[[#This Row],[received TimeOut]])/(reportTbl[[#This Row],[available time]]*reportTbl[[#This Row],[تعداد نیرو]])</f>
        <v>0.84328208000386973</v>
      </c>
      <c r="J103" s="95" t="s">
        <v>1200</v>
      </c>
      <c r="K103" s="97">
        <v>1800</v>
      </c>
      <c r="L103" s="97">
        <v>1800</v>
      </c>
      <c r="M103" s="97">
        <v>2100</v>
      </c>
      <c r="N103" s="97">
        <v>1500</v>
      </c>
      <c r="O103" s="97">
        <v>1</v>
      </c>
      <c r="P103" s="96" t="s">
        <v>1033</v>
      </c>
      <c r="Q103" s="92">
        <f>_xlfn.XLOOKUP(reportTbl[[#This Row],[date]],IIITbl[date],IIITbl[totalCT],0)</f>
        <v>0</v>
      </c>
      <c r="R103" s="92">
        <v>18000</v>
      </c>
    </row>
    <row r="104" spans="1:18" ht="20.25" x14ac:dyDescent="0.25">
      <c r="A104" s="7" t="s">
        <v>767</v>
      </c>
      <c r="B104" s="91" t="s">
        <v>119</v>
      </c>
      <c r="C104" s="92">
        <f>SUMIF(cutts[date],A104,cutts[num])</f>
        <v>0</v>
      </c>
      <c r="D104" s="92"/>
      <c r="E104" s="93">
        <f>SUMIF(packes[date],A104,packes[num])</f>
        <v>4665</v>
      </c>
      <c r="F104" s="93">
        <f>SUMIF(packes[date],A104,packes[wPacked])</f>
        <v>7297.3159732614977</v>
      </c>
      <c r="G104" s="93">
        <v>44</v>
      </c>
      <c r="H104" s="93">
        <f>reportTbl[[#This Row],[personels]]-reportTbl[[#This Row],[personels]]*2.5/22-0.5</f>
        <v>38.5</v>
      </c>
      <c r="I104" s="94">
        <f>(reportTbl[[#This Row],[وزن تولید]]*unityCycleTime-reportTbl[[#This Row],[received TimeOut]])/(reportTbl[[#This Row],[available time]]*reportTbl[[#This Row],[تعداد نیرو]])</f>
        <v>1.0124631036494849</v>
      </c>
      <c r="J104" s="95"/>
      <c r="K104" s="97">
        <v>0</v>
      </c>
      <c r="L104" s="97">
        <v>1800</v>
      </c>
      <c r="M104" s="97">
        <v>2100</v>
      </c>
      <c r="N104" s="97">
        <v>1300</v>
      </c>
      <c r="O104" s="97">
        <v>1</v>
      </c>
      <c r="P104" s="96" t="s">
        <v>1033</v>
      </c>
      <c r="Q104" s="92">
        <f>_xlfn.XLOOKUP(reportTbl[[#This Row],[date]],IIITbl[date],IIITbl[totalCT],0)</f>
        <v>0</v>
      </c>
      <c r="R104" s="92">
        <v>18000</v>
      </c>
    </row>
    <row r="105" spans="1:18" ht="20.25" x14ac:dyDescent="0.25">
      <c r="A105" s="7" t="s">
        <v>768</v>
      </c>
      <c r="B105" s="91" t="s">
        <v>120</v>
      </c>
      <c r="C105" s="92">
        <f>SUMIF(cutts[date],A105,cutts[num])</f>
        <v>3000</v>
      </c>
      <c r="D105" s="92"/>
      <c r="E105" s="93">
        <f>SUMIF(packes[date],A105,packes[num])</f>
        <v>5775</v>
      </c>
      <c r="F105" s="93">
        <f>SUMIF(packes[date],A105,packes[wPacked])</f>
        <v>7189.8393694502638</v>
      </c>
      <c r="G105" s="93">
        <v>44</v>
      </c>
      <c r="H105" s="93">
        <f>reportTbl[[#This Row],[personels]]-reportTbl[[#This Row],[personels]]*2.5/22-0.5</f>
        <v>38.5</v>
      </c>
      <c r="I105" s="94">
        <f>(reportTbl[[#This Row],[وزن تولید]]*unityCycleTime-reportTbl[[#This Row],[received TimeOut]])/(reportTbl[[#This Row],[available time]]*reportTbl[[#This Row],[تعداد نیرو]])</f>
        <v>0.99755130645403023</v>
      </c>
      <c r="J105" s="95"/>
      <c r="K105" s="97">
        <v>500</v>
      </c>
      <c r="L105" s="97">
        <v>1500</v>
      </c>
      <c r="M105" s="97">
        <v>2100</v>
      </c>
      <c r="N105" s="97">
        <v>1200</v>
      </c>
      <c r="O105" s="97">
        <v>1</v>
      </c>
      <c r="P105" s="96" t="s">
        <v>1033</v>
      </c>
      <c r="Q105" s="92">
        <f>_xlfn.XLOOKUP(reportTbl[[#This Row],[date]],IIITbl[date],IIITbl[totalCT],0)</f>
        <v>0</v>
      </c>
      <c r="R105" s="92">
        <v>18000</v>
      </c>
    </row>
    <row r="106" spans="1:18" ht="20.25" x14ac:dyDescent="0.25">
      <c r="A106" s="7" t="s">
        <v>769</v>
      </c>
      <c r="B106" s="91" t="s">
        <v>121</v>
      </c>
      <c r="C106" s="92">
        <f>SUMIF(cutts[date],A106,cutts[num])</f>
        <v>0</v>
      </c>
      <c r="D106" s="92"/>
      <c r="E106" s="93">
        <f>SUMIF(packes[date],A106,packes[num])</f>
        <v>0</v>
      </c>
      <c r="F106" s="93">
        <f>SUMIF(packes[date],A106,packes[wPacked])</f>
        <v>0</v>
      </c>
      <c r="G106" s="93"/>
      <c r="H106" s="93">
        <f>reportTbl[[#This Row],[personels]]-reportTbl[[#This Row],[personels]]*2.5/22-0.5</f>
        <v>-0.5</v>
      </c>
      <c r="I106" s="94">
        <f>(reportTbl[[#This Row],[وزن تولید]]*unityCycleTime-reportTbl[[#This Row],[received TimeOut]])/(reportTbl[[#This Row],[available time]]*reportTbl[[#This Row],[تعداد نیرو]])</f>
        <v>0</v>
      </c>
      <c r="J106" s="95"/>
      <c r="K106" s="97"/>
      <c r="L106" s="97"/>
      <c r="M106" s="97"/>
      <c r="N106" s="97"/>
      <c r="O106" s="97">
        <v>0</v>
      </c>
      <c r="P106" s="96" t="s">
        <v>1033</v>
      </c>
      <c r="Q106" s="92">
        <f>_xlfn.XLOOKUP(reportTbl[[#This Row],[date]],IIITbl[date],IIITbl[totalCT],0)</f>
        <v>0</v>
      </c>
      <c r="R106" s="92">
        <v>30000</v>
      </c>
    </row>
    <row r="107" spans="1:18" ht="20.25" x14ac:dyDescent="0.25">
      <c r="A107" s="7" t="s">
        <v>770</v>
      </c>
      <c r="B107" s="91" t="s">
        <v>122</v>
      </c>
      <c r="C107" s="92">
        <f>SUMIF(cutts[date],A107,cutts[num])</f>
        <v>0</v>
      </c>
      <c r="D107" s="92"/>
      <c r="E107" s="93">
        <f>SUMIF(packes[date],A107,packes[num])</f>
        <v>0</v>
      </c>
      <c r="F107" s="93">
        <f>SUMIF(packes[date],A107,packes[wPacked])</f>
        <v>0</v>
      </c>
      <c r="G107" s="93"/>
      <c r="H107" s="93">
        <f>reportTbl[[#This Row],[personels]]-reportTbl[[#This Row],[personels]]*2.5/22-0.5</f>
        <v>-0.5</v>
      </c>
      <c r="I107" s="94">
        <f>(reportTbl[[#This Row],[وزن تولید]]*unityCycleTime-reportTbl[[#This Row],[received TimeOut]])/(reportTbl[[#This Row],[available time]]*reportTbl[[#This Row],[تعداد نیرو]])</f>
        <v>0</v>
      </c>
      <c r="J107" s="95"/>
      <c r="K107" s="97"/>
      <c r="L107" s="97"/>
      <c r="M107" s="97"/>
      <c r="N107" s="97"/>
      <c r="O107" s="97">
        <v>0</v>
      </c>
      <c r="P107" s="96" t="s">
        <v>1033</v>
      </c>
      <c r="Q107" s="92">
        <f>_xlfn.XLOOKUP(reportTbl[[#This Row],[date]],IIITbl[date],IIITbl[totalCT],0)</f>
        <v>0</v>
      </c>
      <c r="R107" s="92">
        <v>30000</v>
      </c>
    </row>
    <row r="108" spans="1:18" ht="20.25" x14ac:dyDescent="0.25">
      <c r="A108" s="7" t="s">
        <v>771</v>
      </c>
      <c r="B108" s="91" t="s">
        <v>116</v>
      </c>
      <c r="C108" s="92">
        <f>SUMIF(cutts[date],A108,cutts[num])</f>
        <v>0</v>
      </c>
      <c r="D108" s="92"/>
      <c r="E108" s="93">
        <f>SUMIF(packes[date],A108,packes[num])</f>
        <v>0</v>
      </c>
      <c r="F108" s="93">
        <f>SUMIF(packes[date],A108,packes[wPacked])</f>
        <v>0</v>
      </c>
      <c r="G108" s="93"/>
      <c r="H108" s="93">
        <f>reportTbl[[#This Row],[personels]]-reportTbl[[#This Row],[personels]]*2.5/22-0.5</f>
        <v>-0.5</v>
      </c>
      <c r="I108" s="94">
        <f>(reportTbl[[#This Row],[وزن تولید]]*unityCycleTime-reportTbl[[#This Row],[received TimeOut]])/(reportTbl[[#This Row],[available time]]*reportTbl[[#This Row],[تعداد نیرو]])</f>
        <v>0</v>
      </c>
      <c r="J108" s="95"/>
      <c r="K108" s="97"/>
      <c r="L108" s="97"/>
      <c r="M108" s="97"/>
      <c r="N108" s="97"/>
      <c r="O108" s="97">
        <v>0</v>
      </c>
      <c r="P108" s="96" t="s">
        <v>1033</v>
      </c>
      <c r="Q108" s="92">
        <f>_xlfn.XLOOKUP(reportTbl[[#This Row],[date]],IIITbl[date],IIITbl[totalCT],0)</f>
        <v>0</v>
      </c>
      <c r="R108" s="92">
        <v>30000</v>
      </c>
    </row>
    <row r="109" spans="1:18" ht="20.25" x14ac:dyDescent="0.25">
      <c r="A109" s="7" t="s">
        <v>772</v>
      </c>
      <c r="B109" s="91" t="s">
        <v>117</v>
      </c>
      <c r="C109" s="92">
        <f>SUMIF(cutts[date],A109,cutts[num])</f>
        <v>0</v>
      </c>
      <c r="D109" s="92"/>
      <c r="E109" s="93">
        <f>SUMIF(packes[date],A109,packes[num])</f>
        <v>0</v>
      </c>
      <c r="F109" s="93">
        <f>SUMIF(packes[date],A109,packes[wPacked])</f>
        <v>0</v>
      </c>
      <c r="G109" s="93"/>
      <c r="H109" s="93">
        <f>reportTbl[[#This Row],[personels]]-reportTbl[[#This Row],[personels]]*2.5/22-0.5</f>
        <v>-0.5</v>
      </c>
      <c r="I109" s="94">
        <f>(reportTbl[[#This Row],[وزن تولید]]*unityCycleTime-reportTbl[[#This Row],[received TimeOut]])/(reportTbl[[#This Row],[available time]]*reportTbl[[#This Row],[تعداد نیرو]])</f>
        <v>0</v>
      </c>
      <c r="J109" s="95"/>
      <c r="K109" s="97"/>
      <c r="L109" s="97"/>
      <c r="M109" s="97"/>
      <c r="N109" s="97"/>
      <c r="O109" s="97">
        <v>0</v>
      </c>
      <c r="P109" s="96" t="s">
        <v>1033</v>
      </c>
      <c r="Q109" s="92">
        <f>_xlfn.XLOOKUP(reportTbl[[#This Row],[date]],IIITbl[date],IIITbl[totalCT],0)</f>
        <v>0</v>
      </c>
      <c r="R109" s="92">
        <v>30000</v>
      </c>
    </row>
    <row r="110" spans="1:18" ht="20.25" x14ac:dyDescent="0.25">
      <c r="A110" s="7" t="s">
        <v>773</v>
      </c>
      <c r="B110" s="91" t="s">
        <v>118</v>
      </c>
      <c r="C110" s="92">
        <f>SUMIF(cutts[date],A110,cutts[num])</f>
        <v>300</v>
      </c>
      <c r="D110" s="92"/>
      <c r="E110" s="93">
        <f>SUMIF(packes[date],A110,packes[num])</f>
        <v>3700</v>
      </c>
      <c r="F110" s="93">
        <f>SUMIF(packes[date],A110,packes[wPacked])</f>
        <v>4427.7811034620372</v>
      </c>
      <c r="G110" s="93"/>
      <c r="H110" s="93">
        <f>reportTbl[[#This Row],[personels]]-reportTbl[[#This Row],[personels]]*2.5/22-0.5</f>
        <v>-0.5</v>
      </c>
      <c r="I110" s="94">
        <f>(reportTbl[[#This Row],[وزن تولید]]*unityCycleTime-reportTbl[[#This Row],[received TimeOut]])/(reportTbl[[#This Row],[available time]]*reportTbl[[#This Row],[تعداد نیرو]])</f>
        <v>-28.382076873191661</v>
      </c>
      <c r="J110" s="95"/>
      <c r="K110" s="97">
        <v>1100</v>
      </c>
      <c r="L110" s="97">
        <v>1500</v>
      </c>
      <c r="M110" s="97">
        <v>1800</v>
      </c>
      <c r="N110" s="97">
        <v>1000</v>
      </c>
      <c r="O110" s="97">
        <v>1</v>
      </c>
      <c r="P110" s="96" t="s">
        <v>1033</v>
      </c>
      <c r="Q110" s="92">
        <f>_xlfn.XLOOKUP(reportTbl[[#This Row],[date]],IIITbl[date],IIITbl[totalCT],0)</f>
        <v>0</v>
      </c>
      <c r="R110" s="92">
        <v>30000</v>
      </c>
    </row>
    <row r="111" spans="1:18" ht="20.25" x14ac:dyDescent="0.25">
      <c r="A111" s="7" t="s">
        <v>774</v>
      </c>
      <c r="B111" s="91" t="s">
        <v>119</v>
      </c>
      <c r="C111" s="92">
        <f>SUMIF(cutts[date],A111,cutts[num])</f>
        <v>9700</v>
      </c>
      <c r="D111" s="92"/>
      <c r="E111" s="93">
        <f>SUMIF(packes[date],A111,packes[num])</f>
        <v>4700</v>
      </c>
      <c r="F111" s="93">
        <f>SUMIF(packes[date],A111,packes[wPacked])</f>
        <v>6838.5194053676532</v>
      </c>
      <c r="G111" s="93"/>
      <c r="H111" s="93">
        <f>reportTbl[[#This Row],[personels]]-reportTbl[[#This Row],[personels]]*2.5/22-0.5</f>
        <v>-0.5</v>
      </c>
      <c r="I111" s="94">
        <f>(reportTbl[[#This Row],[وزن تولید]]*unityCycleTime-reportTbl[[#This Row],[received TimeOut]])/(reportTbl[[#This Row],[available time]]*reportTbl[[#This Row],[تعداد نیرو]])</f>
        <v>-43.834909388406658</v>
      </c>
      <c r="J111" s="95"/>
      <c r="K111" s="97">
        <v>1800</v>
      </c>
      <c r="L111" s="97">
        <v>1200</v>
      </c>
      <c r="M111" s="97">
        <v>1800</v>
      </c>
      <c r="N111" s="97">
        <v>1200</v>
      </c>
      <c r="O111" s="97">
        <v>1</v>
      </c>
      <c r="P111" s="96" t="s">
        <v>1033</v>
      </c>
      <c r="Q111" s="92">
        <f>_xlfn.XLOOKUP(reportTbl[[#This Row],[date]],IIITbl[date],IIITbl[totalCT],0)</f>
        <v>0</v>
      </c>
      <c r="R111" s="92">
        <v>30000</v>
      </c>
    </row>
    <row r="112" spans="1:18" ht="20.25" x14ac:dyDescent="0.25">
      <c r="A112" s="7" t="s">
        <v>775</v>
      </c>
      <c r="B112" s="91" t="s">
        <v>120</v>
      </c>
      <c r="C112" s="92">
        <f>SUMIF(cutts[date],A112,cutts[num])</f>
        <v>7000</v>
      </c>
      <c r="D112" s="92"/>
      <c r="E112" s="93">
        <f>SUMIF(packes[date],A112,packes[num])</f>
        <v>4500</v>
      </c>
      <c r="F112" s="93">
        <f>SUMIF(packes[date],A112,packes[wPacked])</f>
        <v>5811.9744587448859</v>
      </c>
      <c r="G112" s="93"/>
      <c r="H112" s="93">
        <f>reportTbl[[#This Row],[personels]]-reportTbl[[#This Row],[personels]]*2.5/22-0.5</f>
        <v>-0.5</v>
      </c>
      <c r="I112" s="94">
        <f>(reportTbl[[#This Row],[وزن تولید]]*unityCycleTime-reportTbl[[#This Row],[received TimeOut]])/(reportTbl[[#This Row],[available time]]*reportTbl[[#This Row],[تعداد نیرو]])</f>
        <v>-37.254756280554723</v>
      </c>
      <c r="J112" s="95"/>
      <c r="K112" s="97">
        <v>1200</v>
      </c>
      <c r="L112" s="97">
        <v>1500</v>
      </c>
      <c r="M112" s="97">
        <v>2100</v>
      </c>
      <c r="N112" s="97">
        <v>1200</v>
      </c>
      <c r="O112" s="97">
        <v>1</v>
      </c>
      <c r="P112" s="96" t="s">
        <v>1033</v>
      </c>
      <c r="Q112" s="92">
        <f>_xlfn.XLOOKUP(reportTbl[[#This Row],[date]],IIITbl[date],IIITbl[totalCT],0)</f>
        <v>0</v>
      </c>
      <c r="R112" s="92">
        <v>30000</v>
      </c>
    </row>
    <row r="113" spans="1:18" ht="20.25" x14ac:dyDescent="0.25">
      <c r="A113" s="7" t="s">
        <v>776</v>
      </c>
      <c r="B113" s="91" t="s">
        <v>121</v>
      </c>
      <c r="C113" s="92">
        <f>SUMIF(cutts[date],A113,cutts[num])</f>
        <v>0</v>
      </c>
      <c r="D113" s="92"/>
      <c r="E113" s="93">
        <f>SUMIF(packes[date],A113,packes[num])</f>
        <v>0</v>
      </c>
      <c r="F113" s="93">
        <f>SUMIF(packes[date],A113,packes[wPacked])</f>
        <v>0</v>
      </c>
      <c r="G113" s="93"/>
      <c r="H113" s="93">
        <f>reportTbl[[#This Row],[personels]]-reportTbl[[#This Row],[personels]]*2.5/22-0.5</f>
        <v>-0.5</v>
      </c>
      <c r="I113" s="94">
        <f>(reportTbl[[#This Row],[وزن تولید]]*unityCycleTime-reportTbl[[#This Row],[received TimeOut]])/(reportTbl[[#This Row],[available time]]*reportTbl[[#This Row],[تعداد نیرو]])</f>
        <v>0</v>
      </c>
      <c r="J113" s="95"/>
      <c r="K113" s="97"/>
      <c r="L113" s="97"/>
      <c r="M113" s="97"/>
      <c r="N113" s="97"/>
      <c r="O113" s="97">
        <v>0</v>
      </c>
      <c r="P113" s="96" t="s">
        <v>1033</v>
      </c>
      <c r="Q113" s="92">
        <f>_xlfn.XLOOKUP(reportTbl[[#This Row],[date]],IIITbl[date],IIITbl[totalCT],0)</f>
        <v>0</v>
      </c>
      <c r="R113" s="92">
        <v>30000</v>
      </c>
    </row>
    <row r="114" spans="1:18" ht="20.25" x14ac:dyDescent="0.25">
      <c r="A114" s="7" t="s">
        <v>777</v>
      </c>
      <c r="B114" s="91" t="s">
        <v>122</v>
      </c>
      <c r="C114" s="92">
        <f>SUMIF(cutts[date],A114,cutts[num])</f>
        <v>0</v>
      </c>
      <c r="D114" s="92"/>
      <c r="E114" s="93">
        <f>SUMIF(packes[date],A114,packes[num])</f>
        <v>0</v>
      </c>
      <c r="F114" s="93">
        <f>SUMIF(packes[date],A114,packes[wPacked])</f>
        <v>0</v>
      </c>
      <c r="G114" s="93"/>
      <c r="H114" s="93">
        <f>reportTbl[[#This Row],[personels]]-reportTbl[[#This Row],[personels]]*2.5/22-0.5</f>
        <v>-0.5</v>
      </c>
      <c r="I114" s="94">
        <f>(reportTbl[[#This Row],[وزن تولید]]*unityCycleTime-reportTbl[[#This Row],[received TimeOut]])/(reportTbl[[#This Row],[available time]]*reportTbl[[#This Row],[تعداد نیرو]])</f>
        <v>0</v>
      </c>
      <c r="J114" s="95"/>
      <c r="K114" s="97"/>
      <c r="L114" s="97"/>
      <c r="M114" s="97"/>
      <c r="N114" s="97"/>
      <c r="O114" s="97">
        <v>0</v>
      </c>
      <c r="P114" s="96" t="s">
        <v>1033</v>
      </c>
      <c r="Q114" s="92">
        <f>_xlfn.XLOOKUP(reportTbl[[#This Row],[date]],IIITbl[date],IIITbl[totalCT],0)</f>
        <v>0</v>
      </c>
      <c r="R114" s="92">
        <v>30000</v>
      </c>
    </row>
    <row r="115" spans="1:18" ht="20.25" x14ac:dyDescent="0.25">
      <c r="A115" s="7" t="s">
        <v>778</v>
      </c>
      <c r="B115" s="91" t="s">
        <v>116</v>
      </c>
      <c r="C115" s="92">
        <f>SUMIF(cutts[date],A115,cutts[num])</f>
        <v>7050</v>
      </c>
      <c r="D115" s="92"/>
      <c r="E115" s="93">
        <f>SUMIF(packes[date],A115,packes[num])</f>
        <v>4750</v>
      </c>
      <c r="F115" s="93">
        <f>SUMIF(packes[date],A115,packes[wPacked])</f>
        <v>6988.2565100269367</v>
      </c>
      <c r="G115" s="93"/>
      <c r="H115" s="93">
        <f>reportTbl[[#This Row],[personels]]-reportTbl[[#This Row],[personels]]*2.5/22-0.5</f>
        <v>-0.5</v>
      </c>
      <c r="I115" s="94">
        <f>(reportTbl[[#This Row],[وزن تولید]]*unityCycleTime-reportTbl[[#This Row],[received TimeOut]])/(reportTbl[[#This Row],[available time]]*reportTbl[[#This Row],[تعداد نیرو]])</f>
        <v>-44.794724229272667</v>
      </c>
      <c r="J115" s="95"/>
      <c r="K115" s="97">
        <v>1500</v>
      </c>
      <c r="L115" s="97">
        <v>1800</v>
      </c>
      <c r="M115" s="97">
        <v>2100</v>
      </c>
      <c r="N115" s="97">
        <v>1300</v>
      </c>
      <c r="O115" s="97">
        <v>1</v>
      </c>
      <c r="P115" s="96" t="s">
        <v>1033</v>
      </c>
      <c r="Q115" s="92">
        <f>_xlfn.XLOOKUP(reportTbl[[#This Row],[date]],IIITbl[date],IIITbl[totalCT],0)</f>
        <v>0</v>
      </c>
      <c r="R115" s="92">
        <v>30000</v>
      </c>
    </row>
    <row r="116" spans="1:18" ht="20.25" x14ac:dyDescent="0.25">
      <c r="A116" s="7" t="s">
        <v>779</v>
      </c>
      <c r="B116" s="91" t="s">
        <v>117</v>
      </c>
      <c r="C116" s="92">
        <f>SUMIF(cutts[date],A116,cutts[num])</f>
        <v>1200</v>
      </c>
      <c r="D116" s="92"/>
      <c r="E116" s="93">
        <f>SUMIF(packes[date],A116,packes[num])</f>
        <v>4540</v>
      </c>
      <c r="F116" s="93">
        <f>SUMIF(packes[date],A116,packes[wPacked])</f>
        <v>6668.6620772223878</v>
      </c>
      <c r="G116" s="93"/>
      <c r="H116" s="93">
        <f>reportTbl[[#This Row],[personels]]-reportTbl[[#This Row],[personels]]*2.5/22-0.5</f>
        <v>-0.5</v>
      </c>
      <c r="I116" s="94">
        <f>(reportTbl[[#This Row],[وزن تولید]]*unityCycleTime-reportTbl[[#This Row],[received TimeOut]])/(reportTbl[[#This Row],[available time]]*reportTbl[[#This Row],[تعداد نیرو]])</f>
        <v>-42.746123914995508</v>
      </c>
      <c r="J116" s="95"/>
      <c r="K116" s="97">
        <v>900</v>
      </c>
      <c r="L116" s="97">
        <v>1500</v>
      </c>
      <c r="M116" s="97">
        <v>1500</v>
      </c>
      <c r="N116" s="97">
        <v>1300</v>
      </c>
      <c r="O116" s="97">
        <v>1</v>
      </c>
      <c r="P116" s="96" t="s">
        <v>1033</v>
      </c>
      <c r="Q116" s="92">
        <f>_xlfn.XLOOKUP(reportTbl[[#This Row],[date]],IIITbl[date],IIITbl[totalCT],0)</f>
        <v>0</v>
      </c>
      <c r="R116" s="92">
        <v>30000</v>
      </c>
    </row>
    <row r="117" spans="1:18" ht="20.25" x14ac:dyDescent="0.25">
      <c r="A117" s="7" t="s">
        <v>780</v>
      </c>
      <c r="B117" s="91" t="s">
        <v>118</v>
      </c>
      <c r="C117" s="92">
        <f>SUMIF(cutts[date],A117,cutts[num])</f>
        <v>1500</v>
      </c>
      <c r="D117" s="92"/>
      <c r="E117" s="93">
        <f>SUMIF(packes[date],A117,packes[num])</f>
        <v>4850</v>
      </c>
      <c r="F117" s="93">
        <f>SUMIF(packes[date],A117,packes[wPacked])</f>
        <v>6538.3617679337522</v>
      </c>
      <c r="G117" s="93"/>
      <c r="H117" s="93">
        <f>reportTbl[[#This Row],[personels]]-reportTbl[[#This Row],[personels]]*2.5/22-0.5</f>
        <v>-0.5</v>
      </c>
      <c r="I117" s="94">
        <f>(reportTbl[[#This Row],[وزن تولید]]*unityCycleTime-reportTbl[[#This Row],[received TimeOut]])/(reportTbl[[#This Row],[available time]]*reportTbl[[#This Row],[تعداد نیرو]])</f>
        <v>-41.910898932455353</v>
      </c>
      <c r="J117" s="95"/>
      <c r="K117" s="97">
        <v>1200</v>
      </c>
      <c r="L117" s="97">
        <v>1500</v>
      </c>
      <c r="M117" s="97">
        <v>0</v>
      </c>
      <c r="N117" s="97">
        <v>1450</v>
      </c>
      <c r="O117" s="97">
        <v>1</v>
      </c>
      <c r="P117" s="96" t="s">
        <v>1033</v>
      </c>
      <c r="Q117" s="92">
        <f>_xlfn.XLOOKUP(reportTbl[[#This Row],[date]],IIITbl[date],IIITbl[totalCT],0)</f>
        <v>0</v>
      </c>
      <c r="R117" s="92">
        <v>30000</v>
      </c>
    </row>
    <row r="118" spans="1:18" ht="20.25" x14ac:dyDescent="0.25">
      <c r="A118" s="7" t="s">
        <v>781</v>
      </c>
      <c r="B118" s="91" t="s">
        <v>119</v>
      </c>
      <c r="C118" s="92">
        <f>SUMIF(cutts[date],A118,cutts[num])</f>
        <v>6100</v>
      </c>
      <c r="D118" s="92"/>
      <c r="E118" s="93">
        <f>SUMIF(packes[date],A118,packes[num])</f>
        <v>4650</v>
      </c>
      <c r="F118" s="93">
        <f>SUMIF(packes[date],A118,packes[wPacked])</f>
        <v>6595.7572583058973</v>
      </c>
      <c r="G118" s="93"/>
      <c r="H118" s="93">
        <f>reportTbl[[#This Row],[personels]]-reportTbl[[#This Row],[personels]]*2.5/22-0.5</f>
        <v>-0.5</v>
      </c>
      <c r="I118" s="94">
        <f>(reportTbl[[#This Row],[وزن تولید]]*unityCycleTime-reportTbl[[#This Row],[received TimeOut]])/(reportTbl[[#This Row],[available time]]*reportTbl[[#This Row],[تعداد نیرو]])</f>
        <v>-42.278804025740804</v>
      </c>
      <c r="J118" s="95"/>
      <c r="K118" s="97">
        <v>1200</v>
      </c>
      <c r="L118" s="97">
        <v>1800</v>
      </c>
      <c r="M118" s="97">
        <v>0</v>
      </c>
      <c r="N118" s="97">
        <v>1400</v>
      </c>
      <c r="O118" s="97">
        <v>1</v>
      </c>
      <c r="P118" s="96" t="s">
        <v>1033</v>
      </c>
      <c r="Q118" s="92">
        <f>_xlfn.XLOOKUP(reportTbl[[#This Row],[date]],IIITbl[date],IIITbl[totalCT],0)</f>
        <v>0</v>
      </c>
      <c r="R118" s="92">
        <v>30000</v>
      </c>
    </row>
    <row r="119" spans="1:18" ht="20.25" x14ac:dyDescent="0.25">
      <c r="A119" s="7" t="s">
        <v>782</v>
      </c>
      <c r="B119" s="91" t="s">
        <v>120</v>
      </c>
      <c r="C119" s="92">
        <f>SUMIF(cutts[date],A119,cutts[num])</f>
        <v>1200</v>
      </c>
      <c r="D119" s="92"/>
      <c r="E119" s="93">
        <f>SUMIF(packes[date],A119,packes[num])</f>
        <v>5100</v>
      </c>
      <c r="F119" s="93">
        <f>SUMIF(packes[date],A119,packes[wPacked])</f>
        <v>6861.0545744786987</v>
      </c>
      <c r="G119" s="93"/>
      <c r="H119" s="93">
        <f>reportTbl[[#This Row],[personels]]-reportTbl[[#This Row],[personels]]*2.5/22-0.5</f>
        <v>-0.5</v>
      </c>
      <c r="I119" s="94">
        <f>(reportTbl[[#This Row],[وزن تولید]]*unityCycleTime-reportTbl[[#This Row],[received TimeOut]])/(reportTbl[[#This Row],[available time]]*reportTbl[[#This Row],[تعداد نیرو]])</f>
        <v>-43.979359822408462</v>
      </c>
      <c r="J119" s="95"/>
      <c r="K119" s="97">
        <v>600</v>
      </c>
      <c r="L119" s="97">
        <v>1600</v>
      </c>
      <c r="M119" s="97">
        <v>1800</v>
      </c>
      <c r="N119" s="97">
        <v>1450</v>
      </c>
      <c r="O119" s="97">
        <v>1</v>
      </c>
      <c r="P119" s="96" t="s">
        <v>1033</v>
      </c>
      <c r="Q119" s="92">
        <f>_xlfn.XLOOKUP(reportTbl[[#This Row],[date]],IIITbl[date],IIITbl[totalCT],0)</f>
        <v>0</v>
      </c>
      <c r="R119" s="92">
        <v>30000</v>
      </c>
    </row>
    <row r="120" spans="1:18" ht="20.25" x14ac:dyDescent="0.25">
      <c r="A120" s="7" t="s">
        <v>783</v>
      </c>
      <c r="B120" s="91" t="s">
        <v>121</v>
      </c>
      <c r="C120" s="92">
        <f>SUMIF(cutts[date],A120,cutts[num])</f>
        <v>0</v>
      </c>
      <c r="D120" s="92"/>
      <c r="E120" s="93">
        <f>SUMIF(packes[date],A120,packes[num])</f>
        <v>0</v>
      </c>
      <c r="F120" s="93">
        <f>SUMIF(packes[date],A120,packes[wPacked])</f>
        <v>0</v>
      </c>
      <c r="G120" s="93"/>
      <c r="H120" s="93">
        <f>reportTbl[[#This Row],[personels]]-reportTbl[[#This Row],[personels]]*2.5/22-0.5</f>
        <v>-0.5</v>
      </c>
      <c r="I120" s="94">
        <f>(reportTbl[[#This Row],[وزن تولید]]*unityCycleTime-reportTbl[[#This Row],[received TimeOut]])/(reportTbl[[#This Row],[available time]]*reportTbl[[#This Row],[تعداد نیرو]])</f>
        <v>0</v>
      </c>
      <c r="J120" s="95"/>
      <c r="K120" s="97"/>
      <c r="L120" s="97"/>
      <c r="M120" s="97"/>
      <c r="N120" s="97"/>
      <c r="O120" s="97">
        <v>0</v>
      </c>
      <c r="P120" s="96" t="s">
        <v>1033</v>
      </c>
      <c r="Q120" s="92">
        <f>_xlfn.XLOOKUP(reportTbl[[#This Row],[date]],IIITbl[date],IIITbl[totalCT],0)</f>
        <v>0</v>
      </c>
      <c r="R120" s="92">
        <v>30000</v>
      </c>
    </row>
    <row r="121" spans="1:18" ht="20.25" x14ac:dyDescent="0.25">
      <c r="A121" s="7" t="s">
        <v>784</v>
      </c>
      <c r="B121" s="91" t="s">
        <v>122</v>
      </c>
      <c r="C121" s="92">
        <f>SUMIF(cutts[date],A121,cutts[num])</f>
        <v>0</v>
      </c>
      <c r="D121" s="92"/>
      <c r="E121" s="93">
        <f>SUMIF(packes[date],A121,packes[num])</f>
        <v>0</v>
      </c>
      <c r="F121" s="93">
        <f>SUMIF(packes[date],A121,packes[wPacked])</f>
        <v>0</v>
      </c>
      <c r="G121" s="93"/>
      <c r="H121" s="93">
        <f>reportTbl[[#This Row],[personels]]-reportTbl[[#This Row],[personels]]*2.5/22-0.5</f>
        <v>-0.5</v>
      </c>
      <c r="I121" s="94">
        <f>(reportTbl[[#This Row],[وزن تولید]]*unityCycleTime-reportTbl[[#This Row],[received TimeOut]])/(reportTbl[[#This Row],[available time]]*reportTbl[[#This Row],[تعداد نیرو]])</f>
        <v>0</v>
      </c>
      <c r="J121" s="95"/>
      <c r="K121" s="97"/>
      <c r="L121" s="97"/>
      <c r="M121" s="97"/>
      <c r="N121" s="97"/>
      <c r="O121" s="97">
        <v>0</v>
      </c>
      <c r="P121" s="96" t="s">
        <v>1033</v>
      </c>
      <c r="Q121" s="92">
        <f>_xlfn.XLOOKUP(reportTbl[[#This Row],[date]],IIITbl[date],IIITbl[totalCT],0)</f>
        <v>0</v>
      </c>
      <c r="R121" s="92">
        <v>30000</v>
      </c>
    </row>
    <row r="122" spans="1:18" ht="20.25" x14ac:dyDescent="0.25">
      <c r="A122" s="7" t="s">
        <v>785</v>
      </c>
      <c r="B122" s="91" t="s">
        <v>116</v>
      </c>
      <c r="C122" s="92">
        <f>SUMIF(cutts[date],A122,cutts[num])</f>
        <v>3000</v>
      </c>
      <c r="D122" s="92"/>
      <c r="E122" s="93">
        <f>SUMIF(packes[date],A122,packes[num])</f>
        <v>4910</v>
      </c>
      <c r="F122" s="93">
        <f>SUMIF(packes[date],A122,packes[wPacked])</f>
        <v>7233.6705577172497</v>
      </c>
      <c r="G122" s="93"/>
      <c r="H122" s="93">
        <f>reportTbl[[#This Row],[personels]]-reportTbl[[#This Row],[personels]]*2.5/22-0.5</f>
        <v>-0.5</v>
      </c>
      <c r="I122" s="94">
        <f>(reportTbl[[#This Row],[وزن تولید]]*unityCycleTime-reportTbl[[#This Row],[received TimeOut]])/(reportTbl[[#This Row],[available time]]*reportTbl[[#This Row],[تعداد نیرو]])</f>
        <v>-46.367828274967579</v>
      </c>
      <c r="J122" s="95"/>
      <c r="K122" s="97">
        <v>1200</v>
      </c>
      <c r="L122" s="97">
        <v>1500</v>
      </c>
      <c r="M122" s="97">
        <v>0</v>
      </c>
      <c r="N122" s="97">
        <v>1200</v>
      </c>
      <c r="O122" s="97">
        <v>1</v>
      </c>
      <c r="P122" s="96" t="s">
        <v>1033</v>
      </c>
      <c r="Q122" s="92">
        <f>_xlfn.XLOOKUP(reportTbl[[#This Row],[date]],IIITbl[date],IIITbl[totalCT],0)</f>
        <v>0</v>
      </c>
      <c r="R122" s="92">
        <v>30000</v>
      </c>
    </row>
    <row r="123" spans="1:18" ht="20.25" x14ac:dyDescent="0.25">
      <c r="A123" s="7" t="s">
        <v>786</v>
      </c>
      <c r="B123" s="91" t="s">
        <v>117</v>
      </c>
      <c r="C123" s="92">
        <f>SUMIF(cutts[date],A123,cutts[num])</f>
        <v>6000</v>
      </c>
      <c r="D123" s="92"/>
      <c r="E123" s="93">
        <f>SUMIF(packes[date],A123,packes[num])</f>
        <v>5100</v>
      </c>
      <c r="F123" s="93">
        <f>SUMIF(packes[date],A123,packes[wPacked])</f>
        <v>6544.747081712062</v>
      </c>
      <c r="G123" s="93"/>
      <c r="H123" s="93">
        <f>reportTbl[[#This Row],[personels]]-reportTbl[[#This Row],[personels]]*2.5/22-0.5</f>
        <v>-0.5</v>
      </c>
      <c r="I123" s="94">
        <f>(reportTbl[[#This Row],[وزن تولید]]*unityCycleTime-reportTbl[[#This Row],[received TimeOut]])/(reportTbl[[#This Row],[available time]]*reportTbl[[#This Row],[تعداد نیرو]])</f>
        <v>-41.951828793774318</v>
      </c>
      <c r="J123" s="95"/>
      <c r="K123" s="97">
        <v>1500</v>
      </c>
      <c r="L123" s="97">
        <v>1500</v>
      </c>
      <c r="M123" s="97">
        <v>0</v>
      </c>
      <c r="N123" s="97">
        <v>1500</v>
      </c>
      <c r="O123" s="97">
        <v>1</v>
      </c>
      <c r="P123" s="96" t="s">
        <v>1033</v>
      </c>
      <c r="Q123" s="92">
        <f>_xlfn.XLOOKUP(reportTbl[[#This Row],[date]],IIITbl[date],IIITbl[totalCT],0)</f>
        <v>0</v>
      </c>
      <c r="R123" s="92">
        <v>30000</v>
      </c>
    </row>
    <row r="124" spans="1:18" ht="20.25" x14ac:dyDescent="0.25">
      <c r="A124" s="7" t="s">
        <v>787</v>
      </c>
      <c r="B124" s="91" t="s">
        <v>118</v>
      </c>
      <c r="C124" s="92">
        <f>SUMIF(cutts[date],A124,cutts[num])</f>
        <v>0</v>
      </c>
      <c r="D124" s="92"/>
      <c r="E124" s="93">
        <f>SUMIF(packes[date],A124,packes[num])</f>
        <v>4900</v>
      </c>
      <c r="F124" s="93">
        <f>SUMIF(packes[date],A124,packes[wPacked])</f>
        <v>6616.0630549735606</v>
      </c>
      <c r="G124" s="93"/>
      <c r="H124" s="93">
        <f>reportTbl[[#This Row],[personels]]-reportTbl[[#This Row],[personels]]*2.5/22-0.5</f>
        <v>-0.5</v>
      </c>
      <c r="I124" s="94">
        <f>(reportTbl[[#This Row],[وزن تولید]]*unityCycleTime-reportTbl[[#This Row],[received TimeOut]])/(reportTbl[[#This Row],[available time]]*reportTbl[[#This Row],[تعداد نیرو]])</f>
        <v>-42.408964182380522</v>
      </c>
      <c r="J124" s="95"/>
      <c r="K124" s="97">
        <v>1200</v>
      </c>
      <c r="L124" s="97">
        <v>1500</v>
      </c>
      <c r="M124" s="97">
        <v>1800</v>
      </c>
      <c r="N124" s="97">
        <v>1500</v>
      </c>
      <c r="O124" s="97">
        <v>1</v>
      </c>
      <c r="P124" s="96" t="s">
        <v>1033</v>
      </c>
      <c r="Q124" s="92">
        <f>_xlfn.XLOOKUP(reportTbl[[#This Row],[date]],IIITbl[date],IIITbl[totalCT],0)</f>
        <v>0</v>
      </c>
      <c r="R124" s="92">
        <v>30000</v>
      </c>
    </row>
    <row r="125" spans="1:18" ht="20.25" x14ac:dyDescent="0.25">
      <c r="A125" s="7" t="s">
        <v>788</v>
      </c>
      <c r="B125" s="91" t="s">
        <v>119</v>
      </c>
      <c r="C125" s="92">
        <f>SUMIF(cutts[date],A125,cutts[num])</f>
        <v>7000</v>
      </c>
      <c r="D125" s="92"/>
      <c r="E125" s="93">
        <f>SUMIF(packes[date],A125,packes[num])</f>
        <v>4850</v>
      </c>
      <c r="F125" s="93">
        <f>SUMIF(packes[date],A125,packes[wPacked])</f>
        <v>6635.3387209418333</v>
      </c>
      <c r="G125" s="93"/>
      <c r="H125" s="93">
        <f>reportTbl[[#This Row],[personels]]-reportTbl[[#This Row],[personels]]*2.5/22-0.5</f>
        <v>-0.5</v>
      </c>
      <c r="I125" s="94">
        <f>(reportTbl[[#This Row],[وزن تولید]]*unityCycleTime-reportTbl[[#This Row],[received TimeOut]])/(reportTbl[[#This Row],[available time]]*reportTbl[[#This Row],[تعداد نیرو]])</f>
        <v>-42.532521201237152</v>
      </c>
      <c r="J125" s="95"/>
      <c r="K125" s="97">
        <v>1500</v>
      </c>
      <c r="L125" s="97">
        <v>1500</v>
      </c>
      <c r="M125" s="97">
        <v>1200</v>
      </c>
      <c r="N125" s="97">
        <v>1500</v>
      </c>
      <c r="O125" s="97">
        <v>1</v>
      </c>
      <c r="P125" s="96" t="s">
        <v>1033</v>
      </c>
      <c r="Q125" s="92">
        <f>_xlfn.XLOOKUP(reportTbl[[#This Row],[date]],IIITbl[date],IIITbl[totalCT],0)</f>
        <v>0</v>
      </c>
      <c r="R125" s="92">
        <v>30000</v>
      </c>
    </row>
    <row r="126" spans="1:18" ht="20.25" x14ac:dyDescent="0.25">
      <c r="A126" s="7" t="s">
        <v>789</v>
      </c>
      <c r="B126" s="91" t="s">
        <v>120</v>
      </c>
      <c r="C126" s="92">
        <f>SUMIF(cutts[date],A126,cutts[num])</f>
        <v>0</v>
      </c>
      <c r="D126" s="92"/>
      <c r="E126" s="93">
        <f>SUMIF(packes[date],A126,packes[num])</f>
        <v>4580</v>
      </c>
      <c r="F126" s="93" t="e">
        <f>SUMIF(packes[date],A126,packes[wPacked])</f>
        <v>#N/A</v>
      </c>
      <c r="G126" s="93"/>
      <c r="H126" s="93">
        <f>reportTbl[[#This Row],[personels]]-reportTbl[[#This Row],[personels]]*2.5/22-0.5</f>
        <v>-0.5</v>
      </c>
      <c r="I126" s="94" t="e">
        <f>(reportTbl[[#This Row],[وزن تولید]]*unityCycleTime-reportTbl[[#This Row],[received TimeOut]])/(reportTbl[[#This Row],[available time]]*reportTbl[[#This Row],[تعداد نیرو]])</f>
        <v>#N/A</v>
      </c>
      <c r="J126" s="95"/>
      <c r="K126" s="97">
        <v>1500</v>
      </c>
      <c r="L126" s="97">
        <v>1800</v>
      </c>
      <c r="M126" s="97">
        <v>1500</v>
      </c>
      <c r="N126" s="97">
        <v>1500</v>
      </c>
      <c r="O126" s="97">
        <v>1</v>
      </c>
      <c r="P126" s="96" t="s">
        <v>1034</v>
      </c>
      <c r="Q126" s="92">
        <f>_xlfn.XLOOKUP(reportTbl[[#This Row],[date]],IIITbl[date],IIITbl[totalCT],0)</f>
        <v>0</v>
      </c>
      <c r="R126" s="92">
        <v>30000</v>
      </c>
    </row>
    <row r="127" spans="1:18" ht="20.25" x14ac:dyDescent="0.25">
      <c r="A127" s="7" t="s">
        <v>790</v>
      </c>
      <c r="B127" s="91" t="s">
        <v>121</v>
      </c>
      <c r="C127" s="92">
        <f>SUMIF(cutts[date],A127,cutts[num])</f>
        <v>0</v>
      </c>
      <c r="D127" s="92"/>
      <c r="E127" s="93">
        <f>SUMIF(packes[date],A127,packes[num])</f>
        <v>0</v>
      </c>
      <c r="F127" s="93">
        <f>SUMIF(packes[date],A127,packes[wPacked])</f>
        <v>0</v>
      </c>
      <c r="G127" s="93"/>
      <c r="H127" s="93">
        <f>reportTbl[[#This Row],[personels]]-reportTbl[[#This Row],[personels]]*2.5/22-0.5</f>
        <v>-0.5</v>
      </c>
      <c r="I127" s="94">
        <f>(reportTbl[[#This Row],[وزن تولید]]*unityCycleTime-reportTbl[[#This Row],[received TimeOut]])/(reportTbl[[#This Row],[available time]]*reportTbl[[#This Row],[تعداد نیرو]])</f>
        <v>0</v>
      </c>
      <c r="J127" s="95"/>
      <c r="K127" s="97"/>
      <c r="L127" s="97"/>
      <c r="M127" s="97"/>
      <c r="N127" s="97"/>
      <c r="O127" s="97">
        <v>0</v>
      </c>
      <c r="P127" s="96" t="s">
        <v>1034</v>
      </c>
      <c r="Q127" s="92">
        <f>_xlfn.XLOOKUP(reportTbl[[#This Row],[date]],IIITbl[date],IIITbl[totalCT],0)</f>
        <v>0</v>
      </c>
      <c r="R127" s="92">
        <v>30000</v>
      </c>
    </row>
    <row r="128" spans="1:18" ht="20.25" x14ac:dyDescent="0.25">
      <c r="A128" s="7" t="s">
        <v>791</v>
      </c>
      <c r="B128" s="91" t="s">
        <v>122</v>
      </c>
      <c r="C128" s="92">
        <f>SUMIF(cutts[date],A128,cutts[num])</f>
        <v>0</v>
      </c>
      <c r="D128" s="92"/>
      <c r="E128" s="93">
        <f>SUMIF(packes[date],A128,packes[num])</f>
        <v>0</v>
      </c>
      <c r="F128" s="93">
        <f>SUMIF(packes[date],A128,packes[wPacked])</f>
        <v>0</v>
      </c>
      <c r="G128" s="93"/>
      <c r="H128" s="93">
        <f>reportTbl[[#This Row],[personels]]-reportTbl[[#This Row],[personels]]*2.5/22-0.5</f>
        <v>-0.5</v>
      </c>
      <c r="I128" s="94">
        <f>(reportTbl[[#This Row],[وزن تولید]]*unityCycleTime-reportTbl[[#This Row],[received TimeOut]])/(reportTbl[[#This Row],[available time]]*reportTbl[[#This Row],[تعداد نیرو]])</f>
        <v>0</v>
      </c>
      <c r="J128" s="95"/>
      <c r="K128" s="97"/>
      <c r="L128" s="97"/>
      <c r="M128" s="97"/>
      <c r="N128" s="97"/>
      <c r="O128" s="97">
        <v>0</v>
      </c>
      <c r="P128" s="96" t="s">
        <v>1034</v>
      </c>
      <c r="Q128" s="92">
        <f>_xlfn.XLOOKUP(reportTbl[[#This Row],[date]],IIITbl[date],IIITbl[totalCT],0)</f>
        <v>0</v>
      </c>
      <c r="R128" s="92">
        <v>30000</v>
      </c>
    </row>
    <row r="129" spans="1:18" ht="20.25" x14ac:dyDescent="0.25">
      <c r="A129" s="7" t="s">
        <v>792</v>
      </c>
      <c r="B129" s="91" t="s">
        <v>116</v>
      </c>
      <c r="C129" s="92">
        <f>SUMIF(cutts[date],A129,cutts[num])</f>
        <v>2400</v>
      </c>
      <c r="D129" s="92"/>
      <c r="E129" s="93">
        <f>SUMIF(packes[date],A129,packes[num])</f>
        <v>4682</v>
      </c>
      <c r="F129" s="93">
        <f>SUMIF(packes[date],A129,packes[wPacked])</f>
        <v>5816.340347201437</v>
      </c>
      <c r="G129" s="93"/>
      <c r="H129" s="93">
        <f>reportTbl[[#This Row],[personels]]-reportTbl[[#This Row],[personels]]*2.5/22-0.5</f>
        <v>-0.5</v>
      </c>
      <c r="I129" s="94">
        <f>(reportTbl[[#This Row],[وزن تولید]]*unityCycleTime-reportTbl[[#This Row],[received TimeOut]])/(reportTbl[[#This Row],[available time]]*reportTbl[[#This Row],[تعداد نیرو]])</f>
        <v>-37.282741625561215</v>
      </c>
      <c r="J129" s="95"/>
      <c r="K129" s="97">
        <v>1500</v>
      </c>
      <c r="L129" s="97">
        <v>1500</v>
      </c>
      <c r="M129" s="97">
        <v>1800</v>
      </c>
      <c r="N129" s="97">
        <v>1400</v>
      </c>
      <c r="O129" s="97">
        <v>1</v>
      </c>
      <c r="P129" s="96" t="s">
        <v>1034</v>
      </c>
      <c r="Q129" s="92">
        <f>_xlfn.XLOOKUP(reportTbl[[#This Row],[date]],IIITbl[date],IIITbl[totalCT],0)</f>
        <v>0</v>
      </c>
      <c r="R129" s="92">
        <v>30000</v>
      </c>
    </row>
    <row r="130" spans="1:18" ht="20.25" x14ac:dyDescent="0.25">
      <c r="A130" s="7" t="s">
        <v>793</v>
      </c>
      <c r="B130" s="91" t="s">
        <v>117</v>
      </c>
      <c r="C130" s="92">
        <f>SUMIF(cutts[date],A130,cutts[num])</f>
        <v>0</v>
      </c>
      <c r="D130" s="92"/>
      <c r="E130" s="93">
        <f>SUMIF(packes[date],A130,packes[num])</f>
        <v>4700</v>
      </c>
      <c r="F130" s="93">
        <f>SUMIF(packes[date],A130,packes[wPacked])</f>
        <v>5458.2460341215201</v>
      </c>
      <c r="G130" s="93"/>
      <c r="H130" s="93">
        <f>reportTbl[[#This Row],[personels]]-reportTbl[[#This Row],[personels]]*2.5/22-0.5</f>
        <v>-0.5</v>
      </c>
      <c r="I130" s="94">
        <f>(reportTbl[[#This Row],[وزن تولید]]*unityCycleTime-reportTbl[[#This Row],[received TimeOut]])/(reportTbl[[#This Row],[available time]]*reportTbl[[#This Row],[تعداد نیرو]])</f>
        <v>-34.987357078718944</v>
      </c>
      <c r="J130" s="95"/>
      <c r="K130" s="97">
        <v>1100</v>
      </c>
      <c r="L130" s="97">
        <v>1500</v>
      </c>
      <c r="M130" s="97">
        <v>600</v>
      </c>
      <c r="N130" s="97">
        <v>1000</v>
      </c>
      <c r="O130" s="97">
        <v>1</v>
      </c>
      <c r="P130" s="96" t="s">
        <v>1034</v>
      </c>
      <c r="Q130" s="92">
        <f>_xlfn.XLOOKUP(reportTbl[[#This Row],[date]],IIITbl[date],IIITbl[totalCT],0)</f>
        <v>0</v>
      </c>
      <c r="R130" s="92">
        <v>30000</v>
      </c>
    </row>
    <row r="131" spans="1:18" ht="20.25" x14ac:dyDescent="0.25">
      <c r="A131" s="7" t="s">
        <v>794</v>
      </c>
      <c r="B131" s="91" t="s">
        <v>118</v>
      </c>
      <c r="C131" s="92">
        <f>SUMIF(cutts[date],A131,cutts[num])</f>
        <v>1000</v>
      </c>
      <c r="D131" s="92"/>
      <c r="E131" s="93">
        <f>SUMIF(packes[date],A131,packes[num])</f>
        <v>4900</v>
      </c>
      <c r="F131" s="93">
        <f>SUMIF(packes[date],A131,packes[wPacked])</f>
        <v>6498.1337922777602</v>
      </c>
      <c r="G131" s="93"/>
      <c r="H131" s="93">
        <f>reportTbl[[#This Row],[personels]]-reportTbl[[#This Row],[personels]]*2.5/22-0.5</f>
        <v>-0.5</v>
      </c>
      <c r="I131" s="94">
        <f>(reportTbl[[#This Row],[وزن تولید]]*unityCycleTime-reportTbl[[#This Row],[received TimeOut]])/(reportTbl[[#This Row],[available time]]*reportTbl[[#This Row],[تعداد نیرو]])</f>
        <v>-41.653037608500448</v>
      </c>
      <c r="J131" s="95" t="s">
        <v>1318</v>
      </c>
      <c r="K131" s="97">
        <v>1200</v>
      </c>
      <c r="L131" s="97">
        <v>1800</v>
      </c>
      <c r="M131" s="97">
        <v>0</v>
      </c>
      <c r="N131" s="97">
        <v>0</v>
      </c>
      <c r="O131" s="97">
        <v>1</v>
      </c>
      <c r="P131" s="96" t="s">
        <v>1034</v>
      </c>
      <c r="Q131" s="92">
        <f>_xlfn.XLOOKUP(reportTbl[[#This Row],[date]],IIITbl[date],IIITbl[totalCT],0)</f>
        <v>0</v>
      </c>
      <c r="R131" s="92">
        <v>30000</v>
      </c>
    </row>
    <row r="132" spans="1:18" ht="20.25" x14ac:dyDescent="0.25">
      <c r="A132" s="7" t="s">
        <v>795</v>
      </c>
      <c r="B132" s="91" t="s">
        <v>119</v>
      </c>
      <c r="C132" s="92">
        <f>SUMIF(cutts[date],A132,cutts[num])</f>
        <v>4500</v>
      </c>
      <c r="D132" s="92"/>
      <c r="E132" s="93">
        <f>SUMIF(packes[date],A132,packes[num])</f>
        <v>4850</v>
      </c>
      <c r="F132" s="93">
        <f>SUMIF(packes[date],A132,packes[wPacked])</f>
        <v>5924.0446971964484</v>
      </c>
      <c r="G132" s="93"/>
      <c r="H132" s="93">
        <f>reportTbl[[#This Row],[personels]]-reportTbl[[#This Row],[personels]]*2.5/22-0.5</f>
        <v>-0.5</v>
      </c>
      <c r="I132" s="94">
        <f>(reportTbl[[#This Row],[وزن تولید]]*unityCycleTime-reportTbl[[#This Row],[received TimeOut]])/(reportTbl[[#This Row],[available time]]*reportTbl[[#This Row],[تعداد نیرو]])</f>
        <v>-37.973126509029242</v>
      </c>
      <c r="J132" s="95"/>
      <c r="K132" s="97">
        <v>1500</v>
      </c>
      <c r="L132" s="97">
        <v>1500</v>
      </c>
      <c r="M132" s="97">
        <v>900</v>
      </c>
      <c r="N132" s="97">
        <v>0</v>
      </c>
      <c r="O132" s="97">
        <v>1</v>
      </c>
      <c r="P132" s="96" t="s">
        <v>1034</v>
      </c>
      <c r="Q132" s="92">
        <f>_xlfn.XLOOKUP(reportTbl[[#This Row],[date]],IIITbl[date],IIITbl[totalCT],0)</f>
        <v>0</v>
      </c>
      <c r="R132" s="92">
        <v>30000</v>
      </c>
    </row>
    <row r="133" spans="1:18" ht="20.25" x14ac:dyDescent="0.25">
      <c r="A133" s="7" t="s">
        <v>796</v>
      </c>
      <c r="B133" s="91" t="s">
        <v>120</v>
      </c>
      <c r="C133" s="92">
        <f>SUMIF(cutts[date],A133,cutts[num])</f>
        <v>4006</v>
      </c>
      <c r="D133" s="92"/>
      <c r="E133" s="93">
        <f>SUMIF(packes[date],A133,packes[num])</f>
        <v>4870</v>
      </c>
      <c r="F133" s="93" t="e">
        <f>SUMIF(packes[date],A133,packes[wPacked])</f>
        <v>#N/A</v>
      </c>
      <c r="G133" s="93"/>
      <c r="H133" s="93">
        <f>reportTbl[[#This Row],[personels]]-reportTbl[[#This Row],[personels]]*2.5/22-0.5</f>
        <v>-0.5</v>
      </c>
      <c r="I133" s="94" t="e">
        <f>(reportTbl[[#This Row],[وزن تولید]]*unityCycleTime-reportTbl[[#This Row],[received TimeOut]])/(reportTbl[[#This Row],[available time]]*reportTbl[[#This Row],[تعداد نیرو]])</f>
        <v>#N/A</v>
      </c>
      <c r="J133" s="95"/>
      <c r="K133" s="97">
        <v>1500</v>
      </c>
      <c r="L133" s="97">
        <v>1700</v>
      </c>
      <c r="M133" s="97">
        <v>0</v>
      </c>
      <c r="N133" s="97">
        <v>0</v>
      </c>
      <c r="O133" s="97">
        <v>1</v>
      </c>
      <c r="P133" s="96" t="s">
        <v>1034</v>
      </c>
      <c r="Q133" s="92">
        <f>_xlfn.XLOOKUP(reportTbl[[#This Row],[date]],IIITbl[date],IIITbl[totalCT],0)</f>
        <v>0</v>
      </c>
      <c r="R133" s="92">
        <v>30000</v>
      </c>
    </row>
    <row r="134" spans="1:18" ht="20.25" x14ac:dyDescent="0.25">
      <c r="A134" s="7" t="s">
        <v>797</v>
      </c>
      <c r="B134" s="91" t="s">
        <v>121</v>
      </c>
      <c r="C134" s="92">
        <f>SUMIF(cutts[date],A134,cutts[num])</f>
        <v>0</v>
      </c>
      <c r="D134" s="92"/>
      <c r="E134" s="93">
        <f>SUMIF(packes[date],A134,packes[num])</f>
        <v>0</v>
      </c>
      <c r="F134" s="93">
        <f>SUMIF(packes[date],A134,packes[wPacked])</f>
        <v>0</v>
      </c>
      <c r="G134" s="93"/>
      <c r="H134" s="93">
        <f>reportTbl[[#This Row],[personels]]-reportTbl[[#This Row],[personels]]*2.5/22-0.5</f>
        <v>-0.5</v>
      </c>
      <c r="I134" s="94">
        <f>(reportTbl[[#This Row],[وزن تولید]]*unityCycleTime-reportTbl[[#This Row],[received TimeOut]])/(reportTbl[[#This Row],[available time]]*reportTbl[[#This Row],[تعداد نیرو]])</f>
        <v>0</v>
      </c>
      <c r="J134" s="95"/>
      <c r="K134" s="97"/>
      <c r="L134" s="97"/>
      <c r="M134" s="97"/>
      <c r="N134" s="97"/>
      <c r="O134" s="97">
        <v>0</v>
      </c>
      <c r="P134" s="96" t="s">
        <v>1034</v>
      </c>
      <c r="Q134" s="92">
        <f>_xlfn.XLOOKUP(reportTbl[[#This Row],[date]],IIITbl[date],IIITbl[totalCT],0)</f>
        <v>0</v>
      </c>
      <c r="R134" s="92">
        <v>30000</v>
      </c>
    </row>
    <row r="135" spans="1:18" ht="20.25" x14ac:dyDescent="0.25">
      <c r="A135" s="7" t="s">
        <v>798</v>
      </c>
      <c r="B135" s="91" t="s">
        <v>122</v>
      </c>
      <c r="C135" s="92">
        <f>SUMIF(cutts[date],A135,cutts[num])</f>
        <v>0</v>
      </c>
      <c r="D135" s="92"/>
      <c r="E135" s="93">
        <f>SUMIF(packes[date],A135,packes[num])</f>
        <v>0</v>
      </c>
      <c r="F135" s="93">
        <f>SUMIF(packes[date],A135,packes[wPacked])</f>
        <v>0</v>
      </c>
      <c r="G135" s="93"/>
      <c r="H135" s="93">
        <f>reportTbl[[#This Row],[personels]]-reportTbl[[#This Row],[personels]]*2.5/22-0.5</f>
        <v>-0.5</v>
      </c>
      <c r="I135" s="94">
        <f>(reportTbl[[#This Row],[وزن تولید]]*unityCycleTime-reportTbl[[#This Row],[received TimeOut]])/(reportTbl[[#This Row],[available time]]*reportTbl[[#This Row],[تعداد نیرو]])</f>
        <v>0</v>
      </c>
      <c r="J135" s="95"/>
      <c r="K135" s="97"/>
      <c r="L135" s="97"/>
      <c r="M135" s="97"/>
      <c r="N135" s="97"/>
      <c r="O135" s="97">
        <v>0</v>
      </c>
      <c r="P135" s="96" t="s">
        <v>1034</v>
      </c>
      <c r="Q135" s="92">
        <f>_xlfn.XLOOKUP(reportTbl[[#This Row],[date]],IIITbl[date],IIITbl[totalCT],0)</f>
        <v>0</v>
      </c>
      <c r="R135" s="92">
        <v>30000</v>
      </c>
    </row>
    <row r="136" spans="1:18" ht="20.25" x14ac:dyDescent="0.25">
      <c r="A136" s="7" t="s">
        <v>799</v>
      </c>
      <c r="B136" s="91" t="s">
        <v>116</v>
      </c>
      <c r="C136" s="92">
        <f>SUMIF(cutts[date],A136,cutts[num])</f>
        <v>3900</v>
      </c>
      <c r="D136" s="92"/>
      <c r="E136" s="93">
        <f>SUMIF(packes[date],A136,packes[num])</f>
        <v>4550</v>
      </c>
      <c r="F136" s="93">
        <f>SUMIF(packes[date],A136,packes[wPacked])</f>
        <v>5176.2710765239945</v>
      </c>
      <c r="G136" s="93"/>
      <c r="H136" s="93">
        <f>reportTbl[[#This Row],[personels]]-reportTbl[[#This Row],[personels]]*2.5/22-0.5</f>
        <v>-0.5</v>
      </c>
      <c r="I136" s="94">
        <f>(reportTbl[[#This Row],[وزن تولید]]*unityCycleTime-reportTbl[[#This Row],[received TimeOut]])/(reportTbl[[#This Row],[available time]]*reportTbl[[#This Row],[تعداد نیرو]])</f>
        <v>-33.179897600518807</v>
      </c>
      <c r="J136" s="95"/>
      <c r="K136" s="97">
        <v>1500</v>
      </c>
      <c r="L136" s="97">
        <v>900</v>
      </c>
      <c r="M136" s="97">
        <v>2100</v>
      </c>
      <c r="N136" s="97">
        <v>0</v>
      </c>
      <c r="O136" s="97">
        <v>1</v>
      </c>
      <c r="P136" s="96" t="s">
        <v>1034</v>
      </c>
      <c r="Q136" s="92">
        <f>_xlfn.XLOOKUP(reportTbl[[#This Row],[date]],IIITbl[date],IIITbl[totalCT],0)</f>
        <v>0</v>
      </c>
      <c r="R136" s="92">
        <v>30000</v>
      </c>
    </row>
    <row r="137" spans="1:18" ht="20.25" x14ac:dyDescent="0.25">
      <c r="A137" s="7" t="s">
        <v>800</v>
      </c>
      <c r="B137" s="91" t="s">
        <v>117</v>
      </c>
      <c r="C137" s="92">
        <f>SUMIF(cutts[date],A137,cutts[num])</f>
        <v>3912</v>
      </c>
      <c r="D137" s="92"/>
      <c r="E137" s="93">
        <f>SUMIF(packes[date],A137,packes[num])</f>
        <v>4787</v>
      </c>
      <c r="F137" s="93">
        <f>SUMIF(packes[date],A137,packes[wPacked])</f>
        <v>6170.6854235258907</v>
      </c>
      <c r="G137" s="93"/>
      <c r="H137" s="93">
        <f>reportTbl[[#This Row],[personels]]-reportTbl[[#This Row],[personels]]*2.5/22-0.5</f>
        <v>-0.5</v>
      </c>
      <c r="I137" s="94">
        <f>(reportTbl[[#This Row],[وزن تولید]]*unityCycleTime-reportTbl[[#This Row],[received TimeOut]])/(reportTbl[[#This Row],[available time]]*reportTbl[[#This Row],[تعداد نیرو]])</f>
        <v>-39.554093564800965</v>
      </c>
      <c r="J137" s="95" t="s">
        <v>1319</v>
      </c>
      <c r="K137" s="97">
        <v>1500</v>
      </c>
      <c r="L137" s="97">
        <v>0</v>
      </c>
      <c r="M137" s="97">
        <v>1800</v>
      </c>
      <c r="N137" s="97">
        <v>0</v>
      </c>
      <c r="O137" s="97">
        <v>1</v>
      </c>
      <c r="P137" s="96" t="s">
        <v>1034</v>
      </c>
      <c r="Q137" s="92">
        <f>_xlfn.XLOOKUP(reportTbl[[#This Row],[date]],IIITbl[date],IIITbl[totalCT],0)</f>
        <v>0</v>
      </c>
      <c r="R137" s="92">
        <v>30000</v>
      </c>
    </row>
    <row r="138" spans="1:18" ht="20.25" x14ac:dyDescent="0.25">
      <c r="A138" s="7" t="s">
        <v>801</v>
      </c>
      <c r="B138" s="91" t="s">
        <v>118</v>
      </c>
      <c r="C138" s="92">
        <f>SUMIF(cutts[date],A138,cutts[num])</f>
        <v>3065</v>
      </c>
      <c r="D138" s="92"/>
      <c r="E138" s="93">
        <f>SUMIF(packes[date],A138,packes[num])</f>
        <v>3500</v>
      </c>
      <c r="F138" s="93">
        <f>SUMIF(packes[date],A138,packes[wPacked])</f>
        <v>4552.4124513618681</v>
      </c>
      <c r="G138" s="93"/>
      <c r="H138" s="93">
        <f>reportTbl[[#This Row],[personels]]-reportTbl[[#This Row],[personels]]*2.5/22-0.5</f>
        <v>-0.5</v>
      </c>
      <c r="I138" s="94">
        <f>(reportTbl[[#This Row],[وزن تولید]]*unityCycleTime-reportTbl[[#This Row],[received TimeOut]])/(reportTbl[[#This Row],[available time]]*reportTbl[[#This Row],[تعداد نیرو]])</f>
        <v>-29.180963813229578</v>
      </c>
      <c r="J138" s="95"/>
      <c r="K138" s="97">
        <v>1200</v>
      </c>
      <c r="L138" s="97">
        <v>300</v>
      </c>
      <c r="M138" s="97">
        <v>900</v>
      </c>
      <c r="N138" s="97">
        <v>0</v>
      </c>
      <c r="O138" s="97">
        <v>1</v>
      </c>
      <c r="P138" s="96" t="s">
        <v>1034</v>
      </c>
      <c r="Q138" s="92">
        <f>_xlfn.XLOOKUP(reportTbl[[#This Row],[date]],IIITbl[date],IIITbl[totalCT],0)</f>
        <v>0</v>
      </c>
      <c r="R138" s="92">
        <v>30000</v>
      </c>
    </row>
    <row r="139" spans="1:18" ht="20.25" x14ac:dyDescent="0.25">
      <c r="A139" s="7" t="s">
        <v>802</v>
      </c>
      <c r="B139" s="91" t="s">
        <v>119</v>
      </c>
      <c r="C139" s="92">
        <f>SUMIF(cutts[date],A139,cutts[num])</f>
        <v>3900</v>
      </c>
      <c r="D139" s="92"/>
      <c r="E139" s="93">
        <f>SUMIF(packes[date],A139,packes[num])</f>
        <v>2850</v>
      </c>
      <c r="F139" s="93">
        <f>SUMIF(packes[date],A139,packes[wPacked])</f>
        <v>3299.5525291828794</v>
      </c>
      <c r="G139" s="93"/>
      <c r="H139" s="93">
        <f>reportTbl[[#This Row],[personels]]-reportTbl[[#This Row],[personels]]*2.5/22-0.5</f>
        <v>-0.5</v>
      </c>
      <c r="I139" s="94">
        <f>(reportTbl[[#This Row],[وزن تولید]]*unityCycleTime-reportTbl[[#This Row],[received TimeOut]])/(reportTbl[[#This Row],[available time]]*reportTbl[[#This Row],[تعداد نیرو]])</f>
        <v>-21.150131712062258</v>
      </c>
      <c r="J139" s="95"/>
      <c r="K139" s="97">
        <v>1000</v>
      </c>
      <c r="L139" s="97">
        <v>1200</v>
      </c>
      <c r="M139" s="97">
        <v>0</v>
      </c>
      <c r="N139" s="97">
        <v>0</v>
      </c>
      <c r="O139" s="97">
        <v>1</v>
      </c>
      <c r="P139" s="96" t="s">
        <v>1034</v>
      </c>
      <c r="Q139" s="92">
        <f>_xlfn.XLOOKUP(reportTbl[[#This Row],[date]],IIITbl[date],IIITbl[totalCT],0)</f>
        <v>0</v>
      </c>
      <c r="R139" s="92">
        <v>30000</v>
      </c>
    </row>
    <row r="140" spans="1:18" ht="20.25" x14ac:dyDescent="0.25">
      <c r="A140" s="7" t="s">
        <v>803</v>
      </c>
      <c r="B140" s="91" t="s">
        <v>120</v>
      </c>
      <c r="C140" s="92">
        <f>SUMIF(cutts[date],A140,cutts[num])</f>
        <v>2600</v>
      </c>
      <c r="D140" s="92"/>
      <c r="E140" s="93">
        <f>SUMIF(packes[date],A140,packes[num])</f>
        <v>3100</v>
      </c>
      <c r="F140" s="93">
        <f>SUMIF(packes[date],A140,packes[wPacked])</f>
        <v>3294.0237453856134</v>
      </c>
      <c r="G140" s="93"/>
      <c r="H140" s="93">
        <f>reportTbl[[#This Row],[personels]]-reportTbl[[#This Row],[personels]]*2.5/22-0.5</f>
        <v>-0.5</v>
      </c>
      <c r="I140" s="94">
        <f>(reportTbl[[#This Row],[وزن تولید]]*unityCycleTime-reportTbl[[#This Row],[received TimeOut]])/(reportTbl[[#This Row],[available time]]*reportTbl[[#This Row],[تعداد نیرو]])</f>
        <v>-21.114692207921784</v>
      </c>
      <c r="J140" s="95"/>
      <c r="K140" s="97">
        <v>1500</v>
      </c>
      <c r="L140" s="97">
        <v>1500</v>
      </c>
      <c r="M140" s="97">
        <v>1350</v>
      </c>
      <c r="N140" s="97">
        <v>0</v>
      </c>
      <c r="O140" s="97">
        <v>1</v>
      </c>
      <c r="P140" s="96" t="s">
        <v>1034</v>
      </c>
      <c r="Q140" s="92">
        <f>_xlfn.XLOOKUP(reportTbl[[#This Row],[date]],IIITbl[date],IIITbl[totalCT],0)</f>
        <v>0</v>
      </c>
      <c r="R140" s="92">
        <v>30000</v>
      </c>
    </row>
    <row r="141" spans="1:18" ht="20.25" x14ac:dyDescent="0.25">
      <c r="A141" s="7" t="s">
        <v>804</v>
      </c>
      <c r="B141" s="91" t="s">
        <v>121</v>
      </c>
      <c r="C141" s="92">
        <f>SUMIF(cutts[date],A141,cutts[num])</f>
        <v>0</v>
      </c>
      <c r="D141" s="92"/>
      <c r="E141" s="93">
        <f>SUMIF(packes[date],A141,packes[num])</f>
        <v>0</v>
      </c>
      <c r="F141" s="93">
        <f>SUMIF(packes[date],A141,packes[wPacked])</f>
        <v>0</v>
      </c>
      <c r="G141" s="93"/>
      <c r="H141" s="93">
        <f>reportTbl[[#This Row],[personels]]-reportTbl[[#This Row],[personels]]*2.5/22-0.5</f>
        <v>-0.5</v>
      </c>
      <c r="I141" s="94">
        <f>(reportTbl[[#This Row],[وزن تولید]]*unityCycleTime-reportTbl[[#This Row],[received TimeOut]])/(reportTbl[[#This Row],[available time]]*reportTbl[[#This Row],[تعداد نیرو]])</f>
        <v>0</v>
      </c>
      <c r="J141" s="95"/>
      <c r="K141" s="97"/>
      <c r="L141" s="97"/>
      <c r="M141" s="97"/>
      <c r="N141" s="97"/>
      <c r="O141" s="97">
        <v>0</v>
      </c>
      <c r="P141" s="96" t="s">
        <v>1034</v>
      </c>
      <c r="Q141" s="92">
        <f>_xlfn.XLOOKUP(reportTbl[[#This Row],[date]],IIITbl[date],IIITbl[totalCT],0)</f>
        <v>0</v>
      </c>
      <c r="R141" s="92">
        <v>30000</v>
      </c>
    </row>
    <row r="142" spans="1:18" ht="20.25" x14ac:dyDescent="0.25">
      <c r="A142" s="7" t="s">
        <v>805</v>
      </c>
      <c r="B142" s="91" t="s">
        <v>122</v>
      </c>
      <c r="C142" s="92">
        <f>SUMIF(cutts[date],A142,cutts[num])</f>
        <v>0</v>
      </c>
      <c r="D142" s="92"/>
      <c r="E142" s="93">
        <f>SUMIF(packes[date],A142,packes[num])</f>
        <v>0</v>
      </c>
      <c r="F142" s="93">
        <f>SUMIF(packes[date],A142,packes[wPacked])</f>
        <v>0</v>
      </c>
      <c r="G142" s="93"/>
      <c r="H142" s="93">
        <f>reportTbl[[#This Row],[personels]]-reportTbl[[#This Row],[personels]]*2.5/22-0.5</f>
        <v>-0.5</v>
      </c>
      <c r="I142" s="94">
        <f>(reportTbl[[#This Row],[وزن تولید]]*unityCycleTime-reportTbl[[#This Row],[received TimeOut]])/(reportTbl[[#This Row],[available time]]*reportTbl[[#This Row],[تعداد نیرو]])</f>
        <v>0</v>
      </c>
      <c r="J142" s="95"/>
      <c r="K142" s="97"/>
      <c r="L142" s="97"/>
      <c r="M142" s="97"/>
      <c r="N142" s="97"/>
      <c r="O142" s="97">
        <v>0</v>
      </c>
      <c r="P142" s="96" t="s">
        <v>1034</v>
      </c>
      <c r="Q142" s="92">
        <f>_xlfn.XLOOKUP(reportTbl[[#This Row],[date]],IIITbl[date],IIITbl[totalCT],0)</f>
        <v>0</v>
      </c>
      <c r="R142" s="92">
        <v>30000</v>
      </c>
    </row>
    <row r="143" spans="1:18" ht="20.25" x14ac:dyDescent="0.25">
      <c r="A143" s="7" t="s">
        <v>806</v>
      </c>
      <c r="B143" s="91" t="s">
        <v>116</v>
      </c>
      <c r="C143" s="92">
        <f>SUMIF(cutts[date],A143,cutts[num])</f>
        <v>3500</v>
      </c>
      <c r="D143" s="92"/>
      <c r="E143" s="93">
        <f>SUMIF(packes[date],A143,packes[num])</f>
        <v>2850</v>
      </c>
      <c r="F143" s="93">
        <f>SUMIF(packes[date],A143,packes[wPacked])</f>
        <v>2785.6375336725532</v>
      </c>
      <c r="G143" s="93"/>
      <c r="H143" s="93">
        <f>reportTbl[[#This Row],[personels]]-reportTbl[[#This Row],[personels]]*2.5/22-0.5</f>
        <v>-0.5</v>
      </c>
      <c r="I143" s="94">
        <f>(reportTbl[[#This Row],[وزن تولید]]*unityCycleTime-reportTbl[[#This Row],[received TimeOut]])/(reportTbl[[#This Row],[available time]]*reportTbl[[#This Row],[تعداد نیرو]])</f>
        <v>-17.855936590841068</v>
      </c>
      <c r="J143" s="95"/>
      <c r="K143" s="97">
        <v>1100</v>
      </c>
      <c r="L143" s="97">
        <v>1500</v>
      </c>
      <c r="M143" s="97">
        <v>1000</v>
      </c>
      <c r="N143" s="97"/>
      <c r="O143" s="97">
        <v>1</v>
      </c>
      <c r="P143" s="96" t="s">
        <v>1034</v>
      </c>
      <c r="Q143" s="92">
        <f>_xlfn.XLOOKUP(reportTbl[[#This Row],[date]],IIITbl[date],IIITbl[totalCT],0)</f>
        <v>0</v>
      </c>
      <c r="R143" s="92">
        <v>30000</v>
      </c>
    </row>
    <row r="144" spans="1:18" ht="20.25" x14ac:dyDescent="0.25">
      <c r="A144" s="7" t="s">
        <v>807</v>
      </c>
      <c r="B144" s="91" t="s">
        <v>117</v>
      </c>
      <c r="C144" s="92">
        <f>SUMIF(cutts[date],A144,cutts[num])</f>
        <v>4850</v>
      </c>
      <c r="D144" s="92"/>
      <c r="E144" s="93">
        <f>SUMIF(packes[date],A144,packes[num])</f>
        <v>2850</v>
      </c>
      <c r="F144" s="93">
        <f>SUMIF(packes[date],A144,packes[wPacked])</f>
        <v>3557.3151750972766</v>
      </c>
      <c r="G144" s="93"/>
      <c r="H144" s="93">
        <f>reportTbl[[#This Row],[personels]]-reportTbl[[#This Row],[personels]]*2.5/22-0.5</f>
        <v>-0.5</v>
      </c>
      <c r="I144" s="94">
        <f>(reportTbl[[#This Row],[وزن تولید]]*unityCycleTime-reportTbl[[#This Row],[received TimeOut]])/(reportTbl[[#This Row],[available time]]*reportTbl[[#This Row],[تعداد نیرو]])</f>
        <v>-22.802390272373543</v>
      </c>
      <c r="J144" s="95"/>
      <c r="K144" s="97">
        <v>1100</v>
      </c>
      <c r="L144" s="97">
        <v>2100</v>
      </c>
      <c r="M144" s="97">
        <v>1200</v>
      </c>
      <c r="N144" s="97"/>
      <c r="O144" s="97">
        <v>1</v>
      </c>
      <c r="P144" s="96" t="s">
        <v>1034</v>
      </c>
      <c r="Q144" s="92">
        <f>_xlfn.XLOOKUP(reportTbl[[#This Row],[date]],IIITbl[date],IIITbl[totalCT],0)</f>
        <v>0</v>
      </c>
      <c r="R144" s="92">
        <v>30000</v>
      </c>
    </row>
    <row r="145" spans="1:18" ht="20.25" x14ac:dyDescent="0.25">
      <c r="A145" s="7" t="s">
        <v>808</v>
      </c>
      <c r="B145" s="91" t="s">
        <v>118</v>
      </c>
      <c r="C145" s="92">
        <f>SUMIF(cutts[date],A145,cutts[num])</f>
        <v>0</v>
      </c>
      <c r="D145" s="92"/>
      <c r="E145" s="93">
        <f>SUMIF(packes[date],A145,packes[num])</f>
        <v>3600</v>
      </c>
      <c r="F145" s="93">
        <f>SUMIF(packes[date],A145,packes[wPacked])</f>
        <v>3572.3585752768631</v>
      </c>
      <c r="G145" s="93"/>
      <c r="H145" s="93">
        <f>reportTbl[[#This Row],[personels]]-reportTbl[[#This Row],[personels]]*2.5/22-0.5</f>
        <v>-0.5</v>
      </c>
      <c r="I145" s="94">
        <f>(reportTbl[[#This Row],[وزن تولید]]*unityCycleTime-reportTbl[[#This Row],[received TimeOut]])/(reportTbl[[#This Row],[available time]]*reportTbl[[#This Row],[تعداد نیرو]])</f>
        <v>-22.898818467524695</v>
      </c>
      <c r="J145" s="95"/>
      <c r="K145" s="97">
        <v>1000</v>
      </c>
      <c r="L145" s="97">
        <v>1200</v>
      </c>
      <c r="M145" s="97">
        <v>900</v>
      </c>
      <c r="N145" s="97"/>
      <c r="O145" s="97">
        <v>1</v>
      </c>
      <c r="P145" s="96" t="s">
        <v>1034</v>
      </c>
      <c r="Q145" s="92">
        <f>_xlfn.XLOOKUP(reportTbl[[#This Row],[date]],IIITbl[date],IIITbl[totalCT],0)</f>
        <v>0</v>
      </c>
      <c r="R145" s="92">
        <v>30000</v>
      </c>
    </row>
    <row r="146" spans="1:18" ht="20.25" x14ac:dyDescent="0.25">
      <c r="A146" s="7" t="s">
        <v>809</v>
      </c>
      <c r="B146" s="91" t="s">
        <v>119</v>
      </c>
      <c r="C146" s="92">
        <f>SUMIF(cutts[date],A146,cutts[num])</f>
        <v>0</v>
      </c>
      <c r="D146" s="92"/>
      <c r="E146" s="93">
        <f>SUMIF(packes[date],A146,packes[num])</f>
        <v>3850</v>
      </c>
      <c r="F146" s="93">
        <f>SUMIF(packes[date],A146,packes[wPacked])</f>
        <v>4977.7561608300903</v>
      </c>
      <c r="G146" s="93"/>
      <c r="H146" s="93">
        <f>reportTbl[[#This Row],[personels]]-reportTbl[[#This Row],[personels]]*2.5/22-0.5</f>
        <v>-0.5</v>
      </c>
      <c r="I146" s="94">
        <f>(reportTbl[[#This Row],[وزن تولید]]*unityCycleTime-reportTbl[[#This Row],[received TimeOut]])/(reportTbl[[#This Row],[available time]]*reportTbl[[#This Row],[تعداد نیرو]])</f>
        <v>-31.907416990920883</v>
      </c>
      <c r="J146" s="95"/>
      <c r="K146" s="97">
        <v>850</v>
      </c>
      <c r="L146" s="97">
        <v>1200</v>
      </c>
      <c r="M146" s="97">
        <v>1500</v>
      </c>
      <c r="N146" s="97"/>
      <c r="O146" s="97">
        <v>1</v>
      </c>
      <c r="P146" s="96" t="s">
        <v>1034</v>
      </c>
      <c r="Q146" s="92">
        <f>_xlfn.XLOOKUP(reportTbl[[#This Row],[date]],IIITbl[date],IIITbl[totalCT],0)</f>
        <v>0</v>
      </c>
      <c r="R146" s="92">
        <v>30000</v>
      </c>
    </row>
    <row r="147" spans="1:18" ht="20.25" x14ac:dyDescent="0.25">
      <c r="A147" s="7" t="s">
        <v>810</v>
      </c>
      <c r="B147" s="91" t="s">
        <v>120</v>
      </c>
      <c r="C147" s="92">
        <f>SUMIF(cutts[date],A147,cutts[num])</f>
        <v>3000</v>
      </c>
      <c r="D147" s="92"/>
      <c r="E147" s="93">
        <f>SUMIF(packes[date],A147,packes[num])</f>
        <v>4000</v>
      </c>
      <c r="F147" s="93">
        <f>SUMIF(packes[date],A147,packes[wPacked])</f>
        <v>3288.5214007782101</v>
      </c>
      <c r="G147" s="93"/>
      <c r="H147" s="93">
        <f>reportTbl[[#This Row],[personels]]-reportTbl[[#This Row],[personels]]*2.5/22-0.5</f>
        <v>-0.5</v>
      </c>
      <c r="I147" s="94">
        <f>(reportTbl[[#This Row],[وزن تولید]]*unityCycleTime-reportTbl[[#This Row],[received TimeOut]])/(reportTbl[[#This Row],[available time]]*reportTbl[[#This Row],[تعداد نیرو]])</f>
        <v>-21.079422178988331</v>
      </c>
      <c r="J147" s="95"/>
      <c r="K147" s="97">
        <v>0</v>
      </c>
      <c r="L147" s="97">
        <v>1500</v>
      </c>
      <c r="M147" s="97">
        <v>1500</v>
      </c>
      <c r="N147" s="97"/>
      <c r="O147" s="97">
        <v>1</v>
      </c>
      <c r="P147" s="96" t="s">
        <v>1034</v>
      </c>
      <c r="Q147" s="92">
        <f>_xlfn.XLOOKUP(reportTbl[[#This Row],[date]],IIITbl[date],IIITbl[totalCT],0)</f>
        <v>0</v>
      </c>
      <c r="R147" s="92">
        <v>30000</v>
      </c>
    </row>
    <row r="148" spans="1:18" ht="20.25" x14ac:dyDescent="0.25">
      <c r="A148" s="7" t="s">
        <v>811</v>
      </c>
      <c r="B148" s="91" t="s">
        <v>121</v>
      </c>
      <c r="C148" s="92">
        <f>SUMIF(cutts[date],A148,cutts[num])</f>
        <v>0</v>
      </c>
      <c r="D148" s="92"/>
      <c r="E148" s="93">
        <f>SUMIF(packes[date],A148,packes[num])</f>
        <v>0</v>
      </c>
      <c r="F148" s="93">
        <f>SUMIF(packes[date],A148,packes[wPacked])</f>
        <v>0</v>
      </c>
      <c r="G148" s="93"/>
      <c r="H148" s="93">
        <f>reportTbl[[#This Row],[personels]]-reportTbl[[#This Row],[personels]]*2.5/22-0.5</f>
        <v>-0.5</v>
      </c>
      <c r="I148" s="94">
        <f>(reportTbl[[#This Row],[وزن تولید]]*unityCycleTime-reportTbl[[#This Row],[received TimeOut]])/(reportTbl[[#This Row],[available time]]*reportTbl[[#This Row],[تعداد نیرو]])</f>
        <v>0</v>
      </c>
      <c r="J148" s="95"/>
      <c r="K148" s="97"/>
      <c r="L148" s="97"/>
      <c r="M148" s="97"/>
      <c r="N148" s="97"/>
      <c r="O148" s="97">
        <v>0</v>
      </c>
      <c r="P148" s="96" t="s">
        <v>1034</v>
      </c>
      <c r="Q148" s="92">
        <f>_xlfn.XLOOKUP(reportTbl[[#This Row],[date]],IIITbl[date],IIITbl[totalCT],0)</f>
        <v>0</v>
      </c>
      <c r="R148" s="92">
        <v>30000</v>
      </c>
    </row>
    <row r="149" spans="1:18" ht="20.25" x14ac:dyDescent="0.25">
      <c r="A149" s="7" t="s">
        <v>812</v>
      </c>
      <c r="B149" s="91" t="s">
        <v>122</v>
      </c>
      <c r="C149" s="92">
        <f>SUMIF(cutts[date],A149,cutts[num])</f>
        <v>0</v>
      </c>
      <c r="D149" s="92"/>
      <c r="E149" s="93">
        <f>SUMIF(packes[date],A149,packes[num])</f>
        <v>0</v>
      </c>
      <c r="F149" s="93">
        <f>SUMIF(packes[date],A149,packes[wPacked])</f>
        <v>0</v>
      </c>
      <c r="G149" s="93"/>
      <c r="H149" s="93">
        <f>reportTbl[[#This Row],[personels]]-reportTbl[[#This Row],[personels]]*2.5/22-0.5</f>
        <v>-0.5</v>
      </c>
      <c r="I149" s="94">
        <f>(reportTbl[[#This Row],[وزن تولید]]*unityCycleTime-reportTbl[[#This Row],[received TimeOut]])/(reportTbl[[#This Row],[available time]]*reportTbl[[#This Row],[تعداد نیرو]])</f>
        <v>0</v>
      </c>
      <c r="J149" s="95"/>
      <c r="K149" s="97"/>
      <c r="L149" s="97"/>
      <c r="M149" s="97"/>
      <c r="N149" s="97"/>
      <c r="O149" s="97">
        <v>0</v>
      </c>
      <c r="P149" s="96" t="s">
        <v>1034</v>
      </c>
      <c r="Q149" s="92">
        <f>_xlfn.XLOOKUP(reportTbl[[#This Row],[date]],IIITbl[date],IIITbl[totalCT],0)</f>
        <v>0</v>
      </c>
      <c r="R149" s="92">
        <v>30000</v>
      </c>
    </row>
    <row r="150" spans="1:18" ht="20.25" x14ac:dyDescent="0.25">
      <c r="A150" s="7" t="s">
        <v>813</v>
      </c>
      <c r="B150" s="91" t="s">
        <v>116</v>
      </c>
      <c r="C150" s="92">
        <f>SUMIF(cutts[date],A150,cutts[num])</f>
        <v>3000</v>
      </c>
      <c r="D150" s="92"/>
      <c r="E150" s="93">
        <f>SUMIF(packes[date],A150,packes[num])</f>
        <v>3750</v>
      </c>
      <c r="F150" s="93">
        <f>SUMIF(packes[date],A150,packes[wPacked])</f>
        <v>3900</v>
      </c>
      <c r="G150" s="93"/>
      <c r="H150" s="93">
        <f>reportTbl[[#This Row],[personels]]-reportTbl[[#This Row],[personels]]*2.5/22-0.5</f>
        <v>-0.5</v>
      </c>
      <c r="I150" s="94">
        <f>(reportTbl[[#This Row],[وزن تولید]]*unityCycleTime-reportTbl[[#This Row],[received TimeOut]])/(reportTbl[[#This Row],[available time]]*reportTbl[[#This Row],[تعداد نیرو]])</f>
        <v>-24.998999999999999</v>
      </c>
      <c r="J150" s="95"/>
      <c r="K150" s="97">
        <v>0</v>
      </c>
      <c r="L150" s="97">
        <v>1200</v>
      </c>
      <c r="M150" s="97">
        <v>900</v>
      </c>
      <c r="N150" s="97"/>
      <c r="O150" s="97">
        <v>1</v>
      </c>
      <c r="P150" s="96" t="s">
        <v>1034</v>
      </c>
      <c r="Q150" s="92">
        <f>_xlfn.XLOOKUP(reportTbl[[#This Row],[date]],IIITbl[date],IIITbl[totalCT],0)</f>
        <v>0</v>
      </c>
      <c r="R150" s="92">
        <v>30000</v>
      </c>
    </row>
    <row r="151" spans="1:18" ht="20.25" x14ac:dyDescent="0.25">
      <c r="A151" s="7" t="s">
        <v>814</v>
      </c>
      <c r="B151" s="91" t="s">
        <v>117</v>
      </c>
      <c r="C151" s="92">
        <f>SUMIF(cutts[date],A151,cutts[num])</f>
        <v>3003</v>
      </c>
      <c r="D151" s="92"/>
      <c r="E151" s="93">
        <f>SUMIF(packes[date],A151,packes[num])</f>
        <v>3905</v>
      </c>
      <c r="F151" s="93" t="e">
        <f>SUMIF(packes[date],A151,packes[wPacked])</f>
        <v>#N/A</v>
      </c>
      <c r="G151" s="93"/>
      <c r="H151" s="93">
        <f>reportTbl[[#This Row],[personels]]-reportTbl[[#This Row],[personels]]*2.5/22-0.5</f>
        <v>-0.5</v>
      </c>
      <c r="I151" s="94" t="e">
        <f>(reportTbl[[#This Row],[وزن تولید]]*unityCycleTime-reportTbl[[#This Row],[received TimeOut]])/(reportTbl[[#This Row],[available time]]*reportTbl[[#This Row],[تعداد نیرو]])</f>
        <v>#N/A</v>
      </c>
      <c r="J151" s="95"/>
      <c r="K151" s="97"/>
      <c r="L151" s="97"/>
      <c r="M151" s="97"/>
      <c r="N151" s="97"/>
      <c r="O151" s="97">
        <v>1</v>
      </c>
      <c r="P151" s="96" t="s">
        <v>1034</v>
      </c>
      <c r="Q151" s="92">
        <f>_xlfn.XLOOKUP(reportTbl[[#This Row],[date]],IIITbl[date],IIITbl[totalCT],0)</f>
        <v>0</v>
      </c>
      <c r="R151" s="92">
        <v>30000</v>
      </c>
    </row>
    <row r="152" spans="1:18" ht="20.25" x14ac:dyDescent="0.25">
      <c r="A152" s="7" t="s">
        <v>815</v>
      </c>
      <c r="B152" s="91" t="s">
        <v>118</v>
      </c>
      <c r="C152" s="92">
        <f>SUMIF(cutts[date],A152,cutts[num])</f>
        <v>12650</v>
      </c>
      <c r="D152" s="92"/>
      <c r="E152" s="93">
        <f>SUMIF(packes[date],A152,packes[num])</f>
        <v>3750</v>
      </c>
      <c r="F152" s="93">
        <f>SUMIF(packes[date],A152,packes[wPacked])</f>
        <v>4349.6887159533071</v>
      </c>
      <c r="G152" s="93"/>
      <c r="H152" s="93">
        <f>reportTbl[[#This Row],[personels]]-reportTbl[[#This Row],[personels]]*2.5/22-0.5</f>
        <v>-0.5</v>
      </c>
      <c r="I152" s="94">
        <f>(reportTbl[[#This Row],[وزن تولید]]*unityCycleTime-reportTbl[[#This Row],[received TimeOut]])/(reportTbl[[#This Row],[available time]]*reportTbl[[#This Row],[تعداد نیرو]])</f>
        <v>-27.8815046692607</v>
      </c>
      <c r="J152" s="95"/>
      <c r="K152" s="97"/>
      <c r="L152" s="97"/>
      <c r="M152" s="97"/>
      <c r="N152" s="97"/>
      <c r="O152" s="97">
        <v>1</v>
      </c>
      <c r="P152" s="96" t="s">
        <v>1034</v>
      </c>
      <c r="Q152" s="92">
        <f>_xlfn.XLOOKUP(reportTbl[[#This Row],[date]],IIITbl[date],IIITbl[totalCT],0)</f>
        <v>0</v>
      </c>
      <c r="R152" s="92">
        <v>30000</v>
      </c>
    </row>
    <row r="153" spans="1:18" ht="20.25" x14ac:dyDescent="0.25">
      <c r="A153" s="7" t="s">
        <v>816</v>
      </c>
      <c r="B153" s="91" t="s">
        <v>119</v>
      </c>
      <c r="C153" s="92">
        <f>SUMIF(cutts[date],A153,cutts[num])</f>
        <v>6211</v>
      </c>
      <c r="D153" s="92"/>
      <c r="E153" s="93">
        <f>SUMIF(packes[date],A153,packes[num])</f>
        <v>3550</v>
      </c>
      <c r="F153" s="93">
        <f>SUMIF(packes[date],A153,packes[wPacked])</f>
        <v>4212.7885862516214</v>
      </c>
      <c r="G153" s="93"/>
      <c r="H153" s="93">
        <f>reportTbl[[#This Row],[personels]]-reportTbl[[#This Row],[personels]]*2.5/22-0.5</f>
        <v>-0.5</v>
      </c>
      <c r="I153" s="94">
        <f>(reportTbl[[#This Row],[وزن تولید]]*unityCycleTime-reportTbl[[#This Row],[received TimeOut]])/(reportTbl[[#This Row],[available time]]*reportTbl[[#This Row],[تعداد نیرو]])</f>
        <v>-27.003974837872896</v>
      </c>
      <c r="J153" s="95"/>
      <c r="K153" s="97"/>
      <c r="L153" s="97"/>
      <c r="M153" s="97"/>
      <c r="N153" s="97"/>
      <c r="O153" s="97">
        <v>1</v>
      </c>
      <c r="P153" s="96" t="s">
        <v>1034</v>
      </c>
      <c r="Q153" s="92">
        <f>_xlfn.XLOOKUP(reportTbl[[#This Row],[date]],IIITbl[date],IIITbl[totalCT],0)</f>
        <v>0</v>
      </c>
      <c r="R153" s="92">
        <v>30000</v>
      </c>
    </row>
    <row r="154" spans="1:18" ht="20.25" x14ac:dyDescent="0.25">
      <c r="A154" s="7" t="s">
        <v>817</v>
      </c>
      <c r="B154" s="91" t="s">
        <v>120</v>
      </c>
      <c r="C154" s="92">
        <f>SUMIF(cutts[date],A154,cutts[num])</f>
        <v>0</v>
      </c>
      <c r="D154" s="92"/>
      <c r="E154" s="93">
        <f>SUMIF(packes[date],A154,packes[num])</f>
        <v>2560</v>
      </c>
      <c r="F154" s="93">
        <f>SUMIF(packes[date],A154,packes[wPacked])</f>
        <v>2818.9613888057465</v>
      </c>
      <c r="G154" s="93"/>
      <c r="H154" s="93">
        <f>reportTbl[[#This Row],[personels]]-reportTbl[[#This Row],[personels]]*2.5/22-0.5</f>
        <v>-0.5</v>
      </c>
      <c r="I154" s="94">
        <f>(reportTbl[[#This Row],[وزن تولید]]*unityCycleTime-reportTbl[[#This Row],[received TimeOut]])/(reportTbl[[#This Row],[available time]]*reportTbl[[#This Row],[تعداد نیرو]])</f>
        <v>-18.069542502244836</v>
      </c>
      <c r="J154" s="95"/>
      <c r="K154" s="97"/>
      <c r="L154" s="97"/>
      <c r="M154" s="97"/>
      <c r="N154" s="97"/>
      <c r="O154" s="97">
        <v>1</v>
      </c>
      <c r="P154" s="96" t="s">
        <v>1034</v>
      </c>
      <c r="Q154" s="92">
        <f>_xlfn.XLOOKUP(reportTbl[[#This Row],[date]],IIITbl[date],IIITbl[totalCT],0)</f>
        <v>0</v>
      </c>
      <c r="R154" s="92">
        <v>30000</v>
      </c>
    </row>
    <row r="155" spans="1:18" ht="20.25" x14ac:dyDescent="0.25">
      <c r="A155" s="7" t="s">
        <v>818</v>
      </c>
      <c r="B155" s="91" t="s">
        <v>121</v>
      </c>
      <c r="C155" s="92">
        <f>SUMIF(cutts[date],A155,cutts[num])</f>
        <v>0</v>
      </c>
      <c r="D155" s="92"/>
      <c r="E155" s="93">
        <f>SUMIF(packes[date],A155,packes[num])</f>
        <v>0</v>
      </c>
      <c r="F155" s="93">
        <f>SUMIF(packes[date],A155,packes[wPacked])</f>
        <v>0</v>
      </c>
      <c r="G155" s="93"/>
      <c r="H155" s="93">
        <f>reportTbl[[#This Row],[personels]]-reportTbl[[#This Row],[personels]]*2.5/22-0.5</f>
        <v>-0.5</v>
      </c>
      <c r="I155" s="94">
        <f>(reportTbl[[#This Row],[وزن تولید]]*unityCycleTime-reportTbl[[#This Row],[received TimeOut]])/(reportTbl[[#This Row],[available time]]*reportTbl[[#This Row],[تعداد نیرو]])</f>
        <v>0</v>
      </c>
      <c r="J155" s="95"/>
      <c r="K155" s="97"/>
      <c r="L155" s="97"/>
      <c r="M155" s="97"/>
      <c r="N155" s="97"/>
      <c r="O155" s="97">
        <v>0</v>
      </c>
      <c r="P155" s="96" t="s">
        <v>1034</v>
      </c>
      <c r="Q155" s="92">
        <f>_xlfn.XLOOKUP(reportTbl[[#This Row],[date]],IIITbl[date],IIITbl[totalCT],0)</f>
        <v>0</v>
      </c>
      <c r="R155" s="92">
        <v>30000</v>
      </c>
    </row>
    <row r="156" spans="1:18" ht="20.25" x14ac:dyDescent="0.25">
      <c r="A156" s="7" t="s">
        <v>819</v>
      </c>
      <c r="B156" s="91" t="s">
        <v>122</v>
      </c>
      <c r="C156" s="92">
        <f>SUMIF(cutts[date],A156,cutts[num])</f>
        <v>0</v>
      </c>
      <c r="D156" s="92"/>
      <c r="E156" s="93">
        <f>SUMIF(packes[date],A156,packes[num])</f>
        <v>0</v>
      </c>
      <c r="F156" s="93">
        <f>SUMIF(packes[date],A156,packes[wPacked])</f>
        <v>0</v>
      </c>
      <c r="G156" s="93"/>
      <c r="H156" s="93">
        <f>reportTbl[[#This Row],[personels]]-reportTbl[[#This Row],[personels]]*2.5/22-0.5</f>
        <v>-0.5</v>
      </c>
      <c r="I156" s="94">
        <f>(reportTbl[[#This Row],[وزن تولید]]*unityCycleTime-reportTbl[[#This Row],[received TimeOut]])/(reportTbl[[#This Row],[available time]]*reportTbl[[#This Row],[تعداد نیرو]])</f>
        <v>0</v>
      </c>
      <c r="J156" s="95"/>
      <c r="K156" s="97"/>
      <c r="L156" s="97"/>
      <c r="M156" s="97"/>
      <c r="N156" s="97"/>
      <c r="O156" s="97">
        <v>0</v>
      </c>
      <c r="P156" s="96" t="s">
        <v>1034</v>
      </c>
      <c r="Q156" s="92">
        <f>_xlfn.XLOOKUP(reportTbl[[#This Row],[date]],IIITbl[date],IIITbl[totalCT],0)</f>
        <v>0</v>
      </c>
      <c r="R156" s="92">
        <v>30000</v>
      </c>
    </row>
    <row r="157" spans="1:18" ht="20.25" x14ac:dyDescent="0.25">
      <c r="A157" s="7" t="s">
        <v>820</v>
      </c>
      <c r="B157" s="91" t="s">
        <v>116</v>
      </c>
      <c r="C157" s="92">
        <f>SUMIF(cutts[date],A157,cutts[num])</f>
        <v>1800</v>
      </c>
      <c r="D157" s="92"/>
      <c r="E157" s="93">
        <f>SUMIF(packes[date],A157,packes[num])</f>
        <v>2800</v>
      </c>
      <c r="F157" s="93">
        <f>SUMIF(packes[date],A157,packes[wPacked])</f>
        <v>3003.3423126808339</v>
      </c>
      <c r="G157" s="93"/>
      <c r="H157" s="93">
        <f>reportTbl[[#This Row],[personels]]-reportTbl[[#This Row],[personels]]*2.5/22-0.5</f>
        <v>-0.5</v>
      </c>
      <c r="I157" s="94">
        <f>(reportTbl[[#This Row],[وزن تولید]]*unityCycleTime-reportTbl[[#This Row],[received TimeOut]])/(reportTbl[[#This Row],[available time]]*reportTbl[[#This Row],[تعداد نیرو]])</f>
        <v>-19.251424224284147</v>
      </c>
      <c r="J157" s="95"/>
      <c r="K157" s="97"/>
      <c r="L157" s="97"/>
      <c r="M157" s="97"/>
      <c r="N157" s="97"/>
      <c r="O157" s="97">
        <v>0</v>
      </c>
      <c r="P157" s="96" t="s">
        <v>1035</v>
      </c>
      <c r="Q157" s="92">
        <f>_xlfn.XLOOKUP(reportTbl[[#This Row],[date]],IIITbl[date],IIITbl[totalCT],0)</f>
        <v>0</v>
      </c>
      <c r="R157" s="92">
        <v>30000</v>
      </c>
    </row>
    <row r="158" spans="1:18" ht="20.25" x14ac:dyDescent="0.25">
      <c r="A158" s="7" t="s">
        <v>821</v>
      </c>
      <c r="B158" s="91" t="s">
        <v>117</v>
      </c>
      <c r="C158" s="92">
        <f>SUMIF(cutts[date],A158,cutts[num])</f>
        <v>0</v>
      </c>
      <c r="D158" s="92"/>
      <c r="E158" s="93">
        <f>SUMIF(packes[date],A158,packes[num])</f>
        <v>0</v>
      </c>
      <c r="F158" s="93">
        <f>SUMIF(packes[date],A158,packes[wPacked])</f>
        <v>0</v>
      </c>
      <c r="G158" s="93"/>
      <c r="H158" s="93">
        <f>reportTbl[[#This Row],[personels]]-reportTbl[[#This Row],[personels]]*2.5/22-0.5</f>
        <v>-0.5</v>
      </c>
      <c r="I158" s="94">
        <f>(reportTbl[[#This Row],[وزن تولید]]*unityCycleTime-reportTbl[[#This Row],[received TimeOut]])/(reportTbl[[#This Row],[available time]]*reportTbl[[#This Row],[تعداد نیرو]])</f>
        <v>0</v>
      </c>
      <c r="J158" s="95"/>
      <c r="K158" s="97"/>
      <c r="L158" s="97"/>
      <c r="M158" s="97"/>
      <c r="N158" s="97"/>
      <c r="O158" s="97">
        <v>0</v>
      </c>
      <c r="P158" s="96" t="s">
        <v>1035</v>
      </c>
      <c r="Q158" s="92">
        <f>_xlfn.XLOOKUP(reportTbl[[#This Row],[date]],IIITbl[date],IIITbl[totalCT],0)</f>
        <v>0</v>
      </c>
      <c r="R158" s="92">
        <v>30000</v>
      </c>
    </row>
    <row r="159" spans="1:18" ht="20.25" x14ac:dyDescent="0.25">
      <c r="A159" s="7" t="s">
        <v>822</v>
      </c>
      <c r="B159" s="91" t="s">
        <v>118</v>
      </c>
      <c r="C159" s="92">
        <f>SUMIF(cutts[date],A159,cutts[num])</f>
        <v>3500</v>
      </c>
      <c r="D159" s="92"/>
      <c r="E159" s="93">
        <f>SUMIF(packes[date],A159,packes[num])</f>
        <v>1875</v>
      </c>
      <c r="F159" s="93">
        <f>SUMIF(packes[date],A159,packes[wPacked])</f>
        <v>2314.8463533872091</v>
      </c>
      <c r="G159" s="93"/>
      <c r="H159" s="93">
        <f>reportTbl[[#This Row],[personels]]-reportTbl[[#This Row],[personels]]*2.5/22-0.5</f>
        <v>-0.5</v>
      </c>
      <c r="I159" s="94">
        <f>(reportTbl[[#This Row],[وزن تولید]]*unityCycleTime-reportTbl[[#This Row],[received TimeOut]])/(reportTbl[[#This Row],[available time]]*reportTbl[[#This Row],[تعداد نیرو]])</f>
        <v>-14.838165125212011</v>
      </c>
      <c r="J159" s="95"/>
      <c r="K159" s="97"/>
      <c r="L159" s="97"/>
      <c r="M159" s="97"/>
      <c r="N159" s="97"/>
      <c r="O159" s="97">
        <v>0</v>
      </c>
      <c r="P159" s="96" t="s">
        <v>1035</v>
      </c>
      <c r="Q159" s="92">
        <f>_xlfn.XLOOKUP(reportTbl[[#This Row],[date]],IIITbl[date],IIITbl[totalCT],0)</f>
        <v>0</v>
      </c>
      <c r="R159" s="92">
        <v>30000</v>
      </c>
    </row>
    <row r="160" spans="1:18" ht="20.25" x14ac:dyDescent="0.25">
      <c r="A160" s="7" t="s">
        <v>823</v>
      </c>
      <c r="B160" s="91" t="s">
        <v>119</v>
      </c>
      <c r="C160" s="92">
        <f>SUMIF(cutts[date],A160,cutts[num])</f>
        <v>2</v>
      </c>
      <c r="D160" s="92"/>
      <c r="E160" s="93">
        <f>SUMIF(packes[date],A160,packes[num])</f>
        <v>2575</v>
      </c>
      <c r="F160" s="93">
        <f>SUMIF(packes[date],A160,packes[wPacked])</f>
        <v>1327.6089993016062</v>
      </c>
      <c r="G160" s="93"/>
      <c r="H160" s="93">
        <f>reportTbl[[#This Row],[personels]]-reportTbl[[#This Row],[personels]]*2.5/22-0.5</f>
        <v>-0.5</v>
      </c>
      <c r="I160" s="94">
        <f>(reportTbl[[#This Row],[وزن تولید]]*unityCycleTime-reportTbl[[#This Row],[received TimeOut]])/(reportTbl[[#This Row],[available time]]*reportTbl[[#This Row],[تعداد نیرو]])</f>
        <v>-8.5099736855232955</v>
      </c>
      <c r="J160" s="95"/>
      <c r="K160" s="97"/>
      <c r="L160" s="97"/>
      <c r="M160" s="97"/>
      <c r="N160" s="97"/>
      <c r="O160" s="97">
        <v>0</v>
      </c>
      <c r="P160" s="96" t="s">
        <v>1035</v>
      </c>
      <c r="Q160" s="92">
        <f>_xlfn.XLOOKUP(reportTbl[[#This Row],[date]],IIITbl[date],IIITbl[totalCT],0)</f>
        <v>0</v>
      </c>
      <c r="R160" s="92">
        <v>30000</v>
      </c>
    </row>
    <row r="161" spans="1:18" ht="20.25" x14ac:dyDescent="0.25">
      <c r="A161" s="7" t="s">
        <v>824</v>
      </c>
      <c r="B161" s="91" t="s">
        <v>120</v>
      </c>
      <c r="C161" s="92">
        <f>SUMIF(cutts[date],A161,cutts[num])</f>
        <v>0</v>
      </c>
      <c r="D161" s="92"/>
      <c r="E161" s="93">
        <f>SUMIF(packes[date],A161,packes[num])</f>
        <v>2625</v>
      </c>
      <c r="F161" s="93">
        <f>SUMIF(packes[date],A161,packes[wPacked])</f>
        <v>2963.6680634540553</v>
      </c>
      <c r="G161" s="93"/>
      <c r="H161" s="93">
        <f>reportTbl[[#This Row],[personels]]-reportTbl[[#This Row],[personels]]*2.5/22-0.5</f>
        <v>-0.5</v>
      </c>
      <c r="I161" s="94">
        <f>(reportTbl[[#This Row],[وزن تولید]]*unityCycleTime-reportTbl[[#This Row],[received TimeOut]])/(reportTbl[[#This Row],[available time]]*reportTbl[[#This Row],[تعداد نیرو]])</f>
        <v>-18.997112286740496</v>
      </c>
      <c r="J161" s="95"/>
      <c r="K161" s="97"/>
      <c r="L161" s="97"/>
      <c r="M161" s="97"/>
      <c r="N161" s="97"/>
      <c r="O161" s="97">
        <v>0</v>
      </c>
      <c r="P161" s="96" t="s">
        <v>1035</v>
      </c>
      <c r="Q161" s="92">
        <f>_xlfn.XLOOKUP(reportTbl[[#This Row],[date]],IIITbl[date],IIITbl[totalCT],0)</f>
        <v>0</v>
      </c>
      <c r="R161" s="92">
        <v>30000</v>
      </c>
    </row>
    <row r="162" spans="1:18" ht="20.25" x14ac:dyDescent="0.25">
      <c r="A162" s="7" t="s">
        <v>825</v>
      </c>
      <c r="B162" s="91" t="s">
        <v>121</v>
      </c>
      <c r="C162" s="92">
        <f>SUMIF(cutts[date],A162,cutts[num])</f>
        <v>0</v>
      </c>
      <c r="D162" s="92"/>
      <c r="E162" s="93">
        <f>SUMIF(packes[date],A162,packes[num])</f>
        <v>0</v>
      </c>
      <c r="F162" s="93">
        <f>SUMIF(packes[date],A162,packes[wPacked])</f>
        <v>0</v>
      </c>
      <c r="G162" s="93"/>
      <c r="H162" s="93">
        <f>reportTbl[[#This Row],[personels]]-reportTbl[[#This Row],[personels]]*2.5/22-0.5</f>
        <v>-0.5</v>
      </c>
      <c r="I162" s="94">
        <f>(reportTbl[[#This Row],[وزن تولید]]*unityCycleTime-reportTbl[[#This Row],[received TimeOut]])/(reportTbl[[#This Row],[available time]]*reportTbl[[#This Row],[تعداد نیرو]])</f>
        <v>0</v>
      </c>
      <c r="J162" s="95"/>
      <c r="K162" s="97"/>
      <c r="L162" s="97"/>
      <c r="M162" s="97"/>
      <c r="N162" s="97"/>
      <c r="O162" s="97">
        <v>0</v>
      </c>
      <c r="P162" s="96" t="s">
        <v>1035</v>
      </c>
      <c r="Q162" s="92">
        <f>_xlfn.XLOOKUP(reportTbl[[#This Row],[date]],IIITbl[date],IIITbl[totalCT],0)</f>
        <v>0</v>
      </c>
      <c r="R162" s="92">
        <v>30000</v>
      </c>
    </row>
    <row r="163" spans="1:18" ht="20.25" x14ac:dyDescent="0.25">
      <c r="A163" s="7" t="s">
        <v>826</v>
      </c>
      <c r="B163" s="91" t="s">
        <v>122</v>
      </c>
      <c r="C163" s="92">
        <f>SUMIF(cutts[date],A163,cutts[num])</f>
        <v>0</v>
      </c>
      <c r="D163" s="92"/>
      <c r="E163" s="93">
        <f>SUMIF(packes[date],A163,packes[num])</f>
        <v>0</v>
      </c>
      <c r="F163" s="93">
        <f>SUMIF(packes[date],A163,packes[wPacked])</f>
        <v>0</v>
      </c>
      <c r="G163" s="93"/>
      <c r="H163" s="93">
        <f>reportTbl[[#This Row],[personels]]-reportTbl[[#This Row],[personels]]*2.5/22-0.5</f>
        <v>-0.5</v>
      </c>
      <c r="I163" s="94">
        <f>(reportTbl[[#This Row],[وزن تولید]]*unityCycleTime-reportTbl[[#This Row],[received TimeOut]])/(reportTbl[[#This Row],[available time]]*reportTbl[[#This Row],[تعداد نیرو]])</f>
        <v>0</v>
      </c>
      <c r="J163" s="95"/>
      <c r="K163" s="97"/>
      <c r="L163" s="97"/>
      <c r="M163" s="97"/>
      <c r="N163" s="97"/>
      <c r="O163" s="97">
        <v>0</v>
      </c>
      <c r="P163" s="96" t="s">
        <v>1035</v>
      </c>
      <c r="Q163" s="92">
        <f>_xlfn.XLOOKUP(reportTbl[[#This Row],[date]],IIITbl[date],IIITbl[totalCT],0)</f>
        <v>0</v>
      </c>
      <c r="R163" s="92">
        <v>30000</v>
      </c>
    </row>
    <row r="164" spans="1:18" ht="20.25" x14ac:dyDescent="0.25">
      <c r="A164" s="7" t="s">
        <v>827</v>
      </c>
      <c r="B164" s="91" t="s">
        <v>116</v>
      </c>
      <c r="C164" s="92">
        <f>SUMIF(cutts[date],A164,cutts[num])</f>
        <v>9000</v>
      </c>
      <c r="D164" s="92"/>
      <c r="E164" s="93">
        <f>SUMIF(packes[date],A164,packes[num])</f>
        <v>3375</v>
      </c>
      <c r="F164" s="93">
        <f>SUMIF(packes[date],A164,packes[wPacked])</f>
        <v>4088.8481492567093</v>
      </c>
      <c r="G164" s="93"/>
      <c r="H164" s="93">
        <f>reportTbl[[#This Row],[personels]]-reportTbl[[#This Row],[personels]]*2.5/22-0.5</f>
        <v>-0.5</v>
      </c>
      <c r="I164" s="94">
        <f>(reportTbl[[#This Row],[وزن تولید]]*unityCycleTime-reportTbl[[#This Row],[received TimeOut]])/(reportTbl[[#This Row],[available time]]*reportTbl[[#This Row],[تعداد نیرو]])</f>
        <v>-26.209516636735508</v>
      </c>
      <c r="J164" s="95"/>
      <c r="K164" s="97"/>
      <c r="L164" s="97"/>
      <c r="M164" s="97"/>
      <c r="N164" s="97"/>
      <c r="O164" s="97">
        <v>0</v>
      </c>
      <c r="P164" s="96" t="s">
        <v>1035</v>
      </c>
      <c r="Q164" s="92">
        <f>_xlfn.XLOOKUP(reportTbl[[#This Row],[date]],IIITbl[date],IIITbl[totalCT],0)</f>
        <v>0</v>
      </c>
      <c r="R164" s="92">
        <v>30000</v>
      </c>
    </row>
    <row r="165" spans="1:18" ht="20.25" x14ac:dyDescent="0.25">
      <c r="A165" s="7" t="s">
        <v>828</v>
      </c>
      <c r="B165" s="91" t="s">
        <v>117</v>
      </c>
      <c r="C165" s="92">
        <f>SUMIF(cutts[date],A165,cutts[num])</f>
        <v>0</v>
      </c>
      <c r="D165" s="92"/>
      <c r="E165" s="93">
        <f>SUMIF(packes[date],A165,packes[num])</f>
        <v>3400</v>
      </c>
      <c r="F165" s="93">
        <f>SUMIF(packes[date],A165,packes[wPacked])</f>
        <v>3730.0708370747279</v>
      </c>
      <c r="G165" s="93"/>
      <c r="H165" s="93">
        <f>reportTbl[[#This Row],[personels]]-reportTbl[[#This Row],[personels]]*2.5/22-0.5</f>
        <v>-0.5</v>
      </c>
      <c r="I165" s="94">
        <f>(reportTbl[[#This Row],[وزن تولید]]*unityCycleTime-reportTbl[[#This Row],[received TimeOut]])/(reportTbl[[#This Row],[available time]]*reportTbl[[#This Row],[تعداد نیرو]])</f>
        <v>-23.909754065649008</v>
      </c>
      <c r="J165" s="95"/>
      <c r="K165" s="97"/>
      <c r="L165" s="97"/>
      <c r="M165" s="97"/>
      <c r="N165" s="97"/>
      <c r="O165" s="97">
        <v>0</v>
      </c>
      <c r="P165" s="96" t="s">
        <v>1035</v>
      </c>
      <c r="Q165" s="92">
        <f>_xlfn.XLOOKUP(reportTbl[[#This Row],[date]],IIITbl[date],IIITbl[totalCT],0)</f>
        <v>0</v>
      </c>
      <c r="R165" s="92">
        <v>30000</v>
      </c>
    </row>
    <row r="166" spans="1:18" ht="20.25" x14ac:dyDescent="0.25">
      <c r="A166" s="7" t="s">
        <v>829</v>
      </c>
      <c r="B166" s="91" t="s">
        <v>118</v>
      </c>
      <c r="C166" s="92">
        <f>SUMIF(cutts[date],A166,cutts[num])</f>
        <v>0</v>
      </c>
      <c r="D166" s="92"/>
      <c r="E166" s="93">
        <f>SUMIF(packes[date],A166,packes[num])</f>
        <v>0</v>
      </c>
      <c r="F166" s="93">
        <f>SUMIF(packes[date],A166,packes[wPacked])</f>
        <v>0</v>
      </c>
      <c r="G166" s="93"/>
      <c r="H166" s="93">
        <f>reportTbl[[#This Row],[personels]]-reportTbl[[#This Row],[personels]]*2.5/22-0.5</f>
        <v>-0.5</v>
      </c>
      <c r="I166" s="94">
        <f>(reportTbl[[#This Row],[وزن تولید]]*unityCycleTime-reportTbl[[#This Row],[received TimeOut]])/(reportTbl[[#This Row],[available time]]*reportTbl[[#This Row],[تعداد نیرو]])</f>
        <v>0</v>
      </c>
      <c r="J166" s="95"/>
      <c r="K166" s="97"/>
      <c r="L166" s="97"/>
      <c r="M166" s="97"/>
      <c r="N166" s="97"/>
      <c r="O166" s="97">
        <v>0</v>
      </c>
      <c r="P166" s="96" t="s">
        <v>1035</v>
      </c>
      <c r="Q166" s="92">
        <f>_xlfn.XLOOKUP(reportTbl[[#This Row],[date]],IIITbl[date],IIITbl[totalCT],0)</f>
        <v>0</v>
      </c>
      <c r="R166" s="92">
        <v>30000</v>
      </c>
    </row>
    <row r="167" spans="1:18" ht="20.25" x14ac:dyDescent="0.25">
      <c r="A167" s="7" t="s">
        <v>830</v>
      </c>
      <c r="B167" s="91" t="s">
        <v>119</v>
      </c>
      <c r="C167" s="92">
        <f>SUMIF(cutts[date],A167,cutts[num])</f>
        <v>9000</v>
      </c>
      <c r="D167" s="92"/>
      <c r="E167" s="93">
        <f>SUMIF(packes[date],A167,packes[num])</f>
        <v>4035</v>
      </c>
      <c r="F167" s="93">
        <f>SUMIF(packes[date],A167,packes[wPacked])</f>
        <v>4781.4875785692902</v>
      </c>
      <c r="G167" s="93"/>
      <c r="H167" s="93">
        <f>reportTbl[[#This Row],[personels]]-reportTbl[[#This Row],[personels]]*2.5/22-0.5</f>
        <v>-0.5</v>
      </c>
      <c r="I167" s="94">
        <f>(reportTbl[[#This Row],[وزن تولید]]*unityCycleTime-reportTbl[[#This Row],[received TimeOut]])/(reportTbl[[#This Row],[available time]]*reportTbl[[#This Row],[تعداد نیرو]])</f>
        <v>-30.64933537862915</v>
      </c>
      <c r="J167" s="95"/>
      <c r="K167" s="97"/>
      <c r="L167" s="97"/>
      <c r="M167" s="97"/>
      <c r="N167" s="97"/>
      <c r="O167" s="97">
        <v>0</v>
      </c>
      <c r="P167" s="96" t="s">
        <v>1035</v>
      </c>
      <c r="Q167" s="92">
        <f>_xlfn.XLOOKUP(reportTbl[[#This Row],[date]],IIITbl[date],IIITbl[totalCT],0)</f>
        <v>0</v>
      </c>
      <c r="R167" s="92">
        <v>30000</v>
      </c>
    </row>
    <row r="168" spans="1:18" ht="20.25" x14ac:dyDescent="0.25">
      <c r="A168" s="7" t="s">
        <v>831</v>
      </c>
      <c r="B168" s="91" t="s">
        <v>120</v>
      </c>
      <c r="C168" s="92">
        <f>SUMIF(cutts[date],A168,cutts[num])</f>
        <v>0</v>
      </c>
      <c r="D168" s="92"/>
      <c r="E168" s="93">
        <f>SUMIF(packes[date],A168,packes[num])</f>
        <v>4000</v>
      </c>
      <c r="F168" s="93">
        <f>SUMIF(packes[date],A168,packes[wPacked])</f>
        <v>4504.9236755462434</v>
      </c>
      <c r="G168" s="93"/>
      <c r="H168" s="93">
        <f>reportTbl[[#This Row],[personels]]-reportTbl[[#This Row],[personels]]*2.5/22-0.5</f>
        <v>-0.5</v>
      </c>
      <c r="I168" s="94">
        <f>(reportTbl[[#This Row],[وزن تولید]]*unityCycleTime-reportTbl[[#This Row],[received TimeOut]])/(reportTbl[[#This Row],[available time]]*reportTbl[[#This Row],[تعداد نیرو]])</f>
        <v>-28.876560760251422</v>
      </c>
      <c r="J168" s="95"/>
      <c r="K168" s="97"/>
      <c r="L168" s="97"/>
      <c r="M168" s="97"/>
      <c r="N168" s="97"/>
      <c r="O168" s="97">
        <v>0</v>
      </c>
      <c r="P168" s="96" t="s">
        <v>1035</v>
      </c>
      <c r="Q168" s="92">
        <f>_xlfn.XLOOKUP(reportTbl[[#This Row],[date]],IIITbl[date],IIITbl[totalCT],0)</f>
        <v>0</v>
      </c>
      <c r="R168" s="92">
        <v>30000</v>
      </c>
    </row>
    <row r="169" spans="1:18" ht="20.25" x14ac:dyDescent="0.25">
      <c r="A169" s="7" t="s">
        <v>832</v>
      </c>
      <c r="B169" s="91" t="s">
        <v>121</v>
      </c>
      <c r="C169" s="92">
        <f>SUMIF(cutts[date],A169,cutts[num])</f>
        <v>0</v>
      </c>
      <c r="D169" s="92"/>
      <c r="E169" s="93">
        <f>SUMIF(packes[date],A169,packes[num])</f>
        <v>0</v>
      </c>
      <c r="F169" s="93">
        <f>SUMIF(packes[date],A169,packes[wPacked])</f>
        <v>0</v>
      </c>
      <c r="G169" s="93"/>
      <c r="H169" s="93">
        <f>reportTbl[[#This Row],[personels]]-reportTbl[[#This Row],[personels]]*2.5/22-0.5</f>
        <v>-0.5</v>
      </c>
      <c r="I169" s="94">
        <f>(reportTbl[[#This Row],[وزن تولید]]*unityCycleTime-reportTbl[[#This Row],[received TimeOut]])/(reportTbl[[#This Row],[available time]]*reportTbl[[#This Row],[تعداد نیرو]])</f>
        <v>0</v>
      </c>
      <c r="J169" s="95"/>
      <c r="K169" s="97"/>
      <c r="L169" s="97"/>
      <c r="M169" s="97"/>
      <c r="N169" s="97"/>
      <c r="O169" s="97">
        <v>0</v>
      </c>
      <c r="P169" s="96" t="s">
        <v>1035</v>
      </c>
      <c r="Q169" s="92">
        <f>_xlfn.XLOOKUP(reportTbl[[#This Row],[date]],IIITbl[date],IIITbl[totalCT],0)</f>
        <v>0</v>
      </c>
      <c r="R169" s="92">
        <v>30000</v>
      </c>
    </row>
    <row r="170" spans="1:18" ht="20.25" x14ac:dyDescent="0.25">
      <c r="A170" s="7" t="s">
        <v>833</v>
      </c>
      <c r="B170" s="91" t="s">
        <v>122</v>
      </c>
      <c r="C170" s="92">
        <f>SUMIF(cutts[date],A170,cutts[num])</f>
        <v>0</v>
      </c>
      <c r="D170" s="92"/>
      <c r="E170" s="93">
        <f>SUMIF(packes[date],A170,packes[num])</f>
        <v>0</v>
      </c>
      <c r="F170" s="93">
        <f>SUMIF(packes[date],A170,packes[wPacked])</f>
        <v>0</v>
      </c>
      <c r="G170" s="93"/>
      <c r="H170" s="93">
        <f>reportTbl[[#This Row],[personels]]-reportTbl[[#This Row],[personels]]*2.5/22-0.5</f>
        <v>-0.5</v>
      </c>
      <c r="I170" s="94">
        <f>(reportTbl[[#This Row],[وزن تولید]]*unityCycleTime-reportTbl[[#This Row],[received TimeOut]])/(reportTbl[[#This Row],[available time]]*reportTbl[[#This Row],[تعداد نیرو]])</f>
        <v>0</v>
      </c>
      <c r="J170" s="95"/>
      <c r="K170" s="97"/>
      <c r="L170" s="97"/>
      <c r="M170" s="97"/>
      <c r="N170" s="97"/>
      <c r="O170" s="97">
        <v>0</v>
      </c>
      <c r="P170" s="96" t="s">
        <v>1035</v>
      </c>
      <c r="Q170" s="92">
        <f>_xlfn.XLOOKUP(reportTbl[[#This Row],[date]],IIITbl[date],IIITbl[totalCT],0)</f>
        <v>0</v>
      </c>
      <c r="R170" s="92">
        <v>30000</v>
      </c>
    </row>
    <row r="171" spans="1:18" ht="20.25" x14ac:dyDescent="0.25">
      <c r="A171" s="7" t="s">
        <v>834</v>
      </c>
      <c r="B171" s="91" t="s">
        <v>116</v>
      </c>
      <c r="C171" s="92">
        <f>SUMIF(cutts[date],A171,cutts[num])</f>
        <v>3000</v>
      </c>
      <c r="D171" s="92"/>
      <c r="E171" s="93">
        <f>SUMIF(packes[date],A171,packes[num])</f>
        <v>4075</v>
      </c>
      <c r="F171" s="93">
        <f>SUMIF(packes[date],A171,packes[wPacked])</f>
        <v>4419.3060959792474</v>
      </c>
      <c r="G171" s="93"/>
      <c r="H171" s="93">
        <f>reportTbl[[#This Row],[personels]]-reportTbl[[#This Row],[personels]]*2.5/22-0.5</f>
        <v>-0.5</v>
      </c>
      <c r="I171" s="94">
        <f>(reportTbl[[#This Row],[وزن تولید]]*unityCycleTime-reportTbl[[#This Row],[received TimeOut]])/(reportTbl[[#This Row],[available time]]*reportTbl[[#This Row],[تعداد نیرو]])</f>
        <v>-28.327752075226979</v>
      </c>
      <c r="J171" s="95"/>
      <c r="K171" s="97"/>
      <c r="L171" s="97"/>
      <c r="M171" s="97"/>
      <c r="N171" s="97"/>
      <c r="O171" s="97">
        <v>0</v>
      </c>
      <c r="P171" s="96" t="s">
        <v>1035</v>
      </c>
      <c r="Q171" s="92">
        <f>_xlfn.XLOOKUP(reportTbl[[#This Row],[date]],IIITbl[date],IIITbl[totalCT],0)</f>
        <v>0</v>
      </c>
      <c r="R171" s="92">
        <v>30000</v>
      </c>
    </row>
    <row r="172" spans="1:18" ht="20.25" x14ac:dyDescent="0.25">
      <c r="A172" s="7" t="s">
        <v>835</v>
      </c>
      <c r="B172" s="91" t="s">
        <v>117</v>
      </c>
      <c r="C172" s="92">
        <f>SUMIF(cutts[date],A172,cutts[num])</f>
        <v>5100</v>
      </c>
      <c r="D172" s="92"/>
      <c r="E172" s="93">
        <f>SUMIF(packes[date],A172,packes[num])</f>
        <v>4250</v>
      </c>
      <c r="F172" s="93">
        <f>SUMIF(packes[date],A172,packes[wPacked])</f>
        <v>5057.3081911603304</v>
      </c>
      <c r="G172" s="93"/>
      <c r="H172" s="93">
        <f>reportTbl[[#This Row],[personels]]-reportTbl[[#This Row],[personels]]*2.5/22-0.5</f>
        <v>-0.5</v>
      </c>
      <c r="I172" s="94">
        <f>(reportTbl[[#This Row],[وزن تولید]]*unityCycleTime-reportTbl[[#This Row],[received TimeOut]])/(reportTbl[[#This Row],[available time]]*reportTbl[[#This Row],[تعداد نیرو]])</f>
        <v>-32.417345505337721</v>
      </c>
      <c r="J172" s="95"/>
      <c r="K172" s="97"/>
      <c r="L172" s="97"/>
      <c r="M172" s="97"/>
      <c r="N172" s="97"/>
      <c r="O172" s="97">
        <v>0</v>
      </c>
      <c r="P172" s="96" t="s">
        <v>1035</v>
      </c>
      <c r="Q172" s="92">
        <f>_xlfn.XLOOKUP(reportTbl[[#This Row],[date]],IIITbl[date],IIITbl[totalCT],0)</f>
        <v>0</v>
      </c>
      <c r="R172" s="92">
        <v>30000</v>
      </c>
    </row>
    <row r="173" spans="1:18" ht="20.25" x14ac:dyDescent="0.25">
      <c r="A173" s="7" t="s">
        <v>836</v>
      </c>
      <c r="B173" s="91" t="s">
        <v>118</v>
      </c>
      <c r="C173" s="92">
        <f>SUMIF(cutts[date],A173,cutts[num])</f>
        <v>0</v>
      </c>
      <c r="D173" s="92"/>
      <c r="E173" s="93">
        <f>SUMIF(packes[date],A173,packes[num])</f>
        <v>4025</v>
      </c>
      <c r="F173" s="93">
        <f>SUMIF(packes[date],A173,packes[wPacked])</f>
        <v>4957.3855133193647</v>
      </c>
      <c r="G173" s="93"/>
      <c r="H173" s="93">
        <f>reportTbl[[#This Row],[personels]]-reportTbl[[#This Row],[personels]]*2.5/22-0.5</f>
        <v>-0.5</v>
      </c>
      <c r="I173" s="94">
        <f>(reportTbl[[#This Row],[وزن تولید]]*unityCycleTime-reportTbl[[#This Row],[received TimeOut]])/(reportTbl[[#This Row],[available time]]*reportTbl[[#This Row],[تعداد نیرو]])</f>
        <v>-31.77684114037713</v>
      </c>
      <c r="J173" s="95"/>
      <c r="K173" s="97"/>
      <c r="L173" s="97"/>
      <c r="M173" s="97"/>
      <c r="N173" s="97"/>
      <c r="O173" s="97">
        <v>0</v>
      </c>
      <c r="P173" s="96" t="s">
        <v>1035</v>
      </c>
      <c r="Q173" s="92">
        <f>_xlfn.XLOOKUP(reportTbl[[#This Row],[date]],IIITbl[date],IIITbl[totalCT],0)</f>
        <v>0</v>
      </c>
      <c r="R173" s="92">
        <v>30000</v>
      </c>
    </row>
    <row r="174" spans="1:18" ht="20.25" x14ac:dyDescent="0.25">
      <c r="A174" s="7" t="s">
        <v>837</v>
      </c>
      <c r="B174" s="91" t="s">
        <v>119</v>
      </c>
      <c r="C174" s="92">
        <f>SUMIF(cutts[date],A174,cutts[num])</f>
        <v>3000</v>
      </c>
      <c r="D174" s="92"/>
      <c r="E174" s="93">
        <f>SUMIF(packes[date],A174,packes[num])</f>
        <v>4025</v>
      </c>
      <c r="F174" s="93">
        <f>SUMIF(packes[date],A174,packes[wPacked])</f>
        <v>4895.9268682031325</v>
      </c>
      <c r="G174" s="93"/>
      <c r="H174" s="93">
        <f>reportTbl[[#This Row],[personels]]-reportTbl[[#This Row],[personels]]*2.5/22-0.5</f>
        <v>-0.5</v>
      </c>
      <c r="I174" s="94">
        <f>(reportTbl[[#This Row],[وزن تولید]]*unityCycleTime-reportTbl[[#This Row],[received TimeOut]])/(reportTbl[[#This Row],[available time]]*reportTbl[[#This Row],[تعداد نیرو]])</f>
        <v>-31.382891225182082</v>
      </c>
      <c r="J174" s="95"/>
      <c r="K174" s="97"/>
      <c r="L174" s="97"/>
      <c r="M174" s="97"/>
      <c r="N174" s="97"/>
      <c r="O174" s="97">
        <v>0</v>
      </c>
      <c r="P174" s="96" t="s">
        <v>1035</v>
      </c>
      <c r="Q174" s="92">
        <f>_xlfn.XLOOKUP(reportTbl[[#This Row],[date]],IIITbl[date],IIITbl[totalCT],0)</f>
        <v>0</v>
      </c>
      <c r="R174" s="92">
        <v>30000</v>
      </c>
    </row>
    <row r="175" spans="1:18" ht="20.25" x14ac:dyDescent="0.25">
      <c r="A175" s="7" t="s">
        <v>838</v>
      </c>
      <c r="B175" s="91" t="s">
        <v>120</v>
      </c>
      <c r="C175" s="92">
        <f>SUMIF(cutts[date],A175,cutts[num])</f>
        <v>0</v>
      </c>
      <c r="D175" s="92"/>
      <c r="E175" s="93">
        <f>SUMIF(packes[date],A175,packes[num])</f>
        <v>0</v>
      </c>
      <c r="F175" s="93">
        <f>SUMIF(packes[date],A175,packes[wPacked])</f>
        <v>0</v>
      </c>
      <c r="G175" s="93"/>
      <c r="H175" s="93">
        <f>reportTbl[[#This Row],[personels]]-reportTbl[[#This Row],[personels]]*2.5/22-0.5</f>
        <v>-0.5</v>
      </c>
      <c r="I175" s="94">
        <f>(reportTbl[[#This Row],[وزن تولید]]*unityCycleTime-reportTbl[[#This Row],[received TimeOut]])/(reportTbl[[#This Row],[available time]]*reportTbl[[#This Row],[تعداد نیرو]])</f>
        <v>0</v>
      </c>
      <c r="J175" s="95"/>
      <c r="K175" s="97"/>
      <c r="L175" s="97"/>
      <c r="M175" s="97"/>
      <c r="N175" s="97"/>
      <c r="O175" s="97">
        <v>0</v>
      </c>
      <c r="P175" s="96" t="s">
        <v>1035</v>
      </c>
      <c r="Q175" s="92">
        <f>_xlfn.XLOOKUP(reportTbl[[#This Row],[date]],IIITbl[date],IIITbl[totalCT],0)</f>
        <v>0</v>
      </c>
      <c r="R175" s="92">
        <v>30000</v>
      </c>
    </row>
    <row r="176" spans="1:18" ht="20.25" x14ac:dyDescent="0.25">
      <c r="A176" s="7" t="s">
        <v>839</v>
      </c>
      <c r="B176" s="91" t="s">
        <v>121</v>
      </c>
      <c r="C176" s="92">
        <f>SUMIF(cutts[date],A176,cutts[num])</f>
        <v>0</v>
      </c>
      <c r="D176" s="92"/>
      <c r="E176" s="93">
        <f>SUMIF(packes[date],A176,packes[num])</f>
        <v>0</v>
      </c>
      <c r="F176" s="93">
        <f>SUMIF(packes[date],A176,packes[wPacked])</f>
        <v>0</v>
      </c>
      <c r="G176" s="93"/>
      <c r="H176" s="93">
        <f>reportTbl[[#This Row],[personels]]-reportTbl[[#This Row],[personels]]*2.5/22-0.5</f>
        <v>-0.5</v>
      </c>
      <c r="I176" s="94">
        <f>(reportTbl[[#This Row],[وزن تولید]]*unityCycleTime-reportTbl[[#This Row],[received TimeOut]])/(reportTbl[[#This Row],[available time]]*reportTbl[[#This Row],[تعداد نیرو]])</f>
        <v>0</v>
      </c>
      <c r="J176" s="95"/>
      <c r="K176" s="97"/>
      <c r="L176" s="97"/>
      <c r="M176" s="97"/>
      <c r="N176" s="97"/>
      <c r="O176" s="97">
        <v>0</v>
      </c>
      <c r="P176" s="96" t="s">
        <v>1035</v>
      </c>
      <c r="Q176" s="92">
        <f>_xlfn.XLOOKUP(reportTbl[[#This Row],[date]],IIITbl[date],IIITbl[totalCT],0)</f>
        <v>0</v>
      </c>
      <c r="R176" s="92">
        <v>30000</v>
      </c>
    </row>
    <row r="177" spans="1:18" ht="20.25" x14ac:dyDescent="0.25">
      <c r="A177" s="7" t="s">
        <v>840</v>
      </c>
      <c r="B177" s="91" t="s">
        <v>122</v>
      </c>
      <c r="C177" s="92">
        <f>SUMIF(cutts[date],A177,cutts[num])</f>
        <v>0</v>
      </c>
      <c r="D177" s="92"/>
      <c r="E177" s="93">
        <f>SUMIF(packes[date],A177,packes[num])</f>
        <v>0</v>
      </c>
      <c r="F177" s="93">
        <f>SUMIF(packes[date],A177,packes[wPacked])</f>
        <v>0</v>
      </c>
      <c r="G177" s="93"/>
      <c r="H177" s="93">
        <f>reportTbl[[#This Row],[personels]]-reportTbl[[#This Row],[personels]]*2.5/22-0.5</f>
        <v>-0.5</v>
      </c>
      <c r="I177" s="94">
        <f>(reportTbl[[#This Row],[وزن تولید]]*unityCycleTime-reportTbl[[#This Row],[received TimeOut]])/(reportTbl[[#This Row],[available time]]*reportTbl[[#This Row],[تعداد نیرو]])</f>
        <v>0</v>
      </c>
      <c r="J177" s="95"/>
      <c r="K177" s="97"/>
      <c r="L177" s="97"/>
      <c r="M177" s="97"/>
      <c r="N177" s="97"/>
      <c r="O177" s="97">
        <v>0</v>
      </c>
      <c r="P177" s="96" t="s">
        <v>1035</v>
      </c>
      <c r="Q177" s="92">
        <f>_xlfn.XLOOKUP(reportTbl[[#This Row],[date]],IIITbl[date],IIITbl[totalCT],0)</f>
        <v>0</v>
      </c>
      <c r="R177" s="92">
        <v>30000</v>
      </c>
    </row>
    <row r="178" spans="1:18" ht="20.25" x14ac:dyDescent="0.25">
      <c r="A178" s="7" t="s">
        <v>841</v>
      </c>
      <c r="B178" s="91" t="s">
        <v>116</v>
      </c>
      <c r="C178" s="92">
        <f>SUMIF(cutts[date],A178,cutts[num])</f>
        <v>3500</v>
      </c>
      <c r="D178" s="92"/>
      <c r="E178" s="93">
        <f>SUMIF(packes[date],A178,packes[num])</f>
        <v>4025</v>
      </c>
      <c r="F178" s="93">
        <f>SUMIF(packes[date],A178,packes[wPacked])</f>
        <v>4922.3361269081106</v>
      </c>
      <c r="G178" s="93"/>
      <c r="H178" s="93">
        <f>reportTbl[[#This Row],[personels]]-reportTbl[[#This Row],[personels]]*2.5/22-0.5</f>
        <v>-0.5</v>
      </c>
      <c r="I178" s="94">
        <f>(reportTbl[[#This Row],[وزن تولید]]*unityCycleTime-reportTbl[[#This Row],[received TimeOut]])/(reportTbl[[#This Row],[available time]]*reportTbl[[#This Row],[تعداد نیرو]])</f>
        <v>-31.55217457348099</v>
      </c>
      <c r="J178" s="95"/>
      <c r="K178" s="97"/>
      <c r="L178" s="97"/>
      <c r="M178" s="97"/>
      <c r="N178" s="97"/>
      <c r="O178" s="97">
        <v>0</v>
      </c>
      <c r="P178" s="96" t="s">
        <v>1035</v>
      </c>
      <c r="Q178" s="92">
        <f>_xlfn.XLOOKUP(reportTbl[[#This Row],[date]],IIITbl[date],IIITbl[totalCT],0)</f>
        <v>0</v>
      </c>
      <c r="R178" s="92">
        <v>30000</v>
      </c>
    </row>
    <row r="179" spans="1:18" ht="20.25" x14ac:dyDescent="0.25">
      <c r="A179" s="7" t="s">
        <v>842</v>
      </c>
      <c r="B179" s="91" t="s">
        <v>117</v>
      </c>
      <c r="C179" s="92">
        <f>SUMIF(cutts[date],A179,cutts[num])</f>
        <v>2000</v>
      </c>
      <c r="D179" s="92"/>
      <c r="E179" s="93">
        <f>SUMIF(packes[date],A179,packes[num])</f>
        <v>4010</v>
      </c>
      <c r="F179" s="93">
        <f>SUMIF(packes[date],A179,packes[wPacked])</f>
        <v>4913.6885164122514</v>
      </c>
      <c r="G179" s="93"/>
      <c r="H179" s="93">
        <f>reportTbl[[#This Row],[personels]]-reportTbl[[#This Row],[personels]]*2.5/22-0.5</f>
        <v>-0.5</v>
      </c>
      <c r="I179" s="94">
        <f>(reportTbl[[#This Row],[وزن تولید]]*unityCycleTime-reportTbl[[#This Row],[received TimeOut]])/(reportTbl[[#This Row],[available time]]*reportTbl[[#This Row],[تعداد نیرو]])</f>
        <v>-31.496743390202536</v>
      </c>
      <c r="J179" s="95"/>
      <c r="K179" s="97"/>
      <c r="L179" s="97"/>
      <c r="M179" s="97"/>
      <c r="N179" s="97"/>
      <c r="O179" s="97">
        <v>0</v>
      </c>
      <c r="P179" s="96" t="s">
        <v>1035</v>
      </c>
      <c r="Q179" s="92">
        <f>_xlfn.XLOOKUP(reportTbl[[#This Row],[date]],IIITbl[date],IIITbl[totalCT],0)</f>
        <v>0</v>
      </c>
      <c r="R179" s="92">
        <v>30000</v>
      </c>
    </row>
    <row r="180" spans="1:18" ht="20.25" x14ac:dyDescent="0.25">
      <c r="A180" s="7" t="s">
        <v>843</v>
      </c>
      <c r="B180" s="91" t="s">
        <v>118</v>
      </c>
      <c r="C180" s="92">
        <f>SUMIF(cutts[date],A180,cutts[num])</f>
        <v>3000</v>
      </c>
      <c r="D180" s="92"/>
      <c r="E180" s="93">
        <f>SUMIF(packes[date],A180,packes[num])</f>
        <v>4050</v>
      </c>
      <c r="F180" s="93">
        <f>SUMIF(packes[date],A180,packes[wPacked])</f>
        <v>5142.8065449466221</v>
      </c>
      <c r="G180" s="93"/>
      <c r="H180" s="93">
        <f>reportTbl[[#This Row],[personels]]-reportTbl[[#This Row],[personels]]*2.5/22-0.5</f>
        <v>-0.5</v>
      </c>
      <c r="I180" s="94">
        <f>(reportTbl[[#This Row],[وزن تولید]]*unityCycleTime-reportTbl[[#This Row],[received TimeOut]])/(reportTbl[[#This Row],[available time]]*reportTbl[[#This Row],[تعداد نیرو]])</f>
        <v>-32.965389953107845</v>
      </c>
      <c r="J180" s="95"/>
      <c r="K180" s="97"/>
      <c r="L180" s="97"/>
      <c r="M180" s="97"/>
      <c r="N180" s="97"/>
      <c r="O180" s="97">
        <v>0</v>
      </c>
      <c r="P180" s="96" t="s">
        <v>1035</v>
      </c>
      <c r="Q180" s="92">
        <f>_xlfn.XLOOKUP(reportTbl[[#This Row],[date]],IIITbl[date],IIITbl[totalCT],0)</f>
        <v>0</v>
      </c>
      <c r="R180" s="92">
        <v>30000</v>
      </c>
    </row>
    <row r="181" spans="1:18" ht="20.25" x14ac:dyDescent="0.25">
      <c r="A181" s="7" t="s">
        <v>844</v>
      </c>
      <c r="B181" s="91" t="s">
        <v>119</v>
      </c>
      <c r="C181" s="92">
        <f>SUMIF(cutts[date],A181,cutts[num])</f>
        <v>3001</v>
      </c>
      <c r="D181" s="92"/>
      <c r="E181" s="93">
        <f>SUMIF(packes[date],A181,packes[num])</f>
        <v>4125</v>
      </c>
      <c r="F181" s="93">
        <f>SUMIF(packes[date],A181,packes[wPacked])</f>
        <v>5102.2523196647708</v>
      </c>
      <c r="G181" s="93"/>
      <c r="H181" s="93">
        <f>reportTbl[[#This Row],[personels]]-reportTbl[[#This Row],[personels]]*2.5/22-0.5</f>
        <v>-0.5</v>
      </c>
      <c r="I181" s="94">
        <f>(reportTbl[[#This Row],[وزن تولید]]*unityCycleTime-reportTbl[[#This Row],[received TimeOut]])/(reportTbl[[#This Row],[available time]]*reportTbl[[#This Row],[تعداد نیرو]])</f>
        <v>-32.705437369051182</v>
      </c>
      <c r="J181" s="95"/>
      <c r="K181" s="97"/>
      <c r="L181" s="97"/>
      <c r="M181" s="97"/>
      <c r="N181" s="97"/>
      <c r="O181" s="97">
        <v>0</v>
      </c>
      <c r="P181" s="96" t="s">
        <v>1035</v>
      </c>
      <c r="Q181" s="92">
        <f>_xlfn.XLOOKUP(reportTbl[[#This Row],[date]],IIITbl[date],IIITbl[totalCT],0)</f>
        <v>0</v>
      </c>
      <c r="R181" s="92">
        <v>30000</v>
      </c>
    </row>
    <row r="182" spans="1:18" ht="20.25" x14ac:dyDescent="0.25">
      <c r="A182" s="7" t="s">
        <v>845</v>
      </c>
      <c r="B182" s="91" t="s">
        <v>120</v>
      </c>
      <c r="C182" s="92">
        <f>SUMIF(cutts[date],A182,cutts[num])</f>
        <v>3600</v>
      </c>
      <c r="D182" s="92"/>
      <c r="E182" s="93">
        <f>SUMIF(packes[date],A182,packes[num])</f>
        <v>4000</v>
      </c>
      <c r="F182" s="93">
        <f>SUMIF(packes[date],A182,packes[wPacked])</f>
        <v>4922.4977551631246</v>
      </c>
      <c r="G182" s="93"/>
      <c r="H182" s="93">
        <f>reportTbl[[#This Row],[personels]]-reportTbl[[#This Row],[personels]]*2.5/22-0.5</f>
        <v>-0.5</v>
      </c>
      <c r="I182" s="94">
        <f>(reportTbl[[#This Row],[وزن تولید]]*unityCycleTime-reportTbl[[#This Row],[received TimeOut]])/(reportTbl[[#This Row],[available time]]*reportTbl[[#This Row],[تعداد نیرو]])</f>
        <v>-31.553210610595627</v>
      </c>
      <c r="J182" s="95"/>
      <c r="K182" s="97"/>
      <c r="L182" s="97"/>
      <c r="M182" s="97"/>
      <c r="N182" s="97"/>
      <c r="O182" s="97">
        <v>0</v>
      </c>
      <c r="P182" s="96" t="s">
        <v>1035</v>
      </c>
      <c r="Q182" s="92">
        <f>_xlfn.XLOOKUP(reportTbl[[#This Row],[date]],IIITbl[date],IIITbl[totalCT],0)</f>
        <v>0</v>
      </c>
      <c r="R182" s="92">
        <v>30000</v>
      </c>
    </row>
    <row r="183" spans="1:18" ht="20.25" x14ac:dyDescent="0.25">
      <c r="A183" s="7" t="s">
        <v>846</v>
      </c>
      <c r="B183" s="91" t="s">
        <v>121</v>
      </c>
      <c r="C183" s="92">
        <f>SUMIF(cutts[date],A183,cutts[num])</f>
        <v>6000</v>
      </c>
      <c r="D183" s="92"/>
      <c r="E183" s="93">
        <f>SUMIF(packes[date],A183,packes[num])</f>
        <v>3000</v>
      </c>
      <c r="F183" s="93">
        <f>SUMIF(packes[date],A183,packes[wPacked])</f>
        <v>3254.4747081712062</v>
      </c>
      <c r="G183" s="93"/>
      <c r="H183" s="93">
        <f>reportTbl[[#This Row],[personels]]-reportTbl[[#This Row],[personels]]*2.5/22-0.5</f>
        <v>-0.5</v>
      </c>
      <c r="I183" s="94">
        <f>(reportTbl[[#This Row],[وزن تولید]]*unityCycleTime-reportTbl[[#This Row],[received TimeOut]])/(reportTbl[[#This Row],[available time]]*reportTbl[[#This Row],[تعداد نیرو]])</f>
        <v>-20.861182879377431</v>
      </c>
      <c r="J183" s="95"/>
      <c r="K183" s="97"/>
      <c r="L183" s="97"/>
      <c r="M183" s="97"/>
      <c r="N183" s="97"/>
      <c r="O183" s="97">
        <v>0</v>
      </c>
      <c r="P183" s="96" t="s">
        <v>1035</v>
      </c>
      <c r="Q183" s="92">
        <f>_xlfn.XLOOKUP(reportTbl[[#This Row],[date]],IIITbl[date],IIITbl[totalCT],0)</f>
        <v>0</v>
      </c>
      <c r="R183" s="92">
        <v>30000</v>
      </c>
    </row>
    <row r="184" spans="1:18" ht="20.25" x14ac:dyDescent="0.25">
      <c r="A184" s="7" t="s">
        <v>847</v>
      </c>
      <c r="B184" s="91" t="s">
        <v>122</v>
      </c>
      <c r="C184" s="92">
        <f>SUMIF(cutts[date],A184,cutts[num])</f>
        <v>0</v>
      </c>
      <c r="D184" s="92"/>
      <c r="E184" s="93">
        <f>SUMIF(packes[date],A184,packes[num])</f>
        <v>0</v>
      </c>
      <c r="F184" s="93">
        <f>SUMIF(packes[date],A184,packes[wPacked])</f>
        <v>0</v>
      </c>
      <c r="G184" s="93"/>
      <c r="H184" s="93">
        <f>reportTbl[[#This Row],[personels]]-reportTbl[[#This Row],[personels]]*2.5/22-0.5</f>
        <v>-0.5</v>
      </c>
      <c r="I184" s="94">
        <f>(reportTbl[[#This Row],[وزن تولید]]*unityCycleTime-reportTbl[[#This Row],[received TimeOut]])/(reportTbl[[#This Row],[available time]]*reportTbl[[#This Row],[تعداد نیرو]])</f>
        <v>0</v>
      </c>
      <c r="J184" s="95"/>
      <c r="K184" s="97"/>
      <c r="L184" s="97"/>
      <c r="M184" s="97"/>
      <c r="N184" s="97"/>
      <c r="O184" s="97">
        <v>0</v>
      </c>
      <c r="P184" s="96" t="s">
        <v>1035</v>
      </c>
      <c r="Q184" s="92">
        <f>_xlfn.XLOOKUP(reportTbl[[#This Row],[date]],IIITbl[date],IIITbl[totalCT],0)</f>
        <v>0</v>
      </c>
      <c r="R184" s="92">
        <v>30000</v>
      </c>
    </row>
    <row r="185" spans="1:18" ht="20.25" x14ac:dyDescent="0.25">
      <c r="A185" s="7" t="s">
        <v>848</v>
      </c>
      <c r="B185" s="91" t="s">
        <v>116</v>
      </c>
      <c r="C185" s="92">
        <f>SUMIF(cutts[date],A185,cutts[num])</f>
        <v>7700</v>
      </c>
      <c r="D185" s="92"/>
      <c r="E185" s="93">
        <f>SUMIF(packes[date],A185,packes[num])</f>
        <v>6525</v>
      </c>
      <c r="F185" s="93">
        <f>SUMIF(packes[date],A185,packes[wPacked])</f>
        <v>7035.4709168911504</v>
      </c>
      <c r="G185" s="93"/>
      <c r="H185" s="93">
        <f>reportTbl[[#This Row],[personels]]-reportTbl[[#This Row],[personels]]*2.5/22-0.5</f>
        <v>-0.5</v>
      </c>
      <c r="I185" s="94">
        <f>(reportTbl[[#This Row],[وزن تولید]]*unityCycleTime-reportTbl[[#This Row],[received TimeOut]])/(reportTbl[[#This Row],[available time]]*reportTbl[[#This Row],[تعداد نیرو]])</f>
        <v>-45.097368577272277</v>
      </c>
      <c r="J185" s="95"/>
      <c r="K185" s="97"/>
      <c r="L185" s="97"/>
      <c r="M185" s="97"/>
      <c r="N185" s="97"/>
      <c r="O185" s="97">
        <v>0</v>
      </c>
      <c r="P185" s="96" t="s">
        <v>1035</v>
      </c>
      <c r="Q185" s="92">
        <f>_xlfn.XLOOKUP(reportTbl[[#This Row],[date]],IIITbl[date],IIITbl[totalCT],0)</f>
        <v>0</v>
      </c>
      <c r="R185" s="92">
        <v>30000</v>
      </c>
    </row>
    <row r="186" spans="1:18" ht="20.25" x14ac:dyDescent="0.25">
      <c r="A186" s="7" t="s">
        <v>849</v>
      </c>
      <c r="B186" s="91" t="s">
        <v>117</v>
      </c>
      <c r="C186" s="92">
        <f>SUMIF(cutts[date],A186,cutts[num])</f>
        <v>6000</v>
      </c>
      <c r="D186" s="92"/>
      <c r="E186" s="93">
        <f>SUMIF(packes[date],A186,packes[num])</f>
        <v>6130</v>
      </c>
      <c r="F186" s="93">
        <f>SUMIF(packes[date],A186,packes[wPacked])</f>
        <v>7079.5769729621861</v>
      </c>
      <c r="G186" s="93"/>
      <c r="H186" s="93">
        <f>reportTbl[[#This Row],[personels]]-reportTbl[[#This Row],[personels]]*2.5/22-0.5</f>
        <v>-0.5</v>
      </c>
      <c r="I186" s="94">
        <f>(reportTbl[[#This Row],[وزن تولید]]*unityCycleTime-reportTbl[[#This Row],[received TimeOut]])/(reportTbl[[#This Row],[available time]]*reportTbl[[#This Row],[تعداد نیرو]])</f>
        <v>-45.380088396687619</v>
      </c>
      <c r="J186" s="95"/>
      <c r="K186" s="97"/>
      <c r="L186" s="97"/>
      <c r="M186" s="97"/>
      <c r="N186" s="97"/>
      <c r="O186" s="97">
        <v>0</v>
      </c>
      <c r="P186" s="96" t="s">
        <v>1035</v>
      </c>
      <c r="Q186" s="92">
        <f>_xlfn.XLOOKUP(reportTbl[[#This Row],[date]],IIITbl[date],IIITbl[totalCT],0)</f>
        <v>0</v>
      </c>
      <c r="R186" s="92">
        <v>30000</v>
      </c>
    </row>
    <row r="187" spans="1:18" ht="20.25" x14ac:dyDescent="0.25">
      <c r="A187" s="7" t="s">
        <v>850</v>
      </c>
      <c r="B187" s="91" t="s">
        <v>118</v>
      </c>
      <c r="C187" s="92">
        <f>SUMIF(cutts[date],A187,cutts[num])</f>
        <v>8000</v>
      </c>
      <c r="D187" s="92"/>
      <c r="E187" s="93">
        <f>SUMIF(packes[date],A187,packes[num])</f>
        <v>6549</v>
      </c>
      <c r="F187" s="93">
        <f>SUMIF(packes[date],A187,packes[wPacked])</f>
        <v>7674.8254015763732</v>
      </c>
      <c r="G187" s="93"/>
      <c r="H187" s="93">
        <f>reportTbl[[#This Row],[personels]]-reportTbl[[#This Row],[personels]]*2.5/22-0.5</f>
        <v>-0.5</v>
      </c>
      <c r="I187" s="94">
        <f>(reportTbl[[#This Row],[وزن تولید]]*unityCycleTime-reportTbl[[#This Row],[received TimeOut]])/(reportTbl[[#This Row],[available time]]*reportTbl[[#This Row],[تعداد نیرو]])</f>
        <v>-49.195630824104555</v>
      </c>
      <c r="J187" s="95"/>
      <c r="K187" s="97"/>
      <c r="L187" s="97"/>
      <c r="M187" s="97"/>
      <c r="N187" s="97"/>
      <c r="O187" s="97">
        <v>0</v>
      </c>
      <c r="P187" s="96" t="s">
        <v>1035</v>
      </c>
      <c r="Q187" s="92">
        <f>_xlfn.XLOOKUP(reportTbl[[#This Row],[date]],IIITbl[date],IIITbl[totalCT],0)</f>
        <v>0</v>
      </c>
      <c r="R187" s="92">
        <v>30000</v>
      </c>
    </row>
    <row r="188" spans="1:18" ht="20.25" x14ac:dyDescent="0.25">
      <c r="A188" s="7" t="s">
        <v>851</v>
      </c>
      <c r="B188" s="91" t="s">
        <v>119</v>
      </c>
      <c r="C188" s="92">
        <f>SUMIF(cutts[date],A188,cutts[num])</f>
        <v>3000</v>
      </c>
      <c r="D188" s="92"/>
      <c r="E188" s="93">
        <f>SUMIF(packes[date],A188,packes[num])</f>
        <v>6500</v>
      </c>
      <c r="F188" s="93">
        <f>SUMIF(packes[date],A188,packes[wPacked])</f>
        <v>7692.9412351591327</v>
      </c>
      <c r="G188" s="93"/>
      <c r="H188" s="93">
        <f>reportTbl[[#This Row],[personels]]-reportTbl[[#This Row],[personels]]*2.5/22-0.5</f>
        <v>-0.5</v>
      </c>
      <c r="I188" s="94">
        <f>(reportTbl[[#This Row],[وزن تولید]]*unityCycleTime-reportTbl[[#This Row],[received TimeOut]])/(reportTbl[[#This Row],[available time]]*reportTbl[[#This Row],[تعداد نیرو]])</f>
        <v>-49.311753317370041</v>
      </c>
      <c r="J188" s="95"/>
      <c r="K188" s="97"/>
      <c r="L188" s="97"/>
      <c r="M188" s="97"/>
      <c r="N188" s="97"/>
      <c r="O188" s="97">
        <v>0</v>
      </c>
      <c r="P188" s="96" t="s">
        <v>1036</v>
      </c>
      <c r="Q188" s="92">
        <f>_xlfn.XLOOKUP(reportTbl[[#This Row],[date]],IIITbl[date],IIITbl[totalCT],0)</f>
        <v>0</v>
      </c>
      <c r="R188" s="92">
        <v>30000</v>
      </c>
    </row>
    <row r="189" spans="1:18" ht="20.25" x14ac:dyDescent="0.25">
      <c r="A189" s="7" t="s">
        <v>852</v>
      </c>
      <c r="B189" s="91" t="s">
        <v>120</v>
      </c>
      <c r="C189" s="92">
        <f>SUMIF(cutts[date],A189,cutts[num])</f>
        <v>0</v>
      </c>
      <c r="D189" s="92"/>
      <c r="E189" s="93">
        <f>SUMIF(packes[date],A189,packes[num])</f>
        <v>6800</v>
      </c>
      <c r="F189" s="93">
        <f>SUMIF(packes[date],A189,packes[wPacked])</f>
        <v>7486.5509328544349</v>
      </c>
      <c r="G189" s="93"/>
      <c r="H189" s="93">
        <f>reportTbl[[#This Row],[personels]]-reportTbl[[#This Row],[personels]]*2.5/22-0.5</f>
        <v>-0.5</v>
      </c>
      <c r="I189" s="94">
        <f>(reportTbl[[#This Row],[وزن تولید]]*unityCycleTime-reportTbl[[#This Row],[received TimeOut]])/(reportTbl[[#This Row],[available time]]*reportTbl[[#This Row],[تعداد نیرو]])</f>
        <v>-47.988791479596934</v>
      </c>
      <c r="J189" s="95"/>
      <c r="K189" s="97"/>
      <c r="L189" s="97"/>
      <c r="M189" s="97"/>
      <c r="N189" s="97"/>
      <c r="O189" s="97">
        <v>0</v>
      </c>
      <c r="P189" s="96" t="s">
        <v>1036</v>
      </c>
      <c r="Q189" s="92">
        <f>_xlfn.XLOOKUP(reportTbl[[#This Row],[date]],IIITbl[date],IIITbl[totalCT],0)</f>
        <v>0</v>
      </c>
      <c r="R189" s="92">
        <v>30000</v>
      </c>
    </row>
    <row r="190" spans="1:18" ht="20.25" x14ac:dyDescent="0.25">
      <c r="A190" s="7" t="s">
        <v>853</v>
      </c>
      <c r="B190" s="91" t="s">
        <v>121</v>
      </c>
      <c r="C190" s="92">
        <f>SUMIF(cutts[date],A190,cutts[num])</f>
        <v>0</v>
      </c>
      <c r="D190" s="92"/>
      <c r="E190" s="93">
        <f>SUMIF(packes[date],A190,packes[num])</f>
        <v>0</v>
      </c>
      <c r="F190" s="93">
        <f>SUMIF(packes[date],A190,packes[wPacked])</f>
        <v>0</v>
      </c>
      <c r="G190" s="93"/>
      <c r="H190" s="93">
        <f>reportTbl[[#This Row],[personels]]-reportTbl[[#This Row],[personels]]*2.5/22-0.5</f>
        <v>-0.5</v>
      </c>
      <c r="I190" s="94">
        <f>(reportTbl[[#This Row],[وزن تولید]]*unityCycleTime-reportTbl[[#This Row],[received TimeOut]])/(reportTbl[[#This Row],[available time]]*reportTbl[[#This Row],[تعداد نیرو]])</f>
        <v>0</v>
      </c>
      <c r="J190" s="95"/>
      <c r="K190" s="97"/>
      <c r="L190" s="97"/>
      <c r="M190" s="97"/>
      <c r="N190" s="97"/>
      <c r="O190" s="97">
        <v>0</v>
      </c>
      <c r="P190" s="96" t="s">
        <v>1036</v>
      </c>
      <c r="Q190" s="92">
        <f>_xlfn.XLOOKUP(reportTbl[[#This Row],[date]],IIITbl[date],IIITbl[totalCT],0)</f>
        <v>0</v>
      </c>
      <c r="R190" s="92">
        <v>30000</v>
      </c>
    </row>
    <row r="191" spans="1:18" ht="20.25" x14ac:dyDescent="0.25">
      <c r="A191" s="7" t="s">
        <v>854</v>
      </c>
      <c r="B191" s="91" t="s">
        <v>122</v>
      </c>
      <c r="C191" s="92">
        <f>SUMIF(cutts[date],A191,cutts[num])</f>
        <v>0</v>
      </c>
      <c r="D191" s="92"/>
      <c r="E191" s="93">
        <f>SUMIF(packes[date],A191,packes[num])</f>
        <v>0</v>
      </c>
      <c r="F191" s="93">
        <f>SUMIF(packes[date],A191,packes[wPacked])</f>
        <v>0</v>
      </c>
      <c r="G191" s="93"/>
      <c r="H191" s="93">
        <f>reportTbl[[#This Row],[personels]]-reportTbl[[#This Row],[personels]]*2.5/22-0.5</f>
        <v>-0.5</v>
      </c>
      <c r="I191" s="94">
        <f>(reportTbl[[#This Row],[وزن تولید]]*unityCycleTime-reportTbl[[#This Row],[received TimeOut]])/(reportTbl[[#This Row],[available time]]*reportTbl[[#This Row],[تعداد نیرو]])</f>
        <v>0</v>
      </c>
      <c r="J191" s="95"/>
      <c r="K191" s="97"/>
      <c r="L191" s="97"/>
      <c r="M191" s="97"/>
      <c r="N191" s="97"/>
      <c r="O191" s="97">
        <v>0</v>
      </c>
      <c r="P191" s="96" t="s">
        <v>1036</v>
      </c>
      <c r="Q191" s="92">
        <f>_xlfn.XLOOKUP(reportTbl[[#This Row],[date]],IIITbl[date],IIITbl[totalCT],0)</f>
        <v>0</v>
      </c>
      <c r="R191" s="92">
        <v>30000</v>
      </c>
    </row>
    <row r="192" spans="1:18" ht="20.25" x14ac:dyDescent="0.25">
      <c r="A192" s="7" t="s">
        <v>855</v>
      </c>
      <c r="B192" s="91" t="s">
        <v>116</v>
      </c>
      <c r="C192" s="92">
        <f>SUMIF(cutts[date],A192,cutts[num])</f>
        <v>5100</v>
      </c>
      <c r="D192" s="92"/>
      <c r="E192" s="93">
        <f>SUMIF(packes[date],A192,packes[num])</f>
        <v>6450</v>
      </c>
      <c r="F192" s="93">
        <f>SUMIF(packes[date],A192,packes[wPacked])</f>
        <v>8369.4552529182874</v>
      </c>
      <c r="G192" s="93"/>
      <c r="H192" s="93">
        <f>reportTbl[[#This Row],[personels]]-reportTbl[[#This Row],[personels]]*2.5/22-0.5</f>
        <v>-0.5</v>
      </c>
      <c r="I192" s="94">
        <f>(reportTbl[[#This Row],[وزن تولید]]*unityCycleTime-reportTbl[[#This Row],[received TimeOut]])/(reportTbl[[#This Row],[available time]]*reportTbl[[#This Row],[تعداد نیرو]])</f>
        <v>-53.648208171206221</v>
      </c>
      <c r="J192" s="95"/>
      <c r="K192" s="97"/>
      <c r="L192" s="97"/>
      <c r="M192" s="97"/>
      <c r="N192" s="97"/>
      <c r="O192" s="97">
        <v>0</v>
      </c>
      <c r="P192" s="96" t="s">
        <v>1036</v>
      </c>
      <c r="Q192" s="92">
        <f>_xlfn.XLOOKUP(reportTbl[[#This Row],[date]],IIITbl[date],IIITbl[totalCT],0)</f>
        <v>0</v>
      </c>
      <c r="R192" s="92">
        <v>30000</v>
      </c>
    </row>
    <row r="193" spans="1:18" ht="20.25" x14ac:dyDescent="0.25">
      <c r="A193" s="7" t="s">
        <v>856</v>
      </c>
      <c r="B193" s="91" t="s">
        <v>117</v>
      </c>
      <c r="C193" s="92">
        <f>SUMIF(cutts[date],A193,cutts[num])</f>
        <v>0</v>
      </c>
      <c r="D193" s="92"/>
      <c r="E193" s="93">
        <f>SUMIF(packes[date],A193,packes[num])</f>
        <v>2575</v>
      </c>
      <c r="F193" s="93">
        <f>SUMIF(packes[date],A193,packes[wPacked])</f>
        <v>3389.3769330539753</v>
      </c>
      <c r="G193" s="93"/>
      <c r="H193" s="93">
        <f>reportTbl[[#This Row],[personels]]-reportTbl[[#This Row],[personels]]*2.5/22-0.5</f>
        <v>-0.5</v>
      </c>
      <c r="I193" s="94">
        <f>(reportTbl[[#This Row],[وزن تولید]]*unityCycleTime-reportTbl[[#This Row],[received TimeOut]])/(reportTbl[[#This Row],[available time]]*reportTbl[[#This Row],[تعداد نیرو]])</f>
        <v>-21.725906140875985</v>
      </c>
      <c r="J193" s="95"/>
      <c r="K193" s="97"/>
      <c r="L193" s="97"/>
      <c r="M193" s="97"/>
      <c r="N193" s="97"/>
      <c r="O193" s="97">
        <v>0</v>
      </c>
      <c r="P193" s="96" t="s">
        <v>1036</v>
      </c>
      <c r="Q193" s="92">
        <f>_xlfn.XLOOKUP(reportTbl[[#This Row],[date]],IIITbl[date],IIITbl[totalCT],0)</f>
        <v>0</v>
      </c>
      <c r="R193" s="92">
        <v>30000</v>
      </c>
    </row>
    <row r="194" spans="1:18" ht="20.25" x14ac:dyDescent="0.25">
      <c r="A194" s="7" t="s">
        <v>857</v>
      </c>
      <c r="B194" s="91" t="s">
        <v>118</v>
      </c>
      <c r="C194" s="92">
        <f>SUMIF(cutts[date],A194,cutts[num])</f>
        <v>0</v>
      </c>
      <c r="D194" s="92"/>
      <c r="E194" s="93">
        <f>SUMIF(packes[date],A194,packes[num])</f>
        <v>1450</v>
      </c>
      <c r="F194" s="93">
        <f>SUMIF(packes[date],A194,packes[wPacked])</f>
        <v>2100.5686920083804</v>
      </c>
      <c r="G194" s="93"/>
      <c r="H194" s="93">
        <f>reportTbl[[#This Row],[personels]]-reportTbl[[#This Row],[personels]]*2.5/22-0.5</f>
        <v>-0.5</v>
      </c>
      <c r="I194" s="94">
        <f>(reportTbl[[#This Row],[وزن تولید]]*unityCycleTime-reportTbl[[#This Row],[received TimeOut]])/(reportTbl[[#This Row],[available time]]*reportTbl[[#This Row],[تعداد نیرو]])</f>
        <v>-13.464645315773719</v>
      </c>
      <c r="J194" s="95"/>
      <c r="K194" s="97"/>
      <c r="L194" s="97"/>
      <c r="M194" s="97"/>
      <c r="N194" s="97"/>
      <c r="O194" s="97">
        <v>0</v>
      </c>
      <c r="P194" s="96" t="s">
        <v>1036</v>
      </c>
      <c r="Q194" s="92">
        <f>_xlfn.XLOOKUP(reportTbl[[#This Row],[date]],IIITbl[date],IIITbl[totalCT],0)</f>
        <v>0</v>
      </c>
      <c r="R194" s="92">
        <v>30000</v>
      </c>
    </row>
    <row r="195" spans="1:18" ht="20.25" x14ac:dyDescent="0.25">
      <c r="A195" s="7" t="s">
        <v>858</v>
      </c>
      <c r="B195" s="91" t="s">
        <v>119</v>
      </c>
      <c r="C195" s="92">
        <f>SUMIF(cutts[date],A195,cutts[num])</f>
        <v>0</v>
      </c>
      <c r="D195" s="92"/>
      <c r="E195" s="93">
        <f>SUMIF(packes[date],A195,packes[num])</f>
        <v>0</v>
      </c>
      <c r="F195" s="93">
        <f>SUMIF(packes[date],A195,packes[wPacked])</f>
        <v>0</v>
      </c>
      <c r="G195" s="93"/>
      <c r="H195" s="93">
        <f>reportTbl[[#This Row],[personels]]-reportTbl[[#This Row],[personels]]*2.5/22-0.5</f>
        <v>-0.5</v>
      </c>
      <c r="I195" s="94">
        <f>(reportTbl[[#This Row],[وزن تولید]]*unityCycleTime-reportTbl[[#This Row],[received TimeOut]])/(reportTbl[[#This Row],[available time]]*reportTbl[[#This Row],[تعداد نیرو]])</f>
        <v>0</v>
      </c>
      <c r="J195" s="95"/>
      <c r="K195" s="97"/>
      <c r="L195" s="97"/>
      <c r="M195" s="97"/>
      <c r="N195" s="97"/>
      <c r="O195" s="97">
        <v>0</v>
      </c>
      <c r="P195" s="96" t="s">
        <v>1036</v>
      </c>
      <c r="Q195" s="92">
        <f>_xlfn.XLOOKUP(reportTbl[[#This Row],[date]],IIITbl[date],IIITbl[totalCT],0)</f>
        <v>0</v>
      </c>
      <c r="R195" s="92">
        <v>30000</v>
      </c>
    </row>
    <row r="196" spans="1:18" ht="20.25" x14ac:dyDescent="0.25">
      <c r="A196" s="7" t="s">
        <v>859</v>
      </c>
      <c r="B196" s="91" t="s">
        <v>120</v>
      </c>
      <c r="C196" s="92">
        <f>SUMIF(cutts[date],A196,cutts[num])</f>
        <v>5000</v>
      </c>
      <c r="D196" s="92"/>
      <c r="E196" s="93">
        <f>SUMIF(packes[date],A196,packes[num])</f>
        <v>3075</v>
      </c>
      <c r="F196" s="93">
        <f>SUMIF(packes[date],A196,packes[wPacked])</f>
        <v>4013.8197146562902</v>
      </c>
      <c r="G196" s="93"/>
      <c r="H196" s="93">
        <f>reportTbl[[#This Row],[personels]]-reportTbl[[#This Row],[personels]]*2.5/22-0.5</f>
        <v>-0.5</v>
      </c>
      <c r="I196" s="94">
        <f>(reportTbl[[#This Row],[وزن تولید]]*unityCycleTime-reportTbl[[#This Row],[received TimeOut]])/(reportTbl[[#This Row],[available time]]*reportTbl[[#This Row],[تعداد نیرو]])</f>
        <v>-25.728584370946823</v>
      </c>
      <c r="J196" s="95"/>
      <c r="K196" s="97"/>
      <c r="L196" s="97"/>
      <c r="M196" s="97"/>
      <c r="N196" s="97"/>
      <c r="O196" s="97">
        <v>0</v>
      </c>
      <c r="P196" s="96" t="s">
        <v>1036</v>
      </c>
      <c r="Q196" s="92">
        <f>_xlfn.XLOOKUP(reportTbl[[#This Row],[date]],IIITbl[date],IIITbl[totalCT],0)</f>
        <v>0</v>
      </c>
      <c r="R196" s="92">
        <v>30000</v>
      </c>
    </row>
    <row r="197" spans="1:18" ht="20.25" x14ac:dyDescent="0.25">
      <c r="A197" s="7" t="s">
        <v>860</v>
      </c>
      <c r="B197" s="91" t="s">
        <v>121</v>
      </c>
      <c r="C197" s="92">
        <f>SUMIF(cutts[date],A197,cutts[num])</f>
        <v>6000</v>
      </c>
      <c r="D197" s="92"/>
      <c r="E197" s="93">
        <f>SUMIF(packes[date],A197,packes[num])</f>
        <v>0</v>
      </c>
      <c r="F197" s="93">
        <f>SUMIF(packes[date],A197,packes[wPacked])</f>
        <v>0</v>
      </c>
      <c r="G197" s="93"/>
      <c r="H197" s="93">
        <f>reportTbl[[#This Row],[personels]]-reportTbl[[#This Row],[personels]]*2.5/22-0.5</f>
        <v>-0.5</v>
      </c>
      <c r="I197" s="94">
        <f>(reportTbl[[#This Row],[وزن تولید]]*unityCycleTime-reportTbl[[#This Row],[received TimeOut]])/(reportTbl[[#This Row],[available time]]*reportTbl[[#This Row],[تعداد نیرو]])</f>
        <v>0</v>
      </c>
      <c r="J197" s="95"/>
      <c r="K197" s="97"/>
      <c r="L197" s="97"/>
      <c r="M197" s="97"/>
      <c r="N197" s="97"/>
      <c r="O197" s="97">
        <v>0</v>
      </c>
      <c r="P197" s="96" t="s">
        <v>1036</v>
      </c>
      <c r="Q197" s="92">
        <f>_xlfn.XLOOKUP(reportTbl[[#This Row],[date]],IIITbl[date],IIITbl[totalCT],0)</f>
        <v>0</v>
      </c>
      <c r="R197" s="92">
        <v>30000</v>
      </c>
    </row>
    <row r="198" spans="1:18" ht="20.25" x14ac:dyDescent="0.25">
      <c r="A198" s="7" t="s">
        <v>861</v>
      </c>
      <c r="B198" s="91" t="s">
        <v>122</v>
      </c>
      <c r="C198" s="92">
        <f>SUMIF(cutts[date],A198,cutts[num])</f>
        <v>0</v>
      </c>
      <c r="D198" s="92"/>
      <c r="E198" s="93">
        <f>SUMIF(packes[date],A198,packes[num])</f>
        <v>0</v>
      </c>
      <c r="F198" s="93">
        <f>SUMIF(packes[date],A198,packes[wPacked])</f>
        <v>0</v>
      </c>
      <c r="G198" s="93"/>
      <c r="H198" s="93">
        <f>reportTbl[[#This Row],[personels]]-reportTbl[[#This Row],[personels]]*2.5/22-0.5</f>
        <v>-0.5</v>
      </c>
      <c r="I198" s="94">
        <f>(reportTbl[[#This Row],[وزن تولید]]*unityCycleTime-reportTbl[[#This Row],[received TimeOut]])/(reportTbl[[#This Row],[available time]]*reportTbl[[#This Row],[تعداد نیرو]])</f>
        <v>0</v>
      </c>
      <c r="J198" s="95"/>
      <c r="K198" s="97"/>
      <c r="L198" s="97"/>
      <c r="M198" s="97"/>
      <c r="N198" s="97"/>
      <c r="O198" s="97">
        <v>0</v>
      </c>
      <c r="P198" s="96" t="s">
        <v>1036</v>
      </c>
      <c r="Q198" s="92">
        <f>_xlfn.XLOOKUP(reportTbl[[#This Row],[date]],IIITbl[date],IIITbl[totalCT],0)</f>
        <v>0</v>
      </c>
      <c r="R198" s="92">
        <v>30000</v>
      </c>
    </row>
    <row r="199" spans="1:18" ht="20.25" x14ac:dyDescent="0.25">
      <c r="A199" s="7" t="s">
        <v>862</v>
      </c>
      <c r="B199" s="91" t="s">
        <v>116</v>
      </c>
      <c r="C199" s="92">
        <f>SUMIF(cutts[date],A199,cutts[num])</f>
        <v>0</v>
      </c>
      <c r="D199" s="92"/>
      <c r="E199" s="93">
        <f>SUMIF(packes[date],A199,packes[num])</f>
        <v>500</v>
      </c>
      <c r="F199" s="93">
        <f>SUMIF(packes[date],A199,packes[wPacked])</f>
        <v>570.68741893644619</v>
      </c>
      <c r="G199" s="93"/>
      <c r="H199" s="93">
        <f>reportTbl[[#This Row],[personels]]-reportTbl[[#This Row],[personels]]*2.5/22-0.5</f>
        <v>-0.5</v>
      </c>
      <c r="I199" s="94">
        <f>(reportTbl[[#This Row],[وزن تولید]]*unityCycleTime-reportTbl[[#This Row],[received TimeOut]])/(reportTbl[[#This Row],[available time]]*reportTbl[[#This Row],[تعداد نیرو]])</f>
        <v>-3.6581063553826203</v>
      </c>
      <c r="J199" s="95"/>
      <c r="K199" s="97"/>
      <c r="L199" s="97"/>
      <c r="M199" s="97"/>
      <c r="N199" s="97"/>
      <c r="O199" s="97">
        <v>0</v>
      </c>
      <c r="P199" s="96" t="s">
        <v>1036</v>
      </c>
      <c r="Q199" s="92">
        <f>_xlfn.XLOOKUP(reportTbl[[#This Row],[date]],IIITbl[date],IIITbl[totalCT],0)</f>
        <v>0</v>
      </c>
      <c r="R199" s="92">
        <v>30000</v>
      </c>
    </row>
    <row r="200" spans="1:18" ht="20.25" x14ac:dyDescent="0.25">
      <c r="A200" s="7" t="s">
        <v>863</v>
      </c>
      <c r="B200" s="91" t="s">
        <v>117</v>
      </c>
      <c r="C200" s="92">
        <f>SUMIF(cutts[date],A200,cutts[num])</f>
        <v>6000</v>
      </c>
      <c r="D200" s="92"/>
      <c r="E200" s="93">
        <f>SUMIF(packes[date],A200,packes[num])</f>
        <v>2500</v>
      </c>
      <c r="F200" s="93">
        <f>SUMIF(packes[date],A200,packes[wPacked])</f>
        <v>2598.9623865110248</v>
      </c>
      <c r="G200" s="93"/>
      <c r="H200" s="93">
        <f>reportTbl[[#This Row],[personels]]-reportTbl[[#This Row],[personels]]*2.5/22-0.5</f>
        <v>-0.5</v>
      </c>
      <c r="I200" s="94">
        <f>(reportTbl[[#This Row],[وزن تولید]]*unityCycleTime-reportTbl[[#This Row],[received TimeOut]])/(reportTbl[[#This Row],[available time]]*reportTbl[[#This Row],[تعداد نیرو]])</f>
        <v>-16.659348897535668</v>
      </c>
      <c r="J200" s="95"/>
      <c r="K200" s="97"/>
      <c r="L200" s="97"/>
      <c r="M200" s="97"/>
      <c r="N200" s="97"/>
      <c r="O200" s="97">
        <v>0</v>
      </c>
      <c r="P200" s="96" t="s">
        <v>1036</v>
      </c>
      <c r="Q200" s="92">
        <f>_xlfn.XLOOKUP(reportTbl[[#This Row],[date]],IIITbl[date],IIITbl[totalCT],0)</f>
        <v>0</v>
      </c>
      <c r="R200" s="92">
        <v>30000</v>
      </c>
    </row>
    <row r="201" spans="1:18" ht="20.25" x14ac:dyDescent="0.25">
      <c r="A201" s="7" t="s">
        <v>864</v>
      </c>
      <c r="B201" s="91" t="s">
        <v>118</v>
      </c>
      <c r="C201" s="92">
        <f>SUMIF(cutts[date],A201,cutts[num])</f>
        <v>6000</v>
      </c>
      <c r="D201" s="92"/>
      <c r="E201" s="93">
        <f>SUMIF(packes[date],A201,packes[num])</f>
        <v>2725</v>
      </c>
      <c r="F201" s="93">
        <f>SUMIF(packes[date],A201,packes[wPacked])</f>
        <v>3155.2604010775217</v>
      </c>
      <c r="G201" s="93"/>
      <c r="H201" s="93">
        <f>reportTbl[[#This Row],[personels]]-reportTbl[[#This Row],[personels]]*2.5/22-0.5</f>
        <v>-0.5</v>
      </c>
      <c r="I201" s="94">
        <f>(reportTbl[[#This Row],[وزن تولید]]*unityCycleTime-reportTbl[[#This Row],[received TimeOut]])/(reportTbl[[#This Row],[available time]]*reportTbl[[#This Row],[تعداد نیرو]])</f>
        <v>-20.225219170906914</v>
      </c>
      <c r="J201" s="95"/>
      <c r="K201" s="97"/>
      <c r="L201" s="97"/>
      <c r="M201" s="97"/>
      <c r="N201" s="97"/>
      <c r="O201" s="97">
        <v>0</v>
      </c>
      <c r="P201" s="96" t="s">
        <v>1036</v>
      </c>
      <c r="Q201" s="92">
        <f>_xlfn.XLOOKUP(reportTbl[[#This Row],[date]],IIITbl[date],IIITbl[totalCT],0)</f>
        <v>0</v>
      </c>
      <c r="R201" s="92">
        <v>30000</v>
      </c>
    </row>
    <row r="202" spans="1:18" ht="20.25" x14ac:dyDescent="0.25">
      <c r="A202" s="7" t="s">
        <v>865</v>
      </c>
      <c r="B202" s="91" t="s">
        <v>119</v>
      </c>
      <c r="C202" s="92">
        <f>SUMIF(cutts[date],A202,cutts[num])</f>
        <v>6000</v>
      </c>
      <c r="D202" s="92"/>
      <c r="E202" s="93">
        <f>SUMIF(packes[date],A202,packes[num])</f>
        <v>2825</v>
      </c>
      <c r="F202" s="93">
        <f>SUMIF(packes[date],A202,packes[wPacked])</f>
        <v>3194.096079018258</v>
      </c>
      <c r="G202" s="93"/>
      <c r="H202" s="93">
        <f>reportTbl[[#This Row],[personels]]-reportTbl[[#This Row],[personels]]*2.5/22-0.5</f>
        <v>-0.5</v>
      </c>
      <c r="I202" s="94">
        <f>(reportTbl[[#This Row],[وزن تولید]]*unityCycleTime-reportTbl[[#This Row],[received TimeOut]])/(reportTbl[[#This Row],[available time]]*reportTbl[[#This Row],[تعداد نیرو]])</f>
        <v>-20.474155866507033</v>
      </c>
      <c r="J202" s="95"/>
      <c r="K202" s="97"/>
      <c r="L202" s="97"/>
      <c r="M202" s="97"/>
      <c r="N202" s="97"/>
      <c r="O202" s="97">
        <v>0</v>
      </c>
      <c r="P202" s="96" t="s">
        <v>1036</v>
      </c>
      <c r="Q202" s="92">
        <f>_xlfn.XLOOKUP(reportTbl[[#This Row],[date]],IIITbl[date],IIITbl[totalCT],0)</f>
        <v>0</v>
      </c>
      <c r="R202" s="92">
        <v>30000</v>
      </c>
    </row>
    <row r="203" spans="1:18" ht="20.25" x14ac:dyDescent="0.25">
      <c r="A203" s="7" t="s">
        <v>866</v>
      </c>
      <c r="B203" s="91" t="s">
        <v>120</v>
      </c>
      <c r="C203" s="92">
        <f>SUMIF(cutts[date],A203,cutts[num])</f>
        <v>6900</v>
      </c>
      <c r="D203" s="92"/>
      <c r="E203" s="93">
        <f>SUMIF(packes[date],A203,packes[num])</f>
        <v>2925</v>
      </c>
      <c r="F203" s="93">
        <f>SUMIF(packes[date],A203,packes[wPacked])</f>
        <v>3682.8698992317668</v>
      </c>
      <c r="G203" s="93"/>
      <c r="H203" s="93">
        <f>reportTbl[[#This Row],[personels]]-reportTbl[[#This Row],[personels]]*2.5/22-0.5</f>
        <v>-0.5</v>
      </c>
      <c r="I203" s="94">
        <f>(reportTbl[[#This Row],[وزن تولید]]*unityCycleTime-reportTbl[[#This Row],[received TimeOut]])/(reportTbl[[#This Row],[available time]]*reportTbl[[#This Row],[تعداد نیرو]])</f>
        <v>-23.607196054075626</v>
      </c>
      <c r="J203" s="95"/>
      <c r="K203" s="97"/>
      <c r="L203" s="97"/>
      <c r="M203" s="97"/>
      <c r="N203" s="97"/>
      <c r="O203" s="97">
        <v>0</v>
      </c>
      <c r="P203" s="96" t="s">
        <v>1036</v>
      </c>
      <c r="Q203" s="92">
        <f>_xlfn.XLOOKUP(reportTbl[[#This Row],[date]],IIITbl[date],IIITbl[totalCT],0)</f>
        <v>0</v>
      </c>
      <c r="R203" s="92">
        <v>30000</v>
      </c>
    </row>
    <row r="204" spans="1:18" ht="20.25" x14ac:dyDescent="0.25">
      <c r="A204" s="7" t="s">
        <v>867</v>
      </c>
      <c r="B204" s="91" t="s">
        <v>121</v>
      </c>
      <c r="C204" s="92">
        <f>SUMIF(cutts[date],A204,cutts[num])</f>
        <v>0</v>
      </c>
      <c r="D204" s="92"/>
      <c r="E204" s="93">
        <f>SUMIF(packes[date],A204,packes[num])</f>
        <v>0</v>
      </c>
      <c r="F204" s="93">
        <f>SUMIF(packes[date],A204,packes[wPacked])</f>
        <v>0</v>
      </c>
      <c r="G204" s="93"/>
      <c r="H204" s="93">
        <f>reportTbl[[#This Row],[personels]]-reportTbl[[#This Row],[personels]]*2.5/22-0.5</f>
        <v>-0.5</v>
      </c>
      <c r="I204" s="94">
        <f>(reportTbl[[#This Row],[وزن تولید]]*unityCycleTime-reportTbl[[#This Row],[received TimeOut]])/(reportTbl[[#This Row],[available time]]*reportTbl[[#This Row],[تعداد نیرو]])</f>
        <v>0</v>
      </c>
      <c r="J204" s="95"/>
      <c r="K204" s="97"/>
      <c r="L204" s="97"/>
      <c r="M204" s="97"/>
      <c r="N204" s="97"/>
      <c r="O204" s="97">
        <v>0</v>
      </c>
      <c r="P204" s="96" t="s">
        <v>1036</v>
      </c>
      <c r="Q204" s="92">
        <f>_xlfn.XLOOKUP(reportTbl[[#This Row],[date]],IIITbl[date],IIITbl[totalCT],0)</f>
        <v>0</v>
      </c>
      <c r="R204" s="92">
        <v>30000</v>
      </c>
    </row>
    <row r="205" spans="1:18" ht="20.25" x14ac:dyDescent="0.25">
      <c r="A205" s="7" t="s">
        <v>868</v>
      </c>
      <c r="B205" s="91" t="s">
        <v>122</v>
      </c>
      <c r="C205" s="92">
        <f>SUMIF(cutts[date],A205,cutts[num])</f>
        <v>0</v>
      </c>
      <c r="D205" s="92"/>
      <c r="E205" s="93">
        <f>SUMIF(packes[date],A205,packes[num])</f>
        <v>0</v>
      </c>
      <c r="F205" s="93">
        <f>SUMIF(packes[date],A205,packes[wPacked])</f>
        <v>0</v>
      </c>
      <c r="G205" s="93"/>
      <c r="H205" s="93">
        <f>reportTbl[[#This Row],[personels]]-reportTbl[[#This Row],[personels]]*2.5/22-0.5</f>
        <v>-0.5</v>
      </c>
      <c r="I205" s="94">
        <f>(reportTbl[[#This Row],[وزن تولید]]*unityCycleTime-reportTbl[[#This Row],[received TimeOut]])/(reportTbl[[#This Row],[available time]]*reportTbl[[#This Row],[تعداد نیرو]])</f>
        <v>0</v>
      </c>
      <c r="J205" s="95"/>
      <c r="K205" s="97"/>
      <c r="L205" s="97"/>
      <c r="M205" s="97"/>
      <c r="N205" s="97"/>
      <c r="O205" s="97">
        <v>0</v>
      </c>
      <c r="P205" s="96" t="s">
        <v>1036</v>
      </c>
      <c r="Q205" s="92">
        <f>_xlfn.XLOOKUP(reportTbl[[#This Row],[date]],IIITbl[date],IIITbl[totalCT],0)</f>
        <v>0</v>
      </c>
      <c r="R205" s="92">
        <v>30000</v>
      </c>
    </row>
    <row r="206" spans="1:18" ht="20.25" x14ac:dyDescent="0.25">
      <c r="A206" s="7" t="s">
        <v>869</v>
      </c>
      <c r="B206" s="91" t="s">
        <v>116</v>
      </c>
      <c r="C206" s="92">
        <f>SUMIF(cutts[date],A206,cutts[num])</f>
        <v>11000</v>
      </c>
      <c r="D206" s="92"/>
      <c r="E206" s="93">
        <f>SUMIF(packes[date],A206,packes[num])</f>
        <v>5000</v>
      </c>
      <c r="F206" s="93">
        <f>SUMIF(packes[date],A206,packes[wPacked])</f>
        <v>6205.6061059562999</v>
      </c>
      <c r="G206" s="93"/>
      <c r="H206" s="93">
        <f>reportTbl[[#This Row],[personels]]-reportTbl[[#This Row],[personels]]*2.5/22-0.5</f>
        <v>-0.5</v>
      </c>
      <c r="I206" s="94">
        <f>(reportTbl[[#This Row],[وزن تولید]]*unityCycleTime-reportTbl[[#This Row],[received TimeOut]])/(reportTbl[[#This Row],[available time]]*reportTbl[[#This Row],[تعداد نیرو]])</f>
        <v>-39.777935139179881</v>
      </c>
      <c r="J206" s="95"/>
      <c r="K206" s="97"/>
      <c r="L206" s="97"/>
      <c r="M206" s="97"/>
      <c r="N206" s="97"/>
      <c r="O206" s="97">
        <v>0</v>
      </c>
      <c r="P206" s="96" t="s">
        <v>1036</v>
      </c>
      <c r="Q206" s="92">
        <f>_xlfn.XLOOKUP(reportTbl[[#This Row],[date]],IIITbl[date],IIITbl[totalCT],0)</f>
        <v>0</v>
      </c>
      <c r="R206" s="92">
        <v>30000</v>
      </c>
    </row>
    <row r="207" spans="1:18" ht="20.25" x14ac:dyDescent="0.25">
      <c r="A207" s="7" t="s">
        <v>870</v>
      </c>
      <c r="B207" s="91" t="s">
        <v>117</v>
      </c>
      <c r="C207" s="92">
        <f>SUMIF(cutts[date],A207,cutts[num])</f>
        <v>0</v>
      </c>
      <c r="D207" s="92"/>
      <c r="E207" s="93">
        <f>SUMIF(packes[date],A207,packes[num])</f>
        <v>5150</v>
      </c>
      <c r="F207" s="93">
        <f>SUMIF(packes[date],A207,packes[wPacked])</f>
        <v>6509.8578269979043</v>
      </c>
      <c r="G207" s="93"/>
      <c r="H207" s="93">
        <f>reportTbl[[#This Row],[personels]]-reportTbl[[#This Row],[personels]]*2.5/22-0.5</f>
        <v>-0.5</v>
      </c>
      <c r="I207" s="94">
        <f>(reportTbl[[#This Row],[وزن تولید]]*unityCycleTime-reportTbl[[#This Row],[received TimeOut]])/(reportTbl[[#This Row],[available time]]*reportTbl[[#This Row],[تعداد نیرو]])</f>
        <v>-41.728188671056571</v>
      </c>
      <c r="J207" s="95"/>
      <c r="K207" s="97"/>
      <c r="L207" s="97"/>
      <c r="M207" s="97"/>
      <c r="N207" s="97"/>
      <c r="O207" s="97">
        <v>0</v>
      </c>
      <c r="P207" s="96" t="s">
        <v>1036</v>
      </c>
      <c r="Q207" s="92">
        <f>_xlfn.XLOOKUP(reportTbl[[#This Row],[date]],IIITbl[date],IIITbl[totalCT],0)</f>
        <v>0</v>
      </c>
      <c r="R207" s="92">
        <v>30000</v>
      </c>
    </row>
    <row r="208" spans="1:18" ht="20.25" x14ac:dyDescent="0.25">
      <c r="A208" s="7" t="s">
        <v>871</v>
      </c>
      <c r="B208" s="91" t="s">
        <v>118</v>
      </c>
      <c r="C208" s="92">
        <f>SUMIF(cutts[date],A208,cutts[num])</f>
        <v>6800</v>
      </c>
      <c r="D208" s="92"/>
      <c r="E208" s="93">
        <f>SUMIF(packes[date],A208,packes[num])</f>
        <v>5200</v>
      </c>
      <c r="F208" s="93">
        <f>SUMIF(packes[date],A208,packes[wPacked])</f>
        <v>6434.3769330539753</v>
      </c>
      <c r="G208" s="93"/>
      <c r="H208" s="93">
        <f>reportTbl[[#This Row],[personels]]-reportTbl[[#This Row],[personels]]*2.5/22-0.5</f>
        <v>-0.5</v>
      </c>
      <c r="I208" s="94">
        <f>(reportTbl[[#This Row],[وزن تولید]]*unityCycleTime-reportTbl[[#This Row],[received TimeOut]])/(reportTbl[[#This Row],[available time]]*reportTbl[[#This Row],[تعداد نیرو]])</f>
        <v>-41.244356140875986</v>
      </c>
      <c r="J208" s="95"/>
      <c r="K208" s="97"/>
      <c r="L208" s="97"/>
      <c r="M208" s="97"/>
      <c r="N208" s="97"/>
      <c r="O208" s="97">
        <v>0</v>
      </c>
      <c r="P208" s="96" t="s">
        <v>1036</v>
      </c>
      <c r="Q208" s="92">
        <f>_xlfn.XLOOKUP(reportTbl[[#This Row],[date]],IIITbl[date],IIITbl[totalCT],0)</f>
        <v>0</v>
      </c>
      <c r="R208" s="92">
        <v>30000</v>
      </c>
    </row>
    <row r="209" spans="1:18" ht="20.25" x14ac:dyDescent="0.25">
      <c r="A209" s="7" t="s">
        <v>872</v>
      </c>
      <c r="B209" s="91" t="s">
        <v>119</v>
      </c>
      <c r="C209" s="92">
        <f>SUMIF(cutts[date],A209,cutts[num])</f>
        <v>6900</v>
      </c>
      <c r="D209" s="92"/>
      <c r="E209" s="93">
        <f>SUMIF(packes[date],A209,packes[num])</f>
        <v>5950</v>
      </c>
      <c r="F209" s="93">
        <f>SUMIF(packes[date],A209,packes[wPacked])</f>
        <v>5491.5434500648507</v>
      </c>
      <c r="G209" s="93"/>
      <c r="H209" s="93">
        <f>reportTbl[[#This Row],[personels]]-reportTbl[[#This Row],[personels]]*2.5/22-0.5</f>
        <v>-0.5</v>
      </c>
      <c r="I209" s="94">
        <f>(reportTbl[[#This Row],[وزن تولید]]*unityCycleTime-reportTbl[[#This Row],[received TimeOut]])/(reportTbl[[#This Row],[available time]]*reportTbl[[#This Row],[تعداد نیرو]])</f>
        <v>-35.200793514915695</v>
      </c>
      <c r="J209" s="95"/>
      <c r="K209" s="97"/>
      <c r="L209" s="97"/>
      <c r="M209" s="97"/>
      <c r="N209" s="97"/>
      <c r="O209" s="97">
        <v>0</v>
      </c>
      <c r="P209" s="96" t="s">
        <v>1036</v>
      </c>
      <c r="Q209" s="92">
        <f>_xlfn.XLOOKUP(reportTbl[[#This Row],[date]],IIITbl[date],IIITbl[totalCT],0)</f>
        <v>0</v>
      </c>
      <c r="R209" s="92">
        <v>30000</v>
      </c>
    </row>
    <row r="210" spans="1:18" ht="20.25" x14ac:dyDescent="0.25">
      <c r="A210" s="7" t="s">
        <v>873</v>
      </c>
      <c r="B210" s="91" t="s">
        <v>120</v>
      </c>
      <c r="C210" s="92">
        <f>SUMIF(cutts[date],A210,cutts[num])</f>
        <v>8900</v>
      </c>
      <c r="D210" s="92"/>
      <c r="E210" s="93">
        <f>SUMIF(packes[date],A210,packes[num])</f>
        <v>5700</v>
      </c>
      <c r="F210" s="93">
        <f>SUMIF(packes[date],A210,packes[wPacked])</f>
        <v>4794.8668063454052</v>
      </c>
      <c r="G210" s="93"/>
      <c r="H210" s="93">
        <f>reportTbl[[#This Row],[personels]]-reportTbl[[#This Row],[personels]]*2.5/22-0.5</f>
        <v>-0.5</v>
      </c>
      <c r="I210" s="94">
        <f>(reportTbl[[#This Row],[وزن تولید]]*unityCycleTime-reportTbl[[#This Row],[received TimeOut]])/(reportTbl[[#This Row],[available time]]*reportTbl[[#This Row],[تعداد نیرو]])</f>
        <v>-30.735096228674049</v>
      </c>
      <c r="J210" s="95"/>
      <c r="K210" s="97"/>
      <c r="L210" s="97"/>
      <c r="M210" s="97"/>
      <c r="N210" s="97"/>
      <c r="O210" s="97">
        <v>0</v>
      </c>
      <c r="P210" s="96" t="s">
        <v>1036</v>
      </c>
      <c r="Q210" s="92">
        <f>_xlfn.XLOOKUP(reportTbl[[#This Row],[date]],IIITbl[date],IIITbl[totalCT],0)</f>
        <v>0</v>
      </c>
      <c r="R210" s="92">
        <v>30000</v>
      </c>
    </row>
    <row r="211" spans="1:18" ht="20.25" x14ac:dyDescent="0.25">
      <c r="A211" s="7" t="s">
        <v>874</v>
      </c>
      <c r="B211" s="91" t="s">
        <v>121</v>
      </c>
      <c r="C211" s="92">
        <f>SUMIF(cutts[date],A211,cutts[num])</f>
        <v>0</v>
      </c>
      <c r="D211" s="92"/>
      <c r="E211" s="93">
        <f>SUMIF(packes[date],A211,packes[num])</f>
        <v>0</v>
      </c>
      <c r="F211" s="93">
        <f>SUMIF(packes[date],A211,packes[wPacked])</f>
        <v>0</v>
      </c>
      <c r="G211" s="93"/>
      <c r="H211" s="93">
        <f>reportTbl[[#This Row],[personels]]-reportTbl[[#This Row],[personels]]*2.5/22-0.5</f>
        <v>-0.5</v>
      </c>
      <c r="I211" s="94">
        <f>(reportTbl[[#This Row],[وزن تولید]]*unityCycleTime-reportTbl[[#This Row],[received TimeOut]])/(reportTbl[[#This Row],[available time]]*reportTbl[[#This Row],[تعداد نیرو]])</f>
        <v>0</v>
      </c>
      <c r="J211" s="95"/>
      <c r="K211" s="97"/>
      <c r="L211" s="97"/>
      <c r="M211" s="97"/>
      <c r="N211" s="97"/>
      <c r="O211" s="97">
        <v>0</v>
      </c>
      <c r="P211" s="96" t="s">
        <v>1036</v>
      </c>
      <c r="Q211" s="92">
        <f>_xlfn.XLOOKUP(reportTbl[[#This Row],[date]],IIITbl[date],IIITbl[totalCT],0)</f>
        <v>0</v>
      </c>
      <c r="R211" s="92">
        <v>30000</v>
      </c>
    </row>
    <row r="212" spans="1:18" ht="20.25" x14ac:dyDescent="0.25">
      <c r="A212" s="7" t="s">
        <v>875</v>
      </c>
      <c r="B212" s="91" t="s">
        <v>122</v>
      </c>
      <c r="C212" s="92">
        <f>SUMIF(cutts[date],A212,cutts[num])</f>
        <v>0</v>
      </c>
      <c r="D212" s="92"/>
      <c r="E212" s="93">
        <f>SUMIF(packes[date],A212,packes[num])</f>
        <v>0</v>
      </c>
      <c r="F212" s="93">
        <f>SUMIF(packes[date],A212,packes[wPacked])</f>
        <v>0</v>
      </c>
      <c r="G212" s="93"/>
      <c r="H212" s="93">
        <f>reportTbl[[#This Row],[personels]]-reportTbl[[#This Row],[personels]]*2.5/22-0.5</f>
        <v>-0.5</v>
      </c>
      <c r="I212" s="94">
        <f>(reportTbl[[#This Row],[وزن تولید]]*unityCycleTime-reportTbl[[#This Row],[received TimeOut]])/(reportTbl[[#This Row],[available time]]*reportTbl[[#This Row],[تعداد نیرو]])</f>
        <v>0</v>
      </c>
      <c r="J212" s="95"/>
      <c r="K212" s="97"/>
      <c r="L212" s="97"/>
      <c r="M212" s="97"/>
      <c r="N212" s="97"/>
      <c r="O212" s="97">
        <v>0</v>
      </c>
      <c r="P212" s="96" t="s">
        <v>1036</v>
      </c>
      <c r="Q212" s="92">
        <f>_xlfn.XLOOKUP(reportTbl[[#This Row],[date]],IIITbl[date],IIITbl[totalCT],0)</f>
        <v>0</v>
      </c>
      <c r="R212" s="92">
        <v>30000</v>
      </c>
    </row>
    <row r="213" spans="1:18" ht="20.25" x14ac:dyDescent="0.25">
      <c r="A213" s="7" t="s">
        <v>876</v>
      </c>
      <c r="B213" s="91" t="s">
        <v>116</v>
      </c>
      <c r="C213" s="92">
        <f>SUMIF(cutts[date],A213,cutts[num])</f>
        <v>6000</v>
      </c>
      <c r="D213" s="92"/>
      <c r="E213" s="93">
        <f>SUMIF(packes[date],A213,packes[num])</f>
        <v>0</v>
      </c>
      <c r="F213" s="93">
        <f>SUMIF(packes[date],A213,packes[wPacked])</f>
        <v>0</v>
      </c>
      <c r="G213" s="93"/>
      <c r="H213" s="93">
        <f>reportTbl[[#This Row],[personels]]-reportTbl[[#This Row],[personels]]*2.5/22-0.5</f>
        <v>-0.5</v>
      </c>
      <c r="I213" s="94">
        <f>(reportTbl[[#This Row],[وزن تولید]]*unityCycleTime-reportTbl[[#This Row],[received TimeOut]])/(reportTbl[[#This Row],[available time]]*reportTbl[[#This Row],[تعداد نیرو]])</f>
        <v>0</v>
      </c>
      <c r="J213" s="95"/>
      <c r="K213" s="97"/>
      <c r="L213" s="97"/>
      <c r="M213" s="97"/>
      <c r="N213" s="97"/>
      <c r="O213" s="97">
        <v>0</v>
      </c>
      <c r="P213" s="96" t="s">
        <v>1036</v>
      </c>
      <c r="Q213" s="92">
        <f>_xlfn.XLOOKUP(reportTbl[[#This Row],[date]],IIITbl[date],IIITbl[totalCT],0)</f>
        <v>0</v>
      </c>
      <c r="R213" s="92">
        <v>30000</v>
      </c>
    </row>
    <row r="214" spans="1:18" ht="20.25" x14ac:dyDescent="0.25">
      <c r="A214" s="7" t="s">
        <v>877</v>
      </c>
      <c r="B214" s="91" t="s">
        <v>117</v>
      </c>
      <c r="C214" s="92">
        <f>SUMIF(cutts[date],A214,cutts[num])</f>
        <v>0</v>
      </c>
      <c r="D214" s="92"/>
      <c r="E214" s="93">
        <f>SUMIF(packes[date],A214,packes[num])</f>
        <v>0</v>
      </c>
      <c r="F214" s="93">
        <f>SUMIF(packes[date],A214,packes[wPacked])</f>
        <v>0</v>
      </c>
      <c r="G214" s="93"/>
      <c r="H214" s="93">
        <f>reportTbl[[#This Row],[personels]]-reportTbl[[#This Row],[personels]]*2.5/22-0.5</f>
        <v>-0.5</v>
      </c>
      <c r="I214" s="94">
        <f>(reportTbl[[#This Row],[وزن تولید]]*unityCycleTime-reportTbl[[#This Row],[received TimeOut]])/(reportTbl[[#This Row],[available time]]*reportTbl[[#This Row],[تعداد نیرو]])</f>
        <v>0</v>
      </c>
      <c r="J214" s="95"/>
      <c r="K214" s="97"/>
      <c r="L214" s="97"/>
      <c r="M214" s="97"/>
      <c r="N214" s="97"/>
      <c r="O214" s="97">
        <v>0</v>
      </c>
      <c r="P214" s="96" t="s">
        <v>1036</v>
      </c>
      <c r="Q214" s="92">
        <f>_xlfn.XLOOKUP(reportTbl[[#This Row],[date]],IIITbl[date],IIITbl[totalCT],0)</f>
        <v>0</v>
      </c>
      <c r="R214" s="92">
        <v>30000</v>
      </c>
    </row>
    <row r="215" spans="1:18" ht="20.25" x14ac:dyDescent="0.25">
      <c r="A215" s="7" t="s">
        <v>878</v>
      </c>
      <c r="B215" s="91" t="s">
        <v>118</v>
      </c>
      <c r="C215" s="92">
        <f>SUMIF(cutts[date],A215,cutts[num])</f>
        <v>0</v>
      </c>
      <c r="D215" s="92"/>
      <c r="E215" s="93">
        <f>SUMIF(packes[date],A215,packes[num])</f>
        <v>0</v>
      </c>
      <c r="F215" s="93">
        <f>SUMIF(packes[date],A215,packes[wPacked])</f>
        <v>0</v>
      </c>
      <c r="G215" s="93"/>
      <c r="H215" s="93">
        <f>reportTbl[[#This Row],[personels]]-reportTbl[[#This Row],[personels]]*2.5/22-0.5</f>
        <v>-0.5</v>
      </c>
      <c r="I215" s="94">
        <f>(reportTbl[[#This Row],[وزن تولید]]*unityCycleTime-reportTbl[[#This Row],[received TimeOut]])/(reportTbl[[#This Row],[available time]]*reportTbl[[#This Row],[تعداد نیرو]])</f>
        <v>0</v>
      </c>
      <c r="J215" s="95"/>
      <c r="K215" s="97"/>
      <c r="L215" s="97"/>
      <c r="M215" s="97"/>
      <c r="N215" s="97"/>
      <c r="O215" s="97">
        <v>0</v>
      </c>
      <c r="P215" s="96" t="s">
        <v>1036</v>
      </c>
      <c r="Q215" s="92">
        <f>_xlfn.XLOOKUP(reportTbl[[#This Row],[date]],IIITbl[date],IIITbl[totalCT],0)</f>
        <v>0</v>
      </c>
      <c r="R215" s="92">
        <v>30000</v>
      </c>
    </row>
    <row r="216" spans="1:18" ht="20.25" x14ac:dyDescent="0.25">
      <c r="A216" s="7" t="s">
        <v>879</v>
      </c>
      <c r="B216" s="91" t="s">
        <v>119</v>
      </c>
      <c r="C216" s="92">
        <f>SUMIF(cutts[date],A216,cutts[num])</f>
        <v>0</v>
      </c>
      <c r="D216" s="92"/>
      <c r="E216" s="93">
        <f>SUMIF(packes[date],A216,packes[num])</f>
        <v>0</v>
      </c>
      <c r="F216" s="93">
        <f>SUMIF(packes[date],A216,packes[wPacked])</f>
        <v>0</v>
      </c>
      <c r="G216" s="93"/>
      <c r="H216" s="93">
        <f>reportTbl[[#This Row],[personels]]-reportTbl[[#This Row],[personels]]*2.5/22-0.5</f>
        <v>-0.5</v>
      </c>
      <c r="I216" s="94">
        <f>(reportTbl[[#This Row],[وزن تولید]]*unityCycleTime-reportTbl[[#This Row],[received TimeOut]])/(reportTbl[[#This Row],[available time]]*reportTbl[[#This Row],[تعداد نیرو]])</f>
        <v>0</v>
      </c>
      <c r="J216" s="95"/>
      <c r="K216" s="97"/>
      <c r="L216" s="97"/>
      <c r="M216" s="97"/>
      <c r="N216" s="97"/>
      <c r="O216" s="97">
        <v>0</v>
      </c>
      <c r="P216" s="96" t="s">
        <v>1036</v>
      </c>
      <c r="Q216" s="92">
        <f>_xlfn.XLOOKUP(reportTbl[[#This Row],[date]],IIITbl[date],IIITbl[totalCT],0)</f>
        <v>0</v>
      </c>
      <c r="R216" s="92">
        <v>30000</v>
      </c>
    </row>
    <row r="217" spans="1:18" ht="20.25" x14ac:dyDescent="0.25">
      <c r="A217" s="7" t="s">
        <v>880</v>
      </c>
      <c r="B217" s="91" t="s">
        <v>120</v>
      </c>
      <c r="C217" s="92">
        <f>SUMIF(cutts[date],A217,cutts[num])</f>
        <v>0</v>
      </c>
      <c r="D217" s="92"/>
      <c r="E217" s="93">
        <f>SUMIF(packes[date],A217,packes[num])</f>
        <v>0</v>
      </c>
      <c r="F217" s="93">
        <f>SUMIF(packes[date],A217,packes[wPacked])</f>
        <v>0</v>
      </c>
      <c r="G217" s="93"/>
      <c r="H217" s="93">
        <f>reportTbl[[#This Row],[personels]]-reportTbl[[#This Row],[personels]]*2.5/22-0.5</f>
        <v>-0.5</v>
      </c>
      <c r="I217" s="94">
        <f>(reportTbl[[#This Row],[وزن تولید]]*unityCycleTime-reportTbl[[#This Row],[received TimeOut]])/(reportTbl[[#This Row],[available time]]*reportTbl[[#This Row],[تعداد نیرو]])</f>
        <v>0</v>
      </c>
      <c r="J217" s="95"/>
      <c r="K217" s="97"/>
      <c r="L217" s="97"/>
      <c r="M217" s="97"/>
      <c r="N217" s="97"/>
      <c r="O217" s="97">
        <v>0</v>
      </c>
      <c r="P217" s="96" t="s">
        <v>1036</v>
      </c>
      <c r="Q217" s="92">
        <f>_xlfn.XLOOKUP(reportTbl[[#This Row],[date]],IIITbl[date],IIITbl[totalCT],0)</f>
        <v>0</v>
      </c>
      <c r="R217" s="92">
        <v>30000</v>
      </c>
    </row>
    <row r="218" spans="1:18" ht="20.25" x14ac:dyDescent="0.25">
      <c r="A218" s="7" t="s">
        <v>881</v>
      </c>
      <c r="B218" s="91" t="s">
        <v>121</v>
      </c>
      <c r="C218" s="92">
        <f>SUMIF(cutts[date],A218,cutts[num])</f>
        <v>0</v>
      </c>
      <c r="D218" s="92"/>
      <c r="E218" s="93">
        <f>SUMIF(packes[date],A218,packes[num])</f>
        <v>0</v>
      </c>
      <c r="F218" s="93">
        <f>SUMIF(packes[date],A218,packes[wPacked])</f>
        <v>0</v>
      </c>
      <c r="G218" s="93"/>
      <c r="H218" s="93">
        <f>reportTbl[[#This Row],[personels]]-reportTbl[[#This Row],[personels]]*2.5/22-0.5</f>
        <v>-0.5</v>
      </c>
      <c r="I218" s="94">
        <f>(reportTbl[[#This Row],[وزن تولید]]*unityCycleTime-reportTbl[[#This Row],[received TimeOut]])/(reportTbl[[#This Row],[available time]]*reportTbl[[#This Row],[تعداد نیرو]])</f>
        <v>0</v>
      </c>
      <c r="J218" s="95"/>
      <c r="K218" s="97"/>
      <c r="L218" s="97"/>
      <c r="M218" s="97"/>
      <c r="N218" s="97"/>
      <c r="O218" s="97">
        <v>0</v>
      </c>
      <c r="P218" s="96" t="s">
        <v>1037</v>
      </c>
      <c r="Q218" s="92">
        <f>_xlfn.XLOOKUP(reportTbl[[#This Row],[date]],IIITbl[date],IIITbl[totalCT],0)</f>
        <v>0</v>
      </c>
      <c r="R218" s="92">
        <v>30000</v>
      </c>
    </row>
    <row r="219" spans="1:18" ht="20.25" x14ac:dyDescent="0.25">
      <c r="A219" s="7" t="s">
        <v>882</v>
      </c>
      <c r="B219" s="91" t="s">
        <v>122</v>
      </c>
      <c r="C219" s="92">
        <f>SUMIF(cutts[date],A219,cutts[num])</f>
        <v>0</v>
      </c>
      <c r="D219" s="92"/>
      <c r="E219" s="93">
        <f>SUMIF(packes[date],A219,packes[num])</f>
        <v>0</v>
      </c>
      <c r="F219" s="93">
        <f>SUMIF(packes[date],A219,packes[wPacked])</f>
        <v>0</v>
      </c>
      <c r="G219" s="93"/>
      <c r="H219" s="93">
        <f>reportTbl[[#This Row],[personels]]-reportTbl[[#This Row],[personels]]*2.5/22-0.5</f>
        <v>-0.5</v>
      </c>
      <c r="I219" s="94">
        <f>(reportTbl[[#This Row],[وزن تولید]]*unityCycleTime-reportTbl[[#This Row],[received TimeOut]])/(reportTbl[[#This Row],[available time]]*reportTbl[[#This Row],[تعداد نیرو]])</f>
        <v>0</v>
      </c>
      <c r="J219" s="95"/>
      <c r="K219" s="97"/>
      <c r="L219" s="97"/>
      <c r="M219" s="97"/>
      <c r="N219" s="97"/>
      <c r="O219" s="97">
        <v>0</v>
      </c>
      <c r="P219" s="96" t="s">
        <v>1037</v>
      </c>
      <c r="Q219" s="92">
        <f>_xlfn.XLOOKUP(reportTbl[[#This Row],[date]],IIITbl[date],IIITbl[totalCT],0)</f>
        <v>0</v>
      </c>
      <c r="R219" s="92">
        <v>30000</v>
      </c>
    </row>
    <row r="220" spans="1:18" ht="20.25" x14ac:dyDescent="0.25">
      <c r="A220" s="7" t="s">
        <v>883</v>
      </c>
      <c r="B220" s="91" t="s">
        <v>116</v>
      </c>
      <c r="C220" s="92">
        <f>SUMIF(cutts[date],A220,cutts[num])</f>
        <v>0</v>
      </c>
      <c r="D220" s="92"/>
      <c r="E220" s="93">
        <f>SUMIF(packes[date],A220,packes[num])</f>
        <v>0</v>
      </c>
      <c r="F220" s="93">
        <f>SUMIF(packes[date],A220,packes[wPacked])</f>
        <v>0</v>
      </c>
      <c r="G220" s="93"/>
      <c r="H220" s="93">
        <f>reportTbl[[#This Row],[personels]]-reportTbl[[#This Row],[personels]]*2.5/22-0.5</f>
        <v>-0.5</v>
      </c>
      <c r="I220" s="94">
        <f>(reportTbl[[#This Row],[وزن تولید]]*unityCycleTime-reportTbl[[#This Row],[received TimeOut]])/(reportTbl[[#This Row],[available time]]*reportTbl[[#This Row],[تعداد نیرو]])</f>
        <v>0</v>
      </c>
      <c r="J220" s="95"/>
      <c r="K220" s="97"/>
      <c r="L220" s="97"/>
      <c r="M220" s="97"/>
      <c r="N220" s="97"/>
      <c r="O220" s="97">
        <v>0</v>
      </c>
      <c r="P220" s="96" t="s">
        <v>1037</v>
      </c>
      <c r="Q220" s="92">
        <f>_xlfn.XLOOKUP(reportTbl[[#This Row],[date]],IIITbl[date],IIITbl[totalCT],0)</f>
        <v>0</v>
      </c>
      <c r="R220" s="92">
        <v>30000</v>
      </c>
    </row>
    <row r="221" spans="1:18" ht="20.25" x14ac:dyDescent="0.25">
      <c r="A221" s="7" t="s">
        <v>884</v>
      </c>
      <c r="B221" s="91" t="s">
        <v>117</v>
      </c>
      <c r="C221" s="92">
        <f>SUMIF(cutts[date],A221,cutts[num])</f>
        <v>0</v>
      </c>
      <c r="D221" s="92"/>
      <c r="E221" s="93">
        <f>SUMIF(packes[date],A221,packes[num])</f>
        <v>0</v>
      </c>
      <c r="F221" s="93">
        <f>SUMIF(packes[date],A221,packes[wPacked])</f>
        <v>0</v>
      </c>
      <c r="G221" s="93"/>
      <c r="H221" s="93">
        <f>reportTbl[[#This Row],[personels]]-reportTbl[[#This Row],[personels]]*2.5/22-0.5</f>
        <v>-0.5</v>
      </c>
      <c r="I221" s="94">
        <f>(reportTbl[[#This Row],[وزن تولید]]*unityCycleTime-reportTbl[[#This Row],[received TimeOut]])/(reportTbl[[#This Row],[available time]]*reportTbl[[#This Row],[تعداد نیرو]])</f>
        <v>0</v>
      </c>
      <c r="J221" s="95"/>
      <c r="K221" s="97"/>
      <c r="L221" s="97"/>
      <c r="M221" s="97"/>
      <c r="N221" s="97"/>
      <c r="O221" s="97">
        <v>0</v>
      </c>
      <c r="P221" s="96" t="s">
        <v>1037</v>
      </c>
      <c r="Q221" s="92">
        <f>_xlfn.XLOOKUP(reportTbl[[#This Row],[date]],IIITbl[date],IIITbl[totalCT],0)</f>
        <v>0</v>
      </c>
      <c r="R221" s="92">
        <v>30000</v>
      </c>
    </row>
    <row r="222" spans="1:18" ht="20.25" x14ac:dyDescent="0.25">
      <c r="A222" s="7" t="s">
        <v>885</v>
      </c>
      <c r="B222" s="91" t="s">
        <v>118</v>
      </c>
      <c r="C222" s="92">
        <f>SUMIF(cutts[date],A222,cutts[num])</f>
        <v>0</v>
      </c>
      <c r="D222" s="92"/>
      <c r="E222" s="93">
        <f>SUMIF(packes[date],A222,packes[num])</f>
        <v>0</v>
      </c>
      <c r="F222" s="93">
        <f>SUMIF(packes[date],A222,packes[wPacked])</f>
        <v>0</v>
      </c>
      <c r="G222" s="93"/>
      <c r="H222" s="93">
        <f>reportTbl[[#This Row],[personels]]-reportTbl[[#This Row],[personels]]*2.5/22-0.5</f>
        <v>-0.5</v>
      </c>
      <c r="I222" s="94">
        <f>(reportTbl[[#This Row],[وزن تولید]]*unityCycleTime-reportTbl[[#This Row],[received TimeOut]])/(reportTbl[[#This Row],[available time]]*reportTbl[[#This Row],[تعداد نیرو]])</f>
        <v>0</v>
      </c>
      <c r="J222" s="95"/>
      <c r="K222" s="97"/>
      <c r="L222" s="97"/>
      <c r="M222" s="97"/>
      <c r="N222" s="97"/>
      <c r="O222" s="97">
        <v>0</v>
      </c>
      <c r="P222" s="96" t="s">
        <v>1037</v>
      </c>
      <c r="Q222" s="92">
        <f>_xlfn.XLOOKUP(reportTbl[[#This Row],[date]],IIITbl[date],IIITbl[totalCT],0)</f>
        <v>0</v>
      </c>
      <c r="R222" s="92">
        <v>30000</v>
      </c>
    </row>
    <row r="223" spans="1:18" ht="20.25" x14ac:dyDescent="0.25">
      <c r="A223" s="7" t="s">
        <v>886</v>
      </c>
      <c r="B223" s="91" t="s">
        <v>119</v>
      </c>
      <c r="C223" s="92">
        <f>SUMIF(cutts[date],A223,cutts[num])</f>
        <v>0</v>
      </c>
      <c r="D223" s="92"/>
      <c r="E223" s="93">
        <f>SUMIF(packes[date],A223,packes[num])</f>
        <v>0</v>
      </c>
      <c r="F223" s="93">
        <f>SUMIF(packes[date],A223,packes[wPacked])</f>
        <v>0</v>
      </c>
      <c r="G223" s="93"/>
      <c r="H223" s="93">
        <f>reportTbl[[#This Row],[personels]]-reportTbl[[#This Row],[personels]]*2.5/22-0.5</f>
        <v>-0.5</v>
      </c>
      <c r="I223" s="94">
        <f>(reportTbl[[#This Row],[وزن تولید]]*unityCycleTime-reportTbl[[#This Row],[received TimeOut]])/(reportTbl[[#This Row],[available time]]*reportTbl[[#This Row],[تعداد نیرو]])</f>
        <v>0</v>
      </c>
      <c r="J223" s="95"/>
      <c r="K223" s="97"/>
      <c r="L223" s="97"/>
      <c r="M223" s="97"/>
      <c r="N223" s="97"/>
      <c r="O223" s="97">
        <v>0</v>
      </c>
      <c r="P223" s="96" t="s">
        <v>1037</v>
      </c>
      <c r="Q223" s="92">
        <f>_xlfn.XLOOKUP(reportTbl[[#This Row],[date]],IIITbl[date],IIITbl[totalCT],0)</f>
        <v>0</v>
      </c>
      <c r="R223" s="92">
        <v>30000</v>
      </c>
    </row>
    <row r="224" spans="1:18" ht="20.25" x14ac:dyDescent="0.25">
      <c r="A224" s="7" t="s">
        <v>887</v>
      </c>
      <c r="B224" s="91" t="s">
        <v>120</v>
      </c>
      <c r="C224" s="92">
        <f>SUMIF(cutts[date],A224,cutts[num])</f>
        <v>0</v>
      </c>
      <c r="D224" s="92"/>
      <c r="E224" s="93">
        <f>SUMIF(packes[date],A224,packes[num])</f>
        <v>0</v>
      </c>
      <c r="F224" s="93">
        <f>SUMIF(packes[date],A224,packes[wPacked])</f>
        <v>0</v>
      </c>
      <c r="G224" s="93"/>
      <c r="H224" s="93">
        <f>reportTbl[[#This Row],[personels]]-reportTbl[[#This Row],[personels]]*2.5/22-0.5</f>
        <v>-0.5</v>
      </c>
      <c r="I224" s="94">
        <f>(reportTbl[[#This Row],[وزن تولید]]*unityCycleTime-reportTbl[[#This Row],[received TimeOut]])/(reportTbl[[#This Row],[available time]]*reportTbl[[#This Row],[تعداد نیرو]])</f>
        <v>0</v>
      </c>
      <c r="J224" s="95"/>
      <c r="K224" s="97"/>
      <c r="L224" s="97"/>
      <c r="M224" s="97"/>
      <c r="N224" s="97"/>
      <c r="O224" s="97">
        <v>0</v>
      </c>
      <c r="P224" s="96" t="s">
        <v>1037</v>
      </c>
      <c r="Q224" s="92">
        <f>_xlfn.XLOOKUP(reportTbl[[#This Row],[date]],IIITbl[date],IIITbl[totalCT],0)</f>
        <v>0</v>
      </c>
      <c r="R224" s="92">
        <v>30000</v>
      </c>
    </row>
    <row r="225" spans="1:18" ht="20.25" x14ac:dyDescent="0.25">
      <c r="A225" s="7" t="s">
        <v>888</v>
      </c>
      <c r="B225" s="91" t="s">
        <v>121</v>
      </c>
      <c r="C225" s="92">
        <f>SUMIF(cutts[date],A225,cutts[num])</f>
        <v>0</v>
      </c>
      <c r="D225" s="92"/>
      <c r="E225" s="93">
        <f>SUMIF(packes[date],A225,packes[num])</f>
        <v>0</v>
      </c>
      <c r="F225" s="93">
        <f>SUMIF(packes[date],A225,packes[wPacked])</f>
        <v>0</v>
      </c>
      <c r="G225" s="93"/>
      <c r="H225" s="93">
        <f>reportTbl[[#This Row],[personels]]-reportTbl[[#This Row],[personels]]*2.5/22-0.5</f>
        <v>-0.5</v>
      </c>
      <c r="I225" s="94">
        <f>(reportTbl[[#This Row],[وزن تولید]]*unityCycleTime-reportTbl[[#This Row],[received TimeOut]])/(reportTbl[[#This Row],[available time]]*reportTbl[[#This Row],[تعداد نیرو]])</f>
        <v>0</v>
      </c>
      <c r="J225" s="95"/>
      <c r="K225" s="97"/>
      <c r="L225" s="97"/>
      <c r="M225" s="97"/>
      <c r="N225" s="97"/>
      <c r="O225" s="97">
        <v>0</v>
      </c>
      <c r="P225" s="96" t="s">
        <v>1037</v>
      </c>
      <c r="Q225" s="92">
        <f>_xlfn.XLOOKUP(reportTbl[[#This Row],[date]],IIITbl[date],IIITbl[totalCT],0)</f>
        <v>0</v>
      </c>
      <c r="R225" s="92">
        <v>30000</v>
      </c>
    </row>
    <row r="226" spans="1:18" ht="20.25" x14ac:dyDescent="0.25">
      <c r="A226" s="7" t="s">
        <v>889</v>
      </c>
      <c r="B226" s="91" t="s">
        <v>122</v>
      </c>
      <c r="C226" s="92">
        <f>SUMIF(cutts[date],A226,cutts[num])</f>
        <v>0</v>
      </c>
      <c r="D226" s="92"/>
      <c r="E226" s="93">
        <f>SUMIF(packes[date],A226,packes[num])</f>
        <v>0</v>
      </c>
      <c r="F226" s="93">
        <f>SUMIF(packes[date],A226,packes[wPacked])</f>
        <v>0</v>
      </c>
      <c r="G226" s="93"/>
      <c r="H226" s="93">
        <f>reportTbl[[#This Row],[personels]]-reportTbl[[#This Row],[personels]]*2.5/22-0.5</f>
        <v>-0.5</v>
      </c>
      <c r="I226" s="94">
        <f>(reportTbl[[#This Row],[وزن تولید]]*unityCycleTime-reportTbl[[#This Row],[received TimeOut]])/(reportTbl[[#This Row],[available time]]*reportTbl[[#This Row],[تعداد نیرو]])</f>
        <v>0</v>
      </c>
      <c r="J226" s="95"/>
      <c r="K226" s="97"/>
      <c r="L226" s="97"/>
      <c r="M226" s="97"/>
      <c r="N226" s="97"/>
      <c r="O226" s="97">
        <v>0</v>
      </c>
      <c r="P226" s="96" t="s">
        <v>1037</v>
      </c>
      <c r="Q226" s="92">
        <f>_xlfn.XLOOKUP(reportTbl[[#This Row],[date]],IIITbl[date],IIITbl[totalCT],0)</f>
        <v>0</v>
      </c>
      <c r="R226" s="92">
        <v>30000</v>
      </c>
    </row>
    <row r="227" spans="1:18" ht="20.25" x14ac:dyDescent="0.25">
      <c r="A227" s="7" t="s">
        <v>890</v>
      </c>
      <c r="B227" s="91" t="s">
        <v>116</v>
      </c>
      <c r="C227" s="92">
        <f>SUMIF(cutts[date],A227,cutts[num])</f>
        <v>0</v>
      </c>
      <c r="D227" s="92"/>
      <c r="E227" s="93">
        <f>SUMIF(packes[date],A227,packes[num])</f>
        <v>0</v>
      </c>
      <c r="F227" s="93">
        <f>SUMIF(packes[date],A227,packes[wPacked])</f>
        <v>0</v>
      </c>
      <c r="G227" s="93"/>
      <c r="H227" s="93">
        <f>reportTbl[[#This Row],[personels]]-reportTbl[[#This Row],[personels]]*2.5/22-0.5</f>
        <v>-0.5</v>
      </c>
      <c r="I227" s="94">
        <f>(reportTbl[[#This Row],[وزن تولید]]*unityCycleTime-reportTbl[[#This Row],[received TimeOut]])/(reportTbl[[#This Row],[available time]]*reportTbl[[#This Row],[تعداد نیرو]])</f>
        <v>0</v>
      </c>
      <c r="J227" s="95"/>
      <c r="K227" s="97"/>
      <c r="L227" s="97"/>
      <c r="M227" s="97"/>
      <c r="N227" s="97"/>
      <c r="O227" s="97">
        <v>0</v>
      </c>
      <c r="P227" s="96" t="s">
        <v>1037</v>
      </c>
      <c r="Q227" s="92">
        <f>_xlfn.XLOOKUP(reportTbl[[#This Row],[date]],IIITbl[date],IIITbl[totalCT],0)</f>
        <v>0</v>
      </c>
      <c r="R227" s="92">
        <v>30000</v>
      </c>
    </row>
    <row r="228" spans="1:18" ht="20.25" x14ac:dyDescent="0.25">
      <c r="A228" s="7" t="s">
        <v>891</v>
      </c>
      <c r="B228" s="91" t="s">
        <v>117</v>
      </c>
      <c r="C228" s="92">
        <f>SUMIF(cutts[date],A228,cutts[num])</f>
        <v>0</v>
      </c>
      <c r="D228" s="92"/>
      <c r="E228" s="93">
        <f>SUMIF(packes[date],A228,packes[num])</f>
        <v>0</v>
      </c>
      <c r="F228" s="93">
        <f>SUMIF(packes[date],A228,packes[wPacked])</f>
        <v>0</v>
      </c>
      <c r="G228" s="93"/>
      <c r="H228" s="93">
        <f>reportTbl[[#This Row],[personels]]-reportTbl[[#This Row],[personels]]*2.5/22-0.5</f>
        <v>-0.5</v>
      </c>
      <c r="I228" s="94">
        <f>(reportTbl[[#This Row],[وزن تولید]]*unityCycleTime-reportTbl[[#This Row],[received TimeOut]])/(reportTbl[[#This Row],[available time]]*reportTbl[[#This Row],[تعداد نیرو]])</f>
        <v>0</v>
      </c>
      <c r="J228" s="95"/>
      <c r="K228" s="97"/>
      <c r="L228" s="97"/>
      <c r="M228" s="97"/>
      <c r="N228" s="97"/>
      <c r="O228" s="97">
        <v>0</v>
      </c>
      <c r="P228" s="96" t="s">
        <v>1037</v>
      </c>
      <c r="Q228" s="92">
        <f>_xlfn.XLOOKUP(reportTbl[[#This Row],[date]],IIITbl[date],IIITbl[totalCT],0)</f>
        <v>0</v>
      </c>
      <c r="R228" s="92">
        <v>30000</v>
      </c>
    </row>
    <row r="229" spans="1:18" ht="20.25" x14ac:dyDescent="0.25">
      <c r="A229" s="7" t="s">
        <v>892</v>
      </c>
      <c r="B229" s="91" t="s">
        <v>118</v>
      </c>
      <c r="C229" s="92">
        <f>SUMIF(cutts[date],A229,cutts[num])</f>
        <v>0</v>
      </c>
      <c r="D229" s="92"/>
      <c r="E229" s="93">
        <f>SUMIF(packes[date],A229,packes[num])</f>
        <v>0</v>
      </c>
      <c r="F229" s="93">
        <f>SUMIF(packes[date],A229,packes[wPacked])</f>
        <v>0</v>
      </c>
      <c r="G229" s="93"/>
      <c r="H229" s="93">
        <f>reportTbl[[#This Row],[personels]]-reportTbl[[#This Row],[personels]]*2.5/22-0.5</f>
        <v>-0.5</v>
      </c>
      <c r="I229" s="94">
        <f>(reportTbl[[#This Row],[وزن تولید]]*unityCycleTime-reportTbl[[#This Row],[received TimeOut]])/(reportTbl[[#This Row],[available time]]*reportTbl[[#This Row],[تعداد نیرو]])</f>
        <v>0</v>
      </c>
      <c r="J229" s="95"/>
      <c r="K229" s="97"/>
      <c r="L229" s="97"/>
      <c r="M229" s="97"/>
      <c r="N229" s="97"/>
      <c r="O229" s="97">
        <v>0</v>
      </c>
      <c r="P229" s="96" t="s">
        <v>1037</v>
      </c>
      <c r="Q229" s="92">
        <f>_xlfn.XLOOKUP(reportTbl[[#This Row],[date]],IIITbl[date],IIITbl[totalCT],0)</f>
        <v>0</v>
      </c>
      <c r="R229" s="92">
        <v>30000</v>
      </c>
    </row>
    <row r="230" spans="1:18" ht="20.25" x14ac:dyDescent="0.25">
      <c r="A230" s="7" t="s">
        <v>893</v>
      </c>
      <c r="B230" s="91" t="s">
        <v>119</v>
      </c>
      <c r="C230" s="92">
        <f>SUMIF(cutts[date],A230,cutts[num])</f>
        <v>0</v>
      </c>
      <c r="D230" s="92"/>
      <c r="E230" s="93">
        <f>SUMIF(packes[date],A230,packes[num])</f>
        <v>0</v>
      </c>
      <c r="F230" s="93">
        <f>SUMIF(packes[date],A230,packes[wPacked])</f>
        <v>0</v>
      </c>
      <c r="G230" s="93"/>
      <c r="H230" s="93">
        <f>reportTbl[[#This Row],[personels]]-reportTbl[[#This Row],[personels]]*2.5/22-0.5</f>
        <v>-0.5</v>
      </c>
      <c r="I230" s="94">
        <f>(reportTbl[[#This Row],[وزن تولید]]*unityCycleTime-reportTbl[[#This Row],[received TimeOut]])/(reportTbl[[#This Row],[available time]]*reportTbl[[#This Row],[تعداد نیرو]])</f>
        <v>0</v>
      </c>
      <c r="J230" s="95"/>
      <c r="K230" s="97"/>
      <c r="L230" s="97"/>
      <c r="M230" s="97"/>
      <c r="N230" s="97"/>
      <c r="O230" s="97">
        <v>0</v>
      </c>
      <c r="P230" s="96" t="s">
        <v>1037</v>
      </c>
      <c r="Q230" s="92">
        <f>_xlfn.XLOOKUP(reportTbl[[#This Row],[date]],IIITbl[date],IIITbl[totalCT],0)</f>
        <v>0</v>
      </c>
      <c r="R230" s="92">
        <v>30000</v>
      </c>
    </row>
    <row r="231" spans="1:18" ht="20.25" x14ac:dyDescent="0.25">
      <c r="A231" s="7" t="s">
        <v>894</v>
      </c>
      <c r="B231" s="91" t="s">
        <v>120</v>
      </c>
      <c r="C231" s="92">
        <f>SUMIF(cutts[date],A231,cutts[num])</f>
        <v>0</v>
      </c>
      <c r="D231" s="92"/>
      <c r="E231" s="93">
        <f>SUMIF(packes[date],A231,packes[num])</f>
        <v>0</v>
      </c>
      <c r="F231" s="93">
        <f>SUMIF(packes[date],A231,packes[wPacked])</f>
        <v>0</v>
      </c>
      <c r="G231" s="93"/>
      <c r="H231" s="93">
        <f>reportTbl[[#This Row],[personels]]-reportTbl[[#This Row],[personels]]*2.5/22-0.5</f>
        <v>-0.5</v>
      </c>
      <c r="I231" s="94">
        <f>(reportTbl[[#This Row],[وزن تولید]]*unityCycleTime-reportTbl[[#This Row],[received TimeOut]])/(reportTbl[[#This Row],[available time]]*reportTbl[[#This Row],[تعداد نیرو]])</f>
        <v>0</v>
      </c>
      <c r="J231" s="95"/>
      <c r="K231" s="97"/>
      <c r="L231" s="97"/>
      <c r="M231" s="97"/>
      <c r="N231" s="97"/>
      <c r="O231" s="97">
        <v>0</v>
      </c>
      <c r="P231" s="96" t="s">
        <v>1037</v>
      </c>
      <c r="Q231" s="92">
        <f>_xlfn.XLOOKUP(reportTbl[[#This Row],[date]],IIITbl[date],IIITbl[totalCT],0)</f>
        <v>0</v>
      </c>
      <c r="R231" s="92">
        <v>30000</v>
      </c>
    </row>
    <row r="232" spans="1:18" ht="20.25" x14ac:dyDescent="0.25">
      <c r="A232" s="7" t="s">
        <v>895</v>
      </c>
      <c r="B232" s="91" t="s">
        <v>121</v>
      </c>
      <c r="C232" s="92">
        <f>SUMIF(cutts[date],A232,cutts[num])</f>
        <v>0</v>
      </c>
      <c r="D232" s="92"/>
      <c r="E232" s="93">
        <f>SUMIF(packes[date],A232,packes[num])</f>
        <v>0</v>
      </c>
      <c r="F232" s="93">
        <f>SUMIF(packes[date],A232,packes[wPacked])</f>
        <v>0</v>
      </c>
      <c r="G232" s="93"/>
      <c r="H232" s="93">
        <f>reportTbl[[#This Row],[personels]]-reportTbl[[#This Row],[personels]]*2.5/22-0.5</f>
        <v>-0.5</v>
      </c>
      <c r="I232" s="94">
        <f>(reportTbl[[#This Row],[وزن تولید]]*unityCycleTime-reportTbl[[#This Row],[received TimeOut]])/(reportTbl[[#This Row],[available time]]*reportTbl[[#This Row],[تعداد نیرو]])</f>
        <v>0</v>
      </c>
      <c r="J232" s="95"/>
      <c r="K232" s="97"/>
      <c r="L232" s="97"/>
      <c r="M232" s="97"/>
      <c r="N232" s="97"/>
      <c r="O232" s="97">
        <v>0</v>
      </c>
      <c r="P232" s="96" t="s">
        <v>1037</v>
      </c>
      <c r="Q232" s="92">
        <f>_xlfn.XLOOKUP(reportTbl[[#This Row],[date]],IIITbl[date],IIITbl[totalCT],0)</f>
        <v>0</v>
      </c>
      <c r="R232" s="92">
        <v>30000</v>
      </c>
    </row>
    <row r="233" spans="1:18" ht="20.25" x14ac:dyDescent="0.25">
      <c r="A233" s="7" t="s">
        <v>896</v>
      </c>
      <c r="B233" s="91" t="s">
        <v>122</v>
      </c>
      <c r="C233" s="92">
        <f>SUMIF(cutts[date],A233,cutts[num])</f>
        <v>0</v>
      </c>
      <c r="D233" s="92"/>
      <c r="E233" s="93">
        <f>SUMIF(packes[date],A233,packes[num])</f>
        <v>0</v>
      </c>
      <c r="F233" s="93">
        <f>SUMIF(packes[date],A233,packes[wPacked])</f>
        <v>0</v>
      </c>
      <c r="G233" s="93"/>
      <c r="H233" s="93">
        <f>reportTbl[[#This Row],[personels]]-reportTbl[[#This Row],[personels]]*2.5/22-0.5</f>
        <v>-0.5</v>
      </c>
      <c r="I233" s="94">
        <f>(reportTbl[[#This Row],[وزن تولید]]*unityCycleTime-reportTbl[[#This Row],[received TimeOut]])/(reportTbl[[#This Row],[available time]]*reportTbl[[#This Row],[تعداد نیرو]])</f>
        <v>0</v>
      </c>
      <c r="J233" s="95"/>
      <c r="K233" s="97"/>
      <c r="L233" s="97"/>
      <c r="M233" s="97"/>
      <c r="N233" s="97"/>
      <c r="O233" s="97">
        <v>0</v>
      </c>
      <c r="P233" s="96" t="s">
        <v>1037</v>
      </c>
      <c r="Q233" s="92">
        <f>_xlfn.XLOOKUP(reportTbl[[#This Row],[date]],IIITbl[date],IIITbl[totalCT],0)</f>
        <v>0</v>
      </c>
      <c r="R233" s="92">
        <v>30000</v>
      </c>
    </row>
    <row r="234" spans="1:18" ht="20.25" x14ac:dyDescent="0.25">
      <c r="A234" s="7" t="s">
        <v>897</v>
      </c>
      <c r="B234" s="91" t="s">
        <v>116</v>
      </c>
      <c r="C234" s="92">
        <f>SUMIF(cutts[date],A234,cutts[num])</f>
        <v>0</v>
      </c>
      <c r="D234" s="92"/>
      <c r="E234" s="93">
        <f>SUMIF(packes[date],A234,packes[num])</f>
        <v>0</v>
      </c>
      <c r="F234" s="93">
        <f>SUMIF(packes[date],A234,packes[wPacked])</f>
        <v>0</v>
      </c>
      <c r="G234" s="93"/>
      <c r="H234" s="93">
        <f>reportTbl[[#This Row],[personels]]-reportTbl[[#This Row],[personels]]*2.5/22-0.5</f>
        <v>-0.5</v>
      </c>
      <c r="I234" s="94">
        <f>(reportTbl[[#This Row],[وزن تولید]]*unityCycleTime-reportTbl[[#This Row],[received TimeOut]])/(reportTbl[[#This Row],[available time]]*reportTbl[[#This Row],[تعداد نیرو]])</f>
        <v>0</v>
      </c>
      <c r="J234" s="95"/>
      <c r="K234" s="97"/>
      <c r="L234" s="97"/>
      <c r="M234" s="97"/>
      <c r="N234" s="97"/>
      <c r="O234" s="97">
        <v>0</v>
      </c>
      <c r="P234" s="96" t="s">
        <v>1037</v>
      </c>
      <c r="Q234" s="92">
        <f>_xlfn.XLOOKUP(reportTbl[[#This Row],[date]],IIITbl[date],IIITbl[totalCT],0)</f>
        <v>0</v>
      </c>
      <c r="R234" s="92">
        <v>30000</v>
      </c>
    </row>
    <row r="235" spans="1:18" ht="20.25" x14ac:dyDescent="0.25">
      <c r="A235" s="7" t="s">
        <v>898</v>
      </c>
      <c r="B235" s="91" t="s">
        <v>117</v>
      </c>
      <c r="C235" s="92">
        <f>SUMIF(cutts[date],A235,cutts[num])</f>
        <v>0</v>
      </c>
      <c r="D235" s="92"/>
      <c r="E235" s="93">
        <f>SUMIF(packes[date],A235,packes[num])</f>
        <v>0</v>
      </c>
      <c r="F235" s="93">
        <f>SUMIF(packes[date],A235,packes[wPacked])</f>
        <v>0</v>
      </c>
      <c r="G235" s="93"/>
      <c r="H235" s="93">
        <f>reportTbl[[#This Row],[personels]]-reportTbl[[#This Row],[personels]]*2.5/22-0.5</f>
        <v>-0.5</v>
      </c>
      <c r="I235" s="94">
        <f>(reportTbl[[#This Row],[وزن تولید]]*unityCycleTime-reportTbl[[#This Row],[received TimeOut]])/(reportTbl[[#This Row],[available time]]*reportTbl[[#This Row],[تعداد نیرو]])</f>
        <v>0</v>
      </c>
      <c r="J235" s="95"/>
      <c r="K235" s="97"/>
      <c r="L235" s="97"/>
      <c r="M235" s="97"/>
      <c r="N235" s="97"/>
      <c r="O235" s="97">
        <v>0</v>
      </c>
      <c r="P235" s="96" t="s">
        <v>1037</v>
      </c>
      <c r="Q235" s="92">
        <f>_xlfn.XLOOKUP(reportTbl[[#This Row],[date]],IIITbl[date],IIITbl[totalCT],0)</f>
        <v>0</v>
      </c>
      <c r="R235" s="92">
        <v>30000</v>
      </c>
    </row>
    <row r="236" spans="1:18" ht="20.25" x14ac:dyDescent="0.25">
      <c r="A236" s="7" t="s">
        <v>899</v>
      </c>
      <c r="B236" s="91" t="s">
        <v>118</v>
      </c>
      <c r="C236" s="92">
        <f>SUMIF(cutts[date],A236,cutts[num])</f>
        <v>0</v>
      </c>
      <c r="D236" s="92"/>
      <c r="E236" s="93">
        <f>SUMIF(packes[date],A236,packes[num])</f>
        <v>0</v>
      </c>
      <c r="F236" s="93">
        <f>SUMIF(packes[date],A236,packes[wPacked])</f>
        <v>0</v>
      </c>
      <c r="G236" s="93"/>
      <c r="H236" s="93">
        <f>reportTbl[[#This Row],[personels]]-reportTbl[[#This Row],[personels]]*2.5/22-0.5</f>
        <v>-0.5</v>
      </c>
      <c r="I236" s="94">
        <f>(reportTbl[[#This Row],[وزن تولید]]*unityCycleTime-reportTbl[[#This Row],[received TimeOut]])/(reportTbl[[#This Row],[available time]]*reportTbl[[#This Row],[تعداد نیرو]])</f>
        <v>0</v>
      </c>
      <c r="J236" s="95"/>
      <c r="K236" s="97"/>
      <c r="L236" s="97"/>
      <c r="M236" s="97"/>
      <c r="N236" s="97"/>
      <c r="O236" s="97">
        <v>0</v>
      </c>
      <c r="P236" s="96" t="s">
        <v>1037</v>
      </c>
      <c r="Q236" s="92">
        <f>_xlfn.XLOOKUP(reportTbl[[#This Row],[date]],IIITbl[date],IIITbl[totalCT],0)</f>
        <v>0</v>
      </c>
      <c r="R236" s="92">
        <v>30000</v>
      </c>
    </row>
    <row r="237" spans="1:18" ht="20.25" x14ac:dyDescent="0.25">
      <c r="A237" s="7" t="s">
        <v>900</v>
      </c>
      <c r="B237" s="91" t="s">
        <v>119</v>
      </c>
      <c r="C237" s="92">
        <f>SUMIF(cutts[date],A237,cutts[num])</f>
        <v>0</v>
      </c>
      <c r="D237" s="92"/>
      <c r="E237" s="93">
        <f>SUMIF(packes[date],A237,packes[num])</f>
        <v>0</v>
      </c>
      <c r="F237" s="93">
        <f>SUMIF(packes[date],A237,packes[wPacked])</f>
        <v>0</v>
      </c>
      <c r="G237" s="93"/>
      <c r="H237" s="93">
        <f>reportTbl[[#This Row],[personels]]-reportTbl[[#This Row],[personels]]*2.5/22-0.5</f>
        <v>-0.5</v>
      </c>
      <c r="I237" s="94">
        <f>(reportTbl[[#This Row],[وزن تولید]]*unityCycleTime-reportTbl[[#This Row],[received TimeOut]])/(reportTbl[[#This Row],[available time]]*reportTbl[[#This Row],[تعداد نیرو]])</f>
        <v>0</v>
      </c>
      <c r="J237" s="95"/>
      <c r="K237" s="97"/>
      <c r="L237" s="97"/>
      <c r="M237" s="97"/>
      <c r="N237" s="97"/>
      <c r="O237" s="97">
        <v>0</v>
      </c>
      <c r="P237" s="96" t="s">
        <v>1037</v>
      </c>
      <c r="Q237" s="92">
        <f>_xlfn.XLOOKUP(reportTbl[[#This Row],[date]],IIITbl[date],IIITbl[totalCT],0)</f>
        <v>0</v>
      </c>
      <c r="R237" s="92">
        <v>30000</v>
      </c>
    </row>
    <row r="238" spans="1:18" ht="20.25" x14ac:dyDescent="0.25">
      <c r="A238" s="7" t="s">
        <v>901</v>
      </c>
      <c r="B238" s="91" t="s">
        <v>120</v>
      </c>
      <c r="C238" s="92">
        <f>SUMIF(cutts[date],A238,cutts[num])</f>
        <v>0</v>
      </c>
      <c r="D238" s="92"/>
      <c r="E238" s="93">
        <f>SUMIF(packes[date],A238,packes[num])</f>
        <v>0</v>
      </c>
      <c r="F238" s="93">
        <f>SUMIF(packes[date],A238,packes[wPacked])</f>
        <v>0</v>
      </c>
      <c r="G238" s="93"/>
      <c r="H238" s="93">
        <f>reportTbl[[#This Row],[personels]]-reportTbl[[#This Row],[personels]]*2.5/22-0.5</f>
        <v>-0.5</v>
      </c>
      <c r="I238" s="94">
        <f>(reportTbl[[#This Row],[وزن تولید]]*unityCycleTime-reportTbl[[#This Row],[received TimeOut]])/(reportTbl[[#This Row],[available time]]*reportTbl[[#This Row],[تعداد نیرو]])</f>
        <v>0</v>
      </c>
      <c r="J238" s="95"/>
      <c r="K238" s="97"/>
      <c r="L238" s="97"/>
      <c r="M238" s="97"/>
      <c r="N238" s="97"/>
      <c r="O238" s="97">
        <v>0</v>
      </c>
      <c r="P238" s="96" t="s">
        <v>1037</v>
      </c>
      <c r="Q238" s="92">
        <f>_xlfn.XLOOKUP(reportTbl[[#This Row],[date]],IIITbl[date],IIITbl[totalCT],0)</f>
        <v>0</v>
      </c>
      <c r="R238" s="92">
        <v>30000</v>
      </c>
    </row>
    <row r="239" spans="1:18" ht="20.25" x14ac:dyDescent="0.25">
      <c r="A239" s="7" t="s">
        <v>902</v>
      </c>
      <c r="B239" s="91" t="s">
        <v>121</v>
      </c>
      <c r="C239" s="92">
        <f>SUMIF(cutts[date],A239,cutts[num])</f>
        <v>0</v>
      </c>
      <c r="D239" s="92"/>
      <c r="E239" s="93">
        <f>SUMIF(packes[date],A239,packes[num])</f>
        <v>0</v>
      </c>
      <c r="F239" s="93">
        <f>SUMIF(packes[date],A239,packes[wPacked])</f>
        <v>0</v>
      </c>
      <c r="G239" s="93"/>
      <c r="H239" s="93">
        <f>reportTbl[[#This Row],[personels]]-reportTbl[[#This Row],[personels]]*2.5/22-0.5</f>
        <v>-0.5</v>
      </c>
      <c r="I239" s="94">
        <f>(reportTbl[[#This Row],[وزن تولید]]*unityCycleTime-reportTbl[[#This Row],[received TimeOut]])/(reportTbl[[#This Row],[available time]]*reportTbl[[#This Row],[تعداد نیرو]])</f>
        <v>0</v>
      </c>
      <c r="J239" s="95"/>
      <c r="K239" s="97"/>
      <c r="L239" s="97"/>
      <c r="M239" s="97"/>
      <c r="N239" s="97"/>
      <c r="O239" s="97">
        <v>0</v>
      </c>
      <c r="P239" s="96" t="s">
        <v>1037</v>
      </c>
      <c r="Q239" s="92">
        <f>_xlfn.XLOOKUP(reportTbl[[#This Row],[date]],IIITbl[date],IIITbl[totalCT],0)</f>
        <v>0</v>
      </c>
      <c r="R239" s="92">
        <v>30000</v>
      </c>
    </row>
    <row r="240" spans="1:18" ht="20.25" x14ac:dyDescent="0.25">
      <c r="A240" s="7" t="s">
        <v>903</v>
      </c>
      <c r="B240" s="91" t="s">
        <v>122</v>
      </c>
      <c r="C240" s="92">
        <f>SUMIF(cutts[date],A240,cutts[num])</f>
        <v>0</v>
      </c>
      <c r="D240" s="92"/>
      <c r="E240" s="93">
        <f>SUMIF(packes[date],A240,packes[num])</f>
        <v>0</v>
      </c>
      <c r="F240" s="93">
        <f>SUMIF(packes[date],A240,packes[wPacked])</f>
        <v>0</v>
      </c>
      <c r="G240" s="93"/>
      <c r="H240" s="93">
        <f>reportTbl[[#This Row],[personels]]-reportTbl[[#This Row],[personels]]*2.5/22-0.5</f>
        <v>-0.5</v>
      </c>
      <c r="I240" s="94">
        <f>(reportTbl[[#This Row],[وزن تولید]]*unityCycleTime-reportTbl[[#This Row],[received TimeOut]])/(reportTbl[[#This Row],[available time]]*reportTbl[[#This Row],[تعداد نیرو]])</f>
        <v>0</v>
      </c>
      <c r="J240" s="95"/>
      <c r="K240" s="97"/>
      <c r="L240" s="97"/>
      <c r="M240" s="97"/>
      <c r="N240" s="97"/>
      <c r="O240" s="97">
        <v>0</v>
      </c>
      <c r="P240" s="96" t="s">
        <v>1037</v>
      </c>
      <c r="Q240" s="92">
        <f>_xlfn.XLOOKUP(reportTbl[[#This Row],[date]],IIITbl[date],IIITbl[totalCT],0)</f>
        <v>0</v>
      </c>
      <c r="R240" s="92">
        <v>30000</v>
      </c>
    </row>
    <row r="241" spans="1:18" ht="20.25" x14ac:dyDescent="0.25">
      <c r="A241" s="7" t="s">
        <v>904</v>
      </c>
      <c r="B241" s="91" t="s">
        <v>116</v>
      </c>
      <c r="C241" s="92">
        <f>SUMIF(cutts[date],A241,cutts[num])</f>
        <v>0</v>
      </c>
      <c r="D241" s="92"/>
      <c r="E241" s="93">
        <f>SUMIF(packes[date],A241,packes[num])</f>
        <v>0</v>
      </c>
      <c r="F241" s="93">
        <f>SUMIF(packes[date],A241,packes[wPacked])</f>
        <v>0</v>
      </c>
      <c r="G241" s="93"/>
      <c r="H241" s="93">
        <f>reportTbl[[#This Row],[personels]]-reportTbl[[#This Row],[personels]]*2.5/22-0.5</f>
        <v>-0.5</v>
      </c>
      <c r="I241" s="94">
        <f>(reportTbl[[#This Row],[وزن تولید]]*unityCycleTime-reportTbl[[#This Row],[received TimeOut]])/(reportTbl[[#This Row],[available time]]*reportTbl[[#This Row],[تعداد نیرو]])</f>
        <v>0</v>
      </c>
      <c r="J241" s="95"/>
      <c r="K241" s="97"/>
      <c r="L241" s="97"/>
      <c r="M241" s="97"/>
      <c r="N241" s="97"/>
      <c r="O241" s="97">
        <v>0</v>
      </c>
      <c r="P241" s="96" t="s">
        <v>1037</v>
      </c>
      <c r="Q241" s="92">
        <f>_xlfn.XLOOKUP(reportTbl[[#This Row],[date]],IIITbl[date],IIITbl[totalCT],0)</f>
        <v>0</v>
      </c>
      <c r="R241" s="92">
        <v>30000</v>
      </c>
    </row>
    <row r="242" spans="1:18" ht="20.25" x14ac:dyDescent="0.25">
      <c r="A242" s="7" t="s">
        <v>905</v>
      </c>
      <c r="B242" s="91" t="s">
        <v>117</v>
      </c>
      <c r="C242" s="92">
        <f>SUMIF(cutts[date],A242,cutts[num])</f>
        <v>0</v>
      </c>
      <c r="D242" s="92"/>
      <c r="E242" s="93">
        <f>SUMIF(packes[date],A242,packes[num])</f>
        <v>0</v>
      </c>
      <c r="F242" s="93">
        <f>SUMIF(packes[date],A242,packes[wPacked])</f>
        <v>0</v>
      </c>
      <c r="G242" s="93"/>
      <c r="H242" s="93">
        <f>reportTbl[[#This Row],[personels]]-reportTbl[[#This Row],[personels]]*2.5/22-0.5</f>
        <v>-0.5</v>
      </c>
      <c r="I242" s="94">
        <f>(reportTbl[[#This Row],[وزن تولید]]*unityCycleTime-reportTbl[[#This Row],[received TimeOut]])/(reportTbl[[#This Row],[available time]]*reportTbl[[#This Row],[تعداد نیرو]])</f>
        <v>0</v>
      </c>
      <c r="J242" s="95"/>
      <c r="K242" s="97"/>
      <c r="L242" s="97"/>
      <c r="M242" s="97"/>
      <c r="N242" s="97"/>
      <c r="O242" s="97">
        <v>0</v>
      </c>
      <c r="P242" s="96" t="s">
        <v>1037</v>
      </c>
      <c r="Q242" s="92">
        <f>_xlfn.XLOOKUP(reportTbl[[#This Row],[date]],IIITbl[date],IIITbl[totalCT],0)</f>
        <v>0</v>
      </c>
      <c r="R242" s="92">
        <v>30000</v>
      </c>
    </row>
    <row r="243" spans="1:18" ht="20.25" x14ac:dyDescent="0.25">
      <c r="A243" s="7" t="s">
        <v>906</v>
      </c>
      <c r="B243" s="91" t="s">
        <v>118</v>
      </c>
      <c r="C243" s="92">
        <f>SUMIF(cutts[date],A243,cutts[num])</f>
        <v>0</v>
      </c>
      <c r="D243" s="92"/>
      <c r="E243" s="93">
        <f>SUMIF(packes[date],A243,packes[num])</f>
        <v>0</v>
      </c>
      <c r="F243" s="93">
        <f>SUMIF(packes[date],A243,packes[wPacked])</f>
        <v>0</v>
      </c>
      <c r="G243" s="93"/>
      <c r="H243" s="93">
        <f>reportTbl[[#This Row],[personels]]-reportTbl[[#This Row],[personels]]*2.5/22-0.5</f>
        <v>-0.5</v>
      </c>
      <c r="I243" s="94">
        <f>(reportTbl[[#This Row],[وزن تولید]]*unityCycleTime-reportTbl[[#This Row],[received TimeOut]])/(reportTbl[[#This Row],[available time]]*reportTbl[[#This Row],[تعداد نیرو]])</f>
        <v>0</v>
      </c>
      <c r="J243" s="95"/>
      <c r="K243" s="97"/>
      <c r="L243" s="97"/>
      <c r="M243" s="97"/>
      <c r="N243" s="97"/>
      <c r="O243" s="97">
        <v>0</v>
      </c>
      <c r="P243" s="96" t="s">
        <v>1037</v>
      </c>
      <c r="Q243" s="92">
        <f>_xlfn.XLOOKUP(reportTbl[[#This Row],[date]],IIITbl[date],IIITbl[totalCT],0)</f>
        <v>0</v>
      </c>
      <c r="R243" s="92">
        <v>30000</v>
      </c>
    </row>
    <row r="244" spans="1:18" ht="20.25" x14ac:dyDescent="0.25">
      <c r="A244" s="7" t="s">
        <v>907</v>
      </c>
      <c r="B244" s="91" t="s">
        <v>119</v>
      </c>
      <c r="C244" s="92">
        <f>SUMIF(cutts[date],A244,cutts[num])</f>
        <v>0</v>
      </c>
      <c r="D244" s="92"/>
      <c r="E244" s="93">
        <f>SUMIF(packes[date],A244,packes[num])</f>
        <v>0</v>
      </c>
      <c r="F244" s="93">
        <f>SUMIF(packes[date],A244,packes[wPacked])</f>
        <v>0</v>
      </c>
      <c r="G244" s="93"/>
      <c r="H244" s="93">
        <f>reportTbl[[#This Row],[personels]]-reportTbl[[#This Row],[personels]]*2.5/22-0.5</f>
        <v>-0.5</v>
      </c>
      <c r="I244" s="94">
        <f>(reportTbl[[#This Row],[وزن تولید]]*unityCycleTime-reportTbl[[#This Row],[received TimeOut]])/(reportTbl[[#This Row],[available time]]*reportTbl[[#This Row],[تعداد نیرو]])</f>
        <v>0</v>
      </c>
      <c r="J244" s="95"/>
      <c r="K244" s="97"/>
      <c r="L244" s="97"/>
      <c r="M244" s="97"/>
      <c r="N244" s="97"/>
      <c r="O244" s="97">
        <v>0</v>
      </c>
      <c r="P244" s="96" t="s">
        <v>1037</v>
      </c>
      <c r="Q244" s="92">
        <f>_xlfn.XLOOKUP(reportTbl[[#This Row],[date]],IIITbl[date],IIITbl[totalCT],0)</f>
        <v>0</v>
      </c>
      <c r="R244" s="92">
        <v>30000</v>
      </c>
    </row>
    <row r="245" spans="1:18" ht="20.25" x14ac:dyDescent="0.25">
      <c r="A245" s="7" t="s">
        <v>908</v>
      </c>
      <c r="B245" s="91" t="s">
        <v>120</v>
      </c>
      <c r="C245" s="92">
        <f>SUMIF(cutts[date],A245,cutts[num])</f>
        <v>0</v>
      </c>
      <c r="D245" s="92"/>
      <c r="E245" s="93">
        <f>SUMIF(packes[date],A245,packes[num])</f>
        <v>0</v>
      </c>
      <c r="F245" s="93">
        <f>SUMIF(packes[date],A245,packes[wPacked])</f>
        <v>0</v>
      </c>
      <c r="G245" s="93"/>
      <c r="H245" s="93">
        <f>reportTbl[[#This Row],[personels]]-reportTbl[[#This Row],[personels]]*2.5/22-0.5</f>
        <v>-0.5</v>
      </c>
      <c r="I245" s="94">
        <f>(reportTbl[[#This Row],[وزن تولید]]*unityCycleTime-reportTbl[[#This Row],[received TimeOut]])/(reportTbl[[#This Row],[available time]]*reportTbl[[#This Row],[تعداد نیرو]])</f>
        <v>0</v>
      </c>
      <c r="J245" s="95"/>
      <c r="K245" s="97"/>
      <c r="L245" s="97"/>
      <c r="M245" s="97"/>
      <c r="N245" s="97"/>
      <c r="O245" s="97">
        <v>0</v>
      </c>
      <c r="P245" s="96" t="s">
        <v>1037</v>
      </c>
      <c r="Q245" s="92">
        <f>_xlfn.XLOOKUP(reportTbl[[#This Row],[date]],IIITbl[date],IIITbl[totalCT],0)</f>
        <v>0</v>
      </c>
      <c r="R245" s="92">
        <v>30000</v>
      </c>
    </row>
    <row r="246" spans="1:18" ht="20.25" x14ac:dyDescent="0.25">
      <c r="A246" s="7" t="s">
        <v>909</v>
      </c>
      <c r="B246" s="91" t="s">
        <v>121</v>
      </c>
      <c r="C246" s="92">
        <f>SUMIF(cutts[date],A246,cutts[num])</f>
        <v>0</v>
      </c>
      <c r="D246" s="92"/>
      <c r="E246" s="93">
        <f>SUMIF(packes[date],A246,packes[num])</f>
        <v>0</v>
      </c>
      <c r="F246" s="93">
        <f>SUMIF(packes[date],A246,packes[wPacked])</f>
        <v>0</v>
      </c>
      <c r="G246" s="93"/>
      <c r="H246" s="93">
        <f>reportTbl[[#This Row],[personels]]-reportTbl[[#This Row],[personels]]*2.5/22-0.5</f>
        <v>-0.5</v>
      </c>
      <c r="I246" s="94">
        <f>(reportTbl[[#This Row],[وزن تولید]]*unityCycleTime-reportTbl[[#This Row],[received TimeOut]])/(reportTbl[[#This Row],[available time]]*reportTbl[[#This Row],[تعداد نیرو]])</f>
        <v>0</v>
      </c>
      <c r="J246" s="95"/>
      <c r="K246" s="97"/>
      <c r="L246" s="97"/>
      <c r="M246" s="97"/>
      <c r="N246" s="97"/>
      <c r="O246" s="97">
        <v>0</v>
      </c>
      <c r="P246" s="96" t="s">
        <v>1037</v>
      </c>
      <c r="Q246" s="92">
        <f>_xlfn.XLOOKUP(reportTbl[[#This Row],[date]],IIITbl[date],IIITbl[totalCT],0)</f>
        <v>0</v>
      </c>
      <c r="R246" s="92">
        <v>30000</v>
      </c>
    </row>
    <row r="247" spans="1:18" ht="20.25" x14ac:dyDescent="0.25">
      <c r="A247" s="7" t="s">
        <v>910</v>
      </c>
      <c r="B247" s="91" t="s">
        <v>122</v>
      </c>
      <c r="C247" s="92">
        <f>SUMIF(cutts[date],A247,cutts[num])</f>
        <v>0</v>
      </c>
      <c r="D247" s="92"/>
      <c r="E247" s="93">
        <f>SUMIF(packes[date],A247,packes[num])</f>
        <v>0</v>
      </c>
      <c r="F247" s="93">
        <f>SUMIF(packes[date],A247,packes[wPacked])</f>
        <v>0</v>
      </c>
      <c r="G247" s="93"/>
      <c r="H247" s="93">
        <f>reportTbl[[#This Row],[personels]]-reportTbl[[#This Row],[personels]]*2.5/22-0.5</f>
        <v>-0.5</v>
      </c>
      <c r="I247" s="94">
        <f>(reportTbl[[#This Row],[وزن تولید]]*unityCycleTime-reportTbl[[#This Row],[received TimeOut]])/(reportTbl[[#This Row],[available time]]*reportTbl[[#This Row],[تعداد نیرو]])</f>
        <v>0</v>
      </c>
      <c r="J247" s="95"/>
      <c r="K247" s="97"/>
      <c r="L247" s="97"/>
      <c r="M247" s="97"/>
      <c r="N247" s="97"/>
      <c r="O247" s="97">
        <v>0</v>
      </c>
      <c r="P247" s="96" t="s">
        <v>1037</v>
      </c>
      <c r="Q247" s="92">
        <f>_xlfn.XLOOKUP(reportTbl[[#This Row],[date]],IIITbl[date],IIITbl[totalCT],0)</f>
        <v>0</v>
      </c>
      <c r="R247" s="92">
        <v>30000</v>
      </c>
    </row>
    <row r="248" spans="1:18" ht="20.25" x14ac:dyDescent="0.25">
      <c r="A248" s="7" t="s">
        <v>911</v>
      </c>
      <c r="B248" s="91" t="s">
        <v>116</v>
      </c>
      <c r="C248" s="92">
        <f>SUMIF(cutts[date],A248,cutts[num])</f>
        <v>0</v>
      </c>
      <c r="D248" s="92"/>
      <c r="E248" s="93">
        <f>SUMIF(packes[date],A248,packes[num])</f>
        <v>0</v>
      </c>
      <c r="F248" s="93">
        <f>SUMIF(packes[date],A248,packes[wPacked])</f>
        <v>0</v>
      </c>
      <c r="G248" s="93"/>
      <c r="H248" s="93">
        <f>reportTbl[[#This Row],[personels]]-reportTbl[[#This Row],[personels]]*2.5/22-0.5</f>
        <v>-0.5</v>
      </c>
      <c r="I248" s="94">
        <f>(reportTbl[[#This Row],[وزن تولید]]*unityCycleTime-reportTbl[[#This Row],[received TimeOut]])/(reportTbl[[#This Row],[available time]]*reportTbl[[#This Row],[تعداد نیرو]])</f>
        <v>0</v>
      </c>
      <c r="J248" s="95"/>
      <c r="K248" s="97"/>
      <c r="L248" s="97"/>
      <c r="M248" s="97"/>
      <c r="N248" s="97"/>
      <c r="O248" s="97">
        <v>0</v>
      </c>
      <c r="P248" s="96" t="s">
        <v>1038</v>
      </c>
      <c r="Q248" s="92">
        <f>_xlfn.XLOOKUP(reportTbl[[#This Row],[date]],IIITbl[date],IIITbl[totalCT],0)</f>
        <v>0</v>
      </c>
      <c r="R248" s="92">
        <v>30000</v>
      </c>
    </row>
    <row r="249" spans="1:18" ht="20.25" x14ac:dyDescent="0.25">
      <c r="A249" s="7" t="s">
        <v>912</v>
      </c>
      <c r="B249" s="91" t="s">
        <v>117</v>
      </c>
      <c r="C249" s="92">
        <f>SUMIF(cutts[date],A249,cutts[num])</f>
        <v>0</v>
      </c>
      <c r="D249" s="92"/>
      <c r="E249" s="93">
        <f>SUMIF(packes[date],A249,packes[num])</f>
        <v>0</v>
      </c>
      <c r="F249" s="93">
        <f>SUMIF(packes[date],A249,packes[wPacked])</f>
        <v>0</v>
      </c>
      <c r="G249" s="93"/>
      <c r="H249" s="93">
        <f>reportTbl[[#This Row],[personels]]-reportTbl[[#This Row],[personels]]*2.5/22-0.5</f>
        <v>-0.5</v>
      </c>
      <c r="I249" s="94">
        <f>(reportTbl[[#This Row],[وزن تولید]]*unityCycleTime-reportTbl[[#This Row],[received TimeOut]])/(reportTbl[[#This Row],[available time]]*reportTbl[[#This Row],[تعداد نیرو]])</f>
        <v>0</v>
      </c>
      <c r="J249" s="95"/>
      <c r="K249" s="97"/>
      <c r="L249" s="97"/>
      <c r="M249" s="97"/>
      <c r="N249" s="97"/>
      <c r="O249" s="97">
        <v>0</v>
      </c>
      <c r="P249" s="96" t="s">
        <v>1038</v>
      </c>
      <c r="Q249" s="92">
        <f>_xlfn.XLOOKUP(reportTbl[[#This Row],[date]],IIITbl[date],IIITbl[totalCT],0)</f>
        <v>0</v>
      </c>
      <c r="R249" s="92">
        <v>30000</v>
      </c>
    </row>
    <row r="250" spans="1:18" ht="20.25" x14ac:dyDescent="0.25">
      <c r="A250" s="7" t="s">
        <v>913</v>
      </c>
      <c r="B250" s="91" t="s">
        <v>118</v>
      </c>
      <c r="C250" s="92">
        <f>SUMIF(cutts[date],A250,cutts[num])</f>
        <v>0</v>
      </c>
      <c r="D250" s="92"/>
      <c r="E250" s="93">
        <f>SUMIF(packes[date],A250,packes[num])</f>
        <v>0</v>
      </c>
      <c r="F250" s="93">
        <f>SUMIF(packes[date],A250,packes[wPacked])</f>
        <v>0</v>
      </c>
      <c r="G250" s="93"/>
      <c r="H250" s="93">
        <f>reportTbl[[#This Row],[personels]]-reportTbl[[#This Row],[personels]]*2.5/22-0.5</f>
        <v>-0.5</v>
      </c>
      <c r="I250" s="94">
        <f>(reportTbl[[#This Row],[وزن تولید]]*unityCycleTime-reportTbl[[#This Row],[received TimeOut]])/(reportTbl[[#This Row],[available time]]*reportTbl[[#This Row],[تعداد نیرو]])</f>
        <v>0</v>
      </c>
      <c r="J250" s="95"/>
      <c r="K250" s="97"/>
      <c r="L250" s="97"/>
      <c r="M250" s="97"/>
      <c r="N250" s="97"/>
      <c r="O250" s="97">
        <v>0</v>
      </c>
      <c r="P250" s="96" t="s">
        <v>1038</v>
      </c>
      <c r="Q250" s="92">
        <f>_xlfn.XLOOKUP(reportTbl[[#This Row],[date]],IIITbl[date],IIITbl[totalCT],0)</f>
        <v>0</v>
      </c>
      <c r="R250" s="92">
        <v>30000</v>
      </c>
    </row>
    <row r="251" spans="1:18" ht="20.25" x14ac:dyDescent="0.25">
      <c r="A251" s="7" t="s">
        <v>914</v>
      </c>
      <c r="B251" s="91" t="s">
        <v>119</v>
      </c>
      <c r="C251" s="92">
        <f>SUMIF(cutts[date],A251,cutts[num])</f>
        <v>0</v>
      </c>
      <c r="D251" s="92"/>
      <c r="E251" s="93">
        <f>SUMIF(packes[date],A251,packes[num])</f>
        <v>0</v>
      </c>
      <c r="F251" s="93">
        <f>SUMIF(packes[date],A251,packes[wPacked])</f>
        <v>0</v>
      </c>
      <c r="G251" s="93"/>
      <c r="H251" s="93">
        <f>reportTbl[[#This Row],[personels]]-reportTbl[[#This Row],[personels]]*2.5/22-0.5</f>
        <v>-0.5</v>
      </c>
      <c r="I251" s="94">
        <f>(reportTbl[[#This Row],[وزن تولید]]*unityCycleTime-reportTbl[[#This Row],[received TimeOut]])/(reportTbl[[#This Row],[available time]]*reportTbl[[#This Row],[تعداد نیرو]])</f>
        <v>0</v>
      </c>
      <c r="J251" s="95"/>
      <c r="K251" s="97"/>
      <c r="L251" s="97"/>
      <c r="M251" s="97"/>
      <c r="N251" s="97"/>
      <c r="O251" s="97">
        <v>0</v>
      </c>
      <c r="P251" s="96" t="s">
        <v>1038</v>
      </c>
      <c r="Q251" s="92">
        <f>_xlfn.XLOOKUP(reportTbl[[#This Row],[date]],IIITbl[date],IIITbl[totalCT],0)</f>
        <v>0</v>
      </c>
      <c r="R251" s="92">
        <v>30000</v>
      </c>
    </row>
    <row r="252" spans="1:18" ht="20.25" x14ac:dyDescent="0.25">
      <c r="A252" s="7" t="s">
        <v>915</v>
      </c>
      <c r="B252" s="91" t="s">
        <v>120</v>
      </c>
      <c r="C252" s="92">
        <f>SUMIF(cutts[date],A252,cutts[num])</f>
        <v>0</v>
      </c>
      <c r="D252" s="92"/>
      <c r="E252" s="93">
        <f>SUMIF(packes[date],A252,packes[num])</f>
        <v>0</v>
      </c>
      <c r="F252" s="93">
        <f>SUMIF(packes[date],A252,packes[wPacked])</f>
        <v>0</v>
      </c>
      <c r="G252" s="93"/>
      <c r="H252" s="93">
        <f>reportTbl[[#This Row],[personels]]-reportTbl[[#This Row],[personels]]*2.5/22-0.5</f>
        <v>-0.5</v>
      </c>
      <c r="I252" s="94">
        <f>(reportTbl[[#This Row],[وزن تولید]]*unityCycleTime-reportTbl[[#This Row],[received TimeOut]])/(reportTbl[[#This Row],[available time]]*reportTbl[[#This Row],[تعداد نیرو]])</f>
        <v>0</v>
      </c>
      <c r="J252" s="95"/>
      <c r="K252" s="97"/>
      <c r="L252" s="97"/>
      <c r="M252" s="97"/>
      <c r="N252" s="97"/>
      <c r="O252" s="97">
        <v>0</v>
      </c>
      <c r="P252" s="96" t="s">
        <v>1038</v>
      </c>
      <c r="Q252" s="92">
        <f>_xlfn.XLOOKUP(reportTbl[[#This Row],[date]],IIITbl[date],IIITbl[totalCT],0)</f>
        <v>0</v>
      </c>
      <c r="R252" s="92">
        <v>30000</v>
      </c>
    </row>
    <row r="253" spans="1:18" ht="20.25" x14ac:dyDescent="0.25">
      <c r="A253" s="7" t="s">
        <v>916</v>
      </c>
      <c r="B253" s="91" t="s">
        <v>121</v>
      </c>
      <c r="C253" s="92">
        <f>SUMIF(cutts[date],A253,cutts[num])</f>
        <v>0</v>
      </c>
      <c r="D253" s="92"/>
      <c r="E253" s="93">
        <f>SUMIF(packes[date],A253,packes[num])</f>
        <v>0</v>
      </c>
      <c r="F253" s="93">
        <f>SUMIF(packes[date],A253,packes[wPacked])</f>
        <v>0</v>
      </c>
      <c r="G253" s="93"/>
      <c r="H253" s="93">
        <f>reportTbl[[#This Row],[personels]]-reportTbl[[#This Row],[personels]]*2.5/22-0.5</f>
        <v>-0.5</v>
      </c>
      <c r="I253" s="94">
        <f>(reportTbl[[#This Row],[وزن تولید]]*unityCycleTime-reportTbl[[#This Row],[received TimeOut]])/(reportTbl[[#This Row],[available time]]*reportTbl[[#This Row],[تعداد نیرو]])</f>
        <v>0</v>
      </c>
      <c r="J253" s="95"/>
      <c r="K253" s="97"/>
      <c r="L253" s="97"/>
      <c r="M253" s="97"/>
      <c r="N253" s="97"/>
      <c r="O253" s="97">
        <v>0</v>
      </c>
      <c r="P253" s="96" t="s">
        <v>1038</v>
      </c>
      <c r="Q253" s="92">
        <f>_xlfn.XLOOKUP(reportTbl[[#This Row],[date]],IIITbl[date],IIITbl[totalCT],0)</f>
        <v>0</v>
      </c>
      <c r="R253" s="92">
        <v>30000</v>
      </c>
    </row>
    <row r="254" spans="1:18" ht="20.25" x14ac:dyDescent="0.25">
      <c r="A254" s="7" t="s">
        <v>917</v>
      </c>
      <c r="B254" s="91" t="s">
        <v>122</v>
      </c>
      <c r="C254" s="92">
        <f>SUMIF(cutts[date],A254,cutts[num])</f>
        <v>0</v>
      </c>
      <c r="D254" s="92"/>
      <c r="E254" s="93">
        <f>SUMIF(packes[date],A254,packes[num])</f>
        <v>0</v>
      </c>
      <c r="F254" s="93">
        <f>SUMIF(packes[date],A254,packes[wPacked])</f>
        <v>0</v>
      </c>
      <c r="G254" s="93"/>
      <c r="H254" s="93">
        <f>reportTbl[[#This Row],[personels]]-reportTbl[[#This Row],[personels]]*2.5/22-0.5</f>
        <v>-0.5</v>
      </c>
      <c r="I254" s="94">
        <f>(reportTbl[[#This Row],[وزن تولید]]*unityCycleTime-reportTbl[[#This Row],[received TimeOut]])/(reportTbl[[#This Row],[available time]]*reportTbl[[#This Row],[تعداد نیرو]])</f>
        <v>0</v>
      </c>
      <c r="J254" s="95"/>
      <c r="K254" s="97"/>
      <c r="L254" s="97"/>
      <c r="M254" s="97"/>
      <c r="N254" s="97"/>
      <c r="O254" s="97">
        <v>0</v>
      </c>
      <c r="P254" s="96" t="s">
        <v>1038</v>
      </c>
      <c r="Q254" s="92">
        <f>_xlfn.XLOOKUP(reportTbl[[#This Row],[date]],IIITbl[date],IIITbl[totalCT],0)</f>
        <v>0</v>
      </c>
      <c r="R254" s="92">
        <v>30000</v>
      </c>
    </row>
    <row r="255" spans="1:18" ht="20.25" x14ac:dyDescent="0.25">
      <c r="A255" s="7" t="s">
        <v>918</v>
      </c>
      <c r="B255" s="91" t="s">
        <v>116</v>
      </c>
      <c r="C255" s="92">
        <f>SUMIF(cutts[date],A255,cutts[num])</f>
        <v>0</v>
      </c>
      <c r="D255" s="92"/>
      <c r="E255" s="93">
        <f>SUMIF(packes[date],A255,packes[num])</f>
        <v>0</v>
      </c>
      <c r="F255" s="93">
        <f>SUMIF(packes[date],A255,packes[wPacked])</f>
        <v>0</v>
      </c>
      <c r="G255" s="93"/>
      <c r="H255" s="93">
        <f>reportTbl[[#This Row],[personels]]-reportTbl[[#This Row],[personels]]*2.5/22-0.5</f>
        <v>-0.5</v>
      </c>
      <c r="I255" s="94">
        <f>(reportTbl[[#This Row],[وزن تولید]]*unityCycleTime-reportTbl[[#This Row],[received TimeOut]])/(reportTbl[[#This Row],[available time]]*reportTbl[[#This Row],[تعداد نیرو]])</f>
        <v>0</v>
      </c>
      <c r="J255" s="95"/>
      <c r="K255" s="97"/>
      <c r="L255" s="97"/>
      <c r="M255" s="97"/>
      <c r="N255" s="97"/>
      <c r="O255" s="97">
        <v>0</v>
      </c>
      <c r="P255" s="96" t="s">
        <v>1038</v>
      </c>
      <c r="Q255" s="92">
        <f>_xlfn.XLOOKUP(reportTbl[[#This Row],[date]],IIITbl[date],IIITbl[totalCT],0)</f>
        <v>0</v>
      </c>
      <c r="R255" s="92">
        <v>30000</v>
      </c>
    </row>
    <row r="256" spans="1:18" ht="20.25" x14ac:dyDescent="0.25">
      <c r="A256" s="7" t="s">
        <v>919</v>
      </c>
      <c r="B256" s="91" t="s">
        <v>117</v>
      </c>
      <c r="C256" s="92">
        <f>SUMIF(cutts[date],A256,cutts[num])</f>
        <v>0</v>
      </c>
      <c r="D256" s="92"/>
      <c r="E256" s="93">
        <f>SUMIF(packes[date],A256,packes[num])</f>
        <v>0</v>
      </c>
      <c r="F256" s="93">
        <f>SUMIF(packes[date],A256,packes[wPacked])</f>
        <v>0</v>
      </c>
      <c r="G256" s="93"/>
      <c r="H256" s="93">
        <f>reportTbl[[#This Row],[personels]]-reportTbl[[#This Row],[personels]]*2.5/22-0.5</f>
        <v>-0.5</v>
      </c>
      <c r="I256" s="94">
        <f>(reportTbl[[#This Row],[وزن تولید]]*unityCycleTime-reportTbl[[#This Row],[received TimeOut]])/(reportTbl[[#This Row],[available time]]*reportTbl[[#This Row],[تعداد نیرو]])</f>
        <v>0</v>
      </c>
      <c r="J256" s="95"/>
      <c r="K256" s="97"/>
      <c r="L256" s="97"/>
      <c r="M256" s="97"/>
      <c r="N256" s="97"/>
      <c r="O256" s="97">
        <v>0</v>
      </c>
      <c r="P256" s="96" t="s">
        <v>1038</v>
      </c>
      <c r="Q256" s="92">
        <f>_xlfn.XLOOKUP(reportTbl[[#This Row],[date]],IIITbl[date],IIITbl[totalCT],0)</f>
        <v>0</v>
      </c>
      <c r="R256" s="92">
        <v>30000</v>
      </c>
    </row>
    <row r="257" spans="1:18" ht="20.25" x14ac:dyDescent="0.25">
      <c r="A257" s="7" t="s">
        <v>920</v>
      </c>
      <c r="B257" s="91" t="s">
        <v>118</v>
      </c>
      <c r="C257" s="92">
        <f>SUMIF(cutts[date],A257,cutts[num])</f>
        <v>0</v>
      </c>
      <c r="D257" s="92"/>
      <c r="E257" s="93">
        <f>SUMIF(packes[date],A257,packes[num])</f>
        <v>0</v>
      </c>
      <c r="F257" s="93">
        <f>SUMIF(packes[date],A257,packes[wPacked])</f>
        <v>0</v>
      </c>
      <c r="G257" s="93"/>
      <c r="H257" s="93">
        <f>reportTbl[[#This Row],[personels]]-reportTbl[[#This Row],[personels]]*2.5/22-0.5</f>
        <v>-0.5</v>
      </c>
      <c r="I257" s="94">
        <f>(reportTbl[[#This Row],[وزن تولید]]*unityCycleTime-reportTbl[[#This Row],[received TimeOut]])/(reportTbl[[#This Row],[available time]]*reportTbl[[#This Row],[تعداد نیرو]])</f>
        <v>0</v>
      </c>
      <c r="J257" s="95"/>
      <c r="K257" s="97"/>
      <c r="L257" s="97"/>
      <c r="M257" s="97"/>
      <c r="N257" s="97"/>
      <c r="O257" s="97">
        <v>0</v>
      </c>
      <c r="P257" s="96" t="s">
        <v>1038</v>
      </c>
      <c r="Q257" s="92">
        <f>_xlfn.XLOOKUP(reportTbl[[#This Row],[date]],IIITbl[date],IIITbl[totalCT],0)</f>
        <v>0</v>
      </c>
      <c r="R257" s="92">
        <v>30000</v>
      </c>
    </row>
    <row r="258" spans="1:18" ht="20.25" x14ac:dyDescent="0.25">
      <c r="A258" s="7" t="s">
        <v>921</v>
      </c>
      <c r="B258" s="91" t="s">
        <v>119</v>
      </c>
      <c r="C258" s="92">
        <f>SUMIF(cutts[date],A258,cutts[num])</f>
        <v>0</v>
      </c>
      <c r="D258" s="92"/>
      <c r="E258" s="93">
        <f>SUMIF(packes[date],A258,packes[num])</f>
        <v>0</v>
      </c>
      <c r="F258" s="93">
        <f>SUMIF(packes[date],A258,packes[wPacked])</f>
        <v>0</v>
      </c>
      <c r="G258" s="93"/>
      <c r="H258" s="93">
        <f>reportTbl[[#This Row],[personels]]-reportTbl[[#This Row],[personels]]*2.5/22-0.5</f>
        <v>-0.5</v>
      </c>
      <c r="I258" s="94">
        <f>(reportTbl[[#This Row],[وزن تولید]]*unityCycleTime-reportTbl[[#This Row],[received TimeOut]])/(reportTbl[[#This Row],[available time]]*reportTbl[[#This Row],[تعداد نیرو]])</f>
        <v>0</v>
      </c>
      <c r="J258" s="95"/>
      <c r="K258" s="97"/>
      <c r="L258" s="97"/>
      <c r="M258" s="97"/>
      <c r="N258" s="97"/>
      <c r="O258" s="97">
        <v>0</v>
      </c>
      <c r="P258" s="96" t="s">
        <v>1038</v>
      </c>
      <c r="Q258" s="92">
        <f>_xlfn.XLOOKUP(reportTbl[[#This Row],[date]],IIITbl[date],IIITbl[totalCT],0)</f>
        <v>0</v>
      </c>
      <c r="R258" s="92">
        <v>30000</v>
      </c>
    </row>
    <row r="259" spans="1:18" ht="20.25" x14ac:dyDescent="0.25">
      <c r="A259" s="7" t="s">
        <v>922</v>
      </c>
      <c r="B259" s="91" t="s">
        <v>120</v>
      </c>
      <c r="C259" s="92">
        <f>SUMIF(cutts[date],A259,cutts[num])</f>
        <v>0</v>
      </c>
      <c r="D259" s="92"/>
      <c r="E259" s="93">
        <f>SUMIF(packes[date],A259,packes[num])</f>
        <v>0</v>
      </c>
      <c r="F259" s="93">
        <f>SUMIF(packes[date],A259,packes[wPacked])</f>
        <v>0</v>
      </c>
      <c r="G259" s="93"/>
      <c r="H259" s="93">
        <f>reportTbl[[#This Row],[personels]]-reportTbl[[#This Row],[personels]]*2.5/22-0.5</f>
        <v>-0.5</v>
      </c>
      <c r="I259" s="94">
        <f>(reportTbl[[#This Row],[وزن تولید]]*unityCycleTime-reportTbl[[#This Row],[received TimeOut]])/(reportTbl[[#This Row],[available time]]*reportTbl[[#This Row],[تعداد نیرو]])</f>
        <v>0</v>
      </c>
      <c r="J259" s="95"/>
      <c r="K259" s="97"/>
      <c r="L259" s="97"/>
      <c r="M259" s="97"/>
      <c r="N259" s="97"/>
      <c r="O259" s="97">
        <v>0</v>
      </c>
      <c r="P259" s="96" t="s">
        <v>1038</v>
      </c>
      <c r="Q259" s="92">
        <f>_xlfn.XLOOKUP(reportTbl[[#This Row],[date]],IIITbl[date],IIITbl[totalCT],0)</f>
        <v>0</v>
      </c>
      <c r="R259" s="92">
        <v>30000</v>
      </c>
    </row>
    <row r="260" spans="1:18" ht="20.25" x14ac:dyDescent="0.25">
      <c r="A260" s="7" t="s">
        <v>923</v>
      </c>
      <c r="B260" s="91" t="s">
        <v>121</v>
      </c>
      <c r="C260" s="92">
        <f>SUMIF(cutts[date],A260,cutts[num])</f>
        <v>0</v>
      </c>
      <c r="D260" s="92"/>
      <c r="E260" s="93">
        <f>SUMIF(packes[date],A260,packes[num])</f>
        <v>0</v>
      </c>
      <c r="F260" s="93">
        <f>SUMIF(packes[date],A260,packes[wPacked])</f>
        <v>0</v>
      </c>
      <c r="G260" s="93"/>
      <c r="H260" s="93">
        <f>reportTbl[[#This Row],[personels]]-reportTbl[[#This Row],[personels]]*2.5/22-0.5</f>
        <v>-0.5</v>
      </c>
      <c r="I260" s="94">
        <f>(reportTbl[[#This Row],[وزن تولید]]*unityCycleTime-reportTbl[[#This Row],[received TimeOut]])/(reportTbl[[#This Row],[available time]]*reportTbl[[#This Row],[تعداد نیرو]])</f>
        <v>0</v>
      </c>
      <c r="J260" s="95"/>
      <c r="K260" s="97"/>
      <c r="L260" s="97"/>
      <c r="M260" s="97"/>
      <c r="N260" s="97"/>
      <c r="O260" s="97">
        <v>0</v>
      </c>
      <c r="P260" s="96" t="s">
        <v>1038</v>
      </c>
      <c r="Q260" s="92">
        <f>_xlfn.XLOOKUP(reportTbl[[#This Row],[date]],IIITbl[date],IIITbl[totalCT],0)</f>
        <v>0</v>
      </c>
      <c r="R260" s="92">
        <v>30000</v>
      </c>
    </row>
    <row r="261" spans="1:18" ht="20.25" x14ac:dyDescent="0.25">
      <c r="A261" s="7" t="s">
        <v>924</v>
      </c>
      <c r="B261" s="91" t="s">
        <v>122</v>
      </c>
      <c r="C261" s="92">
        <f>SUMIF(cutts[date],A261,cutts[num])</f>
        <v>0</v>
      </c>
      <c r="D261" s="92"/>
      <c r="E261" s="93">
        <f>SUMIF(packes[date],A261,packes[num])</f>
        <v>0</v>
      </c>
      <c r="F261" s="93">
        <f>SUMIF(packes[date],A261,packes[wPacked])</f>
        <v>0</v>
      </c>
      <c r="G261" s="93"/>
      <c r="H261" s="93">
        <f>reportTbl[[#This Row],[personels]]-reportTbl[[#This Row],[personels]]*2.5/22-0.5</f>
        <v>-0.5</v>
      </c>
      <c r="I261" s="94">
        <f>(reportTbl[[#This Row],[وزن تولید]]*unityCycleTime-reportTbl[[#This Row],[received TimeOut]])/(reportTbl[[#This Row],[available time]]*reportTbl[[#This Row],[تعداد نیرو]])</f>
        <v>0</v>
      </c>
      <c r="J261" s="95"/>
      <c r="K261" s="97"/>
      <c r="L261" s="97"/>
      <c r="M261" s="97"/>
      <c r="N261" s="97"/>
      <c r="O261" s="97">
        <v>0</v>
      </c>
      <c r="P261" s="96" t="s">
        <v>1038</v>
      </c>
      <c r="Q261" s="92">
        <f>_xlfn.XLOOKUP(reportTbl[[#This Row],[date]],IIITbl[date],IIITbl[totalCT],0)</f>
        <v>0</v>
      </c>
      <c r="R261" s="92">
        <v>30000</v>
      </c>
    </row>
    <row r="262" spans="1:18" ht="20.25" x14ac:dyDescent="0.25">
      <c r="A262" s="7" t="s">
        <v>925</v>
      </c>
      <c r="B262" s="91" t="s">
        <v>116</v>
      </c>
      <c r="C262" s="92">
        <f>SUMIF(cutts[date],A262,cutts[num])</f>
        <v>0</v>
      </c>
      <c r="D262" s="92"/>
      <c r="E262" s="93">
        <f>SUMIF(packes[date],A262,packes[num])</f>
        <v>0</v>
      </c>
      <c r="F262" s="93">
        <f>SUMIF(packes[date],A262,packes[wPacked])</f>
        <v>0</v>
      </c>
      <c r="G262" s="93"/>
      <c r="H262" s="93">
        <f>reportTbl[[#This Row],[personels]]-reportTbl[[#This Row],[personels]]*2.5/22-0.5</f>
        <v>-0.5</v>
      </c>
      <c r="I262" s="94">
        <f>(reportTbl[[#This Row],[وزن تولید]]*unityCycleTime-reportTbl[[#This Row],[received TimeOut]])/(reportTbl[[#This Row],[available time]]*reportTbl[[#This Row],[تعداد نیرو]])</f>
        <v>0</v>
      </c>
      <c r="J262" s="95"/>
      <c r="K262" s="97"/>
      <c r="L262" s="97"/>
      <c r="M262" s="97"/>
      <c r="N262" s="97"/>
      <c r="O262" s="97">
        <v>0</v>
      </c>
      <c r="P262" s="96" t="s">
        <v>1038</v>
      </c>
      <c r="Q262" s="92">
        <f>_xlfn.XLOOKUP(reportTbl[[#This Row],[date]],IIITbl[date],IIITbl[totalCT],0)</f>
        <v>0</v>
      </c>
      <c r="R262" s="92">
        <v>30000</v>
      </c>
    </row>
    <row r="263" spans="1:18" ht="20.25" x14ac:dyDescent="0.25">
      <c r="A263" s="7" t="s">
        <v>926</v>
      </c>
      <c r="B263" s="91" t="s">
        <v>117</v>
      </c>
      <c r="C263" s="92">
        <f>SUMIF(cutts[date],A263,cutts[num])</f>
        <v>0</v>
      </c>
      <c r="D263" s="92"/>
      <c r="E263" s="93">
        <f>SUMIF(packes[date],A263,packes[num])</f>
        <v>0</v>
      </c>
      <c r="F263" s="93">
        <f>SUMIF(packes[date],A263,packes[wPacked])</f>
        <v>0</v>
      </c>
      <c r="G263" s="93"/>
      <c r="H263" s="93">
        <f>reportTbl[[#This Row],[personels]]-reportTbl[[#This Row],[personels]]*2.5/22-0.5</f>
        <v>-0.5</v>
      </c>
      <c r="I263" s="94">
        <f>(reportTbl[[#This Row],[وزن تولید]]*unityCycleTime-reportTbl[[#This Row],[received TimeOut]])/(reportTbl[[#This Row],[available time]]*reportTbl[[#This Row],[تعداد نیرو]])</f>
        <v>0</v>
      </c>
      <c r="J263" s="95"/>
      <c r="K263" s="97"/>
      <c r="L263" s="97"/>
      <c r="M263" s="97"/>
      <c r="N263" s="97"/>
      <c r="O263" s="97">
        <v>0</v>
      </c>
      <c r="P263" s="96" t="s">
        <v>1038</v>
      </c>
      <c r="Q263" s="92">
        <f>_xlfn.XLOOKUP(reportTbl[[#This Row],[date]],IIITbl[date],IIITbl[totalCT],0)</f>
        <v>0</v>
      </c>
      <c r="R263" s="92">
        <v>30000</v>
      </c>
    </row>
    <row r="264" spans="1:18" ht="20.25" x14ac:dyDescent="0.25">
      <c r="A264" s="7" t="s">
        <v>927</v>
      </c>
      <c r="B264" s="91" t="s">
        <v>118</v>
      </c>
      <c r="C264" s="92">
        <f>SUMIF(cutts[date],A264,cutts[num])</f>
        <v>0</v>
      </c>
      <c r="D264" s="92"/>
      <c r="E264" s="93">
        <f>SUMIF(packes[date],A264,packes[num])</f>
        <v>0</v>
      </c>
      <c r="F264" s="93">
        <f>SUMIF(packes[date],A264,packes[wPacked])</f>
        <v>0</v>
      </c>
      <c r="G264" s="93"/>
      <c r="H264" s="93">
        <f>reportTbl[[#This Row],[personels]]-reportTbl[[#This Row],[personels]]*2.5/22-0.5</f>
        <v>-0.5</v>
      </c>
      <c r="I264" s="94">
        <f>(reportTbl[[#This Row],[وزن تولید]]*unityCycleTime-reportTbl[[#This Row],[received TimeOut]])/(reportTbl[[#This Row],[available time]]*reportTbl[[#This Row],[تعداد نیرو]])</f>
        <v>0</v>
      </c>
      <c r="J264" s="95"/>
      <c r="K264" s="97"/>
      <c r="L264" s="97"/>
      <c r="M264" s="97"/>
      <c r="N264" s="97"/>
      <c r="O264" s="97">
        <v>0</v>
      </c>
      <c r="P264" s="96" t="s">
        <v>1038</v>
      </c>
      <c r="Q264" s="92">
        <f>_xlfn.XLOOKUP(reportTbl[[#This Row],[date]],IIITbl[date],IIITbl[totalCT],0)</f>
        <v>0</v>
      </c>
      <c r="R264" s="92">
        <v>30000</v>
      </c>
    </row>
    <row r="265" spans="1:18" ht="20.25" x14ac:dyDescent="0.25">
      <c r="A265" s="7" t="s">
        <v>928</v>
      </c>
      <c r="B265" s="91" t="s">
        <v>119</v>
      </c>
      <c r="C265" s="92">
        <f>SUMIF(cutts[date],A265,cutts[num])</f>
        <v>0</v>
      </c>
      <c r="D265" s="92"/>
      <c r="E265" s="93">
        <f>SUMIF(packes[date],A265,packes[num])</f>
        <v>0</v>
      </c>
      <c r="F265" s="93">
        <f>SUMIF(packes[date],A265,packes[wPacked])</f>
        <v>0</v>
      </c>
      <c r="G265" s="93"/>
      <c r="H265" s="93">
        <f>reportTbl[[#This Row],[personels]]-reportTbl[[#This Row],[personels]]*2.5/22-0.5</f>
        <v>-0.5</v>
      </c>
      <c r="I265" s="94">
        <f>(reportTbl[[#This Row],[وزن تولید]]*unityCycleTime-reportTbl[[#This Row],[received TimeOut]])/(reportTbl[[#This Row],[available time]]*reportTbl[[#This Row],[تعداد نیرو]])</f>
        <v>0</v>
      </c>
      <c r="J265" s="95"/>
      <c r="K265" s="97"/>
      <c r="L265" s="97"/>
      <c r="M265" s="97"/>
      <c r="N265" s="97"/>
      <c r="O265" s="97">
        <v>0</v>
      </c>
      <c r="P265" s="96" t="s">
        <v>1038</v>
      </c>
      <c r="Q265" s="92">
        <f>_xlfn.XLOOKUP(reportTbl[[#This Row],[date]],IIITbl[date],IIITbl[totalCT],0)</f>
        <v>0</v>
      </c>
      <c r="R265" s="92">
        <v>30000</v>
      </c>
    </row>
    <row r="266" spans="1:18" ht="20.25" x14ac:dyDescent="0.25">
      <c r="A266" s="7" t="s">
        <v>929</v>
      </c>
      <c r="B266" s="91" t="s">
        <v>120</v>
      </c>
      <c r="C266" s="92">
        <f>SUMIF(cutts[date],A266,cutts[num])</f>
        <v>0</v>
      </c>
      <c r="D266" s="92"/>
      <c r="E266" s="93">
        <f>SUMIF(packes[date],A266,packes[num])</f>
        <v>0</v>
      </c>
      <c r="F266" s="93">
        <f>SUMIF(packes[date],A266,packes[wPacked])</f>
        <v>0</v>
      </c>
      <c r="G266" s="93"/>
      <c r="H266" s="93">
        <f>reportTbl[[#This Row],[personels]]-reportTbl[[#This Row],[personels]]*2.5/22-0.5</f>
        <v>-0.5</v>
      </c>
      <c r="I266" s="94">
        <f>(reportTbl[[#This Row],[وزن تولید]]*unityCycleTime-reportTbl[[#This Row],[received TimeOut]])/(reportTbl[[#This Row],[available time]]*reportTbl[[#This Row],[تعداد نیرو]])</f>
        <v>0</v>
      </c>
      <c r="J266" s="95"/>
      <c r="K266" s="97"/>
      <c r="L266" s="97"/>
      <c r="M266" s="97"/>
      <c r="N266" s="97"/>
      <c r="O266" s="97">
        <v>0</v>
      </c>
      <c r="P266" s="96" t="s">
        <v>1038</v>
      </c>
      <c r="Q266" s="92">
        <f>_xlfn.XLOOKUP(reportTbl[[#This Row],[date]],IIITbl[date],IIITbl[totalCT],0)</f>
        <v>0</v>
      </c>
      <c r="R266" s="92">
        <v>30000</v>
      </c>
    </row>
    <row r="267" spans="1:18" ht="20.25" x14ac:dyDescent="0.25">
      <c r="A267" s="7" t="s">
        <v>930</v>
      </c>
      <c r="B267" s="91" t="s">
        <v>121</v>
      </c>
      <c r="C267" s="92">
        <f>SUMIF(cutts[date],A267,cutts[num])</f>
        <v>0</v>
      </c>
      <c r="D267" s="92"/>
      <c r="E267" s="93">
        <f>SUMIF(packes[date],A267,packes[num])</f>
        <v>0</v>
      </c>
      <c r="F267" s="93">
        <f>SUMIF(packes[date],A267,packes[wPacked])</f>
        <v>0</v>
      </c>
      <c r="G267" s="93"/>
      <c r="H267" s="93">
        <f>reportTbl[[#This Row],[personels]]-reportTbl[[#This Row],[personels]]*2.5/22-0.5</f>
        <v>-0.5</v>
      </c>
      <c r="I267" s="94">
        <f>(reportTbl[[#This Row],[وزن تولید]]*unityCycleTime-reportTbl[[#This Row],[received TimeOut]])/(reportTbl[[#This Row],[available time]]*reportTbl[[#This Row],[تعداد نیرو]])</f>
        <v>0</v>
      </c>
      <c r="J267" s="95"/>
      <c r="K267" s="97"/>
      <c r="L267" s="97"/>
      <c r="M267" s="97"/>
      <c r="N267" s="97"/>
      <c r="O267" s="97">
        <v>0</v>
      </c>
      <c r="P267" s="96" t="s">
        <v>1038</v>
      </c>
      <c r="Q267" s="92">
        <f>_xlfn.XLOOKUP(reportTbl[[#This Row],[date]],IIITbl[date],IIITbl[totalCT],0)</f>
        <v>0</v>
      </c>
      <c r="R267" s="92">
        <v>30000</v>
      </c>
    </row>
    <row r="268" spans="1:18" ht="20.25" x14ac:dyDescent="0.25">
      <c r="A268" s="7" t="s">
        <v>931</v>
      </c>
      <c r="B268" s="91" t="s">
        <v>122</v>
      </c>
      <c r="C268" s="92">
        <f>SUMIF(cutts[date],A268,cutts[num])</f>
        <v>0</v>
      </c>
      <c r="D268" s="92"/>
      <c r="E268" s="93">
        <f>SUMIF(packes[date],A268,packes[num])</f>
        <v>0</v>
      </c>
      <c r="F268" s="93">
        <f>SUMIF(packes[date],A268,packes[wPacked])</f>
        <v>0</v>
      </c>
      <c r="G268" s="93"/>
      <c r="H268" s="93">
        <f>reportTbl[[#This Row],[personels]]-reportTbl[[#This Row],[personels]]*2.5/22-0.5</f>
        <v>-0.5</v>
      </c>
      <c r="I268" s="94">
        <f>(reportTbl[[#This Row],[وزن تولید]]*unityCycleTime-reportTbl[[#This Row],[received TimeOut]])/(reportTbl[[#This Row],[available time]]*reportTbl[[#This Row],[تعداد نیرو]])</f>
        <v>0</v>
      </c>
      <c r="J268" s="95"/>
      <c r="K268" s="97"/>
      <c r="L268" s="97"/>
      <c r="M268" s="97"/>
      <c r="N268" s="97"/>
      <c r="O268" s="97">
        <v>0</v>
      </c>
      <c r="P268" s="96" t="s">
        <v>1038</v>
      </c>
      <c r="Q268" s="92">
        <f>_xlfn.XLOOKUP(reportTbl[[#This Row],[date]],IIITbl[date],IIITbl[totalCT],0)</f>
        <v>0</v>
      </c>
      <c r="R268" s="92">
        <v>30000</v>
      </c>
    </row>
    <row r="269" spans="1:18" ht="20.25" x14ac:dyDescent="0.25">
      <c r="A269" s="7" t="s">
        <v>932</v>
      </c>
      <c r="B269" s="91" t="s">
        <v>116</v>
      </c>
      <c r="C269" s="92">
        <f>SUMIF(cutts[date],A269,cutts[num])</f>
        <v>0</v>
      </c>
      <c r="D269" s="92"/>
      <c r="E269" s="93">
        <f>SUMIF(packes[date],A269,packes[num])</f>
        <v>0</v>
      </c>
      <c r="F269" s="93">
        <f>SUMIF(packes[date],A269,packes[wPacked])</f>
        <v>0</v>
      </c>
      <c r="G269" s="93"/>
      <c r="H269" s="93">
        <f>reportTbl[[#This Row],[personels]]-reportTbl[[#This Row],[personels]]*2.5/22-0.5</f>
        <v>-0.5</v>
      </c>
      <c r="I269" s="94">
        <f>(reportTbl[[#This Row],[وزن تولید]]*unityCycleTime-reportTbl[[#This Row],[received TimeOut]])/(reportTbl[[#This Row],[available time]]*reportTbl[[#This Row],[تعداد نیرو]])</f>
        <v>0</v>
      </c>
      <c r="J269" s="95"/>
      <c r="K269" s="97"/>
      <c r="L269" s="97"/>
      <c r="M269" s="97"/>
      <c r="N269" s="97"/>
      <c r="O269" s="97">
        <v>0</v>
      </c>
      <c r="P269" s="96" t="s">
        <v>1038</v>
      </c>
      <c r="Q269" s="92">
        <f>_xlfn.XLOOKUP(reportTbl[[#This Row],[date]],IIITbl[date],IIITbl[totalCT],0)</f>
        <v>0</v>
      </c>
      <c r="R269" s="92">
        <v>30000</v>
      </c>
    </row>
    <row r="270" spans="1:18" ht="20.25" x14ac:dyDescent="0.25">
      <c r="A270" s="7" t="s">
        <v>933</v>
      </c>
      <c r="B270" s="91" t="s">
        <v>117</v>
      </c>
      <c r="C270" s="92">
        <f>SUMIF(cutts[date],A270,cutts[num])</f>
        <v>0</v>
      </c>
      <c r="D270" s="92"/>
      <c r="E270" s="93">
        <f>SUMIF(packes[date],A270,packes[num])</f>
        <v>0</v>
      </c>
      <c r="F270" s="93">
        <f>SUMIF(packes[date],A270,packes[wPacked])</f>
        <v>0</v>
      </c>
      <c r="G270" s="93"/>
      <c r="H270" s="93">
        <f>reportTbl[[#This Row],[personels]]-reportTbl[[#This Row],[personels]]*2.5/22-0.5</f>
        <v>-0.5</v>
      </c>
      <c r="I270" s="94">
        <f>(reportTbl[[#This Row],[وزن تولید]]*unityCycleTime-reportTbl[[#This Row],[received TimeOut]])/(reportTbl[[#This Row],[available time]]*reportTbl[[#This Row],[تعداد نیرو]])</f>
        <v>0</v>
      </c>
      <c r="J270" s="95"/>
      <c r="K270" s="97"/>
      <c r="L270" s="97"/>
      <c r="M270" s="97"/>
      <c r="N270" s="97"/>
      <c r="O270" s="97">
        <v>0</v>
      </c>
      <c r="P270" s="96" t="s">
        <v>1038</v>
      </c>
      <c r="Q270" s="92">
        <f>_xlfn.XLOOKUP(reportTbl[[#This Row],[date]],IIITbl[date],IIITbl[totalCT],0)</f>
        <v>0</v>
      </c>
      <c r="R270" s="92">
        <v>30000</v>
      </c>
    </row>
    <row r="271" spans="1:18" ht="20.25" x14ac:dyDescent="0.25">
      <c r="A271" s="7" t="s">
        <v>934</v>
      </c>
      <c r="B271" s="91" t="s">
        <v>118</v>
      </c>
      <c r="C271" s="92">
        <f>SUMIF(cutts[date],A271,cutts[num])</f>
        <v>0</v>
      </c>
      <c r="D271" s="92"/>
      <c r="E271" s="93">
        <f>SUMIF(packes[date],A271,packes[num])</f>
        <v>0</v>
      </c>
      <c r="F271" s="93">
        <f>SUMIF(packes[date],A271,packes[wPacked])</f>
        <v>0</v>
      </c>
      <c r="G271" s="93"/>
      <c r="H271" s="93">
        <f>reportTbl[[#This Row],[personels]]-reportTbl[[#This Row],[personels]]*2.5/22-0.5</f>
        <v>-0.5</v>
      </c>
      <c r="I271" s="94">
        <f>(reportTbl[[#This Row],[وزن تولید]]*unityCycleTime-reportTbl[[#This Row],[received TimeOut]])/(reportTbl[[#This Row],[available time]]*reportTbl[[#This Row],[تعداد نیرو]])</f>
        <v>0</v>
      </c>
      <c r="J271" s="95"/>
      <c r="K271" s="97"/>
      <c r="L271" s="97"/>
      <c r="M271" s="97"/>
      <c r="N271" s="97"/>
      <c r="O271" s="97">
        <v>0</v>
      </c>
      <c r="P271" s="96" t="s">
        <v>1038</v>
      </c>
      <c r="Q271" s="92">
        <f>_xlfn.XLOOKUP(reportTbl[[#This Row],[date]],IIITbl[date],IIITbl[totalCT],0)</f>
        <v>0</v>
      </c>
      <c r="R271" s="92">
        <v>30000</v>
      </c>
    </row>
    <row r="272" spans="1:18" ht="20.25" x14ac:dyDescent="0.25">
      <c r="A272" s="7" t="s">
        <v>935</v>
      </c>
      <c r="B272" s="91" t="s">
        <v>119</v>
      </c>
      <c r="C272" s="92">
        <f>SUMIF(cutts[date],A272,cutts[num])</f>
        <v>0</v>
      </c>
      <c r="D272" s="92"/>
      <c r="E272" s="93">
        <f>SUMIF(packes[date],A272,packes[num])</f>
        <v>0</v>
      </c>
      <c r="F272" s="93">
        <f>SUMIF(packes[date],A272,packes[wPacked])</f>
        <v>0</v>
      </c>
      <c r="G272" s="93"/>
      <c r="H272" s="93">
        <f>reportTbl[[#This Row],[personels]]-reportTbl[[#This Row],[personels]]*2.5/22-0.5</f>
        <v>-0.5</v>
      </c>
      <c r="I272" s="94">
        <f>(reportTbl[[#This Row],[وزن تولید]]*unityCycleTime-reportTbl[[#This Row],[received TimeOut]])/(reportTbl[[#This Row],[available time]]*reportTbl[[#This Row],[تعداد نیرو]])</f>
        <v>0</v>
      </c>
      <c r="J272" s="95"/>
      <c r="K272" s="97"/>
      <c r="L272" s="97"/>
      <c r="M272" s="97"/>
      <c r="N272" s="97"/>
      <c r="O272" s="97">
        <v>0</v>
      </c>
      <c r="P272" s="96" t="s">
        <v>1038</v>
      </c>
      <c r="Q272" s="92">
        <f>_xlfn.XLOOKUP(reportTbl[[#This Row],[date]],IIITbl[date],IIITbl[totalCT],0)</f>
        <v>0</v>
      </c>
      <c r="R272" s="92">
        <v>30000</v>
      </c>
    </row>
    <row r="273" spans="1:18" ht="20.25" x14ac:dyDescent="0.25">
      <c r="A273" s="7" t="s">
        <v>936</v>
      </c>
      <c r="B273" s="91" t="s">
        <v>120</v>
      </c>
      <c r="C273" s="92">
        <f>SUMIF(cutts[date],A273,cutts[num])</f>
        <v>0</v>
      </c>
      <c r="D273" s="92"/>
      <c r="E273" s="93">
        <f>SUMIF(packes[date],A273,packes[num])</f>
        <v>0</v>
      </c>
      <c r="F273" s="93">
        <f>SUMIF(packes[date],A273,packes[wPacked])</f>
        <v>0</v>
      </c>
      <c r="G273" s="93"/>
      <c r="H273" s="93">
        <f>reportTbl[[#This Row],[personels]]-reportTbl[[#This Row],[personels]]*2.5/22-0.5</f>
        <v>-0.5</v>
      </c>
      <c r="I273" s="94">
        <f>(reportTbl[[#This Row],[وزن تولید]]*unityCycleTime-reportTbl[[#This Row],[received TimeOut]])/(reportTbl[[#This Row],[available time]]*reportTbl[[#This Row],[تعداد نیرو]])</f>
        <v>0</v>
      </c>
      <c r="J273" s="95"/>
      <c r="K273" s="97"/>
      <c r="L273" s="97"/>
      <c r="M273" s="97"/>
      <c r="N273" s="97"/>
      <c r="O273" s="97">
        <v>0</v>
      </c>
      <c r="P273" s="96" t="s">
        <v>1038</v>
      </c>
      <c r="Q273" s="92">
        <f>_xlfn.XLOOKUP(reportTbl[[#This Row],[date]],IIITbl[date],IIITbl[totalCT],0)</f>
        <v>0</v>
      </c>
      <c r="R273" s="92">
        <v>30000</v>
      </c>
    </row>
    <row r="274" spans="1:18" ht="20.25" x14ac:dyDescent="0.25">
      <c r="A274" s="7" t="s">
        <v>937</v>
      </c>
      <c r="B274" s="91" t="s">
        <v>121</v>
      </c>
      <c r="C274" s="92">
        <f>SUMIF(cutts[date],A274,cutts[num])</f>
        <v>0</v>
      </c>
      <c r="D274" s="92"/>
      <c r="E274" s="93">
        <f>SUMIF(packes[date],A274,packes[num])</f>
        <v>0</v>
      </c>
      <c r="F274" s="93">
        <f>SUMIF(packes[date],A274,packes[wPacked])</f>
        <v>0</v>
      </c>
      <c r="G274" s="93"/>
      <c r="H274" s="93">
        <f>reportTbl[[#This Row],[personels]]-reportTbl[[#This Row],[personels]]*2.5/22-0.5</f>
        <v>-0.5</v>
      </c>
      <c r="I274" s="94">
        <f>(reportTbl[[#This Row],[وزن تولید]]*unityCycleTime-reportTbl[[#This Row],[received TimeOut]])/(reportTbl[[#This Row],[available time]]*reportTbl[[#This Row],[تعداد نیرو]])</f>
        <v>0</v>
      </c>
      <c r="J274" s="95"/>
      <c r="K274" s="97"/>
      <c r="L274" s="97"/>
      <c r="M274" s="97"/>
      <c r="N274" s="97"/>
      <c r="O274" s="97">
        <v>0</v>
      </c>
      <c r="P274" s="96" t="s">
        <v>1038</v>
      </c>
      <c r="Q274" s="92">
        <f>_xlfn.XLOOKUP(reportTbl[[#This Row],[date]],IIITbl[date],IIITbl[totalCT],0)</f>
        <v>0</v>
      </c>
      <c r="R274" s="92">
        <v>30000</v>
      </c>
    </row>
    <row r="275" spans="1:18" ht="20.25" x14ac:dyDescent="0.25">
      <c r="A275" s="7" t="s">
        <v>938</v>
      </c>
      <c r="B275" s="91" t="s">
        <v>122</v>
      </c>
      <c r="C275" s="92">
        <f>SUMIF(cutts[date],A275,cutts[num])</f>
        <v>0</v>
      </c>
      <c r="D275" s="92"/>
      <c r="E275" s="93">
        <f>SUMIF(packes[date],A275,packes[num])</f>
        <v>0</v>
      </c>
      <c r="F275" s="93">
        <f>SUMIF(packes[date],A275,packes[wPacked])</f>
        <v>0</v>
      </c>
      <c r="G275" s="93"/>
      <c r="H275" s="93">
        <f>reportTbl[[#This Row],[personels]]-reportTbl[[#This Row],[personels]]*2.5/22-0.5</f>
        <v>-0.5</v>
      </c>
      <c r="I275" s="94">
        <f>(reportTbl[[#This Row],[وزن تولید]]*unityCycleTime-reportTbl[[#This Row],[received TimeOut]])/(reportTbl[[#This Row],[available time]]*reportTbl[[#This Row],[تعداد نیرو]])</f>
        <v>0</v>
      </c>
      <c r="J275" s="95"/>
      <c r="K275" s="97"/>
      <c r="L275" s="97"/>
      <c r="M275" s="97"/>
      <c r="N275" s="97"/>
      <c r="O275" s="97">
        <v>0</v>
      </c>
      <c r="P275" s="96" t="s">
        <v>1038</v>
      </c>
      <c r="Q275" s="92">
        <f>_xlfn.XLOOKUP(reportTbl[[#This Row],[date]],IIITbl[date],IIITbl[totalCT],0)</f>
        <v>0</v>
      </c>
      <c r="R275" s="92">
        <v>30000</v>
      </c>
    </row>
    <row r="276" spans="1:18" ht="20.25" x14ac:dyDescent="0.25">
      <c r="A276" s="7" t="s">
        <v>939</v>
      </c>
      <c r="B276" s="91" t="s">
        <v>116</v>
      </c>
      <c r="C276" s="92">
        <f>SUMIF(cutts[date],A276,cutts[num])</f>
        <v>0</v>
      </c>
      <c r="D276" s="92"/>
      <c r="E276" s="93">
        <f>SUMIF(packes[date],A276,packes[num])</f>
        <v>0</v>
      </c>
      <c r="F276" s="93">
        <f>SUMIF(packes[date],A276,packes[wPacked])</f>
        <v>0</v>
      </c>
      <c r="G276" s="93"/>
      <c r="H276" s="93">
        <f>reportTbl[[#This Row],[personels]]-reportTbl[[#This Row],[personels]]*2.5/22-0.5</f>
        <v>-0.5</v>
      </c>
      <c r="I276" s="94">
        <f>(reportTbl[[#This Row],[وزن تولید]]*unityCycleTime-reportTbl[[#This Row],[received TimeOut]])/(reportTbl[[#This Row],[available time]]*reportTbl[[#This Row],[تعداد نیرو]])</f>
        <v>0</v>
      </c>
      <c r="J276" s="95"/>
      <c r="K276" s="97"/>
      <c r="L276" s="97"/>
      <c r="M276" s="97"/>
      <c r="N276" s="97"/>
      <c r="O276" s="97">
        <v>0</v>
      </c>
      <c r="P276" s="96" t="s">
        <v>1038</v>
      </c>
      <c r="Q276" s="92">
        <f>_xlfn.XLOOKUP(reportTbl[[#This Row],[date]],IIITbl[date],IIITbl[totalCT],0)</f>
        <v>0</v>
      </c>
      <c r="R276" s="92">
        <v>30000</v>
      </c>
    </row>
    <row r="277" spans="1:18" ht="20.25" x14ac:dyDescent="0.25">
      <c r="A277" s="7" t="s">
        <v>940</v>
      </c>
      <c r="B277" s="91" t="s">
        <v>117</v>
      </c>
      <c r="C277" s="92">
        <f>SUMIF(cutts[date],A277,cutts[num])</f>
        <v>0</v>
      </c>
      <c r="D277" s="92"/>
      <c r="E277" s="93">
        <f>SUMIF(packes[date],A277,packes[num])</f>
        <v>0</v>
      </c>
      <c r="F277" s="93">
        <f>SUMIF(packes[date],A277,packes[wPacked])</f>
        <v>0</v>
      </c>
      <c r="G277" s="93"/>
      <c r="H277" s="93">
        <f>reportTbl[[#This Row],[personels]]-reportTbl[[#This Row],[personels]]*2.5/22-0.5</f>
        <v>-0.5</v>
      </c>
      <c r="I277" s="94">
        <f>(reportTbl[[#This Row],[وزن تولید]]*unityCycleTime-reportTbl[[#This Row],[received TimeOut]])/(reportTbl[[#This Row],[available time]]*reportTbl[[#This Row],[تعداد نیرو]])</f>
        <v>0</v>
      </c>
      <c r="J277" s="95"/>
      <c r="K277" s="97"/>
      <c r="L277" s="97"/>
      <c r="M277" s="97"/>
      <c r="N277" s="97"/>
      <c r="O277" s="97">
        <v>0</v>
      </c>
      <c r="P277" s="96" t="s">
        <v>1038</v>
      </c>
      <c r="Q277" s="92">
        <f>_xlfn.XLOOKUP(reportTbl[[#This Row],[date]],IIITbl[date],IIITbl[totalCT],0)</f>
        <v>0</v>
      </c>
      <c r="R277" s="92">
        <v>30000</v>
      </c>
    </row>
    <row r="278" spans="1:18" ht="20.25" x14ac:dyDescent="0.25">
      <c r="A278" s="7" t="s">
        <v>941</v>
      </c>
      <c r="B278" s="91" t="s">
        <v>118</v>
      </c>
      <c r="C278" s="92">
        <f>SUMIF(cutts[date],A278,cutts[num])</f>
        <v>0</v>
      </c>
      <c r="D278" s="92"/>
      <c r="E278" s="93">
        <f>SUMIF(packes[date],A278,packes[num])</f>
        <v>0</v>
      </c>
      <c r="F278" s="93">
        <f>SUMIF(packes[date],A278,packes[wPacked])</f>
        <v>0</v>
      </c>
      <c r="G278" s="93"/>
      <c r="H278" s="93">
        <f>reportTbl[[#This Row],[personels]]-reportTbl[[#This Row],[personels]]*2.5/22-0.5</f>
        <v>-0.5</v>
      </c>
      <c r="I278" s="94">
        <f>(reportTbl[[#This Row],[وزن تولید]]*unityCycleTime-reportTbl[[#This Row],[received TimeOut]])/(reportTbl[[#This Row],[available time]]*reportTbl[[#This Row],[تعداد نیرو]])</f>
        <v>0</v>
      </c>
      <c r="J278" s="95"/>
      <c r="K278" s="97"/>
      <c r="L278" s="97"/>
      <c r="M278" s="97"/>
      <c r="N278" s="97"/>
      <c r="O278" s="97">
        <v>0</v>
      </c>
      <c r="P278" s="96" t="s">
        <v>306</v>
      </c>
      <c r="Q278" s="92">
        <f>_xlfn.XLOOKUP(reportTbl[[#This Row],[date]],IIITbl[date],IIITbl[totalCT],0)</f>
        <v>0</v>
      </c>
      <c r="R278" s="92">
        <v>30000</v>
      </c>
    </row>
    <row r="279" spans="1:18" ht="20.25" x14ac:dyDescent="0.25">
      <c r="A279" s="7" t="s">
        <v>942</v>
      </c>
      <c r="B279" s="91" t="s">
        <v>119</v>
      </c>
      <c r="C279" s="92">
        <f>SUMIF(cutts[date],A279,cutts[num])</f>
        <v>0</v>
      </c>
      <c r="D279" s="92"/>
      <c r="E279" s="93">
        <f>SUMIF(packes[date],A279,packes[num])</f>
        <v>0</v>
      </c>
      <c r="F279" s="93">
        <f>SUMIF(packes[date],A279,packes[wPacked])</f>
        <v>0</v>
      </c>
      <c r="G279" s="93"/>
      <c r="H279" s="93">
        <f>reportTbl[[#This Row],[personels]]-reportTbl[[#This Row],[personels]]*2.5/22-0.5</f>
        <v>-0.5</v>
      </c>
      <c r="I279" s="94">
        <f>(reportTbl[[#This Row],[وزن تولید]]*unityCycleTime-reportTbl[[#This Row],[received TimeOut]])/(reportTbl[[#This Row],[available time]]*reportTbl[[#This Row],[تعداد نیرو]])</f>
        <v>0</v>
      </c>
      <c r="J279" s="95"/>
      <c r="K279" s="97"/>
      <c r="L279" s="97"/>
      <c r="M279" s="97"/>
      <c r="N279" s="97"/>
      <c r="O279" s="97">
        <v>0</v>
      </c>
      <c r="P279" s="96" t="s">
        <v>306</v>
      </c>
      <c r="Q279" s="92">
        <f>_xlfn.XLOOKUP(reportTbl[[#This Row],[date]],IIITbl[date],IIITbl[totalCT],0)</f>
        <v>0</v>
      </c>
      <c r="R279" s="92">
        <v>30000</v>
      </c>
    </row>
    <row r="280" spans="1:18" ht="20.25" x14ac:dyDescent="0.25">
      <c r="A280" s="7" t="s">
        <v>943</v>
      </c>
      <c r="B280" s="91" t="s">
        <v>120</v>
      </c>
      <c r="C280" s="92">
        <f>SUMIF(cutts[date],A280,cutts[num])</f>
        <v>0</v>
      </c>
      <c r="D280" s="92"/>
      <c r="E280" s="93">
        <f>SUMIF(packes[date],A280,packes[num])</f>
        <v>0</v>
      </c>
      <c r="F280" s="93">
        <f>SUMIF(packes[date],A280,packes[wPacked])</f>
        <v>0</v>
      </c>
      <c r="G280" s="93"/>
      <c r="H280" s="93">
        <f>reportTbl[[#This Row],[personels]]-reportTbl[[#This Row],[personels]]*2.5/22-0.5</f>
        <v>-0.5</v>
      </c>
      <c r="I280" s="94">
        <f>(reportTbl[[#This Row],[وزن تولید]]*unityCycleTime-reportTbl[[#This Row],[received TimeOut]])/(reportTbl[[#This Row],[available time]]*reportTbl[[#This Row],[تعداد نیرو]])</f>
        <v>0</v>
      </c>
      <c r="J280" s="95"/>
      <c r="K280" s="97"/>
      <c r="L280" s="97"/>
      <c r="M280" s="97"/>
      <c r="N280" s="97"/>
      <c r="O280" s="97">
        <v>0</v>
      </c>
      <c r="P280" s="96" t="s">
        <v>306</v>
      </c>
      <c r="Q280" s="92">
        <f>_xlfn.XLOOKUP(reportTbl[[#This Row],[date]],IIITbl[date],IIITbl[totalCT],0)</f>
        <v>0</v>
      </c>
      <c r="R280" s="92">
        <v>30000</v>
      </c>
    </row>
    <row r="281" spans="1:18" ht="20.25" x14ac:dyDescent="0.25">
      <c r="A281" s="7" t="s">
        <v>944</v>
      </c>
      <c r="B281" s="91" t="s">
        <v>121</v>
      </c>
      <c r="C281" s="92">
        <f>SUMIF(cutts[date],A281,cutts[num])</f>
        <v>0</v>
      </c>
      <c r="D281" s="92"/>
      <c r="E281" s="93">
        <f>SUMIF(packes[date],A281,packes[num])</f>
        <v>0</v>
      </c>
      <c r="F281" s="93">
        <f>SUMIF(packes[date],A281,packes[wPacked])</f>
        <v>0</v>
      </c>
      <c r="G281" s="93"/>
      <c r="H281" s="93">
        <f>reportTbl[[#This Row],[personels]]-reportTbl[[#This Row],[personels]]*2.5/22-0.5</f>
        <v>-0.5</v>
      </c>
      <c r="I281" s="94">
        <f>(reportTbl[[#This Row],[وزن تولید]]*unityCycleTime-reportTbl[[#This Row],[received TimeOut]])/(reportTbl[[#This Row],[available time]]*reportTbl[[#This Row],[تعداد نیرو]])</f>
        <v>0</v>
      </c>
      <c r="J281" s="95"/>
      <c r="K281" s="97"/>
      <c r="L281" s="97"/>
      <c r="M281" s="97"/>
      <c r="N281" s="97"/>
      <c r="O281" s="97">
        <v>0</v>
      </c>
      <c r="P281" s="96" t="s">
        <v>306</v>
      </c>
      <c r="Q281" s="92">
        <f>_xlfn.XLOOKUP(reportTbl[[#This Row],[date]],IIITbl[date],IIITbl[totalCT],0)</f>
        <v>0</v>
      </c>
      <c r="R281" s="92">
        <v>30000</v>
      </c>
    </row>
    <row r="282" spans="1:18" ht="20.25" x14ac:dyDescent="0.25">
      <c r="A282" s="7" t="s">
        <v>945</v>
      </c>
      <c r="B282" s="91" t="s">
        <v>122</v>
      </c>
      <c r="C282" s="92">
        <f>SUMIF(cutts[date],A282,cutts[num])</f>
        <v>0</v>
      </c>
      <c r="D282" s="92"/>
      <c r="E282" s="93">
        <f>SUMIF(packes[date],A282,packes[num])</f>
        <v>0</v>
      </c>
      <c r="F282" s="93">
        <f>SUMIF(packes[date],A282,packes[wPacked])</f>
        <v>0</v>
      </c>
      <c r="G282" s="93"/>
      <c r="H282" s="93">
        <f>reportTbl[[#This Row],[personels]]-reportTbl[[#This Row],[personels]]*2.5/22-0.5</f>
        <v>-0.5</v>
      </c>
      <c r="I282" s="94">
        <f>(reportTbl[[#This Row],[وزن تولید]]*unityCycleTime-reportTbl[[#This Row],[received TimeOut]])/(reportTbl[[#This Row],[available time]]*reportTbl[[#This Row],[تعداد نیرو]])</f>
        <v>0</v>
      </c>
      <c r="J282" s="95"/>
      <c r="K282" s="97"/>
      <c r="L282" s="97"/>
      <c r="M282" s="97"/>
      <c r="N282" s="97"/>
      <c r="O282" s="97">
        <v>0</v>
      </c>
      <c r="P282" s="96" t="s">
        <v>306</v>
      </c>
      <c r="Q282" s="92">
        <f>_xlfn.XLOOKUP(reportTbl[[#This Row],[date]],IIITbl[date],IIITbl[totalCT],0)</f>
        <v>0</v>
      </c>
      <c r="R282" s="92">
        <v>30000</v>
      </c>
    </row>
    <row r="283" spans="1:18" ht="20.25" x14ac:dyDescent="0.25">
      <c r="A283" s="7" t="s">
        <v>946</v>
      </c>
      <c r="B283" s="91" t="s">
        <v>116</v>
      </c>
      <c r="C283" s="92">
        <f>SUMIF(cutts[date],A283,cutts[num])</f>
        <v>0</v>
      </c>
      <c r="D283" s="92"/>
      <c r="E283" s="93">
        <f>SUMIF(packes[date],A283,packes[num])</f>
        <v>0</v>
      </c>
      <c r="F283" s="93">
        <f>SUMIF(packes[date],A283,packes[wPacked])</f>
        <v>0</v>
      </c>
      <c r="G283" s="93"/>
      <c r="H283" s="93">
        <f>reportTbl[[#This Row],[personels]]-reportTbl[[#This Row],[personels]]*2.5/22-0.5</f>
        <v>-0.5</v>
      </c>
      <c r="I283" s="94">
        <f>(reportTbl[[#This Row],[وزن تولید]]*unityCycleTime-reportTbl[[#This Row],[received TimeOut]])/(reportTbl[[#This Row],[available time]]*reportTbl[[#This Row],[تعداد نیرو]])</f>
        <v>0</v>
      </c>
      <c r="J283" s="95"/>
      <c r="K283" s="97"/>
      <c r="L283" s="97"/>
      <c r="M283" s="97"/>
      <c r="N283" s="97"/>
      <c r="O283" s="97">
        <v>0</v>
      </c>
      <c r="P283" s="96" t="s">
        <v>306</v>
      </c>
      <c r="Q283" s="92">
        <f>_xlfn.XLOOKUP(reportTbl[[#This Row],[date]],IIITbl[date],IIITbl[totalCT],0)</f>
        <v>0</v>
      </c>
      <c r="R283" s="92">
        <v>30000</v>
      </c>
    </row>
    <row r="284" spans="1:18" ht="20.25" x14ac:dyDescent="0.25">
      <c r="A284" s="7" t="s">
        <v>947</v>
      </c>
      <c r="B284" s="91" t="s">
        <v>117</v>
      </c>
      <c r="C284" s="92">
        <f>SUMIF(cutts[date],A284,cutts[num])</f>
        <v>0</v>
      </c>
      <c r="D284" s="92"/>
      <c r="E284" s="93">
        <f>SUMIF(packes[date],A284,packes[num])</f>
        <v>0</v>
      </c>
      <c r="F284" s="93">
        <f>SUMIF(packes[date],A284,packes[wPacked])</f>
        <v>0</v>
      </c>
      <c r="G284" s="93"/>
      <c r="H284" s="93">
        <f>reportTbl[[#This Row],[personels]]-reportTbl[[#This Row],[personels]]*2.5/22-0.5</f>
        <v>-0.5</v>
      </c>
      <c r="I284" s="94">
        <f>(reportTbl[[#This Row],[وزن تولید]]*unityCycleTime-reportTbl[[#This Row],[received TimeOut]])/(reportTbl[[#This Row],[available time]]*reportTbl[[#This Row],[تعداد نیرو]])</f>
        <v>0</v>
      </c>
      <c r="J284" s="95"/>
      <c r="K284" s="97"/>
      <c r="L284" s="97"/>
      <c r="M284" s="97"/>
      <c r="N284" s="97"/>
      <c r="O284" s="97">
        <v>0</v>
      </c>
      <c r="P284" s="96" t="s">
        <v>306</v>
      </c>
      <c r="Q284" s="92">
        <f>_xlfn.XLOOKUP(reportTbl[[#This Row],[date]],IIITbl[date],IIITbl[totalCT],0)</f>
        <v>0</v>
      </c>
      <c r="R284" s="92">
        <v>30000</v>
      </c>
    </row>
    <row r="285" spans="1:18" ht="20.25" x14ac:dyDescent="0.25">
      <c r="A285" s="7" t="s">
        <v>948</v>
      </c>
      <c r="B285" s="91" t="s">
        <v>118</v>
      </c>
      <c r="C285" s="92">
        <f>SUMIF(cutts[date],A285,cutts[num])</f>
        <v>0</v>
      </c>
      <c r="D285" s="92"/>
      <c r="E285" s="93">
        <f>SUMIF(packes[date],A285,packes[num])</f>
        <v>0</v>
      </c>
      <c r="F285" s="93">
        <f>SUMIF(packes[date],A285,packes[wPacked])</f>
        <v>0</v>
      </c>
      <c r="G285" s="93"/>
      <c r="H285" s="93">
        <f>reportTbl[[#This Row],[personels]]-reportTbl[[#This Row],[personels]]*2.5/22-0.5</f>
        <v>-0.5</v>
      </c>
      <c r="I285" s="94">
        <f>(reportTbl[[#This Row],[وزن تولید]]*unityCycleTime-reportTbl[[#This Row],[received TimeOut]])/(reportTbl[[#This Row],[available time]]*reportTbl[[#This Row],[تعداد نیرو]])</f>
        <v>0</v>
      </c>
      <c r="J285" s="95"/>
      <c r="K285" s="97"/>
      <c r="L285" s="97"/>
      <c r="M285" s="97"/>
      <c r="N285" s="97"/>
      <c r="O285" s="97">
        <v>0</v>
      </c>
      <c r="P285" s="96" t="s">
        <v>306</v>
      </c>
      <c r="Q285" s="92">
        <f>_xlfn.XLOOKUP(reportTbl[[#This Row],[date]],IIITbl[date],IIITbl[totalCT],0)</f>
        <v>0</v>
      </c>
      <c r="R285" s="92">
        <v>30000</v>
      </c>
    </row>
    <row r="286" spans="1:18" ht="20.25" x14ac:dyDescent="0.25">
      <c r="A286" s="7" t="s">
        <v>949</v>
      </c>
      <c r="B286" s="91" t="s">
        <v>119</v>
      </c>
      <c r="C286" s="92">
        <f>SUMIF(cutts[date],A286,cutts[num])</f>
        <v>0</v>
      </c>
      <c r="D286" s="92"/>
      <c r="E286" s="93">
        <f>SUMIF(packes[date],A286,packes[num])</f>
        <v>0</v>
      </c>
      <c r="F286" s="93">
        <f>SUMIF(packes[date],A286,packes[wPacked])</f>
        <v>0</v>
      </c>
      <c r="G286" s="93"/>
      <c r="H286" s="93">
        <f>reportTbl[[#This Row],[personels]]-reportTbl[[#This Row],[personels]]*2.5/22-0.5</f>
        <v>-0.5</v>
      </c>
      <c r="I286" s="94">
        <f>(reportTbl[[#This Row],[وزن تولید]]*unityCycleTime-reportTbl[[#This Row],[received TimeOut]])/(reportTbl[[#This Row],[available time]]*reportTbl[[#This Row],[تعداد نیرو]])</f>
        <v>0</v>
      </c>
      <c r="J286" s="95"/>
      <c r="K286" s="97"/>
      <c r="L286" s="97"/>
      <c r="M286" s="97"/>
      <c r="N286" s="97"/>
      <c r="O286" s="97">
        <v>0</v>
      </c>
      <c r="P286" s="96" t="s">
        <v>306</v>
      </c>
      <c r="Q286" s="92">
        <f>_xlfn.XLOOKUP(reportTbl[[#This Row],[date]],IIITbl[date],IIITbl[totalCT],0)</f>
        <v>0</v>
      </c>
      <c r="R286" s="92">
        <v>30000</v>
      </c>
    </row>
    <row r="287" spans="1:18" ht="20.25" x14ac:dyDescent="0.25">
      <c r="A287" s="7" t="s">
        <v>950</v>
      </c>
      <c r="B287" s="91" t="s">
        <v>120</v>
      </c>
      <c r="C287" s="92">
        <f>SUMIF(cutts[date],A287,cutts[num])</f>
        <v>0</v>
      </c>
      <c r="D287" s="92"/>
      <c r="E287" s="93">
        <f>SUMIF(packes[date],A287,packes[num])</f>
        <v>0</v>
      </c>
      <c r="F287" s="93">
        <f>SUMIF(packes[date],A287,packes[wPacked])</f>
        <v>0</v>
      </c>
      <c r="G287" s="93"/>
      <c r="H287" s="93">
        <f>reportTbl[[#This Row],[personels]]-reportTbl[[#This Row],[personels]]*2.5/22-0.5</f>
        <v>-0.5</v>
      </c>
      <c r="I287" s="94">
        <f>(reportTbl[[#This Row],[وزن تولید]]*unityCycleTime-reportTbl[[#This Row],[received TimeOut]])/(reportTbl[[#This Row],[available time]]*reportTbl[[#This Row],[تعداد نیرو]])</f>
        <v>0</v>
      </c>
      <c r="J287" s="95"/>
      <c r="K287" s="97"/>
      <c r="L287" s="97"/>
      <c r="M287" s="97"/>
      <c r="N287" s="97"/>
      <c r="O287" s="97">
        <v>0</v>
      </c>
      <c r="P287" s="96" t="s">
        <v>306</v>
      </c>
      <c r="Q287" s="92">
        <f>_xlfn.XLOOKUP(reportTbl[[#This Row],[date]],IIITbl[date],IIITbl[totalCT],0)</f>
        <v>0</v>
      </c>
      <c r="R287" s="92">
        <v>30000</v>
      </c>
    </row>
    <row r="288" spans="1:18" ht="20.25" x14ac:dyDescent="0.25">
      <c r="A288" s="7" t="s">
        <v>951</v>
      </c>
      <c r="B288" s="91" t="s">
        <v>121</v>
      </c>
      <c r="C288" s="92">
        <f>SUMIF(cutts[date],A288,cutts[num])</f>
        <v>0</v>
      </c>
      <c r="D288" s="92"/>
      <c r="E288" s="93">
        <f>SUMIF(packes[date],A288,packes[num])</f>
        <v>0</v>
      </c>
      <c r="F288" s="93">
        <f>SUMIF(packes[date],A288,packes[wPacked])</f>
        <v>0</v>
      </c>
      <c r="G288" s="93"/>
      <c r="H288" s="93">
        <f>reportTbl[[#This Row],[personels]]-reportTbl[[#This Row],[personels]]*2.5/22-0.5</f>
        <v>-0.5</v>
      </c>
      <c r="I288" s="94">
        <f>(reportTbl[[#This Row],[وزن تولید]]*unityCycleTime-reportTbl[[#This Row],[received TimeOut]])/(reportTbl[[#This Row],[available time]]*reportTbl[[#This Row],[تعداد نیرو]])</f>
        <v>0</v>
      </c>
      <c r="J288" s="95"/>
      <c r="K288" s="97"/>
      <c r="L288" s="97"/>
      <c r="M288" s="97"/>
      <c r="N288" s="97"/>
      <c r="O288" s="97">
        <v>0</v>
      </c>
      <c r="P288" s="96" t="s">
        <v>306</v>
      </c>
      <c r="Q288" s="92">
        <f>_xlfn.XLOOKUP(reportTbl[[#This Row],[date]],IIITbl[date],IIITbl[totalCT],0)</f>
        <v>0</v>
      </c>
      <c r="R288" s="92">
        <v>30000</v>
      </c>
    </row>
    <row r="289" spans="1:18" ht="20.25" x14ac:dyDescent="0.25">
      <c r="A289" s="7" t="s">
        <v>952</v>
      </c>
      <c r="B289" s="91" t="s">
        <v>122</v>
      </c>
      <c r="C289" s="92">
        <f>SUMIF(cutts[date],A289,cutts[num])</f>
        <v>0</v>
      </c>
      <c r="D289" s="92"/>
      <c r="E289" s="93">
        <f>SUMIF(packes[date],A289,packes[num])</f>
        <v>0</v>
      </c>
      <c r="F289" s="93">
        <f>SUMIF(packes[date],A289,packes[wPacked])</f>
        <v>0</v>
      </c>
      <c r="G289" s="93"/>
      <c r="H289" s="93">
        <f>reportTbl[[#This Row],[personels]]-reportTbl[[#This Row],[personels]]*2.5/22-0.5</f>
        <v>-0.5</v>
      </c>
      <c r="I289" s="94">
        <f>(reportTbl[[#This Row],[وزن تولید]]*unityCycleTime-reportTbl[[#This Row],[received TimeOut]])/(reportTbl[[#This Row],[available time]]*reportTbl[[#This Row],[تعداد نیرو]])</f>
        <v>0</v>
      </c>
      <c r="J289" s="95"/>
      <c r="K289" s="97"/>
      <c r="L289" s="97"/>
      <c r="M289" s="97"/>
      <c r="N289" s="97"/>
      <c r="O289" s="97">
        <v>0</v>
      </c>
      <c r="P289" s="96" t="s">
        <v>306</v>
      </c>
      <c r="Q289" s="92">
        <f>_xlfn.XLOOKUP(reportTbl[[#This Row],[date]],IIITbl[date],IIITbl[totalCT],0)</f>
        <v>0</v>
      </c>
      <c r="R289" s="92">
        <v>30000</v>
      </c>
    </row>
    <row r="290" spans="1:18" ht="20.25" x14ac:dyDescent="0.25">
      <c r="A290" s="7" t="s">
        <v>953</v>
      </c>
      <c r="B290" s="91" t="s">
        <v>116</v>
      </c>
      <c r="C290" s="92">
        <f>SUMIF(cutts[date],A290,cutts[num])</f>
        <v>0</v>
      </c>
      <c r="D290" s="92"/>
      <c r="E290" s="93">
        <f>SUMIF(packes[date],A290,packes[num])</f>
        <v>0</v>
      </c>
      <c r="F290" s="93">
        <f>SUMIF(packes[date],A290,packes[wPacked])</f>
        <v>0</v>
      </c>
      <c r="G290" s="93"/>
      <c r="H290" s="93">
        <f>reportTbl[[#This Row],[personels]]-reportTbl[[#This Row],[personels]]*2.5/22-0.5</f>
        <v>-0.5</v>
      </c>
      <c r="I290" s="94">
        <f>(reportTbl[[#This Row],[وزن تولید]]*unityCycleTime-reportTbl[[#This Row],[received TimeOut]])/(reportTbl[[#This Row],[available time]]*reportTbl[[#This Row],[تعداد نیرو]])</f>
        <v>0</v>
      </c>
      <c r="J290" s="95"/>
      <c r="K290" s="97"/>
      <c r="L290" s="97"/>
      <c r="M290" s="97"/>
      <c r="N290" s="97"/>
      <c r="O290" s="97">
        <v>0</v>
      </c>
      <c r="P290" s="96" t="s">
        <v>306</v>
      </c>
      <c r="Q290" s="92">
        <f>_xlfn.XLOOKUP(reportTbl[[#This Row],[date]],IIITbl[date],IIITbl[totalCT],0)</f>
        <v>0</v>
      </c>
      <c r="R290" s="92">
        <v>30000</v>
      </c>
    </row>
    <row r="291" spans="1:18" ht="20.25" x14ac:dyDescent="0.25">
      <c r="A291" s="7" t="s">
        <v>954</v>
      </c>
      <c r="B291" s="91" t="s">
        <v>117</v>
      </c>
      <c r="C291" s="92">
        <f>SUMIF(cutts[date],A291,cutts[num])</f>
        <v>0</v>
      </c>
      <c r="D291" s="92"/>
      <c r="E291" s="93">
        <f>SUMIF(packes[date],A291,packes[num])</f>
        <v>0</v>
      </c>
      <c r="F291" s="93">
        <f>SUMIF(packes[date],A291,packes[wPacked])</f>
        <v>0</v>
      </c>
      <c r="G291" s="93"/>
      <c r="H291" s="93">
        <f>reportTbl[[#This Row],[personels]]-reportTbl[[#This Row],[personels]]*2.5/22-0.5</f>
        <v>-0.5</v>
      </c>
      <c r="I291" s="94">
        <f>(reportTbl[[#This Row],[وزن تولید]]*unityCycleTime-reportTbl[[#This Row],[received TimeOut]])/(reportTbl[[#This Row],[available time]]*reportTbl[[#This Row],[تعداد نیرو]])</f>
        <v>0</v>
      </c>
      <c r="J291" s="95"/>
      <c r="K291" s="97"/>
      <c r="L291" s="97"/>
      <c r="M291" s="97"/>
      <c r="N291" s="97"/>
      <c r="O291" s="97">
        <v>0</v>
      </c>
      <c r="P291" s="96" t="s">
        <v>306</v>
      </c>
      <c r="Q291" s="92">
        <f>_xlfn.XLOOKUP(reportTbl[[#This Row],[date]],IIITbl[date],IIITbl[totalCT],0)</f>
        <v>0</v>
      </c>
      <c r="R291" s="92">
        <v>30000</v>
      </c>
    </row>
    <row r="292" spans="1:18" ht="20.25" x14ac:dyDescent="0.25">
      <c r="A292" s="7" t="s">
        <v>955</v>
      </c>
      <c r="B292" s="91" t="s">
        <v>118</v>
      </c>
      <c r="C292" s="92">
        <f>SUMIF(cutts[date],A292,cutts[num])</f>
        <v>0</v>
      </c>
      <c r="D292" s="92"/>
      <c r="E292" s="93">
        <f>SUMIF(packes[date],A292,packes[num])</f>
        <v>0</v>
      </c>
      <c r="F292" s="93">
        <f>SUMIF(packes[date],A292,packes[wPacked])</f>
        <v>0</v>
      </c>
      <c r="G292" s="93"/>
      <c r="H292" s="93">
        <f>reportTbl[[#This Row],[personels]]-reportTbl[[#This Row],[personels]]*2.5/22-0.5</f>
        <v>-0.5</v>
      </c>
      <c r="I292" s="94">
        <f>(reportTbl[[#This Row],[وزن تولید]]*unityCycleTime-reportTbl[[#This Row],[received TimeOut]])/(reportTbl[[#This Row],[available time]]*reportTbl[[#This Row],[تعداد نیرو]])</f>
        <v>0</v>
      </c>
      <c r="J292" s="95"/>
      <c r="K292" s="97"/>
      <c r="L292" s="97"/>
      <c r="M292" s="97"/>
      <c r="N292" s="97"/>
      <c r="O292" s="97">
        <v>0</v>
      </c>
      <c r="P292" s="96" t="s">
        <v>306</v>
      </c>
      <c r="Q292" s="92">
        <f>_xlfn.XLOOKUP(reportTbl[[#This Row],[date]],IIITbl[date],IIITbl[totalCT],0)</f>
        <v>0</v>
      </c>
      <c r="R292" s="92">
        <v>30000</v>
      </c>
    </row>
    <row r="293" spans="1:18" ht="20.25" x14ac:dyDescent="0.25">
      <c r="A293" s="7" t="s">
        <v>956</v>
      </c>
      <c r="B293" s="91" t="s">
        <v>119</v>
      </c>
      <c r="C293" s="92">
        <f>SUMIF(cutts[date],A293,cutts[num])</f>
        <v>0</v>
      </c>
      <c r="D293" s="92"/>
      <c r="E293" s="93">
        <f>SUMIF(packes[date],A293,packes[num])</f>
        <v>0</v>
      </c>
      <c r="F293" s="93">
        <f>SUMIF(packes[date],A293,packes[wPacked])</f>
        <v>0</v>
      </c>
      <c r="G293" s="93"/>
      <c r="H293" s="93">
        <f>reportTbl[[#This Row],[personels]]-reportTbl[[#This Row],[personels]]*2.5/22-0.5</f>
        <v>-0.5</v>
      </c>
      <c r="I293" s="94">
        <f>(reportTbl[[#This Row],[وزن تولید]]*unityCycleTime-reportTbl[[#This Row],[received TimeOut]])/(reportTbl[[#This Row],[available time]]*reportTbl[[#This Row],[تعداد نیرو]])</f>
        <v>0</v>
      </c>
      <c r="J293" s="95"/>
      <c r="K293" s="97"/>
      <c r="L293" s="97"/>
      <c r="M293" s="97"/>
      <c r="N293" s="97"/>
      <c r="O293" s="97">
        <v>0</v>
      </c>
      <c r="P293" s="96" t="s">
        <v>306</v>
      </c>
      <c r="Q293" s="92">
        <f>_xlfn.XLOOKUP(reportTbl[[#This Row],[date]],IIITbl[date],IIITbl[totalCT],0)</f>
        <v>0</v>
      </c>
      <c r="R293" s="92">
        <v>30000</v>
      </c>
    </row>
    <row r="294" spans="1:18" ht="20.25" x14ac:dyDescent="0.25">
      <c r="A294" s="7" t="s">
        <v>957</v>
      </c>
      <c r="B294" s="91" t="s">
        <v>120</v>
      </c>
      <c r="C294" s="92">
        <f>SUMIF(cutts[date],A294,cutts[num])</f>
        <v>0</v>
      </c>
      <c r="D294" s="92"/>
      <c r="E294" s="93">
        <f>SUMIF(packes[date],A294,packes[num])</f>
        <v>0</v>
      </c>
      <c r="F294" s="93">
        <f>SUMIF(packes[date],A294,packes[wPacked])</f>
        <v>0</v>
      </c>
      <c r="G294" s="93"/>
      <c r="H294" s="93">
        <f>reportTbl[[#This Row],[personels]]-reportTbl[[#This Row],[personels]]*2.5/22-0.5</f>
        <v>-0.5</v>
      </c>
      <c r="I294" s="94">
        <f>(reportTbl[[#This Row],[وزن تولید]]*unityCycleTime-reportTbl[[#This Row],[received TimeOut]])/(reportTbl[[#This Row],[available time]]*reportTbl[[#This Row],[تعداد نیرو]])</f>
        <v>0</v>
      </c>
      <c r="J294" s="95"/>
      <c r="K294" s="97"/>
      <c r="L294" s="97"/>
      <c r="M294" s="97"/>
      <c r="N294" s="97"/>
      <c r="O294" s="97">
        <v>0</v>
      </c>
      <c r="P294" s="96" t="s">
        <v>306</v>
      </c>
      <c r="Q294" s="92">
        <f>_xlfn.XLOOKUP(reportTbl[[#This Row],[date]],IIITbl[date],IIITbl[totalCT],0)</f>
        <v>0</v>
      </c>
      <c r="R294" s="92">
        <v>30000</v>
      </c>
    </row>
    <row r="295" spans="1:18" ht="20.25" x14ac:dyDescent="0.25">
      <c r="A295" s="7" t="s">
        <v>958</v>
      </c>
      <c r="B295" s="91" t="s">
        <v>121</v>
      </c>
      <c r="C295" s="92">
        <f>SUMIF(cutts[date],A295,cutts[num])</f>
        <v>0</v>
      </c>
      <c r="D295" s="92"/>
      <c r="E295" s="93">
        <f>SUMIF(packes[date],A295,packes[num])</f>
        <v>0</v>
      </c>
      <c r="F295" s="93">
        <f>SUMIF(packes[date],A295,packes[wPacked])</f>
        <v>0</v>
      </c>
      <c r="G295" s="93"/>
      <c r="H295" s="93">
        <f>reportTbl[[#This Row],[personels]]-reportTbl[[#This Row],[personels]]*2.5/22-0.5</f>
        <v>-0.5</v>
      </c>
      <c r="I295" s="94">
        <f>(reportTbl[[#This Row],[وزن تولید]]*unityCycleTime-reportTbl[[#This Row],[received TimeOut]])/(reportTbl[[#This Row],[available time]]*reportTbl[[#This Row],[تعداد نیرو]])</f>
        <v>0</v>
      </c>
      <c r="J295" s="95"/>
      <c r="K295" s="97"/>
      <c r="L295" s="97"/>
      <c r="M295" s="97"/>
      <c r="N295" s="97"/>
      <c r="O295" s="97">
        <v>0</v>
      </c>
      <c r="P295" s="96" t="s">
        <v>306</v>
      </c>
      <c r="Q295" s="92">
        <f>_xlfn.XLOOKUP(reportTbl[[#This Row],[date]],IIITbl[date],IIITbl[totalCT],0)</f>
        <v>0</v>
      </c>
      <c r="R295" s="92">
        <v>30000</v>
      </c>
    </row>
    <row r="296" spans="1:18" ht="20.25" x14ac:dyDescent="0.25">
      <c r="A296" s="7" t="s">
        <v>959</v>
      </c>
      <c r="B296" s="91" t="s">
        <v>122</v>
      </c>
      <c r="C296" s="92">
        <f>SUMIF(cutts[date],A296,cutts[num])</f>
        <v>0</v>
      </c>
      <c r="D296" s="92"/>
      <c r="E296" s="93">
        <f>SUMIF(packes[date],A296,packes[num])</f>
        <v>0</v>
      </c>
      <c r="F296" s="93">
        <f>SUMIF(packes[date],A296,packes[wPacked])</f>
        <v>0</v>
      </c>
      <c r="G296" s="93"/>
      <c r="H296" s="93">
        <f>reportTbl[[#This Row],[personels]]-reportTbl[[#This Row],[personels]]*2.5/22-0.5</f>
        <v>-0.5</v>
      </c>
      <c r="I296" s="94">
        <f>(reportTbl[[#This Row],[وزن تولید]]*unityCycleTime-reportTbl[[#This Row],[received TimeOut]])/(reportTbl[[#This Row],[available time]]*reportTbl[[#This Row],[تعداد نیرو]])</f>
        <v>0</v>
      </c>
      <c r="J296" s="95"/>
      <c r="K296" s="97"/>
      <c r="L296" s="97"/>
      <c r="M296" s="97"/>
      <c r="N296" s="97"/>
      <c r="O296" s="97">
        <v>0</v>
      </c>
      <c r="P296" s="96" t="s">
        <v>306</v>
      </c>
      <c r="Q296" s="92">
        <f>_xlfn.XLOOKUP(reportTbl[[#This Row],[date]],IIITbl[date],IIITbl[totalCT],0)</f>
        <v>0</v>
      </c>
      <c r="R296" s="92">
        <v>30000</v>
      </c>
    </row>
    <row r="297" spans="1:18" ht="20.25" x14ac:dyDescent="0.25">
      <c r="A297" s="7" t="s">
        <v>960</v>
      </c>
      <c r="B297" s="91" t="s">
        <v>116</v>
      </c>
      <c r="C297" s="92">
        <f>SUMIF(cutts[date],A297,cutts[num])</f>
        <v>0</v>
      </c>
      <c r="D297" s="92"/>
      <c r="E297" s="93">
        <f>SUMIF(packes[date],A297,packes[num])</f>
        <v>0</v>
      </c>
      <c r="F297" s="93">
        <f>SUMIF(packes[date],A297,packes[wPacked])</f>
        <v>0</v>
      </c>
      <c r="G297" s="93"/>
      <c r="H297" s="93">
        <f>reportTbl[[#This Row],[personels]]-reportTbl[[#This Row],[personels]]*2.5/22-0.5</f>
        <v>-0.5</v>
      </c>
      <c r="I297" s="94">
        <f>(reportTbl[[#This Row],[وزن تولید]]*unityCycleTime-reportTbl[[#This Row],[received TimeOut]])/(reportTbl[[#This Row],[available time]]*reportTbl[[#This Row],[تعداد نیرو]])</f>
        <v>0</v>
      </c>
      <c r="J297" s="95"/>
      <c r="K297" s="97"/>
      <c r="L297" s="97"/>
      <c r="M297" s="97"/>
      <c r="N297" s="97"/>
      <c r="O297" s="97">
        <v>0</v>
      </c>
      <c r="P297" s="96" t="s">
        <v>306</v>
      </c>
      <c r="Q297" s="92">
        <f>_xlfn.XLOOKUP(reportTbl[[#This Row],[date]],IIITbl[date],IIITbl[totalCT],0)</f>
        <v>0</v>
      </c>
      <c r="R297" s="92">
        <v>30000</v>
      </c>
    </row>
    <row r="298" spans="1:18" ht="20.25" x14ac:dyDescent="0.25">
      <c r="A298" s="7" t="s">
        <v>961</v>
      </c>
      <c r="B298" s="91" t="s">
        <v>117</v>
      </c>
      <c r="C298" s="92">
        <f>SUMIF(cutts[date],A298,cutts[num])</f>
        <v>0</v>
      </c>
      <c r="D298" s="92"/>
      <c r="E298" s="93">
        <f>SUMIF(packes[date],A298,packes[num])</f>
        <v>0</v>
      </c>
      <c r="F298" s="93">
        <f>SUMIF(packes[date],A298,packes[wPacked])</f>
        <v>0</v>
      </c>
      <c r="G298" s="93"/>
      <c r="H298" s="93">
        <f>reportTbl[[#This Row],[personels]]-reportTbl[[#This Row],[personels]]*2.5/22-0.5</f>
        <v>-0.5</v>
      </c>
      <c r="I298" s="94">
        <f>(reportTbl[[#This Row],[وزن تولید]]*unityCycleTime-reportTbl[[#This Row],[received TimeOut]])/(reportTbl[[#This Row],[available time]]*reportTbl[[#This Row],[تعداد نیرو]])</f>
        <v>0</v>
      </c>
      <c r="J298" s="95"/>
      <c r="K298" s="97"/>
      <c r="L298" s="97"/>
      <c r="M298" s="97"/>
      <c r="N298" s="97"/>
      <c r="O298" s="97">
        <v>0</v>
      </c>
      <c r="P298" s="96" t="s">
        <v>306</v>
      </c>
      <c r="Q298" s="92">
        <f>_xlfn.XLOOKUP(reportTbl[[#This Row],[date]],IIITbl[date],IIITbl[totalCT],0)</f>
        <v>0</v>
      </c>
      <c r="R298" s="92">
        <v>30000</v>
      </c>
    </row>
    <row r="299" spans="1:18" ht="20.25" x14ac:dyDescent="0.25">
      <c r="A299" s="7" t="s">
        <v>962</v>
      </c>
      <c r="B299" s="91" t="s">
        <v>118</v>
      </c>
      <c r="C299" s="92">
        <f>SUMIF(cutts[date],A299,cutts[num])</f>
        <v>0</v>
      </c>
      <c r="D299" s="92"/>
      <c r="E299" s="93">
        <f>SUMIF(packes[date],A299,packes[num])</f>
        <v>0</v>
      </c>
      <c r="F299" s="93">
        <f>SUMIF(packes[date],A299,packes[wPacked])</f>
        <v>0</v>
      </c>
      <c r="G299" s="93"/>
      <c r="H299" s="93">
        <f>reportTbl[[#This Row],[personels]]-reportTbl[[#This Row],[personels]]*2.5/22-0.5</f>
        <v>-0.5</v>
      </c>
      <c r="I299" s="94">
        <f>(reportTbl[[#This Row],[وزن تولید]]*unityCycleTime-reportTbl[[#This Row],[received TimeOut]])/(reportTbl[[#This Row],[available time]]*reportTbl[[#This Row],[تعداد نیرو]])</f>
        <v>0</v>
      </c>
      <c r="J299" s="95"/>
      <c r="K299" s="97"/>
      <c r="L299" s="97"/>
      <c r="M299" s="97"/>
      <c r="N299" s="97"/>
      <c r="O299" s="97">
        <v>0</v>
      </c>
      <c r="P299" s="96" t="s">
        <v>306</v>
      </c>
      <c r="Q299" s="92">
        <f>_xlfn.XLOOKUP(reportTbl[[#This Row],[date]],IIITbl[date],IIITbl[totalCT],0)</f>
        <v>0</v>
      </c>
      <c r="R299" s="92">
        <v>30000</v>
      </c>
    </row>
    <row r="300" spans="1:18" ht="20.25" x14ac:dyDescent="0.25">
      <c r="A300" s="7" t="s">
        <v>963</v>
      </c>
      <c r="B300" s="91" t="s">
        <v>119</v>
      </c>
      <c r="C300" s="92">
        <f>SUMIF(cutts[date],A300,cutts[num])</f>
        <v>0</v>
      </c>
      <c r="D300" s="92"/>
      <c r="E300" s="93">
        <f>SUMIF(packes[date],A300,packes[num])</f>
        <v>0</v>
      </c>
      <c r="F300" s="93">
        <f>SUMIF(packes[date],A300,packes[wPacked])</f>
        <v>0</v>
      </c>
      <c r="G300" s="93"/>
      <c r="H300" s="93">
        <f>reportTbl[[#This Row],[personels]]-reportTbl[[#This Row],[personels]]*2.5/22-0.5</f>
        <v>-0.5</v>
      </c>
      <c r="I300" s="94">
        <f>(reportTbl[[#This Row],[وزن تولید]]*unityCycleTime-reportTbl[[#This Row],[received TimeOut]])/(reportTbl[[#This Row],[available time]]*reportTbl[[#This Row],[تعداد نیرو]])</f>
        <v>0</v>
      </c>
      <c r="J300" s="95"/>
      <c r="K300" s="97"/>
      <c r="L300" s="97"/>
      <c r="M300" s="97"/>
      <c r="N300" s="97"/>
      <c r="O300" s="97">
        <v>0</v>
      </c>
      <c r="P300" s="96" t="s">
        <v>306</v>
      </c>
      <c r="Q300" s="92">
        <f>_xlfn.XLOOKUP(reportTbl[[#This Row],[date]],IIITbl[date],IIITbl[totalCT],0)</f>
        <v>0</v>
      </c>
      <c r="R300" s="92">
        <v>30000</v>
      </c>
    </row>
    <row r="301" spans="1:18" ht="20.25" x14ac:dyDescent="0.25">
      <c r="A301" s="7" t="s">
        <v>964</v>
      </c>
      <c r="B301" s="91" t="s">
        <v>120</v>
      </c>
      <c r="C301" s="92">
        <f>SUMIF(cutts[date],A301,cutts[num])</f>
        <v>0</v>
      </c>
      <c r="D301" s="92"/>
      <c r="E301" s="93">
        <f>SUMIF(packes[date],A301,packes[num])</f>
        <v>0</v>
      </c>
      <c r="F301" s="93">
        <f>SUMIF(packes[date],A301,packes[wPacked])</f>
        <v>0</v>
      </c>
      <c r="G301" s="93"/>
      <c r="H301" s="93">
        <f>reportTbl[[#This Row],[personels]]-reportTbl[[#This Row],[personels]]*2.5/22-0.5</f>
        <v>-0.5</v>
      </c>
      <c r="I301" s="94">
        <f>(reportTbl[[#This Row],[وزن تولید]]*unityCycleTime-reportTbl[[#This Row],[received TimeOut]])/(reportTbl[[#This Row],[available time]]*reportTbl[[#This Row],[تعداد نیرو]])</f>
        <v>0</v>
      </c>
      <c r="J301" s="95"/>
      <c r="K301" s="97"/>
      <c r="L301" s="97"/>
      <c r="M301" s="97"/>
      <c r="N301" s="97"/>
      <c r="O301" s="97">
        <v>0</v>
      </c>
      <c r="P301" s="96" t="s">
        <v>306</v>
      </c>
      <c r="Q301" s="92">
        <f>_xlfn.XLOOKUP(reportTbl[[#This Row],[date]],IIITbl[date],IIITbl[totalCT],0)</f>
        <v>0</v>
      </c>
      <c r="R301" s="92">
        <v>30000</v>
      </c>
    </row>
    <row r="302" spans="1:18" ht="20.25" x14ac:dyDescent="0.25">
      <c r="A302" s="7" t="s">
        <v>965</v>
      </c>
      <c r="B302" s="91" t="s">
        <v>121</v>
      </c>
      <c r="C302" s="92">
        <f>SUMIF(cutts[date],A302,cutts[num])</f>
        <v>0</v>
      </c>
      <c r="D302" s="92"/>
      <c r="E302" s="93">
        <f>SUMIF(packes[date],A302,packes[num])</f>
        <v>0</v>
      </c>
      <c r="F302" s="93">
        <f>SUMIF(packes[date],A302,packes[wPacked])</f>
        <v>0</v>
      </c>
      <c r="G302" s="93"/>
      <c r="H302" s="93">
        <f>reportTbl[[#This Row],[personels]]-reportTbl[[#This Row],[personels]]*2.5/22-0.5</f>
        <v>-0.5</v>
      </c>
      <c r="I302" s="94">
        <f>(reportTbl[[#This Row],[وزن تولید]]*unityCycleTime-reportTbl[[#This Row],[received TimeOut]])/(reportTbl[[#This Row],[available time]]*reportTbl[[#This Row],[تعداد نیرو]])</f>
        <v>0</v>
      </c>
      <c r="J302" s="95"/>
      <c r="K302" s="97"/>
      <c r="L302" s="97"/>
      <c r="M302" s="97"/>
      <c r="N302" s="97"/>
      <c r="O302" s="97">
        <v>0</v>
      </c>
      <c r="P302" s="96" t="s">
        <v>306</v>
      </c>
      <c r="Q302" s="92">
        <f>_xlfn.XLOOKUP(reportTbl[[#This Row],[date]],IIITbl[date],IIITbl[totalCT],0)</f>
        <v>0</v>
      </c>
      <c r="R302" s="92">
        <v>30000</v>
      </c>
    </row>
    <row r="303" spans="1:18" ht="20.25" x14ac:dyDescent="0.25">
      <c r="A303" s="7" t="s">
        <v>966</v>
      </c>
      <c r="B303" s="91" t="s">
        <v>122</v>
      </c>
      <c r="C303" s="92">
        <f>SUMIF(cutts[date],A303,cutts[num])</f>
        <v>0</v>
      </c>
      <c r="D303" s="92"/>
      <c r="E303" s="93">
        <f>SUMIF(packes[date],A303,packes[num])</f>
        <v>0</v>
      </c>
      <c r="F303" s="93">
        <f>SUMIF(packes[date],A303,packes[wPacked])</f>
        <v>0</v>
      </c>
      <c r="G303" s="93"/>
      <c r="H303" s="93">
        <f>reportTbl[[#This Row],[personels]]-reportTbl[[#This Row],[personels]]*2.5/22-0.5</f>
        <v>-0.5</v>
      </c>
      <c r="I303" s="94">
        <f>(reportTbl[[#This Row],[وزن تولید]]*unityCycleTime-reportTbl[[#This Row],[received TimeOut]])/(reportTbl[[#This Row],[available time]]*reportTbl[[#This Row],[تعداد نیرو]])</f>
        <v>0</v>
      </c>
      <c r="J303" s="95"/>
      <c r="K303" s="97"/>
      <c r="L303" s="97"/>
      <c r="M303" s="97"/>
      <c r="N303" s="97"/>
      <c r="O303" s="97">
        <v>0</v>
      </c>
      <c r="P303" s="96" t="s">
        <v>306</v>
      </c>
      <c r="Q303" s="92">
        <f>_xlfn.XLOOKUP(reportTbl[[#This Row],[date]],IIITbl[date],IIITbl[totalCT],0)</f>
        <v>0</v>
      </c>
      <c r="R303" s="92">
        <v>30000</v>
      </c>
    </row>
    <row r="304" spans="1:18" ht="20.25" x14ac:dyDescent="0.25">
      <c r="A304" s="7" t="s">
        <v>967</v>
      </c>
      <c r="B304" s="91" t="s">
        <v>116</v>
      </c>
      <c r="C304" s="92">
        <f>SUMIF(cutts[date],A304,cutts[num])</f>
        <v>0</v>
      </c>
      <c r="D304" s="92"/>
      <c r="E304" s="93">
        <f>SUMIF(packes[date],A304,packes[num])</f>
        <v>0</v>
      </c>
      <c r="F304" s="93">
        <f>SUMIF(packes[date],A304,packes[wPacked])</f>
        <v>0</v>
      </c>
      <c r="G304" s="93"/>
      <c r="H304" s="93">
        <f>reportTbl[[#This Row],[personels]]-reportTbl[[#This Row],[personels]]*2.5/22-0.5</f>
        <v>-0.5</v>
      </c>
      <c r="I304" s="94">
        <f>(reportTbl[[#This Row],[وزن تولید]]*unityCycleTime-reportTbl[[#This Row],[received TimeOut]])/(reportTbl[[#This Row],[available time]]*reportTbl[[#This Row],[تعداد نیرو]])</f>
        <v>0</v>
      </c>
      <c r="J304" s="95"/>
      <c r="K304" s="97"/>
      <c r="L304" s="97"/>
      <c r="M304" s="97"/>
      <c r="N304" s="97"/>
      <c r="O304" s="97">
        <v>0</v>
      </c>
      <c r="P304" s="96" t="s">
        <v>306</v>
      </c>
      <c r="Q304" s="92">
        <f>_xlfn.XLOOKUP(reportTbl[[#This Row],[date]],IIITbl[date],IIITbl[totalCT],0)</f>
        <v>0</v>
      </c>
      <c r="R304" s="92">
        <v>30000</v>
      </c>
    </row>
    <row r="305" spans="1:18" ht="20.25" x14ac:dyDescent="0.25">
      <c r="A305" s="7" t="s">
        <v>968</v>
      </c>
      <c r="B305" s="91" t="s">
        <v>117</v>
      </c>
      <c r="C305" s="92">
        <f>SUMIF(cutts[date],A305,cutts[num])</f>
        <v>0</v>
      </c>
      <c r="D305" s="92"/>
      <c r="E305" s="93">
        <f>SUMIF(packes[date],A305,packes[num])</f>
        <v>0</v>
      </c>
      <c r="F305" s="93">
        <f>SUMIF(packes[date],A305,packes[wPacked])</f>
        <v>0</v>
      </c>
      <c r="G305" s="93"/>
      <c r="H305" s="93">
        <f>reportTbl[[#This Row],[personels]]-reportTbl[[#This Row],[personels]]*2.5/22-0.5</f>
        <v>-0.5</v>
      </c>
      <c r="I305" s="94">
        <f>(reportTbl[[#This Row],[وزن تولید]]*unityCycleTime-reportTbl[[#This Row],[received TimeOut]])/(reportTbl[[#This Row],[available time]]*reportTbl[[#This Row],[تعداد نیرو]])</f>
        <v>0</v>
      </c>
      <c r="J305" s="95"/>
      <c r="K305" s="97"/>
      <c r="L305" s="97"/>
      <c r="M305" s="97"/>
      <c r="N305" s="97"/>
      <c r="O305" s="97">
        <v>0</v>
      </c>
      <c r="P305" s="96" t="s">
        <v>306</v>
      </c>
      <c r="Q305" s="92">
        <f>_xlfn.XLOOKUP(reportTbl[[#This Row],[date]],IIITbl[date],IIITbl[totalCT],0)</f>
        <v>0</v>
      </c>
      <c r="R305" s="92">
        <v>30000</v>
      </c>
    </row>
    <row r="306" spans="1:18" ht="20.25" x14ac:dyDescent="0.25">
      <c r="A306" s="7" t="s">
        <v>969</v>
      </c>
      <c r="B306" s="91" t="s">
        <v>118</v>
      </c>
      <c r="C306" s="92">
        <f>SUMIF(cutts[date],A306,cutts[num])</f>
        <v>0</v>
      </c>
      <c r="D306" s="92"/>
      <c r="E306" s="93">
        <f>SUMIF(packes[date],A306,packes[num])</f>
        <v>0</v>
      </c>
      <c r="F306" s="93">
        <f>SUMIF(packes[date],A306,packes[wPacked])</f>
        <v>0</v>
      </c>
      <c r="G306" s="93"/>
      <c r="H306" s="93">
        <f>reportTbl[[#This Row],[personels]]-reportTbl[[#This Row],[personels]]*2.5/22-0.5</f>
        <v>-0.5</v>
      </c>
      <c r="I306" s="94">
        <f>(reportTbl[[#This Row],[وزن تولید]]*unityCycleTime-reportTbl[[#This Row],[received TimeOut]])/(reportTbl[[#This Row],[available time]]*reportTbl[[#This Row],[تعداد نیرو]])</f>
        <v>0</v>
      </c>
      <c r="J306" s="95"/>
      <c r="K306" s="97"/>
      <c r="L306" s="97"/>
      <c r="M306" s="97"/>
      <c r="N306" s="97"/>
      <c r="O306" s="97">
        <v>0</v>
      </c>
      <c r="P306" s="96" t="s">
        <v>306</v>
      </c>
      <c r="Q306" s="92">
        <f>_xlfn.XLOOKUP(reportTbl[[#This Row],[date]],IIITbl[date],IIITbl[totalCT],0)</f>
        <v>0</v>
      </c>
      <c r="R306" s="92">
        <v>30000</v>
      </c>
    </row>
    <row r="307" spans="1:18" ht="20.25" x14ac:dyDescent="0.25">
      <c r="A307" s="7" t="s">
        <v>970</v>
      </c>
      <c r="B307" s="91" t="s">
        <v>119</v>
      </c>
      <c r="C307" s="92">
        <f>SUMIF(cutts[date],A307,cutts[num])</f>
        <v>0</v>
      </c>
      <c r="D307" s="92"/>
      <c r="E307" s="93">
        <f>SUMIF(packes[date],A307,packes[num])</f>
        <v>0</v>
      </c>
      <c r="F307" s="93">
        <f>SUMIF(packes[date],A307,packes[wPacked])</f>
        <v>0</v>
      </c>
      <c r="G307" s="93"/>
      <c r="H307" s="93">
        <f>reportTbl[[#This Row],[personels]]-reportTbl[[#This Row],[personels]]*2.5/22-0.5</f>
        <v>-0.5</v>
      </c>
      <c r="I307" s="94">
        <f>(reportTbl[[#This Row],[وزن تولید]]*unityCycleTime-reportTbl[[#This Row],[received TimeOut]])/(reportTbl[[#This Row],[available time]]*reportTbl[[#This Row],[تعداد نیرو]])</f>
        <v>0</v>
      </c>
      <c r="J307" s="95"/>
      <c r="K307" s="97"/>
      <c r="L307" s="97"/>
      <c r="M307" s="97"/>
      <c r="N307" s="97"/>
      <c r="O307" s="97">
        <v>0</v>
      </c>
      <c r="P307" s="96" t="s">
        <v>306</v>
      </c>
      <c r="Q307" s="92">
        <f>_xlfn.XLOOKUP(reportTbl[[#This Row],[date]],IIITbl[date],IIITbl[totalCT],0)</f>
        <v>0</v>
      </c>
      <c r="R307" s="92">
        <v>30000</v>
      </c>
    </row>
    <row r="308" spans="1:18" ht="20.25" x14ac:dyDescent="0.25">
      <c r="A308" s="7" t="s">
        <v>971</v>
      </c>
      <c r="B308" s="91" t="s">
        <v>120</v>
      </c>
      <c r="C308" s="92">
        <f>SUMIF(cutts[date],A308,cutts[num])</f>
        <v>0</v>
      </c>
      <c r="D308" s="92"/>
      <c r="E308" s="93">
        <f>SUMIF(packes[date],A308,packes[num])</f>
        <v>0</v>
      </c>
      <c r="F308" s="93">
        <f>SUMIF(packes[date],A308,packes[wPacked])</f>
        <v>0</v>
      </c>
      <c r="G308" s="93"/>
      <c r="H308" s="93">
        <f>reportTbl[[#This Row],[personels]]-reportTbl[[#This Row],[personels]]*2.5/22-0.5</f>
        <v>-0.5</v>
      </c>
      <c r="I308" s="94">
        <f>(reportTbl[[#This Row],[وزن تولید]]*unityCycleTime-reportTbl[[#This Row],[received TimeOut]])/(reportTbl[[#This Row],[available time]]*reportTbl[[#This Row],[تعداد نیرو]])</f>
        <v>0</v>
      </c>
      <c r="J308" s="95"/>
      <c r="K308" s="97"/>
      <c r="L308" s="97"/>
      <c r="M308" s="97"/>
      <c r="N308" s="97"/>
      <c r="O308" s="97">
        <v>0</v>
      </c>
      <c r="P308" s="96" t="s">
        <v>498</v>
      </c>
      <c r="Q308" s="92">
        <f>_xlfn.XLOOKUP(reportTbl[[#This Row],[date]],IIITbl[date],IIITbl[totalCT],0)</f>
        <v>0</v>
      </c>
      <c r="R308" s="92">
        <v>30000</v>
      </c>
    </row>
    <row r="309" spans="1:18" ht="20.25" x14ac:dyDescent="0.25">
      <c r="A309" s="7" t="s">
        <v>972</v>
      </c>
      <c r="B309" s="91" t="s">
        <v>121</v>
      </c>
      <c r="C309" s="92">
        <f>SUMIF(cutts[date],A309,cutts[num])</f>
        <v>0</v>
      </c>
      <c r="D309" s="92"/>
      <c r="E309" s="93">
        <f>SUMIF(packes[date],A309,packes[num])</f>
        <v>0</v>
      </c>
      <c r="F309" s="93">
        <f>SUMIF(packes[date],A309,packes[wPacked])</f>
        <v>0</v>
      </c>
      <c r="G309" s="93"/>
      <c r="H309" s="93">
        <f>reportTbl[[#This Row],[personels]]-reportTbl[[#This Row],[personels]]*2.5/22-0.5</f>
        <v>-0.5</v>
      </c>
      <c r="I309" s="94">
        <f>(reportTbl[[#This Row],[وزن تولید]]*unityCycleTime-reportTbl[[#This Row],[received TimeOut]])/(reportTbl[[#This Row],[available time]]*reportTbl[[#This Row],[تعداد نیرو]])</f>
        <v>0</v>
      </c>
      <c r="J309" s="95"/>
      <c r="K309" s="97"/>
      <c r="L309" s="97"/>
      <c r="M309" s="97"/>
      <c r="N309" s="97"/>
      <c r="O309" s="97">
        <v>0</v>
      </c>
      <c r="P309" s="96" t="s">
        <v>498</v>
      </c>
      <c r="Q309" s="92">
        <f>_xlfn.XLOOKUP(reportTbl[[#This Row],[date]],IIITbl[date],IIITbl[totalCT],0)</f>
        <v>0</v>
      </c>
      <c r="R309" s="92">
        <v>30000</v>
      </c>
    </row>
    <row r="310" spans="1:18" ht="20.25" x14ac:dyDescent="0.25">
      <c r="A310" s="7" t="s">
        <v>973</v>
      </c>
      <c r="B310" s="91" t="s">
        <v>122</v>
      </c>
      <c r="C310" s="92">
        <f>SUMIF(cutts[date],A310,cutts[num])</f>
        <v>0</v>
      </c>
      <c r="D310" s="92"/>
      <c r="E310" s="93">
        <f>SUMIF(packes[date],A310,packes[num])</f>
        <v>0</v>
      </c>
      <c r="F310" s="93">
        <f>SUMIF(packes[date],A310,packes[wPacked])</f>
        <v>0</v>
      </c>
      <c r="G310" s="93"/>
      <c r="H310" s="93">
        <f>reportTbl[[#This Row],[personels]]-reportTbl[[#This Row],[personels]]*2.5/22-0.5</f>
        <v>-0.5</v>
      </c>
      <c r="I310" s="94">
        <f>(reportTbl[[#This Row],[وزن تولید]]*unityCycleTime-reportTbl[[#This Row],[received TimeOut]])/(reportTbl[[#This Row],[available time]]*reportTbl[[#This Row],[تعداد نیرو]])</f>
        <v>0</v>
      </c>
      <c r="J310" s="95"/>
      <c r="K310" s="97"/>
      <c r="L310" s="97"/>
      <c r="M310" s="97"/>
      <c r="N310" s="97"/>
      <c r="O310" s="97">
        <v>0</v>
      </c>
      <c r="P310" s="96" t="s">
        <v>498</v>
      </c>
      <c r="Q310" s="92">
        <f>_xlfn.XLOOKUP(reportTbl[[#This Row],[date]],IIITbl[date],IIITbl[totalCT],0)</f>
        <v>0</v>
      </c>
      <c r="R310" s="92">
        <v>30000</v>
      </c>
    </row>
    <row r="311" spans="1:18" ht="20.25" x14ac:dyDescent="0.25">
      <c r="A311" s="7" t="s">
        <v>974</v>
      </c>
      <c r="B311" s="91" t="s">
        <v>116</v>
      </c>
      <c r="C311" s="92">
        <f>SUMIF(cutts[date],A311,cutts[num])</f>
        <v>0</v>
      </c>
      <c r="D311" s="92"/>
      <c r="E311" s="93">
        <f>SUMIF(packes[date],A311,packes[num])</f>
        <v>0</v>
      </c>
      <c r="F311" s="93">
        <f>SUMIF(packes[date],A311,packes[wPacked])</f>
        <v>0</v>
      </c>
      <c r="G311" s="93"/>
      <c r="H311" s="93">
        <f>reportTbl[[#This Row],[personels]]-reportTbl[[#This Row],[personels]]*2.5/22-0.5</f>
        <v>-0.5</v>
      </c>
      <c r="I311" s="94">
        <f>(reportTbl[[#This Row],[وزن تولید]]*unityCycleTime-reportTbl[[#This Row],[received TimeOut]])/(reportTbl[[#This Row],[available time]]*reportTbl[[#This Row],[تعداد نیرو]])</f>
        <v>0</v>
      </c>
      <c r="J311" s="95"/>
      <c r="K311" s="97"/>
      <c r="L311" s="97"/>
      <c r="M311" s="97"/>
      <c r="N311" s="97"/>
      <c r="O311" s="97">
        <v>0</v>
      </c>
      <c r="P311" s="96" t="s">
        <v>498</v>
      </c>
      <c r="Q311" s="92">
        <f>_xlfn.XLOOKUP(reportTbl[[#This Row],[date]],IIITbl[date],IIITbl[totalCT],0)</f>
        <v>0</v>
      </c>
      <c r="R311" s="92">
        <v>30000</v>
      </c>
    </row>
    <row r="312" spans="1:18" ht="20.25" x14ac:dyDescent="0.25">
      <c r="A312" s="7" t="s">
        <v>975</v>
      </c>
      <c r="B312" s="91" t="s">
        <v>117</v>
      </c>
      <c r="C312" s="92">
        <f>SUMIF(cutts[date],A312,cutts[num])</f>
        <v>0</v>
      </c>
      <c r="D312" s="92"/>
      <c r="E312" s="93">
        <f>SUMIF(packes[date],A312,packes[num])</f>
        <v>0</v>
      </c>
      <c r="F312" s="93">
        <f>SUMIF(packes[date],A312,packes[wPacked])</f>
        <v>0</v>
      </c>
      <c r="G312" s="93"/>
      <c r="H312" s="93">
        <f>reportTbl[[#This Row],[personels]]-reportTbl[[#This Row],[personels]]*2.5/22-0.5</f>
        <v>-0.5</v>
      </c>
      <c r="I312" s="94">
        <f>(reportTbl[[#This Row],[وزن تولید]]*unityCycleTime-reportTbl[[#This Row],[received TimeOut]])/(reportTbl[[#This Row],[available time]]*reportTbl[[#This Row],[تعداد نیرو]])</f>
        <v>0</v>
      </c>
      <c r="J312" s="95"/>
      <c r="K312" s="97"/>
      <c r="L312" s="97"/>
      <c r="M312" s="97"/>
      <c r="N312" s="97"/>
      <c r="O312" s="97">
        <v>0</v>
      </c>
      <c r="P312" s="96" t="s">
        <v>498</v>
      </c>
      <c r="Q312" s="92">
        <f>_xlfn.XLOOKUP(reportTbl[[#This Row],[date]],IIITbl[date],IIITbl[totalCT],0)</f>
        <v>0</v>
      </c>
      <c r="R312" s="92">
        <v>30000</v>
      </c>
    </row>
    <row r="313" spans="1:18" ht="20.25" x14ac:dyDescent="0.25">
      <c r="A313" s="7" t="s">
        <v>976</v>
      </c>
      <c r="B313" s="91" t="s">
        <v>118</v>
      </c>
      <c r="C313" s="92">
        <f>SUMIF(cutts[date],A313,cutts[num])</f>
        <v>0</v>
      </c>
      <c r="D313" s="92"/>
      <c r="E313" s="93">
        <f>SUMIF(packes[date],A313,packes[num])</f>
        <v>0</v>
      </c>
      <c r="F313" s="93">
        <f>SUMIF(packes[date],A313,packes[wPacked])</f>
        <v>0</v>
      </c>
      <c r="G313" s="93"/>
      <c r="H313" s="93">
        <f>reportTbl[[#This Row],[personels]]-reportTbl[[#This Row],[personels]]*2.5/22-0.5</f>
        <v>-0.5</v>
      </c>
      <c r="I313" s="94">
        <f>(reportTbl[[#This Row],[وزن تولید]]*unityCycleTime-reportTbl[[#This Row],[received TimeOut]])/(reportTbl[[#This Row],[available time]]*reportTbl[[#This Row],[تعداد نیرو]])</f>
        <v>0</v>
      </c>
      <c r="J313" s="95"/>
      <c r="K313" s="97"/>
      <c r="L313" s="97"/>
      <c r="M313" s="97"/>
      <c r="N313" s="97"/>
      <c r="O313" s="97">
        <v>0</v>
      </c>
      <c r="P313" s="96" t="s">
        <v>498</v>
      </c>
      <c r="Q313" s="92">
        <f>_xlfn.XLOOKUP(reportTbl[[#This Row],[date]],IIITbl[date],IIITbl[totalCT],0)</f>
        <v>0</v>
      </c>
      <c r="R313" s="92">
        <v>30000</v>
      </c>
    </row>
    <row r="314" spans="1:18" ht="20.25" x14ac:dyDescent="0.25">
      <c r="A314" s="7" t="s">
        <v>977</v>
      </c>
      <c r="B314" s="91" t="s">
        <v>119</v>
      </c>
      <c r="C314" s="92">
        <f>SUMIF(cutts[date],A314,cutts[num])</f>
        <v>0</v>
      </c>
      <c r="D314" s="92"/>
      <c r="E314" s="93">
        <f>SUMIF(packes[date],A314,packes[num])</f>
        <v>0</v>
      </c>
      <c r="F314" s="93">
        <f>SUMIF(packes[date],A314,packes[wPacked])</f>
        <v>0</v>
      </c>
      <c r="G314" s="93"/>
      <c r="H314" s="93">
        <f>reportTbl[[#This Row],[personels]]-reportTbl[[#This Row],[personels]]*2.5/22-0.5</f>
        <v>-0.5</v>
      </c>
      <c r="I314" s="94">
        <f>(reportTbl[[#This Row],[وزن تولید]]*unityCycleTime-reportTbl[[#This Row],[received TimeOut]])/(reportTbl[[#This Row],[available time]]*reportTbl[[#This Row],[تعداد نیرو]])</f>
        <v>0</v>
      </c>
      <c r="J314" s="95"/>
      <c r="K314" s="97"/>
      <c r="L314" s="97"/>
      <c r="M314" s="97"/>
      <c r="N314" s="97"/>
      <c r="O314" s="97">
        <v>0</v>
      </c>
      <c r="P314" s="96" t="s">
        <v>498</v>
      </c>
      <c r="Q314" s="92">
        <f>_xlfn.XLOOKUP(reportTbl[[#This Row],[date]],IIITbl[date],IIITbl[totalCT],0)</f>
        <v>0</v>
      </c>
      <c r="R314" s="92">
        <v>30000</v>
      </c>
    </row>
    <row r="315" spans="1:18" ht="20.25" x14ac:dyDescent="0.25">
      <c r="A315" s="7" t="s">
        <v>978</v>
      </c>
      <c r="B315" s="91" t="s">
        <v>120</v>
      </c>
      <c r="C315" s="92">
        <f>SUMIF(cutts[date],A315,cutts[num])</f>
        <v>0</v>
      </c>
      <c r="D315" s="92"/>
      <c r="E315" s="93">
        <f>SUMIF(packes[date],A315,packes[num])</f>
        <v>0</v>
      </c>
      <c r="F315" s="93">
        <f>SUMIF(packes[date],A315,packes[wPacked])</f>
        <v>0</v>
      </c>
      <c r="G315" s="93"/>
      <c r="H315" s="93">
        <f>reportTbl[[#This Row],[personels]]-reportTbl[[#This Row],[personels]]*2.5/22-0.5</f>
        <v>-0.5</v>
      </c>
      <c r="I315" s="94">
        <f>(reportTbl[[#This Row],[وزن تولید]]*unityCycleTime-reportTbl[[#This Row],[received TimeOut]])/(reportTbl[[#This Row],[available time]]*reportTbl[[#This Row],[تعداد نیرو]])</f>
        <v>0</v>
      </c>
      <c r="J315" s="95"/>
      <c r="K315" s="97"/>
      <c r="L315" s="97"/>
      <c r="M315" s="97"/>
      <c r="N315" s="97"/>
      <c r="O315" s="97">
        <v>0</v>
      </c>
      <c r="P315" s="96" t="s">
        <v>498</v>
      </c>
      <c r="Q315" s="92">
        <f>_xlfn.XLOOKUP(reportTbl[[#This Row],[date]],IIITbl[date],IIITbl[totalCT],0)</f>
        <v>0</v>
      </c>
      <c r="R315" s="92">
        <v>30000</v>
      </c>
    </row>
    <row r="316" spans="1:18" ht="20.25" x14ac:dyDescent="0.25">
      <c r="A316" s="7" t="s">
        <v>979</v>
      </c>
      <c r="B316" s="91" t="s">
        <v>121</v>
      </c>
      <c r="C316" s="92">
        <f>SUMIF(cutts[date],A316,cutts[num])</f>
        <v>0</v>
      </c>
      <c r="D316" s="92"/>
      <c r="E316" s="93">
        <f>SUMIF(packes[date],A316,packes[num])</f>
        <v>0</v>
      </c>
      <c r="F316" s="93">
        <f>SUMIF(packes[date],A316,packes[wPacked])</f>
        <v>0</v>
      </c>
      <c r="G316" s="93"/>
      <c r="H316" s="93">
        <f>reportTbl[[#This Row],[personels]]-reportTbl[[#This Row],[personels]]*2.5/22-0.5</f>
        <v>-0.5</v>
      </c>
      <c r="I316" s="94">
        <f>(reportTbl[[#This Row],[وزن تولید]]*unityCycleTime-reportTbl[[#This Row],[received TimeOut]])/(reportTbl[[#This Row],[available time]]*reportTbl[[#This Row],[تعداد نیرو]])</f>
        <v>0</v>
      </c>
      <c r="J316" s="95"/>
      <c r="K316" s="97"/>
      <c r="L316" s="97"/>
      <c r="M316" s="97"/>
      <c r="N316" s="97"/>
      <c r="O316" s="97">
        <v>0</v>
      </c>
      <c r="P316" s="96" t="s">
        <v>498</v>
      </c>
      <c r="Q316" s="92">
        <f>_xlfn.XLOOKUP(reportTbl[[#This Row],[date]],IIITbl[date],IIITbl[totalCT],0)</f>
        <v>0</v>
      </c>
      <c r="R316" s="92">
        <v>30000</v>
      </c>
    </row>
    <row r="317" spans="1:18" ht="20.25" x14ac:dyDescent="0.25">
      <c r="A317" s="7" t="s">
        <v>980</v>
      </c>
      <c r="B317" s="91" t="s">
        <v>122</v>
      </c>
      <c r="C317" s="92">
        <f>SUMIF(cutts[date],A317,cutts[num])</f>
        <v>0</v>
      </c>
      <c r="D317" s="92"/>
      <c r="E317" s="93">
        <f>SUMIF(packes[date],A317,packes[num])</f>
        <v>0</v>
      </c>
      <c r="F317" s="93">
        <f>SUMIF(packes[date],A317,packes[wPacked])</f>
        <v>0</v>
      </c>
      <c r="G317" s="93"/>
      <c r="H317" s="93">
        <f>reportTbl[[#This Row],[personels]]-reportTbl[[#This Row],[personels]]*2.5/22-0.5</f>
        <v>-0.5</v>
      </c>
      <c r="I317" s="94">
        <f>(reportTbl[[#This Row],[وزن تولید]]*unityCycleTime-reportTbl[[#This Row],[received TimeOut]])/(reportTbl[[#This Row],[available time]]*reportTbl[[#This Row],[تعداد نیرو]])</f>
        <v>0</v>
      </c>
      <c r="J317" s="95"/>
      <c r="K317" s="97"/>
      <c r="L317" s="97"/>
      <c r="M317" s="97"/>
      <c r="N317" s="97"/>
      <c r="O317" s="97">
        <v>0</v>
      </c>
      <c r="P317" s="96" t="s">
        <v>498</v>
      </c>
      <c r="Q317" s="92">
        <f>_xlfn.XLOOKUP(reportTbl[[#This Row],[date]],IIITbl[date],IIITbl[totalCT],0)</f>
        <v>0</v>
      </c>
      <c r="R317" s="92">
        <v>30000</v>
      </c>
    </row>
    <row r="318" spans="1:18" ht="20.25" x14ac:dyDescent="0.25">
      <c r="A318" s="7" t="s">
        <v>981</v>
      </c>
      <c r="B318" s="91" t="s">
        <v>116</v>
      </c>
      <c r="C318" s="92">
        <f>SUMIF(cutts[date],A318,cutts[num])</f>
        <v>0</v>
      </c>
      <c r="D318" s="92"/>
      <c r="E318" s="93">
        <f>SUMIF(packes[date],A318,packes[num])</f>
        <v>0</v>
      </c>
      <c r="F318" s="93">
        <f>SUMIF(packes[date],A318,packes[wPacked])</f>
        <v>0</v>
      </c>
      <c r="G318" s="93"/>
      <c r="H318" s="93">
        <f>reportTbl[[#This Row],[personels]]-reportTbl[[#This Row],[personels]]*2.5/22-0.5</f>
        <v>-0.5</v>
      </c>
      <c r="I318" s="94">
        <f>(reportTbl[[#This Row],[وزن تولید]]*unityCycleTime-reportTbl[[#This Row],[received TimeOut]])/(reportTbl[[#This Row],[available time]]*reportTbl[[#This Row],[تعداد نیرو]])</f>
        <v>0</v>
      </c>
      <c r="J318" s="95"/>
      <c r="K318" s="97"/>
      <c r="L318" s="97"/>
      <c r="M318" s="97"/>
      <c r="N318" s="97"/>
      <c r="O318" s="97">
        <v>0</v>
      </c>
      <c r="P318" s="96" t="s">
        <v>498</v>
      </c>
      <c r="Q318" s="92">
        <f>_xlfn.XLOOKUP(reportTbl[[#This Row],[date]],IIITbl[date],IIITbl[totalCT],0)</f>
        <v>0</v>
      </c>
      <c r="R318" s="92">
        <v>30000</v>
      </c>
    </row>
    <row r="319" spans="1:18" ht="20.25" x14ac:dyDescent="0.25">
      <c r="A319" s="7" t="s">
        <v>982</v>
      </c>
      <c r="B319" s="91" t="s">
        <v>117</v>
      </c>
      <c r="C319" s="92">
        <f>SUMIF(cutts[date],A319,cutts[num])</f>
        <v>0</v>
      </c>
      <c r="D319" s="92"/>
      <c r="E319" s="93">
        <f>SUMIF(packes[date],A319,packes[num])</f>
        <v>0</v>
      </c>
      <c r="F319" s="93">
        <f>SUMIF(packes[date],A319,packes[wPacked])</f>
        <v>0</v>
      </c>
      <c r="G319" s="93"/>
      <c r="H319" s="93">
        <f>reportTbl[[#This Row],[personels]]-reportTbl[[#This Row],[personels]]*2.5/22-0.5</f>
        <v>-0.5</v>
      </c>
      <c r="I319" s="94">
        <f>(reportTbl[[#This Row],[وزن تولید]]*unityCycleTime-reportTbl[[#This Row],[received TimeOut]])/(reportTbl[[#This Row],[available time]]*reportTbl[[#This Row],[تعداد نیرو]])</f>
        <v>0</v>
      </c>
      <c r="J319" s="95"/>
      <c r="K319" s="97"/>
      <c r="L319" s="97"/>
      <c r="M319" s="97"/>
      <c r="N319" s="97"/>
      <c r="O319" s="97">
        <v>0</v>
      </c>
      <c r="P319" s="96" t="s">
        <v>498</v>
      </c>
      <c r="Q319" s="92">
        <f>_xlfn.XLOOKUP(reportTbl[[#This Row],[date]],IIITbl[date],IIITbl[totalCT],0)</f>
        <v>0</v>
      </c>
      <c r="R319" s="92">
        <v>30000</v>
      </c>
    </row>
    <row r="320" spans="1:18" ht="20.25" x14ac:dyDescent="0.25">
      <c r="A320" s="7" t="s">
        <v>983</v>
      </c>
      <c r="B320" s="91" t="s">
        <v>118</v>
      </c>
      <c r="C320" s="92">
        <f>SUMIF(cutts[date],A320,cutts[num])</f>
        <v>0</v>
      </c>
      <c r="D320" s="92"/>
      <c r="E320" s="93">
        <f>SUMIF(packes[date],A320,packes[num])</f>
        <v>0</v>
      </c>
      <c r="F320" s="93">
        <f>SUMIF(packes[date],A320,packes[wPacked])</f>
        <v>0</v>
      </c>
      <c r="G320" s="93"/>
      <c r="H320" s="93">
        <f>reportTbl[[#This Row],[personels]]-reportTbl[[#This Row],[personels]]*2.5/22-0.5</f>
        <v>-0.5</v>
      </c>
      <c r="I320" s="94">
        <f>(reportTbl[[#This Row],[وزن تولید]]*unityCycleTime-reportTbl[[#This Row],[received TimeOut]])/(reportTbl[[#This Row],[available time]]*reportTbl[[#This Row],[تعداد نیرو]])</f>
        <v>0</v>
      </c>
      <c r="J320" s="95"/>
      <c r="K320" s="97"/>
      <c r="L320" s="97"/>
      <c r="M320" s="97"/>
      <c r="N320" s="97"/>
      <c r="O320" s="97">
        <v>0</v>
      </c>
      <c r="P320" s="96" t="s">
        <v>498</v>
      </c>
      <c r="Q320" s="92">
        <f>_xlfn.XLOOKUP(reportTbl[[#This Row],[date]],IIITbl[date],IIITbl[totalCT],0)</f>
        <v>0</v>
      </c>
      <c r="R320" s="92">
        <v>30000</v>
      </c>
    </row>
    <row r="321" spans="1:18" ht="20.25" x14ac:dyDescent="0.25">
      <c r="A321" s="7" t="s">
        <v>984</v>
      </c>
      <c r="B321" s="91" t="s">
        <v>119</v>
      </c>
      <c r="C321" s="92">
        <f>SUMIF(cutts[date],A321,cutts[num])</f>
        <v>0</v>
      </c>
      <c r="D321" s="92"/>
      <c r="E321" s="93">
        <f>SUMIF(packes[date],A321,packes[num])</f>
        <v>0</v>
      </c>
      <c r="F321" s="93">
        <f>SUMIF(packes[date],A321,packes[wPacked])</f>
        <v>0</v>
      </c>
      <c r="G321" s="93"/>
      <c r="H321" s="93">
        <f>reportTbl[[#This Row],[personels]]-reportTbl[[#This Row],[personels]]*2.5/22-0.5</f>
        <v>-0.5</v>
      </c>
      <c r="I321" s="94">
        <f>(reportTbl[[#This Row],[وزن تولید]]*unityCycleTime-reportTbl[[#This Row],[received TimeOut]])/(reportTbl[[#This Row],[available time]]*reportTbl[[#This Row],[تعداد نیرو]])</f>
        <v>0</v>
      </c>
      <c r="J321" s="95"/>
      <c r="K321" s="97"/>
      <c r="L321" s="97"/>
      <c r="M321" s="97"/>
      <c r="N321" s="97"/>
      <c r="O321" s="97">
        <v>0</v>
      </c>
      <c r="P321" s="96" t="s">
        <v>498</v>
      </c>
      <c r="Q321" s="92">
        <f>_xlfn.XLOOKUP(reportTbl[[#This Row],[date]],IIITbl[date],IIITbl[totalCT],0)</f>
        <v>0</v>
      </c>
      <c r="R321" s="92">
        <v>30000</v>
      </c>
    </row>
    <row r="322" spans="1:18" ht="20.25" x14ac:dyDescent="0.25">
      <c r="A322" s="7" t="s">
        <v>985</v>
      </c>
      <c r="B322" s="91" t="s">
        <v>120</v>
      </c>
      <c r="C322" s="92">
        <f>SUMIF(cutts[date],A322,cutts[num])</f>
        <v>0</v>
      </c>
      <c r="D322" s="92"/>
      <c r="E322" s="93">
        <f>SUMIF(packes[date],A322,packes[num])</f>
        <v>0</v>
      </c>
      <c r="F322" s="93">
        <f>SUMIF(packes[date],A322,packes[wPacked])</f>
        <v>0</v>
      </c>
      <c r="G322" s="93"/>
      <c r="H322" s="93">
        <f>reportTbl[[#This Row],[personels]]-reportTbl[[#This Row],[personels]]*2.5/22-0.5</f>
        <v>-0.5</v>
      </c>
      <c r="I322" s="94">
        <f>(reportTbl[[#This Row],[وزن تولید]]*unityCycleTime-reportTbl[[#This Row],[received TimeOut]])/(reportTbl[[#This Row],[available time]]*reportTbl[[#This Row],[تعداد نیرو]])</f>
        <v>0</v>
      </c>
      <c r="J322" s="95"/>
      <c r="K322" s="97"/>
      <c r="L322" s="97"/>
      <c r="M322" s="97"/>
      <c r="N322" s="97"/>
      <c r="O322" s="97">
        <v>0</v>
      </c>
      <c r="P322" s="96" t="s">
        <v>498</v>
      </c>
      <c r="Q322" s="92">
        <f>_xlfn.XLOOKUP(reportTbl[[#This Row],[date]],IIITbl[date],IIITbl[totalCT],0)</f>
        <v>0</v>
      </c>
      <c r="R322" s="92">
        <v>30000</v>
      </c>
    </row>
    <row r="323" spans="1:18" ht="20.25" x14ac:dyDescent="0.25">
      <c r="A323" s="7" t="s">
        <v>986</v>
      </c>
      <c r="B323" s="91" t="s">
        <v>121</v>
      </c>
      <c r="C323" s="92">
        <f>SUMIF(cutts[date],A323,cutts[num])</f>
        <v>0</v>
      </c>
      <c r="D323" s="92"/>
      <c r="E323" s="93">
        <f>SUMIF(packes[date],A323,packes[num])</f>
        <v>0</v>
      </c>
      <c r="F323" s="93">
        <f>SUMIF(packes[date],A323,packes[wPacked])</f>
        <v>0</v>
      </c>
      <c r="G323" s="93"/>
      <c r="H323" s="93">
        <f>reportTbl[[#This Row],[personels]]-reportTbl[[#This Row],[personels]]*2.5/22-0.5</f>
        <v>-0.5</v>
      </c>
      <c r="I323" s="94">
        <f>(reportTbl[[#This Row],[وزن تولید]]*unityCycleTime-reportTbl[[#This Row],[received TimeOut]])/(reportTbl[[#This Row],[available time]]*reportTbl[[#This Row],[تعداد نیرو]])</f>
        <v>0</v>
      </c>
      <c r="J323" s="95"/>
      <c r="K323" s="97"/>
      <c r="L323" s="97"/>
      <c r="M323" s="97"/>
      <c r="N323" s="97"/>
      <c r="O323" s="97">
        <v>0</v>
      </c>
      <c r="P323" s="96" t="s">
        <v>498</v>
      </c>
      <c r="Q323" s="92">
        <f>_xlfn.XLOOKUP(reportTbl[[#This Row],[date]],IIITbl[date],IIITbl[totalCT],0)</f>
        <v>0</v>
      </c>
      <c r="R323" s="92">
        <v>30000</v>
      </c>
    </row>
    <row r="324" spans="1:18" ht="20.25" x14ac:dyDescent="0.25">
      <c r="A324" s="7" t="s">
        <v>987</v>
      </c>
      <c r="B324" s="91" t="s">
        <v>122</v>
      </c>
      <c r="C324" s="92">
        <f>SUMIF(cutts[date],A324,cutts[num])</f>
        <v>0</v>
      </c>
      <c r="D324" s="92"/>
      <c r="E324" s="93">
        <f>SUMIF(packes[date],A324,packes[num])</f>
        <v>0</v>
      </c>
      <c r="F324" s="93">
        <f>SUMIF(packes[date],A324,packes[wPacked])</f>
        <v>0</v>
      </c>
      <c r="G324" s="93"/>
      <c r="H324" s="93">
        <f>reportTbl[[#This Row],[personels]]-reportTbl[[#This Row],[personels]]*2.5/22-0.5</f>
        <v>-0.5</v>
      </c>
      <c r="I324" s="94">
        <f>(reportTbl[[#This Row],[وزن تولید]]*unityCycleTime-reportTbl[[#This Row],[received TimeOut]])/(reportTbl[[#This Row],[available time]]*reportTbl[[#This Row],[تعداد نیرو]])</f>
        <v>0</v>
      </c>
      <c r="J324" s="95"/>
      <c r="K324" s="97"/>
      <c r="L324" s="97"/>
      <c r="M324" s="97"/>
      <c r="N324" s="97"/>
      <c r="O324" s="97">
        <v>0</v>
      </c>
      <c r="P324" s="96" t="s">
        <v>498</v>
      </c>
      <c r="Q324" s="92">
        <f>_xlfn.XLOOKUP(reportTbl[[#This Row],[date]],IIITbl[date],IIITbl[totalCT],0)</f>
        <v>0</v>
      </c>
      <c r="R324" s="92">
        <v>30000</v>
      </c>
    </row>
    <row r="325" spans="1:18" ht="20.25" x14ac:dyDescent="0.25">
      <c r="A325" s="7" t="s">
        <v>988</v>
      </c>
      <c r="B325" s="91" t="s">
        <v>116</v>
      </c>
      <c r="C325" s="92">
        <f>SUMIF(cutts[date],A325,cutts[num])</f>
        <v>0</v>
      </c>
      <c r="D325" s="92"/>
      <c r="E325" s="93">
        <f>SUMIF(packes[date],A325,packes[num])</f>
        <v>0</v>
      </c>
      <c r="F325" s="93">
        <f>SUMIF(packes[date],A325,packes[wPacked])</f>
        <v>0</v>
      </c>
      <c r="G325" s="93"/>
      <c r="H325" s="93">
        <f>reportTbl[[#This Row],[personels]]-reportTbl[[#This Row],[personels]]*2.5/22-0.5</f>
        <v>-0.5</v>
      </c>
      <c r="I325" s="94">
        <f>(reportTbl[[#This Row],[وزن تولید]]*unityCycleTime-reportTbl[[#This Row],[received TimeOut]])/(reportTbl[[#This Row],[available time]]*reportTbl[[#This Row],[تعداد نیرو]])</f>
        <v>0</v>
      </c>
      <c r="J325" s="95"/>
      <c r="K325" s="97"/>
      <c r="L325" s="97"/>
      <c r="M325" s="97"/>
      <c r="N325" s="97"/>
      <c r="O325" s="97">
        <v>0</v>
      </c>
      <c r="P325" s="96" t="s">
        <v>498</v>
      </c>
      <c r="Q325" s="92">
        <f>_xlfn.XLOOKUP(reportTbl[[#This Row],[date]],IIITbl[date],IIITbl[totalCT],0)</f>
        <v>0</v>
      </c>
      <c r="R325" s="92">
        <v>30000</v>
      </c>
    </row>
    <row r="326" spans="1:18" ht="20.25" x14ac:dyDescent="0.25">
      <c r="A326" s="7" t="s">
        <v>989</v>
      </c>
      <c r="B326" s="91" t="s">
        <v>117</v>
      </c>
      <c r="C326" s="92">
        <f>SUMIF(cutts[date],A326,cutts[num])</f>
        <v>0</v>
      </c>
      <c r="D326" s="92"/>
      <c r="E326" s="93">
        <f>SUMIF(packes[date],A326,packes[num])</f>
        <v>0</v>
      </c>
      <c r="F326" s="93">
        <f>SUMIF(packes[date],A326,packes[wPacked])</f>
        <v>0</v>
      </c>
      <c r="G326" s="93"/>
      <c r="H326" s="93">
        <f>reportTbl[[#This Row],[personels]]-reportTbl[[#This Row],[personels]]*2.5/22-0.5</f>
        <v>-0.5</v>
      </c>
      <c r="I326" s="94">
        <f>(reportTbl[[#This Row],[وزن تولید]]*unityCycleTime-reportTbl[[#This Row],[received TimeOut]])/(reportTbl[[#This Row],[available time]]*reportTbl[[#This Row],[تعداد نیرو]])</f>
        <v>0</v>
      </c>
      <c r="J326" s="95"/>
      <c r="K326" s="97"/>
      <c r="L326" s="97"/>
      <c r="M326" s="97"/>
      <c r="N326" s="97"/>
      <c r="O326" s="97">
        <v>0</v>
      </c>
      <c r="P326" s="96" t="s">
        <v>498</v>
      </c>
      <c r="Q326" s="92">
        <f>_xlfn.XLOOKUP(reportTbl[[#This Row],[date]],IIITbl[date],IIITbl[totalCT],0)</f>
        <v>0</v>
      </c>
      <c r="R326" s="92">
        <v>30000</v>
      </c>
    </row>
    <row r="327" spans="1:18" ht="20.25" x14ac:dyDescent="0.25">
      <c r="A327" s="7" t="s">
        <v>990</v>
      </c>
      <c r="B327" s="91" t="s">
        <v>118</v>
      </c>
      <c r="C327" s="92">
        <f>SUMIF(cutts[date],A327,cutts[num])</f>
        <v>0</v>
      </c>
      <c r="D327" s="92"/>
      <c r="E327" s="93">
        <f>SUMIF(packes[date],A327,packes[num])</f>
        <v>0</v>
      </c>
      <c r="F327" s="93">
        <f>SUMIF(packes[date],A327,packes[wPacked])</f>
        <v>0</v>
      </c>
      <c r="G327" s="93"/>
      <c r="H327" s="93">
        <f>reportTbl[[#This Row],[personels]]-reportTbl[[#This Row],[personels]]*2.5/22-0.5</f>
        <v>-0.5</v>
      </c>
      <c r="I327" s="94">
        <f>(reportTbl[[#This Row],[وزن تولید]]*unityCycleTime-reportTbl[[#This Row],[received TimeOut]])/(reportTbl[[#This Row],[available time]]*reportTbl[[#This Row],[تعداد نیرو]])</f>
        <v>0</v>
      </c>
      <c r="J327" s="95"/>
      <c r="K327" s="97"/>
      <c r="L327" s="97"/>
      <c r="M327" s="97"/>
      <c r="N327" s="97"/>
      <c r="O327" s="97">
        <v>0</v>
      </c>
      <c r="P327" s="96" t="s">
        <v>498</v>
      </c>
      <c r="Q327" s="92">
        <f>_xlfn.XLOOKUP(reportTbl[[#This Row],[date]],IIITbl[date],IIITbl[totalCT],0)</f>
        <v>0</v>
      </c>
      <c r="R327" s="92">
        <v>30000</v>
      </c>
    </row>
    <row r="328" spans="1:18" ht="20.25" x14ac:dyDescent="0.25">
      <c r="A328" s="7" t="s">
        <v>991</v>
      </c>
      <c r="B328" s="91" t="s">
        <v>119</v>
      </c>
      <c r="C328" s="92">
        <f>SUMIF(cutts[date],A328,cutts[num])</f>
        <v>0</v>
      </c>
      <c r="D328" s="92"/>
      <c r="E328" s="93">
        <f>SUMIF(packes[date],A328,packes[num])</f>
        <v>0</v>
      </c>
      <c r="F328" s="93">
        <f>SUMIF(packes[date],A328,packes[wPacked])</f>
        <v>0</v>
      </c>
      <c r="G328" s="93"/>
      <c r="H328" s="93">
        <f>reportTbl[[#This Row],[personels]]-reportTbl[[#This Row],[personels]]*2.5/22-0.5</f>
        <v>-0.5</v>
      </c>
      <c r="I328" s="94">
        <f>(reportTbl[[#This Row],[وزن تولید]]*unityCycleTime-reportTbl[[#This Row],[received TimeOut]])/(reportTbl[[#This Row],[available time]]*reportTbl[[#This Row],[تعداد نیرو]])</f>
        <v>0</v>
      </c>
      <c r="J328" s="95"/>
      <c r="K328" s="97"/>
      <c r="L328" s="97"/>
      <c r="M328" s="97"/>
      <c r="N328" s="97"/>
      <c r="O328" s="97">
        <v>0</v>
      </c>
      <c r="P328" s="96" t="s">
        <v>498</v>
      </c>
      <c r="Q328" s="92">
        <f>_xlfn.XLOOKUP(reportTbl[[#This Row],[date]],IIITbl[date],IIITbl[totalCT],0)</f>
        <v>0</v>
      </c>
      <c r="R328" s="92">
        <v>30000</v>
      </c>
    </row>
    <row r="329" spans="1:18" ht="20.25" x14ac:dyDescent="0.25">
      <c r="A329" s="7" t="s">
        <v>992</v>
      </c>
      <c r="B329" s="91" t="s">
        <v>120</v>
      </c>
      <c r="C329" s="92">
        <f>SUMIF(cutts[date],A329,cutts[num])</f>
        <v>0</v>
      </c>
      <c r="D329" s="92"/>
      <c r="E329" s="93">
        <f>SUMIF(packes[date],A329,packes[num])</f>
        <v>0</v>
      </c>
      <c r="F329" s="93">
        <f>SUMIF(packes[date],A329,packes[wPacked])</f>
        <v>0</v>
      </c>
      <c r="G329" s="93"/>
      <c r="H329" s="93">
        <f>reportTbl[[#This Row],[personels]]-reportTbl[[#This Row],[personels]]*2.5/22-0.5</f>
        <v>-0.5</v>
      </c>
      <c r="I329" s="94">
        <f>(reportTbl[[#This Row],[وزن تولید]]*unityCycleTime-reportTbl[[#This Row],[received TimeOut]])/(reportTbl[[#This Row],[available time]]*reportTbl[[#This Row],[تعداد نیرو]])</f>
        <v>0</v>
      </c>
      <c r="J329" s="95"/>
      <c r="K329" s="97"/>
      <c r="L329" s="97"/>
      <c r="M329" s="97"/>
      <c r="N329" s="97"/>
      <c r="O329" s="97">
        <v>0</v>
      </c>
      <c r="P329" s="96" t="s">
        <v>498</v>
      </c>
      <c r="Q329" s="92">
        <f>_xlfn.XLOOKUP(reportTbl[[#This Row],[date]],IIITbl[date],IIITbl[totalCT],0)</f>
        <v>0</v>
      </c>
      <c r="R329" s="92">
        <v>30000</v>
      </c>
    </row>
    <row r="330" spans="1:18" ht="20.25" x14ac:dyDescent="0.25">
      <c r="A330" s="7" t="s">
        <v>993</v>
      </c>
      <c r="B330" s="91" t="s">
        <v>121</v>
      </c>
      <c r="C330" s="92">
        <f>SUMIF(cutts[date],A330,cutts[num])</f>
        <v>0</v>
      </c>
      <c r="D330" s="92"/>
      <c r="E330" s="93">
        <f>SUMIF(packes[date],A330,packes[num])</f>
        <v>0</v>
      </c>
      <c r="F330" s="93">
        <f>SUMIF(packes[date],A330,packes[wPacked])</f>
        <v>0</v>
      </c>
      <c r="G330" s="93"/>
      <c r="H330" s="93">
        <f>reportTbl[[#This Row],[personels]]-reportTbl[[#This Row],[personels]]*2.5/22-0.5</f>
        <v>-0.5</v>
      </c>
      <c r="I330" s="94">
        <f>(reportTbl[[#This Row],[وزن تولید]]*unityCycleTime-reportTbl[[#This Row],[received TimeOut]])/(reportTbl[[#This Row],[available time]]*reportTbl[[#This Row],[تعداد نیرو]])</f>
        <v>0</v>
      </c>
      <c r="J330" s="95"/>
      <c r="K330" s="97"/>
      <c r="L330" s="97"/>
      <c r="M330" s="97"/>
      <c r="N330" s="97"/>
      <c r="O330" s="97">
        <v>0</v>
      </c>
      <c r="P330" s="96" t="s">
        <v>498</v>
      </c>
      <c r="Q330" s="92">
        <f>_xlfn.XLOOKUP(reportTbl[[#This Row],[date]],IIITbl[date],IIITbl[totalCT],0)</f>
        <v>0</v>
      </c>
      <c r="R330" s="92">
        <v>30000</v>
      </c>
    </row>
    <row r="331" spans="1:18" ht="20.25" x14ac:dyDescent="0.25">
      <c r="A331" s="7" t="s">
        <v>994</v>
      </c>
      <c r="B331" s="91" t="s">
        <v>122</v>
      </c>
      <c r="C331" s="92">
        <f>SUMIF(cutts[date],A331,cutts[num])</f>
        <v>0</v>
      </c>
      <c r="D331" s="92"/>
      <c r="E331" s="93">
        <f>SUMIF(packes[date],A331,packes[num])</f>
        <v>0</v>
      </c>
      <c r="F331" s="93">
        <f>SUMIF(packes[date],A331,packes[wPacked])</f>
        <v>0</v>
      </c>
      <c r="G331" s="93"/>
      <c r="H331" s="93">
        <f>reportTbl[[#This Row],[personels]]-reportTbl[[#This Row],[personels]]*2.5/22-0.5</f>
        <v>-0.5</v>
      </c>
      <c r="I331" s="94">
        <f>(reportTbl[[#This Row],[وزن تولید]]*unityCycleTime-reportTbl[[#This Row],[received TimeOut]])/(reportTbl[[#This Row],[available time]]*reportTbl[[#This Row],[تعداد نیرو]])</f>
        <v>0</v>
      </c>
      <c r="J331" s="95"/>
      <c r="K331" s="97"/>
      <c r="L331" s="97"/>
      <c r="M331" s="97"/>
      <c r="N331" s="97"/>
      <c r="O331" s="97">
        <v>0</v>
      </c>
      <c r="P331" s="96" t="s">
        <v>498</v>
      </c>
      <c r="Q331" s="92">
        <f>_xlfn.XLOOKUP(reportTbl[[#This Row],[date]],IIITbl[date],IIITbl[totalCT],0)</f>
        <v>0</v>
      </c>
      <c r="R331" s="92">
        <v>30000</v>
      </c>
    </row>
    <row r="332" spans="1:18" ht="20.25" x14ac:dyDescent="0.25">
      <c r="A332" s="7" t="s">
        <v>995</v>
      </c>
      <c r="B332" s="91" t="s">
        <v>116</v>
      </c>
      <c r="C332" s="92">
        <f>SUMIF(cutts[date],A332,cutts[num])</f>
        <v>0</v>
      </c>
      <c r="D332" s="92"/>
      <c r="E332" s="93">
        <f>SUMIF(packes[date],A332,packes[num])</f>
        <v>0</v>
      </c>
      <c r="F332" s="93">
        <f>SUMIF(packes[date],A332,packes[wPacked])</f>
        <v>0</v>
      </c>
      <c r="G332" s="93"/>
      <c r="H332" s="93">
        <f>reportTbl[[#This Row],[personels]]-reportTbl[[#This Row],[personels]]*2.5/22-0.5</f>
        <v>-0.5</v>
      </c>
      <c r="I332" s="94">
        <f>(reportTbl[[#This Row],[وزن تولید]]*unityCycleTime-reportTbl[[#This Row],[received TimeOut]])/(reportTbl[[#This Row],[available time]]*reportTbl[[#This Row],[تعداد نیرو]])</f>
        <v>0</v>
      </c>
      <c r="J332" s="95"/>
      <c r="K332" s="97"/>
      <c r="L332" s="97"/>
      <c r="M332" s="97"/>
      <c r="N332" s="97"/>
      <c r="O332" s="97">
        <v>0</v>
      </c>
      <c r="P332" s="96" t="s">
        <v>498</v>
      </c>
      <c r="Q332" s="92">
        <f>_xlfn.XLOOKUP(reportTbl[[#This Row],[date]],IIITbl[date],IIITbl[totalCT],0)</f>
        <v>0</v>
      </c>
      <c r="R332" s="92">
        <v>30000</v>
      </c>
    </row>
    <row r="333" spans="1:18" ht="20.25" x14ac:dyDescent="0.25">
      <c r="A333" s="7" t="s">
        <v>996</v>
      </c>
      <c r="B333" s="91" t="s">
        <v>117</v>
      </c>
      <c r="C333" s="92">
        <f>SUMIF(cutts[date],A333,cutts[num])</f>
        <v>0</v>
      </c>
      <c r="D333" s="92"/>
      <c r="E333" s="93">
        <f>SUMIF(packes[date],A333,packes[num])</f>
        <v>0</v>
      </c>
      <c r="F333" s="93">
        <f>SUMIF(packes[date],A333,packes[wPacked])</f>
        <v>0</v>
      </c>
      <c r="G333" s="93"/>
      <c r="H333" s="93">
        <f>reportTbl[[#This Row],[personels]]-reportTbl[[#This Row],[personels]]*2.5/22-0.5</f>
        <v>-0.5</v>
      </c>
      <c r="I333" s="94">
        <f>(reportTbl[[#This Row],[وزن تولید]]*unityCycleTime-reportTbl[[#This Row],[received TimeOut]])/(reportTbl[[#This Row],[available time]]*reportTbl[[#This Row],[تعداد نیرو]])</f>
        <v>0</v>
      </c>
      <c r="J333" s="95"/>
      <c r="K333" s="97"/>
      <c r="L333" s="97"/>
      <c r="M333" s="97"/>
      <c r="N333" s="97"/>
      <c r="O333" s="97">
        <v>0</v>
      </c>
      <c r="P333" s="96" t="s">
        <v>498</v>
      </c>
      <c r="Q333" s="92">
        <f>_xlfn.XLOOKUP(reportTbl[[#This Row],[date]],IIITbl[date],IIITbl[totalCT],0)</f>
        <v>0</v>
      </c>
      <c r="R333" s="92">
        <v>30000</v>
      </c>
    </row>
    <row r="334" spans="1:18" ht="20.25" x14ac:dyDescent="0.25">
      <c r="A334" s="7" t="s">
        <v>997</v>
      </c>
      <c r="B334" s="91" t="s">
        <v>118</v>
      </c>
      <c r="C334" s="92">
        <f>SUMIF(cutts[date],A334,cutts[num])</f>
        <v>0</v>
      </c>
      <c r="D334" s="92"/>
      <c r="E334" s="93">
        <f>SUMIF(packes[date],A334,packes[num])</f>
        <v>0</v>
      </c>
      <c r="F334" s="93">
        <f>SUMIF(packes[date],A334,packes[wPacked])</f>
        <v>0</v>
      </c>
      <c r="G334" s="93"/>
      <c r="H334" s="93">
        <f>reportTbl[[#This Row],[personels]]-reportTbl[[#This Row],[personels]]*2.5/22-0.5</f>
        <v>-0.5</v>
      </c>
      <c r="I334" s="94">
        <f>(reportTbl[[#This Row],[وزن تولید]]*unityCycleTime-reportTbl[[#This Row],[received TimeOut]])/(reportTbl[[#This Row],[available time]]*reportTbl[[#This Row],[تعداد نیرو]])</f>
        <v>0</v>
      </c>
      <c r="J334" s="95"/>
      <c r="K334" s="97"/>
      <c r="L334" s="97"/>
      <c r="M334" s="97"/>
      <c r="N334" s="97"/>
      <c r="O334" s="97">
        <v>0</v>
      </c>
      <c r="P334" s="96" t="s">
        <v>498</v>
      </c>
      <c r="Q334" s="92">
        <f>_xlfn.XLOOKUP(reportTbl[[#This Row],[date]],IIITbl[date],IIITbl[totalCT],0)</f>
        <v>0</v>
      </c>
      <c r="R334" s="92">
        <v>30000</v>
      </c>
    </row>
    <row r="335" spans="1:18" ht="20.25" x14ac:dyDescent="0.25">
      <c r="A335" s="7" t="s">
        <v>998</v>
      </c>
      <c r="B335" s="91" t="s">
        <v>119</v>
      </c>
      <c r="C335" s="92">
        <f>SUMIF(cutts[date],A335,cutts[num])</f>
        <v>0</v>
      </c>
      <c r="D335" s="92"/>
      <c r="E335" s="93">
        <f>SUMIF(packes[date],A335,packes[num])</f>
        <v>0</v>
      </c>
      <c r="F335" s="93">
        <f>SUMIF(packes[date],A335,packes[wPacked])</f>
        <v>0</v>
      </c>
      <c r="G335" s="93"/>
      <c r="H335" s="93">
        <f>reportTbl[[#This Row],[personels]]-reportTbl[[#This Row],[personels]]*2.5/22-0.5</f>
        <v>-0.5</v>
      </c>
      <c r="I335" s="94">
        <f>(reportTbl[[#This Row],[وزن تولید]]*unityCycleTime-reportTbl[[#This Row],[received TimeOut]])/(reportTbl[[#This Row],[available time]]*reportTbl[[#This Row],[تعداد نیرو]])</f>
        <v>0</v>
      </c>
      <c r="J335" s="95"/>
      <c r="K335" s="97"/>
      <c r="L335" s="97"/>
      <c r="M335" s="97"/>
      <c r="N335" s="97"/>
      <c r="O335" s="97">
        <v>0</v>
      </c>
      <c r="P335" s="96" t="s">
        <v>498</v>
      </c>
      <c r="Q335" s="92">
        <f>_xlfn.XLOOKUP(reportTbl[[#This Row],[date]],IIITbl[date],IIITbl[totalCT],0)</f>
        <v>0</v>
      </c>
      <c r="R335" s="92">
        <v>30000</v>
      </c>
    </row>
    <row r="336" spans="1:18" ht="20.25" x14ac:dyDescent="0.25">
      <c r="A336" s="7" t="s">
        <v>999</v>
      </c>
      <c r="B336" s="91" t="s">
        <v>120</v>
      </c>
      <c r="C336" s="92">
        <f>SUMIF(cutts[date],A336,cutts[num])</f>
        <v>0</v>
      </c>
      <c r="D336" s="92"/>
      <c r="E336" s="93">
        <f>SUMIF(packes[date],A336,packes[num])</f>
        <v>0</v>
      </c>
      <c r="F336" s="93">
        <f>SUMIF(packes[date],A336,packes[wPacked])</f>
        <v>0</v>
      </c>
      <c r="G336" s="93"/>
      <c r="H336" s="93">
        <f>reportTbl[[#This Row],[personels]]-reportTbl[[#This Row],[personels]]*2.5/22-0.5</f>
        <v>-0.5</v>
      </c>
      <c r="I336" s="94">
        <f>(reportTbl[[#This Row],[وزن تولید]]*unityCycleTime-reportTbl[[#This Row],[received TimeOut]])/(reportTbl[[#This Row],[available time]]*reportTbl[[#This Row],[تعداد نیرو]])</f>
        <v>0</v>
      </c>
      <c r="J336" s="95"/>
      <c r="K336" s="97"/>
      <c r="L336" s="97"/>
      <c r="M336" s="97"/>
      <c r="N336" s="97"/>
      <c r="O336" s="97">
        <v>0</v>
      </c>
      <c r="P336" s="96" t="s">
        <v>498</v>
      </c>
      <c r="Q336" s="92">
        <f>_xlfn.XLOOKUP(reportTbl[[#This Row],[date]],IIITbl[date],IIITbl[totalCT],0)</f>
        <v>0</v>
      </c>
      <c r="R336" s="92">
        <v>30000</v>
      </c>
    </row>
    <row r="337" spans="1:18" ht="20.25" x14ac:dyDescent="0.25">
      <c r="A337" s="7" t="s">
        <v>1000</v>
      </c>
      <c r="B337" s="91" t="s">
        <v>121</v>
      </c>
      <c r="C337" s="92">
        <f>SUMIF(cutts[date],A337,cutts[num])</f>
        <v>0</v>
      </c>
      <c r="D337" s="92"/>
      <c r="E337" s="93">
        <f>SUMIF(packes[date],A337,packes[num])</f>
        <v>0</v>
      </c>
      <c r="F337" s="93">
        <f>SUMIF(packes[date],A337,packes[wPacked])</f>
        <v>0</v>
      </c>
      <c r="G337" s="93"/>
      <c r="H337" s="93">
        <f>reportTbl[[#This Row],[personels]]-reportTbl[[#This Row],[personels]]*2.5/22-0.5</f>
        <v>-0.5</v>
      </c>
      <c r="I337" s="94">
        <f>(reportTbl[[#This Row],[وزن تولید]]*unityCycleTime-reportTbl[[#This Row],[received TimeOut]])/(reportTbl[[#This Row],[available time]]*reportTbl[[#This Row],[تعداد نیرو]])</f>
        <v>0</v>
      </c>
      <c r="J337" s="95"/>
      <c r="K337" s="97"/>
      <c r="L337" s="97"/>
      <c r="M337" s="97"/>
      <c r="N337" s="97"/>
      <c r="O337" s="97">
        <v>0</v>
      </c>
      <c r="P337" s="96" t="s">
        <v>498</v>
      </c>
      <c r="Q337" s="92">
        <f>_xlfn.XLOOKUP(reportTbl[[#This Row],[date]],IIITbl[date],IIITbl[totalCT],0)</f>
        <v>0</v>
      </c>
      <c r="R337" s="92">
        <v>30000</v>
      </c>
    </row>
    <row r="338" spans="1:18" ht="20.25" x14ac:dyDescent="0.25">
      <c r="A338" s="7" t="s">
        <v>1001</v>
      </c>
      <c r="B338" s="91" t="s">
        <v>122</v>
      </c>
      <c r="C338" s="92">
        <f>SUMIF(cutts[date],A338,cutts[num])</f>
        <v>0</v>
      </c>
      <c r="D338" s="92"/>
      <c r="E338" s="93">
        <f>SUMIF(packes[date],A338,packes[num])</f>
        <v>0</v>
      </c>
      <c r="F338" s="93">
        <f>SUMIF(packes[date],A338,packes[wPacked])</f>
        <v>0</v>
      </c>
      <c r="G338" s="93"/>
      <c r="H338" s="93">
        <f>reportTbl[[#This Row],[personels]]-reportTbl[[#This Row],[personels]]*2.5/22-0.5</f>
        <v>-0.5</v>
      </c>
      <c r="I338" s="94">
        <f>(reportTbl[[#This Row],[وزن تولید]]*unityCycleTime-reportTbl[[#This Row],[received TimeOut]])/(reportTbl[[#This Row],[available time]]*reportTbl[[#This Row],[تعداد نیرو]])</f>
        <v>0</v>
      </c>
      <c r="J338" s="95"/>
      <c r="K338" s="97"/>
      <c r="L338" s="97"/>
      <c r="M338" s="97"/>
      <c r="N338" s="97"/>
      <c r="O338" s="97">
        <v>0</v>
      </c>
      <c r="P338" s="96" t="s">
        <v>350</v>
      </c>
      <c r="Q338" s="92">
        <f>_xlfn.XLOOKUP(reportTbl[[#This Row],[date]],IIITbl[date],IIITbl[totalCT],0)</f>
        <v>0</v>
      </c>
      <c r="R338" s="92">
        <v>30000</v>
      </c>
    </row>
    <row r="339" spans="1:18" ht="20.25" x14ac:dyDescent="0.25">
      <c r="A339" s="7" t="s">
        <v>1002</v>
      </c>
      <c r="B339" s="91" t="s">
        <v>116</v>
      </c>
      <c r="C339" s="92">
        <f>SUMIF(cutts[date],A339,cutts[num])</f>
        <v>0</v>
      </c>
      <c r="D339" s="92"/>
      <c r="E339" s="93">
        <f>SUMIF(packes[date],A339,packes[num])</f>
        <v>0</v>
      </c>
      <c r="F339" s="93">
        <f>SUMIF(packes[date],A339,packes[wPacked])</f>
        <v>0</v>
      </c>
      <c r="G339" s="93"/>
      <c r="H339" s="93">
        <f>reportTbl[[#This Row],[personels]]-reportTbl[[#This Row],[personels]]*2.5/22-0.5</f>
        <v>-0.5</v>
      </c>
      <c r="I339" s="94">
        <f>(reportTbl[[#This Row],[وزن تولید]]*unityCycleTime-reportTbl[[#This Row],[received TimeOut]])/(reportTbl[[#This Row],[available time]]*reportTbl[[#This Row],[تعداد نیرو]])</f>
        <v>0</v>
      </c>
      <c r="J339" s="95"/>
      <c r="K339" s="97"/>
      <c r="L339" s="97"/>
      <c r="M339" s="97"/>
      <c r="N339" s="97"/>
      <c r="O339" s="97">
        <v>0</v>
      </c>
      <c r="P339" s="96" t="s">
        <v>350</v>
      </c>
      <c r="Q339" s="92">
        <f>_xlfn.XLOOKUP(reportTbl[[#This Row],[date]],IIITbl[date],IIITbl[totalCT],0)</f>
        <v>0</v>
      </c>
      <c r="R339" s="92">
        <v>30000</v>
      </c>
    </row>
    <row r="340" spans="1:18" ht="20.25" x14ac:dyDescent="0.25">
      <c r="A340" s="7" t="s">
        <v>1003</v>
      </c>
      <c r="B340" s="91" t="s">
        <v>117</v>
      </c>
      <c r="C340" s="92">
        <f>SUMIF(cutts[date],A340,cutts[num])</f>
        <v>0</v>
      </c>
      <c r="D340" s="92"/>
      <c r="E340" s="93">
        <f>SUMIF(packes[date],A340,packes[num])</f>
        <v>0</v>
      </c>
      <c r="F340" s="93">
        <f>SUMIF(packes[date],A340,packes[wPacked])</f>
        <v>0</v>
      </c>
      <c r="G340" s="93"/>
      <c r="H340" s="93">
        <f>reportTbl[[#This Row],[personels]]-reportTbl[[#This Row],[personels]]*2.5/22-0.5</f>
        <v>-0.5</v>
      </c>
      <c r="I340" s="94">
        <f>(reportTbl[[#This Row],[وزن تولید]]*unityCycleTime-reportTbl[[#This Row],[received TimeOut]])/(reportTbl[[#This Row],[available time]]*reportTbl[[#This Row],[تعداد نیرو]])</f>
        <v>0</v>
      </c>
      <c r="J340" s="95"/>
      <c r="K340" s="97"/>
      <c r="L340" s="97"/>
      <c r="M340" s="97"/>
      <c r="N340" s="97"/>
      <c r="O340" s="97">
        <v>0</v>
      </c>
      <c r="P340" s="96" t="s">
        <v>350</v>
      </c>
      <c r="Q340" s="92">
        <f>_xlfn.XLOOKUP(reportTbl[[#This Row],[date]],IIITbl[date],IIITbl[totalCT],0)</f>
        <v>0</v>
      </c>
      <c r="R340" s="92">
        <v>30000</v>
      </c>
    </row>
    <row r="341" spans="1:18" ht="20.25" x14ac:dyDescent="0.25">
      <c r="A341" s="7" t="s">
        <v>1004</v>
      </c>
      <c r="B341" s="91" t="s">
        <v>118</v>
      </c>
      <c r="C341" s="92">
        <f>SUMIF(cutts[date],A341,cutts[num])</f>
        <v>0</v>
      </c>
      <c r="D341" s="92"/>
      <c r="E341" s="93">
        <f>SUMIF(packes[date],A341,packes[num])</f>
        <v>0</v>
      </c>
      <c r="F341" s="93">
        <f>SUMIF(packes[date],A341,packes[wPacked])</f>
        <v>0</v>
      </c>
      <c r="G341" s="93"/>
      <c r="H341" s="93">
        <f>reportTbl[[#This Row],[personels]]-reportTbl[[#This Row],[personels]]*2.5/22-0.5</f>
        <v>-0.5</v>
      </c>
      <c r="I341" s="94">
        <f>(reportTbl[[#This Row],[وزن تولید]]*unityCycleTime-reportTbl[[#This Row],[received TimeOut]])/(reportTbl[[#This Row],[available time]]*reportTbl[[#This Row],[تعداد نیرو]])</f>
        <v>0</v>
      </c>
      <c r="J341" s="95"/>
      <c r="K341" s="97"/>
      <c r="L341" s="97"/>
      <c r="M341" s="97"/>
      <c r="N341" s="97"/>
      <c r="O341" s="97">
        <v>0</v>
      </c>
      <c r="P341" s="96" t="s">
        <v>350</v>
      </c>
      <c r="Q341" s="92">
        <f>_xlfn.XLOOKUP(reportTbl[[#This Row],[date]],IIITbl[date],IIITbl[totalCT],0)</f>
        <v>0</v>
      </c>
      <c r="R341" s="92">
        <v>30000</v>
      </c>
    </row>
    <row r="342" spans="1:18" ht="20.25" x14ac:dyDescent="0.25">
      <c r="A342" s="7" t="s">
        <v>1005</v>
      </c>
      <c r="B342" s="91" t="s">
        <v>119</v>
      </c>
      <c r="C342" s="92">
        <f>SUMIF(cutts[date],A342,cutts[num])</f>
        <v>0</v>
      </c>
      <c r="D342" s="92"/>
      <c r="E342" s="93">
        <f>SUMIF(packes[date],A342,packes[num])</f>
        <v>0</v>
      </c>
      <c r="F342" s="93">
        <f>SUMIF(packes[date],A342,packes[wPacked])</f>
        <v>0</v>
      </c>
      <c r="G342" s="93"/>
      <c r="H342" s="93">
        <f>reportTbl[[#This Row],[personels]]-reportTbl[[#This Row],[personels]]*2.5/22-0.5</f>
        <v>-0.5</v>
      </c>
      <c r="I342" s="94">
        <f>(reportTbl[[#This Row],[وزن تولید]]*unityCycleTime-reportTbl[[#This Row],[received TimeOut]])/(reportTbl[[#This Row],[available time]]*reportTbl[[#This Row],[تعداد نیرو]])</f>
        <v>0</v>
      </c>
      <c r="J342" s="95"/>
      <c r="K342" s="97"/>
      <c r="L342" s="97"/>
      <c r="M342" s="97"/>
      <c r="N342" s="97"/>
      <c r="O342" s="97">
        <v>0</v>
      </c>
      <c r="P342" s="96" t="s">
        <v>350</v>
      </c>
      <c r="Q342" s="92">
        <f>_xlfn.XLOOKUP(reportTbl[[#This Row],[date]],IIITbl[date],IIITbl[totalCT],0)</f>
        <v>0</v>
      </c>
      <c r="R342" s="92">
        <v>30000</v>
      </c>
    </row>
    <row r="343" spans="1:18" ht="20.25" x14ac:dyDescent="0.25">
      <c r="A343" s="7" t="s">
        <v>1006</v>
      </c>
      <c r="B343" s="91" t="s">
        <v>120</v>
      </c>
      <c r="C343" s="92">
        <f>SUMIF(cutts[date],A343,cutts[num])</f>
        <v>0</v>
      </c>
      <c r="D343" s="92"/>
      <c r="E343" s="93">
        <f>SUMIF(packes[date],A343,packes[num])</f>
        <v>0</v>
      </c>
      <c r="F343" s="93">
        <f>SUMIF(packes[date],A343,packes[wPacked])</f>
        <v>0</v>
      </c>
      <c r="G343" s="93"/>
      <c r="H343" s="93">
        <f>reportTbl[[#This Row],[personels]]-reportTbl[[#This Row],[personels]]*2.5/22-0.5</f>
        <v>-0.5</v>
      </c>
      <c r="I343" s="94">
        <f>(reportTbl[[#This Row],[وزن تولید]]*unityCycleTime-reportTbl[[#This Row],[received TimeOut]])/(reportTbl[[#This Row],[available time]]*reportTbl[[#This Row],[تعداد نیرو]])</f>
        <v>0</v>
      </c>
      <c r="J343" s="95"/>
      <c r="K343" s="97"/>
      <c r="L343" s="97"/>
      <c r="M343" s="97"/>
      <c r="N343" s="97"/>
      <c r="O343" s="97">
        <v>0</v>
      </c>
      <c r="P343" s="96" t="s">
        <v>350</v>
      </c>
      <c r="Q343" s="92">
        <f>_xlfn.XLOOKUP(reportTbl[[#This Row],[date]],IIITbl[date],IIITbl[totalCT],0)</f>
        <v>0</v>
      </c>
      <c r="R343" s="92">
        <v>30000</v>
      </c>
    </row>
    <row r="344" spans="1:18" ht="20.25" x14ac:dyDescent="0.25">
      <c r="A344" s="7" t="s">
        <v>1007</v>
      </c>
      <c r="B344" s="91" t="s">
        <v>121</v>
      </c>
      <c r="C344" s="92">
        <f>SUMIF(cutts[date],A344,cutts[num])</f>
        <v>0</v>
      </c>
      <c r="D344" s="92"/>
      <c r="E344" s="93">
        <f>SUMIF(packes[date],A344,packes[num])</f>
        <v>0</v>
      </c>
      <c r="F344" s="93">
        <f>SUMIF(packes[date],A344,packes[wPacked])</f>
        <v>0</v>
      </c>
      <c r="G344" s="93"/>
      <c r="H344" s="93">
        <f>reportTbl[[#This Row],[personels]]-reportTbl[[#This Row],[personels]]*2.5/22-0.5</f>
        <v>-0.5</v>
      </c>
      <c r="I344" s="94">
        <f>(reportTbl[[#This Row],[وزن تولید]]*unityCycleTime-reportTbl[[#This Row],[received TimeOut]])/(reportTbl[[#This Row],[available time]]*reportTbl[[#This Row],[تعداد نیرو]])</f>
        <v>0</v>
      </c>
      <c r="J344" s="95"/>
      <c r="K344" s="97"/>
      <c r="L344" s="97"/>
      <c r="M344" s="97"/>
      <c r="N344" s="97"/>
      <c r="O344" s="97">
        <v>0</v>
      </c>
      <c r="P344" s="96" t="s">
        <v>350</v>
      </c>
      <c r="Q344" s="92">
        <f>_xlfn.XLOOKUP(reportTbl[[#This Row],[date]],IIITbl[date],IIITbl[totalCT],0)</f>
        <v>0</v>
      </c>
      <c r="R344" s="92">
        <v>30000</v>
      </c>
    </row>
    <row r="345" spans="1:18" ht="20.25" x14ac:dyDescent="0.25">
      <c r="A345" s="7" t="s">
        <v>1008</v>
      </c>
      <c r="B345" s="91" t="s">
        <v>122</v>
      </c>
      <c r="C345" s="92">
        <f>SUMIF(cutts[date],A345,cutts[num])</f>
        <v>0</v>
      </c>
      <c r="D345" s="92"/>
      <c r="E345" s="93">
        <f>SUMIF(packes[date],A345,packes[num])</f>
        <v>0</v>
      </c>
      <c r="F345" s="93">
        <f>SUMIF(packes[date],A345,packes[wPacked])</f>
        <v>0</v>
      </c>
      <c r="G345" s="93"/>
      <c r="H345" s="93">
        <f>reportTbl[[#This Row],[personels]]-reportTbl[[#This Row],[personels]]*2.5/22-0.5</f>
        <v>-0.5</v>
      </c>
      <c r="I345" s="94">
        <f>(reportTbl[[#This Row],[وزن تولید]]*unityCycleTime-reportTbl[[#This Row],[received TimeOut]])/(reportTbl[[#This Row],[available time]]*reportTbl[[#This Row],[تعداد نیرو]])</f>
        <v>0</v>
      </c>
      <c r="J345" s="95"/>
      <c r="K345" s="97"/>
      <c r="L345" s="97"/>
      <c r="M345" s="97"/>
      <c r="N345" s="97"/>
      <c r="O345" s="97">
        <v>0</v>
      </c>
      <c r="P345" s="96" t="s">
        <v>350</v>
      </c>
      <c r="Q345" s="92">
        <f>_xlfn.XLOOKUP(reportTbl[[#This Row],[date]],IIITbl[date],IIITbl[totalCT],0)</f>
        <v>0</v>
      </c>
      <c r="R345" s="92">
        <v>30000</v>
      </c>
    </row>
    <row r="346" spans="1:18" ht="20.25" x14ac:dyDescent="0.25">
      <c r="A346" s="7" t="s">
        <v>1009</v>
      </c>
      <c r="B346" s="91" t="s">
        <v>116</v>
      </c>
      <c r="C346" s="92">
        <f>SUMIF(cutts[date],A346,cutts[num])</f>
        <v>0</v>
      </c>
      <c r="D346" s="92"/>
      <c r="E346" s="93">
        <f>SUMIF(packes[date],A346,packes[num])</f>
        <v>0</v>
      </c>
      <c r="F346" s="93">
        <f>SUMIF(packes[date],A346,packes[wPacked])</f>
        <v>0</v>
      </c>
      <c r="G346" s="93"/>
      <c r="H346" s="93">
        <f>reportTbl[[#This Row],[personels]]-reportTbl[[#This Row],[personels]]*2.5/22-0.5</f>
        <v>-0.5</v>
      </c>
      <c r="I346" s="94">
        <f>(reportTbl[[#This Row],[وزن تولید]]*unityCycleTime-reportTbl[[#This Row],[received TimeOut]])/(reportTbl[[#This Row],[available time]]*reportTbl[[#This Row],[تعداد نیرو]])</f>
        <v>0</v>
      </c>
      <c r="J346" s="95"/>
      <c r="K346" s="97"/>
      <c r="L346" s="97"/>
      <c r="M346" s="97"/>
      <c r="N346" s="97"/>
      <c r="O346" s="97">
        <v>0</v>
      </c>
      <c r="P346" s="96" t="s">
        <v>350</v>
      </c>
      <c r="Q346" s="92">
        <f>_xlfn.XLOOKUP(reportTbl[[#This Row],[date]],IIITbl[date],IIITbl[totalCT],0)</f>
        <v>0</v>
      </c>
      <c r="R346" s="92">
        <v>30000</v>
      </c>
    </row>
    <row r="347" spans="1:18" ht="20.25" x14ac:dyDescent="0.25">
      <c r="A347" s="7" t="s">
        <v>1010</v>
      </c>
      <c r="B347" s="91" t="s">
        <v>117</v>
      </c>
      <c r="C347" s="92">
        <f>SUMIF(cutts[date],A347,cutts[num])</f>
        <v>0</v>
      </c>
      <c r="D347" s="92"/>
      <c r="E347" s="93">
        <f>SUMIF(packes[date],A347,packes[num])</f>
        <v>0</v>
      </c>
      <c r="F347" s="93">
        <f>SUMIF(packes[date],A347,packes[wPacked])</f>
        <v>0</v>
      </c>
      <c r="G347" s="93"/>
      <c r="H347" s="93">
        <f>reportTbl[[#This Row],[personels]]-reportTbl[[#This Row],[personels]]*2.5/22-0.5</f>
        <v>-0.5</v>
      </c>
      <c r="I347" s="94">
        <f>(reportTbl[[#This Row],[وزن تولید]]*unityCycleTime-reportTbl[[#This Row],[received TimeOut]])/(reportTbl[[#This Row],[available time]]*reportTbl[[#This Row],[تعداد نیرو]])</f>
        <v>0</v>
      </c>
      <c r="J347" s="95"/>
      <c r="K347" s="97"/>
      <c r="L347" s="97"/>
      <c r="M347" s="97"/>
      <c r="N347" s="97"/>
      <c r="O347" s="97">
        <v>0</v>
      </c>
      <c r="P347" s="96" t="s">
        <v>350</v>
      </c>
      <c r="Q347" s="92">
        <f>_xlfn.XLOOKUP(reportTbl[[#This Row],[date]],IIITbl[date],IIITbl[totalCT],0)</f>
        <v>0</v>
      </c>
      <c r="R347" s="92">
        <v>30000</v>
      </c>
    </row>
    <row r="348" spans="1:18" ht="20.25" x14ac:dyDescent="0.25">
      <c r="A348" s="7" t="s">
        <v>1011</v>
      </c>
      <c r="B348" s="91" t="s">
        <v>118</v>
      </c>
      <c r="C348" s="92">
        <f>SUMIF(cutts[date],A348,cutts[num])</f>
        <v>0</v>
      </c>
      <c r="D348" s="92"/>
      <c r="E348" s="93">
        <f>SUMIF(packes[date],A348,packes[num])</f>
        <v>0</v>
      </c>
      <c r="F348" s="93">
        <f>SUMIF(packes[date],A348,packes[wPacked])</f>
        <v>0</v>
      </c>
      <c r="G348" s="93"/>
      <c r="H348" s="93">
        <f>reportTbl[[#This Row],[personels]]-reportTbl[[#This Row],[personels]]*2.5/22-0.5</f>
        <v>-0.5</v>
      </c>
      <c r="I348" s="94">
        <f>(reportTbl[[#This Row],[وزن تولید]]*unityCycleTime-reportTbl[[#This Row],[received TimeOut]])/(reportTbl[[#This Row],[available time]]*reportTbl[[#This Row],[تعداد نیرو]])</f>
        <v>0</v>
      </c>
      <c r="J348" s="95"/>
      <c r="K348" s="97"/>
      <c r="L348" s="97"/>
      <c r="M348" s="97"/>
      <c r="N348" s="97"/>
      <c r="O348" s="97">
        <v>0</v>
      </c>
      <c r="P348" s="96" t="s">
        <v>350</v>
      </c>
      <c r="Q348" s="92">
        <f>_xlfn.XLOOKUP(reportTbl[[#This Row],[date]],IIITbl[date],IIITbl[totalCT],0)</f>
        <v>0</v>
      </c>
      <c r="R348" s="92">
        <v>30000</v>
      </c>
    </row>
    <row r="349" spans="1:18" ht="20.25" x14ac:dyDescent="0.25">
      <c r="A349" s="7" t="s">
        <v>1012</v>
      </c>
      <c r="B349" s="91" t="s">
        <v>119</v>
      </c>
      <c r="C349" s="92">
        <f>SUMIF(cutts[date],A349,cutts[num])</f>
        <v>0</v>
      </c>
      <c r="D349" s="92"/>
      <c r="E349" s="93">
        <f>SUMIF(packes[date],A349,packes[num])</f>
        <v>0</v>
      </c>
      <c r="F349" s="93">
        <f>SUMIF(packes[date],A349,packes[wPacked])</f>
        <v>0</v>
      </c>
      <c r="G349" s="93"/>
      <c r="H349" s="93">
        <f>reportTbl[[#This Row],[personels]]-reportTbl[[#This Row],[personels]]*2.5/22-0.5</f>
        <v>-0.5</v>
      </c>
      <c r="I349" s="94">
        <f>(reportTbl[[#This Row],[وزن تولید]]*unityCycleTime-reportTbl[[#This Row],[received TimeOut]])/(reportTbl[[#This Row],[available time]]*reportTbl[[#This Row],[تعداد نیرو]])</f>
        <v>0</v>
      </c>
      <c r="J349" s="95"/>
      <c r="K349" s="97"/>
      <c r="L349" s="97"/>
      <c r="M349" s="97"/>
      <c r="N349" s="97"/>
      <c r="O349" s="97">
        <v>0</v>
      </c>
      <c r="P349" s="96" t="s">
        <v>350</v>
      </c>
      <c r="Q349" s="92">
        <f>_xlfn.XLOOKUP(reportTbl[[#This Row],[date]],IIITbl[date],IIITbl[totalCT],0)</f>
        <v>0</v>
      </c>
      <c r="R349" s="92">
        <v>30000</v>
      </c>
    </row>
    <row r="350" spans="1:18" ht="20.25" x14ac:dyDescent="0.25">
      <c r="A350" s="7" t="s">
        <v>1013</v>
      </c>
      <c r="B350" s="91" t="s">
        <v>120</v>
      </c>
      <c r="C350" s="92">
        <f>SUMIF(cutts[date],A350,cutts[num])</f>
        <v>0</v>
      </c>
      <c r="D350" s="92"/>
      <c r="E350" s="93">
        <f>SUMIF(packes[date],A350,packes[num])</f>
        <v>0</v>
      </c>
      <c r="F350" s="93">
        <f>SUMIF(packes[date],A350,packes[wPacked])</f>
        <v>0</v>
      </c>
      <c r="G350" s="93"/>
      <c r="H350" s="93">
        <f>reportTbl[[#This Row],[personels]]-reportTbl[[#This Row],[personels]]*2.5/22-0.5</f>
        <v>-0.5</v>
      </c>
      <c r="I350" s="94">
        <f>(reportTbl[[#This Row],[وزن تولید]]*unityCycleTime-reportTbl[[#This Row],[received TimeOut]])/(reportTbl[[#This Row],[available time]]*reportTbl[[#This Row],[تعداد نیرو]])</f>
        <v>0</v>
      </c>
      <c r="J350" s="95"/>
      <c r="K350" s="97"/>
      <c r="L350" s="97"/>
      <c r="M350" s="97"/>
      <c r="N350" s="97"/>
      <c r="O350" s="97">
        <v>0</v>
      </c>
      <c r="P350" s="96" t="s">
        <v>350</v>
      </c>
      <c r="Q350" s="92">
        <f>_xlfn.XLOOKUP(reportTbl[[#This Row],[date]],IIITbl[date],IIITbl[totalCT],0)</f>
        <v>0</v>
      </c>
      <c r="R350" s="92">
        <v>30000</v>
      </c>
    </row>
    <row r="351" spans="1:18" ht="20.25" x14ac:dyDescent="0.25">
      <c r="A351" s="7" t="s">
        <v>1014</v>
      </c>
      <c r="B351" s="91" t="s">
        <v>121</v>
      </c>
      <c r="C351" s="92">
        <f>SUMIF(cutts[date],A351,cutts[num])</f>
        <v>0</v>
      </c>
      <c r="D351" s="92"/>
      <c r="E351" s="93">
        <f>SUMIF(packes[date],A351,packes[num])</f>
        <v>0</v>
      </c>
      <c r="F351" s="93">
        <f>SUMIF(packes[date],A351,packes[wPacked])</f>
        <v>0</v>
      </c>
      <c r="G351" s="93"/>
      <c r="H351" s="93">
        <f>reportTbl[[#This Row],[personels]]-reportTbl[[#This Row],[personels]]*2.5/22-0.5</f>
        <v>-0.5</v>
      </c>
      <c r="I351" s="94">
        <f>(reportTbl[[#This Row],[وزن تولید]]*unityCycleTime-reportTbl[[#This Row],[received TimeOut]])/(reportTbl[[#This Row],[available time]]*reportTbl[[#This Row],[تعداد نیرو]])</f>
        <v>0</v>
      </c>
      <c r="J351" s="95"/>
      <c r="K351" s="97"/>
      <c r="L351" s="97"/>
      <c r="M351" s="97"/>
      <c r="N351" s="97"/>
      <c r="O351" s="97">
        <v>0</v>
      </c>
      <c r="P351" s="96" t="s">
        <v>350</v>
      </c>
      <c r="Q351" s="92">
        <f>_xlfn.XLOOKUP(reportTbl[[#This Row],[date]],IIITbl[date],IIITbl[totalCT],0)</f>
        <v>0</v>
      </c>
      <c r="R351" s="92">
        <v>30000</v>
      </c>
    </row>
    <row r="352" spans="1:18" ht="20.25" x14ac:dyDescent="0.25">
      <c r="A352" s="7" t="s">
        <v>1015</v>
      </c>
      <c r="B352" s="91" t="s">
        <v>122</v>
      </c>
      <c r="C352" s="92">
        <f>SUMIF(cutts[date],A352,cutts[num])</f>
        <v>0</v>
      </c>
      <c r="D352" s="92"/>
      <c r="E352" s="93">
        <f>SUMIF(packes[date],A352,packes[num])</f>
        <v>0</v>
      </c>
      <c r="F352" s="93">
        <f>SUMIF(packes[date],A352,packes[wPacked])</f>
        <v>0</v>
      </c>
      <c r="G352" s="93"/>
      <c r="H352" s="93">
        <f>reportTbl[[#This Row],[personels]]-reportTbl[[#This Row],[personels]]*2.5/22-0.5</f>
        <v>-0.5</v>
      </c>
      <c r="I352" s="94">
        <f>(reportTbl[[#This Row],[وزن تولید]]*unityCycleTime-reportTbl[[#This Row],[received TimeOut]])/(reportTbl[[#This Row],[available time]]*reportTbl[[#This Row],[تعداد نیرو]])</f>
        <v>0</v>
      </c>
      <c r="J352" s="95"/>
      <c r="K352" s="97"/>
      <c r="L352" s="97"/>
      <c r="M352" s="97"/>
      <c r="N352" s="97"/>
      <c r="O352" s="97">
        <v>0</v>
      </c>
      <c r="P352" s="96" t="s">
        <v>350</v>
      </c>
      <c r="Q352" s="92">
        <f>_xlfn.XLOOKUP(reportTbl[[#This Row],[date]],IIITbl[date],IIITbl[totalCT],0)</f>
        <v>0</v>
      </c>
      <c r="R352" s="92">
        <v>30000</v>
      </c>
    </row>
    <row r="353" spans="1:18" ht="20.25" x14ac:dyDescent="0.25">
      <c r="A353" s="7" t="s">
        <v>1016</v>
      </c>
      <c r="B353" s="91" t="s">
        <v>116</v>
      </c>
      <c r="C353" s="92">
        <f>SUMIF(cutts[date],A353,cutts[num])</f>
        <v>0</v>
      </c>
      <c r="D353" s="92"/>
      <c r="E353" s="93">
        <f>SUMIF(packes[date],A353,packes[num])</f>
        <v>0</v>
      </c>
      <c r="F353" s="93">
        <f>SUMIF(packes[date],A353,packes[wPacked])</f>
        <v>0</v>
      </c>
      <c r="G353" s="93"/>
      <c r="H353" s="93">
        <f>reportTbl[[#This Row],[personels]]-reportTbl[[#This Row],[personels]]*2.5/22-0.5</f>
        <v>-0.5</v>
      </c>
      <c r="I353" s="94">
        <f>(reportTbl[[#This Row],[وزن تولید]]*unityCycleTime-reportTbl[[#This Row],[received TimeOut]])/(reportTbl[[#This Row],[available time]]*reportTbl[[#This Row],[تعداد نیرو]])</f>
        <v>0</v>
      </c>
      <c r="J353" s="95"/>
      <c r="K353" s="97"/>
      <c r="L353" s="97"/>
      <c r="M353" s="97"/>
      <c r="N353" s="97"/>
      <c r="O353" s="97">
        <v>0</v>
      </c>
      <c r="P353" s="96" t="s">
        <v>350</v>
      </c>
      <c r="Q353" s="92">
        <f>_xlfn.XLOOKUP(reportTbl[[#This Row],[date]],IIITbl[date],IIITbl[totalCT],0)</f>
        <v>0</v>
      </c>
      <c r="R353" s="92">
        <v>30000</v>
      </c>
    </row>
    <row r="354" spans="1:18" ht="20.25" x14ac:dyDescent="0.25">
      <c r="A354" s="7" t="s">
        <v>1017</v>
      </c>
      <c r="B354" s="91" t="s">
        <v>117</v>
      </c>
      <c r="C354" s="92">
        <f>SUMIF(cutts[date],A354,cutts[num])</f>
        <v>0</v>
      </c>
      <c r="D354" s="92"/>
      <c r="E354" s="93">
        <f>SUMIF(packes[date],A354,packes[num])</f>
        <v>0</v>
      </c>
      <c r="F354" s="93">
        <f>SUMIF(packes[date],A354,packes[wPacked])</f>
        <v>0</v>
      </c>
      <c r="G354" s="93"/>
      <c r="H354" s="93">
        <f>reportTbl[[#This Row],[personels]]-reportTbl[[#This Row],[personels]]*2.5/22-0.5</f>
        <v>-0.5</v>
      </c>
      <c r="I354" s="94">
        <f>(reportTbl[[#This Row],[وزن تولید]]*unityCycleTime-reportTbl[[#This Row],[received TimeOut]])/(reportTbl[[#This Row],[available time]]*reportTbl[[#This Row],[تعداد نیرو]])</f>
        <v>0</v>
      </c>
      <c r="J354" s="95"/>
      <c r="K354" s="97"/>
      <c r="L354" s="97"/>
      <c r="M354" s="97"/>
      <c r="N354" s="97"/>
      <c r="O354" s="97">
        <v>0</v>
      </c>
      <c r="P354" s="96" t="s">
        <v>350</v>
      </c>
      <c r="Q354" s="92">
        <f>_xlfn.XLOOKUP(reportTbl[[#This Row],[date]],IIITbl[date],IIITbl[totalCT],0)</f>
        <v>0</v>
      </c>
      <c r="R354" s="92">
        <v>30000</v>
      </c>
    </row>
    <row r="355" spans="1:18" ht="20.25" x14ac:dyDescent="0.25">
      <c r="A355" s="7" t="s">
        <v>1018</v>
      </c>
      <c r="B355" s="91" t="s">
        <v>118</v>
      </c>
      <c r="C355" s="92">
        <f>SUMIF(cutts[date],A355,cutts[num])</f>
        <v>0</v>
      </c>
      <c r="D355" s="92"/>
      <c r="E355" s="93">
        <f>SUMIF(packes[date],A355,packes[num])</f>
        <v>0</v>
      </c>
      <c r="F355" s="93">
        <f>SUMIF(packes[date],A355,packes[wPacked])</f>
        <v>0</v>
      </c>
      <c r="G355" s="93"/>
      <c r="H355" s="93">
        <f>reportTbl[[#This Row],[personels]]-reportTbl[[#This Row],[personels]]*2.5/22-0.5</f>
        <v>-0.5</v>
      </c>
      <c r="I355" s="94">
        <f>(reportTbl[[#This Row],[وزن تولید]]*unityCycleTime-reportTbl[[#This Row],[received TimeOut]])/(reportTbl[[#This Row],[available time]]*reportTbl[[#This Row],[تعداد نیرو]])</f>
        <v>0</v>
      </c>
      <c r="J355" s="95"/>
      <c r="K355" s="97"/>
      <c r="L355" s="97"/>
      <c r="M355" s="97"/>
      <c r="N355" s="97"/>
      <c r="O355" s="97">
        <v>0</v>
      </c>
      <c r="P355" s="96" t="s">
        <v>350</v>
      </c>
      <c r="Q355" s="92">
        <f>_xlfn.XLOOKUP(reportTbl[[#This Row],[date]],IIITbl[date],IIITbl[totalCT],0)</f>
        <v>0</v>
      </c>
      <c r="R355" s="92">
        <v>30000</v>
      </c>
    </row>
    <row r="356" spans="1:18" ht="20.25" x14ac:dyDescent="0.25">
      <c r="A356" s="7" t="s">
        <v>1019</v>
      </c>
      <c r="B356" s="91" t="s">
        <v>119</v>
      </c>
      <c r="C356" s="92">
        <f>SUMIF(cutts[date],A356,cutts[num])</f>
        <v>0</v>
      </c>
      <c r="D356" s="92"/>
      <c r="E356" s="93">
        <f>SUMIF(packes[date],A356,packes[num])</f>
        <v>0</v>
      </c>
      <c r="F356" s="93">
        <f>SUMIF(packes[date],A356,packes[wPacked])</f>
        <v>0</v>
      </c>
      <c r="G356" s="93"/>
      <c r="H356" s="93">
        <f>reportTbl[[#This Row],[personels]]-reportTbl[[#This Row],[personels]]*2.5/22-0.5</f>
        <v>-0.5</v>
      </c>
      <c r="I356" s="94">
        <f>(reportTbl[[#This Row],[وزن تولید]]*unityCycleTime-reportTbl[[#This Row],[received TimeOut]])/(reportTbl[[#This Row],[available time]]*reportTbl[[#This Row],[تعداد نیرو]])</f>
        <v>0</v>
      </c>
      <c r="J356" s="95"/>
      <c r="K356" s="97"/>
      <c r="L356" s="97"/>
      <c r="M356" s="97"/>
      <c r="N356" s="97"/>
      <c r="O356" s="97">
        <v>0</v>
      </c>
      <c r="P356" s="96" t="s">
        <v>350</v>
      </c>
      <c r="Q356" s="92">
        <f>_xlfn.XLOOKUP(reportTbl[[#This Row],[date]],IIITbl[date],IIITbl[totalCT],0)</f>
        <v>0</v>
      </c>
      <c r="R356" s="92">
        <v>30000</v>
      </c>
    </row>
    <row r="357" spans="1:18" ht="20.25" x14ac:dyDescent="0.25">
      <c r="A357" s="7" t="s">
        <v>1020</v>
      </c>
      <c r="B357" s="91" t="s">
        <v>120</v>
      </c>
      <c r="C357" s="92">
        <f>SUMIF(cutts[date],A357,cutts[num])</f>
        <v>0</v>
      </c>
      <c r="D357" s="92"/>
      <c r="E357" s="93">
        <f>SUMIF(packes[date],A357,packes[num])</f>
        <v>0</v>
      </c>
      <c r="F357" s="93">
        <f>SUMIF(packes[date],A357,packes[wPacked])</f>
        <v>0</v>
      </c>
      <c r="G357" s="93"/>
      <c r="H357" s="93">
        <f>reportTbl[[#This Row],[personels]]-reportTbl[[#This Row],[personels]]*2.5/22-0.5</f>
        <v>-0.5</v>
      </c>
      <c r="I357" s="94">
        <f>(reportTbl[[#This Row],[وزن تولید]]*unityCycleTime-reportTbl[[#This Row],[received TimeOut]])/(reportTbl[[#This Row],[available time]]*reportTbl[[#This Row],[تعداد نیرو]])</f>
        <v>0</v>
      </c>
      <c r="J357" s="95"/>
      <c r="K357" s="97"/>
      <c r="L357" s="97"/>
      <c r="M357" s="97"/>
      <c r="N357" s="97"/>
      <c r="O357" s="97">
        <v>0</v>
      </c>
      <c r="P357" s="96" t="s">
        <v>350</v>
      </c>
      <c r="Q357" s="92">
        <f>_xlfn.XLOOKUP(reportTbl[[#This Row],[date]],IIITbl[date],IIITbl[totalCT],0)</f>
        <v>0</v>
      </c>
      <c r="R357" s="92">
        <v>30000</v>
      </c>
    </row>
    <row r="358" spans="1:18" ht="20.25" x14ac:dyDescent="0.25">
      <c r="A358" s="7" t="s">
        <v>1021</v>
      </c>
      <c r="B358" s="91" t="s">
        <v>121</v>
      </c>
      <c r="C358" s="92">
        <f>SUMIF(cutts[date],A358,cutts[num])</f>
        <v>0</v>
      </c>
      <c r="D358" s="92"/>
      <c r="E358" s="93">
        <f>SUMIF(packes[date],A358,packes[num])</f>
        <v>0</v>
      </c>
      <c r="F358" s="93">
        <f>SUMIF(packes[date],A358,packes[wPacked])</f>
        <v>0</v>
      </c>
      <c r="G358" s="93"/>
      <c r="H358" s="93">
        <f>reportTbl[[#This Row],[personels]]-reportTbl[[#This Row],[personels]]*2.5/22-0.5</f>
        <v>-0.5</v>
      </c>
      <c r="I358" s="94">
        <f>(reportTbl[[#This Row],[وزن تولید]]*unityCycleTime-reportTbl[[#This Row],[received TimeOut]])/(reportTbl[[#This Row],[available time]]*reportTbl[[#This Row],[تعداد نیرو]])</f>
        <v>0</v>
      </c>
      <c r="J358" s="95"/>
      <c r="K358" s="97"/>
      <c r="L358" s="97"/>
      <c r="M358" s="97"/>
      <c r="N358" s="97"/>
      <c r="O358" s="97">
        <v>0</v>
      </c>
      <c r="P358" s="96" t="s">
        <v>350</v>
      </c>
      <c r="Q358" s="92">
        <f>_xlfn.XLOOKUP(reportTbl[[#This Row],[date]],IIITbl[date],IIITbl[totalCT],0)</f>
        <v>0</v>
      </c>
      <c r="R358" s="92">
        <v>30000</v>
      </c>
    </row>
    <row r="359" spans="1:18" ht="20.25" x14ac:dyDescent="0.25">
      <c r="A359" s="7" t="s">
        <v>1022</v>
      </c>
      <c r="B359" s="91" t="s">
        <v>122</v>
      </c>
      <c r="C359" s="92">
        <f>SUMIF(cutts[date],A359,cutts[num])</f>
        <v>0</v>
      </c>
      <c r="D359" s="92"/>
      <c r="E359" s="93">
        <f>SUMIF(packes[date],A359,packes[num])</f>
        <v>0</v>
      </c>
      <c r="F359" s="93">
        <f>SUMIF(packes[date],A359,packes[wPacked])</f>
        <v>0</v>
      </c>
      <c r="G359" s="93"/>
      <c r="H359" s="93">
        <f>reportTbl[[#This Row],[personels]]-reportTbl[[#This Row],[personels]]*2.5/22-0.5</f>
        <v>-0.5</v>
      </c>
      <c r="I359" s="94">
        <f>(reportTbl[[#This Row],[وزن تولید]]*unityCycleTime-reportTbl[[#This Row],[received TimeOut]])/(reportTbl[[#This Row],[available time]]*reportTbl[[#This Row],[تعداد نیرو]])</f>
        <v>0</v>
      </c>
      <c r="J359" s="95"/>
      <c r="K359" s="97"/>
      <c r="L359" s="97"/>
      <c r="M359" s="97"/>
      <c r="N359" s="97"/>
      <c r="O359" s="97">
        <v>0</v>
      </c>
      <c r="P359" s="96" t="s">
        <v>350</v>
      </c>
      <c r="Q359" s="92">
        <f>_xlfn.XLOOKUP(reportTbl[[#This Row],[date]],IIITbl[date],IIITbl[totalCT],0)</f>
        <v>0</v>
      </c>
      <c r="R359" s="92">
        <v>30000</v>
      </c>
    </row>
    <row r="360" spans="1:18" ht="20.25" x14ac:dyDescent="0.25">
      <c r="A360" s="7" t="s">
        <v>1023</v>
      </c>
      <c r="B360" s="91" t="s">
        <v>116</v>
      </c>
      <c r="C360" s="92">
        <f>SUMIF(cutts[date],A360,cutts[num])</f>
        <v>0</v>
      </c>
      <c r="D360" s="92"/>
      <c r="E360" s="93">
        <f>SUMIF(packes[date],A360,packes[num])</f>
        <v>0</v>
      </c>
      <c r="F360" s="93">
        <f>SUMIF(packes[date],A360,packes[wPacked])</f>
        <v>0</v>
      </c>
      <c r="G360" s="93"/>
      <c r="H360" s="93">
        <f>reportTbl[[#This Row],[personels]]-reportTbl[[#This Row],[personels]]*2.5/22-0.5</f>
        <v>-0.5</v>
      </c>
      <c r="I360" s="94">
        <f>(reportTbl[[#This Row],[وزن تولید]]*unityCycleTime-reportTbl[[#This Row],[received TimeOut]])/(reportTbl[[#This Row],[available time]]*reportTbl[[#This Row],[تعداد نیرو]])</f>
        <v>0</v>
      </c>
      <c r="J360" s="95"/>
      <c r="K360" s="97"/>
      <c r="L360" s="97"/>
      <c r="M360" s="97"/>
      <c r="N360" s="97"/>
      <c r="O360" s="97">
        <v>0</v>
      </c>
      <c r="P360" s="96" t="s">
        <v>350</v>
      </c>
      <c r="Q360" s="92">
        <f>_xlfn.XLOOKUP(reportTbl[[#This Row],[date]],IIITbl[date],IIITbl[totalCT],0)</f>
        <v>0</v>
      </c>
      <c r="R360" s="92">
        <v>30000</v>
      </c>
    </row>
    <row r="361" spans="1:18" ht="20.25" x14ac:dyDescent="0.25">
      <c r="A361" s="7" t="s">
        <v>1024</v>
      </c>
      <c r="B361" s="91" t="s">
        <v>117</v>
      </c>
      <c r="C361" s="92">
        <f>SUMIF(cutts[date],A361,cutts[num])</f>
        <v>0</v>
      </c>
      <c r="D361" s="92"/>
      <c r="E361" s="93">
        <f>SUMIF(packes[date],A361,packes[num])</f>
        <v>0</v>
      </c>
      <c r="F361" s="93">
        <f>SUMIF(packes[date],A361,packes[wPacked])</f>
        <v>0</v>
      </c>
      <c r="G361" s="93"/>
      <c r="H361" s="93">
        <f>reportTbl[[#This Row],[personels]]-reportTbl[[#This Row],[personels]]*2.5/22-0.5</f>
        <v>-0.5</v>
      </c>
      <c r="I361" s="94">
        <f>(reportTbl[[#This Row],[وزن تولید]]*unityCycleTime-reportTbl[[#This Row],[received TimeOut]])/(reportTbl[[#This Row],[available time]]*reportTbl[[#This Row],[تعداد نیرو]])</f>
        <v>0</v>
      </c>
      <c r="J361" s="95"/>
      <c r="K361" s="97"/>
      <c r="L361" s="97"/>
      <c r="M361" s="97"/>
      <c r="N361" s="97"/>
      <c r="O361" s="97">
        <v>0</v>
      </c>
      <c r="P361" s="96" t="s">
        <v>350</v>
      </c>
      <c r="Q361" s="92">
        <f>_xlfn.XLOOKUP(reportTbl[[#This Row],[date]],IIITbl[date],IIITbl[totalCT],0)</f>
        <v>0</v>
      </c>
      <c r="R361" s="92">
        <v>30000</v>
      </c>
    </row>
    <row r="362" spans="1:18" ht="20.25" x14ac:dyDescent="0.25">
      <c r="A362" s="7" t="s">
        <v>1025</v>
      </c>
      <c r="B362" s="91" t="s">
        <v>118</v>
      </c>
      <c r="C362" s="92">
        <f>SUMIF(cutts[date],A362,cutts[num])</f>
        <v>0</v>
      </c>
      <c r="D362" s="92"/>
      <c r="E362" s="93">
        <f>SUMIF(packes[date],A362,packes[num])</f>
        <v>0</v>
      </c>
      <c r="F362" s="93">
        <f>SUMIF(packes[date],A362,packes[wPacked])</f>
        <v>0</v>
      </c>
      <c r="G362" s="93"/>
      <c r="H362" s="93">
        <f>reportTbl[[#This Row],[personels]]-reportTbl[[#This Row],[personels]]*2.5/22-0.5</f>
        <v>-0.5</v>
      </c>
      <c r="I362" s="94">
        <f>(reportTbl[[#This Row],[وزن تولید]]*unityCycleTime-reportTbl[[#This Row],[received TimeOut]])/(reportTbl[[#This Row],[available time]]*reportTbl[[#This Row],[تعداد نیرو]])</f>
        <v>0</v>
      </c>
      <c r="J362" s="95"/>
      <c r="K362" s="97"/>
      <c r="L362" s="97"/>
      <c r="M362" s="97"/>
      <c r="N362" s="97"/>
      <c r="O362" s="97">
        <v>0</v>
      </c>
      <c r="P362" s="96" t="s">
        <v>350</v>
      </c>
      <c r="Q362" s="92">
        <f>_xlfn.XLOOKUP(reportTbl[[#This Row],[date]],IIITbl[date],IIITbl[totalCT],0)</f>
        <v>0</v>
      </c>
      <c r="R362" s="92">
        <v>30000</v>
      </c>
    </row>
    <row r="363" spans="1:18" ht="20.25" x14ac:dyDescent="0.25">
      <c r="A363" s="7" t="s">
        <v>1026</v>
      </c>
      <c r="B363" s="91" t="s">
        <v>119</v>
      </c>
      <c r="C363" s="92">
        <f>SUMIF(cutts[date],A363,cutts[num])</f>
        <v>0</v>
      </c>
      <c r="D363" s="92"/>
      <c r="E363" s="93">
        <f>SUMIF(packes[date],A363,packes[num])</f>
        <v>0</v>
      </c>
      <c r="F363" s="93">
        <f>SUMIF(packes[date],A363,packes[wPacked])</f>
        <v>0</v>
      </c>
      <c r="G363" s="93"/>
      <c r="H363" s="93">
        <f>reportTbl[[#This Row],[personels]]-reportTbl[[#This Row],[personels]]*2.5/22-0.5</f>
        <v>-0.5</v>
      </c>
      <c r="I363" s="94">
        <f>(reportTbl[[#This Row],[وزن تولید]]*unityCycleTime-reportTbl[[#This Row],[received TimeOut]])/(reportTbl[[#This Row],[available time]]*reportTbl[[#This Row],[تعداد نیرو]])</f>
        <v>0</v>
      </c>
      <c r="J363" s="95"/>
      <c r="K363" s="97"/>
      <c r="L363" s="97"/>
      <c r="M363" s="97"/>
      <c r="N363" s="97"/>
      <c r="O363" s="97">
        <v>0</v>
      </c>
      <c r="P363" s="96" t="s">
        <v>350</v>
      </c>
      <c r="Q363" s="92">
        <f>_xlfn.XLOOKUP(reportTbl[[#This Row],[date]],IIITbl[date],IIITbl[totalCT],0)</f>
        <v>0</v>
      </c>
      <c r="R363" s="92">
        <v>30000</v>
      </c>
    </row>
    <row r="364" spans="1:18" ht="20.25" x14ac:dyDescent="0.25">
      <c r="A364" s="7" t="s">
        <v>1027</v>
      </c>
      <c r="B364" s="91" t="s">
        <v>120</v>
      </c>
      <c r="C364" s="92">
        <f>SUMIF(cutts[date],A364,cutts[num])</f>
        <v>0</v>
      </c>
      <c r="D364" s="92"/>
      <c r="E364" s="93">
        <f>SUMIF(packes[date],A364,packes[num])</f>
        <v>0</v>
      </c>
      <c r="F364" s="93">
        <f>SUMIF(packes[date],A364,packes[wPacked])</f>
        <v>0</v>
      </c>
      <c r="G364" s="93"/>
      <c r="H364" s="93">
        <f>reportTbl[[#This Row],[personels]]-reportTbl[[#This Row],[personels]]*2.5/22-0.5</f>
        <v>-0.5</v>
      </c>
      <c r="I364" s="94">
        <f>(reportTbl[[#This Row],[وزن تولید]]*unityCycleTime-reportTbl[[#This Row],[received TimeOut]])/(reportTbl[[#This Row],[available time]]*reportTbl[[#This Row],[تعداد نیرو]])</f>
        <v>0</v>
      </c>
      <c r="J364" s="95"/>
      <c r="K364" s="97"/>
      <c r="L364" s="97"/>
      <c r="M364" s="97"/>
      <c r="N364" s="97"/>
      <c r="O364" s="97">
        <v>0</v>
      </c>
      <c r="P364" s="96" t="s">
        <v>350</v>
      </c>
      <c r="Q364" s="92">
        <f>_xlfn.XLOOKUP(reportTbl[[#This Row],[date]],IIITbl[date],IIITbl[totalCT],0)</f>
        <v>0</v>
      </c>
      <c r="R364" s="92">
        <v>30000</v>
      </c>
    </row>
    <row r="365" spans="1:18" ht="20.25" x14ac:dyDescent="0.25">
      <c r="A365" s="7" t="s">
        <v>1028</v>
      </c>
      <c r="B365" s="91" t="s">
        <v>121</v>
      </c>
      <c r="C365" s="92">
        <f>SUMIF(cutts[date],A365,cutts[num])</f>
        <v>0</v>
      </c>
      <c r="D365" s="92"/>
      <c r="E365" s="93">
        <f>SUMIF(packes[date],A365,packes[num])</f>
        <v>0</v>
      </c>
      <c r="F365" s="93">
        <f>SUMIF(packes[date],A365,packes[wPacked])</f>
        <v>0</v>
      </c>
      <c r="G365" s="93"/>
      <c r="H365" s="93">
        <f>reportTbl[[#This Row],[personels]]-reportTbl[[#This Row],[personels]]*2.5/22-0.5</f>
        <v>-0.5</v>
      </c>
      <c r="I365" s="94">
        <f>(reportTbl[[#This Row],[وزن تولید]]*unityCycleTime-reportTbl[[#This Row],[received TimeOut]])/(reportTbl[[#This Row],[available time]]*reportTbl[[#This Row],[تعداد نیرو]])</f>
        <v>0</v>
      </c>
      <c r="J365" s="95"/>
      <c r="K365" s="97"/>
      <c r="L365" s="97"/>
      <c r="M365" s="97"/>
      <c r="N365" s="97"/>
      <c r="O365" s="97">
        <v>0</v>
      </c>
      <c r="P365" s="96" t="s">
        <v>350</v>
      </c>
      <c r="Q365" s="92">
        <f>_xlfn.XLOOKUP(reportTbl[[#This Row],[date]],IIITbl[date],IIITbl[totalCT],0)</f>
        <v>0</v>
      </c>
      <c r="R365" s="92">
        <v>30000</v>
      </c>
    </row>
    <row r="366" spans="1:18" ht="20.25" x14ac:dyDescent="0.25">
      <c r="A366" s="7" t="s">
        <v>1029</v>
      </c>
      <c r="B366" s="91" t="s">
        <v>122</v>
      </c>
      <c r="C366" s="92">
        <f>SUMIF(cutts[date],A366,cutts[num])</f>
        <v>0</v>
      </c>
      <c r="D366" s="92"/>
      <c r="E366" s="93">
        <f>SUMIF(packes[date],A366,packes[num])</f>
        <v>0</v>
      </c>
      <c r="F366" s="93">
        <f>SUMIF(packes[date],A366,packes[wPacked])</f>
        <v>0</v>
      </c>
      <c r="G366" s="93"/>
      <c r="H366" s="93">
        <f>reportTbl[[#This Row],[personels]]-reportTbl[[#This Row],[personels]]*2.5/22-0.5</f>
        <v>-0.5</v>
      </c>
      <c r="I366" s="94">
        <f>(reportTbl[[#This Row],[وزن تولید]]*unityCycleTime-reportTbl[[#This Row],[received TimeOut]])/(reportTbl[[#This Row],[available time]]*reportTbl[[#This Row],[تعداد نیرو]])</f>
        <v>0</v>
      </c>
      <c r="J366" s="95"/>
      <c r="K366" s="97"/>
      <c r="L366" s="97"/>
      <c r="M366" s="97"/>
      <c r="N366" s="97"/>
      <c r="O366" s="97">
        <v>0</v>
      </c>
      <c r="P366" s="96" t="s">
        <v>350</v>
      </c>
      <c r="Q366" s="92">
        <f>_xlfn.XLOOKUP(reportTbl[[#This Row],[date]],IIITbl[date],IIITbl[totalCT],0)</f>
        <v>0</v>
      </c>
      <c r="R366" s="92">
        <v>30000</v>
      </c>
    </row>
    <row r="367" spans="1:18" ht="20.25" x14ac:dyDescent="0.25">
      <c r="A367" s="7" t="s">
        <v>1039</v>
      </c>
      <c r="B367" s="91" t="s">
        <v>116</v>
      </c>
      <c r="C367" s="92">
        <f>SUMIF(cutts[date],A367,cutts[num])</f>
        <v>0</v>
      </c>
      <c r="D367" s="92"/>
      <c r="E367" s="93">
        <f>SUMIF(packes[date],A367,packes[num])</f>
        <v>0</v>
      </c>
      <c r="F367" s="93">
        <f>SUMIF(packes[date],A367,packes[wPacked])</f>
        <v>0</v>
      </c>
      <c r="G367" s="93"/>
      <c r="H367" s="93">
        <f>reportTbl[[#This Row],[personels]]-reportTbl[[#This Row],[personels]]*2.5/22-0.5</f>
        <v>-0.5</v>
      </c>
      <c r="I367" s="94">
        <f>(reportTbl[[#This Row],[وزن تولید]]*unityCycleTime-reportTbl[[#This Row],[received TimeOut]])/(reportTbl[[#This Row],[available time]]*reportTbl[[#This Row],[تعداد نیرو]])</f>
        <v>0</v>
      </c>
      <c r="J367" s="95"/>
      <c r="K367" s="97"/>
      <c r="L367" s="97"/>
      <c r="M367" s="97"/>
      <c r="N367" s="97"/>
      <c r="O367" s="97">
        <v>0</v>
      </c>
      <c r="P367" s="96">
        <v>12</v>
      </c>
      <c r="Q367" s="92">
        <f>_xlfn.XLOOKUP(reportTbl[[#This Row],[date]],IIITbl[date],IIITbl[totalCT],0)</f>
        <v>0</v>
      </c>
      <c r="R367" s="92">
        <v>30000</v>
      </c>
    </row>
  </sheetData>
  <phoneticPr fontId="1" type="noConversion"/>
  <conditionalFormatting sqref="A2:Q2">
    <cfRule type="expression" dxfId="8" priority="12">
      <formula>$O2=0</formula>
    </cfRule>
  </conditionalFormatting>
  <conditionalFormatting sqref="A3:Q3">
    <cfRule type="expression" dxfId="7" priority="11">
      <formula>$O3=0</formula>
    </cfRule>
  </conditionalFormatting>
  <conditionalFormatting sqref="A4:Q367">
    <cfRule type="expression" dxfId="6" priority="10">
      <formula>$O4=0</formula>
    </cfRule>
  </conditionalFormatting>
  <conditionalFormatting sqref="R2">
    <cfRule type="expression" dxfId="5" priority="3">
      <formula>$O2=0</formula>
    </cfRule>
  </conditionalFormatting>
  <conditionalFormatting sqref="R3">
    <cfRule type="expression" dxfId="4" priority="2">
      <formula>$O3=0</formula>
    </cfRule>
  </conditionalFormatting>
  <conditionalFormatting sqref="R4:R367">
    <cfRule type="expression" dxfId="3" priority="1">
      <formula>$O4=0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80" orientation="landscape" r:id="rId1"/>
  <headerFooter>
    <oddFooter>&amp;R&amp;Z&amp;F</oddFooter>
  </headerFooter>
  <rowBreaks count="2" manualBreakCount="2">
    <brk id="32" max="13" man="1"/>
    <brk id="63" max="13" man="1"/>
  </rowBreaks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73FF9-3F95-47F0-A6A9-0BEFA6630734}">
  <sheetPr codeName="Sheet7"/>
  <dimension ref="A1:P30"/>
  <sheetViews>
    <sheetView zoomScaleNormal="100" workbookViewId="0">
      <selection activeCell="M4" sqref="M4"/>
    </sheetView>
  </sheetViews>
  <sheetFormatPr defaultColWidth="12.7109375" defaultRowHeight="15.75" x14ac:dyDescent="0.25"/>
  <cols>
    <col min="1" max="2" width="12.7109375" style="50"/>
    <col min="3" max="4" width="12.7109375" style="51"/>
    <col min="5" max="5" width="31.85546875" style="50" customWidth="1"/>
    <col min="6" max="6" width="12.7109375" style="50"/>
    <col min="7" max="7" width="8.42578125" style="50" customWidth="1"/>
    <col min="8" max="8" width="14.42578125" style="50" customWidth="1"/>
    <col min="9" max="9" width="12.7109375" style="50"/>
    <col min="10" max="10" width="13.140625" style="50" bestFit="1" customWidth="1"/>
    <col min="11" max="11" width="18" style="50" bestFit="1" customWidth="1"/>
    <col min="12" max="16384" width="12.7109375" style="50"/>
  </cols>
  <sheetData>
    <row r="1" spans="1:16" s="47" customFormat="1" ht="20.100000000000001" customHeight="1" x14ac:dyDescent="0.25">
      <c r="A1" s="47" t="s">
        <v>111</v>
      </c>
      <c r="B1" s="47" t="s">
        <v>187</v>
      </c>
      <c r="C1" s="48" t="s">
        <v>674</v>
      </c>
      <c r="D1" s="48" t="s">
        <v>675</v>
      </c>
      <c r="E1" s="47" t="s">
        <v>188</v>
      </c>
      <c r="F1" s="47" t="s">
        <v>676</v>
      </c>
      <c r="G1" s="47" t="s">
        <v>1086</v>
      </c>
      <c r="H1" s="47" t="s">
        <v>1087</v>
      </c>
      <c r="M1" s="244" t="s">
        <v>187</v>
      </c>
      <c r="N1" s="47" t="s">
        <v>1086</v>
      </c>
      <c r="O1" s="47" t="s">
        <v>1168</v>
      </c>
      <c r="P1" s="47" t="s">
        <v>1169</v>
      </c>
    </row>
    <row r="2" spans="1:16" x14ac:dyDescent="0.25">
      <c r="A2" s="49" t="s">
        <v>240</v>
      </c>
      <c r="B2" s="50">
        <v>140030039</v>
      </c>
      <c r="C2" s="51">
        <v>4100</v>
      </c>
      <c r="E2" s="52"/>
      <c r="F2" s="76">
        <f>IIITbl[[#This Row],[send]]-IIITbl[[#This Row],[receive]]</f>
        <v>4100</v>
      </c>
      <c r="G2" s="245">
        <f>_xlfn.XLOOKUP(IIITbl[[#This Row],[product]],press_montage_tbl[product],press_montage_tbl[CT],"NA")</f>
        <v>28.130000000000003</v>
      </c>
      <c r="H2" s="246">
        <f>IIITbl[[#This Row],[receive]]*IIITbl[[#This Row],[CT]]</f>
        <v>0</v>
      </c>
      <c r="M2" s="50">
        <v>140030039</v>
      </c>
      <c r="N2" s="50">
        <f>SUM(press_montage_tbl[[#This Row],[پرس]:[مونتاژ]])</f>
        <v>28.130000000000003</v>
      </c>
      <c r="O2" s="50">
        <v>19.23</v>
      </c>
      <c r="P2" s="50">
        <v>8.9</v>
      </c>
    </row>
    <row r="3" spans="1:16" x14ac:dyDescent="0.25">
      <c r="A3" s="49" t="s">
        <v>240</v>
      </c>
      <c r="B3" s="50">
        <v>140220012</v>
      </c>
      <c r="C3" s="51">
        <v>600</v>
      </c>
      <c r="E3" s="52"/>
      <c r="F3" s="76">
        <f>IIITbl[[#This Row],[send]]-IIITbl[[#This Row],[receive]]</f>
        <v>600</v>
      </c>
      <c r="G3" s="245">
        <f>_xlfn.XLOOKUP(IIITbl[[#This Row],[product]],press_montage_tbl[product],press_montage_tbl[CT],"NA")</f>
        <v>48.1</v>
      </c>
      <c r="H3" s="246">
        <f>IIITbl[[#This Row],[receive]]*IIITbl[[#This Row],[CT]]</f>
        <v>0</v>
      </c>
      <c r="J3" s="31" t="s">
        <v>208</v>
      </c>
      <c r="K3" t="s">
        <v>677</v>
      </c>
      <c r="L3"/>
      <c r="M3" s="50">
        <v>140220012</v>
      </c>
      <c r="N3" s="50">
        <v>48.1</v>
      </c>
    </row>
    <row r="4" spans="1:16" x14ac:dyDescent="0.25">
      <c r="A4" s="49" t="s">
        <v>241</v>
      </c>
      <c r="B4" s="50">
        <v>140030039</v>
      </c>
      <c r="D4" s="51">
        <v>300</v>
      </c>
      <c r="E4" s="52"/>
      <c r="F4" s="76">
        <f>IIITbl[[#This Row],[send]]-IIITbl[[#This Row],[receive]]</f>
        <v>-300</v>
      </c>
      <c r="G4" s="245">
        <f>_xlfn.XLOOKUP(IIITbl[[#This Row],[product]],press_montage_tbl[product],press_montage_tbl[CT],"NA")</f>
        <v>28.130000000000003</v>
      </c>
      <c r="H4" s="246">
        <f>IIITbl[[#This Row],[receive]]*IIITbl[[#This Row],[CT]]</f>
        <v>8439</v>
      </c>
      <c r="J4" s="32">
        <v>140030039</v>
      </c>
      <c r="K4" s="75">
        <v>-1400</v>
      </c>
      <c r="L4"/>
      <c r="M4" s="50">
        <v>140010230</v>
      </c>
      <c r="N4" s="50">
        <f>SUM(press_montage_tbl[[#This Row],[پرس]:[مونتاژ]])</f>
        <v>49.85</v>
      </c>
      <c r="O4" s="50">
        <v>22.85</v>
      </c>
      <c r="P4" s="50">
        <v>27</v>
      </c>
    </row>
    <row r="5" spans="1:16" x14ac:dyDescent="0.25">
      <c r="A5" s="72" t="s">
        <v>236</v>
      </c>
      <c r="B5" s="73">
        <v>140030039</v>
      </c>
      <c r="C5" s="51">
        <v>3000</v>
      </c>
      <c r="E5" s="74"/>
      <c r="F5" s="76">
        <f>IIITbl[[#This Row],[send]]-IIITbl[[#This Row],[receive]]</f>
        <v>3000</v>
      </c>
      <c r="G5" s="245">
        <f>_xlfn.XLOOKUP(IIITbl[[#This Row],[product]],press_montage_tbl[product],press_montage_tbl[CT],"NA")</f>
        <v>28.130000000000003</v>
      </c>
      <c r="H5" s="246">
        <f>IIITbl[[#This Row],[receive]]*IIITbl[[#This Row],[CT]]</f>
        <v>0</v>
      </c>
      <c r="J5" s="32">
        <v>140220012</v>
      </c>
      <c r="K5" s="75">
        <v>0</v>
      </c>
      <c r="L5"/>
      <c r="M5" s="50">
        <v>140310083</v>
      </c>
      <c r="N5" s="50">
        <f>SUM(press_montage_tbl[[#This Row],[پرس]:[مونتاژ]])</f>
        <v>47.5</v>
      </c>
      <c r="O5" s="50">
        <v>18</v>
      </c>
      <c r="P5" s="50">
        <v>29.5</v>
      </c>
    </row>
    <row r="6" spans="1:16" x14ac:dyDescent="0.25">
      <c r="A6" s="49" t="s">
        <v>231</v>
      </c>
      <c r="B6" s="50">
        <v>140030039</v>
      </c>
      <c r="D6" s="51">
        <v>3000</v>
      </c>
      <c r="E6" s="52"/>
      <c r="F6" s="76">
        <f>IIITbl[[#This Row],[send]]-IIITbl[[#This Row],[receive]]</f>
        <v>-3000</v>
      </c>
      <c r="G6" s="245">
        <f>_xlfn.XLOOKUP(IIITbl[[#This Row],[product]],press_montage_tbl[product],press_montage_tbl[CT],"NA")</f>
        <v>28.130000000000003</v>
      </c>
      <c r="H6" s="246">
        <f>IIITbl[[#This Row],[receive]]*IIITbl[[#This Row],[CT]]</f>
        <v>84390.000000000015</v>
      </c>
      <c r="J6" s="32">
        <v>140010230</v>
      </c>
      <c r="K6" s="75">
        <v>-5100</v>
      </c>
      <c r="L6"/>
      <c r="M6" s="50">
        <v>140310071</v>
      </c>
      <c r="N6" s="50">
        <f>SUM(press_montage_tbl[[#This Row],[پرس]:[مونتاژ]])</f>
        <v>35.83</v>
      </c>
      <c r="O6" s="50">
        <v>19.23</v>
      </c>
      <c r="P6" s="50">
        <v>16.600000000000001</v>
      </c>
    </row>
    <row r="7" spans="1:16" x14ac:dyDescent="0.25">
      <c r="A7" s="49" t="s">
        <v>231</v>
      </c>
      <c r="B7" s="50">
        <v>140220012</v>
      </c>
      <c r="D7" s="51">
        <v>600</v>
      </c>
      <c r="E7" s="52"/>
      <c r="F7" s="76">
        <f>IIITbl[[#This Row],[send]]-IIITbl[[#This Row],[receive]]</f>
        <v>-600</v>
      </c>
      <c r="G7" s="245">
        <f>_xlfn.XLOOKUP(IIITbl[[#This Row],[product]],press_montage_tbl[product],press_montage_tbl[CT],"NA")</f>
        <v>48.1</v>
      </c>
      <c r="H7" s="246">
        <f>IIITbl[[#This Row],[receive]]*IIITbl[[#This Row],[CT]]</f>
        <v>28860</v>
      </c>
      <c r="J7" s="32">
        <v>140310083</v>
      </c>
      <c r="K7" s="75">
        <v>0</v>
      </c>
      <c r="L7"/>
      <c r="M7" s="50">
        <v>140010117</v>
      </c>
      <c r="N7" s="50">
        <f>SUM(press_montage_tbl[[#This Row],[پرس]:[مونتاژ]])</f>
        <v>30.950000000000003</v>
      </c>
      <c r="O7" s="50">
        <v>22.85</v>
      </c>
      <c r="P7" s="50">
        <v>8.1</v>
      </c>
    </row>
    <row r="8" spans="1:16" x14ac:dyDescent="0.25">
      <c r="A8" s="72" t="s">
        <v>233</v>
      </c>
      <c r="B8" s="73">
        <v>140030039</v>
      </c>
      <c r="C8" s="51">
        <v>600</v>
      </c>
      <c r="E8" s="74" t="s">
        <v>686</v>
      </c>
      <c r="F8" s="76">
        <f>IIITbl[[#This Row],[send]]-IIITbl[[#This Row],[receive]]</f>
        <v>600</v>
      </c>
      <c r="G8" s="245">
        <f>_xlfn.XLOOKUP(IIITbl[[#This Row],[product]],press_montage_tbl[product],press_montage_tbl[CT],"NA")</f>
        <v>28.130000000000003</v>
      </c>
      <c r="H8" s="246">
        <f>IIITbl[[#This Row],[receive]]*IIITbl[[#This Row],[CT]]</f>
        <v>0</v>
      </c>
      <c r="J8" s="32">
        <v>140310071</v>
      </c>
      <c r="K8" s="75">
        <v>7800</v>
      </c>
      <c r="L8"/>
    </row>
    <row r="9" spans="1:16" x14ac:dyDescent="0.25">
      <c r="A9" s="49" t="s">
        <v>238</v>
      </c>
      <c r="B9" s="50">
        <v>140030039</v>
      </c>
      <c r="D9" s="51">
        <v>4400</v>
      </c>
      <c r="E9" s="52"/>
      <c r="F9" s="76">
        <f>IIITbl[[#This Row],[send]]-IIITbl[[#This Row],[receive]]</f>
        <v>-4400</v>
      </c>
      <c r="G9" s="245">
        <f>_xlfn.XLOOKUP(IIITbl[[#This Row],[product]],press_montage_tbl[product],press_montage_tbl[CT],"NA")</f>
        <v>28.130000000000003</v>
      </c>
      <c r="H9" s="246">
        <f>IIITbl[[#This Row],[receive]]*IIITbl[[#This Row],[CT]]</f>
        <v>123772.00000000001</v>
      </c>
      <c r="J9" s="32" t="s">
        <v>209</v>
      </c>
      <c r="K9" s="75">
        <v>1300</v>
      </c>
      <c r="L9"/>
    </row>
    <row r="10" spans="1:16" x14ac:dyDescent="0.25">
      <c r="A10" s="72" t="s">
        <v>238</v>
      </c>
      <c r="B10" s="73">
        <v>140030039</v>
      </c>
      <c r="C10" s="51">
        <v>2400</v>
      </c>
      <c r="E10" s="74"/>
      <c r="F10" s="76">
        <f>IIITbl[[#This Row],[send]]-IIITbl[[#This Row],[receive]]</f>
        <v>2400</v>
      </c>
      <c r="G10" s="245">
        <f>_xlfn.XLOOKUP(IIITbl[[#This Row],[product]],press_montage_tbl[product],press_montage_tbl[CT],"NA")</f>
        <v>28.130000000000003</v>
      </c>
      <c r="H10" s="246">
        <f>IIITbl[[#This Row],[receive]]*IIITbl[[#This Row],[CT]]</f>
        <v>0</v>
      </c>
      <c r="J10"/>
      <c r="K10"/>
      <c r="L10"/>
    </row>
    <row r="11" spans="1:16" x14ac:dyDescent="0.25">
      <c r="A11" s="72" t="s">
        <v>235</v>
      </c>
      <c r="B11" s="73">
        <v>140030039</v>
      </c>
      <c r="C11" s="51">
        <v>1500</v>
      </c>
      <c r="E11" s="74"/>
      <c r="F11" s="76">
        <f>IIITbl[[#This Row],[send]]-IIITbl[[#This Row],[receive]]</f>
        <v>1500</v>
      </c>
      <c r="G11" s="245">
        <f>_xlfn.XLOOKUP(IIITbl[[#This Row],[product]],press_montage_tbl[product],press_montage_tbl[CT],"NA")</f>
        <v>28.130000000000003</v>
      </c>
      <c r="H11" s="246">
        <f>IIITbl[[#This Row],[receive]]*IIITbl[[#This Row],[CT]]</f>
        <v>0</v>
      </c>
      <c r="J11"/>
      <c r="K11"/>
      <c r="L11"/>
    </row>
    <row r="12" spans="1:16" x14ac:dyDescent="0.25">
      <c r="A12" s="49" t="s">
        <v>275</v>
      </c>
      <c r="B12" s="50">
        <v>140030039</v>
      </c>
      <c r="D12" s="51">
        <v>2400</v>
      </c>
      <c r="E12" s="52"/>
      <c r="F12" s="76">
        <f>IIITbl[[#This Row],[send]]-IIITbl[[#This Row],[receive]]</f>
        <v>-2400</v>
      </c>
      <c r="G12" s="245">
        <f>_xlfn.XLOOKUP(IIITbl[[#This Row],[product]],press_montage_tbl[product],press_montage_tbl[CT],"NA")</f>
        <v>28.130000000000003</v>
      </c>
      <c r="H12" s="246">
        <f>IIITbl[[#This Row],[receive]]*IIITbl[[#This Row],[CT]]</f>
        <v>67512</v>
      </c>
      <c r="J12"/>
      <c r="K12"/>
      <c r="L12"/>
    </row>
    <row r="13" spans="1:16" x14ac:dyDescent="0.25">
      <c r="A13" s="72" t="s">
        <v>280</v>
      </c>
      <c r="B13" s="73">
        <v>140030039</v>
      </c>
      <c r="D13" s="51">
        <v>2900</v>
      </c>
      <c r="E13" s="74"/>
      <c r="F13" s="76">
        <f>IIITbl[[#This Row],[send]]-IIITbl[[#This Row],[receive]]</f>
        <v>-2900</v>
      </c>
      <c r="G13" s="245">
        <f>_xlfn.XLOOKUP(IIITbl[[#This Row],[product]],press_montage_tbl[product],press_montage_tbl[CT],"NA")</f>
        <v>28.130000000000003</v>
      </c>
      <c r="H13" s="246">
        <f>IIITbl[[#This Row],[receive]]*IIITbl[[#This Row],[CT]]</f>
        <v>81577.000000000015</v>
      </c>
      <c r="J13"/>
      <c r="K13"/>
      <c r="L13"/>
    </row>
    <row r="14" spans="1:16" x14ac:dyDescent="0.25">
      <c r="A14" s="72" t="s">
        <v>711</v>
      </c>
      <c r="B14" s="73">
        <v>140010230</v>
      </c>
      <c r="D14" s="51">
        <v>3000</v>
      </c>
      <c r="E14" s="74"/>
      <c r="F14" s="76">
        <f>IIITbl[[#This Row],[send]]-IIITbl[[#This Row],[receive]]</f>
        <v>-3000</v>
      </c>
      <c r="G14" s="245">
        <f>_xlfn.XLOOKUP(IIITbl[[#This Row],[product]],press_montage_tbl[product],press_montage_tbl[CT],"NA")</f>
        <v>49.85</v>
      </c>
      <c r="H14" s="246">
        <f>IIITbl[[#This Row],[receive]]*IIITbl[[#This Row],[CT]]</f>
        <v>149550</v>
      </c>
      <c r="J14"/>
      <c r="K14"/>
      <c r="L14"/>
    </row>
    <row r="15" spans="1:16" x14ac:dyDescent="0.25">
      <c r="A15" s="72" t="s">
        <v>712</v>
      </c>
      <c r="B15" s="73">
        <v>140030039</v>
      </c>
      <c r="C15" s="51">
        <v>2378</v>
      </c>
      <c r="E15" s="74"/>
      <c r="F15" s="76">
        <f>IIITbl[[#This Row],[send]]-IIITbl[[#This Row],[receive]]</f>
        <v>2378</v>
      </c>
      <c r="G15" s="245">
        <f>_xlfn.XLOOKUP(IIITbl[[#This Row],[product]],press_montage_tbl[product],press_montage_tbl[CT],"NA")</f>
        <v>28.130000000000003</v>
      </c>
      <c r="H15" s="246">
        <f>IIITbl[[#This Row],[receive]]*IIITbl[[#This Row],[CT]]</f>
        <v>0</v>
      </c>
      <c r="J15"/>
      <c r="K15"/>
      <c r="L15"/>
    </row>
    <row r="16" spans="1:16" x14ac:dyDescent="0.25">
      <c r="A16" s="72" t="s">
        <v>717</v>
      </c>
      <c r="B16" s="73">
        <v>140030039</v>
      </c>
      <c r="D16" s="51">
        <v>2378</v>
      </c>
      <c r="E16" s="74"/>
      <c r="F16" s="76">
        <f>IIITbl[[#This Row],[send]]-IIITbl[[#This Row],[receive]]</f>
        <v>-2378</v>
      </c>
      <c r="G16" s="245">
        <f>_xlfn.XLOOKUP(IIITbl[[#This Row],[product]],press_montage_tbl[product],press_montage_tbl[CT],"NA")</f>
        <v>28.130000000000003</v>
      </c>
      <c r="H16" s="246">
        <f>IIITbl[[#This Row],[receive]]*IIITbl[[#This Row],[CT]]</f>
        <v>66893.14</v>
      </c>
      <c r="J16"/>
      <c r="K16"/>
      <c r="L16"/>
    </row>
    <row r="17" spans="1:12" x14ac:dyDescent="0.25">
      <c r="A17" s="72" t="s">
        <v>717</v>
      </c>
      <c r="B17" s="73">
        <v>140010230</v>
      </c>
      <c r="D17" s="51">
        <v>2100</v>
      </c>
      <c r="E17" s="74"/>
      <c r="F17" s="76">
        <f>IIITbl[[#This Row],[send]]-IIITbl[[#This Row],[receive]]</f>
        <v>-2100</v>
      </c>
      <c r="G17" s="245">
        <f>_xlfn.XLOOKUP(IIITbl[[#This Row],[product]],press_montage_tbl[product],press_montage_tbl[CT],"NA")</f>
        <v>49.85</v>
      </c>
      <c r="H17" s="246">
        <f>IIITbl[[#This Row],[receive]]*IIITbl[[#This Row],[CT]]</f>
        <v>104685</v>
      </c>
      <c r="J17"/>
      <c r="K17"/>
      <c r="L17"/>
    </row>
    <row r="18" spans="1:12" x14ac:dyDescent="0.25">
      <c r="A18" s="72" t="s">
        <v>726</v>
      </c>
      <c r="B18" s="73">
        <v>140310083</v>
      </c>
      <c r="D18" s="51">
        <v>900</v>
      </c>
      <c r="E18" s="74"/>
      <c r="F18" s="76">
        <f>IIITbl[[#This Row],[send]]-IIITbl[[#This Row],[receive]]</f>
        <v>-900</v>
      </c>
      <c r="G18" s="245">
        <f>_xlfn.XLOOKUP(IIITbl[[#This Row],[product]],press_montage_tbl[product],press_montage_tbl[CT],"NA")</f>
        <v>47.5</v>
      </c>
      <c r="H18" s="246">
        <f>IIITbl[[#This Row],[receive]]*IIITbl[[#This Row],[CT]]</f>
        <v>42750</v>
      </c>
      <c r="J18"/>
      <c r="K18"/>
      <c r="L18"/>
    </row>
    <row r="19" spans="1:12" x14ac:dyDescent="0.25">
      <c r="A19" s="72" t="s">
        <v>729</v>
      </c>
      <c r="B19" s="73">
        <v>140310083</v>
      </c>
      <c r="D19" s="51">
        <v>1500</v>
      </c>
      <c r="E19" s="74"/>
      <c r="F19" s="76">
        <f>IIITbl[[#This Row],[send]]-IIITbl[[#This Row],[receive]]</f>
        <v>-1500</v>
      </c>
      <c r="G19" s="245">
        <f>_xlfn.XLOOKUP(IIITbl[[#This Row],[product]],press_montage_tbl[product],press_montage_tbl[CT],"NA")</f>
        <v>47.5</v>
      </c>
      <c r="H19" s="246">
        <f>IIITbl[[#This Row],[receive]]*IIITbl[[#This Row],[CT]]</f>
        <v>71250</v>
      </c>
      <c r="J19"/>
      <c r="K19"/>
      <c r="L19"/>
    </row>
    <row r="20" spans="1:12" x14ac:dyDescent="0.25">
      <c r="A20" s="72" t="s">
        <v>729</v>
      </c>
      <c r="B20" s="73">
        <v>140310071</v>
      </c>
      <c r="D20" s="51">
        <v>1500</v>
      </c>
      <c r="E20" s="74"/>
      <c r="F20" s="76">
        <f>IIITbl[[#This Row],[send]]-IIITbl[[#This Row],[receive]]</f>
        <v>-1500</v>
      </c>
      <c r="G20" s="245">
        <f>_xlfn.XLOOKUP(IIITbl[[#This Row],[product]],press_montage_tbl[product],press_montage_tbl[CT],"NA")</f>
        <v>35.83</v>
      </c>
      <c r="H20" s="246">
        <f>IIITbl[[#This Row],[receive]]*IIITbl[[#This Row],[CT]]</f>
        <v>53745</v>
      </c>
      <c r="J20"/>
      <c r="K20"/>
      <c r="L20"/>
    </row>
    <row r="21" spans="1:12" x14ac:dyDescent="0.25">
      <c r="A21" s="72" t="s">
        <v>731</v>
      </c>
      <c r="B21" s="73">
        <v>140310083</v>
      </c>
      <c r="D21" s="51">
        <v>600</v>
      </c>
      <c r="E21" s="74"/>
      <c r="F21" s="76">
        <f>IIITbl[[#This Row],[send]]-IIITbl[[#This Row],[receive]]</f>
        <v>-600</v>
      </c>
      <c r="G21" s="245">
        <f>_xlfn.XLOOKUP(IIITbl[[#This Row],[product]],press_montage_tbl[product],press_montage_tbl[CT],"NA")</f>
        <v>47.5</v>
      </c>
      <c r="H21" s="246">
        <f>IIITbl[[#This Row],[receive]]*IIITbl[[#This Row],[CT]]</f>
        <v>28500</v>
      </c>
    </row>
    <row r="22" spans="1:12" x14ac:dyDescent="0.25">
      <c r="A22" s="72" t="s">
        <v>731</v>
      </c>
      <c r="B22" s="73">
        <v>140310071</v>
      </c>
      <c r="D22" s="51">
        <v>2700</v>
      </c>
      <c r="E22" s="74"/>
      <c r="F22" s="76">
        <f>IIITbl[[#This Row],[send]]-IIITbl[[#This Row],[receive]]</f>
        <v>-2700</v>
      </c>
      <c r="G22" s="245">
        <f>_xlfn.XLOOKUP(IIITbl[[#This Row],[product]],press_montage_tbl[product],press_montage_tbl[CT],"NA")</f>
        <v>35.83</v>
      </c>
      <c r="H22" s="246">
        <f>IIITbl[[#This Row],[receive]]*IIITbl[[#This Row],[CT]]</f>
        <v>96741</v>
      </c>
    </row>
    <row r="23" spans="1:12" x14ac:dyDescent="0.25">
      <c r="A23" s="72" t="s">
        <v>733</v>
      </c>
      <c r="B23" s="73">
        <v>140310071</v>
      </c>
      <c r="D23" s="51">
        <v>1800</v>
      </c>
      <c r="E23" s="74"/>
      <c r="F23" s="76">
        <f>IIITbl[[#This Row],[send]]-IIITbl[[#This Row],[receive]]</f>
        <v>-1800</v>
      </c>
      <c r="G23" s="245">
        <f>_xlfn.XLOOKUP(IIITbl[[#This Row],[product]],press_montage_tbl[product],press_montage_tbl[CT],"NA")</f>
        <v>35.83</v>
      </c>
      <c r="H23" s="246">
        <f>IIITbl[[#This Row],[receive]]*IIITbl[[#This Row],[CT]]</f>
        <v>64494</v>
      </c>
    </row>
    <row r="24" spans="1:12" x14ac:dyDescent="0.25">
      <c r="A24" s="72" t="s">
        <v>736</v>
      </c>
      <c r="B24" s="73">
        <v>140310071</v>
      </c>
      <c r="D24" s="51">
        <v>1800</v>
      </c>
      <c r="E24" s="74"/>
      <c r="F24" s="76">
        <f>IIITbl[[#This Row],[send]]-IIITbl[[#This Row],[receive]]</f>
        <v>-1800</v>
      </c>
      <c r="G24" s="245">
        <f>_xlfn.XLOOKUP(IIITbl[[#This Row],[product]],press_montage_tbl[product],press_montage_tbl[CT],"NA")</f>
        <v>35.83</v>
      </c>
      <c r="H24" s="246">
        <f>IIITbl[[#This Row],[receive]]*IIITbl[[#This Row],[CT]]</f>
        <v>64494</v>
      </c>
    </row>
    <row r="25" spans="1:12" x14ac:dyDescent="0.25">
      <c r="A25" s="72" t="s">
        <v>718</v>
      </c>
      <c r="B25" s="73">
        <v>140310083</v>
      </c>
      <c r="C25" s="51">
        <v>3000</v>
      </c>
      <c r="E25" s="74"/>
      <c r="F25" s="76">
        <f>IIITbl[[#This Row],[send]]-IIITbl[[#This Row],[receive]]</f>
        <v>3000</v>
      </c>
      <c r="G25" s="245">
        <f>_xlfn.XLOOKUP(IIITbl[[#This Row],[product]],press_montage_tbl[product],press_montage_tbl[CT],"NA")</f>
        <v>47.5</v>
      </c>
      <c r="H25" s="246">
        <f>IIITbl[[#This Row],[receive]]*IIITbl[[#This Row],[CT]]</f>
        <v>0</v>
      </c>
    </row>
    <row r="26" spans="1:12" x14ac:dyDescent="0.25">
      <c r="A26" s="72" t="s">
        <v>718</v>
      </c>
      <c r="B26" s="73">
        <v>140310071</v>
      </c>
      <c r="C26" s="51">
        <v>3000</v>
      </c>
      <c r="E26" s="74"/>
      <c r="F26" s="76">
        <f>IIITbl[[#This Row],[send]]-IIITbl[[#This Row],[receive]]</f>
        <v>3000</v>
      </c>
      <c r="G26" s="245">
        <f>_xlfn.XLOOKUP(IIITbl[[#This Row],[product]],press_montage_tbl[product],press_montage_tbl[CT],"NA")</f>
        <v>35.83</v>
      </c>
      <c r="H26" s="246">
        <f>IIITbl[[#This Row],[receive]]*IIITbl[[#This Row],[CT]]</f>
        <v>0</v>
      </c>
    </row>
    <row r="27" spans="1:12" x14ac:dyDescent="0.25">
      <c r="A27" s="72" t="s">
        <v>729</v>
      </c>
      <c r="B27" s="73">
        <v>140310071</v>
      </c>
      <c r="C27" s="51">
        <v>1200</v>
      </c>
      <c r="E27" s="74"/>
      <c r="F27" s="76">
        <f>IIITbl[[#This Row],[send]]-IIITbl[[#This Row],[receive]]</f>
        <v>1200</v>
      </c>
      <c r="G27" s="245">
        <f>_xlfn.XLOOKUP(IIITbl[[#This Row],[product]],press_montage_tbl[product],press_montage_tbl[CT],"NA")</f>
        <v>35.83</v>
      </c>
      <c r="H27" s="246">
        <f>IIITbl[[#This Row],[receive]]*IIITbl[[#This Row],[CT]]</f>
        <v>0</v>
      </c>
    </row>
    <row r="28" spans="1:12" x14ac:dyDescent="0.25">
      <c r="A28" s="72" t="s">
        <v>731</v>
      </c>
      <c r="B28" s="73">
        <v>140310071</v>
      </c>
      <c r="C28" s="51">
        <v>5400</v>
      </c>
      <c r="E28" s="74"/>
      <c r="F28" s="76">
        <f>IIITbl[[#This Row],[send]]-IIITbl[[#This Row],[receive]]</f>
        <v>5400</v>
      </c>
      <c r="G28" s="245">
        <f>_xlfn.XLOOKUP(IIITbl[[#This Row],[product]],press_montage_tbl[product],press_montage_tbl[CT],"NA")</f>
        <v>35.83</v>
      </c>
      <c r="H28" s="246">
        <f>IIITbl[[#This Row],[receive]]*IIITbl[[#This Row],[CT]]</f>
        <v>0</v>
      </c>
    </row>
    <row r="29" spans="1:12" x14ac:dyDescent="0.25">
      <c r="A29" s="72" t="s">
        <v>736</v>
      </c>
      <c r="B29" s="73">
        <v>140310071</v>
      </c>
      <c r="C29" s="51">
        <v>5100</v>
      </c>
      <c r="E29" s="74"/>
      <c r="F29" s="76">
        <f>IIITbl[[#This Row],[send]]-IIITbl[[#This Row],[receive]]</f>
        <v>5100</v>
      </c>
      <c r="G29" s="245">
        <f>_xlfn.XLOOKUP(IIITbl[[#This Row],[product]],press_montage_tbl[product],press_montage_tbl[CT],"NA")</f>
        <v>35.83</v>
      </c>
      <c r="H29" s="246">
        <f>IIITbl[[#This Row],[receive]]*IIITbl[[#This Row],[CT]]</f>
        <v>0</v>
      </c>
    </row>
    <row r="30" spans="1:12" x14ac:dyDescent="0.25">
      <c r="A30" s="72" t="s">
        <v>737</v>
      </c>
      <c r="B30" s="73">
        <v>140310071</v>
      </c>
      <c r="C30" s="51">
        <v>900</v>
      </c>
      <c r="E30" s="74"/>
      <c r="F30" s="76">
        <f>IIITbl[[#This Row],[send]]-IIITbl[[#This Row],[receive]]</f>
        <v>900</v>
      </c>
      <c r="G30" s="245">
        <f>_xlfn.XLOOKUP(IIITbl[[#This Row],[product]],press_montage_tbl[product],press_montage_tbl[CT],"NA")</f>
        <v>35.83</v>
      </c>
      <c r="H30" s="246">
        <f>IIITbl[[#This Row],[receive]]*IIITbl[[#This Row],[CT]]</f>
        <v>0</v>
      </c>
    </row>
  </sheetData>
  <phoneticPr fontId="1" type="noConversion"/>
  <pageMargins left="0.7" right="0.7" top="0.75" bottom="0.75" header="0.3" footer="0.3"/>
  <pageSetup paperSize="9" scale="91" orientation="portrait" r:id="rId2"/>
  <colBreaks count="1" manualBreakCount="1">
    <brk id="8" max="1048575" man="1"/>
  </colBreaks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E4C06-118C-4945-8601-FD70CAEB5A8E}">
  <sheetPr codeName="Sheet19"/>
  <dimension ref="A1:AS36"/>
  <sheetViews>
    <sheetView showGridLines="0" tabSelected="1" topLeftCell="A13" workbookViewId="0">
      <selection activeCell="E30" sqref="E30"/>
    </sheetView>
  </sheetViews>
  <sheetFormatPr defaultRowHeight="15" x14ac:dyDescent="0.25"/>
  <cols>
    <col min="1" max="1" width="9.7109375" customWidth="1"/>
    <col min="2" max="2" width="3.7109375" customWidth="1"/>
    <col min="3" max="11" width="4.28515625" customWidth="1"/>
    <col min="12" max="12" width="4.28515625" style="534" customWidth="1"/>
    <col min="13" max="41" width="4.28515625" customWidth="1"/>
    <col min="42" max="42" width="6.7109375" style="520" customWidth="1"/>
    <col min="43" max="43" width="3.7109375" style="520" customWidth="1"/>
  </cols>
  <sheetData>
    <row r="1" spans="1:43" ht="15.75" x14ac:dyDescent="0.25">
      <c r="A1" s="532" t="s">
        <v>183</v>
      </c>
      <c r="B1" s="533" t="s">
        <v>161</v>
      </c>
      <c r="C1" s="529" t="s">
        <v>1187</v>
      </c>
      <c r="D1" s="529" t="s">
        <v>1712</v>
      </c>
      <c r="E1" s="529" t="s">
        <v>1722</v>
      </c>
      <c r="F1" s="529" t="s">
        <v>1678</v>
      </c>
      <c r="G1" s="529" t="s">
        <v>1713</v>
      </c>
      <c r="H1" s="529" t="s">
        <v>1679</v>
      </c>
      <c r="I1" s="530" t="s">
        <v>1680</v>
      </c>
      <c r="J1" s="530" t="s">
        <v>1683</v>
      </c>
      <c r="K1" s="530" t="s">
        <v>1684</v>
      </c>
      <c r="L1" s="529" t="s">
        <v>1681</v>
      </c>
      <c r="M1" s="530" t="s">
        <v>1682</v>
      </c>
      <c r="N1" s="530" t="s">
        <v>1685</v>
      </c>
      <c r="O1" s="530" t="s">
        <v>1686</v>
      </c>
      <c r="P1" s="529" t="s">
        <v>1687</v>
      </c>
      <c r="Q1" s="529" t="s">
        <v>1688</v>
      </c>
      <c r="R1" s="530" t="s">
        <v>1711</v>
      </c>
      <c r="S1" s="530" t="s">
        <v>1721</v>
      </c>
      <c r="T1" s="529" t="s">
        <v>1723</v>
      </c>
      <c r="U1" s="529" t="s">
        <v>1724</v>
      </c>
      <c r="V1" s="530" t="s">
        <v>1689</v>
      </c>
      <c r="W1" s="530" t="s">
        <v>1690</v>
      </c>
      <c r="X1" s="530" t="s">
        <v>1691</v>
      </c>
      <c r="Y1" s="529" t="s">
        <v>1692</v>
      </c>
      <c r="Z1" s="529" t="s">
        <v>1693</v>
      </c>
      <c r="AA1" s="529" t="s">
        <v>1694</v>
      </c>
      <c r="AB1" s="529" t="s">
        <v>1706</v>
      </c>
      <c r="AC1" s="529" t="s">
        <v>1705</v>
      </c>
      <c r="AD1" s="529" t="s">
        <v>1704</v>
      </c>
      <c r="AE1" s="529" t="s">
        <v>1703</v>
      </c>
      <c r="AF1" s="530" t="s">
        <v>1695</v>
      </c>
      <c r="AG1" s="530" t="s">
        <v>1696</v>
      </c>
      <c r="AH1" s="530" t="s">
        <v>1697</v>
      </c>
      <c r="AI1" s="530" t="s">
        <v>1719</v>
      </c>
      <c r="AJ1" s="530" t="s">
        <v>1720</v>
      </c>
      <c r="AK1" s="529" t="s">
        <v>1698</v>
      </c>
      <c r="AL1" s="529" t="s">
        <v>1702</v>
      </c>
      <c r="AM1" s="529" t="s">
        <v>1699</v>
      </c>
      <c r="AN1" s="529" t="s">
        <v>1700</v>
      </c>
      <c r="AO1" s="529" t="s">
        <v>1701</v>
      </c>
      <c r="AP1" s="531" t="s">
        <v>1656</v>
      </c>
      <c r="AQ1" s="537" t="s">
        <v>1718</v>
      </c>
    </row>
    <row r="2" spans="1:43" ht="81.75" x14ac:dyDescent="0.25">
      <c r="A2" s="525">
        <v>30000</v>
      </c>
      <c r="B2" s="536">
        <v>35</v>
      </c>
      <c r="C2" s="526" t="s">
        <v>1344</v>
      </c>
      <c r="D2" s="526" t="s">
        <v>1661</v>
      </c>
      <c r="E2" s="526" t="s">
        <v>1662</v>
      </c>
      <c r="F2" s="526" t="s">
        <v>1645</v>
      </c>
      <c r="G2" s="526" t="s">
        <v>1663</v>
      </c>
      <c r="H2" s="526" t="s">
        <v>1664</v>
      </c>
      <c r="I2" s="527" t="s">
        <v>657</v>
      </c>
      <c r="J2" s="527" t="s">
        <v>1665</v>
      </c>
      <c r="K2" s="527" t="s">
        <v>1710</v>
      </c>
      <c r="L2" s="526" t="s">
        <v>298</v>
      </c>
      <c r="M2" s="527" t="s">
        <v>659</v>
      </c>
      <c r="N2" s="527" t="s">
        <v>1666</v>
      </c>
      <c r="O2" s="527" t="s">
        <v>1667</v>
      </c>
      <c r="P2" s="526" t="s">
        <v>663</v>
      </c>
      <c r="Q2" s="526" t="s">
        <v>1715</v>
      </c>
      <c r="R2" s="527" t="s">
        <v>1646</v>
      </c>
      <c r="S2" s="527" t="s">
        <v>1647</v>
      </c>
      <c r="T2" s="526" t="s">
        <v>661</v>
      </c>
      <c r="U2" s="526" t="s">
        <v>662</v>
      </c>
      <c r="V2" s="527" t="s">
        <v>1668</v>
      </c>
      <c r="W2" s="527" t="s">
        <v>1669</v>
      </c>
      <c r="X2" s="527" t="s">
        <v>1709</v>
      </c>
      <c r="Y2" s="526" t="s">
        <v>1355</v>
      </c>
      <c r="Z2" s="526" t="s">
        <v>1670</v>
      </c>
      <c r="AA2" s="526" t="s">
        <v>1671</v>
      </c>
      <c r="AB2" s="526" t="s">
        <v>1672</v>
      </c>
      <c r="AC2" s="526" t="s">
        <v>1648</v>
      </c>
      <c r="AD2" s="526" t="s">
        <v>1649</v>
      </c>
      <c r="AE2" s="526" t="s">
        <v>1650</v>
      </c>
      <c r="AF2" s="527" t="s">
        <v>1651</v>
      </c>
      <c r="AG2" s="527" t="s">
        <v>1673</v>
      </c>
      <c r="AH2" s="527" t="s">
        <v>1674</v>
      </c>
      <c r="AI2" s="528" t="s">
        <v>1717</v>
      </c>
      <c r="AJ2" s="528" t="s">
        <v>1716</v>
      </c>
      <c r="AK2" s="526" t="s">
        <v>1675</v>
      </c>
      <c r="AL2" s="526" t="s">
        <v>1676</v>
      </c>
      <c r="AM2" s="526" t="s">
        <v>1677</v>
      </c>
      <c r="AN2" s="526" t="s">
        <v>1652</v>
      </c>
      <c r="AO2" s="526" t="s">
        <v>247</v>
      </c>
      <c r="AP2" s="525">
        <f>SUMPRODUCT(AP4:AP29,AQ4:AQ29)</f>
        <v>889.69</v>
      </c>
      <c r="AQ2" s="538">
        <f>B2*CT[[#This Row],[productId]]/CT[[#This Row],[total]]*AP3*AQ3</f>
        <v>7553.1926850925593</v>
      </c>
    </row>
    <row r="3" spans="1:43" ht="16.5" thickBot="1" x14ac:dyDescent="0.3">
      <c r="A3" s="521" t="s">
        <v>1644</v>
      </c>
      <c r="B3" s="522"/>
      <c r="C3" s="523" t="s">
        <v>1659</v>
      </c>
      <c r="D3" s="523" t="s">
        <v>1659</v>
      </c>
      <c r="E3" s="523" t="s">
        <v>1659</v>
      </c>
      <c r="F3" s="523" t="s">
        <v>1659</v>
      </c>
      <c r="G3" s="523" t="s">
        <v>1659</v>
      </c>
      <c r="H3" s="523" t="s">
        <v>1659</v>
      </c>
      <c r="I3" s="524" t="s">
        <v>1659</v>
      </c>
      <c r="J3" s="524" t="s">
        <v>1659</v>
      </c>
      <c r="K3" s="524" t="s">
        <v>1659</v>
      </c>
      <c r="L3" s="523" t="s">
        <v>1659</v>
      </c>
      <c r="M3" s="524" t="s">
        <v>1659</v>
      </c>
      <c r="N3" s="524" t="s">
        <v>1659</v>
      </c>
      <c r="O3" s="524" t="s">
        <v>1659</v>
      </c>
      <c r="P3" s="523" t="s">
        <v>1659</v>
      </c>
      <c r="Q3" s="523" t="s">
        <v>1659</v>
      </c>
      <c r="R3" s="524" t="s">
        <v>1659</v>
      </c>
      <c r="S3" s="524" t="s">
        <v>1659</v>
      </c>
      <c r="T3" s="523"/>
      <c r="U3" s="523"/>
      <c r="V3" s="524" t="s">
        <v>1658</v>
      </c>
      <c r="W3" s="524" t="s">
        <v>1658</v>
      </c>
      <c r="X3" s="524" t="s">
        <v>1658</v>
      </c>
      <c r="Y3" s="523" t="s">
        <v>1658</v>
      </c>
      <c r="Z3" s="523" t="s">
        <v>1658</v>
      </c>
      <c r="AA3" s="523" t="s">
        <v>1658</v>
      </c>
      <c r="AB3" s="523" t="s">
        <v>1658</v>
      </c>
      <c r="AC3" s="523" t="s">
        <v>1658</v>
      </c>
      <c r="AD3" s="523" t="s">
        <v>1658</v>
      </c>
      <c r="AE3" s="523" t="s">
        <v>1658</v>
      </c>
      <c r="AF3" s="524" t="s">
        <v>1657</v>
      </c>
      <c r="AG3" s="524" t="s">
        <v>1657</v>
      </c>
      <c r="AH3" s="524" t="s">
        <v>1657</v>
      </c>
      <c r="AI3" s="524"/>
      <c r="AJ3" s="524" t="s">
        <v>1657</v>
      </c>
      <c r="AK3" s="523" t="s">
        <v>1714</v>
      </c>
      <c r="AL3" s="523" t="s">
        <v>1714</v>
      </c>
      <c r="AM3" s="523" t="s">
        <v>1714</v>
      </c>
      <c r="AN3" s="523" t="s">
        <v>1714</v>
      </c>
      <c r="AO3" s="523" t="s">
        <v>1714</v>
      </c>
      <c r="AP3" s="535">
        <v>0.8</v>
      </c>
      <c r="AQ3" s="539">
        <f>SUM(AQ4:AQ29)</f>
        <v>8</v>
      </c>
    </row>
    <row r="4" spans="1:43" ht="17.25" thickTop="1" x14ac:dyDescent="0.25">
      <c r="A4" s="599" t="s">
        <v>1653</v>
      </c>
      <c r="B4" s="600" t="s">
        <v>1045</v>
      </c>
      <c r="C4" s="601">
        <v>2.54</v>
      </c>
      <c r="D4" s="601" t="s">
        <v>123</v>
      </c>
      <c r="E4" s="601" t="s">
        <v>123</v>
      </c>
      <c r="F4" s="601">
        <v>1.73</v>
      </c>
      <c r="G4" s="601" t="s">
        <v>123</v>
      </c>
      <c r="H4" s="601" t="s">
        <v>123</v>
      </c>
      <c r="I4" s="602" t="s">
        <v>123</v>
      </c>
      <c r="J4" s="602">
        <v>3.14</v>
      </c>
      <c r="K4" s="602" t="s">
        <v>123</v>
      </c>
      <c r="L4" s="601">
        <v>1.84</v>
      </c>
      <c r="M4" s="602" t="s">
        <v>123</v>
      </c>
      <c r="N4" s="602">
        <v>4.68</v>
      </c>
      <c r="O4" s="602" t="s">
        <v>123</v>
      </c>
      <c r="P4" s="601" t="s">
        <v>123</v>
      </c>
      <c r="Q4" s="601" t="s">
        <v>123</v>
      </c>
      <c r="R4" s="602">
        <v>6.14</v>
      </c>
      <c r="S4" s="602" t="s">
        <v>123</v>
      </c>
      <c r="T4" s="601">
        <v>10.42</v>
      </c>
      <c r="U4" s="601">
        <v>10.72</v>
      </c>
      <c r="V4" s="602" t="s">
        <v>123</v>
      </c>
      <c r="W4" s="602">
        <v>6.98</v>
      </c>
      <c r="X4" s="602" t="s">
        <v>123</v>
      </c>
      <c r="Y4" s="601" t="s">
        <v>123</v>
      </c>
      <c r="Z4" s="601" t="s">
        <v>123</v>
      </c>
      <c r="AA4" s="601" t="s">
        <v>123</v>
      </c>
      <c r="AB4" s="601" t="s">
        <v>123</v>
      </c>
      <c r="AC4" s="601" t="s">
        <v>123</v>
      </c>
      <c r="AD4" s="601" t="s">
        <v>123</v>
      </c>
      <c r="AE4" s="601" t="s">
        <v>123</v>
      </c>
      <c r="AF4" s="602" t="s">
        <v>123</v>
      </c>
      <c r="AG4" s="602" t="s">
        <v>123</v>
      </c>
      <c r="AH4" s="602" t="s">
        <v>123</v>
      </c>
      <c r="AI4" s="602" t="s">
        <v>123</v>
      </c>
      <c r="AJ4" s="602">
        <v>7.96</v>
      </c>
      <c r="AK4" s="601">
        <v>9.2200000000000006</v>
      </c>
      <c r="AL4" s="601">
        <v>7.06</v>
      </c>
      <c r="AM4" s="601" t="s">
        <v>123</v>
      </c>
      <c r="AN4" s="601">
        <v>2.9</v>
      </c>
      <c r="AO4" s="601">
        <v>2.96</v>
      </c>
      <c r="AP4" s="603">
        <f>SUM(CT[[#This Row],[cut]:[pck]])</f>
        <v>78.290000000000006</v>
      </c>
      <c r="AQ4" s="604"/>
    </row>
    <row r="5" spans="1:43" ht="16.5" x14ac:dyDescent="0.25">
      <c r="A5" s="592" t="s">
        <v>1654</v>
      </c>
      <c r="B5" s="593" t="s">
        <v>1045</v>
      </c>
      <c r="C5" s="594">
        <v>2.54</v>
      </c>
      <c r="D5" s="594" t="s">
        <v>123</v>
      </c>
      <c r="E5" s="594" t="s">
        <v>123</v>
      </c>
      <c r="F5" s="594">
        <v>1.73</v>
      </c>
      <c r="G5" s="594" t="s">
        <v>123</v>
      </c>
      <c r="H5" s="594" t="s">
        <v>123</v>
      </c>
      <c r="I5" s="589" t="s">
        <v>123</v>
      </c>
      <c r="J5" s="589">
        <v>3.14</v>
      </c>
      <c r="K5" s="589" t="s">
        <v>123</v>
      </c>
      <c r="L5" s="594">
        <v>1.84</v>
      </c>
      <c r="M5" s="589" t="s">
        <v>123</v>
      </c>
      <c r="N5" s="589">
        <v>4.68</v>
      </c>
      <c r="O5" s="589" t="s">
        <v>123</v>
      </c>
      <c r="P5" s="594" t="s">
        <v>123</v>
      </c>
      <c r="Q5" s="594" t="s">
        <v>123</v>
      </c>
      <c r="R5" s="589">
        <v>6.14</v>
      </c>
      <c r="S5" s="589" t="s">
        <v>123</v>
      </c>
      <c r="T5" s="594">
        <v>10.42</v>
      </c>
      <c r="U5" s="594">
        <v>10.72</v>
      </c>
      <c r="V5" s="589" t="s">
        <v>123</v>
      </c>
      <c r="W5" s="589">
        <v>6.98</v>
      </c>
      <c r="X5" s="589" t="s">
        <v>123</v>
      </c>
      <c r="Y5" s="594" t="s">
        <v>123</v>
      </c>
      <c r="Z5" s="594" t="s">
        <v>123</v>
      </c>
      <c r="AA5" s="594" t="s">
        <v>123</v>
      </c>
      <c r="AB5" s="594" t="s">
        <v>123</v>
      </c>
      <c r="AC5" s="594" t="s">
        <v>123</v>
      </c>
      <c r="AD5" s="594" t="s">
        <v>123</v>
      </c>
      <c r="AE5" s="594" t="s">
        <v>123</v>
      </c>
      <c r="AF5" s="589" t="s">
        <v>123</v>
      </c>
      <c r="AG5" s="589" t="s">
        <v>123</v>
      </c>
      <c r="AH5" s="589" t="s">
        <v>123</v>
      </c>
      <c r="AI5" s="589" t="s">
        <v>123</v>
      </c>
      <c r="AJ5" s="589">
        <v>7.96</v>
      </c>
      <c r="AK5" s="594">
        <v>9.2200000000000006</v>
      </c>
      <c r="AL5" s="594">
        <v>7.06</v>
      </c>
      <c r="AM5" s="594" t="s">
        <v>123</v>
      </c>
      <c r="AN5" s="594">
        <v>2.9</v>
      </c>
      <c r="AO5" s="594">
        <v>2.96</v>
      </c>
      <c r="AP5" s="595">
        <f>SUM(CT[[#This Row],[cut]:[pck]])</f>
        <v>78.290000000000006</v>
      </c>
      <c r="AQ5" s="605"/>
    </row>
    <row r="6" spans="1:43" ht="16.5" x14ac:dyDescent="0.25">
      <c r="A6" s="606" t="s">
        <v>1655</v>
      </c>
      <c r="B6" s="607" t="s">
        <v>1045</v>
      </c>
      <c r="C6" s="608">
        <v>2.54</v>
      </c>
      <c r="D6" s="608" t="s">
        <v>123</v>
      </c>
      <c r="E6" s="608" t="s">
        <v>123</v>
      </c>
      <c r="F6" s="608">
        <v>1.73</v>
      </c>
      <c r="G6" s="608" t="s">
        <v>123</v>
      </c>
      <c r="H6" s="608" t="s">
        <v>123</v>
      </c>
      <c r="I6" s="609" t="s">
        <v>123</v>
      </c>
      <c r="J6" s="609">
        <v>3.14</v>
      </c>
      <c r="K6" s="609" t="s">
        <v>123</v>
      </c>
      <c r="L6" s="608">
        <v>1.84</v>
      </c>
      <c r="M6" s="609" t="s">
        <v>123</v>
      </c>
      <c r="N6" s="609">
        <v>4.68</v>
      </c>
      <c r="O6" s="609" t="s">
        <v>123</v>
      </c>
      <c r="P6" s="608" t="s">
        <v>123</v>
      </c>
      <c r="Q6" s="608" t="s">
        <v>123</v>
      </c>
      <c r="R6" s="609">
        <v>6.14</v>
      </c>
      <c r="S6" s="609" t="s">
        <v>123</v>
      </c>
      <c r="T6" s="608">
        <v>10.42</v>
      </c>
      <c r="U6" s="608">
        <v>10.72</v>
      </c>
      <c r="V6" s="609" t="s">
        <v>123</v>
      </c>
      <c r="W6" s="609">
        <v>6.98</v>
      </c>
      <c r="X6" s="609" t="s">
        <v>123</v>
      </c>
      <c r="Y6" s="608" t="s">
        <v>123</v>
      </c>
      <c r="Z6" s="608" t="s">
        <v>123</v>
      </c>
      <c r="AA6" s="608" t="s">
        <v>123</v>
      </c>
      <c r="AB6" s="608" t="s">
        <v>123</v>
      </c>
      <c r="AC6" s="608" t="s">
        <v>123</v>
      </c>
      <c r="AD6" s="608" t="s">
        <v>123</v>
      </c>
      <c r="AE6" s="608" t="s">
        <v>123</v>
      </c>
      <c r="AF6" s="609" t="s">
        <v>123</v>
      </c>
      <c r="AG6" s="609" t="s">
        <v>123</v>
      </c>
      <c r="AH6" s="609" t="s">
        <v>123</v>
      </c>
      <c r="AI6" s="609" t="s">
        <v>123</v>
      </c>
      <c r="AJ6" s="609">
        <v>7.96</v>
      </c>
      <c r="AK6" s="608">
        <v>9.2200000000000006</v>
      </c>
      <c r="AL6" s="608">
        <v>7.06</v>
      </c>
      <c r="AM6" s="608" t="s">
        <v>123</v>
      </c>
      <c r="AN6" s="608">
        <v>2.9</v>
      </c>
      <c r="AO6" s="608">
        <v>2.96</v>
      </c>
      <c r="AP6" s="610">
        <f>SUM(CT[[#This Row],[cut]:[pck]])</f>
        <v>78.290000000000006</v>
      </c>
      <c r="AQ6" s="611"/>
    </row>
    <row r="7" spans="1:43" ht="16.5" x14ac:dyDescent="0.25">
      <c r="A7" s="590">
        <v>140550060</v>
      </c>
      <c r="B7" s="591" t="s">
        <v>1045</v>
      </c>
      <c r="C7" s="587">
        <v>2.54</v>
      </c>
      <c r="D7" s="587" t="s">
        <v>123</v>
      </c>
      <c r="E7" s="587" t="s">
        <v>123</v>
      </c>
      <c r="F7" s="587">
        <v>1.73</v>
      </c>
      <c r="G7" s="587" t="s">
        <v>123</v>
      </c>
      <c r="H7" s="587" t="s">
        <v>123</v>
      </c>
      <c r="I7" s="588" t="s">
        <v>123</v>
      </c>
      <c r="J7" s="588">
        <v>3.14</v>
      </c>
      <c r="K7" s="588" t="s">
        <v>123</v>
      </c>
      <c r="L7" s="587">
        <v>1.84</v>
      </c>
      <c r="M7" s="588" t="s">
        <v>123</v>
      </c>
      <c r="N7" s="588">
        <v>5.52</v>
      </c>
      <c r="O7" s="588" t="s">
        <v>123</v>
      </c>
      <c r="P7" s="587" t="s">
        <v>123</v>
      </c>
      <c r="Q7" s="587" t="s">
        <v>123</v>
      </c>
      <c r="R7" s="588" t="s">
        <v>123</v>
      </c>
      <c r="S7" s="588">
        <v>8.23</v>
      </c>
      <c r="T7" s="587">
        <v>10.42</v>
      </c>
      <c r="U7" s="587">
        <v>10.72</v>
      </c>
      <c r="V7" s="588" t="s">
        <v>123</v>
      </c>
      <c r="W7" s="588">
        <v>6.98</v>
      </c>
      <c r="X7" s="588" t="s">
        <v>123</v>
      </c>
      <c r="Y7" s="587" t="s">
        <v>123</v>
      </c>
      <c r="Z7" s="587" t="s">
        <v>123</v>
      </c>
      <c r="AA7" s="587" t="s">
        <v>123</v>
      </c>
      <c r="AB7" s="587" t="s">
        <v>123</v>
      </c>
      <c r="AC7" s="587" t="s">
        <v>123</v>
      </c>
      <c r="AD7" s="587" t="s">
        <v>123</v>
      </c>
      <c r="AE7" s="587" t="s">
        <v>123</v>
      </c>
      <c r="AF7" s="588" t="s">
        <v>123</v>
      </c>
      <c r="AG7" s="588" t="s">
        <v>123</v>
      </c>
      <c r="AH7" s="588" t="s">
        <v>123</v>
      </c>
      <c r="AI7" s="588" t="s">
        <v>123</v>
      </c>
      <c r="AJ7" s="588">
        <v>7.96</v>
      </c>
      <c r="AK7" s="587">
        <v>9.2200000000000006</v>
      </c>
      <c r="AL7" s="587">
        <v>7.06</v>
      </c>
      <c r="AM7" s="587" t="s">
        <v>123</v>
      </c>
      <c r="AN7" s="587">
        <v>2.9</v>
      </c>
      <c r="AO7" s="587">
        <v>2.96</v>
      </c>
      <c r="AP7" s="597">
        <f>SUM(CT[[#This Row],[cut]:[pck]])</f>
        <v>81.220000000000013</v>
      </c>
      <c r="AQ7" s="612"/>
    </row>
    <row r="8" spans="1:43" s="22" customFormat="1" ht="16.5" x14ac:dyDescent="0.25">
      <c r="A8" s="592">
        <v>141320055</v>
      </c>
      <c r="B8" s="593" t="s">
        <v>1045</v>
      </c>
      <c r="C8" s="594">
        <v>2.69</v>
      </c>
      <c r="D8" s="594"/>
      <c r="E8" s="594"/>
      <c r="F8" s="594">
        <v>1.73</v>
      </c>
      <c r="G8" s="594"/>
      <c r="H8" s="594"/>
      <c r="I8" s="589"/>
      <c r="J8" s="589">
        <v>4.1500000000000004</v>
      </c>
      <c r="K8" s="589"/>
      <c r="L8" s="594">
        <v>1.84</v>
      </c>
      <c r="M8" s="589"/>
      <c r="N8" s="589">
        <v>5.52</v>
      </c>
      <c r="O8" s="589"/>
      <c r="P8" s="594"/>
      <c r="Q8" s="594"/>
      <c r="R8" s="589">
        <v>6.14</v>
      </c>
      <c r="S8" s="589"/>
      <c r="T8" s="594"/>
      <c r="U8" s="594"/>
      <c r="V8" s="589"/>
      <c r="W8" s="589">
        <v>6.98</v>
      </c>
      <c r="X8" s="589"/>
      <c r="Y8" s="594"/>
      <c r="Z8" s="594"/>
      <c r="AA8" s="594"/>
      <c r="AB8" s="594"/>
      <c r="AC8" s="594"/>
      <c r="AD8" s="594"/>
      <c r="AE8" s="594"/>
      <c r="AF8" s="589"/>
      <c r="AG8" s="589"/>
      <c r="AH8" s="589"/>
      <c r="AI8" s="589"/>
      <c r="AJ8" s="589">
        <v>5.63</v>
      </c>
      <c r="AK8" s="594"/>
      <c r="AL8" s="594">
        <v>6.36</v>
      </c>
      <c r="AM8" s="594"/>
      <c r="AN8" s="594">
        <v>2.76</v>
      </c>
      <c r="AO8" s="594">
        <v>2.96</v>
      </c>
      <c r="AP8" s="595">
        <f>SUM(CT[[#This Row],[cut]:[ps]])+AVERAGE(CT[[#This Row],[pm]:[pm!]])+IF(CT[[#This Row],[sfne]],CT[[#This Row],[sfne]],SUM(CT[[#This Row],[se]:[sfn]]))+SUM(CT[[#This Row],[ch]:[bst]])+CT[[#This Row],[t2]]+SUM(CT[[#This Row],[lbl]:[pck]])</f>
        <v>41.13</v>
      </c>
      <c r="AQ8" s="605"/>
    </row>
    <row r="9" spans="1:43" s="22" customFormat="1" ht="16.5" x14ac:dyDescent="0.25">
      <c r="A9" s="592">
        <v>140530039</v>
      </c>
      <c r="B9" s="593" t="s">
        <v>1045</v>
      </c>
      <c r="C9" s="594">
        <v>2.69</v>
      </c>
      <c r="D9" s="594"/>
      <c r="E9" s="594"/>
      <c r="F9" s="594">
        <v>1.73</v>
      </c>
      <c r="G9" s="594"/>
      <c r="H9" s="594"/>
      <c r="I9" s="589"/>
      <c r="J9" s="589">
        <v>4.1500000000000004</v>
      </c>
      <c r="K9" s="589"/>
      <c r="L9" s="594">
        <v>1.84</v>
      </c>
      <c r="M9" s="589"/>
      <c r="N9" s="589">
        <v>5.52</v>
      </c>
      <c r="O9" s="589"/>
      <c r="P9" s="594"/>
      <c r="Q9" s="594"/>
      <c r="R9" s="589">
        <v>6.14</v>
      </c>
      <c r="S9" s="589"/>
      <c r="T9" s="594"/>
      <c r="U9" s="594"/>
      <c r="V9" s="589"/>
      <c r="W9" s="589">
        <v>6.98</v>
      </c>
      <c r="X9" s="589"/>
      <c r="Y9" s="594"/>
      <c r="Z9" s="594"/>
      <c r="AA9" s="594"/>
      <c r="AB9" s="594"/>
      <c r="AC9" s="594"/>
      <c r="AD9" s="594"/>
      <c r="AE9" s="594"/>
      <c r="AF9" s="589"/>
      <c r="AG9" s="589"/>
      <c r="AH9" s="589"/>
      <c r="AI9" s="589"/>
      <c r="AJ9" s="589">
        <v>5.63</v>
      </c>
      <c r="AK9" s="594"/>
      <c r="AL9" s="594">
        <v>6.36</v>
      </c>
      <c r="AM9" s="594"/>
      <c r="AN9" s="594">
        <v>2.76</v>
      </c>
      <c r="AO9" s="594">
        <v>2.96</v>
      </c>
      <c r="AP9" s="595">
        <f>SUM(CT[[#This Row],[cut]:[ps]])+AVERAGE(CT[[#This Row],[pm]:[pm!]])+IF(CT[[#This Row],[sfne]],CT[[#This Row],[sfne]],SUM(CT[[#This Row],[se]:[sfn]]))+SUM(CT[[#This Row],[ch]:[bst]])+CT[[#This Row],[t2]]+SUM(CT[[#This Row],[lbl]:[pck]])</f>
        <v>41.13</v>
      </c>
      <c r="AQ9" s="596"/>
    </row>
    <row r="10" spans="1:43" s="22" customFormat="1" ht="16.5" x14ac:dyDescent="0.25">
      <c r="A10" s="606">
        <v>140010279</v>
      </c>
      <c r="B10" s="607" t="s">
        <v>1045</v>
      </c>
      <c r="C10" s="608">
        <v>2.69</v>
      </c>
      <c r="D10" s="608"/>
      <c r="E10" s="608"/>
      <c r="F10" s="608">
        <v>1.73</v>
      </c>
      <c r="G10" s="608"/>
      <c r="H10" s="608"/>
      <c r="I10" s="609"/>
      <c r="J10" s="609">
        <v>4.1500000000000004</v>
      </c>
      <c r="K10" s="609"/>
      <c r="L10" s="608">
        <v>1.84</v>
      </c>
      <c r="M10" s="609"/>
      <c r="N10" s="609">
        <v>5.52</v>
      </c>
      <c r="O10" s="609"/>
      <c r="P10" s="608"/>
      <c r="Q10" s="608"/>
      <c r="R10" s="609">
        <v>6.14</v>
      </c>
      <c r="S10" s="609"/>
      <c r="T10" s="608"/>
      <c r="U10" s="608"/>
      <c r="V10" s="609"/>
      <c r="W10" s="609">
        <v>6.98</v>
      </c>
      <c r="X10" s="609"/>
      <c r="Y10" s="608"/>
      <c r="Z10" s="608"/>
      <c r="AA10" s="608"/>
      <c r="AB10" s="608"/>
      <c r="AC10" s="608"/>
      <c r="AD10" s="608"/>
      <c r="AE10" s="608"/>
      <c r="AF10" s="609"/>
      <c r="AG10" s="609"/>
      <c r="AH10" s="609"/>
      <c r="AI10" s="609"/>
      <c r="AJ10" s="609">
        <v>5.63</v>
      </c>
      <c r="AK10" s="608">
        <v>8.31</v>
      </c>
      <c r="AL10" s="608">
        <v>6.36</v>
      </c>
      <c r="AM10" s="608"/>
      <c r="AN10" s="608">
        <v>2.76</v>
      </c>
      <c r="AO10" s="608">
        <v>2.96</v>
      </c>
      <c r="AP10" s="610">
        <f>SUM(CT[[#This Row],[cut]:[ps]])+AVERAGE(CT[[#This Row],[pm]:[pm!]])+IF(CT[[#This Row],[sfne]],CT[[#This Row],[sfne]],SUM(CT[[#This Row],[se]:[sfn]]))+SUM(CT[[#This Row],[ch]:[bst]])+CT[[#This Row],[t2]]+SUM(CT[[#This Row],[lbl]:[pck]])</f>
        <v>49.44</v>
      </c>
      <c r="AQ10" s="616"/>
    </row>
    <row r="11" spans="1:43" s="22" customFormat="1" ht="16.5" x14ac:dyDescent="0.25">
      <c r="A11" s="590">
        <v>140010280</v>
      </c>
      <c r="B11" s="591" t="s">
        <v>1045</v>
      </c>
      <c r="C11" s="587">
        <v>2.69</v>
      </c>
      <c r="D11" s="587"/>
      <c r="E11" s="587"/>
      <c r="F11" s="587">
        <v>1.73</v>
      </c>
      <c r="G11" s="587"/>
      <c r="H11" s="587"/>
      <c r="I11" s="588"/>
      <c r="J11" s="588">
        <v>4.1500000000000004</v>
      </c>
      <c r="K11" s="588"/>
      <c r="L11" s="587">
        <v>1.84</v>
      </c>
      <c r="M11" s="588"/>
      <c r="N11" s="588">
        <v>5.52</v>
      </c>
      <c r="O11" s="588"/>
      <c r="P11" s="587"/>
      <c r="Q11" s="587"/>
      <c r="R11" s="588">
        <v>6.14</v>
      </c>
      <c r="S11" s="588"/>
      <c r="T11" s="587"/>
      <c r="U11" s="587"/>
      <c r="V11" s="588"/>
      <c r="W11" s="588">
        <v>6.98</v>
      </c>
      <c r="X11" s="588"/>
      <c r="Y11" s="587"/>
      <c r="Z11" s="587"/>
      <c r="AA11" s="587"/>
      <c r="AB11" s="587"/>
      <c r="AC11" s="587"/>
      <c r="AD11" s="587"/>
      <c r="AE11" s="587"/>
      <c r="AF11" s="588"/>
      <c r="AG11" s="588"/>
      <c r="AH11" s="588"/>
      <c r="AI11" s="588"/>
      <c r="AJ11" s="588">
        <v>5.63</v>
      </c>
      <c r="AK11" s="587">
        <v>8.31</v>
      </c>
      <c r="AL11" s="587">
        <v>6.36</v>
      </c>
      <c r="AM11" s="587"/>
      <c r="AN11" s="587">
        <v>2.76</v>
      </c>
      <c r="AO11" s="587">
        <v>2.96</v>
      </c>
      <c r="AP11" s="597">
        <f>SUM(CT[[#This Row],[cut]:[ps]])+AVERAGE(CT[[#This Row],[pm]:[pm!]])+IF(CT[[#This Row],[sfne]],CT[[#This Row],[sfne]],SUM(CT[[#This Row],[se]:[sfn]]))+SUM(CT[[#This Row],[ch]:[bst]])+CT[[#This Row],[t2]]+SUM(CT[[#This Row],[lbl]:[pck]])</f>
        <v>49.44</v>
      </c>
      <c r="AQ11" s="612"/>
    </row>
    <row r="12" spans="1:43" s="22" customFormat="1" ht="16.5" x14ac:dyDescent="0.25">
      <c r="A12" s="592">
        <v>140010295</v>
      </c>
      <c r="B12" s="593" t="s">
        <v>1045</v>
      </c>
      <c r="C12" s="594">
        <v>2.69</v>
      </c>
      <c r="D12" s="594"/>
      <c r="E12" s="594"/>
      <c r="F12" s="594">
        <v>1.73</v>
      </c>
      <c r="G12" s="594"/>
      <c r="H12" s="594"/>
      <c r="I12" s="589"/>
      <c r="J12" s="589">
        <v>4.1500000000000004</v>
      </c>
      <c r="K12" s="589"/>
      <c r="L12" s="594">
        <v>1.84</v>
      </c>
      <c r="M12" s="589"/>
      <c r="N12" s="589">
        <v>5.52</v>
      </c>
      <c r="O12" s="589"/>
      <c r="P12" s="594"/>
      <c r="Q12" s="594"/>
      <c r="R12" s="589">
        <v>6.14</v>
      </c>
      <c r="S12" s="589"/>
      <c r="T12" s="594"/>
      <c r="U12" s="594"/>
      <c r="V12" s="589"/>
      <c r="W12" s="589">
        <v>6.98</v>
      </c>
      <c r="X12" s="589"/>
      <c r="Y12" s="594"/>
      <c r="Z12" s="594"/>
      <c r="AA12" s="594"/>
      <c r="AB12" s="594"/>
      <c r="AC12" s="594"/>
      <c r="AD12" s="594"/>
      <c r="AE12" s="594"/>
      <c r="AF12" s="589"/>
      <c r="AG12" s="589"/>
      <c r="AH12" s="589"/>
      <c r="AI12" s="589"/>
      <c r="AJ12" s="589">
        <v>5.63</v>
      </c>
      <c r="AK12" s="594"/>
      <c r="AL12" s="594">
        <v>6.36</v>
      </c>
      <c r="AM12" s="594"/>
      <c r="AN12" s="594">
        <v>2.76</v>
      </c>
      <c r="AO12" s="594">
        <v>2.96</v>
      </c>
      <c r="AP12" s="595">
        <f>SUM(CT[[#This Row],[cut]:[ps]])+AVERAGE(CT[[#This Row],[pm]:[pm!]])+IF(CT[[#This Row],[sfne]],CT[[#This Row],[sfne]],SUM(CT[[#This Row],[se]:[sfn]]))+SUM(CT[[#This Row],[ch]:[bst]])+CT[[#This Row],[t2]]+SUM(CT[[#This Row],[lbl]:[pck]])</f>
        <v>41.13</v>
      </c>
      <c r="AQ12" s="605"/>
    </row>
    <row r="13" spans="1:43" s="22" customFormat="1" ht="17.25" thickBot="1" x14ac:dyDescent="0.3">
      <c r="A13" s="613">
        <v>140010298</v>
      </c>
      <c r="B13" s="598" t="s">
        <v>1045</v>
      </c>
      <c r="C13" s="523">
        <v>2.69</v>
      </c>
      <c r="D13" s="523"/>
      <c r="E13" s="523"/>
      <c r="F13" s="523">
        <v>1.73</v>
      </c>
      <c r="G13" s="523"/>
      <c r="H13" s="523"/>
      <c r="I13" s="524"/>
      <c r="J13" s="524">
        <v>4.1500000000000004</v>
      </c>
      <c r="K13" s="524"/>
      <c r="L13" s="523">
        <v>1.84</v>
      </c>
      <c r="M13" s="524"/>
      <c r="N13" s="524">
        <v>5.52</v>
      </c>
      <c r="O13" s="524"/>
      <c r="P13" s="523"/>
      <c r="Q13" s="523"/>
      <c r="R13" s="524">
        <v>6.14</v>
      </c>
      <c r="S13" s="524"/>
      <c r="T13" s="523"/>
      <c r="U13" s="523"/>
      <c r="V13" s="524"/>
      <c r="W13" s="524">
        <v>6.98</v>
      </c>
      <c r="X13" s="524"/>
      <c r="Y13" s="523"/>
      <c r="Z13" s="523"/>
      <c r="AA13" s="523"/>
      <c r="AB13" s="523"/>
      <c r="AC13" s="523"/>
      <c r="AD13" s="523"/>
      <c r="AE13" s="523"/>
      <c r="AF13" s="524"/>
      <c r="AG13" s="524"/>
      <c r="AH13" s="524"/>
      <c r="AI13" s="524"/>
      <c r="AJ13" s="524">
        <v>5.63</v>
      </c>
      <c r="AK13" s="523">
        <v>8.31</v>
      </c>
      <c r="AL13" s="523">
        <v>6.36</v>
      </c>
      <c r="AM13" s="523"/>
      <c r="AN13" s="523">
        <v>2.76</v>
      </c>
      <c r="AO13" s="523">
        <v>2.96</v>
      </c>
      <c r="AP13" s="614">
        <f>SUM(CT[[#This Row],[cut]:[ps]])+AVERAGE(CT[[#This Row],[pm]:[pm!]])+IF(CT[[#This Row],[sfne]],CT[[#This Row],[sfne]],SUM(CT[[#This Row],[se]:[sfn]]))+SUM(CT[[#This Row],[ch]:[bst]])+CT[[#This Row],[t2]]+SUM(CT[[#This Row],[lbl]:[pck]])</f>
        <v>49.44</v>
      </c>
      <c r="AQ13" s="615"/>
    </row>
    <row r="14" spans="1:43" ht="17.25" thickTop="1" x14ac:dyDescent="0.25">
      <c r="A14" s="599">
        <v>140010117</v>
      </c>
      <c r="B14" s="600" t="s">
        <v>1660</v>
      </c>
      <c r="C14" s="601">
        <v>4.01</v>
      </c>
      <c r="D14" s="601" t="s">
        <v>123</v>
      </c>
      <c r="E14" s="601">
        <v>1.89</v>
      </c>
      <c r="F14" s="601">
        <v>1.73</v>
      </c>
      <c r="G14" s="601" t="s">
        <v>123</v>
      </c>
      <c r="H14" s="601" t="s">
        <v>123</v>
      </c>
      <c r="I14" s="602" t="s">
        <v>123</v>
      </c>
      <c r="J14" s="602" t="s">
        <v>123</v>
      </c>
      <c r="K14" s="602">
        <v>6.61</v>
      </c>
      <c r="L14" s="601">
        <v>2.15</v>
      </c>
      <c r="M14" s="602" t="s">
        <v>123</v>
      </c>
      <c r="N14" s="602">
        <v>5.52</v>
      </c>
      <c r="O14" s="602" t="s">
        <v>123</v>
      </c>
      <c r="P14" s="601">
        <v>7.23</v>
      </c>
      <c r="Q14" s="601" t="s">
        <v>123</v>
      </c>
      <c r="R14" s="602">
        <v>8.19</v>
      </c>
      <c r="S14" s="602">
        <v>10.08</v>
      </c>
      <c r="T14" s="601">
        <v>12.87</v>
      </c>
      <c r="U14" s="601">
        <v>9.8699999999999992</v>
      </c>
      <c r="V14" s="602" t="s">
        <v>123</v>
      </c>
      <c r="W14" s="602" t="s">
        <v>123</v>
      </c>
      <c r="X14" s="602">
        <v>8.26</v>
      </c>
      <c r="Y14" s="601" t="s">
        <v>123</v>
      </c>
      <c r="Z14" s="601" t="s">
        <v>123</v>
      </c>
      <c r="AA14" s="601" t="s">
        <v>123</v>
      </c>
      <c r="AB14" s="601" t="s">
        <v>123</v>
      </c>
      <c r="AC14" s="601" t="s">
        <v>123</v>
      </c>
      <c r="AD14" s="601" t="s">
        <v>123</v>
      </c>
      <c r="AE14" s="601" t="s">
        <v>123</v>
      </c>
      <c r="AF14" s="602">
        <v>14.212499999999999</v>
      </c>
      <c r="AG14" s="602">
        <v>15.65</v>
      </c>
      <c r="AH14" s="602">
        <v>19.899999999999999</v>
      </c>
      <c r="AI14" s="602">
        <v>7.79</v>
      </c>
      <c r="AJ14" s="602">
        <v>3.72</v>
      </c>
      <c r="AK14" s="601" t="s">
        <v>123</v>
      </c>
      <c r="AL14" s="601" t="s">
        <v>123</v>
      </c>
      <c r="AM14" s="601">
        <v>10.76</v>
      </c>
      <c r="AN14" s="601" t="s">
        <v>123</v>
      </c>
      <c r="AO14" s="601">
        <v>2.61</v>
      </c>
      <c r="AP14" s="603">
        <f>SUM(CT[[#This Row],[cut]:[ps]])+SUM(CT[[#This Row],[pm]:[pm!]])/2+SUM(CT[[#This Row],[Column1]:[bst]])+SUM(CT[[#This Row],[ch]:[bst]])+CT[[#This Row],[t2]]+SUM(CT[[#This Row],[lbl]:[pck]])</f>
        <v>98.295000000000016</v>
      </c>
      <c r="AQ14" s="604">
        <v>1</v>
      </c>
    </row>
    <row r="15" spans="1:43" ht="16.5" x14ac:dyDescent="0.25">
      <c r="A15" s="592">
        <v>140010230</v>
      </c>
      <c r="B15" s="593" t="s">
        <v>1660</v>
      </c>
      <c r="C15" s="594">
        <v>4.01</v>
      </c>
      <c r="D15" s="594" t="s">
        <v>123</v>
      </c>
      <c r="E15" s="594">
        <v>1.89</v>
      </c>
      <c r="F15" s="594">
        <v>1.73</v>
      </c>
      <c r="G15" s="594" t="s">
        <v>123</v>
      </c>
      <c r="H15" s="594">
        <v>4.75</v>
      </c>
      <c r="I15" s="589">
        <v>3.23</v>
      </c>
      <c r="J15" s="589">
        <v>4.1500000000000004</v>
      </c>
      <c r="K15" s="589" t="s">
        <v>123</v>
      </c>
      <c r="L15" s="594">
        <v>2.15</v>
      </c>
      <c r="M15" s="589" t="s">
        <v>123</v>
      </c>
      <c r="N15" s="589">
        <v>5.52</v>
      </c>
      <c r="O15" s="589" t="s">
        <v>123</v>
      </c>
      <c r="P15" s="594">
        <v>7.23</v>
      </c>
      <c r="Q15" s="594" t="s">
        <v>123</v>
      </c>
      <c r="R15" s="589">
        <v>8.19</v>
      </c>
      <c r="S15" s="589">
        <v>10.08</v>
      </c>
      <c r="T15" s="594">
        <v>12.87</v>
      </c>
      <c r="U15" s="594">
        <v>9.8699999999999992</v>
      </c>
      <c r="V15" s="589" t="s">
        <v>123</v>
      </c>
      <c r="W15" s="589" t="s">
        <v>123</v>
      </c>
      <c r="X15" s="589" t="s">
        <v>123</v>
      </c>
      <c r="Y15" s="594" t="s">
        <v>123</v>
      </c>
      <c r="Z15" s="594" t="s">
        <v>123</v>
      </c>
      <c r="AA15" s="594" t="s">
        <v>123</v>
      </c>
      <c r="AB15" s="594">
        <v>26.02</v>
      </c>
      <c r="AC15" s="594" t="s">
        <v>123</v>
      </c>
      <c r="AD15" s="594" t="s">
        <v>123</v>
      </c>
      <c r="AE15" s="594" t="s">
        <v>123</v>
      </c>
      <c r="AF15" s="589">
        <v>14.212499999999999</v>
      </c>
      <c r="AG15" s="589">
        <v>15.65</v>
      </c>
      <c r="AH15" s="589">
        <v>19.899999999999999</v>
      </c>
      <c r="AI15" s="589">
        <v>7.79</v>
      </c>
      <c r="AJ15" s="589">
        <v>3.72</v>
      </c>
      <c r="AK15" s="594" t="s">
        <v>123</v>
      </c>
      <c r="AL15" s="594" t="s">
        <v>123</v>
      </c>
      <c r="AM15" s="594">
        <v>10.76</v>
      </c>
      <c r="AN15" s="594" t="s">
        <v>123</v>
      </c>
      <c r="AO15" s="594">
        <v>2.61</v>
      </c>
      <c r="AP15" s="595">
        <f>SUM(CT[[#This Row],[cut]:[ps]])+SUM(CT[[#This Row],[pm]:[pm!]])/2+SUM(CT[[#This Row],[Column1]:[bst]])+SUM(CT[[#This Row],[ch]:[bst]])+CT[[#This Row],[t2]]+SUM(CT[[#This Row],[lbl]:[pck]])</f>
        <v>147.595</v>
      </c>
      <c r="AQ15" s="605">
        <v>1</v>
      </c>
    </row>
    <row r="16" spans="1:43" s="22" customFormat="1" ht="16.5" x14ac:dyDescent="0.25">
      <c r="A16" s="606">
        <v>140310058</v>
      </c>
      <c r="B16" s="607" t="s">
        <v>1660</v>
      </c>
      <c r="C16" s="608">
        <v>4.01</v>
      </c>
      <c r="D16" s="608" t="s">
        <v>123</v>
      </c>
      <c r="E16" s="608">
        <v>1.89</v>
      </c>
      <c r="F16" s="608">
        <v>1.73</v>
      </c>
      <c r="G16" s="608" t="s">
        <v>123</v>
      </c>
      <c r="H16" s="608">
        <v>4.75</v>
      </c>
      <c r="I16" s="609">
        <v>3.23</v>
      </c>
      <c r="J16" s="609">
        <v>4.1500000000000004</v>
      </c>
      <c r="K16" s="609" t="s">
        <v>123</v>
      </c>
      <c r="L16" s="608">
        <v>2.15</v>
      </c>
      <c r="M16" s="609" t="s">
        <v>123</v>
      </c>
      <c r="N16" s="609">
        <v>5.52</v>
      </c>
      <c r="O16" s="609" t="s">
        <v>123</v>
      </c>
      <c r="P16" s="608">
        <v>7.23</v>
      </c>
      <c r="Q16" s="608" t="s">
        <v>123</v>
      </c>
      <c r="R16" s="609">
        <v>8.19</v>
      </c>
      <c r="S16" s="609">
        <v>10.08</v>
      </c>
      <c r="T16" s="608">
        <v>12.87</v>
      </c>
      <c r="U16" s="608">
        <v>9.8699999999999992</v>
      </c>
      <c r="V16" s="609" t="s">
        <v>123</v>
      </c>
      <c r="W16" s="609" t="s">
        <v>123</v>
      </c>
      <c r="X16" s="609" t="s">
        <v>123</v>
      </c>
      <c r="Y16" s="608" t="s">
        <v>123</v>
      </c>
      <c r="Z16" s="608" t="s">
        <v>123</v>
      </c>
      <c r="AA16" s="608" t="s">
        <v>123</v>
      </c>
      <c r="AB16" s="608">
        <v>26.02</v>
      </c>
      <c r="AC16" s="608" t="s">
        <v>123</v>
      </c>
      <c r="AD16" s="608" t="s">
        <v>123</v>
      </c>
      <c r="AE16" s="608" t="s">
        <v>123</v>
      </c>
      <c r="AF16" s="609">
        <v>14.212499999999999</v>
      </c>
      <c r="AG16" s="609">
        <v>15.65</v>
      </c>
      <c r="AH16" s="609">
        <v>19.899999999999999</v>
      </c>
      <c r="AI16" s="609">
        <v>7.79</v>
      </c>
      <c r="AJ16" s="609">
        <v>3.72</v>
      </c>
      <c r="AK16" s="608" t="s">
        <v>123</v>
      </c>
      <c r="AL16" s="608" t="s">
        <v>123</v>
      </c>
      <c r="AM16" s="608">
        <v>10.76</v>
      </c>
      <c r="AN16" s="608" t="s">
        <v>123</v>
      </c>
      <c r="AO16" s="608">
        <v>2.61</v>
      </c>
      <c r="AP16" s="610">
        <f>SUM(CT[[#This Row],[cut]:[ps]])+SUM(CT[[#This Row],[pm]:[pm!]])/2+SUM(CT[[#This Row],[Column1]:[bst]])+SUM(CT[[#This Row],[ch]:[bst]])+CT[[#This Row],[t2]]+SUM(CT[[#This Row],[lbl]:[pck]])</f>
        <v>147.595</v>
      </c>
      <c r="AQ16" s="611"/>
    </row>
    <row r="17" spans="1:45" ht="16.5" x14ac:dyDescent="0.25">
      <c r="A17" s="590">
        <v>140030039</v>
      </c>
      <c r="B17" s="591" t="s">
        <v>1660</v>
      </c>
      <c r="C17" s="587">
        <v>4.01</v>
      </c>
      <c r="D17" s="587" t="s">
        <v>123</v>
      </c>
      <c r="E17" s="587">
        <v>1.89</v>
      </c>
      <c r="F17" s="587">
        <v>1.73</v>
      </c>
      <c r="G17" s="587" t="s">
        <v>123</v>
      </c>
      <c r="H17" s="587">
        <v>4.75</v>
      </c>
      <c r="I17" s="588">
        <v>3.23</v>
      </c>
      <c r="J17" s="588">
        <v>4.1500000000000004</v>
      </c>
      <c r="K17" s="588" t="s">
        <v>123</v>
      </c>
      <c r="L17" s="587">
        <v>2.15</v>
      </c>
      <c r="M17" s="588">
        <v>3.61</v>
      </c>
      <c r="N17" s="588">
        <v>5.52</v>
      </c>
      <c r="O17" s="588" t="s">
        <v>123</v>
      </c>
      <c r="P17" s="587" t="s">
        <v>123</v>
      </c>
      <c r="Q17" s="587" t="s">
        <v>123</v>
      </c>
      <c r="R17" s="588">
        <v>8.19</v>
      </c>
      <c r="S17" s="588">
        <v>10.08</v>
      </c>
      <c r="T17" s="587">
        <v>12.87</v>
      </c>
      <c r="U17" s="587">
        <v>9.8699999999999992</v>
      </c>
      <c r="V17" s="588" t="s">
        <v>123</v>
      </c>
      <c r="W17" s="588">
        <v>9.01</v>
      </c>
      <c r="X17" s="588" t="s">
        <v>123</v>
      </c>
      <c r="Y17" s="587" t="s">
        <v>123</v>
      </c>
      <c r="Z17" s="587" t="s">
        <v>123</v>
      </c>
      <c r="AA17" s="587" t="s">
        <v>123</v>
      </c>
      <c r="AB17" s="587" t="s">
        <v>123</v>
      </c>
      <c r="AC17" s="587" t="s">
        <v>123</v>
      </c>
      <c r="AD17" s="587" t="s">
        <v>123</v>
      </c>
      <c r="AE17" s="587" t="s">
        <v>123</v>
      </c>
      <c r="AF17" s="588">
        <v>14.212499999999999</v>
      </c>
      <c r="AG17" s="588">
        <v>15.65</v>
      </c>
      <c r="AH17" s="588">
        <v>19.899999999999999</v>
      </c>
      <c r="AI17" s="588">
        <v>7.79</v>
      </c>
      <c r="AJ17" s="588">
        <v>3.72</v>
      </c>
      <c r="AK17" s="587" t="s">
        <v>123</v>
      </c>
      <c r="AL17" s="587" t="s">
        <v>123</v>
      </c>
      <c r="AM17" s="587" t="s">
        <v>123</v>
      </c>
      <c r="AN17" s="587">
        <v>2.3199999999999998</v>
      </c>
      <c r="AO17" s="587">
        <v>2.61</v>
      </c>
      <c r="AP17" s="597">
        <f>SUM(CT[[#This Row],[cut]:[ps]])+SUM(CT[[#This Row],[pm]:[pm!]])/2+SUM(CT[[#This Row],[Column1]:[bst]])+SUM(CT[[#This Row],[ch]:[bst]])+CT[[#This Row],[t2]]+SUM(CT[[#This Row],[lbl]:[pck]])</f>
        <v>92.504999999999995</v>
      </c>
      <c r="AQ17" s="612">
        <v>1</v>
      </c>
    </row>
    <row r="18" spans="1:45" ht="16.5" x14ac:dyDescent="0.25">
      <c r="A18" s="592">
        <v>140030040</v>
      </c>
      <c r="B18" s="593" t="s">
        <v>1660</v>
      </c>
      <c r="C18" s="594">
        <v>4.01</v>
      </c>
      <c r="D18" s="594" t="s">
        <v>123</v>
      </c>
      <c r="E18" s="594">
        <v>1.89</v>
      </c>
      <c r="F18" s="594">
        <v>1.73</v>
      </c>
      <c r="G18" s="594" t="s">
        <v>123</v>
      </c>
      <c r="H18" s="594">
        <v>4.75</v>
      </c>
      <c r="I18" s="589">
        <v>3.23</v>
      </c>
      <c r="J18" s="589">
        <v>4.1500000000000004</v>
      </c>
      <c r="K18" s="589" t="s">
        <v>123</v>
      </c>
      <c r="L18" s="594">
        <v>2.15</v>
      </c>
      <c r="M18" s="589">
        <v>3.61</v>
      </c>
      <c r="N18" s="589">
        <v>5.52</v>
      </c>
      <c r="O18" s="589" t="s">
        <v>123</v>
      </c>
      <c r="P18" s="594" t="s">
        <v>123</v>
      </c>
      <c r="Q18" s="594" t="s">
        <v>123</v>
      </c>
      <c r="R18" s="589">
        <v>8.19</v>
      </c>
      <c r="S18" s="589">
        <v>10.08</v>
      </c>
      <c r="T18" s="594">
        <v>12.87</v>
      </c>
      <c r="U18" s="594">
        <v>9.8699999999999992</v>
      </c>
      <c r="V18" s="589">
        <v>4.8</v>
      </c>
      <c r="W18" s="589">
        <v>9.01</v>
      </c>
      <c r="X18" s="589" t="s">
        <v>123</v>
      </c>
      <c r="Y18" s="594" t="s">
        <v>123</v>
      </c>
      <c r="Z18" s="594" t="s">
        <v>123</v>
      </c>
      <c r="AA18" s="594" t="s">
        <v>123</v>
      </c>
      <c r="AB18" s="594" t="s">
        <v>123</v>
      </c>
      <c r="AC18" s="594" t="s">
        <v>123</v>
      </c>
      <c r="AD18" s="594" t="s">
        <v>123</v>
      </c>
      <c r="AE18" s="594" t="s">
        <v>123</v>
      </c>
      <c r="AF18" s="589">
        <v>14.212499999999999</v>
      </c>
      <c r="AG18" s="589">
        <v>15.65</v>
      </c>
      <c r="AH18" s="589">
        <v>19.899999999999999</v>
      </c>
      <c r="AI18" s="589">
        <v>7.79</v>
      </c>
      <c r="AJ18" s="589">
        <v>3.72</v>
      </c>
      <c r="AK18" s="594" t="s">
        <v>123</v>
      </c>
      <c r="AL18" s="594" t="s">
        <v>123</v>
      </c>
      <c r="AM18" s="594" t="s">
        <v>123</v>
      </c>
      <c r="AN18" s="594">
        <v>2.3199999999999998</v>
      </c>
      <c r="AO18" s="594">
        <v>2.61</v>
      </c>
      <c r="AP18" s="595">
        <f>SUM(CT[[#This Row],[cut]:[ps]])+SUM(CT[[#This Row],[pm]:[pm!]])/2+SUM(CT[[#This Row],[Column1]:[bst]])+SUM(CT[[#This Row],[ch]:[bst]])+CT[[#This Row],[t2]]+SUM(CT[[#This Row],[lbl]:[pck]])</f>
        <v>97.305000000000007</v>
      </c>
      <c r="AQ18" s="605">
        <v>1</v>
      </c>
    </row>
    <row r="19" spans="1:45" ht="16.5" x14ac:dyDescent="0.25">
      <c r="A19" s="617">
        <v>140090143</v>
      </c>
      <c r="B19" s="618" t="s">
        <v>1660</v>
      </c>
      <c r="C19" s="619">
        <v>4.01</v>
      </c>
      <c r="D19" s="619" t="s">
        <v>123</v>
      </c>
      <c r="E19" s="619">
        <v>1.89</v>
      </c>
      <c r="F19" s="619">
        <v>1.73</v>
      </c>
      <c r="G19" s="619" t="s">
        <v>123</v>
      </c>
      <c r="H19" s="619" t="s">
        <v>123</v>
      </c>
      <c r="I19" s="620">
        <v>3.23</v>
      </c>
      <c r="J19" s="620">
        <v>4.1500000000000004</v>
      </c>
      <c r="K19" s="620" t="s">
        <v>123</v>
      </c>
      <c r="L19" s="619">
        <v>2.15</v>
      </c>
      <c r="M19" s="620" t="s">
        <v>123</v>
      </c>
      <c r="N19" s="620">
        <v>5.52</v>
      </c>
      <c r="O19" s="620" t="s">
        <v>123</v>
      </c>
      <c r="P19" s="619" t="s">
        <v>123</v>
      </c>
      <c r="Q19" s="619">
        <v>8.75</v>
      </c>
      <c r="R19" s="620">
        <v>8.19</v>
      </c>
      <c r="S19" s="620">
        <v>10.08</v>
      </c>
      <c r="T19" s="619">
        <v>12.87</v>
      </c>
      <c r="U19" s="619">
        <v>9.8699999999999992</v>
      </c>
      <c r="V19" s="620" t="s">
        <v>123</v>
      </c>
      <c r="W19" s="620">
        <v>9.01</v>
      </c>
      <c r="X19" s="620" t="s">
        <v>123</v>
      </c>
      <c r="Y19" s="619" t="s">
        <v>123</v>
      </c>
      <c r="Z19" s="619" t="s">
        <v>123</v>
      </c>
      <c r="AA19" s="619">
        <v>31.3</v>
      </c>
      <c r="AB19" s="619">
        <v>18.829999999999998</v>
      </c>
      <c r="AC19" s="619">
        <v>8.75</v>
      </c>
      <c r="AD19" s="619">
        <v>7.22</v>
      </c>
      <c r="AE19" s="619" t="s">
        <v>123</v>
      </c>
      <c r="AF19" s="620">
        <v>14.212499999999999</v>
      </c>
      <c r="AG19" s="620">
        <v>15.65</v>
      </c>
      <c r="AH19" s="620">
        <v>19.899999999999999</v>
      </c>
      <c r="AI19" s="620">
        <v>7.79</v>
      </c>
      <c r="AJ19" s="620">
        <v>3.72</v>
      </c>
      <c r="AK19" s="619">
        <v>7.19</v>
      </c>
      <c r="AL19" s="619" t="s">
        <v>123</v>
      </c>
      <c r="AM19" s="619" t="s">
        <v>123</v>
      </c>
      <c r="AN19" s="619">
        <v>2.9</v>
      </c>
      <c r="AO19" s="619">
        <v>2.96</v>
      </c>
      <c r="AP19" s="621">
        <f>SUM(CT[[#This Row],[cut]:[ps]])+SUM(CT[[#This Row],[pm]:[pm!]])/2+SUM(CT[[#This Row],[Column1]:[bst]])+SUM(CT[[#This Row],[ch]:[bst]])+CT[[#This Row],[t2]]+SUM(CT[[#This Row],[lbl]:[pck]])</f>
        <v>233.215</v>
      </c>
      <c r="AQ19" s="622"/>
      <c r="AS19" s="22"/>
    </row>
    <row r="20" spans="1:45" ht="16.5" x14ac:dyDescent="0.25">
      <c r="A20" s="590">
        <v>140220012</v>
      </c>
      <c r="B20" s="591" t="s">
        <v>1660</v>
      </c>
      <c r="C20" s="587">
        <v>4.01</v>
      </c>
      <c r="D20" s="587">
        <v>5.24</v>
      </c>
      <c r="E20" s="587">
        <v>1.89</v>
      </c>
      <c r="F20" s="587">
        <v>1.73</v>
      </c>
      <c r="G20" s="587" t="s">
        <v>123</v>
      </c>
      <c r="H20" s="587">
        <v>4.75</v>
      </c>
      <c r="I20" s="588">
        <v>3.23</v>
      </c>
      <c r="J20" s="588">
        <v>4.1500000000000004</v>
      </c>
      <c r="K20" s="588" t="s">
        <v>123</v>
      </c>
      <c r="L20" s="587">
        <v>2.15</v>
      </c>
      <c r="M20" s="588">
        <v>3.61</v>
      </c>
      <c r="N20" s="588">
        <v>5.52</v>
      </c>
      <c r="O20" s="588" t="s">
        <v>123</v>
      </c>
      <c r="P20" s="587" t="s">
        <v>123</v>
      </c>
      <c r="Q20" s="587" t="s">
        <v>123</v>
      </c>
      <c r="R20" s="588">
        <v>8.19</v>
      </c>
      <c r="S20" s="588">
        <v>10.08</v>
      </c>
      <c r="T20" s="587">
        <v>12.87</v>
      </c>
      <c r="U20" s="587">
        <v>9.8699999999999992</v>
      </c>
      <c r="V20" s="588" t="s">
        <v>123</v>
      </c>
      <c r="W20" s="588">
        <v>6.98</v>
      </c>
      <c r="X20" s="588" t="s">
        <v>123</v>
      </c>
      <c r="Y20" s="587" t="s">
        <v>123</v>
      </c>
      <c r="Z20" s="587" t="s">
        <v>123</v>
      </c>
      <c r="AA20" s="587">
        <v>48.11</v>
      </c>
      <c r="AB20" s="587" t="s">
        <v>123</v>
      </c>
      <c r="AC20" s="587" t="s">
        <v>123</v>
      </c>
      <c r="AD20" s="587" t="s">
        <v>123</v>
      </c>
      <c r="AE20" s="587" t="s">
        <v>124</v>
      </c>
      <c r="AF20" s="588">
        <v>14.212499999999999</v>
      </c>
      <c r="AG20" s="588">
        <v>15.65</v>
      </c>
      <c r="AH20" s="588">
        <v>19.899999999999999</v>
      </c>
      <c r="AI20" s="588">
        <v>7.79</v>
      </c>
      <c r="AJ20" s="588">
        <v>3.72</v>
      </c>
      <c r="AK20" s="587" t="s">
        <v>123</v>
      </c>
      <c r="AL20" s="587" t="s">
        <v>123</v>
      </c>
      <c r="AM20" s="587" t="s">
        <v>123</v>
      </c>
      <c r="AN20" s="587">
        <v>2.9</v>
      </c>
      <c r="AO20" s="587">
        <v>2.96</v>
      </c>
      <c r="AP20" s="597">
        <f>SUM(CT[[#This Row],[cut]:[ps]])+SUM(CT[[#This Row],[pm]:[pm!]])/2+SUM(CT[[#This Row],[Column1]:[bst]])+SUM(CT[[#This Row],[ch]:[bst]])+CT[[#This Row],[t2]]+SUM(CT[[#This Row],[lbl]:[pck]])</f>
        <v>192.86500000000001</v>
      </c>
      <c r="AQ20" s="612"/>
    </row>
    <row r="21" spans="1:45" ht="16.5" x14ac:dyDescent="0.25">
      <c r="A21" s="592">
        <v>140310075</v>
      </c>
      <c r="B21" s="593" t="s">
        <v>1660</v>
      </c>
      <c r="C21" s="594">
        <v>4.01</v>
      </c>
      <c r="D21" s="594" t="s">
        <v>123</v>
      </c>
      <c r="E21" s="594">
        <v>1.89</v>
      </c>
      <c r="F21" s="594">
        <v>1.73</v>
      </c>
      <c r="G21" s="594" t="s">
        <v>123</v>
      </c>
      <c r="H21" s="594">
        <v>4.75</v>
      </c>
      <c r="I21" s="589">
        <v>3.23</v>
      </c>
      <c r="J21" s="589">
        <v>4.1500000000000004</v>
      </c>
      <c r="K21" s="589" t="s">
        <v>123</v>
      </c>
      <c r="L21" s="594">
        <v>2.15</v>
      </c>
      <c r="M21" s="589">
        <v>3.61</v>
      </c>
      <c r="N21" s="589">
        <v>5.52</v>
      </c>
      <c r="O21" s="589" t="s">
        <v>123</v>
      </c>
      <c r="P21" s="594" t="s">
        <v>123</v>
      </c>
      <c r="Q21" s="594" t="s">
        <v>123</v>
      </c>
      <c r="R21" s="589">
        <v>8.19</v>
      </c>
      <c r="S21" s="589">
        <v>10.08</v>
      </c>
      <c r="T21" s="594">
        <v>12.87</v>
      </c>
      <c r="U21" s="594">
        <v>9.8699999999999992</v>
      </c>
      <c r="V21" s="589" t="s">
        <v>123</v>
      </c>
      <c r="W21" s="589" t="s">
        <v>124</v>
      </c>
      <c r="X21" s="589" t="s">
        <v>123</v>
      </c>
      <c r="Y21" s="594" t="s">
        <v>123</v>
      </c>
      <c r="Z21" s="594" t="s">
        <v>123</v>
      </c>
      <c r="AA21" s="594" t="s">
        <v>123</v>
      </c>
      <c r="AB21" s="594">
        <v>31.09</v>
      </c>
      <c r="AC21" s="594" t="s">
        <v>123</v>
      </c>
      <c r="AD21" s="594" t="s">
        <v>123</v>
      </c>
      <c r="AE21" s="594" t="s">
        <v>124</v>
      </c>
      <c r="AF21" s="589">
        <v>14.212499999999999</v>
      </c>
      <c r="AG21" s="589">
        <v>15.65</v>
      </c>
      <c r="AH21" s="589">
        <v>19.899999999999999</v>
      </c>
      <c r="AI21" s="589">
        <v>7.79</v>
      </c>
      <c r="AJ21" s="589">
        <v>3.72</v>
      </c>
      <c r="AK21" s="594">
        <v>8.2799999999999994</v>
      </c>
      <c r="AL21" s="594" t="s">
        <v>123</v>
      </c>
      <c r="AM21" s="594" t="s">
        <v>123</v>
      </c>
      <c r="AN21" s="594">
        <v>2.9</v>
      </c>
      <c r="AO21" s="594">
        <v>2.96</v>
      </c>
      <c r="AP21" s="595">
        <f>SUM(CT[[#This Row],[cut]:[ps]])+SUM(CT[[#This Row],[pm]:[pm!]])/2+SUM(CT[[#This Row],[Column1]:[bst]])+SUM(CT[[#This Row],[ch]:[bst]])+CT[[#This Row],[t2]]+SUM(CT[[#This Row],[lbl]:[pck]])</f>
        <v>154.88499999999999</v>
      </c>
      <c r="AQ21" s="605"/>
    </row>
    <row r="22" spans="1:45" ht="16.5" x14ac:dyDescent="0.25">
      <c r="A22" s="617">
        <v>140550019</v>
      </c>
      <c r="B22" s="618" t="s">
        <v>1660</v>
      </c>
      <c r="C22" s="619">
        <v>4.01</v>
      </c>
      <c r="D22" s="619">
        <v>5.24</v>
      </c>
      <c r="E22" s="619">
        <v>1.89</v>
      </c>
      <c r="F22" s="619">
        <v>1.73</v>
      </c>
      <c r="G22" s="619" t="s">
        <v>123</v>
      </c>
      <c r="H22" s="619">
        <v>4.75</v>
      </c>
      <c r="I22" s="620">
        <v>3.23</v>
      </c>
      <c r="J22" s="620">
        <v>4.1500000000000004</v>
      </c>
      <c r="K22" s="620" t="s">
        <v>123</v>
      </c>
      <c r="L22" s="619">
        <v>2.15</v>
      </c>
      <c r="M22" s="620">
        <v>3.61</v>
      </c>
      <c r="N22" s="620">
        <v>5.52</v>
      </c>
      <c r="O22" s="620" t="s">
        <v>123</v>
      </c>
      <c r="P22" s="619" t="s">
        <v>123</v>
      </c>
      <c r="Q22" s="619" t="s">
        <v>123</v>
      </c>
      <c r="R22" s="620">
        <v>8.19</v>
      </c>
      <c r="S22" s="620">
        <v>10.08</v>
      </c>
      <c r="T22" s="619">
        <v>12.87</v>
      </c>
      <c r="U22" s="619">
        <v>9.8699999999999992</v>
      </c>
      <c r="V22" s="620" t="s">
        <v>123</v>
      </c>
      <c r="W22" s="620">
        <v>6.98</v>
      </c>
      <c r="X22" s="620">
        <v>25.11</v>
      </c>
      <c r="Y22" s="619">
        <v>33.549999999999997</v>
      </c>
      <c r="Z22" s="619" t="s">
        <v>123</v>
      </c>
      <c r="AA22" s="619">
        <v>7.81</v>
      </c>
      <c r="AB22" s="619" t="s">
        <v>123</v>
      </c>
      <c r="AC22" s="619" t="s">
        <v>123</v>
      </c>
      <c r="AD22" s="619" t="s">
        <v>123</v>
      </c>
      <c r="AE22" s="619" t="s">
        <v>123</v>
      </c>
      <c r="AF22" s="620">
        <v>14.212499999999999</v>
      </c>
      <c r="AG22" s="620">
        <v>15.65</v>
      </c>
      <c r="AH22" s="620">
        <v>19.899999999999999</v>
      </c>
      <c r="AI22" s="620">
        <v>7.79</v>
      </c>
      <c r="AJ22" s="620">
        <v>3.72</v>
      </c>
      <c r="AK22" s="619">
        <v>7.19</v>
      </c>
      <c r="AL22" s="619" t="s">
        <v>123</v>
      </c>
      <c r="AM22" s="619" t="s">
        <v>123</v>
      </c>
      <c r="AN22" s="619">
        <v>2.9</v>
      </c>
      <c r="AO22" s="619">
        <v>2.96</v>
      </c>
      <c r="AP22" s="621">
        <f>SUM(CT[[#This Row],[cut]:[ps]])+SUM(CT[[#This Row],[pm]:[pm!]])/2+SUM(CT[[#This Row],[Column1]:[bst]])+SUM(CT[[#This Row],[ch]:[bst]])+CT[[#This Row],[t2]]+SUM(CT[[#This Row],[lbl]:[pck]])</f>
        <v>211.66499999999999</v>
      </c>
      <c r="AQ22" s="622"/>
    </row>
    <row r="23" spans="1:45" ht="16.5" x14ac:dyDescent="0.25">
      <c r="A23" s="590">
        <v>140640035</v>
      </c>
      <c r="B23" s="591" t="s">
        <v>1660</v>
      </c>
      <c r="C23" s="587">
        <v>4.01</v>
      </c>
      <c r="D23" s="587">
        <v>5.24</v>
      </c>
      <c r="E23" s="587">
        <v>1.89</v>
      </c>
      <c r="F23" s="587">
        <v>1.73</v>
      </c>
      <c r="G23" s="587" t="s">
        <v>123</v>
      </c>
      <c r="H23" s="587">
        <v>4.75</v>
      </c>
      <c r="I23" s="588">
        <v>3.23</v>
      </c>
      <c r="J23" s="588">
        <v>4.1500000000000004</v>
      </c>
      <c r="K23" s="588" t="s">
        <v>123</v>
      </c>
      <c r="L23" s="587">
        <v>2.15</v>
      </c>
      <c r="M23" s="588">
        <v>3.61</v>
      </c>
      <c r="N23" s="588">
        <v>5.52</v>
      </c>
      <c r="O23" s="588" t="s">
        <v>123</v>
      </c>
      <c r="P23" s="587" t="s">
        <v>123</v>
      </c>
      <c r="Q23" s="587" t="s">
        <v>123</v>
      </c>
      <c r="R23" s="588">
        <v>8.19</v>
      </c>
      <c r="S23" s="588">
        <v>10.08</v>
      </c>
      <c r="T23" s="587">
        <v>12.87</v>
      </c>
      <c r="U23" s="587">
        <v>9.8699999999999992</v>
      </c>
      <c r="V23" s="588" t="s">
        <v>123</v>
      </c>
      <c r="W23" s="588">
        <v>9.01</v>
      </c>
      <c r="X23" s="588"/>
      <c r="Y23" s="587" t="s">
        <v>123</v>
      </c>
      <c r="Z23" s="587" t="s">
        <v>123</v>
      </c>
      <c r="AA23" s="587">
        <v>15.57</v>
      </c>
      <c r="AB23" s="587" t="s">
        <v>123</v>
      </c>
      <c r="AC23" s="587">
        <v>19.86</v>
      </c>
      <c r="AD23" s="587" t="s">
        <v>124</v>
      </c>
      <c r="AE23" s="587" t="s">
        <v>123</v>
      </c>
      <c r="AF23" s="588">
        <v>14.212499999999999</v>
      </c>
      <c r="AG23" s="588">
        <v>15.65</v>
      </c>
      <c r="AH23" s="588">
        <v>19.899999999999999</v>
      </c>
      <c r="AI23" s="588">
        <v>7.79</v>
      </c>
      <c r="AJ23" s="588">
        <v>3.72</v>
      </c>
      <c r="AK23" s="587">
        <v>7.19</v>
      </c>
      <c r="AL23" s="587" t="s">
        <v>123</v>
      </c>
      <c r="AM23" s="587" t="s">
        <v>123</v>
      </c>
      <c r="AN23" s="587">
        <v>2.9</v>
      </c>
      <c r="AO23" s="587">
        <v>2.96</v>
      </c>
      <c r="AP23" s="597">
        <f>SUM(CT[[#This Row],[cut]:[ps]])+SUM(CT[[#This Row],[pm]:[pm!]])/2+SUM(CT[[#This Row],[Column1]:[bst]])+SUM(CT[[#This Row],[ch]:[bst]])+CT[[#This Row],[t2]]+SUM(CT[[#This Row],[lbl]:[pck]])</f>
        <v>176.72500000000002</v>
      </c>
      <c r="AQ23" s="612"/>
    </row>
    <row r="24" spans="1:45" ht="16.5" x14ac:dyDescent="0.25">
      <c r="A24" s="592">
        <v>141650001</v>
      </c>
      <c r="B24" s="593" t="s">
        <v>1660</v>
      </c>
      <c r="C24" s="594">
        <v>4.01</v>
      </c>
      <c r="D24" s="594" t="s">
        <v>123</v>
      </c>
      <c r="E24" s="594">
        <v>1.89</v>
      </c>
      <c r="F24" s="594">
        <v>1.73</v>
      </c>
      <c r="G24" s="594" t="s">
        <v>123</v>
      </c>
      <c r="H24" s="594">
        <v>4.75</v>
      </c>
      <c r="I24" s="589">
        <v>3.23</v>
      </c>
      <c r="J24" s="589">
        <v>4.1500000000000004</v>
      </c>
      <c r="K24" s="589" t="s">
        <v>123</v>
      </c>
      <c r="L24" s="594">
        <v>2.15</v>
      </c>
      <c r="M24" s="589">
        <v>3.61</v>
      </c>
      <c r="N24" s="589">
        <v>5.52</v>
      </c>
      <c r="O24" s="589" t="s">
        <v>123</v>
      </c>
      <c r="P24" s="594" t="s">
        <v>123</v>
      </c>
      <c r="Q24" s="594" t="s">
        <v>123</v>
      </c>
      <c r="R24" s="589">
        <v>8.19</v>
      </c>
      <c r="S24" s="589">
        <v>10.08</v>
      </c>
      <c r="T24" s="594">
        <v>12.87</v>
      </c>
      <c r="U24" s="594">
        <v>9.8699999999999992</v>
      </c>
      <c r="V24" s="589" t="s">
        <v>123</v>
      </c>
      <c r="W24" s="589" t="s">
        <v>123</v>
      </c>
      <c r="X24" s="589">
        <v>8.26</v>
      </c>
      <c r="Y24" s="594" t="s">
        <v>123</v>
      </c>
      <c r="Z24" s="594" t="s">
        <v>123</v>
      </c>
      <c r="AA24" s="594" t="s">
        <v>123</v>
      </c>
      <c r="AB24" s="594" t="s">
        <v>123</v>
      </c>
      <c r="AC24" s="594" t="s">
        <v>123</v>
      </c>
      <c r="AD24" s="594" t="s">
        <v>123</v>
      </c>
      <c r="AE24" s="594" t="s">
        <v>123</v>
      </c>
      <c r="AF24" s="589">
        <v>14.212499999999999</v>
      </c>
      <c r="AG24" s="589">
        <v>15.65</v>
      </c>
      <c r="AH24" s="589">
        <v>19.899999999999999</v>
      </c>
      <c r="AI24" s="589">
        <v>7.79</v>
      </c>
      <c r="AJ24" s="589">
        <v>3.72</v>
      </c>
      <c r="AK24" s="594">
        <v>8.2799999999999994</v>
      </c>
      <c r="AL24" s="594" t="s">
        <v>123</v>
      </c>
      <c r="AM24" s="594" t="s">
        <v>123</v>
      </c>
      <c r="AN24" s="594">
        <v>2.9</v>
      </c>
      <c r="AO24" s="594">
        <v>2.96</v>
      </c>
      <c r="AP24" s="595">
        <f>SUM(CT[[#This Row],[cut]:[ps]])+SUM(CT[[#This Row],[pm]:[pm!]])/2+SUM(CT[[#This Row],[Column1]:[bst]])+SUM(CT[[#This Row],[ch]:[bst]])+CT[[#This Row],[t2]]+SUM(CT[[#This Row],[lbl]:[pck]])</f>
        <v>100.965</v>
      </c>
      <c r="AQ24" s="605"/>
    </row>
    <row r="25" spans="1:45" ht="16.5" x14ac:dyDescent="0.25">
      <c r="A25" s="617">
        <v>140310083</v>
      </c>
      <c r="B25" s="618" t="s">
        <v>1660</v>
      </c>
      <c r="C25" s="619">
        <v>4.01</v>
      </c>
      <c r="D25" s="619" t="s">
        <v>123</v>
      </c>
      <c r="E25" s="619">
        <v>1.89</v>
      </c>
      <c r="F25" s="619">
        <v>1.73</v>
      </c>
      <c r="G25" s="619" t="s">
        <v>123</v>
      </c>
      <c r="H25" s="619">
        <v>4.75</v>
      </c>
      <c r="I25" s="620" t="s">
        <v>123</v>
      </c>
      <c r="J25" s="620" t="s">
        <v>123</v>
      </c>
      <c r="K25" s="620">
        <v>6.61</v>
      </c>
      <c r="L25" s="619">
        <v>2.15</v>
      </c>
      <c r="M25" s="620" t="s">
        <v>123</v>
      </c>
      <c r="N25" s="620" t="s">
        <v>123</v>
      </c>
      <c r="O25" s="620">
        <v>7.91</v>
      </c>
      <c r="P25" s="619" t="s">
        <v>123</v>
      </c>
      <c r="Q25" s="619" t="s">
        <v>123</v>
      </c>
      <c r="R25" s="620">
        <v>8.19</v>
      </c>
      <c r="S25" s="620">
        <v>10.08</v>
      </c>
      <c r="T25" s="619">
        <v>12.87</v>
      </c>
      <c r="U25" s="619">
        <v>9.8699999999999992</v>
      </c>
      <c r="V25" s="620" t="s">
        <v>123</v>
      </c>
      <c r="W25" s="620" t="s">
        <v>123</v>
      </c>
      <c r="X25" s="620">
        <v>8.26</v>
      </c>
      <c r="Y25" s="619">
        <v>18.13</v>
      </c>
      <c r="Z25" s="619" t="s">
        <v>123</v>
      </c>
      <c r="AA25" s="619" t="s">
        <v>123</v>
      </c>
      <c r="AB25" s="619" t="s">
        <v>123</v>
      </c>
      <c r="AC25" s="619" t="s">
        <v>123</v>
      </c>
      <c r="AD25" s="619" t="s">
        <v>123</v>
      </c>
      <c r="AE25" s="619" t="s">
        <v>123</v>
      </c>
      <c r="AF25" s="620">
        <v>14.212499999999999</v>
      </c>
      <c r="AG25" s="620">
        <v>15.65</v>
      </c>
      <c r="AH25" s="620">
        <v>19.899999999999999</v>
      </c>
      <c r="AI25" s="620">
        <v>7.79</v>
      </c>
      <c r="AJ25" s="620">
        <v>3.72</v>
      </c>
      <c r="AK25" s="619">
        <v>8.2799999999999994</v>
      </c>
      <c r="AL25" s="619" t="s">
        <v>123</v>
      </c>
      <c r="AM25" s="619" t="s">
        <v>123</v>
      </c>
      <c r="AN25" s="619">
        <v>2.9</v>
      </c>
      <c r="AO25" s="619">
        <v>2.96</v>
      </c>
      <c r="AP25" s="621">
        <f>SUM(CT[[#This Row],[cut]:[ps]])+SUM(CT[[#This Row],[pm]:[pm!]])/2+SUM(CT[[#This Row],[Column1]:[bst]])+SUM(CT[[#This Row],[ch]:[bst]])+CT[[#This Row],[t2]]+SUM(CT[[#This Row],[lbl]:[pck]])</f>
        <v>135.23500000000001</v>
      </c>
      <c r="AQ25" s="622">
        <v>1</v>
      </c>
    </row>
    <row r="26" spans="1:45" ht="16.5" x14ac:dyDescent="0.25">
      <c r="A26" s="590">
        <v>140310071</v>
      </c>
      <c r="B26" s="591" t="s">
        <v>1660</v>
      </c>
      <c r="C26" s="587">
        <v>4.01</v>
      </c>
      <c r="D26" s="587">
        <v>5.24</v>
      </c>
      <c r="E26" s="587">
        <v>1.89</v>
      </c>
      <c r="F26" s="587">
        <v>1.73</v>
      </c>
      <c r="G26" s="587" t="s">
        <v>123</v>
      </c>
      <c r="H26" s="587">
        <v>4.75</v>
      </c>
      <c r="I26" s="588">
        <v>3.23</v>
      </c>
      <c r="J26" s="588">
        <v>4.1500000000000004</v>
      </c>
      <c r="K26" s="588" t="s">
        <v>123</v>
      </c>
      <c r="L26" s="587">
        <v>2.15</v>
      </c>
      <c r="M26" s="588">
        <v>3.61</v>
      </c>
      <c r="N26" s="588">
        <v>5.52</v>
      </c>
      <c r="O26" s="588" t="s">
        <v>123</v>
      </c>
      <c r="P26" s="587" t="s">
        <v>123</v>
      </c>
      <c r="Q26" s="587" t="s">
        <v>123</v>
      </c>
      <c r="R26" s="588">
        <v>8.19</v>
      </c>
      <c r="S26" s="588">
        <v>10.08</v>
      </c>
      <c r="T26" s="587">
        <v>12.87</v>
      </c>
      <c r="U26" s="587">
        <v>9.8699999999999992</v>
      </c>
      <c r="V26" s="588" t="s">
        <v>123</v>
      </c>
      <c r="W26" s="588">
        <v>6.4</v>
      </c>
      <c r="X26" s="588" t="s">
        <v>123</v>
      </c>
      <c r="Y26" s="587">
        <v>10.15</v>
      </c>
      <c r="Z26" s="587" t="s">
        <v>123</v>
      </c>
      <c r="AA26" s="587" t="s">
        <v>123</v>
      </c>
      <c r="AB26" s="587" t="s">
        <v>123</v>
      </c>
      <c r="AC26" s="587" t="s">
        <v>123</v>
      </c>
      <c r="AD26" s="587" t="s">
        <v>123</v>
      </c>
      <c r="AE26" s="587" t="s">
        <v>123</v>
      </c>
      <c r="AF26" s="588">
        <v>14.212499999999999</v>
      </c>
      <c r="AG26" s="588">
        <v>15.65</v>
      </c>
      <c r="AH26" s="588">
        <v>19.899999999999999</v>
      </c>
      <c r="AI26" s="588">
        <v>7.79</v>
      </c>
      <c r="AJ26" s="588">
        <v>3.72</v>
      </c>
      <c r="AK26" s="587">
        <v>8.2799999999999994</v>
      </c>
      <c r="AL26" s="587">
        <v>8.75</v>
      </c>
      <c r="AM26" s="587" t="s">
        <v>123</v>
      </c>
      <c r="AN26" s="587" t="s">
        <v>123</v>
      </c>
      <c r="AO26" s="587">
        <v>3.16</v>
      </c>
      <c r="AP26" s="597">
        <f>SUM(CT[[#This Row],[cut]:[ps]])+SUM(CT[[#This Row],[pm]:[pm!]])/2+SUM(CT[[#This Row],[Column1]:[bst]])+SUM(CT[[#This Row],[ch]:[bst]])+CT[[#This Row],[t2]]+SUM(CT[[#This Row],[lbl]:[pck]])</f>
        <v>130.69500000000002</v>
      </c>
      <c r="AQ26" s="612">
        <v>1</v>
      </c>
    </row>
    <row r="27" spans="1:45" ht="16.5" x14ac:dyDescent="0.25">
      <c r="A27" s="592">
        <v>140010255</v>
      </c>
      <c r="B27" s="593" t="s">
        <v>1660</v>
      </c>
      <c r="C27" s="594">
        <v>4.01</v>
      </c>
      <c r="D27" s="594" t="s">
        <v>123</v>
      </c>
      <c r="E27" s="594">
        <v>1.89</v>
      </c>
      <c r="F27" s="594">
        <v>1.73</v>
      </c>
      <c r="G27" s="594" t="s">
        <v>123</v>
      </c>
      <c r="H27" s="594">
        <v>4.8</v>
      </c>
      <c r="I27" s="589">
        <v>3.23</v>
      </c>
      <c r="J27" s="589">
        <v>4.1500000000000004</v>
      </c>
      <c r="K27" s="589" t="s">
        <v>123</v>
      </c>
      <c r="L27" s="594">
        <v>2.15</v>
      </c>
      <c r="M27" s="589" t="s">
        <v>123</v>
      </c>
      <c r="N27" s="589">
        <v>5.52</v>
      </c>
      <c r="O27" s="589" t="s">
        <v>123</v>
      </c>
      <c r="P27" s="594">
        <v>7.2</v>
      </c>
      <c r="Q27" s="594" t="s">
        <v>123</v>
      </c>
      <c r="R27" s="589">
        <v>8.19</v>
      </c>
      <c r="S27" s="589">
        <v>10.08</v>
      </c>
      <c r="T27" s="594">
        <v>12.87</v>
      </c>
      <c r="U27" s="594">
        <v>9.8699999999999992</v>
      </c>
      <c r="V27" s="589" t="s">
        <v>123</v>
      </c>
      <c r="W27" s="589" t="s">
        <v>123</v>
      </c>
      <c r="X27" s="589" t="s">
        <v>123</v>
      </c>
      <c r="Y27" s="594" t="s">
        <v>123</v>
      </c>
      <c r="Z27" s="594" t="s">
        <v>123</v>
      </c>
      <c r="AA27" s="594" t="s">
        <v>123</v>
      </c>
      <c r="AB27" s="594" t="s">
        <v>123</v>
      </c>
      <c r="AC27" s="594" t="s">
        <v>123</v>
      </c>
      <c r="AD27" s="594" t="s">
        <v>123</v>
      </c>
      <c r="AE27" s="594" t="s">
        <v>123</v>
      </c>
      <c r="AF27" s="589">
        <v>14.212499999999999</v>
      </c>
      <c r="AG27" s="589">
        <v>15.65</v>
      </c>
      <c r="AH27" s="589">
        <v>19.899999999999999</v>
      </c>
      <c r="AI27" s="589">
        <v>7.79</v>
      </c>
      <c r="AJ27" s="589">
        <v>3.72</v>
      </c>
      <c r="AK27" s="594" t="s">
        <v>123</v>
      </c>
      <c r="AL27" s="594" t="s">
        <v>123</v>
      </c>
      <c r="AM27" s="594">
        <v>10.76</v>
      </c>
      <c r="AN27" s="594" t="s">
        <v>123</v>
      </c>
      <c r="AO27" s="594">
        <v>2.61</v>
      </c>
      <c r="AP27" s="595">
        <f>SUM(CT[[#This Row],[cut]:[ps]])+SUM(CT[[#This Row],[pm]:[pm!]])/2+SUM(CT[[#This Row],[Column1]:[bst]])+SUM(CT[[#This Row],[ch]:[bst]])+CT[[#This Row],[t2]]+SUM(CT[[#This Row],[lbl]:[pck]])</f>
        <v>95.575000000000003</v>
      </c>
      <c r="AQ27" s="605">
        <v>1</v>
      </c>
    </row>
    <row r="28" spans="1:45" ht="16.5" x14ac:dyDescent="0.25">
      <c r="A28" s="617">
        <v>140310007</v>
      </c>
      <c r="B28" s="618" t="s">
        <v>1660</v>
      </c>
      <c r="C28" s="619">
        <v>4.01</v>
      </c>
      <c r="D28" s="619">
        <v>5.23</v>
      </c>
      <c r="E28" s="619">
        <v>1.89</v>
      </c>
      <c r="F28" s="619">
        <v>1.73</v>
      </c>
      <c r="G28" s="619" t="s">
        <v>123</v>
      </c>
      <c r="H28" s="619">
        <v>4.8</v>
      </c>
      <c r="I28" s="620">
        <v>3.23</v>
      </c>
      <c r="J28" s="620">
        <v>4.1500000000000004</v>
      </c>
      <c r="K28" s="620" t="s">
        <v>123</v>
      </c>
      <c r="L28" s="619">
        <v>2.15</v>
      </c>
      <c r="M28" s="620">
        <v>3.61</v>
      </c>
      <c r="N28" s="620" t="s">
        <v>123</v>
      </c>
      <c r="O28" s="620" t="s">
        <v>123</v>
      </c>
      <c r="P28" s="619" t="s">
        <v>123</v>
      </c>
      <c r="Q28" s="619" t="s">
        <v>123</v>
      </c>
      <c r="R28" s="620">
        <v>8.19</v>
      </c>
      <c r="S28" s="620">
        <v>10.08</v>
      </c>
      <c r="T28" s="619">
        <v>12.87</v>
      </c>
      <c r="U28" s="619">
        <v>9.8699999999999992</v>
      </c>
      <c r="V28" s="620" t="s">
        <v>123</v>
      </c>
      <c r="W28" s="620" t="s">
        <v>123</v>
      </c>
      <c r="X28" s="620" t="s">
        <v>123</v>
      </c>
      <c r="Y28" s="619" t="s">
        <v>123</v>
      </c>
      <c r="Z28" s="619" t="s">
        <v>123</v>
      </c>
      <c r="AA28" s="619" t="s">
        <v>123</v>
      </c>
      <c r="AB28" s="619" t="s">
        <v>123</v>
      </c>
      <c r="AC28" s="619" t="s">
        <v>123</v>
      </c>
      <c r="AD28" s="619" t="s">
        <v>123</v>
      </c>
      <c r="AE28" s="619" t="s">
        <v>123</v>
      </c>
      <c r="AF28" s="620">
        <v>14.212499999999999</v>
      </c>
      <c r="AG28" s="620">
        <v>15.65</v>
      </c>
      <c r="AH28" s="620">
        <v>19.899999999999999</v>
      </c>
      <c r="AI28" s="620">
        <v>7.79</v>
      </c>
      <c r="AJ28" s="620">
        <v>3.72</v>
      </c>
      <c r="AK28" s="619">
        <v>8.3000000000000007</v>
      </c>
      <c r="AL28" s="619" t="s">
        <v>123</v>
      </c>
      <c r="AM28" s="619" t="s">
        <v>123</v>
      </c>
      <c r="AN28" s="619">
        <v>2.9</v>
      </c>
      <c r="AO28" s="619">
        <v>2.96</v>
      </c>
      <c r="AP28" s="621">
        <f>SUM(CT[[#This Row],[cut]:[ps]])+SUM(CT[[#This Row],[pm]:[pm!]])/2+SUM(CT[[#This Row],[Column1]:[bst]])+SUM(CT[[#This Row],[ch]:[bst]])+CT[[#This Row],[t2]]+SUM(CT[[#This Row],[lbl]:[pck]])</f>
        <v>92.484999999999999</v>
      </c>
      <c r="AQ28" s="622">
        <v>1</v>
      </c>
    </row>
    <row r="29" spans="1:45" ht="16.5" x14ac:dyDescent="0.25">
      <c r="A29" s="590">
        <v>140310031</v>
      </c>
      <c r="B29" s="591" t="s">
        <v>1660</v>
      </c>
      <c r="C29" s="587">
        <v>4.01</v>
      </c>
      <c r="D29" s="587" t="s">
        <v>123</v>
      </c>
      <c r="E29" s="587">
        <v>1.89</v>
      </c>
      <c r="F29" s="587">
        <v>1.73</v>
      </c>
      <c r="G29" s="587" t="s">
        <v>123</v>
      </c>
      <c r="H29" s="587" t="s">
        <v>123</v>
      </c>
      <c r="I29" s="588">
        <v>3.23</v>
      </c>
      <c r="J29" s="588">
        <v>4.1500000000000004</v>
      </c>
      <c r="K29" s="588" t="s">
        <v>123</v>
      </c>
      <c r="L29" s="587">
        <v>2.15</v>
      </c>
      <c r="M29" s="588">
        <v>3.61</v>
      </c>
      <c r="N29" s="588">
        <v>5.52</v>
      </c>
      <c r="O29" s="588" t="s">
        <v>123</v>
      </c>
      <c r="P29" s="587" t="s">
        <v>123</v>
      </c>
      <c r="Q29" s="587" t="s">
        <v>123</v>
      </c>
      <c r="R29" s="588">
        <v>8.19</v>
      </c>
      <c r="S29" s="588">
        <v>10.08</v>
      </c>
      <c r="T29" s="587">
        <v>12.87</v>
      </c>
      <c r="U29" s="587">
        <v>9.8699999999999992</v>
      </c>
      <c r="V29" s="588" t="s">
        <v>123</v>
      </c>
      <c r="W29" s="588">
        <v>9.01</v>
      </c>
      <c r="X29" s="588" t="s">
        <v>123</v>
      </c>
      <c r="Y29" s="587" t="s">
        <v>123</v>
      </c>
      <c r="Z29" s="587" t="s">
        <v>123</v>
      </c>
      <c r="AA29" s="587" t="s">
        <v>123</v>
      </c>
      <c r="AB29" s="587" t="s">
        <v>123</v>
      </c>
      <c r="AC29" s="587">
        <v>11.33</v>
      </c>
      <c r="AD29" s="587">
        <v>25.72</v>
      </c>
      <c r="AE29" s="587">
        <v>15.95</v>
      </c>
      <c r="AF29" s="588">
        <v>14.212499999999999</v>
      </c>
      <c r="AG29" s="588">
        <v>15.65</v>
      </c>
      <c r="AH29" s="588">
        <v>19.899999999999999</v>
      </c>
      <c r="AI29" s="588">
        <v>7.79</v>
      </c>
      <c r="AJ29" s="588">
        <v>3.72</v>
      </c>
      <c r="AK29" s="587">
        <v>8.2799999999999994</v>
      </c>
      <c r="AL29" s="587" t="s">
        <v>123</v>
      </c>
      <c r="AM29" s="587" t="s">
        <v>123</v>
      </c>
      <c r="AN29" s="587">
        <v>2.9</v>
      </c>
      <c r="AO29" s="587">
        <v>2.96</v>
      </c>
      <c r="AP29" s="597">
        <f>SUM(CT[[#This Row],[cut]:[ps]])+SUM(CT[[#This Row],[pm]:[pm!]])/2+SUM(CT[[#This Row],[Column1]:[bst]])+SUM(CT[[#This Row],[ch]:[bst]])+CT[[#This Row],[t2]]+SUM(CT[[#This Row],[lbl]:[pck]])</f>
        <v>202.96500000000003</v>
      </c>
      <c r="AQ29" s="612"/>
    </row>
    <row r="30" spans="1:45" ht="16.5" x14ac:dyDescent="0.25">
      <c r="A30" s="592">
        <v>140020181</v>
      </c>
      <c r="B30" s="593" t="s">
        <v>1660</v>
      </c>
      <c r="C30" s="594">
        <v>2.69</v>
      </c>
      <c r="D30" s="594">
        <v>5.24</v>
      </c>
      <c r="E30" s="594"/>
      <c r="F30" s="594"/>
      <c r="G30" s="594">
        <v>3.62</v>
      </c>
      <c r="H30" s="594">
        <v>4.75</v>
      </c>
      <c r="I30" s="589">
        <v>3.23</v>
      </c>
      <c r="J30" s="589">
        <v>4.1500000000000004</v>
      </c>
      <c r="K30" s="589"/>
      <c r="L30" s="594">
        <v>2.15</v>
      </c>
      <c r="M30" s="589">
        <v>3.61</v>
      </c>
      <c r="N30" s="589">
        <v>5.52</v>
      </c>
      <c r="O30" s="589"/>
      <c r="P30" s="594"/>
      <c r="Q30" s="594"/>
      <c r="R30" s="589">
        <v>7.38</v>
      </c>
      <c r="S30" s="589"/>
      <c r="T30" s="594"/>
      <c r="U30" s="594"/>
      <c r="V30" s="589"/>
      <c r="W30" s="589">
        <v>6.98</v>
      </c>
      <c r="X30" s="589"/>
      <c r="Y30" s="594"/>
      <c r="Z30" s="594"/>
      <c r="AA30" s="594"/>
      <c r="AB30" s="594"/>
      <c r="AC30" s="594"/>
      <c r="AD30" s="594"/>
      <c r="AE30" s="594"/>
      <c r="AF30" s="589">
        <v>11.37</v>
      </c>
      <c r="AG30" s="589">
        <v>12.52</v>
      </c>
      <c r="AH30" s="589">
        <v>15.92</v>
      </c>
      <c r="AI30" s="589"/>
      <c r="AJ30" s="589">
        <v>7.46</v>
      </c>
      <c r="AK30" s="594">
        <v>12.96</v>
      </c>
      <c r="AL30" s="594"/>
      <c r="AM30" s="594">
        <v>10.76</v>
      </c>
      <c r="AN30" s="594"/>
      <c r="AO30" s="594">
        <v>3.37</v>
      </c>
      <c r="AP30" s="595">
        <f>SUM(CT[[#This Row],[cut]:[ps]])+AVERAGE(CT[[#This Row],[pm]:[pm!]])+IF(CT[[#This Row],[sfne]],CT[[#This Row],[sfne]],SUM(CT[[#This Row],[se]:[sfn]]))+SUM(CT[[#This Row],[ch]:[bst]])+CT[[#This Row],[t2]]+SUM(CT[[#This Row],[lbl]:[pck]])</f>
        <v>88.929999999999993</v>
      </c>
      <c r="AQ30" s="605"/>
    </row>
    <row r="31" spans="1:45" ht="16.5" x14ac:dyDescent="0.25">
      <c r="A31" s="617">
        <v>140310016</v>
      </c>
      <c r="B31" s="618" t="s">
        <v>1660</v>
      </c>
      <c r="C31" s="619">
        <v>2.69</v>
      </c>
      <c r="D31" s="619">
        <v>5.24</v>
      </c>
      <c r="E31" s="619"/>
      <c r="F31" s="619"/>
      <c r="G31" s="619">
        <v>3.62</v>
      </c>
      <c r="H31" s="619">
        <v>4.75</v>
      </c>
      <c r="I31" s="620">
        <v>3.23</v>
      </c>
      <c r="J31" s="620">
        <v>4.1500000000000004</v>
      </c>
      <c r="K31" s="620"/>
      <c r="L31" s="619">
        <v>2.15</v>
      </c>
      <c r="M31" s="620">
        <v>3.61</v>
      </c>
      <c r="N31" s="620">
        <v>5.52</v>
      </c>
      <c r="O31" s="620"/>
      <c r="P31" s="619"/>
      <c r="Q31" s="619"/>
      <c r="R31" s="620">
        <v>7.38</v>
      </c>
      <c r="S31" s="620"/>
      <c r="T31" s="619"/>
      <c r="U31" s="619"/>
      <c r="V31" s="620"/>
      <c r="W31" s="620" t="s">
        <v>1812</v>
      </c>
      <c r="X31" s="620"/>
      <c r="Y31" s="619" t="s">
        <v>1812</v>
      </c>
      <c r="Z31" s="619"/>
      <c r="AA31" s="619"/>
      <c r="AB31" s="619"/>
      <c r="AC31" s="619" t="s">
        <v>1812</v>
      </c>
      <c r="AD31" s="619" t="s">
        <v>1812</v>
      </c>
      <c r="AE31" s="619" t="s">
        <v>1812</v>
      </c>
      <c r="AF31" s="620">
        <v>11.37</v>
      </c>
      <c r="AG31" s="620">
        <v>12.52</v>
      </c>
      <c r="AH31" s="620">
        <v>15.92</v>
      </c>
      <c r="AI31" s="620"/>
      <c r="AJ31" s="620">
        <v>7.46</v>
      </c>
      <c r="AK31" s="619">
        <v>7.46</v>
      </c>
      <c r="AL31" s="619">
        <v>8.16</v>
      </c>
      <c r="AM31" s="619">
        <v>10.76</v>
      </c>
      <c r="AN31" s="619"/>
      <c r="AO31" s="619">
        <v>3.16</v>
      </c>
      <c r="AP31" s="621">
        <f>SUM(CT[[#This Row],[cut]:[ps]])+AVERAGE(CT[[#This Row],[pm]:[pm!]])+IF(CT[[#This Row],[sfne]],CT[[#This Row],[sfne]],SUM(CT[[#This Row],[se]:[sfn]]))+SUM(CT[[#This Row],[ch]:[bst]])+CT[[#This Row],[t2]]+SUM(CT[[#This Row],[lbl]:[pck]])</f>
        <v>84.4</v>
      </c>
      <c r="AQ31" s="622"/>
    </row>
    <row r="32" spans="1:45" ht="16.5" x14ac:dyDescent="0.25">
      <c r="A32" s="590">
        <v>140310017</v>
      </c>
      <c r="B32" s="591" t="s">
        <v>1660</v>
      </c>
      <c r="C32" s="587">
        <v>2.69</v>
      </c>
      <c r="D32" s="587">
        <v>5.24</v>
      </c>
      <c r="E32" s="587"/>
      <c r="F32" s="587"/>
      <c r="G32" s="587">
        <v>3.62</v>
      </c>
      <c r="H32" s="587">
        <v>4.75</v>
      </c>
      <c r="I32" s="588"/>
      <c r="J32" s="588"/>
      <c r="K32" s="588">
        <v>6.61</v>
      </c>
      <c r="L32" s="587">
        <v>2.15</v>
      </c>
      <c r="M32" s="588">
        <v>3.61</v>
      </c>
      <c r="N32" s="588">
        <v>5.52</v>
      </c>
      <c r="O32" s="588"/>
      <c r="P32" s="587"/>
      <c r="Q32" s="587"/>
      <c r="R32" s="588">
        <v>7.38</v>
      </c>
      <c r="S32" s="588"/>
      <c r="T32" s="587"/>
      <c r="U32" s="587"/>
      <c r="V32" s="588"/>
      <c r="W32" s="588" t="s">
        <v>1812</v>
      </c>
      <c r="X32" s="588"/>
      <c r="Y32" s="587" t="s">
        <v>1812</v>
      </c>
      <c r="Z32" s="587"/>
      <c r="AA32" s="587"/>
      <c r="AB32" s="587"/>
      <c r="AC32" s="587" t="s">
        <v>1812</v>
      </c>
      <c r="AD32" s="587" t="s">
        <v>1812</v>
      </c>
      <c r="AE32" s="587" t="s">
        <v>1812</v>
      </c>
      <c r="AF32" s="588">
        <v>11.37</v>
      </c>
      <c r="AG32" s="588">
        <v>12.52</v>
      </c>
      <c r="AH32" s="588">
        <v>15.92</v>
      </c>
      <c r="AI32" s="588"/>
      <c r="AJ32" s="588">
        <v>7.46</v>
      </c>
      <c r="AK32" s="587">
        <v>7.46</v>
      </c>
      <c r="AL32" s="587">
        <v>8.16</v>
      </c>
      <c r="AM32" s="587">
        <v>10.76</v>
      </c>
      <c r="AN32" s="587"/>
      <c r="AO32" s="587">
        <v>3.16</v>
      </c>
      <c r="AP32" s="597">
        <f>SUM(CT[[#This Row],[cut]:[ps]])+AVERAGE(CT[[#This Row],[pm]:[pm!]])+IF(CT[[#This Row],[sfne]],CT[[#This Row],[sfne]],SUM(CT[[#This Row],[se]:[sfn]]))+SUM(CT[[#This Row],[ch]:[bst]])+CT[[#This Row],[t2]]+SUM(CT[[#This Row],[lbl]:[pck]])</f>
        <v>83.63000000000001</v>
      </c>
      <c r="AQ32" s="612"/>
    </row>
    <row r="33" spans="1:43" ht="16.5" x14ac:dyDescent="0.25">
      <c r="A33" s="592">
        <v>140310096</v>
      </c>
      <c r="B33" s="593" t="s">
        <v>1660</v>
      </c>
      <c r="C33" s="594">
        <v>2.69</v>
      </c>
      <c r="D33" s="594">
        <v>5.24</v>
      </c>
      <c r="E33" s="594"/>
      <c r="F33" s="594"/>
      <c r="G33" s="594">
        <v>3.62</v>
      </c>
      <c r="H33" s="594">
        <v>4.75</v>
      </c>
      <c r="I33" s="589">
        <v>3.23</v>
      </c>
      <c r="J33" s="589">
        <v>4.1500000000000004</v>
      </c>
      <c r="K33" s="589"/>
      <c r="L33" s="594">
        <v>2.15</v>
      </c>
      <c r="M33" s="589">
        <v>3.61</v>
      </c>
      <c r="N33" s="589">
        <v>5.52</v>
      </c>
      <c r="O33" s="589"/>
      <c r="P33" s="594"/>
      <c r="Q33" s="594"/>
      <c r="R33" s="589">
        <v>7.38</v>
      </c>
      <c r="S33" s="589"/>
      <c r="T33" s="594"/>
      <c r="U33" s="594"/>
      <c r="V33" s="589"/>
      <c r="W33" s="589" t="s">
        <v>1812</v>
      </c>
      <c r="X33" s="589"/>
      <c r="Y33" s="594" t="s">
        <v>1812</v>
      </c>
      <c r="Z33" s="594"/>
      <c r="AA33" s="594"/>
      <c r="AB33" s="594"/>
      <c r="AC33" s="594"/>
      <c r="AD33" s="594"/>
      <c r="AE33" s="594"/>
      <c r="AF33" s="589">
        <v>11.37</v>
      </c>
      <c r="AG33" s="589">
        <v>12.52</v>
      </c>
      <c r="AH33" s="589">
        <v>15.92</v>
      </c>
      <c r="AI33" s="589"/>
      <c r="AJ33" s="589">
        <v>7.46</v>
      </c>
      <c r="AK33" s="594">
        <v>7.46</v>
      </c>
      <c r="AL33" s="594"/>
      <c r="AM33" s="594">
        <v>10.76</v>
      </c>
      <c r="AN33" s="594"/>
      <c r="AO33" s="594">
        <v>3.16</v>
      </c>
      <c r="AP33" s="595">
        <f>SUM(CT[[#This Row],[cut]:[ps]])+AVERAGE(CT[[#This Row],[pm]:[pm!]])+IF(CT[[#This Row],[sfne]],CT[[#This Row],[sfne]],SUM(CT[[#This Row],[se]:[sfn]]))+SUM(CT[[#This Row],[ch]:[bst]])+CT[[#This Row],[t2]]+SUM(CT[[#This Row],[lbl]:[pck]])</f>
        <v>76.239999999999995</v>
      </c>
      <c r="AQ33" s="605"/>
    </row>
    <row r="34" spans="1:43" ht="16.5" x14ac:dyDescent="0.25">
      <c r="A34" s="617">
        <v>140450027</v>
      </c>
      <c r="B34" s="618" t="s">
        <v>1660</v>
      </c>
      <c r="C34" s="619">
        <v>2.69</v>
      </c>
      <c r="D34" s="619">
        <v>5.24</v>
      </c>
      <c r="E34" s="619"/>
      <c r="F34" s="619"/>
      <c r="G34" s="619">
        <v>3.62</v>
      </c>
      <c r="H34" s="619">
        <v>4.75</v>
      </c>
      <c r="I34" s="620">
        <v>3.23</v>
      </c>
      <c r="J34" s="620">
        <v>4.1500000000000004</v>
      </c>
      <c r="K34" s="620"/>
      <c r="L34" s="619">
        <v>2.15</v>
      </c>
      <c r="M34" s="620">
        <v>3.61</v>
      </c>
      <c r="N34" s="620">
        <v>5.52</v>
      </c>
      <c r="O34" s="620"/>
      <c r="P34" s="619"/>
      <c r="Q34" s="619"/>
      <c r="R34" s="620">
        <v>7.38</v>
      </c>
      <c r="S34" s="620"/>
      <c r="T34" s="619"/>
      <c r="U34" s="619"/>
      <c r="V34" s="620"/>
      <c r="W34" s="620">
        <v>9.01</v>
      </c>
      <c r="X34" s="620"/>
      <c r="Y34" s="619">
        <v>10.25</v>
      </c>
      <c r="Z34" s="619"/>
      <c r="AA34" s="619"/>
      <c r="AB34" s="619"/>
      <c r="AC34" s="619"/>
      <c r="AD34" s="619"/>
      <c r="AE34" s="619"/>
      <c r="AF34" s="620">
        <v>11.37</v>
      </c>
      <c r="AG34" s="620">
        <v>12.52</v>
      </c>
      <c r="AH34" s="620">
        <v>15.92</v>
      </c>
      <c r="AI34" s="620"/>
      <c r="AJ34" s="620">
        <v>7.46</v>
      </c>
      <c r="AK34" s="619">
        <v>7.46</v>
      </c>
      <c r="AL34" s="619">
        <v>8.16</v>
      </c>
      <c r="AM34" s="619">
        <v>10.76</v>
      </c>
      <c r="AN34" s="619"/>
      <c r="AO34" s="619">
        <v>3.16</v>
      </c>
      <c r="AP34" s="621">
        <f>SUM(CT[[#This Row],[cut]:[ps]])+AVERAGE(CT[[#This Row],[pm]:[pm!]])+IF(CT[[#This Row],[sfne]],CT[[#This Row],[sfne]],SUM(CT[[#This Row],[se]:[sfn]]))+SUM(CT[[#This Row],[ch]:[bst]])+CT[[#This Row],[t2]]+SUM(CT[[#This Row],[lbl]:[pck]])</f>
        <v>103.66</v>
      </c>
      <c r="AQ34" s="622"/>
    </row>
    <row r="35" spans="1:43" ht="16.5" x14ac:dyDescent="0.25">
      <c r="A35" s="590">
        <v>140450047</v>
      </c>
      <c r="B35" s="591" t="s">
        <v>1660</v>
      </c>
      <c r="C35" s="587">
        <v>2.69</v>
      </c>
      <c r="D35" s="587"/>
      <c r="E35" s="587"/>
      <c r="F35" s="587">
        <v>1.73</v>
      </c>
      <c r="G35" s="587"/>
      <c r="H35" s="587"/>
      <c r="I35" s="588"/>
      <c r="J35" s="588"/>
      <c r="K35" s="588">
        <v>6.61</v>
      </c>
      <c r="L35" s="587">
        <v>2.15</v>
      </c>
      <c r="M35" s="588">
        <v>3.61</v>
      </c>
      <c r="N35" s="588">
        <v>5.52</v>
      </c>
      <c r="O35" s="588"/>
      <c r="P35" s="587"/>
      <c r="Q35" s="587"/>
      <c r="R35" s="588">
        <v>7.38</v>
      </c>
      <c r="S35" s="588"/>
      <c r="T35" s="587"/>
      <c r="U35" s="587"/>
      <c r="V35" s="588"/>
      <c r="W35" s="588"/>
      <c r="X35" s="588"/>
      <c r="Y35" s="587"/>
      <c r="Z35" s="587"/>
      <c r="AA35" s="587"/>
      <c r="AB35" s="587"/>
      <c r="AC35" s="587"/>
      <c r="AD35" s="587"/>
      <c r="AE35" s="587"/>
      <c r="AF35" s="588">
        <v>11.37</v>
      </c>
      <c r="AG35" s="588">
        <v>12.52</v>
      </c>
      <c r="AH35" s="588">
        <v>15.92</v>
      </c>
      <c r="AI35" s="588"/>
      <c r="AJ35" s="588">
        <v>7.46</v>
      </c>
      <c r="AK35" s="587">
        <v>6.48</v>
      </c>
      <c r="AL35" s="587"/>
      <c r="AM35" s="587"/>
      <c r="AN35" s="587">
        <v>3.61</v>
      </c>
      <c r="AO35" s="587">
        <v>3.16</v>
      </c>
      <c r="AP35" s="597">
        <f>SUM(CT[[#This Row],[cut]:[ps]])+AVERAGE(CT[[#This Row],[pm]:[pm!]])+IF(CT[[#This Row],[sfne]],CT[[#This Row],[sfne]],SUM(CT[[#This Row],[se]:[sfn]]))+SUM(CT[[#This Row],[ch]:[bst]])+CT[[#This Row],[t2]]+SUM(CT[[#This Row],[lbl]:[pck]])</f>
        <v>55.46</v>
      </c>
      <c r="AQ35" s="612"/>
    </row>
    <row r="36" spans="1:43" ht="16.5" x14ac:dyDescent="0.25">
      <c r="A36" s="592">
        <v>140640007</v>
      </c>
      <c r="B36" s="593" t="s">
        <v>1660</v>
      </c>
      <c r="C36" s="594">
        <v>2.69</v>
      </c>
      <c r="D36" s="594">
        <v>5.24</v>
      </c>
      <c r="E36" s="594"/>
      <c r="F36" s="594"/>
      <c r="G36" s="594">
        <v>3.62</v>
      </c>
      <c r="H36" s="594">
        <v>4.75</v>
      </c>
      <c r="I36" s="589">
        <v>3.23</v>
      </c>
      <c r="J36" s="589">
        <v>4.1500000000000004</v>
      </c>
      <c r="K36" s="589"/>
      <c r="L36" s="594">
        <v>2.15</v>
      </c>
      <c r="M36" s="589">
        <v>3.61</v>
      </c>
      <c r="N36" s="589">
        <v>5.52</v>
      </c>
      <c r="O36" s="589"/>
      <c r="P36" s="594"/>
      <c r="Q36" s="594"/>
      <c r="R36" s="589">
        <v>7.38</v>
      </c>
      <c r="S36" s="589"/>
      <c r="T36" s="594"/>
      <c r="U36" s="594"/>
      <c r="V36" s="589"/>
      <c r="W36" s="589">
        <v>9.01</v>
      </c>
      <c r="X36" s="589"/>
      <c r="Y36" s="594"/>
      <c r="Z36" s="594"/>
      <c r="AA36" s="594"/>
      <c r="AB36" s="594"/>
      <c r="AC36" s="594"/>
      <c r="AD36" s="594"/>
      <c r="AE36" s="594"/>
      <c r="AF36" s="589">
        <v>11.37</v>
      </c>
      <c r="AG36" s="589">
        <v>12.52</v>
      </c>
      <c r="AH36" s="589">
        <v>15.92</v>
      </c>
      <c r="AI36" s="589"/>
      <c r="AJ36" s="589">
        <v>7.46</v>
      </c>
      <c r="AK36" s="594">
        <v>6.48</v>
      </c>
      <c r="AL36" s="594"/>
      <c r="AM36" s="594"/>
      <c r="AN36" s="594">
        <v>3.61</v>
      </c>
      <c r="AO36" s="594">
        <v>3.16</v>
      </c>
      <c r="AP36" s="595">
        <f>SUM(CT[[#This Row],[cut]:[ps]])+AVERAGE(CT[[#This Row],[pm]:[pm!]])+IF(CT[[#This Row],[sfne]],CT[[#This Row],[sfne]],SUM(CT[[#This Row],[se]:[sfn]]))+SUM(CT[[#This Row],[ch]:[bst]])+CT[[#This Row],[t2]]+SUM(CT[[#This Row],[lbl]:[pck]])</f>
        <v>77.11999999999999</v>
      </c>
      <c r="AQ36" s="605"/>
    </row>
  </sheetData>
  <phoneticPr fontId="1" type="noConversion"/>
  <conditionalFormatting sqref="A3:A13 A2:B2 A17:A19">
    <cfRule type="duplicateValues" dxfId="2" priority="84"/>
  </conditionalFormatting>
  <conditionalFormatting sqref="A14:A16">
    <cfRule type="duplicateValues" dxfId="1" priority="2"/>
  </conditionalFormatting>
  <conditionalFormatting sqref="A20:A36">
    <cfRule type="duplicateValues" dxfId="0" priority="1"/>
  </conditionalFormatting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6EA32-8714-4F8E-9AC3-76FB936EC021}">
  <sheetPr codeName="Sheet18"/>
  <dimension ref="A3:B13"/>
  <sheetViews>
    <sheetView workbookViewId="0">
      <selection activeCell="B13" sqref="A3:B13"/>
    </sheetView>
  </sheetViews>
  <sheetFormatPr defaultRowHeight="15" x14ac:dyDescent="0.25"/>
  <cols>
    <col min="1" max="1" width="13.140625" bestFit="1" customWidth="1"/>
    <col min="2" max="2" width="14" bestFit="1" customWidth="1"/>
  </cols>
  <sheetData>
    <row r="3" spans="1:2" x14ac:dyDescent="0.25">
      <c r="A3" s="31" t="s">
        <v>208</v>
      </c>
      <c r="B3" t="s">
        <v>1643</v>
      </c>
    </row>
    <row r="4" spans="1:2" x14ac:dyDescent="0.25">
      <c r="A4" s="32">
        <v>140010117</v>
      </c>
      <c r="B4" s="35">
        <v>-16975</v>
      </c>
    </row>
    <row r="5" spans="1:2" x14ac:dyDescent="0.25">
      <c r="A5" s="32">
        <v>140010230</v>
      </c>
      <c r="B5" s="35">
        <v>-18380</v>
      </c>
    </row>
    <row r="6" spans="1:2" x14ac:dyDescent="0.25">
      <c r="A6" s="32">
        <v>140010255</v>
      </c>
      <c r="B6" s="35">
        <v>-1000</v>
      </c>
    </row>
    <row r="7" spans="1:2" x14ac:dyDescent="0.25">
      <c r="A7" s="32">
        <v>140030039</v>
      </c>
      <c r="B7" s="35">
        <v>-5600</v>
      </c>
    </row>
    <row r="8" spans="1:2" x14ac:dyDescent="0.25">
      <c r="A8" s="32">
        <v>140030040</v>
      </c>
      <c r="B8" s="35">
        <v>-1700</v>
      </c>
    </row>
    <row r="9" spans="1:2" x14ac:dyDescent="0.25">
      <c r="A9" s="32">
        <v>140310007</v>
      </c>
      <c r="B9" s="35">
        <v>-36550</v>
      </c>
    </row>
    <row r="10" spans="1:2" x14ac:dyDescent="0.25">
      <c r="A10" s="32">
        <v>140310071</v>
      </c>
      <c r="B10" s="35">
        <v>-70000</v>
      </c>
    </row>
    <row r="11" spans="1:2" x14ac:dyDescent="0.25">
      <c r="A11" s="32">
        <v>140310083</v>
      </c>
      <c r="B11" s="35">
        <v>-30000</v>
      </c>
    </row>
    <row r="12" spans="1:2" x14ac:dyDescent="0.25">
      <c r="A12" s="32" t="s">
        <v>210</v>
      </c>
      <c r="B12" s="35"/>
    </row>
    <row r="13" spans="1:2" x14ac:dyDescent="0.25">
      <c r="A13" s="32" t="s">
        <v>209</v>
      </c>
      <c r="B13" s="35">
        <v>-180205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0708-7377-4A58-9394-C3C4C16BC98E}">
  <sheetPr codeName="Sheet16"/>
  <dimension ref="A1:R226"/>
  <sheetViews>
    <sheetView workbookViewId="0">
      <selection activeCell="A226" sqref="A226"/>
    </sheetView>
  </sheetViews>
  <sheetFormatPr defaultRowHeight="15" x14ac:dyDescent="0.25"/>
  <cols>
    <col min="1" max="1" width="12" style="23" customWidth="1"/>
    <col min="2" max="3" width="5.7109375" style="23" customWidth="1"/>
    <col min="4" max="15" width="13.140625" style="23" customWidth="1"/>
    <col min="16" max="16" width="14.140625" style="23" customWidth="1"/>
    <col min="17" max="17" width="13.140625" style="23" customWidth="1"/>
    <col min="18" max="18" width="19.28515625" style="23" customWidth="1"/>
    <col min="19" max="16384" width="9.140625" style="23"/>
  </cols>
  <sheetData>
    <row r="1" spans="1:18" ht="17.100000000000001" customHeight="1" x14ac:dyDescent="0.25">
      <c r="D1" s="23" t="s">
        <v>1612</v>
      </c>
      <c r="E1" s="23" t="s">
        <v>1606</v>
      </c>
      <c r="F1" s="23" t="s">
        <v>1613</v>
      </c>
      <c r="G1" s="23" t="s">
        <v>1607</v>
      </c>
      <c r="H1" s="23" t="s">
        <v>1605</v>
      </c>
      <c r="I1" s="23" t="s">
        <v>1615</v>
      </c>
      <c r="J1" s="23" t="s">
        <v>1614</v>
      </c>
      <c r="K1" s="23" t="s">
        <v>1617</v>
      </c>
      <c r="L1" s="23" t="s">
        <v>1608</v>
      </c>
      <c r="M1" s="23" t="s">
        <v>1609</v>
      </c>
      <c r="N1" s="23" t="s">
        <v>1610</v>
      </c>
      <c r="O1" s="23" t="s">
        <v>1611</v>
      </c>
      <c r="P1" s="23" t="s">
        <v>1618</v>
      </c>
    </row>
    <row r="2" spans="1:18" ht="17.100000000000001" customHeight="1" x14ac:dyDescent="0.25">
      <c r="A2" s="194"/>
      <c r="B2" s="194"/>
      <c r="C2" s="194"/>
      <c r="D2" s="504" t="s">
        <v>115</v>
      </c>
      <c r="E2" s="498" t="s">
        <v>170</v>
      </c>
      <c r="F2" s="498" t="s">
        <v>167</v>
      </c>
      <c r="G2" s="498" t="s">
        <v>162</v>
      </c>
      <c r="H2" s="498" t="s">
        <v>166</v>
      </c>
      <c r="I2" s="498" t="s">
        <v>163</v>
      </c>
      <c r="J2" s="498" t="s">
        <v>168</v>
      </c>
      <c r="K2" s="498" t="s">
        <v>165</v>
      </c>
      <c r="L2" s="498" t="s">
        <v>112</v>
      </c>
      <c r="M2" s="498" t="s">
        <v>113</v>
      </c>
      <c r="N2" s="498" t="s">
        <v>164</v>
      </c>
      <c r="O2" s="498" t="s">
        <v>169</v>
      </c>
      <c r="P2" s="498" t="s">
        <v>592</v>
      </c>
      <c r="Q2" s="498" t="s">
        <v>114</v>
      </c>
      <c r="R2" s="498" t="s">
        <v>1474</v>
      </c>
    </row>
    <row r="3" spans="1:18" ht="17.100000000000001" customHeight="1" x14ac:dyDescent="0.25">
      <c r="A3" s="505"/>
      <c r="B3" s="505"/>
      <c r="C3" s="505"/>
      <c r="D3" s="500">
        <v>120110015</v>
      </c>
      <c r="E3" s="499">
        <v>120110052</v>
      </c>
      <c r="F3" s="499">
        <v>120100018</v>
      </c>
      <c r="G3" s="499">
        <v>120100223</v>
      </c>
      <c r="H3" s="499">
        <v>120100023</v>
      </c>
      <c r="I3" s="499">
        <v>120100016</v>
      </c>
      <c r="J3" s="499">
        <v>120100047</v>
      </c>
      <c r="K3" s="499">
        <v>120100045</v>
      </c>
      <c r="L3" s="499">
        <v>120100002</v>
      </c>
      <c r="M3" s="499">
        <v>120100029</v>
      </c>
      <c r="N3" s="499">
        <v>120100021</v>
      </c>
      <c r="O3" s="499">
        <v>120100083</v>
      </c>
      <c r="P3" s="499">
        <v>120110061</v>
      </c>
      <c r="Q3" s="499">
        <v>120110001</v>
      </c>
      <c r="R3" s="499">
        <v>120100323</v>
      </c>
    </row>
    <row r="4" spans="1:18" ht="17.100000000000001" customHeight="1" x14ac:dyDescent="0.25">
      <c r="A4" s="506"/>
      <c r="B4" s="506"/>
      <c r="C4" s="506"/>
      <c r="D4" s="502" t="s">
        <v>1600</v>
      </c>
      <c r="E4" s="501" t="s">
        <v>351</v>
      </c>
      <c r="F4" s="501" t="s">
        <v>1593</v>
      </c>
      <c r="G4" s="501" t="s">
        <v>73</v>
      </c>
      <c r="H4" s="501" t="s">
        <v>1594</v>
      </c>
      <c r="I4" s="501" t="s">
        <v>565</v>
      </c>
      <c r="J4" s="501" t="s">
        <v>1595</v>
      </c>
      <c r="K4" s="501" t="s">
        <v>1596</v>
      </c>
      <c r="L4" s="501" t="s">
        <v>1597</v>
      </c>
      <c r="M4" s="501" t="s">
        <v>362</v>
      </c>
      <c r="N4" s="501" t="s">
        <v>1598</v>
      </c>
      <c r="O4" s="501" t="s">
        <v>1599</v>
      </c>
      <c r="P4" s="501" t="s">
        <v>592</v>
      </c>
      <c r="Q4" s="501" t="s">
        <v>1601</v>
      </c>
      <c r="R4" s="501" t="s">
        <v>1602</v>
      </c>
    </row>
    <row r="5" spans="1:18" ht="17.100000000000001" customHeight="1" x14ac:dyDescent="0.25">
      <c r="A5" s="194"/>
      <c r="B5" s="194"/>
      <c r="C5" s="194"/>
    </row>
    <row r="6" spans="1:18" ht="17.100000000000001" customHeight="1" x14ac:dyDescent="0.25">
      <c r="A6" s="23">
        <v>1403</v>
      </c>
      <c r="D6" s="503">
        <f>SUMIF(Table6[YY],$A6,Table6[YH])</f>
        <v>196504</v>
      </c>
      <c r="E6" s="503">
        <f>SUMIF(Table6[YY],$A6,Table6[sun])</f>
        <v>150616</v>
      </c>
      <c r="F6" s="503">
        <f>SUMIF(Table6[YY],$A6,Table6[nar.p])</f>
        <v>270190</v>
      </c>
      <c r="G6" s="503">
        <f>SUMIF(Table6[YY],$A6,Table6[radio])</f>
        <v>155262</v>
      </c>
      <c r="H6" s="503">
        <f>SUMIF(Table6[YY],$A6,Table6[nut4])</f>
        <v>126885</v>
      </c>
      <c r="I6" s="503">
        <f>SUMIF(Table6[YY],$A6,Table6[6.3ch])</f>
        <v>143305</v>
      </c>
      <c r="J6" s="503">
        <f>SUMIF(Table6[YY],$A6,Table6[6.3k])</f>
        <v>71523</v>
      </c>
      <c r="K6" s="503">
        <f>SUMIF(Table6[YY],$A6,Table6[6.3flat])</f>
        <v>39000</v>
      </c>
      <c r="L6" s="503">
        <f>SUMIF(Table6[YY],$A6,Table6[molex])</f>
        <v>228160</v>
      </c>
      <c r="M6" s="503">
        <f>SUMIF(Table6[YY],$A6,Table6[splice])</f>
        <v>51408</v>
      </c>
      <c r="N6" s="503">
        <f>SUMIF(Table6[YY],$A6,Table6[4.8ch])</f>
        <v>18512</v>
      </c>
      <c r="O6" s="503">
        <f>SUMIF(Table6[YY],$A6,Table6[flag])</f>
        <v>116078</v>
      </c>
      <c r="P6" s="503">
        <f>SUMIF(Table6[YY],$A6,Table6[C60001-03PT])</f>
        <v>25190</v>
      </c>
      <c r="Q6" s="503">
        <f>SUMIF(Table6[YY],$A6,Table6[VH])</f>
        <v>106166</v>
      </c>
      <c r="R6" s="503">
        <f>SUMIF(Table6[YY],$A6,Table6[hcb])</f>
        <v>8300</v>
      </c>
    </row>
    <row r="7" spans="1:18" ht="17.100000000000001" customHeight="1" x14ac:dyDescent="0.25">
      <c r="A7" s="23">
        <v>1404</v>
      </c>
      <c r="D7" s="503">
        <f>SUMIF(Table6[YY],$A7,Table6[YH])</f>
        <v>117600</v>
      </c>
      <c r="E7" s="503">
        <f>SUMIF(Table6[YY],$A7,Table6[sun])</f>
        <v>82634</v>
      </c>
      <c r="F7" s="503">
        <f>SUMIF(Table6[YY],$A7,Table6[nar.p])</f>
        <v>228370</v>
      </c>
      <c r="G7" s="503">
        <f>SUMIF(Table6[YY],$A7,Table6[radio])</f>
        <v>40146</v>
      </c>
      <c r="H7" s="503">
        <f>SUMIF(Table6[YY],$A7,Table6[nut4])</f>
        <v>40400</v>
      </c>
      <c r="I7" s="503">
        <f>SUMIF(Table6[YY],$A7,Table6[6.3ch])</f>
        <v>176732</v>
      </c>
      <c r="J7" s="503">
        <f>SUMIF(Table6[YY],$A7,Table6[6.3k])</f>
        <v>79469</v>
      </c>
      <c r="K7" s="503">
        <f>SUMIF(Table6[YY],$A7,Table6[6.3flat])</f>
        <v>90000</v>
      </c>
      <c r="L7" s="503">
        <f>SUMIF(Table6[YY],$A7,Table6[molex])</f>
        <v>41562</v>
      </c>
      <c r="M7" s="503">
        <f>SUMIF(Table6[YY],$A7,Table6[splice])</f>
        <v>6025</v>
      </c>
      <c r="N7" s="503">
        <f>SUMIF(Table6[YY],$A7,Table6[4.8ch])</f>
        <v>0</v>
      </c>
      <c r="O7" s="503">
        <f>SUMIF(Table6[YY],$A7,Table6[flag])</f>
        <v>17674</v>
      </c>
      <c r="P7" s="503">
        <f>SUMIF(Table6[YY],$A7,Table6[C60001-03PT])</f>
        <v>18100</v>
      </c>
      <c r="Q7" s="503">
        <f>SUMIF(Table6[YY],$A7,Table6[VH])</f>
        <v>88556</v>
      </c>
      <c r="R7" s="503">
        <f>SUMIF(Table6[YY],$A7,Table6[hcb])</f>
        <v>6056</v>
      </c>
    </row>
    <row r="8" spans="1:18" ht="17.100000000000001" customHeight="1" x14ac:dyDescent="0.25"/>
    <row r="9" spans="1:18" ht="17.100000000000001" customHeight="1" x14ac:dyDescent="0.25"/>
    <row r="10" spans="1:18" ht="17.100000000000001" customHeight="1" x14ac:dyDescent="0.25"/>
    <row r="11" spans="1:18" ht="17.100000000000001" customHeight="1" x14ac:dyDescent="0.25"/>
    <row r="12" spans="1:18" ht="17.100000000000001" customHeight="1" x14ac:dyDescent="0.25"/>
    <row r="13" spans="1:18" ht="17.100000000000001" customHeight="1" x14ac:dyDescent="0.25">
      <c r="A13" s="492" t="s">
        <v>1616</v>
      </c>
      <c r="B13" s="492" t="s">
        <v>1603</v>
      </c>
      <c r="C13" s="492" t="s">
        <v>1604</v>
      </c>
      <c r="D13" s="493" t="s">
        <v>115</v>
      </c>
      <c r="E13" s="493" t="s">
        <v>170</v>
      </c>
      <c r="F13" s="493" t="s">
        <v>167</v>
      </c>
      <c r="G13" s="493" t="s">
        <v>162</v>
      </c>
      <c r="H13" s="493" t="s">
        <v>166</v>
      </c>
      <c r="I13" s="493" t="s">
        <v>163</v>
      </c>
      <c r="J13" s="493" t="s">
        <v>168</v>
      </c>
      <c r="K13" s="493" t="s">
        <v>165</v>
      </c>
      <c r="L13" s="493" t="s">
        <v>112</v>
      </c>
      <c r="M13" s="493" t="s">
        <v>113</v>
      </c>
      <c r="N13" s="493" t="s">
        <v>164</v>
      </c>
      <c r="O13" s="493" t="s">
        <v>169</v>
      </c>
      <c r="P13" s="493" t="s">
        <v>592</v>
      </c>
      <c r="Q13" s="493" t="s">
        <v>114</v>
      </c>
      <c r="R13" s="494" t="s">
        <v>1474</v>
      </c>
    </row>
    <row r="14" spans="1:18" ht="17.100000000000001" customHeight="1" x14ac:dyDescent="0.25">
      <c r="A14" s="490" t="s">
        <v>1525</v>
      </c>
      <c r="B14" s="490" t="str">
        <f>LEFT(Table6[[#This Row],[DATE]],4)</f>
        <v>1403</v>
      </c>
      <c r="C14" s="490" t="str">
        <f>MID(Table6[[#This Row],[DATE]],6,2)</f>
        <v>07</v>
      </c>
      <c r="D14" s="489"/>
      <c r="E14" s="489"/>
      <c r="F14" s="489"/>
      <c r="G14" s="489"/>
      <c r="H14" s="489"/>
      <c r="I14" s="489"/>
      <c r="J14" s="489"/>
      <c r="K14" s="489"/>
      <c r="L14" s="489"/>
      <c r="M14" s="489"/>
      <c r="N14" s="489"/>
      <c r="O14" s="489"/>
      <c r="P14" s="489"/>
      <c r="Q14" s="489"/>
      <c r="R14" s="491"/>
    </row>
    <row r="15" spans="1:18" ht="17.100000000000001" customHeight="1" x14ac:dyDescent="0.25">
      <c r="A15" s="490" t="s">
        <v>1503</v>
      </c>
      <c r="B15" s="490" t="str">
        <f>LEFT(Table6[[#This Row],[DATE]],4)</f>
        <v>1403</v>
      </c>
      <c r="C15" s="490" t="str">
        <f>MID(Table6[[#This Row],[DATE]],6,2)</f>
        <v>07</v>
      </c>
      <c r="D15" s="489">
        <v>3000</v>
      </c>
      <c r="E15" s="489">
        <v>1500</v>
      </c>
      <c r="F15" s="489"/>
      <c r="G15" s="489"/>
      <c r="H15" s="489"/>
      <c r="I15" s="489"/>
      <c r="J15" s="489"/>
      <c r="K15" s="489"/>
      <c r="L15" s="489"/>
      <c r="M15" s="489"/>
      <c r="N15" s="489"/>
      <c r="O15" s="489"/>
      <c r="P15" s="489"/>
      <c r="Q15" s="489"/>
      <c r="R15" s="491"/>
    </row>
    <row r="16" spans="1:18" ht="17.100000000000001" customHeight="1" x14ac:dyDescent="0.25">
      <c r="A16" s="490" t="s">
        <v>1504</v>
      </c>
      <c r="B16" s="490" t="str">
        <f>LEFT(Table6[[#This Row],[DATE]],4)</f>
        <v>1403</v>
      </c>
      <c r="C16" s="490" t="str">
        <f>MID(Table6[[#This Row],[DATE]],6,2)</f>
        <v>07</v>
      </c>
      <c r="D16" s="489">
        <v>5200</v>
      </c>
      <c r="E16" s="489">
        <v>2600</v>
      </c>
      <c r="F16" s="489">
        <v>1800</v>
      </c>
      <c r="G16" s="489"/>
      <c r="H16" s="489"/>
      <c r="I16" s="489"/>
      <c r="J16" s="489"/>
      <c r="K16" s="489"/>
      <c r="L16" s="489"/>
      <c r="M16" s="489"/>
      <c r="N16" s="489"/>
      <c r="O16" s="489"/>
      <c r="P16" s="489"/>
      <c r="Q16" s="489"/>
      <c r="R16" s="491"/>
    </row>
    <row r="17" spans="1:18" ht="17.100000000000001" customHeight="1" x14ac:dyDescent="0.25">
      <c r="A17" s="490" t="s">
        <v>1505</v>
      </c>
      <c r="B17" s="490" t="str">
        <f>LEFT(Table6[[#This Row],[DATE]],4)</f>
        <v>1403</v>
      </c>
      <c r="C17" s="490" t="str">
        <f>MID(Table6[[#This Row],[DATE]],6,2)</f>
        <v>07</v>
      </c>
      <c r="D17" s="489">
        <v>600</v>
      </c>
      <c r="E17" s="489">
        <v>300</v>
      </c>
      <c r="F17" s="489">
        <v>2700</v>
      </c>
      <c r="G17" s="489"/>
      <c r="H17" s="489"/>
      <c r="I17" s="489"/>
      <c r="J17" s="489"/>
      <c r="K17" s="489"/>
      <c r="L17" s="489"/>
      <c r="M17" s="489"/>
      <c r="N17" s="489"/>
      <c r="O17" s="489"/>
      <c r="P17" s="489"/>
      <c r="Q17" s="489"/>
      <c r="R17" s="491"/>
    </row>
    <row r="18" spans="1:18" ht="17.100000000000001" customHeight="1" x14ac:dyDescent="0.25">
      <c r="A18" s="490" t="s">
        <v>1506</v>
      </c>
      <c r="B18" s="490" t="str">
        <f>LEFT(Table6[[#This Row],[DATE]],4)</f>
        <v>1403</v>
      </c>
      <c r="C18" s="490" t="str">
        <f>MID(Table6[[#This Row],[DATE]],6,2)</f>
        <v>07</v>
      </c>
      <c r="D18" s="489">
        <v>1200</v>
      </c>
      <c r="E18" s="489">
        <v>600</v>
      </c>
      <c r="F18" s="489">
        <v>3450</v>
      </c>
      <c r="G18" s="489"/>
      <c r="H18" s="489"/>
      <c r="I18" s="489"/>
      <c r="J18" s="489"/>
      <c r="K18" s="489"/>
      <c r="L18" s="489"/>
      <c r="M18" s="489"/>
      <c r="N18" s="489"/>
      <c r="O18" s="489"/>
      <c r="P18" s="489"/>
      <c r="Q18" s="489"/>
      <c r="R18" s="491"/>
    </row>
    <row r="19" spans="1:18" ht="17.100000000000001" customHeight="1" x14ac:dyDescent="0.25">
      <c r="A19" s="490" t="s">
        <v>1511</v>
      </c>
      <c r="B19" s="490" t="str">
        <f>LEFT(Table6[[#This Row],[DATE]],4)</f>
        <v>1403</v>
      </c>
      <c r="C19" s="490" t="str">
        <f>MID(Table6[[#This Row],[DATE]],6,2)</f>
        <v>07</v>
      </c>
      <c r="D19" s="489">
        <v>1200</v>
      </c>
      <c r="E19" s="489">
        <v>600</v>
      </c>
      <c r="F19" s="489">
        <v>2400</v>
      </c>
      <c r="G19" s="489"/>
      <c r="H19" s="489"/>
      <c r="I19" s="489"/>
      <c r="J19" s="489"/>
      <c r="K19" s="489"/>
      <c r="L19" s="489"/>
      <c r="M19" s="489"/>
      <c r="N19" s="489"/>
      <c r="O19" s="489"/>
      <c r="P19" s="489"/>
      <c r="Q19" s="489"/>
      <c r="R19" s="491"/>
    </row>
    <row r="20" spans="1:18" ht="17.100000000000001" customHeight="1" x14ac:dyDescent="0.25">
      <c r="A20" s="490" t="s">
        <v>1522</v>
      </c>
      <c r="B20" s="490" t="str">
        <f>LEFT(Table6[[#This Row],[DATE]],4)</f>
        <v>1403</v>
      </c>
      <c r="C20" s="490" t="str">
        <f>MID(Table6[[#This Row],[DATE]],6,2)</f>
        <v>07</v>
      </c>
      <c r="D20" s="489"/>
      <c r="E20" s="489"/>
      <c r="F20" s="489">
        <v>1800</v>
      </c>
      <c r="G20" s="489"/>
      <c r="H20" s="489"/>
      <c r="I20" s="489"/>
      <c r="J20" s="489"/>
      <c r="K20" s="489"/>
      <c r="L20" s="489"/>
      <c r="M20" s="489"/>
      <c r="N20" s="489"/>
      <c r="O20" s="489"/>
      <c r="P20" s="489"/>
      <c r="Q20" s="489"/>
      <c r="R20" s="491"/>
    </row>
    <row r="21" spans="1:18" ht="17.100000000000001" customHeight="1" x14ac:dyDescent="0.25">
      <c r="A21" s="490" t="s">
        <v>1512</v>
      </c>
      <c r="B21" s="490" t="str">
        <f>LEFT(Table6[[#This Row],[DATE]],4)</f>
        <v>1403</v>
      </c>
      <c r="C21" s="490" t="str">
        <f>MID(Table6[[#This Row],[DATE]],6,2)</f>
        <v>07</v>
      </c>
      <c r="D21" s="489">
        <v>624</v>
      </c>
      <c r="E21" s="489">
        <v>312</v>
      </c>
      <c r="F21" s="489">
        <v>5248</v>
      </c>
      <c r="G21" s="489"/>
      <c r="H21" s="489"/>
      <c r="I21" s="489"/>
      <c r="J21" s="489"/>
      <c r="K21" s="489"/>
      <c r="L21" s="489"/>
      <c r="M21" s="489"/>
      <c r="N21" s="489"/>
      <c r="O21" s="489"/>
      <c r="P21" s="489"/>
      <c r="Q21" s="489"/>
      <c r="R21" s="491"/>
    </row>
    <row r="22" spans="1:18" ht="17.100000000000001" customHeight="1" x14ac:dyDescent="0.25">
      <c r="A22" s="490" t="s">
        <v>1519</v>
      </c>
      <c r="B22" s="490" t="str">
        <f>LEFT(Table6[[#This Row],[DATE]],4)</f>
        <v>1403</v>
      </c>
      <c r="C22" s="490" t="str">
        <f>MID(Table6[[#This Row],[DATE]],6,2)</f>
        <v>08</v>
      </c>
      <c r="D22" s="489"/>
      <c r="E22" s="489"/>
      <c r="F22" s="489">
        <v>1200</v>
      </c>
      <c r="G22" s="489"/>
      <c r="H22" s="489"/>
      <c r="I22" s="489"/>
      <c r="J22" s="489"/>
      <c r="K22" s="489"/>
      <c r="L22" s="489"/>
      <c r="M22" s="489"/>
      <c r="N22" s="489"/>
      <c r="O22" s="489"/>
      <c r="P22" s="489"/>
      <c r="Q22" s="489"/>
      <c r="R22" s="491"/>
    </row>
    <row r="23" spans="1:18" ht="17.100000000000001" customHeight="1" x14ac:dyDescent="0.25">
      <c r="A23" s="490" t="s">
        <v>1507</v>
      </c>
      <c r="B23" s="490" t="str">
        <f>LEFT(Table6[[#This Row],[DATE]],4)</f>
        <v>1403</v>
      </c>
      <c r="C23" s="490" t="str">
        <f>MID(Table6[[#This Row],[DATE]],6,2)</f>
        <v>08</v>
      </c>
      <c r="D23" s="489">
        <v>3600</v>
      </c>
      <c r="E23" s="489">
        <v>1800</v>
      </c>
      <c r="F23" s="489">
        <v>1700</v>
      </c>
      <c r="G23" s="489"/>
      <c r="H23" s="489"/>
      <c r="I23" s="489"/>
      <c r="J23" s="489"/>
      <c r="K23" s="489"/>
      <c r="L23" s="489"/>
      <c r="M23" s="489"/>
      <c r="N23" s="489"/>
      <c r="O23" s="489"/>
      <c r="P23" s="489"/>
      <c r="Q23" s="489"/>
      <c r="R23" s="491"/>
    </row>
    <row r="24" spans="1:18" ht="17.100000000000001" customHeight="1" x14ac:dyDescent="0.25">
      <c r="A24" s="490" t="s">
        <v>1508</v>
      </c>
      <c r="B24" s="490" t="str">
        <f>LEFT(Table6[[#This Row],[DATE]],4)</f>
        <v>1403</v>
      </c>
      <c r="C24" s="490" t="str">
        <f>MID(Table6[[#This Row],[DATE]],6,2)</f>
        <v>08</v>
      </c>
      <c r="D24" s="489">
        <v>9000</v>
      </c>
      <c r="E24" s="489">
        <v>4500</v>
      </c>
      <c r="F24" s="489">
        <v>2400</v>
      </c>
      <c r="G24" s="489"/>
      <c r="H24" s="489"/>
      <c r="I24" s="489"/>
      <c r="J24" s="489"/>
      <c r="K24" s="489"/>
      <c r="L24" s="489"/>
      <c r="M24" s="489"/>
      <c r="N24" s="489"/>
      <c r="O24" s="489"/>
      <c r="P24" s="489"/>
      <c r="Q24" s="489"/>
      <c r="R24" s="491"/>
    </row>
    <row r="25" spans="1:18" ht="17.100000000000001" customHeight="1" x14ac:dyDescent="0.25">
      <c r="A25" s="490" t="s">
        <v>1520</v>
      </c>
      <c r="B25" s="490" t="str">
        <f>LEFT(Table6[[#This Row],[DATE]],4)</f>
        <v>1403</v>
      </c>
      <c r="C25" s="490" t="str">
        <f>MID(Table6[[#This Row],[DATE]],6,2)</f>
        <v>08</v>
      </c>
      <c r="D25" s="489"/>
      <c r="E25" s="489"/>
      <c r="F25" s="489">
        <v>4800</v>
      </c>
      <c r="G25" s="489"/>
      <c r="H25" s="489"/>
      <c r="I25" s="489"/>
      <c r="J25" s="489"/>
      <c r="K25" s="489"/>
      <c r="L25" s="489"/>
      <c r="M25" s="489"/>
      <c r="N25" s="489"/>
      <c r="O25" s="489"/>
      <c r="P25" s="489"/>
      <c r="Q25" s="489"/>
      <c r="R25" s="491"/>
    </row>
    <row r="26" spans="1:18" ht="17.100000000000001" customHeight="1" x14ac:dyDescent="0.25">
      <c r="A26" s="490" t="s">
        <v>1509</v>
      </c>
      <c r="B26" s="490" t="str">
        <f>LEFT(Table6[[#This Row],[DATE]],4)</f>
        <v>1403</v>
      </c>
      <c r="C26" s="490" t="str">
        <f>MID(Table6[[#This Row],[DATE]],6,2)</f>
        <v>08</v>
      </c>
      <c r="D26" s="489">
        <v>1018</v>
      </c>
      <c r="E26" s="489">
        <v>509</v>
      </c>
      <c r="F26" s="489">
        <v>7052</v>
      </c>
      <c r="G26" s="489">
        <v>5000</v>
      </c>
      <c r="H26" s="489"/>
      <c r="I26" s="489"/>
      <c r="J26" s="489"/>
      <c r="K26" s="489"/>
      <c r="L26" s="489"/>
      <c r="M26" s="489"/>
      <c r="N26" s="489"/>
      <c r="O26" s="489"/>
      <c r="P26" s="489"/>
      <c r="Q26" s="489"/>
      <c r="R26" s="491"/>
    </row>
    <row r="27" spans="1:18" ht="17.100000000000001" customHeight="1" x14ac:dyDescent="0.25">
      <c r="A27" s="490" t="s">
        <v>1521</v>
      </c>
      <c r="B27" s="490" t="str">
        <f>LEFT(Table6[[#This Row],[DATE]],4)</f>
        <v>1403</v>
      </c>
      <c r="C27" s="490" t="str">
        <f>MID(Table6[[#This Row],[DATE]],6,2)</f>
        <v>08</v>
      </c>
      <c r="D27" s="489"/>
      <c r="E27" s="489"/>
      <c r="F27" s="489">
        <v>3750</v>
      </c>
      <c r="G27" s="489"/>
      <c r="H27" s="489"/>
      <c r="I27" s="489"/>
      <c r="J27" s="489"/>
      <c r="K27" s="489"/>
      <c r="L27" s="489"/>
      <c r="M27" s="489"/>
      <c r="N27" s="489"/>
      <c r="O27" s="489"/>
      <c r="P27" s="489"/>
      <c r="Q27" s="489"/>
      <c r="R27" s="491"/>
    </row>
    <row r="28" spans="1:18" ht="17.100000000000001" customHeight="1" x14ac:dyDescent="0.25">
      <c r="A28" s="490" t="s">
        <v>1514</v>
      </c>
      <c r="B28" s="490" t="str">
        <f>LEFT(Table6[[#This Row],[DATE]],4)</f>
        <v>1403</v>
      </c>
      <c r="C28" s="490" t="str">
        <f>MID(Table6[[#This Row],[DATE]],6,2)</f>
        <v>08</v>
      </c>
      <c r="D28" s="489"/>
      <c r="E28" s="489"/>
      <c r="F28" s="489"/>
      <c r="G28" s="489">
        <v>4200</v>
      </c>
      <c r="H28" s="489"/>
      <c r="I28" s="489"/>
      <c r="J28" s="489"/>
      <c r="K28" s="489"/>
      <c r="L28" s="489"/>
      <c r="M28" s="489"/>
      <c r="N28" s="489"/>
      <c r="O28" s="489"/>
      <c r="P28" s="489"/>
      <c r="Q28" s="489"/>
      <c r="R28" s="491"/>
    </row>
    <row r="29" spans="1:18" ht="17.100000000000001" customHeight="1" x14ac:dyDescent="0.25">
      <c r="A29" s="490" t="s">
        <v>1523</v>
      </c>
      <c r="B29" s="490" t="str">
        <f>LEFT(Table6[[#This Row],[DATE]],4)</f>
        <v>1403</v>
      </c>
      <c r="C29" s="490" t="str">
        <f>MID(Table6[[#This Row],[DATE]],6,2)</f>
        <v>08</v>
      </c>
      <c r="D29" s="489"/>
      <c r="E29" s="489"/>
      <c r="F29" s="489">
        <v>4000</v>
      </c>
      <c r="G29" s="489"/>
      <c r="H29" s="489"/>
      <c r="I29" s="489"/>
      <c r="J29" s="489"/>
      <c r="K29" s="489"/>
      <c r="L29" s="489"/>
      <c r="M29" s="489"/>
      <c r="N29" s="489"/>
      <c r="O29" s="489"/>
      <c r="P29" s="489"/>
      <c r="Q29" s="489"/>
      <c r="R29" s="491"/>
    </row>
    <row r="30" spans="1:18" ht="17.100000000000001" customHeight="1" x14ac:dyDescent="0.25">
      <c r="A30" s="490" t="s">
        <v>1482</v>
      </c>
      <c r="B30" s="490" t="str">
        <f>LEFT(Table6[[#This Row],[DATE]],4)</f>
        <v>1403</v>
      </c>
      <c r="C30" s="490" t="str">
        <f>MID(Table6[[#This Row],[DATE]],6,2)</f>
        <v>08</v>
      </c>
      <c r="D30" s="489"/>
      <c r="E30" s="489"/>
      <c r="F30" s="489"/>
      <c r="G30" s="489">
        <v>3400</v>
      </c>
      <c r="H30" s="489"/>
      <c r="I30" s="489">
        <v>1600</v>
      </c>
      <c r="J30" s="489">
        <v>800</v>
      </c>
      <c r="K30" s="489">
        <v>4800</v>
      </c>
      <c r="L30" s="489"/>
      <c r="M30" s="489"/>
      <c r="N30" s="489"/>
      <c r="O30" s="489"/>
      <c r="P30" s="489"/>
      <c r="Q30" s="489"/>
      <c r="R30" s="491"/>
    </row>
    <row r="31" spans="1:18" ht="17.100000000000001" customHeight="1" x14ac:dyDescent="0.25">
      <c r="A31" s="490" t="s">
        <v>1483</v>
      </c>
      <c r="B31" s="490" t="str">
        <f>LEFT(Table6[[#This Row],[DATE]],4)</f>
        <v>1403</v>
      </c>
      <c r="C31" s="490" t="str">
        <f>MID(Table6[[#This Row],[DATE]],6,2)</f>
        <v>08</v>
      </c>
      <c r="D31" s="489"/>
      <c r="E31" s="489"/>
      <c r="F31" s="489"/>
      <c r="G31" s="489">
        <v>2400</v>
      </c>
      <c r="H31" s="489"/>
      <c r="I31" s="489">
        <v>7200</v>
      </c>
      <c r="J31" s="489">
        <v>3600</v>
      </c>
      <c r="K31" s="489">
        <v>2100</v>
      </c>
      <c r="L31" s="489">
        <v>5400</v>
      </c>
      <c r="M31" s="489">
        <v>2700</v>
      </c>
      <c r="N31" s="489"/>
      <c r="O31" s="489"/>
      <c r="P31" s="489"/>
      <c r="Q31" s="489"/>
      <c r="R31" s="491"/>
    </row>
    <row r="32" spans="1:18" ht="17.100000000000001" customHeight="1" x14ac:dyDescent="0.25">
      <c r="A32" s="490" t="s">
        <v>1484</v>
      </c>
      <c r="B32" s="490" t="str">
        <f>LEFT(Table6[[#This Row],[DATE]],4)</f>
        <v>1403</v>
      </c>
      <c r="C32" s="490" t="str">
        <f>MID(Table6[[#This Row],[DATE]],6,2)</f>
        <v>08</v>
      </c>
      <c r="D32" s="489"/>
      <c r="E32" s="489"/>
      <c r="F32" s="489"/>
      <c r="G32" s="489">
        <v>6000</v>
      </c>
      <c r="H32" s="489"/>
      <c r="I32" s="489">
        <v>5800</v>
      </c>
      <c r="J32" s="489">
        <v>2900</v>
      </c>
      <c r="K32" s="489"/>
      <c r="L32" s="489">
        <v>900</v>
      </c>
      <c r="M32" s="489">
        <v>450</v>
      </c>
      <c r="N32" s="489"/>
      <c r="O32" s="489"/>
      <c r="P32" s="489"/>
      <c r="Q32" s="489"/>
      <c r="R32" s="491"/>
    </row>
    <row r="33" spans="1:18" ht="17.100000000000001" customHeight="1" x14ac:dyDescent="0.25">
      <c r="A33" s="490" t="s">
        <v>1485</v>
      </c>
      <c r="B33" s="490" t="str">
        <f>LEFT(Table6[[#This Row],[DATE]],4)</f>
        <v>1403</v>
      </c>
      <c r="C33" s="490" t="str">
        <f>MID(Table6[[#This Row],[DATE]],6,2)</f>
        <v>08</v>
      </c>
      <c r="D33" s="489"/>
      <c r="E33" s="489"/>
      <c r="F33" s="489"/>
      <c r="G33" s="489">
        <v>5000</v>
      </c>
      <c r="H33" s="489"/>
      <c r="I33" s="489">
        <v>5200</v>
      </c>
      <c r="J33" s="489">
        <v>2600</v>
      </c>
      <c r="K33" s="489"/>
      <c r="L33" s="489">
        <v>800</v>
      </c>
      <c r="M33" s="489">
        <v>400</v>
      </c>
      <c r="N33" s="489"/>
      <c r="O33" s="489"/>
      <c r="P33" s="489"/>
      <c r="Q33" s="489"/>
      <c r="R33" s="491"/>
    </row>
    <row r="34" spans="1:18" ht="17.100000000000001" customHeight="1" x14ac:dyDescent="0.25">
      <c r="A34" s="490" t="s">
        <v>1515</v>
      </c>
      <c r="B34" s="490" t="str">
        <f>LEFT(Table6[[#This Row],[DATE]],4)</f>
        <v>1403</v>
      </c>
      <c r="C34" s="490" t="str">
        <f>MID(Table6[[#This Row],[DATE]],6,2)</f>
        <v>08</v>
      </c>
      <c r="D34" s="489"/>
      <c r="E34" s="489"/>
      <c r="F34" s="489"/>
      <c r="G34" s="489">
        <v>2400</v>
      </c>
      <c r="H34" s="489"/>
      <c r="I34" s="489"/>
      <c r="J34" s="489"/>
      <c r="K34" s="489"/>
      <c r="L34" s="489">
        <v>3500</v>
      </c>
      <c r="M34" s="489">
        <v>1750</v>
      </c>
      <c r="N34" s="489"/>
      <c r="O34" s="489"/>
      <c r="P34" s="489"/>
      <c r="Q34" s="489"/>
      <c r="R34" s="491"/>
    </row>
    <row r="35" spans="1:18" ht="17.100000000000001" customHeight="1" x14ac:dyDescent="0.25">
      <c r="A35" s="490" t="s">
        <v>1524</v>
      </c>
      <c r="B35" s="490" t="str">
        <f>LEFT(Table6[[#This Row],[DATE]],4)</f>
        <v>1403</v>
      </c>
      <c r="C35" s="490" t="str">
        <f>MID(Table6[[#This Row],[DATE]],6,2)</f>
        <v>08</v>
      </c>
      <c r="D35" s="489"/>
      <c r="E35" s="489"/>
      <c r="F35" s="489"/>
      <c r="G35" s="489"/>
      <c r="H35" s="489"/>
      <c r="I35" s="489"/>
      <c r="J35" s="489"/>
      <c r="K35" s="489"/>
      <c r="L35" s="489">
        <v>1600</v>
      </c>
      <c r="M35" s="489">
        <v>800</v>
      </c>
      <c r="N35" s="489"/>
      <c r="O35" s="489"/>
      <c r="P35" s="489"/>
      <c r="Q35" s="489"/>
      <c r="R35" s="491"/>
    </row>
    <row r="36" spans="1:18" ht="17.100000000000001" customHeight="1" x14ac:dyDescent="0.25">
      <c r="A36" s="490" t="s">
        <v>1518</v>
      </c>
      <c r="B36" s="490" t="str">
        <f>LEFT(Table6[[#This Row],[DATE]],4)</f>
        <v>1403</v>
      </c>
      <c r="C36" s="490" t="str">
        <f>MID(Table6[[#This Row],[DATE]],6,2)</f>
        <v>08</v>
      </c>
      <c r="D36" s="489"/>
      <c r="E36" s="489"/>
      <c r="F36" s="489"/>
      <c r="G36" s="489"/>
      <c r="H36" s="489"/>
      <c r="I36" s="489"/>
      <c r="J36" s="489"/>
      <c r="K36" s="489"/>
      <c r="L36" s="489"/>
      <c r="M36" s="489"/>
      <c r="N36" s="489">
        <v>1600</v>
      </c>
      <c r="O36" s="489"/>
      <c r="P36" s="489"/>
      <c r="Q36" s="489"/>
      <c r="R36" s="491"/>
    </row>
    <row r="37" spans="1:18" ht="17.100000000000001" customHeight="1" x14ac:dyDescent="0.25">
      <c r="A37" s="490" t="s">
        <v>1516</v>
      </c>
      <c r="B37" s="490" t="str">
        <f>LEFT(Table6[[#This Row],[DATE]],4)</f>
        <v>1403</v>
      </c>
      <c r="C37" s="490" t="str">
        <f>MID(Table6[[#This Row],[DATE]],6,2)</f>
        <v>08</v>
      </c>
      <c r="D37" s="489"/>
      <c r="E37" s="489"/>
      <c r="F37" s="489">
        <v>1500</v>
      </c>
      <c r="G37" s="489">
        <v>2000</v>
      </c>
      <c r="H37" s="489">
        <v>550</v>
      </c>
      <c r="I37" s="489"/>
      <c r="J37" s="489"/>
      <c r="K37" s="489"/>
      <c r="L37" s="489">
        <v>1100</v>
      </c>
      <c r="M37" s="489"/>
      <c r="N37" s="489">
        <v>480</v>
      </c>
      <c r="O37" s="489"/>
      <c r="P37" s="489"/>
      <c r="Q37" s="489"/>
      <c r="R37" s="491"/>
    </row>
    <row r="38" spans="1:18" ht="17.100000000000001" customHeight="1" x14ac:dyDescent="0.25">
      <c r="A38" s="490" t="s">
        <v>1517</v>
      </c>
      <c r="B38" s="490" t="str">
        <f>LEFT(Table6[[#This Row],[DATE]],4)</f>
        <v>1403</v>
      </c>
      <c r="C38" s="490" t="str">
        <f>MID(Table6[[#This Row],[DATE]],6,2)</f>
        <v>08</v>
      </c>
      <c r="D38" s="489"/>
      <c r="E38" s="489"/>
      <c r="F38" s="489"/>
      <c r="G38" s="489">
        <v>3600</v>
      </c>
      <c r="H38" s="489"/>
      <c r="I38" s="489"/>
      <c r="J38" s="489"/>
      <c r="K38" s="489"/>
      <c r="L38" s="489">
        <v>1200</v>
      </c>
      <c r="M38" s="489">
        <v>600</v>
      </c>
      <c r="N38" s="489">
        <v>400</v>
      </c>
      <c r="O38" s="489"/>
      <c r="P38" s="489"/>
      <c r="Q38" s="489"/>
      <c r="R38" s="491"/>
    </row>
    <row r="39" spans="1:18" ht="17.100000000000001" customHeight="1" x14ac:dyDescent="0.25">
      <c r="A39" s="490" t="s">
        <v>1486</v>
      </c>
      <c r="B39" s="490" t="str">
        <f>LEFT(Table6[[#This Row],[DATE]],4)</f>
        <v>1403</v>
      </c>
      <c r="C39" s="490" t="str">
        <f>MID(Table6[[#This Row],[DATE]],6,2)</f>
        <v>08</v>
      </c>
      <c r="D39" s="489"/>
      <c r="E39" s="489"/>
      <c r="F39" s="489"/>
      <c r="G39" s="489">
        <v>3600</v>
      </c>
      <c r="H39" s="489">
        <v>1350</v>
      </c>
      <c r="I39" s="489">
        <v>2700</v>
      </c>
      <c r="J39" s="489">
        <v>1350</v>
      </c>
      <c r="K39" s="489"/>
      <c r="L39" s="489">
        <v>3600</v>
      </c>
      <c r="M39" s="489">
        <v>450</v>
      </c>
      <c r="N39" s="489">
        <v>1120</v>
      </c>
      <c r="O39" s="489"/>
      <c r="P39" s="489"/>
      <c r="Q39" s="489"/>
      <c r="R39" s="491"/>
    </row>
    <row r="40" spans="1:18" ht="17.100000000000001" customHeight="1" x14ac:dyDescent="0.25">
      <c r="A40" s="490" t="s">
        <v>1487</v>
      </c>
      <c r="B40" s="490" t="str">
        <f>LEFT(Table6[[#This Row],[DATE]],4)</f>
        <v>1403</v>
      </c>
      <c r="C40" s="490" t="str">
        <f>MID(Table6[[#This Row],[DATE]],6,2)</f>
        <v>08</v>
      </c>
      <c r="D40" s="489"/>
      <c r="E40" s="489"/>
      <c r="F40" s="489"/>
      <c r="G40" s="489">
        <v>400</v>
      </c>
      <c r="H40" s="489">
        <v>700</v>
      </c>
      <c r="I40" s="489">
        <v>3000</v>
      </c>
      <c r="J40" s="489">
        <v>1500</v>
      </c>
      <c r="K40" s="489"/>
      <c r="L40" s="489">
        <v>1400</v>
      </c>
      <c r="M40" s="489"/>
      <c r="N40" s="489">
        <v>1760</v>
      </c>
      <c r="O40" s="489"/>
      <c r="P40" s="489"/>
      <c r="Q40" s="489"/>
      <c r="R40" s="491"/>
    </row>
    <row r="41" spans="1:18" ht="17.100000000000001" customHeight="1" x14ac:dyDescent="0.25">
      <c r="A41" s="490" t="s">
        <v>1488</v>
      </c>
      <c r="B41" s="490" t="str">
        <f>LEFT(Table6[[#This Row],[DATE]],4)</f>
        <v>1403</v>
      </c>
      <c r="C41" s="490" t="str">
        <f>MID(Table6[[#This Row],[DATE]],6,2)</f>
        <v>08</v>
      </c>
      <c r="D41" s="489"/>
      <c r="E41" s="489"/>
      <c r="F41" s="489"/>
      <c r="G41" s="489">
        <v>3000</v>
      </c>
      <c r="H41" s="489">
        <v>2300</v>
      </c>
      <c r="I41" s="489">
        <v>5800</v>
      </c>
      <c r="J41" s="489">
        <v>2900</v>
      </c>
      <c r="K41" s="489"/>
      <c r="L41" s="489">
        <v>4600</v>
      </c>
      <c r="M41" s="489"/>
      <c r="N41" s="489">
        <v>2960</v>
      </c>
      <c r="O41" s="489"/>
      <c r="P41" s="489"/>
      <c r="Q41" s="489"/>
      <c r="R41" s="491"/>
    </row>
    <row r="42" spans="1:18" ht="17.100000000000001" customHeight="1" x14ac:dyDescent="0.25">
      <c r="A42" s="490" t="s">
        <v>1489</v>
      </c>
      <c r="B42" s="490" t="str">
        <f>LEFT(Table6[[#This Row],[DATE]],4)</f>
        <v>1403</v>
      </c>
      <c r="C42" s="490" t="str">
        <f>MID(Table6[[#This Row],[DATE]],6,2)</f>
        <v>08</v>
      </c>
      <c r="D42" s="489"/>
      <c r="E42" s="489"/>
      <c r="F42" s="489">
        <v>1400</v>
      </c>
      <c r="G42" s="489">
        <v>3400</v>
      </c>
      <c r="H42" s="489">
        <v>1100</v>
      </c>
      <c r="I42" s="489">
        <v>1500</v>
      </c>
      <c r="J42" s="489">
        <v>750</v>
      </c>
      <c r="K42" s="489"/>
      <c r="L42" s="489">
        <v>2200</v>
      </c>
      <c r="M42" s="489"/>
      <c r="N42" s="489"/>
      <c r="O42" s="489"/>
      <c r="P42" s="489"/>
      <c r="Q42" s="489"/>
      <c r="R42" s="491"/>
    </row>
    <row r="43" spans="1:18" ht="17.100000000000001" customHeight="1" x14ac:dyDescent="0.25">
      <c r="A43" s="490" t="s">
        <v>1490</v>
      </c>
      <c r="B43" s="490" t="str">
        <f>LEFT(Table6[[#This Row],[DATE]],4)</f>
        <v>1403</v>
      </c>
      <c r="C43" s="490" t="str">
        <f>MID(Table6[[#This Row],[DATE]],6,2)</f>
        <v>08</v>
      </c>
      <c r="D43" s="489">
        <v>1200</v>
      </c>
      <c r="E43" s="489">
        <v>600</v>
      </c>
      <c r="F43" s="489">
        <v>2200</v>
      </c>
      <c r="G43" s="489">
        <v>5400</v>
      </c>
      <c r="H43" s="489">
        <v>950</v>
      </c>
      <c r="I43" s="489">
        <v>3200</v>
      </c>
      <c r="J43" s="489">
        <v>1600</v>
      </c>
      <c r="K43" s="489"/>
      <c r="L43" s="489">
        <v>2300</v>
      </c>
      <c r="M43" s="489">
        <v>200</v>
      </c>
      <c r="N43" s="489"/>
      <c r="O43" s="489"/>
      <c r="P43" s="489"/>
      <c r="Q43" s="489"/>
      <c r="R43" s="491"/>
    </row>
    <row r="44" spans="1:18" ht="17.100000000000001" customHeight="1" x14ac:dyDescent="0.25">
      <c r="A44" s="490" t="s">
        <v>1491</v>
      </c>
      <c r="B44" s="490" t="str">
        <f>LEFT(Table6[[#This Row],[DATE]],4)</f>
        <v>1403</v>
      </c>
      <c r="C44" s="490" t="str">
        <f>MID(Table6[[#This Row],[DATE]],6,2)</f>
        <v>08</v>
      </c>
      <c r="D44" s="489">
        <v>400</v>
      </c>
      <c r="E44" s="489">
        <v>200</v>
      </c>
      <c r="F44" s="489">
        <v>1800</v>
      </c>
      <c r="G44" s="489">
        <v>5400</v>
      </c>
      <c r="H44" s="489">
        <v>750</v>
      </c>
      <c r="I44" s="489">
        <v>3200</v>
      </c>
      <c r="J44" s="489">
        <v>1600</v>
      </c>
      <c r="K44" s="489">
        <v>9300</v>
      </c>
      <c r="L44" s="489">
        <v>1500</v>
      </c>
      <c r="M44" s="489"/>
      <c r="N44" s="489">
        <v>400</v>
      </c>
      <c r="O44" s="489"/>
      <c r="P44" s="489"/>
      <c r="Q44" s="489"/>
      <c r="R44" s="491"/>
    </row>
    <row r="45" spans="1:18" ht="17.100000000000001" customHeight="1" x14ac:dyDescent="0.25">
      <c r="A45" s="490" t="s">
        <v>1492</v>
      </c>
      <c r="B45" s="490" t="str">
        <f>LEFT(Table6[[#This Row],[DATE]],4)</f>
        <v>1403</v>
      </c>
      <c r="C45" s="490" t="str">
        <f>MID(Table6[[#This Row],[DATE]],6,2)</f>
        <v>08</v>
      </c>
      <c r="D45" s="489"/>
      <c r="E45" s="489"/>
      <c r="F45" s="489">
        <v>3600</v>
      </c>
      <c r="G45" s="489">
        <v>1400</v>
      </c>
      <c r="H45" s="489">
        <v>100</v>
      </c>
      <c r="I45" s="489">
        <v>1800</v>
      </c>
      <c r="J45" s="489">
        <v>900</v>
      </c>
      <c r="K45" s="489">
        <v>6900</v>
      </c>
      <c r="L45" s="489">
        <v>200</v>
      </c>
      <c r="M45" s="489"/>
      <c r="N45" s="489"/>
      <c r="O45" s="489"/>
      <c r="P45" s="489"/>
      <c r="Q45" s="489"/>
      <c r="R45" s="491"/>
    </row>
    <row r="46" spans="1:18" ht="17.100000000000001" customHeight="1" x14ac:dyDescent="0.25">
      <c r="A46" s="490" t="s">
        <v>1493</v>
      </c>
      <c r="B46" s="490" t="str">
        <f>LEFT(Table6[[#This Row],[DATE]],4)</f>
        <v>1403</v>
      </c>
      <c r="C46" s="490" t="str">
        <f>MID(Table6[[#This Row],[DATE]],6,2)</f>
        <v>09</v>
      </c>
      <c r="D46" s="489">
        <v>3800</v>
      </c>
      <c r="E46" s="489">
        <v>1900</v>
      </c>
      <c r="F46" s="489">
        <v>1900</v>
      </c>
      <c r="G46" s="489">
        <v>5800</v>
      </c>
      <c r="H46" s="489"/>
      <c r="I46" s="489">
        <v>3600</v>
      </c>
      <c r="J46" s="489">
        <v>1800</v>
      </c>
      <c r="K46" s="489">
        <v>6600</v>
      </c>
      <c r="L46" s="489"/>
      <c r="M46" s="489"/>
      <c r="N46" s="489"/>
      <c r="O46" s="489"/>
      <c r="P46" s="489"/>
      <c r="Q46" s="489"/>
      <c r="R46" s="491"/>
    </row>
    <row r="47" spans="1:18" ht="17.100000000000001" customHeight="1" x14ac:dyDescent="0.25">
      <c r="A47" s="490" t="s">
        <v>1494</v>
      </c>
      <c r="B47" s="490" t="str">
        <f>LEFT(Table6[[#This Row],[DATE]],4)</f>
        <v>1403</v>
      </c>
      <c r="C47" s="490" t="str">
        <f>MID(Table6[[#This Row],[DATE]],6,2)</f>
        <v>09</v>
      </c>
      <c r="D47" s="489">
        <v>1400</v>
      </c>
      <c r="E47" s="489">
        <v>700</v>
      </c>
      <c r="F47" s="489">
        <v>2850</v>
      </c>
      <c r="G47" s="489">
        <v>2200</v>
      </c>
      <c r="H47" s="489"/>
      <c r="I47" s="489">
        <v>8000</v>
      </c>
      <c r="J47" s="489">
        <v>4000</v>
      </c>
      <c r="K47" s="489"/>
      <c r="L47" s="489"/>
      <c r="M47" s="489"/>
      <c r="N47" s="489"/>
      <c r="O47" s="489"/>
      <c r="P47" s="489"/>
      <c r="Q47" s="489"/>
      <c r="R47" s="491"/>
    </row>
    <row r="48" spans="1:18" ht="17.100000000000001" customHeight="1" x14ac:dyDescent="0.25">
      <c r="A48" s="490" t="s">
        <v>1495</v>
      </c>
      <c r="B48" s="490" t="str">
        <f>LEFT(Table6[[#This Row],[DATE]],4)</f>
        <v>1403</v>
      </c>
      <c r="C48" s="490" t="str">
        <f>MID(Table6[[#This Row],[DATE]],6,2)</f>
        <v>09</v>
      </c>
      <c r="D48" s="489">
        <v>800</v>
      </c>
      <c r="E48" s="489">
        <v>400</v>
      </c>
      <c r="F48" s="489">
        <v>1500</v>
      </c>
      <c r="G48" s="489">
        <v>3200</v>
      </c>
      <c r="H48" s="489">
        <v>300</v>
      </c>
      <c r="I48" s="489">
        <v>5000</v>
      </c>
      <c r="J48" s="489">
        <v>2500</v>
      </c>
      <c r="K48" s="489"/>
      <c r="L48" s="489">
        <v>600</v>
      </c>
      <c r="M48" s="489"/>
      <c r="N48" s="489"/>
      <c r="O48" s="489"/>
      <c r="P48" s="489"/>
      <c r="Q48" s="489"/>
      <c r="R48" s="491"/>
    </row>
    <row r="49" spans="1:18" ht="17.100000000000001" customHeight="1" x14ac:dyDescent="0.25">
      <c r="A49" s="490" t="s">
        <v>1496</v>
      </c>
      <c r="B49" s="490" t="str">
        <f>LEFT(Table6[[#This Row],[DATE]],4)</f>
        <v>1403</v>
      </c>
      <c r="C49" s="490" t="str">
        <f>MID(Table6[[#This Row],[DATE]],6,2)</f>
        <v>09</v>
      </c>
      <c r="D49" s="489"/>
      <c r="E49" s="489">
        <v>1000</v>
      </c>
      <c r="F49" s="489">
        <v>1200</v>
      </c>
      <c r="G49" s="489">
        <v>2000</v>
      </c>
      <c r="H49" s="489">
        <v>2950</v>
      </c>
      <c r="I49" s="489">
        <v>2100</v>
      </c>
      <c r="J49" s="489">
        <v>1050</v>
      </c>
      <c r="K49" s="489"/>
      <c r="L49" s="489">
        <v>5900</v>
      </c>
      <c r="M49" s="489"/>
      <c r="N49" s="489"/>
      <c r="O49" s="489">
        <v>2000</v>
      </c>
      <c r="P49" s="489"/>
      <c r="Q49" s="489"/>
      <c r="R49" s="491"/>
    </row>
    <row r="50" spans="1:18" ht="17.100000000000001" customHeight="1" x14ac:dyDescent="0.25">
      <c r="A50" s="490" t="s">
        <v>1497</v>
      </c>
      <c r="B50" s="490" t="str">
        <f>LEFT(Table6[[#This Row],[DATE]],4)</f>
        <v>1403</v>
      </c>
      <c r="C50" s="490" t="str">
        <f>MID(Table6[[#This Row],[DATE]],6,2)</f>
        <v>09</v>
      </c>
      <c r="D50" s="489"/>
      <c r="E50" s="489">
        <v>1750</v>
      </c>
      <c r="F50" s="489"/>
      <c r="G50" s="489"/>
      <c r="H50" s="489">
        <v>1750</v>
      </c>
      <c r="I50" s="489">
        <v>1300</v>
      </c>
      <c r="J50" s="489">
        <v>650</v>
      </c>
      <c r="K50" s="489"/>
      <c r="L50" s="489">
        <v>3500</v>
      </c>
      <c r="M50" s="489"/>
      <c r="N50" s="489"/>
      <c r="O50" s="489">
        <v>3500</v>
      </c>
      <c r="P50" s="489"/>
      <c r="Q50" s="489"/>
      <c r="R50" s="491"/>
    </row>
    <row r="51" spans="1:18" ht="17.100000000000001" customHeight="1" x14ac:dyDescent="0.25">
      <c r="A51" s="490" t="s">
        <v>1498</v>
      </c>
      <c r="B51" s="490" t="str">
        <f>LEFT(Table6[[#This Row],[DATE]],4)</f>
        <v>1403</v>
      </c>
      <c r="C51" s="490" t="str">
        <f>MID(Table6[[#This Row],[DATE]],6,2)</f>
        <v>09</v>
      </c>
      <c r="D51" s="489">
        <v>800</v>
      </c>
      <c r="E51" s="489">
        <v>900</v>
      </c>
      <c r="F51" s="489">
        <v>3600</v>
      </c>
      <c r="G51" s="489"/>
      <c r="H51" s="489"/>
      <c r="I51" s="489">
        <v>3200</v>
      </c>
      <c r="J51" s="489">
        <v>1600</v>
      </c>
      <c r="K51" s="489"/>
      <c r="L51" s="489"/>
      <c r="M51" s="489"/>
      <c r="N51" s="489">
        <v>800</v>
      </c>
      <c r="O51" s="489">
        <v>1000</v>
      </c>
      <c r="P51" s="489"/>
      <c r="Q51" s="489"/>
      <c r="R51" s="491"/>
    </row>
    <row r="52" spans="1:18" ht="17.100000000000001" customHeight="1" x14ac:dyDescent="0.25">
      <c r="A52" s="490" t="s">
        <v>1499</v>
      </c>
      <c r="B52" s="490" t="str">
        <f>LEFT(Table6[[#This Row],[DATE]],4)</f>
        <v>1403</v>
      </c>
      <c r="C52" s="490" t="str">
        <f>MID(Table6[[#This Row],[DATE]],6,2)</f>
        <v>09</v>
      </c>
      <c r="D52" s="489">
        <v>2800</v>
      </c>
      <c r="E52" s="489">
        <v>3150</v>
      </c>
      <c r="F52" s="489">
        <v>5550</v>
      </c>
      <c r="G52" s="489"/>
      <c r="H52" s="489"/>
      <c r="I52" s="489">
        <v>1200</v>
      </c>
      <c r="J52" s="489">
        <v>600</v>
      </c>
      <c r="K52" s="489"/>
      <c r="L52" s="489"/>
      <c r="M52" s="489"/>
      <c r="N52" s="489">
        <v>1440</v>
      </c>
      <c r="O52" s="489">
        <v>3500</v>
      </c>
      <c r="P52" s="489"/>
      <c r="Q52" s="489"/>
      <c r="R52" s="491"/>
    </row>
    <row r="53" spans="1:18" ht="17.100000000000001" customHeight="1" x14ac:dyDescent="0.25">
      <c r="A53" s="490" t="s">
        <v>1500</v>
      </c>
      <c r="B53" s="490" t="str">
        <f>LEFT(Table6[[#This Row],[DATE]],4)</f>
        <v>1403</v>
      </c>
      <c r="C53" s="490" t="str">
        <f>MID(Table6[[#This Row],[DATE]],6,2)</f>
        <v>09</v>
      </c>
      <c r="D53" s="489">
        <v>5600</v>
      </c>
      <c r="E53" s="489">
        <v>4650</v>
      </c>
      <c r="F53" s="489">
        <v>1650</v>
      </c>
      <c r="G53" s="489"/>
      <c r="H53" s="489"/>
      <c r="I53" s="489">
        <v>1200</v>
      </c>
      <c r="J53" s="489">
        <v>600</v>
      </c>
      <c r="K53" s="489"/>
      <c r="L53" s="489"/>
      <c r="M53" s="489"/>
      <c r="N53" s="489"/>
      <c r="O53" s="489">
        <v>3700</v>
      </c>
      <c r="P53" s="489"/>
      <c r="Q53" s="489"/>
      <c r="R53" s="491"/>
    </row>
    <row r="54" spans="1:18" ht="17.100000000000001" customHeight="1" x14ac:dyDescent="0.25">
      <c r="A54" s="490" t="s">
        <v>1477</v>
      </c>
      <c r="B54" s="490" t="str">
        <f>LEFT(Table6[[#This Row],[DATE]],4)</f>
        <v>1403</v>
      </c>
      <c r="C54" s="490" t="str">
        <f>MID(Table6[[#This Row],[DATE]],6,2)</f>
        <v>09</v>
      </c>
      <c r="D54" s="489">
        <v>5600</v>
      </c>
      <c r="E54" s="489">
        <v>3850</v>
      </c>
      <c r="F54" s="489">
        <v>1200</v>
      </c>
      <c r="G54" s="489">
        <v>2600</v>
      </c>
      <c r="H54" s="489">
        <v>700</v>
      </c>
      <c r="I54" s="489">
        <v>3100</v>
      </c>
      <c r="J54" s="489">
        <v>850</v>
      </c>
      <c r="K54" s="489"/>
      <c r="L54" s="489"/>
      <c r="M54" s="489"/>
      <c r="N54" s="489">
        <v>640</v>
      </c>
      <c r="O54" s="489">
        <v>2100</v>
      </c>
      <c r="P54" s="489"/>
      <c r="Q54" s="489"/>
      <c r="R54" s="491"/>
    </row>
    <row r="55" spans="1:18" ht="17.100000000000001" customHeight="1" x14ac:dyDescent="0.25">
      <c r="A55" s="490" t="s">
        <v>1510</v>
      </c>
      <c r="B55" s="490" t="str">
        <f>LEFT(Table6[[#This Row],[DATE]],4)</f>
        <v>1403</v>
      </c>
      <c r="C55" s="490" t="str">
        <f>MID(Table6[[#This Row],[DATE]],6,2)</f>
        <v>09</v>
      </c>
      <c r="D55" s="489">
        <v>2200</v>
      </c>
      <c r="E55" s="489">
        <v>1100</v>
      </c>
      <c r="F55" s="489">
        <v>1950</v>
      </c>
      <c r="G55" s="489"/>
      <c r="H55" s="489"/>
      <c r="I55" s="489"/>
      <c r="J55" s="489"/>
      <c r="K55" s="489"/>
      <c r="L55" s="489"/>
      <c r="M55" s="489"/>
      <c r="N55" s="489">
        <v>1920</v>
      </c>
      <c r="O55" s="489"/>
      <c r="P55" s="489"/>
      <c r="Q55" s="489"/>
      <c r="R55" s="491"/>
    </row>
    <row r="56" spans="1:18" ht="17.100000000000001" customHeight="1" x14ac:dyDescent="0.25">
      <c r="A56" s="490" t="s">
        <v>1478</v>
      </c>
      <c r="B56" s="490" t="str">
        <f>LEFT(Table6[[#This Row],[DATE]],4)</f>
        <v>1403</v>
      </c>
      <c r="C56" s="490" t="str">
        <f>MID(Table6[[#This Row],[DATE]],6,2)</f>
        <v>09</v>
      </c>
      <c r="D56" s="489"/>
      <c r="E56" s="489"/>
      <c r="F56" s="489">
        <v>2100</v>
      </c>
      <c r="G56" s="489"/>
      <c r="H56" s="489">
        <v>1600</v>
      </c>
      <c r="I56" s="489">
        <v>3200</v>
      </c>
      <c r="J56" s="489"/>
      <c r="K56" s="489"/>
      <c r="L56" s="489"/>
      <c r="M56" s="489"/>
      <c r="N56" s="489">
        <v>1840</v>
      </c>
      <c r="O56" s="489"/>
      <c r="P56" s="489"/>
      <c r="Q56" s="489"/>
      <c r="R56" s="491"/>
    </row>
    <row r="57" spans="1:18" ht="17.100000000000001" customHeight="1" x14ac:dyDescent="0.25">
      <c r="A57" s="490" t="s">
        <v>1479</v>
      </c>
      <c r="B57" s="490" t="str">
        <f>LEFT(Table6[[#This Row],[DATE]],4)</f>
        <v>1403</v>
      </c>
      <c r="C57" s="490" t="str">
        <f>MID(Table6[[#This Row],[DATE]],6,2)</f>
        <v>09</v>
      </c>
      <c r="D57" s="489"/>
      <c r="E57" s="489"/>
      <c r="F57" s="489"/>
      <c r="G57" s="489"/>
      <c r="H57" s="489">
        <v>1400</v>
      </c>
      <c r="I57" s="489">
        <v>2800</v>
      </c>
      <c r="J57" s="489"/>
      <c r="K57" s="489">
        <v>3300</v>
      </c>
      <c r="L57" s="489"/>
      <c r="M57" s="489"/>
      <c r="N57" s="489"/>
      <c r="O57" s="489"/>
      <c r="P57" s="489"/>
      <c r="Q57" s="489"/>
      <c r="R57" s="491"/>
    </row>
    <row r="58" spans="1:18" ht="17.100000000000001" customHeight="1" x14ac:dyDescent="0.25">
      <c r="A58" s="490" t="s">
        <v>1480</v>
      </c>
      <c r="B58" s="490" t="str">
        <f>LEFT(Table6[[#This Row],[DATE]],4)</f>
        <v>1403</v>
      </c>
      <c r="C58" s="490" t="str">
        <f>MID(Table6[[#This Row],[DATE]],6,2)</f>
        <v>09</v>
      </c>
      <c r="D58" s="489">
        <v>400</v>
      </c>
      <c r="E58" s="489">
        <v>200</v>
      </c>
      <c r="F58" s="489"/>
      <c r="G58" s="489">
        <v>3000</v>
      </c>
      <c r="H58" s="489">
        <v>1600</v>
      </c>
      <c r="I58" s="489">
        <v>1600</v>
      </c>
      <c r="J58" s="489"/>
      <c r="K58" s="489">
        <v>5100</v>
      </c>
      <c r="L58" s="489"/>
      <c r="M58" s="489"/>
      <c r="N58" s="489"/>
      <c r="O58" s="489"/>
      <c r="P58" s="489">
        <v>1600</v>
      </c>
      <c r="Q58" s="489"/>
      <c r="R58" s="491"/>
    </row>
    <row r="59" spans="1:18" ht="17.100000000000001" customHeight="1" x14ac:dyDescent="0.25">
      <c r="A59" s="490" t="s">
        <v>1481</v>
      </c>
      <c r="B59" s="490" t="str">
        <f>LEFT(Table6[[#This Row],[DATE]],4)</f>
        <v>1403</v>
      </c>
      <c r="C59" s="490" t="str">
        <f>MID(Table6[[#This Row],[DATE]],6,2)</f>
        <v>09</v>
      </c>
      <c r="D59" s="489"/>
      <c r="E59" s="489"/>
      <c r="F59" s="489">
        <v>400</v>
      </c>
      <c r="G59" s="489">
        <v>4400</v>
      </c>
      <c r="H59" s="489">
        <v>1450</v>
      </c>
      <c r="I59" s="489">
        <v>4600</v>
      </c>
      <c r="J59" s="489">
        <v>1800</v>
      </c>
      <c r="K59" s="489">
        <v>600</v>
      </c>
      <c r="L59" s="489"/>
      <c r="M59" s="489"/>
      <c r="N59" s="489"/>
      <c r="O59" s="489"/>
      <c r="P59" s="489">
        <v>1900</v>
      </c>
      <c r="Q59" s="489"/>
      <c r="R59" s="491"/>
    </row>
    <row r="60" spans="1:18" ht="17.100000000000001" customHeight="1" x14ac:dyDescent="0.25">
      <c r="A60" s="490" t="s">
        <v>1501</v>
      </c>
      <c r="B60" s="490" t="str">
        <f>LEFT(Table6[[#This Row],[DATE]],4)</f>
        <v>1403</v>
      </c>
      <c r="C60" s="490" t="str">
        <f>MID(Table6[[#This Row],[DATE]],6,2)</f>
        <v>09</v>
      </c>
      <c r="D60" s="489">
        <v>3400</v>
      </c>
      <c r="E60" s="489">
        <v>1700</v>
      </c>
      <c r="F60" s="489">
        <v>3200</v>
      </c>
      <c r="G60" s="489">
        <v>2400</v>
      </c>
      <c r="H60" s="489">
        <v>950</v>
      </c>
      <c r="I60" s="489">
        <v>3000</v>
      </c>
      <c r="J60" s="489">
        <v>1500</v>
      </c>
      <c r="K60" s="489"/>
      <c r="L60" s="489"/>
      <c r="M60" s="489"/>
      <c r="N60" s="489"/>
      <c r="O60" s="489"/>
      <c r="P60" s="489">
        <v>1900</v>
      </c>
      <c r="Q60" s="489"/>
      <c r="R60" s="491"/>
    </row>
    <row r="61" spans="1:18" ht="17.100000000000001" customHeight="1" x14ac:dyDescent="0.25">
      <c r="A61" s="490" t="s">
        <v>1513</v>
      </c>
      <c r="B61" s="490" t="str">
        <f>LEFT(Table6[[#This Row],[DATE]],4)</f>
        <v>1403</v>
      </c>
      <c r="C61" s="490" t="str">
        <f>MID(Table6[[#This Row],[DATE]],6,2)</f>
        <v>09</v>
      </c>
      <c r="D61" s="489">
        <v>800</v>
      </c>
      <c r="E61" s="489">
        <v>400</v>
      </c>
      <c r="F61" s="489">
        <v>400</v>
      </c>
      <c r="G61" s="489"/>
      <c r="H61" s="489"/>
      <c r="I61" s="489"/>
      <c r="J61" s="489"/>
      <c r="K61" s="489"/>
      <c r="L61" s="489"/>
      <c r="M61" s="489"/>
      <c r="N61" s="489">
        <v>1680</v>
      </c>
      <c r="O61" s="489"/>
      <c r="P61" s="489"/>
      <c r="Q61" s="489"/>
      <c r="R61" s="491"/>
    </row>
    <row r="62" spans="1:18" ht="17.100000000000001" customHeight="1" x14ac:dyDescent="0.25">
      <c r="A62" s="490" t="s">
        <v>1502</v>
      </c>
      <c r="B62" s="490" t="str">
        <f>LEFT(Table6[[#This Row],[DATE]],4)</f>
        <v>1403</v>
      </c>
      <c r="C62" s="490" t="str">
        <f>MID(Table6[[#This Row],[DATE]],6,2)</f>
        <v>09</v>
      </c>
      <c r="D62" s="489">
        <v>800</v>
      </c>
      <c r="E62" s="489">
        <v>2800</v>
      </c>
      <c r="F62" s="489">
        <v>1800</v>
      </c>
      <c r="G62" s="489">
        <v>3800</v>
      </c>
      <c r="H62" s="489">
        <v>450</v>
      </c>
      <c r="I62" s="489">
        <v>1800</v>
      </c>
      <c r="J62" s="489">
        <v>1600</v>
      </c>
      <c r="K62" s="489"/>
      <c r="L62" s="489"/>
      <c r="M62" s="489"/>
      <c r="N62" s="489"/>
      <c r="O62" s="489">
        <v>5150</v>
      </c>
      <c r="P62" s="489">
        <v>900</v>
      </c>
      <c r="Q62" s="489"/>
      <c r="R62" s="491"/>
    </row>
    <row r="63" spans="1:18" ht="17.100000000000001" customHeight="1" x14ac:dyDescent="0.25">
      <c r="A63" s="490" t="s">
        <v>178</v>
      </c>
      <c r="B63" s="490" t="str">
        <f>LEFT(Table6[[#This Row],[DATE]],4)</f>
        <v>1403</v>
      </c>
      <c r="C63" s="490" t="str">
        <f>MID(Table6[[#This Row],[DATE]],6,2)</f>
        <v>10</v>
      </c>
      <c r="D63" s="489">
        <v>1862</v>
      </c>
      <c r="E63" s="489">
        <v>931</v>
      </c>
      <c r="F63" s="489">
        <v>2800</v>
      </c>
      <c r="G63" s="489">
        <v>1400</v>
      </c>
      <c r="H63" s="489">
        <v>2825</v>
      </c>
      <c r="I63" s="489">
        <v>2800</v>
      </c>
      <c r="J63" s="489"/>
      <c r="K63" s="489"/>
      <c r="L63" s="489">
        <v>34</v>
      </c>
      <c r="M63" s="489">
        <v>17</v>
      </c>
      <c r="N63" s="489">
        <v>800</v>
      </c>
      <c r="O63" s="489"/>
      <c r="P63" s="489"/>
      <c r="Q63" s="489">
        <v>2850</v>
      </c>
      <c r="R63" s="491"/>
    </row>
    <row r="64" spans="1:18" ht="17.100000000000001" customHeight="1" x14ac:dyDescent="0.25">
      <c r="A64" s="490" t="s">
        <v>199</v>
      </c>
      <c r="B64" s="490" t="str">
        <f>LEFT(Table6[[#This Row],[DATE]],4)</f>
        <v>1403</v>
      </c>
      <c r="C64" s="490" t="str">
        <f>MID(Table6[[#This Row],[DATE]],6,2)</f>
        <v>10</v>
      </c>
      <c r="D64" s="489">
        <v>4800</v>
      </c>
      <c r="E64" s="489">
        <v>2400</v>
      </c>
      <c r="F64" s="489">
        <v>3000</v>
      </c>
      <c r="G64" s="489">
        <v>3000</v>
      </c>
      <c r="H64" s="489">
        <v>1775</v>
      </c>
      <c r="I64" s="489">
        <v>400</v>
      </c>
      <c r="J64" s="489"/>
      <c r="K64" s="489"/>
      <c r="L64" s="489"/>
      <c r="M64" s="489"/>
      <c r="N64" s="489"/>
      <c r="O64" s="489"/>
      <c r="P64" s="489"/>
      <c r="Q64" s="489">
        <v>4350</v>
      </c>
      <c r="R64" s="491"/>
    </row>
    <row r="65" spans="1:18" ht="17.100000000000001" customHeight="1" x14ac:dyDescent="0.25">
      <c r="A65" s="490" t="s">
        <v>186</v>
      </c>
      <c r="B65" s="490" t="str">
        <f>LEFT(Table6[[#This Row],[DATE]],4)</f>
        <v>1403</v>
      </c>
      <c r="C65" s="490" t="str">
        <f>MID(Table6[[#This Row],[DATE]],6,2)</f>
        <v>10</v>
      </c>
      <c r="D65" s="489">
        <v>800</v>
      </c>
      <c r="E65" s="489">
        <v>400</v>
      </c>
      <c r="F65" s="489">
        <v>4650</v>
      </c>
      <c r="G65" s="489">
        <v>3400</v>
      </c>
      <c r="H65" s="489">
        <v>625</v>
      </c>
      <c r="I65" s="489">
        <v>800</v>
      </c>
      <c r="J65" s="489"/>
      <c r="K65" s="489"/>
      <c r="L65" s="489"/>
      <c r="M65" s="489"/>
      <c r="N65" s="489"/>
      <c r="O65" s="489"/>
      <c r="P65" s="489"/>
      <c r="Q65" s="489">
        <v>1650</v>
      </c>
      <c r="R65" s="491"/>
    </row>
    <row r="66" spans="1:18" ht="17.100000000000001" customHeight="1" x14ac:dyDescent="0.25">
      <c r="A66" s="490" t="s">
        <v>1538</v>
      </c>
      <c r="B66" s="490" t="str">
        <f>LEFT(Table6[[#This Row],[DATE]],4)</f>
        <v>1403</v>
      </c>
      <c r="C66" s="490" t="str">
        <f>MID(Table6[[#This Row],[DATE]],6,2)</f>
        <v>10</v>
      </c>
      <c r="D66" s="489"/>
      <c r="E66" s="489">
        <v>400</v>
      </c>
      <c r="F66" s="489">
        <v>4040</v>
      </c>
      <c r="G66" s="489">
        <v>2200</v>
      </c>
      <c r="H66" s="489"/>
      <c r="I66" s="489"/>
      <c r="J66" s="489">
        <v>2100</v>
      </c>
      <c r="K66" s="489"/>
      <c r="L66" s="489">
        <v>1200</v>
      </c>
      <c r="M66" s="489">
        <v>600</v>
      </c>
      <c r="N66" s="489">
        <v>640</v>
      </c>
      <c r="O66" s="489">
        <v>1850</v>
      </c>
      <c r="P66" s="489"/>
      <c r="Q66" s="489"/>
      <c r="R66" s="491"/>
    </row>
    <row r="67" spans="1:18" ht="17.100000000000001" customHeight="1" x14ac:dyDescent="0.25">
      <c r="A67" s="490" t="s">
        <v>1539</v>
      </c>
      <c r="B67" s="490" t="str">
        <f>LEFT(Table6[[#This Row],[DATE]],4)</f>
        <v>1403</v>
      </c>
      <c r="C67" s="490" t="str">
        <f>MID(Table6[[#This Row],[DATE]],6,2)</f>
        <v>10</v>
      </c>
      <c r="D67" s="489"/>
      <c r="E67" s="489">
        <v>600</v>
      </c>
      <c r="F67" s="489">
        <v>1650</v>
      </c>
      <c r="G67" s="489">
        <v>3800</v>
      </c>
      <c r="H67" s="489"/>
      <c r="I67" s="489"/>
      <c r="J67" s="489">
        <v>2200</v>
      </c>
      <c r="K67" s="489"/>
      <c r="L67" s="489"/>
      <c r="M67" s="489"/>
      <c r="N67" s="489"/>
      <c r="O67" s="489">
        <v>2300</v>
      </c>
      <c r="P67" s="489"/>
      <c r="Q67" s="489">
        <v>3600</v>
      </c>
      <c r="R67" s="491"/>
    </row>
    <row r="68" spans="1:18" ht="17.100000000000001" customHeight="1" x14ac:dyDescent="0.25">
      <c r="A68" s="490" t="s">
        <v>1540</v>
      </c>
      <c r="B68" s="490" t="str">
        <f>LEFT(Table6[[#This Row],[DATE]],4)</f>
        <v>1403</v>
      </c>
      <c r="C68" s="490" t="str">
        <f>MID(Table6[[#This Row],[DATE]],6,2)</f>
        <v>10</v>
      </c>
      <c r="D68" s="489">
        <v>4400</v>
      </c>
      <c r="E68" s="489">
        <v>3700</v>
      </c>
      <c r="F68" s="489">
        <v>6400</v>
      </c>
      <c r="G68" s="489"/>
      <c r="H68" s="489"/>
      <c r="I68" s="489">
        <v>6000</v>
      </c>
      <c r="J68" s="489">
        <v>4700</v>
      </c>
      <c r="K68" s="489"/>
      <c r="L68" s="489">
        <v>400</v>
      </c>
      <c r="M68" s="489">
        <v>200</v>
      </c>
      <c r="N68" s="489"/>
      <c r="O68" s="489">
        <v>3850</v>
      </c>
      <c r="P68" s="489"/>
      <c r="Q68" s="489"/>
      <c r="R68" s="491"/>
    </row>
    <row r="69" spans="1:18" ht="17.100000000000001" customHeight="1" x14ac:dyDescent="0.25">
      <c r="A69" s="490" t="s">
        <v>1541</v>
      </c>
      <c r="B69" s="490" t="str">
        <f>LEFT(Table6[[#This Row],[DATE]],4)</f>
        <v>1403</v>
      </c>
      <c r="C69" s="490" t="str">
        <f>MID(Table6[[#This Row],[DATE]],6,2)</f>
        <v>10</v>
      </c>
      <c r="D69" s="489">
        <v>1200</v>
      </c>
      <c r="E69" s="489">
        <v>2100</v>
      </c>
      <c r="F69" s="489">
        <v>1650</v>
      </c>
      <c r="G69" s="489">
        <v>3000</v>
      </c>
      <c r="H69" s="489"/>
      <c r="I69" s="489">
        <v>6200</v>
      </c>
      <c r="J69" s="489">
        <v>3100</v>
      </c>
      <c r="K69" s="489"/>
      <c r="L69" s="489">
        <v>1600</v>
      </c>
      <c r="M69" s="489">
        <v>800</v>
      </c>
      <c r="N69" s="489"/>
      <c r="O69" s="489">
        <v>3000</v>
      </c>
      <c r="P69" s="489"/>
      <c r="Q69" s="489"/>
      <c r="R69" s="491"/>
    </row>
    <row r="70" spans="1:18" ht="17.100000000000001" customHeight="1" x14ac:dyDescent="0.25">
      <c r="A70" s="490" t="s">
        <v>1542</v>
      </c>
      <c r="B70" s="490" t="str">
        <f>LEFT(Table6[[#This Row],[DATE]],4)</f>
        <v>1403</v>
      </c>
      <c r="C70" s="490" t="str">
        <f>MID(Table6[[#This Row],[DATE]],6,2)</f>
        <v>10</v>
      </c>
      <c r="D70" s="489">
        <v>1600</v>
      </c>
      <c r="E70" s="489">
        <v>2246</v>
      </c>
      <c r="F70" s="489">
        <v>3300</v>
      </c>
      <c r="G70" s="489">
        <v>4800</v>
      </c>
      <c r="H70" s="489"/>
      <c r="I70" s="489">
        <v>3000</v>
      </c>
      <c r="J70" s="489">
        <v>1500</v>
      </c>
      <c r="K70" s="489"/>
      <c r="L70" s="489">
        <v>1500</v>
      </c>
      <c r="M70" s="489">
        <v>750</v>
      </c>
      <c r="N70" s="489"/>
      <c r="O70" s="489">
        <v>2892</v>
      </c>
      <c r="P70" s="489"/>
      <c r="Q70" s="489"/>
      <c r="R70" s="491"/>
    </row>
    <row r="71" spans="1:18" ht="17.100000000000001" customHeight="1" x14ac:dyDescent="0.25">
      <c r="A71" s="490" t="s">
        <v>1543</v>
      </c>
      <c r="B71" s="490" t="str">
        <f>LEFT(Table6[[#This Row],[DATE]],4)</f>
        <v>1403</v>
      </c>
      <c r="C71" s="490" t="str">
        <f>MID(Table6[[#This Row],[DATE]],6,2)</f>
        <v>10</v>
      </c>
      <c r="D71" s="489">
        <v>1400</v>
      </c>
      <c r="E71" s="489">
        <v>1800</v>
      </c>
      <c r="F71" s="489">
        <v>7800</v>
      </c>
      <c r="G71" s="489">
        <v>3200</v>
      </c>
      <c r="H71" s="489"/>
      <c r="I71" s="489">
        <v>800</v>
      </c>
      <c r="J71" s="489">
        <v>400</v>
      </c>
      <c r="K71" s="489"/>
      <c r="L71" s="489"/>
      <c r="M71" s="489"/>
      <c r="N71" s="489"/>
      <c r="O71" s="489">
        <v>2200</v>
      </c>
      <c r="P71" s="489"/>
      <c r="Q71" s="489"/>
      <c r="R71" s="491"/>
    </row>
    <row r="72" spans="1:18" ht="17.100000000000001" customHeight="1" x14ac:dyDescent="0.25">
      <c r="A72" s="490" t="s">
        <v>1544</v>
      </c>
      <c r="B72" s="490" t="str">
        <f>LEFT(Table6[[#This Row],[DATE]],4)</f>
        <v>1403</v>
      </c>
      <c r="C72" s="490" t="str">
        <f>MID(Table6[[#This Row],[DATE]],6,2)</f>
        <v>10</v>
      </c>
      <c r="D72" s="489">
        <v>2800</v>
      </c>
      <c r="E72" s="489">
        <v>2350</v>
      </c>
      <c r="F72" s="489">
        <v>5000</v>
      </c>
      <c r="G72" s="489"/>
      <c r="H72" s="489">
        <v>675</v>
      </c>
      <c r="I72" s="489"/>
      <c r="J72" s="489"/>
      <c r="K72" s="489"/>
      <c r="L72" s="489"/>
      <c r="M72" s="489"/>
      <c r="N72" s="489"/>
      <c r="O72" s="489">
        <v>1900</v>
      </c>
      <c r="P72" s="489"/>
      <c r="Q72" s="489">
        <v>5750</v>
      </c>
      <c r="R72" s="491"/>
    </row>
    <row r="73" spans="1:18" ht="17.100000000000001" customHeight="1" x14ac:dyDescent="0.25">
      <c r="A73" s="490" t="s">
        <v>1545</v>
      </c>
      <c r="B73" s="490" t="str">
        <f>LEFT(Table6[[#This Row],[DATE]],4)</f>
        <v>1403</v>
      </c>
      <c r="C73" s="490" t="str">
        <f>MID(Table6[[#This Row],[DATE]],6,2)</f>
        <v>10</v>
      </c>
      <c r="D73" s="489">
        <v>3200</v>
      </c>
      <c r="E73" s="489">
        <v>2050</v>
      </c>
      <c r="F73" s="489">
        <v>1800</v>
      </c>
      <c r="G73" s="489"/>
      <c r="H73" s="489">
        <v>1375</v>
      </c>
      <c r="I73" s="489"/>
      <c r="J73" s="489">
        <v>500</v>
      </c>
      <c r="K73" s="489"/>
      <c r="L73" s="489">
        <v>800</v>
      </c>
      <c r="M73" s="489">
        <v>400</v>
      </c>
      <c r="N73" s="489"/>
      <c r="O73" s="489">
        <v>1150</v>
      </c>
      <c r="P73" s="489">
        <v>500</v>
      </c>
      <c r="Q73" s="489">
        <v>5850</v>
      </c>
      <c r="R73" s="491"/>
    </row>
    <row r="74" spans="1:18" ht="17.100000000000001" customHeight="1" x14ac:dyDescent="0.25">
      <c r="A74" s="490" t="s">
        <v>1546</v>
      </c>
      <c r="B74" s="490" t="str">
        <f>LEFT(Table6[[#This Row],[DATE]],4)</f>
        <v>1403</v>
      </c>
      <c r="C74" s="490" t="str">
        <f>MID(Table6[[#This Row],[DATE]],6,2)</f>
        <v>10</v>
      </c>
      <c r="D74" s="489">
        <v>400</v>
      </c>
      <c r="E74" s="489">
        <v>450</v>
      </c>
      <c r="F74" s="489">
        <v>3400</v>
      </c>
      <c r="G74" s="489"/>
      <c r="H74" s="489">
        <v>925</v>
      </c>
      <c r="I74" s="489"/>
      <c r="J74" s="489">
        <v>3000</v>
      </c>
      <c r="K74" s="489"/>
      <c r="L74" s="489">
        <v>1200</v>
      </c>
      <c r="M74" s="489">
        <v>600</v>
      </c>
      <c r="N74" s="489"/>
      <c r="O74" s="489">
        <v>2000</v>
      </c>
      <c r="P74" s="489">
        <v>500</v>
      </c>
      <c r="Q74" s="489">
        <v>1350</v>
      </c>
      <c r="R74" s="491"/>
    </row>
    <row r="75" spans="1:18" ht="17.100000000000001" customHeight="1" x14ac:dyDescent="0.25">
      <c r="A75" s="490" t="s">
        <v>1547</v>
      </c>
      <c r="B75" s="490" t="str">
        <f>LEFT(Table6[[#This Row],[DATE]],4)</f>
        <v>1403</v>
      </c>
      <c r="C75" s="490" t="str">
        <f>MID(Table6[[#This Row],[DATE]],6,2)</f>
        <v>10</v>
      </c>
      <c r="D75" s="489"/>
      <c r="E75" s="489">
        <v>1100</v>
      </c>
      <c r="F75" s="489">
        <v>300</v>
      </c>
      <c r="G75" s="489"/>
      <c r="H75" s="489">
        <v>300</v>
      </c>
      <c r="I75" s="489"/>
      <c r="J75" s="489"/>
      <c r="K75" s="489"/>
      <c r="L75" s="489">
        <v>4800</v>
      </c>
      <c r="M75" s="489">
        <v>2400</v>
      </c>
      <c r="N75" s="489"/>
      <c r="O75" s="489">
        <v>2200</v>
      </c>
      <c r="P75" s="489">
        <v>600</v>
      </c>
      <c r="Q75" s="489"/>
      <c r="R75" s="491"/>
    </row>
    <row r="76" spans="1:18" ht="17.100000000000001" customHeight="1" x14ac:dyDescent="0.25">
      <c r="A76" s="490" t="s">
        <v>1548</v>
      </c>
      <c r="B76" s="490" t="str">
        <f>LEFT(Table6[[#This Row],[DATE]],4)</f>
        <v>1403</v>
      </c>
      <c r="C76" s="490" t="str">
        <f>MID(Table6[[#This Row],[DATE]],6,2)</f>
        <v>10</v>
      </c>
      <c r="D76" s="489">
        <v>2800</v>
      </c>
      <c r="E76" s="489">
        <v>3900</v>
      </c>
      <c r="F76" s="489">
        <v>8250</v>
      </c>
      <c r="G76" s="489">
        <v>1800</v>
      </c>
      <c r="H76" s="489">
        <v>1800</v>
      </c>
      <c r="I76" s="489"/>
      <c r="J76" s="489"/>
      <c r="K76" s="489"/>
      <c r="L76" s="489">
        <v>800</v>
      </c>
      <c r="M76" s="489">
        <v>400</v>
      </c>
      <c r="N76" s="489"/>
      <c r="O76" s="489">
        <v>5000</v>
      </c>
      <c r="P76" s="489">
        <v>1800</v>
      </c>
      <c r="Q76" s="489">
        <v>1800</v>
      </c>
      <c r="R76" s="491"/>
    </row>
    <row r="77" spans="1:18" ht="17.100000000000001" customHeight="1" x14ac:dyDescent="0.25">
      <c r="A77" s="490" t="s">
        <v>1549</v>
      </c>
      <c r="B77" s="490" t="str">
        <f>LEFT(Table6[[#This Row],[DATE]],4)</f>
        <v>1403</v>
      </c>
      <c r="C77" s="490" t="str">
        <f>MID(Table6[[#This Row],[DATE]],6,2)</f>
        <v>10</v>
      </c>
      <c r="D77" s="489">
        <v>4800</v>
      </c>
      <c r="E77" s="489">
        <v>3250</v>
      </c>
      <c r="F77" s="489">
        <v>600</v>
      </c>
      <c r="G77" s="489">
        <v>2600</v>
      </c>
      <c r="H77" s="489"/>
      <c r="I77" s="489"/>
      <c r="J77" s="489">
        <v>4600</v>
      </c>
      <c r="K77" s="489"/>
      <c r="L77" s="489">
        <v>3700</v>
      </c>
      <c r="M77" s="489">
        <v>1850</v>
      </c>
      <c r="N77" s="489"/>
      <c r="O77" s="489">
        <v>4000</v>
      </c>
      <c r="P77" s="489"/>
      <c r="Q77" s="489"/>
      <c r="R77" s="491"/>
    </row>
    <row r="78" spans="1:18" ht="17.100000000000001" customHeight="1" x14ac:dyDescent="0.25">
      <c r="A78" s="490" t="s">
        <v>1550</v>
      </c>
      <c r="B78" s="490" t="str">
        <f>LEFT(Table6[[#This Row],[DATE]],4)</f>
        <v>1403</v>
      </c>
      <c r="C78" s="490" t="str">
        <f>MID(Table6[[#This Row],[DATE]],6,2)</f>
        <v>10</v>
      </c>
      <c r="D78" s="489">
        <v>3600</v>
      </c>
      <c r="E78" s="489">
        <v>7800</v>
      </c>
      <c r="F78" s="489"/>
      <c r="G78" s="489">
        <v>2600</v>
      </c>
      <c r="H78" s="489">
        <v>1150</v>
      </c>
      <c r="I78" s="489"/>
      <c r="J78" s="489">
        <v>5200</v>
      </c>
      <c r="K78" s="489"/>
      <c r="L78" s="489">
        <v>7600</v>
      </c>
      <c r="M78" s="489">
        <v>3800</v>
      </c>
      <c r="N78" s="489"/>
      <c r="O78" s="489">
        <v>14600</v>
      </c>
      <c r="P78" s="489">
        <v>2300</v>
      </c>
      <c r="Q78" s="489"/>
      <c r="R78" s="491"/>
    </row>
    <row r="79" spans="1:18" ht="17.100000000000001" customHeight="1" x14ac:dyDescent="0.25">
      <c r="A79" s="490" t="s">
        <v>1551</v>
      </c>
      <c r="B79" s="490" t="str">
        <f>LEFT(Table6[[#This Row],[DATE]],4)</f>
        <v>1403</v>
      </c>
      <c r="C79" s="490" t="str">
        <f>MID(Table6[[#This Row],[DATE]],6,2)</f>
        <v>10</v>
      </c>
      <c r="D79" s="489">
        <v>2400</v>
      </c>
      <c r="E79" s="489">
        <v>2100</v>
      </c>
      <c r="F79" s="489">
        <v>4800</v>
      </c>
      <c r="G79" s="489">
        <v>1200</v>
      </c>
      <c r="H79" s="489">
        <v>1350</v>
      </c>
      <c r="I79" s="489"/>
      <c r="J79" s="489">
        <v>1200</v>
      </c>
      <c r="K79" s="489">
        <v>300</v>
      </c>
      <c r="L79" s="489">
        <v>2400</v>
      </c>
      <c r="M79" s="489">
        <v>800</v>
      </c>
      <c r="N79" s="489"/>
      <c r="O79" s="489">
        <v>2400</v>
      </c>
      <c r="P79" s="489"/>
      <c r="Q79" s="489">
        <v>300</v>
      </c>
      <c r="R79" s="491"/>
    </row>
    <row r="80" spans="1:18" ht="17.100000000000001" customHeight="1" x14ac:dyDescent="0.25">
      <c r="A80" s="490" t="s">
        <v>1552</v>
      </c>
      <c r="B80" s="490" t="str">
        <f>LEFT(Table6[[#This Row],[DATE]],4)</f>
        <v>1403</v>
      </c>
      <c r="C80" s="490" t="str">
        <f>MID(Table6[[#This Row],[DATE]],6,2)</f>
        <v>10</v>
      </c>
      <c r="D80" s="489">
        <v>2400</v>
      </c>
      <c r="E80" s="489">
        <v>2250</v>
      </c>
      <c r="F80" s="489"/>
      <c r="G80" s="489"/>
      <c r="H80" s="489">
        <v>1575</v>
      </c>
      <c r="I80" s="489"/>
      <c r="J80" s="489">
        <v>1300</v>
      </c>
      <c r="K80" s="489"/>
      <c r="L80" s="489">
        <v>7200</v>
      </c>
      <c r="M80" s="489">
        <v>2400</v>
      </c>
      <c r="N80" s="489"/>
      <c r="O80" s="489">
        <v>2750</v>
      </c>
      <c r="P80" s="489"/>
      <c r="Q80" s="489">
        <v>5150</v>
      </c>
      <c r="R80" s="491"/>
    </row>
    <row r="81" spans="1:18" ht="17.100000000000001" customHeight="1" x14ac:dyDescent="0.25">
      <c r="A81" s="490" t="s">
        <v>1553</v>
      </c>
      <c r="B81" s="490" t="str">
        <f>LEFT(Table6[[#This Row],[DATE]],4)</f>
        <v>1403</v>
      </c>
      <c r="C81" s="490" t="str">
        <f>MID(Table6[[#This Row],[DATE]],6,2)</f>
        <v>10</v>
      </c>
      <c r="D81" s="489">
        <v>4000</v>
      </c>
      <c r="E81" s="489">
        <v>2600</v>
      </c>
      <c r="F81" s="489"/>
      <c r="G81" s="489"/>
      <c r="H81" s="489">
        <v>1825</v>
      </c>
      <c r="I81" s="489">
        <v>300</v>
      </c>
      <c r="J81" s="489">
        <v>150</v>
      </c>
      <c r="K81" s="489"/>
      <c r="L81" s="489">
        <v>4300</v>
      </c>
      <c r="M81" s="489">
        <v>850</v>
      </c>
      <c r="N81" s="489"/>
      <c r="O81" s="489">
        <v>1200</v>
      </c>
      <c r="P81" s="489"/>
      <c r="Q81" s="489">
        <v>2850</v>
      </c>
      <c r="R81" s="491"/>
    </row>
    <row r="82" spans="1:18" ht="17.100000000000001" customHeight="1" x14ac:dyDescent="0.25">
      <c r="A82" s="490" t="s">
        <v>1554</v>
      </c>
      <c r="B82" s="490" t="str">
        <f>LEFT(Table6[[#This Row],[DATE]],4)</f>
        <v>1403</v>
      </c>
      <c r="C82" s="490" t="str">
        <f>MID(Table6[[#This Row],[DATE]],6,2)</f>
        <v>10</v>
      </c>
      <c r="D82" s="489">
        <v>3000</v>
      </c>
      <c r="E82" s="489">
        <v>1500</v>
      </c>
      <c r="F82" s="489"/>
      <c r="G82" s="489">
        <v>3200</v>
      </c>
      <c r="H82" s="489">
        <v>2575</v>
      </c>
      <c r="I82" s="489"/>
      <c r="J82" s="489"/>
      <c r="K82" s="489"/>
      <c r="L82" s="489">
        <v>5000</v>
      </c>
      <c r="M82" s="489">
        <v>1650</v>
      </c>
      <c r="N82" s="489"/>
      <c r="O82" s="489"/>
      <c r="P82" s="489"/>
      <c r="Q82" s="489">
        <v>4050</v>
      </c>
      <c r="R82" s="491"/>
    </row>
    <row r="83" spans="1:18" ht="17.100000000000001" customHeight="1" x14ac:dyDescent="0.25">
      <c r="A83" s="490" t="s">
        <v>1555</v>
      </c>
      <c r="B83" s="490" t="str">
        <f>LEFT(Table6[[#This Row],[DATE]],4)</f>
        <v>1403</v>
      </c>
      <c r="C83" s="490" t="str">
        <f>MID(Table6[[#This Row],[DATE]],6,2)</f>
        <v>10</v>
      </c>
      <c r="D83" s="489"/>
      <c r="E83" s="489">
        <v>1950</v>
      </c>
      <c r="F83" s="489"/>
      <c r="G83" s="489">
        <v>9000</v>
      </c>
      <c r="H83" s="489">
        <v>3200</v>
      </c>
      <c r="I83" s="489"/>
      <c r="J83" s="489"/>
      <c r="K83" s="489"/>
      <c r="L83" s="489">
        <v>8800</v>
      </c>
      <c r="M83" s="489">
        <v>2400</v>
      </c>
      <c r="N83" s="489"/>
      <c r="O83" s="489">
        <v>3900</v>
      </c>
      <c r="P83" s="489"/>
      <c r="Q83" s="489">
        <v>2400</v>
      </c>
      <c r="R83" s="491"/>
    </row>
    <row r="84" spans="1:18" ht="17.100000000000001" customHeight="1" x14ac:dyDescent="0.25">
      <c r="A84" s="490" t="s">
        <v>1556</v>
      </c>
      <c r="B84" s="490" t="str">
        <f>LEFT(Table6[[#This Row],[DATE]],4)</f>
        <v>1403</v>
      </c>
      <c r="C84" s="490" t="str">
        <f>MID(Table6[[#This Row],[DATE]],6,2)</f>
        <v>10</v>
      </c>
      <c r="D84" s="489"/>
      <c r="E84" s="489">
        <v>1900</v>
      </c>
      <c r="F84" s="489">
        <v>5400</v>
      </c>
      <c r="G84" s="489">
        <v>6000</v>
      </c>
      <c r="H84" s="489">
        <v>225</v>
      </c>
      <c r="I84" s="489"/>
      <c r="J84" s="489"/>
      <c r="K84" s="489"/>
      <c r="L84" s="489">
        <v>3200</v>
      </c>
      <c r="M84" s="489">
        <v>1600</v>
      </c>
      <c r="N84" s="489"/>
      <c r="O84" s="489">
        <v>3800</v>
      </c>
      <c r="P84" s="489"/>
      <c r="Q84" s="489">
        <v>450</v>
      </c>
      <c r="R84" s="491"/>
    </row>
    <row r="85" spans="1:18" ht="17.100000000000001" customHeight="1" x14ac:dyDescent="0.25">
      <c r="A85" s="490" t="s">
        <v>1557</v>
      </c>
      <c r="B85" s="490" t="str">
        <f>LEFT(Table6[[#This Row],[DATE]],4)</f>
        <v>1403</v>
      </c>
      <c r="C85" s="490" t="str">
        <f>MID(Table6[[#This Row],[DATE]],6,2)</f>
        <v>11</v>
      </c>
      <c r="D85" s="489">
        <v>4200</v>
      </c>
      <c r="E85" s="489">
        <v>3550</v>
      </c>
      <c r="F85" s="489"/>
      <c r="G85" s="489">
        <v>5000</v>
      </c>
      <c r="H85" s="489">
        <v>1000</v>
      </c>
      <c r="I85" s="489"/>
      <c r="J85" s="489"/>
      <c r="K85" s="489"/>
      <c r="L85" s="489">
        <v>11000</v>
      </c>
      <c r="M85" s="489">
        <v>4500</v>
      </c>
      <c r="N85" s="489"/>
      <c r="O85" s="489">
        <v>2900</v>
      </c>
      <c r="P85" s="489"/>
      <c r="Q85" s="489">
        <v>200</v>
      </c>
      <c r="R85" s="491"/>
    </row>
    <row r="86" spans="1:18" ht="17.100000000000001" customHeight="1" x14ac:dyDescent="0.25">
      <c r="A86" s="490" t="s">
        <v>1558</v>
      </c>
      <c r="B86" s="490" t="str">
        <f>LEFT(Table6[[#This Row],[DATE]],4)</f>
        <v>1403</v>
      </c>
      <c r="C86" s="490" t="str">
        <f>MID(Table6[[#This Row],[DATE]],6,2)</f>
        <v>11</v>
      </c>
      <c r="D86" s="489">
        <v>2600</v>
      </c>
      <c r="E86" s="489">
        <v>2900</v>
      </c>
      <c r="F86" s="489">
        <v>6350</v>
      </c>
      <c r="G86" s="489"/>
      <c r="H86" s="489">
        <v>3825</v>
      </c>
      <c r="I86" s="489"/>
      <c r="J86" s="489"/>
      <c r="K86" s="489"/>
      <c r="L86" s="489">
        <v>7300</v>
      </c>
      <c r="M86" s="489">
        <v>950</v>
      </c>
      <c r="N86" s="489"/>
      <c r="O86" s="489">
        <v>3200</v>
      </c>
      <c r="P86" s="489"/>
      <c r="Q86" s="489">
        <v>2250</v>
      </c>
      <c r="R86" s="491"/>
    </row>
    <row r="87" spans="1:18" ht="17.100000000000001" customHeight="1" x14ac:dyDescent="0.25">
      <c r="A87" s="490" t="s">
        <v>1559</v>
      </c>
      <c r="B87" s="490" t="str">
        <f>LEFT(Table6[[#This Row],[DATE]],4)</f>
        <v>1403</v>
      </c>
      <c r="C87" s="490" t="str">
        <f>MID(Table6[[#This Row],[DATE]],6,2)</f>
        <v>11</v>
      </c>
      <c r="D87" s="489">
        <v>1200</v>
      </c>
      <c r="E87" s="489">
        <v>750</v>
      </c>
      <c r="F87" s="489">
        <v>1900</v>
      </c>
      <c r="G87" s="489">
        <v>3400</v>
      </c>
      <c r="H87" s="489">
        <v>3950</v>
      </c>
      <c r="I87" s="489"/>
      <c r="J87" s="489"/>
      <c r="K87" s="489"/>
      <c r="L87" s="489">
        <v>7900</v>
      </c>
      <c r="M87" s="489"/>
      <c r="N87" s="489"/>
      <c r="O87" s="489">
        <v>300</v>
      </c>
      <c r="P87" s="489"/>
      <c r="Q87" s="489">
        <v>2130</v>
      </c>
      <c r="R87" s="491"/>
    </row>
    <row r="88" spans="1:18" ht="17.100000000000001" customHeight="1" x14ac:dyDescent="0.25">
      <c r="A88" s="490" t="s">
        <v>1560</v>
      </c>
      <c r="B88" s="490" t="str">
        <f>LEFT(Table6[[#This Row],[DATE]],4)</f>
        <v>1403</v>
      </c>
      <c r="C88" s="490" t="str">
        <f>MID(Table6[[#This Row],[DATE]],6,2)</f>
        <v>11</v>
      </c>
      <c r="D88" s="489">
        <v>800</v>
      </c>
      <c r="E88" s="489">
        <v>3400</v>
      </c>
      <c r="F88" s="489">
        <v>1650</v>
      </c>
      <c r="G88" s="489"/>
      <c r="H88" s="489">
        <v>4550</v>
      </c>
      <c r="I88" s="489"/>
      <c r="J88" s="489"/>
      <c r="K88" s="489"/>
      <c r="L88" s="489">
        <v>4600</v>
      </c>
      <c r="M88" s="489"/>
      <c r="N88" s="489"/>
      <c r="O88" s="489">
        <v>6000</v>
      </c>
      <c r="P88" s="489"/>
      <c r="Q88" s="489">
        <v>4500</v>
      </c>
      <c r="R88" s="491"/>
    </row>
    <row r="89" spans="1:18" ht="17.100000000000001" customHeight="1" x14ac:dyDescent="0.25">
      <c r="A89" s="490" t="s">
        <v>1561</v>
      </c>
      <c r="B89" s="490" t="str">
        <f>LEFT(Table6[[#This Row],[DATE]],4)</f>
        <v>1403</v>
      </c>
      <c r="C89" s="490" t="str">
        <f>MID(Table6[[#This Row],[DATE]],6,2)</f>
        <v>11</v>
      </c>
      <c r="D89" s="489"/>
      <c r="E89" s="489">
        <v>2000</v>
      </c>
      <c r="F89" s="489">
        <v>1800</v>
      </c>
      <c r="G89" s="489">
        <v>2000</v>
      </c>
      <c r="H89" s="489">
        <v>3445</v>
      </c>
      <c r="I89" s="489">
        <v>1600</v>
      </c>
      <c r="J89" s="489">
        <v>800</v>
      </c>
      <c r="K89" s="489"/>
      <c r="L89" s="489">
        <v>13600</v>
      </c>
      <c r="M89" s="489">
        <v>4550</v>
      </c>
      <c r="N89" s="489"/>
      <c r="O89" s="489">
        <v>4000</v>
      </c>
      <c r="P89" s="489">
        <v>290</v>
      </c>
      <c r="Q89" s="489">
        <v>2100</v>
      </c>
      <c r="R89" s="491"/>
    </row>
    <row r="90" spans="1:18" ht="17.100000000000001" customHeight="1" x14ac:dyDescent="0.25">
      <c r="A90" s="490" t="s">
        <v>1562</v>
      </c>
      <c r="B90" s="490" t="str">
        <f>LEFT(Table6[[#This Row],[DATE]],4)</f>
        <v>1403</v>
      </c>
      <c r="C90" s="490" t="str">
        <f>MID(Table6[[#This Row],[DATE]],6,2)</f>
        <v>11</v>
      </c>
      <c r="D90" s="489">
        <v>800</v>
      </c>
      <c r="E90" s="489">
        <v>400</v>
      </c>
      <c r="F90" s="489"/>
      <c r="G90" s="489"/>
      <c r="H90" s="489">
        <v>2250</v>
      </c>
      <c r="I90" s="489">
        <v>40</v>
      </c>
      <c r="J90" s="489">
        <v>20</v>
      </c>
      <c r="K90" s="489"/>
      <c r="L90" s="489">
        <v>5200</v>
      </c>
      <c r="M90" s="489">
        <v>500</v>
      </c>
      <c r="N90" s="489"/>
      <c r="O90" s="489"/>
      <c r="P90" s="489"/>
      <c r="Q90" s="489">
        <v>300</v>
      </c>
      <c r="R90" s="491"/>
    </row>
    <row r="91" spans="1:18" ht="17.100000000000001" customHeight="1" x14ac:dyDescent="0.25">
      <c r="A91" s="490" t="s">
        <v>1563</v>
      </c>
      <c r="B91" s="490" t="str">
        <f>LEFT(Table6[[#This Row],[DATE]],4)</f>
        <v>1403</v>
      </c>
      <c r="C91" s="490" t="str">
        <f>MID(Table6[[#This Row],[DATE]],6,2)</f>
        <v>11</v>
      </c>
      <c r="D91" s="489">
        <v>5400</v>
      </c>
      <c r="E91" s="489">
        <v>3400</v>
      </c>
      <c r="F91" s="489">
        <v>3200</v>
      </c>
      <c r="G91" s="489"/>
      <c r="H91" s="489">
        <v>3042</v>
      </c>
      <c r="I91" s="489"/>
      <c r="J91" s="489">
        <v>200</v>
      </c>
      <c r="K91" s="489"/>
      <c r="L91" s="489">
        <v>9384</v>
      </c>
      <c r="M91" s="489">
        <v>1650</v>
      </c>
      <c r="N91" s="489"/>
      <c r="O91" s="489">
        <v>1500</v>
      </c>
      <c r="P91" s="489"/>
      <c r="Q91" s="489"/>
      <c r="R91" s="491"/>
    </row>
    <row r="92" spans="1:18" ht="17.100000000000001" customHeight="1" x14ac:dyDescent="0.25">
      <c r="A92" s="490" t="s">
        <v>1564</v>
      </c>
      <c r="B92" s="490" t="str">
        <f>LEFT(Table6[[#This Row],[DATE]],4)</f>
        <v>1403</v>
      </c>
      <c r="C92" s="490" t="str">
        <f>MID(Table6[[#This Row],[DATE]],6,2)</f>
        <v>11</v>
      </c>
      <c r="D92" s="489">
        <v>6000</v>
      </c>
      <c r="E92" s="489">
        <v>3900</v>
      </c>
      <c r="F92" s="489">
        <v>600</v>
      </c>
      <c r="G92" s="489"/>
      <c r="H92" s="489">
        <v>1650</v>
      </c>
      <c r="I92" s="489"/>
      <c r="J92" s="489"/>
      <c r="K92" s="489"/>
      <c r="L92" s="489">
        <v>8600</v>
      </c>
      <c r="M92" s="489">
        <v>2650</v>
      </c>
      <c r="N92" s="489"/>
      <c r="O92" s="489">
        <v>1800</v>
      </c>
      <c r="P92" s="489"/>
      <c r="Q92" s="489"/>
      <c r="R92" s="491"/>
    </row>
    <row r="93" spans="1:18" ht="17.100000000000001" customHeight="1" x14ac:dyDescent="0.25">
      <c r="A93" s="490" t="s">
        <v>180</v>
      </c>
      <c r="B93" s="490" t="str">
        <f>LEFT(Table6[[#This Row],[DATE]],4)</f>
        <v>1403</v>
      </c>
      <c r="C93" s="490" t="str">
        <f>MID(Table6[[#This Row],[DATE]],6,2)</f>
        <v>11</v>
      </c>
      <c r="D93" s="489"/>
      <c r="E93" s="489"/>
      <c r="F93" s="489"/>
      <c r="G93" s="489">
        <v>7462</v>
      </c>
      <c r="H93" s="489">
        <v>75</v>
      </c>
      <c r="I93" s="489"/>
      <c r="J93" s="489"/>
      <c r="K93" s="489"/>
      <c r="L93" s="489"/>
      <c r="M93" s="489"/>
      <c r="N93" s="489"/>
      <c r="O93" s="489"/>
      <c r="P93" s="489"/>
      <c r="Q93" s="489">
        <v>250</v>
      </c>
      <c r="R93" s="491"/>
    </row>
    <row r="94" spans="1:18" ht="17.100000000000001" customHeight="1" x14ac:dyDescent="0.25">
      <c r="A94" s="490" t="s">
        <v>207</v>
      </c>
      <c r="B94" s="490" t="str">
        <f>LEFT(Table6[[#This Row],[DATE]],4)</f>
        <v>1403</v>
      </c>
      <c r="C94" s="490" t="str">
        <f>MID(Table6[[#This Row],[DATE]],6,2)</f>
        <v>11</v>
      </c>
      <c r="D94" s="489">
        <v>200</v>
      </c>
      <c r="E94" s="489">
        <v>100</v>
      </c>
      <c r="F94" s="489">
        <v>1450</v>
      </c>
      <c r="G94" s="489"/>
      <c r="H94" s="489">
        <v>850</v>
      </c>
      <c r="I94" s="489"/>
      <c r="J94" s="489"/>
      <c r="K94" s="489"/>
      <c r="L94" s="489">
        <v>800</v>
      </c>
      <c r="M94" s="489">
        <v>50</v>
      </c>
      <c r="N94" s="489"/>
      <c r="O94" s="489"/>
      <c r="P94" s="489">
        <v>1000</v>
      </c>
      <c r="Q94" s="489"/>
      <c r="R94" s="491"/>
    </row>
    <row r="95" spans="1:18" ht="17.100000000000001" customHeight="1" x14ac:dyDescent="0.25">
      <c r="A95" s="490" t="s">
        <v>191</v>
      </c>
      <c r="B95" s="490" t="str">
        <f>LEFT(Table6[[#This Row],[DATE]],4)</f>
        <v>1403</v>
      </c>
      <c r="C95" s="490" t="str">
        <f>MID(Table6[[#This Row],[DATE]],6,2)</f>
        <v>11</v>
      </c>
      <c r="D95" s="489">
        <v>4000</v>
      </c>
      <c r="E95" s="489">
        <v>3000</v>
      </c>
      <c r="F95" s="489">
        <v>3300</v>
      </c>
      <c r="G95" s="489"/>
      <c r="H95" s="489">
        <v>75</v>
      </c>
      <c r="I95" s="489"/>
      <c r="J95" s="489"/>
      <c r="K95" s="489"/>
      <c r="L95" s="489">
        <v>700</v>
      </c>
      <c r="M95" s="489">
        <v>350</v>
      </c>
      <c r="N95" s="489"/>
      <c r="O95" s="489">
        <v>2000</v>
      </c>
      <c r="P95" s="489"/>
      <c r="Q95" s="489">
        <v>150</v>
      </c>
      <c r="R95" s="491"/>
    </row>
    <row r="96" spans="1:18" ht="17.100000000000001" customHeight="1" x14ac:dyDescent="0.25">
      <c r="A96" s="490" t="s">
        <v>177</v>
      </c>
      <c r="B96" s="490" t="str">
        <f>LEFT(Table6[[#This Row],[DATE]],4)</f>
        <v>1403</v>
      </c>
      <c r="C96" s="490" t="str">
        <f>MID(Table6[[#This Row],[DATE]],6,2)</f>
        <v>11</v>
      </c>
      <c r="D96" s="489"/>
      <c r="E96" s="489"/>
      <c r="F96" s="489">
        <v>3150</v>
      </c>
      <c r="G96" s="489"/>
      <c r="H96" s="489">
        <v>3825</v>
      </c>
      <c r="I96" s="489"/>
      <c r="J96" s="489"/>
      <c r="K96" s="489"/>
      <c r="L96" s="489"/>
      <c r="M96" s="489"/>
      <c r="N96" s="489"/>
      <c r="O96" s="489"/>
      <c r="P96" s="489"/>
      <c r="Q96" s="489">
        <v>7650</v>
      </c>
      <c r="R96" s="491"/>
    </row>
    <row r="97" spans="1:18" ht="17.100000000000001" customHeight="1" x14ac:dyDescent="0.25">
      <c r="A97" s="490" t="s">
        <v>1565</v>
      </c>
      <c r="B97" s="490" t="str">
        <f>LEFT(Table6[[#This Row],[DATE]],4)</f>
        <v>1403</v>
      </c>
      <c r="C97" s="490" t="str">
        <f>MID(Table6[[#This Row],[DATE]],6,2)</f>
        <v>11</v>
      </c>
      <c r="D97" s="489"/>
      <c r="E97" s="489"/>
      <c r="F97" s="489">
        <v>3200</v>
      </c>
      <c r="G97" s="489"/>
      <c r="H97" s="489">
        <v>5325</v>
      </c>
      <c r="I97" s="489"/>
      <c r="J97" s="489"/>
      <c r="K97" s="489"/>
      <c r="L97" s="489">
        <v>1200</v>
      </c>
      <c r="M97" s="489">
        <v>200</v>
      </c>
      <c r="N97" s="489">
        <v>32</v>
      </c>
      <c r="O97" s="489"/>
      <c r="P97" s="489"/>
      <c r="Q97" s="489">
        <v>9450</v>
      </c>
      <c r="R97" s="491">
        <v>400</v>
      </c>
    </row>
    <row r="98" spans="1:18" ht="17.100000000000001" customHeight="1" x14ac:dyDescent="0.25">
      <c r="A98" s="490" t="s">
        <v>1566</v>
      </c>
      <c r="B98" s="490" t="str">
        <f>LEFT(Table6[[#This Row],[DATE]],4)</f>
        <v>1403</v>
      </c>
      <c r="C98" s="490" t="str">
        <f>MID(Table6[[#This Row],[DATE]],6,2)</f>
        <v>11</v>
      </c>
      <c r="D98" s="489">
        <v>200</v>
      </c>
      <c r="E98" s="489">
        <v>100</v>
      </c>
      <c r="F98" s="489">
        <v>600</v>
      </c>
      <c r="G98" s="489"/>
      <c r="H98" s="489">
        <v>6575</v>
      </c>
      <c r="I98" s="489"/>
      <c r="J98" s="489"/>
      <c r="K98" s="489"/>
      <c r="L98" s="489">
        <v>4000</v>
      </c>
      <c r="M98" s="489">
        <v>200</v>
      </c>
      <c r="N98" s="489"/>
      <c r="O98" s="489"/>
      <c r="P98" s="489"/>
      <c r="Q98" s="489">
        <v>9150</v>
      </c>
      <c r="R98" s="491">
        <v>400</v>
      </c>
    </row>
    <row r="99" spans="1:18" ht="17.100000000000001" customHeight="1" x14ac:dyDescent="0.25">
      <c r="A99" s="490" t="s">
        <v>1567</v>
      </c>
      <c r="B99" s="490" t="str">
        <f>LEFT(Table6[[#This Row],[DATE]],4)</f>
        <v>1403</v>
      </c>
      <c r="C99" s="490" t="str">
        <f>MID(Table6[[#This Row],[DATE]],6,2)</f>
        <v>11</v>
      </c>
      <c r="D99" s="489">
        <v>4000</v>
      </c>
      <c r="E99" s="489">
        <v>2000</v>
      </c>
      <c r="F99" s="489">
        <v>1600</v>
      </c>
      <c r="G99" s="489"/>
      <c r="H99" s="489">
        <v>1650</v>
      </c>
      <c r="I99" s="489"/>
      <c r="J99" s="489"/>
      <c r="K99" s="489"/>
      <c r="L99" s="489">
        <v>3300</v>
      </c>
      <c r="M99" s="489"/>
      <c r="N99" s="489"/>
      <c r="O99" s="489"/>
      <c r="P99" s="489"/>
      <c r="Q99" s="489"/>
      <c r="R99" s="491"/>
    </row>
    <row r="100" spans="1:18" ht="17.100000000000001" customHeight="1" x14ac:dyDescent="0.25">
      <c r="A100" s="490" t="s">
        <v>204</v>
      </c>
      <c r="B100" s="490" t="str">
        <f>LEFT(Table6[[#This Row],[DATE]],4)</f>
        <v>1403</v>
      </c>
      <c r="C100" s="490" t="str">
        <f>MID(Table6[[#This Row],[DATE]],6,2)</f>
        <v>11</v>
      </c>
      <c r="D100" s="489">
        <v>1800</v>
      </c>
      <c r="E100" s="489">
        <v>900</v>
      </c>
      <c r="F100" s="489">
        <v>2100</v>
      </c>
      <c r="G100" s="489"/>
      <c r="H100" s="489">
        <v>500</v>
      </c>
      <c r="I100" s="489"/>
      <c r="J100" s="489"/>
      <c r="K100" s="489"/>
      <c r="L100" s="489">
        <v>1000</v>
      </c>
      <c r="M100" s="489"/>
      <c r="N100" s="489"/>
      <c r="O100" s="489"/>
      <c r="P100" s="489"/>
      <c r="Q100" s="489"/>
      <c r="R100" s="491"/>
    </row>
    <row r="101" spans="1:18" ht="17.100000000000001" customHeight="1" x14ac:dyDescent="0.25">
      <c r="A101" s="490" t="s">
        <v>214</v>
      </c>
      <c r="B101" s="490" t="str">
        <f>LEFT(Table6[[#This Row],[DATE]],4)</f>
        <v>1403</v>
      </c>
      <c r="C101" s="490" t="str">
        <f>MID(Table6[[#This Row],[DATE]],6,2)</f>
        <v>11</v>
      </c>
      <c r="D101" s="489">
        <v>600</v>
      </c>
      <c r="E101" s="489">
        <v>300</v>
      </c>
      <c r="F101" s="489">
        <v>11600</v>
      </c>
      <c r="G101" s="489"/>
      <c r="H101" s="489">
        <v>1450</v>
      </c>
      <c r="I101" s="489"/>
      <c r="J101" s="489"/>
      <c r="K101" s="489"/>
      <c r="L101" s="489">
        <v>500</v>
      </c>
      <c r="M101" s="489"/>
      <c r="N101" s="489"/>
      <c r="O101" s="489"/>
      <c r="P101" s="489"/>
      <c r="Q101" s="489">
        <v>2400</v>
      </c>
      <c r="R101" s="491"/>
    </row>
    <row r="102" spans="1:18" ht="17.100000000000001" customHeight="1" x14ac:dyDescent="0.25">
      <c r="A102" s="490" t="s">
        <v>212</v>
      </c>
      <c r="B102" s="490" t="str">
        <f>LEFT(Table6[[#This Row],[DATE]],4)</f>
        <v>1403</v>
      </c>
      <c r="C102" s="490" t="str">
        <f>MID(Table6[[#This Row],[DATE]],6,2)</f>
        <v>11</v>
      </c>
      <c r="D102" s="489">
        <v>5000</v>
      </c>
      <c r="E102" s="489">
        <v>2500</v>
      </c>
      <c r="F102" s="489">
        <v>6600</v>
      </c>
      <c r="G102" s="489"/>
      <c r="H102" s="489">
        <v>593</v>
      </c>
      <c r="I102" s="489"/>
      <c r="J102" s="489"/>
      <c r="K102" s="489"/>
      <c r="L102" s="489"/>
      <c r="M102" s="489"/>
      <c r="N102" s="489"/>
      <c r="O102" s="489"/>
      <c r="P102" s="489"/>
      <c r="Q102" s="489">
        <v>1186</v>
      </c>
      <c r="R102" s="491"/>
    </row>
    <row r="103" spans="1:18" ht="17.100000000000001" customHeight="1" x14ac:dyDescent="0.25">
      <c r="A103" s="490" t="s">
        <v>1568</v>
      </c>
      <c r="B103" s="490" t="str">
        <f>LEFT(Table6[[#This Row],[DATE]],4)</f>
        <v>1403</v>
      </c>
      <c r="C103" s="490" t="str">
        <f>MID(Table6[[#This Row],[DATE]],6,2)</f>
        <v>11</v>
      </c>
      <c r="D103" s="489">
        <v>1600</v>
      </c>
      <c r="E103" s="489">
        <v>800</v>
      </c>
      <c r="F103" s="489">
        <v>7500</v>
      </c>
      <c r="G103" s="489"/>
      <c r="H103" s="489"/>
      <c r="I103" s="489">
        <v>17850</v>
      </c>
      <c r="J103" s="489"/>
      <c r="K103" s="489"/>
      <c r="L103" s="489"/>
      <c r="M103" s="489"/>
      <c r="N103" s="489"/>
      <c r="O103" s="489"/>
      <c r="P103" s="489"/>
      <c r="Q103" s="489"/>
      <c r="R103" s="491"/>
    </row>
    <row r="104" spans="1:18" ht="17.100000000000001" customHeight="1" x14ac:dyDescent="0.25">
      <c r="A104" s="490" t="s">
        <v>1569</v>
      </c>
      <c r="B104" s="490" t="str">
        <f>LEFT(Table6[[#This Row],[DATE]],4)</f>
        <v>1403</v>
      </c>
      <c r="C104" s="490" t="str">
        <f>MID(Table6[[#This Row],[DATE]],6,2)</f>
        <v>11</v>
      </c>
      <c r="D104" s="489">
        <v>2000</v>
      </c>
      <c r="E104" s="489">
        <v>1000</v>
      </c>
      <c r="F104" s="489">
        <v>11400</v>
      </c>
      <c r="G104" s="489"/>
      <c r="H104" s="489"/>
      <c r="I104" s="489"/>
      <c r="J104" s="489"/>
      <c r="K104" s="489"/>
      <c r="L104" s="489"/>
      <c r="M104" s="489"/>
      <c r="N104" s="489"/>
      <c r="O104" s="489"/>
      <c r="P104" s="489"/>
      <c r="Q104" s="489"/>
      <c r="R104" s="491"/>
    </row>
    <row r="105" spans="1:18" ht="17.100000000000001" customHeight="1" x14ac:dyDescent="0.25">
      <c r="A105" s="490" t="s">
        <v>1570</v>
      </c>
      <c r="B105" s="490" t="str">
        <f>LEFT(Table6[[#This Row],[DATE]],4)</f>
        <v>1403</v>
      </c>
      <c r="C105" s="490" t="str">
        <f>MID(Table6[[#This Row],[DATE]],6,2)</f>
        <v>11</v>
      </c>
      <c r="D105" s="489"/>
      <c r="E105" s="489">
        <v>118</v>
      </c>
      <c r="F105" s="489">
        <v>7300</v>
      </c>
      <c r="G105" s="489">
        <v>200</v>
      </c>
      <c r="H105" s="489">
        <v>4500</v>
      </c>
      <c r="I105" s="489"/>
      <c r="J105" s="489"/>
      <c r="K105" s="489"/>
      <c r="L105" s="489">
        <v>182</v>
      </c>
      <c r="M105" s="489">
        <v>91</v>
      </c>
      <c r="N105" s="489"/>
      <c r="O105" s="489">
        <v>236</v>
      </c>
      <c r="P105" s="489"/>
      <c r="Q105" s="489">
        <v>9000</v>
      </c>
      <c r="R105" s="491"/>
    </row>
    <row r="106" spans="1:18" ht="17.100000000000001" customHeight="1" x14ac:dyDescent="0.25">
      <c r="A106" s="490" t="s">
        <v>1571</v>
      </c>
      <c r="B106" s="490" t="str">
        <f>LEFT(Table6[[#This Row],[DATE]],4)</f>
        <v>1403</v>
      </c>
      <c r="C106" s="490" t="str">
        <f>MID(Table6[[#This Row],[DATE]],6,2)</f>
        <v>12</v>
      </c>
      <c r="D106" s="489">
        <v>3800</v>
      </c>
      <c r="E106" s="489">
        <v>1900</v>
      </c>
      <c r="F106" s="489"/>
      <c r="G106" s="489"/>
      <c r="H106" s="489">
        <v>1950</v>
      </c>
      <c r="I106" s="489">
        <v>13500</v>
      </c>
      <c r="J106" s="489"/>
      <c r="K106" s="489"/>
      <c r="L106" s="489"/>
      <c r="M106" s="489"/>
      <c r="N106" s="489"/>
      <c r="O106" s="489"/>
      <c r="P106" s="489"/>
      <c r="Q106" s="489">
        <v>3900</v>
      </c>
      <c r="R106" s="491"/>
    </row>
    <row r="107" spans="1:18" ht="17.100000000000001" customHeight="1" x14ac:dyDescent="0.25">
      <c r="A107" s="490" t="s">
        <v>1572</v>
      </c>
      <c r="B107" s="490" t="str">
        <f>LEFT(Table6[[#This Row],[DATE]],4)</f>
        <v>1403</v>
      </c>
      <c r="C107" s="490" t="str">
        <f>MID(Table6[[#This Row],[DATE]],6,2)</f>
        <v>12</v>
      </c>
      <c r="D107" s="489">
        <v>4000</v>
      </c>
      <c r="E107" s="489">
        <v>2000</v>
      </c>
      <c r="F107" s="489"/>
      <c r="G107" s="489"/>
      <c r="H107" s="489"/>
      <c r="I107" s="489"/>
      <c r="J107" s="489"/>
      <c r="K107" s="489"/>
      <c r="L107" s="489"/>
      <c r="M107" s="489"/>
      <c r="N107" s="489"/>
      <c r="O107" s="489"/>
      <c r="P107" s="489"/>
      <c r="Q107" s="489"/>
      <c r="R107" s="491"/>
    </row>
    <row r="108" spans="1:18" ht="17.100000000000001" customHeight="1" x14ac:dyDescent="0.25">
      <c r="A108" s="490" t="s">
        <v>1573</v>
      </c>
      <c r="B108" s="490" t="str">
        <f>LEFT(Table6[[#This Row],[DATE]],4)</f>
        <v>1403</v>
      </c>
      <c r="C108" s="490" t="str">
        <f>MID(Table6[[#This Row],[DATE]],6,2)</f>
        <v>12</v>
      </c>
      <c r="D108" s="489">
        <v>5400</v>
      </c>
      <c r="E108" s="489">
        <v>2700</v>
      </c>
      <c r="F108" s="489">
        <v>7400</v>
      </c>
      <c r="G108" s="489"/>
      <c r="H108" s="489">
        <v>1725</v>
      </c>
      <c r="I108" s="489"/>
      <c r="J108" s="489"/>
      <c r="K108" s="489"/>
      <c r="L108" s="489"/>
      <c r="M108" s="489"/>
      <c r="N108" s="489"/>
      <c r="O108" s="489"/>
      <c r="P108" s="489"/>
      <c r="Q108" s="489">
        <v>3450</v>
      </c>
      <c r="R108" s="491"/>
    </row>
    <row r="109" spans="1:18" ht="17.100000000000001" customHeight="1" x14ac:dyDescent="0.25">
      <c r="A109" s="490" t="s">
        <v>1574</v>
      </c>
      <c r="B109" s="490" t="str">
        <f>LEFT(Table6[[#This Row],[DATE]],4)</f>
        <v>1403</v>
      </c>
      <c r="C109" s="490" t="str">
        <f>MID(Table6[[#This Row],[DATE]],6,2)</f>
        <v>12</v>
      </c>
      <c r="D109" s="489">
        <v>1600</v>
      </c>
      <c r="E109" s="489">
        <v>800</v>
      </c>
      <c r="F109" s="489">
        <v>5950</v>
      </c>
      <c r="G109" s="489"/>
      <c r="H109" s="489">
        <v>3630</v>
      </c>
      <c r="I109" s="489"/>
      <c r="J109" s="489"/>
      <c r="K109" s="489"/>
      <c r="L109" s="489">
        <v>1860</v>
      </c>
      <c r="M109" s="489"/>
      <c r="N109" s="489"/>
      <c r="O109" s="489"/>
      <c r="P109" s="489"/>
      <c r="Q109" s="489">
        <v>5400</v>
      </c>
      <c r="R109" s="491"/>
    </row>
    <row r="110" spans="1:18" ht="17.100000000000001" customHeight="1" x14ac:dyDescent="0.25">
      <c r="A110" s="490" t="s">
        <v>1575</v>
      </c>
      <c r="B110" s="490" t="str">
        <f>LEFT(Table6[[#This Row],[DATE]],4)</f>
        <v>1403</v>
      </c>
      <c r="C110" s="490" t="str">
        <f>MID(Table6[[#This Row],[DATE]],6,2)</f>
        <v>12</v>
      </c>
      <c r="D110" s="489">
        <v>4400</v>
      </c>
      <c r="E110" s="489">
        <v>2200</v>
      </c>
      <c r="F110" s="489">
        <v>3300</v>
      </c>
      <c r="G110" s="489"/>
      <c r="H110" s="489">
        <v>1200</v>
      </c>
      <c r="I110" s="489"/>
      <c r="J110" s="489"/>
      <c r="K110" s="489"/>
      <c r="L110" s="489">
        <v>2400</v>
      </c>
      <c r="M110" s="489"/>
      <c r="N110" s="489"/>
      <c r="O110" s="489"/>
      <c r="P110" s="489"/>
      <c r="Q110" s="489"/>
      <c r="R110" s="491"/>
    </row>
    <row r="111" spans="1:18" ht="17.100000000000001" customHeight="1" x14ac:dyDescent="0.25">
      <c r="A111" s="490" t="s">
        <v>1576</v>
      </c>
      <c r="B111" s="490" t="str">
        <f>LEFT(Table6[[#This Row],[DATE]],4)</f>
        <v>1403</v>
      </c>
      <c r="C111" s="490" t="str">
        <f>MID(Table6[[#This Row],[DATE]],6,2)</f>
        <v>12</v>
      </c>
      <c r="D111" s="489">
        <v>5000</v>
      </c>
      <c r="E111" s="489">
        <v>2500</v>
      </c>
      <c r="F111" s="489">
        <v>6050</v>
      </c>
      <c r="G111" s="489"/>
      <c r="H111" s="489">
        <v>950</v>
      </c>
      <c r="I111" s="489"/>
      <c r="J111" s="489"/>
      <c r="K111" s="489"/>
      <c r="L111" s="489">
        <v>1900</v>
      </c>
      <c r="M111" s="489"/>
      <c r="N111" s="489"/>
      <c r="O111" s="489"/>
      <c r="P111" s="489"/>
      <c r="Q111" s="489"/>
      <c r="R111" s="491"/>
    </row>
    <row r="112" spans="1:18" ht="17.100000000000001" customHeight="1" x14ac:dyDescent="0.25">
      <c r="A112" s="490" t="s">
        <v>1577</v>
      </c>
      <c r="B112" s="490" t="str">
        <f>LEFT(Table6[[#This Row],[DATE]],4)</f>
        <v>1403</v>
      </c>
      <c r="C112" s="490" t="str">
        <f>MID(Table6[[#This Row],[DATE]],6,2)</f>
        <v>12</v>
      </c>
      <c r="D112" s="489">
        <v>3600</v>
      </c>
      <c r="E112" s="489">
        <v>1800</v>
      </c>
      <c r="F112" s="489">
        <v>2700</v>
      </c>
      <c r="G112" s="489"/>
      <c r="H112" s="489">
        <v>1750</v>
      </c>
      <c r="I112" s="489"/>
      <c r="J112" s="489"/>
      <c r="K112" s="489"/>
      <c r="L112" s="489">
        <v>3500</v>
      </c>
      <c r="M112" s="489"/>
      <c r="N112" s="489"/>
      <c r="O112" s="489"/>
      <c r="P112" s="489"/>
      <c r="Q112" s="489"/>
      <c r="R112" s="491"/>
    </row>
    <row r="113" spans="1:18" ht="17.100000000000001" customHeight="1" x14ac:dyDescent="0.25">
      <c r="A113" s="490" t="s">
        <v>1578</v>
      </c>
      <c r="B113" s="490" t="str">
        <f>LEFT(Table6[[#This Row],[DATE]],4)</f>
        <v>1403</v>
      </c>
      <c r="C113" s="490" t="str">
        <f>MID(Table6[[#This Row],[DATE]],6,2)</f>
        <v>12</v>
      </c>
      <c r="D113" s="489">
        <v>400</v>
      </c>
      <c r="E113" s="489">
        <v>200</v>
      </c>
      <c r="F113" s="489">
        <v>750</v>
      </c>
      <c r="G113" s="489"/>
      <c r="H113" s="489">
        <v>2200</v>
      </c>
      <c r="I113" s="489"/>
      <c r="J113" s="489"/>
      <c r="K113" s="489"/>
      <c r="L113" s="489">
        <v>4400</v>
      </c>
      <c r="M113" s="489"/>
      <c r="N113" s="489"/>
      <c r="O113" s="489"/>
      <c r="P113" s="489"/>
      <c r="Q113" s="489"/>
      <c r="R113" s="491"/>
    </row>
    <row r="114" spans="1:18" ht="17.100000000000001" customHeight="1" x14ac:dyDescent="0.25">
      <c r="A114" s="490" t="s">
        <v>1579</v>
      </c>
      <c r="B114" s="490" t="str">
        <f>LEFT(Table6[[#This Row],[DATE]],4)</f>
        <v>1403</v>
      </c>
      <c r="C114" s="490" t="str">
        <f>MID(Table6[[#This Row],[DATE]],6,2)</f>
        <v>12</v>
      </c>
      <c r="D114" s="489">
        <v>2400</v>
      </c>
      <c r="E114" s="489">
        <v>1200</v>
      </c>
      <c r="F114" s="489">
        <v>3750</v>
      </c>
      <c r="G114" s="489"/>
      <c r="H114" s="489">
        <v>3150</v>
      </c>
      <c r="I114" s="489"/>
      <c r="J114" s="489"/>
      <c r="K114" s="489"/>
      <c r="L114" s="489">
        <v>6300</v>
      </c>
      <c r="M114" s="489"/>
      <c r="N114" s="489"/>
      <c r="O114" s="489"/>
      <c r="P114" s="489"/>
      <c r="Q114" s="489"/>
      <c r="R114" s="491"/>
    </row>
    <row r="115" spans="1:18" ht="17.100000000000001" customHeight="1" x14ac:dyDescent="0.25">
      <c r="A115" s="490" t="s">
        <v>1580</v>
      </c>
      <c r="B115" s="490" t="str">
        <f>LEFT(Table6[[#This Row],[DATE]],4)</f>
        <v>1403</v>
      </c>
      <c r="C115" s="490" t="str">
        <f>MID(Table6[[#This Row],[DATE]],6,2)</f>
        <v>12</v>
      </c>
      <c r="D115" s="489">
        <v>2400</v>
      </c>
      <c r="E115" s="489">
        <v>1200</v>
      </c>
      <c r="F115" s="489">
        <v>3450</v>
      </c>
      <c r="G115" s="489"/>
      <c r="H115" s="489">
        <v>2700</v>
      </c>
      <c r="I115" s="489"/>
      <c r="J115" s="489"/>
      <c r="K115" s="489"/>
      <c r="L115" s="489">
        <v>3900</v>
      </c>
      <c r="M115" s="489"/>
      <c r="N115" s="489"/>
      <c r="O115" s="489"/>
      <c r="P115" s="489">
        <v>1500</v>
      </c>
      <c r="Q115" s="489"/>
      <c r="R115" s="491"/>
    </row>
    <row r="116" spans="1:18" ht="17.100000000000001" customHeight="1" x14ac:dyDescent="0.25">
      <c r="A116" s="490" t="s">
        <v>1581</v>
      </c>
      <c r="B116" s="490" t="str">
        <f>LEFT(Table6[[#This Row],[DATE]],4)</f>
        <v>1403</v>
      </c>
      <c r="C116" s="490" t="str">
        <f>MID(Table6[[#This Row],[DATE]],6,2)</f>
        <v>12</v>
      </c>
      <c r="D116" s="489"/>
      <c r="E116" s="489"/>
      <c r="F116" s="489">
        <v>3900</v>
      </c>
      <c r="G116" s="489"/>
      <c r="H116" s="489">
        <v>2250</v>
      </c>
      <c r="I116" s="489"/>
      <c r="J116" s="489"/>
      <c r="K116" s="489"/>
      <c r="L116" s="489">
        <v>4500</v>
      </c>
      <c r="M116" s="489"/>
      <c r="N116" s="489"/>
      <c r="O116" s="489"/>
      <c r="P116" s="489"/>
      <c r="Q116" s="489"/>
      <c r="R116" s="491"/>
    </row>
    <row r="117" spans="1:18" ht="17.100000000000001" customHeight="1" x14ac:dyDescent="0.25">
      <c r="A117" s="490" t="s">
        <v>1582</v>
      </c>
      <c r="B117" s="490" t="str">
        <f>LEFT(Table6[[#This Row],[DATE]],4)</f>
        <v>1403</v>
      </c>
      <c r="C117" s="490" t="str">
        <f>MID(Table6[[#This Row],[DATE]],6,2)</f>
        <v>12</v>
      </c>
      <c r="D117" s="489"/>
      <c r="E117" s="489"/>
      <c r="F117" s="489">
        <v>2550</v>
      </c>
      <c r="G117" s="489"/>
      <c r="H117" s="489">
        <v>3600</v>
      </c>
      <c r="I117" s="489"/>
      <c r="J117" s="489"/>
      <c r="K117" s="489"/>
      <c r="L117" s="489">
        <v>7200</v>
      </c>
      <c r="M117" s="489"/>
      <c r="N117" s="489"/>
      <c r="O117" s="489"/>
      <c r="P117" s="489"/>
      <c r="Q117" s="489"/>
      <c r="R117" s="491"/>
    </row>
    <row r="118" spans="1:18" ht="17.100000000000001" customHeight="1" x14ac:dyDescent="0.25">
      <c r="A118" s="490" t="s">
        <v>1583</v>
      </c>
      <c r="B118" s="490" t="str">
        <f>LEFT(Table6[[#This Row],[DATE]],4)</f>
        <v>1403</v>
      </c>
      <c r="C118" s="490" t="str">
        <f>MID(Table6[[#This Row],[DATE]],6,2)</f>
        <v>12</v>
      </c>
      <c r="D118" s="489">
        <v>1200</v>
      </c>
      <c r="E118" s="489">
        <v>600</v>
      </c>
      <c r="F118" s="489">
        <v>700</v>
      </c>
      <c r="G118" s="489"/>
      <c r="H118" s="489">
        <v>1800</v>
      </c>
      <c r="I118" s="489"/>
      <c r="J118" s="489"/>
      <c r="K118" s="489"/>
      <c r="L118" s="489">
        <v>3600</v>
      </c>
      <c r="M118" s="489"/>
      <c r="N118" s="489"/>
      <c r="O118" s="489"/>
      <c r="P118" s="489"/>
      <c r="Q118" s="489"/>
      <c r="R118" s="491"/>
    </row>
    <row r="119" spans="1:18" ht="17.100000000000001" customHeight="1" x14ac:dyDescent="0.25">
      <c r="A119" s="490" t="s">
        <v>1584</v>
      </c>
      <c r="B119" s="490" t="str">
        <f>LEFT(Table6[[#This Row],[DATE]],4)</f>
        <v>1403</v>
      </c>
      <c r="C119" s="490" t="str">
        <f>MID(Table6[[#This Row],[DATE]],6,2)</f>
        <v>12</v>
      </c>
      <c r="D119" s="489">
        <v>4800</v>
      </c>
      <c r="E119" s="489">
        <v>2400</v>
      </c>
      <c r="F119" s="489">
        <v>750</v>
      </c>
      <c r="G119" s="489"/>
      <c r="H119" s="489">
        <v>3475</v>
      </c>
      <c r="I119" s="489"/>
      <c r="J119" s="489"/>
      <c r="K119" s="489"/>
      <c r="L119" s="489">
        <v>3200</v>
      </c>
      <c r="M119" s="489">
        <v>1200</v>
      </c>
      <c r="N119" s="489"/>
      <c r="O119" s="489"/>
      <c r="P119" s="489">
        <v>6000</v>
      </c>
      <c r="Q119" s="489">
        <v>150</v>
      </c>
      <c r="R119" s="491"/>
    </row>
    <row r="120" spans="1:18" ht="17.100000000000001" customHeight="1" x14ac:dyDescent="0.25">
      <c r="A120" s="490" t="s">
        <v>226</v>
      </c>
      <c r="B120" s="490" t="str">
        <f>LEFT(Table6[[#This Row],[DATE]],4)</f>
        <v>1403</v>
      </c>
      <c r="C120" s="490" t="str">
        <f>MID(Table6[[#This Row],[DATE]],6,2)</f>
        <v>12</v>
      </c>
      <c r="D120" s="489"/>
      <c r="E120" s="489">
        <v>200</v>
      </c>
      <c r="F120" s="489">
        <v>4500</v>
      </c>
      <c r="G120" s="489"/>
      <c r="H120" s="489">
        <v>100</v>
      </c>
      <c r="I120" s="489">
        <v>2300</v>
      </c>
      <c r="J120" s="489">
        <v>1150</v>
      </c>
      <c r="K120" s="489"/>
      <c r="L120" s="489">
        <v>1600</v>
      </c>
      <c r="M120" s="489">
        <v>800</v>
      </c>
      <c r="N120" s="489"/>
      <c r="O120" s="489">
        <v>400</v>
      </c>
      <c r="P120" s="489"/>
      <c r="Q120" s="489"/>
      <c r="R120" s="491">
        <v>200</v>
      </c>
    </row>
    <row r="121" spans="1:18" ht="17.100000000000001" customHeight="1" x14ac:dyDescent="0.25">
      <c r="A121" s="490" t="s">
        <v>217</v>
      </c>
      <c r="B121" s="490" t="str">
        <f>LEFT(Table6[[#This Row],[DATE]],4)</f>
        <v>1403</v>
      </c>
      <c r="C121" s="490" t="str">
        <f>MID(Table6[[#This Row],[DATE]],6,2)</f>
        <v>12</v>
      </c>
      <c r="D121" s="489">
        <v>4400</v>
      </c>
      <c r="E121" s="489">
        <v>4300</v>
      </c>
      <c r="F121" s="489"/>
      <c r="G121" s="489"/>
      <c r="H121" s="489">
        <v>1650</v>
      </c>
      <c r="I121" s="489">
        <v>600</v>
      </c>
      <c r="J121" s="489">
        <v>300</v>
      </c>
      <c r="K121" s="489"/>
      <c r="L121" s="489"/>
      <c r="M121" s="489"/>
      <c r="N121" s="489"/>
      <c r="O121" s="489">
        <v>4200</v>
      </c>
      <c r="P121" s="489">
        <v>1200</v>
      </c>
      <c r="Q121" s="489"/>
      <c r="R121" s="491">
        <v>2100</v>
      </c>
    </row>
    <row r="122" spans="1:18" ht="17.100000000000001" customHeight="1" x14ac:dyDescent="0.25">
      <c r="A122" s="490" t="s">
        <v>227</v>
      </c>
      <c r="B122" s="490" t="str">
        <f>LEFT(Table6[[#This Row],[DATE]],4)</f>
        <v>1403</v>
      </c>
      <c r="C122" s="490" t="str">
        <f>MID(Table6[[#This Row],[DATE]],6,2)</f>
        <v>12</v>
      </c>
      <c r="D122" s="489">
        <v>3200</v>
      </c>
      <c r="E122" s="489">
        <v>2800</v>
      </c>
      <c r="F122" s="489">
        <v>1200</v>
      </c>
      <c r="G122" s="489"/>
      <c r="H122" s="489">
        <v>1850</v>
      </c>
      <c r="I122" s="489"/>
      <c r="J122" s="489"/>
      <c r="K122" s="489"/>
      <c r="L122" s="489">
        <v>3100</v>
      </c>
      <c r="M122" s="489">
        <v>1550</v>
      </c>
      <c r="N122" s="489"/>
      <c r="O122" s="489">
        <v>2400</v>
      </c>
      <c r="P122" s="489">
        <v>2100</v>
      </c>
      <c r="Q122" s="489"/>
      <c r="R122" s="491">
        <v>1600</v>
      </c>
    </row>
    <row r="123" spans="1:18" ht="17.100000000000001" customHeight="1" x14ac:dyDescent="0.25">
      <c r="A123" s="490" t="s">
        <v>1585</v>
      </c>
      <c r="B123" s="490" t="str">
        <f>LEFT(Table6[[#This Row],[DATE]],4)</f>
        <v>1403</v>
      </c>
      <c r="C123" s="490" t="str">
        <f>MID(Table6[[#This Row],[DATE]],6,2)</f>
        <v>12</v>
      </c>
      <c r="D123" s="489">
        <v>800</v>
      </c>
      <c r="E123" s="489">
        <v>1750</v>
      </c>
      <c r="F123" s="489"/>
      <c r="G123" s="489"/>
      <c r="H123" s="489">
        <v>550</v>
      </c>
      <c r="I123" s="489">
        <v>106</v>
      </c>
      <c r="J123" s="489">
        <v>53</v>
      </c>
      <c r="K123" s="489"/>
      <c r="L123" s="489"/>
      <c r="M123" s="489"/>
      <c r="N123" s="489"/>
      <c r="O123" s="489">
        <v>2700</v>
      </c>
      <c r="P123" s="489">
        <v>1100</v>
      </c>
      <c r="Q123" s="489"/>
      <c r="R123" s="491"/>
    </row>
    <row r="124" spans="1:18" ht="17.100000000000001" customHeight="1" x14ac:dyDescent="0.25">
      <c r="A124" s="490" t="s">
        <v>1586</v>
      </c>
      <c r="B124" s="490" t="str">
        <f>LEFT(Table6[[#This Row],[DATE]],4)</f>
        <v>1403</v>
      </c>
      <c r="C124" s="490" t="str">
        <f>MID(Table6[[#This Row],[DATE]],6,2)</f>
        <v>12</v>
      </c>
      <c r="D124" s="489">
        <v>7200</v>
      </c>
      <c r="E124" s="489">
        <v>3850</v>
      </c>
      <c r="F124" s="489"/>
      <c r="G124" s="489"/>
      <c r="H124" s="489">
        <v>75</v>
      </c>
      <c r="I124" s="489"/>
      <c r="J124" s="489"/>
      <c r="K124" s="489"/>
      <c r="L124" s="489">
        <v>5900</v>
      </c>
      <c r="M124" s="489">
        <v>2950</v>
      </c>
      <c r="N124" s="489"/>
      <c r="O124" s="489">
        <v>500</v>
      </c>
      <c r="P124" s="489"/>
      <c r="Q124" s="489">
        <v>150</v>
      </c>
      <c r="R124" s="491">
        <v>2100</v>
      </c>
    </row>
    <row r="125" spans="1:18" ht="17.100000000000001" customHeight="1" x14ac:dyDescent="0.25">
      <c r="A125" s="490" t="s">
        <v>1587</v>
      </c>
      <c r="B125" s="490" t="str">
        <f>LEFT(Table6[[#This Row],[DATE]],4)</f>
        <v>1403</v>
      </c>
      <c r="C125" s="490" t="str">
        <f>MID(Table6[[#This Row],[DATE]],6,2)</f>
        <v>12</v>
      </c>
      <c r="D125" s="489">
        <v>600</v>
      </c>
      <c r="E125" s="489">
        <v>1300</v>
      </c>
      <c r="F125" s="489">
        <v>1000</v>
      </c>
      <c r="G125" s="489"/>
      <c r="H125" s="489"/>
      <c r="I125" s="489">
        <v>309</v>
      </c>
      <c r="J125" s="489"/>
      <c r="K125" s="489"/>
      <c r="L125" s="489">
        <v>700</v>
      </c>
      <c r="M125" s="489">
        <v>350</v>
      </c>
      <c r="N125" s="489"/>
      <c r="O125" s="489">
        <v>2000</v>
      </c>
      <c r="P125" s="489"/>
      <c r="Q125" s="489"/>
      <c r="R125" s="491">
        <v>1500</v>
      </c>
    </row>
    <row r="126" spans="1:18" ht="17.100000000000001" customHeight="1" x14ac:dyDescent="0.25">
      <c r="A126" s="490" t="s">
        <v>240</v>
      </c>
      <c r="B126" s="490" t="str">
        <f>LEFT(Table6[[#This Row],[DATE]],4)</f>
        <v>1404</v>
      </c>
      <c r="C126" s="490" t="str">
        <f>MID(Table6[[#This Row],[DATE]],6,2)</f>
        <v>01</v>
      </c>
      <c r="D126" s="489"/>
      <c r="E126" s="489">
        <v>3900</v>
      </c>
      <c r="F126" s="489">
        <v>250</v>
      </c>
      <c r="G126" s="489"/>
      <c r="H126" s="489">
        <v>50</v>
      </c>
      <c r="I126" s="489"/>
      <c r="J126" s="489"/>
      <c r="K126" s="489"/>
      <c r="L126" s="489">
        <v>2700</v>
      </c>
      <c r="M126" s="489">
        <v>1350</v>
      </c>
      <c r="N126" s="489"/>
      <c r="O126" s="489">
        <v>7800</v>
      </c>
      <c r="P126" s="489"/>
      <c r="Q126" s="489">
        <v>100</v>
      </c>
      <c r="R126" s="491">
        <v>3700</v>
      </c>
    </row>
    <row r="127" spans="1:18" ht="17.100000000000001" customHeight="1" x14ac:dyDescent="0.25">
      <c r="A127" s="490" t="s">
        <v>241</v>
      </c>
      <c r="B127" s="490" t="str">
        <f>LEFT(Table6[[#This Row],[DATE]],4)</f>
        <v>1404</v>
      </c>
      <c r="C127" s="490" t="str">
        <f>MID(Table6[[#This Row],[DATE]],6,2)</f>
        <v>01</v>
      </c>
      <c r="D127" s="489">
        <v>400</v>
      </c>
      <c r="E127" s="489">
        <v>2300</v>
      </c>
      <c r="F127" s="489"/>
      <c r="G127" s="489"/>
      <c r="H127" s="489">
        <v>114</v>
      </c>
      <c r="I127" s="489">
        <v>68</v>
      </c>
      <c r="J127" s="489"/>
      <c r="K127" s="489"/>
      <c r="L127" s="489">
        <v>6000</v>
      </c>
      <c r="M127" s="489">
        <v>3000</v>
      </c>
      <c r="N127" s="489"/>
      <c r="O127" s="489">
        <v>4200</v>
      </c>
      <c r="P127" s="489">
        <v>72</v>
      </c>
      <c r="Q127" s="489"/>
      <c r="R127" s="491">
        <v>188</v>
      </c>
    </row>
    <row r="128" spans="1:18" ht="17.100000000000001" customHeight="1" x14ac:dyDescent="0.25">
      <c r="A128" s="490" t="s">
        <v>236</v>
      </c>
      <c r="B128" s="490" t="str">
        <f>LEFT(Table6[[#This Row],[DATE]],4)</f>
        <v>1404</v>
      </c>
      <c r="C128" s="490" t="str">
        <f>MID(Table6[[#This Row],[DATE]],6,2)</f>
        <v>01</v>
      </c>
      <c r="D128" s="489"/>
      <c r="E128" s="489">
        <v>1650</v>
      </c>
      <c r="F128" s="489">
        <v>3150</v>
      </c>
      <c r="G128" s="489"/>
      <c r="H128" s="489"/>
      <c r="I128" s="489"/>
      <c r="J128" s="489"/>
      <c r="K128" s="489"/>
      <c r="L128" s="489">
        <v>2100</v>
      </c>
      <c r="M128" s="489">
        <v>1050</v>
      </c>
      <c r="N128" s="489"/>
      <c r="O128" s="489">
        <v>3300</v>
      </c>
      <c r="P128" s="489"/>
      <c r="Q128" s="489"/>
      <c r="R128" s="491"/>
    </row>
    <row r="129" spans="1:18" ht="17.100000000000001" customHeight="1" x14ac:dyDescent="0.25">
      <c r="A129" s="490" t="s">
        <v>260</v>
      </c>
      <c r="B129" s="490" t="str">
        <f>LEFT(Table6[[#This Row],[DATE]],4)</f>
        <v>1404</v>
      </c>
      <c r="C129" s="490" t="str">
        <f>MID(Table6[[#This Row],[DATE]],6,2)</f>
        <v>01</v>
      </c>
      <c r="D129" s="489">
        <v>1000</v>
      </c>
      <c r="E129" s="489">
        <v>900</v>
      </c>
      <c r="F129" s="489">
        <v>7400</v>
      </c>
      <c r="G129" s="489"/>
      <c r="H129" s="489"/>
      <c r="I129" s="489"/>
      <c r="J129" s="489"/>
      <c r="K129" s="489"/>
      <c r="L129" s="489"/>
      <c r="M129" s="489">
        <v>250</v>
      </c>
      <c r="N129" s="489"/>
      <c r="O129" s="489">
        <v>800</v>
      </c>
      <c r="P129" s="489"/>
      <c r="Q129" s="489"/>
      <c r="R129" s="491">
        <v>500</v>
      </c>
    </row>
    <row r="130" spans="1:18" ht="17.100000000000001" customHeight="1" x14ac:dyDescent="0.25">
      <c r="A130" s="490" t="s">
        <v>231</v>
      </c>
      <c r="B130" s="490" t="str">
        <f>LEFT(Table6[[#This Row],[DATE]],4)</f>
        <v>1404</v>
      </c>
      <c r="C130" s="490" t="str">
        <f>MID(Table6[[#This Row],[DATE]],6,2)</f>
        <v>01</v>
      </c>
      <c r="D130" s="489"/>
      <c r="E130" s="489">
        <v>700</v>
      </c>
      <c r="F130" s="489">
        <v>7650</v>
      </c>
      <c r="G130" s="489"/>
      <c r="H130" s="489"/>
      <c r="I130" s="489"/>
      <c r="J130" s="489"/>
      <c r="K130" s="489"/>
      <c r="L130" s="489">
        <v>600</v>
      </c>
      <c r="M130" s="489">
        <v>300</v>
      </c>
      <c r="N130" s="489"/>
      <c r="O130" s="489">
        <v>1400</v>
      </c>
      <c r="P130" s="489"/>
      <c r="Q130" s="489"/>
      <c r="R130" s="491"/>
    </row>
    <row r="131" spans="1:18" ht="17.100000000000001" customHeight="1" x14ac:dyDescent="0.25">
      <c r="A131" s="490" t="s">
        <v>234</v>
      </c>
      <c r="B131" s="490" t="str">
        <f>LEFT(Table6[[#This Row],[DATE]],4)</f>
        <v>1404</v>
      </c>
      <c r="C131" s="490" t="str">
        <f>MID(Table6[[#This Row],[DATE]],6,2)</f>
        <v>01</v>
      </c>
      <c r="D131" s="489">
        <v>6000</v>
      </c>
      <c r="E131" s="489">
        <v>3000</v>
      </c>
      <c r="F131" s="489">
        <v>5900</v>
      </c>
      <c r="G131" s="489"/>
      <c r="H131" s="489"/>
      <c r="I131" s="489"/>
      <c r="J131" s="489"/>
      <c r="K131" s="489"/>
      <c r="L131" s="489"/>
      <c r="M131" s="489">
        <v>18</v>
      </c>
      <c r="N131" s="489"/>
      <c r="O131" s="489"/>
      <c r="P131" s="489"/>
      <c r="Q131" s="489">
        <v>1600</v>
      </c>
      <c r="R131" s="491">
        <v>36</v>
      </c>
    </row>
    <row r="132" spans="1:18" ht="17.100000000000001" customHeight="1" x14ac:dyDescent="0.25">
      <c r="A132" s="490" t="s">
        <v>233</v>
      </c>
      <c r="B132" s="490" t="str">
        <f>LEFT(Table6[[#This Row],[DATE]],4)</f>
        <v>1404</v>
      </c>
      <c r="C132" s="490" t="str">
        <f>MID(Table6[[#This Row],[DATE]],6,2)</f>
        <v>01</v>
      </c>
      <c r="D132" s="489">
        <v>5800</v>
      </c>
      <c r="E132" s="489">
        <v>2900</v>
      </c>
      <c r="F132" s="489">
        <v>4600</v>
      </c>
      <c r="G132" s="489"/>
      <c r="H132" s="489"/>
      <c r="I132" s="489"/>
      <c r="J132" s="489"/>
      <c r="K132" s="489"/>
      <c r="L132" s="489"/>
      <c r="M132" s="489"/>
      <c r="N132" s="489"/>
      <c r="O132" s="489"/>
      <c r="P132" s="489"/>
      <c r="Q132" s="489">
        <v>4400</v>
      </c>
      <c r="R132" s="491"/>
    </row>
    <row r="133" spans="1:18" ht="17.100000000000001" customHeight="1" x14ac:dyDescent="0.25">
      <c r="A133" s="490" t="s">
        <v>238</v>
      </c>
      <c r="B133" s="490" t="str">
        <f>LEFT(Table6[[#This Row],[DATE]],4)</f>
        <v>1404</v>
      </c>
      <c r="C133" s="490" t="str">
        <f>MID(Table6[[#This Row],[DATE]],6,2)</f>
        <v>01</v>
      </c>
      <c r="D133" s="489"/>
      <c r="E133" s="489"/>
      <c r="F133" s="489">
        <v>3600</v>
      </c>
      <c r="G133" s="489"/>
      <c r="H133" s="489">
        <v>1725</v>
      </c>
      <c r="I133" s="489"/>
      <c r="J133" s="489"/>
      <c r="K133" s="489"/>
      <c r="L133" s="489"/>
      <c r="M133" s="489"/>
      <c r="N133" s="489"/>
      <c r="O133" s="489"/>
      <c r="P133" s="489"/>
      <c r="Q133" s="489">
        <v>7850</v>
      </c>
      <c r="R133" s="491"/>
    </row>
    <row r="134" spans="1:18" ht="17.100000000000001" customHeight="1" x14ac:dyDescent="0.25">
      <c r="A134" s="490" t="s">
        <v>270</v>
      </c>
      <c r="B134" s="490" t="str">
        <f>LEFT(Table6[[#This Row],[DATE]],4)</f>
        <v>1404</v>
      </c>
      <c r="C134" s="490" t="str">
        <f>MID(Table6[[#This Row],[DATE]],6,2)</f>
        <v>01</v>
      </c>
      <c r="D134" s="489">
        <v>4600</v>
      </c>
      <c r="E134" s="489">
        <v>2300</v>
      </c>
      <c r="F134" s="489">
        <v>600</v>
      </c>
      <c r="G134" s="489"/>
      <c r="H134" s="489">
        <v>4050</v>
      </c>
      <c r="I134" s="489"/>
      <c r="J134" s="489"/>
      <c r="K134" s="489"/>
      <c r="L134" s="489"/>
      <c r="M134" s="489"/>
      <c r="N134" s="489"/>
      <c r="O134" s="489"/>
      <c r="P134" s="489"/>
      <c r="Q134" s="489">
        <v>11700</v>
      </c>
      <c r="R134" s="491"/>
    </row>
    <row r="135" spans="1:18" ht="17.100000000000001" customHeight="1" x14ac:dyDescent="0.25">
      <c r="A135" s="490" t="s">
        <v>275</v>
      </c>
      <c r="B135" s="490" t="str">
        <f>LEFT(Table6[[#This Row],[DATE]],4)</f>
        <v>1404</v>
      </c>
      <c r="C135" s="490" t="str">
        <f>MID(Table6[[#This Row],[DATE]],6,2)</f>
        <v>01</v>
      </c>
      <c r="D135" s="489">
        <v>6600</v>
      </c>
      <c r="E135" s="489">
        <v>3300</v>
      </c>
      <c r="F135" s="489">
        <v>3100</v>
      </c>
      <c r="G135" s="489"/>
      <c r="H135" s="489">
        <v>2250</v>
      </c>
      <c r="I135" s="489"/>
      <c r="J135" s="489"/>
      <c r="K135" s="489"/>
      <c r="L135" s="489"/>
      <c r="M135" s="489"/>
      <c r="N135" s="489"/>
      <c r="O135" s="489"/>
      <c r="P135" s="489"/>
      <c r="Q135" s="489">
        <v>6300</v>
      </c>
      <c r="R135" s="491"/>
    </row>
    <row r="136" spans="1:18" ht="17.100000000000001" customHeight="1" x14ac:dyDescent="0.25">
      <c r="A136" s="490" t="s">
        <v>253</v>
      </c>
      <c r="B136" s="490" t="str">
        <f>LEFT(Table6[[#This Row],[DATE]],4)</f>
        <v>1404</v>
      </c>
      <c r="C136" s="490" t="str">
        <f>MID(Table6[[#This Row],[DATE]],6,2)</f>
        <v>01</v>
      </c>
      <c r="D136" s="489">
        <v>10600</v>
      </c>
      <c r="E136" s="489">
        <v>5300</v>
      </c>
      <c r="F136" s="489"/>
      <c r="G136" s="489"/>
      <c r="H136" s="489"/>
      <c r="I136" s="489"/>
      <c r="J136" s="489"/>
      <c r="K136" s="489"/>
      <c r="L136" s="489"/>
      <c r="M136" s="489"/>
      <c r="N136" s="489"/>
      <c r="O136" s="489"/>
      <c r="P136" s="489"/>
      <c r="Q136" s="489">
        <v>4400</v>
      </c>
      <c r="R136" s="491"/>
    </row>
    <row r="137" spans="1:18" ht="17.100000000000001" customHeight="1" x14ac:dyDescent="0.25">
      <c r="A137" s="490" t="s">
        <v>681</v>
      </c>
      <c r="B137" s="490" t="str">
        <f>LEFT(Table6[[#This Row],[DATE]],4)</f>
        <v>1404</v>
      </c>
      <c r="C137" s="490" t="str">
        <f>MID(Table6[[#This Row],[DATE]],6,2)</f>
        <v>02</v>
      </c>
      <c r="D137" s="489">
        <v>7000</v>
      </c>
      <c r="E137" s="489">
        <v>3500</v>
      </c>
      <c r="F137" s="489"/>
      <c r="G137" s="489"/>
      <c r="H137" s="489"/>
      <c r="I137" s="489"/>
      <c r="J137" s="489"/>
      <c r="K137" s="489"/>
      <c r="L137" s="489"/>
      <c r="M137" s="489"/>
      <c r="N137" s="489"/>
      <c r="O137" s="489"/>
      <c r="P137" s="489"/>
      <c r="Q137" s="489">
        <v>7200</v>
      </c>
      <c r="R137" s="491"/>
    </row>
    <row r="138" spans="1:18" ht="17.100000000000001" customHeight="1" x14ac:dyDescent="0.25">
      <c r="A138" s="490" t="s">
        <v>255</v>
      </c>
      <c r="B138" s="490" t="str">
        <f>LEFT(Table6[[#This Row],[DATE]],4)</f>
        <v>1404</v>
      </c>
      <c r="C138" s="490" t="str">
        <f>MID(Table6[[#This Row],[DATE]],6,2)</f>
        <v>02</v>
      </c>
      <c r="D138" s="489">
        <v>1800</v>
      </c>
      <c r="E138" s="489">
        <v>950</v>
      </c>
      <c r="F138" s="489"/>
      <c r="G138" s="489"/>
      <c r="H138" s="489">
        <v>75</v>
      </c>
      <c r="I138" s="489">
        <v>2600</v>
      </c>
      <c r="J138" s="489">
        <v>1300</v>
      </c>
      <c r="K138" s="489"/>
      <c r="L138" s="489"/>
      <c r="M138" s="489"/>
      <c r="N138" s="489"/>
      <c r="O138" s="489">
        <v>100</v>
      </c>
      <c r="P138" s="489"/>
      <c r="Q138" s="489">
        <v>6150</v>
      </c>
      <c r="R138" s="491"/>
    </row>
    <row r="139" spans="1:18" ht="17.100000000000001" customHeight="1" x14ac:dyDescent="0.25">
      <c r="A139" s="490" t="s">
        <v>687</v>
      </c>
      <c r="B139" s="490" t="str">
        <f>LEFT(Table6[[#This Row],[DATE]],4)</f>
        <v>1404</v>
      </c>
      <c r="C139" s="490" t="str">
        <f>MID(Table6[[#This Row],[DATE]],6,2)</f>
        <v>02</v>
      </c>
      <c r="D139" s="489">
        <v>3000</v>
      </c>
      <c r="E139" s="489">
        <v>1500</v>
      </c>
      <c r="F139" s="489">
        <v>4500</v>
      </c>
      <c r="G139" s="489"/>
      <c r="H139" s="489"/>
      <c r="I139" s="489">
        <v>1200</v>
      </c>
      <c r="J139" s="489">
        <v>600</v>
      </c>
      <c r="K139" s="489"/>
      <c r="L139" s="489"/>
      <c r="M139" s="489"/>
      <c r="N139" s="489"/>
      <c r="O139" s="489"/>
      <c r="P139" s="489"/>
      <c r="Q139" s="489">
        <v>7410</v>
      </c>
      <c r="R139" s="491"/>
    </row>
    <row r="140" spans="1:18" ht="17.100000000000001" customHeight="1" x14ac:dyDescent="0.25">
      <c r="A140" s="490" t="s">
        <v>708</v>
      </c>
      <c r="B140" s="490" t="str">
        <f>LEFT(Table6[[#This Row],[DATE]],4)</f>
        <v>1404</v>
      </c>
      <c r="C140" s="490" t="str">
        <f>MID(Table6[[#This Row],[DATE]],6,2)</f>
        <v>02</v>
      </c>
      <c r="D140" s="489"/>
      <c r="E140" s="489"/>
      <c r="F140" s="489">
        <v>5200</v>
      </c>
      <c r="G140" s="489"/>
      <c r="H140" s="489"/>
      <c r="I140" s="489"/>
      <c r="J140" s="489"/>
      <c r="K140" s="489"/>
      <c r="L140" s="489"/>
      <c r="M140" s="489"/>
      <c r="N140" s="489"/>
      <c r="O140" s="489"/>
      <c r="P140" s="489"/>
      <c r="Q140" s="489"/>
      <c r="R140" s="491"/>
    </row>
    <row r="141" spans="1:18" ht="17.100000000000001" customHeight="1" x14ac:dyDescent="0.25">
      <c r="A141" s="490" t="s">
        <v>280</v>
      </c>
      <c r="B141" s="490" t="str">
        <f>LEFT(Table6[[#This Row],[DATE]],4)</f>
        <v>1404</v>
      </c>
      <c r="C141" s="490" t="str">
        <f>MID(Table6[[#This Row],[DATE]],6,2)</f>
        <v>02</v>
      </c>
      <c r="D141" s="489"/>
      <c r="E141" s="489"/>
      <c r="F141" s="489">
        <v>9300</v>
      </c>
      <c r="G141" s="489"/>
      <c r="H141" s="489"/>
      <c r="I141" s="489">
        <v>2000</v>
      </c>
      <c r="J141" s="489">
        <v>1000</v>
      </c>
      <c r="K141" s="489"/>
      <c r="L141" s="489"/>
      <c r="M141" s="489"/>
      <c r="N141" s="489"/>
      <c r="O141" s="489"/>
      <c r="P141" s="489"/>
      <c r="Q141" s="489">
        <v>3200</v>
      </c>
      <c r="R141" s="491"/>
    </row>
    <row r="142" spans="1:18" ht="17.100000000000001" customHeight="1" x14ac:dyDescent="0.25">
      <c r="A142" s="490" t="s">
        <v>709</v>
      </c>
      <c r="B142" s="490" t="str">
        <f>LEFT(Table6[[#This Row],[DATE]],4)</f>
        <v>1404</v>
      </c>
      <c r="C142" s="490" t="str">
        <f>MID(Table6[[#This Row],[DATE]],6,2)</f>
        <v>02</v>
      </c>
      <c r="D142" s="489">
        <v>4400</v>
      </c>
      <c r="E142" s="489">
        <v>2200</v>
      </c>
      <c r="F142" s="489">
        <v>4900</v>
      </c>
      <c r="G142" s="489"/>
      <c r="H142" s="489"/>
      <c r="I142" s="489">
        <v>200</v>
      </c>
      <c r="J142" s="489">
        <v>100</v>
      </c>
      <c r="K142" s="489"/>
      <c r="L142" s="489"/>
      <c r="M142" s="489"/>
      <c r="N142" s="489"/>
      <c r="O142" s="489"/>
      <c r="P142" s="489"/>
      <c r="Q142" s="489">
        <v>1206</v>
      </c>
      <c r="R142" s="491"/>
    </row>
    <row r="143" spans="1:18" ht="17.100000000000001" customHeight="1" x14ac:dyDescent="0.25">
      <c r="A143" s="490" t="s">
        <v>710</v>
      </c>
      <c r="B143" s="490" t="str">
        <f>LEFT(Table6[[#This Row],[DATE]],4)</f>
        <v>1404</v>
      </c>
      <c r="C143" s="490" t="str">
        <f>MID(Table6[[#This Row],[DATE]],6,2)</f>
        <v>02</v>
      </c>
      <c r="D143" s="489">
        <v>2200</v>
      </c>
      <c r="E143" s="489">
        <v>1100</v>
      </c>
      <c r="F143" s="489">
        <v>11150</v>
      </c>
      <c r="G143" s="489"/>
      <c r="H143" s="489"/>
      <c r="I143" s="489"/>
      <c r="J143" s="489"/>
      <c r="K143" s="489"/>
      <c r="L143" s="489"/>
      <c r="M143" s="489"/>
      <c r="N143" s="489"/>
      <c r="O143" s="489"/>
      <c r="P143" s="489"/>
      <c r="Q143" s="489"/>
      <c r="R143" s="491"/>
    </row>
    <row r="144" spans="1:18" ht="17.100000000000001" customHeight="1" x14ac:dyDescent="0.25">
      <c r="A144" s="490" t="s">
        <v>258</v>
      </c>
      <c r="B144" s="490" t="str">
        <f>LEFT(Table6[[#This Row],[DATE]],4)</f>
        <v>1404</v>
      </c>
      <c r="C144" s="490" t="str">
        <f>MID(Table6[[#This Row],[DATE]],6,2)</f>
        <v>02</v>
      </c>
      <c r="D144" s="489">
        <v>200</v>
      </c>
      <c r="E144" s="489">
        <v>100</v>
      </c>
      <c r="F144" s="489">
        <v>8600</v>
      </c>
      <c r="G144" s="489"/>
      <c r="H144" s="489"/>
      <c r="I144" s="489"/>
      <c r="J144" s="489"/>
      <c r="K144" s="489"/>
      <c r="L144" s="489"/>
      <c r="M144" s="489"/>
      <c r="N144" s="489"/>
      <c r="O144" s="489"/>
      <c r="P144" s="489"/>
      <c r="Q144" s="489">
        <v>198</v>
      </c>
      <c r="R144" s="491"/>
    </row>
    <row r="145" spans="1:18" ht="17.100000000000001" customHeight="1" x14ac:dyDescent="0.25">
      <c r="A145" s="490" t="s">
        <v>711</v>
      </c>
      <c r="B145" s="490" t="str">
        <f>LEFT(Table6[[#This Row],[DATE]],4)</f>
        <v>1404</v>
      </c>
      <c r="C145" s="490" t="str">
        <f>MID(Table6[[#This Row],[DATE]],6,2)</f>
        <v>02</v>
      </c>
      <c r="D145" s="489">
        <v>3400</v>
      </c>
      <c r="E145" s="489">
        <v>1715</v>
      </c>
      <c r="F145" s="489">
        <v>2700</v>
      </c>
      <c r="G145" s="489"/>
      <c r="H145" s="489">
        <v>514</v>
      </c>
      <c r="I145" s="489"/>
      <c r="J145" s="489"/>
      <c r="K145" s="489"/>
      <c r="L145" s="489">
        <v>86</v>
      </c>
      <c r="M145" s="489">
        <v>43</v>
      </c>
      <c r="N145" s="489"/>
      <c r="O145" s="489">
        <v>30</v>
      </c>
      <c r="P145" s="489">
        <v>1028</v>
      </c>
      <c r="Q145" s="489"/>
      <c r="R145" s="491"/>
    </row>
    <row r="146" spans="1:18" ht="17.100000000000001" customHeight="1" x14ac:dyDescent="0.25">
      <c r="A146" s="490" t="s">
        <v>712</v>
      </c>
      <c r="B146" s="490" t="str">
        <f>LEFT(Table6[[#This Row],[DATE]],4)</f>
        <v>1404</v>
      </c>
      <c r="C146" s="490" t="str">
        <f>MID(Table6[[#This Row],[DATE]],6,2)</f>
        <v>02</v>
      </c>
      <c r="D146" s="489"/>
      <c r="E146" s="489"/>
      <c r="F146" s="489">
        <v>9800</v>
      </c>
      <c r="G146" s="489"/>
      <c r="H146" s="489"/>
      <c r="I146" s="489"/>
      <c r="J146" s="489"/>
      <c r="K146" s="489"/>
      <c r="L146" s="489"/>
      <c r="M146" s="489"/>
      <c r="N146" s="489"/>
      <c r="O146" s="489"/>
      <c r="P146" s="489"/>
      <c r="Q146" s="489"/>
      <c r="R146" s="491"/>
    </row>
    <row r="147" spans="1:18" ht="17.100000000000001" customHeight="1" x14ac:dyDescent="0.25">
      <c r="A147" s="490" t="s">
        <v>713</v>
      </c>
      <c r="B147" s="490" t="str">
        <f>LEFT(Table6[[#This Row],[DATE]],4)</f>
        <v>1404</v>
      </c>
      <c r="C147" s="490" t="str">
        <f>MID(Table6[[#This Row],[DATE]],6,2)</f>
        <v>02</v>
      </c>
      <c r="D147" s="489">
        <v>2800</v>
      </c>
      <c r="E147" s="489">
        <v>1400</v>
      </c>
      <c r="F147" s="489">
        <v>4700</v>
      </c>
      <c r="G147" s="489"/>
      <c r="H147" s="489"/>
      <c r="I147" s="489"/>
      <c r="J147" s="489"/>
      <c r="K147" s="489"/>
      <c r="L147" s="489"/>
      <c r="M147" s="489"/>
      <c r="N147" s="489"/>
      <c r="O147" s="489"/>
      <c r="P147" s="489"/>
      <c r="Q147" s="489"/>
      <c r="R147" s="491"/>
    </row>
    <row r="148" spans="1:18" ht="17.100000000000001" customHeight="1" x14ac:dyDescent="0.25">
      <c r="A148" s="490" t="s">
        <v>714</v>
      </c>
      <c r="B148" s="490" t="str">
        <f>LEFT(Table6[[#This Row],[DATE]],4)</f>
        <v>1404</v>
      </c>
      <c r="C148" s="490" t="str">
        <f>MID(Table6[[#This Row],[DATE]],6,2)</f>
        <v>02</v>
      </c>
      <c r="D148" s="489"/>
      <c r="E148" s="489"/>
      <c r="F148" s="489">
        <v>6900</v>
      </c>
      <c r="G148" s="489"/>
      <c r="H148" s="489"/>
      <c r="I148" s="489"/>
      <c r="J148" s="489"/>
      <c r="K148" s="489"/>
      <c r="L148" s="489"/>
      <c r="M148" s="489"/>
      <c r="N148" s="489"/>
      <c r="O148" s="489"/>
      <c r="P148" s="489"/>
      <c r="Q148" s="489"/>
      <c r="R148" s="491"/>
    </row>
    <row r="149" spans="1:18" ht="17.100000000000001" customHeight="1" x14ac:dyDescent="0.25">
      <c r="A149" s="490" t="s">
        <v>256</v>
      </c>
      <c r="B149" s="490" t="str">
        <f>LEFT(Table6[[#This Row],[DATE]],4)</f>
        <v>1404</v>
      </c>
      <c r="C149" s="490" t="str">
        <f>MID(Table6[[#This Row],[DATE]],6,2)</f>
        <v>02</v>
      </c>
      <c r="D149" s="489">
        <v>1000</v>
      </c>
      <c r="E149" s="489">
        <v>500</v>
      </c>
      <c r="F149" s="489">
        <v>7200</v>
      </c>
      <c r="G149" s="489"/>
      <c r="H149" s="489"/>
      <c r="I149" s="489"/>
      <c r="J149" s="489"/>
      <c r="K149" s="489"/>
      <c r="L149" s="489"/>
      <c r="M149" s="489"/>
      <c r="N149" s="489"/>
      <c r="O149" s="489"/>
      <c r="P149" s="489"/>
      <c r="Q149" s="489"/>
      <c r="R149" s="491"/>
    </row>
    <row r="150" spans="1:18" ht="17.100000000000001" customHeight="1" x14ac:dyDescent="0.25">
      <c r="A150" s="490" t="s">
        <v>282</v>
      </c>
      <c r="B150" s="490" t="str">
        <f>LEFT(Table6[[#This Row],[DATE]],4)</f>
        <v>1404</v>
      </c>
      <c r="C150" s="490" t="str">
        <f>MID(Table6[[#This Row],[DATE]],6,2)</f>
        <v>02</v>
      </c>
      <c r="D150" s="489"/>
      <c r="E150" s="489"/>
      <c r="F150" s="489">
        <v>3450</v>
      </c>
      <c r="G150" s="489"/>
      <c r="H150" s="489">
        <v>300</v>
      </c>
      <c r="I150" s="489"/>
      <c r="J150" s="489"/>
      <c r="K150" s="489"/>
      <c r="L150" s="489"/>
      <c r="M150" s="489"/>
      <c r="N150" s="489"/>
      <c r="O150" s="489"/>
      <c r="P150" s="489"/>
      <c r="Q150" s="489">
        <v>600</v>
      </c>
      <c r="R150" s="491"/>
    </row>
    <row r="151" spans="1:18" ht="17.100000000000001" customHeight="1" x14ac:dyDescent="0.25">
      <c r="A151" s="490" t="s">
        <v>717</v>
      </c>
      <c r="B151" s="490" t="str">
        <f>LEFT(Table6[[#This Row],[DATE]],4)</f>
        <v>1404</v>
      </c>
      <c r="C151" s="490" t="str">
        <f>MID(Table6[[#This Row],[DATE]],6,2)</f>
        <v>02</v>
      </c>
      <c r="D151" s="489"/>
      <c r="E151" s="489"/>
      <c r="F151" s="489">
        <v>1650</v>
      </c>
      <c r="G151" s="489"/>
      <c r="H151" s="489">
        <v>1350</v>
      </c>
      <c r="I151" s="489"/>
      <c r="J151" s="489"/>
      <c r="K151" s="489"/>
      <c r="L151" s="489"/>
      <c r="M151" s="489"/>
      <c r="N151" s="489"/>
      <c r="O151" s="489"/>
      <c r="P151" s="489"/>
      <c r="Q151" s="489">
        <v>2700</v>
      </c>
      <c r="R151" s="491"/>
    </row>
    <row r="152" spans="1:18" ht="17.100000000000001" customHeight="1" x14ac:dyDescent="0.25">
      <c r="A152" s="490" t="s">
        <v>283</v>
      </c>
      <c r="B152" s="490" t="str">
        <f>LEFT(Table6[[#This Row],[DATE]],4)</f>
        <v>1404</v>
      </c>
      <c r="C152" s="490" t="str">
        <f>MID(Table6[[#This Row],[DATE]],6,2)</f>
        <v>02</v>
      </c>
      <c r="D152" s="489">
        <v>1200</v>
      </c>
      <c r="E152" s="489">
        <v>600</v>
      </c>
      <c r="F152" s="489">
        <v>1000</v>
      </c>
      <c r="G152" s="489"/>
      <c r="H152" s="489">
        <v>3150</v>
      </c>
      <c r="I152" s="489"/>
      <c r="J152" s="489"/>
      <c r="K152" s="489"/>
      <c r="L152" s="489"/>
      <c r="M152" s="489"/>
      <c r="N152" s="489"/>
      <c r="O152" s="489"/>
      <c r="P152" s="489"/>
      <c r="Q152" s="489">
        <v>6300</v>
      </c>
      <c r="R152" s="491"/>
    </row>
    <row r="153" spans="1:18" ht="17.100000000000001" customHeight="1" x14ac:dyDescent="0.25">
      <c r="A153" s="490" t="s">
        <v>257</v>
      </c>
      <c r="B153" s="490" t="str">
        <f>LEFT(Table6[[#This Row],[DATE]],4)</f>
        <v>1404</v>
      </c>
      <c r="C153" s="490" t="str">
        <f>MID(Table6[[#This Row],[DATE]],6,2)</f>
        <v>02</v>
      </c>
      <c r="D153" s="489">
        <v>2200</v>
      </c>
      <c r="E153" s="489">
        <v>1100</v>
      </c>
      <c r="F153" s="489">
        <v>3800</v>
      </c>
      <c r="G153" s="489"/>
      <c r="H153" s="489">
        <v>975</v>
      </c>
      <c r="I153" s="489"/>
      <c r="J153" s="489"/>
      <c r="K153" s="489"/>
      <c r="L153" s="489"/>
      <c r="M153" s="489"/>
      <c r="N153" s="489"/>
      <c r="O153" s="489"/>
      <c r="P153" s="489"/>
      <c r="Q153" s="489">
        <v>1950</v>
      </c>
      <c r="R153" s="491"/>
    </row>
    <row r="154" spans="1:18" ht="17.100000000000001" customHeight="1" x14ac:dyDescent="0.25">
      <c r="A154" s="490" t="s">
        <v>718</v>
      </c>
      <c r="B154" s="490" t="str">
        <f>LEFT(Table6[[#This Row],[DATE]],4)</f>
        <v>1404</v>
      </c>
      <c r="C154" s="490" t="str">
        <f>MID(Table6[[#This Row],[DATE]],6,2)</f>
        <v>02</v>
      </c>
      <c r="D154" s="489">
        <v>1400</v>
      </c>
      <c r="E154" s="489">
        <v>700</v>
      </c>
      <c r="F154" s="489">
        <v>2850</v>
      </c>
      <c r="G154" s="489"/>
      <c r="H154" s="489">
        <v>836</v>
      </c>
      <c r="I154" s="489">
        <v>22</v>
      </c>
      <c r="J154" s="489"/>
      <c r="K154" s="489"/>
      <c r="L154" s="489"/>
      <c r="M154" s="489"/>
      <c r="N154" s="489"/>
      <c r="O154" s="489"/>
      <c r="P154" s="489"/>
      <c r="Q154" s="489">
        <v>1674</v>
      </c>
      <c r="R154" s="491"/>
    </row>
    <row r="155" spans="1:18" ht="17.100000000000001" customHeight="1" x14ac:dyDescent="0.25">
      <c r="A155" s="490" t="s">
        <v>719</v>
      </c>
      <c r="B155" s="490" t="str">
        <f>LEFT(Table6[[#This Row],[DATE]],4)</f>
        <v>1404</v>
      </c>
      <c r="C155" s="490" t="str">
        <f>MID(Table6[[#This Row],[DATE]],6,2)</f>
        <v>02</v>
      </c>
      <c r="D155" s="489"/>
      <c r="E155" s="489"/>
      <c r="F155" s="489"/>
      <c r="G155" s="489"/>
      <c r="H155" s="489">
        <v>1725</v>
      </c>
      <c r="I155" s="489"/>
      <c r="J155" s="489"/>
      <c r="K155" s="489"/>
      <c r="L155" s="489"/>
      <c r="M155" s="489"/>
      <c r="N155" s="489"/>
      <c r="O155" s="489"/>
      <c r="P155" s="489"/>
      <c r="Q155" s="489">
        <v>3450</v>
      </c>
      <c r="R155" s="491"/>
    </row>
    <row r="156" spans="1:18" ht="17.100000000000001" customHeight="1" x14ac:dyDescent="0.25">
      <c r="A156" s="490" t="s">
        <v>720</v>
      </c>
      <c r="B156" s="490" t="str">
        <f>LEFT(Table6[[#This Row],[DATE]],4)</f>
        <v>1404</v>
      </c>
      <c r="C156" s="490" t="str">
        <f>MID(Table6[[#This Row],[DATE]],6,2)</f>
        <v>02</v>
      </c>
      <c r="D156" s="489"/>
      <c r="E156" s="489"/>
      <c r="F156" s="489"/>
      <c r="G156" s="489"/>
      <c r="H156" s="489">
        <v>1575</v>
      </c>
      <c r="I156" s="489"/>
      <c r="J156" s="489"/>
      <c r="K156" s="489"/>
      <c r="L156" s="489"/>
      <c r="M156" s="489"/>
      <c r="N156" s="489"/>
      <c r="O156" s="489"/>
      <c r="P156" s="489"/>
      <c r="Q156" s="489">
        <v>3150</v>
      </c>
      <c r="R156" s="491"/>
    </row>
    <row r="157" spans="1:18" ht="17.100000000000001" customHeight="1" x14ac:dyDescent="0.25">
      <c r="A157" s="490" t="s">
        <v>722</v>
      </c>
      <c r="B157" s="490" t="str">
        <f>LEFT(Table6[[#This Row],[DATE]],4)</f>
        <v>1404</v>
      </c>
      <c r="C157" s="490" t="str">
        <f>MID(Table6[[#This Row],[DATE]],6,2)</f>
        <v>02</v>
      </c>
      <c r="D157" s="489"/>
      <c r="E157" s="489"/>
      <c r="F157" s="489">
        <v>4000</v>
      </c>
      <c r="G157" s="489"/>
      <c r="H157" s="489"/>
      <c r="I157" s="489">
        <v>800</v>
      </c>
      <c r="J157" s="489">
        <v>400</v>
      </c>
      <c r="K157" s="489"/>
      <c r="L157" s="489"/>
      <c r="M157" s="489"/>
      <c r="N157" s="489"/>
      <c r="O157" s="489"/>
      <c r="P157" s="489"/>
      <c r="Q157" s="489"/>
      <c r="R157" s="491"/>
    </row>
    <row r="158" spans="1:18" ht="17.100000000000001" customHeight="1" x14ac:dyDescent="0.25">
      <c r="A158" s="490" t="s">
        <v>723</v>
      </c>
      <c r="B158" s="490" t="str">
        <f>LEFT(Table6[[#This Row],[DATE]],4)</f>
        <v>1404</v>
      </c>
      <c r="C158" s="490" t="str">
        <f>MID(Table6[[#This Row],[DATE]],6,2)</f>
        <v>02</v>
      </c>
      <c r="D158" s="489"/>
      <c r="E158" s="489"/>
      <c r="F158" s="489">
        <v>4000</v>
      </c>
      <c r="G158" s="489"/>
      <c r="H158" s="489"/>
      <c r="I158" s="489">
        <v>1900</v>
      </c>
      <c r="J158" s="489">
        <v>950</v>
      </c>
      <c r="K158" s="489"/>
      <c r="L158" s="489"/>
      <c r="M158" s="489"/>
      <c r="N158" s="489"/>
      <c r="O158" s="489"/>
      <c r="P158" s="489"/>
      <c r="Q158" s="489"/>
      <c r="R158" s="491"/>
    </row>
    <row r="159" spans="1:18" ht="17.100000000000001" customHeight="1" x14ac:dyDescent="0.25">
      <c r="A159" s="490" t="s">
        <v>724</v>
      </c>
      <c r="B159" s="490" t="str">
        <f>LEFT(Table6[[#This Row],[DATE]],4)</f>
        <v>1404</v>
      </c>
      <c r="C159" s="490" t="str">
        <f>MID(Table6[[#This Row],[DATE]],6,2)</f>
        <v>02</v>
      </c>
      <c r="D159" s="489"/>
      <c r="E159" s="489"/>
      <c r="F159" s="489"/>
      <c r="G159" s="489"/>
      <c r="H159" s="489"/>
      <c r="I159" s="489">
        <v>2000</v>
      </c>
      <c r="J159" s="489">
        <v>1000</v>
      </c>
      <c r="K159" s="489"/>
      <c r="L159" s="489"/>
      <c r="M159" s="489"/>
      <c r="N159" s="489"/>
      <c r="O159" s="489"/>
      <c r="P159" s="489"/>
      <c r="Q159" s="489"/>
      <c r="R159" s="491"/>
    </row>
    <row r="160" spans="1:18" ht="17.100000000000001" customHeight="1" x14ac:dyDescent="0.25">
      <c r="A160" s="490" t="s">
        <v>725</v>
      </c>
      <c r="B160" s="490" t="str">
        <f>LEFT(Table6[[#This Row],[DATE]],4)</f>
        <v>1404</v>
      </c>
      <c r="C160" s="490" t="str">
        <f>MID(Table6[[#This Row],[DATE]],6,2)</f>
        <v>02</v>
      </c>
      <c r="D160" s="489"/>
      <c r="E160" s="489"/>
      <c r="F160" s="489"/>
      <c r="G160" s="489"/>
      <c r="H160" s="489"/>
      <c r="I160" s="489">
        <v>4100</v>
      </c>
      <c r="J160" s="489">
        <v>2050</v>
      </c>
      <c r="K160" s="489">
        <v>2100</v>
      </c>
      <c r="L160" s="489"/>
      <c r="M160" s="489"/>
      <c r="N160" s="489"/>
      <c r="O160" s="489"/>
      <c r="P160" s="489"/>
      <c r="Q160" s="489"/>
      <c r="R160" s="491"/>
    </row>
    <row r="161" spans="1:18" ht="17.100000000000001" customHeight="1" x14ac:dyDescent="0.25">
      <c r="A161" s="490" t="s">
        <v>726</v>
      </c>
      <c r="B161" s="490" t="str">
        <f>LEFT(Table6[[#This Row],[DATE]],4)</f>
        <v>1404</v>
      </c>
      <c r="C161" s="490" t="str">
        <f>MID(Table6[[#This Row],[DATE]],6,2)</f>
        <v>02</v>
      </c>
      <c r="D161" s="489"/>
      <c r="E161" s="489"/>
      <c r="F161" s="489">
        <v>5150</v>
      </c>
      <c r="G161" s="489"/>
      <c r="H161" s="489"/>
      <c r="I161" s="489">
        <v>600</v>
      </c>
      <c r="J161" s="489">
        <v>300</v>
      </c>
      <c r="K161" s="489">
        <v>3000</v>
      </c>
      <c r="L161" s="489"/>
      <c r="M161" s="489"/>
      <c r="N161" s="489"/>
      <c r="O161" s="489"/>
      <c r="P161" s="489"/>
      <c r="Q161" s="489"/>
      <c r="R161" s="491"/>
    </row>
    <row r="162" spans="1:18" ht="17.100000000000001" customHeight="1" x14ac:dyDescent="0.25">
      <c r="A162" s="490" t="s">
        <v>727</v>
      </c>
      <c r="B162" s="490" t="str">
        <f>LEFT(Table6[[#This Row],[DATE]],4)</f>
        <v>1404</v>
      </c>
      <c r="C162" s="490" t="str">
        <f>MID(Table6[[#This Row],[DATE]],6,2)</f>
        <v>03</v>
      </c>
      <c r="D162" s="489"/>
      <c r="E162" s="489"/>
      <c r="F162" s="489">
        <v>1150</v>
      </c>
      <c r="G162" s="489"/>
      <c r="H162" s="489"/>
      <c r="I162" s="489">
        <v>1100</v>
      </c>
      <c r="J162" s="489">
        <v>550</v>
      </c>
      <c r="K162" s="489">
        <v>2700</v>
      </c>
      <c r="L162" s="489"/>
      <c r="M162" s="489"/>
      <c r="N162" s="489"/>
      <c r="O162" s="489"/>
      <c r="P162" s="489"/>
      <c r="Q162" s="489"/>
      <c r="R162" s="491"/>
    </row>
    <row r="163" spans="1:18" ht="17.100000000000001" customHeight="1" x14ac:dyDescent="0.25">
      <c r="A163" s="490" t="s">
        <v>729</v>
      </c>
      <c r="B163" s="490" t="str">
        <f>LEFT(Table6[[#This Row],[DATE]],4)</f>
        <v>1404</v>
      </c>
      <c r="C163" s="490" t="str">
        <f>MID(Table6[[#This Row],[DATE]],6,2)</f>
        <v>03</v>
      </c>
      <c r="D163" s="489"/>
      <c r="E163" s="489"/>
      <c r="F163" s="489">
        <v>3250</v>
      </c>
      <c r="G163" s="489"/>
      <c r="H163" s="489"/>
      <c r="I163" s="489">
        <v>2800</v>
      </c>
      <c r="J163" s="489">
        <v>1400</v>
      </c>
      <c r="K163" s="489">
        <v>4500</v>
      </c>
      <c r="L163" s="489"/>
      <c r="M163" s="489"/>
      <c r="N163" s="489"/>
      <c r="O163" s="489"/>
      <c r="P163" s="489"/>
      <c r="Q163" s="489"/>
      <c r="R163" s="491"/>
    </row>
    <row r="164" spans="1:18" ht="17.100000000000001" customHeight="1" x14ac:dyDescent="0.25">
      <c r="A164" s="490" t="s">
        <v>730</v>
      </c>
      <c r="B164" s="490" t="str">
        <f>LEFT(Table6[[#This Row],[DATE]],4)</f>
        <v>1404</v>
      </c>
      <c r="C164" s="490" t="str">
        <f>MID(Table6[[#This Row],[DATE]],6,2)</f>
        <v>03</v>
      </c>
      <c r="D164" s="489">
        <v>600</v>
      </c>
      <c r="E164" s="489">
        <v>300</v>
      </c>
      <c r="F164" s="489">
        <v>5350</v>
      </c>
      <c r="G164" s="489"/>
      <c r="H164" s="489">
        <v>440</v>
      </c>
      <c r="I164" s="489">
        <v>2600</v>
      </c>
      <c r="J164" s="489">
        <v>1300</v>
      </c>
      <c r="K164" s="489">
        <v>3300</v>
      </c>
      <c r="L164" s="489"/>
      <c r="M164" s="489"/>
      <c r="N164" s="489"/>
      <c r="O164" s="489"/>
      <c r="P164" s="489"/>
      <c r="Q164" s="489">
        <v>880</v>
      </c>
      <c r="R164" s="491"/>
    </row>
    <row r="165" spans="1:18" ht="17.100000000000001" customHeight="1" x14ac:dyDescent="0.25">
      <c r="A165" s="490" t="s">
        <v>731</v>
      </c>
      <c r="B165" s="490" t="str">
        <f>LEFT(Table6[[#This Row],[DATE]],4)</f>
        <v>1404</v>
      </c>
      <c r="C165" s="490" t="str">
        <f>MID(Table6[[#This Row],[DATE]],6,2)</f>
        <v>03</v>
      </c>
      <c r="D165" s="489">
        <v>1200</v>
      </c>
      <c r="E165" s="489">
        <v>600</v>
      </c>
      <c r="F165" s="489">
        <v>1800</v>
      </c>
      <c r="G165" s="489"/>
      <c r="H165" s="489">
        <v>960</v>
      </c>
      <c r="I165" s="489">
        <v>2900</v>
      </c>
      <c r="J165" s="489">
        <v>1450</v>
      </c>
      <c r="K165" s="489">
        <v>3000</v>
      </c>
      <c r="L165" s="489"/>
      <c r="M165" s="489"/>
      <c r="N165" s="489"/>
      <c r="O165" s="489"/>
      <c r="P165" s="489"/>
      <c r="Q165" s="489">
        <v>1920</v>
      </c>
      <c r="R165" s="491"/>
    </row>
    <row r="166" spans="1:18" ht="17.100000000000001" customHeight="1" x14ac:dyDescent="0.25">
      <c r="A166" s="490" t="s">
        <v>732</v>
      </c>
      <c r="B166" s="490" t="str">
        <f>LEFT(Table6[[#This Row],[DATE]],4)</f>
        <v>1404</v>
      </c>
      <c r="C166" s="490" t="str">
        <f>MID(Table6[[#This Row],[DATE]],6,2)</f>
        <v>03</v>
      </c>
      <c r="D166" s="489">
        <v>3400</v>
      </c>
      <c r="E166" s="489">
        <v>1700</v>
      </c>
      <c r="F166" s="489">
        <v>450</v>
      </c>
      <c r="G166" s="489"/>
      <c r="H166" s="489">
        <v>1760</v>
      </c>
      <c r="I166" s="489">
        <v>2900</v>
      </c>
      <c r="J166" s="489">
        <v>1450</v>
      </c>
      <c r="K166" s="489">
        <v>4800</v>
      </c>
      <c r="L166" s="489"/>
      <c r="M166" s="489"/>
      <c r="N166" s="489"/>
      <c r="O166" s="489"/>
      <c r="P166" s="489"/>
      <c r="Q166" s="489">
        <v>3520</v>
      </c>
      <c r="R166" s="491"/>
    </row>
    <row r="167" spans="1:18" ht="17.100000000000001" customHeight="1" x14ac:dyDescent="0.25">
      <c r="A167" s="490" t="s">
        <v>733</v>
      </c>
      <c r="B167" s="490" t="str">
        <f>LEFT(Table6[[#This Row],[DATE]],4)</f>
        <v>1404</v>
      </c>
      <c r="C167" s="490" t="str">
        <f>MID(Table6[[#This Row],[DATE]],6,2)</f>
        <v>03</v>
      </c>
      <c r="D167" s="489">
        <v>5400</v>
      </c>
      <c r="E167" s="489">
        <v>2700</v>
      </c>
      <c r="F167" s="489">
        <v>2550</v>
      </c>
      <c r="G167" s="489"/>
      <c r="H167" s="489">
        <v>950</v>
      </c>
      <c r="I167" s="489">
        <v>3600</v>
      </c>
      <c r="J167" s="489">
        <v>1800</v>
      </c>
      <c r="K167" s="489">
        <v>4200</v>
      </c>
      <c r="L167" s="489"/>
      <c r="M167" s="489"/>
      <c r="N167" s="489"/>
      <c r="O167" s="489"/>
      <c r="P167" s="489"/>
      <c r="Q167" s="489">
        <v>400</v>
      </c>
      <c r="R167" s="491">
        <v>1500</v>
      </c>
    </row>
    <row r="168" spans="1:18" ht="17.100000000000001" customHeight="1" x14ac:dyDescent="0.25">
      <c r="A168" s="490" t="s">
        <v>736</v>
      </c>
      <c r="B168" s="490" t="str">
        <f>LEFT(Table6[[#This Row],[DATE]],4)</f>
        <v>1404</v>
      </c>
      <c r="C168" s="490" t="str">
        <f>MID(Table6[[#This Row],[DATE]],6,2)</f>
        <v>03</v>
      </c>
      <c r="D168" s="489">
        <v>4600</v>
      </c>
      <c r="E168" s="489">
        <v>2300</v>
      </c>
      <c r="F168" s="489">
        <v>5700</v>
      </c>
      <c r="G168" s="489">
        <v>4800</v>
      </c>
      <c r="H168" s="489"/>
      <c r="I168" s="489">
        <v>1900</v>
      </c>
      <c r="J168" s="489">
        <v>950</v>
      </c>
      <c r="K168" s="489">
        <v>2400</v>
      </c>
      <c r="L168" s="489"/>
      <c r="M168" s="489"/>
      <c r="N168" s="489"/>
      <c r="O168" s="489"/>
      <c r="P168" s="489"/>
      <c r="Q168" s="489"/>
      <c r="R168" s="491"/>
    </row>
    <row r="169" spans="1:18" ht="17.100000000000001" customHeight="1" x14ac:dyDescent="0.25">
      <c r="A169" s="490" t="s">
        <v>737</v>
      </c>
      <c r="B169" s="490" t="str">
        <f>LEFT(Table6[[#This Row],[DATE]],4)</f>
        <v>1404</v>
      </c>
      <c r="C169" s="490" t="str">
        <f>MID(Table6[[#This Row],[DATE]],6,2)</f>
        <v>03</v>
      </c>
      <c r="D169" s="489">
        <v>3800</v>
      </c>
      <c r="E169" s="489">
        <v>2700</v>
      </c>
      <c r="F169" s="489">
        <v>1500</v>
      </c>
      <c r="G169" s="489">
        <v>4800</v>
      </c>
      <c r="H169" s="489"/>
      <c r="I169" s="489">
        <v>3600</v>
      </c>
      <c r="J169" s="489">
        <v>1800</v>
      </c>
      <c r="K169" s="489">
        <v>4800</v>
      </c>
      <c r="L169" s="489">
        <v>1600</v>
      </c>
      <c r="M169" s="489"/>
      <c r="N169" s="489"/>
      <c r="O169" s="489"/>
      <c r="P169" s="489"/>
      <c r="Q169" s="489"/>
      <c r="R169" s="491"/>
    </row>
    <row r="170" spans="1:18" ht="17.100000000000001" customHeight="1" x14ac:dyDescent="0.25">
      <c r="A170" s="490" t="s">
        <v>738</v>
      </c>
      <c r="B170" s="490" t="str">
        <f>LEFT(Table6[[#This Row],[DATE]],4)</f>
        <v>1404</v>
      </c>
      <c r="C170" s="490" t="str">
        <f>MID(Table6[[#This Row],[DATE]],6,2)</f>
        <v>03</v>
      </c>
      <c r="D170" s="489">
        <v>2000</v>
      </c>
      <c r="E170" s="489">
        <v>2400</v>
      </c>
      <c r="F170" s="489">
        <v>2400</v>
      </c>
      <c r="G170" s="489">
        <v>4200</v>
      </c>
      <c r="H170" s="489">
        <v>213</v>
      </c>
      <c r="I170" s="489">
        <v>3100</v>
      </c>
      <c r="J170" s="489">
        <v>1550</v>
      </c>
      <c r="K170" s="489">
        <v>6600</v>
      </c>
      <c r="L170" s="489">
        <v>2800</v>
      </c>
      <c r="M170" s="489"/>
      <c r="N170" s="489"/>
      <c r="O170" s="489"/>
      <c r="P170" s="489"/>
      <c r="Q170" s="489">
        <v>298</v>
      </c>
      <c r="R170" s="491">
        <v>128</v>
      </c>
    </row>
    <row r="171" spans="1:18" ht="17.100000000000001" customHeight="1" x14ac:dyDescent="0.25">
      <c r="A171" s="490" t="s">
        <v>744</v>
      </c>
      <c r="B171" s="490" t="str">
        <f>LEFT(Table6[[#This Row],[DATE]],4)</f>
        <v>1404</v>
      </c>
      <c r="C171" s="490" t="str">
        <f>MID(Table6[[#This Row],[DATE]],6,2)</f>
        <v>03</v>
      </c>
      <c r="D171" s="489"/>
      <c r="E171" s="489">
        <v>1300</v>
      </c>
      <c r="F171" s="489">
        <v>900</v>
      </c>
      <c r="G171" s="489"/>
      <c r="H171" s="489"/>
      <c r="I171" s="489"/>
      <c r="J171" s="489"/>
      <c r="K171" s="489">
        <v>7500</v>
      </c>
      <c r="L171" s="489">
        <v>2600</v>
      </c>
      <c r="M171" s="489"/>
      <c r="N171" s="489"/>
      <c r="O171" s="489"/>
      <c r="P171" s="489"/>
      <c r="Q171" s="489"/>
      <c r="R171" s="491"/>
    </row>
    <row r="172" spans="1:18" ht="17.100000000000001" customHeight="1" x14ac:dyDescent="0.25">
      <c r="A172" s="490" t="s">
        <v>745</v>
      </c>
      <c r="B172" s="490" t="str">
        <f>LEFT(Table6[[#This Row],[DATE]],4)</f>
        <v>1404</v>
      </c>
      <c r="C172" s="490" t="str">
        <f>MID(Table6[[#This Row],[DATE]],6,2)</f>
        <v>03</v>
      </c>
      <c r="D172" s="489">
        <v>2400</v>
      </c>
      <c r="E172" s="489">
        <v>2400</v>
      </c>
      <c r="F172" s="489">
        <v>3000</v>
      </c>
      <c r="G172" s="489"/>
      <c r="H172" s="489"/>
      <c r="I172" s="489">
        <v>1000</v>
      </c>
      <c r="J172" s="489">
        <v>500</v>
      </c>
      <c r="K172" s="489">
        <v>3600</v>
      </c>
      <c r="L172" s="489">
        <v>2400</v>
      </c>
      <c r="M172" s="489"/>
      <c r="N172" s="489"/>
      <c r="O172" s="489"/>
      <c r="P172" s="489"/>
      <c r="Q172" s="489"/>
      <c r="R172" s="491"/>
    </row>
    <row r="173" spans="1:18" ht="17.100000000000001" customHeight="1" x14ac:dyDescent="0.25">
      <c r="A173" s="490" t="s">
        <v>746</v>
      </c>
      <c r="B173" s="490" t="str">
        <f>LEFT(Table6[[#This Row],[DATE]],4)</f>
        <v>1404</v>
      </c>
      <c r="C173" s="490" t="str">
        <f>MID(Table6[[#This Row],[DATE]],6,2)</f>
        <v>03</v>
      </c>
      <c r="D173" s="489">
        <v>1800</v>
      </c>
      <c r="E173" s="489">
        <v>3200</v>
      </c>
      <c r="F173" s="489">
        <v>2100</v>
      </c>
      <c r="G173" s="489">
        <v>3400</v>
      </c>
      <c r="H173" s="489"/>
      <c r="I173" s="489">
        <v>4000</v>
      </c>
      <c r="J173" s="489">
        <v>2000</v>
      </c>
      <c r="K173" s="489">
        <v>3300</v>
      </c>
      <c r="L173" s="489">
        <v>4600</v>
      </c>
      <c r="M173" s="489"/>
      <c r="N173" s="489"/>
      <c r="O173" s="489"/>
      <c r="P173" s="489"/>
      <c r="Q173" s="489"/>
      <c r="R173" s="491"/>
    </row>
    <row r="174" spans="1:18" ht="17.100000000000001" customHeight="1" x14ac:dyDescent="0.25">
      <c r="A174" s="490" t="s">
        <v>758</v>
      </c>
      <c r="B174" s="490" t="str">
        <f>LEFT(Table6[[#This Row],[DATE]],4)</f>
        <v>1404</v>
      </c>
      <c r="C174" s="490" t="str">
        <f>MID(Table6[[#This Row],[DATE]],6,2)</f>
        <v>04</v>
      </c>
      <c r="D174" s="489"/>
      <c r="E174" s="489">
        <v>1900</v>
      </c>
      <c r="F174" s="489">
        <v>1500</v>
      </c>
      <c r="G174" s="489">
        <v>2800</v>
      </c>
      <c r="H174" s="489"/>
      <c r="I174" s="489">
        <v>9600</v>
      </c>
      <c r="J174" s="489">
        <v>4800</v>
      </c>
      <c r="K174" s="489">
        <v>4200</v>
      </c>
      <c r="L174" s="489">
        <v>3800</v>
      </c>
      <c r="M174" s="489"/>
      <c r="N174" s="489"/>
      <c r="O174" s="489"/>
      <c r="P174" s="489"/>
      <c r="Q174" s="489"/>
      <c r="R174" s="491"/>
    </row>
    <row r="175" spans="1:18" ht="17.100000000000001" customHeight="1" x14ac:dyDescent="0.25">
      <c r="A175" s="490" t="s">
        <v>759</v>
      </c>
      <c r="B175" s="490" t="str">
        <f>LEFT(Table6[[#This Row],[DATE]],4)</f>
        <v>1404</v>
      </c>
      <c r="C175" s="490" t="str">
        <f>MID(Table6[[#This Row],[DATE]],6,2)</f>
        <v>04</v>
      </c>
      <c r="D175" s="489"/>
      <c r="E175" s="489"/>
      <c r="F175" s="489">
        <v>600</v>
      </c>
      <c r="G175" s="489"/>
      <c r="H175" s="489"/>
      <c r="I175" s="489">
        <v>5200</v>
      </c>
      <c r="J175" s="489">
        <v>2600</v>
      </c>
      <c r="K175" s="489"/>
      <c r="L175" s="489"/>
      <c r="M175" s="489"/>
      <c r="N175" s="489"/>
      <c r="O175" s="489"/>
      <c r="P175" s="489"/>
      <c r="Q175" s="489"/>
      <c r="R175" s="491"/>
    </row>
    <row r="176" spans="1:18" ht="17.100000000000001" customHeight="1" x14ac:dyDescent="0.25">
      <c r="A176" s="490" t="s">
        <v>760</v>
      </c>
      <c r="B176" s="490" t="str">
        <f>LEFT(Table6[[#This Row],[DATE]],4)</f>
        <v>1404</v>
      </c>
      <c r="C176" s="490" t="str">
        <f>MID(Table6[[#This Row],[DATE]],6,2)</f>
        <v>04</v>
      </c>
      <c r="D176" s="489"/>
      <c r="E176" s="489">
        <v>1300</v>
      </c>
      <c r="F176" s="489">
        <v>300</v>
      </c>
      <c r="G176" s="489"/>
      <c r="H176" s="489"/>
      <c r="I176" s="489">
        <v>5400</v>
      </c>
      <c r="J176" s="489">
        <v>2700</v>
      </c>
      <c r="K176" s="489"/>
      <c r="L176" s="489">
        <v>2600</v>
      </c>
      <c r="M176" s="489"/>
      <c r="N176" s="489"/>
      <c r="O176" s="489"/>
      <c r="P176" s="489"/>
      <c r="Q176" s="489"/>
      <c r="R176" s="491"/>
    </row>
    <row r="177" spans="1:18" ht="17.100000000000001" customHeight="1" x14ac:dyDescent="0.25">
      <c r="A177" s="490" t="s">
        <v>761</v>
      </c>
      <c r="B177" s="490" t="str">
        <f>LEFT(Table6[[#This Row],[DATE]],4)</f>
        <v>1404</v>
      </c>
      <c r="C177" s="490" t="str">
        <f>MID(Table6[[#This Row],[DATE]],6,2)</f>
        <v>04</v>
      </c>
      <c r="D177" s="489">
        <v>2400</v>
      </c>
      <c r="E177" s="489">
        <v>2150</v>
      </c>
      <c r="F177" s="489"/>
      <c r="G177" s="489"/>
      <c r="H177" s="489"/>
      <c r="I177" s="489">
        <v>10400</v>
      </c>
      <c r="J177" s="489">
        <v>5200</v>
      </c>
      <c r="K177" s="489"/>
      <c r="L177" s="489">
        <v>1900</v>
      </c>
      <c r="M177" s="489"/>
      <c r="N177" s="489"/>
      <c r="O177" s="489"/>
      <c r="P177" s="489"/>
      <c r="Q177" s="489"/>
      <c r="R177" s="491"/>
    </row>
    <row r="178" spans="1:18" ht="17.100000000000001" customHeight="1" x14ac:dyDescent="0.25">
      <c r="A178" s="490" t="s">
        <v>764</v>
      </c>
      <c r="B178" s="490" t="str">
        <f>LEFT(Table6[[#This Row],[DATE]],4)</f>
        <v>1404</v>
      </c>
      <c r="C178" s="490" t="str">
        <f>MID(Table6[[#This Row],[DATE]],6,2)</f>
        <v>04</v>
      </c>
      <c r="D178" s="489">
        <v>4000</v>
      </c>
      <c r="E178" s="489">
        <v>2400</v>
      </c>
      <c r="F178" s="489"/>
      <c r="G178" s="489"/>
      <c r="H178" s="489"/>
      <c r="I178" s="489">
        <v>5800</v>
      </c>
      <c r="J178" s="489">
        <v>2900</v>
      </c>
      <c r="K178" s="489"/>
      <c r="L178" s="489">
        <v>800</v>
      </c>
      <c r="M178" s="489"/>
      <c r="N178" s="489"/>
      <c r="O178" s="489"/>
      <c r="P178" s="489"/>
      <c r="Q178" s="489"/>
      <c r="R178" s="491"/>
    </row>
    <row r="179" spans="1:18" ht="17.100000000000001" customHeight="1" x14ac:dyDescent="0.25">
      <c r="A179" s="490" t="s">
        <v>765</v>
      </c>
      <c r="B179" s="490" t="str">
        <f>LEFT(Table6[[#This Row],[DATE]],4)</f>
        <v>1404</v>
      </c>
      <c r="C179" s="490" t="str">
        <f>MID(Table6[[#This Row],[DATE]],6,2)</f>
        <v>04</v>
      </c>
      <c r="D179" s="489">
        <v>1800</v>
      </c>
      <c r="E179" s="489">
        <v>1150</v>
      </c>
      <c r="F179" s="489"/>
      <c r="G179" s="489">
        <v>400</v>
      </c>
      <c r="H179" s="489"/>
      <c r="I179" s="489">
        <v>4500</v>
      </c>
      <c r="J179" s="489">
        <v>2250</v>
      </c>
      <c r="K179" s="489">
        <v>2100</v>
      </c>
      <c r="L179" s="489">
        <v>500</v>
      </c>
      <c r="M179" s="489"/>
      <c r="N179" s="489"/>
      <c r="O179" s="489"/>
      <c r="P179" s="489"/>
      <c r="Q179" s="489"/>
      <c r="R179" s="491"/>
    </row>
    <row r="180" spans="1:18" ht="17.100000000000001" customHeight="1" x14ac:dyDescent="0.25">
      <c r="A180" s="490" t="s">
        <v>766</v>
      </c>
      <c r="B180" s="490" t="str">
        <f>LEFT(Table6[[#This Row],[DATE]],4)</f>
        <v>1404</v>
      </c>
      <c r="C180" s="490" t="str">
        <f>MID(Table6[[#This Row],[DATE]],6,2)</f>
        <v>04</v>
      </c>
      <c r="D180" s="489">
        <v>1600</v>
      </c>
      <c r="E180" s="489">
        <v>800</v>
      </c>
      <c r="F180" s="489"/>
      <c r="G180" s="489">
        <v>400</v>
      </c>
      <c r="H180" s="489"/>
      <c r="I180" s="489">
        <v>3000</v>
      </c>
      <c r="J180" s="489">
        <v>1500</v>
      </c>
      <c r="K180" s="489">
        <v>1200</v>
      </c>
      <c r="L180" s="489"/>
      <c r="M180" s="489"/>
      <c r="N180" s="489"/>
      <c r="O180" s="489"/>
      <c r="P180" s="489"/>
      <c r="Q180" s="489"/>
      <c r="R180" s="491"/>
    </row>
    <row r="181" spans="1:18" ht="17.100000000000001" customHeight="1" x14ac:dyDescent="0.25">
      <c r="A181" s="490" t="s">
        <v>767</v>
      </c>
      <c r="B181" s="490" t="str">
        <f>LEFT(Table6[[#This Row],[DATE]],4)</f>
        <v>1404</v>
      </c>
      <c r="C181" s="490" t="str">
        <f>MID(Table6[[#This Row],[DATE]],6,2)</f>
        <v>04</v>
      </c>
      <c r="D181" s="489">
        <v>400</v>
      </c>
      <c r="E181" s="489">
        <v>219</v>
      </c>
      <c r="F181" s="489">
        <v>1200</v>
      </c>
      <c r="G181" s="489"/>
      <c r="H181" s="489">
        <v>1024</v>
      </c>
      <c r="I181" s="489">
        <v>6800</v>
      </c>
      <c r="J181" s="489">
        <v>2412</v>
      </c>
      <c r="K181" s="489">
        <v>1200</v>
      </c>
      <c r="L181" s="489">
        <v>76</v>
      </c>
      <c r="M181" s="489">
        <v>14</v>
      </c>
      <c r="N181" s="489"/>
      <c r="O181" s="489">
        <v>44</v>
      </c>
      <c r="P181" s="489"/>
      <c r="Q181" s="489"/>
      <c r="R181" s="491">
        <v>4</v>
      </c>
    </row>
    <row r="182" spans="1:18" ht="17.100000000000001" customHeight="1" x14ac:dyDescent="0.25">
      <c r="A182" s="490" t="s">
        <v>768</v>
      </c>
      <c r="B182" s="490" t="str">
        <f>LEFT(Table6[[#This Row],[DATE]],4)</f>
        <v>1404</v>
      </c>
      <c r="C182" s="490" t="str">
        <f>MID(Table6[[#This Row],[DATE]],6,2)</f>
        <v>04</v>
      </c>
      <c r="D182" s="489">
        <v>3400</v>
      </c>
      <c r="E182" s="489">
        <v>1700</v>
      </c>
      <c r="F182" s="489">
        <v>1050</v>
      </c>
      <c r="G182" s="489"/>
      <c r="H182" s="489">
        <v>600</v>
      </c>
      <c r="I182" s="489">
        <v>3500</v>
      </c>
      <c r="J182" s="489">
        <v>1150</v>
      </c>
      <c r="K182" s="489">
        <v>600</v>
      </c>
      <c r="L182" s="489"/>
      <c r="M182" s="489"/>
      <c r="N182" s="489"/>
      <c r="O182" s="489"/>
      <c r="P182" s="489"/>
      <c r="Q182" s="489"/>
      <c r="R182" s="491"/>
    </row>
    <row r="183" spans="1:18" ht="17.100000000000001" customHeight="1" x14ac:dyDescent="0.25">
      <c r="A183" s="490" t="s">
        <v>773</v>
      </c>
      <c r="B183" s="490" t="str">
        <f>LEFT(Table6[[#This Row],[DATE]],4)</f>
        <v>1404</v>
      </c>
      <c r="C183" s="490" t="str">
        <f>MID(Table6[[#This Row],[DATE]],6,2)</f>
        <v>04</v>
      </c>
      <c r="D183" s="489">
        <v>2400</v>
      </c>
      <c r="E183" s="489">
        <v>1200</v>
      </c>
      <c r="F183" s="489"/>
      <c r="G183" s="489"/>
      <c r="H183" s="489"/>
      <c r="I183" s="489">
        <v>3000</v>
      </c>
      <c r="J183" s="489">
        <v>1500</v>
      </c>
      <c r="K183" s="489"/>
      <c r="L183" s="489"/>
      <c r="M183" s="489"/>
      <c r="N183" s="489"/>
      <c r="O183" s="489"/>
      <c r="P183" s="489"/>
      <c r="Q183" s="489"/>
      <c r="R183" s="491"/>
    </row>
    <row r="184" spans="1:18" ht="17.100000000000001" customHeight="1" x14ac:dyDescent="0.25">
      <c r="A184" s="490" t="s">
        <v>774</v>
      </c>
      <c r="B184" s="490" t="str">
        <f>LEFT(Table6[[#This Row],[DATE]],4)</f>
        <v>1404</v>
      </c>
      <c r="C184" s="490" t="str">
        <f>MID(Table6[[#This Row],[DATE]],6,2)</f>
        <v>04</v>
      </c>
      <c r="D184" s="489">
        <v>2600</v>
      </c>
      <c r="E184" s="489">
        <v>1300</v>
      </c>
      <c r="F184" s="489"/>
      <c r="G184" s="489"/>
      <c r="H184" s="489">
        <v>800</v>
      </c>
      <c r="I184" s="489">
        <v>4000</v>
      </c>
      <c r="J184" s="489">
        <v>1200</v>
      </c>
      <c r="K184" s="489">
        <v>1200</v>
      </c>
      <c r="L184" s="489"/>
      <c r="M184" s="489"/>
      <c r="N184" s="489"/>
      <c r="O184" s="489"/>
      <c r="P184" s="489"/>
      <c r="Q184" s="489"/>
      <c r="R184" s="491"/>
    </row>
    <row r="185" spans="1:18" ht="17.100000000000001" customHeight="1" x14ac:dyDescent="0.25">
      <c r="A185" s="490" t="s">
        <v>775</v>
      </c>
      <c r="B185" s="490" t="str">
        <f>LEFT(Table6[[#This Row],[DATE]],4)</f>
        <v>1404</v>
      </c>
      <c r="C185" s="490" t="str">
        <f>MID(Table6[[#This Row],[DATE]],6,2)</f>
        <v>04</v>
      </c>
      <c r="D185" s="489">
        <v>400</v>
      </c>
      <c r="E185" s="489">
        <v>200</v>
      </c>
      <c r="F185" s="489">
        <v>2600</v>
      </c>
      <c r="G185" s="489"/>
      <c r="H185" s="489"/>
      <c r="I185" s="489">
        <v>3600</v>
      </c>
      <c r="J185" s="489">
        <v>1800</v>
      </c>
      <c r="K185" s="489"/>
      <c r="L185" s="489"/>
      <c r="M185" s="489"/>
      <c r="N185" s="489"/>
      <c r="O185" s="489"/>
      <c r="P185" s="489"/>
      <c r="Q185" s="489"/>
      <c r="R185" s="491"/>
    </row>
    <row r="186" spans="1:18" ht="17.100000000000001" customHeight="1" x14ac:dyDescent="0.25">
      <c r="A186" s="490" t="s">
        <v>778</v>
      </c>
      <c r="B186" s="490" t="str">
        <f>LEFT(Table6[[#This Row],[DATE]],4)</f>
        <v>1404</v>
      </c>
      <c r="C186" s="490" t="str">
        <f>MID(Table6[[#This Row],[DATE]],6,2)</f>
        <v>04</v>
      </c>
      <c r="D186" s="489"/>
      <c r="E186" s="489"/>
      <c r="F186" s="489">
        <v>1000</v>
      </c>
      <c r="G186" s="489"/>
      <c r="H186" s="489">
        <v>600</v>
      </c>
      <c r="I186" s="489">
        <v>5300</v>
      </c>
      <c r="J186" s="489">
        <v>2050</v>
      </c>
      <c r="K186" s="489">
        <v>2400</v>
      </c>
      <c r="L186" s="489"/>
      <c r="M186" s="489"/>
      <c r="N186" s="489"/>
      <c r="O186" s="489"/>
      <c r="P186" s="489"/>
      <c r="Q186" s="489"/>
      <c r="R186" s="491"/>
    </row>
    <row r="187" spans="1:18" ht="17.100000000000001" customHeight="1" x14ac:dyDescent="0.25">
      <c r="A187" s="490" t="s">
        <v>779</v>
      </c>
      <c r="B187" s="490" t="str">
        <f>LEFT(Table6[[#This Row],[DATE]],4)</f>
        <v>1404</v>
      </c>
      <c r="C187" s="490" t="str">
        <f>MID(Table6[[#This Row],[DATE]],6,2)</f>
        <v>04</v>
      </c>
      <c r="D187" s="489"/>
      <c r="E187" s="489"/>
      <c r="F187" s="489">
        <v>1000</v>
      </c>
      <c r="G187" s="489"/>
      <c r="H187" s="489">
        <v>800</v>
      </c>
      <c r="I187" s="489">
        <v>1600</v>
      </c>
      <c r="J187" s="489"/>
      <c r="K187" s="489">
        <v>2400</v>
      </c>
      <c r="L187" s="489"/>
      <c r="M187" s="489"/>
      <c r="N187" s="489"/>
      <c r="O187" s="489"/>
      <c r="P187" s="489"/>
      <c r="Q187" s="489"/>
      <c r="R187" s="491"/>
    </row>
    <row r="188" spans="1:18" ht="17.100000000000001" customHeight="1" x14ac:dyDescent="0.25">
      <c r="A188" s="490" t="s">
        <v>780</v>
      </c>
      <c r="B188" s="490" t="str">
        <f>LEFT(Table6[[#This Row],[DATE]],4)</f>
        <v>1404</v>
      </c>
      <c r="C188" s="490" t="str">
        <f>MID(Table6[[#This Row],[DATE]],6,2)</f>
        <v>04</v>
      </c>
      <c r="D188" s="489"/>
      <c r="E188" s="489"/>
      <c r="F188" s="489">
        <v>700</v>
      </c>
      <c r="G188" s="489">
        <v>5200</v>
      </c>
      <c r="H188" s="489">
        <v>600</v>
      </c>
      <c r="I188" s="489">
        <v>1200</v>
      </c>
      <c r="J188" s="489"/>
      <c r="K188" s="489"/>
      <c r="L188" s="489"/>
      <c r="M188" s="489"/>
      <c r="N188" s="489"/>
      <c r="O188" s="489"/>
      <c r="P188" s="489"/>
      <c r="Q188" s="489"/>
      <c r="R188" s="491"/>
    </row>
    <row r="189" spans="1:18" ht="17.100000000000001" customHeight="1" x14ac:dyDescent="0.25">
      <c r="A189" s="490" t="s">
        <v>781</v>
      </c>
      <c r="B189" s="490" t="str">
        <f>LEFT(Table6[[#This Row],[DATE]],4)</f>
        <v>1404</v>
      </c>
      <c r="C189" s="490" t="str">
        <f>MID(Table6[[#This Row],[DATE]],6,2)</f>
        <v>04</v>
      </c>
      <c r="D189" s="489"/>
      <c r="E189" s="489">
        <v>1800</v>
      </c>
      <c r="F189" s="489"/>
      <c r="G189" s="489"/>
      <c r="H189" s="489">
        <v>600</v>
      </c>
      <c r="I189" s="489">
        <v>5700</v>
      </c>
      <c r="J189" s="489">
        <v>2250</v>
      </c>
      <c r="K189" s="489"/>
      <c r="L189" s="489">
        <v>3600</v>
      </c>
      <c r="M189" s="489"/>
      <c r="N189" s="489"/>
      <c r="O189" s="489"/>
      <c r="P189" s="489"/>
      <c r="Q189" s="489"/>
      <c r="R189" s="491"/>
    </row>
    <row r="190" spans="1:18" ht="17.100000000000001" customHeight="1" x14ac:dyDescent="0.25">
      <c r="A190" s="490" t="s">
        <v>782</v>
      </c>
      <c r="B190" s="490" t="str">
        <f>LEFT(Table6[[#This Row],[DATE]],4)</f>
        <v>1404</v>
      </c>
      <c r="C190" s="490" t="str">
        <f>MID(Table6[[#This Row],[DATE]],6,2)</f>
        <v>04</v>
      </c>
      <c r="D190" s="489">
        <v>600</v>
      </c>
      <c r="E190" s="489">
        <v>1500</v>
      </c>
      <c r="F190" s="489"/>
      <c r="G190" s="489"/>
      <c r="H190" s="489">
        <v>500</v>
      </c>
      <c r="I190" s="489">
        <v>2000</v>
      </c>
      <c r="J190" s="489">
        <v>500</v>
      </c>
      <c r="K190" s="489">
        <v>3300</v>
      </c>
      <c r="L190" s="489">
        <v>2400</v>
      </c>
      <c r="M190" s="489"/>
      <c r="N190" s="489"/>
      <c r="O190" s="489"/>
      <c r="P190" s="489"/>
      <c r="Q190" s="489"/>
      <c r="R190" s="491"/>
    </row>
    <row r="191" spans="1:18" ht="17.100000000000001" customHeight="1" x14ac:dyDescent="0.25">
      <c r="A191" s="490" t="s">
        <v>785</v>
      </c>
      <c r="B191" s="490" t="str">
        <f>LEFT(Table6[[#This Row],[DATE]],4)</f>
        <v>1404</v>
      </c>
      <c r="C191" s="490" t="str">
        <f>MID(Table6[[#This Row],[DATE]],6,2)</f>
        <v>04</v>
      </c>
      <c r="D191" s="489"/>
      <c r="E191" s="489"/>
      <c r="F191" s="489">
        <v>720</v>
      </c>
      <c r="G191" s="489">
        <v>4600</v>
      </c>
      <c r="H191" s="489">
        <v>950</v>
      </c>
      <c r="I191" s="489">
        <v>4300</v>
      </c>
      <c r="J191" s="489">
        <v>1200</v>
      </c>
      <c r="K191" s="489"/>
      <c r="L191" s="489"/>
      <c r="M191" s="489"/>
      <c r="N191" s="489"/>
      <c r="O191" s="489"/>
      <c r="P191" s="489"/>
      <c r="Q191" s="489"/>
      <c r="R191" s="491"/>
    </row>
    <row r="192" spans="1:18" ht="17.100000000000001" customHeight="1" x14ac:dyDescent="0.25">
      <c r="A192" s="490" t="s">
        <v>786</v>
      </c>
      <c r="B192" s="490" t="str">
        <f>LEFT(Table6[[#This Row],[DATE]],4)</f>
        <v>1404</v>
      </c>
      <c r="C192" s="490" t="str">
        <f>MID(Table6[[#This Row],[DATE]],6,2)</f>
        <v>04</v>
      </c>
      <c r="D192" s="489"/>
      <c r="E192" s="489"/>
      <c r="F192" s="489"/>
      <c r="G192" s="489"/>
      <c r="H192" s="489">
        <v>900</v>
      </c>
      <c r="I192" s="489"/>
      <c r="J192" s="489"/>
      <c r="K192" s="489"/>
      <c r="L192" s="489"/>
      <c r="M192" s="489"/>
      <c r="N192" s="489"/>
      <c r="O192" s="489"/>
      <c r="P192" s="489">
        <v>1800</v>
      </c>
      <c r="Q192" s="489"/>
      <c r="R192" s="491"/>
    </row>
    <row r="193" spans="1:18" ht="17.100000000000001" customHeight="1" x14ac:dyDescent="0.25">
      <c r="A193" s="490" t="s">
        <v>787</v>
      </c>
      <c r="B193" s="490" t="str">
        <f>LEFT(Table6[[#This Row],[DATE]],4)</f>
        <v>1404</v>
      </c>
      <c r="C193" s="490" t="str">
        <f>MID(Table6[[#This Row],[DATE]],6,2)</f>
        <v>04</v>
      </c>
      <c r="D193" s="489">
        <v>1800</v>
      </c>
      <c r="E193" s="489">
        <v>950</v>
      </c>
      <c r="F193" s="489">
        <v>400</v>
      </c>
      <c r="G193" s="489"/>
      <c r="H193" s="489">
        <v>650</v>
      </c>
      <c r="I193" s="489">
        <v>1300</v>
      </c>
      <c r="J193" s="489"/>
      <c r="K193" s="489"/>
      <c r="L193" s="489">
        <v>100</v>
      </c>
      <c r="M193" s="489"/>
      <c r="N193" s="489"/>
      <c r="O193" s="489"/>
      <c r="P193" s="489"/>
      <c r="Q193" s="489"/>
      <c r="R193" s="491"/>
    </row>
    <row r="194" spans="1:18" ht="17.100000000000001" customHeight="1" x14ac:dyDescent="0.25">
      <c r="A194" s="490" t="s">
        <v>788</v>
      </c>
      <c r="B194" s="490" t="str">
        <f>LEFT(Table6[[#This Row],[DATE]],4)</f>
        <v>1404</v>
      </c>
      <c r="C194" s="490" t="str">
        <f>MID(Table6[[#This Row],[DATE]],6,2)</f>
        <v>04</v>
      </c>
      <c r="D194" s="489">
        <v>800</v>
      </c>
      <c r="E194" s="489">
        <v>400</v>
      </c>
      <c r="F194" s="489">
        <v>1200</v>
      </c>
      <c r="G194" s="489"/>
      <c r="H194" s="489">
        <v>550</v>
      </c>
      <c r="I194" s="489">
        <v>1100</v>
      </c>
      <c r="J194" s="489"/>
      <c r="K194" s="489">
        <v>1500</v>
      </c>
      <c r="L194" s="489"/>
      <c r="M194" s="489"/>
      <c r="N194" s="489"/>
      <c r="O194" s="489"/>
      <c r="P194" s="489"/>
      <c r="Q194" s="489"/>
      <c r="R194" s="491"/>
    </row>
    <row r="195" spans="1:18" ht="17.100000000000001" customHeight="1" x14ac:dyDescent="0.25">
      <c r="A195" s="490" t="s">
        <v>789</v>
      </c>
      <c r="B195" s="490" t="str">
        <f>LEFT(Table6[[#This Row],[DATE]],4)</f>
        <v>1404</v>
      </c>
      <c r="C195" s="490" t="str">
        <f>MID(Table6[[#This Row],[DATE]],6,2)</f>
        <v>05</v>
      </c>
      <c r="D195" s="489">
        <v>600</v>
      </c>
      <c r="E195" s="489">
        <v>300</v>
      </c>
      <c r="F195" s="489">
        <v>2100</v>
      </c>
      <c r="G195" s="489"/>
      <c r="H195" s="489">
        <v>500</v>
      </c>
      <c r="I195" s="489"/>
      <c r="J195" s="489"/>
      <c r="K195" s="489">
        <v>2100</v>
      </c>
      <c r="L195" s="489"/>
      <c r="M195" s="489"/>
      <c r="N195" s="489"/>
      <c r="O195" s="489"/>
      <c r="P195" s="489">
        <v>1000</v>
      </c>
      <c r="Q195" s="489"/>
      <c r="R195" s="491"/>
    </row>
    <row r="196" spans="1:18" ht="17.100000000000001" customHeight="1" x14ac:dyDescent="0.25">
      <c r="A196" s="490" t="s">
        <v>792</v>
      </c>
      <c r="B196" s="490" t="str">
        <f>LEFT(Table6[[#This Row],[DATE]],4)</f>
        <v>1404</v>
      </c>
      <c r="C196" s="490" t="str">
        <f>MID(Table6[[#This Row],[DATE]],6,2)</f>
        <v>05</v>
      </c>
      <c r="D196" s="489"/>
      <c r="E196" s="489"/>
      <c r="F196" s="489">
        <v>2800</v>
      </c>
      <c r="G196" s="489"/>
      <c r="H196" s="489">
        <v>50</v>
      </c>
      <c r="I196" s="489">
        <v>614</v>
      </c>
      <c r="J196" s="489">
        <v>307</v>
      </c>
      <c r="K196" s="489"/>
      <c r="L196" s="489"/>
      <c r="M196" s="489"/>
      <c r="N196" s="489"/>
      <c r="O196" s="489"/>
      <c r="P196" s="489">
        <v>100</v>
      </c>
      <c r="Q196" s="489"/>
      <c r="R196" s="491"/>
    </row>
    <row r="197" spans="1:18" ht="17.100000000000001" customHeight="1" x14ac:dyDescent="0.25">
      <c r="A197" s="490" t="s">
        <v>793</v>
      </c>
      <c r="B197" s="490" t="str">
        <f>LEFT(Table6[[#This Row],[DATE]],4)</f>
        <v>1404</v>
      </c>
      <c r="C197" s="490" t="str">
        <f>MID(Table6[[#This Row],[DATE]],6,2)</f>
        <v>05</v>
      </c>
      <c r="D197" s="489"/>
      <c r="E197" s="489"/>
      <c r="F197" s="489">
        <v>1600</v>
      </c>
      <c r="G197" s="489">
        <v>1000</v>
      </c>
      <c r="H197" s="489"/>
      <c r="I197" s="489"/>
      <c r="J197" s="489"/>
      <c r="K197" s="489">
        <v>4800</v>
      </c>
      <c r="L197" s="489"/>
      <c r="M197" s="489"/>
      <c r="N197" s="489"/>
      <c r="O197" s="489"/>
      <c r="P197" s="489"/>
      <c r="Q197" s="489"/>
      <c r="R197" s="491"/>
    </row>
    <row r="198" spans="1:18" ht="17.100000000000001" customHeight="1" x14ac:dyDescent="0.25">
      <c r="A198" s="490" t="s">
        <v>794</v>
      </c>
      <c r="B198" s="490" t="str">
        <f>LEFT(Table6[[#This Row],[DATE]],4)</f>
        <v>1404</v>
      </c>
      <c r="C198" s="490" t="str">
        <f>MID(Table6[[#This Row],[DATE]],6,2)</f>
        <v>05</v>
      </c>
      <c r="D198" s="489"/>
      <c r="E198" s="489"/>
      <c r="F198" s="489">
        <v>1700</v>
      </c>
      <c r="G198" s="489">
        <v>1600</v>
      </c>
      <c r="H198" s="489">
        <v>850</v>
      </c>
      <c r="I198" s="489">
        <v>2800</v>
      </c>
      <c r="J198" s="489">
        <v>550</v>
      </c>
      <c r="K198" s="489">
        <v>1200</v>
      </c>
      <c r="L198" s="489"/>
      <c r="M198" s="489"/>
      <c r="N198" s="489"/>
      <c r="O198" s="489"/>
      <c r="P198" s="489"/>
      <c r="Q198" s="489"/>
      <c r="R198" s="491"/>
    </row>
    <row r="199" spans="1:18" ht="17.100000000000001" customHeight="1" x14ac:dyDescent="0.25">
      <c r="A199" s="490" t="s">
        <v>795</v>
      </c>
      <c r="B199" s="490" t="str">
        <f>LEFT(Table6[[#This Row],[DATE]],4)</f>
        <v>1404</v>
      </c>
      <c r="C199" s="490" t="str">
        <f>MID(Table6[[#This Row],[DATE]],6,2)</f>
        <v>05</v>
      </c>
      <c r="D199" s="489">
        <v>400</v>
      </c>
      <c r="E199" s="489">
        <v>200</v>
      </c>
      <c r="F199" s="489">
        <v>2200</v>
      </c>
      <c r="G199" s="489">
        <v>6400</v>
      </c>
      <c r="H199" s="489">
        <v>150</v>
      </c>
      <c r="I199" s="489">
        <v>300</v>
      </c>
      <c r="J199" s="489"/>
      <c r="K199" s="489"/>
      <c r="L199" s="489"/>
      <c r="M199" s="489"/>
      <c r="N199" s="489"/>
      <c r="O199" s="489"/>
      <c r="P199" s="489"/>
      <c r="Q199" s="489"/>
      <c r="R199" s="491"/>
    </row>
    <row r="200" spans="1:18" ht="17.100000000000001" customHeight="1" x14ac:dyDescent="0.25">
      <c r="A200" s="490" t="s">
        <v>796</v>
      </c>
      <c r="B200" s="490" t="str">
        <f>LEFT(Table6[[#This Row],[DATE]],4)</f>
        <v>1404</v>
      </c>
      <c r="C200" s="490" t="str">
        <f>MID(Table6[[#This Row],[DATE]],6,2)</f>
        <v>05</v>
      </c>
      <c r="D200" s="489"/>
      <c r="E200" s="489"/>
      <c r="F200" s="489">
        <v>1480</v>
      </c>
      <c r="G200" s="489">
        <v>200</v>
      </c>
      <c r="H200" s="489"/>
      <c r="I200" s="489">
        <v>1200</v>
      </c>
      <c r="J200" s="489">
        <v>600</v>
      </c>
      <c r="K200" s="489">
        <v>3000</v>
      </c>
      <c r="L200" s="489"/>
      <c r="M200" s="489"/>
      <c r="N200" s="489"/>
      <c r="O200" s="489"/>
      <c r="P200" s="489"/>
      <c r="Q200" s="489"/>
      <c r="R200" s="491"/>
    </row>
    <row r="201" spans="1:18" ht="17.100000000000001" customHeight="1" x14ac:dyDescent="0.25">
      <c r="A201" s="490" t="s">
        <v>799</v>
      </c>
      <c r="B201" s="490" t="str">
        <f>LEFT(Table6[[#This Row],[DATE]],4)</f>
        <v>1404</v>
      </c>
      <c r="C201" s="490" t="str">
        <f>MID(Table6[[#This Row],[DATE]],6,2)</f>
        <v>05</v>
      </c>
      <c r="D201" s="489"/>
      <c r="E201" s="489"/>
      <c r="F201" s="489">
        <v>300</v>
      </c>
      <c r="G201" s="489"/>
      <c r="H201" s="489">
        <v>350</v>
      </c>
      <c r="I201" s="489">
        <v>3700</v>
      </c>
      <c r="J201" s="489">
        <v>1850</v>
      </c>
      <c r="K201" s="489"/>
      <c r="L201" s="489"/>
      <c r="M201" s="489"/>
      <c r="N201" s="489"/>
      <c r="O201" s="489"/>
      <c r="P201" s="489">
        <v>700</v>
      </c>
      <c r="Q201" s="489"/>
      <c r="R201" s="491"/>
    </row>
    <row r="202" spans="1:18" ht="17.100000000000001" customHeight="1" x14ac:dyDescent="0.25">
      <c r="A202" s="490" t="s">
        <v>800</v>
      </c>
      <c r="B202" s="490" t="str">
        <f>LEFT(Table6[[#This Row],[DATE]],4)</f>
        <v>1404</v>
      </c>
      <c r="C202" s="490" t="str">
        <f>MID(Table6[[#This Row],[DATE]],6,2)</f>
        <v>05</v>
      </c>
      <c r="D202" s="489"/>
      <c r="E202" s="489"/>
      <c r="F202" s="489"/>
      <c r="G202" s="489">
        <v>346</v>
      </c>
      <c r="H202" s="489">
        <v>1014</v>
      </c>
      <c r="I202" s="489">
        <v>2828</v>
      </c>
      <c r="J202" s="489">
        <v>1200</v>
      </c>
      <c r="K202" s="489"/>
      <c r="L202" s="489"/>
      <c r="M202" s="489"/>
      <c r="N202" s="489"/>
      <c r="O202" s="489"/>
      <c r="P202" s="489">
        <v>1600</v>
      </c>
      <c r="Q202" s="489"/>
      <c r="R202" s="491"/>
    </row>
    <row r="203" spans="1:18" ht="17.100000000000001" customHeight="1" x14ac:dyDescent="0.25">
      <c r="A203" s="490" t="s">
        <v>801</v>
      </c>
      <c r="B203" s="490" t="str">
        <f>LEFT(Table6[[#This Row],[DATE]],4)</f>
        <v>1404</v>
      </c>
      <c r="C203" s="490" t="str">
        <f>MID(Table6[[#This Row],[DATE]],6,2)</f>
        <v>05</v>
      </c>
      <c r="D203" s="489"/>
      <c r="E203" s="489"/>
      <c r="F203" s="489"/>
      <c r="G203" s="489"/>
      <c r="H203" s="489">
        <v>500</v>
      </c>
      <c r="I203" s="489">
        <v>3400</v>
      </c>
      <c r="J203" s="489">
        <v>1700</v>
      </c>
      <c r="K203" s="489"/>
      <c r="L203" s="489"/>
      <c r="M203" s="489"/>
      <c r="N203" s="489"/>
      <c r="O203" s="489"/>
      <c r="P203" s="489">
        <v>1000</v>
      </c>
      <c r="Q203" s="489"/>
      <c r="R203" s="491"/>
    </row>
    <row r="204" spans="1:18" ht="17.100000000000001" customHeight="1" x14ac:dyDescent="0.25">
      <c r="A204" s="490" t="s">
        <v>802</v>
      </c>
      <c r="B204" s="490" t="str">
        <f>LEFT(Table6[[#This Row],[DATE]],4)</f>
        <v>1404</v>
      </c>
      <c r="C204" s="490" t="str">
        <f>MID(Table6[[#This Row],[DATE]],6,2)</f>
        <v>05</v>
      </c>
      <c r="D204" s="489"/>
      <c r="E204" s="489"/>
      <c r="F204" s="489"/>
      <c r="G204" s="489"/>
      <c r="H204" s="489">
        <v>600</v>
      </c>
      <c r="I204" s="489">
        <v>1700</v>
      </c>
      <c r="J204" s="489">
        <v>850</v>
      </c>
      <c r="K204" s="489"/>
      <c r="L204" s="489"/>
      <c r="M204" s="489"/>
      <c r="N204" s="489"/>
      <c r="O204" s="489"/>
      <c r="P204" s="489">
        <v>1200</v>
      </c>
      <c r="Q204" s="489"/>
      <c r="R204" s="491"/>
    </row>
    <row r="205" spans="1:18" ht="17.100000000000001" customHeight="1" x14ac:dyDescent="0.25">
      <c r="A205" s="490" t="s">
        <v>803</v>
      </c>
      <c r="B205" s="490" t="str">
        <f>LEFT(Table6[[#This Row],[DATE]],4)</f>
        <v>1404</v>
      </c>
      <c r="C205" s="490" t="str">
        <f>MID(Table6[[#This Row],[DATE]],6,2)</f>
        <v>05</v>
      </c>
      <c r="D205" s="489"/>
      <c r="E205" s="489"/>
      <c r="F205" s="489"/>
      <c r="G205" s="489"/>
      <c r="H205" s="489">
        <v>700</v>
      </c>
      <c r="I205" s="489"/>
      <c r="J205" s="489"/>
      <c r="K205" s="489">
        <v>750</v>
      </c>
      <c r="L205" s="489"/>
      <c r="M205" s="489"/>
      <c r="N205" s="489"/>
      <c r="O205" s="489"/>
      <c r="P205" s="489">
        <v>1400</v>
      </c>
      <c r="Q205" s="489"/>
      <c r="R205" s="491"/>
    </row>
    <row r="206" spans="1:18" ht="17.100000000000001" customHeight="1" x14ac:dyDescent="0.25">
      <c r="A206" s="490" t="s">
        <v>806</v>
      </c>
      <c r="B206" s="490" t="str">
        <f>LEFT(Table6[[#This Row],[DATE]],4)</f>
        <v>1404</v>
      </c>
      <c r="C206" s="490" t="str">
        <f>MID(Table6[[#This Row],[DATE]],6,2)</f>
        <v>05</v>
      </c>
      <c r="D206" s="489"/>
      <c r="E206" s="489"/>
      <c r="F206" s="489"/>
      <c r="G206" s="489"/>
      <c r="H206" s="489">
        <v>300</v>
      </c>
      <c r="I206" s="489">
        <v>1100</v>
      </c>
      <c r="J206" s="489">
        <v>550</v>
      </c>
      <c r="K206" s="489">
        <v>1800</v>
      </c>
      <c r="L206" s="489"/>
      <c r="M206" s="489"/>
      <c r="N206" s="489"/>
      <c r="O206" s="489"/>
      <c r="P206" s="489">
        <v>600</v>
      </c>
      <c r="Q206" s="489"/>
      <c r="R206" s="491"/>
    </row>
    <row r="207" spans="1:18" ht="17.100000000000001" customHeight="1" x14ac:dyDescent="0.25">
      <c r="A207" s="490" t="s">
        <v>807</v>
      </c>
      <c r="B207" s="490" t="str">
        <f>LEFT(Table6[[#This Row],[DATE]],4)</f>
        <v>1404</v>
      </c>
      <c r="C207" s="490" t="str">
        <f>MID(Table6[[#This Row],[DATE]],6,2)</f>
        <v>05</v>
      </c>
      <c r="D207" s="489"/>
      <c r="E207" s="489">
        <v>150</v>
      </c>
      <c r="F207" s="489"/>
      <c r="G207" s="489"/>
      <c r="H207" s="489">
        <v>1100</v>
      </c>
      <c r="I207" s="489">
        <v>600</v>
      </c>
      <c r="J207" s="489">
        <v>300</v>
      </c>
      <c r="K207" s="489"/>
      <c r="L207" s="489">
        <v>300</v>
      </c>
      <c r="M207" s="489"/>
      <c r="N207" s="489"/>
      <c r="O207" s="489"/>
      <c r="P207" s="489">
        <v>2200</v>
      </c>
      <c r="Q207" s="489"/>
      <c r="R207" s="491"/>
    </row>
    <row r="208" spans="1:18" ht="17.100000000000001" customHeight="1" x14ac:dyDescent="0.25">
      <c r="A208" s="490" t="s">
        <v>808</v>
      </c>
      <c r="B208" s="490" t="str">
        <f>LEFT(Table6[[#This Row],[DATE]],4)</f>
        <v>1404</v>
      </c>
      <c r="C208" s="490" t="str">
        <f>MID(Table6[[#This Row],[DATE]],6,2)</f>
        <v>05</v>
      </c>
      <c r="D208" s="489"/>
      <c r="E208" s="489"/>
      <c r="F208" s="489"/>
      <c r="G208" s="489"/>
      <c r="H208" s="489"/>
      <c r="I208" s="489">
        <v>3000</v>
      </c>
      <c r="J208" s="489">
        <v>1500</v>
      </c>
      <c r="K208" s="489">
        <v>150</v>
      </c>
      <c r="L208" s="489"/>
      <c r="M208" s="489"/>
      <c r="N208" s="489"/>
      <c r="O208" s="489"/>
      <c r="P208" s="489"/>
      <c r="Q208" s="489"/>
      <c r="R208" s="491"/>
    </row>
    <row r="209" spans="1:18" ht="17.100000000000001" customHeight="1" x14ac:dyDescent="0.25">
      <c r="A209" s="490" t="s">
        <v>809</v>
      </c>
      <c r="B209" s="490" t="str">
        <f>LEFT(Table6[[#This Row],[DATE]],4)</f>
        <v>1404</v>
      </c>
      <c r="C209" s="490" t="str">
        <f>MID(Table6[[#This Row],[DATE]],6,2)</f>
        <v>05</v>
      </c>
      <c r="D209" s="489"/>
      <c r="E209" s="489"/>
      <c r="F209" s="489"/>
      <c r="G209" s="489"/>
      <c r="H209" s="489">
        <v>500</v>
      </c>
      <c r="I209" s="489">
        <v>3000</v>
      </c>
      <c r="J209" s="489">
        <v>1500</v>
      </c>
      <c r="K209" s="489"/>
      <c r="L209" s="489"/>
      <c r="M209" s="489"/>
      <c r="N209" s="489"/>
      <c r="O209" s="489"/>
      <c r="P209" s="489">
        <v>1000</v>
      </c>
      <c r="Q209" s="489"/>
      <c r="R209" s="491"/>
    </row>
    <row r="210" spans="1:18" ht="17.100000000000001" customHeight="1" x14ac:dyDescent="0.25">
      <c r="A210" s="490" t="s">
        <v>810</v>
      </c>
      <c r="B210" s="490" t="str">
        <f>LEFT(Table6[[#This Row],[DATE]],4)</f>
        <v>1404</v>
      </c>
      <c r="C210" s="490" t="str">
        <f>MID(Table6[[#This Row],[DATE]],6,2)</f>
        <v>05</v>
      </c>
      <c r="D210" s="489"/>
      <c r="E210" s="489"/>
      <c r="F210" s="489"/>
      <c r="G210" s="489"/>
      <c r="H210" s="489">
        <v>600</v>
      </c>
      <c r="I210" s="489">
        <v>3000</v>
      </c>
      <c r="J210" s="489">
        <v>1500</v>
      </c>
      <c r="K210" s="489"/>
      <c r="L210" s="489"/>
      <c r="M210" s="489"/>
      <c r="N210" s="489"/>
      <c r="O210" s="489"/>
      <c r="P210" s="489">
        <v>1200</v>
      </c>
      <c r="Q210" s="489"/>
      <c r="R210" s="491"/>
    </row>
    <row r="211" spans="1:18" ht="17.100000000000001" customHeight="1" x14ac:dyDescent="0.25">
      <c r="A211" s="490" t="s">
        <v>813</v>
      </c>
      <c r="B211" s="490" t="str">
        <f>LEFT(Table6[[#This Row],[DATE]],4)</f>
        <v>1404</v>
      </c>
      <c r="C211" s="490" t="str">
        <f>MID(Table6[[#This Row],[DATE]],6,2)</f>
        <v>05</v>
      </c>
      <c r="D211" s="489"/>
      <c r="E211" s="489"/>
      <c r="F211" s="489"/>
      <c r="G211" s="489"/>
      <c r="H211" s="489"/>
      <c r="I211" s="489">
        <v>6000</v>
      </c>
      <c r="J211" s="489">
        <v>3000</v>
      </c>
      <c r="K211" s="489"/>
      <c r="L211" s="489"/>
      <c r="M211" s="489"/>
      <c r="N211" s="489"/>
      <c r="O211" s="489"/>
      <c r="P211" s="489"/>
      <c r="Q211" s="489"/>
      <c r="R211" s="491"/>
    </row>
    <row r="212" spans="1:18" ht="17.100000000000001" customHeight="1" x14ac:dyDescent="0.25">
      <c r="A212" s="490" t="s">
        <v>814</v>
      </c>
      <c r="B212" s="490" t="str">
        <f>LEFT(Table6[[#This Row],[DATE]],4)</f>
        <v>1404</v>
      </c>
      <c r="C212" s="490" t="str">
        <f>MID(Table6[[#This Row],[DATE]],6,2)</f>
        <v>05</v>
      </c>
      <c r="D212" s="489"/>
      <c r="E212" s="489"/>
      <c r="F212" s="489">
        <v>950</v>
      </c>
      <c r="G212" s="489"/>
      <c r="H212" s="489">
        <v>700</v>
      </c>
      <c r="I212" s="489"/>
      <c r="J212" s="489"/>
      <c r="K212" s="489"/>
      <c r="L212" s="489"/>
      <c r="M212" s="489"/>
      <c r="N212" s="489"/>
      <c r="O212" s="489"/>
      <c r="P212" s="489">
        <v>1400</v>
      </c>
      <c r="Q212" s="489"/>
      <c r="R212" s="491"/>
    </row>
    <row r="213" spans="1:18" ht="17.100000000000001" customHeight="1" x14ac:dyDescent="0.25">
      <c r="A213" s="490" t="s">
        <v>815</v>
      </c>
      <c r="B213" s="490" t="str">
        <f>LEFT(Table6[[#This Row],[DATE]],4)</f>
        <v>1404</v>
      </c>
      <c r="C213" s="490" t="str">
        <f>MID(Table6[[#This Row],[DATE]],6,2)</f>
        <v>05</v>
      </c>
      <c r="D213" s="489"/>
      <c r="E213" s="489"/>
      <c r="F213" s="489"/>
      <c r="G213" s="489"/>
      <c r="H213" s="489">
        <v>800</v>
      </c>
      <c r="I213" s="489">
        <v>1400</v>
      </c>
      <c r="J213" s="489">
        <v>700</v>
      </c>
      <c r="K213" s="489"/>
      <c r="L213" s="489"/>
      <c r="M213" s="489"/>
      <c r="N213" s="489"/>
      <c r="O213" s="489"/>
      <c r="P213" s="489">
        <v>1600</v>
      </c>
      <c r="Q213" s="489"/>
      <c r="R213" s="491"/>
    </row>
    <row r="214" spans="1:18" ht="17.100000000000001" customHeight="1" x14ac:dyDescent="0.25">
      <c r="A214" s="490" t="s">
        <v>816</v>
      </c>
      <c r="B214" s="490" t="str">
        <f>LEFT(Table6[[#This Row],[DATE]],4)</f>
        <v>1404</v>
      </c>
      <c r="C214" s="490" t="str">
        <f>MID(Table6[[#This Row],[DATE]],6,2)</f>
        <v>05</v>
      </c>
      <c r="D214" s="489"/>
      <c r="E214" s="489"/>
      <c r="F214" s="489"/>
      <c r="G214" s="489"/>
      <c r="H214" s="489">
        <v>50</v>
      </c>
      <c r="I214" s="489">
        <v>4400</v>
      </c>
      <c r="J214" s="489">
        <v>2200</v>
      </c>
      <c r="K214" s="489"/>
      <c r="L214" s="489"/>
      <c r="M214" s="489"/>
      <c r="N214" s="489"/>
      <c r="O214" s="489"/>
      <c r="P214" s="489">
        <v>100</v>
      </c>
      <c r="Q214" s="489"/>
      <c r="R214" s="491"/>
    </row>
    <row r="215" spans="1:18" ht="17.100000000000001" customHeight="1" x14ac:dyDescent="0.25">
      <c r="A215" s="490" t="s">
        <v>817</v>
      </c>
      <c r="B215" s="490" t="str">
        <f>LEFT(Table6[[#This Row],[DATE]],4)</f>
        <v>1404</v>
      </c>
      <c r="C215" s="490" t="str">
        <f>MID(Table6[[#This Row],[DATE]],6,2)</f>
        <v>05</v>
      </c>
      <c r="D215" s="489"/>
      <c r="E215" s="489"/>
      <c r="F215" s="489">
        <v>1520</v>
      </c>
      <c r="G215" s="489"/>
      <c r="H215" s="489"/>
      <c r="I215" s="489"/>
      <c r="J215" s="489"/>
      <c r="K215" s="489"/>
      <c r="L215" s="489"/>
      <c r="M215" s="489"/>
      <c r="N215" s="489"/>
      <c r="O215" s="489"/>
      <c r="P215" s="489"/>
      <c r="Q215" s="489"/>
      <c r="R215" s="491"/>
    </row>
    <row r="216" spans="1:18" ht="17.100000000000001" customHeight="1" x14ac:dyDescent="0.25">
      <c r="A216" s="490" t="s">
        <v>820</v>
      </c>
      <c r="B216" s="490" t="str">
        <f>LEFT(Table6[[#This Row],[DATE]],4)</f>
        <v>1404</v>
      </c>
      <c r="C216" s="490" t="str">
        <f>MID(Table6[[#This Row],[DATE]],6,2)</f>
        <v>06</v>
      </c>
      <c r="D216" s="489"/>
      <c r="E216" s="489"/>
      <c r="F216" s="489">
        <v>3000</v>
      </c>
      <c r="G216" s="489"/>
      <c r="H216" s="489"/>
      <c r="I216" s="489"/>
      <c r="J216" s="489"/>
      <c r="K216" s="489">
        <v>300</v>
      </c>
      <c r="L216" s="489"/>
      <c r="M216" s="489"/>
      <c r="N216" s="489"/>
      <c r="O216" s="489"/>
      <c r="P216" s="489"/>
      <c r="Q216" s="489"/>
      <c r="R216" s="491"/>
    </row>
    <row r="217" spans="1:18" ht="17.100000000000001" customHeight="1" x14ac:dyDescent="0.25">
      <c r="A217" s="490" t="s">
        <v>822</v>
      </c>
      <c r="B217" s="490" t="str">
        <f>LEFT(Table6[[#This Row],[DATE]],4)</f>
        <v>1404</v>
      </c>
      <c r="C217" s="490" t="str">
        <f>MID(Table6[[#This Row],[DATE]],6,2)</f>
        <v>06</v>
      </c>
      <c r="D217" s="489"/>
      <c r="E217" s="489"/>
      <c r="F217" s="489">
        <v>1150</v>
      </c>
      <c r="G217" s="489"/>
      <c r="H217" s="489"/>
      <c r="I217" s="489">
        <v>400</v>
      </c>
      <c r="J217" s="489">
        <v>200</v>
      </c>
      <c r="K217" s="489"/>
      <c r="L217" s="489"/>
      <c r="M217" s="489"/>
      <c r="N217" s="489"/>
      <c r="O217" s="489"/>
      <c r="P217" s="489"/>
      <c r="Q217" s="489"/>
      <c r="R217" s="491"/>
    </row>
    <row r="218" spans="1:18" ht="17.100000000000001" customHeight="1" x14ac:dyDescent="0.25">
      <c r="A218" s="490" t="s">
        <v>823</v>
      </c>
      <c r="B218" s="490" t="str">
        <f>LEFT(Table6[[#This Row],[DATE]],4)</f>
        <v>1404</v>
      </c>
      <c r="C218" s="490" t="str">
        <f>MID(Table6[[#This Row],[DATE]],6,2)</f>
        <v>06</v>
      </c>
      <c r="D218" s="489"/>
      <c r="E218" s="489"/>
      <c r="F218" s="489">
        <v>1750</v>
      </c>
      <c r="G218" s="489"/>
      <c r="H218" s="489"/>
      <c r="I218" s="489"/>
      <c r="J218" s="489"/>
      <c r="K218" s="489"/>
      <c r="L218" s="489"/>
      <c r="M218" s="489"/>
      <c r="N218" s="489"/>
      <c r="O218" s="489"/>
      <c r="P218" s="489"/>
      <c r="Q218" s="489"/>
      <c r="R218" s="491"/>
    </row>
    <row r="219" spans="1:18" ht="17.100000000000001" customHeight="1" x14ac:dyDescent="0.25">
      <c r="A219" s="490" t="s">
        <v>824</v>
      </c>
      <c r="B219" s="490" t="str">
        <f>LEFT(Table6[[#This Row],[DATE]],4)</f>
        <v>1404</v>
      </c>
      <c r="C219" s="490" t="str">
        <f>MID(Table6[[#This Row],[DATE]],6,2)</f>
        <v>06</v>
      </c>
      <c r="D219" s="489"/>
      <c r="E219" s="489"/>
      <c r="F219" s="489">
        <v>2450</v>
      </c>
      <c r="G219" s="489"/>
      <c r="H219" s="489"/>
      <c r="I219" s="489">
        <v>600</v>
      </c>
      <c r="J219" s="489">
        <v>300</v>
      </c>
      <c r="K219" s="489"/>
      <c r="L219" s="489"/>
      <c r="M219" s="489"/>
      <c r="N219" s="489"/>
      <c r="O219" s="489"/>
      <c r="P219" s="489"/>
      <c r="Q219" s="489"/>
      <c r="R219" s="491"/>
    </row>
    <row r="220" spans="1:18" ht="17.100000000000001" customHeight="1" x14ac:dyDescent="0.25">
      <c r="A220" s="490" t="s">
        <v>827</v>
      </c>
      <c r="B220" s="490" t="str">
        <f>LEFT(Table6[[#This Row],[DATE]],4)</f>
        <v>1404</v>
      </c>
      <c r="C220" s="490" t="str">
        <f>MID(Table6[[#This Row],[DATE]],6,2)</f>
        <v>06</v>
      </c>
      <c r="D220" s="489"/>
      <c r="E220" s="489"/>
      <c r="F220" s="489">
        <v>1900</v>
      </c>
      <c r="G220" s="489"/>
      <c r="H220" s="489">
        <v>50</v>
      </c>
      <c r="I220" s="489"/>
      <c r="J220" s="489"/>
      <c r="K220" s="489"/>
      <c r="L220" s="489"/>
      <c r="M220" s="489"/>
      <c r="N220" s="489"/>
      <c r="O220" s="489"/>
      <c r="P220" s="489">
        <v>100</v>
      </c>
      <c r="Q220" s="489"/>
      <c r="R220" s="491"/>
    </row>
    <row r="221" spans="1:18" ht="17.100000000000001" customHeight="1" x14ac:dyDescent="0.25">
      <c r="A221" s="490" t="s">
        <v>828</v>
      </c>
      <c r="B221" s="490" t="str">
        <f>LEFT(Table6[[#This Row],[DATE]],4)</f>
        <v>1404</v>
      </c>
      <c r="C221" s="490" t="str">
        <f>MID(Table6[[#This Row],[DATE]],6,2)</f>
        <v>06</v>
      </c>
      <c r="D221" s="489">
        <v>1600</v>
      </c>
      <c r="E221" s="489">
        <v>800</v>
      </c>
      <c r="F221" s="489">
        <v>3400</v>
      </c>
      <c r="G221" s="489"/>
      <c r="H221" s="489"/>
      <c r="I221" s="489"/>
      <c r="J221" s="489"/>
      <c r="K221" s="489"/>
      <c r="L221" s="489"/>
      <c r="M221" s="489"/>
      <c r="N221" s="489"/>
      <c r="O221" s="489"/>
      <c r="P221" s="489"/>
      <c r="Q221" s="489"/>
      <c r="R221" s="491"/>
    </row>
    <row r="222" spans="1:18" ht="17.100000000000001" customHeight="1" x14ac:dyDescent="0.25">
      <c r="A222" s="490" t="s">
        <v>830</v>
      </c>
      <c r="B222" s="490" t="str">
        <f>LEFT(Table6[[#This Row],[DATE]],4)</f>
        <v>1404</v>
      </c>
      <c r="C222" s="490" t="str">
        <f>MID(Table6[[#This Row],[DATE]],6,2)</f>
        <v>06</v>
      </c>
      <c r="D222" s="489">
        <v>1200</v>
      </c>
      <c r="E222" s="489">
        <v>600</v>
      </c>
      <c r="F222" s="489">
        <v>600</v>
      </c>
      <c r="G222" s="489"/>
      <c r="H222" s="489"/>
      <c r="I222" s="489">
        <v>3000</v>
      </c>
      <c r="J222" s="489">
        <v>1500</v>
      </c>
      <c r="K222" s="489"/>
      <c r="L222" s="489"/>
      <c r="M222" s="489"/>
      <c r="N222" s="489"/>
      <c r="O222" s="489"/>
      <c r="P222" s="489"/>
      <c r="Q222" s="489"/>
      <c r="R222" s="491"/>
    </row>
    <row r="223" spans="1:18" ht="17.100000000000001" customHeight="1" x14ac:dyDescent="0.25">
      <c r="A223" s="490" t="s">
        <v>831</v>
      </c>
      <c r="B223" s="490" t="str">
        <f>LEFT(Table6[[#This Row],[DATE]],4)</f>
        <v>1404</v>
      </c>
      <c r="C223" s="490" t="str">
        <f>MID(Table6[[#This Row],[DATE]],6,2)</f>
        <v>06</v>
      </c>
      <c r="D223" s="489"/>
      <c r="E223" s="489"/>
      <c r="F223" s="489">
        <v>3800</v>
      </c>
      <c r="G223" s="489"/>
      <c r="H223" s="489"/>
      <c r="I223" s="489"/>
      <c r="J223" s="489"/>
      <c r="K223" s="489"/>
      <c r="L223" s="489"/>
      <c r="M223" s="489"/>
      <c r="N223" s="489"/>
      <c r="O223" s="489"/>
      <c r="P223" s="489"/>
      <c r="Q223" s="489"/>
      <c r="R223" s="491"/>
    </row>
    <row r="224" spans="1:18" ht="17.100000000000001" customHeight="1" x14ac:dyDescent="0.25">
      <c r="A224" s="490" t="s">
        <v>834</v>
      </c>
      <c r="B224" s="490" t="str">
        <f>LEFT(Table6[[#This Row],[DATE]],4)</f>
        <v>1404</v>
      </c>
      <c r="C224" s="490" t="str">
        <f>MID(Table6[[#This Row],[DATE]],6,2)</f>
        <v>06</v>
      </c>
      <c r="D224" s="489">
        <v>600</v>
      </c>
      <c r="E224" s="489">
        <v>300</v>
      </c>
      <c r="F224" s="489">
        <v>3900</v>
      </c>
      <c r="G224" s="489"/>
      <c r="H224" s="489"/>
      <c r="I224" s="489">
        <v>1400</v>
      </c>
      <c r="J224" s="489">
        <v>700</v>
      </c>
      <c r="K224" s="489"/>
      <c r="L224" s="489"/>
      <c r="M224" s="489"/>
      <c r="N224" s="489"/>
      <c r="O224" s="489"/>
      <c r="P224" s="489"/>
      <c r="Q224" s="489"/>
      <c r="R224" s="491"/>
    </row>
    <row r="225" spans="1:18" ht="17.100000000000001" customHeight="1" x14ac:dyDescent="0.25">
      <c r="A225" s="490" t="s">
        <v>835</v>
      </c>
      <c r="B225" s="490" t="str">
        <f>LEFT(Table6[[#This Row],[DATE]],4)</f>
        <v>1404</v>
      </c>
      <c r="C225" s="490" t="str">
        <f>MID(Table6[[#This Row],[DATE]],6,2)</f>
        <v>06</v>
      </c>
      <c r="D225" s="489"/>
      <c r="E225" s="489"/>
      <c r="F225" s="489">
        <v>6600</v>
      </c>
      <c r="G225" s="489"/>
      <c r="H225" s="489"/>
      <c r="I225" s="489"/>
      <c r="J225" s="489"/>
      <c r="K225" s="489"/>
      <c r="L225" s="489"/>
      <c r="M225" s="489"/>
      <c r="N225" s="489"/>
      <c r="O225" s="489"/>
      <c r="P225" s="489"/>
      <c r="Q225" s="489"/>
      <c r="R225" s="491"/>
    </row>
    <row r="226" spans="1:18" ht="17.100000000000001" customHeight="1" x14ac:dyDescent="0.25">
      <c r="A226" s="495" t="s">
        <v>836</v>
      </c>
      <c r="B226" s="495" t="str">
        <f>LEFT(Table6[[#This Row],[DATE]],4)</f>
        <v>1404</v>
      </c>
      <c r="C226" s="495" t="str">
        <f>MID(Table6[[#This Row],[DATE]],6,2)</f>
        <v>06</v>
      </c>
      <c r="D226" s="496">
        <v>200</v>
      </c>
      <c r="E226" s="496">
        <v>100</v>
      </c>
      <c r="F226" s="496">
        <v>5650</v>
      </c>
      <c r="G226" s="496"/>
      <c r="H226" s="496"/>
      <c r="I226" s="496"/>
      <c r="J226" s="496"/>
      <c r="K226" s="496"/>
      <c r="L226" s="496"/>
      <c r="M226" s="496"/>
      <c r="N226" s="496"/>
      <c r="O226" s="496"/>
      <c r="P226" s="496"/>
      <c r="Q226" s="496"/>
      <c r="R226" s="497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F132-5E5E-4362-842E-E2802242AE9F}">
  <sheetPr codeName="Sheet4"/>
  <dimension ref="A1:L45"/>
  <sheetViews>
    <sheetView workbookViewId="0">
      <pane ySplit="1" topLeftCell="A2" activePane="bottomLeft" state="frozen"/>
      <selection pane="bottomLeft" activeCell="B3" sqref="B3"/>
    </sheetView>
  </sheetViews>
  <sheetFormatPr defaultColWidth="20.7109375" defaultRowHeight="15" x14ac:dyDescent="0.25"/>
  <cols>
    <col min="1" max="16384" width="20.7109375" style="194"/>
  </cols>
  <sheetData>
    <row r="1" spans="1:12" ht="39.950000000000003" customHeight="1" x14ac:dyDescent="0.25"/>
    <row r="2" spans="1:12" x14ac:dyDescent="0.25">
      <c r="A2" s="281"/>
      <c r="B2" s="281" t="s">
        <v>834</v>
      </c>
      <c r="C2" s="281" t="s">
        <v>839</v>
      </c>
      <c r="D2" s="281"/>
      <c r="E2" s="281"/>
      <c r="F2" s="281"/>
      <c r="G2" s="281"/>
      <c r="H2" s="281"/>
      <c r="I2" s="275"/>
      <c r="J2" s="275"/>
      <c r="K2" s="275"/>
      <c r="L2" s="275"/>
    </row>
    <row r="3" spans="1:12" x14ac:dyDescent="0.25">
      <c r="A3" s="281">
        <v>140310007</v>
      </c>
      <c r="B3" s="467">
        <v>1000</v>
      </c>
      <c r="C3" s="467">
        <v>800</v>
      </c>
      <c r="D3" s="467"/>
      <c r="E3" s="467"/>
      <c r="F3" s="467"/>
      <c r="G3" s="281"/>
      <c r="H3" s="281"/>
      <c r="I3" s="275"/>
      <c r="J3" s="275"/>
      <c r="K3" s="275"/>
      <c r="L3" s="275"/>
    </row>
    <row r="4" spans="1:12" x14ac:dyDescent="0.25">
      <c r="A4" s="281"/>
      <c r="B4" s="467"/>
      <c r="C4" s="467"/>
      <c r="D4" s="467"/>
      <c r="E4" s="467"/>
      <c r="F4" s="467"/>
      <c r="G4" s="281"/>
      <c r="H4" s="281"/>
      <c r="I4" s="275"/>
      <c r="J4" s="275"/>
      <c r="K4" s="275"/>
      <c r="L4" s="275"/>
    </row>
    <row r="5" spans="1:12" x14ac:dyDescent="0.25">
      <c r="A5" s="281"/>
      <c r="B5" s="281"/>
      <c r="C5" s="281"/>
      <c r="D5" s="281"/>
      <c r="E5" s="281"/>
      <c r="F5" s="281"/>
      <c r="G5" s="281"/>
      <c r="H5" s="281"/>
      <c r="I5" s="275"/>
      <c r="J5" s="275"/>
      <c r="K5" s="275"/>
      <c r="L5" s="275"/>
    </row>
    <row r="6" spans="1:12" x14ac:dyDescent="0.25">
      <c r="A6" s="281"/>
      <c r="B6" s="281"/>
      <c r="C6" s="281"/>
      <c r="D6" s="281"/>
      <c r="E6" s="281"/>
      <c r="F6" s="281"/>
      <c r="G6" s="281"/>
      <c r="H6" s="281"/>
      <c r="I6" s="275"/>
      <c r="J6" s="275"/>
      <c r="K6" s="275"/>
      <c r="L6" s="275"/>
    </row>
    <row r="7" spans="1:12" x14ac:dyDescent="0.25">
      <c r="A7" s="281"/>
      <c r="B7" s="281"/>
      <c r="C7" s="281"/>
      <c r="D7" s="281"/>
      <c r="E7" s="281"/>
      <c r="F7" s="281"/>
      <c r="G7" s="281"/>
      <c r="H7" s="281"/>
      <c r="I7" s="275"/>
      <c r="J7" s="275"/>
      <c r="K7" s="275"/>
      <c r="L7" s="275"/>
    </row>
    <row r="8" spans="1:12" x14ac:dyDescent="0.25">
      <c r="F8" s="275"/>
      <c r="G8" s="275"/>
      <c r="H8" s="275"/>
      <c r="I8" s="275"/>
      <c r="J8" s="275"/>
      <c r="K8" s="275"/>
      <c r="L8" s="275"/>
    </row>
    <row r="9" spans="1:12" x14ac:dyDescent="0.25">
      <c r="F9" s="275"/>
      <c r="G9" s="275"/>
      <c r="H9" s="275"/>
      <c r="I9" s="275"/>
      <c r="J9" s="275"/>
      <c r="K9" s="275"/>
      <c r="L9" s="275"/>
    </row>
    <row r="10" spans="1:12" s="278" customFormat="1" ht="30" customHeight="1" x14ac:dyDescent="0.25">
      <c r="A10" s="279" t="s">
        <v>203</v>
      </c>
      <c r="B10" s="276" t="s">
        <v>200</v>
      </c>
      <c r="C10" s="276" t="s">
        <v>183</v>
      </c>
      <c r="D10" s="276" t="s">
        <v>192</v>
      </c>
      <c r="E10" s="276" t="s">
        <v>189</v>
      </c>
      <c r="F10" s="276" t="s">
        <v>190</v>
      </c>
      <c r="G10" s="279" t="s">
        <v>1186</v>
      </c>
      <c r="H10" s="277"/>
      <c r="I10" s="277"/>
      <c r="J10" s="277"/>
      <c r="K10" s="277"/>
      <c r="L10" s="277"/>
    </row>
    <row r="11" spans="1:12" x14ac:dyDescent="0.25">
      <c r="A11" s="275">
        <v>1</v>
      </c>
      <c r="B11" s="275" t="str" cm="1">
        <f t="array" aca="1" ref="B11" ca="1">J_TODAY(1)</f>
        <v>1404/07/26</v>
      </c>
      <c r="C11" s="275">
        <f t="shared" ref="C11:C17" si="0">$A$3</f>
        <v>140310007</v>
      </c>
      <c r="D11" s="275">
        <f>VALUE(MID(inputPlanTbl[[#This Row],[toDate]],6,2))</f>
        <v>6</v>
      </c>
      <c r="E11" s="275">
        <f>$B$3</f>
        <v>1000</v>
      </c>
      <c r="F11" s="275" t="str">
        <f>$B$2</f>
        <v>1404/06/15</v>
      </c>
      <c r="G11" s="280"/>
    </row>
    <row r="12" spans="1:12" x14ac:dyDescent="0.25">
      <c r="A12" s="275">
        <v>2</v>
      </c>
      <c r="B12" s="275" t="str" cm="1">
        <f t="array" aca="1" ref="B12" ca="1">J_TODAY(1)</f>
        <v>1404/07/26</v>
      </c>
      <c r="C12" s="275">
        <f t="shared" si="0"/>
        <v>140310007</v>
      </c>
      <c r="D12" s="275">
        <f>VALUE(MID(inputPlanTbl[[#This Row],[toDate]],6,2))</f>
        <v>6</v>
      </c>
      <c r="E12" s="275">
        <f>$C$3</f>
        <v>800</v>
      </c>
      <c r="F12" s="275" t="str">
        <f>$C$2</f>
        <v>1404/06/20</v>
      </c>
      <c r="G12" s="280"/>
    </row>
    <row r="13" spans="1:12" x14ac:dyDescent="0.25">
      <c r="A13" s="275">
        <v>3</v>
      </c>
      <c r="B13" s="275" t="str" cm="1">
        <f t="array" aca="1" ref="B13" ca="1">J_TODAY(1)</f>
        <v>1404/07/26</v>
      </c>
      <c r="C13" s="275">
        <f t="shared" si="0"/>
        <v>140310007</v>
      </c>
      <c r="D13" s="275" t="e">
        <f>VALUE(MID(inputPlanTbl[[#This Row],[toDate]],6,2))</f>
        <v>#VALUE!</v>
      </c>
      <c r="E13" s="275">
        <f>$D$3</f>
        <v>0</v>
      </c>
      <c r="F13" s="275">
        <f>$D$2</f>
        <v>0</v>
      </c>
      <c r="G13" s="280"/>
    </row>
    <row r="14" spans="1:12" x14ac:dyDescent="0.25">
      <c r="A14" s="275">
        <v>4</v>
      </c>
      <c r="B14" s="275" t="str" cm="1">
        <f t="array" aca="1" ref="B14" ca="1">J_TODAY(1)</f>
        <v>1404/07/26</v>
      </c>
      <c r="C14" s="275">
        <f t="shared" si="0"/>
        <v>140310007</v>
      </c>
      <c r="D14" s="275" t="e">
        <f>VALUE(MID(inputPlanTbl[[#This Row],[toDate]],6,2))</f>
        <v>#VALUE!</v>
      </c>
      <c r="E14" s="275">
        <f>$E$3</f>
        <v>0</v>
      </c>
      <c r="F14" s="275">
        <f>$E$2</f>
        <v>0</v>
      </c>
      <c r="G14" s="280"/>
    </row>
    <row r="15" spans="1:12" x14ac:dyDescent="0.25">
      <c r="A15" s="275">
        <v>5</v>
      </c>
      <c r="B15" s="275" t="str" cm="1">
        <f t="array" aca="1" ref="B15" ca="1">J_TODAY(1)</f>
        <v>1404/07/26</v>
      </c>
      <c r="C15" s="275">
        <f t="shared" si="0"/>
        <v>140310007</v>
      </c>
      <c r="D15" s="275" t="e">
        <f>VALUE(MID(inputPlanTbl[[#This Row],[toDate]],6,2))</f>
        <v>#VALUE!</v>
      </c>
      <c r="E15" s="275">
        <f>$F$3</f>
        <v>0</v>
      </c>
      <c r="F15" s="275">
        <f>$F$2</f>
        <v>0</v>
      </c>
      <c r="G15" s="280"/>
    </row>
    <row r="16" spans="1:12" x14ac:dyDescent="0.25">
      <c r="A16" s="275">
        <v>6</v>
      </c>
      <c r="B16" s="275" t="str" cm="1">
        <f t="array" aca="1" ref="B16" ca="1">J_TODAY(1)</f>
        <v>1404/07/26</v>
      </c>
      <c r="C16" s="275">
        <f t="shared" si="0"/>
        <v>140310007</v>
      </c>
      <c r="D16" s="275" t="e">
        <f>VALUE(MID(inputPlanTbl[[#This Row],[toDate]],6,2))</f>
        <v>#VALUE!</v>
      </c>
      <c r="E16" s="275">
        <f>$G$3</f>
        <v>0</v>
      </c>
      <c r="F16" s="275">
        <f>$G$2</f>
        <v>0</v>
      </c>
      <c r="G16" s="280"/>
    </row>
    <row r="17" spans="1:7" x14ac:dyDescent="0.25">
      <c r="A17" s="275">
        <v>7</v>
      </c>
      <c r="B17" s="275" t="str" cm="1">
        <f t="array" aca="1" ref="B17" ca="1">J_TODAY(1)</f>
        <v>1404/07/26</v>
      </c>
      <c r="C17" s="275">
        <f t="shared" si="0"/>
        <v>140310007</v>
      </c>
      <c r="D17" s="275" t="e">
        <f>VALUE(MID(inputPlanTbl[[#This Row],[toDate]],6,2))</f>
        <v>#VALUE!</v>
      </c>
      <c r="E17" s="275">
        <f>$H$3</f>
        <v>0</v>
      </c>
      <c r="F17" s="275">
        <f>$H$2</f>
        <v>0</v>
      </c>
      <c r="G17" s="280"/>
    </row>
    <row r="18" spans="1:7" x14ac:dyDescent="0.25">
      <c r="A18" s="275">
        <v>8</v>
      </c>
      <c r="B18" s="275" t="str" cm="1">
        <f t="array" aca="1" ref="B18" ca="1">J_TODAY(1)</f>
        <v>1404/07/26</v>
      </c>
      <c r="C18" s="275">
        <f>$A$4</f>
        <v>0</v>
      </c>
      <c r="D18" s="275">
        <f>VALUE(MID(inputPlanTbl[[#This Row],[toDate]],6,2))</f>
        <v>6</v>
      </c>
      <c r="E18" s="275">
        <f>$B$4</f>
        <v>0</v>
      </c>
      <c r="F18" s="275" t="str">
        <f>$B$2</f>
        <v>1404/06/15</v>
      </c>
      <c r="G18" s="280"/>
    </row>
    <row r="19" spans="1:7" x14ac:dyDescent="0.25">
      <c r="A19" s="275">
        <v>9</v>
      </c>
      <c r="B19" s="275" t="str" cm="1">
        <f t="array" aca="1" ref="B19" ca="1">J_TODAY(1)</f>
        <v>1404/07/26</v>
      </c>
      <c r="C19" s="275">
        <f t="shared" ref="C19:C24" si="1">$A$4</f>
        <v>0</v>
      </c>
      <c r="D19" s="275">
        <f>VALUE(MID(inputPlanTbl[[#This Row],[toDate]],6,2))</f>
        <v>6</v>
      </c>
      <c r="E19" s="275">
        <f>$C$4</f>
        <v>0</v>
      </c>
      <c r="F19" s="275" t="str">
        <f>$C$2</f>
        <v>1404/06/20</v>
      </c>
      <c r="G19" s="280"/>
    </row>
    <row r="20" spans="1:7" x14ac:dyDescent="0.25">
      <c r="A20" s="275"/>
      <c r="B20" s="275" t="str" cm="1">
        <f t="array" aca="1" ref="B20" ca="1">J_TODAY(1)</f>
        <v>1404/07/26</v>
      </c>
      <c r="C20" s="275">
        <f t="shared" si="1"/>
        <v>0</v>
      </c>
      <c r="D20" s="275" t="e">
        <f>VALUE(MID(inputPlanTbl[[#This Row],[toDate]],6,2))</f>
        <v>#VALUE!</v>
      </c>
      <c r="E20" s="275">
        <f>$D$4</f>
        <v>0</v>
      </c>
      <c r="F20" s="275">
        <f>$D$2</f>
        <v>0</v>
      </c>
      <c r="G20" s="280"/>
    </row>
    <row r="21" spans="1:7" x14ac:dyDescent="0.25">
      <c r="A21" s="275"/>
      <c r="B21" s="275" t="str" cm="1">
        <f t="array" aca="1" ref="B21" ca="1">J_TODAY(1)</f>
        <v>1404/07/26</v>
      </c>
      <c r="C21" s="275">
        <f t="shared" si="1"/>
        <v>0</v>
      </c>
      <c r="D21" s="275" t="e">
        <f>VALUE(MID(inputPlanTbl[[#This Row],[toDate]],6,2))</f>
        <v>#VALUE!</v>
      </c>
      <c r="E21" s="275">
        <f>$E$4</f>
        <v>0</v>
      </c>
      <c r="F21" s="275">
        <f>$E$2</f>
        <v>0</v>
      </c>
      <c r="G21" s="280"/>
    </row>
    <row r="22" spans="1:7" x14ac:dyDescent="0.25">
      <c r="A22" s="275"/>
      <c r="B22" s="275" t="str" cm="1">
        <f t="array" aca="1" ref="B22" ca="1">J_TODAY(1)</f>
        <v>1404/07/26</v>
      </c>
      <c r="C22" s="275">
        <f t="shared" si="1"/>
        <v>0</v>
      </c>
      <c r="D22" s="275" t="e">
        <f>VALUE(MID(inputPlanTbl[[#This Row],[toDate]],6,2))</f>
        <v>#VALUE!</v>
      </c>
      <c r="E22" s="275">
        <f>$F$4</f>
        <v>0</v>
      </c>
      <c r="F22" s="275">
        <f>$F$2</f>
        <v>0</v>
      </c>
      <c r="G22" s="280"/>
    </row>
    <row r="23" spans="1:7" x14ac:dyDescent="0.25">
      <c r="A23" s="275"/>
      <c r="B23" s="275" t="str" cm="1">
        <f t="array" aca="1" ref="B23" ca="1">J_TODAY(1)</f>
        <v>1404/07/26</v>
      </c>
      <c r="C23" s="275">
        <f t="shared" si="1"/>
        <v>0</v>
      </c>
      <c r="D23" s="275" t="e">
        <f>VALUE(MID(inputPlanTbl[[#This Row],[toDate]],6,2))</f>
        <v>#VALUE!</v>
      </c>
      <c r="E23" s="275">
        <f>$G$4</f>
        <v>0</v>
      </c>
      <c r="F23" s="275">
        <f>$G$2</f>
        <v>0</v>
      </c>
      <c r="G23" s="280"/>
    </row>
    <row r="24" spans="1:7" x14ac:dyDescent="0.25">
      <c r="A24" s="275"/>
      <c r="B24" s="275" t="str" cm="1">
        <f t="array" aca="1" ref="B24" ca="1">J_TODAY(1)</f>
        <v>1404/07/26</v>
      </c>
      <c r="C24" s="275">
        <f t="shared" si="1"/>
        <v>0</v>
      </c>
      <c r="D24" s="275" t="e">
        <f>VALUE(MID(inputPlanTbl[[#This Row],[toDate]],6,2))</f>
        <v>#VALUE!</v>
      </c>
      <c r="E24" s="275">
        <f>$H$4</f>
        <v>0</v>
      </c>
      <c r="F24" s="275">
        <f>$H$2</f>
        <v>0</v>
      </c>
      <c r="G24" s="280"/>
    </row>
    <row r="25" spans="1:7" x14ac:dyDescent="0.25">
      <c r="A25" s="275"/>
      <c r="B25" s="275" t="str" cm="1">
        <f t="array" aca="1" ref="B25" ca="1">J_TODAY(1)</f>
        <v>1404/07/26</v>
      </c>
      <c r="C25" s="280">
        <f>$A$5</f>
        <v>0</v>
      </c>
      <c r="D25" s="275">
        <f>VALUE(MID(inputPlanTbl[[#This Row],[toDate]],6,2))</f>
        <v>6</v>
      </c>
      <c r="E25" s="275">
        <f>$B$5</f>
        <v>0</v>
      </c>
      <c r="F25" s="280" t="str">
        <f>$B$2</f>
        <v>1404/06/15</v>
      </c>
      <c r="G25" s="280"/>
    </row>
    <row r="26" spans="1:7" x14ac:dyDescent="0.25">
      <c r="A26" s="275"/>
      <c r="B26" s="275" t="str" cm="1">
        <f t="array" aca="1" ref="B26" ca="1">J_TODAY(1)</f>
        <v>1404/07/26</v>
      </c>
      <c r="C26" s="280">
        <f t="shared" ref="C26:C31" si="2">$A$5</f>
        <v>0</v>
      </c>
      <c r="D26" s="275">
        <f>VALUE(MID(inputPlanTbl[[#This Row],[toDate]],6,2))</f>
        <v>6</v>
      </c>
      <c r="E26" s="275">
        <f>$C$5</f>
        <v>0</v>
      </c>
      <c r="F26" s="280" t="str">
        <f>$C$2</f>
        <v>1404/06/20</v>
      </c>
      <c r="G26" s="280"/>
    </row>
    <row r="27" spans="1:7" x14ac:dyDescent="0.25">
      <c r="A27" s="275"/>
      <c r="B27" s="275" t="str" cm="1">
        <f t="array" aca="1" ref="B27" ca="1">J_TODAY(1)</f>
        <v>1404/07/26</v>
      </c>
      <c r="C27" s="280">
        <f t="shared" si="2"/>
        <v>0</v>
      </c>
      <c r="D27" s="275" t="e">
        <f>VALUE(MID(inputPlanTbl[[#This Row],[toDate]],6,2))</f>
        <v>#VALUE!</v>
      </c>
      <c r="E27" s="275">
        <f>$D$5</f>
        <v>0</v>
      </c>
      <c r="F27" s="280">
        <f>$D$2</f>
        <v>0</v>
      </c>
      <c r="G27" s="280"/>
    </row>
    <row r="28" spans="1:7" x14ac:dyDescent="0.25">
      <c r="A28" s="275"/>
      <c r="B28" s="275" t="str" cm="1">
        <f t="array" aca="1" ref="B28" ca="1">J_TODAY(1)</f>
        <v>1404/07/26</v>
      </c>
      <c r="C28" s="280">
        <f t="shared" si="2"/>
        <v>0</v>
      </c>
      <c r="D28" s="275" t="e">
        <f>VALUE(MID(inputPlanTbl[[#This Row],[toDate]],6,2))</f>
        <v>#VALUE!</v>
      </c>
      <c r="E28" s="275">
        <f>$E$5</f>
        <v>0</v>
      </c>
      <c r="F28" s="280">
        <f>$E$2</f>
        <v>0</v>
      </c>
      <c r="G28" s="280"/>
    </row>
    <row r="29" spans="1:7" x14ac:dyDescent="0.25">
      <c r="A29" s="275"/>
      <c r="B29" s="275" t="str" cm="1">
        <f t="array" aca="1" ref="B29" ca="1">J_TODAY(1)</f>
        <v>1404/07/26</v>
      </c>
      <c r="C29" s="280">
        <f t="shared" si="2"/>
        <v>0</v>
      </c>
      <c r="D29" s="275" t="e">
        <f>VALUE(MID(inputPlanTbl[[#This Row],[toDate]],6,2))</f>
        <v>#VALUE!</v>
      </c>
      <c r="E29" s="275">
        <f>$F$5</f>
        <v>0</v>
      </c>
      <c r="F29" s="280">
        <f>$F$2</f>
        <v>0</v>
      </c>
      <c r="G29" s="280"/>
    </row>
    <row r="30" spans="1:7" x14ac:dyDescent="0.25">
      <c r="A30" s="275"/>
      <c r="B30" s="275" t="str" cm="1">
        <f t="array" aca="1" ref="B30" ca="1">J_TODAY(1)</f>
        <v>1404/07/26</v>
      </c>
      <c r="C30" s="280">
        <f t="shared" si="2"/>
        <v>0</v>
      </c>
      <c r="D30" s="275" t="e">
        <f>VALUE(MID(inputPlanTbl[[#This Row],[toDate]],6,2))</f>
        <v>#VALUE!</v>
      </c>
      <c r="E30" s="275">
        <f>$G$5</f>
        <v>0</v>
      </c>
      <c r="F30" s="280">
        <f>$G$2</f>
        <v>0</v>
      </c>
      <c r="G30" s="280"/>
    </row>
    <row r="31" spans="1:7" x14ac:dyDescent="0.25">
      <c r="A31" s="275"/>
      <c r="B31" s="275" t="str" cm="1">
        <f t="array" aca="1" ref="B31" ca="1">J_TODAY(1)</f>
        <v>1404/07/26</v>
      </c>
      <c r="C31" s="280">
        <f t="shared" si="2"/>
        <v>0</v>
      </c>
      <c r="D31" s="275" t="e">
        <f>VALUE(MID(inputPlanTbl[[#This Row],[toDate]],6,2))</f>
        <v>#VALUE!</v>
      </c>
      <c r="E31" s="275">
        <f>$H$5</f>
        <v>0</v>
      </c>
      <c r="F31" s="280">
        <f>$H$2</f>
        <v>0</v>
      </c>
      <c r="G31" s="280"/>
    </row>
    <row r="32" spans="1:7" x14ac:dyDescent="0.25">
      <c r="A32" s="275"/>
      <c r="B32" s="275" t="str" cm="1">
        <f t="array" aca="1" ref="B32" ca="1">J_TODAY(1)</f>
        <v>1404/07/26</v>
      </c>
      <c r="C32" s="280">
        <f>$A$6</f>
        <v>0</v>
      </c>
      <c r="D32" s="275">
        <f>VALUE(MID(inputPlanTbl[[#This Row],[toDate]],6,2))</f>
        <v>6</v>
      </c>
      <c r="E32" s="275">
        <f>$B$6</f>
        <v>0</v>
      </c>
      <c r="F32" s="280" t="str">
        <f>$B$2</f>
        <v>1404/06/15</v>
      </c>
      <c r="G32" s="280"/>
    </row>
    <row r="33" spans="1:7" x14ac:dyDescent="0.25">
      <c r="A33" s="275"/>
      <c r="B33" s="275" t="str" cm="1">
        <f t="array" aca="1" ref="B33" ca="1">J_TODAY(1)</f>
        <v>1404/07/26</v>
      </c>
      <c r="C33" s="280">
        <f t="shared" ref="C33:C38" si="3">$A$6</f>
        <v>0</v>
      </c>
      <c r="D33" s="275">
        <f>VALUE(MID(inputPlanTbl[[#This Row],[toDate]],6,2))</f>
        <v>6</v>
      </c>
      <c r="E33" s="275">
        <f>$C$6</f>
        <v>0</v>
      </c>
      <c r="F33" s="280" t="str">
        <f>$C$2</f>
        <v>1404/06/20</v>
      </c>
      <c r="G33" s="280"/>
    </row>
    <row r="34" spans="1:7" x14ac:dyDescent="0.25">
      <c r="A34" s="275"/>
      <c r="B34" s="275" t="str" cm="1">
        <f t="array" aca="1" ref="B34" ca="1">J_TODAY(1)</f>
        <v>1404/07/26</v>
      </c>
      <c r="C34" s="280">
        <f t="shared" si="3"/>
        <v>0</v>
      </c>
      <c r="D34" s="275" t="e">
        <f>VALUE(MID(inputPlanTbl[[#This Row],[toDate]],6,2))</f>
        <v>#VALUE!</v>
      </c>
      <c r="E34" s="275">
        <f>$D$6</f>
        <v>0</v>
      </c>
      <c r="F34" s="280">
        <f>$D$2</f>
        <v>0</v>
      </c>
      <c r="G34" s="280"/>
    </row>
    <row r="35" spans="1:7" x14ac:dyDescent="0.25">
      <c r="A35" s="275"/>
      <c r="B35" s="275" t="str" cm="1">
        <f t="array" aca="1" ref="B35" ca="1">J_TODAY(1)</f>
        <v>1404/07/26</v>
      </c>
      <c r="C35" s="280">
        <f t="shared" si="3"/>
        <v>0</v>
      </c>
      <c r="D35" s="275" t="e">
        <f>VALUE(MID(inputPlanTbl[[#This Row],[toDate]],6,2))</f>
        <v>#VALUE!</v>
      </c>
      <c r="E35" s="275">
        <f>$E$6</f>
        <v>0</v>
      </c>
      <c r="F35" s="280">
        <f>$E$2</f>
        <v>0</v>
      </c>
      <c r="G35" s="280"/>
    </row>
    <row r="36" spans="1:7" x14ac:dyDescent="0.25">
      <c r="A36" s="275"/>
      <c r="B36" s="275" t="str" cm="1">
        <f t="array" aca="1" ref="B36" ca="1">J_TODAY(1)</f>
        <v>1404/07/26</v>
      </c>
      <c r="C36" s="280">
        <f t="shared" si="3"/>
        <v>0</v>
      </c>
      <c r="D36" s="275" t="e">
        <f>VALUE(MID(inputPlanTbl[[#This Row],[toDate]],6,2))</f>
        <v>#VALUE!</v>
      </c>
      <c r="E36" s="275">
        <f>$F$6</f>
        <v>0</v>
      </c>
      <c r="F36" s="280">
        <f>$F$2</f>
        <v>0</v>
      </c>
      <c r="G36" s="280"/>
    </row>
    <row r="37" spans="1:7" x14ac:dyDescent="0.25">
      <c r="A37" s="275"/>
      <c r="B37" s="275" t="str" cm="1">
        <f t="array" aca="1" ref="B37" ca="1">J_TODAY(1)</f>
        <v>1404/07/26</v>
      </c>
      <c r="C37" s="280">
        <f t="shared" si="3"/>
        <v>0</v>
      </c>
      <c r="D37" s="275" t="e">
        <f>VALUE(MID(inputPlanTbl[[#This Row],[toDate]],6,2))</f>
        <v>#VALUE!</v>
      </c>
      <c r="E37" s="275">
        <f>$G$6</f>
        <v>0</v>
      </c>
      <c r="F37" s="280">
        <f>$G$2</f>
        <v>0</v>
      </c>
      <c r="G37" s="280"/>
    </row>
    <row r="38" spans="1:7" x14ac:dyDescent="0.25">
      <c r="A38" s="275"/>
      <c r="B38" s="275" t="str" cm="1">
        <f t="array" aca="1" ref="B38" ca="1">J_TODAY(1)</f>
        <v>1404/07/26</v>
      </c>
      <c r="C38" s="280">
        <f t="shared" si="3"/>
        <v>0</v>
      </c>
      <c r="D38" s="275" t="e">
        <f>VALUE(MID(inputPlanTbl[[#This Row],[toDate]],6,2))</f>
        <v>#VALUE!</v>
      </c>
      <c r="E38" s="275">
        <f>$H$6</f>
        <v>0</v>
      </c>
      <c r="F38" s="280">
        <f>$H$2</f>
        <v>0</v>
      </c>
      <c r="G38" s="280"/>
    </row>
    <row r="39" spans="1:7" x14ac:dyDescent="0.25">
      <c r="A39" s="275"/>
      <c r="B39" s="275" t="str" cm="1">
        <f t="array" aca="1" ref="B39" ca="1">J_TODAY(1)</f>
        <v>1404/07/26</v>
      </c>
      <c r="C39" s="280">
        <f>$A$7</f>
        <v>0</v>
      </c>
      <c r="D39" s="275">
        <f>VALUE(MID(inputPlanTbl[[#This Row],[toDate]],6,2))</f>
        <v>6</v>
      </c>
      <c r="E39" s="275">
        <f>$B$7</f>
        <v>0</v>
      </c>
      <c r="F39" s="280" t="str">
        <f>$B$2</f>
        <v>1404/06/15</v>
      </c>
      <c r="G39" s="280"/>
    </row>
    <row r="40" spans="1:7" x14ac:dyDescent="0.25">
      <c r="A40" s="275"/>
      <c r="B40" s="275" t="str" cm="1">
        <f t="array" aca="1" ref="B40" ca="1">J_TODAY(1)</f>
        <v>1404/07/26</v>
      </c>
      <c r="C40" s="280">
        <f t="shared" ref="C40:C45" si="4">$A$7</f>
        <v>0</v>
      </c>
      <c r="D40" s="275">
        <f>VALUE(MID(inputPlanTbl[[#This Row],[toDate]],6,2))</f>
        <v>6</v>
      </c>
      <c r="E40" s="275">
        <f>$C$7</f>
        <v>0</v>
      </c>
      <c r="F40" s="280" t="str">
        <f>$C$2</f>
        <v>1404/06/20</v>
      </c>
      <c r="G40" s="280"/>
    </row>
    <row r="41" spans="1:7" x14ac:dyDescent="0.25">
      <c r="A41" s="275"/>
      <c r="B41" s="275" t="str" cm="1">
        <f t="array" aca="1" ref="B41" ca="1">J_TODAY(1)</f>
        <v>1404/07/26</v>
      </c>
      <c r="C41" s="280">
        <f t="shared" si="4"/>
        <v>0</v>
      </c>
      <c r="D41" s="275" t="e">
        <f>VALUE(MID(inputPlanTbl[[#This Row],[toDate]],6,2))</f>
        <v>#VALUE!</v>
      </c>
      <c r="E41" s="275">
        <f>$D$7</f>
        <v>0</v>
      </c>
      <c r="F41" s="280">
        <f>$D$2</f>
        <v>0</v>
      </c>
      <c r="G41" s="280"/>
    </row>
    <row r="42" spans="1:7" x14ac:dyDescent="0.25">
      <c r="A42" s="275"/>
      <c r="B42" s="275" t="str" cm="1">
        <f t="array" aca="1" ref="B42" ca="1">J_TODAY(1)</f>
        <v>1404/07/26</v>
      </c>
      <c r="C42" s="280">
        <f t="shared" si="4"/>
        <v>0</v>
      </c>
      <c r="D42" s="275" t="e">
        <f>VALUE(MID(inputPlanTbl[[#This Row],[toDate]],6,2))</f>
        <v>#VALUE!</v>
      </c>
      <c r="E42" s="275">
        <f>$E$7</f>
        <v>0</v>
      </c>
      <c r="F42" s="280">
        <f>$E$2</f>
        <v>0</v>
      </c>
      <c r="G42" s="280"/>
    </row>
    <row r="43" spans="1:7" x14ac:dyDescent="0.25">
      <c r="A43" s="275"/>
      <c r="B43" s="275" t="str" cm="1">
        <f t="array" aca="1" ref="B43" ca="1">J_TODAY(1)</f>
        <v>1404/07/26</v>
      </c>
      <c r="C43" s="280">
        <f t="shared" si="4"/>
        <v>0</v>
      </c>
      <c r="D43" s="275" t="e">
        <f>VALUE(MID(inputPlanTbl[[#This Row],[toDate]],6,2))</f>
        <v>#VALUE!</v>
      </c>
      <c r="E43" s="275">
        <f>$F$7</f>
        <v>0</v>
      </c>
      <c r="F43" s="280">
        <f>$F$2</f>
        <v>0</v>
      </c>
      <c r="G43" s="280"/>
    </row>
    <row r="44" spans="1:7" x14ac:dyDescent="0.25">
      <c r="A44" s="275"/>
      <c r="B44" s="275" t="str" cm="1">
        <f t="array" aca="1" ref="B44" ca="1">J_TODAY(1)</f>
        <v>1404/07/26</v>
      </c>
      <c r="C44" s="280">
        <f t="shared" si="4"/>
        <v>0</v>
      </c>
      <c r="D44" s="275" t="e">
        <f>VALUE(MID(inputPlanTbl[[#This Row],[toDate]],6,2))</f>
        <v>#VALUE!</v>
      </c>
      <c r="E44" s="275">
        <f>$G$7</f>
        <v>0</v>
      </c>
      <c r="F44" s="280">
        <f>$G$2</f>
        <v>0</v>
      </c>
      <c r="G44" s="280"/>
    </row>
    <row r="45" spans="1:7" x14ac:dyDescent="0.25">
      <c r="A45" s="275"/>
      <c r="B45" s="275" t="str" cm="1">
        <f t="array" aca="1" ref="B45" ca="1">J_TODAY(1)</f>
        <v>1404/07/26</v>
      </c>
      <c r="C45" s="280">
        <f t="shared" si="4"/>
        <v>0</v>
      </c>
      <c r="D45" s="275" t="e">
        <f>VALUE(MID(inputPlanTbl[[#This Row],[toDate]],6,2))</f>
        <v>#VALUE!</v>
      </c>
      <c r="E45" s="275">
        <f>$H$7</f>
        <v>0</v>
      </c>
      <c r="F45" s="280">
        <f>$H$2</f>
        <v>0</v>
      </c>
      <c r="G45" s="280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3" name="Button 1">
              <controlPr defaultSize="0" print="0" autoFill="0" autoPict="0" macro="[0]!trimer">
                <anchor moveWithCells="1" sizeWithCells="1">
                  <from>
                    <xdr:col>0</xdr:col>
                    <xdr:colOff>76200</xdr:colOff>
                    <xdr:row>0</xdr:row>
                    <xdr:rowOff>66675</xdr:rowOff>
                  </from>
                  <to>
                    <xdr:col>0</xdr:col>
                    <xdr:colOff>1285875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4" name="Button 2">
              <controlPr defaultSize="0" print="0" autoFill="0" autoPict="0" macro="[0]!filter2">
                <anchor moveWithCells="1" sizeWithCells="1">
                  <from>
                    <xdr:col>1</xdr:col>
                    <xdr:colOff>152400</xdr:colOff>
                    <xdr:row>0</xdr:row>
                    <xdr:rowOff>66675</xdr:rowOff>
                  </from>
                  <to>
                    <xdr:col>1</xdr:col>
                    <xdr:colOff>1190625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5" name="Button 3">
              <controlPr defaultSize="0" print="0" autoFill="0" autoPict="0" macro="[0]!clear2">
                <anchor moveWithCells="1" sizeWithCells="1">
                  <from>
                    <xdr:col>2</xdr:col>
                    <xdr:colOff>85725</xdr:colOff>
                    <xdr:row>0</xdr:row>
                    <xdr:rowOff>66675</xdr:rowOff>
                  </from>
                  <to>
                    <xdr:col>2</xdr:col>
                    <xdr:colOff>1276350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14F77-A5D0-4E5D-8487-CDFE5CAB3251}">
  <sheetPr codeName="Sheet10"/>
  <dimension ref="A3:B126"/>
  <sheetViews>
    <sheetView workbookViewId="0">
      <selection activeCell="A10" sqref="A10"/>
    </sheetView>
  </sheetViews>
  <sheetFormatPr defaultRowHeight="15" x14ac:dyDescent="0.25"/>
  <cols>
    <col min="1" max="1" width="16.42578125" bestFit="1" customWidth="1"/>
    <col min="2" max="2" width="11.5703125" bestFit="1" customWidth="1"/>
    <col min="3" max="3" width="13.28515625" bestFit="1" customWidth="1"/>
  </cols>
  <sheetData>
    <row r="3" spans="1:2" x14ac:dyDescent="0.25">
      <c r="A3" s="31" t="s">
        <v>208</v>
      </c>
      <c r="B3" t="s">
        <v>211</v>
      </c>
    </row>
    <row r="4" spans="1:2" x14ac:dyDescent="0.25">
      <c r="A4" s="32">
        <v>140010117</v>
      </c>
      <c r="B4" s="35">
        <v>44000</v>
      </c>
    </row>
    <row r="5" spans="1:2" x14ac:dyDescent="0.25">
      <c r="A5" s="33" t="s">
        <v>242</v>
      </c>
      <c r="B5" s="35">
        <v>3000</v>
      </c>
    </row>
    <row r="6" spans="1:2" x14ac:dyDescent="0.25">
      <c r="A6" s="34" t="s">
        <v>243</v>
      </c>
      <c r="B6" s="35">
        <v>3000</v>
      </c>
    </row>
    <row r="7" spans="1:2" x14ac:dyDescent="0.25">
      <c r="A7" s="33"/>
      <c r="B7" s="35"/>
    </row>
    <row r="8" spans="1:2" x14ac:dyDescent="0.25">
      <c r="A8" s="33">
        <v>2</v>
      </c>
      <c r="B8" s="35">
        <v>7000</v>
      </c>
    </row>
    <row r="9" spans="1:2" x14ac:dyDescent="0.25">
      <c r="A9" s="34" t="s">
        <v>280</v>
      </c>
      <c r="B9" s="35">
        <v>2500</v>
      </c>
    </row>
    <row r="10" spans="1:2" x14ac:dyDescent="0.25">
      <c r="A10" s="34" t="s">
        <v>281</v>
      </c>
      <c r="B10" s="35">
        <v>2500</v>
      </c>
    </row>
    <row r="11" spans="1:2" x14ac:dyDescent="0.25">
      <c r="A11" s="34" t="s">
        <v>282</v>
      </c>
      <c r="B11" s="35">
        <v>2000</v>
      </c>
    </row>
    <row r="12" spans="1:2" x14ac:dyDescent="0.25">
      <c r="A12" s="33"/>
      <c r="B12" s="35"/>
    </row>
    <row r="13" spans="1:2" x14ac:dyDescent="0.25">
      <c r="A13" s="33" t="s">
        <v>1070</v>
      </c>
      <c r="B13" s="35">
        <v>3000</v>
      </c>
    </row>
    <row r="14" spans="1:2" x14ac:dyDescent="0.25">
      <c r="A14" s="34" t="s">
        <v>726</v>
      </c>
      <c r="B14" s="35">
        <v>3000</v>
      </c>
    </row>
    <row r="15" spans="1:2" x14ac:dyDescent="0.25">
      <c r="A15" s="33"/>
      <c r="B15" s="35"/>
    </row>
    <row r="16" spans="1:2" x14ac:dyDescent="0.25">
      <c r="A16" s="33">
        <v>3</v>
      </c>
      <c r="B16" s="35">
        <v>12000</v>
      </c>
    </row>
    <row r="17" spans="1:2" x14ac:dyDescent="0.25">
      <c r="A17" s="34" t="s">
        <v>731</v>
      </c>
      <c r="B17" s="35">
        <v>3000</v>
      </c>
    </row>
    <row r="18" spans="1:2" x14ac:dyDescent="0.25">
      <c r="A18" s="34" t="s">
        <v>727</v>
      </c>
      <c r="B18" s="35">
        <v>3000</v>
      </c>
    </row>
    <row r="19" spans="1:2" x14ac:dyDescent="0.25">
      <c r="A19" s="34" t="s">
        <v>736</v>
      </c>
      <c r="B19" s="35">
        <v>3000</v>
      </c>
    </row>
    <row r="20" spans="1:2" x14ac:dyDescent="0.25">
      <c r="A20" s="34" t="s">
        <v>743</v>
      </c>
      <c r="B20" s="35">
        <v>3000</v>
      </c>
    </row>
    <row r="21" spans="1:2" x14ac:dyDescent="0.25">
      <c r="A21" s="33"/>
      <c r="B21" s="35"/>
    </row>
    <row r="22" spans="1:2" x14ac:dyDescent="0.25">
      <c r="A22" s="33">
        <v>4</v>
      </c>
      <c r="B22" s="35">
        <v>2000</v>
      </c>
    </row>
    <row r="23" spans="1:2" x14ac:dyDescent="0.25">
      <c r="A23" s="34" t="s">
        <v>777</v>
      </c>
      <c r="B23" s="35">
        <v>2000</v>
      </c>
    </row>
    <row r="24" spans="1:2" x14ac:dyDescent="0.25">
      <c r="A24" s="33"/>
      <c r="B24" s="35"/>
    </row>
    <row r="25" spans="1:2" x14ac:dyDescent="0.25">
      <c r="A25" s="33">
        <v>6</v>
      </c>
      <c r="B25" s="35">
        <v>17000</v>
      </c>
    </row>
    <row r="26" spans="1:2" x14ac:dyDescent="0.25">
      <c r="A26" s="34" t="s">
        <v>820</v>
      </c>
      <c r="B26" s="35">
        <v>3400</v>
      </c>
    </row>
    <row r="27" spans="1:2" x14ac:dyDescent="0.25">
      <c r="A27" s="34" t="s">
        <v>824</v>
      </c>
      <c r="B27" s="35">
        <v>3400</v>
      </c>
    </row>
    <row r="28" spans="1:2" x14ac:dyDescent="0.25">
      <c r="A28" s="34" t="s">
        <v>830</v>
      </c>
      <c r="B28" s="35">
        <v>3400</v>
      </c>
    </row>
    <row r="29" spans="1:2" x14ac:dyDescent="0.25">
      <c r="A29" s="34" t="s">
        <v>841</v>
      </c>
      <c r="B29" s="35">
        <v>3400</v>
      </c>
    </row>
    <row r="30" spans="1:2" x14ac:dyDescent="0.25">
      <c r="A30" s="34" t="s">
        <v>845</v>
      </c>
      <c r="B30" s="35">
        <v>3400</v>
      </c>
    </row>
    <row r="31" spans="1:2" x14ac:dyDescent="0.25">
      <c r="A31" s="33"/>
      <c r="B31" s="35"/>
    </row>
    <row r="32" spans="1:2" x14ac:dyDescent="0.25">
      <c r="A32" s="32">
        <v>140010230</v>
      </c>
      <c r="B32" s="35">
        <v>52400</v>
      </c>
    </row>
    <row r="33" spans="1:2" x14ac:dyDescent="0.25">
      <c r="A33" s="33">
        <v>2</v>
      </c>
      <c r="B33" s="35">
        <v>22000</v>
      </c>
    </row>
    <row r="34" spans="1:2" x14ac:dyDescent="0.25">
      <c r="A34" s="34" t="s">
        <v>280</v>
      </c>
      <c r="B34" s="35">
        <v>6000</v>
      </c>
    </row>
    <row r="35" spans="1:2" x14ac:dyDescent="0.25">
      <c r="A35" s="34" t="s">
        <v>281</v>
      </c>
      <c r="B35" s="35">
        <v>5000</v>
      </c>
    </row>
    <row r="36" spans="1:2" x14ac:dyDescent="0.25">
      <c r="A36" s="34" t="s">
        <v>282</v>
      </c>
      <c r="B36" s="35">
        <v>6000</v>
      </c>
    </row>
    <row r="37" spans="1:2" x14ac:dyDescent="0.25">
      <c r="A37" s="34" t="s">
        <v>283</v>
      </c>
      <c r="B37" s="35">
        <v>5000</v>
      </c>
    </row>
    <row r="38" spans="1:2" x14ac:dyDescent="0.25">
      <c r="A38" s="33"/>
      <c r="B38" s="35"/>
    </row>
    <row r="39" spans="1:2" x14ac:dyDescent="0.25">
      <c r="A39" s="33">
        <v>3</v>
      </c>
      <c r="B39" s="35">
        <v>3000</v>
      </c>
    </row>
    <row r="40" spans="1:2" x14ac:dyDescent="0.25">
      <c r="A40" s="34" t="s">
        <v>743</v>
      </c>
      <c r="B40" s="35">
        <v>3000</v>
      </c>
    </row>
    <row r="41" spans="1:2" x14ac:dyDescent="0.25">
      <c r="A41" s="33"/>
      <c r="B41" s="35"/>
    </row>
    <row r="42" spans="1:2" x14ac:dyDescent="0.25">
      <c r="A42" s="33">
        <v>4</v>
      </c>
      <c r="B42" s="35">
        <v>9000</v>
      </c>
    </row>
    <row r="43" spans="1:2" x14ac:dyDescent="0.25">
      <c r="A43" s="34" t="s">
        <v>777</v>
      </c>
      <c r="B43" s="35">
        <v>6000</v>
      </c>
    </row>
    <row r="44" spans="1:2" x14ac:dyDescent="0.25">
      <c r="A44" s="34" t="s">
        <v>771</v>
      </c>
      <c r="B44" s="35">
        <v>3000</v>
      </c>
    </row>
    <row r="45" spans="1:2" x14ac:dyDescent="0.25">
      <c r="A45" s="33"/>
      <c r="B45" s="35"/>
    </row>
    <row r="46" spans="1:2" x14ac:dyDescent="0.25">
      <c r="A46" s="33">
        <v>6</v>
      </c>
      <c r="B46" s="35">
        <v>18000</v>
      </c>
    </row>
    <row r="47" spans="1:2" x14ac:dyDescent="0.25">
      <c r="A47" s="34" t="s">
        <v>820</v>
      </c>
      <c r="B47" s="35">
        <v>3600</v>
      </c>
    </row>
    <row r="48" spans="1:2" x14ac:dyDescent="0.25">
      <c r="A48" s="34" t="s">
        <v>824</v>
      </c>
      <c r="B48" s="35">
        <v>3600</v>
      </c>
    </row>
    <row r="49" spans="1:2" x14ac:dyDescent="0.25">
      <c r="A49" s="34" t="s">
        <v>830</v>
      </c>
      <c r="B49" s="35">
        <v>3600</v>
      </c>
    </row>
    <row r="50" spans="1:2" x14ac:dyDescent="0.25">
      <c r="A50" s="34" t="s">
        <v>841</v>
      </c>
      <c r="B50" s="35">
        <v>3600</v>
      </c>
    </row>
    <row r="51" spans="1:2" x14ac:dyDescent="0.25">
      <c r="A51" s="34" t="s">
        <v>845</v>
      </c>
      <c r="B51" s="35">
        <v>3600</v>
      </c>
    </row>
    <row r="52" spans="1:2" x14ac:dyDescent="0.25">
      <c r="A52" s="33"/>
      <c r="B52" s="35"/>
    </row>
    <row r="53" spans="1:2" x14ac:dyDescent="0.25">
      <c r="A53" s="33">
        <v>5</v>
      </c>
      <c r="B53" s="35">
        <v>400</v>
      </c>
    </row>
    <row r="54" spans="1:2" x14ac:dyDescent="0.25">
      <c r="A54" s="34" t="s">
        <v>845</v>
      </c>
      <c r="B54" s="35">
        <v>400</v>
      </c>
    </row>
    <row r="55" spans="1:2" x14ac:dyDescent="0.25">
      <c r="A55" s="33"/>
      <c r="B55" s="35"/>
    </row>
    <row r="56" spans="1:2" x14ac:dyDescent="0.25">
      <c r="A56" s="32">
        <v>140010255</v>
      </c>
      <c r="B56" s="35">
        <v>4500</v>
      </c>
    </row>
    <row r="57" spans="1:2" x14ac:dyDescent="0.25">
      <c r="A57" s="32"/>
      <c r="B57" s="35"/>
    </row>
    <row r="58" spans="1:2" x14ac:dyDescent="0.25">
      <c r="A58" s="32">
        <v>140020181</v>
      </c>
      <c r="B58" s="35">
        <v>18100</v>
      </c>
    </row>
    <row r="59" spans="1:2" x14ac:dyDescent="0.25">
      <c r="A59" s="32"/>
      <c r="B59" s="35"/>
    </row>
    <row r="60" spans="1:2" x14ac:dyDescent="0.25">
      <c r="A60" s="32">
        <v>140030039</v>
      </c>
      <c r="B60" s="35">
        <v>29300</v>
      </c>
    </row>
    <row r="61" spans="1:2" x14ac:dyDescent="0.25">
      <c r="A61" s="32"/>
      <c r="B61" s="35"/>
    </row>
    <row r="62" spans="1:2" x14ac:dyDescent="0.25">
      <c r="A62" s="32">
        <v>140030040</v>
      </c>
      <c r="B62" s="35">
        <v>50540</v>
      </c>
    </row>
    <row r="63" spans="1:2" x14ac:dyDescent="0.25">
      <c r="A63" s="32"/>
      <c r="B63" s="35"/>
    </row>
    <row r="64" spans="1:2" x14ac:dyDescent="0.25">
      <c r="A64" s="32">
        <v>140310058</v>
      </c>
      <c r="B64" s="35">
        <v>10000</v>
      </c>
    </row>
    <row r="65" spans="1:2" x14ac:dyDescent="0.25">
      <c r="A65" s="33">
        <v>2</v>
      </c>
      <c r="B65" s="35">
        <v>6000</v>
      </c>
    </row>
    <row r="66" spans="1:2" x14ac:dyDescent="0.25">
      <c r="A66" s="34" t="s">
        <v>254</v>
      </c>
      <c r="B66" s="35">
        <v>2000</v>
      </c>
    </row>
    <row r="67" spans="1:2" x14ac:dyDescent="0.25">
      <c r="A67" s="34" t="s">
        <v>280</v>
      </c>
      <c r="B67" s="35">
        <v>2000</v>
      </c>
    </row>
    <row r="68" spans="1:2" x14ac:dyDescent="0.25">
      <c r="A68" s="34" t="s">
        <v>711</v>
      </c>
      <c r="B68" s="35">
        <v>2000</v>
      </c>
    </row>
    <row r="69" spans="1:2" x14ac:dyDescent="0.25">
      <c r="A69" s="33"/>
      <c r="B69" s="35"/>
    </row>
    <row r="70" spans="1:2" x14ac:dyDescent="0.25">
      <c r="A70" s="33">
        <v>3</v>
      </c>
      <c r="B70" s="35">
        <v>4000</v>
      </c>
    </row>
    <row r="71" spans="1:2" x14ac:dyDescent="0.25">
      <c r="A71" s="34" t="s">
        <v>731</v>
      </c>
      <c r="B71" s="35">
        <v>2000</v>
      </c>
    </row>
    <row r="72" spans="1:2" x14ac:dyDescent="0.25">
      <c r="A72" s="34" t="s">
        <v>722</v>
      </c>
      <c r="B72" s="35">
        <v>2000</v>
      </c>
    </row>
    <row r="73" spans="1:2" x14ac:dyDescent="0.25">
      <c r="A73" s="33"/>
      <c r="B73" s="35"/>
    </row>
    <row r="74" spans="1:2" x14ac:dyDescent="0.25">
      <c r="A74" s="32">
        <v>140450027</v>
      </c>
      <c r="B74" s="35">
        <v>6400</v>
      </c>
    </row>
    <row r="75" spans="1:2" x14ac:dyDescent="0.25">
      <c r="A75" s="32"/>
      <c r="B75" s="35"/>
    </row>
    <row r="76" spans="1:2" x14ac:dyDescent="0.25">
      <c r="A76" s="32">
        <v>140450035</v>
      </c>
      <c r="B76" s="35">
        <v>2800</v>
      </c>
    </row>
    <row r="77" spans="1:2" x14ac:dyDescent="0.25">
      <c r="A77" s="32"/>
      <c r="B77" s="35"/>
    </row>
    <row r="78" spans="1:2" x14ac:dyDescent="0.25">
      <c r="A78" s="32">
        <v>140310007</v>
      </c>
      <c r="B78" s="35">
        <v>70000</v>
      </c>
    </row>
    <row r="79" spans="1:2" x14ac:dyDescent="0.25">
      <c r="A79" s="32"/>
      <c r="B79" s="35"/>
    </row>
    <row r="80" spans="1:2" x14ac:dyDescent="0.25">
      <c r="A80" s="32">
        <v>140310031</v>
      </c>
      <c r="B80" s="35">
        <v>9000</v>
      </c>
    </row>
    <row r="81" spans="1:2" x14ac:dyDescent="0.25">
      <c r="A81" s="32"/>
      <c r="B81" s="35"/>
    </row>
    <row r="82" spans="1:2" x14ac:dyDescent="0.25">
      <c r="A82" s="32">
        <v>141320055</v>
      </c>
      <c r="B82" s="35">
        <v>60000</v>
      </c>
    </row>
    <row r="83" spans="1:2" x14ac:dyDescent="0.25">
      <c r="A83" s="32"/>
      <c r="B83" s="35"/>
    </row>
    <row r="84" spans="1:2" x14ac:dyDescent="0.25">
      <c r="A84" s="32">
        <v>140310096</v>
      </c>
      <c r="B84" s="35">
        <v>7000</v>
      </c>
    </row>
    <row r="85" spans="1:2" x14ac:dyDescent="0.25">
      <c r="A85" s="32"/>
      <c r="B85" s="35"/>
    </row>
    <row r="86" spans="1:2" x14ac:dyDescent="0.25">
      <c r="A86" s="32">
        <v>140640007</v>
      </c>
      <c r="B86" s="35">
        <v>15000</v>
      </c>
    </row>
    <row r="87" spans="1:2" x14ac:dyDescent="0.25">
      <c r="A87" s="33">
        <v>2</v>
      </c>
      <c r="B87" s="35">
        <v>15000</v>
      </c>
    </row>
    <row r="88" spans="1:2" x14ac:dyDescent="0.25">
      <c r="A88" s="34" t="s">
        <v>210</v>
      </c>
      <c r="B88" s="35">
        <v>15000</v>
      </c>
    </row>
    <row r="89" spans="1:2" x14ac:dyDescent="0.25">
      <c r="A89" s="33"/>
      <c r="B89" s="35"/>
    </row>
    <row r="90" spans="1:2" x14ac:dyDescent="0.25">
      <c r="A90" s="32">
        <v>140310071</v>
      </c>
      <c r="B90" s="35">
        <v>70000</v>
      </c>
    </row>
    <row r="91" spans="1:2" x14ac:dyDescent="0.25">
      <c r="A91" s="33">
        <v>3</v>
      </c>
      <c r="B91" s="35">
        <v>70000</v>
      </c>
    </row>
    <row r="92" spans="1:2" x14ac:dyDescent="0.25">
      <c r="A92" s="34" t="s">
        <v>727</v>
      </c>
      <c r="B92" s="35">
        <v>5000</v>
      </c>
    </row>
    <row r="93" spans="1:2" x14ac:dyDescent="0.25">
      <c r="A93" s="34" t="s">
        <v>722</v>
      </c>
      <c r="B93" s="35">
        <v>5000</v>
      </c>
    </row>
    <row r="94" spans="1:2" x14ac:dyDescent="0.25">
      <c r="A94" s="34" t="s">
        <v>732</v>
      </c>
      <c r="B94" s="35">
        <v>12000</v>
      </c>
    </row>
    <row r="95" spans="1:2" x14ac:dyDescent="0.25">
      <c r="A95" s="34" t="s">
        <v>738</v>
      </c>
      <c r="B95" s="35">
        <v>12000</v>
      </c>
    </row>
    <row r="96" spans="1:2" x14ac:dyDescent="0.25">
      <c r="A96" s="34" t="s">
        <v>744</v>
      </c>
      <c r="B96" s="35">
        <v>12000</v>
      </c>
    </row>
    <row r="97" spans="1:2" x14ac:dyDescent="0.25">
      <c r="A97" s="34" t="s">
        <v>751</v>
      </c>
      <c r="B97" s="35">
        <v>12000</v>
      </c>
    </row>
    <row r="98" spans="1:2" x14ac:dyDescent="0.25">
      <c r="A98" s="34" t="s">
        <v>757</v>
      </c>
      <c r="B98" s="35">
        <v>12000</v>
      </c>
    </row>
    <row r="99" spans="1:2" x14ac:dyDescent="0.25">
      <c r="A99" s="33"/>
      <c r="B99" s="35"/>
    </row>
    <row r="100" spans="1:2" x14ac:dyDescent="0.25">
      <c r="A100" s="32">
        <v>140310083</v>
      </c>
      <c r="B100" s="35">
        <v>30000</v>
      </c>
    </row>
    <row r="101" spans="1:2" x14ac:dyDescent="0.25">
      <c r="A101" s="33">
        <v>3</v>
      </c>
      <c r="B101" s="35">
        <v>30000</v>
      </c>
    </row>
    <row r="102" spans="1:2" x14ac:dyDescent="0.25">
      <c r="A102" s="34" t="s">
        <v>727</v>
      </c>
      <c r="B102" s="35">
        <v>3000</v>
      </c>
    </row>
    <row r="103" spans="1:2" x14ac:dyDescent="0.25">
      <c r="A103" s="34" t="s">
        <v>722</v>
      </c>
      <c r="B103" s="35">
        <v>3000</v>
      </c>
    </row>
    <row r="104" spans="1:2" x14ac:dyDescent="0.25">
      <c r="A104" s="34" t="s">
        <v>732</v>
      </c>
      <c r="B104" s="35">
        <v>5000</v>
      </c>
    </row>
    <row r="105" spans="1:2" x14ac:dyDescent="0.25">
      <c r="A105" s="34" t="s">
        <v>738</v>
      </c>
      <c r="B105" s="35">
        <v>5000</v>
      </c>
    </row>
    <row r="106" spans="1:2" x14ac:dyDescent="0.25">
      <c r="A106" s="34" t="s">
        <v>744</v>
      </c>
      <c r="B106" s="35">
        <v>5000</v>
      </c>
    </row>
    <row r="107" spans="1:2" x14ac:dyDescent="0.25">
      <c r="A107" s="34" t="s">
        <v>751</v>
      </c>
      <c r="B107" s="35">
        <v>5000</v>
      </c>
    </row>
    <row r="108" spans="1:2" x14ac:dyDescent="0.25">
      <c r="A108" s="34" t="s">
        <v>757</v>
      </c>
      <c r="B108" s="35">
        <v>4000</v>
      </c>
    </row>
    <row r="109" spans="1:2" x14ac:dyDescent="0.25">
      <c r="A109" s="33"/>
      <c r="B109" s="35"/>
    </row>
    <row r="110" spans="1:2" x14ac:dyDescent="0.25">
      <c r="A110" s="32">
        <v>140530039</v>
      </c>
      <c r="B110" s="35">
        <v>20000</v>
      </c>
    </row>
    <row r="111" spans="1:2" x14ac:dyDescent="0.25">
      <c r="A111" s="33">
        <v>3</v>
      </c>
      <c r="B111" s="35">
        <v>20000</v>
      </c>
    </row>
    <row r="112" spans="1:2" x14ac:dyDescent="0.25">
      <c r="A112" s="34" t="s">
        <v>737</v>
      </c>
      <c r="B112" s="35">
        <v>3000</v>
      </c>
    </row>
    <row r="113" spans="1:2" x14ac:dyDescent="0.25">
      <c r="A113" s="34" t="s">
        <v>1130</v>
      </c>
      <c r="B113" s="35">
        <v>5000</v>
      </c>
    </row>
    <row r="114" spans="1:2" x14ac:dyDescent="0.25">
      <c r="A114" s="34" t="s">
        <v>750</v>
      </c>
      <c r="B114" s="35">
        <v>5000</v>
      </c>
    </row>
    <row r="115" spans="1:2" x14ac:dyDescent="0.25">
      <c r="A115" s="34" t="s">
        <v>756</v>
      </c>
      <c r="B115" s="35">
        <v>7000</v>
      </c>
    </row>
    <row r="116" spans="1:2" x14ac:dyDescent="0.25">
      <c r="A116" s="33"/>
      <c r="B116" s="35"/>
    </row>
    <row r="117" spans="1:2" x14ac:dyDescent="0.25">
      <c r="A117" s="32">
        <v>140550019</v>
      </c>
      <c r="B117" s="35">
        <v>8864</v>
      </c>
    </row>
    <row r="118" spans="1:2" x14ac:dyDescent="0.25">
      <c r="A118" s="33">
        <v>10</v>
      </c>
      <c r="B118" s="35">
        <v>8864</v>
      </c>
    </row>
    <row r="119" spans="1:2" x14ac:dyDescent="0.25">
      <c r="A119" s="33"/>
      <c r="B119" s="35"/>
    </row>
    <row r="120" spans="1:2" x14ac:dyDescent="0.25">
      <c r="A120" s="32">
        <v>140450047</v>
      </c>
      <c r="B120" s="35">
        <v>11000</v>
      </c>
    </row>
    <row r="121" spans="1:2" x14ac:dyDescent="0.25">
      <c r="A121" s="33">
        <v>4</v>
      </c>
      <c r="B121" s="35">
        <v>11000</v>
      </c>
    </row>
    <row r="122" spans="1:2" x14ac:dyDescent="0.25">
      <c r="A122" s="34" t="s">
        <v>757</v>
      </c>
      <c r="B122" s="35">
        <v>3000</v>
      </c>
    </row>
    <row r="123" spans="1:2" x14ac:dyDescent="0.25">
      <c r="A123" s="34" t="s">
        <v>754</v>
      </c>
      <c r="B123" s="35">
        <v>5000</v>
      </c>
    </row>
    <row r="124" spans="1:2" x14ac:dyDescent="0.25">
      <c r="A124" s="34" t="s">
        <v>760</v>
      </c>
      <c r="B124" s="35">
        <v>3000</v>
      </c>
    </row>
    <row r="125" spans="1:2" x14ac:dyDescent="0.25">
      <c r="A125" s="33"/>
      <c r="B125" s="35"/>
    </row>
    <row r="126" spans="1:2" x14ac:dyDescent="0.25">
      <c r="A126" s="32" t="s">
        <v>209</v>
      </c>
      <c r="B126" s="35">
        <v>518904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E646E-1045-44DD-B130-181ED6ABE176}">
  <sheetPr codeName="Sheet13"/>
  <dimension ref="A1:B33"/>
  <sheetViews>
    <sheetView workbookViewId="0">
      <selection activeCell="B30" sqref="B30"/>
    </sheetView>
  </sheetViews>
  <sheetFormatPr defaultRowHeight="15" x14ac:dyDescent="0.25"/>
  <cols>
    <col min="1" max="1" width="11" style="23" customWidth="1"/>
    <col min="2" max="2" width="249.28515625" style="23" customWidth="1"/>
    <col min="3" max="16384" width="9.140625" style="23"/>
  </cols>
  <sheetData>
    <row r="1" spans="1:2" ht="24.95" customHeight="1" x14ac:dyDescent="0.25">
      <c r="A1" s="23" t="s">
        <v>183</v>
      </c>
      <c r="B1" s="23" t="s">
        <v>213</v>
      </c>
    </row>
    <row r="2" spans="1:2" x14ac:dyDescent="0.25">
      <c r="B2" s="8"/>
    </row>
    <row r="3" spans="1:2" x14ac:dyDescent="0.25">
      <c r="B3" s="8"/>
    </row>
    <row r="4" spans="1:2" x14ac:dyDescent="0.25">
      <c r="B4" s="8"/>
    </row>
    <row r="5" spans="1:2" x14ac:dyDescent="0.25">
      <c r="B5" s="8"/>
    </row>
    <row r="6" spans="1:2" x14ac:dyDescent="0.25">
      <c r="B6" s="8"/>
    </row>
    <row r="7" spans="1:2" x14ac:dyDescent="0.25">
      <c r="B7" s="8"/>
    </row>
    <row r="8" spans="1:2" x14ac:dyDescent="0.25">
      <c r="B8" s="8"/>
    </row>
    <row r="9" spans="1:2" x14ac:dyDescent="0.25">
      <c r="B9" s="8"/>
    </row>
    <row r="10" spans="1:2" x14ac:dyDescent="0.25">
      <c r="B10" s="8"/>
    </row>
    <row r="11" spans="1:2" x14ac:dyDescent="0.25">
      <c r="B11" s="8"/>
    </row>
    <row r="12" spans="1:2" x14ac:dyDescent="0.25">
      <c r="B12" s="8"/>
    </row>
    <row r="13" spans="1:2" x14ac:dyDescent="0.25">
      <c r="B13" s="8"/>
    </row>
    <row r="14" spans="1:2" x14ac:dyDescent="0.25">
      <c r="B14" s="8"/>
    </row>
    <row r="15" spans="1:2" x14ac:dyDescent="0.25">
      <c r="B15" s="8"/>
    </row>
    <row r="16" spans="1:2" x14ac:dyDescent="0.25">
      <c r="B16" s="8"/>
    </row>
    <row r="17" spans="2:2" x14ac:dyDescent="0.25">
      <c r="B17" s="8"/>
    </row>
    <row r="18" spans="2:2" x14ac:dyDescent="0.25">
      <c r="B18" s="8"/>
    </row>
    <row r="19" spans="2:2" x14ac:dyDescent="0.25">
      <c r="B19" s="8"/>
    </row>
    <row r="20" spans="2:2" x14ac:dyDescent="0.25">
      <c r="B20" s="8"/>
    </row>
    <row r="21" spans="2:2" x14ac:dyDescent="0.25">
      <c r="B21" s="8"/>
    </row>
    <row r="22" spans="2:2" x14ac:dyDescent="0.25">
      <c r="B22" s="8"/>
    </row>
    <row r="23" spans="2:2" x14ac:dyDescent="0.25">
      <c r="B23" s="8"/>
    </row>
    <row r="24" spans="2:2" x14ac:dyDescent="0.25">
      <c r="B24" s="8"/>
    </row>
    <row r="25" spans="2:2" x14ac:dyDescent="0.25">
      <c r="B25" s="8"/>
    </row>
    <row r="26" spans="2:2" x14ac:dyDescent="0.25">
      <c r="B26" s="8"/>
    </row>
    <row r="27" spans="2:2" x14ac:dyDescent="0.25">
      <c r="B27" s="8"/>
    </row>
    <row r="28" spans="2:2" x14ac:dyDescent="0.25">
      <c r="B28" s="8"/>
    </row>
    <row r="29" spans="2:2" x14ac:dyDescent="0.25">
      <c r="B29" s="8"/>
    </row>
    <row r="30" spans="2:2" x14ac:dyDescent="0.25">
      <c r="B30" s="8"/>
    </row>
    <row r="31" spans="2:2" x14ac:dyDescent="0.25">
      <c r="B31" s="8"/>
    </row>
    <row r="32" spans="2:2" x14ac:dyDescent="0.25">
      <c r="B32" s="8"/>
    </row>
    <row r="33" spans="2:2" x14ac:dyDescent="0.25">
      <c r="B33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mypivot" altText="refresh">
                <anchor moveWithCells="1" sizeWithCells="1">
                  <from>
                    <xdr:col>1</xdr:col>
                    <xdr:colOff>1209675</xdr:colOff>
                    <xdr:row>0</xdr:row>
                    <xdr:rowOff>66675</xdr:rowOff>
                  </from>
                  <to>
                    <xdr:col>1</xdr:col>
                    <xdr:colOff>2133600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36A50-B87C-4C81-98AC-4F1E631EB05E}">
  <sheetPr codeName="Sheet12"/>
  <dimension ref="A1:B38"/>
  <sheetViews>
    <sheetView zoomScaleNormal="100" workbookViewId="0">
      <pane ySplit="1" topLeftCell="A8" activePane="bottomLeft" state="frozen"/>
      <selection pane="bottomLeft" activeCell="A2" sqref="A2:B38"/>
    </sheetView>
  </sheetViews>
  <sheetFormatPr defaultRowHeight="15" x14ac:dyDescent="0.25"/>
  <cols>
    <col min="1" max="1" width="11" style="23" customWidth="1"/>
    <col min="2" max="2" width="133" style="23" customWidth="1"/>
    <col min="3" max="16384" width="9.140625" style="23"/>
  </cols>
  <sheetData>
    <row r="1" spans="1:2" ht="24.95" customHeight="1" x14ac:dyDescent="0.25">
      <c r="A1" s="23" t="s">
        <v>183</v>
      </c>
      <c r="B1" s="23" t="s">
        <v>213</v>
      </c>
    </row>
    <row r="2" spans="1:2" x14ac:dyDescent="0.25">
      <c r="B2" s="42"/>
    </row>
    <row r="3" spans="1:2" x14ac:dyDescent="0.25">
      <c r="B3" s="42"/>
    </row>
    <row r="4" spans="1:2" x14ac:dyDescent="0.25">
      <c r="B4" s="42"/>
    </row>
    <row r="5" spans="1:2" x14ac:dyDescent="0.25">
      <c r="B5" s="42"/>
    </row>
    <row r="6" spans="1:2" x14ac:dyDescent="0.25">
      <c r="B6" s="42"/>
    </row>
    <row r="7" spans="1:2" x14ac:dyDescent="0.25">
      <c r="B7" s="42"/>
    </row>
    <row r="8" spans="1:2" x14ac:dyDescent="0.25">
      <c r="B8" s="42"/>
    </row>
    <row r="9" spans="1:2" x14ac:dyDescent="0.25">
      <c r="B9" s="42"/>
    </row>
    <row r="10" spans="1:2" x14ac:dyDescent="0.25">
      <c r="B10" s="42"/>
    </row>
    <row r="11" spans="1:2" x14ac:dyDescent="0.25">
      <c r="B11" s="42"/>
    </row>
    <row r="12" spans="1:2" x14ac:dyDescent="0.25">
      <c r="B12" s="42"/>
    </row>
    <row r="13" spans="1:2" x14ac:dyDescent="0.25">
      <c r="B13" s="42"/>
    </row>
    <row r="14" spans="1:2" x14ac:dyDescent="0.25">
      <c r="B14" s="42"/>
    </row>
    <row r="15" spans="1:2" x14ac:dyDescent="0.25">
      <c r="B15" s="42"/>
    </row>
    <row r="16" spans="1:2" x14ac:dyDescent="0.25">
      <c r="B16" s="42"/>
    </row>
    <row r="17" spans="2:2" x14ac:dyDescent="0.25">
      <c r="B17" s="42"/>
    </row>
    <row r="18" spans="2:2" x14ac:dyDescent="0.25">
      <c r="B18" s="42"/>
    </row>
    <row r="19" spans="2:2" x14ac:dyDescent="0.25">
      <c r="B19" s="42"/>
    </row>
    <row r="20" spans="2:2" x14ac:dyDescent="0.25">
      <c r="B20" s="42"/>
    </row>
    <row r="21" spans="2:2" x14ac:dyDescent="0.25">
      <c r="B21" s="42"/>
    </row>
    <row r="22" spans="2:2" x14ac:dyDescent="0.25">
      <c r="B22" s="42"/>
    </row>
    <row r="23" spans="2:2" x14ac:dyDescent="0.25">
      <c r="B23" s="42"/>
    </row>
    <row r="24" spans="2:2" x14ac:dyDescent="0.25">
      <c r="B24" s="42"/>
    </row>
    <row r="25" spans="2:2" x14ac:dyDescent="0.25">
      <c r="B25" s="42"/>
    </row>
    <row r="26" spans="2:2" x14ac:dyDescent="0.25">
      <c r="B26" s="42"/>
    </row>
    <row r="27" spans="2:2" x14ac:dyDescent="0.25">
      <c r="B27" s="42"/>
    </row>
    <row r="28" spans="2:2" x14ac:dyDescent="0.25">
      <c r="B28" s="42"/>
    </row>
    <row r="29" spans="2:2" x14ac:dyDescent="0.25">
      <c r="B29" s="42"/>
    </row>
    <row r="30" spans="2:2" x14ac:dyDescent="0.25">
      <c r="B30" s="42"/>
    </row>
    <row r="31" spans="2:2" x14ac:dyDescent="0.25">
      <c r="B31" s="42"/>
    </row>
    <row r="32" spans="2:2" x14ac:dyDescent="0.25">
      <c r="B32" s="42"/>
    </row>
    <row r="33" spans="2:2" x14ac:dyDescent="0.25">
      <c r="B33" s="42"/>
    </row>
    <row r="34" spans="2:2" x14ac:dyDescent="0.25">
      <c r="B34" s="42"/>
    </row>
    <row r="35" spans="2:2" x14ac:dyDescent="0.25">
      <c r="B35" s="42"/>
    </row>
    <row r="36" spans="2:2" x14ac:dyDescent="0.25">
      <c r="B36" s="42"/>
    </row>
    <row r="37" spans="2:2" x14ac:dyDescent="0.25">
      <c r="B37" s="42"/>
    </row>
    <row r="38" spans="2:2" x14ac:dyDescent="0.25">
      <c r="B38" s="42"/>
    </row>
  </sheetData>
  <phoneticPr fontId="1" type="noConversion"/>
  <printOptions verticalCentered="1"/>
  <pageMargins left="0.23622047244094491" right="0.23622047244094491" top="0.74803149606299213" bottom="0.74803149606299213" header="0.31496062992125984" footer="0.31496062992125984"/>
  <pageSetup paperSize="9" scale="9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mypivot" altText="refresh">
                <anchor moveWithCells="1" sizeWithCells="1">
                  <from>
                    <xdr:col>1</xdr:col>
                    <xdr:colOff>1209675</xdr:colOff>
                    <xdr:row>0</xdr:row>
                    <xdr:rowOff>66675</xdr:rowOff>
                  </from>
                  <to>
                    <xdr:col>1</xdr:col>
                    <xdr:colOff>2133600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319C3-1D0D-4999-9B7E-AD5556DC9C49}">
  <sheetPr codeName="Sheet3"/>
  <dimension ref="A1:E23"/>
  <sheetViews>
    <sheetView workbookViewId="0">
      <selection activeCell="H20" sqref="H20"/>
    </sheetView>
  </sheetViews>
  <sheetFormatPr defaultRowHeight="15" x14ac:dyDescent="0.25"/>
  <cols>
    <col min="1" max="1" width="13.140625" bestFit="1" customWidth="1"/>
    <col min="2" max="2" width="12.140625" bestFit="1" customWidth="1"/>
    <col min="3" max="3" width="16.140625" bestFit="1" customWidth="1"/>
    <col min="4" max="4" width="15.85546875" bestFit="1" customWidth="1"/>
    <col min="5" max="5" width="17.42578125" bestFit="1" customWidth="1"/>
    <col min="6" max="14" width="3" bestFit="1" customWidth="1"/>
    <col min="15" max="15" width="16.140625" bestFit="1" customWidth="1"/>
    <col min="16" max="17" width="6" bestFit="1" customWidth="1"/>
    <col min="18" max="27" width="3" bestFit="1" customWidth="1"/>
    <col min="28" max="28" width="15.85546875" bestFit="1" customWidth="1"/>
    <col min="29" max="30" width="6" bestFit="1" customWidth="1"/>
    <col min="31" max="40" width="3" bestFit="1" customWidth="1"/>
    <col min="41" max="41" width="14" bestFit="1" customWidth="1"/>
    <col min="42" max="42" width="7" bestFit="1" customWidth="1"/>
    <col min="43" max="43" width="6" bestFit="1" customWidth="1"/>
    <col min="44" max="53" width="3" bestFit="1" customWidth="1"/>
    <col min="54" max="54" width="17.28515625" bestFit="1" customWidth="1"/>
    <col min="55" max="55" width="21.140625" bestFit="1" customWidth="1"/>
    <col min="56" max="56" width="20.85546875" bestFit="1" customWidth="1"/>
    <col min="57" max="57" width="19" bestFit="1" customWidth="1"/>
  </cols>
  <sheetData>
    <row r="1" spans="1:5" x14ac:dyDescent="0.25">
      <c r="A1" s="31" t="s">
        <v>1072</v>
      </c>
      <c r="B1" s="32">
        <v>1</v>
      </c>
    </row>
    <row r="2" spans="1:5" x14ac:dyDescent="0.25">
      <c r="A2" s="31" t="s">
        <v>1073</v>
      </c>
      <c r="B2" s="22" t="s">
        <v>1031</v>
      </c>
    </row>
    <row r="4" spans="1:5" x14ac:dyDescent="0.25">
      <c r="A4" s="31" t="s">
        <v>208</v>
      </c>
      <c r="B4" s="22" t="s">
        <v>1060</v>
      </c>
      <c r="C4" s="22" t="s">
        <v>1058</v>
      </c>
      <c r="D4" s="22" t="s">
        <v>1059</v>
      </c>
      <c r="E4" s="22" t="s">
        <v>1090</v>
      </c>
    </row>
    <row r="5" spans="1:5" x14ac:dyDescent="0.25">
      <c r="A5" s="32" t="s">
        <v>681</v>
      </c>
      <c r="B5" s="75">
        <v>1</v>
      </c>
      <c r="C5" s="75">
        <v>3000</v>
      </c>
      <c r="D5" s="75">
        <v>7100</v>
      </c>
      <c r="E5" s="247">
        <v>0.59481569859593209</v>
      </c>
    </row>
    <row r="6" spans="1:5" x14ac:dyDescent="0.25">
      <c r="A6" s="32" t="s">
        <v>255</v>
      </c>
      <c r="B6" s="75">
        <v>1</v>
      </c>
      <c r="C6" s="75">
        <v>13000</v>
      </c>
      <c r="D6" s="75">
        <v>5325</v>
      </c>
      <c r="E6" s="247">
        <v>0.4647739723716533</v>
      </c>
    </row>
    <row r="7" spans="1:5" x14ac:dyDescent="0.25">
      <c r="A7" s="32" t="s">
        <v>687</v>
      </c>
      <c r="B7" s="75">
        <v>1</v>
      </c>
      <c r="C7" s="75">
        <v>7413</v>
      </c>
      <c r="D7" s="75">
        <v>8055</v>
      </c>
      <c r="E7" s="247">
        <v>0.67370979696967237</v>
      </c>
    </row>
    <row r="8" spans="1:5" x14ac:dyDescent="0.25">
      <c r="A8" s="32" t="s">
        <v>280</v>
      </c>
      <c r="B8" s="75">
        <v>1</v>
      </c>
      <c r="C8" s="75">
        <v>3000</v>
      </c>
      <c r="D8" s="75">
        <v>7850</v>
      </c>
      <c r="E8" s="247">
        <v>0.66425210949950231</v>
      </c>
    </row>
    <row r="9" spans="1:5" x14ac:dyDescent="0.25">
      <c r="A9" s="32" t="s">
        <v>709</v>
      </c>
      <c r="B9" s="75">
        <v>1</v>
      </c>
      <c r="C9" s="75">
        <v>9347</v>
      </c>
      <c r="D9" s="75">
        <v>5753</v>
      </c>
      <c r="E9" s="247">
        <v>0.52577513938482023</v>
      </c>
    </row>
    <row r="10" spans="1:5" x14ac:dyDescent="0.25">
      <c r="A10" s="32" t="s">
        <v>710</v>
      </c>
      <c r="B10" s="75">
        <v>1</v>
      </c>
      <c r="C10" s="75">
        <v>3000</v>
      </c>
      <c r="D10" s="75">
        <v>5875</v>
      </c>
      <c r="E10" s="247">
        <v>0.58222013873496359</v>
      </c>
    </row>
    <row r="11" spans="1:5" x14ac:dyDescent="0.25">
      <c r="A11" s="32" t="s">
        <v>258</v>
      </c>
      <c r="B11" s="75">
        <v>1</v>
      </c>
      <c r="C11" s="75">
        <v>3000</v>
      </c>
      <c r="D11" s="75">
        <v>6199</v>
      </c>
      <c r="E11" s="247">
        <v>0.57913755670066946</v>
      </c>
    </row>
    <row r="12" spans="1:5" x14ac:dyDescent="0.25">
      <c r="A12" s="32" t="s">
        <v>711</v>
      </c>
      <c r="B12" s="75">
        <v>1</v>
      </c>
      <c r="C12" s="75">
        <v>0</v>
      </c>
      <c r="D12" s="75">
        <v>5372</v>
      </c>
      <c r="E12" s="247">
        <v>0.40263555347026159</v>
      </c>
    </row>
    <row r="13" spans="1:5" x14ac:dyDescent="0.25">
      <c r="A13" s="32" t="s">
        <v>712</v>
      </c>
      <c r="B13" s="75">
        <v>1</v>
      </c>
      <c r="C13" s="75">
        <v>0</v>
      </c>
      <c r="D13" s="75">
        <v>3850</v>
      </c>
      <c r="E13" s="247">
        <v>0.81563940436994897</v>
      </c>
    </row>
    <row r="14" spans="1:5" x14ac:dyDescent="0.25">
      <c r="A14" s="32" t="s">
        <v>713</v>
      </c>
      <c r="B14" s="75">
        <v>1</v>
      </c>
      <c r="C14" s="75">
        <v>0</v>
      </c>
      <c r="D14" s="75">
        <v>3750</v>
      </c>
      <c r="E14" s="247">
        <v>0.88267804050683418</v>
      </c>
    </row>
    <row r="15" spans="1:5" x14ac:dyDescent="0.25">
      <c r="A15" s="32" t="s">
        <v>714</v>
      </c>
      <c r="B15" s="75">
        <v>1</v>
      </c>
      <c r="C15" s="75">
        <v>6000</v>
      </c>
      <c r="D15" s="75">
        <v>3450</v>
      </c>
      <c r="E15" s="247">
        <v>0.94225205556631508</v>
      </c>
    </row>
    <row r="16" spans="1:5" x14ac:dyDescent="0.25">
      <c r="A16" s="32" t="s">
        <v>256</v>
      </c>
      <c r="B16" s="75">
        <v>1</v>
      </c>
      <c r="C16" s="75">
        <v>3000</v>
      </c>
      <c r="D16" s="75">
        <v>4100</v>
      </c>
      <c r="E16" s="247">
        <v>0.93794840103057098</v>
      </c>
    </row>
    <row r="17" spans="1:5" x14ac:dyDescent="0.25">
      <c r="A17" s="32" t="s">
        <v>282</v>
      </c>
      <c r="B17" s="75">
        <v>1</v>
      </c>
      <c r="C17" s="75">
        <v>1000</v>
      </c>
      <c r="D17" s="75">
        <v>2025</v>
      </c>
      <c r="E17" s="247">
        <v>0.43494231869640998</v>
      </c>
    </row>
    <row r="18" spans="1:5" x14ac:dyDescent="0.25">
      <c r="A18" s="32" t="s">
        <v>717</v>
      </c>
      <c r="B18" s="75">
        <v>1</v>
      </c>
      <c r="C18" s="75">
        <v>3000</v>
      </c>
      <c r="D18" s="75">
        <v>2175</v>
      </c>
      <c r="E18" s="247">
        <v>0.24852040548405332</v>
      </c>
    </row>
    <row r="19" spans="1:5" x14ac:dyDescent="0.25">
      <c r="A19" s="32" t="s">
        <v>283</v>
      </c>
      <c r="B19" s="75">
        <v>1</v>
      </c>
      <c r="C19" s="75">
        <v>8400</v>
      </c>
      <c r="D19" s="75">
        <v>4250</v>
      </c>
      <c r="E19" s="247">
        <v>0.72118895290831087</v>
      </c>
    </row>
    <row r="20" spans="1:5" x14ac:dyDescent="0.25">
      <c r="A20" s="32" t="s">
        <v>257</v>
      </c>
      <c r="B20" s="75">
        <v>1</v>
      </c>
      <c r="C20" s="75">
        <v>11000</v>
      </c>
      <c r="D20" s="75">
        <v>3975</v>
      </c>
      <c r="E20" s="247">
        <v>0.70021106663008403</v>
      </c>
    </row>
    <row r="21" spans="1:5" x14ac:dyDescent="0.25">
      <c r="A21" s="32" t="s">
        <v>718</v>
      </c>
      <c r="B21" s="75">
        <v>1</v>
      </c>
      <c r="C21" s="75">
        <v>13400</v>
      </c>
      <c r="D21" s="75">
        <v>4173</v>
      </c>
      <c r="E21" s="247">
        <v>0.68583531887076388</v>
      </c>
    </row>
    <row r="22" spans="1:5" x14ac:dyDescent="0.25">
      <c r="A22" s="32" t="s">
        <v>719</v>
      </c>
      <c r="B22" s="75">
        <v>1</v>
      </c>
      <c r="C22" s="75">
        <v>3200</v>
      </c>
      <c r="D22" s="75">
        <v>3825</v>
      </c>
      <c r="E22" s="247">
        <v>0.6080522610495861</v>
      </c>
    </row>
    <row r="23" spans="1:5" x14ac:dyDescent="0.25">
      <c r="A23" s="32" t="s">
        <v>209</v>
      </c>
      <c r="B23" s="75">
        <v>18</v>
      </c>
      <c r="C23" s="75">
        <v>90760</v>
      </c>
      <c r="D23" s="75">
        <v>87102</v>
      </c>
      <c r="E23" s="247">
        <v>0.63692156615779716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E3CEB-45B4-4BFC-A9E3-53FB26EE77D4}">
  <sheetPr codeName="Sheet8"/>
  <dimension ref="A1:W8"/>
  <sheetViews>
    <sheetView workbookViewId="0">
      <selection activeCell="I1" sqref="I1"/>
    </sheetView>
  </sheetViews>
  <sheetFormatPr defaultRowHeight="15" x14ac:dyDescent="0.25"/>
  <cols>
    <col min="1" max="1" width="45.7109375" style="1" customWidth="1"/>
    <col min="2" max="2" width="9.140625" style="1"/>
    <col min="3" max="3" width="10.28515625" style="1" bestFit="1" customWidth="1"/>
    <col min="4" max="5" width="9.140625" style="1"/>
    <col min="6" max="6" width="10" style="1" bestFit="1" customWidth="1"/>
    <col min="7" max="7" width="5.7109375" style="1" customWidth="1"/>
    <col min="8" max="8" width="15.85546875" style="1" bestFit="1" customWidth="1"/>
    <col min="9" max="9" width="13" style="1" customWidth="1"/>
    <col min="10" max="16384" width="9.140625" style="1"/>
  </cols>
  <sheetData>
    <row r="1" spans="1:23" ht="39.950000000000003" customHeight="1" x14ac:dyDescent="0.25">
      <c r="F1" s="23" t="s">
        <v>671</v>
      </c>
      <c r="G1" s="23">
        <f>lastBatchId</f>
        <v>2126</v>
      </c>
      <c r="H1" s="193" t="s">
        <v>672</v>
      </c>
      <c r="I1"/>
    </row>
    <row r="2" spans="1:23" x14ac:dyDescent="0.25">
      <c r="A2" s="1" t="s">
        <v>272</v>
      </c>
      <c r="B2" s="1">
        <v>30000</v>
      </c>
      <c r="C2" s="23" t="s">
        <v>273</v>
      </c>
      <c r="W2" s="65" t="s">
        <v>278</v>
      </c>
    </row>
    <row r="3" spans="1:23" x14ac:dyDescent="0.25">
      <c r="A3" s="23" t="s">
        <v>1065</v>
      </c>
      <c r="B3" s="23">
        <f>76.15+9.5+10.5</f>
        <v>96.15</v>
      </c>
      <c r="C3" s="23" t="s">
        <v>273</v>
      </c>
      <c r="D3" s="23">
        <f>91.82+16</f>
        <v>107.82</v>
      </c>
      <c r="F3" s="1">
        <f>unityCycleTime-30</f>
        <v>66.150000000000006</v>
      </c>
      <c r="G3" s="27">
        <f>F3/unityCycleTime</f>
        <v>0.68798751950078008</v>
      </c>
    </row>
    <row r="4" spans="1:23" x14ac:dyDescent="0.25">
      <c r="A4" s="1" t="s">
        <v>683</v>
      </c>
      <c r="B4" s="1">
        <f>B2/unityCycleTime</f>
        <v>312.01248049921998</v>
      </c>
      <c r="C4" s="1" t="s">
        <v>274</v>
      </c>
    </row>
    <row r="6" spans="1:23" x14ac:dyDescent="0.25">
      <c r="A6" s="1" t="s">
        <v>1053</v>
      </c>
    </row>
    <row r="7" spans="1:23" x14ac:dyDescent="0.25">
      <c r="A7" s="1" t="s">
        <v>269</v>
      </c>
    </row>
    <row r="8" spans="1:23" x14ac:dyDescent="0.25">
      <c r="A8" s="1" t="s">
        <v>1052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8" r:id="rId4" name="Button 2">
              <controlPr defaultSize="0" print="0" autoFill="0" autoPict="0" macro="[0]!set_lastBatch">
                <anchor moveWithCells="1" sizeWithCells="1">
                  <from>
                    <xdr:col>7</xdr:col>
                    <xdr:colOff>76200</xdr:colOff>
                    <xdr:row>0</xdr:row>
                    <xdr:rowOff>66675</xdr:rowOff>
                  </from>
                  <to>
                    <xdr:col>7</xdr:col>
                    <xdr:colOff>981075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FA54A-3CC5-4482-A1FB-B981ABD92C07}">
  <sheetPr codeName="Sheet14"/>
  <dimension ref="A1:J15"/>
  <sheetViews>
    <sheetView showGridLines="0" rightToLeft="1" view="pageLayout" zoomScaleNormal="100" workbookViewId="0">
      <selection activeCell="J5" sqref="J5"/>
    </sheetView>
  </sheetViews>
  <sheetFormatPr defaultColWidth="8.7109375" defaultRowHeight="21" x14ac:dyDescent="0.25"/>
  <cols>
    <col min="1" max="1" width="4" style="408" customWidth="1"/>
    <col min="2" max="2" width="10" style="408" customWidth="1"/>
    <col min="3" max="4" width="5.42578125" style="408" customWidth="1"/>
    <col min="5" max="5" width="15" style="412" customWidth="1"/>
    <col min="6" max="6" width="10" style="412" customWidth="1"/>
    <col min="7" max="8" width="6" style="408" customWidth="1"/>
    <col min="9" max="9" width="22.5703125" style="408" customWidth="1"/>
    <col min="10" max="10" width="10" style="408" customWidth="1"/>
    <col min="11" max="16384" width="8.7109375" style="408"/>
  </cols>
  <sheetData>
    <row r="1" spans="1:10" ht="52.35" customHeight="1" thickBot="1" x14ac:dyDescent="0.3">
      <c r="A1" s="424"/>
      <c r="B1" s="425"/>
      <c r="C1" s="425"/>
      <c r="D1" s="566" t="s">
        <v>1357</v>
      </c>
      <c r="E1" s="567"/>
      <c r="F1" s="567"/>
      <c r="G1" s="567"/>
      <c r="H1" s="568"/>
      <c r="I1" s="562" t="s">
        <v>1360</v>
      </c>
      <c r="J1" s="563"/>
    </row>
    <row r="2" spans="1:10" s="409" customFormat="1" ht="6.95" customHeight="1" thickBot="1" x14ac:dyDescent="0.3">
      <c r="E2" s="410"/>
      <c r="F2" s="410"/>
      <c r="I2" s="411"/>
      <c r="J2" s="411"/>
    </row>
    <row r="3" spans="1:10" x14ac:dyDescent="0.25">
      <c r="A3" s="447" t="str">
        <f>_xlfn.CONCAT("کد محصول:","",_xlfn.VALUETOTEXT(_xlfn.SINGLE(pid)))</f>
        <v>کد محصول:140030039</v>
      </c>
      <c r="B3" s="448"/>
      <c r="C3" s="448"/>
      <c r="D3" s="449" t="str">
        <f>_xlfn.CONCAT("شرح محصول:"," ",_xlfn.VALUETOTEXT(_xlfn.XLOOKUP(_xlfn.SINGLE(pid),bom[Id],bom[شرح محصول],"NA",1)))</f>
        <v>شرح محصول: کابل دو شاخه 224 سانتی</v>
      </c>
      <c r="E3" s="450"/>
      <c r="F3" s="450"/>
      <c r="G3" s="448"/>
      <c r="H3" s="448"/>
      <c r="I3" s="448"/>
      <c r="J3" s="451" t="str">
        <f>_xlfn.CONCAT("نام مشتری:"," ",_xlfn.VALUETOTEXT(_xlfn.XLOOKUP(_xlfn.SINGLE(pid),bom[Id],bom[نام مشتری],"NA",1)))</f>
        <v>نام مشتری: گلسان 39</v>
      </c>
    </row>
    <row r="4" spans="1:10" x14ac:dyDescent="0.25">
      <c r="A4" s="452" t="str">
        <f>_xlfn.CONCAT("نوع کابل:"," ",_xlfn.VALUETOTEXT(_xlfn.XLOOKUP(_xlfn.SINGLE(pid),bom[Id],bom[نوع کابل],"NA",1)))</f>
        <v>نوع کابل: 3*0.75</v>
      </c>
      <c r="B4" s="453"/>
      <c r="C4" s="453"/>
      <c r="D4" s="454" t="str">
        <f>_xlfn.CONCAT("کد کابل:"," ",_xlfn.VALUETOTEXT(_xlfn.XLOOKUP(_xlfn.SINGLE(pid),bom[Id],bom[کد کابل],"NA",1)))</f>
        <v>کد کابل: 120030094</v>
      </c>
      <c r="E4" s="455"/>
      <c r="F4" s="456" t="str">
        <f>_xlfn.CONCAT("رنگ کابل: "," ",_xlfn.VALUETOTEXT(_xlfn.XLOOKUP(_xlfn.SINGLE(pid),bom[Id],bom[رنگ کابل],"NA",1)))</f>
        <v>رنگ کابل:  طوسی روشن</v>
      </c>
      <c r="G4" s="453"/>
      <c r="H4" s="453"/>
      <c r="I4" s="457" t="str">
        <f>_xlfn.CONCAT("تاریخ صدور:"," ",_xlfn.VALUETOTEXT(cutOrdDdate))</f>
        <v>تاریخ صدور: 1404/07/26</v>
      </c>
      <c r="J4" s="458"/>
    </row>
    <row r="5" spans="1:10" ht="21.75" thickBot="1" x14ac:dyDescent="0.3">
      <c r="A5" s="459" t="str">
        <f>_xlfn.CONCAT("طول برش:"," ",_xlfn.VALUETOTEXT(_xlfn.XLOOKUP(_xlfn.SINGLE(pid),bom[Id],bom[طول برش],"NA",1)))</f>
        <v>طول برش: 224</v>
      </c>
      <c r="B5" s="460"/>
      <c r="C5" s="461"/>
      <c r="D5" s="462" t="str">
        <f>_xlfn.CONCAT("غلاف کوتاه:"," ",_xlfn.VALUETOTEXT(_xlfn.XLOOKUP(_xlfn.SINGLE(pid),bom[Id],bom[غلافبرداری کوتاه],"NA",1)))</f>
        <v>غلاف کوتاه: 2.5</v>
      </c>
      <c r="E5" s="463"/>
      <c r="F5" s="462" t="str">
        <f>_xlfn.CONCAT("غلاف بلند:"," ",_xlfn.VALUETOTEXT(_xlfn.XLOOKUP(_xlfn.SINGLE(pid),bom[Id],bom[غلافبرداری بلند],"NA",1)))</f>
        <v>غلاف بلند: 12</v>
      </c>
      <c r="G5" s="461"/>
      <c r="H5" s="464"/>
      <c r="I5" s="465" t="str">
        <f>_xlfn.CONCAT("شماره بچ:"," ",_xlfn.VALUETOTEXT(_xlfn.SINGLE(cutOrdId)))</f>
        <v>شماره بچ: 269</v>
      </c>
      <c r="J5" s="466" t="str">
        <f>_xlfn.CONCAT("تعداد:",_xlfn.VALUETOTEXT(_xlfn.SINGLE(cutOrdAmount)))</f>
        <v>تعداد:3000</v>
      </c>
    </row>
    <row r="6" spans="1:10" s="409" customFormat="1" ht="6.95" customHeight="1" thickBot="1" x14ac:dyDescent="0.3">
      <c r="E6" s="410"/>
      <c r="F6" s="410"/>
      <c r="G6" s="410"/>
    </row>
    <row r="7" spans="1:10" ht="17.100000000000001" customHeight="1" x14ac:dyDescent="0.25">
      <c r="A7" s="552" t="s">
        <v>638</v>
      </c>
      <c r="B7" s="558" t="s">
        <v>643</v>
      </c>
      <c r="C7" s="560" t="s">
        <v>642</v>
      </c>
      <c r="D7" s="561"/>
      <c r="E7" s="558" t="s">
        <v>639</v>
      </c>
      <c r="F7" s="564" t="s">
        <v>1363</v>
      </c>
      <c r="G7" s="564" t="s">
        <v>1361</v>
      </c>
      <c r="H7" s="558" t="s">
        <v>641</v>
      </c>
      <c r="I7" s="558" t="s">
        <v>644</v>
      </c>
      <c r="J7" s="569" t="s">
        <v>1362</v>
      </c>
    </row>
    <row r="8" spans="1:10" ht="17.100000000000001" customHeight="1" x14ac:dyDescent="0.25">
      <c r="A8" s="553"/>
      <c r="B8" s="559"/>
      <c r="C8" s="426" t="s">
        <v>651</v>
      </c>
      <c r="D8" s="427" t="s">
        <v>652</v>
      </c>
      <c r="E8" s="559"/>
      <c r="F8" s="565"/>
      <c r="G8" s="565"/>
      <c r="H8" s="559"/>
      <c r="I8" s="559"/>
      <c r="J8" s="570"/>
    </row>
    <row r="9" spans="1:10" ht="24.95" customHeight="1" x14ac:dyDescent="0.25">
      <c r="A9" s="413" t="s">
        <v>589</v>
      </c>
      <c r="B9" s="414"/>
      <c r="C9" s="414"/>
      <c r="D9" s="415"/>
      <c r="E9" s="414"/>
      <c r="F9" s="414"/>
      <c r="G9" s="414"/>
      <c r="H9" s="416"/>
      <c r="I9" s="433"/>
      <c r="J9" s="417"/>
    </row>
    <row r="10" spans="1:10" ht="24.95" customHeight="1" x14ac:dyDescent="0.25">
      <c r="A10" s="418" t="s">
        <v>323</v>
      </c>
      <c r="B10" s="419"/>
      <c r="C10" s="419"/>
      <c r="D10" s="420"/>
      <c r="E10" s="419"/>
      <c r="F10" s="419"/>
      <c r="G10" s="419"/>
      <c r="H10" s="419"/>
      <c r="I10" s="434"/>
      <c r="J10" s="421"/>
    </row>
    <row r="11" spans="1:10" ht="24.95" customHeight="1" x14ac:dyDescent="0.25">
      <c r="A11" s="418" t="s">
        <v>331</v>
      </c>
      <c r="B11" s="419"/>
      <c r="C11" s="419"/>
      <c r="D11" s="420"/>
      <c r="E11" s="419"/>
      <c r="F11" s="419"/>
      <c r="G11" s="419"/>
      <c r="H11" s="419"/>
      <c r="I11" s="434"/>
      <c r="J11" s="421"/>
    </row>
    <row r="12" spans="1:10" ht="24.95" customHeight="1" x14ac:dyDescent="0.25">
      <c r="A12" s="418" t="s">
        <v>336</v>
      </c>
      <c r="B12" s="419"/>
      <c r="C12" s="419"/>
      <c r="D12" s="420"/>
      <c r="E12" s="419"/>
      <c r="F12" s="419"/>
      <c r="G12" s="419"/>
      <c r="H12" s="419"/>
      <c r="I12" s="434"/>
      <c r="J12" s="421"/>
    </row>
    <row r="13" spans="1:10" ht="24.95" customHeight="1" x14ac:dyDescent="0.25">
      <c r="A13" s="418" t="s">
        <v>372</v>
      </c>
      <c r="B13" s="419"/>
      <c r="C13" s="419"/>
      <c r="D13" s="420"/>
      <c r="E13" s="419"/>
      <c r="F13" s="419"/>
      <c r="G13" s="419"/>
      <c r="H13" s="419"/>
      <c r="I13" s="434"/>
      <c r="J13" s="421"/>
    </row>
    <row r="14" spans="1:10" ht="24.95" customHeight="1" thickBot="1" x14ac:dyDescent="0.3">
      <c r="A14" s="428" t="s">
        <v>309</v>
      </c>
      <c r="B14" s="429"/>
      <c r="C14" s="430"/>
      <c r="D14" s="431"/>
      <c r="E14" s="429"/>
      <c r="F14" s="429"/>
      <c r="G14" s="432"/>
      <c r="H14" s="432"/>
      <c r="I14" s="432"/>
      <c r="J14" s="422"/>
    </row>
    <row r="15" spans="1:10" s="423" customFormat="1" ht="56.85" customHeight="1" thickBot="1" x14ac:dyDescent="0.3">
      <c r="A15" s="557" t="s">
        <v>645</v>
      </c>
      <c r="B15" s="555"/>
      <c r="C15" s="555"/>
      <c r="D15" s="556"/>
      <c r="E15" s="554" t="s">
        <v>646</v>
      </c>
      <c r="F15" s="555"/>
      <c r="G15" s="555"/>
      <c r="H15" s="556"/>
      <c r="I15" s="435" t="s">
        <v>647</v>
      </c>
      <c r="J15" s="468">
        <f>remain</f>
        <v>-5500</v>
      </c>
    </row>
  </sheetData>
  <mergeCells count="13">
    <mergeCell ref="I1:J1"/>
    <mergeCell ref="H7:H8"/>
    <mergeCell ref="G7:G8"/>
    <mergeCell ref="E7:E8"/>
    <mergeCell ref="F7:F8"/>
    <mergeCell ref="D1:H1"/>
    <mergeCell ref="J7:J8"/>
    <mergeCell ref="A7:A8"/>
    <mergeCell ref="E15:H15"/>
    <mergeCell ref="A15:D15"/>
    <mergeCell ref="I7:I8"/>
    <mergeCell ref="B7:B8"/>
    <mergeCell ref="C7:D7"/>
  </mergeCells>
  <printOptions horizontalCentered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EBDAC-4D4D-410C-A0D8-5246F1C37D42}">
  <sheetPr codeName="Sheet9"/>
  <dimension ref="A1:L39"/>
  <sheetViews>
    <sheetView showGridLines="0" rightToLeft="1" view="pageLayout" topLeftCell="A31" zoomScaleNormal="100" workbookViewId="0">
      <selection activeCell="L39" sqref="L39"/>
    </sheetView>
  </sheetViews>
  <sheetFormatPr defaultColWidth="9.140625" defaultRowHeight="15" x14ac:dyDescent="0.25"/>
  <cols>
    <col min="1" max="1" width="4.7109375" style="22" customWidth="1"/>
    <col min="2" max="2" width="17.5703125" style="22" customWidth="1"/>
    <col min="3" max="3" width="7.42578125" style="22" customWidth="1"/>
    <col min="4" max="9" width="5.42578125" style="22" customWidth="1"/>
    <col min="10" max="10" width="7.42578125" style="22" customWidth="1"/>
    <col min="11" max="12" width="10" style="22" customWidth="1"/>
    <col min="13" max="16384" width="9.140625" style="22"/>
  </cols>
  <sheetData>
    <row r="1" spans="1:12" ht="42.6" customHeight="1" thickBot="1" x14ac:dyDescent="0.3">
      <c r="A1" s="578"/>
      <c r="B1" s="579"/>
      <c r="C1" s="575" t="s">
        <v>648</v>
      </c>
      <c r="D1" s="576"/>
      <c r="E1" s="576"/>
      <c r="F1" s="576"/>
      <c r="G1" s="576"/>
      <c r="H1" s="576"/>
      <c r="I1" s="577"/>
      <c r="J1" s="582" t="s">
        <v>1343</v>
      </c>
      <c r="K1" s="583"/>
      <c r="L1" s="584"/>
    </row>
    <row r="2" spans="1:12" s="397" customFormat="1" ht="6.95" customHeight="1" thickBot="1" x14ac:dyDescent="0.3">
      <c r="A2" s="394"/>
      <c r="B2" s="394"/>
      <c r="C2" s="395"/>
      <c r="D2" s="395"/>
      <c r="E2" s="395"/>
      <c r="F2" s="395"/>
      <c r="G2" s="395"/>
      <c r="H2" s="395"/>
      <c r="I2" s="395"/>
      <c r="J2" s="396"/>
      <c r="K2" s="396"/>
      <c r="L2" s="396"/>
    </row>
    <row r="3" spans="1:12" ht="17.100000000000001" customHeight="1" x14ac:dyDescent="0.25">
      <c r="A3" s="580" t="str">
        <f>_xlfn.CONCAT("کد محصول:"," ",_xlfn.VALUETOTEXT(_xlfn.SINGLE(pid)))</f>
        <v>کد محصول: 140030039</v>
      </c>
      <c r="B3" s="581"/>
      <c r="C3" s="389" t="str">
        <f>_xlfn.CONCAT("شرح محصول:"," ",_xlfn.VALUETOTEXT(_xlfn.XLOOKUP(_xlfn.SINGLE(pid),bom[Id],bom[شرح محصول],"NA",1)))</f>
        <v>شرح محصول: کابل دو شاخه 224 سانتی</v>
      </c>
      <c r="D3" s="372"/>
      <c r="E3" s="372"/>
      <c r="F3" s="372"/>
      <c r="G3" s="372"/>
      <c r="H3" s="372"/>
      <c r="I3" s="372"/>
      <c r="J3" s="372"/>
      <c r="K3" s="372"/>
      <c r="L3" s="390"/>
    </row>
    <row r="4" spans="1:12" ht="17.100000000000001" customHeight="1" x14ac:dyDescent="0.25">
      <c r="A4" s="381" t="str">
        <f>_xlfn.CONCAT("نوع کابل:"," ",_xlfn.VALUETOTEXT(_xlfn.XLOOKUP(_xlfn.SINGLE(pid),bom[Id],bom[نوع کابل],"NA",1)))</f>
        <v>نوع کابل: 3*0.75</v>
      </c>
      <c r="B4" s="378"/>
      <c r="C4" s="377" t="str">
        <f>_xlfn.CONCAT("رنگ کابل:"," ",_xlfn.VALUETOTEXT(_xlfn.XLOOKUP(_xlfn.SINGLE(pid),bom[Id],bom[رنگ کابل],"NA",1)))</f>
        <v>رنگ کابل: طوسی روشن</v>
      </c>
      <c r="D4" s="377"/>
      <c r="E4" s="377"/>
      <c r="F4" s="377"/>
      <c r="G4" s="376" t="str">
        <f>_xlfn.CONCAT("کد کابل:"," ",_xlfn.VALUETOTEXT(_xlfn.XLOOKUP(_xlfn.SINGLE(pid),bom[Id],bom[کد کابل],"NA",1)))</f>
        <v>کد کابل: 120030094</v>
      </c>
      <c r="H4" s="377"/>
      <c r="I4" s="377"/>
      <c r="J4" s="377"/>
      <c r="K4" s="388" t="str">
        <f>_xlfn.CONCAT("نام مشتری:"," ",_xlfn.VALUETOTEXT(_xlfn.XLOOKUP(_xlfn.SINGLE(pid),bom[Id],bom[نام مشتری],"NA",1)))</f>
        <v>نام مشتری: گلسان 39</v>
      </c>
      <c r="L4" s="382"/>
    </row>
    <row r="5" spans="1:12" ht="17.100000000000001" customHeight="1" x14ac:dyDescent="0.25">
      <c r="A5" s="381" t="str">
        <f>_xlfn.CONCAT("طول برش:"," ",_xlfn.VALUETOTEXT(_xlfn.XLOOKUP(_xlfn.SINGLE(pid),bom[Id],bom[طول برش],"NA",1)))</f>
        <v>طول برش: 224</v>
      </c>
      <c r="B5" s="378"/>
      <c r="C5" s="377" t="str">
        <f>_xlfn.CONCAT("غلاف کوتاه:"," ",_xlfn.VALUETOTEXT(_xlfn.XLOOKUP(_xlfn.SINGLE(pid),bom[Id],bom[غلافبرداری کوتاه],"NA",1)))</f>
        <v>غلاف کوتاه: 2.5</v>
      </c>
      <c r="D5" s="377"/>
      <c r="E5" s="377"/>
      <c r="F5" s="377"/>
      <c r="G5" s="376" t="str">
        <f>_xlfn.CONCAT("غلاف بلند:"," ",_xlfn.VALUETOTEXT(_xlfn.XLOOKUP(_xlfn.SINGLE(pid),bom[Id],bom[غلافبرداری بلند],"NA",1)))</f>
        <v>غلاف بلند: 12</v>
      </c>
      <c r="H5" s="377"/>
      <c r="I5" s="377"/>
      <c r="J5" s="378"/>
      <c r="K5" s="377" t="str">
        <f>_xlfn.CONCAT("تاریخ:"," ",_xlfn.VALUETOTEXT(cutOrdDdate))</f>
        <v>تاریخ: 1404/07/26</v>
      </c>
      <c r="L5" s="382"/>
    </row>
    <row r="6" spans="1:12" ht="17.100000000000001" customHeight="1" x14ac:dyDescent="0.25">
      <c r="A6" s="381" t="str">
        <f>_xlfn.CONCAT("روکش آبی:"," ",_xlfn.VALUETOTEXT(_xlfn.XLOOKUP(_xlfn.SINGLE(pid),bom[Id],bom[روکشبرداری آبی],"NA",1)))</f>
        <v>روکش آبی: 3</v>
      </c>
      <c r="B6" s="378"/>
      <c r="C6" s="377" t="str">
        <f>_xlfn.CONCAT("روکش قهوه ای:"," ",_xlfn.VALUETOTEXT(_xlfn.XLOOKUP(_xlfn.SINGLE(pid),bom[Id],bom[روکشبرداری قهوه ایی],"NA",1)))</f>
        <v>روکش قهوه ای: 3</v>
      </c>
      <c r="D6" s="377"/>
      <c r="E6" s="377"/>
      <c r="F6" s="377"/>
      <c r="G6" s="376" t="str">
        <f>_xlfn.CONCAT("روکش زرد:"," ",_xlfn.VALUETOTEXT(_xlfn.XLOOKUP(_xlfn.SINGLE(pid),bom[Id],bom[روکشبرداری زرد],"NA",1)))</f>
        <v>روکش زرد: 6</v>
      </c>
      <c r="H6" s="377"/>
      <c r="I6" s="377"/>
      <c r="J6" s="378"/>
      <c r="K6" s="377" t="str">
        <f>_xlfn.CONCAT("روکش مغزی:"," ",_xlfn.VALUETOTEXT(_xlfn.XLOOKUP(_xlfn.SINGLE(pid),bom[Id],bom[روکش مغزی],"NA",1)))</f>
        <v>روکش مغزی: 6</v>
      </c>
      <c r="L6" s="382"/>
    </row>
    <row r="7" spans="1:12" ht="17.100000000000001" customHeight="1" x14ac:dyDescent="0.25">
      <c r="A7" s="381" t="str">
        <f>_xlfn.CONCAT("سرسیم آبی:"," ",_xlfn.VALUETOTEXT(_xlfn.XLOOKUP(_xlfn.SINGLE(pid),bom[Id],bom[سر سیم آبی],"NA",1)))</f>
        <v>سرسیم آبی: YH</v>
      </c>
      <c r="B7" s="378"/>
      <c r="C7" s="377" t="str">
        <f>_xlfn.CONCAT("سرسیم قهوه ای:"," ",_xlfn.VALUETOTEXT(_xlfn.XLOOKUP(_xlfn.SINGLE(pid),bom[Id],bom[سر سیم  قهوه ای],"NA",1)))</f>
        <v>سرسیم قهوه ای: YH</v>
      </c>
      <c r="D7" s="377"/>
      <c r="E7" s="377"/>
      <c r="F7" s="377"/>
      <c r="G7" s="376" t="str">
        <f>_xlfn.CONCAT("سرسیم زرد:"," ",_xlfn.VALUETOTEXT(_xlfn.XLOOKUP(_xlfn.SINGLE(pid),bom[Id],bom[سر سیم  زرد],"NA",1)))</f>
        <v>سرسیم زرد: خورشیدی</v>
      </c>
      <c r="H7" s="377"/>
      <c r="I7" s="377"/>
      <c r="J7" s="378"/>
      <c r="K7" s="377" t="str">
        <f>_xlfn.CONCAT("نوع مغزی:"," ",_xlfn.VALUETOTEXT(_xlfn.XLOOKUP(_xlfn.SINGLE(pid),bom[Id],bom[نوع مغزی دوشاخه],"NA",1)))</f>
        <v>نوع مغزی: ارت کناری</v>
      </c>
      <c r="L7" s="382"/>
    </row>
    <row r="8" spans="1:12" ht="17.100000000000001" customHeight="1" x14ac:dyDescent="0.25">
      <c r="A8" s="381" t="str">
        <f>_xlfn.CONCAT("طول سیم آبی:"," ",_xlfn.VALUETOTEXT(_xlfn.XLOOKUP(_xlfn.SINGLE(pid),bom[Id],bom[طول سیم آبی],"NA",1)))</f>
        <v>طول سیم آبی: 8</v>
      </c>
      <c r="B8" s="407"/>
      <c r="C8" s="377" t="str">
        <f>_xlfn.CONCAT("طول سیم قهوه ای:"," ",_xlfn.VALUETOTEXT(_xlfn.XLOOKUP(_xlfn.SINGLE(pid),bom[Id],bom[طول سیم قهوه ایی],"NA",1)))</f>
        <v>طول سیم قهوه ای: 8</v>
      </c>
      <c r="D8" s="377"/>
      <c r="E8" s="377"/>
      <c r="F8" s="377"/>
      <c r="G8" s="376" t="str">
        <f>_xlfn.CONCAT("طول سیم زرد:"," ",_xlfn.VALUETOTEXT(_xlfn.XLOOKUP(_xlfn.SINGLE(pid),bom[Id],bom[طول سیم ارت],"NA",1)))</f>
        <v>طول سیم زرد: 12</v>
      </c>
      <c r="H8" s="377"/>
      <c r="I8" s="377"/>
      <c r="J8" s="378"/>
      <c r="K8" s="377" t="str">
        <f>_xlfn.CONCAT("شماره بچ:"," ",_xlfn.VALUETOTEXT(batchId))</f>
        <v>شماره بچ: 2126</v>
      </c>
      <c r="L8" s="382"/>
    </row>
    <row r="9" spans="1:12" ht="17.100000000000001" customHeight="1" thickBot="1" x14ac:dyDescent="0.3">
      <c r="A9" s="406" t="str">
        <f>_xlfn.CONCAT("مهاربند:"," ",_xlfn.VALUETOTEXT(_xlfn.XLOOKUP(_xlfn.SINGLE(pid),bom[Id],bom[مهاربند],"NA",1)))</f>
        <v>مهاربند: دوازده سانت</v>
      </c>
      <c r="B9" s="375"/>
      <c r="C9" s="374" t="str">
        <f>_xlfn.CONCAT("حکاکی تزریق دوشاخه:"," ")</f>
        <v xml:space="preserve">حکاکی تزریق دوشاخه: </v>
      </c>
      <c r="D9" s="374"/>
      <c r="E9" s="374"/>
      <c r="F9" s="446" t="s">
        <v>649</v>
      </c>
      <c r="G9" s="379" t="str">
        <f>_xlfn.CONCAT("دوبل:"," ")</f>
        <v xml:space="preserve">دوبل: </v>
      </c>
      <c r="H9" s="374"/>
      <c r="I9" s="374"/>
      <c r="J9" s="375"/>
      <c r="K9" s="374" t="str">
        <f>_xlfn.CONCAT("تعداد:"," ",_xlfn.VALUETOTEXT(batchAmount))</f>
        <v>تعداد: 300</v>
      </c>
      <c r="L9" s="387"/>
    </row>
    <row r="10" spans="1:12" s="397" customFormat="1" ht="6.95" customHeight="1" thickBot="1" x14ac:dyDescent="0.3">
      <c r="A10" s="398"/>
      <c r="B10" s="398"/>
      <c r="C10" s="399"/>
      <c r="D10" s="399"/>
      <c r="E10" s="399"/>
      <c r="F10" s="399"/>
      <c r="G10" s="399"/>
      <c r="H10" s="399"/>
      <c r="I10" s="399"/>
      <c r="J10" s="400"/>
      <c r="K10" s="400"/>
      <c r="L10" s="400"/>
    </row>
    <row r="11" spans="1:12" s="371" customFormat="1" ht="15" customHeight="1" x14ac:dyDescent="0.25">
      <c r="A11" s="585" t="s">
        <v>638</v>
      </c>
      <c r="B11" s="573" t="s">
        <v>650</v>
      </c>
      <c r="C11" s="573" t="s">
        <v>643</v>
      </c>
      <c r="D11" s="373" t="s">
        <v>642</v>
      </c>
      <c r="E11" s="373" t="s">
        <v>642</v>
      </c>
      <c r="F11" s="373" t="s">
        <v>640</v>
      </c>
      <c r="G11" s="373" t="s">
        <v>640</v>
      </c>
      <c r="H11" s="373" t="s">
        <v>640</v>
      </c>
      <c r="I11" s="373" t="s">
        <v>640</v>
      </c>
      <c r="J11" s="373" t="s">
        <v>1348</v>
      </c>
      <c r="K11" s="373" t="s">
        <v>1349</v>
      </c>
      <c r="L11" s="571" t="s">
        <v>252</v>
      </c>
    </row>
    <row r="12" spans="1:12" s="371" customFormat="1" ht="15" customHeight="1" x14ac:dyDescent="0.25">
      <c r="A12" s="586"/>
      <c r="B12" s="574"/>
      <c r="C12" s="574"/>
      <c r="D12" s="405" t="s">
        <v>651</v>
      </c>
      <c r="E12" s="405" t="s">
        <v>652</v>
      </c>
      <c r="F12" s="405" t="s">
        <v>1350</v>
      </c>
      <c r="G12" s="405" t="s">
        <v>641</v>
      </c>
      <c r="H12" s="405" t="s">
        <v>1351</v>
      </c>
      <c r="I12" s="405" t="s">
        <v>1352</v>
      </c>
      <c r="J12" s="405" t="s">
        <v>1353</v>
      </c>
      <c r="K12" s="405" t="s">
        <v>1354</v>
      </c>
      <c r="L12" s="572"/>
    </row>
    <row r="13" spans="1:12" ht="20.100000000000001" customHeight="1" x14ac:dyDescent="0.25">
      <c r="A13" s="401">
        <v>1</v>
      </c>
      <c r="B13" s="402" t="s">
        <v>1344</v>
      </c>
      <c r="C13" s="402"/>
      <c r="D13" s="403"/>
      <c r="E13" s="403"/>
      <c r="F13" s="403"/>
      <c r="G13" s="403"/>
      <c r="H13" s="403"/>
      <c r="I13" s="403"/>
      <c r="J13" s="403"/>
      <c r="K13" s="403"/>
      <c r="L13" s="404"/>
    </row>
    <row r="14" spans="1:12" ht="20.100000000000001" customHeight="1" x14ac:dyDescent="0.25">
      <c r="A14" s="383">
        <v>2</v>
      </c>
      <c r="B14" s="384" t="s">
        <v>653</v>
      </c>
      <c r="C14" s="384"/>
      <c r="D14" s="385"/>
      <c r="E14" s="385"/>
      <c r="F14" s="385"/>
      <c r="G14" s="385"/>
      <c r="H14" s="385"/>
      <c r="I14" s="385"/>
      <c r="J14" s="385"/>
      <c r="K14" s="385"/>
      <c r="L14" s="386"/>
    </row>
    <row r="15" spans="1:12" ht="20.100000000000001" customHeight="1" x14ac:dyDescent="0.25">
      <c r="A15" s="383">
        <v>3</v>
      </c>
      <c r="B15" s="384" t="s">
        <v>654</v>
      </c>
      <c r="C15" s="384"/>
      <c r="D15" s="385"/>
      <c r="E15" s="385"/>
      <c r="F15" s="385"/>
      <c r="G15" s="385"/>
      <c r="H15" s="385"/>
      <c r="I15" s="385"/>
      <c r="J15" s="385"/>
      <c r="K15" s="385"/>
      <c r="L15" s="386"/>
    </row>
    <row r="16" spans="1:12" ht="20.100000000000001" customHeight="1" x14ac:dyDescent="0.25">
      <c r="A16" s="383">
        <v>4</v>
      </c>
      <c r="B16" s="384" t="s">
        <v>655</v>
      </c>
      <c r="C16" s="384"/>
      <c r="D16" s="385"/>
      <c r="E16" s="385"/>
      <c r="F16" s="385"/>
      <c r="G16" s="385"/>
      <c r="H16" s="385"/>
      <c r="I16" s="385"/>
      <c r="J16" s="385"/>
      <c r="K16" s="385"/>
      <c r="L16" s="386"/>
    </row>
    <row r="17" spans="1:12" ht="20.100000000000001" customHeight="1" x14ac:dyDescent="0.25">
      <c r="A17" s="383">
        <v>5</v>
      </c>
      <c r="B17" s="384" t="s">
        <v>656</v>
      </c>
      <c r="C17" s="384"/>
      <c r="D17" s="385"/>
      <c r="E17" s="385"/>
      <c r="F17" s="385"/>
      <c r="G17" s="385"/>
      <c r="H17" s="385"/>
      <c r="I17" s="385"/>
      <c r="J17" s="385"/>
      <c r="K17" s="385"/>
      <c r="L17" s="386"/>
    </row>
    <row r="18" spans="1:12" ht="20.100000000000001" customHeight="1" x14ac:dyDescent="0.25">
      <c r="A18" s="383">
        <v>6</v>
      </c>
      <c r="B18" s="384" t="s">
        <v>657</v>
      </c>
      <c r="C18" s="384"/>
      <c r="D18" s="385"/>
      <c r="E18" s="385"/>
      <c r="F18" s="385"/>
      <c r="G18" s="385"/>
      <c r="H18" s="385"/>
      <c r="I18" s="385"/>
      <c r="J18" s="385"/>
      <c r="K18" s="385"/>
      <c r="L18" s="386"/>
    </row>
    <row r="19" spans="1:12" ht="20.100000000000001" customHeight="1" x14ac:dyDescent="0.25">
      <c r="A19" s="383">
        <v>7</v>
      </c>
      <c r="B19" s="384" t="s">
        <v>658</v>
      </c>
      <c r="C19" s="384"/>
      <c r="D19" s="385"/>
      <c r="E19" s="385"/>
      <c r="F19" s="385"/>
      <c r="G19" s="385"/>
      <c r="H19" s="385"/>
      <c r="I19" s="385"/>
      <c r="J19" s="385"/>
      <c r="K19" s="385"/>
      <c r="L19" s="386"/>
    </row>
    <row r="20" spans="1:12" ht="20.100000000000001" customHeight="1" x14ac:dyDescent="0.25">
      <c r="A20" s="383">
        <v>8</v>
      </c>
      <c r="B20" s="384" t="s">
        <v>659</v>
      </c>
      <c r="C20" s="384"/>
      <c r="D20" s="385"/>
      <c r="E20" s="385"/>
      <c r="F20" s="385"/>
      <c r="G20" s="385"/>
      <c r="H20" s="385"/>
      <c r="I20" s="385"/>
      <c r="J20" s="385"/>
      <c r="K20" s="385"/>
      <c r="L20" s="386"/>
    </row>
    <row r="21" spans="1:12" ht="20.100000000000001" customHeight="1" x14ac:dyDescent="0.25">
      <c r="A21" s="383">
        <v>9</v>
      </c>
      <c r="B21" s="384" t="s">
        <v>298</v>
      </c>
      <c r="C21" s="384"/>
      <c r="D21" s="385"/>
      <c r="E21" s="385"/>
      <c r="F21" s="385"/>
      <c r="G21" s="385"/>
      <c r="H21" s="385"/>
      <c r="I21" s="385"/>
      <c r="J21" s="385"/>
      <c r="K21" s="385"/>
      <c r="L21" s="386"/>
    </row>
    <row r="22" spans="1:12" ht="20.100000000000001" customHeight="1" x14ac:dyDescent="0.25">
      <c r="A22" s="383">
        <v>10</v>
      </c>
      <c r="B22" s="384" t="s">
        <v>660</v>
      </c>
      <c r="C22" s="384"/>
      <c r="D22" s="385"/>
      <c r="E22" s="385"/>
      <c r="F22" s="385"/>
      <c r="G22" s="385"/>
      <c r="H22" s="385"/>
      <c r="I22" s="385"/>
      <c r="J22" s="385"/>
      <c r="K22" s="385"/>
      <c r="L22" s="386"/>
    </row>
    <row r="23" spans="1:12" ht="20.100000000000001" customHeight="1" x14ac:dyDescent="0.25">
      <c r="A23" s="383">
        <v>11</v>
      </c>
      <c r="B23" s="384" t="s">
        <v>661</v>
      </c>
      <c r="C23" s="384"/>
      <c r="D23" s="385"/>
      <c r="E23" s="385"/>
      <c r="F23" s="385"/>
      <c r="G23" s="385"/>
      <c r="H23" s="385"/>
      <c r="I23" s="385"/>
      <c r="J23" s="385"/>
      <c r="K23" s="385"/>
      <c r="L23" s="386"/>
    </row>
    <row r="24" spans="1:12" ht="20.100000000000001" customHeight="1" x14ac:dyDescent="0.25">
      <c r="A24" s="383">
        <v>12</v>
      </c>
      <c r="B24" s="384" t="s">
        <v>662</v>
      </c>
      <c r="C24" s="384"/>
      <c r="D24" s="385"/>
      <c r="E24" s="385"/>
      <c r="F24" s="385"/>
      <c r="G24" s="385"/>
      <c r="H24" s="385"/>
      <c r="I24" s="385"/>
      <c r="J24" s="385"/>
      <c r="K24" s="385"/>
      <c r="L24" s="386"/>
    </row>
    <row r="25" spans="1:12" ht="20.100000000000001" customHeight="1" x14ac:dyDescent="0.25">
      <c r="A25" s="383">
        <v>13</v>
      </c>
      <c r="B25" s="384" t="s">
        <v>663</v>
      </c>
      <c r="C25" s="384"/>
      <c r="D25" s="385"/>
      <c r="E25" s="385"/>
      <c r="F25" s="385"/>
      <c r="G25" s="385"/>
      <c r="H25" s="385"/>
      <c r="I25" s="385"/>
      <c r="J25" s="385"/>
      <c r="K25" s="385"/>
      <c r="L25" s="386"/>
    </row>
    <row r="26" spans="1:12" ht="20.100000000000001" customHeight="1" x14ac:dyDescent="0.25">
      <c r="A26" s="383">
        <v>14</v>
      </c>
      <c r="B26" s="384" t="s">
        <v>664</v>
      </c>
      <c r="C26" s="384"/>
      <c r="D26" s="385"/>
      <c r="E26" s="385"/>
      <c r="F26" s="385"/>
      <c r="G26" s="385"/>
      <c r="H26" s="385"/>
      <c r="I26" s="385"/>
      <c r="J26" s="385"/>
      <c r="K26" s="385"/>
      <c r="L26" s="386"/>
    </row>
    <row r="27" spans="1:12" ht="20.100000000000001" customHeight="1" x14ac:dyDescent="0.25">
      <c r="A27" s="383">
        <v>15</v>
      </c>
      <c r="B27" s="384" t="s">
        <v>1347</v>
      </c>
      <c r="C27" s="384"/>
      <c r="D27" s="385"/>
      <c r="E27" s="385"/>
      <c r="F27" s="385"/>
      <c r="G27" s="385"/>
      <c r="H27" s="385"/>
      <c r="I27" s="385"/>
      <c r="J27" s="385"/>
      <c r="K27" s="385"/>
      <c r="L27" s="386"/>
    </row>
    <row r="28" spans="1:12" ht="20.100000000000001" customHeight="1" x14ac:dyDescent="0.25">
      <c r="A28" s="383">
        <v>16</v>
      </c>
      <c r="B28" s="384" t="s">
        <v>1355</v>
      </c>
      <c r="C28" s="384"/>
      <c r="D28" s="385"/>
      <c r="E28" s="385"/>
      <c r="F28" s="385"/>
      <c r="G28" s="385"/>
      <c r="H28" s="385"/>
      <c r="I28" s="385"/>
      <c r="J28" s="385"/>
      <c r="K28" s="385"/>
      <c r="L28" s="386"/>
    </row>
    <row r="29" spans="1:12" ht="20.100000000000001" customHeight="1" x14ac:dyDescent="0.25">
      <c r="A29" s="383">
        <v>17</v>
      </c>
      <c r="B29" s="384" t="s">
        <v>1356</v>
      </c>
      <c r="C29" s="384"/>
      <c r="D29" s="385"/>
      <c r="E29" s="385"/>
      <c r="F29" s="385"/>
      <c r="G29" s="385"/>
      <c r="H29" s="385"/>
      <c r="I29" s="385"/>
      <c r="J29" s="385"/>
      <c r="K29" s="385"/>
      <c r="L29" s="386"/>
    </row>
    <row r="30" spans="1:12" ht="20.100000000000001" customHeight="1" x14ac:dyDescent="0.25">
      <c r="A30" s="383">
        <v>18</v>
      </c>
      <c r="B30" s="384" t="s">
        <v>665</v>
      </c>
      <c r="C30" s="384"/>
      <c r="D30" s="385"/>
      <c r="E30" s="385"/>
      <c r="F30" s="385"/>
      <c r="G30" s="385"/>
      <c r="H30" s="385"/>
      <c r="I30" s="385"/>
      <c r="J30" s="385"/>
      <c r="K30" s="385"/>
      <c r="L30" s="386"/>
    </row>
    <row r="31" spans="1:12" ht="20.100000000000001" customHeight="1" x14ac:dyDescent="0.25">
      <c r="A31" s="383">
        <v>19</v>
      </c>
      <c r="B31" s="384" t="s">
        <v>666</v>
      </c>
      <c r="C31" s="384"/>
      <c r="D31" s="385"/>
      <c r="E31" s="385"/>
      <c r="F31" s="385"/>
      <c r="G31" s="385"/>
      <c r="H31" s="385"/>
      <c r="I31" s="385"/>
      <c r="J31" s="385"/>
      <c r="K31" s="385"/>
      <c r="L31" s="386"/>
    </row>
    <row r="32" spans="1:12" ht="20.100000000000001" customHeight="1" x14ac:dyDescent="0.25">
      <c r="A32" s="383">
        <v>20</v>
      </c>
      <c r="B32" s="384" t="s">
        <v>667</v>
      </c>
      <c r="C32" s="384"/>
      <c r="D32" s="385"/>
      <c r="E32" s="385"/>
      <c r="F32" s="385"/>
      <c r="G32" s="385"/>
      <c r="H32" s="385"/>
      <c r="I32" s="385"/>
      <c r="J32" s="385"/>
      <c r="K32" s="385"/>
      <c r="L32" s="386"/>
    </row>
    <row r="33" spans="1:12" ht="20.100000000000001" customHeight="1" x14ac:dyDescent="0.25">
      <c r="A33" s="383">
        <v>21</v>
      </c>
      <c r="B33" s="384" t="s">
        <v>1345</v>
      </c>
      <c r="C33" s="384"/>
      <c r="D33" s="385"/>
      <c r="E33" s="385"/>
      <c r="F33" s="385"/>
      <c r="G33" s="385"/>
      <c r="H33" s="385"/>
      <c r="I33" s="385"/>
      <c r="J33" s="385"/>
      <c r="K33" s="385"/>
      <c r="L33" s="386"/>
    </row>
    <row r="34" spans="1:12" ht="20.100000000000001" customHeight="1" x14ac:dyDescent="0.25">
      <c r="A34" s="383">
        <v>22</v>
      </c>
      <c r="B34" s="384" t="s">
        <v>668</v>
      </c>
      <c r="C34" s="384"/>
      <c r="D34" s="385"/>
      <c r="E34" s="385"/>
      <c r="F34" s="385"/>
      <c r="G34" s="385"/>
      <c r="H34" s="385"/>
      <c r="I34" s="385"/>
      <c r="J34" s="385"/>
      <c r="K34" s="385"/>
      <c r="L34" s="386"/>
    </row>
    <row r="35" spans="1:12" ht="20.100000000000001" customHeight="1" x14ac:dyDescent="0.25">
      <c r="A35" s="383">
        <v>23</v>
      </c>
      <c r="B35" s="384" t="s">
        <v>247</v>
      </c>
      <c r="C35" s="384"/>
      <c r="D35" s="385"/>
      <c r="E35" s="385"/>
      <c r="F35" s="385"/>
      <c r="G35" s="385"/>
      <c r="H35" s="385"/>
      <c r="I35" s="385"/>
      <c r="J35" s="385"/>
      <c r="K35" s="385"/>
      <c r="L35" s="386"/>
    </row>
    <row r="36" spans="1:12" ht="20.100000000000001" customHeight="1" x14ac:dyDescent="0.25">
      <c r="A36" s="383">
        <v>24</v>
      </c>
      <c r="B36" s="384"/>
      <c r="C36" s="384"/>
      <c r="D36" s="385"/>
      <c r="E36" s="385"/>
      <c r="F36" s="385"/>
      <c r="G36" s="385"/>
      <c r="H36" s="385"/>
      <c r="I36" s="385"/>
      <c r="J36" s="385"/>
      <c r="K36" s="385"/>
      <c r="L36" s="386"/>
    </row>
    <row r="37" spans="1:12" ht="20.100000000000001" customHeight="1" thickBot="1" x14ac:dyDescent="0.3">
      <c r="A37" s="368">
        <v>25</v>
      </c>
      <c r="B37" s="380"/>
      <c r="C37" s="380"/>
      <c r="D37" s="369"/>
      <c r="E37" s="369"/>
      <c r="F37" s="369"/>
      <c r="G37" s="369"/>
      <c r="H37" s="369"/>
      <c r="I37" s="369"/>
      <c r="J37" s="369"/>
      <c r="K37" s="369"/>
      <c r="L37" s="370"/>
    </row>
    <row r="38" spans="1:12" s="397" customFormat="1" ht="6.95" customHeight="1" thickBot="1" x14ac:dyDescent="0.3">
      <c r="A38" s="398"/>
      <c r="B38" s="398"/>
      <c r="C38" s="399"/>
      <c r="D38" s="399"/>
      <c r="E38" s="399"/>
      <c r="F38" s="399"/>
      <c r="G38" s="399"/>
      <c r="H38" s="399"/>
      <c r="I38" s="399"/>
      <c r="J38" s="400"/>
      <c r="K38" s="400"/>
      <c r="L38" s="400"/>
    </row>
    <row r="39" spans="1:12" ht="56.85" customHeight="1" thickBot="1" x14ac:dyDescent="0.3">
      <c r="A39" s="391" t="s">
        <v>669</v>
      </c>
      <c r="B39" s="392"/>
      <c r="C39" s="392"/>
      <c r="D39" s="392"/>
      <c r="E39" s="392"/>
      <c r="F39" s="392"/>
      <c r="G39" s="393" t="s">
        <v>1346</v>
      </c>
      <c r="H39" s="392"/>
      <c r="I39" s="392"/>
      <c r="J39" s="392"/>
      <c r="K39" s="392"/>
      <c r="L39" s="469">
        <f>_xlfn.SINGLE(cutOrdId)</f>
        <v>269</v>
      </c>
    </row>
  </sheetData>
  <mergeCells count="8">
    <mergeCell ref="L11:L12"/>
    <mergeCell ref="B11:B12"/>
    <mergeCell ref="C11:C12"/>
    <mergeCell ref="C1:I1"/>
    <mergeCell ref="A1:B1"/>
    <mergeCell ref="A3:B3"/>
    <mergeCell ref="J1:L1"/>
    <mergeCell ref="A11:A12"/>
  </mergeCells>
  <printOptions horizontalCentered="1" verticalCentered="1"/>
  <pageMargins left="0.59055118110236227" right="0.59055118110236227" top="0.59055118110236227" bottom="0.59055118110236227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9</vt:i4>
      </vt:variant>
    </vt:vector>
  </HeadingPairs>
  <TitlesOfParts>
    <vt:vector size="27" baseType="lpstr">
      <vt:lpstr>bom</vt:lpstr>
      <vt:lpstr>plans</vt:lpstr>
      <vt:lpstr>cutts</vt:lpstr>
      <vt:lpstr>packes</vt:lpstr>
      <vt:lpstr>progress</vt:lpstr>
      <vt:lpstr>report</vt:lpstr>
      <vt:lpstr>III</vt:lpstr>
      <vt:lpstr>CT</vt:lpstr>
      <vt:lpstr>prgssPivot</vt:lpstr>
      <vt:lpstr>applicatorsUse</vt:lpstr>
      <vt:lpstr>inputPlan</vt:lpstr>
      <vt:lpstr>plansPivot</vt:lpstr>
      <vt:lpstr>cuttsPivot</vt:lpstr>
      <vt:lpstr>packesPivot</vt:lpstr>
      <vt:lpstr>reportPivot</vt:lpstr>
      <vt:lpstr>data</vt:lpstr>
      <vt:lpstr>paperA5</vt:lpstr>
      <vt:lpstr>paperA4</vt:lpstr>
      <vt:lpstr>aaaa</vt:lpstr>
      <vt:lpstr>availableTime</vt:lpstr>
      <vt:lpstr>III!Print_Area</vt:lpstr>
      <vt:lpstr>paperA5!Print_Area</vt:lpstr>
      <vt:lpstr>progress!Print_Area</vt:lpstr>
      <vt:lpstr>report!Print_Area</vt:lpstr>
      <vt:lpstr>progress!Print_Titles</vt:lpstr>
      <vt:lpstr>report!Print_Titles</vt:lpstr>
      <vt:lpstr>unityCycleTime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Seyyed Javad Shahidani</dc:creator>
  <cp:lastModifiedBy>Seyyed Javad Shahidani</cp:lastModifiedBy>
  <cp:lastPrinted>2025-10-18T04:40:16Z</cp:lastPrinted>
  <dcterms:created xsi:type="dcterms:W3CDTF">2024-09-22T06:24:54Z</dcterms:created>
  <dcterms:modified xsi:type="dcterms:W3CDTF">2025-10-18T05:08:44Z</dcterms:modified>
</cp:coreProperties>
</file>