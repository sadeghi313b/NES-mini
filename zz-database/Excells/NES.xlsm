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xampp\htdocs\z-laravel\NES\prj\zz-database\Excells\"/>
    </mc:Choice>
  </mc:AlternateContent>
  <xr:revisionPtr revIDLastSave="0" documentId="13_ncr:9_{F587C982-3BB3-4386-B23E-8FB6D27A07F9}" xr6:coauthVersionLast="47" xr6:coauthVersionMax="47" xr10:uidLastSave="{00000000-0000-0000-0000-000000000000}"/>
  <bookViews>
    <workbookView xWindow="-28920" yWindow="-120" windowWidth="29040" windowHeight="15840" tabRatio="813" firstSheet="9" activeTab="19" xr2:uid="{955AE44E-51B7-4C9B-8439-672E6D42C561}"/>
  </bookViews>
  <sheets>
    <sheet name="products" sheetId="1" r:id="rId1"/>
    <sheet name="customers" sheetId="2" r:id="rId2"/>
    <sheet name="cables" sheetId="3" r:id="rId3"/>
    <sheet name="plugs" sheetId="5" r:id="rId4"/>
    <sheet name="cords" sheetId="6" r:id="rId5"/>
    <sheet name="terminals" sheetId="7" r:id="rId6"/>
    <sheet name="applicators" sheetId="8" r:id="rId7"/>
    <sheet name="molds" sheetId="9" r:id="rId8"/>
    <sheet name="mold_product" sheetId="11" r:id="rId9"/>
    <sheet name="ferrites" sheetId="10" r:id="rId10"/>
    <sheet name="orders" sheetId="12" r:id="rId11"/>
    <sheet name="deadlines" sheetId="13" r:id="rId12"/>
    <sheet name="months" sheetId="16" r:id="rId13"/>
    <sheet name="cycletimes" sheetId="18" r:id="rId14"/>
    <sheet name="cuts" sheetId="19" r:id="rId15"/>
    <sheet name="converts" sheetId="23" r:id="rId16"/>
    <sheet name="nonordered_cuts" sheetId="22" r:id="rId17"/>
    <sheet name="batches" sheetId="20" r:id="rId18"/>
    <sheet name="productions" sheetId="21" r:id="rId19"/>
    <sheet name="nonordered_productions" sheetId="26" r:id="rId20"/>
    <sheet name="order_production" sheetId="24" r:id="rId21"/>
    <sheet name="carrieds" sheetId="25" r:id="rId22"/>
    <sheet name="cables (18)" sheetId="27" r:id="rId23"/>
  </sheets>
  <functionGroups builtInGroupCount="19"/>
  <externalReferences>
    <externalReference r:id="rId24"/>
  </externalReferences>
  <calcPr calcId="0"/>
</workbook>
</file>

<file path=xl/calcChain.xml><?xml version="1.0" encoding="utf-8"?>
<calcChain xmlns="http://schemas.openxmlformats.org/spreadsheetml/2006/main">
  <c r="I69" i="26" l="1" a="1"/>
  <c r="I69" i="26" s="1"/>
  <c r="K69" i="26" s="1"/>
  <c r="L69" i="26" s="1"/>
  <c r="M69" i="26" s="1"/>
  <c r="I68" i="26" a="1"/>
  <c r="I68" i="26" s="1"/>
  <c r="J68" i="26" s="1"/>
  <c r="I67" i="26" a="1"/>
  <c r="I67" i="26" s="1"/>
  <c r="I66" i="26" a="1"/>
  <c r="I66" i="26" s="1"/>
  <c r="K66" i="26" s="1"/>
  <c r="L66" i="26" s="1"/>
  <c r="M66" i="26" s="1"/>
  <c r="I65" i="26" a="1"/>
  <c r="I65" i="26" s="1"/>
  <c r="I64" i="26" a="1"/>
  <c r="I64" i="26" s="1"/>
  <c r="I63" i="26" a="1"/>
  <c r="I63" i="26" s="1"/>
  <c r="K63" i="26" s="1"/>
  <c r="L63" i="26" s="1"/>
  <c r="M63" i="26" s="1"/>
  <c r="I62" i="26" a="1"/>
  <c r="I62" i="26" s="1"/>
  <c r="I61" i="26" a="1"/>
  <c r="I61" i="26" s="1"/>
  <c r="I60" i="26" a="1"/>
  <c r="I60" i="26" s="1"/>
  <c r="I59" i="26" a="1"/>
  <c r="I59" i="26" s="1"/>
  <c r="I58" i="26" a="1"/>
  <c r="I58" i="26" s="1"/>
  <c r="J58" i="26" s="1"/>
  <c r="K58" i="26" s="1"/>
  <c r="L58" i="26" s="1"/>
  <c r="M58" i="26" s="1"/>
  <c r="I57" i="26" a="1"/>
  <c r="I57" i="26" s="1"/>
  <c r="I56" i="26" a="1"/>
  <c r="I56" i="26" s="1"/>
  <c r="I55" i="26" a="1"/>
  <c r="I55" i="26" s="1"/>
  <c r="I54" i="26" a="1"/>
  <c r="I54" i="26" s="1"/>
  <c r="J54" i="26" s="1"/>
  <c r="I53" i="26" a="1"/>
  <c r="I53" i="26" s="1"/>
  <c r="J53" i="26" s="1"/>
  <c r="I52" i="26" a="1"/>
  <c r="I52" i="26" s="1"/>
  <c r="J52" i="26" s="1"/>
  <c r="I51" i="26" a="1"/>
  <c r="I51" i="26" s="1"/>
  <c r="I50" i="26" a="1"/>
  <c r="I50" i="26" s="1"/>
  <c r="I49" i="26" a="1"/>
  <c r="I49" i="26" s="1"/>
  <c r="J49" i="26" s="1"/>
  <c r="I48" i="26" a="1"/>
  <c r="I48" i="26" s="1"/>
  <c r="I47" i="26" a="1"/>
  <c r="I47" i="26" s="1"/>
  <c r="J47" i="26" s="1"/>
  <c r="I46" i="26" a="1"/>
  <c r="I46" i="26" s="1"/>
  <c r="I45" i="26" a="1"/>
  <c r="I45" i="26" s="1"/>
  <c r="J45" i="26" s="1"/>
  <c r="I44" i="26" a="1"/>
  <c r="I44" i="26" s="1"/>
  <c r="I43" i="26" a="1"/>
  <c r="I43" i="26" s="1"/>
  <c r="J43" i="26" s="1"/>
  <c r="I42" i="26" a="1"/>
  <c r="I42" i="26" s="1"/>
  <c r="I41" i="26" a="1"/>
  <c r="I41" i="26" s="1"/>
  <c r="I40" i="26" a="1"/>
  <c r="I40" i="26" s="1"/>
  <c r="I39" i="26" a="1"/>
  <c r="I39" i="26" s="1"/>
  <c r="J39" i="26" s="1"/>
  <c r="I38" i="26" a="1"/>
  <c r="I38" i="26" s="1"/>
  <c r="J38" i="26" s="1"/>
  <c r="I37" i="26" a="1"/>
  <c r="I37" i="26" s="1"/>
  <c r="J37" i="26" s="1"/>
  <c r="K37" i="26" s="1"/>
  <c r="L37" i="26" s="1"/>
  <c r="M37" i="26" s="1"/>
  <c r="I36" i="26" a="1"/>
  <c r="I36" i="26" s="1"/>
  <c r="I35" i="26" a="1"/>
  <c r="I35" i="26" s="1"/>
  <c r="I34" i="26" a="1"/>
  <c r="I34" i="26" s="1"/>
  <c r="I33" i="26" a="1"/>
  <c r="I33" i="26" s="1"/>
  <c r="I32" i="26" a="1"/>
  <c r="I32" i="26" s="1"/>
  <c r="I31" i="26" a="1"/>
  <c r="I31" i="26" s="1"/>
  <c r="I30" i="26" a="1"/>
  <c r="I30" i="26" s="1"/>
  <c r="I29" i="26" a="1"/>
  <c r="I29" i="26" s="1"/>
  <c r="I28" i="26" a="1"/>
  <c r="I28" i="26" s="1"/>
  <c r="I27" i="26" a="1"/>
  <c r="I27" i="26" s="1"/>
  <c r="I26" i="26" a="1"/>
  <c r="I26" i="26" s="1"/>
  <c r="I25" i="26" a="1"/>
  <c r="I25" i="26" s="1"/>
  <c r="I24" i="26" a="1"/>
  <c r="I24" i="26" s="1"/>
  <c r="I23" i="26" a="1"/>
  <c r="I23" i="26" s="1"/>
  <c r="I22" i="26" a="1"/>
  <c r="I22" i="26" s="1"/>
  <c r="I21" i="26" a="1"/>
  <c r="I21" i="26" s="1"/>
  <c r="I20" i="26" a="1"/>
  <c r="I20" i="26" s="1"/>
  <c r="I19" i="26" a="1"/>
  <c r="I19" i="26" s="1"/>
  <c r="I18" i="26" a="1"/>
  <c r="I18" i="26" s="1"/>
  <c r="I17" i="26" a="1"/>
  <c r="I17" i="26" s="1"/>
  <c r="I16" i="26" a="1"/>
  <c r="I16" i="26" s="1"/>
  <c r="I15" i="26" a="1"/>
  <c r="I15" i="26" s="1"/>
  <c r="I14" i="26" a="1"/>
  <c r="I14" i="26" s="1"/>
  <c r="I13" i="26" a="1"/>
  <c r="I13" i="26" s="1"/>
  <c r="I12" i="26" a="1"/>
  <c r="I12" i="26" s="1"/>
  <c r="I11" i="26" a="1"/>
  <c r="I11" i="26" s="1"/>
  <c r="I10" i="26" a="1"/>
  <c r="I10" i="26" s="1"/>
  <c r="I9" i="26" a="1"/>
  <c r="I9" i="26" s="1"/>
  <c r="I8" i="26" a="1"/>
  <c r="I8" i="26" s="1"/>
  <c r="I7" i="26" a="1"/>
  <c r="I7" i="26" s="1"/>
  <c r="I6" i="26" a="1"/>
  <c r="I6" i="26" s="1"/>
  <c r="I5" i="26" a="1"/>
  <c r="I5" i="26" s="1"/>
  <c r="I4" i="26" a="1"/>
  <c r="I4" i="26" s="1"/>
  <c r="I3" i="26" a="1"/>
  <c r="I3" i="26" s="1"/>
  <c r="I2" i="26" a="1"/>
  <c r="I2" i="26" s="1"/>
  <c r="J63" i="26" l="1"/>
  <c r="J46" i="26"/>
  <c r="K46" i="26" s="1"/>
  <c r="L46" i="26" s="1"/>
  <c r="M46" i="26" s="1"/>
  <c r="K62" i="26"/>
  <c r="L62" i="26" s="1"/>
  <c r="M62" i="26" s="1"/>
  <c r="J62" i="26"/>
  <c r="K53" i="26"/>
  <c r="L53" i="26" s="1"/>
  <c r="M53" i="26" s="1"/>
  <c r="J60" i="26"/>
  <c r="K60" i="26" s="1"/>
  <c r="L60" i="26" s="1"/>
  <c r="M60" i="26" s="1"/>
  <c r="K65" i="26"/>
  <c r="L65" i="26" s="1"/>
  <c r="M65" i="26" s="1"/>
  <c r="J65" i="26"/>
  <c r="K68" i="26"/>
  <c r="L68" i="26" s="1"/>
  <c r="M68" i="26" s="1"/>
  <c r="J7" i="26"/>
  <c r="K7" i="26" s="1"/>
  <c r="L7" i="26" s="1"/>
  <c r="M7" i="26" s="1"/>
  <c r="J11" i="26"/>
  <c r="K11" i="26" s="1"/>
  <c r="L11" i="26" s="1"/>
  <c r="M11" i="26" s="1"/>
  <c r="J15" i="26"/>
  <c r="K15" i="26" s="1"/>
  <c r="L15" i="26" s="1"/>
  <c r="M15" i="26" s="1"/>
  <c r="J18" i="26"/>
  <c r="K18" i="26" s="1"/>
  <c r="L18" i="26" s="1"/>
  <c r="M18" i="26" s="1"/>
  <c r="J22" i="26"/>
  <c r="K22" i="26" s="1"/>
  <c r="L22" i="26" s="1"/>
  <c r="M22" i="26" s="1"/>
  <c r="J34" i="26"/>
  <c r="K34" i="26" s="1"/>
  <c r="L34" i="26" s="1"/>
  <c r="M34" i="26" s="1"/>
  <c r="J42" i="26"/>
  <c r="K42" i="26" s="1"/>
  <c r="L42" i="26" s="1"/>
  <c r="M42" i="26" s="1"/>
  <c r="J44" i="26"/>
  <c r="K44" i="26" s="1"/>
  <c r="L44" i="26" s="1"/>
  <c r="M44" i="26" s="1"/>
  <c r="J50" i="26"/>
  <c r="K50" i="26" s="1"/>
  <c r="L50" i="26" s="1"/>
  <c r="M50" i="26" s="1"/>
  <c r="J3" i="26"/>
  <c r="K3" i="26" s="1"/>
  <c r="L3" i="26" s="1"/>
  <c r="M3" i="26" s="1"/>
  <c r="J5" i="26"/>
  <c r="K5" i="26" s="1"/>
  <c r="L5" i="26" s="1"/>
  <c r="M5" i="26" s="1"/>
  <c r="J9" i="26"/>
  <c r="K9" i="26" s="1"/>
  <c r="L9" i="26" s="1"/>
  <c r="M9" i="26" s="1"/>
  <c r="J13" i="26"/>
  <c r="K13" i="26" s="1"/>
  <c r="L13" i="26" s="1"/>
  <c r="M13" i="26" s="1"/>
  <c r="J20" i="26"/>
  <c r="K20" i="26" s="1"/>
  <c r="L20" i="26" s="1"/>
  <c r="M20" i="26" s="1"/>
  <c r="J24" i="26"/>
  <c r="K24" i="26" s="1"/>
  <c r="L24" i="26" s="1"/>
  <c r="M24" i="26" s="1"/>
  <c r="J27" i="26"/>
  <c r="K27" i="26" s="1"/>
  <c r="L27" i="26" s="1"/>
  <c r="M27" i="26" s="1"/>
  <c r="J30" i="26"/>
  <c r="K30" i="26" s="1"/>
  <c r="L30" i="26" s="1"/>
  <c r="M30" i="26" s="1"/>
  <c r="J36" i="26"/>
  <c r="K36" i="26" s="1"/>
  <c r="L36" i="26" s="1"/>
  <c r="M36" i="26" s="1"/>
  <c r="J2" i="26"/>
  <c r="K2" i="26" s="1"/>
  <c r="L2" i="26" s="1"/>
  <c r="M2" i="26" s="1"/>
  <c r="J8" i="26"/>
  <c r="K8" i="26" s="1"/>
  <c r="L8" i="26" s="1"/>
  <c r="M8" i="26" s="1"/>
  <c r="J12" i="26"/>
  <c r="K12" i="26" s="1"/>
  <c r="L12" i="26" s="1"/>
  <c r="M12" i="26" s="1"/>
  <c r="J16" i="26"/>
  <c r="K16" i="26" s="1"/>
  <c r="L16" i="26" s="1"/>
  <c r="M16" i="26" s="1"/>
  <c r="J19" i="26"/>
  <c r="K19" i="26" s="1"/>
  <c r="L19" i="26" s="1"/>
  <c r="M19" i="26" s="1"/>
  <c r="J23" i="26"/>
  <c r="K23" i="26" s="1"/>
  <c r="L23" i="26" s="1"/>
  <c r="M23" i="26" s="1"/>
  <c r="J26" i="26"/>
  <c r="K26" i="26" s="1"/>
  <c r="L26" i="26" s="1"/>
  <c r="M26" i="26" s="1"/>
  <c r="J32" i="26"/>
  <c r="K32" i="26" s="1"/>
  <c r="L32" i="26" s="1"/>
  <c r="M32" i="26" s="1"/>
  <c r="J4" i="26"/>
  <c r="K4" i="26" s="1"/>
  <c r="L4" i="26" s="1"/>
  <c r="M4" i="26" s="1"/>
  <c r="J6" i="26"/>
  <c r="K6" i="26" s="1"/>
  <c r="L6" i="26" s="1"/>
  <c r="M6" i="26" s="1"/>
  <c r="J10" i="26"/>
  <c r="K10" i="26" s="1"/>
  <c r="L10" i="26" s="1"/>
  <c r="M10" i="26" s="1"/>
  <c r="J14" i="26"/>
  <c r="K14" i="26" s="1"/>
  <c r="L14" i="26" s="1"/>
  <c r="M14" i="26" s="1"/>
  <c r="J17" i="26"/>
  <c r="K17" i="26" s="1"/>
  <c r="L17" i="26" s="1"/>
  <c r="M17" i="26" s="1"/>
  <c r="J21" i="26"/>
  <c r="K21" i="26" s="1"/>
  <c r="L21" i="26" s="1"/>
  <c r="M21" i="26" s="1"/>
  <c r="J25" i="26"/>
  <c r="K25" i="26" s="1"/>
  <c r="L25" i="26" s="1"/>
  <c r="M25" i="26" s="1"/>
  <c r="J28" i="26"/>
  <c r="K28" i="26" s="1"/>
  <c r="L28" i="26" s="1"/>
  <c r="M28" i="26" s="1"/>
  <c r="J31" i="26"/>
  <c r="K31" i="26" s="1"/>
  <c r="L31" i="26" s="1"/>
  <c r="M31" i="26" s="1"/>
  <c r="J29" i="26"/>
  <c r="K29" i="26" s="1"/>
  <c r="L29" i="26" s="1"/>
  <c r="M29" i="26" s="1"/>
  <c r="J33" i="26"/>
  <c r="K33" i="26" s="1"/>
  <c r="L33" i="26" s="1"/>
  <c r="M33" i="26" s="1"/>
  <c r="J40" i="26"/>
  <c r="K40" i="26" s="1"/>
  <c r="L40" i="26" s="1"/>
  <c r="M40" i="26" s="1"/>
  <c r="J35" i="26"/>
  <c r="K35" i="26" s="1"/>
  <c r="L35" i="26" s="1"/>
  <c r="M35" i="26" s="1"/>
  <c r="J41" i="26"/>
  <c r="K41" i="26" s="1"/>
  <c r="L41" i="26" s="1"/>
  <c r="M41" i="26" s="1"/>
  <c r="J48" i="26"/>
  <c r="K48" i="26" s="1"/>
  <c r="L48" i="26" s="1"/>
  <c r="M48" i="26" s="1"/>
  <c r="J51" i="26"/>
  <c r="K51" i="26" s="1"/>
  <c r="L51" i="26" s="1"/>
  <c r="M51" i="26" s="1"/>
  <c r="K52" i="26"/>
  <c r="L52" i="26" s="1"/>
  <c r="M52" i="26" s="1"/>
  <c r="J55" i="26"/>
  <c r="K55" i="26" s="1"/>
  <c r="L55" i="26" s="1"/>
  <c r="M55" i="26" s="1"/>
  <c r="J56" i="26"/>
  <c r="K56" i="26" s="1"/>
  <c r="L56" i="26" s="1"/>
  <c r="M56" i="26" s="1"/>
  <c r="K38" i="26"/>
  <c r="L38" i="26" s="1"/>
  <c r="M38" i="26" s="1"/>
  <c r="K45" i="26"/>
  <c r="L45" i="26" s="1"/>
  <c r="M45" i="26" s="1"/>
  <c r="K49" i="26"/>
  <c r="L49" i="26" s="1"/>
  <c r="M49" i="26" s="1"/>
  <c r="J57" i="26"/>
  <c r="K57" i="26" s="1"/>
  <c r="L57" i="26" s="1"/>
  <c r="M57" i="26" s="1"/>
  <c r="K39" i="26"/>
  <c r="L39" i="26" s="1"/>
  <c r="M39" i="26" s="1"/>
  <c r="K43" i="26"/>
  <c r="L43" i="26" s="1"/>
  <c r="M43" i="26" s="1"/>
  <c r="K47" i="26"/>
  <c r="L47" i="26" s="1"/>
  <c r="M47" i="26" s="1"/>
  <c r="K54" i="26"/>
  <c r="L54" i="26" s="1"/>
  <c r="M54" i="26" s="1"/>
  <c r="J59" i="26"/>
  <c r="K59" i="26" s="1"/>
  <c r="L59" i="26" s="1"/>
  <c r="M59" i="26" s="1"/>
  <c r="J61" i="26"/>
  <c r="K61" i="26" s="1"/>
  <c r="L61" i="26" s="1"/>
  <c r="M61" i="26" s="1"/>
  <c r="J64" i="26"/>
  <c r="K64" i="26"/>
  <c r="L64" i="26" s="1"/>
  <c r="M64" i="26" s="1"/>
  <c r="J66" i="26"/>
  <c r="J67" i="26"/>
  <c r="K67" i="26" s="1"/>
  <c r="L67" i="26" s="1"/>
  <c r="M67" i="26" s="1"/>
  <c r="J69" i="26"/>
  <c r="E2" i="11" l="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6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<sst xmlns="http://schemas.openxmlformats.org/spreadsheetml/2006/main" count="2917" uniqueCount="839">
  <si>
    <t>id</t>
  </si>
  <si>
    <t>customer_id</t>
  </si>
  <si>
    <t>name</t>
  </si>
  <si>
    <t>cable_id</t>
  </si>
  <si>
    <t>cutting_length</t>
  </si>
  <si>
    <t>blue_terminal_id</t>
  </si>
  <si>
    <t>brown_terminal_id</t>
  </si>
  <si>
    <t>yellow_terminal_id</t>
  </si>
  <si>
    <t>double_terminal_id</t>
  </si>
  <si>
    <t>plug_id</t>
  </si>
  <si>
    <t>cord_id</t>
  </si>
  <si>
    <t>extra_earth_length</t>
  </si>
  <si>
    <t>cord_length</t>
  </si>
  <si>
    <t>description</t>
  </si>
  <si>
    <t>created_by</t>
  </si>
  <si>
    <t>created_at</t>
  </si>
  <si>
    <t>updated_at</t>
  </si>
  <si>
    <t>deleted_at</t>
  </si>
  <si>
    <t>delete</t>
  </si>
  <si>
    <t>{"sometype":4}</t>
  </si>
  <si>
    <t>{"emersan": 2, "himalia": 9.5}</t>
  </si>
  <si>
    <t>unknown</t>
  </si>
  <si>
    <t>Column1</t>
  </si>
  <si>
    <t>گرند صنعت</t>
  </si>
  <si>
    <t>هیمالیا</t>
  </si>
  <si>
    <t>نیکسان</t>
  </si>
  <si>
    <t>فروزان</t>
  </si>
  <si>
    <t>حایر آسا</t>
  </si>
  <si>
    <t>برفاب</t>
  </si>
  <si>
    <t>آبسال</t>
  </si>
  <si>
    <t>سپید مطهر</t>
  </si>
  <si>
    <t>اسنوا</t>
  </si>
  <si>
    <t>بهسار تدبیر</t>
  </si>
  <si>
    <t>یخساران</t>
  </si>
  <si>
    <t>پاکشوما</t>
  </si>
  <si>
    <t>امرسان</t>
  </si>
  <si>
    <t>پارس</t>
  </si>
  <si>
    <t>اراک تکسوز</t>
  </si>
  <si>
    <t>مطهر ضمیر</t>
  </si>
  <si>
    <t>گلدیران</t>
  </si>
  <si>
    <t>آیسان خزر</t>
  </si>
  <si>
    <t>تکوین الکترونیک</t>
  </si>
  <si>
    <t>زلال کوثر</t>
  </si>
  <si>
    <t>مبین طاها</t>
  </si>
  <si>
    <t>تاکنو گاز</t>
  </si>
  <si>
    <t>ایمر گاز</t>
  </si>
  <si>
    <t>انرژی</t>
  </si>
  <si>
    <t>آتش مهر آداک</t>
  </si>
  <si>
    <t>فریدولین</t>
  </si>
  <si>
    <t>سوریه ای</t>
  </si>
  <si>
    <t>جود</t>
  </si>
  <si>
    <t>مطلق هرمس</t>
  </si>
  <si>
    <t>ریتون</t>
  </si>
  <si>
    <t>آرتل</t>
  </si>
  <si>
    <t>الکترو پیک</t>
  </si>
  <si>
    <t>ایران ناسیونال</t>
  </si>
  <si>
    <t>هاردستون</t>
  </si>
  <si>
    <t>آذین سریر پاکان</t>
  </si>
  <si>
    <t>پگاه شعله خراسا</t>
  </si>
  <si>
    <t>مادیران</t>
  </si>
  <si>
    <t>تکنو گاز</t>
  </si>
  <si>
    <t>کیا  صنعت کاران</t>
  </si>
  <si>
    <t>گلسان</t>
  </si>
  <si>
    <t>نام دیگر = سام</t>
  </si>
  <si>
    <t>tall_jacket_length</t>
  </si>
  <si>
    <t>short_jacket_length</t>
  </si>
  <si>
    <t>remaining_blue</t>
  </si>
  <si>
    <t>remaining_brown</t>
  </si>
  <si>
    <t>remaining_yellow</t>
  </si>
  <si>
    <t>blue_insulation_length</t>
  </si>
  <si>
    <t>brown_insulation_length</t>
  </si>
  <si>
    <t>yellow_insulation_length</t>
  </si>
  <si>
    <t>3.2</t>
  </si>
  <si>
    <t>6</t>
  </si>
  <si>
    <t>0</t>
  </si>
  <si>
    <t>10</t>
  </si>
  <si>
    <t>3</t>
  </si>
  <si>
    <t>4</t>
  </si>
  <si>
    <t>4.5</t>
  </si>
  <si>
    <t>5</t>
  </si>
  <si>
    <t>14</t>
  </si>
  <si>
    <t>15</t>
  </si>
  <si>
    <t>6.7</t>
  </si>
  <si>
    <t>00</t>
  </si>
  <si>
    <t/>
  </si>
  <si>
    <t>3.5</t>
  </si>
  <si>
    <t>19</t>
  </si>
  <si>
    <t>1.4</t>
  </si>
  <si>
    <t>11</t>
  </si>
  <si>
    <t>ندارد</t>
  </si>
  <si>
    <t>VH</t>
  </si>
  <si>
    <t>مهره خور 4</t>
  </si>
  <si>
    <t>6.3</t>
  </si>
  <si>
    <t>VHT</t>
  </si>
  <si>
    <t>دوبل6/3 پشت صاف</t>
  </si>
  <si>
    <t>رادیویی</t>
  </si>
  <si>
    <t>120100002</t>
  </si>
  <si>
    <t>120100008</t>
  </si>
  <si>
    <t>357480110</t>
  </si>
  <si>
    <t>357460110</t>
  </si>
  <si>
    <t>مهره خور4</t>
  </si>
  <si>
    <t>YH</t>
  </si>
  <si>
    <t>خورشیدی</t>
  </si>
  <si>
    <t>470</t>
  </si>
  <si>
    <t>450</t>
  </si>
  <si>
    <t>480</t>
  </si>
  <si>
    <t>molex460</t>
  </si>
  <si>
    <t>اسپیلایس</t>
  </si>
  <si>
    <t>دوبل مهره خور 5</t>
  </si>
  <si>
    <t>120100014</t>
  </si>
  <si>
    <t>120100047</t>
  </si>
  <si>
    <t>120100083</t>
  </si>
  <si>
    <t>120110052</t>
  </si>
  <si>
    <t>120100016</t>
  </si>
  <si>
    <t>Ket</t>
  </si>
  <si>
    <t>120110051</t>
  </si>
  <si>
    <t>120110001</t>
  </si>
  <si>
    <t>مادگی 6.3آبکاری</t>
  </si>
  <si>
    <t>6.3دوبل مهره خور ابکاری</t>
  </si>
  <si>
    <t xml:space="preserve"> 4/8 کلیددار</t>
  </si>
  <si>
    <t>دوبل 6.3</t>
  </si>
  <si>
    <t>6/3آبکاری چاکدار</t>
  </si>
  <si>
    <t>دوبل/6/3آبکاری کلیددار</t>
  </si>
  <si>
    <t>3/6پشت صاف</t>
  </si>
  <si>
    <t>مادگی6/3کلیددار</t>
  </si>
  <si>
    <t>اسپیلایس120100029</t>
  </si>
  <si>
    <t>مادگی 6.3 پشت صاف</t>
  </si>
  <si>
    <t>120110060</t>
  </si>
  <si>
    <t>مهره خور4ابکاری</t>
  </si>
  <si>
    <t>مادگی 4.8آبکاری</t>
  </si>
  <si>
    <t>مهره خور 4 ابکاری</t>
  </si>
  <si>
    <t>رادیویی98715S</t>
  </si>
  <si>
    <t xml:space="preserve"> رادیویی</t>
  </si>
  <si>
    <t>دوبل6/3</t>
  </si>
  <si>
    <t>120100378</t>
  </si>
  <si>
    <t>120110164</t>
  </si>
  <si>
    <t>قلع اندود</t>
  </si>
  <si>
    <t>مادگی 6.3 آبکاری کلیددار</t>
  </si>
  <si>
    <t>120100019</t>
  </si>
  <si>
    <t>12010023</t>
  </si>
  <si>
    <t>c60001-30pt</t>
  </si>
  <si>
    <t xml:space="preserve"> مهره خور4آبکار</t>
  </si>
  <si>
    <t>قلع</t>
  </si>
  <si>
    <t>کلید دار آبکاری</t>
  </si>
  <si>
    <t>6/3چاکدار</t>
  </si>
  <si>
    <t>ST731079-3</t>
  </si>
  <si>
    <t>ST730569-3</t>
  </si>
  <si>
    <t>مادگی 6/3آبکاری</t>
  </si>
  <si>
    <t>ترمینال مهره خور 4</t>
  </si>
  <si>
    <t>C60001-03PT</t>
  </si>
  <si>
    <t>ST730649-3</t>
  </si>
  <si>
    <t xml:space="preserve"> ST710489-3</t>
  </si>
  <si>
    <t>120110001 VHT</t>
  </si>
  <si>
    <t>مهره خور 4 آبكاري</t>
  </si>
  <si>
    <t xml:space="preserve"> 6/3 پشت چاكدار آبکاری</t>
  </si>
  <si>
    <t xml:space="preserve"> 6/3 کلیددار آبکاری</t>
  </si>
  <si>
    <t xml:space="preserve"> 6/3 چاکدار آبکاری</t>
  </si>
  <si>
    <t>120100323</t>
  </si>
  <si>
    <t>مهره خور 4 آبكار</t>
  </si>
  <si>
    <t>type_name</t>
  </si>
  <si>
    <t>سوراخ دار</t>
  </si>
  <si>
    <t>بدون مغزی</t>
  </si>
  <si>
    <t>مغزی سه شاخه فیوزدار</t>
  </si>
  <si>
    <t>تخت 10 آمپر</t>
  </si>
  <si>
    <t>تخت 2.5 آمپر</t>
  </si>
  <si>
    <t>ارت کنارهمی (بدون سوراخ)</t>
  </si>
  <si>
    <t>مدیا (اشکی)</t>
  </si>
  <si>
    <t>طرح هیمالیا</t>
  </si>
  <si>
    <t>بیضی</t>
  </si>
  <si>
    <t>گلدیران LG</t>
  </si>
  <si>
    <t>تی وی</t>
  </si>
  <si>
    <t>color</t>
  </si>
  <si>
    <t>cores</t>
  </si>
  <si>
    <t>wire_size</t>
  </si>
  <si>
    <t>print</t>
  </si>
  <si>
    <t>تامین کابل توسط مشتری</t>
  </si>
  <si>
    <t>معمولی</t>
  </si>
  <si>
    <t>تخت</t>
  </si>
  <si>
    <t>خاص</t>
  </si>
  <si>
    <t>بدون چاپ</t>
  </si>
  <si>
    <t>section_shape</t>
  </si>
  <si>
    <t>white</t>
  </si>
  <si>
    <t>gray</t>
  </si>
  <si>
    <t>black</t>
  </si>
  <si>
    <t>category</t>
  </si>
  <si>
    <t>null</t>
  </si>
  <si>
    <t>tv</t>
  </si>
  <si>
    <t>ref</t>
  </si>
  <si>
    <t>triple</t>
  </si>
  <si>
    <t>name1</t>
  </si>
  <si>
    <t>alias</t>
  </si>
  <si>
    <t>4.8k</t>
  </si>
  <si>
    <t>6.3ch</t>
  </si>
  <si>
    <t>6.3k</t>
  </si>
  <si>
    <t>radio</t>
  </si>
  <si>
    <t>6.3flat</t>
  </si>
  <si>
    <t>molex</t>
  </si>
  <si>
    <t>splice</t>
  </si>
  <si>
    <t>nut4</t>
  </si>
  <si>
    <t>6.3ch@</t>
  </si>
  <si>
    <t>6.3k@</t>
  </si>
  <si>
    <t>nut4@</t>
  </si>
  <si>
    <t>sun</t>
  </si>
  <si>
    <t>terminal_id</t>
  </si>
  <si>
    <t>moldable_type</t>
  </si>
  <si>
    <t>moldable_id</t>
  </si>
  <si>
    <t>cavities</t>
  </si>
  <si>
    <t>plug</t>
  </si>
  <si>
    <t>cord</t>
  </si>
  <si>
    <t>image</t>
  </si>
  <si>
    <t>nut5</t>
  </si>
  <si>
    <t>Sn</t>
  </si>
  <si>
    <t>4.8ch@</t>
  </si>
  <si>
    <t>MD083</t>
  </si>
  <si>
    <t>وای اچ</t>
  </si>
  <si>
    <t>MD082</t>
  </si>
  <si>
    <t>TSA/101</t>
  </si>
  <si>
    <t>nar.p</t>
  </si>
  <si>
    <t>نری پرایدی</t>
  </si>
  <si>
    <t>TSA/AS109</t>
  </si>
  <si>
    <t>MD084</t>
  </si>
  <si>
    <t>مهره خور</t>
  </si>
  <si>
    <t>MD096</t>
  </si>
  <si>
    <t>MD042</t>
  </si>
  <si>
    <t>6/3کلیددار</t>
  </si>
  <si>
    <t>MD69</t>
  </si>
  <si>
    <t>6/3پشت صاف</t>
  </si>
  <si>
    <t>ASG/02</t>
  </si>
  <si>
    <t>مادگی نک پک</t>
  </si>
  <si>
    <t>TSA/AP109</t>
  </si>
  <si>
    <t>MD038</t>
  </si>
  <si>
    <t>4.8ch</t>
  </si>
  <si>
    <t>4/8چاکدار</t>
  </si>
  <si>
    <t>MD071</t>
  </si>
  <si>
    <t>flag</t>
  </si>
  <si>
    <t>پرچمی</t>
  </si>
  <si>
    <t>MD079</t>
  </si>
  <si>
    <t>hcb61</t>
  </si>
  <si>
    <t>temp1</t>
  </si>
  <si>
    <t>وی اچ</t>
  </si>
  <si>
    <t>temp2</t>
  </si>
  <si>
    <t>hcb23</t>
  </si>
  <si>
    <t>HCB: C42002-02RT</t>
  </si>
  <si>
    <t>terminal_alias</t>
  </si>
  <si>
    <t>id2</t>
  </si>
  <si>
    <t>MI016</t>
  </si>
  <si>
    <t>MI008</t>
  </si>
  <si>
    <t>MI017</t>
  </si>
  <si>
    <t>MI037</t>
  </si>
  <si>
    <t>MI005</t>
  </si>
  <si>
    <t>MI039</t>
  </si>
  <si>
    <t>MI009</t>
  </si>
  <si>
    <t>MI015</t>
  </si>
  <si>
    <t>MI020</t>
  </si>
  <si>
    <t>MI038</t>
  </si>
  <si>
    <t>MI041</t>
  </si>
  <si>
    <t>MI014</t>
  </si>
  <si>
    <t>MI044</t>
  </si>
  <si>
    <t>MI040</t>
  </si>
  <si>
    <t>MI012</t>
  </si>
  <si>
    <t>MI011</t>
  </si>
  <si>
    <t>MI010</t>
  </si>
  <si>
    <t>MI001</t>
  </si>
  <si>
    <t>MI002</t>
  </si>
  <si>
    <t>MI043</t>
  </si>
  <si>
    <t>MI007</t>
  </si>
  <si>
    <t>MI004</t>
  </si>
  <si>
    <t>MI052</t>
  </si>
  <si>
    <t>MI053</t>
  </si>
  <si>
    <t>MI035</t>
  </si>
  <si>
    <t>MI036</t>
  </si>
  <si>
    <t>MI023</t>
  </si>
  <si>
    <t>MI024</t>
  </si>
  <si>
    <t>MI047</t>
  </si>
  <si>
    <t>MI048</t>
  </si>
  <si>
    <t>MI049</t>
  </si>
  <si>
    <t>MI029</t>
  </si>
  <si>
    <t>MI030</t>
  </si>
  <si>
    <t>MI028</t>
  </si>
  <si>
    <t>MI032</t>
  </si>
  <si>
    <t>MI033</t>
  </si>
  <si>
    <t>MI050</t>
  </si>
  <si>
    <t>MI006</t>
  </si>
  <si>
    <t>MI034</t>
  </si>
  <si>
    <t>MI025</t>
  </si>
  <si>
    <t>MI026</t>
  </si>
  <si>
    <t>MI031</t>
  </si>
  <si>
    <t>MI051</t>
  </si>
  <si>
    <t>MI022</t>
  </si>
  <si>
    <t>MI027</t>
  </si>
  <si>
    <t>MI013</t>
  </si>
  <si>
    <t>MI019</t>
  </si>
  <si>
    <t>MI042</t>
  </si>
  <si>
    <t>MI003</t>
  </si>
  <si>
    <t>MI018</t>
  </si>
  <si>
    <t>MI045</t>
  </si>
  <si>
    <t>MI046</t>
  </si>
  <si>
    <t>MI021</t>
  </si>
  <si>
    <t>قالب کلگی دوشاخه یخچالی</t>
  </si>
  <si>
    <t>قالب کلگی دوشاخه بدون ارت مستقیم</t>
  </si>
  <si>
    <t>قالب کلگی دوشاخه TV</t>
  </si>
  <si>
    <t>قالب کلگی دوشاخه  یخچالی  چپقی</t>
  </si>
  <si>
    <t>قالب کلگی دوشاخه  TV China(8کویته)</t>
  </si>
  <si>
    <t>قالب کلگی دوشاخه یخچالی china</t>
  </si>
  <si>
    <t>قالب  کلگی دوشاخه یخچالی  ارت دار مستقیم</t>
  </si>
  <si>
    <t>قالب کلگی دوشاخه USB -MicroUSB</t>
  </si>
  <si>
    <t>قالب کلگی یخچالی</t>
  </si>
  <si>
    <t>قالب مهاربند  گلند طرح هیمالیا(8کویته)</t>
  </si>
  <si>
    <t>قالب مهاربند اسنوا(گرد بزرگ)</t>
  </si>
  <si>
    <t>قالب مهاربند طرح هیمالیا قدیم(مادیران)</t>
  </si>
  <si>
    <t>قالب مهاربند TV(4کویته)</t>
  </si>
  <si>
    <t>قالب مهاربند (تمام دایره) دو قلو مشترک</t>
  </si>
  <si>
    <t>قالب مهاربند یخچالی(تغییر یافته سام)(قالب مهاربند اسنوا کرد بزرگ)</t>
  </si>
  <si>
    <t>قالب مهاربند LG(گلدیران)</t>
  </si>
  <si>
    <t>قالب مهاربند  TV(8کویته)</t>
  </si>
  <si>
    <t>قالب مهاربند گلند مدیا</t>
  </si>
  <si>
    <t>قالب مهاربند ( تمام دایره )بزرگ</t>
  </si>
  <si>
    <t>مهاربند امرسان (اینسرت)(هاردستون)</t>
  </si>
  <si>
    <t>مهاربند گرند صنعت (اینسرت)</t>
  </si>
  <si>
    <t>پاکشوما (جدید) (اینسرت)</t>
  </si>
  <si>
    <t>قالب کاور کوچک(4PL)</t>
  </si>
  <si>
    <t>قالب کاور کوچک (6PL)</t>
  </si>
  <si>
    <t>روکش پلاستیکی TYPE B,C</t>
  </si>
  <si>
    <t>روکش پلاستیکی TYPE A</t>
  </si>
  <si>
    <t>قاب ترموفیوز</t>
  </si>
  <si>
    <t>هولدر 2شاخه بسته قالب قدیمی</t>
  </si>
  <si>
    <t>هولدر 3شاخه بسته قالب قدیمی</t>
  </si>
  <si>
    <t>کاور 6P</t>
  </si>
  <si>
    <t>کاور 4P</t>
  </si>
  <si>
    <t>روکش دنبه ای 6.3</t>
  </si>
  <si>
    <t>قالب سوکت 2 خانه MG632202R</t>
  </si>
  <si>
    <t>قالب اسنوا مهاربند کرد بزرگ</t>
  </si>
  <si>
    <t>هدبند پلاستیکی ماسک</t>
  </si>
  <si>
    <t>کورکن 6,3</t>
  </si>
  <si>
    <t>هولدر 2شاخه بسته</t>
  </si>
  <si>
    <t>کاور 2PL</t>
  </si>
  <si>
    <t>رید سوییچ سامسونگی</t>
  </si>
  <si>
    <t>هولدر 4 شاخه BLDC</t>
  </si>
  <si>
    <t>هولدر 5 شاخه YH</t>
  </si>
  <si>
    <t>مکدونالد</t>
  </si>
  <si>
    <t>قالب نمونه (فقط پاکت )</t>
  </si>
  <si>
    <t>قالب مهاربند مایکروفر گلدیران (اینسرت)</t>
  </si>
  <si>
    <t>قالب مهاربند تمام دایره اسنوا</t>
  </si>
  <si>
    <t>قالب مهاربند یخچالی طرح هیمالیا(4کویته)</t>
  </si>
  <si>
    <t>مهاربند گلدیران/ پاکشوما</t>
  </si>
  <si>
    <t>کاور سوکت ایمرگاز</t>
  </si>
  <si>
    <t>قالب بی متال</t>
  </si>
  <si>
    <t>پاکت کاور سوکت ایمر گاز</t>
  </si>
  <si>
    <t>cover</t>
  </si>
  <si>
    <t>misc</t>
  </si>
  <si>
    <t>قالب مهاربند (تمام دایره) دو قلو 6.9</t>
  </si>
  <si>
    <t>قالب رادیویی</t>
  </si>
  <si>
    <t>قاب رید سوئیج سام</t>
  </si>
  <si>
    <t>کلاهک ترمیستور</t>
  </si>
  <si>
    <t>درب بسته بندی ماسک</t>
  </si>
  <si>
    <t>کورکن ایسیو</t>
  </si>
  <si>
    <t>هولدر 3شاخه قرمز معمولی</t>
  </si>
  <si>
    <t>نگهدارنده شارژر اندروید</t>
  </si>
  <si>
    <t>قالب مهاربند هاردستون  (اینسرت)</t>
  </si>
  <si>
    <t>قالب سوکت  پرسی ایمرگاز</t>
  </si>
  <si>
    <t>قالب تمام دایره پاکشوما</t>
  </si>
  <si>
    <t>cycle_time</t>
  </si>
  <si>
    <t>ferrit_id</t>
  </si>
  <si>
    <t>Column5</t>
  </si>
  <si>
    <t>Column6</t>
  </si>
  <si>
    <t>mold_id</t>
  </si>
  <si>
    <t>product_id</t>
  </si>
  <si>
    <t>tags</t>
  </si>
  <si>
    <t>ph</t>
  </si>
  <si>
    <t>erth</t>
  </si>
  <si>
    <t>dbl</t>
  </si>
  <si>
    <t>-</t>
  </si>
  <si>
    <t>mlxmlx</t>
  </si>
  <si>
    <t>hcv</t>
  </si>
  <si>
    <t>Id</t>
  </si>
  <si>
    <t>molex.pack</t>
  </si>
  <si>
    <t>nar.p.kh</t>
  </si>
  <si>
    <t>nar.c4200</t>
  </si>
  <si>
    <t>RFB</t>
  </si>
  <si>
    <t>4.8flag@</t>
  </si>
  <si>
    <t>shato_id</t>
  </si>
  <si>
    <t>C60001</t>
  </si>
  <si>
    <t>ket.st740465</t>
  </si>
  <si>
    <t>ket.st730460</t>
  </si>
  <si>
    <t>فریت سبز</t>
  </si>
  <si>
    <t>فریت مشکی ریز</t>
  </si>
  <si>
    <t>فریت مشکی</t>
  </si>
  <si>
    <t>فریت مشکی گلدیران</t>
  </si>
  <si>
    <t>month</t>
  </si>
  <si>
    <t>quantity</t>
  </si>
  <si>
    <t>notification_date</t>
  </si>
  <si>
    <t>seen</t>
  </si>
  <si>
    <t>status</t>
  </si>
  <si>
    <t>1403/07/18</t>
  </si>
  <si>
    <t>1404/01/19</t>
  </si>
  <si>
    <t>1404/01/23</t>
  </si>
  <si>
    <t>1404/02/02</t>
  </si>
  <si>
    <t>1404/02/03</t>
  </si>
  <si>
    <t>1404/02/04</t>
  </si>
  <si>
    <t>1404/02/06</t>
  </si>
  <si>
    <t>1404/02/15</t>
  </si>
  <si>
    <t>1404/02/21</t>
  </si>
  <si>
    <t>1404/02/23</t>
  </si>
  <si>
    <t>1404/02/24</t>
  </si>
  <si>
    <t>1404/02/28</t>
  </si>
  <si>
    <t>1403/10/00</t>
  </si>
  <si>
    <t>1403/11/13</t>
  </si>
  <si>
    <t>1404/03/21</t>
  </si>
  <si>
    <t>1404/04/10</t>
  </si>
  <si>
    <t>1404/04/21</t>
  </si>
  <si>
    <t>1404/05/26</t>
  </si>
  <si>
    <t>1404/05/20</t>
  </si>
  <si>
    <t>1404/05/28</t>
  </si>
  <si>
    <t>1404/06/03</t>
  </si>
  <si>
    <t>1404/06/01</t>
  </si>
  <si>
    <t>1b</t>
  </si>
  <si>
    <t>2f</t>
  </si>
  <si>
    <t>3f</t>
  </si>
  <si>
    <t>مفدار باقیمانده پلن کنسل شد</t>
  </si>
  <si>
    <t>نلفنی. صحبت از تبدیل 10230 به این محصول شد</t>
  </si>
  <si>
    <t>تلفنی - پیش بینی خرداد</t>
  </si>
  <si>
    <t>1403/08</t>
  </si>
  <si>
    <t>1403/09</t>
  </si>
  <si>
    <t>1403/10</t>
  </si>
  <si>
    <t>1403/11</t>
  </si>
  <si>
    <t>1403/08-140030040</t>
  </si>
  <si>
    <t>1403/09-140030040</t>
  </si>
  <si>
    <t>1403/10-140030040</t>
  </si>
  <si>
    <t>1403/10-140550019</t>
  </si>
  <si>
    <t>1403/11-140450027</t>
  </si>
  <si>
    <t>1403/11-140450035</t>
  </si>
  <si>
    <t>1404/02f</t>
  </si>
  <si>
    <t>1404/02</t>
  </si>
  <si>
    <t>1404/03f</t>
  </si>
  <si>
    <t>1404/03</t>
  </si>
  <si>
    <t>1404/04</t>
  </si>
  <si>
    <t>1404/01b</t>
  </si>
  <si>
    <t>1404/05</t>
  </si>
  <si>
    <t>1404/06</t>
  </si>
  <si>
    <t>1404/01b-140030040</t>
  </si>
  <si>
    <t>1404/02f-140030040</t>
  </si>
  <si>
    <t>1404/02f-140030039</t>
  </si>
  <si>
    <t>1404/02f-140010117</t>
  </si>
  <si>
    <t>1404/02-140030039</t>
  </si>
  <si>
    <t>1404/02-140030040</t>
  </si>
  <si>
    <t>1404/02-140020181</t>
  </si>
  <si>
    <t>1404/02-140010117</t>
  </si>
  <si>
    <t>1404/02-140010230</t>
  </si>
  <si>
    <t>1404/02-140010255</t>
  </si>
  <si>
    <t>1404/02-140310096</t>
  </si>
  <si>
    <t>1404/02-140310058</t>
  </si>
  <si>
    <t>1404/02-141320055</t>
  </si>
  <si>
    <t>1404/03f-140030039</t>
  </si>
  <si>
    <t>1404/03f-140030040</t>
  </si>
  <si>
    <t>1404/03f-140010117</t>
  </si>
  <si>
    <t>1404/02-140310031</t>
  </si>
  <si>
    <t>1404/03-140020181</t>
  </si>
  <si>
    <t>1404/02-140640007</t>
  </si>
  <si>
    <t>1404/03-140310007</t>
  </si>
  <si>
    <t>1404/03-140310071</t>
  </si>
  <si>
    <t>1404/03-140310083</t>
  </si>
  <si>
    <t>1404/03-140310058</t>
  </si>
  <si>
    <t>1404/03-140310096</t>
  </si>
  <si>
    <t>1404/03-140010117</t>
  </si>
  <si>
    <t>1404/03-140010230</t>
  </si>
  <si>
    <t>1404/03-140010255</t>
  </si>
  <si>
    <t>1404/03-140030039</t>
  </si>
  <si>
    <t>1404/03-140030040</t>
  </si>
  <si>
    <t>1404/03-141320055</t>
  </si>
  <si>
    <t>1404/03-140530039</t>
  </si>
  <si>
    <t>1404/04-140010117</t>
  </si>
  <si>
    <t>1404/04-140010230</t>
  </si>
  <si>
    <t>1404/04-140010255</t>
  </si>
  <si>
    <t>1404/04-140030039</t>
  </si>
  <si>
    <t>1404/04-140030040</t>
  </si>
  <si>
    <t>1404/04-140450047</t>
  </si>
  <si>
    <t>1404/04-140310007</t>
  </si>
  <si>
    <t>1404/04-140310031</t>
  </si>
  <si>
    <t>1404/06-140010117</t>
  </si>
  <si>
    <t>1404/06-140010230</t>
  </si>
  <si>
    <t>1404/06-140010255</t>
  </si>
  <si>
    <t>1404/05-140010230</t>
  </si>
  <si>
    <t>1404/05-140010255</t>
  </si>
  <si>
    <t>1404/06-140030039</t>
  </si>
  <si>
    <t>1404/06-140310096</t>
  </si>
  <si>
    <t>active</t>
  </si>
  <si>
    <t>140030040</t>
  </si>
  <si>
    <t>140550019</t>
  </si>
  <si>
    <t>140450027</t>
  </si>
  <si>
    <t>140450035</t>
  </si>
  <si>
    <t>140010117</t>
  </si>
  <si>
    <t>140010230</t>
  </si>
  <si>
    <t>140010255</t>
  </si>
  <si>
    <t>140020181</t>
  </si>
  <si>
    <t>140030039</t>
  </si>
  <si>
    <t>140310031</t>
  </si>
  <si>
    <t>140310058</t>
  </si>
  <si>
    <t>140310096</t>
  </si>
  <si>
    <t>140640007</t>
  </si>
  <si>
    <t>141320055</t>
  </si>
  <si>
    <t>140310007</t>
  </si>
  <si>
    <t>140310071</t>
  </si>
  <si>
    <t>140310083</t>
  </si>
  <si>
    <t>140530039</t>
  </si>
  <si>
    <t>140450047</t>
  </si>
  <si>
    <t>order_id</t>
  </si>
  <si>
    <t>promised_date</t>
  </si>
  <si>
    <t>promised_quantity</t>
  </si>
  <si>
    <t>1404/02/05</t>
  </si>
  <si>
    <t>1404/01/31</t>
  </si>
  <si>
    <t>1404/02/12</t>
  </si>
  <si>
    <t>1404/02/09</t>
  </si>
  <si>
    <t>1404/02/16</t>
  </si>
  <si>
    <t>1404/02/22</t>
  </si>
  <si>
    <t>1404/02/11</t>
  </si>
  <si>
    <t>1404/02/17</t>
  </si>
  <si>
    <t>1404/02/10</t>
  </si>
  <si>
    <t>1404/02/14</t>
  </si>
  <si>
    <t>1404/02/20</t>
  </si>
  <si>
    <t>1404/02/25</t>
  </si>
  <si>
    <t>1404/02/31</t>
  </si>
  <si>
    <t>1404/03/05</t>
  </si>
  <si>
    <t>1404/02/26</t>
  </si>
  <si>
    <t>1404/03/01</t>
  </si>
  <si>
    <t>1404/03/08</t>
  </si>
  <si>
    <t>1404/03/13</t>
  </si>
  <si>
    <t>1404/02/27</t>
  </si>
  <si>
    <t>1404/03/06</t>
  </si>
  <si>
    <t>1404/03/12</t>
  </si>
  <si>
    <t>1404/03/18</t>
  </si>
  <si>
    <t>1404/03/25</t>
  </si>
  <si>
    <t>1404/03/31</t>
  </si>
  <si>
    <t>1404/03/10</t>
  </si>
  <si>
    <t>1404/03/17</t>
  </si>
  <si>
    <t>1404/03/09</t>
  </si>
  <si>
    <t>1404/03/15</t>
  </si>
  <si>
    <t>1404/03/22</t>
  </si>
  <si>
    <t>1404/03/11</t>
  </si>
  <si>
    <t>1404/0317</t>
  </si>
  <si>
    <t>1404/03/24</t>
  </si>
  <si>
    <t>1404/03/30</t>
  </si>
  <si>
    <t>1403/11/23</t>
  </si>
  <si>
    <t>1404/04/20</t>
  </si>
  <si>
    <t>1404/04/14</t>
  </si>
  <si>
    <t>1404/04/01</t>
  </si>
  <si>
    <t>1404/04/06</t>
  </si>
  <si>
    <t>1404/04/27</t>
  </si>
  <si>
    <t>1404/03/28</t>
  </si>
  <si>
    <t>1404/04/03</t>
  </si>
  <si>
    <t>1404/04/25</t>
  </si>
  <si>
    <t>1404/04/31</t>
  </si>
  <si>
    <t>1404/05/09</t>
  </si>
  <si>
    <t>1404/05/18</t>
  </si>
  <si>
    <t>1404/05/27</t>
  </si>
  <si>
    <t>1404/05/08</t>
  </si>
  <si>
    <t>1404/06/05</t>
  </si>
  <si>
    <t>1404/06/11</t>
  </si>
  <si>
    <t>1404/06/22</t>
  </si>
  <si>
    <t>1404/06/26</t>
  </si>
  <si>
    <t>1404/06/15</t>
  </si>
  <si>
    <t>1404/06/20</t>
  </si>
  <si>
    <t>1404/06/08</t>
  </si>
  <si>
    <t>1404/06/12</t>
  </si>
  <si>
    <t>1404/06/09</t>
  </si>
  <si>
    <t>idd</t>
  </si>
  <si>
    <t>activity_id</t>
  </si>
  <si>
    <t>cycletime</t>
  </si>
  <si>
    <t>interchangeable-group-name</t>
  </si>
  <si>
    <t>maximum_batch_size</t>
  </si>
  <si>
    <t>printing_date</t>
  </si>
  <si>
    <t>cutting_date</t>
  </si>
  <si>
    <t>date</t>
  </si>
  <si>
    <t>1403/12/16</t>
  </si>
  <si>
    <t>1403/11/15</t>
  </si>
  <si>
    <t>1403/11/14</t>
  </si>
  <si>
    <t>1404/01/16</t>
  </si>
  <si>
    <t>1404/01/17</t>
  </si>
  <si>
    <t>1404/01/18</t>
  </si>
  <si>
    <t>1404/01/24</t>
  </si>
  <si>
    <t>1404/01/25</t>
  </si>
  <si>
    <t>1404/01/26</t>
  </si>
  <si>
    <t>1404/01/27</t>
  </si>
  <si>
    <t>1404/01/30</t>
  </si>
  <si>
    <t>1404/02/01</t>
  </si>
  <si>
    <t>1404/02/07</t>
  </si>
  <si>
    <t>1404/02/08</t>
  </si>
  <si>
    <t>1404/02/30</t>
  </si>
  <si>
    <t>1404/03/02</t>
  </si>
  <si>
    <t>1404/03/03</t>
  </si>
  <si>
    <t>1404/03/04</t>
  </si>
  <si>
    <t>1404/03/07</t>
  </si>
  <si>
    <t>1404/03/20</t>
  </si>
  <si>
    <t>1404/04/02</t>
  </si>
  <si>
    <t>1404/04/04</t>
  </si>
  <si>
    <t>1404/04/07</t>
  </si>
  <si>
    <t>1404/04/08</t>
  </si>
  <si>
    <t>1404/04/09</t>
  </si>
  <si>
    <t>1404/04/11</t>
  </si>
  <si>
    <t>1404/04/16</t>
  </si>
  <si>
    <t>1404/04/17</t>
  </si>
  <si>
    <t>1404/04/18</t>
  </si>
  <si>
    <t>1404/04/22</t>
  </si>
  <si>
    <t>1404/04/23</t>
  </si>
  <si>
    <t>1404/04/24</t>
  </si>
  <si>
    <t>1404/04/28</t>
  </si>
  <si>
    <t>1404/04/29</t>
  </si>
  <si>
    <t>1404/05/04</t>
  </si>
  <si>
    <t>1404/05/06</t>
  </si>
  <si>
    <t>1404/05/07</t>
  </si>
  <si>
    <t>1404/05/11</t>
  </si>
  <si>
    <t>1404/05/12</t>
  </si>
  <si>
    <t>1404/05/13</t>
  </si>
  <si>
    <t>1404/05/14</t>
  </si>
  <si>
    <t>1404/05/15</t>
  </si>
  <si>
    <t>1404/05/19</t>
  </si>
  <si>
    <t>1404/05/22</t>
  </si>
  <si>
    <t>1404/05/25</t>
  </si>
  <si>
    <t>1404/06/04</t>
  </si>
  <si>
    <t>canceled</t>
  </si>
  <si>
    <t>برای مرکز 3</t>
  </si>
  <si>
    <t>کم آمده بود و برش داده شد توسط احمد سالمی</t>
  </si>
  <si>
    <t>تبدیل دو عدد 10279 به 10298</t>
  </si>
  <si>
    <t>تبدیل به مطهر ضمیر</t>
  </si>
  <si>
    <t>تبدیل از کیا صنعت</t>
  </si>
  <si>
    <t>مفقود شدن برگ بچ</t>
  </si>
  <si>
    <t>متاسفانه برگ برش آن پرینت گرفته نشد</t>
  </si>
  <si>
    <t>بازکاری(فقط بچ A4 پرینت گرفته شد)</t>
  </si>
  <si>
    <t>فقط بچ A4 پرینت گرفته شد</t>
  </si>
  <si>
    <t>کسری مانده از پلن</t>
  </si>
  <si>
    <t>کسری مانده از پلن(فقط بچ برش پرینت شد)</t>
  </si>
  <si>
    <t>270:300,271:300,272:300,273:300,274:300,275:300,276:300,277:300,278:300,279:300</t>
  </si>
  <si>
    <t>280:300,281:300,282:300,283:100</t>
  </si>
  <si>
    <t>284:300,285:300,286:300,287:300,288:300,289:300,290:300,291:300,292:300,293:300</t>
  </si>
  <si>
    <t>294:300,295:300,296:300,297:300,298:300,299:300,300:300,301:300,302:300,303:300</t>
  </si>
  <si>
    <t>304:300,305:300,306:300,307:300,308:300,309:300,310:300,311:300,312:300,313:300</t>
  </si>
  <si>
    <t>314:300,315:300,316:300,317:300,318:300,319:300,320:300,321:300,322:300,323:300</t>
  </si>
  <si>
    <t>324:250,325:250</t>
  </si>
  <si>
    <t>326:300,327:300,328:300,329:300,330:300,331:300,332:300,333:300,334:300,335:300,336:300,337:300,338:300</t>
  </si>
  <si>
    <t>339:300,340:300,341:300,342:300,343:300,344:300,345:300,346:300,347:300,348:300</t>
  </si>
  <si>
    <t>349:500,350:500,351:500,352:500,353:500,354:500</t>
  </si>
  <si>
    <t>355:500,356:500,357:500,358:500,359:500,360:500</t>
  </si>
  <si>
    <t>361:300,362:300,363:300,364:300,365:300,366:300,367:300,368:300,369:300,370:300</t>
  </si>
  <si>
    <t>371:300,372:300</t>
  </si>
  <si>
    <t>373:300,374:300,375:300,376:300,377:300,378:300,379:300,380:300</t>
  </si>
  <si>
    <t>375:347</t>
  </si>
  <si>
    <t>376:300,377:300,378:300,379:300,380:300,381:300,382:300,383:300,384:300,385:300</t>
  </si>
  <si>
    <t>386:300,387:300,388:300,389:300,390:300,391:300,392:300,393:300,394:300,395:300</t>
  </si>
  <si>
    <t>406:300,407:300,408:300,409:300,410:300,411:300,412:300,413:300,414:300,415:300</t>
  </si>
  <si>
    <t>416:300,417:300,418:300,419:300,420:300,421:300,422:300,423:300,424:300,425:300</t>
  </si>
  <si>
    <t>426:300,427:300,428:300,429:300,430:300,431:300,432:300,433:300,434:300,435:300</t>
  </si>
  <si>
    <t>436:300,437:300,438:300,439:100</t>
  </si>
  <si>
    <t>440:500,441:500,442:500,443:500,444:500,445:500</t>
  </si>
  <si>
    <t>446:500,447:500,448:500,449:500,450:500,451:500</t>
  </si>
  <si>
    <t>452:500,453:500,454:500,455:500,456:500,457:500</t>
  </si>
  <si>
    <t>458:300,459:300,460:300,461:300,462:300,463:300,464:300,465:300,466:300,467:300</t>
  </si>
  <si>
    <t>468:300,469:300,470:300,471:300,472:300,473:300,474:300,475:300,476:300,477:300</t>
  </si>
  <si>
    <t>478:300,479:300,480:300,481:300,482:300,483:300,484:200</t>
  </si>
  <si>
    <t>485:300,486:300,487:300,488:300,489:300,490:300,491:300,492:300</t>
  </si>
  <si>
    <t>493:300,494:300,495:300,496:300,497:300,498:300,499:300,500:300,501:300,502:300</t>
  </si>
  <si>
    <t>503:300,504:300,505:300,506:300,507:300,508:300,509:300,510:300,511:300,512:300</t>
  </si>
  <si>
    <t>513:300,514:300,515:300,516:300,517:300,518:300,519:300,520:300</t>
  </si>
  <si>
    <t>521:500,522:500,523:500,524:500</t>
  </si>
  <si>
    <t>525:500,526:500,527:500,528:500,529:500,530:500,531:500,532:500,533:500,534:500,535:500,536:500</t>
  </si>
  <si>
    <t>537:300,538:300,539:300,540:300</t>
  </si>
  <si>
    <t>541:300,542:300,543:300,544:300,545:300,546:300,547:200</t>
  </si>
  <si>
    <t>548:300,549:300,550:300,551:300,552:300,553:100</t>
  </si>
  <si>
    <t>554:500,555:500,556:500,557:500,558:500,559:500</t>
  </si>
  <si>
    <t>560:500,561:500,562:500,563:500,564:500,565:500</t>
  </si>
  <si>
    <t>566:300,567:300,568:300,569:300,570:300,571:300,572:300,573:300,574:300</t>
  </si>
  <si>
    <t>575:300,576:300,577:300,578:300,579:300,580:300,581:300,582:300,583:300</t>
  </si>
  <si>
    <t>584:300,585:300,586:300,587:300,588:300,589:300,590:300,591:300,592:300</t>
  </si>
  <si>
    <t>593:300,594:300,595:300,596:300,597:300,598:300,599:300</t>
  </si>
  <si>
    <t>600:300,601:300,602:300,603:300,604:300,605:300</t>
  </si>
  <si>
    <t>606:300,607:300,608:300,609:300,610:300,611:300,612:300,613:300,614:300,615:300,616:300,617:300,618:300,619:110</t>
  </si>
  <si>
    <t>620:300,621:300,622:300,623:300,624:300</t>
  </si>
  <si>
    <t>625:300,626:300,627:300,628:300,629:300</t>
  </si>
  <si>
    <t>630:300,631:300,632:300,633:300,634:300,635:300,636:300,637:300</t>
  </si>
  <si>
    <t>638:300,639:300,640:300,641:300</t>
  </si>
  <si>
    <t>642:300,643:300,644:300,645:300,646:300</t>
  </si>
  <si>
    <t>647:300,648:300,649:300,650:300,651:300,652:300,653:300,654:300,655:300,656:300</t>
  </si>
  <si>
    <t>657:300,658:300,659:300,660:300,661:300,662:300,663:300,664:300,665:300,666:300</t>
  </si>
  <si>
    <t>667:300,668:300,669:300,670:300,671:300,672:300,673:300</t>
  </si>
  <si>
    <t>674:300,675:300,676:300,677:300,678:300,679:300,680:300</t>
  </si>
  <si>
    <t>681:300,682:300,683:300,684:300,685:300,686:300,687:300</t>
  </si>
  <si>
    <t>688:300,689:300,690:300,691:300,692:300,693:300,694:300,695:300,696:300,697:300,698:300,699:110</t>
  </si>
  <si>
    <t>700:300,701:300,702:208</t>
  </si>
  <si>
    <t>703:500,704:500,705:500,706:500,707:500,708:500,709:500,710:500,711:500,712:500,713:500,714:500,715:500,716:500,717:500,718:500</t>
  </si>
  <si>
    <t>719:300,720:300,721:300,722:300,723:300,724:300,725:300,726:300,727:300,728:300</t>
  </si>
  <si>
    <t>729:300,730:300,731:300,732:300,733:300,734:300,735:300,736:300,737:300,738:300</t>
  </si>
  <si>
    <t>739:300,740:300,741:200</t>
  </si>
  <si>
    <t>742:300,743:300,744:300,745:300,746:300,747:300,748:300,749:300,750:300</t>
  </si>
  <si>
    <t>751:300,752:300,753:300,754:300,755:300</t>
  </si>
  <si>
    <t>756:300,757:200</t>
  </si>
  <si>
    <t>758:300,759:300,760:300,761:300,762:300,763:300,764:210</t>
  </si>
  <si>
    <t>765:300,766:300,767:300,768:300,769:300,770:300,771:300,772:300,773:300,774:300</t>
  </si>
  <si>
    <t>775:300,776:300,777:300,778:300,779:300,780:300,781:300,782:300,783:300,784:300</t>
  </si>
  <si>
    <t>785:300,786:300,787:300,788:300,789:300</t>
  </si>
  <si>
    <t>799:500,800:500,801:500,802:500,803:500,804:153</t>
  </si>
  <si>
    <t>805:300,806:300,807:300,808:300,809:300,810:300,811:300,812:300,813:300,814:300</t>
  </si>
  <si>
    <t>815:300,816:300,817:300,818:300,819:300,820:300,821:300,822:300,823:300,824:300</t>
  </si>
  <si>
    <t>825:300,826:300,827:300,828:300,829:300,830:300,831:300,832:300,833:300</t>
  </si>
  <si>
    <t>834:300,835:300,836:300,837:300,838:300,839:300,840:300,841:300,842:300,843:300</t>
  </si>
  <si>
    <t>844:500,845:500,846:500,847:500,848:500,849:500,850:500,851:500,852:500,853:500</t>
  </si>
  <si>
    <t>854:300,855:300,856:300,857:300,858:300,859:300,860:300,861:300,862:300,863:300</t>
  </si>
  <si>
    <t>864:300,865:300,866:300,867:300,868:300</t>
  </si>
  <si>
    <t>869:300,870:300,871:300,872:300,873:300,874:300,875:300,876:300,877:300,878:300,879:300,880:300,881:300,882:300,883:300,884:300,885:300,886:300,887:300,888:300</t>
  </si>
  <si>
    <t>889:300,890:300,891:300,892:300,893:300</t>
  </si>
  <si>
    <t>894:300,895:300,896:300,897:300,898:300,899:300,900:300,901:300,902:300,903:300</t>
  </si>
  <si>
    <t>904:300,905:300,906:300,907:300,908:300</t>
  </si>
  <si>
    <t>909:500,910:500,911:500,912:500,913:500,914:500,915:500,916:500,917:500,918:500</t>
  </si>
  <si>
    <t>919:300,920:300,921:300,922:300,923:300</t>
  </si>
  <si>
    <t>944:500,945:500,946:500,947:500,948:500,949:500</t>
  </si>
  <si>
    <t>924:300,925:300,926:300,927:300,928:300,929:300,930:300,931:300,932:300,933:300,934:300,935:300,936:300,937:300,938:300,939:300,940:300,941:300,942:300,943:300</t>
  </si>
  <si>
    <t>950:300,951:300,952:300,953:300,954:300,955:300,956:200</t>
  </si>
  <si>
    <t>958:300</t>
  </si>
  <si>
    <t>959:300,960:300,961:300,962:300,963:300,964:300,965:300,966:300,967:300,968:300,969:300,970:300,971:300,972:300,973:300,974:300,975:300,976:300,977:300,978:300</t>
  </si>
  <si>
    <t>979:300,980:300,981:300,982:300,983:300,984:300,985:300,986:300,987:300,988:300</t>
  </si>
  <si>
    <t>989:300,990:300,991:300,992:300,993:300,994:300,995:300,996:300,997:300,998:300</t>
  </si>
  <si>
    <t>999:300,1000:300,1001:300,1002:300,1003:300,1004:300,1005:300,1006:300,1007:300,1008:300</t>
  </si>
  <si>
    <t>1009:300,1010:300,1011:300,1012:300,1013:300,1014:300,1015:200</t>
  </si>
  <si>
    <t>1016:300,1017:300,1018:300,1019:300,1020:300,1021:300,1022:300,1023:300,1024:300,1025:300,1026:300,1027:300,1028:300,1029:300,1030:300,1031:300,1032:200</t>
  </si>
  <si>
    <t>1033:300,1034:300,1035:300,1036:300,1037:300,1038:300,1039:300,1040:300,1041:300,1042:300,1043:300</t>
  </si>
  <si>
    <t>1044:300,1045:300,1046:300,1047:300,1048:300,1049:300,1050:300,1051:300,1052:300,1053:300,1054:300,1055:300,1056:300,1057:300,1058:300,1059:300,1060:300,1061:300,1062:300,1063:300,1064:300,1065:300,1066:270</t>
  </si>
  <si>
    <t>1094:300,1095:300,1096:300,1097:300,1098:300,1099:300,1100:300,1101:300,1102:300,1103:300,1104:5</t>
  </si>
  <si>
    <t>1105:300,1106:300,1107:300,1108:300,1109:300,1110:300,1111:300,1112:100</t>
  </si>
  <si>
    <t>1113:300,1114:300,1115:300,1116:300,1117:300,1118:300,1119:300,1120:300,1121:300,1122:300,1123:300,1124:300,1125:300,1126:300,1127:300,1128:300,1129:300,1130:300,1131:300,1132:300</t>
  </si>
  <si>
    <t>1133:500,1134:500,1135:500,1136:500,1137:500,1138:500</t>
  </si>
  <si>
    <t>1139:500</t>
  </si>
  <si>
    <t>1140:300,1141:300,1142:300,1143:300,1144:300</t>
  </si>
  <si>
    <t>1145:300,1146:300,1147:300,1148:300,1149:300,1150:300,1151:300,1152:300,1153:300,1154:300,1155:300,1156:300,1157:300,1158:300,1159:300,1160:300,1161:300,1162:300,1163:300,1164:300</t>
  </si>
  <si>
    <t>1165:500,1166:500,1167:500,1168:500,1169:500,1170:500,1171:500,1172:500,1173:500,1174:500</t>
  </si>
  <si>
    <t>1176:300,1177:300,1178:300,1179:300,1180:300,1181:300,1182:300,1183:300,1184:300,1185:300</t>
  </si>
  <si>
    <t>1187:500,1188:500,1189:500,1190:500,1191:500,1192:500,1193:500,1194:500</t>
  </si>
  <si>
    <t>1195:300,1196:300,1197:300,1198:300,1199:300,1200:300,1201:300,1202:300,1203:300,1204:300,1205:300,1206:300,1207:300,1208:300,1209:300,1210:300,1211:300,1212:300,1213:300</t>
  </si>
  <si>
    <t>1214:300,1215:300,1216:300,1217:300,1218:300,1219:300,1220:300,1221:300,1222:300,1223:300,1224:300,1225:300,1226:300,1227:300,1228:300,1229:300,1230:300,1231:300,1232:300,1233:300,1234:300,1235:300,1236:300,1237:100</t>
  </si>
  <si>
    <t>1240:500,1241:500,1242:500,1243:500,1244:500,1245:500,1246:500,1247:500,1248:500,1249:500,1250:500,1251:500,1252:500,1253:500</t>
  </si>
  <si>
    <t>1254:300,1255:300,1256:300,1257:300,1258:300</t>
  </si>
  <si>
    <t>1259:300,1260:300,1261:300,1262:300,1263:300,1264:300,1265:300,1266:300,1267:300,1268:300,1269:300,1270:300,1271:300,1272:300,1273:300,1274:300,1275:300,1276:300,1277:300,1278:300</t>
  </si>
  <si>
    <t>1279:100</t>
  </si>
  <si>
    <t>1284:300,1285:300,1286:300,1287:300,1288:300,1289:300,1290:300,1291:300,1292:300,1293:300</t>
  </si>
  <si>
    <t>1294:300,1295:300,1296:300,1297:300,1298:300,1299:300,1300:300,1301:300,1302:300,1303:300</t>
  </si>
  <si>
    <t>1304:300,1305:300,1306:300,1307:300,1308:300,1309:300,1310:300,1311:300,1312:300,1313:300</t>
  </si>
  <si>
    <t>1314:300,1315:300,1316:300,1317:300,1318:300,1319:300,1320:300,1321:300,1322:300,1323:300,1324:300,1325:300,1326:300,1327:300,1328:300,1329:300,1330:300,1331:300,1332:300,1333:300,1334:300,1335:300,1336:300,1337:100</t>
  </si>
  <si>
    <t>1338:100</t>
  </si>
  <si>
    <t>1339:300</t>
  </si>
  <si>
    <t>1342:300,1343:300,1344:300,1345:300,1346:300</t>
  </si>
  <si>
    <t>1347:100,1348:100,1349:100,1350:100,1351:100</t>
  </si>
  <si>
    <t>1352:300,1353:300,1354:300,1355:100</t>
  </si>
  <si>
    <t>1356:300,1357:300,1358:300,1359:300,1360:300,1361:300,1362:300,1363:300,1364:300,1365:300</t>
  </si>
  <si>
    <t>1366:300,1367:300,1368:300,1369:300,1370:300</t>
  </si>
  <si>
    <t>1371:300,1372:300,1373:300,1374:300,1375:300,1376:300,1377:300,1378:300,1379:300,1380:300</t>
  </si>
  <si>
    <t>1381:100</t>
  </si>
  <si>
    <t>1383:300,1384:300,1385:300</t>
  </si>
  <si>
    <t>1386:300,1387:300,1388:300</t>
  </si>
  <si>
    <t>1389:300,1390:300,1391:300,1392:300,1393:300,1394:300,1395:300,1396:300,1397:300,1398:300</t>
  </si>
  <si>
    <t>1399:300,1400:300,1401:300</t>
  </si>
  <si>
    <t>1402:300,1403:300,1404:300,1405:300,1406:300,1407:300,1408:300,1409:300,1410:300,1411:300</t>
  </si>
  <si>
    <t>1412:300</t>
  </si>
  <si>
    <t>1413:300,1414:300,1415:300,1416:300,1417:300,1418:300,1419:300,1420:300,1421:300,1422:300</t>
  </si>
  <si>
    <t>1424:65</t>
  </si>
  <si>
    <t>1425:300,1426:300,1427:300,1428:300,1429:300,1430:300,1431:300,1432:300,1433:300,1434:300</t>
  </si>
  <si>
    <t>1435:300,1436:300,1437:300</t>
  </si>
  <si>
    <t>1438:300,1439:100</t>
  </si>
  <si>
    <t>1440:300,1441:300,1442:100</t>
  </si>
  <si>
    <t>1443:300,1444:300,1445:300,1446:300,1447:300</t>
  </si>
  <si>
    <t>1448:300,1449:300,1450:300,1451:300,1452:300</t>
  </si>
  <si>
    <t>1453:300,1454:300,1455:300,1456:300,1457:300,1458:300,1459:200</t>
  </si>
  <si>
    <t>1461:75</t>
  </si>
  <si>
    <t>1462:300,1463:300,1464:300,1465:300,1466:300</t>
  </si>
  <si>
    <t>1467:300,1468:300,1469:300,1470:300,1471:300,1472:300,1473:300,1474:300,1475:300,1476:300</t>
  </si>
  <si>
    <t>1477:300,1478:300,1479:300,1480:300,1481:300,1482:300,1483:300,1484:300,1485:300,1486:300</t>
  </si>
  <si>
    <t>1487:300,1488:300,1489:300,1490:300,1491:300,1492:300,1493:300,1494:300,1495:300,1496:300</t>
  </si>
  <si>
    <t>1497:300,1498:300,1499:300,1500:300,1501:300,1502:300,1503:300,1504:300,1505:300,1506:300</t>
  </si>
  <si>
    <t>1507:300,1508:300,1509:300,1510:300,1511:300,1512:300</t>
  </si>
  <si>
    <t>1513:300,1514:300,1515:300,1516:300,1517:300,1518:300,1519:300,1520:300,1521:300,1522:300</t>
  </si>
  <si>
    <t>1523:300,1524:300,1525:300,1526:300,1527:300,1528:300,1529:50</t>
  </si>
  <si>
    <t>1530:300,1531:300,1532:300,1533:300,1534:300,1535:300,1536:300,1537:300,1538:300,1539:300</t>
  </si>
  <si>
    <t>1540:300,1541:300,1542:300,1543:300,1544:300,1545:300,1546:300,1547:300,1548:300,1549:300</t>
  </si>
  <si>
    <t>1550:300,1551:300,1552:300,1553:300,1554:300,1555:300,1556:300,1557:300,1558:300,1559:300</t>
  </si>
  <si>
    <t>1560:300,1561:300,1562:300,1563:300,1564:300,1565:300,1566:300,1567:300,1568:300,1569:300</t>
  </si>
  <si>
    <t>1573:300,1574:300,1575:300,1576:300,1577:300,1578:300</t>
  </si>
  <si>
    <t>1579:300,1580:300,1581:300,1582:300,1583:300,1584:300,1585:300,1586:300,1587:100</t>
  </si>
  <si>
    <t>1588:300,1589:300,1590:300,1591:100</t>
  </si>
  <si>
    <t>1593:2</t>
  </si>
  <si>
    <t>1594:300,1595:300,1596:300,1597:300,1598:300,1599:300,1600:300,1601:300,1602:300,1603:300</t>
  </si>
  <si>
    <t>1604:300,1605:300,1606:300,1607:300,1608:300,1609:300,1610:300,1611:300,1612:300,1613:300</t>
  </si>
  <si>
    <t>1614:300,1615:300,1616:300,1617:300,1618:300,1619:300,1620:300,1621:300,1622:300,1623:300</t>
  </si>
  <si>
    <t>1624:300,1625:300,1626:300,1627:300,1628:300,1629:300,1630:300,1631:300,1632:300,1633:300</t>
  </si>
  <si>
    <t>1634:300,1635:300,1636:300,1637:300,1638:300,1639:300,1640:300,1641:300,1642:300,1643:300</t>
  </si>
  <si>
    <t>1644:300,1645:300,1646:300,1647:300,1648:300,1649:300,1650:300,1651:300,1652:300,1653:300</t>
  </si>
  <si>
    <t>1067:500,1068:500,1069:500,1070:500,1071:500,1072:500,1073:500,1074:500,1075:500,1076:500,1077:500,1078:500</t>
  </si>
  <si>
    <t>1079:500,1080:500,1081:500,1082:500</t>
  </si>
  <si>
    <t>cut_id</t>
  </si>
  <si>
    <t>size</t>
  </si>
  <si>
    <t>temp9</t>
  </si>
  <si>
    <t>null:3</t>
  </si>
  <si>
    <t>1403/10/01</t>
  </si>
  <si>
    <t>1403/10/02</t>
  </si>
  <si>
    <t>1403/10/03</t>
  </si>
  <si>
    <t>1403/12/19</t>
  </si>
  <si>
    <t>1403/12/20</t>
  </si>
  <si>
    <t>1403/12/21</t>
  </si>
  <si>
    <t>1403/11/16</t>
  </si>
  <si>
    <t>1403/11/24</t>
  </si>
  <si>
    <t>1403/11/27</t>
  </si>
  <si>
    <t>1404/01/20</t>
  </si>
  <si>
    <t>1404/02/13</t>
  </si>
  <si>
    <t>1404/02/29</t>
  </si>
  <si>
    <t>1404/03/19</t>
  </si>
  <si>
    <t>1404/04/30</t>
  </si>
  <si>
    <t>1404/05/01</t>
  </si>
  <si>
    <t>1404/05/05</t>
  </si>
  <si>
    <t>1404/05/21</t>
  </si>
  <si>
    <t>1404/05/29</t>
  </si>
  <si>
    <t>Column7</t>
  </si>
  <si>
    <t>plan</t>
  </si>
  <si>
    <t>qnt</t>
  </si>
  <si>
    <t>plan2</t>
  </si>
  <si>
    <t>qnt2</t>
  </si>
  <si>
    <t>order</t>
  </si>
  <si>
    <t>packings</t>
  </si>
  <si>
    <t>completeds</t>
  </si>
  <si>
    <t>final-products</t>
  </si>
  <si>
    <t>productions</t>
  </si>
  <si>
    <t>packeds</t>
  </si>
  <si>
    <t>orderless_productions</t>
  </si>
  <si>
    <t>stock_productions</t>
  </si>
  <si>
    <t>nonorder_productions</t>
  </si>
  <si>
    <t>MTS: make-to-stock</t>
  </si>
  <si>
    <t>carried_id</t>
  </si>
  <si>
    <t>fiscal_year</t>
  </si>
  <si>
    <t>from</t>
  </si>
  <si>
    <t>to</t>
  </si>
  <si>
    <t>target_model</t>
  </si>
  <si>
    <t>target_field</t>
  </si>
  <si>
    <t>target_id</t>
  </si>
  <si>
    <t>order_id2</t>
  </si>
  <si>
    <t>production_id</t>
  </si>
  <si>
    <t>this_production_id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</si>
</sst>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theme="1"/>
      <name val="Calibri"/>
      <family val="2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18" fillId="0" borderId="0" xfId="0" applyNumberFormat="1" applyFont="1" applyAlignment="1">
      <alignment horizontal="center" vertical="center"/>
    </xf>
    <xf numFmtId="2" fontId="18" fillId="0" borderId="0" xfId="0" applyNumberFormat="1" applyFont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/>
    </xf>
    <xf numFmtId="0" fontId="18" fillId="0" borderId="0" xfId="0" applyFont="1" applyAlignment="1">
      <alignment horizontal="right" vertical="center" readingOrder="2"/>
    </xf>
    <xf numFmtId="0" fontId="18" fillId="0" borderId="0" xfId="0" applyNumberFormat="1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NumberFormat="1" applyAlignment="1">
      <alignment horizontal="center"/>
    </xf>
    <xf numFmtId="0" fontId="18" fillId="0" borderId="0" xfId="0" applyFont="1" applyAlignment="1">
      <alignment horizontal="lef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2" formatCode="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E:\xampp\htdocs\z-laravel\NES\prj\zz-database\Excells\plan.xlsm" TargetMode="External"/><Relationship Id="rId1" Type="http://schemas.openxmlformats.org/officeDocument/2006/relationships/externalLinkPath" Target="pla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om"/>
      <sheetName val="plans"/>
      <sheetName val="cutts"/>
      <sheetName val="packes"/>
      <sheetName val="progress"/>
      <sheetName val="report"/>
      <sheetName val="III"/>
      <sheetName val="inputPlan"/>
      <sheetName val="plansPivot"/>
      <sheetName val="cuttsPivot"/>
      <sheetName val="packesPivot"/>
      <sheetName val="reportPivot"/>
      <sheetName val="data"/>
      <sheetName val="paperA5"/>
      <sheetName val="paperA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D8DA73-7251-4435-84B1-2A1A1D18EC1B}" name="Table3" displayName="Table3" ref="A1:AA126" totalsRowShown="0" headerRowDxfId="207" dataDxfId="206">
  <autoFilter ref="A1:AA126" xr:uid="{35D8DA73-7251-4435-84B1-2A1A1D18EC1B}"/>
  <tableColumns count="27">
    <tableColumn id="1" xr3:uid="{F5BC09E2-63EF-493A-8595-525660296E1D}" name="id" dataDxfId="226"/>
    <tableColumn id="2" xr3:uid="{A851CEDC-C61C-48B9-8A7C-4E1E3351405E}" name="customer_id" dataDxfId="225"/>
    <tableColumn id="3" xr3:uid="{B8779FB7-3142-431B-B88E-482A35B906A3}" name="name" dataDxfId="185">
      <calculatedColumnFormula>_xlfn.XLOOKUP(Table3[[#This Row],[id]],[1]!bom[Id],[1]!bom[شرح محصول])</calculatedColumnFormula>
    </tableColumn>
    <tableColumn id="4" xr3:uid="{31534261-51CF-4DC0-A080-CDEE52D54491}" name="cable_id" dataDxfId="186"/>
    <tableColumn id="5" xr3:uid="{43448675-2E1B-4D0C-8341-AA833A0CA32C}" name="cutting_length" dataDxfId="224"/>
    <tableColumn id="6" xr3:uid="{A91488B7-CBE4-488E-9C1F-A3C60B9B7C18}" name="tall_jacket_length" dataDxfId="223"/>
    <tableColumn id="7" xr3:uid="{9F50EA14-4F61-4C81-89C2-CE4041898164}" name="short_jacket_length" dataDxfId="222"/>
    <tableColumn id="24" xr3:uid="{506CFC9A-9474-434B-A12C-016829D99ED9}" name="remaining_blue" dataDxfId="221"/>
    <tableColumn id="25" xr3:uid="{576695F9-3F17-47EA-ABF1-F8E804AD2970}" name="remaining_brown" dataDxfId="220"/>
    <tableColumn id="26" xr3:uid="{279738A2-F279-4D32-B4A8-36A421AB6457}" name="remaining_yellow" dataDxfId="219"/>
    <tableColumn id="8" xr3:uid="{A3E7D354-ECDB-4816-A538-45E78B13724F}" name="blue_insulation_length" dataDxfId="218"/>
    <tableColumn id="9" xr3:uid="{62EA45A9-DDAF-4AD6-BCFD-21C861C1E514}" name="brown_insulation_length" dataDxfId="217"/>
    <tableColumn id="10" xr3:uid="{4974BF96-1BC1-4FE9-ADCA-21AD4F0714A1}" name="yellow_insulation_length" dataDxfId="216"/>
    <tableColumn id="11" xr3:uid="{21A6DF5F-BFF3-433A-9971-42E8EDEB8084}" name="blue_terminal_id" dataDxfId="139"/>
    <tableColumn id="12" xr3:uid="{1AE84358-3EE8-491D-82D9-481CCAB7F924}" name="brown_terminal_id" dataDxfId="138"/>
    <tableColumn id="13" xr3:uid="{E5B773BE-D66C-4F80-8004-8BC2FBB0D905}" name="yellow_terminal_id" dataDxfId="137"/>
    <tableColumn id="14" xr3:uid="{0EA1086E-54F9-4DA7-B275-0F7E8D6F77FD}" name="double_terminal_id" dataDxfId="144"/>
    <tableColumn id="15" xr3:uid="{46A142D6-0CC5-46FA-891E-0F84BF4FB7CB}" name="plug_id" dataDxfId="143"/>
    <tableColumn id="16" xr3:uid="{79356ABF-6EC0-4C0D-B96A-B49A3058E863}" name="cord_id" dataDxfId="215"/>
    <tableColumn id="17" xr3:uid="{42B7A669-A936-4385-AC8C-99E2C2FB320A}" name="extra_earth_length" dataDxfId="214"/>
    <tableColumn id="18" xr3:uid="{60A168B1-30D8-4E27-AB03-BB054381AA08}" name="cord_length" dataDxfId="213"/>
    <tableColumn id="30" xr3:uid="{32F4E454-B2F3-4F66-861E-332AD49D79D4}" name="ferrit_id" dataDxfId="160"/>
    <tableColumn id="19" xr3:uid="{DFAB12F1-5757-4225-B0CA-AAE999EEFA8C}" name="description" dataDxfId="212"/>
    <tableColumn id="20" xr3:uid="{0D8D4371-D0FF-4DB2-AF59-6F8E580AB925}" name="created_by" dataDxfId="211"/>
    <tableColumn id="21" xr3:uid="{DC466C1A-02AB-4AA2-BEA9-5B42F84C3375}" name="created_at" dataDxfId="210"/>
    <tableColumn id="22" xr3:uid="{7E10CB45-DB29-491A-B974-5090D1B9F443}" name="updated_at" dataDxfId="209"/>
    <tableColumn id="23" xr3:uid="{185F5E55-1C77-4013-B96D-F3BCF6561D18}" name="deleted_at" dataDxfId="2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31903B8-19F2-4FEE-A2C0-CF040D572B39}" name="Table2" displayName="Table2" ref="A1:C41" totalsRowShown="0" headerRowDxfId="232" dataDxfId="231">
  <autoFilter ref="A1:C41" xr:uid="{631903B8-19F2-4FEE-A2C0-CF040D572B39}"/>
  <tableColumns count="3">
    <tableColumn id="1" xr3:uid="{0B3D1F60-C0C6-4910-B0F0-D1F65A9D25DE}" name="id" dataDxfId="229"/>
    <tableColumn id="2" xr3:uid="{3139AAD8-16B8-4F51-94DB-819F93080983}" name="name" dataDxfId="228"/>
    <tableColumn id="3" xr3:uid="{ACD597A9-E4C8-4A61-B2EC-001955E568E7}" name="description" dataDxfId="2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C8010-2100-4028-A884-9C5FF09016C3}" name="Table1" displayName="Table1" ref="A1:G29" totalsRowShown="0" headerRowDxfId="230" dataDxfId="193">
  <autoFilter ref="A1:G29" xr:uid="{76BC8010-2100-4028-A884-9C5FF09016C3}"/>
  <tableColumns count="7">
    <tableColumn id="1" xr3:uid="{4268FC73-0CC8-4316-9788-B086A9BB8C05}" name="id" dataDxfId="194"/>
    <tableColumn id="2" xr3:uid="{543C8643-6100-4B73-B608-A2AEFBD43F03}" name="color" dataDxfId="189">
      <calculatedColumnFormula>_xlfn.XLOOKUP(Table1[[#This Row],[id]],Table3[cable_id],#REF!)</calculatedColumnFormula>
    </tableColumn>
    <tableColumn id="3" xr3:uid="{661E7D73-72B3-4B91-A5F2-12B58C5A79A9}" name="cores" dataDxfId="192"/>
    <tableColumn id="4" xr3:uid="{402535C8-2286-4205-9D92-3B9F7B937861}" name="wire_size" dataDxfId="187"/>
    <tableColumn id="5" xr3:uid="{8A8BBD01-433D-4FB1-B6A7-A2731D2BF444}" name="print" dataDxfId="191"/>
    <tableColumn id="7" xr3:uid="{65253E3B-C729-416E-8EE9-03B7E400B9F1}" name="section_shape" dataDxfId="188"/>
    <tableColumn id="6" xr3:uid="{66BC49FE-388F-4538-9BCA-FF1BA87D052A}" name="description" dataDxfId="19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E71680-F708-4E3E-ADF1-1F577294F8F6}" name="Table15" displayName="Table15" ref="A1:D7" totalsRowShown="0" headerRowDxfId="205" dataDxfId="204">
  <autoFilter ref="A1:D7" xr:uid="{76BC8010-2100-4028-A884-9C5FF09016C3}"/>
  <sortState xmlns:xlrd2="http://schemas.microsoft.com/office/spreadsheetml/2017/richdata2" ref="A2:B6">
    <sortCondition ref="B1:B6"/>
  </sortState>
  <tableColumns count="4">
    <tableColumn id="1" xr3:uid="{207A7D15-1076-4101-944A-D982E73D4A3D}" name="id" dataDxfId="201"/>
    <tableColumn id="2" xr3:uid="{10CF6ABE-F1FD-45D6-92C6-FBBF928899C8}" name="type_name" dataDxfId="200"/>
    <tableColumn id="3" xr3:uid="{00F75AD6-DEC6-43CB-98F1-66E1871BCA79}" name="category" dataDxfId="184"/>
    <tableColumn id="4" xr3:uid="{EEE009B0-880F-4389-A26C-14F7F0E81A4B}" name="image" dataDxfId="17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BF443AB-90CF-4E6F-A39F-68A9765B6029}" name="Table156" displayName="Table156" ref="A1:C11" totalsRowShown="0" headerRowDxfId="203" dataDxfId="202">
  <autoFilter ref="A1:C11" xr:uid="{76BC8010-2100-4028-A884-9C5FF09016C3}"/>
  <sortState xmlns:xlrd2="http://schemas.microsoft.com/office/spreadsheetml/2017/richdata2" ref="A2:B11">
    <sortCondition ref="B1:B11"/>
  </sortState>
  <tableColumns count="3">
    <tableColumn id="1" xr3:uid="{D66BA179-A72F-459E-9847-9AD5245BAC47}" name="id" dataDxfId="196"/>
    <tableColumn id="2" xr3:uid="{808E297F-7615-4431-A319-7C560B80863A}" name="name" dataDxfId="195"/>
    <tableColumn id="3" xr3:uid="{ECF5652D-F1AF-44A8-9ADA-87F7233B66DB}" name="image" dataDxfId="17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A6E71F-FA30-4BE8-8263-BCF60AE1912A}" name="Table1567" displayName="Table1567" ref="A1:E74" totalsRowShown="0" headerRowDxfId="199" dataDxfId="198">
  <autoFilter ref="A1:E74" xr:uid="{76BC8010-2100-4028-A884-9C5FF09016C3}"/>
  <sortState xmlns:xlrd2="http://schemas.microsoft.com/office/spreadsheetml/2017/richdata2" ref="A2:E73">
    <sortCondition ref="E1:E73"/>
  </sortState>
  <tableColumns count="5">
    <tableColumn id="1" xr3:uid="{FF857D6A-8EB3-4084-A861-EA2257021AF1}" name="id" dataDxfId="197"/>
    <tableColumn id="5" xr3:uid="{3FDEC455-A5CC-4BF6-AF85-739A96580EED}" name="shato_id" dataDxfId="140"/>
    <tableColumn id="2" xr3:uid="{33FE8B62-A76A-4509-B66C-36A00B1A0777}" name="name" dataDxfId="183"/>
    <tableColumn id="3" xr3:uid="{2B0B04DF-EACE-4918-8EB8-E7250BE0E77D}" name="name1" dataDxfId="142"/>
    <tableColumn id="4" xr3:uid="{966EA4DB-3973-441E-98C3-5955042C8D27}" name="alias" dataDxfId="14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951651D-D504-4839-A0C9-15EA2356EC04}" name="Table14" displayName="Table14" ref="G1:J33" totalsRowShown="0" headerRowDxfId="145" dataDxfId="146">
  <autoFilter ref="G1:J33" xr:uid="{0951651D-D504-4839-A0C9-15EA2356EC04}"/>
  <sortState xmlns:xlrd2="http://schemas.microsoft.com/office/spreadsheetml/2017/richdata2" ref="G2:J33">
    <sortCondition ref="G1:G33"/>
  </sortState>
  <tableColumns count="4">
    <tableColumn id="1" xr3:uid="{44C3A6FB-D147-4D9C-BEC1-AC80DAE7564B}" name="Id" dataDxfId="150"/>
    <tableColumn id="2" xr3:uid="{5ADC0AB6-80A6-4FAF-AF53-761D32A18924}" name="ph" dataDxfId="149"/>
    <tableColumn id="3" xr3:uid="{86CE140D-3DF1-48AE-8694-552E2DB8BEA4}" name="erth" dataDxfId="148"/>
    <tableColumn id="4" xr3:uid="{287C97F9-5C6C-4D75-A511-5F81A3499110}" name="dbl" dataDxfId="14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8A6D00F-F52E-4BCB-8C19-EE28D119B025}" name="Table15678" displayName="Table15678" ref="A1:F16" totalsRowShown="0" headerRowDxfId="172" dataDxfId="171">
  <autoFilter ref="A1:F16" xr:uid="{76BC8010-2100-4028-A884-9C5FF09016C3}"/>
  <tableColumns count="6">
    <tableColumn id="1" xr3:uid="{36EEF68D-0446-4ABB-A2A0-695E44D2C920}" name="id" dataDxfId="170"/>
    <tableColumn id="2" xr3:uid="{CBA80575-90B5-462E-89D1-07A0AA7B0290}" name="name" dataDxfId="165"/>
    <tableColumn id="7" xr3:uid="{4C4DC2D9-C3C5-4200-A96D-B282174C7783}" name="id2" dataDxfId="168"/>
    <tableColumn id="6" xr3:uid="{94C15780-E208-4C61-B7A3-29D4D6766DEE}" name="terminal_alias" dataDxfId="169"/>
    <tableColumn id="3" xr3:uid="{D4D7F55C-D315-4472-A0C1-BFE7CB966768}" name="terminal_id" dataDxfId="167"/>
    <tableColumn id="5" xr3:uid="{4B56CAE7-9A70-48F6-967C-9FE222AE1377}" name="description" dataDxfId="16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2DADAB-A82F-4D83-AB71-1FFCFBD5220B}" name="Table156789" displayName="Table156789" ref="A1:G64" totalsRowShown="0" headerRowDxfId="182" dataDxfId="181">
  <autoFilter ref="A1:G64" xr:uid="{76BC8010-2100-4028-A884-9C5FF09016C3}"/>
  <sortState xmlns:xlrd2="http://schemas.microsoft.com/office/spreadsheetml/2017/richdata2" ref="A2:G64">
    <sortCondition ref="A1:A64"/>
  </sortState>
  <tableColumns count="7">
    <tableColumn id="1" xr3:uid="{5E215B49-4C80-4CD5-B7CA-8FD325CD4190}" name="id" dataDxfId="180"/>
    <tableColumn id="2" xr3:uid="{29FE4DC3-53C0-457C-8444-8B0BD4E31C23}" name="moldable_type" dataDxfId="176"/>
    <tableColumn id="3" xr3:uid="{3301757B-6404-4E15-BB21-BA5D2E50A308}" name="moldable_id" dataDxfId="164"/>
    <tableColumn id="4" xr3:uid="{6CDD99A6-EB6A-47BB-A115-F7A053CE13A2}" name="name" dataDxfId="162"/>
    <tableColumn id="5" xr3:uid="{00714CF0-7487-4111-9E76-06AAEBD0A0A1}" name="cavities" dataDxfId="163"/>
    <tableColumn id="6" xr3:uid="{EB8B7A93-F144-4077-8478-FC910763305C}" name="image" dataDxfId="175"/>
    <tableColumn id="8" xr3:uid="{3FD6BE58-AD87-4481-82F8-FBD0C4E24B64}" name="cycle_time" dataDxfId="16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F86BAEE-A466-4CBC-B2D7-54BBF9482BCB}" name="Table1567891011" displayName="Table1567891011" ref="A1:E91" totalsRowShown="0" headerRowDxfId="159" dataDxfId="158">
  <autoFilter ref="A1:E91" xr:uid="{76BC8010-2100-4028-A884-9C5FF09016C3}"/>
  <tableColumns count="5">
    <tableColumn id="1" xr3:uid="{5332E993-3DFF-4DCF-A8FF-403F60B728AE}" name="id" dataDxfId="157"/>
    <tableColumn id="2" xr3:uid="{3AD15177-B4DA-4F7E-9729-2A0B00BEDD41}" name="product_id" dataDxfId="154"/>
    <tableColumn id="3" xr3:uid="{77155D6F-DCF5-42DF-BF6B-1E4E3B949D27}" name="mold_id" dataDxfId="153"/>
    <tableColumn id="4" xr3:uid="{BC4475A9-ECAE-41C7-923C-3C8E42A9999C}" name="description" dataDxfId="152"/>
    <tableColumn id="5" xr3:uid="{18D5E6FF-5AC8-432F-968C-268D773603F9}" name="tags" dataDxfId="151">
      <calculatedColumnFormula>_xlfn.XLOOKUP(Table1567891011[[#This Row],[mold_id]],Table156789[id],Table156789[moldable_type])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CB0F7F5-3C95-47A8-A22E-982031318487}" name="Table15678910" displayName="Table15678910" ref="A1:B7" totalsRowShown="0" headerRowDxfId="179" dataDxfId="178">
  <autoFilter ref="A1:B7" xr:uid="{76BC8010-2100-4028-A884-9C5FF09016C3}"/>
  <tableColumns count="2">
    <tableColumn id="1" xr3:uid="{FA672106-8109-4BDF-B149-8E1B63D9AD83}" name="id" dataDxfId="177"/>
    <tableColumn id="2" xr3:uid="{36CFCD3B-17FF-47D7-92B3-BFD2C867DF43}" name="name" dataDxfId="15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A29148E-DEF4-4DCC-9D53-7F0610B75D20}" name="Table156789101112" displayName="Table156789101112" ref="A1:P53" totalsRowShown="0" headerRowDxfId="155" dataDxfId="121">
  <autoFilter ref="A1:P53" xr:uid="{76BC8010-2100-4028-A884-9C5FF09016C3}"/>
  <sortState xmlns:xlrd2="http://schemas.microsoft.com/office/spreadsheetml/2017/richdata2" ref="A2:P53">
    <sortCondition ref="D1:D53"/>
  </sortState>
  <tableColumns count="16">
    <tableColumn id="1" xr3:uid="{9A80AF87-66D8-48BB-92E3-D2DC12FD0E6F}" name="id" dataDxfId="134"/>
    <tableColumn id="2" xr3:uid="{F9D99BF3-C3A7-408A-94C7-DDE7A2E11C9B}" name="product_id" dataDxfId="133"/>
    <tableColumn id="16" xr3:uid="{AB4411BE-BF0B-48C3-8B65-6649B9BD9FBE}" name="carried_id" dataDxfId="4"/>
    <tableColumn id="3" xr3:uid="{DD497D2D-E74D-437E-9D96-9AB1667A4B94}" name="idd" dataDxfId="132"/>
    <tableColumn id="4" xr3:uid="{3FC9E1BF-7EEF-474A-A262-1BAFC1C927EE}" name="month" dataDxfId="131"/>
    <tableColumn id="5" xr3:uid="{2F823D95-550A-4719-A21F-8121B8C2CAC3}" name="quantity" dataDxfId="130"/>
    <tableColumn id="6" xr3:uid="{18DDA801-9921-4900-9433-27808E3E2039}" name="notification_date" dataDxfId="129"/>
    <tableColumn id="7" xr3:uid="{5A0FF945-73E7-49F9-93EB-7AE6D9920640}" name="seen" dataDxfId="128"/>
    <tableColumn id="8" xr3:uid="{FDBA9DCC-E479-4E55-BA18-7036D6991656}" name="status" dataDxfId="127"/>
    <tableColumn id="14" xr3:uid="{A1F8F69D-C672-4235-AD1E-8B3F9E9DAC7B}" name="tags" dataDxfId="113"/>
    <tableColumn id="9" xr3:uid="{CF4ADB1A-8F2A-4F7A-A66C-81E828EE6AF9}" name="description" dataDxfId="126"/>
    <tableColumn id="15" xr3:uid="{805B38C5-A2EB-4622-83CD-0A35FD53C765}" name="fiscal_year" dataDxfId="8"/>
    <tableColumn id="10" xr3:uid="{19230521-C278-4CFD-976D-DED4C6210536}" name="created_by" dataDxfId="125"/>
    <tableColumn id="11" xr3:uid="{8392DFAE-69A2-4127-95B1-6F0ABC669126}" name="created_at" dataDxfId="124"/>
    <tableColumn id="12" xr3:uid="{E484A3FF-E88C-4665-885A-C7D63A731491}" name="updated_at" dataDxfId="123"/>
    <tableColumn id="13" xr3:uid="{86F7382A-C4DC-4AC4-9768-9D82835359DD}" name="deleted_at" dataDxfId="1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6E91208-E79A-4FB8-A150-97B082184E11}" name="Table15678910111216" displayName="Table15678910111216" ref="A1:K138" totalsRowShown="0" headerRowDxfId="136" dataDxfId="135">
  <autoFilter ref="A1:K138" xr:uid="{76BC8010-2100-4028-A884-9C5FF09016C3}"/>
  <tableColumns count="11">
    <tableColumn id="1" xr3:uid="{70E1FAAC-6350-4077-B661-3F3BA03A0B07}" name="id" dataDxfId="117"/>
    <tableColumn id="2" xr3:uid="{1B9C0D3E-EC91-4645-9726-6A07D465BA18}" name="order_id" dataDxfId="116"/>
    <tableColumn id="3" xr3:uid="{764AC627-6C1B-4AA4-ACF4-F159801D46C3}" name="promised_date" dataDxfId="115"/>
    <tableColumn id="4" xr3:uid="{9B27879D-8BBA-4BE7-AB6F-0FF3398D3E6F}" name="promised_quantity" dataDxfId="114"/>
    <tableColumn id="5" xr3:uid="{3038C9BF-8028-4F65-9C1F-5B5730BB1506}" name="status" dataDxfId="112"/>
    <tableColumn id="6" xr3:uid="{2947CB0C-00CD-4364-AC2C-EE253B200AEF}" name="tags" dataDxfId="111"/>
    <tableColumn id="7" xr3:uid="{8C5AA034-BFD2-49AD-B3EB-D1C075921F7B}" name="description" dataDxfId="110"/>
    <tableColumn id="8" xr3:uid="{DD226A67-40CB-414F-90BB-AF80E2E4647E}" name="created_by" dataDxfId="109"/>
    <tableColumn id="9" xr3:uid="{0B11C03F-212E-4E2E-BDFA-0D01F6FFBF8E}" name="created_at" dataDxfId="108"/>
    <tableColumn id="10" xr3:uid="{C1446FA7-A7BE-401F-AD2E-455F3259DBD2}" name="updated_at" dataDxfId="107"/>
    <tableColumn id="11" xr3:uid="{8E166F1D-FB77-4B99-A0F4-7B32CCA1A8D3}" name="deleted_at" dataDxfId="10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9A3F7E6-D9F9-4BDF-B087-E27302FF5221}" name="Table1567891011121618" displayName="Table1567891011121618" ref="A1:B13" totalsRowShown="0" headerRowDxfId="120" dataDxfId="119">
  <autoFilter ref="A1:B13" xr:uid="{76BC8010-2100-4028-A884-9C5FF09016C3}"/>
  <sortState xmlns:xlrd2="http://schemas.microsoft.com/office/spreadsheetml/2017/richdata2" ref="A2:B13">
    <sortCondition ref="A1:A13"/>
  </sortState>
  <tableColumns count="2">
    <tableColumn id="1" xr3:uid="{87B9DC61-5763-4A86-BA15-474BE5914464}" name="id" dataDxfId="118"/>
    <tableColumn id="2" xr3:uid="{2CC0164A-7651-4810-B1A7-B9E72D8C5511}" name="name" dataDxfId="10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FA9D3E2-9AB1-4AA5-854E-C8DFF94885E3}" name="Table156789101112161820" displayName="Table156789101112161820" ref="A1:E2" insertRow="1" totalsRowShown="0" headerRowDxfId="105" dataDxfId="104">
  <autoFilter ref="A1:E2" xr:uid="{76BC8010-2100-4028-A884-9C5FF09016C3}"/>
  <tableColumns count="5">
    <tableColumn id="1" xr3:uid="{F5B65586-057A-48B9-8393-27A1BDDC0F20}" name="id" dataDxfId="103"/>
    <tableColumn id="2" xr3:uid="{8837D74F-BD1E-47A7-A86C-1EF9EC721D7B}" name="product_id" dataDxfId="99"/>
    <tableColumn id="3" xr3:uid="{6E674313-017F-4D4C-BC03-2BCDBC847BC6}" name="activity_id" dataDxfId="98"/>
    <tableColumn id="4" xr3:uid="{7F654960-AD57-4D01-8A37-14BBDD070E12}" name="cycletime" dataDxfId="97"/>
    <tableColumn id="5" xr3:uid="{2AFFA224-6D92-4B92-A271-CC9334587732}" name="interchangeable-group-name" dataDxfId="9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C894EF5-5007-49F6-AAC1-8180915CF67D}" name="Table15678910111216182021" displayName="Table15678910111216182021" ref="A1:O190" totalsRowShown="0" headerRowDxfId="101" dataDxfId="100">
  <autoFilter ref="A1:O190" xr:uid="{76BC8010-2100-4028-A884-9C5FF09016C3}"/>
  <sortState xmlns:xlrd2="http://schemas.microsoft.com/office/spreadsheetml/2017/richdata2" ref="A2:N190">
    <sortCondition ref="A1:A190"/>
  </sortState>
  <tableColumns count="15">
    <tableColumn id="1" xr3:uid="{1FD3EDA7-D62C-4601-96B3-5794AB23700B}" name="id" dataDxfId="89"/>
    <tableColumn id="15" xr3:uid="{4520A452-2185-4297-AA7D-9A0EE3355C31}" name="idd" dataDxfId="88"/>
    <tableColumn id="2" xr3:uid="{B72529D6-7B13-419E-8746-46C9C034D915}" name="order_id" dataDxfId="86"/>
    <tableColumn id="3" xr3:uid="{82177E9E-E4BE-4A00-82A8-500FE7FA5D9C}" name="quantity" dataDxfId="93"/>
    <tableColumn id="4" xr3:uid="{2ECB6FD7-18E5-47AC-AAD4-42E4832B0C66}" name="maximum_batch_size" dataDxfId="91"/>
    <tableColumn id="5" xr3:uid="{29E11301-59C2-432F-A517-06891A376329}" name="printing_date" dataDxfId="46"/>
    <tableColumn id="6" xr3:uid="{B1D78840-8B0D-42AE-9575-AE873D2E621B}" name="cutting_date" dataDxfId="82"/>
    <tableColumn id="8" xr3:uid="{F2F243C9-E165-4032-BE1C-C397B910E8CC}" name="status" dataDxfId="45"/>
    <tableColumn id="9" xr3:uid="{053879D0-AA57-4F48-9FDE-A5B4DA79B7B7}" name="tags" dataDxfId="87"/>
    <tableColumn id="10" xr3:uid="{AB3DEDF6-4D0C-45BB-9A41-0AA68793DEB4}" name="description" dataDxfId="90"/>
    <tableColumn id="11" xr3:uid="{B239A116-D906-48EA-A277-7CB42019D312}" name="created_by" dataDxfId="83"/>
    <tableColumn id="12" xr3:uid="{4A87D426-490F-4E15-98EC-98184BC485A8}" name="created_at" dataDxfId="81"/>
    <tableColumn id="13" xr3:uid="{D663C4A7-AEFB-4CED-8198-35D8488BB2A0}" name="updated_at" dataDxfId="79"/>
    <tableColumn id="14" xr3:uid="{401282FD-ABB5-43E6-9052-0C5CFAA682C3}" name="deleted_at" dataDxfId="80"/>
    <tableColumn id="25" xr3:uid="{52F3D672-35E4-4727-AD06-1609F23C069F}" name="temp9" dataDxfId="6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44F1D71-AAE0-48ED-8D6F-7385EC006860}" name="Table1567891011121618202125" displayName="Table1567891011121618202125" ref="A1:N6" totalsRowShown="0" headerRowDxfId="62" dataDxfId="61">
  <autoFilter ref="A1:N6" xr:uid="{76BC8010-2100-4028-A884-9C5FF09016C3}"/>
  <sortState xmlns:xlrd2="http://schemas.microsoft.com/office/spreadsheetml/2017/richdata2" ref="A2:N6">
    <sortCondition ref="J1:J6"/>
  </sortState>
  <tableColumns count="14">
    <tableColumn id="1" xr3:uid="{84D2B892-49A4-44D7-A7CF-5F0E34F9655B}" name="id" dataDxfId="60"/>
    <tableColumn id="15" xr3:uid="{35CD9F86-A30D-4C9C-8690-31A090E337FD}" name="idd" dataDxfId="59"/>
    <tableColumn id="2" xr3:uid="{658E1744-0FD6-4F6B-B659-98D1E6233ACC}" name="order_id" dataDxfId="58"/>
    <tableColumn id="3" xr3:uid="{9BEE2A2B-D9E4-4C1B-AAD6-07DA79A38059}" name="quantity" dataDxfId="57"/>
    <tableColumn id="4" xr3:uid="{62ECBE57-E786-406E-AF00-18C15932CB24}" name="maximum_batch_size" dataDxfId="56"/>
    <tableColumn id="5" xr3:uid="{E50B97B2-60F7-429B-8F48-914B4B6D0B30}" name="printing_date" dataDxfId="55"/>
    <tableColumn id="6" xr3:uid="{20D95B21-30E9-4896-BFF1-05689085C182}" name="cutting_date" dataDxfId="54"/>
    <tableColumn id="8" xr3:uid="{9AED1E26-E714-4751-8851-40CEF50CDF30}" name="status" dataDxfId="53"/>
    <tableColumn id="9" xr3:uid="{DB6DDCB6-1CD7-43A6-A218-366958689706}" name="tags" dataDxfId="52"/>
    <tableColumn id="10" xr3:uid="{8F00F8D5-0EC7-4D59-80ED-454AFDABCCB7}" name="description" dataDxfId="51"/>
    <tableColumn id="11" xr3:uid="{1E241D76-D717-420F-B716-4A23CC13BBEF}" name="created_by" dataDxfId="50"/>
    <tableColumn id="12" xr3:uid="{6F608452-D6D0-4CF0-BA80-6F5794408059}" name="created_at" dataDxfId="49"/>
    <tableColumn id="13" xr3:uid="{C370383F-6E10-497D-A023-6BEBB1395827}" name="updated_at" dataDxfId="48"/>
    <tableColumn id="14" xr3:uid="{E0684FAE-861C-4BC4-A82E-CFA54E26FCA2}" name="deleted_at" dataDxfId="4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8C5608E-610B-4116-9FDB-09A4C82C3304}" name="Table1567891011121618202124" displayName="Table1567891011121618202124" ref="A1:M26" totalsRowShown="0" headerRowDxfId="78" dataDxfId="77">
  <autoFilter ref="A1:M26" xr:uid="{76BC8010-2100-4028-A884-9C5FF09016C3}"/>
  <sortState xmlns:xlrd2="http://schemas.microsoft.com/office/spreadsheetml/2017/richdata2" ref="A2:M26">
    <sortCondition ref="A1:A26"/>
  </sortState>
  <tableColumns count="13">
    <tableColumn id="1" xr3:uid="{B81A62AF-0D58-43A2-B605-54673542B1C2}" name="id" dataDxfId="76"/>
    <tableColumn id="15" xr3:uid="{CC5B2A80-D784-4884-93A4-8583C6799241}" name="idd" dataDxfId="75"/>
    <tableColumn id="2" xr3:uid="{2E24F94E-0D55-41CD-BA5C-F3F165AACC3C}" name="product_id" dataDxfId="74"/>
    <tableColumn id="3" xr3:uid="{8E327830-CCFC-46CD-9CC8-0DD83198BDF4}" name="quantity" dataDxfId="73"/>
    <tableColumn id="4" xr3:uid="{788D770E-F535-4FDF-822C-F24061323FE9}" name="maximum_batch_size" dataDxfId="72"/>
    <tableColumn id="6" xr3:uid="{4F94435D-2447-49F7-B664-969EB6B4B017}" name="cutting_date" dataDxfId="71"/>
    <tableColumn id="8" xr3:uid="{3C853DC2-DE37-416F-BB82-37FD5C22B628}" name="status" dataDxfId="70"/>
    <tableColumn id="9" xr3:uid="{552179FE-8060-46F3-9B9F-2EE500468430}" name="tags" dataDxfId="69"/>
    <tableColumn id="10" xr3:uid="{8F912149-0558-4CB2-8621-3350186B3AF7}" name="description" dataDxfId="68"/>
    <tableColumn id="11" xr3:uid="{4992D4EF-B43D-4468-ADA3-485369D7DFFF}" name="created_by" dataDxfId="67"/>
    <tableColumn id="12" xr3:uid="{063D514E-8819-48A5-A0CE-10B40C6EB85A}" name="created_at" dataDxfId="66"/>
    <tableColumn id="13" xr3:uid="{377A4A34-628F-49B9-9FFA-747F0D20C80F}" name="updated_at" dataDxfId="65"/>
    <tableColumn id="14" xr3:uid="{8B8800C4-09FB-489D-B641-E35EBC0C29A9}" name="deleted_at" dataDxfId="64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A3A41FE-8C0F-4C33-89CA-EBBDD124A55E}" name="batches" displayName="batches" ref="A1:C1353" totalsRowShown="0" headerRowDxfId="96" dataDxfId="95">
  <autoFilter ref="A1:C1353" xr:uid="{76BC8010-2100-4028-A884-9C5FF09016C3}"/>
  <sortState xmlns:xlrd2="http://schemas.microsoft.com/office/spreadsheetml/2017/richdata2" ref="A2:C1353">
    <sortCondition ref="A1:A1353"/>
  </sortState>
  <tableColumns count="3">
    <tableColumn id="1" xr3:uid="{8AE3D5CE-5041-4552-B0C0-DCF8FB7686FB}" name="id" dataDxfId="94"/>
    <tableColumn id="2" xr3:uid="{1D8C87F9-FDF0-4E5B-99D2-ED535D56E105}" name="cut_id" dataDxfId="85"/>
    <tableColumn id="3" xr3:uid="{A0D0D89C-DD34-4C0B-9A89-547E2AC23DD5}" name="size" dataDxfId="8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C935B70-F64B-4FC8-8128-9B27B9A6B8F1}" name="Table156789101112161820212223" displayName="Table156789101112161820212223" ref="A1:I430" totalsRowShown="0" headerRowDxfId="35" dataDxfId="34">
  <autoFilter ref="A1:I430" xr:uid="{76BC8010-2100-4028-A884-9C5FF09016C3}"/>
  <sortState xmlns:xlrd2="http://schemas.microsoft.com/office/spreadsheetml/2017/richdata2" ref="A2:F430">
    <sortCondition ref="A1:A430"/>
  </sortState>
  <tableColumns count="9">
    <tableColumn id="1" xr3:uid="{2768D404-F227-4857-AA47-FB7D910B28CF}" name="id" dataDxfId="33"/>
    <tableColumn id="2" xr3:uid="{7B7F85F8-D003-4EAF-8EDA-080AB7642CB0}" name="date" dataDxfId="32"/>
    <tableColumn id="4" xr3:uid="{54AD533F-3705-4D2A-96C8-97C17AC545F4}" name="product_id" dataDxfId="31"/>
    <tableColumn id="3" xr3:uid="{42365F03-B105-4261-A125-055A9BCD5AB3}" name="quantity" dataDxfId="30"/>
    <tableColumn id="15" xr3:uid="{BFF3C986-F4A6-4824-9267-B384D5E1FA74}" name="this_production_id" dataDxfId="0"/>
    <tableColumn id="13" xr3:uid="{9717B3E6-884F-4C73-9548-84F859DFF549}" name="order_id" dataDxfId="29"/>
    <tableColumn id="6" xr3:uid="{1CAB71A1-2D0E-4D11-9DDB-924E69857FAA}" name="qnt" dataDxfId="2"/>
    <tableColumn id="14" xr3:uid="{CEB244A1-67C6-4DB7-AF89-9D6E24BA439B}" name="order_id2" dataDxfId="3"/>
    <tableColumn id="8" xr3:uid="{CF715F59-CB69-4B98-A724-CACDA0968D94}" name="qnt2" dataDxfId="1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79E6C73-C5B9-4326-87D6-76274026780E}" name="Table15678910111216182021222329" displayName="Table15678910111216182021222329" ref="A1:M69" totalsRowShown="0" headerRowDxfId="28" dataDxfId="27">
  <autoFilter ref="A1:M69" xr:uid="{76BC8010-2100-4028-A884-9C5FF09016C3}"/>
  <sortState xmlns:xlrd2="http://schemas.microsoft.com/office/spreadsheetml/2017/richdata2" ref="A2:M69">
    <sortCondition ref="M1:M69"/>
  </sortState>
  <tableColumns count="13">
    <tableColumn id="1" xr3:uid="{BE95CAE4-F61A-40BF-A6D5-8964A9A5ABED}" name="id" dataDxfId="26"/>
    <tableColumn id="2" xr3:uid="{6A8A6848-C700-4E7F-8715-AF9F143E658E}" name="date" dataDxfId="25"/>
    <tableColumn id="4" xr3:uid="{80DBA04C-170B-4880-925A-FA23FD080D05}" name="product_id" dataDxfId="24"/>
    <tableColumn id="3" xr3:uid="{B0D3DDCA-8937-4A6F-AB0C-C28224293C2B}" name="quantity" dataDxfId="23"/>
    <tableColumn id="5" xr3:uid="{1A3E1162-4CBA-4AA8-98F5-8B90030A002C}" name="plan" dataDxfId="22"/>
    <tableColumn id="6" xr3:uid="{64CEA8CF-0036-4CAF-8852-F78EFEF3EEF0}" name="qnt" dataDxfId="21"/>
    <tableColumn id="7" xr3:uid="{6B9F4D39-60F1-4470-86AB-2DE5E350A786}" name="plan2" dataDxfId="20"/>
    <tableColumn id="8" xr3:uid="{B75632C6-586A-4CF7-982B-BD8F1496E216}" name="qnt2" dataDxfId="19"/>
    <tableColumn id="9" xr3:uid="{96D57B43-740E-4663-AB48-6CA14D87D6EF}" name="Column5" dataDxfId="18">
      <calculatedColumnFormula array="1">LEFT(E2, MATCH(FALSE, ISNUMBER(MID(E2, ROW($1:$100), 1)*1), 0)-1)</calculatedColumnFormula>
    </tableColumn>
    <tableColumn id="10" xr3:uid="{8F22CE59-647A-453E-BB7A-9425546AEC78}" name="Column6" dataDxfId="17">
      <calculatedColumnFormula>IF(LEN(Table15678910111216182021222329[[#This Row],[Column5]])=1,"0"&amp;Table15678910111216182021222329[[#This Row],[plan]],IF(LEN(Table15678910111216182021222329[[#This Row],[Column5]])&lt;3,Table15678910111216182021222329[[#This Row],[plan]],""))</calculatedColumnFormula>
    </tableColumn>
    <tableColumn id="11" xr3:uid="{C6D216D6-36B8-49CC-8553-9C3DC3388073}" name="Column7" dataDxfId="16">
      <calculatedColumnFormula>IF(VALUE(Table15678910111216182021222329[[#This Row],[Column5]])&gt;7,"1403/"&amp;J2,"1404/"&amp;J2)</calculatedColumnFormula>
    </tableColumn>
    <tableColumn id="12" xr3:uid="{D8F27C0C-A005-4F5F-BB56-906C11C34785}" name="order" dataDxfId="15">
      <calculatedColumnFormula>K2&amp;"-"&amp;Table15678910111216182021222329[[#This Row],[product_id]]</calculatedColumnFormula>
    </tableColumn>
    <tableColumn id="13" xr3:uid="{2B7D6AA2-FDD5-4463-B609-3D2F520C5F0A}" name="order_id" dataDxfId="14">
      <calculatedColumnFormula>_xlfn.XLOOKUP(Table15678910111216182021222329[[#This Row],[order]],Table156789101112[idd],Table156789101112[id])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E14050F-9B99-4F3D-A29E-552CBC1E8634}" name="order_production" displayName="order_production" ref="A1:D441" totalsRowShown="0" headerRowDxfId="44" dataDxfId="43">
  <autoFilter ref="A1:D441" xr:uid="{76BC8010-2100-4028-A884-9C5FF09016C3}"/>
  <tableColumns count="4">
    <tableColumn id="1" xr3:uid="{3E9C3145-1699-49C6-874A-719346877FE9}" name="id" dataDxfId="42"/>
    <tableColumn id="2" xr3:uid="{C0E1312F-30AB-4C58-8422-9132A97AFC69}" name="production_id" dataDxfId="38"/>
    <tableColumn id="3" xr3:uid="{88FD808D-2842-4DD2-B5A5-2EE99DB6DBCC}" name="quantity" dataDxfId="37"/>
    <tableColumn id="4" xr3:uid="{02589859-6093-4224-9A8A-2245BACE3336}" name="order_id" dataDxfId="36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22BFF74B-27C8-41C6-8AEB-552B5FF29232}" name="Table1567891011121618202122232728" displayName="Table1567891011121618202122232728" ref="A1:F3" totalsRowShown="0" headerRowDxfId="41" dataDxfId="40">
  <autoFilter ref="A1:F3" xr:uid="{76BC8010-2100-4028-A884-9C5FF09016C3}"/>
  <tableColumns count="6">
    <tableColumn id="1" xr3:uid="{E1C8FBE2-B032-4418-B5B1-E7B1B6B6C440}" name="id" dataDxfId="39"/>
    <tableColumn id="2" xr3:uid="{75B62297-4688-440A-99B3-D044890B0186}" name="target_model" dataDxfId="10"/>
    <tableColumn id="4" xr3:uid="{32D60E2B-D52C-4C12-994C-A5BE8AF8A64B}" name="target_field" dataDxfId="5"/>
    <tableColumn id="3" xr3:uid="{C0878462-B75B-49AA-9AB3-90F9098C3590}" name="target_id" dataDxfId="9"/>
    <tableColumn id="6" xr3:uid="{FE6EDBEA-8645-4E8B-96FF-3A02D431251B}" name="from" dataDxfId="7"/>
    <tableColumn id="7" xr3:uid="{926C89D5-5C37-477D-B3F8-CC282E895B27}" name="to" dataDxfId="6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28FCF84-F171-4AAE-9F31-3FEFEB25A2D2}" name="Table156789101112161820212223272830" displayName="Table156789101112161820212223272830" ref="A1:A2" insertRow="1" totalsRowShown="0" headerRowDxfId="13" dataDxfId="12">
  <autoFilter ref="A1:A2" xr:uid="{76BC8010-2100-4028-A884-9C5FF09016C3}"/>
  <tableColumns count="1">
    <tableColumn id="1" xr3:uid="{4FE75DC8-CB66-4568-8A86-D9A8CEC8F2FB}" name="Column1" dataDxfId="1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A010B-AECF-4D83-B920-7A32F4AC016B}">
  <sheetPr codeName="Sheet1"/>
  <dimension ref="A1:AA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6" sqref="C16"/>
    </sheetView>
  </sheetViews>
  <sheetFormatPr defaultRowHeight="15" x14ac:dyDescent="0.25"/>
  <cols>
    <col min="1" max="1" width="10" style="1" bestFit="1" customWidth="1"/>
    <col min="2" max="2" width="14.28515625" style="1" customWidth="1"/>
    <col min="3" max="3" width="67.7109375" style="1" bestFit="1" customWidth="1"/>
    <col min="4" max="4" width="13" style="1" bestFit="1" customWidth="1"/>
    <col min="5" max="5" width="18.5703125" style="1" bestFit="1" customWidth="1"/>
    <col min="6" max="6" width="21.5703125" style="1" bestFit="1" customWidth="1"/>
    <col min="7" max="7" width="23.42578125" style="1" bestFit="1" customWidth="1"/>
    <col min="8" max="8" width="19.7109375" style="1" bestFit="1" customWidth="1"/>
    <col min="9" max="9" width="21.42578125" style="1" bestFit="1" customWidth="1"/>
    <col min="10" max="10" width="21.85546875" style="1" bestFit="1" customWidth="1"/>
    <col min="11" max="11" width="26.5703125" style="1" bestFit="1" customWidth="1"/>
    <col min="12" max="12" width="28.28515625" style="1" bestFit="1" customWidth="1"/>
    <col min="13" max="13" width="28.5703125" style="1" bestFit="1" customWidth="1"/>
    <col min="14" max="14" width="21" style="1" bestFit="1" customWidth="1"/>
    <col min="15" max="15" width="22.85546875" style="1" bestFit="1" customWidth="1"/>
    <col min="16" max="16" width="23.140625" style="1" bestFit="1" customWidth="1"/>
    <col min="17" max="17" width="23.42578125" style="1" bestFit="1" customWidth="1"/>
    <col min="18" max="19" width="12.140625" style="1" bestFit="1" customWidth="1"/>
    <col min="20" max="20" width="22.85546875" style="1" bestFit="1" customWidth="1"/>
    <col min="21" max="21" width="16.140625" style="1" bestFit="1" customWidth="1"/>
    <col min="22" max="22" width="13.7109375" style="1" customWidth="1"/>
    <col min="23" max="23" width="27.28515625" style="1" bestFit="1" customWidth="1"/>
    <col min="24" max="24" width="15.42578125" style="1" bestFit="1" customWidth="1"/>
    <col min="25" max="25" width="15" style="1" bestFit="1" customWidth="1"/>
    <col min="26" max="26" width="13.140625" style="1" customWidth="1"/>
    <col min="27" max="27" width="12.7109375" style="1" customWidth="1"/>
    <col min="28" max="16384" width="9.140625" style="1"/>
  </cols>
  <sheetData>
    <row r="1" spans="1:2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64</v>
      </c>
      <c r="G1" s="1" t="s">
        <v>65</v>
      </c>
      <c r="H1" s="1" t="s">
        <v>66</v>
      </c>
      <c r="I1" s="1" t="s">
        <v>67</v>
      </c>
      <c r="J1" s="1" t="s">
        <v>68</v>
      </c>
      <c r="K1" s="1" t="s">
        <v>69</v>
      </c>
      <c r="L1" s="1" t="s">
        <v>70</v>
      </c>
      <c r="M1" s="1" t="s">
        <v>71</v>
      </c>
      <c r="N1" s="1" t="s">
        <v>5</v>
      </c>
      <c r="O1" s="1" t="s">
        <v>6</v>
      </c>
      <c r="P1" s="1" t="s">
        <v>7</v>
      </c>
      <c r="Q1" s="1" t="s">
        <v>8</v>
      </c>
      <c r="R1" s="1" t="s">
        <v>9</v>
      </c>
      <c r="S1" s="1" t="s">
        <v>10</v>
      </c>
      <c r="T1" s="1" t="s">
        <v>11</v>
      </c>
      <c r="U1" s="1" t="s">
        <v>12</v>
      </c>
      <c r="V1" s="1" t="s">
        <v>362</v>
      </c>
      <c r="W1" s="1" t="s">
        <v>13</v>
      </c>
      <c r="X1" s="1" t="s">
        <v>14</v>
      </c>
      <c r="Y1" s="1" t="s">
        <v>15</v>
      </c>
      <c r="Z1" s="1" t="s">
        <v>16</v>
      </c>
      <c r="AA1" s="1" t="s">
        <v>17</v>
      </c>
    </row>
    <row r="2" spans="1:27" x14ac:dyDescent="0.25">
      <c r="A2" s="1">
        <v>140000006</v>
      </c>
      <c r="B2" s="1">
        <v>30</v>
      </c>
      <c r="C2" s="2" t="str">
        <f>_xlfn.XLOOKUP(Table3[[#This Row],[id]],[1]!bom[Id],[1]!bom[شرح محصول])</f>
        <v>کابل دوشاخه 3.75</v>
      </c>
      <c r="D2" s="1">
        <v>120030006</v>
      </c>
      <c r="E2" s="1">
        <v>200</v>
      </c>
      <c r="F2" s="1">
        <v>10</v>
      </c>
      <c r="G2" s="1">
        <v>2.5</v>
      </c>
      <c r="H2" s="1" t="s">
        <v>72</v>
      </c>
      <c r="I2" s="1" t="s">
        <v>72</v>
      </c>
      <c r="J2" s="1" t="s">
        <v>73</v>
      </c>
      <c r="K2" s="1">
        <v>10</v>
      </c>
      <c r="L2" s="1">
        <v>10</v>
      </c>
      <c r="M2" s="1">
        <v>10</v>
      </c>
      <c r="N2" s="1">
        <v>120110001</v>
      </c>
      <c r="O2" s="1">
        <v>120110001</v>
      </c>
      <c r="P2" s="1">
        <v>120100023</v>
      </c>
      <c r="R2" s="1">
        <v>4</v>
      </c>
      <c r="U2" s="1">
        <v>2</v>
      </c>
    </row>
    <row r="3" spans="1:27" x14ac:dyDescent="0.25">
      <c r="A3" s="1">
        <v>140010092</v>
      </c>
      <c r="B3" s="1">
        <v>39</v>
      </c>
      <c r="C3" s="2" t="str">
        <f>_xlfn.XLOOKUP(Table3[[#This Row],[id]],[1]!bom[Id],[1]!bom[شرح محصول])</f>
        <v>کابل دوشاخه  220  سانتی طوسی</v>
      </c>
      <c r="D3" s="1">
        <v>120030009</v>
      </c>
      <c r="E3" s="1">
        <v>220</v>
      </c>
      <c r="F3" s="1">
        <v>10</v>
      </c>
      <c r="G3" s="1">
        <v>2.5</v>
      </c>
      <c r="H3" s="1" t="s">
        <v>73</v>
      </c>
      <c r="I3" s="1" t="s">
        <v>73</v>
      </c>
      <c r="J3" s="1" t="s">
        <v>73</v>
      </c>
      <c r="N3" s="1">
        <v>120100018</v>
      </c>
      <c r="O3" s="1">
        <v>120100018</v>
      </c>
      <c r="P3" s="1">
        <v>120100018</v>
      </c>
      <c r="R3" s="1">
        <v>4</v>
      </c>
      <c r="U3" s="1">
        <v>12</v>
      </c>
    </row>
    <row r="4" spans="1:27" x14ac:dyDescent="0.25">
      <c r="A4" s="1">
        <v>140010117</v>
      </c>
      <c r="B4" s="1">
        <v>39</v>
      </c>
      <c r="C4" s="2" t="str">
        <f>_xlfn.XLOOKUP(Table3[[#This Row],[id]],[1]!bom[Id],[1]!bom[شرح محصول])</f>
        <v>کابل دوشاخه  220  سانتی طوسی</v>
      </c>
      <c r="D4" s="1">
        <v>120030094</v>
      </c>
      <c r="E4" s="1">
        <v>220</v>
      </c>
      <c r="F4" s="1">
        <v>10</v>
      </c>
      <c r="G4" s="1">
        <v>2.5</v>
      </c>
      <c r="H4" s="1" t="s">
        <v>73</v>
      </c>
      <c r="I4" s="1" t="s">
        <v>73</v>
      </c>
      <c r="J4" s="1" t="s">
        <v>73</v>
      </c>
      <c r="N4" s="3">
        <v>120100018</v>
      </c>
      <c r="O4" s="3">
        <v>120100018</v>
      </c>
      <c r="P4" s="3"/>
      <c r="Q4" s="1">
        <v>120100018</v>
      </c>
      <c r="R4" s="1">
        <v>4</v>
      </c>
      <c r="T4" s="1">
        <v>20</v>
      </c>
      <c r="U4" s="1">
        <v>12</v>
      </c>
    </row>
    <row r="5" spans="1:27" x14ac:dyDescent="0.25">
      <c r="A5" s="1">
        <v>140010230</v>
      </c>
      <c r="B5" s="1">
        <v>39</v>
      </c>
      <c r="C5" s="2" t="str">
        <f>_xlfn.XLOOKUP(Table3[[#This Row],[id]],[1]!bom[Id],[1]!bom[شرح محصول])</f>
        <v>کابل دو شاخه مخصوص کمپرسور اینورتر</v>
      </c>
      <c r="D5" s="1">
        <v>120030094</v>
      </c>
      <c r="E5" s="1">
        <v>215</v>
      </c>
      <c r="F5" s="1">
        <v>16</v>
      </c>
      <c r="G5" s="1">
        <v>2.5</v>
      </c>
      <c r="H5" s="1" t="s">
        <v>73</v>
      </c>
      <c r="I5" s="1" t="s">
        <v>73</v>
      </c>
      <c r="J5" s="1" t="s">
        <v>73</v>
      </c>
      <c r="K5" s="1">
        <v>16</v>
      </c>
      <c r="L5" s="1">
        <v>16</v>
      </c>
      <c r="M5" s="1">
        <v>5.5</v>
      </c>
      <c r="N5" s="3">
        <v>120100018</v>
      </c>
      <c r="O5" s="3">
        <v>120100018</v>
      </c>
      <c r="P5" s="3"/>
      <c r="Q5" s="1">
        <v>120100018</v>
      </c>
      <c r="R5" s="1">
        <v>4</v>
      </c>
      <c r="T5" s="1">
        <v>18</v>
      </c>
      <c r="U5" s="1">
        <v>1</v>
      </c>
    </row>
    <row r="6" spans="1:27" x14ac:dyDescent="0.25">
      <c r="A6" s="1">
        <v>140010235</v>
      </c>
      <c r="B6" s="1">
        <v>39</v>
      </c>
      <c r="C6" s="2" t="str">
        <f>_xlfn.XLOOKUP(Table3[[#This Row],[id]],[1]!bom[Id],[1]!bom[شرح محصول])</f>
        <v>کابل دو شاخه تی وی 1.60 سانتیمتری</v>
      </c>
      <c r="D6" s="1">
        <v>120030039</v>
      </c>
      <c r="E6" s="1">
        <v>160</v>
      </c>
      <c r="F6" s="1">
        <v>2</v>
      </c>
      <c r="G6" s="1">
        <v>2</v>
      </c>
      <c r="H6" s="1" t="s">
        <v>72</v>
      </c>
      <c r="I6" s="1" t="s">
        <v>72</v>
      </c>
      <c r="J6" s="1" t="s">
        <v>74</v>
      </c>
      <c r="N6" s="1">
        <v>120110001</v>
      </c>
      <c r="O6" s="1">
        <v>120110001</v>
      </c>
      <c r="R6" s="1">
        <v>3</v>
      </c>
      <c r="U6" s="1">
        <v>7.5</v>
      </c>
    </row>
    <row r="7" spans="1:27" x14ac:dyDescent="0.25">
      <c r="A7" s="1">
        <v>140010236</v>
      </c>
      <c r="B7" s="1">
        <v>39</v>
      </c>
      <c r="C7" s="2" t="str">
        <f>_xlfn.XLOOKUP(Table3[[#This Row],[id]],[1]!bom[Id],[1]!bom[شرح محصول])</f>
        <v>کابل دو شاخه تی وی 1.92 سانتیمتری</v>
      </c>
      <c r="D7" s="1">
        <v>120030039</v>
      </c>
      <c r="E7" s="1">
        <v>192</v>
      </c>
      <c r="F7" s="1">
        <v>2</v>
      </c>
      <c r="G7" s="1">
        <v>2</v>
      </c>
      <c r="H7" s="1" t="s">
        <v>72</v>
      </c>
      <c r="I7" s="1" t="s">
        <v>72</v>
      </c>
      <c r="J7" s="1" t="s">
        <v>74</v>
      </c>
      <c r="N7" s="1">
        <v>120110001</v>
      </c>
      <c r="O7" s="1">
        <v>120110001</v>
      </c>
      <c r="R7" s="1">
        <v>3</v>
      </c>
      <c r="U7" s="1">
        <v>40</v>
      </c>
    </row>
    <row r="8" spans="1:27" x14ac:dyDescent="0.25">
      <c r="A8" s="1">
        <v>140010237</v>
      </c>
      <c r="B8" s="1">
        <v>39</v>
      </c>
      <c r="C8" s="2" t="str">
        <f>_xlfn.XLOOKUP(Table3[[#This Row],[id]],[1]!bom[Id],[1]!bom[شرح محصول])</f>
        <v>کابل دو شاخه تی وی 1.63 سانتیمتری</v>
      </c>
      <c r="D8" s="1">
        <v>120030039</v>
      </c>
      <c r="E8" s="1">
        <v>163</v>
      </c>
      <c r="F8" s="1">
        <v>2</v>
      </c>
      <c r="G8" s="1">
        <v>2</v>
      </c>
      <c r="H8" s="1" t="s">
        <v>72</v>
      </c>
      <c r="I8" s="1" t="s">
        <v>72</v>
      </c>
      <c r="J8" s="1" t="s">
        <v>74</v>
      </c>
      <c r="N8" s="1">
        <v>120110001</v>
      </c>
      <c r="O8" s="1">
        <v>120110001</v>
      </c>
      <c r="R8" s="1">
        <v>3</v>
      </c>
      <c r="U8" s="1">
        <v>11</v>
      </c>
    </row>
    <row r="9" spans="1:27" x14ac:dyDescent="0.25">
      <c r="A9" s="1">
        <v>140010255</v>
      </c>
      <c r="B9" s="1">
        <v>39</v>
      </c>
      <c r="C9" s="2" t="str">
        <f>_xlfn.XLOOKUP(Table3[[#This Row],[id]],[1]!bom[Id],[1]!bom[شرح محصول])</f>
        <v>کابل دوشاخه فریزر صندوقی</v>
      </c>
      <c r="D9" s="1">
        <v>120030094</v>
      </c>
      <c r="E9" s="1">
        <v>220</v>
      </c>
      <c r="F9" s="1">
        <v>10</v>
      </c>
      <c r="G9" s="1">
        <v>2.5</v>
      </c>
      <c r="H9" s="1" t="s">
        <v>75</v>
      </c>
      <c r="I9" s="1" t="s">
        <v>75</v>
      </c>
      <c r="J9" s="1" t="s">
        <v>73</v>
      </c>
      <c r="Q9" s="1">
        <v>120100015</v>
      </c>
      <c r="R9" s="1">
        <v>4</v>
      </c>
      <c r="T9" s="1">
        <v>20</v>
      </c>
      <c r="U9" s="1">
        <v>12</v>
      </c>
    </row>
    <row r="10" spans="1:27" x14ac:dyDescent="0.25">
      <c r="A10" s="1">
        <v>140010260</v>
      </c>
      <c r="B10" s="1">
        <v>39</v>
      </c>
      <c r="C10" s="2" t="str">
        <f>_xlfn.XLOOKUP(Table3[[#This Row],[id]],[1]!bom[Id],[1]!bom[شرح محصول])</f>
        <v>کابل TV50FCU</v>
      </c>
      <c r="D10" s="1">
        <v>120030039</v>
      </c>
      <c r="E10" s="1">
        <v>212</v>
      </c>
      <c r="F10" s="1">
        <v>20</v>
      </c>
      <c r="G10" s="1">
        <v>20</v>
      </c>
      <c r="H10" s="1" t="s">
        <v>72</v>
      </c>
      <c r="I10" s="1" t="s">
        <v>72</v>
      </c>
      <c r="J10" s="1" t="s">
        <v>74</v>
      </c>
      <c r="N10" s="1">
        <v>120110001</v>
      </c>
      <c r="O10" s="1">
        <v>120110001</v>
      </c>
      <c r="R10" s="1">
        <v>3</v>
      </c>
      <c r="U10" s="1">
        <v>60</v>
      </c>
    </row>
    <row r="11" spans="1:27" x14ac:dyDescent="0.25">
      <c r="A11" s="1">
        <v>140010279</v>
      </c>
      <c r="B11" s="1">
        <v>39</v>
      </c>
      <c r="C11" s="2" t="str">
        <f>_xlfn.XLOOKUP(Table3[[#This Row],[id]],[1]!bom[Id],[1]!bom[شرح محصول])</f>
        <v>43gfslu3jfs</v>
      </c>
      <c r="D11" s="1">
        <v>120030039</v>
      </c>
      <c r="E11" s="1">
        <v>177</v>
      </c>
      <c r="F11" s="1">
        <v>2.5</v>
      </c>
      <c r="G11" s="1">
        <v>2</v>
      </c>
      <c r="H11" s="1" t="s">
        <v>76</v>
      </c>
      <c r="I11" s="1" t="s">
        <v>76</v>
      </c>
      <c r="J11" s="1" t="s">
        <v>74</v>
      </c>
      <c r="N11" s="1">
        <v>120110001</v>
      </c>
      <c r="O11" s="1">
        <v>120110001</v>
      </c>
      <c r="R11" s="1">
        <v>3</v>
      </c>
      <c r="U11" s="1">
        <v>25</v>
      </c>
    </row>
    <row r="12" spans="1:27" x14ac:dyDescent="0.25">
      <c r="A12" s="1">
        <v>140010280</v>
      </c>
      <c r="B12" s="1">
        <v>39</v>
      </c>
      <c r="C12" s="2" t="str">
        <f>_xlfn.XLOOKUP(Table3[[#This Row],[id]],[1]!bom[Id],[1]!bom[شرح محصول])</f>
        <v>58GfuDuB Hm58fs کدمقصد : 700060009</v>
      </c>
      <c r="D12" s="1">
        <v>120030039</v>
      </c>
      <c r="E12" s="1">
        <v>192</v>
      </c>
      <c r="F12" s="1">
        <v>2</v>
      </c>
      <c r="G12" s="1">
        <v>2</v>
      </c>
      <c r="H12" s="1" t="s">
        <v>72</v>
      </c>
      <c r="I12" s="1" t="s">
        <v>72</v>
      </c>
      <c r="J12" s="1" t="s">
        <v>74</v>
      </c>
      <c r="N12" s="1">
        <v>120110001</v>
      </c>
      <c r="O12" s="1">
        <v>120110001</v>
      </c>
      <c r="R12" s="1">
        <v>3</v>
      </c>
      <c r="U12" s="1">
        <v>40</v>
      </c>
    </row>
    <row r="13" spans="1:27" x14ac:dyDescent="0.25">
      <c r="A13" s="1">
        <v>140010281</v>
      </c>
      <c r="B13" s="1">
        <v>39</v>
      </c>
      <c r="C13" s="2" t="str">
        <f>_xlfn.XLOOKUP(Table3[[#This Row],[id]],[1]!bom[Id],[1]!bom[شرح محصول])</f>
        <v>کابل TV50FCU</v>
      </c>
      <c r="D13" s="1">
        <v>120030039</v>
      </c>
      <c r="E13" s="1">
        <v>212</v>
      </c>
      <c r="F13" s="1">
        <v>20</v>
      </c>
      <c r="G13" s="1">
        <v>20</v>
      </c>
      <c r="H13" s="1" t="s">
        <v>72</v>
      </c>
      <c r="I13" s="1" t="s">
        <v>72</v>
      </c>
      <c r="J13" s="1" t="s">
        <v>74</v>
      </c>
      <c r="N13" s="1">
        <v>120110001</v>
      </c>
      <c r="O13" s="1">
        <v>120110001</v>
      </c>
      <c r="R13" s="1">
        <v>3</v>
      </c>
      <c r="U13" s="1">
        <v>60</v>
      </c>
    </row>
    <row r="14" spans="1:27" x14ac:dyDescent="0.25">
      <c r="A14" s="1">
        <v>140010282</v>
      </c>
      <c r="B14" s="1">
        <v>39</v>
      </c>
      <c r="C14" s="2" t="str">
        <f>_xlfn.XLOOKUP(Table3[[#This Row],[id]],[1]!bom[Id],[1]!bom[شرح محصول])</f>
        <v>کابل دو شاخه تی وی 1.63 سانتیمتری</v>
      </c>
      <c r="D14" s="1">
        <v>120030039</v>
      </c>
      <c r="E14" s="1">
        <v>163</v>
      </c>
      <c r="F14" s="1">
        <v>2.5</v>
      </c>
      <c r="G14" s="1">
        <v>2</v>
      </c>
      <c r="H14" s="1" t="s">
        <v>72</v>
      </c>
      <c r="I14" s="1" t="s">
        <v>72</v>
      </c>
      <c r="J14" s="1" t="s">
        <v>74</v>
      </c>
      <c r="N14" s="1">
        <v>120110001</v>
      </c>
      <c r="O14" s="1">
        <v>120110001</v>
      </c>
      <c r="R14" s="1">
        <v>3</v>
      </c>
      <c r="U14" s="1">
        <v>11</v>
      </c>
    </row>
    <row r="15" spans="1:27" x14ac:dyDescent="0.25">
      <c r="A15" s="1">
        <v>140010295</v>
      </c>
      <c r="B15" s="1">
        <v>39</v>
      </c>
      <c r="C15" s="2" t="str">
        <f>_xlfn.XLOOKUP(Table3[[#This Row],[id]],[1]!bom[Id],[1]!bom[شرح محصول])</f>
        <v>55GFU 9632</v>
      </c>
      <c r="D15" s="1">
        <v>120030039</v>
      </c>
      <c r="E15" s="1">
        <v>150</v>
      </c>
      <c r="F15" s="1">
        <v>2.5</v>
      </c>
      <c r="G15" s="1">
        <v>1.4</v>
      </c>
      <c r="H15" s="1" t="s">
        <v>77</v>
      </c>
      <c r="I15" s="1" t="s">
        <v>77</v>
      </c>
      <c r="J15" s="1" t="s">
        <v>74</v>
      </c>
      <c r="N15" s="1">
        <v>120100223</v>
      </c>
      <c r="O15" s="1">
        <v>120100223</v>
      </c>
      <c r="R15" s="1">
        <v>3</v>
      </c>
      <c r="U15" s="1">
        <v>0</v>
      </c>
    </row>
    <row r="16" spans="1:27" x14ac:dyDescent="0.25">
      <c r="A16" s="1">
        <v>140020007</v>
      </c>
      <c r="B16" s="1">
        <v>37</v>
      </c>
      <c r="C16" s="2" t="str">
        <f>_xlfn.XLOOKUP(Table3[[#This Row],[id]],[1]!bom[Id],[1]!bom[شرح محصول])</f>
        <v>کابل دو شاخه 220 سانتی طوسی</v>
      </c>
      <c r="D16" s="1">
        <v>120030094</v>
      </c>
      <c r="E16" s="1">
        <v>220</v>
      </c>
      <c r="F16" s="1">
        <v>15</v>
      </c>
      <c r="G16" s="1">
        <v>2.5</v>
      </c>
      <c r="H16" s="1" t="s">
        <v>76</v>
      </c>
      <c r="I16" s="1" t="s">
        <v>76</v>
      </c>
      <c r="J16" s="1" t="s">
        <v>73</v>
      </c>
      <c r="N16" s="1">
        <v>120110001</v>
      </c>
      <c r="O16" s="1">
        <v>120110001</v>
      </c>
      <c r="P16" s="1">
        <v>120100023</v>
      </c>
      <c r="R16" s="1">
        <v>4</v>
      </c>
      <c r="U16" s="1">
        <v>8</v>
      </c>
    </row>
    <row r="17" spans="1:21" x14ac:dyDescent="0.25">
      <c r="A17" s="1">
        <v>140020091</v>
      </c>
      <c r="B17" s="1">
        <v>37</v>
      </c>
      <c r="C17" s="2" t="str">
        <f>_xlfn.XLOOKUP(Table3[[#This Row],[id]],[1]!bom[Id],[1]!bom[شرح محصول])</f>
        <v>کابل دو شاخه 220 سانتی طوسی</v>
      </c>
      <c r="D17" s="1">
        <v>120030009</v>
      </c>
      <c r="E17" s="1">
        <v>220</v>
      </c>
      <c r="F17" s="1">
        <v>10</v>
      </c>
      <c r="G17" s="1">
        <v>2.5</v>
      </c>
      <c r="H17" s="1" t="s">
        <v>78</v>
      </c>
      <c r="I17" s="1" t="s">
        <v>78</v>
      </c>
      <c r="J17" s="1" t="s">
        <v>73</v>
      </c>
      <c r="N17" s="1" t="s">
        <v>96</v>
      </c>
      <c r="O17" s="1" t="s">
        <v>97</v>
      </c>
      <c r="P17" s="1">
        <v>120100023</v>
      </c>
      <c r="R17" s="1">
        <v>4</v>
      </c>
      <c r="U17" s="1">
        <v>12</v>
      </c>
    </row>
    <row r="18" spans="1:21" x14ac:dyDescent="0.25">
      <c r="A18" s="1">
        <v>140020181</v>
      </c>
      <c r="B18" s="1">
        <v>37</v>
      </c>
      <c r="C18" s="2" t="str">
        <f>_xlfn.XLOOKUP(Table3[[#This Row],[id]],[1]!bom[Id],[1]!bom[شرح محصول])</f>
        <v>سیم دوشاخه برق کلیه محصولات  N-DW-  987 -01</v>
      </c>
      <c r="D18" s="1">
        <v>120030094</v>
      </c>
      <c r="E18" s="1">
        <v>223</v>
      </c>
      <c r="F18" s="1">
        <v>17</v>
      </c>
      <c r="G18" s="1">
        <v>2.5</v>
      </c>
      <c r="H18" s="1" t="s">
        <v>72</v>
      </c>
      <c r="I18" s="1" t="s">
        <v>72</v>
      </c>
      <c r="J18" s="1" t="s">
        <v>73</v>
      </c>
      <c r="K18" s="1">
        <v>14.5</v>
      </c>
      <c r="L18" s="1">
        <v>14.5</v>
      </c>
      <c r="M18" s="1">
        <v>17</v>
      </c>
      <c r="N18" s="1">
        <v>120110001</v>
      </c>
      <c r="O18" s="1">
        <v>120110001</v>
      </c>
      <c r="P18" s="1">
        <v>120100023</v>
      </c>
      <c r="R18" s="1">
        <v>4</v>
      </c>
      <c r="U18" s="1">
        <v>8</v>
      </c>
    </row>
    <row r="19" spans="1:21" x14ac:dyDescent="0.25">
      <c r="A19" s="1">
        <v>140020196</v>
      </c>
      <c r="B19" s="1">
        <v>37</v>
      </c>
      <c r="C19" s="2" t="str">
        <f>_xlfn.XLOOKUP(Table3[[#This Row],[id]],[1]!bom[Id],[1]!bom[شرح محصول])</f>
        <v>سیم دوشاخه برق  NT595MD   N-DW-912-02</v>
      </c>
      <c r="D19" s="1">
        <v>120030094</v>
      </c>
      <c r="E19" s="1">
        <v>223</v>
      </c>
      <c r="F19" s="1">
        <v>15</v>
      </c>
      <c r="G19" s="1">
        <v>2.5</v>
      </c>
      <c r="H19" s="1" t="s">
        <v>78</v>
      </c>
      <c r="I19" s="1" t="s">
        <v>78</v>
      </c>
      <c r="J19" s="1" t="s">
        <v>73</v>
      </c>
      <c r="K19" s="1">
        <v>13</v>
      </c>
      <c r="L19" s="1">
        <v>13</v>
      </c>
      <c r="M19" s="1">
        <v>15</v>
      </c>
      <c r="N19" s="1" t="s">
        <v>97</v>
      </c>
      <c r="O19" s="1" t="s">
        <v>96</v>
      </c>
      <c r="P19" s="1">
        <v>120100023</v>
      </c>
      <c r="R19" s="1">
        <v>4</v>
      </c>
      <c r="U19" s="1">
        <v>10</v>
      </c>
    </row>
    <row r="20" spans="1:21" x14ac:dyDescent="0.25">
      <c r="A20" s="1">
        <v>140030039</v>
      </c>
      <c r="B20" s="1">
        <v>32</v>
      </c>
      <c r="C20" s="2" t="str">
        <f>_xlfn.XLOOKUP(Table3[[#This Row],[id]],[1]!bom[Id],[1]!bom[شرح محصول])</f>
        <v>کابل دو شاخه 224 سانتی</v>
      </c>
      <c r="D20" s="1">
        <v>120030094</v>
      </c>
      <c r="E20" s="1">
        <v>224</v>
      </c>
      <c r="F20" s="1">
        <v>12</v>
      </c>
      <c r="G20" s="1">
        <v>2.5</v>
      </c>
      <c r="H20" s="1" t="s">
        <v>76</v>
      </c>
      <c r="I20" s="1" t="s">
        <v>76</v>
      </c>
      <c r="J20" s="1" t="s">
        <v>73</v>
      </c>
      <c r="K20" s="1">
        <v>8</v>
      </c>
      <c r="L20" s="1">
        <v>8</v>
      </c>
      <c r="M20" s="1">
        <v>12</v>
      </c>
      <c r="N20" s="1">
        <v>120110015</v>
      </c>
      <c r="O20" s="1">
        <v>120110015</v>
      </c>
      <c r="P20" s="1">
        <v>120110052</v>
      </c>
      <c r="R20" s="1">
        <v>4</v>
      </c>
      <c r="U20" s="1">
        <v>12</v>
      </c>
    </row>
    <row r="21" spans="1:21" x14ac:dyDescent="0.25">
      <c r="A21" s="1">
        <v>140030040</v>
      </c>
      <c r="B21" s="1">
        <v>32</v>
      </c>
      <c r="C21" s="2" t="str">
        <f>_xlfn.XLOOKUP(Table3[[#This Row],[id]],[1]!bom[Id],[1]!bom[شرح محصول])</f>
        <v>کابل دوشاخه  224  سانتی طوسی</v>
      </c>
      <c r="D21" s="1">
        <v>120030094</v>
      </c>
      <c r="E21" s="1">
        <v>224</v>
      </c>
      <c r="F21" s="1">
        <v>12</v>
      </c>
      <c r="G21" s="1">
        <v>2.5</v>
      </c>
      <c r="H21" s="1" t="s">
        <v>76</v>
      </c>
      <c r="I21" s="1" t="s">
        <v>76</v>
      </c>
      <c r="J21" s="1" t="s">
        <v>73</v>
      </c>
      <c r="K21" s="1">
        <v>8</v>
      </c>
      <c r="L21" s="1">
        <v>8</v>
      </c>
      <c r="M21" s="1">
        <v>12</v>
      </c>
      <c r="N21" s="1">
        <v>120110015</v>
      </c>
      <c r="O21" s="1">
        <v>120110015</v>
      </c>
      <c r="P21" s="1">
        <v>120110052</v>
      </c>
      <c r="R21" s="1">
        <v>4</v>
      </c>
      <c r="U21" s="1">
        <v>12</v>
      </c>
    </row>
    <row r="22" spans="1:21" x14ac:dyDescent="0.25">
      <c r="A22" s="1">
        <v>140090014</v>
      </c>
      <c r="B22" s="1">
        <v>22</v>
      </c>
      <c r="C22" s="2" t="str">
        <f>_xlfn.XLOOKUP(Table3[[#This Row],[id]],[1]!bom[Id],[1]!bom[شرح محصول])</f>
        <v>کابل دو شاخه سفید 257  سانتی</v>
      </c>
      <c r="D22" s="1">
        <v>120030006</v>
      </c>
      <c r="E22" s="1">
        <v>257</v>
      </c>
      <c r="F22" s="1">
        <v>50</v>
      </c>
      <c r="G22" s="1">
        <v>2.5</v>
      </c>
      <c r="H22" s="1" t="s">
        <v>78</v>
      </c>
      <c r="I22" s="1" t="s">
        <v>78</v>
      </c>
      <c r="J22" s="1" t="s">
        <v>73</v>
      </c>
      <c r="K22" s="1">
        <v>15</v>
      </c>
      <c r="L22" s="1">
        <v>15</v>
      </c>
      <c r="M22" s="1">
        <v>50</v>
      </c>
      <c r="N22" s="1" t="s">
        <v>96</v>
      </c>
      <c r="O22" s="1" t="s">
        <v>96</v>
      </c>
      <c r="P22" s="1">
        <v>120110052</v>
      </c>
      <c r="R22" s="1">
        <v>5</v>
      </c>
      <c r="U22" s="1">
        <v>10</v>
      </c>
    </row>
    <row r="23" spans="1:21" x14ac:dyDescent="0.25">
      <c r="A23" s="1">
        <v>140090037</v>
      </c>
      <c r="B23" s="1">
        <v>22</v>
      </c>
      <c r="C23" s="2" t="str">
        <f>_xlfn.XLOOKUP(Table3[[#This Row],[id]],[1]!bom[Id],[1]!bom[شرح محصول])</f>
        <v>كابل دوشاخه دار( power cord) طوسي كد مقصد: 20012187</v>
      </c>
      <c r="D23" s="1">
        <v>120030042</v>
      </c>
      <c r="E23" s="1">
        <v>227</v>
      </c>
      <c r="F23" s="1">
        <v>23</v>
      </c>
      <c r="G23" s="1">
        <v>2.5</v>
      </c>
      <c r="H23" s="1" t="s">
        <v>78</v>
      </c>
      <c r="I23" s="1" t="s">
        <v>78</v>
      </c>
      <c r="J23" s="1" t="s">
        <v>73</v>
      </c>
      <c r="K23" s="1">
        <v>23</v>
      </c>
      <c r="L23" s="1">
        <v>23</v>
      </c>
      <c r="M23" s="1">
        <v>23</v>
      </c>
      <c r="N23" s="1" t="s">
        <v>96</v>
      </c>
      <c r="O23" s="1" t="s">
        <v>96</v>
      </c>
      <c r="P23" s="1">
        <v>120100029</v>
      </c>
      <c r="R23" s="1">
        <v>5</v>
      </c>
      <c r="U23" s="1">
        <v>2</v>
      </c>
    </row>
    <row r="24" spans="1:21" x14ac:dyDescent="0.25">
      <c r="A24" s="1">
        <v>140090075</v>
      </c>
      <c r="B24" s="1">
        <v>22</v>
      </c>
      <c r="C24" s="2" t="str">
        <f>_xlfn.XLOOKUP(Table3[[#This Row],[id]],[1]!bom[Id],[1]!bom[شرح محصول])</f>
        <v>کابل دو شاخه سفید 257  سانتی</v>
      </c>
      <c r="D24" s="1">
        <v>120030006</v>
      </c>
      <c r="E24" s="1">
        <v>257</v>
      </c>
      <c r="F24" s="1">
        <v>50</v>
      </c>
      <c r="G24" s="1">
        <v>2.5</v>
      </c>
      <c r="H24" s="1" t="s">
        <v>78</v>
      </c>
      <c r="I24" s="1" t="s">
        <v>78</v>
      </c>
      <c r="J24" s="1" t="s">
        <v>73</v>
      </c>
      <c r="K24" s="1">
        <v>9.5</v>
      </c>
      <c r="L24" s="1">
        <v>9.5</v>
      </c>
      <c r="M24" s="1">
        <v>50</v>
      </c>
      <c r="N24" s="1" t="s">
        <v>96</v>
      </c>
      <c r="O24" s="1" t="s">
        <v>96</v>
      </c>
      <c r="P24" s="1">
        <v>120110052</v>
      </c>
      <c r="R24" s="1">
        <v>5</v>
      </c>
      <c r="U24" s="1">
        <v>5</v>
      </c>
    </row>
    <row r="25" spans="1:21" x14ac:dyDescent="0.25">
      <c r="A25" s="1">
        <v>140090098</v>
      </c>
      <c r="B25" s="1">
        <v>22</v>
      </c>
      <c r="C25" s="2" t="str">
        <f>_xlfn.XLOOKUP(Table3[[#This Row],[id]],[1]!bom[Id],[1]!bom[شرح محصول])</f>
        <v>كابل تغذيه 393-BRT130-10092</v>
      </c>
      <c r="D25" s="1">
        <v>120030006</v>
      </c>
      <c r="E25" s="1">
        <v>187</v>
      </c>
      <c r="F25" s="1">
        <v>20</v>
      </c>
      <c r="G25" s="1">
        <v>2.5</v>
      </c>
      <c r="H25" s="1" t="s">
        <v>78</v>
      </c>
      <c r="I25" s="1" t="s">
        <v>78</v>
      </c>
      <c r="J25" s="1" t="s">
        <v>73</v>
      </c>
      <c r="N25" s="1" t="s">
        <v>96</v>
      </c>
      <c r="O25" s="1" t="s">
        <v>96</v>
      </c>
      <c r="P25" s="1">
        <v>120110052</v>
      </c>
      <c r="R25" s="1">
        <v>4</v>
      </c>
      <c r="U25" s="1">
        <v>10</v>
      </c>
    </row>
    <row r="26" spans="1:21" x14ac:dyDescent="0.25">
      <c r="A26" s="1">
        <v>140090143</v>
      </c>
      <c r="B26" s="1">
        <v>22</v>
      </c>
      <c r="C26" s="2" t="str">
        <f>_xlfn.XLOOKUP(Table3[[#This Row],[id]],[1]!bom[Id],[1]!bom[شرح محصول])</f>
        <v>کابل دوشاخه دار (combi ref power cord)</v>
      </c>
      <c r="D26" s="1">
        <v>120030094</v>
      </c>
      <c r="E26" s="1">
        <v>227</v>
      </c>
      <c r="F26" s="1">
        <v>23</v>
      </c>
      <c r="G26" s="1">
        <v>2.5</v>
      </c>
      <c r="H26" s="1" t="s">
        <v>78</v>
      </c>
      <c r="I26" s="1" t="s">
        <v>78</v>
      </c>
      <c r="J26" s="1" t="s">
        <v>73</v>
      </c>
      <c r="N26" s="3" t="s">
        <v>96</v>
      </c>
      <c r="O26" s="3" t="s">
        <v>96</v>
      </c>
      <c r="P26" s="3"/>
      <c r="Q26" s="1">
        <v>120100029</v>
      </c>
      <c r="R26" s="1">
        <v>5</v>
      </c>
      <c r="T26" s="1">
        <v>61</v>
      </c>
      <c r="U26" s="1">
        <v>2</v>
      </c>
    </row>
    <row r="27" spans="1:21" x14ac:dyDescent="0.25">
      <c r="A27" s="1">
        <v>140120021</v>
      </c>
      <c r="B27" s="1">
        <v>13</v>
      </c>
      <c r="C27" s="2" t="str">
        <f>_xlfn.XLOOKUP(Table3[[#This Row],[id]],[1]!bom[Id],[1]!bom[شرح محصول])</f>
        <v>کابل دوشاخه ارت دار یخچال فریزر</v>
      </c>
      <c r="D27" s="1">
        <v>120030009</v>
      </c>
      <c r="E27" s="1">
        <v>223</v>
      </c>
      <c r="F27" s="1">
        <v>15</v>
      </c>
      <c r="G27" s="1">
        <v>2.5</v>
      </c>
      <c r="H27" s="1" t="s">
        <v>75</v>
      </c>
      <c r="I27" s="1" t="s">
        <v>75</v>
      </c>
      <c r="J27" s="1" t="s">
        <v>73</v>
      </c>
      <c r="K27" s="1">
        <v>15</v>
      </c>
      <c r="L27" s="1">
        <v>15</v>
      </c>
      <c r="M27" s="1">
        <v>15</v>
      </c>
      <c r="P27" s="1">
        <v>120100024</v>
      </c>
      <c r="R27" s="1">
        <v>5</v>
      </c>
      <c r="U27" s="1">
        <v>0</v>
      </c>
    </row>
    <row r="28" spans="1:21" x14ac:dyDescent="0.25">
      <c r="A28" s="1">
        <v>140120058</v>
      </c>
      <c r="B28" s="1">
        <v>13</v>
      </c>
      <c r="C28" s="2" t="str">
        <f>_xlfn.XLOOKUP(Table3[[#This Row],[id]],[1]!bom[Id],[1]!bom[شرح محصول])</f>
        <v>کابل دوشاخه ارت دار یخچال فریزر صندوقی</v>
      </c>
      <c r="D28" s="1">
        <v>120030009</v>
      </c>
      <c r="E28" s="1">
        <v>223</v>
      </c>
      <c r="F28" s="1">
        <v>15</v>
      </c>
      <c r="G28" s="1">
        <v>2.5</v>
      </c>
      <c r="H28" s="1" t="s">
        <v>75</v>
      </c>
      <c r="I28" s="1" t="s">
        <v>75</v>
      </c>
      <c r="J28" s="1" t="s">
        <v>75</v>
      </c>
      <c r="K28" s="1">
        <v>15</v>
      </c>
      <c r="L28" s="1">
        <v>15</v>
      </c>
      <c r="M28" s="1">
        <v>15</v>
      </c>
      <c r="R28" s="1">
        <v>5</v>
      </c>
      <c r="U28" s="1">
        <v>0</v>
      </c>
    </row>
    <row r="29" spans="1:21" x14ac:dyDescent="0.25">
      <c r="A29" s="1">
        <v>140160010</v>
      </c>
      <c r="B29" s="1">
        <v>8</v>
      </c>
      <c r="C29" s="2" t="str">
        <f>_xlfn.XLOOKUP(Table3[[#This Row],[id]],[1]!bom[Id],[1]!bom[شرح محصول])</f>
        <v>کابل دوشاخه</v>
      </c>
      <c r="D29" s="1">
        <v>120030010</v>
      </c>
      <c r="E29" s="1">
        <v>167</v>
      </c>
      <c r="F29" s="1">
        <v>13.5</v>
      </c>
      <c r="G29" s="1">
        <v>2.5</v>
      </c>
      <c r="H29" s="1" t="s">
        <v>73</v>
      </c>
      <c r="I29" s="1" t="s">
        <v>73</v>
      </c>
      <c r="J29" s="1" t="s">
        <v>73</v>
      </c>
      <c r="K29" s="1">
        <v>12.5</v>
      </c>
      <c r="L29" s="1">
        <v>12.5</v>
      </c>
      <c r="M29" s="1">
        <v>13.5</v>
      </c>
      <c r="N29" s="1">
        <v>120100014</v>
      </c>
      <c r="O29" s="1">
        <v>120100014</v>
      </c>
      <c r="P29" s="1">
        <v>120100014</v>
      </c>
      <c r="R29" s="1">
        <v>5</v>
      </c>
      <c r="U29" s="1">
        <v>2.5</v>
      </c>
    </row>
    <row r="30" spans="1:21" x14ac:dyDescent="0.25">
      <c r="A30" s="1">
        <v>140220011</v>
      </c>
      <c r="B30" s="1">
        <v>25</v>
      </c>
      <c r="C30" s="2" t="str">
        <f>_xlfn.XLOOKUP(Table3[[#This Row],[id]],[1]!bom[Id],[1]!bom[شرح محصول])</f>
        <v>کابل دوشاخه ظرفشویی 1/8 ارت دار 1*3 طوسی 30032050</v>
      </c>
      <c r="D30" s="1">
        <v>120030107</v>
      </c>
      <c r="E30" s="1">
        <v>183</v>
      </c>
      <c r="F30" s="1">
        <v>12</v>
      </c>
      <c r="G30" s="1">
        <v>2.5</v>
      </c>
      <c r="H30" s="1" t="s">
        <v>79</v>
      </c>
      <c r="I30" s="1" t="s">
        <v>79</v>
      </c>
      <c r="J30" s="1" t="s">
        <v>79</v>
      </c>
      <c r="K30" s="1">
        <v>9</v>
      </c>
      <c r="L30" s="1">
        <v>9</v>
      </c>
      <c r="M30" s="1">
        <v>12</v>
      </c>
      <c r="N30" s="1">
        <v>120100047</v>
      </c>
      <c r="O30" s="1">
        <v>120100047</v>
      </c>
      <c r="P30" s="1">
        <v>120100083</v>
      </c>
      <c r="R30" s="1">
        <v>5</v>
      </c>
      <c r="U30" s="1">
        <v>0</v>
      </c>
    </row>
    <row r="31" spans="1:21" x14ac:dyDescent="0.25">
      <c r="A31" s="1">
        <v>140220012</v>
      </c>
      <c r="B31" s="1">
        <v>25</v>
      </c>
      <c r="C31" s="2" t="str">
        <f>_xlfn.XLOOKUP(Table3[[#This Row],[id]],[1]!bom[Id],[1]!bom[شرح محصول])</f>
        <v>کابل دوشاخه لباسشویی ارت دار 1*3 طوسی 30014542</v>
      </c>
      <c r="D31" s="1">
        <v>120030107</v>
      </c>
      <c r="E31" s="1">
        <v>192</v>
      </c>
      <c r="F31" s="1">
        <v>36</v>
      </c>
      <c r="G31" s="1">
        <v>2.5</v>
      </c>
      <c r="H31" s="1" t="s">
        <v>79</v>
      </c>
      <c r="I31" s="1" t="s">
        <v>79</v>
      </c>
      <c r="J31" s="1" t="s">
        <v>73</v>
      </c>
      <c r="K31" s="1">
        <v>15</v>
      </c>
      <c r="L31" s="1">
        <v>15</v>
      </c>
      <c r="M31" s="1">
        <v>36</v>
      </c>
      <c r="N31" s="1">
        <v>120100083</v>
      </c>
      <c r="O31" s="1">
        <v>120100083</v>
      </c>
      <c r="P31" s="1">
        <v>120110052</v>
      </c>
      <c r="R31" s="1">
        <v>5</v>
      </c>
      <c r="U31" s="1">
        <v>1.5</v>
      </c>
    </row>
    <row r="32" spans="1:21" x14ac:dyDescent="0.25">
      <c r="A32" s="1">
        <v>140220018</v>
      </c>
      <c r="B32" s="1">
        <v>25</v>
      </c>
      <c r="C32" s="2" t="str">
        <f>_xlfn.XLOOKUP(Table3[[#This Row],[id]],[1]!bom[Id],[1]!bom[شرح محصول])</f>
        <v>کابل برق ظرفشویی کدمقصد 30026387</v>
      </c>
      <c r="D32" s="1">
        <v>120030107</v>
      </c>
      <c r="E32" s="1">
        <v>170</v>
      </c>
      <c r="F32" s="1">
        <v>14.5</v>
      </c>
      <c r="G32" s="1">
        <v>2.5</v>
      </c>
      <c r="H32" s="1" t="s">
        <v>73</v>
      </c>
      <c r="I32" s="1" t="s">
        <v>73</v>
      </c>
      <c r="J32" s="1" t="s">
        <v>73</v>
      </c>
      <c r="K32" s="1">
        <v>9</v>
      </c>
      <c r="L32" s="1">
        <v>9</v>
      </c>
      <c r="M32" s="1">
        <v>14.5</v>
      </c>
      <c r="N32" s="1">
        <v>120100016</v>
      </c>
      <c r="O32" s="1">
        <v>120100016</v>
      </c>
      <c r="P32" s="1">
        <v>120100016</v>
      </c>
      <c r="R32" s="1">
        <v>5</v>
      </c>
      <c r="U32" s="1">
        <v>1.5</v>
      </c>
    </row>
    <row r="33" spans="1:21" x14ac:dyDescent="0.25">
      <c r="A33" s="1">
        <v>140230010</v>
      </c>
      <c r="B33" s="1">
        <v>2</v>
      </c>
      <c r="C33" s="2" t="str">
        <f>_xlfn.XLOOKUP(Table3[[#This Row],[id]],[1]!bom[Id],[1]!bom[شرح محصول])</f>
        <v>کابل دوشاخه طوسی سه در یک ونیم</v>
      </c>
      <c r="D33" s="1">
        <v>120030028</v>
      </c>
      <c r="E33" s="1">
        <v>200</v>
      </c>
      <c r="F33" s="1">
        <v>8.6999999999999993</v>
      </c>
      <c r="G33" s="1">
        <v>2.5</v>
      </c>
      <c r="H33" s="1" t="s">
        <v>78</v>
      </c>
      <c r="I33" s="1" t="s">
        <v>78</v>
      </c>
      <c r="J33" s="1" t="s">
        <v>78</v>
      </c>
      <c r="N33" s="1">
        <v>120110051</v>
      </c>
      <c r="O33" s="1">
        <v>120110051</v>
      </c>
      <c r="P33" s="1">
        <v>120110051</v>
      </c>
      <c r="R33" s="1">
        <v>5</v>
      </c>
      <c r="U33" s="1">
        <v>3</v>
      </c>
    </row>
    <row r="34" spans="1:21" x14ac:dyDescent="0.25">
      <c r="A34" s="1">
        <v>140230023</v>
      </c>
      <c r="B34" s="1">
        <v>2</v>
      </c>
      <c r="C34" s="2" t="str">
        <f>_xlfn.XLOOKUP(Table3[[#This Row],[id]],[1]!bom[Id],[1]!bom[شرح محصول])</f>
        <v>کابل دو شاخه سفید  145  سانتی</v>
      </c>
      <c r="D34" s="1">
        <v>120030010</v>
      </c>
      <c r="E34" s="1">
        <v>145</v>
      </c>
      <c r="F34" s="1">
        <v>8.6999999999999993</v>
      </c>
      <c r="G34" s="1">
        <v>2.5</v>
      </c>
      <c r="H34" s="1" t="s">
        <v>78</v>
      </c>
      <c r="I34" s="1" t="s">
        <v>78</v>
      </c>
      <c r="J34" s="1" t="s">
        <v>78</v>
      </c>
      <c r="N34" s="1">
        <v>120110051</v>
      </c>
      <c r="O34" s="1">
        <v>120110051</v>
      </c>
      <c r="P34" s="1">
        <v>120110051</v>
      </c>
      <c r="R34" s="1">
        <v>5</v>
      </c>
      <c r="U34" s="1">
        <v>3</v>
      </c>
    </row>
    <row r="35" spans="1:21" x14ac:dyDescent="0.25">
      <c r="A35" s="1">
        <v>140230061</v>
      </c>
      <c r="B35" s="1">
        <v>2</v>
      </c>
      <c r="C35" s="2" t="str">
        <f>_xlfn.XLOOKUP(Table3[[#This Row],[id]],[1]!bom[Id],[1]!bom[شرح محصول])</f>
        <v>کابل سه رشته دو شاخه گلند پرسی اجاق گاز صادراتی</v>
      </c>
      <c r="D35" s="1">
        <v>120030044</v>
      </c>
      <c r="E35" s="1">
        <v>145</v>
      </c>
      <c r="F35" s="1">
        <v>8.6999999999999993</v>
      </c>
      <c r="G35" s="1">
        <v>2.5</v>
      </c>
      <c r="H35" s="1" t="s">
        <v>78</v>
      </c>
      <c r="I35" s="1" t="s">
        <v>78</v>
      </c>
      <c r="J35" s="1" t="s">
        <v>78</v>
      </c>
      <c r="N35" s="1">
        <v>120110051</v>
      </c>
      <c r="O35" s="1">
        <v>120110051</v>
      </c>
      <c r="P35" s="1">
        <v>120110051</v>
      </c>
      <c r="R35" s="1">
        <v>5</v>
      </c>
      <c r="U35" s="1">
        <v>3</v>
      </c>
    </row>
    <row r="36" spans="1:21" x14ac:dyDescent="0.25">
      <c r="A36" s="1">
        <v>140230078</v>
      </c>
      <c r="B36" s="1">
        <v>2</v>
      </c>
      <c r="C36" s="2" t="str">
        <f>_xlfn.XLOOKUP(Table3[[#This Row],[id]],[1]!bom[Id],[1]!bom[شرح محصول])</f>
        <v>کابل دو شاخه اجاق تکنو ایتالیا</v>
      </c>
      <c r="D36" s="1">
        <v>111111111</v>
      </c>
      <c r="E36" s="1">
        <v>134</v>
      </c>
      <c r="F36" s="1">
        <v>8.6999999999999993</v>
      </c>
      <c r="G36" s="1">
        <v>2.5</v>
      </c>
      <c r="H36" s="1" t="s">
        <v>78</v>
      </c>
      <c r="I36" s="1" t="s">
        <v>78</v>
      </c>
      <c r="J36" s="1" t="s">
        <v>78</v>
      </c>
      <c r="R36" s="1">
        <v>5</v>
      </c>
      <c r="U36" s="1">
        <v>0</v>
      </c>
    </row>
    <row r="37" spans="1:21" x14ac:dyDescent="0.25">
      <c r="A37" s="1">
        <v>140230080</v>
      </c>
      <c r="B37" s="1">
        <v>19</v>
      </c>
      <c r="C37" s="2" t="str">
        <f>_xlfn.XLOOKUP(Table3[[#This Row],[id]],[1]!bom[Id],[1]!bom[شرح محصول])</f>
        <v>کابل برق اجاق تکنو گاز</v>
      </c>
      <c r="D37" s="1">
        <v>120030008</v>
      </c>
      <c r="E37" s="1">
        <v>110</v>
      </c>
      <c r="F37" s="1">
        <v>5</v>
      </c>
      <c r="G37" s="1">
        <v>2.5</v>
      </c>
      <c r="H37" s="1" t="s">
        <v>73</v>
      </c>
      <c r="I37" s="1" t="s">
        <v>73</v>
      </c>
      <c r="J37" s="1" t="s">
        <v>73</v>
      </c>
      <c r="N37" s="1">
        <v>120110052</v>
      </c>
      <c r="O37" s="1">
        <v>120110052</v>
      </c>
      <c r="P37" s="1">
        <v>120110052</v>
      </c>
      <c r="R37" s="1">
        <v>5</v>
      </c>
      <c r="U37" s="1">
        <v>0</v>
      </c>
    </row>
    <row r="38" spans="1:21" x14ac:dyDescent="0.25">
      <c r="A38" s="1">
        <v>140230082</v>
      </c>
      <c r="B38" s="1">
        <v>2</v>
      </c>
      <c r="C38" s="2" t="str">
        <f>_xlfn.XLOOKUP(Table3[[#This Row],[id]],[1]!bom[Id],[1]!bom[شرح محصول])</f>
        <v>power supply cord</v>
      </c>
      <c r="D38" s="1">
        <v>120030074</v>
      </c>
      <c r="E38" s="1">
        <v>203</v>
      </c>
      <c r="F38" s="1">
        <v>9</v>
      </c>
      <c r="G38" s="1">
        <v>8.4</v>
      </c>
      <c r="H38" s="1" t="s">
        <v>78</v>
      </c>
      <c r="I38" s="1" t="s">
        <v>78</v>
      </c>
      <c r="J38" s="1" t="s">
        <v>78</v>
      </c>
      <c r="K38" s="1">
        <v>6.2</v>
      </c>
      <c r="L38" s="1">
        <v>8.4</v>
      </c>
      <c r="M38" s="1">
        <v>5.8</v>
      </c>
      <c r="N38" s="1">
        <v>120110051</v>
      </c>
      <c r="O38" s="1">
        <v>120110051</v>
      </c>
      <c r="P38" s="1">
        <v>120110051</v>
      </c>
      <c r="R38" s="1">
        <v>1</v>
      </c>
      <c r="U38" s="1">
        <v>3</v>
      </c>
    </row>
    <row r="39" spans="1:21" x14ac:dyDescent="0.25">
      <c r="A39" s="1">
        <v>140230089</v>
      </c>
      <c r="B39" s="1">
        <v>2</v>
      </c>
      <c r="C39" s="2" t="str">
        <f>_xlfn.XLOOKUP(Table3[[#This Row],[id]],[1]!bom[Id],[1]!bom[شرح محصول])</f>
        <v>power suppiy cord sap code</v>
      </c>
      <c r="D39" s="1">
        <v>120030095</v>
      </c>
      <c r="E39" s="1">
        <v>200</v>
      </c>
      <c r="F39" s="1">
        <v>8.6999999999999993</v>
      </c>
      <c r="G39" s="1">
        <v>2.5</v>
      </c>
      <c r="H39" s="1" t="s">
        <v>78</v>
      </c>
      <c r="I39" s="1" t="s">
        <v>78</v>
      </c>
      <c r="J39" s="1" t="s">
        <v>78</v>
      </c>
      <c r="N39" s="1">
        <v>120110051</v>
      </c>
      <c r="O39" s="1">
        <v>120110051</v>
      </c>
      <c r="P39" s="1">
        <v>120110051</v>
      </c>
      <c r="R39" s="1">
        <v>5</v>
      </c>
      <c r="U39" s="1">
        <v>3</v>
      </c>
    </row>
    <row r="40" spans="1:21" x14ac:dyDescent="0.25">
      <c r="A40" s="1">
        <v>140240004</v>
      </c>
      <c r="B40" s="1">
        <v>14</v>
      </c>
      <c r="C40" s="2" t="str">
        <f>_xlfn.XLOOKUP(Table3[[#This Row],[id]],[1]!bom[Id],[1]!bom[شرح محصول])</f>
        <v>کابل دو شاخه 2 متری (سفید)</v>
      </c>
      <c r="D40" s="1">
        <v>120030006</v>
      </c>
      <c r="E40" s="1">
        <v>200</v>
      </c>
      <c r="F40" s="1">
        <v>20</v>
      </c>
      <c r="G40" s="1">
        <v>2.5</v>
      </c>
      <c r="H40" s="1" t="s">
        <v>80</v>
      </c>
      <c r="I40" s="1" t="s">
        <v>72</v>
      </c>
      <c r="J40" s="1" t="s">
        <v>73</v>
      </c>
      <c r="K40" s="1">
        <v>20</v>
      </c>
      <c r="L40" s="1">
        <v>20</v>
      </c>
      <c r="M40" s="1">
        <v>20</v>
      </c>
      <c r="N40" s="1" t="s">
        <v>185</v>
      </c>
      <c r="O40" s="1">
        <v>120110001</v>
      </c>
      <c r="P40" s="1">
        <v>120100023</v>
      </c>
      <c r="R40" s="1">
        <v>4</v>
      </c>
      <c r="U40" s="1">
        <v>0</v>
      </c>
    </row>
    <row r="41" spans="1:21" x14ac:dyDescent="0.25">
      <c r="A41" s="1">
        <v>140280032</v>
      </c>
      <c r="B41" s="1">
        <v>40</v>
      </c>
      <c r="C41" s="2" t="str">
        <f>_xlfn.XLOOKUP(Table3[[#This Row],[id]],[1]!bom[Id],[1]!bom[شرح محصول])</f>
        <v>کابل دوشاخه سفید 0.75*3</v>
      </c>
      <c r="D41" s="1">
        <v>120030006</v>
      </c>
      <c r="E41" s="1">
        <v>237</v>
      </c>
      <c r="F41" s="1">
        <v>24</v>
      </c>
      <c r="G41" s="1">
        <v>2.5</v>
      </c>
      <c r="H41" s="1" t="s">
        <v>78</v>
      </c>
      <c r="I41" s="1" t="s">
        <v>78</v>
      </c>
      <c r="J41" s="1" t="s">
        <v>73</v>
      </c>
      <c r="K41" s="1">
        <v>12</v>
      </c>
      <c r="L41" s="1">
        <v>12</v>
      </c>
      <c r="M41" s="1">
        <v>24</v>
      </c>
      <c r="N41" s="1" t="s">
        <v>96</v>
      </c>
      <c r="O41" s="1" t="s">
        <v>96</v>
      </c>
      <c r="P41" s="1">
        <v>120100023</v>
      </c>
      <c r="R41" s="1">
        <v>4</v>
      </c>
      <c r="U41" s="1">
        <v>10</v>
      </c>
    </row>
    <row r="42" spans="1:21" x14ac:dyDescent="0.25">
      <c r="A42" s="1">
        <v>140310007</v>
      </c>
      <c r="B42" s="1">
        <v>16</v>
      </c>
      <c r="C42" s="2" t="str">
        <f>_xlfn.XLOOKUP(Table3[[#This Row],[id]],[1]!bom[Id],[1]!bom[شرح محصول])</f>
        <v>کابل برق دوشاخه دوقلو(9/6)</v>
      </c>
      <c r="D42" s="1">
        <v>120030094</v>
      </c>
      <c r="E42" s="1">
        <v>215</v>
      </c>
      <c r="F42" s="1">
        <v>31</v>
      </c>
      <c r="G42" s="1">
        <v>2.5</v>
      </c>
      <c r="H42" s="1" t="s">
        <v>81</v>
      </c>
      <c r="I42" s="1" t="s">
        <v>81</v>
      </c>
      <c r="J42" s="1" t="s">
        <v>73</v>
      </c>
      <c r="K42" s="1">
        <v>24</v>
      </c>
      <c r="L42" s="1">
        <v>24</v>
      </c>
      <c r="M42" s="1">
        <v>31</v>
      </c>
      <c r="P42" s="1">
        <v>120100023</v>
      </c>
      <c r="R42" s="1">
        <v>4</v>
      </c>
      <c r="U42" s="1">
        <v>9.5</v>
      </c>
    </row>
    <row r="43" spans="1:21" x14ac:dyDescent="0.25">
      <c r="A43" s="1">
        <v>140310012</v>
      </c>
      <c r="B43" s="1">
        <v>16</v>
      </c>
      <c r="C43" s="2" t="str">
        <f>_xlfn.XLOOKUP(Table3[[#This Row],[id]],[1]!bom[Id],[1]!bom[شرح محصول])</f>
        <v>كابل دو شاخه جارو برقی مشکی 9 متری</v>
      </c>
      <c r="D43" s="1">
        <v>120040048</v>
      </c>
      <c r="E43" s="1">
        <v>900</v>
      </c>
      <c r="F43" s="1">
        <v>5</v>
      </c>
      <c r="G43" s="1">
        <v>2</v>
      </c>
      <c r="H43" s="1" t="s">
        <v>79</v>
      </c>
      <c r="I43" s="1" t="s">
        <v>79</v>
      </c>
      <c r="J43" s="1" t="s">
        <v>74</v>
      </c>
      <c r="K43" s="1">
        <v>5</v>
      </c>
      <c r="L43" s="1">
        <v>5</v>
      </c>
      <c r="M43" s="1">
        <v>0</v>
      </c>
      <c r="N43" s="1">
        <v>120100080</v>
      </c>
      <c r="O43" s="1">
        <v>120100080</v>
      </c>
      <c r="R43" s="1">
        <v>2</v>
      </c>
      <c r="U43" s="1">
        <v>0</v>
      </c>
    </row>
    <row r="44" spans="1:21" x14ac:dyDescent="0.25">
      <c r="A44" s="1">
        <v>140310028</v>
      </c>
      <c r="B44" s="1">
        <v>16</v>
      </c>
      <c r="C44" s="2" t="str">
        <f>_xlfn.XLOOKUP(Table3[[#This Row],[id]],[1]!bom[Id],[1]!bom[شرح محصول])</f>
        <v>کابل دو شاخه ظرفشویی 1*3</v>
      </c>
      <c r="D44" s="1">
        <v>120030107</v>
      </c>
      <c r="E44" s="1">
        <v>178</v>
      </c>
      <c r="F44" s="1">
        <v>16.5</v>
      </c>
      <c r="G44" s="1">
        <v>2.5</v>
      </c>
      <c r="H44" s="1" t="s">
        <v>81</v>
      </c>
      <c r="I44" s="1" t="s">
        <v>81</v>
      </c>
      <c r="J44" s="1" t="s">
        <v>81</v>
      </c>
      <c r="K44" s="1">
        <v>9</v>
      </c>
      <c r="L44" s="1">
        <v>9</v>
      </c>
      <c r="M44" s="1">
        <v>16.5</v>
      </c>
      <c r="R44" s="1">
        <v>5</v>
      </c>
      <c r="U44" s="1">
        <v>0</v>
      </c>
    </row>
    <row r="45" spans="1:21" x14ac:dyDescent="0.25">
      <c r="A45" s="1">
        <v>140310058</v>
      </c>
      <c r="B45" s="1">
        <v>16</v>
      </c>
      <c r="C45" s="2" t="str">
        <f>_xlfn.XLOOKUP(Table3[[#This Row],[id]],[1]!bom[Id],[1]!bom[شرح محصول])</f>
        <v>کابل دو شاخه هسته فریتی</v>
      </c>
      <c r="D45" s="1">
        <v>120030009</v>
      </c>
      <c r="E45" s="1">
        <v>215</v>
      </c>
      <c r="F45" s="1">
        <v>16</v>
      </c>
      <c r="G45" s="1">
        <v>2.5</v>
      </c>
      <c r="H45" s="1" t="s">
        <v>73</v>
      </c>
      <c r="I45" s="1" t="s">
        <v>73</v>
      </c>
      <c r="J45" s="1" t="s">
        <v>73</v>
      </c>
      <c r="K45" s="1">
        <v>16</v>
      </c>
      <c r="L45" s="1">
        <v>16</v>
      </c>
      <c r="M45" s="1">
        <v>5.5</v>
      </c>
      <c r="N45" s="3">
        <v>120100018</v>
      </c>
      <c r="O45" s="3">
        <v>120100018</v>
      </c>
      <c r="P45" s="3"/>
      <c r="Q45" s="1">
        <v>120100018</v>
      </c>
      <c r="R45" s="1">
        <v>4</v>
      </c>
      <c r="T45" s="1">
        <v>18</v>
      </c>
      <c r="U45" s="1">
        <v>1</v>
      </c>
    </row>
    <row r="46" spans="1:21" x14ac:dyDescent="0.25">
      <c r="A46" s="1">
        <v>140310071</v>
      </c>
      <c r="B46" s="1">
        <v>16</v>
      </c>
      <c r="C46" s="2" t="str">
        <f>_xlfn.XLOOKUP(Table3[[#This Row],[id]],[1]!bom[Id],[1]!bom[شرح محصول])</f>
        <v>POWER CORD    کدفنی :1210070064</v>
      </c>
      <c r="D46" s="1">
        <v>120030107</v>
      </c>
      <c r="E46" s="1">
        <v>183</v>
      </c>
      <c r="F46" s="1">
        <v>24</v>
      </c>
      <c r="G46" s="1">
        <v>2.5</v>
      </c>
      <c r="H46" s="1" t="s">
        <v>73</v>
      </c>
      <c r="I46" s="1" t="s">
        <v>73</v>
      </c>
      <c r="J46" s="1" t="s">
        <v>73</v>
      </c>
      <c r="K46" s="1">
        <v>19.5</v>
      </c>
      <c r="L46" s="1">
        <v>19.5</v>
      </c>
      <c r="M46" s="1">
        <v>24</v>
      </c>
      <c r="N46" s="1">
        <v>120100016</v>
      </c>
      <c r="O46" s="1">
        <v>120100016</v>
      </c>
      <c r="P46" s="1">
        <v>120100047</v>
      </c>
      <c r="R46" s="1">
        <v>5</v>
      </c>
      <c r="U46" s="1">
        <v>1</v>
      </c>
    </row>
    <row r="47" spans="1:21" x14ac:dyDescent="0.25">
      <c r="A47" s="1">
        <v>140310083</v>
      </c>
      <c r="B47" s="1">
        <v>16</v>
      </c>
      <c r="C47" s="2" t="str">
        <f>_xlfn.XLOOKUP(Table3[[#This Row],[id]],[1]!bom[Id],[1]!bom[شرح محصول])</f>
        <v>کابل دوشاخه ظرفشویی 1×3 (طول سیم ارت بلندتر)</v>
      </c>
      <c r="D47" s="1">
        <v>120030107</v>
      </c>
      <c r="E47" s="1">
        <v>185</v>
      </c>
      <c r="F47" s="1">
        <v>23.5</v>
      </c>
      <c r="G47" s="1">
        <v>2.5</v>
      </c>
      <c r="H47" s="1" t="s">
        <v>73</v>
      </c>
      <c r="I47" s="1" t="s">
        <v>73</v>
      </c>
      <c r="J47" s="1" t="s">
        <v>73</v>
      </c>
      <c r="K47" s="1">
        <v>9</v>
      </c>
      <c r="L47" s="1">
        <v>9</v>
      </c>
      <c r="M47" s="1">
        <v>23.5</v>
      </c>
      <c r="N47" s="1">
        <v>120100015</v>
      </c>
      <c r="O47" s="1">
        <v>120100015</v>
      </c>
      <c r="P47" s="1">
        <v>120100015</v>
      </c>
      <c r="R47" s="1">
        <v>5</v>
      </c>
      <c r="U47" s="1">
        <v>0</v>
      </c>
    </row>
    <row r="48" spans="1:21" x14ac:dyDescent="0.25">
      <c r="A48" s="1">
        <v>140350045</v>
      </c>
      <c r="B48" s="1">
        <v>4</v>
      </c>
      <c r="C48" s="2" t="str">
        <f>_xlfn.XLOOKUP(Table3[[#This Row],[id]],[1]!bom[Id],[1]!bom[شرح محصول])</f>
        <v>کابل دوشاخه سفید 224 سانتی</v>
      </c>
      <c r="D48" s="1">
        <v>120030006</v>
      </c>
      <c r="E48" s="1">
        <v>224</v>
      </c>
      <c r="F48" s="1">
        <v>4</v>
      </c>
      <c r="G48" s="1">
        <v>2.5</v>
      </c>
      <c r="H48" s="1" t="s">
        <v>73</v>
      </c>
      <c r="I48" s="1" t="s">
        <v>81</v>
      </c>
      <c r="J48" s="1" t="s">
        <v>82</v>
      </c>
      <c r="K48" s="1">
        <v>4</v>
      </c>
      <c r="L48" s="1">
        <v>4</v>
      </c>
      <c r="M48" s="1">
        <v>4</v>
      </c>
      <c r="N48" s="1">
        <v>120100132</v>
      </c>
      <c r="P48" s="1">
        <v>120100029</v>
      </c>
      <c r="R48" s="1">
        <v>5</v>
      </c>
      <c r="U48" s="1">
        <v>0</v>
      </c>
    </row>
    <row r="49" spans="1:23" x14ac:dyDescent="0.25">
      <c r="A49" s="1">
        <v>140350046</v>
      </c>
      <c r="B49" s="1">
        <v>4</v>
      </c>
      <c r="C49" s="2" t="str">
        <f>_xlfn.XLOOKUP(Table3[[#This Row],[id]],[1]!bom[Id],[1]!bom[شرح محصول])</f>
        <v>کابل دوشاخه محصولات تاچ</v>
      </c>
      <c r="D49" s="1">
        <v>120030006</v>
      </c>
      <c r="E49" s="1">
        <v>227</v>
      </c>
      <c r="F49" s="1">
        <v>22.6</v>
      </c>
      <c r="G49" s="1">
        <v>2.5</v>
      </c>
      <c r="H49" s="1" t="s">
        <v>78</v>
      </c>
      <c r="I49" s="1" t="s">
        <v>78</v>
      </c>
      <c r="J49" s="1" t="s">
        <v>73</v>
      </c>
      <c r="K49" s="1">
        <v>10.5</v>
      </c>
      <c r="L49" s="1">
        <v>10.5</v>
      </c>
      <c r="M49" s="1">
        <v>22.6</v>
      </c>
      <c r="N49" s="1" t="s">
        <v>96</v>
      </c>
      <c r="O49" s="1" t="s">
        <v>96</v>
      </c>
      <c r="P49" s="1">
        <v>120100015</v>
      </c>
      <c r="R49" s="1">
        <v>4</v>
      </c>
      <c r="U49" s="1">
        <v>3</v>
      </c>
    </row>
    <row r="50" spans="1:23" x14ac:dyDescent="0.25">
      <c r="A50" s="1">
        <v>140350080</v>
      </c>
      <c r="B50" s="1">
        <v>4</v>
      </c>
      <c r="C50" s="2" t="str">
        <f>_xlfn.XLOOKUP(Table3[[#This Row],[id]],[1]!bom[Id],[1]!bom[شرح محصول])</f>
        <v>PLUG FOR SIDE BY SIDE  کدمقصد: 11120000010</v>
      </c>
      <c r="D50" s="1">
        <v>120030006</v>
      </c>
      <c r="E50" s="1">
        <v>247</v>
      </c>
      <c r="F50" s="1">
        <v>35</v>
      </c>
      <c r="G50" s="1">
        <v>2.5</v>
      </c>
      <c r="H50" s="1" t="s">
        <v>78</v>
      </c>
      <c r="I50" s="1" t="s">
        <v>78</v>
      </c>
      <c r="J50" s="1" t="s">
        <v>73</v>
      </c>
      <c r="K50" s="1">
        <v>35</v>
      </c>
      <c r="L50" s="1">
        <v>35</v>
      </c>
      <c r="M50" s="1">
        <v>15.6</v>
      </c>
      <c r="N50" s="1">
        <v>120110051</v>
      </c>
      <c r="O50" s="1">
        <v>120110051</v>
      </c>
      <c r="P50" s="1">
        <v>120100023</v>
      </c>
      <c r="R50" s="1">
        <v>5</v>
      </c>
      <c r="U50" s="1">
        <v>4</v>
      </c>
      <c r="W50" s="1" t="s">
        <v>19</v>
      </c>
    </row>
    <row r="51" spans="1:23" x14ac:dyDescent="0.25">
      <c r="A51" s="1">
        <v>140350081</v>
      </c>
      <c r="B51" s="1">
        <v>4</v>
      </c>
      <c r="C51" s="2" t="str">
        <f>_xlfn.XLOOKUP(Table3[[#This Row],[id]],[1]!bom[Id],[1]!bom[شرح محصول])</f>
        <v>مجموعه كابل دو شاخه محصولات تاچ</v>
      </c>
      <c r="D51" s="1">
        <v>120030006</v>
      </c>
      <c r="E51" s="1">
        <v>229</v>
      </c>
      <c r="F51" s="1">
        <v>22</v>
      </c>
      <c r="G51" s="1">
        <v>2.5</v>
      </c>
      <c r="H51" s="1" t="s">
        <v>78</v>
      </c>
      <c r="I51" s="1" t="s">
        <v>78</v>
      </c>
      <c r="J51" s="1" t="s">
        <v>73</v>
      </c>
      <c r="K51" s="1">
        <v>10</v>
      </c>
      <c r="L51" s="1">
        <v>10</v>
      </c>
      <c r="M51" s="1">
        <v>22</v>
      </c>
      <c r="N51" s="1" t="s">
        <v>96</v>
      </c>
      <c r="O51" s="1" t="s">
        <v>96</v>
      </c>
      <c r="P51" s="1">
        <v>120110052</v>
      </c>
      <c r="R51" s="1">
        <v>5</v>
      </c>
      <c r="U51" s="1">
        <v>0</v>
      </c>
      <c r="W51" s="1" t="s">
        <v>20</v>
      </c>
    </row>
    <row r="52" spans="1:23" x14ac:dyDescent="0.25">
      <c r="A52" s="1">
        <v>140490001</v>
      </c>
      <c r="B52" s="1">
        <v>15</v>
      </c>
      <c r="C52" s="2" t="str">
        <f>_xlfn.XLOOKUP(Table3[[#This Row],[id]],[1]!bom[Id],[1]!bom[شرح محصول])</f>
        <v>کابل دوشاخه 2/35 متری ارت دار</v>
      </c>
      <c r="D52" s="1">
        <v>120030006</v>
      </c>
      <c r="E52" s="1">
        <v>235</v>
      </c>
      <c r="F52" s="1">
        <v>20</v>
      </c>
      <c r="G52" s="1">
        <v>2.5</v>
      </c>
      <c r="H52" s="1" t="s">
        <v>73</v>
      </c>
      <c r="I52" s="1" t="s">
        <v>73</v>
      </c>
      <c r="J52" s="1" t="s">
        <v>73</v>
      </c>
      <c r="R52" s="1">
        <v>4</v>
      </c>
      <c r="U52" s="1">
        <v>0</v>
      </c>
    </row>
    <row r="53" spans="1:23" x14ac:dyDescent="0.25">
      <c r="A53" s="1">
        <v>140490003</v>
      </c>
      <c r="B53" s="1">
        <v>15</v>
      </c>
      <c r="C53" s="2" t="str">
        <f>_xlfn.XLOOKUP(Table3[[#This Row],[id]],[1]!bom[Id],[1]!bom[شرح محصول])</f>
        <v>کابل برد به کمپرسور</v>
      </c>
      <c r="D53" s="1">
        <v>120030006</v>
      </c>
      <c r="E53" s="1">
        <v>255</v>
      </c>
      <c r="F53" s="1">
        <v>200</v>
      </c>
      <c r="G53" s="1">
        <v>60</v>
      </c>
      <c r="H53" s="1" t="s">
        <v>74</v>
      </c>
      <c r="I53" s="1" t="s">
        <v>74</v>
      </c>
      <c r="J53" s="1" t="s">
        <v>74</v>
      </c>
      <c r="R53" s="1">
        <v>1</v>
      </c>
      <c r="U53" s="1">
        <v>0</v>
      </c>
    </row>
    <row r="54" spans="1:23" x14ac:dyDescent="0.25">
      <c r="A54" s="1">
        <v>140490005</v>
      </c>
      <c r="B54" s="1">
        <v>15</v>
      </c>
      <c r="C54" s="2" t="str">
        <f>_xlfn.XLOOKUP(Table3[[#This Row],[id]],[1]!bom[Id],[1]!bom[شرح محصول])</f>
        <v>کابل فن و لامپ</v>
      </c>
      <c r="D54" s="1">
        <v>120030006</v>
      </c>
      <c r="E54" s="1">
        <v>120</v>
      </c>
      <c r="F54" s="1">
        <v>24</v>
      </c>
      <c r="G54" s="1">
        <v>19</v>
      </c>
      <c r="H54" s="1" t="s">
        <v>74</v>
      </c>
      <c r="I54" s="1" t="s">
        <v>83</v>
      </c>
      <c r="J54" s="1" t="s">
        <v>74</v>
      </c>
      <c r="R54" s="1">
        <v>1</v>
      </c>
      <c r="U54" s="1">
        <v>0</v>
      </c>
    </row>
    <row r="55" spans="1:23" x14ac:dyDescent="0.25">
      <c r="A55" s="1">
        <v>140490006</v>
      </c>
      <c r="B55" s="1">
        <v>15</v>
      </c>
      <c r="C55" s="2" t="str">
        <f>_xlfn.XLOOKUP(Table3[[#This Row],[id]],[1]!bom[Id],[1]!bom[شرح محصول])</f>
        <v>کابل برد فریزر نوفراست 1700</v>
      </c>
      <c r="D55" s="1">
        <v>120030006</v>
      </c>
      <c r="E55" s="1">
        <v>122</v>
      </c>
      <c r="F55" s="1">
        <v>10</v>
      </c>
      <c r="G55" s="1">
        <v>10</v>
      </c>
      <c r="H55" s="1" t="s">
        <v>72</v>
      </c>
      <c r="I55" s="1" t="s">
        <v>72</v>
      </c>
      <c r="J55" s="1" t="s">
        <v>72</v>
      </c>
      <c r="R55" s="1">
        <v>1</v>
      </c>
      <c r="U55" s="1">
        <v>0</v>
      </c>
    </row>
    <row r="56" spans="1:23" x14ac:dyDescent="0.25">
      <c r="A56" s="1">
        <v>140490007</v>
      </c>
      <c r="B56" s="1">
        <v>15</v>
      </c>
      <c r="C56" s="2" t="str">
        <f>_xlfn.XLOOKUP(Table3[[#This Row],[id]],[1]!bom[Id],[1]!bom[شرح محصول])</f>
        <v>کابل برد کمپرسور فریزر نوفراست 1700</v>
      </c>
      <c r="D56" s="1">
        <v>120030006</v>
      </c>
      <c r="E56" s="1">
        <v>192</v>
      </c>
      <c r="F56" s="1">
        <v>6</v>
      </c>
      <c r="G56" s="1">
        <v>6</v>
      </c>
      <c r="H56" s="1" t="s">
        <v>74</v>
      </c>
      <c r="I56" s="1" t="s">
        <v>74</v>
      </c>
      <c r="J56" s="1" t="s">
        <v>74</v>
      </c>
      <c r="R56" s="1">
        <v>1</v>
      </c>
      <c r="U56" s="1">
        <v>0</v>
      </c>
    </row>
    <row r="57" spans="1:23" x14ac:dyDescent="0.25">
      <c r="A57" s="1">
        <v>140490008</v>
      </c>
      <c r="B57" s="1">
        <v>15</v>
      </c>
      <c r="C57" s="2" t="str">
        <f>_xlfn.XLOOKUP(Table3[[#This Row],[id]],[1]!bom[Id],[1]!bom[شرح محصول])</f>
        <v>کابل سویچ برد دیجیتال فریزر</v>
      </c>
      <c r="D57" s="1">
        <v>120030006</v>
      </c>
      <c r="E57" s="1">
        <v>30</v>
      </c>
      <c r="F57" s="1">
        <v>7</v>
      </c>
      <c r="G57" s="1">
        <v>5</v>
      </c>
      <c r="H57" s="1" t="s">
        <v>72</v>
      </c>
      <c r="I57" s="1" t="s">
        <v>72</v>
      </c>
      <c r="J57" s="1" t="s">
        <v>74</v>
      </c>
      <c r="R57" s="1">
        <v>1</v>
      </c>
      <c r="U57" s="1">
        <v>0</v>
      </c>
    </row>
    <row r="58" spans="1:23" x14ac:dyDescent="0.25">
      <c r="A58" s="1">
        <v>140490009</v>
      </c>
      <c r="B58" s="1">
        <v>15</v>
      </c>
      <c r="C58" s="2" t="str">
        <f>_xlfn.XLOOKUP(Table3[[#This Row],[id]],[1]!bom[Id],[1]!bom[شرح محصول])</f>
        <v>کابل هولدر لامپ برد دیجیتال</v>
      </c>
      <c r="D58" s="1">
        <v>120030006</v>
      </c>
      <c r="E58" s="1">
        <v>30</v>
      </c>
      <c r="F58" s="1">
        <v>7</v>
      </c>
      <c r="G58" s="1">
        <v>5</v>
      </c>
      <c r="H58" s="1" t="s">
        <v>72</v>
      </c>
      <c r="I58" s="1" t="s">
        <v>72</v>
      </c>
      <c r="J58" s="1" t="s">
        <v>74</v>
      </c>
      <c r="R58" s="1">
        <v>1</v>
      </c>
      <c r="U58" s="1">
        <v>0</v>
      </c>
    </row>
    <row r="59" spans="1:23" x14ac:dyDescent="0.25">
      <c r="A59" s="1">
        <v>140500010</v>
      </c>
      <c r="B59" s="1">
        <v>1</v>
      </c>
      <c r="C59" s="2" t="str">
        <f>_xlfn.XLOOKUP(Table3[[#This Row],[id]],[1]!bom[Id],[1]!bom[شرح محصول])</f>
        <v>کابل دو شاخه 0.75*3</v>
      </c>
      <c r="D59" s="1">
        <v>120030009</v>
      </c>
      <c r="E59" s="1">
        <v>200</v>
      </c>
      <c r="F59" s="1">
        <v>15</v>
      </c>
      <c r="G59" s="1">
        <v>2.5</v>
      </c>
      <c r="H59" s="1" t="s">
        <v>75</v>
      </c>
      <c r="I59" s="1" t="s">
        <v>75</v>
      </c>
      <c r="J59" s="1" t="s">
        <v>75</v>
      </c>
      <c r="R59" s="1">
        <v>4</v>
      </c>
      <c r="U59" s="1">
        <v>0</v>
      </c>
    </row>
    <row r="60" spans="1:23" x14ac:dyDescent="0.25">
      <c r="A60" s="1">
        <v>140530001</v>
      </c>
      <c r="B60" s="1">
        <v>36</v>
      </c>
      <c r="C60" s="2" t="str">
        <f>_xlfn.XLOOKUP(Table3[[#This Row],[id]],[1]!bom[Id],[1]!bom[شرح محصول])</f>
        <v>کابل دو شاخه دو در هفتادو پنج مدل 43 اینچ</v>
      </c>
      <c r="D60" s="1">
        <v>120030039</v>
      </c>
      <c r="E60" s="1">
        <v>221</v>
      </c>
      <c r="F60" s="1">
        <v>2.5</v>
      </c>
      <c r="G60" s="1">
        <v>2</v>
      </c>
      <c r="H60" s="1" t="s">
        <v>72</v>
      </c>
      <c r="I60" s="1" t="s">
        <v>72</v>
      </c>
      <c r="J60" s="1" t="s">
        <v>74</v>
      </c>
      <c r="N60" s="1">
        <v>120110001</v>
      </c>
      <c r="O60" s="1">
        <v>120110001</v>
      </c>
      <c r="R60" s="1">
        <v>3</v>
      </c>
      <c r="U60" s="1">
        <v>40</v>
      </c>
    </row>
    <row r="61" spans="1:23" x14ac:dyDescent="0.25">
      <c r="A61" s="1">
        <v>140530002</v>
      </c>
      <c r="B61" s="1">
        <v>36</v>
      </c>
      <c r="C61" s="2" t="str">
        <f>_xlfn.XLOOKUP(Table3[[#This Row],[id]],[1]!bom[Id],[1]!bom[شرح محصول])</f>
        <v>کابل دوشاخه دو در هفتادو وپنج مدل 49 اینچ</v>
      </c>
      <c r="D61" s="1">
        <v>120030039</v>
      </c>
      <c r="E61" s="1">
        <v>189</v>
      </c>
      <c r="F61" s="1">
        <v>2.5</v>
      </c>
      <c r="G61" s="1">
        <v>2</v>
      </c>
      <c r="H61" s="1" t="s">
        <v>72</v>
      </c>
      <c r="I61" s="1" t="s">
        <v>72</v>
      </c>
      <c r="J61" s="1" t="s">
        <v>74</v>
      </c>
      <c r="N61" s="1">
        <v>120110001</v>
      </c>
      <c r="O61" s="1">
        <v>120110001</v>
      </c>
      <c r="R61" s="1">
        <v>3</v>
      </c>
      <c r="U61" s="1">
        <v>8</v>
      </c>
    </row>
    <row r="62" spans="1:23" x14ac:dyDescent="0.25">
      <c r="A62" s="1">
        <v>140530003</v>
      </c>
      <c r="B62" s="1">
        <v>36</v>
      </c>
      <c r="C62" s="2" t="str">
        <f>_xlfn.XLOOKUP(Table3[[#This Row],[id]],[1]!bom[Id],[1]!bom[شرح محصول])</f>
        <v>کابل دوشاخه دو در هفتادو وپنج مدل 32 اینچ</v>
      </c>
      <c r="D62" s="1">
        <v>120030039</v>
      </c>
      <c r="E62" s="1">
        <v>185</v>
      </c>
      <c r="F62" s="1">
        <v>2.5</v>
      </c>
      <c r="G62" s="1">
        <v>2</v>
      </c>
      <c r="H62" s="1" t="s">
        <v>72</v>
      </c>
      <c r="I62" s="1" t="s">
        <v>72</v>
      </c>
      <c r="J62" s="1" t="s">
        <v>74</v>
      </c>
      <c r="N62" s="1">
        <v>120110001</v>
      </c>
      <c r="O62" s="1">
        <v>120110001</v>
      </c>
      <c r="R62" s="1">
        <v>3</v>
      </c>
      <c r="U62" s="1">
        <v>4</v>
      </c>
    </row>
    <row r="63" spans="1:23" x14ac:dyDescent="0.25">
      <c r="A63" s="1">
        <v>140530004</v>
      </c>
      <c r="B63" s="1">
        <v>36</v>
      </c>
      <c r="C63" s="2" t="str">
        <f>_xlfn.XLOOKUP(Table3[[#This Row],[id]],[1]!bom[Id],[1]!bom[شرح محصول])</f>
        <v>کابل دو شاخه دو در هفتادو پنج مدل 50-55 اینچ</v>
      </c>
      <c r="D63" s="1">
        <v>120030039</v>
      </c>
      <c r="E63" s="1">
        <v>192</v>
      </c>
      <c r="F63" s="1">
        <v>2.5</v>
      </c>
      <c r="G63" s="1">
        <v>2</v>
      </c>
      <c r="H63" s="1" t="s">
        <v>72</v>
      </c>
      <c r="I63" s="1" t="s">
        <v>72</v>
      </c>
      <c r="J63" s="1" t="s">
        <v>74</v>
      </c>
      <c r="N63" s="1">
        <v>120110001</v>
      </c>
      <c r="O63" s="1">
        <v>120110001</v>
      </c>
      <c r="R63" s="1">
        <v>3</v>
      </c>
      <c r="U63" s="1">
        <v>11</v>
      </c>
    </row>
    <row r="64" spans="1:23" x14ac:dyDescent="0.25">
      <c r="A64" s="1">
        <v>140530005</v>
      </c>
      <c r="B64" s="1">
        <v>36</v>
      </c>
      <c r="C64" s="2" t="str">
        <f>_xlfn.XLOOKUP(Table3[[#This Row],[id]],[1]!bom[Id],[1]!bom[شرح محصول])</f>
        <v>کابل دو شاخه 0.75*2 مدل 75 اینچ</v>
      </c>
      <c r="D64" s="1">
        <v>120030039</v>
      </c>
      <c r="E64" s="1">
        <v>221</v>
      </c>
      <c r="F64" s="1">
        <v>2.5</v>
      </c>
      <c r="G64" s="1">
        <v>2</v>
      </c>
      <c r="H64" s="1" t="s">
        <v>72</v>
      </c>
      <c r="I64" s="1" t="s">
        <v>72</v>
      </c>
      <c r="J64" s="1" t="s">
        <v>74</v>
      </c>
      <c r="N64" s="1">
        <v>120110001</v>
      </c>
      <c r="O64" s="1">
        <v>120110001</v>
      </c>
      <c r="R64" s="1">
        <v>3</v>
      </c>
      <c r="U64" s="1">
        <v>20</v>
      </c>
    </row>
    <row r="65" spans="1:21" x14ac:dyDescent="0.25">
      <c r="A65" s="1">
        <v>140530006</v>
      </c>
      <c r="B65" s="1">
        <v>36</v>
      </c>
      <c r="C65" s="2" t="str">
        <f>_xlfn.XLOOKUP(Table3[[#This Row],[id]],[1]!bom[Id],[1]!bom[شرح محصول])</f>
        <v>کابل دو شاخه 0.75*2 مدل 65 اینچ</v>
      </c>
      <c r="D65" s="1">
        <v>120030039</v>
      </c>
      <c r="E65" s="1">
        <v>212</v>
      </c>
      <c r="F65" s="1">
        <v>2.5</v>
      </c>
      <c r="G65" s="1">
        <v>2</v>
      </c>
      <c r="H65" s="1" t="s">
        <v>72</v>
      </c>
      <c r="I65" s="1" t="s">
        <v>72</v>
      </c>
      <c r="J65" s="1" t="s">
        <v>74</v>
      </c>
      <c r="N65" s="1">
        <v>120110001</v>
      </c>
      <c r="O65" s="1">
        <v>120110001</v>
      </c>
      <c r="R65" s="1">
        <v>3</v>
      </c>
      <c r="U65" s="1">
        <v>11</v>
      </c>
    </row>
    <row r="66" spans="1:21" x14ac:dyDescent="0.25">
      <c r="A66" s="1">
        <v>140530039</v>
      </c>
      <c r="B66" s="1">
        <v>36</v>
      </c>
      <c r="C66" s="2" t="str">
        <f>_xlfn.XLOOKUP(Table3[[#This Row],[id]],[1]!bom[Id],[1]!bom[شرح محصول])</f>
        <v>کابل برق جدا شونده سری 180 درجه تلویزیون</v>
      </c>
      <c r="D66" s="1">
        <v>120030039</v>
      </c>
      <c r="E66" s="1">
        <v>180</v>
      </c>
      <c r="F66" s="1">
        <v>2.5</v>
      </c>
      <c r="G66" s="1">
        <v>1.4</v>
      </c>
      <c r="H66" s="1" t="s">
        <v>77</v>
      </c>
      <c r="I66" s="1" t="s">
        <v>77</v>
      </c>
      <c r="J66" s="1" t="s">
        <v>77</v>
      </c>
      <c r="N66" s="1">
        <v>120100223</v>
      </c>
      <c r="O66" s="1">
        <v>120100223</v>
      </c>
      <c r="R66" s="1">
        <v>3</v>
      </c>
      <c r="U66" s="1">
        <v>0</v>
      </c>
    </row>
    <row r="67" spans="1:21" x14ac:dyDescent="0.25">
      <c r="A67" s="1">
        <v>140550019</v>
      </c>
      <c r="B67" s="1">
        <v>31</v>
      </c>
      <c r="C67" s="2" t="str">
        <f>_xlfn.XLOOKUP(Table3[[#This Row],[id]],[1]!bom[Id],[1]!bom[شرح محصول])</f>
        <v>کابل دوشاخه 3*1 فریتدار</v>
      </c>
      <c r="D67" s="1">
        <v>120030073</v>
      </c>
      <c r="E67" s="1">
        <v>196</v>
      </c>
      <c r="F67" s="1">
        <v>30</v>
      </c>
      <c r="G67" s="1">
        <v>2.5</v>
      </c>
      <c r="H67" s="1" t="s">
        <v>73</v>
      </c>
      <c r="I67" s="1" t="s">
        <v>73</v>
      </c>
      <c r="J67" s="1" t="s">
        <v>73</v>
      </c>
      <c r="K67" s="1">
        <v>18</v>
      </c>
      <c r="L67" s="1">
        <v>18</v>
      </c>
      <c r="M67" s="1">
        <v>30</v>
      </c>
      <c r="N67" s="1">
        <v>120100016</v>
      </c>
      <c r="O67" s="1">
        <v>120100016</v>
      </c>
      <c r="P67" s="1">
        <v>120100045</v>
      </c>
      <c r="R67" s="1">
        <v>5</v>
      </c>
      <c r="U67" s="1">
        <v>3</v>
      </c>
    </row>
    <row r="68" spans="1:21" x14ac:dyDescent="0.25">
      <c r="A68" s="1">
        <v>140550038</v>
      </c>
      <c r="B68" s="1">
        <v>31</v>
      </c>
      <c r="C68" s="2" t="str">
        <f>_xlfn.XLOOKUP(Table3[[#This Row],[id]],[1]!bom[Id],[1]!bom[شرح محصول])</f>
        <v>کابل  1*3 oven</v>
      </c>
      <c r="D68" s="1">
        <v>210300185</v>
      </c>
      <c r="E68" s="1">
        <v>0</v>
      </c>
      <c r="F68" s="1">
        <v>0</v>
      </c>
      <c r="G68" s="1">
        <v>2.5</v>
      </c>
      <c r="H68" s="1" t="s">
        <v>74</v>
      </c>
      <c r="I68" s="1" t="s">
        <v>74</v>
      </c>
      <c r="J68" s="1" t="s">
        <v>74</v>
      </c>
      <c r="R68" s="1">
        <v>5</v>
      </c>
      <c r="U68" s="1">
        <v>0</v>
      </c>
    </row>
    <row r="69" spans="1:21" x14ac:dyDescent="0.25">
      <c r="A69" s="1">
        <v>140550039</v>
      </c>
      <c r="B69" s="1">
        <v>31</v>
      </c>
      <c r="C69" s="2" t="str">
        <f>_xlfn.XLOOKUP(Table3[[#This Row],[id]],[1]!bom[Id],[1]!bom[شرح محصول])</f>
        <v>کابل  1.5*3 oven</v>
      </c>
      <c r="D69" s="1">
        <v>210300187</v>
      </c>
      <c r="E69" s="1">
        <v>0</v>
      </c>
      <c r="F69" s="1">
        <v>0</v>
      </c>
      <c r="G69" s="1">
        <v>2.5</v>
      </c>
      <c r="H69" s="1" t="s">
        <v>74</v>
      </c>
      <c r="I69" s="1" t="s">
        <v>74</v>
      </c>
      <c r="J69" s="1" t="s">
        <v>74</v>
      </c>
      <c r="R69" s="1">
        <v>5</v>
      </c>
      <c r="U69" s="1">
        <v>0</v>
      </c>
    </row>
    <row r="70" spans="1:21" x14ac:dyDescent="0.25">
      <c r="A70" s="1">
        <v>140550042</v>
      </c>
      <c r="B70" s="1">
        <v>31</v>
      </c>
      <c r="C70" s="2" t="str">
        <f>_xlfn.XLOOKUP(Table3[[#This Row],[id]],[1]!bom[Id],[1]!bom[شرح محصول])</f>
        <v>کابل 1.5*3 ماکرو ویو</v>
      </c>
      <c r="D70" s="1">
        <v>120030118</v>
      </c>
      <c r="E70" s="1">
        <v>128</v>
      </c>
      <c r="F70" s="1">
        <v>15</v>
      </c>
      <c r="G70" s="1">
        <v>2.5</v>
      </c>
      <c r="H70" s="1" t="s">
        <v>79</v>
      </c>
      <c r="I70" s="1" t="s">
        <v>79</v>
      </c>
      <c r="J70" s="1" t="s">
        <v>73</v>
      </c>
      <c r="K70" s="1">
        <v>10</v>
      </c>
      <c r="L70" s="1">
        <v>10</v>
      </c>
      <c r="M70" s="1">
        <v>15</v>
      </c>
      <c r="N70" s="1">
        <v>120100021</v>
      </c>
      <c r="O70" s="1">
        <v>120100021</v>
      </c>
      <c r="P70" s="1">
        <v>120100045</v>
      </c>
      <c r="R70" s="1">
        <v>5</v>
      </c>
      <c r="U70" s="1">
        <v>2</v>
      </c>
    </row>
    <row r="71" spans="1:21" x14ac:dyDescent="0.25">
      <c r="A71" s="1">
        <v>140550043</v>
      </c>
      <c r="B71" s="1">
        <v>31</v>
      </c>
      <c r="C71" s="2" t="str">
        <f>_xlfn.XLOOKUP(Table3[[#This Row],[id]],[1]!bom[Id],[1]!bom[شرح محصول])</f>
        <v>کابل 3.1 ماکرو ویو</v>
      </c>
      <c r="D71" s="1">
        <v>120030119</v>
      </c>
      <c r="E71" s="1">
        <v>126</v>
      </c>
      <c r="F71" s="1">
        <v>13</v>
      </c>
      <c r="G71" s="1">
        <v>2.5</v>
      </c>
      <c r="H71" s="1" t="s">
        <v>79</v>
      </c>
      <c r="I71" s="1" t="s">
        <v>79</v>
      </c>
      <c r="J71" s="1" t="s">
        <v>73</v>
      </c>
      <c r="K71" s="1">
        <v>8</v>
      </c>
      <c r="L71" s="1">
        <v>8</v>
      </c>
      <c r="M71" s="1">
        <v>13</v>
      </c>
      <c r="N71" s="1">
        <v>120100021</v>
      </c>
      <c r="O71" s="1">
        <v>120100021</v>
      </c>
      <c r="P71" s="1">
        <v>120100045</v>
      </c>
      <c r="R71" s="1">
        <v>5</v>
      </c>
      <c r="U71" s="1">
        <v>2</v>
      </c>
    </row>
    <row r="72" spans="1:21" x14ac:dyDescent="0.25">
      <c r="A72" s="1">
        <v>140550049</v>
      </c>
      <c r="B72" s="1">
        <v>31</v>
      </c>
      <c r="C72" s="2" t="str">
        <f>_xlfn.XLOOKUP(Table3[[#This Row],[id]],[1]!bom[Id],[1]!bom[شرح محصول])</f>
        <v>کابل 1.5*3 ماکرو ویو</v>
      </c>
      <c r="D72" s="1">
        <v>120030118</v>
      </c>
      <c r="E72" s="1">
        <v>126</v>
      </c>
      <c r="F72" s="1">
        <v>13</v>
      </c>
      <c r="G72" s="1">
        <v>2.5</v>
      </c>
      <c r="H72" s="1" t="s">
        <v>79</v>
      </c>
      <c r="I72" s="1" t="s">
        <v>79</v>
      </c>
      <c r="J72" s="1" t="s">
        <v>73</v>
      </c>
      <c r="K72" s="1">
        <v>8</v>
      </c>
      <c r="L72" s="1">
        <v>8</v>
      </c>
      <c r="M72" s="1">
        <v>13</v>
      </c>
      <c r="N72" s="1">
        <v>120100021</v>
      </c>
      <c r="O72" s="1">
        <v>120100021</v>
      </c>
      <c r="P72" s="1">
        <v>120100045</v>
      </c>
      <c r="R72" s="1">
        <v>5</v>
      </c>
      <c r="U72" s="1">
        <v>2</v>
      </c>
    </row>
    <row r="73" spans="1:21" x14ac:dyDescent="0.25">
      <c r="A73" s="1">
        <v>140550060</v>
      </c>
      <c r="B73" s="1">
        <v>31</v>
      </c>
      <c r="C73" s="2" t="str">
        <f>_xlfn.XLOOKUP(Table3[[#This Row],[id]],[1]!bom[Id],[1]!bom[شرح محصول])</f>
        <v>power cord کد مقصد : 850270446</v>
      </c>
      <c r="D73" s="1">
        <v>120030116</v>
      </c>
      <c r="E73" s="1">
        <v>161</v>
      </c>
      <c r="F73" s="1">
        <v>1.4</v>
      </c>
      <c r="G73" s="1">
        <v>2</v>
      </c>
      <c r="H73" s="1" t="s">
        <v>77</v>
      </c>
      <c r="I73" s="1" t="s">
        <v>77</v>
      </c>
      <c r="J73" s="1" t="s">
        <v>84</v>
      </c>
      <c r="N73" s="1">
        <v>120100223</v>
      </c>
      <c r="O73" s="1">
        <v>120100223</v>
      </c>
      <c r="R73" s="1">
        <v>2</v>
      </c>
      <c r="U73" s="1">
        <v>0</v>
      </c>
    </row>
    <row r="74" spans="1:21" x14ac:dyDescent="0.25">
      <c r="A74" s="1">
        <v>140550062</v>
      </c>
      <c r="B74" s="1">
        <v>31</v>
      </c>
      <c r="C74" s="2" t="str">
        <f>_xlfn.XLOOKUP(Table3[[#This Row],[id]],[1]!bom[Id],[1]!bom[شرح محصول])</f>
        <v>power cord  کد مقصد : 950032159</v>
      </c>
      <c r="D74" s="1">
        <v>120040072</v>
      </c>
      <c r="E74" s="1">
        <v>190</v>
      </c>
      <c r="F74" s="1">
        <v>2</v>
      </c>
      <c r="G74" s="1">
        <v>2</v>
      </c>
      <c r="H74" s="1" t="s">
        <v>72</v>
      </c>
      <c r="I74" s="1" t="s">
        <v>72</v>
      </c>
      <c r="J74" s="1" t="s">
        <v>84</v>
      </c>
      <c r="N74" s="1">
        <v>120110001</v>
      </c>
      <c r="O74" s="1">
        <v>120110001</v>
      </c>
      <c r="R74" s="1">
        <v>2</v>
      </c>
      <c r="U74" s="1">
        <v>0</v>
      </c>
    </row>
    <row r="75" spans="1:21" x14ac:dyDescent="0.25">
      <c r="A75" s="1">
        <v>140550063</v>
      </c>
      <c r="B75" s="1">
        <v>31</v>
      </c>
      <c r="C75" s="2" t="str">
        <f>_xlfn.XLOOKUP(Table3[[#This Row],[id]],[1]!bom[Id],[1]!bom[شرح محصول])</f>
        <v>power cord  کد مقصد : 950045920</v>
      </c>
      <c r="D75" s="1">
        <v>120040072</v>
      </c>
      <c r="E75" s="1">
        <v>229</v>
      </c>
      <c r="F75" s="1">
        <v>2.5</v>
      </c>
      <c r="G75" s="1">
        <v>2</v>
      </c>
      <c r="H75" s="1" t="s">
        <v>72</v>
      </c>
      <c r="I75" s="1" t="s">
        <v>72</v>
      </c>
      <c r="J75" s="1" t="s">
        <v>84</v>
      </c>
      <c r="N75" s="1">
        <v>120110001</v>
      </c>
      <c r="O75" s="1">
        <v>120110001</v>
      </c>
      <c r="R75" s="1">
        <v>2</v>
      </c>
      <c r="U75" s="1">
        <v>0</v>
      </c>
    </row>
    <row r="76" spans="1:21" x14ac:dyDescent="0.25">
      <c r="A76" s="1">
        <v>140550064</v>
      </c>
      <c r="B76" s="1">
        <v>31</v>
      </c>
      <c r="C76" s="2" t="str">
        <f>_xlfn.XLOOKUP(Table3[[#This Row],[id]],[1]!bom[Id],[1]!bom[شرح محصول])</f>
        <v>POWER CORD     کد مقصد : 17476000007384</v>
      </c>
      <c r="D76" s="1">
        <v>120030010</v>
      </c>
      <c r="E76" s="1">
        <v>172</v>
      </c>
      <c r="F76" s="1">
        <v>15.5</v>
      </c>
      <c r="G76" s="1">
        <v>2.5</v>
      </c>
      <c r="H76" s="1" t="s">
        <v>81</v>
      </c>
      <c r="I76" s="1" t="s">
        <v>81</v>
      </c>
      <c r="J76" s="1" t="s">
        <v>81</v>
      </c>
      <c r="K76" s="1">
        <v>10.5</v>
      </c>
      <c r="L76" s="1">
        <v>10.5</v>
      </c>
      <c r="M76" s="1">
        <v>15.5</v>
      </c>
      <c r="R76" s="1">
        <v>5</v>
      </c>
      <c r="U76" s="1">
        <v>0</v>
      </c>
    </row>
    <row r="77" spans="1:21" x14ac:dyDescent="0.25">
      <c r="A77" s="1">
        <v>140550079</v>
      </c>
      <c r="B77" s="1">
        <v>31</v>
      </c>
      <c r="C77" s="2" t="str">
        <f>_xlfn.XLOOKUP(Table3[[#This Row],[id]],[1]!bom[Id],[1]!bom[شرح محصول])</f>
        <v xml:space="preserve"> power cord کد مقصد : 950091525</v>
      </c>
      <c r="D77" s="1">
        <v>120040072</v>
      </c>
      <c r="E77" s="1">
        <v>259</v>
      </c>
      <c r="F77" s="1">
        <v>2</v>
      </c>
      <c r="G77" s="1">
        <v>2</v>
      </c>
      <c r="H77" s="1" t="s">
        <v>72</v>
      </c>
      <c r="I77" s="1" t="s">
        <v>72</v>
      </c>
      <c r="J77" s="1" t="s">
        <v>84</v>
      </c>
      <c r="N77" s="1">
        <v>120110001</v>
      </c>
      <c r="O77" s="1">
        <v>120110001</v>
      </c>
      <c r="R77" s="1">
        <v>2</v>
      </c>
      <c r="U77" s="1">
        <v>0</v>
      </c>
    </row>
    <row r="78" spans="1:21" x14ac:dyDescent="0.25">
      <c r="A78" s="1">
        <v>140590009</v>
      </c>
      <c r="B78" s="1">
        <v>12</v>
      </c>
      <c r="C78" s="2" t="str">
        <f>_xlfn.XLOOKUP(Table3[[#This Row],[id]],[1]!bom[Id],[1]!bom[شرح محصول])</f>
        <v>کابل دو شاخه 75*3</v>
      </c>
      <c r="D78" s="1">
        <v>120030006</v>
      </c>
      <c r="E78" s="1">
        <v>199</v>
      </c>
      <c r="F78" s="1">
        <v>9</v>
      </c>
      <c r="G78" s="1">
        <v>2.5</v>
      </c>
      <c r="H78" s="1" t="s">
        <v>72</v>
      </c>
      <c r="I78" s="1" t="s">
        <v>72</v>
      </c>
      <c r="J78" s="1" t="s">
        <v>73</v>
      </c>
      <c r="K78" s="1">
        <v>9</v>
      </c>
      <c r="L78" s="1">
        <v>9</v>
      </c>
      <c r="M78" s="1">
        <v>9</v>
      </c>
      <c r="N78" s="1">
        <v>120110001</v>
      </c>
      <c r="O78" s="1">
        <v>120110001</v>
      </c>
      <c r="P78" s="1">
        <v>120100023</v>
      </c>
      <c r="R78" s="1">
        <v>4</v>
      </c>
      <c r="U78" s="1">
        <v>0</v>
      </c>
    </row>
    <row r="79" spans="1:21" x14ac:dyDescent="0.25">
      <c r="A79" s="1">
        <v>140640007</v>
      </c>
      <c r="B79" s="1">
        <v>20</v>
      </c>
      <c r="C79" s="2" t="str">
        <f>_xlfn.XLOOKUP(Table3[[#This Row],[id]],[1]!bom[Id],[1]!bom[شرح محصول])</f>
        <v>کابل دو شاخه Power cord کد مقصد 3904000794</v>
      </c>
      <c r="D79" s="1">
        <v>120030008</v>
      </c>
      <c r="E79" s="1">
        <v>248</v>
      </c>
      <c r="F79" s="1">
        <v>40</v>
      </c>
      <c r="G79" s="1">
        <v>2.5</v>
      </c>
      <c r="H79" s="1" t="s">
        <v>78</v>
      </c>
      <c r="I79" s="1" t="s">
        <v>78</v>
      </c>
      <c r="J79" s="1" t="s">
        <v>73</v>
      </c>
      <c r="K79" s="1">
        <v>11</v>
      </c>
      <c r="L79" s="1">
        <v>11</v>
      </c>
      <c r="M79" s="1">
        <v>40</v>
      </c>
      <c r="N79" s="1" t="s">
        <v>96</v>
      </c>
      <c r="O79" s="1" t="s">
        <v>96</v>
      </c>
      <c r="P79" s="1">
        <v>120110052</v>
      </c>
      <c r="R79" s="1">
        <v>5</v>
      </c>
      <c r="U79" s="1">
        <v>2.5</v>
      </c>
    </row>
    <row r="80" spans="1:21" x14ac:dyDescent="0.25">
      <c r="A80" s="1">
        <v>140640026</v>
      </c>
      <c r="B80" s="1">
        <v>20</v>
      </c>
      <c r="C80" s="2" t="str">
        <f>_xlfn.XLOOKUP(Table3[[#This Row],[id]],[1]!bom[Id],[1]!bom[شرح محصول])</f>
        <v>کابل دو شاخه 1.5*3 لباسشویی</v>
      </c>
      <c r="D80" s="1">
        <v>120030050</v>
      </c>
      <c r="E80" s="1">
        <v>188</v>
      </c>
      <c r="F80" s="1">
        <v>40</v>
      </c>
      <c r="G80" s="1">
        <v>2.5</v>
      </c>
      <c r="H80" s="1" t="s">
        <v>73</v>
      </c>
      <c r="I80" s="1" t="s">
        <v>73</v>
      </c>
      <c r="J80" s="1" t="s">
        <v>73</v>
      </c>
      <c r="K80" s="1">
        <v>20</v>
      </c>
      <c r="L80" s="1">
        <v>20</v>
      </c>
      <c r="M80" s="1">
        <v>40</v>
      </c>
      <c r="N80" s="1" t="s">
        <v>96</v>
      </c>
      <c r="O80" s="1" t="s">
        <v>96</v>
      </c>
      <c r="P80" s="1">
        <v>120110052</v>
      </c>
      <c r="R80" s="1">
        <v>5</v>
      </c>
      <c r="U80" s="1">
        <v>3</v>
      </c>
    </row>
    <row r="81" spans="1:21" x14ac:dyDescent="0.25">
      <c r="A81" s="1">
        <v>140640035</v>
      </c>
      <c r="B81" s="1">
        <v>20</v>
      </c>
      <c r="C81" s="2" t="str">
        <f>_xlfn.XLOOKUP(Table3[[#This Row],[id]],[1]!bom[Id],[1]!bom[شرح محصول])</f>
        <v>POWER CORD - AT (001015-3903)</v>
      </c>
      <c r="D81" s="1">
        <v>120030008</v>
      </c>
      <c r="E81" s="1">
        <v>248</v>
      </c>
      <c r="F81" s="1">
        <v>37</v>
      </c>
      <c r="G81" s="1">
        <v>2.5</v>
      </c>
      <c r="H81" s="1" t="s">
        <v>78</v>
      </c>
      <c r="I81" s="1" t="s">
        <v>78</v>
      </c>
      <c r="J81" s="1" t="s">
        <v>73</v>
      </c>
      <c r="K81" s="1">
        <v>9</v>
      </c>
      <c r="L81" s="1">
        <v>9</v>
      </c>
      <c r="M81" s="1">
        <v>37</v>
      </c>
      <c r="N81" s="1" t="s">
        <v>96</v>
      </c>
      <c r="O81" s="1" t="s">
        <v>96</v>
      </c>
      <c r="P81" s="1">
        <v>120110052</v>
      </c>
      <c r="R81" s="1">
        <v>5</v>
      </c>
      <c r="U81" s="1">
        <v>2.5</v>
      </c>
    </row>
    <row r="82" spans="1:21" x14ac:dyDescent="0.25">
      <c r="A82" s="1">
        <v>140670001</v>
      </c>
      <c r="B82" s="1">
        <v>24</v>
      </c>
      <c r="C82" s="2" t="str">
        <f>_xlfn.XLOOKUP(Table3[[#This Row],[id]],[1]!bom[Id],[1]!bom[شرح محصول])</f>
        <v>کابل دوشاخه مشکی  110 سانتی</v>
      </c>
      <c r="D82" s="1">
        <v>120030047</v>
      </c>
      <c r="E82" s="1">
        <v>110</v>
      </c>
      <c r="F82" s="1">
        <v>4</v>
      </c>
      <c r="G82" s="1">
        <v>2.5</v>
      </c>
      <c r="H82" s="1" t="s">
        <v>73</v>
      </c>
      <c r="I82" s="1" t="s">
        <v>73</v>
      </c>
      <c r="J82" s="1" t="s">
        <v>73</v>
      </c>
      <c r="N82" s="1">
        <v>120100023</v>
      </c>
      <c r="O82" s="1">
        <v>120100023</v>
      </c>
      <c r="P82" s="1">
        <v>120100023</v>
      </c>
      <c r="R82" s="1">
        <v>5</v>
      </c>
      <c r="U82" s="1">
        <v>0</v>
      </c>
    </row>
    <row r="83" spans="1:21" x14ac:dyDescent="0.25">
      <c r="A83" s="1">
        <v>140670004</v>
      </c>
      <c r="B83" s="1">
        <v>34</v>
      </c>
      <c r="C83" s="2" t="str">
        <f>_xlfn.XLOOKUP(Table3[[#This Row],[id]],[1]!bom[Id],[1]!bom[شرح محصول])</f>
        <v>کابل برق هود</v>
      </c>
      <c r="D83" s="1">
        <v>120030008</v>
      </c>
      <c r="E83" s="1">
        <v>180</v>
      </c>
      <c r="F83" s="1">
        <v>7</v>
      </c>
      <c r="G83" s="1">
        <v>5</v>
      </c>
      <c r="H83" s="1" t="s">
        <v>72</v>
      </c>
      <c r="I83" s="1" t="s">
        <v>72</v>
      </c>
      <c r="J83" s="1" t="s">
        <v>73</v>
      </c>
      <c r="P83" s="1">
        <v>120100023</v>
      </c>
      <c r="R83" s="1">
        <v>1</v>
      </c>
      <c r="U83" s="1">
        <v>0</v>
      </c>
    </row>
    <row r="84" spans="1:21" x14ac:dyDescent="0.25">
      <c r="A84" s="1">
        <v>140670007</v>
      </c>
      <c r="B84" s="1">
        <v>34</v>
      </c>
      <c r="C84" s="2" t="str">
        <f>_xlfn.XLOOKUP(Table3[[#This Row],[id]],[1]!bom[Id],[1]!bom[شرح محصول])</f>
        <v>کابل دوشاخه مشکی  110 سانتی</v>
      </c>
      <c r="D84" s="1">
        <v>120030008</v>
      </c>
      <c r="E84" s="1">
        <v>110</v>
      </c>
      <c r="F84" s="1">
        <v>4</v>
      </c>
      <c r="G84" s="1">
        <v>2.5</v>
      </c>
      <c r="H84" s="1" t="s">
        <v>73</v>
      </c>
      <c r="I84" s="1" t="s">
        <v>73</v>
      </c>
      <c r="J84" s="1" t="s">
        <v>73</v>
      </c>
      <c r="N84" s="1">
        <v>120100023</v>
      </c>
      <c r="O84" s="1">
        <v>120100023</v>
      </c>
      <c r="P84" s="1">
        <v>120100023</v>
      </c>
      <c r="R84" s="1">
        <v>5</v>
      </c>
      <c r="U84" s="1">
        <v>0</v>
      </c>
    </row>
    <row r="85" spans="1:21" x14ac:dyDescent="0.25">
      <c r="A85" s="1">
        <v>140680007</v>
      </c>
      <c r="B85" s="1">
        <v>18</v>
      </c>
      <c r="C85" s="2" t="str">
        <f>_xlfn.XLOOKUP(Table3[[#This Row],[id]],[1]!bom[Id],[1]!bom[شرح محصول])</f>
        <v>کابل دو شاخه 2/2 متری ارت دار0.75*3</v>
      </c>
      <c r="D85" s="1">
        <v>120030009</v>
      </c>
      <c r="E85" s="1">
        <v>225</v>
      </c>
      <c r="F85" s="1">
        <v>15</v>
      </c>
      <c r="G85" s="1">
        <v>2.5</v>
      </c>
      <c r="H85" s="1" t="s">
        <v>73</v>
      </c>
      <c r="I85" s="1" t="s">
        <v>73</v>
      </c>
      <c r="J85" s="1" t="s">
        <v>73</v>
      </c>
      <c r="K85" s="1">
        <v>10</v>
      </c>
      <c r="L85" s="1">
        <v>10</v>
      </c>
      <c r="M85" s="1">
        <v>15</v>
      </c>
      <c r="N85" s="3">
        <v>120100018</v>
      </c>
      <c r="O85" s="3">
        <v>120100018</v>
      </c>
      <c r="P85" s="3"/>
      <c r="Q85" s="1">
        <v>120100018</v>
      </c>
      <c r="R85" s="1">
        <v>4</v>
      </c>
      <c r="T85" s="1">
        <v>20</v>
      </c>
      <c r="U85" s="1">
        <v>12</v>
      </c>
    </row>
    <row r="86" spans="1:21" x14ac:dyDescent="0.25">
      <c r="A86" s="1">
        <v>140760004</v>
      </c>
      <c r="B86" s="1">
        <v>7</v>
      </c>
      <c r="C86" s="2" t="str">
        <f>_xlfn.XLOOKUP(Table3[[#This Row],[id]],[1]!bom[Id],[1]!bom[شرح محصول])</f>
        <v xml:space="preserve"> ELECTRICAL WIRING ADDITIONAL POWER SUPPLY1,5METER</v>
      </c>
      <c r="D86" s="1">
        <v>120030121</v>
      </c>
      <c r="E86" s="1">
        <v>152</v>
      </c>
      <c r="F86" s="1">
        <v>8</v>
      </c>
      <c r="G86" s="1">
        <v>2.5</v>
      </c>
      <c r="H86" s="1" t="s">
        <v>78</v>
      </c>
      <c r="I86" s="1" t="s">
        <v>78</v>
      </c>
      <c r="J86" s="1" t="s">
        <v>85</v>
      </c>
      <c r="K86" s="1">
        <v>6</v>
      </c>
      <c r="L86" s="1">
        <v>6</v>
      </c>
      <c r="M86" s="1">
        <v>8</v>
      </c>
      <c r="N86" s="1" t="s">
        <v>134</v>
      </c>
      <c r="O86" s="1" t="s">
        <v>134</v>
      </c>
      <c r="P86" s="1">
        <v>120110164</v>
      </c>
      <c r="R86" s="1">
        <v>5</v>
      </c>
      <c r="U86" s="1">
        <v>0</v>
      </c>
    </row>
    <row r="87" spans="1:21" x14ac:dyDescent="0.25">
      <c r="A87" s="1">
        <v>140830001</v>
      </c>
      <c r="B87" s="1">
        <v>5</v>
      </c>
      <c r="C87" s="2" t="str">
        <f>_xlfn.XLOOKUP(Table3[[#This Row],[id]],[1]!bom[Id],[1]!bom[شرح محصول])</f>
        <v>كابل دوشاخه</v>
      </c>
      <c r="D87" s="1">
        <v>120030006</v>
      </c>
      <c r="E87" s="1">
        <v>257</v>
      </c>
      <c r="F87" s="1">
        <v>70</v>
      </c>
      <c r="G87" s="1">
        <v>2.5</v>
      </c>
      <c r="H87" s="1" t="s">
        <v>79</v>
      </c>
      <c r="I87" s="1" t="s">
        <v>79</v>
      </c>
      <c r="J87" s="1" t="s">
        <v>79</v>
      </c>
      <c r="N87" s="1" t="s">
        <v>211</v>
      </c>
      <c r="O87" s="1" t="s">
        <v>211</v>
      </c>
      <c r="P87" s="1">
        <v>120100023</v>
      </c>
      <c r="R87" s="1">
        <v>4</v>
      </c>
      <c r="U87" s="1">
        <v>0</v>
      </c>
    </row>
    <row r="88" spans="1:21" x14ac:dyDescent="0.25">
      <c r="A88" s="1">
        <v>140850002</v>
      </c>
      <c r="B88" s="1">
        <v>24</v>
      </c>
      <c r="C88" s="2" t="str">
        <f>_xlfn.XLOOKUP(Table3[[#This Row],[id]],[1]!bom[Id],[1]!bom[شرح محصول])</f>
        <v>Grill Power Supphy Cord کد مقصد : 30036574</v>
      </c>
      <c r="D88" s="1">
        <v>120030011</v>
      </c>
      <c r="E88" s="1">
        <v>153</v>
      </c>
      <c r="F88" s="1">
        <v>6</v>
      </c>
      <c r="G88" s="1">
        <v>2.5</v>
      </c>
      <c r="H88" s="1" t="s">
        <v>79</v>
      </c>
      <c r="I88" s="1" t="s">
        <v>79</v>
      </c>
      <c r="J88" s="1" t="s">
        <v>79</v>
      </c>
      <c r="K88" s="1">
        <v>4</v>
      </c>
      <c r="L88" s="1">
        <v>4</v>
      </c>
      <c r="M88" s="1">
        <v>6</v>
      </c>
      <c r="N88" s="1">
        <v>120100047</v>
      </c>
      <c r="O88" s="1">
        <v>120100047</v>
      </c>
      <c r="P88" s="1">
        <v>120100047</v>
      </c>
      <c r="R88" s="1">
        <v>5</v>
      </c>
      <c r="U88" s="1">
        <v>0</v>
      </c>
    </row>
    <row r="89" spans="1:21" x14ac:dyDescent="0.25">
      <c r="A89" s="1">
        <v>140860001</v>
      </c>
      <c r="B89" s="1">
        <v>9</v>
      </c>
      <c r="C89" s="2" t="str">
        <f>_xlfn.XLOOKUP(Table3[[#This Row],[id]],[1]!bom[Id],[1]!bom[شرح محصول])</f>
        <v>کابل دوشاخه بطول 1/5 متری</v>
      </c>
      <c r="D89" s="1">
        <v>120030105</v>
      </c>
      <c r="E89" s="1">
        <v>150</v>
      </c>
      <c r="F89" s="1">
        <v>5</v>
      </c>
      <c r="G89" s="1">
        <v>2.5</v>
      </c>
      <c r="H89" s="1" t="s">
        <v>73</v>
      </c>
      <c r="I89" s="1" t="s">
        <v>73</v>
      </c>
      <c r="J89" s="1" t="s">
        <v>73</v>
      </c>
      <c r="N89" s="1">
        <v>120100014</v>
      </c>
      <c r="O89" s="1" t="s">
        <v>138</v>
      </c>
      <c r="P89" s="1">
        <v>120100023</v>
      </c>
      <c r="R89" s="1">
        <v>5</v>
      </c>
      <c r="U89" s="1">
        <v>15</v>
      </c>
    </row>
    <row r="90" spans="1:21" x14ac:dyDescent="0.25">
      <c r="A90" s="1">
        <v>140890002</v>
      </c>
      <c r="B90" s="1">
        <v>28</v>
      </c>
      <c r="C90" s="2" t="str">
        <f>_xlfn.XLOOKUP(Table3[[#This Row],[id]],[1]!bom[Id],[1]!bom[شرح محصول])</f>
        <v>دوشاخه لباسشویی با سر سیم</v>
      </c>
      <c r="D90" s="1">
        <v>120030006</v>
      </c>
      <c r="E90" s="1">
        <v>200</v>
      </c>
      <c r="F90" s="1">
        <v>21.4</v>
      </c>
      <c r="G90" s="1">
        <v>2.5</v>
      </c>
      <c r="H90" s="1" t="s">
        <v>86</v>
      </c>
      <c r="I90" s="1" t="s">
        <v>86</v>
      </c>
      <c r="J90" s="1" t="s">
        <v>73</v>
      </c>
      <c r="P90" s="1">
        <v>120100023</v>
      </c>
      <c r="R90" s="1">
        <v>4</v>
      </c>
      <c r="U90" s="1">
        <v>14</v>
      </c>
    </row>
    <row r="91" spans="1:21" x14ac:dyDescent="0.25">
      <c r="A91" s="1">
        <v>140890003</v>
      </c>
      <c r="B91" s="1">
        <v>28</v>
      </c>
      <c r="C91" s="2" t="str">
        <f>_xlfn.XLOOKUP(Table3[[#This Row],[id]],[1]!bom[Id],[1]!bom[شرح محصول])</f>
        <v>دوشاخه لباسشویی</v>
      </c>
      <c r="D91" s="1">
        <v>120030006</v>
      </c>
      <c r="E91" s="1">
        <v>200</v>
      </c>
      <c r="F91" s="1">
        <v>21.4</v>
      </c>
      <c r="G91" s="1">
        <v>2.5</v>
      </c>
      <c r="H91" s="1" t="s">
        <v>87</v>
      </c>
      <c r="I91" s="1" t="s">
        <v>87</v>
      </c>
      <c r="J91" s="1" t="s">
        <v>87</v>
      </c>
      <c r="R91" s="1">
        <v>4</v>
      </c>
      <c r="U91" s="1">
        <v>14</v>
      </c>
    </row>
    <row r="92" spans="1:21" x14ac:dyDescent="0.25">
      <c r="A92" s="1">
        <v>140890004</v>
      </c>
      <c r="B92" s="1">
        <v>28</v>
      </c>
      <c r="C92" s="2" t="str">
        <f>_xlfn.XLOOKUP(Table3[[#This Row],[id]],[1]!bom[Id],[1]!bom[شرح محصول])</f>
        <v>کابل دوشاخه لباسشویی دو قلو طوسی روشن</v>
      </c>
      <c r="D92" s="1">
        <v>120030094</v>
      </c>
      <c r="E92" s="1">
        <v>200</v>
      </c>
      <c r="F92" s="1">
        <v>21.4</v>
      </c>
      <c r="G92" s="1">
        <v>2.5</v>
      </c>
      <c r="H92" s="1" t="s">
        <v>87</v>
      </c>
      <c r="I92" s="1" t="s">
        <v>87</v>
      </c>
      <c r="J92" s="1" t="s">
        <v>87</v>
      </c>
      <c r="R92" s="1">
        <v>4</v>
      </c>
      <c r="U92" s="1">
        <v>14</v>
      </c>
    </row>
    <row r="93" spans="1:21" x14ac:dyDescent="0.25">
      <c r="A93" s="1">
        <v>140890005</v>
      </c>
      <c r="B93" s="1">
        <v>28</v>
      </c>
      <c r="C93" s="2" t="str">
        <f>_xlfn.XLOOKUP(Table3[[#This Row],[id]],[1]!bom[Id],[1]!bom[شرح محصول])</f>
        <v>کابل دوشاخه تک شو 3.75</v>
      </c>
      <c r="D93" s="1">
        <v>120030094</v>
      </c>
      <c r="E93" s="1">
        <v>200</v>
      </c>
      <c r="F93" s="1">
        <v>21.4</v>
      </c>
      <c r="G93" s="1">
        <v>2.5</v>
      </c>
      <c r="H93" s="1" t="s">
        <v>86</v>
      </c>
      <c r="I93" s="1" t="s">
        <v>86</v>
      </c>
      <c r="J93" s="1" t="s">
        <v>73</v>
      </c>
      <c r="P93" s="1">
        <v>120100023</v>
      </c>
      <c r="R93" s="1">
        <v>4</v>
      </c>
      <c r="U93" s="1">
        <v>14</v>
      </c>
    </row>
    <row r="94" spans="1:21" x14ac:dyDescent="0.25">
      <c r="A94" s="1">
        <v>141000006</v>
      </c>
      <c r="B94" s="1">
        <v>30</v>
      </c>
      <c r="C94" s="2" t="str">
        <f>_xlfn.XLOOKUP(Table3[[#This Row],[id]],[1]!bom[Id],[1]!bom[شرح محصول])</f>
        <v>کابل دوشاخه 3.75</v>
      </c>
      <c r="D94" s="1">
        <v>120030006</v>
      </c>
      <c r="E94" s="1">
        <v>200</v>
      </c>
      <c r="F94" s="1">
        <v>10</v>
      </c>
      <c r="G94" s="1">
        <v>2.5</v>
      </c>
      <c r="H94" s="1" t="s">
        <v>72</v>
      </c>
      <c r="I94" s="1" t="s">
        <v>72</v>
      </c>
      <c r="J94" s="1" t="s">
        <v>73</v>
      </c>
      <c r="K94" s="1">
        <v>10</v>
      </c>
      <c r="L94" s="1">
        <v>10</v>
      </c>
      <c r="M94" s="1">
        <v>10</v>
      </c>
      <c r="N94" s="1">
        <v>120110001</v>
      </c>
      <c r="O94" s="1">
        <v>120110001</v>
      </c>
      <c r="P94" s="1">
        <v>120100023</v>
      </c>
      <c r="R94" s="1">
        <v>4</v>
      </c>
      <c r="U94" s="1">
        <v>2</v>
      </c>
    </row>
    <row r="95" spans="1:21" x14ac:dyDescent="0.25">
      <c r="A95" s="1">
        <v>141030001</v>
      </c>
      <c r="B95" s="1">
        <v>26</v>
      </c>
      <c r="C95" s="2" t="str">
        <f>_xlfn.XLOOKUP(Table3[[#This Row],[id]],[1]!bom[Id],[1]!bom[شرح محصول])</f>
        <v>کابل دوشاخه سه در هفتادوپنچ مشکی</v>
      </c>
      <c r="D95" s="1">
        <v>120030008</v>
      </c>
      <c r="E95" s="1">
        <v>195</v>
      </c>
      <c r="F95" s="1">
        <v>7</v>
      </c>
      <c r="G95" s="1">
        <v>2.5</v>
      </c>
      <c r="H95" s="1" t="s">
        <v>73</v>
      </c>
      <c r="I95" s="1" t="s">
        <v>73</v>
      </c>
      <c r="J95" s="1" t="s">
        <v>73</v>
      </c>
      <c r="R95" s="1">
        <v>5</v>
      </c>
      <c r="U95" s="1">
        <v>0</v>
      </c>
    </row>
    <row r="96" spans="1:21" x14ac:dyDescent="0.25">
      <c r="A96" s="1">
        <v>141030003</v>
      </c>
      <c r="B96" s="1">
        <v>26</v>
      </c>
      <c r="C96" s="2" t="str">
        <f>_xlfn.XLOOKUP(Table3[[#This Row],[id]],[1]!bom[Id],[1]!bom[شرح محصول])</f>
        <v>کابل دوشاخه سه در هفتادوپنج مشکی</v>
      </c>
      <c r="D96" s="1">
        <v>120030008</v>
      </c>
      <c r="E96" s="1">
        <v>160</v>
      </c>
      <c r="F96" s="1">
        <v>8.6999999999999993</v>
      </c>
      <c r="G96" s="1">
        <v>2.5</v>
      </c>
      <c r="H96" s="1" t="s">
        <v>73</v>
      </c>
      <c r="I96" s="1" t="s">
        <v>73</v>
      </c>
      <c r="J96" s="1" t="s">
        <v>73</v>
      </c>
      <c r="R96" s="1">
        <v>5</v>
      </c>
      <c r="U96" s="1">
        <v>0</v>
      </c>
    </row>
    <row r="97" spans="1:21" x14ac:dyDescent="0.25">
      <c r="A97" s="1">
        <v>141030028</v>
      </c>
      <c r="B97" s="1">
        <v>26</v>
      </c>
      <c r="C97" s="2" t="str">
        <f>_xlfn.XLOOKUP(Table3[[#This Row],[id]],[1]!bom[Id],[1]!bom[شرح محصول])</f>
        <v>کابل دوشاخه Model-004195</v>
      </c>
      <c r="D97" s="1">
        <v>120030008</v>
      </c>
      <c r="E97" s="1">
        <v>195</v>
      </c>
      <c r="F97" s="1">
        <v>8.6999999999999993</v>
      </c>
      <c r="G97" s="1">
        <v>2.5</v>
      </c>
      <c r="H97" s="1" t="s">
        <v>73</v>
      </c>
      <c r="I97" s="1" t="s">
        <v>73</v>
      </c>
      <c r="J97" s="1" t="s">
        <v>73</v>
      </c>
      <c r="R97" s="1">
        <v>5</v>
      </c>
      <c r="U97" s="1">
        <v>0</v>
      </c>
    </row>
    <row r="98" spans="1:21" x14ac:dyDescent="0.25">
      <c r="A98" s="1">
        <v>141030029</v>
      </c>
      <c r="B98" s="1">
        <v>21</v>
      </c>
      <c r="C98" s="2" t="str">
        <f>_xlfn.XLOOKUP(Table3[[#This Row],[id]],[1]!bom[Id],[1]!bom[شرح محصول])</f>
        <v>power cord for cooker 3*1</v>
      </c>
      <c r="D98" s="1">
        <v>0</v>
      </c>
      <c r="E98" s="1">
        <v>195</v>
      </c>
      <c r="F98" s="1">
        <v>7</v>
      </c>
      <c r="G98" s="1">
        <v>2.5</v>
      </c>
      <c r="H98" s="1" t="s">
        <v>73</v>
      </c>
      <c r="I98" s="1" t="s">
        <v>73</v>
      </c>
      <c r="J98" s="1" t="s">
        <v>73</v>
      </c>
      <c r="R98" s="1">
        <v>5</v>
      </c>
      <c r="U98" s="1">
        <v>0</v>
      </c>
    </row>
    <row r="99" spans="1:21" x14ac:dyDescent="0.25">
      <c r="A99" s="1">
        <v>141060001</v>
      </c>
      <c r="B99" s="1">
        <v>35</v>
      </c>
      <c r="C99" s="2" t="str">
        <f>_xlfn.XLOOKUP(Table3[[#This Row],[id]],[1]!bom[Id],[1]!bom[شرح محصول])</f>
        <v>کابل دوشاخه دو در هفتادوپنج لوازم خانگی کوچک</v>
      </c>
      <c r="D99" s="1">
        <v>120030039</v>
      </c>
      <c r="E99" s="1">
        <v>155</v>
      </c>
      <c r="F99" s="1">
        <v>24</v>
      </c>
      <c r="G99" s="1">
        <v>2.5</v>
      </c>
      <c r="H99" s="1" t="s">
        <v>85</v>
      </c>
      <c r="I99" s="1" t="s">
        <v>75</v>
      </c>
      <c r="J99" s="1" t="s">
        <v>74</v>
      </c>
      <c r="N99" s="1">
        <v>120110001</v>
      </c>
      <c r="O99" s="1">
        <v>120110001</v>
      </c>
      <c r="R99" s="1">
        <v>3</v>
      </c>
      <c r="U99" s="1">
        <v>2.5</v>
      </c>
    </row>
    <row r="100" spans="1:21" x14ac:dyDescent="0.25">
      <c r="A100" s="1">
        <v>141060005</v>
      </c>
      <c r="B100" s="1">
        <v>35</v>
      </c>
      <c r="C100" s="2" t="str">
        <f>_xlfn.XLOOKUP(Table3[[#This Row],[id]],[1]!bom[Id],[1]!bom[شرح محصول])</f>
        <v>کابل مشکی هوا پز</v>
      </c>
      <c r="D100" s="1">
        <v>120030008</v>
      </c>
      <c r="E100" s="1">
        <v>112</v>
      </c>
      <c r="F100" s="1">
        <v>5</v>
      </c>
      <c r="G100" s="1">
        <v>2.5</v>
      </c>
      <c r="H100" s="1" t="s">
        <v>75</v>
      </c>
      <c r="I100" s="1" t="s">
        <v>75</v>
      </c>
      <c r="J100" s="1" t="s">
        <v>75</v>
      </c>
      <c r="R100" s="1">
        <v>5</v>
      </c>
      <c r="U100" s="1">
        <v>0</v>
      </c>
    </row>
    <row r="101" spans="1:21" x14ac:dyDescent="0.25">
      <c r="A101" s="1">
        <v>141130001</v>
      </c>
      <c r="B101" s="1">
        <v>23</v>
      </c>
      <c r="C101" s="2" t="str">
        <f>_xlfn.XLOOKUP(Table3[[#This Row],[id]],[1]!bom[Id],[1]!bom[شرح محصول])</f>
        <v>کابل دو شاخه لباسشویی 0.75*3</v>
      </c>
      <c r="D101" s="1">
        <v>120030006</v>
      </c>
      <c r="E101" s="1">
        <v>175</v>
      </c>
      <c r="F101" s="1">
        <v>10</v>
      </c>
      <c r="G101" s="1">
        <v>2.5</v>
      </c>
      <c r="H101" s="1" t="s">
        <v>74</v>
      </c>
      <c r="I101" s="1" t="s">
        <v>74</v>
      </c>
      <c r="J101" s="1" t="s">
        <v>74</v>
      </c>
      <c r="R101" s="1">
        <v>4</v>
      </c>
      <c r="U101" s="1">
        <v>20</v>
      </c>
    </row>
    <row r="102" spans="1:21" x14ac:dyDescent="0.25">
      <c r="A102" s="1">
        <v>141130002</v>
      </c>
      <c r="B102" s="1">
        <v>23</v>
      </c>
      <c r="C102" s="2" t="str">
        <f>_xlfn.XLOOKUP(Table3[[#This Row],[id]],[1]!bom[Id],[1]!bom[شرح محصول])</f>
        <v>کابل دو شاخه کولر 0.75*3</v>
      </c>
      <c r="D102" s="1">
        <v>120030006</v>
      </c>
      <c r="E102" s="1">
        <v>220</v>
      </c>
      <c r="F102" s="1">
        <v>10</v>
      </c>
      <c r="G102" s="1">
        <v>2.5</v>
      </c>
      <c r="H102" s="1" t="s">
        <v>81</v>
      </c>
      <c r="I102" s="1" t="s">
        <v>81</v>
      </c>
      <c r="J102" s="1" t="s">
        <v>81</v>
      </c>
      <c r="R102" s="1">
        <v>4</v>
      </c>
      <c r="U102" s="1">
        <v>0</v>
      </c>
    </row>
    <row r="103" spans="1:21" x14ac:dyDescent="0.25">
      <c r="A103" s="1">
        <v>141170010</v>
      </c>
      <c r="B103" s="1">
        <v>11</v>
      </c>
      <c r="C103" s="2" t="str">
        <f>_xlfn.XLOOKUP(Table3[[#This Row],[id]],[1]!bom[Id],[1]!bom[شرح محصول])</f>
        <v>کابل دوشاخه (showcase)PTS01-01-00-00-005-Cb</v>
      </c>
      <c r="D103" s="1">
        <v>0</v>
      </c>
      <c r="E103" s="1">
        <v>208</v>
      </c>
      <c r="F103" s="1">
        <v>18</v>
      </c>
      <c r="G103" s="1">
        <v>2.5</v>
      </c>
      <c r="H103" s="1" t="s">
        <v>78</v>
      </c>
      <c r="I103" s="1" t="s">
        <v>78</v>
      </c>
      <c r="J103" s="1" t="s">
        <v>73</v>
      </c>
      <c r="R103" s="1">
        <v>5</v>
      </c>
      <c r="U103" s="1">
        <v>21</v>
      </c>
    </row>
    <row r="104" spans="1:21" x14ac:dyDescent="0.25">
      <c r="A104" s="1">
        <v>141170016</v>
      </c>
      <c r="B104" s="1">
        <v>11</v>
      </c>
      <c r="C104" s="2" t="str">
        <f>_xlfn.XLOOKUP(Table3[[#This Row],[id]],[1]!bom[Id],[1]!bom[شرح محصول])</f>
        <v>کابل دوشاخه (NoFfrost) PTN01-20-00-000-000-Cb</v>
      </c>
      <c r="D104" s="1">
        <v>120030094</v>
      </c>
      <c r="E104" s="1">
        <v>220</v>
      </c>
      <c r="F104" s="1">
        <v>130</v>
      </c>
      <c r="G104" s="1">
        <v>2.5</v>
      </c>
      <c r="H104" s="1" t="s">
        <v>78</v>
      </c>
      <c r="I104" s="1" t="s">
        <v>78</v>
      </c>
      <c r="J104" s="1" t="s">
        <v>73</v>
      </c>
      <c r="R104" s="1">
        <v>5</v>
      </c>
      <c r="U104" s="1">
        <v>2</v>
      </c>
    </row>
    <row r="105" spans="1:21" x14ac:dyDescent="0.25">
      <c r="A105" s="1">
        <v>141200050</v>
      </c>
      <c r="B105" s="1">
        <v>3</v>
      </c>
      <c r="C105" s="2" t="str">
        <f>_xlfn.XLOOKUP(Table3[[#This Row],[id]],[1]!bom[Id],[1]!bom[شرح محصول])</f>
        <v>کابل دوشاخه الکتروپیک</v>
      </c>
      <c r="D105" s="1">
        <v>120030039</v>
      </c>
      <c r="E105" s="1">
        <v>100</v>
      </c>
      <c r="F105" s="1">
        <v>1.4</v>
      </c>
      <c r="G105" s="1">
        <v>2</v>
      </c>
      <c r="H105" s="1" t="s">
        <v>77</v>
      </c>
      <c r="I105" s="1" t="s">
        <v>77</v>
      </c>
      <c r="J105" s="1" t="s">
        <v>74</v>
      </c>
      <c r="N105" s="1">
        <v>120100223</v>
      </c>
      <c r="O105" s="1">
        <v>120100223</v>
      </c>
      <c r="R105" s="1">
        <v>3</v>
      </c>
      <c r="U105" s="1">
        <v>0</v>
      </c>
    </row>
    <row r="106" spans="1:21" x14ac:dyDescent="0.25">
      <c r="A106" s="1">
        <v>141270007</v>
      </c>
      <c r="B106" s="1">
        <v>6</v>
      </c>
      <c r="C106" s="2" t="str">
        <f>_xlfn.XLOOKUP(Table3[[#This Row],[id]],[1]!bom[Id],[1]!bom[شرح محصول])</f>
        <v>سیم و دوشاخه آبمیوه گیری</v>
      </c>
      <c r="D106" s="1">
        <v>120030039</v>
      </c>
      <c r="E106" s="1">
        <v>116</v>
      </c>
      <c r="F106" s="1">
        <v>20.8</v>
      </c>
      <c r="G106" s="1">
        <v>2</v>
      </c>
      <c r="H106" s="1" t="s">
        <v>88</v>
      </c>
      <c r="I106" s="1" t="s">
        <v>88</v>
      </c>
      <c r="J106" s="1" t="s">
        <v>74</v>
      </c>
      <c r="O106" s="1" t="s">
        <v>211</v>
      </c>
      <c r="R106" s="1">
        <v>3</v>
      </c>
      <c r="U106" s="1">
        <v>4.5</v>
      </c>
    </row>
    <row r="107" spans="1:21" x14ac:dyDescent="0.25">
      <c r="A107" s="1">
        <v>141300004</v>
      </c>
      <c r="B107" s="1">
        <v>38</v>
      </c>
      <c r="C107" s="2" t="str">
        <f>_xlfn.XLOOKUP(Table3[[#This Row],[id]],[1]!bom[Id],[1]!bom[شرح محصول])</f>
        <v>کابل دوشاخه مشکی خرد کن و مخلوط کن</v>
      </c>
      <c r="D107" s="1">
        <v>120040072</v>
      </c>
      <c r="E107" s="1">
        <v>130</v>
      </c>
      <c r="F107" s="1">
        <v>4</v>
      </c>
      <c r="G107" s="1">
        <v>2.5</v>
      </c>
      <c r="H107" s="1" t="s">
        <v>75</v>
      </c>
      <c r="I107" s="1" t="s">
        <v>75</v>
      </c>
      <c r="J107" s="1">
        <v>0</v>
      </c>
      <c r="N107" s="1" t="s">
        <v>185</v>
      </c>
      <c r="O107" s="1" t="s">
        <v>185</v>
      </c>
      <c r="P107" s="1" t="s">
        <v>185</v>
      </c>
      <c r="R107" s="1">
        <v>3</v>
      </c>
      <c r="U107" s="1">
        <v>0</v>
      </c>
    </row>
    <row r="108" spans="1:21" x14ac:dyDescent="0.25">
      <c r="A108" s="1">
        <v>141300014</v>
      </c>
      <c r="B108" s="1">
        <v>38</v>
      </c>
      <c r="C108" s="2" t="str">
        <f>_xlfn.XLOOKUP(Table3[[#This Row],[id]],[1]!bom[Id],[1]!bom[شرح محصول])</f>
        <v>کابل دو شاخه آبمیوه گیری</v>
      </c>
      <c r="D108" s="1">
        <v>120040072</v>
      </c>
      <c r="E108" s="1">
        <v>150</v>
      </c>
      <c r="F108" s="1">
        <v>15</v>
      </c>
      <c r="G108" s="1">
        <v>2.5</v>
      </c>
      <c r="H108" s="1" t="s">
        <v>75</v>
      </c>
      <c r="I108" s="1" t="s">
        <v>75</v>
      </c>
      <c r="J108" s="1" t="s">
        <v>74</v>
      </c>
      <c r="R108" s="1">
        <v>3</v>
      </c>
      <c r="U108" s="1">
        <v>15</v>
      </c>
    </row>
    <row r="109" spans="1:21" x14ac:dyDescent="0.25">
      <c r="A109" s="1">
        <v>141300015</v>
      </c>
      <c r="B109" s="1">
        <v>38</v>
      </c>
      <c r="C109" s="2" t="str">
        <f>_xlfn.XLOOKUP(Table3[[#This Row],[id]],[1]!bom[Id],[1]!bom[شرح محصول])</f>
        <v>کابل برق هیتر1×2</v>
      </c>
      <c r="D109" s="1">
        <v>120040049</v>
      </c>
      <c r="E109" s="1">
        <v>150</v>
      </c>
      <c r="F109" s="1">
        <v>5</v>
      </c>
      <c r="G109" s="1">
        <v>2.5</v>
      </c>
      <c r="H109" s="1" t="s">
        <v>81</v>
      </c>
      <c r="I109" s="1" t="s">
        <v>73</v>
      </c>
      <c r="J109" s="1" t="s">
        <v>74</v>
      </c>
      <c r="K109" s="1">
        <v>5</v>
      </c>
      <c r="L109" s="1">
        <v>5</v>
      </c>
      <c r="M109" s="1">
        <v>0</v>
      </c>
      <c r="N109" s="1">
        <v>120100014</v>
      </c>
      <c r="R109" s="1">
        <v>2</v>
      </c>
      <c r="U109" s="1">
        <v>0</v>
      </c>
    </row>
    <row r="110" spans="1:21" x14ac:dyDescent="0.25">
      <c r="A110" s="1">
        <v>141320031</v>
      </c>
      <c r="B110" s="1">
        <v>29</v>
      </c>
      <c r="C110" s="2" t="str">
        <f>_xlfn.XLOOKUP(Table3[[#This Row],[id]],[1]!bom[Id],[1]!bom[شرح محصول])</f>
        <v>کابل دو شاخه 0.75*2 مدل 50-55 اینچ</v>
      </c>
      <c r="D110" s="1">
        <v>120030039</v>
      </c>
      <c r="E110" s="1">
        <v>192</v>
      </c>
      <c r="F110" s="1">
        <v>2.5</v>
      </c>
      <c r="G110" s="1">
        <v>2</v>
      </c>
      <c r="H110" s="1" t="s">
        <v>72</v>
      </c>
      <c r="I110" s="1" t="s">
        <v>72</v>
      </c>
      <c r="J110" s="1" t="s">
        <v>74</v>
      </c>
      <c r="N110" s="1">
        <v>120110001</v>
      </c>
      <c r="O110" s="1">
        <v>120110001</v>
      </c>
      <c r="R110" s="1">
        <v>3</v>
      </c>
      <c r="U110" s="1">
        <v>11</v>
      </c>
    </row>
    <row r="111" spans="1:21" x14ac:dyDescent="0.25">
      <c r="A111" s="1">
        <v>141320032</v>
      </c>
      <c r="B111" s="1">
        <v>29</v>
      </c>
      <c r="C111" s="2" t="str">
        <f>_xlfn.XLOOKUP(Table3[[#This Row],[id]],[1]!bom[Id],[1]!bom[شرح محصول])</f>
        <v>کابل دو شاخه 0.75*2 مدل 75 اینچ</v>
      </c>
      <c r="D111" s="1">
        <v>120030039</v>
      </c>
      <c r="E111" s="1">
        <v>221</v>
      </c>
      <c r="F111" s="1">
        <v>2.5</v>
      </c>
      <c r="G111" s="1">
        <v>2</v>
      </c>
      <c r="H111" s="1" t="s">
        <v>72</v>
      </c>
      <c r="I111" s="1" t="s">
        <v>72</v>
      </c>
      <c r="J111" s="1" t="s">
        <v>74</v>
      </c>
      <c r="N111" s="1">
        <v>120110001</v>
      </c>
      <c r="O111" s="1">
        <v>120110001</v>
      </c>
      <c r="R111" s="1">
        <v>3</v>
      </c>
      <c r="U111" s="1">
        <v>20</v>
      </c>
    </row>
    <row r="112" spans="1:21" x14ac:dyDescent="0.25">
      <c r="A112" s="1">
        <v>141320033</v>
      </c>
      <c r="B112" s="1">
        <v>29</v>
      </c>
      <c r="C112" s="2" t="str">
        <f>_xlfn.XLOOKUP(Table3[[#This Row],[id]],[1]!bom[Id],[1]!bom[شرح محصول])</f>
        <v>کابل دو شاخه 0.75*2 مدل 65 اینچ</v>
      </c>
      <c r="D112" s="1">
        <v>120030039</v>
      </c>
      <c r="E112" s="1">
        <v>212</v>
      </c>
      <c r="F112" s="1">
        <v>2.5</v>
      </c>
      <c r="G112" s="1">
        <v>2</v>
      </c>
      <c r="H112" s="1" t="s">
        <v>72</v>
      </c>
      <c r="I112" s="1" t="s">
        <v>72</v>
      </c>
      <c r="J112" s="1" t="s">
        <v>74</v>
      </c>
      <c r="N112" s="1">
        <v>120110001</v>
      </c>
      <c r="O112" s="1">
        <v>120110001</v>
      </c>
      <c r="R112" s="1">
        <v>3</v>
      </c>
      <c r="U112" s="1">
        <v>11</v>
      </c>
    </row>
    <row r="113" spans="1:21" x14ac:dyDescent="0.25">
      <c r="A113" s="1">
        <v>141320055</v>
      </c>
      <c r="B113" s="1">
        <v>29</v>
      </c>
      <c r="C113" s="2" t="str">
        <f>_xlfn.XLOOKUP(Table3[[#This Row],[id]],[1]!bom[Id],[1]!bom[شرح محصول])</f>
        <v>کابل برق جدا شونده سری 180 درجه تلویزیون</v>
      </c>
      <c r="D113" s="1">
        <v>120030039</v>
      </c>
      <c r="E113" s="1">
        <v>180</v>
      </c>
      <c r="F113" s="1">
        <v>2.5</v>
      </c>
      <c r="G113" s="1">
        <v>1.4</v>
      </c>
      <c r="H113" s="1" t="s">
        <v>77</v>
      </c>
      <c r="I113" s="1" t="s">
        <v>77</v>
      </c>
      <c r="J113" s="1" t="s">
        <v>77</v>
      </c>
      <c r="N113" s="1">
        <v>120100223</v>
      </c>
      <c r="O113" s="1">
        <v>120100223</v>
      </c>
      <c r="R113" s="1">
        <v>3</v>
      </c>
      <c r="U113" s="1">
        <v>0</v>
      </c>
    </row>
    <row r="114" spans="1:21" x14ac:dyDescent="0.25">
      <c r="A114" s="1">
        <v>141650001</v>
      </c>
      <c r="B114" s="1">
        <v>10</v>
      </c>
      <c r="C114" s="2" t="str">
        <f>_xlfn.XLOOKUP(Table3[[#This Row],[id]],[1]!bom[Id],[1]!bom[شرح محصول])</f>
        <v>کابل دوشاخه ظرفشویی 1/8 ارت دار 1*3</v>
      </c>
      <c r="D114" s="1">
        <v>120030107</v>
      </c>
      <c r="E114" s="1">
        <v>183</v>
      </c>
      <c r="F114" s="1">
        <v>12</v>
      </c>
      <c r="G114" s="1">
        <v>2.5</v>
      </c>
      <c r="H114" s="1" t="s">
        <v>79</v>
      </c>
      <c r="I114" s="1" t="s">
        <v>79</v>
      </c>
      <c r="J114" s="1" t="s">
        <v>79</v>
      </c>
      <c r="K114" s="1">
        <v>9</v>
      </c>
      <c r="L114" s="1">
        <v>9</v>
      </c>
      <c r="M114" s="1">
        <v>12</v>
      </c>
      <c r="N114" s="1">
        <v>120100047</v>
      </c>
      <c r="O114" s="1">
        <v>120100047</v>
      </c>
      <c r="P114" s="1">
        <v>120100083</v>
      </c>
      <c r="R114" s="1">
        <v>5</v>
      </c>
      <c r="U114" s="1">
        <v>0</v>
      </c>
    </row>
    <row r="115" spans="1:21" x14ac:dyDescent="0.25">
      <c r="A115" s="1">
        <v>141670001</v>
      </c>
      <c r="B115" s="1">
        <v>17</v>
      </c>
      <c r="C115" s="2" t="str">
        <f>_xlfn.XLOOKUP(Table3[[#This Row],[id]],[1]!bom[Id],[1]!bom[شرح محصول])</f>
        <v>کابل دوشاخه 1*3 لباسشویی طوسی</v>
      </c>
      <c r="D115" s="1">
        <v>120030107</v>
      </c>
      <c r="E115" s="1">
        <v>192</v>
      </c>
      <c r="F115" s="1">
        <v>30.5</v>
      </c>
      <c r="G115" s="1">
        <v>2.5</v>
      </c>
      <c r="H115" s="1" t="s">
        <v>73</v>
      </c>
      <c r="I115" s="1" t="s">
        <v>73</v>
      </c>
      <c r="J115" s="1" t="s">
        <v>73</v>
      </c>
      <c r="K115" s="1">
        <v>26.5</v>
      </c>
      <c r="L115" s="1">
        <v>26.5</v>
      </c>
      <c r="M115" s="1">
        <v>30.5</v>
      </c>
      <c r="N115" s="1">
        <v>120100016</v>
      </c>
      <c r="O115" s="1">
        <v>120100016</v>
      </c>
      <c r="P115" s="1">
        <v>120100045</v>
      </c>
      <c r="R115" s="1">
        <v>5</v>
      </c>
      <c r="U115" s="1">
        <v>3.5</v>
      </c>
    </row>
    <row r="116" spans="1:21" x14ac:dyDescent="0.25">
      <c r="A116" s="1">
        <v>140310075</v>
      </c>
      <c r="B116" s="1">
        <v>16</v>
      </c>
      <c r="C116" s="2" t="str">
        <f>_xlfn.XLOOKUP(Table3[[#This Row],[id]],[1]!bom[Id],[1]!bom[شرح محصول])</f>
        <v>کابل دوشاخه یخچال و فریزر دوقلو کمبی-طرح2  COM-0304-01-00 کد فنی : 1210070101</v>
      </c>
      <c r="D116" s="1">
        <v>120030094</v>
      </c>
      <c r="E116" s="1">
        <v>219</v>
      </c>
      <c r="F116" s="1">
        <v>20</v>
      </c>
      <c r="G116" s="1">
        <v>2.5</v>
      </c>
      <c r="H116" s="1" t="s">
        <v>78</v>
      </c>
      <c r="I116" s="1" t="s">
        <v>78</v>
      </c>
      <c r="J116" s="1" t="s">
        <v>73</v>
      </c>
      <c r="K116" s="1">
        <v>20</v>
      </c>
      <c r="L116" s="1">
        <v>20</v>
      </c>
      <c r="M116" s="1">
        <v>15.5</v>
      </c>
      <c r="N116" s="1" t="s">
        <v>96</v>
      </c>
      <c r="O116" s="1" t="s">
        <v>96</v>
      </c>
      <c r="P116" s="1">
        <v>120100023</v>
      </c>
      <c r="R116" s="1">
        <v>5</v>
      </c>
      <c r="U116" s="1">
        <v>1</v>
      </c>
    </row>
    <row r="117" spans="1:21" x14ac:dyDescent="0.25">
      <c r="A117" s="1">
        <v>140310031</v>
      </c>
      <c r="B117" s="1">
        <v>16</v>
      </c>
      <c r="C117" s="2" t="str">
        <f>_xlfn.XLOOKUP(Table3[[#This Row],[id]],[1]!bom[Id],[1]!bom[شرح محصول])</f>
        <v>Electrical Power Cord - BCD 746 (DC-06-031)</v>
      </c>
      <c r="D117" s="1">
        <v>120030008</v>
      </c>
      <c r="E117" s="1">
        <v>203</v>
      </c>
      <c r="F117" s="1">
        <v>3</v>
      </c>
      <c r="G117" s="1">
        <v>2</v>
      </c>
      <c r="H117" s="1" t="s">
        <v>78</v>
      </c>
      <c r="I117" s="1" t="s">
        <v>78</v>
      </c>
      <c r="J117" s="1" t="s">
        <v>82</v>
      </c>
      <c r="K117" s="1">
        <v>3</v>
      </c>
      <c r="L117" s="1">
        <v>3</v>
      </c>
      <c r="M117" s="1">
        <v>30</v>
      </c>
      <c r="N117" s="1">
        <v>120110061</v>
      </c>
      <c r="O117" s="1">
        <v>120110061</v>
      </c>
      <c r="P117" s="1">
        <v>120100045</v>
      </c>
      <c r="R117" s="1">
        <v>5</v>
      </c>
      <c r="U117" s="1">
        <v>15</v>
      </c>
    </row>
    <row r="118" spans="1:21" x14ac:dyDescent="0.25">
      <c r="A118" s="1">
        <v>140550084</v>
      </c>
      <c r="B118" s="1">
        <v>31</v>
      </c>
      <c r="C118" s="2" t="str">
        <f>_xlfn.XLOOKUP(Table3[[#This Row],[id]],[1]!bom[Id],[1]!bom[شرح محصول])</f>
        <v>Power cord  assemblyشماره فنی : 8502400445L</v>
      </c>
      <c r="D118" s="1">
        <v>120030116</v>
      </c>
      <c r="E118" s="1">
        <v>190</v>
      </c>
      <c r="F118" s="1">
        <v>2</v>
      </c>
      <c r="G118" s="1">
        <v>2</v>
      </c>
      <c r="H118" s="1" t="s">
        <v>72</v>
      </c>
      <c r="I118" s="1" t="s">
        <v>72</v>
      </c>
      <c r="J118" s="1" t="s">
        <v>84</v>
      </c>
      <c r="N118" s="1">
        <v>120110001</v>
      </c>
      <c r="O118" s="1">
        <v>120110001</v>
      </c>
      <c r="R118" s="1">
        <v>2</v>
      </c>
      <c r="U118" s="1">
        <v>0</v>
      </c>
    </row>
    <row r="119" spans="1:21" x14ac:dyDescent="0.25">
      <c r="A119" s="1">
        <v>140310016</v>
      </c>
      <c r="B119" s="1">
        <v>16</v>
      </c>
      <c r="C119" s="2" t="str">
        <f>_xlfn.XLOOKUP(Table3[[#This Row],[id]],[1]!bom[Id],[1]!bom[شرح محصول])</f>
        <v>کابل برق دو شاخه دار یخچال فریزر 482  کد مقصد :  1210070081</v>
      </c>
      <c r="D119" s="1">
        <v>120030008</v>
      </c>
      <c r="E119" s="1">
        <v>2185</v>
      </c>
      <c r="F119" s="1">
        <v>26.5</v>
      </c>
      <c r="G119" s="1">
        <v>2.5</v>
      </c>
      <c r="H119" s="1" t="s">
        <v>78</v>
      </c>
      <c r="I119" s="1" t="s">
        <v>78</v>
      </c>
      <c r="J119" s="1" t="s">
        <v>73</v>
      </c>
      <c r="K119" s="1">
        <v>3</v>
      </c>
      <c r="L119" s="1">
        <v>3</v>
      </c>
      <c r="M119" s="1">
        <v>26.5</v>
      </c>
      <c r="N119" s="1">
        <v>120110061</v>
      </c>
      <c r="O119" s="1">
        <v>120110061</v>
      </c>
      <c r="P119" s="1">
        <v>120110052</v>
      </c>
      <c r="R119" s="1">
        <v>5</v>
      </c>
      <c r="U119" s="1">
        <v>15</v>
      </c>
    </row>
    <row r="120" spans="1:21" x14ac:dyDescent="0.25">
      <c r="A120" s="1">
        <v>140310017</v>
      </c>
      <c r="B120" s="1">
        <v>16</v>
      </c>
      <c r="C120" s="2" t="str">
        <f>_xlfn.XLOOKUP(Table3[[#This Row],[id]],[1]!bom[Id],[1]!bom[شرح محصول])</f>
        <v>کابل برق دو شاخه دار یخچال فریزر 650  کد مقصد : 1210070082</v>
      </c>
      <c r="D120" s="1">
        <v>120030008</v>
      </c>
      <c r="E120" s="1">
        <v>245</v>
      </c>
      <c r="F120" s="1">
        <v>44</v>
      </c>
      <c r="G120" s="1">
        <v>2.5</v>
      </c>
      <c r="H120" s="1" t="s">
        <v>73</v>
      </c>
      <c r="I120" s="1" t="s">
        <v>72</v>
      </c>
      <c r="J120" s="1" t="s">
        <v>73</v>
      </c>
      <c r="K120" s="1">
        <v>44</v>
      </c>
      <c r="L120" s="1">
        <v>6.5</v>
      </c>
      <c r="M120" s="1">
        <v>34</v>
      </c>
      <c r="N120" s="1">
        <v>120100016</v>
      </c>
      <c r="O120" s="1">
        <v>120110001</v>
      </c>
      <c r="P120" s="1">
        <v>120110052</v>
      </c>
      <c r="R120" s="1">
        <v>5</v>
      </c>
      <c r="U120" s="1">
        <v>24</v>
      </c>
    </row>
    <row r="121" spans="1:21" x14ac:dyDescent="0.25">
      <c r="A121" s="1">
        <v>140450027</v>
      </c>
      <c r="B121" s="1">
        <v>33</v>
      </c>
      <c r="C121" s="2" t="str">
        <f>_xlfn.XLOOKUP(Table3[[#This Row],[id]],[1]!bom[Id],[1]!bom[شرح محصول])</f>
        <v>Power cord-TRF-520 کد مقصد12010201025000</v>
      </c>
      <c r="D121" s="1">
        <v>120030094</v>
      </c>
      <c r="E121" s="1">
        <v>219</v>
      </c>
      <c r="F121" s="1">
        <v>23</v>
      </c>
      <c r="G121" s="1">
        <v>2</v>
      </c>
      <c r="H121" s="1" t="s">
        <v>72</v>
      </c>
      <c r="I121" s="1" t="s">
        <v>72</v>
      </c>
      <c r="J121" s="1" t="s">
        <v>73</v>
      </c>
      <c r="K121" s="1">
        <v>15.5</v>
      </c>
      <c r="L121" s="1">
        <v>15.5</v>
      </c>
      <c r="M121" s="1">
        <v>23</v>
      </c>
      <c r="N121" s="1">
        <v>120110001</v>
      </c>
      <c r="O121" s="1">
        <v>120110001</v>
      </c>
      <c r="P121" s="1">
        <v>120100045</v>
      </c>
      <c r="R121" s="1">
        <v>5</v>
      </c>
      <c r="U121" s="1">
        <v>1</v>
      </c>
    </row>
    <row r="122" spans="1:21" x14ac:dyDescent="0.25">
      <c r="A122" s="1">
        <v>140450039</v>
      </c>
      <c r="B122" s="1">
        <v>33</v>
      </c>
      <c r="C122" s="2" t="str">
        <f>_xlfn.XLOOKUP(Table3[[#This Row],[id]],[1]!bom[Id],[1]!bom[شرح محصول])</f>
        <v>پاورکورد لباسشویی  شماره فنی :12020102016650</v>
      </c>
      <c r="D122" s="1">
        <v>120030107</v>
      </c>
      <c r="E122" s="1">
        <v>176</v>
      </c>
      <c r="F122" s="1">
        <v>12</v>
      </c>
      <c r="G122" s="1">
        <v>2</v>
      </c>
      <c r="H122" s="1" t="s">
        <v>73</v>
      </c>
      <c r="I122" s="1" t="s">
        <v>73</v>
      </c>
      <c r="J122" s="1" t="s">
        <v>73</v>
      </c>
      <c r="K122" s="1">
        <v>9</v>
      </c>
      <c r="L122" s="1">
        <v>9</v>
      </c>
      <c r="M122" s="1">
        <v>12</v>
      </c>
      <c r="N122" s="1">
        <v>120100016</v>
      </c>
      <c r="O122" s="1">
        <v>120100016</v>
      </c>
      <c r="P122" s="1">
        <v>120100047</v>
      </c>
      <c r="R122" s="1">
        <v>5</v>
      </c>
      <c r="U122" s="1">
        <v>3</v>
      </c>
    </row>
    <row r="123" spans="1:21" x14ac:dyDescent="0.25">
      <c r="A123" s="1">
        <v>140310096</v>
      </c>
      <c r="B123" s="1">
        <v>16</v>
      </c>
      <c r="C123" s="2" t="str">
        <f>_xlfn.XLOOKUP(Table3[[#This Row],[id]],[1]!bom[Id],[1]!bom[شرح محصول])</f>
        <v>کابل دوشاخه برق شستشو و خشک کن   کدفنی :1210070106</v>
      </c>
      <c r="D123" s="1">
        <v>120030107</v>
      </c>
      <c r="E123" s="1">
        <v>192</v>
      </c>
      <c r="F123" s="1">
        <v>33</v>
      </c>
      <c r="G123" s="1">
        <v>2</v>
      </c>
      <c r="H123" s="1" t="s">
        <v>73</v>
      </c>
      <c r="I123" s="1" t="s">
        <v>73</v>
      </c>
      <c r="J123" s="1" t="s">
        <v>73</v>
      </c>
      <c r="K123" s="1">
        <v>19.5</v>
      </c>
      <c r="L123" s="1">
        <v>19.5</v>
      </c>
      <c r="M123" s="1">
        <v>33</v>
      </c>
      <c r="N123" s="1">
        <v>120100016</v>
      </c>
      <c r="O123" s="1">
        <v>120100016</v>
      </c>
      <c r="P123" s="1">
        <v>120100047</v>
      </c>
      <c r="R123" s="1">
        <v>5</v>
      </c>
      <c r="U123" s="1">
        <v>0.85</v>
      </c>
    </row>
    <row r="124" spans="1:21" x14ac:dyDescent="0.25">
      <c r="A124" s="1">
        <v>140450035</v>
      </c>
      <c r="B124" s="1">
        <v>33</v>
      </c>
      <c r="C124" s="2" t="str">
        <f>_xlfn.XLOOKUP(Table3[[#This Row],[id]],[1]!bom[Id],[1]!bom[شرح محصول])</f>
        <v>Power cord-TRF-650 کد مقصد : 12010201021750</v>
      </c>
      <c r="D124" s="1">
        <v>120030094</v>
      </c>
      <c r="E124" s="1">
        <v>225</v>
      </c>
      <c r="F124" s="1">
        <v>27</v>
      </c>
      <c r="G124" s="1">
        <v>2</v>
      </c>
      <c r="H124" s="1" t="s">
        <v>85</v>
      </c>
      <c r="I124" s="1" t="s">
        <v>85</v>
      </c>
      <c r="J124" s="1" t="s">
        <v>73</v>
      </c>
      <c r="K124" s="1">
        <v>27</v>
      </c>
      <c r="L124" s="1">
        <v>27</v>
      </c>
      <c r="M124" s="1">
        <v>21</v>
      </c>
      <c r="N124" s="1" t="s">
        <v>157</v>
      </c>
      <c r="O124" s="1" t="s">
        <v>157</v>
      </c>
      <c r="P124" s="1">
        <v>120100045</v>
      </c>
      <c r="R124" s="1">
        <v>5</v>
      </c>
      <c r="U124" s="1">
        <v>1</v>
      </c>
    </row>
    <row r="125" spans="1:21" x14ac:dyDescent="0.25">
      <c r="A125" s="1">
        <v>140010298</v>
      </c>
      <c r="B125" s="1">
        <v>39</v>
      </c>
      <c r="C125" s="2"/>
      <c r="H125" s="1">
        <v>0</v>
      </c>
      <c r="I125" s="1">
        <v>0</v>
      </c>
      <c r="J125" s="1">
        <v>0</v>
      </c>
      <c r="N125" s="1">
        <v>0</v>
      </c>
      <c r="O125" s="1">
        <v>0</v>
      </c>
      <c r="P125" s="1">
        <v>0</v>
      </c>
      <c r="R125" s="1">
        <v>3</v>
      </c>
      <c r="U125" s="1">
        <v>15</v>
      </c>
    </row>
    <row r="126" spans="1:21" x14ac:dyDescent="0.25">
      <c r="A126" s="1">
        <v>140450047</v>
      </c>
      <c r="B126" s="1">
        <v>33</v>
      </c>
      <c r="C126" s="2" t="str">
        <f>_xlfn.XLOOKUP(Table3[[#This Row],[id]],[1]!bom[Id],[1]!bom[شرح محصول])</f>
        <v>سیم دوشاخ هواپز</v>
      </c>
      <c r="D126" s="1">
        <v>120030011</v>
      </c>
      <c r="E126" s="1">
        <v>140</v>
      </c>
      <c r="F126" s="1">
        <v>6</v>
      </c>
      <c r="G126" s="1">
        <v>2.5</v>
      </c>
      <c r="H126" s="1">
        <v>12</v>
      </c>
      <c r="I126" s="1">
        <v>12</v>
      </c>
      <c r="J126" s="1">
        <v>12</v>
      </c>
      <c r="K126" s="1">
        <v>5</v>
      </c>
      <c r="L126" s="1">
        <v>5</v>
      </c>
      <c r="M126" s="1">
        <v>6</v>
      </c>
      <c r="N126" s="1">
        <v>0</v>
      </c>
      <c r="O126" s="1">
        <v>0</v>
      </c>
      <c r="P126" s="1">
        <v>0</v>
      </c>
      <c r="R126" s="1">
        <v>5</v>
      </c>
      <c r="U126" s="1">
        <v>0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BDFA9-0B29-4E0E-8D6C-1DEB996DD356}">
  <sheetPr codeName="Sheet2"/>
  <dimension ref="A1:C41"/>
  <sheetViews>
    <sheetView workbookViewId="0">
      <selection activeCell="B2" sqref="B2"/>
    </sheetView>
  </sheetViews>
  <sheetFormatPr defaultRowHeight="15" x14ac:dyDescent="0.25"/>
  <cols>
    <col min="1" max="1" width="11.28515625" style="1" customWidth="1"/>
    <col min="2" max="2" width="14.85546875" style="1" customWidth="1"/>
    <col min="3" max="3" width="15.7109375" style="1" bestFit="1" customWidth="1"/>
    <col min="4" max="16384" width="9.140625" style="1"/>
  </cols>
  <sheetData>
    <row r="1" spans="1:3" x14ac:dyDescent="0.25">
      <c r="A1" s="1" t="s">
        <v>0</v>
      </c>
      <c r="B1" s="1" t="s">
        <v>2</v>
      </c>
      <c r="C1" s="1" t="s">
        <v>13</v>
      </c>
    </row>
    <row r="2" spans="1:3" x14ac:dyDescent="0.25">
      <c r="A2" s="1">
        <v>1</v>
      </c>
      <c r="B2" s="2" t="s">
        <v>37</v>
      </c>
    </row>
    <row r="3" spans="1:3" x14ac:dyDescent="0.25">
      <c r="A3" s="1">
        <v>2</v>
      </c>
      <c r="B3" s="2" t="s">
        <v>31</v>
      </c>
    </row>
    <row r="4" spans="1:3" x14ac:dyDescent="0.25">
      <c r="A4" s="1">
        <v>3</v>
      </c>
      <c r="B4" s="2" t="s">
        <v>54</v>
      </c>
    </row>
    <row r="5" spans="1:3" x14ac:dyDescent="0.25">
      <c r="A5" s="1">
        <v>4</v>
      </c>
      <c r="B5" s="2" t="s">
        <v>35</v>
      </c>
    </row>
    <row r="6" spans="1:3" x14ac:dyDescent="0.25">
      <c r="A6" s="1">
        <v>5</v>
      </c>
      <c r="B6" s="2" t="s">
        <v>46</v>
      </c>
    </row>
    <row r="7" spans="1:3" x14ac:dyDescent="0.25">
      <c r="A7" s="1">
        <v>6</v>
      </c>
      <c r="B7" s="2" t="s">
        <v>55</v>
      </c>
    </row>
    <row r="8" spans="1:3" x14ac:dyDescent="0.25">
      <c r="A8" s="1">
        <v>7</v>
      </c>
      <c r="B8" s="2" t="s">
        <v>45</v>
      </c>
    </row>
    <row r="9" spans="1:3" x14ac:dyDescent="0.25">
      <c r="A9" s="1">
        <v>8</v>
      </c>
      <c r="B9" s="2" t="s">
        <v>29</v>
      </c>
    </row>
    <row r="10" spans="1:3" x14ac:dyDescent="0.25">
      <c r="A10" s="1">
        <v>9</v>
      </c>
      <c r="B10" s="2" t="s">
        <v>47</v>
      </c>
    </row>
    <row r="11" spans="1:3" x14ac:dyDescent="0.25">
      <c r="A11" s="1">
        <v>10</v>
      </c>
      <c r="B11" s="2" t="s">
        <v>57</v>
      </c>
    </row>
    <row r="12" spans="1:3" x14ac:dyDescent="0.25">
      <c r="A12" s="1">
        <v>11</v>
      </c>
      <c r="B12" s="2" t="s">
        <v>53</v>
      </c>
    </row>
    <row r="13" spans="1:3" x14ac:dyDescent="0.25">
      <c r="A13" s="1">
        <v>12</v>
      </c>
      <c r="B13" s="2" t="s">
        <v>40</v>
      </c>
    </row>
    <row r="14" spans="1:3" x14ac:dyDescent="0.25">
      <c r="A14" s="1">
        <v>13</v>
      </c>
      <c r="B14" s="2" t="s">
        <v>28</v>
      </c>
    </row>
    <row r="15" spans="1:3" x14ac:dyDescent="0.25">
      <c r="A15" s="1">
        <v>14</v>
      </c>
      <c r="B15" s="2" t="s">
        <v>32</v>
      </c>
    </row>
    <row r="16" spans="1:3" x14ac:dyDescent="0.25">
      <c r="A16" s="1">
        <v>15</v>
      </c>
      <c r="B16" s="2" t="s">
        <v>36</v>
      </c>
    </row>
    <row r="17" spans="1:3" x14ac:dyDescent="0.25">
      <c r="A17" s="1">
        <v>16</v>
      </c>
      <c r="B17" s="2" t="s">
        <v>34</v>
      </c>
    </row>
    <row r="18" spans="1:3" x14ac:dyDescent="0.25">
      <c r="A18" s="1">
        <v>17</v>
      </c>
      <c r="B18" s="2" t="s">
        <v>58</v>
      </c>
    </row>
    <row r="19" spans="1:3" x14ac:dyDescent="0.25">
      <c r="A19" s="1">
        <v>18</v>
      </c>
      <c r="B19" s="2" t="s">
        <v>44</v>
      </c>
    </row>
    <row r="20" spans="1:3" x14ac:dyDescent="0.25">
      <c r="A20" s="1">
        <v>19</v>
      </c>
      <c r="B20" s="2" t="s">
        <v>60</v>
      </c>
    </row>
    <row r="21" spans="1:3" x14ac:dyDescent="0.25">
      <c r="A21" s="1">
        <v>20</v>
      </c>
      <c r="B21" s="2" t="s">
        <v>41</v>
      </c>
      <c r="C21" s="1" t="s">
        <v>63</v>
      </c>
    </row>
    <row r="22" spans="1:3" x14ac:dyDescent="0.25">
      <c r="A22" s="1">
        <v>21</v>
      </c>
      <c r="B22" s="2" t="s">
        <v>50</v>
      </c>
    </row>
    <row r="23" spans="1:3" x14ac:dyDescent="0.25">
      <c r="A23" s="1">
        <v>22</v>
      </c>
      <c r="B23" s="2" t="s">
        <v>27</v>
      </c>
    </row>
    <row r="24" spans="1:3" x14ac:dyDescent="0.25">
      <c r="A24" s="1">
        <v>23</v>
      </c>
      <c r="B24" s="2" t="s">
        <v>52</v>
      </c>
    </row>
    <row r="25" spans="1:3" x14ac:dyDescent="0.25">
      <c r="A25" s="1">
        <v>24</v>
      </c>
      <c r="B25" s="2" t="s">
        <v>42</v>
      </c>
    </row>
    <row r="26" spans="1:3" x14ac:dyDescent="0.25">
      <c r="A26" s="1">
        <v>25</v>
      </c>
      <c r="B26" s="2" t="s">
        <v>30</v>
      </c>
    </row>
    <row r="27" spans="1:3" x14ac:dyDescent="0.25">
      <c r="A27" s="1">
        <v>26</v>
      </c>
      <c r="B27" s="2" t="s">
        <v>49</v>
      </c>
    </row>
    <row r="28" spans="1:3" x14ac:dyDescent="0.25">
      <c r="A28" s="1">
        <v>27</v>
      </c>
      <c r="B28" s="2" t="s">
        <v>26</v>
      </c>
    </row>
    <row r="29" spans="1:3" x14ac:dyDescent="0.25">
      <c r="A29" s="1">
        <v>28</v>
      </c>
      <c r="B29" s="2" t="s">
        <v>48</v>
      </c>
    </row>
    <row r="30" spans="1:3" x14ac:dyDescent="0.25">
      <c r="A30" s="1">
        <v>29</v>
      </c>
      <c r="B30" s="2" t="s">
        <v>61</v>
      </c>
    </row>
    <row r="31" spans="1:3" x14ac:dyDescent="0.25">
      <c r="A31" s="1">
        <v>30</v>
      </c>
      <c r="B31" s="2" t="s">
        <v>23</v>
      </c>
    </row>
    <row r="32" spans="1:3" x14ac:dyDescent="0.25">
      <c r="A32" s="1">
        <v>31</v>
      </c>
      <c r="B32" s="2" t="s">
        <v>39</v>
      </c>
    </row>
    <row r="33" spans="1:2" x14ac:dyDescent="0.25">
      <c r="A33" s="1">
        <v>32</v>
      </c>
      <c r="B33" s="2" t="s">
        <v>62</v>
      </c>
    </row>
    <row r="34" spans="1:2" x14ac:dyDescent="0.25">
      <c r="A34" s="1">
        <v>33</v>
      </c>
      <c r="B34" s="2" t="s">
        <v>59</v>
      </c>
    </row>
    <row r="35" spans="1:2" x14ac:dyDescent="0.25">
      <c r="A35" s="1">
        <v>34</v>
      </c>
      <c r="B35" s="2" t="s">
        <v>43</v>
      </c>
    </row>
    <row r="36" spans="1:2" x14ac:dyDescent="0.25">
      <c r="A36" s="1">
        <v>35</v>
      </c>
      <c r="B36" s="2" t="s">
        <v>51</v>
      </c>
    </row>
    <row r="37" spans="1:2" x14ac:dyDescent="0.25">
      <c r="A37" s="1">
        <v>36</v>
      </c>
      <c r="B37" s="2" t="s">
        <v>38</v>
      </c>
    </row>
    <row r="38" spans="1:2" x14ac:dyDescent="0.25">
      <c r="A38" s="1">
        <v>37</v>
      </c>
      <c r="B38" s="2" t="s">
        <v>25</v>
      </c>
    </row>
    <row r="39" spans="1:2" x14ac:dyDescent="0.25">
      <c r="A39" s="1">
        <v>38</v>
      </c>
      <c r="B39" s="2" t="s">
        <v>56</v>
      </c>
    </row>
    <row r="40" spans="1:2" x14ac:dyDescent="0.25">
      <c r="A40" s="1">
        <v>39</v>
      </c>
      <c r="B40" s="2" t="s">
        <v>24</v>
      </c>
    </row>
    <row r="41" spans="1:2" x14ac:dyDescent="0.25">
      <c r="A41" s="1">
        <v>40</v>
      </c>
      <c r="B41" s="2" t="s">
        <v>33</v>
      </c>
    </row>
  </sheetData>
  <sortState xmlns:xlrd2="http://schemas.microsoft.com/office/spreadsheetml/2017/richdata2" ref="C1:C46">
    <sortCondition ref="C1:C46"/>
  </sortState>
  <phoneticPr fontId="19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A15DF-417B-4A79-9214-07214459420B}">
  <sheetPr codeName="Sheet3"/>
  <dimension ref="A1:G29"/>
  <sheetViews>
    <sheetView workbookViewId="0">
      <selection activeCell="D9" sqref="D9"/>
    </sheetView>
  </sheetViews>
  <sheetFormatPr defaultRowHeight="15" x14ac:dyDescent="0.25"/>
  <cols>
    <col min="1" max="1" width="10" style="1" bestFit="1" customWidth="1"/>
    <col min="2" max="2" width="40.5703125" style="1" customWidth="1"/>
    <col min="3" max="3" width="10.28515625" style="1" bestFit="1" customWidth="1"/>
    <col min="4" max="4" width="14" style="1" bestFit="1" customWidth="1"/>
    <col min="5" max="5" width="9.85546875" style="1" bestFit="1" customWidth="1"/>
    <col min="6" max="6" width="18.42578125" style="1" bestFit="1" customWidth="1"/>
    <col min="7" max="7" width="18.5703125" style="1" bestFit="1" customWidth="1"/>
    <col min="8" max="16384" width="9.140625" style="1"/>
  </cols>
  <sheetData>
    <row r="1" spans="1:7" x14ac:dyDescent="0.25">
      <c r="A1" s="1" t="s">
        <v>0</v>
      </c>
      <c r="B1" s="1" t="s">
        <v>171</v>
      </c>
      <c r="C1" s="1" t="s">
        <v>172</v>
      </c>
      <c r="D1" s="1" t="s">
        <v>173</v>
      </c>
      <c r="E1" s="1" t="s">
        <v>174</v>
      </c>
      <c r="F1" s="1" t="s">
        <v>180</v>
      </c>
      <c r="G1" s="1" t="s">
        <v>13</v>
      </c>
    </row>
    <row r="2" spans="1:7" x14ac:dyDescent="0.25">
      <c r="A2" s="1">
        <v>111111111</v>
      </c>
      <c r="B2" s="3" t="s">
        <v>21</v>
      </c>
      <c r="C2" s="1">
        <v>3</v>
      </c>
      <c r="D2" s="4">
        <v>0.75</v>
      </c>
      <c r="G2" s="1" t="s">
        <v>175</v>
      </c>
    </row>
    <row r="3" spans="1:7" x14ac:dyDescent="0.25">
      <c r="A3" s="1">
        <v>120030006</v>
      </c>
      <c r="B3" s="1" t="s">
        <v>181</v>
      </c>
      <c r="D3" s="4"/>
      <c r="E3" s="1" t="s">
        <v>176</v>
      </c>
    </row>
    <row r="4" spans="1:7" x14ac:dyDescent="0.25">
      <c r="A4" s="1">
        <v>120030009</v>
      </c>
      <c r="B4" s="1" t="s">
        <v>182</v>
      </c>
      <c r="D4" s="4"/>
      <c r="E4" s="1" t="s">
        <v>176</v>
      </c>
    </row>
    <row r="5" spans="1:7" x14ac:dyDescent="0.25">
      <c r="A5" s="1">
        <v>120030094</v>
      </c>
      <c r="B5" s="1" t="s">
        <v>182</v>
      </c>
      <c r="D5" s="4"/>
    </row>
    <row r="6" spans="1:7" x14ac:dyDescent="0.25">
      <c r="A6" s="1">
        <v>120030039</v>
      </c>
      <c r="B6" s="1" t="s">
        <v>183</v>
      </c>
      <c r="D6" s="4"/>
    </row>
    <row r="7" spans="1:7" x14ac:dyDescent="0.25">
      <c r="A7" s="1">
        <v>120030042</v>
      </c>
      <c r="B7" s="1" t="s">
        <v>182</v>
      </c>
      <c r="C7" s="1">
        <v>2</v>
      </c>
      <c r="D7" s="4">
        <v>0.75</v>
      </c>
      <c r="E7" s="1" t="s">
        <v>178</v>
      </c>
    </row>
    <row r="8" spans="1:7" x14ac:dyDescent="0.25">
      <c r="A8" s="1">
        <v>120030010</v>
      </c>
      <c r="B8" s="1" t="s">
        <v>181</v>
      </c>
      <c r="C8" s="1">
        <v>3</v>
      </c>
      <c r="D8" s="4">
        <v>0.75</v>
      </c>
    </row>
    <row r="9" spans="1:7" x14ac:dyDescent="0.25">
      <c r="A9" s="1">
        <v>120030107</v>
      </c>
      <c r="B9" s="1" t="s">
        <v>182</v>
      </c>
      <c r="C9" s="1">
        <v>3</v>
      </c>
      <c r="D9" s="4">
        <v>0.75</v>
      </c>
    </row>
    <row r="10" spans="1:7" x14ac:dyDescent="0.25">
      <c r="A10" s="1">
        <v>120030028</v>
      </c>
      <c r="B10" s="1" t="s">
        <v>182</v>
      </c>
      <c r="C10" s="1">
        <v>3</v>
      </c>
      <c r="D10" s="4">
        <v>0.75</v>
      </c>
      <c r="E10" s="1" t="s">
        <v>179</v>
      </c>
    </row>
    <row r="11" spans="1:7" x14ac:dyDescent="0.25">
      <c r="A11" s="1">
        <v>120030044</v>
      </c>
      <c r="B11" s="1" t="s">
        <v>183</v>
      </c>
      <c r="C11" s="1">
        <v>3</v>
      </c>
      <c r="D11" s="4">
        <v>0.75</v>
      </c>
      <c r="E11" s="1" t="s">
        <v>179</v>
      </c>
    </row>
    <row r="12" spans="1:7" x14ac:dyDescent="0.25">
      <c r="A12" s="1">
        <v>120030008</v>
      </c>
      <c r="B12" s="1" t="s">
        <v>183</v>
      </c>
      <c r="C12" s="1">
        <v>3</v>
      </c>
      <c r="D12" s="4">
        <v>0.75</v>
      </c>
      <c r="E12" s="1" t="s">
        <v>176</v>
      </c>
    </row>
    <row r="13" spans="1:7" x14ac:dyDescent="0.25">
      <c r="A13" s="1">
        <v>120030074</v>
      </c>
      <c r="B13" s="1" t="s">
        <v>182</v>
      </c>
      <c r="C13" s="1">
        <v>3</v>
      </c>
      <c r="D13" s="4">
        <v>0.75</v>
      </c>
      <c r="E13" s="1" t="s">
        <v>178</v>
      </c>
    </row>
    <row r="14" spans="1:7" x14ac:dyDescent="0.25">
      <c r="A14" s="1">
        <v>120030095</v>
      </c>
      <c r="B14" s="1" t="s">
        <v>181</v>
      </c>
      <c r="C14" s="1">
        <v>3</v>
      </c>
      <c r="D14" s="4">
        <v>0.75</v>
      </c>
      <c r="E14" s="1" t="s">
        <v>176</v>
      </c>
    </row>
    <row r="15" spans="1:7" x14ac:dyDescent="0.25">
      <c r="A15" s="1">
        <v>120040048</v>
      </c>
      <c r="B15" s="1" t="s">
        <v>183</v>
      </c>
      <c r="C15" s="1">
        <v>3</v>
      </c>
      <c r="D15" s="4">
        <v>1</v>
      </c>
    </row>
    <row r="16" spans="1:7" x14ac:dyDescent="0.25">
      <c r="A16" s="1">
        <v>120030073</v>
      </c>
      <c r="B16" s="1" t="s">
        <v>181</v>
      </c>
      <c r="C16" s="1">
        <v>3</v>
      </c>
      <c r="D16" s="4">
        <v>0.75</v>
      </c>
      <c r="E16" s="1" t="s">
        <v>39</v>
      </c>
    </row>
    <row r="17" spans="1:6" x14ac:dyDescent="0.25">
      <c r="A17" s="1">
        <v>210300185</v>
      </c>
      <c r="B17" s="1" t="s">
        <v>183</v>
      </c>
      <c r="C17" s="1">
        <v>3</v>
      </c>
      <c r="D17" s="4">
        <v>0.75</v>
      </c>
    </row>
    <row r="18" spans="1:6" x14ac:dyDescent="0.25">
      <c r="A18" s="1">
        <v>210300187</v>
      </c>
      <c r="B18" s="1" t="s">
        <v>183</v>
      </c>
      <c r="C18" s="1">
        <v>4</v>
      </c>
      <c r="D18" s="4">
        <v>0.75</v>
      </c>
    </row>
    <row r="19" spans="1:6" x14ac:dyDescent="0.25">
      <c r="A19" s="1">
        <v>120030118</v>
      </c>
      <c r="B19" s="1" t="s">
        <v>183</v>
      </c>
      <c r="C19" s="1">
        <v>3</v>
      </c>
      <c r="D19" s="4">
        <v>0.75</v>
      </c>
    </row>
    <row r="20" spans="1:6" x14ac:dyDescent="0.25">
      <c r="A20" s="1">
        <v>120030119</v>
      </c>
      <c r="B20" s="1" t="s">
        <v>183</v>
      </c>
      <c r="C20" s="1">
        <v>2</v>
      </c>
      <c r="D20" s="4">
        <v>0.75</v>
      </c>
    </row>
    <row r="21" spans="1:6" x14ac:dyDescent="0.25">
      <c r="A21" s="1">
        <v>120030116</v>
      </c>
      <c r="B21" s="1" t="s">
        <v>183</v>
      </c>
      <c r="C21" s="1">
        <v>3</v>
      </c>
      <c r="D21" s="4">
        <v>0.75</v>
      </c>
      <c r="F21" s="1" t="s">
        <v>177</v>
      </c>
    </row>
    <row r="22" spans="1:6" x14ac:dyDescent="0.25">
      <c r="A22" s="1">
        <v>120040072</v>
      </c>
      <c r="B22" s="1" t="s">
        <v>183</v>
      </c>
      <c r="C22" s="1">
        <v>2</v>
      </c>
      <c r="D22" s="4">
        <v>0.75</v>
      </c>
      <c r="F22" s="1" t="s">
        <v>177</v>
      </c>
    </row>
    <row r="23" spans="1:6" x14ac:dyDescent="0.25">
      <c r="A23" s="1">
        <v>120030050</v>
      </c>
      <c r="B23" s="1" t="s">
        <v>182</v>
      </c>
      <c r="C23" s="1">
        <v>2</v>
      </c>
      <c r="D23" s="4">
        <v>0.75</v>
      </c>
    </row>
    <row r="24" spans="1:6" x14ac:dyDescent="0.25">
      <c r="A24" s="1">
        <v>120030047</v>
      </c>
      <c r="B24" s="1" t="s">
        <v>183</v>
      </c>
      <c r="C24" s="1">
        <v>3</v>
      </c>
      <c r="D24" s="4">
        <v>1</v>
      </c>
      <c r="E24" s="1" t="s">
        <v>179</v>
      </c>
    </row>
    <row r="25" spans="1:6" x14ac:dyDescent="0.25">
      <c r="A25" s="1">
        <v>120030121</v>
      </c>
      <c r="B25" s="1" t="s">
        <v>181</v>
      </c>
      <c r="C25" s="1">
        <v>3</v>
      </c>
      <c r="D25" s="4">
        <v>1.5</v>
      </c>
    </row>
    <row r="26" spans="1:6" x14ac:dyDescent="0.25">
      <c r="A26" s="1">
        <v>120030011</v>
      </c>
      <c r="B26" s="1" t="s">
        <v>183</v>
      </c>
      <c r="C26" s="1">
        <v>2</v>
      </c>
      <c r="D26" s="4">
        <v>0.75</v>
      </c>
    </row>
    <row r="27" spans="1:6" x14ac:dyDescent="0.25">
      <c r="A27" s="1">
        <v>120030105</v>
      </c>
      <c r="B27" s="1" t="s">
        <v>183</v>
      </c>
      <c r="C27" s="1">
        <v>2</v>
      </c>
      <c r="D27" s="4">
        <v>0.75</v>
      </c>
      <c r="E27" s="1" t="s">
        <v>176</v>
      </c>
    </row>
    <row r="28" spans="1:6" x14ac:dyDescent="0.25">
      <c r="A28" s="1">
        <v>120040049</v>
      </c>
      <c r="B28" s="1" t="s">
        <v>181</v>
      </c>
      <c r="C28" s="1">
        <v>2</v>
      </c>
      <c r="D28" s="4">
        <v>0.75</v>
      </c>
    </row>
    <row r="29" spans="1:6" x14ac:dyDescent="0.25">
      <c r="A29" s="1">
        <v>120030011</v>
      </c>
      <c r="B29" s="1" t="s">
        <v>183</v>
      </c>
      <c r="C29" s="1">
        <v>2</v>
      </c>
      <c r="D29" s="4">
        <v>0.75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311A9-A6EF-4A59-B57F-8E125700DCA5}">
  <sheetPr codeName="Sheet4"/>
  <dimension ref="A1:D7"/>
  <sheetViews>
    <sheetView workbookViewId="0">
      <selection activeCell="E1" sqref="E1"/>
    </sheetView>
  </sheetViews>
  <sheetFormatPr defaultRowHeight="15" x14ac:dyDescent="0.25"/>
  <cols>
    <col min="1" max="1" width="11.28515625" style="1" customWidth="1"/>
    <col min="2" max="2" width="20.28515625" style="1" bestFit="1" customWidth="1"/>
    <col min="3" max="3" width="9.140625" style="1"/>
    <col min="4" max="4" width="11" style="1" bestFit="1" customWidth="1"/>
    <col min="5" max="16384" width="9.140625" style="1"/>
  </cols>
  <sheetData>
    <row r="1" spans="1:4" x14ac:dyDescent="0.25">
      <c r="A1" s="1" t="s">
        <v>0</v>
      </c>
      <c r="B1" s="1" t="s">
        <v>159</v>
      </c>
      <c r="C1" s="1" t="s">
        <v>184</v>
      </c>
      <c r="D1" s="1" t="s">
        <v>209</v>
      </c>
    </row>
    <row r="2" spans="1:4" x14ac:dyDescent="0.25">
      <c r="A2" s="1">
        <v>1</v>
      </c>
      <c r="B2" s="2" t="s">
        <v>161</v>
      </c>
      <c r="C2" s="1" t="s">
        <v>185</v>
      </c>
    </row>
    <row r="3" spans="1:4" x14ac:dyDescent="0.25">
      <c r="A3" s="1">
        <v>2</v>
      </c>
      <c r="B3" s="2" t="s">
        <v>163</v>
      </c>
      <c r="C3" s="1" t="s">
        <v>186</v>
      </c>
    </row>
    <row r="4" spans="1:4" x14ac:dyDescent="0.25">
      <c r="A4" s="1">
        <v>3</v>
      </c>
      <c r="B4" s="2" t="s">
        <v>164</v>
      </c>
      <c r="C4" s="1" t="s">
        <v>186</v>
      </c>
    </row>
    <row r="5" spans="1:4" x14ac:dyDescent="0.25">
      <c r="A5" s="1">
        <v>4</v>
      </c>
      <c r="B5" s="2" t="s">
        <v>165</v>
      </c>
      <c r="C5" s="1" t="s">
        <v>187</v>
      </c>
    </row>
    <row r="6" spans="1:4" x14ac:dyDescent="0.25">
      <c r="A6" s="1">
        <v>5</v>
      </c>
      <c r="B6" s="2" t="s">
        <v>160</v>
      </c>
      <c r="C6" s="1" t="s">
        <v>187</v>
      </c>
    </row>
    <row r="7" spans="1:4" x14ac:dyDescent="0.25">
      <c r="A7" s="1">
        <v>6</v>
      </c>
      <c r="B7" s="2" t="s">
        <v>162</v>
      </c>
      <c r="C7" s="1" t="s">
        <v>188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079C7-3466-42F8-AE86-8311159311D9}">
  <sheetPr codeName="Sheet5"/>
  <dimension ref="A1:C11"/>
  <sheetViews>
    <sheetView workbookViewId="0">
      <selection activeCell="C2" sqref="C2"/>
    </sheetView>
  </sheetViews>
  <sheetFormatPr defaultRowHeight="15" x14ac:dyDescent="0.25"/>
  <cols>
    <col min="1" max="1" width="11.28515625" style="1" customWidth="1"/>
    <col min="2" max="2" width="22" style="1" customWidth="1"/>
    <col min="3" max="3" width="11" style="1" bestFit="1" customWidth="1"/>
    <col min="4" max="16384" width="9.140625" style="1"/>
  </cols>
  <sheetData>
    <row r="1" spans="1:3" x14ac:dyDescent="0.25">
      <c r="A1" s="1" t="s">
        <v>0</v>
      </c>
      <c r="B1" s="1" t="s">
        <v>2</v>
      </c>
      <c r="C1" s="1" t="s">
        <v>209</v>
      </c>
    </row>
    <row r="2" spans="1:3" x14ac:dyDescent="0.25">
      <c r="A2" s="1">
        <v>1</v>
      </c>
      <c r="B2" s="2" t="s">
        <v>31</v>
      </c>
    </row>
    <row r="3" spans="1:3" x14ac:dyDescent="0.25">
      <c r="A3" s="1">
        <v>2</v>
      </c>
      <c r="B3" s="2" t="s">
        <v>35</v>
      </c>
    </row>
    <row r="4" spans="1:3" x14ac:dyDescent="0.25">
      <c r="A4" s="1">
        <v>3</v>
      </c>
      <c r="B4" s="2" t="s">
        <v>168</v>
      </c>
    </row>
    <row r="5" spans="1:3" x14ac:dyDescent="0.25">
      <c r="A5" s="1">
        <v>4</v>
      </c>
      <c r="B5" s="2" t="s">
        <v>34</v>
      </c>
    </row>
    <row r="6" spans="1:3" x14ac:dyDescent="0.25">
      <c r="A6" s="1">
        <v>5</v>
      </c>
      <c r="B6" s="2" t="s">
        <v>170</v>
      </c>
    </row>
    <row r="7" spans="1:3" x14ac:dyDescent="0.25">
      <c r="A7" s="1">
        <v>6</v>
      </c>
      <c r="B7" s="2" t="s">
        <v>167</v>
      </c>
    </row>
    <row r="8" spans="1:3" x14ac:dyDescent="0.25">
      <c r="A8" s="1">
        <v>7</v>
      </c>
      <c r="B8" s="2" t="s">
        <v>23</v>
      </c>
    </row>
    <row r="9" spans="1:3" x14ac:dyDescent="0.25">
      <c r="A9" s="1">
        <v>8</v>
      </c>
      <c r="B9" s="2" t="s">
        <v>39</v>
      </c>
    </row>
    <row r="10" spans="1:3" x14ac:dyDescent="0.25">
      <c r="A10" s="1">
        <v>9</v>
      </c>
      <c r="B10" s="2" t="s">
        <v>169</v>
      </c>
    </row>
    <row r="11" spans="1:3" x14ac:dyDescent="0.25">
      <c r="A11" s="1">
        <v>10</v>
      </c>
      <c r="B11" s="2" t="s">
        <v>166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3CF3E-71B9-48BA-A00D-FF7237A5B0B4}">
  <sheetPr codeName="Sheet6"/>
  <dimension ref="A1:J74"/>
  <sheetViews>
    <sheetView topLeftCell="A35" zoomScale="115" zoomScaleNormal="115" workbookViewId="0">
      <selection activeCell="B43" sqref="B43"/>
    </sheetView>
  </sheetViews>
  <sheetFormatPr defaultRowHeight="15" x14ac:dyDescent="0.25"/>
  <cols>
    <col min="1" max="1" width="13.42578125" style="1" bestFit="1" customWidth="1"/>
    <col min="2" max="2" width="13.42578125" style="1" customWidth="1"/>
    <col min="3" max="3" width="10.5703125" style="1" bestFit="1" customWidth="1"/>
    <col min="4" max="4" width="19.140625" style="1" bestFit="1" customWidth="1"/>
    <col min="5" max="5" width="14.42578125" style="1" bestFit="1" customWidth="1"/>
    <col min="6" max="6" width="19.140625" style="1" bestFit="1" customWidth="1"/>
    <col min="7" max="7" width="11.140625" style="1" bestFit="1" customWidth="1"/>
    <col min="8" max="8" width="19.140625" style="1" bestFit="1" customWidth="1"/>
    <col min="9" max="16384" width="9.140625" style="1"/>
  </cols>
  <sheetData>
    <row r="1" spans="1:10" x14ac:dyDescent="0.25">
      <c r="A1" s="1" t="s">
        <v>0</v>
      </c>
      <c r="B1" s="1" t="s">
        <v>380</v>
      </c>
      <c r="C1" s="1" t="s">
        <v>2</v>
      </c>
      <c r="D1" s="1" t="s">
        <v>189</v>
      </c>
      <c r="E1" s="1" t="s">
        <v>190</v>
      </c>
      <c r="G1" s="1" t="s">
        <v>374</v>
      </c>
      <c r="H1" s="1" t="s">
        <v>368</v>
      </c>
      <c r="I1" s="1" t="s">
        <v>369</v>
      </c>
      <c r="J1" s="1" t="s">
        <v>370</v>
      </c>
    </row>
    <row r="2" spans="1:10" x14ac:dyDescent="0.25">
      <c r="A2" s="1">
        <v>33</v>
      </c>
      <c r="B2" s="6" t="s">
        <v>18</v>
      </c>
      <c r="D2" s="1" t="s">
        <v>118</v>
      </c>
      <c r="E2" s="6" t="s">
        <v>18</v>
      </c>
      <c r="G2" s="5">
        <v>140010117</v>
      </c>
      <c r="H2" s="1" t="s">
        <v>217</v>
      </c>
      <c r="I2" s="1" t="s">
        <v>371</v>
      </c>
      <c r="J2" s="1" t="s">
        <v>217</v>
      </c>
    </row>
    <row r="3" spans="1:10" x14ac:dyDescent="0.25">
      <c r="A3" s="1">
        <v>60</v>
      </c>
      <c r="B3" s="1">
        <v>120100021</v>
      </c>
      <c r="D3" s="1" t="s">
        <v>129</v>
      </c>
      <c r="E3" s="7" t="s">
        <v>212</v>
      </c>
      <c r="G3" s="5">
        <v>140010230</v>
      </c>
      <c r="H3" s="1" t="s">
        <v>217</v>
      </c>
      <c r="I3" s="1" t="s">
        <v>371</v>
      </c>
      <c r="J3" s="1" t="s">
        <v>217</v>
      </c>
    </row>
    <row r="4" spans="1:10" x14ac:dyDescent="0.25">
      <c r="A4" s="1">
        <v>23</v>
      </c>
      <c r="B4" s="1">
        <v>120110164</v>
      </c>
      <c r="D4" s="1" t="s">
        <v>135</v>
      </c>
      <c r="E4" s="7" t="s">
        <v>379</v>
      </c>
      <c r="G4" s="5">
        <v>140010255</v>
      </c>
      <c r="H4" s="1" t="s">
        <v>371</v>
      </c>
      <c r="I4" s="1" t="s">
        <v>371</v>
      </c>
      <c r="J4" s="1" t="s">
        <v>195</v>
      </c>
    </row>
    <row r="5" spans="1:10" x14ac:dyDescent="0.25">
      <c r="A5" s="1">
        <v>1</v>
      </c>
      <c r="B5" s="1">
        <v>120100080</v>
      </c>
      <c r="D5" s="1" t="s">
        <v>119</v>
      </c>
      <c r="E5" s="6" t="s">
        <v>191</v>
      </c>
      <c r="G5" s="5">
        <v>140010295</v>
      </c>
      <c r="H5" s="1" t="s">
        <v>90</v>
      </c>
      <c r="I5" s="1" t="s">
        <v>371</v>
      </c>
      <c r="J5" s="1" t="s">
        <v>371</v>
      </c>
    </row>
    <row r="6" spans="1:10" x14ac:dyDescent="0.25">
      <c r="A6" s="1">
        <v>10</v>
      </c>
      <c r="B6" s="1">
        <v>120100014</v>
      </c>
      <c r="D6" s="1" t="s">
        <v>109</v>
      </c>
      <c r="E6" s="6" t="s">
        <v>192</v>
      </c>
      <c r="G6" s="1">
        <v>140020181</v>
      </c>
      <c r="H6" s="1" t="s">
        <v>90</v>
      </c>
      <c r="I6" s="1" t="s">
        <v>198</v>
      </c>
      <c r="J6" s="1" t="s">
        <v>371</v>
      </c>
    </row>
    <row r="7" spans="1:10" x14ac:dyDescent="0.25">
      <c r="A7" s="1">
        <v>35</v>
      </c>
      <c r="B7" s="1">
        <v>120100014</v>
      </c>
      <c r="D7" s="1" t="s">
        <v>144</v>
      </c>
      <c r="E7" s="6" t="s">
        <v>192</v>
      </c>
      <c r="G7" s="1">
        <v>140020196</v>
      </c>
      <c r="H7" s="1" t="s">
        <v>372</v>
      </c>
      <c r="I7" s="1" t="s">
        <v>198</v>
      </c>
      <c r="J7" s="1" t="s">
        <v>371</v>
      </c>
    </row>
    <row r="8" spans="1:10" x14ac:dyDescent="0.25">
      <c r="A8" s="1">
        <v>2</v>
      </c>
      <c r="B8" s="1">
        <v>120100016</v>
      </c>
      <c r="D8" s="1" t="s">
        <v>154</v>
      </c>
      <c r="E8" s="7" t="s">
        <v>199</v>
      </c>
      <c r="G8" s="1">
        <v>140030039</v>
      </c>
      <c r="H8" s="1" t="s">
        <v>101</v>
      </c>
      <c r="I8" s="1" t="s">
        <v>202</v>
      </c>
      <c r="J8" s="1" t="s">
        <v>371</v>
      </c>
    </row>
    <row r="9" spans="1:10" x14ac:dyDescent="0.25">
      <c r="A9" s="1">
        <v>3</v>
      </c>
      <c r="B9" s="1">
        <v>120100016</v>
      </c>
      <c r="D9" s="1" t="s">
        <v>156</v>
      </c>
      <c r="E9" s="7" t="s">
        <v>199</v>
      </c>
      <c r="G9" s="1">
        <v>140030040</v>
      </c>
      <c r="H9" s="1" t="s">
        <v>101</v>
      </c>
      <c r="I9" s="1" t="s">
        <v>202</v>
      </c>
      <c r="J9" s="1" t="s">
        <v>371</v>
      </c>
    </row>
    <row r="10" spans="1:10" x14ac:dyDescent="0.25">
      <c r="A10" s="1">
        <v>11</v>
      </c>
      <c r="B10" s="1">
        <v>120100016</v>
      </c>
      <c r="D10" s="1" t="s">
        <v>113</v>
      </c>
      <c r="E10" s="7" t="s">
        <v>199</v>
      </c>
      <c r="G10" s="1">
        <v>140090143</v>
      </c>
      <c r="H10" s="1" t="s">
        <v>196</v>
      </c>
      <c r="I10" s="1" t="s">
        <v>371</v>
      </c>
      <c r="J10" s="1" t="s">
        <v>197</v>
      </c>
    </row>
    <row r="11" spans="1:10" x14ac:dyDescent="0.25">
      <c r="A11" s="1">
        <v>34</v>
      </c>
      <c r="B11" s="1">
        <v>120100016</v>
      </c>
      <c r="D11" s="1" t="s">
        <v>121</v>
      </c>
      <c r="E11" s="7" t="s">
        <v>199</v>
      </c>
      <c r="G11" s="1">
        <v>140220012</v>
      </c>
      <c r="H11" s="1" t="s">
        <v>234</v>
      </c>
      <c r="I11" s="1" t="s">
        <v>202</v>
      </c>
      <c r="J11" s="1" t="s">
        <v>371</v>
      </c>
    </row>
    <row r="12" spans="1:10" x14ac:dyDescent="0.25">
      <c r="A12" s="1">
        <v>63</v>
      </c>
      <c r="B12" s="1">
        <v>120100016</v>
      </c>
      <c r="D12" s="1" t="s">
        <v>117</v>
      </c>
      <c r="E12" s="7" t="s">
        <v>199</v>
      </c>
      <c r="G12" s="1">
        <v>140240004</v>
      </c>
      <c r="H12" s="1" t="s">
        <v>90</v>
      </c>
      <c r="I12" s="1" t="s">
        <v>198</v>
      </c>
      <c r="J12" s="1" t="s">
        <v>371</v>
      </c>
    </row>
    <row r="13" spans="1:10" x14ac:dyDescent="0.25">
      <c r="A13" s="1">
        <v>64</v>
      </c>
      <c r="B13" s="1">
        <v>120100016</v>
      </c>
      <c r="D13" s="1" t="s">
        <v>147</v>
      </c>
      <c r="E13" s="7" t="s">
        <v>199</v>
      </c>
      <c r="G13" s="10">
        <v>140310007</v>
      </c>
      <c r="H13" s="1" t="s">
        <v>371</v>
      </c>
      <c r="I13" s="1" t="s">
        <v>198</v>
      </c>
      <c r="J13" s="1" t="s">
        <v>371</v>
      </c>
    </row>
    <row r="14" spans="1:10" x14ac:dyDescent="0.25">
      <c r="A14" s="1">
        <v>24</v>
      </c>
      <c r="B14" s="1">
        <v>120100015</v>
      </c>
      <c r="D14" s="1" t="s">
        <v>123</v>
      </c>
      <c r="E14" s="6" t="s">
        <v>195</v>
      </c>
      <c r="G14" s="10">
        <v>140310012</v>
      </c>
      <c r="H14" s="1" t="s">
        <v>231</v>
      </c>
      <c r="I14" s="1" t="s">
        <v>371</v>
      </c>
      <c r="J14" s="1" t="s">
        <v>371</v>
      </c>
    </row>
    <row r="15" spans="1:10" x14ac:dyDescent="0.25">
      <c r="A15" s="1">
        <v>54</v>
      </c>
      <c r="B15" s="1">
        <v>120100015</v>
      </c>
      <c r="D15" s="1" t="s">
        <v>94</v>
      </c>
      <c r="E15" s="6" t="s">
        <v>195</v>
      </c>
      <c r="G15" s="10">
        <v>140310031</v>
      </c>
      <c r="H15" s="1">
        <v>461</v>
      </c>
      <c r="I15" s="1" t="s">
        <v>198</v>
      </c>
      <c r="J15" s="1" t="s">
        <v>371</v>
      </c>
    </row>
    <row r="16" spans="1:10" x14ac:dyDescent="0.25">
      <c r="A16" s="1">
        <v>62</v>
      </c>
      <c r="B16" s="1">
        <v>120100015</v>
      </c>
      <c r="D16" s="1" t="s">
        <v>126</v>
      </c>
      <c r="E16" s="6" t="s">
        <v>195</v>
      </c>
      <c r="G16" s="1">
        <v>140310058</v>
      </c>
      <c r="H16" s="1" t="s">
        <v>217</v>
      </c>
      <c r="I16" s="1" t="s">
        <v>217</v>
      </c>
      <c r="J16" s="1" t="s">
        <v>217</v>
      </c>
    </row>
    <row r="17" spans="1:10" x14ac:dyDescent="0.25">
      <c r="A17" s="1">
        <v>65</v>
      </c>
      <c r="B17" s="1">
        <v>120100132</v>
      </c>
      <c r="D17" s="1" t="s">
        <v>124</v>
      </c>
      <c r="E17" s="6" t="s">
        <v>193</v>
      </c>
      <c r="G17" s="1">
        <v>140310071</v>
      </c>
      <c r="H17" s="1" t="s">
        <v>192</v>
      </c>
      <c r="I17" s="1" t="s">
        <v>193</v>
      </c>
      <c r="J17" s="1" t="s">
        <v>371</v>
      </c>
    </row>
    <row r="18" spans="1:10" x14ac:dyDescent="0.25">
      <c r="A18" s="1">
        <v>52</v>
      </c>
      <c r="B18" s="1">
        <v>120100047</v>
      </c>
      <c r="D18" s="1" t="s">
        <v>122</v>
      </c>
      <c r="E18" s="7" t="s">
        <v>200</v>
      </c>
      <c r="G18" s="1">
        <v>140310075</v>
      </c>
      <c r="H18" s="1" t="s">
        <v>196</v>
      </c>
      <c r="I18" s="1" t="s">
        <v>198</v>
      </c>
      <c r="J18" s="1" t="s">
        <v>371</v>
      </c>
    </row>
    <row r="19" spans="1:10" x14ac:dyDescent="0.25">
      <c r="A19" s="1">
        <v>4</v>
      </c>
      <c r="B19" s="1">
        <v>120100047</v>
      </c>
      <c r="D19" s="1" t="s">
        <v>155</v>
      </c>
      <c r="E19" s="7" t="s">
        <v>200</v>
      </c>
      <c r="G19" s="1">
        <v>140310083</v>
      </c>
      <c r="H19" s="1" t="s">
        <v>195</v>
      </c>
      <c r="I19" s="1" t="s">
        <v>195</v>
      </c>
      <c r="J19" s="1" t="s">
        <v>371</v>
      </c>
    </row>
    <row r="20" spans="1:10" x14ac:dyDescent="0.25">
      <c r="A20" s="1">
        <v>13</v>
      </c>
      <c r="B20" s="1">
        <v>120100047</v>
      </c>
      <c r="D20" s="1" t="s">
        <v>110</v>
      </c>
      <c r="E20" s="7" t="s">
        <v>200</v>
      </c>
      <c r="G20" s="1">
        <v>140310096</v>
      </c>
      <c r="H20" s="1" t="s">
        <v>192</v>
      </c>
      <c r="I20" s="1" t="s">
        <v>193</v>
      </c>
      <c r="J20" s="1">
        <v>0</v>
      </c>
    </row>
    <row r="21" spans="1:10" x14ac:dyDescent="0.25">
      <c r="A21" s="1">
        <v>61</v>
      </c>
      <c r="B21" s="1">
        <v>120100047</v>
      </c>
      <c r="D21" s="1" t="s">
        <v>137</v>
      </c>
      <c r="E21" s="7" t="s">
        <v>200</v>
      </c>
      <c r="G21" s="1">
        <v>140450027</v>
      </c>
      <c r="H21" s="1" t="s">
        <v>90</v>
      </c>
      <c r="I21" s="1" t="s">
        <v>198</v>
      </c>
      <c r="J21" s="1">
        <v>0</v>
      </c>
    </row>
    <row r="22" spans="1:10" x14ac:dyDescent="0.25">
      <c r="A22" s="1">
        <v>36</v>
      </c>
      <c r="B22" s="1">
        <v>120110061</v>
      </c>
      <c r="D22" s="1" t="s">
        <v>149</v>
      </c>
      <c r="E22" s="6" t="s">
        <v>381</v>
      </c>
      <c r="G22" s="1">
        <v>140450035</v>
      </c>
      <c r="H22" s="1" t="s">
        <v>373</v>
      </c>
      <c r="I22" s="1" t="s">
        <v>198</v>
      </c>
      <c r="J22" s="1">
        <v>0</v>
      </c>
    </row>
    <row r="23" spans="1:10" x14ac:dyDescent="0.25">
      <c r="A23" s="1">
        <v>28</v>
      </c>
      <c r="B23" s="6" t="s">
        <v>18</v>
      </c>
      <c r="D23" s="1" t="s">
        <v>104</v>
      </c>
      <c r="E23" s="6" t="s">
        <v>18</v>
      </c>
      <c r="G23" s="1">
        <v>140450039</v>
      </c>
      <c r="H23" s="1" t="s">
        <v>192</v>
      </c>
      <c r="I23" s="1" t="s">
        <v>192</v>
      </c>
      <c r="J23" s="1" t="s">
        <v>371</v>
      </c>
    </row>
    <row r="24" spans="1:10" x14ac:dyDescent="0.25">
      <c r="A24" s="1">
        <v>29</v>
      </c>
      <c r="B24" s="6" t="s">
        <v>18</v>
      </c>
      <c r="D24" s="1" t="s">
        <v>103</v>
      </c>
      <c r="E24" s="6" t="s">
        <v>18</v>
      </c>
      <c r="G24" s="9">
        <v>140530004</v>
      </c>
      <c r="H24" s="1" t="s">
        <v>90</v>
      </c>
      <c r="I24" s="1" t="s">
        <v>371</v>
      </c>
      <c r="J24" s="1" t="s">
        <v>371</v>
      </c>
    </row>
    <row r="25" spans="1:10" x14ac:dyDescent="0.25">
      <c r="A25" s="1">
        <v>30</v>
      </c>
      <c r="B25" s="6" t="s">
        <v>18</v>
      </c>
      <c r="D25" s="1" t="s">
        <v>105</v>
      </c>
      <c r="E25" s="6" t="s">
        <v>18</v>
      </c>
      <c r="G25" s="9">
        <v>140550019</v>
      </c>
      <c r="H25" s="1" t="s">
        <v>192</v>
      </c>
      <c r="I25" s="1" t="s">
        <v>198</v>
      </c>
      <c r="J25" s="1" t="s">
        <v>371</v>
      </c>
    </row>
    <row r="26" spans="1:10" x14ac:dyDescent="0.25">
      <c r="A26" s="1">
        <v>31</v>
      </c>
      <c r="B26" s="6" t="s">
        <v>18</v>
      </c>
      <c r="D26" s="1" t="s">
        <v>73</v>
      </c>
      <c r="E26" s="6" t="s">
        <v>18</v>
      </c>
      <c r="G26" s="1">
        <v>140550060</v>
      </c>
      <c r="H26" s="1" t="s">
        <v>194</v>
      </c>
      <c r="I26" s="1" t="s">
        <v>371</v>
      </c>
      <c r="J26" s="1" t="s">
        <v>371</v>
      </c>
    </row>
    <row r="27" spans="1:10" x14ac:dyDescent="0.25">
      <c r="A27" s="1">
        <v>37</v>
      </c>
      <c r="B27" s="6" t="s">
        <v>18</v>
      </c>
      <c r="D27" s="1" t="s">
        <v>140</v>
      </c>
      <c r="E27" s="6" t="s">
        <v>18</v>
      </c>
      <c r="G27" s="1">
        <v>140550062</v>
      </c>
      <c r="H27" s="1" t="s">
        <v>90</v>
      </c>
      <c r="I27" s="1" t="s">
        <v>371</v>
      </c>
      <c r="J27" s="1" t="s">
        <v>371</v>
      </c>
    </row>
    <row r="28" spans="1:10" x14ac:dyDescent="0.25">
      <c r="A28" s="1">
        <v>40</v>
      </c>
      <c r="B28" s="6" t="s">
        <v>18</v>
      </c>
      <c r="D28" s="1" t="s">
        <v>146</v>
      </c>
      <c r="E28" s="1" t="s">
        <v>18</v>
      </c>
      <c r="G28" s="1">
        <v>140550063</v>
      </c>
      <c r="H28" s="1" t="s">
        <v>90</v>
      </c>
      <c r="I28" s="1" t="s">
        <v>371</v>
      </c>
      <c r="J28" s="1" t="s">
        <v>371</v>
      </c>
    </row>
    <row r="29" spans="1:10" x14ac:dyDescent="0.25">
      <c r="A29" s="1">
        <v>41</v>
      </c>
      <c r="B29" s="6" t="s">
        <v>18</v>
      </c>
      <c r="D29" s="1" t="s">
        <v>150</v>
      </c>
      <c r="E29" s="1" t="s">
        <v>18</v>
      </c>
      <c r="G29" s="1">
        <v>140550084</v>
      </c>
      <c r="H29" s="1" t="s">
        <v>90</v>
      </c>
      <c r="I29" s="1" t="s">
        <v>371</v>
      </c>
      <c r="J29" s="1" t="s">
        <v>371</v>
      </c>
    </row>
    <row r="30" spans="1:10" x14ac:dyDescent="0.25">
      <c r="A30" s="1">
        <v>42</v>
      </c>
      <c r="B30" s="6" t="s">
        <v>18</v>
      </c>
      <c r="D30" s="1" t="s">
        <v>145</v>
      </c>
      <c r="E30" s="1" t="s">
        <v>18</v>
      </c>
      <c r="G30" s="1">
        <v>140640007</v>
      </c>
      <c r="H30" s="1" t="s">
        <v>196</v>
      </c>
      <c r="I30" s="1" t="s">
        <v>202</v>
      </c>
      <c r="J30" s="1">
        <v>0</v>
      </c>
    </row>
    <row r="31" spans="1:10" x14ac:dyDescent="0.25">
      <c r="A31" s="1">
        <v>59</v>
      </c>
      <c r="B31" s="6" t="s">
        <v>18</v>
      </c>
      <c r="D31" s="1" t="s">
        <v>143</v>
      </c>
      <c r="E31" s="6" t="s">
        <v>18</v>
      </c>
      <c r="G31" s="1">
        <v>140640035</v>
      </c>
      <c r="H31" s="1" t="s">
        <v>196</v>
      </c>
      <c r="I31" s="1" t="s">
        <v>202</v>
      </c>
      <c r="J31" s="1" t="s">
        <v>371</v>
      </c>
    </row>
    <row r="32" spans="1:10" x14ac:dyDescent="0.25">
      <c r="A32" s="1">
        <v>14</v>
      </c>
      <c r="B32" s="1">
        <v>120100083</v>
      </c>
      <c r="D32" s="1" t="s">
        <v>111</v>
      </c>
      <c r="E32" s="6" t="s">
        <v>234</v>
      </c>
      <c r="G32" s="1">
        <v>140680007</v>
      </c>
      <c r="H32" s="1" t="s">
        <v>217</v>
      </c>
      <c r="I32" s="1" t="s">
        <v>371</v>
      </c>
      <c r="J32" s="1" t="s">
        <v>217</v>
      </c>
    </row>
    <row r="33" spans="1:10" x14ac:dyDescent="0.25">
      <c r="A33" s="1">
        <v>38</v>
      </c>
      <c r="B33" s="1">
        <v>120110051</v>
      </c>
      <c r="D33" s="1" t="s">
        <v>114</v>
      </c>
      <c r="E33" s="6" t="s">
        <v>382</v>
      </c>
      <c r="G33" s="1">
        <v>141650001</v>
      </c>
      <c r="H33" s="1" t="s">
        <v>193</v>
      </c>
      <c r="I33" s="1" t="s">
        <v>234</v>
      </c>
      <c r="J33" s="1" t="s">
        <v>371</v>
      </c>
    </row>
    <row r="34" spans="1:10" x14ac:dyDescent="0.25">
      <c r="A34" s="1">
        <v>22</v>
      </c>
      <c r="B34" s="1">
        <v>120110051</v>
      </c>
      <c r="D34" s="1" t="s">
        <v>127</v>
      </c>
      <c r="E34" s="6" t="s">
        <v>383</v>
      </c>
    </row>
    <row r="35" spans="1:10" x14ac:dyDescent="0.25">
      <c r="A35" s="1">
        <v>20</v>
      </c>
      <c r="B35" s="1">
        <v>120110051</v>
      </c>
      <c r="D35" s="1" t="s">
        <v>115</v>
      </c>
      <c r="E35" s="6" t="s">
        <v>382</v>
      </c>
    </row>
    <row r="36" spans="1:10" x14ac:dyDescent="0.25">
      <c r="A36" s="1">
        <v>8</v>
      </c>
      <c r="B36" s="1" t="s">
        <v>96</v>
      </c>
      <c r="D36" s="1" t="s">
        <v>96</v>
      </c>
      <c r="E36" s="6" t="s">
        <v>196</v>
      </c>
    </row>
    <row r="37" spans="1:10" x14ac:dyDescent="0.25">
      <c r="A37" s="1">
        <v>25</v>
      </c>
      <c r="B37" s="1" t="s">
        <v>96</v>
      </c>
      <c r="D37" s="1" t="s">
        <v>99</v>
      </c>
      <c r="E37" s="6" t="s">
        <v>196</v>
      </c>
    </row>
    <row r="38" spans="1:10" x14ac:dyDescent="0.25">
      <c r="A38" s="1">
        <v>27</v>
      </c>
      <c r="B38" s="1" t="s">
        <v>96</v>
      </c>
      <c r="D38" s="1" t="s">
        <v>78</v>
      </c>
      <c r="E38" s="6" t="s">
        <v>196</v>
      </c>
    </row>
    <row r="39" spans="1:10" x14ac:dyDescent="0.25">
      <c r="A39" s="1">
        <v>39</v>
      </c>
      <c r="B39" s="1" t="s">
        <v>96</v>
      </c>
      <c r="D39" s="1" t="s">
        <v>106</v>
      </c>
      <c r="E39" s="6" t="s">
        <v>196</v>
      </c>
    </row>
    <row r="40" spans="1:10" x14ac:dyDescent="0.25">
      <c r="A40" s="1">
        <v>9</v>
      </c>
      <c r="B40" s="1" t="s">
        <v>97</v>
      </c>
      <c r="D40" s="1" t="s">
        <v>97</v>
      </c>
      <c r="E40" s="6" t="s">
        <v>375</v>
      </c>
    </row>
    <row r="41" spans="1:10" x14ac:dyDescent="0.25">
      <c r="A41" s="1">
        <v>26</v>
      </c>
      <c r="B41" s="1" t="s">
        <v>97</v>
      </c>
      <c r="D41" s="1" t="s">
        <v>98</v>
      </c>
      <c r="E41" s="6" t="s">
        <v>375</v>
      </c>
    </row>
    <row r="42" spans="1:10" x14ac:dyDescent="0.25">
      <c r="A42" s="1">
        <v>16</v>
      </c>
      <c r="B42" s="1" t="s">
        <v>157</v>
      </c>
      <c r="D42" s="1" t="s">
        <v>157</v>
      </c>
      <c r="E42" s="6" t="s">
        <v>377</v>
      </c>
    </row>
    <row r="43" spans="1:10" x14ac:dyDescent="0.25">
      <c r="A43" s="1">
        <v>50</v>
      </c>
      <c r="B43" s="1">
        <v>120100018</v>
      </c>
      <c r="D43" s="1" t="s">
        <v>120</v>
      </c>
      <c r="E43" s="6" t="s">
        <v>217</v>
      </c>
    </row>
    <row r="44" spans="1:10" x14ac:dyDescent="0.25">
      <c r="A44" s="1">
        <v>53</v>
      </c>
      <c r="B44" s="1">
        <v>120100018</v>
      </c>
      <c r="D44" s="1" t="s">
        <v>133</v>
      </c>
      <c r="E44" s="6" t="s">
        <v>217</v>
      </c>
    </row>
    <row r="45" spans="1:10" x14ac:dyDescent="0.25">
      <c r="A45" s="1">
        <v>32</v>
      </c>
      <c r="B45" s="1">
        <v>120100018</v>
      </c>
      <c r="D45" s="1" t="s">
        <v>92</v>
      </c>
      <c r="E45" s="6" t="s">
        <v>217</v>
      </c>
    </row>
    <row r="46" spans="1:10" x14ac:dyDescent="0.25">
      <c r="A46" s="1">
        <v>12</v>
      </c>
      <c r="B46" s="1" t="s">
        <v>138</v>
      </c>
      <c r="D46" s="1" t="s">
        <v>138</v>
      </c>
      <c r="E46" s="6" t="s">
        <v>376</v>
      </c>
    </row>
    <row r="47" spans="1:10" x14ac:dyDescent="0.25">
      <c r="A47" s="1">
        <v>72</v>
      </c>
      <c r="B47" s="6" t="s">
        <v>185</v>
      </c>
      <c r="D47" s="1" t="s">
        <v>89</v>
      </c>
      <c r="E47" s="6" t="s">
        <v>185</v>
      </c>
    </row>
    <row r="48" spans="1:10" x14ac:dyDescent="0.25">
      <c r="A48" s="1">
        <v>15</v>
      </c>
      <c r="B48" s="1">
        <v>120100023</v>
      </c>
      <c r="D48" s="1" t="s">
        <v>139</v>
      </c>
      <c r="E48" s="6" t="s">
        <v>198</v>
      </c>
    </row>
    <row r="49" spans="1:5" x14ac:dyDescent="0.25">
      <c r="A49" s="1">
        <v>48</v>
      </c>
      <c r="B49" s="1">
        <v>120100023</v>
      </c>
      <c r="D49" s="1" t="s">
        <v>148</v>
      </c>
      <c r="E49" s="6" t="s">
        <v>198</v>
      </c>
    </row>
    <row r="50" spans="1:5" x14ac:dyDescent="0.25">
      <c r="A50" s="1">
        <v>66</v>
      </c>
      <c r="B50" s="1">
        <v>120100023</v>
      </c>
      <c r="D50" s="1" t="s">
        <v>91</v>
      </c>
      <c r="E50" s="6" t="s">
        <v>198</v>
      </c>
    </row>
    <row r="51" spans="1:5" x14ac:dyDescent="0.25">
      <c r="A51" s="1">
        <v>70</v>
      </c>
      <c r="B51" s="1">
        <v>120100023</v>
      </c>
      <c r="D51" s="1" t="s">
        <v>100</v>
      </c>
      <c r="E51" s="6" t="s">
        <v>198</v>
      </c>
    </row>
    <row r="52" spans="1:5" x14ac:dyDescent="0.25">
      <c r="A52" s="1">
        <v>7</v>
      </c>
      <c r="B52" s="1">
        <v>120100045</v>
      </c>
      <c r="D52" s="1" t="s">
        <v>141</v>
      </c>
      <c r="E52" s="7" t="s">
        <v>201</v>
      </c>
    </row>
    <row r="53" spans="1:5" x14ac:dyDescent="0.25">
      <c r="A53" s="1">
        <v>67</v>
      </c>
      <c r="B53" s="1">
        <v>120100045</v>
      </c>
      <c r="D53" s="1" t="s">
        <v>130</v>
      </c>
      <c r="E53" s="7" t="s">
        <v>201</v>
      </c>
    </row>
    <row r="54" spans="1:5" x14ac:dyDescent="0.25">
      <c r="A54" s="1">
        <v>68</v>
      </c>
      <c r="B54" s="1">
        <v>120100045</v>
      </c>
      <c r="D54" s="1" t="s">
        <v>158</v>
      </c>
      <c r="E54" s="7" t="s">
        <v>201</v>
      </c>
    </row>
    <row r="55" spans="1:5" x14ac:dyDescent="0.25">
      <c r="A55" s="1">
        <v>69</v>
      </c>
      <c r="B55" s="1">
        <v>120100045</v>
      </c>
      <c r="D55" s="1" t="s">
        <v>153</v>
      </c>
      <c r="E55" s="7" t="s">
        <v>201</v>
      </c>
    </row>
    <row r="56" spans="1:5" x14ac:dyDescent="0.25">
      <c r="A56" s="1">
        <v>71</v>
      </c>
      <c r="B56" s="1">
        <v>120100045</v>
      </c>
      <c r="D56" s="1" t="s">
        <v>128</v>
      </c>
      <c r="E56" s="7" t="s">
        <v>201</v>
      </c>
    </row>
    <row r="57" spans="1:5" x14ac:dyDescent="0.25">
      <c r="A57" s="1">
        <v>51</v>
      </c>
      <c r="B57" s="1">
        <v>120100024</v>
      </c>
      <c r="D57" s="1" t="s">
        <v>108</v>
      </c>
      <c r="E57" s="6" t="s">
        <v>210</v>
      </c>
    </row>
    <row r="58" spans="1:5" x14ac:dyDescent="0.25">
      <c r="A58" s="1">
        <v>6</v>
      </c>
      <c r="B58" s="1">
        <v>120100223</v>
      </c>
      <c r="D58" s="1" t="s">
        <v>132</v>
      </c>
      <c r="E58" s="6" t="s">
        <v>194</v>
      </c>
    </row>
    <row r="59" spans="1:5" x14ac:dyDescent="0.25">
      <c r="A59" s="1">
        <v>55</v>
      </c>
      <c r="B59" s="1">
        <v>120100223</v>
      </c>
      <c r="D59" s="1" t="s">
        <v>95</v>
      </c>
      <c r="E59" s="6" t="s">
        <v>194</v>
      </c>
    </row>
    <row r="60" spans="1:5" x14ac:dyDescent="0.25">
      <c r="A60" s="1">
        <v>56</v>
      </c>
      <c r="B60" s="1">
        <v>120100223</v>
      </c>
      <c r="D60" s="1" t="s">
        <v>131</v>
      </c>
      <c r="E60" s="6" t="s">
        <v>194</v>
      </c>
    </row>
    <row r="61" spans="1:5" x14ac:dyDescent="0.25">
      <c r="A61" s="1">
        <v>17</v>
      </c>
      <c r="B61" s="1" t="s">
        <v>134</v>
      </c>
      <c r="D61" s="1" t="s">
        <v>134</v>
      </c>
      <c r="E61" s="6" t="s">
        <v>378</v>
      </c>
    </row>
    <row r="62" spans="1:5" x14ac:dyDescent="0.25">
      <c r="A62" s="1">
        <v>57</v>
      </c>
      <c r="B62" s="1" t="s">
        <v>211</v>
      </c>
      <c r="D62" s="1" t="s">
        <v>142</v>
      </c>
      <c r="E62" s="6" t="s">
        <v>211</v>
      </c>
    </row>
    <row r="63" spans="1:5" x14ac:dyDescent="0.25">
      <c r="A63" s="1">
        <v>58</v>
      </c>
      <c r="B63" s="1" t="s">
        <v>211</v>
      </c>
      <c r="D63" s="1" t="s">
        <v>136</v>
      </c>
      <c r="E63" s="6" t="s">
        <v>211</v>
      </c>
    </row>
    <row r="64" spans="1:5" x14ac:dyDescent="0.25">
      <c r="A64" s="1">
        <v>46</v>
      </c>
      <c r="B64" s="1">
        <v>120100029</v>
      </c>
      <c r="D64" s="1" t="s">
        <v>107</v>
      </c>
      <c r="E64" s="6" t="s">
        <v>197</v>
      </c>
    </row>
    <row r="65" spans="1:5" x14ac:dyDescent="0.25">
      <c r="A65" s="1">
        <v>47</v>
      </c>
      <c r="B65" s="1">
        <v>120100029</v>
      </c>
      <c r="D65" s="1" t="s">
        <v>125</v>
      </c>
      <c r="E65" s="6" t="s">
        <v>197</v>
      </c>
    </row>
    <row r="66" spans="1:5" x14ac:dyDescent="0.25">
      <c r="A66" s="1">
        <v>5</v>
      </c>
      <c r="B66" s="1">
        <v>120110052</v>
      </c>
      <c r="D66" s="1" t="s">
        <v>151</v>
      </c>
      <c r="E66" s="6" t="s">
        <v>202</v>
      </c>
    </row>
    <row r="67" spans="1:5" x14ac:dyDescent="0.25">
      <c r="A67" s="1">
        <v>21</v>
      </c>
      <c r="B67" s="1">
        <v>120110052</v>
      </c>
      <c r="D67" s="1" t="s">
        <v>112</v>
      </c>
      <c r="E67" s="6" t="s">
        <v>202</v>
      </c>
    </row>
    <row r="68" spans="1:5" x14ac:dyDescent="0.25">
      <c r="A68" s="1">
        <v>49</v>
      </c>
      <c r="B68" s="1">
        <v>120110052</v>
      </c>
      <c r="D68" s="1" t="s">
        <v>102</v>
      </c>
      <c r="E68" s="6" t="s">
        <v>202</v>
      </c>
    </row>
    <row r="69" spans="1:5" x14ac:dyDescent="0.25">
      <c r="A69" s="1">
        <v>18</v>
      </c>
      <c r="B69" s="1">
        <v>120110001</v>
      </c>
      <c r="D69" s="1" t="s">
        <v>116</v>
      </c>
      <c r="E69" s="6" t="s">
        <v>90</v>
      </c>
    </row>
    <row r="70" spans="1:5" x14ac:dyDescent="0.25">
      <c r="A70" s="1">
        <v>19</v>
      </c>
      <c r="B70" s="1">
        <v>120110001</v>
      </c>
      <c r="D70" s="1" t="s">
        <v>152</v>
      </c>
      <c r="E70" s="6" t="s">
        <v>90</v>
      </c>
    </row>
    <row r="71" spans="1:5" x14ac:dyDescent="0.25">
      <c r="A71" s="1">
        <v>43</v>
      </c>
      <c r="B71" s="1">
        <v>120110001</v>
      </c>
      <c r="D71" s="1" t="s">
        <v>90</v>
      </c>
      <c r="E71" s="6" t="s">
        <v>90</v>
      </c>
    </row>
    <row r="72" spans="1:5" x14ac:dyDescent="0.25">
      <c r="A72" s="1">
        <v>44</v>
      </c>
      <c r="B72" s="1">
        <v>120110001</v>
      </c>
      <c r="D72" s="1" t="s">
        <v>93</v>
      </c>
      <c r="E72" s="6" t="s">
        <v>90</v>
      </c>
    </row>
    <row r="73" spans="1:5" x14ac:dyDescent="0.25">
      <c r="A73" s="1">
        <v>45</v>
      </c>
      <c r="B73" s="1">
        <v>120110015</v>
      </c>
      <c r="D73" s="1" t="s">
        <v>101</v>
      </c>
      <c r="E73" s="6" t="s">
        <v>101</v>
      </c>
    </row>
    <row r="74" spans="1:5" x14ac:dyDescent="0.25">
      <c r="D74" s="1">
        <v>0</v>
      </c>
      <c r="E74" s="6"/>
    </row>
  </sheetData>
  <sortState xmlns:xlrd2="http://schemas.microsoft.com/office/spreadsheetml/2017/richdata2" ref="H2:H76">
    <sortCondition ref="H2:H76"/>
  </sortState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F22A8-F4C4-462C-811D-23F00C317042}">
  <sheetPr codeName="Sheet7"/>
  <dimension ref="A1:F16"/>
  <sheetViews>
    <sheetView workbookViewId="0">
      <selection activeCell="D7" sqref="D7"/>
    </sheetView>
  </sheetViews>
  <sheetFormatPr defaultRowHeight="15" x14ac:dyDescent="0.25"/>
  <cols>
    <col min="1" max="1" width="11.28515625" style="1" customWidth="1"/>
    <col min="2" max="2" width="16.7109375" style="1" bestFit="1" customWidth="1"/>
    <col min="3" max="3" width="10.5703125" style="1" customWidth="1"/>
    <col min="4" max="4" width="18.28515625" style="1" bestFit="1" customWidth="1"/>
    <col min="5" max="5" width="15.85546875" style="1" bestFit="1" customWidth="1"/>
    <col min="6" max="6" width="16.7109375" style="1" bestFit="1" customWidth="1"/>
    <col min="7" max="16384" width="9.140625" style="1"/>
  </cols>
  <sheetData>
    <row r="1" spans="1:6" x14ac:dyDescent="0.25">
      <c r="A1" s="1" t="s">
        <v>0</v>
      </c>
      <c r="B1" s="1" t="s">
        <v>2</v>
      </c>
      <c r="C1" s="1" t="s">
        <v>244</v>
      </c>
      <c r="D1" s="1" t="s">
        <v>243</v>
      </c>
      <c r="E1" s="1" t="s">
        <v>203</v>
      </c>
      <c r="F1" s="1" t="s">
        <v>13</v>
      </c>
    </row>
    <row r="2" spans="1:6" x14ac:dyDescent="0.25">
      <c r="A2" s="1">
        <v>1</v>
      </c>
      <c r="B2" s="8" t="s">
        <v>214</v>
      </c>
      <c r="C2" s="1" t="s">
        <v>213</v>
      </c>
      <c r="D2" s="1" t="s">
        <v>101</v>
      </c>
      <c r="E2" s="1">
        <v>120110015</v>
      </c>
      <c r="F2" s="8" t="s">
        <v>214</v>
      </c>
    </row>
    <row r="3" spans="1:6" x14ac:dyDescent="0.25">
      <c r="A3" s="1">
        <v>2</v>
      </c>
      <c r="B3" s="8" t="s">
        <v>102</v>
      </c>
      <c r="C3" s="1" t="s">
        <v>215</v>
      </c>
      <c r="D3" s="1" t="s">
        <v>202</v>
      </c>
      <c r="E3" s="1">
        <v>120110052</v>
      </c>
      <c r="F3" s="8" t="s">
        <v>102</v>
      </c>
    </row>
    <row r="4" spans="1:6" x14ac:dyDescent="0.25">
      <c r="A4" s="1">
        <v>3</v>
      </c>
      <c r="B4" s="8" t="s">
        <v>218</v>
      </c>
      <c r="C4" s="1" t="s">
        <v>216</v>
      </c>
      <c r="D4" s="1" t="s">
        <v>217</v>
      </c>
      <c r="E4" s="1">
        <v>120100018</v>
      </c>
      <c r="F4" s="8" t="s">
        <v>218</v>
      </c>
    </row>
    <row r="5" spans="1:6" x14ac:dyDescent="0.25">
      <c r="A5" s="1">
        <v>4</v>
      </c>
      <c r="B5" s="8" t="s">
        <v>95</v>
      </c>
      <c r="C5" s="1" t="s">
        <v>219</v>
      </c>
      <c r="D5" s="1" t="s">
        <v>194</v>
      </c>
      <c r="E5" s="1">
        <v>120100223</v>
      </c>
      <c r="F5" s="8" t="s">
        <v>95</v>
      </c>
    </row>
    <row r="6" spans="1:6" x14ac:dyDescent="0.25">
      <c r="A6" s="1">
        <v>5</v>
      </c>
      <c r="B6" s="8" t="s">
        <v>221</v>
      </c>
      <c r="C6" s="1" t="s">
        <v>220</v>
      </c>
      <c r="D6" s="1" t="s">
        <v>198</v>
      </c>
      <c r="E6" s="1">
        <v>120100023</v>
      </c>
      <c r="F6" s="8" t="s">
        <v>221</v>
      </c>
    </row>
    <row r="7" spans="1:6" x14ac:dyDescent="0.25">
      <c r="A7" s="1">
        <v>6</v>
      </c>
      <c r="B7" s="8" t="s">
        <v>144</v>
      </c>
      <c r="C7" s="1" t="s">
        <v>222</v>
      </c>
      <c r="D7" s="1" t="s">
        <v>192</v>
      </c>
      <c r="E7" s="1">
        <v>120100016</v>
      </c>
      <c r="F7" s="8" t="s">
        <v>144</v>
      </c>
    </row>
    <row r="8" spans="1:6" x14ac:dyDescent="0.25">
      <c r="A8" s="1">
        <v>7</v>
      </c>
      <c r="B8" s="8" t="s">
        <v>224</v>
      </c>
      <c r="C8" s="1" t="s">
        <v>223</v>
      </c>
      <c r="D8" s="1" t="s">
        <v>193</v>
      </c>
      <c r="E8" s="1">
        <v>120100047</v>
      </c>
      <c r="F8" s="8" t="s">
        <v>224</v>
      </c>
    </row>
    <row r="9" spans="1:6" x14ac:dyDescent="0.25">
      <c r="A9" s="1">
        <v>8</v>
      </c>
      <c r="B9" s="8" t="s">
        <v>226</v>
      </c>
      <c r="C9" s="1" t="s">
        <v>225</v>
      </c>
      <c r="D9" s="1" t="s">
        <v>195</v>
      </c>
      <c r="E9" s="1">
        <v>120100045</v>
      </c>
      <c r="F9" s="8" t="s">
        <v>226</v>
      </c>
    </row>
    <row r="10" spans="1:6" x14ac:dyDescent="0.25">
      <c r="A10" s="1">
        <v>9</v>
      </c>
      <c r="B10" s="8" t="s">
        <v>228</v>
      </c>
      <c r="C10" s="1" t="s">
        <v>227</v>
      </c>
      <c r="D10" s="1" t="s">
        <v>196</v>
      </c>
      <c r="E10" s="1">
        <v>120100002</v>
      </c>
      <c r="F10" s="8" t="s">
        <v>228</v>
      </c>
    </row>
    <row r="11" spans="1:6" x14ac:dyDescent="0.25">
      <c r="A11" s="1">
        <v>10</v>
      </c>
      <c r="B11" s="8" t="s">
        <v>107</v>
      </c>
      <c r="C11" s="1" t="s">
        <v>229</v>
      </c>
      <c r="D11" s="1" t="s">
        <v>197</v>
      </c>
      <c r="E11" s="1">
        <v>120100029</v>
      </c>
      <c r="F11" s="8" t="s">
        <v>107</v>
      </c>
    </row>
    <row r="12" spans="1:6" x14ac:dyDescent="0.25">
      <c r="A12" s="1">
        <v>11</v>
      </c>
      <c r="B12" s="8" t="s">
        <v>232</v>
      </c>
      <c r="C12" s="1" t="s">
        <v>230</v>
      </c>
      <c r="D12" s="1" t="s">
        <v>231</v>
      </c>
      <c r="E12" s="1">
        <v>120100021</v>
      </c>
      <c r="F12" s="8" t="s">
        <v>232</v>
      </c>
    </row>
    <row r="13" spans="1:6" x14ac:dyDescent="0.25">
      <c r="A13" s="1">
        <v>12</v>
      </c>
      <c r="B13" s="8" t="s">
        <v>235</v>
      </c>
      <c r="C13" s="1" t="s">
        <v>233</v>
      </c>
      <c r="D13" s="1" t="s">
        <v>234</v>
      </c>
      <c r="E13" s="1">
        <v>120100083</v>
      </c>
      <c r="F13" s="8" t="s">
        <v>235</v>
      </c>
    </row>
    <row r="14" spans="1:6" x14ac:dyDescent="0.25">
      <c r="A14" s="1">
        <v>13</v>
      </c>
      <c r="B14" s="8" t="s">
        <v>149</v>
      </c>
      <c r="C14" s="1" t="s">
        <v>236</v>
      </c>
      <c r="D14" s="1" t="s">
        <v>237</v>
      </c>
      <c r="E14" s="1">
        <v>120110061</v>
      </c>
      <c r="F14" s="8" t="s">
        <v>149</v>
      </c>
    </row>
    <row r="15" spans="1:6" x14ac:dyDescent="0.25">
      <c r="A15" s="1">
        <v>14</v>
      </c>
      <c r="B15" s="8" t="s">
        <v>239</v>
      </c>
      <c r="C15" s="1" t="s">
        <v>238</v>
      </c>
      <c r="D15" s="1" t="s">
        <v>90</v>
      </c>
      <c r="E15" s="1">
        <v>120110001</v>
      </c>
      <c r="F15" s="8" t="s">
        <v>239</v>
      </c>
    </row>
    <row r="16" spans="1:6" x14ac:dyDescent="0.25">
      <c r="A16" s="1">
        <v>15</v>
      </c>
      <c r="B16" s="8" t="s">
        <v>242</v>
      </c>
      <c r="C16" s="1" t="s">
        <v>240</v>
      </c>
      <c r="D16" s="1" t="s">
        <v>241</v>
      </c>
      <c r="E16" s="1">
        <v>120100323</v>
      </c>
      <c r="F16" s="8" t="s">
        <v>242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A555D-9111-43E2-B7E9-08AF273FDFC6}">
  <sheetPr codeName="Sheet8"/>
  <dimension ref="A1:G64"/>
  <sheetViews>
    <sheetView workbookViewId="0">
      <selection activeCell="H1" sqref="H1:H1048576"/>
    </sheetView>
  </sheetViews>
  <sheetFormatPr defaultRowHeight="15" x14ac:dyDescent="0.25"/>
  <cols>
    <col min="1" max="1" width="7.28515625" style="1" bestFit="1" customWidth="1"/>
    <col min="2" max="2" width="19.140625" style="1" bestFit="1" customWidth="1"/>
    <col min="3" max="3" width="16.7109375" style="1" customWidth="1"/>
    <col min="4" max="4" width="50.140625" style="1" bestFit="1" customWidth="1"/>
    <col min="5" max="5" width="12.28515625" style="1" bestFit="1" customWidth="1"/>
    <col min="6" max="6" width="11" style="1" bestFit="1" customWidth="1"/>
    <col min="7" max="7" width="15.140625" style="1" bestFit="1" customWidth="1"/>
    <col min="8" max="16384" width="9.140625" style="1"/>
  </cols>
  <sheetData>
    <row r="1" spans="1:7" x14ac:dyDescent="0.25">
      <c r="A1" s="1" t="s">
        <v>0</v>
      </c>
      <c r="B1" s="1" t="s">
        <v>204</v>
      </c>
      <c r="C1" s="1" t="s">
        <v>205</v>
      </c>
      <c r="D1" s="1" t="s">
        <v>2</v>
      </c>
      <c r="E1" s="1" t="s">
        <v>206</v>
      </c>
      <c r="F1" s="1" t="s">
        <v>209</v>
      </c>
      <c r="G1" s="1" t="s">
        <v>361</v>
      </c>
    </row>
    <row r="2" spans="1:7" x14ac:dyDescent="0.25">
      <c r="A2" s="1" t="s">
        <v>262</v>
      </c>
      <c r="B2" s="1" t="s">
        <v>208</v>
      </c>
      <c r="D2" s="2" t="s">
        <v>313</v>
      </c>
      <c r="G2" s="1">
        <v>12.96</v>
      </c>
    </row>
    <row r="3" spans="1:7" x14ac:dyDescent="0.25">
      <c r="A3" s="1" t="s">
        <v>263</v>
      </c>
      <c r="B3" s="1" t="s">
        <v>208</v>
      </c>
      <c r="D3" s="2" t="s">
        <v>314</v>
      </c>
      <c r="G3" s="1">
        <v>6.9</v>
      </c>
    </row>
    <row r="4" spans="1:7" x14ac:dyDescent="0.25">
      <c r="A4" s="1" t="s">
        <v>293</v>
      </c>
      <c r="B4" s="1" t="s">
        <v>208</v>
      </c>
      <c r="D4" s="2" t="s">
        <v>343</v>
      </c>
    </row>
    <row r="5" spans="1:7" x14ac:dyDescent="0.25">
      <c r="A5" s="1" t="s">
        <v>293</v>
      </c>
      <c r="B5" s="1" t="s">
        <v>348</v>
      </c>
      <c r="D5" s="2" t="s">
        <v>347</v>
      </c>
      <c r="G5" s="1">
        <v>6.9</v>
      </c>
    </row>
    <row r="6" spans="1:7" x14ac:dyDescent="0.25">
      <c r="A6" s="1" t="s">
        <v>266</v>
      </c>
      <c r="B6" s="1" t="s">
        <v>208</v>
      </c>
      <c r="D6" s="2" t="s">
        <v>317</v>
      </c>
    </row>
    <row r="7" spans="1:7" x14ac:dyDescent="0.25">
      <c r="A7" s="1" t="s">
        <v>266</v>
      </c>
      <c r="B7" s="1" t="s">
        <v>208</v>
      </c>
      <c r="D7" s="2" t="s">
        <v>358</v>
      </c>
    </row>
    <row r="8" spans="1:7" x14ac:dyDescent="0.25">
      <c r="A8" s="1" t="s">
        <v>249</v>
      </c>
      <c r="B8" s="1" t="s">
        <v>207</v>
      </c>
      <c r="D8" s="2" t="s">
        <v>302</v>
      </c>
      <c r="G8" s="1">
        <v>7.29</v>
      </c>
    </row>
    <row r="9" spans="1:7" x14ac:dyDescent="0.25">
      <c r="A9" s="1" t="s">
        <v>282</v>
      </c>
      <c r="B9" s="1" t="s">
        <v>208</v>
      </c>
      <c r="D9" s="2" t="s">
        <v>331</v>
      </c>
      <c r="G9" s="1">
        <v>6.89</v>
      </c>
    </row>
    <row r="10" spans="1:7" x14ac:dyDescent="0.25">
      <c r="A10" s="1" t="s">
        <v>265</v>
      </c>
      <c r="B10" s="1" t="s">
        <v>208</v>
      </c>
      <c r="D10" s="2" t="s">
        <v>316</v>
      </c>
      <c r="G10" s="1">
        <v>12.78</v>
      </c>
    </row>
    <row r="11" spans="1:7" x14ac:dyDescent="0.25">
      <c r="A11" s="1" t="s">
        <v>265</v>
      </c>
      <c r="B11" s="1" t="s">
        <v>208</v>
      </c>
      <c r="D11" s="2" t="s">
        <v>316</v>
      </c>
      <c r="G11" s="1">
        <v>12.78</v>
      </c>
    </row>
    <row r="12" spans="1:7" x14ac:dyDescent="0.25">
      <c r="A12" s="1" t="s">
        <v>246</v>
      </c>
      <c r="B12" s="1" t="s">
        <v>207</v>
      </c>
      <c r="D12" s="2" t="s">
        <v>299</v>
      </c>
      <c r="G12" s="1">
        <v>14</v>
      </c>
    </row>
    <row r="13" spans="1:7" x14ac:dyDescent="0.25">
      <c r="A13" s="1" t="s">
        <v>251</v>
      </c>
      <c r="B13" s="1" t="s">
        <v>207</v>
      </c>
      <c r="D13" s="2" t="s">
        <v>304</v>
      </c>
    </row>
    <row r="14" spans="1:7" x14ac:dyDescent="0.25">
      <c r="A14" s="1" t="s">
        <v>261</v>
      </c>
      <c r="B14" s="1" t="s">
        <v>208</v>
      </c>
      <c r="D14" s="2" t="s">
        <v>312</v>
      </c>
    </row>
    <row r="15" spans="1:7" x14ac:dyDescent="0.25">
      <c r="A15" s="1" t="s">
        <v>260</v>
      </c>
      <c r="B15" s="1" t="s">
        <v>208</v>
      </c>
      <c r="D15" s="2" t="s">
        <v>350</v>
      </c>
    </row>
    <row r="16" spans="1:7" x14ac:dyDescent="0.25">
      <c r="A16" s="1" t="s">
        <v>260</v>
      </c>
      <c r="B16" s="1" t="s">
        <v>208</v>
      </c>
      <c r="D16" s="2" t="s">
        <v>360</v>
      </c>
    </row>
    <row r="17" spans="1:7" x14ac:dyDescent="0.25">
      <c r="A17" s="1" t="s">
        <v>259</v>
      </c>
      <c r="B17" s="1" t="s">
        <v>208</v>
      </c>
      <c r="D17" s="2" t="s">
        <v>311</v>
      </c>
      <c r="G17" s="1">
        <v>14.45</v>
      </c>
    </row>
    <row r="18" spans="1:7" x14ac:dyDescent="0.25">
      <c r="A18" s="1" t="s">
        <v>290</v>
      </c>
      <c r="B18" s="1" t="s">
        <v>349</v>
      </c>
      <c r="D18" s="2" t="s">
        <v>340</v>
      </c>
      <c r="G18" s="1">
        <v>12.96</v>
      </c>
    </row>
    <row r="19" spans="1:7" x14ac:dyDescent="0.25">
      <c r="A19" s="1" t="s">
        <v>290</v>
      </c>
      <c r="B19" s="1" t="s">
        <v>208</v>
      </c>
      <c r="D19" s="2" t="s">
        <v>344</v>
      </c>
      <c r="G19" s="1">
        <v>12.96</v>
      </c>
    </row>
    <row r="20" spans="1:7" x14ac:dyDescent="0.25">
      <c r="A20" s="1" t="s">
        <v>256</v>
      </c>
      <c r="B20" s="1" t="s">
        <v>208</v>
      </c>
      <c r="D20" s="2" t="s">
        <v>308</v>
      </c>
    </row>
    <row r="21" spans="1:7" x14ac:dyDescent="0.25">
      <c r="A21" s="1" t="s">
        <v>252</v>
      </c>
      <c r="B21" s="1" t="s">
        <v>208</v>
      </c>
      <c r="D21" s="2" t="s">
        <v>351</v>
      </c>
    </row>
    <row r="22" spans="1:7" x14ac:dyDescent="0.25">
      <c r="A22" s="1" t="s">
        <v>245</v>
      </c>
      <c r="B22" s="1" t="s">
        <v>207</v>
      </c>
      <c r="D22" s="2" t="s">
        <v>298</v>
      </c>
    </row>
    <row r="23" spans="1:7" x14ac:dyDescent="0.25">
      <c r="A23" s="1" t="s">
        <v>247</v>
      </c>
      <c r="B23" s="1" t="s">
        <v>207</v>
      </c>
      <c r="D23" s="2" t="s">
        <v>300</v>
      </c>
      <c r="G23" s="1">
        <v>6.93</v>
      </c>
    </row>
    <row r="24" spans="1:7" x14ac:dyDescent="0.25">
      <c r="A24" s="1" t="s">
        <v>294</v>
      </c>
      <c r="B24" s="1" t="s">
        <v>207</v>
      </c>
      <c r="D24" s="2" t="s">
        <v>299</v>
      </c>
    </row>
    <row r="25" spans="1:7" x14ac:dyDescent="0.25">
      <c r="A25" s="1" t="s">
        <v>291</v>
      </c>
      <c r="B25" s="1" t="s">
        <v>208</v>
      </c>
      <c r="D25" s="2" t="s">
        <v>341</v>
      </c>
      <c r="G25" s="1">
        <v>6.9</v>
      </c>
    </row>
    <row r="26" spans="1:7" x14ac:dyDescent="0.25">
      <c r="A26" s="1" t="s">
        <v>253</v>
      </c>
      <c r="B26" s="1" t="s">
        <v>207</v>
      </c>
      <c r="D26" s="2" t="s">
        <v>305</v>
      </c>
      <c r="G26" s="1">
        <v>6.89</v>
      </c>
    </row>
    <row r="27" spans="1:7" x14ac:dyDescent="0.25">
      <c r="A27" s="1" t="s">
        <v>297</v>
      </c>
      <c r="B27" s="1" t="s">
        <v>349</v>
      </c>
      <c r="D27" s="2" t="s">
        <v>346</v>
      </c>
      <c r="G27" s="1">
        <v>14</v>
      </c>
    </row>
    <row r="28" spans="1:7" x14ac:dyDescent="0.25">
      <c r="A28" s="1" t="s">
        <v>288</v>
      </c>
      <c r="B28" s="1" t="s">
        <v>349</v>
      </c>
      <c r="D28" s="2" t="s">
        <v>337</v>
      </c>
    </row>
    <row r="29" spans="1:7" x14ac:dyDescent="0.25">
      <c r="A29" s="1" t="s">
        <v>271</v>
      </c>
      <c r="B29" s="1" t="s">
        <v>348</v>
      </c>
      <c r="D29" s="2" t="s">
        <v>322</v>
      </c>
    </row>
    <row r="30" spans="1:7" x14ac:dyDescent="0.25">
      <c r="A30" s="1" t="s">
        <v>272</v>
      </c>
      <c r="B30" s="1" t="s">
        <v>348</v>
      </c>
      <c r="D30" s="2" t="s">
        <v>323</v>
      </c>
    </row>
    <row r="31" spans="1:7" x14ac:dyDescent="0.25">
      <c r="A31" s="1" t="s">
        <v>272</v>
      </c>
      <c r="B31" s="1" t="s">
        <v>349</v>
      </c>
      <c r="D31" s="2" t="s">
        <v>338</v>
      </c>
    </row>
    <row r="32" spans="1:7" x14ac:dyDescent="0.25">
      <c r="A32" s="1" t="s">
        <v>284</v>
      </c>
      <c r="B32" s="1" t="s">
        <v>349</v>
      </c>
      <c r="D32" s="2" t="s">
        <v>355</v>
      </c>
      <c r="G32" s="1">
        <v>14.45</v>
      </c>
    </row>
    <row r="33" spans="1:7" x14ac:dyDescent="0.25">
      <c r="A33" s="1" t="s">
        <v>285</v>
      </c>
      <c r="B33" s="1" t="s">
        <v>349</v>
      </c>
      <c r="D33" s="2" t="s">
        <v>333</v>
      </c>
      <c r="G33" s="1">
        <v>12.96</v>
      </c>
    </row>
    <row r="34" spans="1:7" x14ac:dyDescent="0.25">
      <c r="A34" s="1" t="s">
        <v>289</v>
      </c>
      <c r="B34" s="1" t="s">
        <v>349</v>
      </c>
      <c r="D34" s="2" t="s">
        <v>339</v>
      </c>
    </row>
    <row r="35" spans="1:7" x14ac:dyDescent="0.25">
      <c r="A35" s="1" t="s">
        <v>278</v>
      </c>
      <c r="B35" s="1" t="s">
        <v>348</v>
      </c>
      <c r="D35" s="2" t="s">
        <v>327</v>
      </c>
    </row>
    <row r="36" spans="1:7" x14ac:dyDescent="0.25">
      <c r="A36" s="1" t="s">
        <v>278</v>
      </c>
      <c r="B36" s="1" t="s">
        <v>349</v>
      </c>
      <c r="D36" s="2" t="s">
        <v>334</v>
      </c>
    </row>
    <row r="37" spans="1:7" x14ac:dyDescent="0.25">
      <c r="A37" s="1" t="s">
        <v>278</v>
      </c>
      <c r="B37" s="1" t="s">
        <v>349</v>
      </c>
      <c r="D37" s="2" t="s">
        <v>335</v>
      </c>
    </row>
    <row r="38" spans="1:7" x14ac:dyDescent="0.25">
      <c r="A38" s="1" t="s">
        <v>276</v>
      </c>
      <c r="B38" s="1" t="s">
        <v>349</v>
      </c>
      <c r="D38" s="2" t="s">
        <v>325</v>
      </c>
    </row>
    <row r="39" spans="1:7" x14ac:dyDescent="0.25">
      <c r="A39" s="1" t="s">
        <v>277</v>
      </c>
      <c r="B39" s="1" t="s">
        <v>349</v>
      </c>
      <c r="D39" s="2" t="s">
        <v>326</v>
      </c>
    </row>
    <row r="40" spans="1:7" x14ac:dyDescent="0.25">
      <c r="A40" s="1" t="s">
        <v>286</v>
      </c>
      <c r="B40" s="1" t="s">
        <v>349</v>
      </c>
      <c r="D40" s="2" t="s">
        <v>356</v>
      </c>
    </row>
    <row r="41" spans="1:7" x14ac:dyDescent="0.25">
      <c r="A41" s="1" t="s">
        <v>279</v>
      </c>
      <c r="B41" s="1" t="s">
        <v>349</v>
      </c>
      <c r="D41" s="2" t="s">
        <v>329</v>
      </c>
    </row>
    <row r="42" spans="1:7" x14ac:dyDescent="0.25">
      <c r="A42" s="1" t="s">
        <v>280</v>
      </c>
      <c r="B42" s="1" t="s">
        <v>349</v>
      </c>
      <c r="D42" s="2" t="s">
        <v>354</v>
      </c>
    </row>
    <row r="43" spans="1:7" x14ac:dyDescent="0.25">
      <c r="A43" s="1" t="s">
        <v>283</v>
      </c>
      <c r="B43" s="1" t="s">
        <v>349</v>
      </c>
      <c r="D43" s="2" t="s">
        <v>332</v>
      </c>
    </row>
    <row r="44" spans="1:7" x14ac:dyDescent="0.25">
      <c r="A44" s="1" t="s">
        <v>269</v>
      </c>
      <c r="B44" s="1" t="s">
        <v>348</v>
      </c>
      <c r="D44" s="2" t="s">
        <v>320</v>
      </c>
    </row>
    <row r="45" spans="1:7" x14ac:dyDescent="0.25">
      <c r="A45" s="1" t="s">
        <v>270</v>
      </c>
      <c r="B45" s="1" t="s">
        <v>348</v>
      </c>
      <c r="D45" s="2" t="s">
        <v>321</v>
      </c>
    </row>
    <row r="46" spans="1:7" x14ac:dyDescent="0.25">
      <c r="A46" s="1" t="s">
        <v>248</v>
      </c>
      <c r="B46" s="1" t="s">
        <v>207</v>
      </c>
      <c r="D46" s="2" t="s">
        <v>301</v>
      </c>
    </row>
    <row r="47" spans="1:7" x14ac:dyDescent="0.25">
      <c r="A47" s="1" t="s">
        <v>254</v>
      </c>
      <c r="B47" s="1" t="s">
        <v>207</v>
      </c>
      <c r="D47" s="2" t="s">
        <v>306</v>
      </c>
    </row>
    <row r="48" spans="1:7" x14ac:dyDescent="0.25">
      <c r="A48" s="1" t="s">
        <v>250</v>
      </c>
      <c r="B48" s="1" t="s">
        <v>207</v>
      </c>
      <c r="D48" s="2" t="s">
        <v>303</v>
      </c>
    </row>
    <row r="49" spans="1:4" x14ac:dyDescent="0.25">
      <c r="A49" s="1" t="s">
        <v>258</v>
      </c>
      <c r="B49" s="1" t="s">
        <v>208</v>
      </c>
      <c r="D49" s="2" t="s">
        <v>310</v>
      </c>
    </row>
    <row r="50" spans="1:4" x14ac:dyDescent="0.25">
      <c r="A50" s="1" t="s">
        <v>258</v>
      </c>
      <c r="B50" s="1" t="s">
        <v>348</v>
      </c>
      <c r="D50" s="2" t="s">
        <v>328</v>
      </c>
    </row>
    <row r="51" spans="1:4" x14ac:dyDescent="0.25">
      <c r="A51" s="1" t="s">
        <v>255</v>
      </c>
      <c r="B51" s="1" t="s">
        <v>208</v>
      </c>
      <c r="D51" s="2" t="s">
        <v>307</v>
      </c>
    </row>
    <row r="52" spans="1:4" x14ac:dyDescent="0.25">
      <c r="A52" s="1" t="s">
        <v>292</v>
      </c>
      <c r="B52" s="1" t="s">
        <v>208</v>
      </c>
      <c r="D52" s="2" t="s">
        <v>342</v>
      </c>
    </row>
    <row r="53" spans="1:4" x14ac:dyDescent="0.25">
      <c r="A53" s="1" t="s">
        <v>264</v>
      </c>
      <c r="B53" s="1" t="s">
        <v>208</v>
      </c>
      <c r="D53" s="2" t="s">
        <v>315</v>
      </c>
    </row>
    <row r="54" spans="1:4" x14ac:dyDescent="0.25">
      <c r="A54" s="1" t="s">
        <v>257</v>
      </c>
      <c r="B54" s="1" t="s">
        <v>208</v>
      </c>
      <c r="D54" s="2" t="s">
        <v>309</v>
      </c>
    </row>
    <row r="55" spans="1:4" x14ac:dyDescent="0.25">
      <c r="A55" s="1" t="s">
        <v>295</v>
      </c>
      <c r="B55" s="1" t="s">
        <v>349</v>
      </c>
      <c r="D55" s="2" t="s">
        <v>359</v>
      </c>
    </row>
    <row r="56" spans="1:4" x14ac:dyDescent="0.25">
      <c r="A56" s="1" t="s">
        <v>296</v>
      </c>
      <c r="B56" s="1" t="s">
        <v>348</v>
      </c>
      <c r="D56" s="2" t="s">
        <v>345</v>
      </c>
    </row>
    <row r="57" spans="1:4" x14ac:dyDescent="0.25">
      <c r="A57" s="1" t="s">
        <v>273</v>
      </c>
      <c r="B57" s="1" t="s">
        <v>349</v>
      </c>
      <c r="D57" s="2" t="s">
        <v>324</v>
      </c>
    </row>
    <row r="58" spans="1:4" x14ac:dyDescent="0.25">
      <c r="A58" s="1" t="s">
        <v>274</v>
      </c>
      <c r="B58" s="1" t="s">
        <v>349</v>
      </c>
      <c r="D58" s="2" t="s">
        <v>352</v>
      </c>
    </row>
    <row r="59" spans="1:4" x14ac:dyDescent="0.25">
      <c r="A59" s="1" t="s">
        <v>275</v>
      </c>
      <c r="B59" s="1" t="s">
        <v>349</v>
      </c>
      <c r="D59" s="2" t="s">
        <v>353</v>
      </c>
    </row>
    <row r="60" spans="1:4" x14ac:dyDescent="0.25">
      <c r="A60" s="1" t="s">
        <v>281</v>
      </c>
      <c r="B60" s="1" t="s">
        <v>349</v>
      </c>
      <c r="D60" s="2" t="s">
        <v>330</v>
      </c>
    </row>
    <row r="61" spans="1:4" x14ac:dyDescent="0.25">
      <c r="A61" s="1" t="s">
        <v>287</v>
      </c>
      <c r="B61" s="1" t="s">
        <v>349</v>
      </c>
      <c r="D61" s="2" t="s">
        <v>336</v>
      </c>
    </row>
    <row r="62" spans="1:4" x14ac:dyDescent="0.25">
      <c r="A62" s="1" t="s">
        <v>267</v>
      </c>
      <c r="B62" s="1" t="s">
        <v>208</v>
      </c>
      <c r="D62" s="2" t="s">
        <v>318</v>
      </c>
    </row>
    <row r="63" spans="1:4" x14ac:dyDescent="0.25">
      <c r="A63" s="1" t="s">
        <v>268</v>
      </c>
      <c r="B63" s="1" t="s">
        <v>208</v>
      </c>
      <c r="D63" s="2" t="s">
        <v>319</v>
      </c>
    </row>
    <row r="64" spans="1:4" x14ac:dyDescent="0.25">
      <c r="A64" s="1" t="s">
        <v>268</v>
      </c>
      <c r="B64" s="1" t="s">
        <v>349</v>
      </c>
      <c r="D64" s="2" t="s">
        <v>357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FFD4-58A2-4EED-8881-5FBA65755540}">
  <sheetPr codeName="Sheet10"/>
  <dimension ref="A1:E91"/>
  <sheetViews>
    <sheetView workbookViewId="0">
      <selection activeCell="E5" sqref="E5"/>
    </sheetView>
  </sheetViews>
  <sheetFormatPr defaultRowHeight="15" x14ac:dyDescent="0.25"/>
  <cols>
    <col min="1" max="1" width="11.28515625" style="1" customWidth="1"/>
    <col min="2" max="2" width="15.140625" style="1" bestFit="1" customWidth="1"/>
    <col min="3" max="3" width="12.85546875" style="1" bestFit="1" customWidth="1"/>
    <col min="4" max="4" width="15.5703125" style="1" bestFit="1" customWidth="1"/>
    <col min="5" max="5" width="13.42578125" style="1" bestFit="1" customWidth="1"/>
    <col min="6" max="6" width="9.140625" style="1"/>
    <col min="7" max="12" width="10.7109375" style="1" customWidth="1"/>
    <col min="13" max="16384" width="9.140625" style="1"/>
  </cols>
  <sheetData>
    <row r="1" spans="1:5" x14ac:dyDescent="0.25">
      <c r="A1" s="1" t="s">
        <v>0</v>
      </c>
      <c r="B1" s="1" t="s">
        <v>366</v>
      </c>
      <c r="C1" s="1" t="s">
        <v>365</v>
      </c>
      <c r="D1" s="1" t="s">
        <v>13</v>
      </c>
      <c r="E1" s="1" t="s">
        <v>367</v>
      </c>
    </row>
    <row r="2" spans="1:5" x14ac:dyDescent="0.25">
      <c r="B2" s="1">
        <v>141650001</v>
      </c>
      <c r="C2" s="1" t="s">
        <v>263</v>
      </c>
      <c r="D2" s="1" t="s">
        <v>207</v>
      </c>
      <c r="E2" s="1" t="str">
        <f>_xlfn.XLOOKUP(Table1567891011[[#This Row],[mold_id]],Table156789[id],Table156789[moldable_type])</f>
        <v>cord</v>
      </c>
    </row>
    <row r="3" spans="1:5" x14ac:dyDescent="0.25">
      <c r="B3" s="1">
        <v>141650001</v>
      </c>
      <c r="C3" s="1" t="s">
        <v>291</v>
      </c>
      <c r="D3" s="1" t="s">
        <v>207</v>
      </c>
      <c r="E3" s="1" t="str">
        <f>_xlfn.XLOOKUP(Table1567891011[[#This Row],[mold_id]],Table156789[id],Table156789[moldable_type])</f>
        <v>cord</v>
      </c>
    </row>
    <row r="4" spans="1:5" x14ac:dyDescent="0.25">
      <c r="B4" s="1">
        <v>141650001</v>
      </c>
      <c r="C4" s="1" t="s">
        <v>293</v>
      </c>
      <c r="D4" s="1" t="s">
        <v>207</v>
      </c>
      <c r="E4" s="1" t="str">
        <f>_xlfn.XLOOKUP(Table1567891011[[#This Row],[mold_id]],Table156789[id],Table156789[moldable_type])</f>
        <v>cord</v>
      </c>
    </row>
    <row r="5" spans="1:5" x14ac:dyDescent="0.25">
      <c r="B5" s="1">
        <v>140310075</v>
      </c>
      <c r="C5" s="1" t="s">
        <v>254</v>
      </c>
      <c r="D5" s="1" t="s">
        <v>207</v>
      </c>
      <c r="E5" s="1" t="str">
        <f>_xlfn.XLOOKUP(Table1567891011[[#This Row],[mold_id]],Table156789[id],Table156789[moldable_type])</f>
        <v>plug</v>
      </c>
    </row>
    <row r="6" spans="1:5" x14ac:dyDescent="0.25">
      <c r="B6" s="1">
        <v>140310075</v>
      </c>
      <c r="C6" s="1" t="s">
        <v>250</v>
      </c>
      <c r="D6" s="1" t="s">
        <v>207</v>
      </c>
      <c r="E6" s="1" t="str">
        <f>_xlfn.XLOOKUP(Table1567891011[[#This Row],[mold_id]],Table156789[id],Table156789[moldable_type])</f>
        <v>plug</v>
      </c>
    </row>
    <row r="7" spans="1:5" x14ac:dyDescent="0.25">
      <c r="B7" s="1">
        <v>140310031</v>
      </c>
      <c r="C7" s="1" t="s">
        <v>254</v>
      </c>
      <c r="D7" s="1" t="s">
        <v>207</v>
      </c>
      <c r="E7" s="1" t="str">
        <f>_xlfn.XLOOKUP(Table1567891011[[#This Row],[mold_id]],Table156789[id],Table156789[moldable_type])</f>
        <v>plug</v>
      </c>
    </row>
    <row r="8" spans="1:5" x14ac:dyDescent="0.25">
      <c r="B8" s="1">
        <v>140310031</v>
      </c>
      <c r="C8" s="1" t="s">
        <v>250</v>
      </c>
      <c r="D8" s="1" t="s">
        <v>207</v>
      </c>
      <c r="E8" s="1" t="str">
        <f>_xlfn.XLOOKUP(Table1567891011[[#This Row],[mold_id]],Table156789[id],Table156789[moldable_type])</f>
        <v>plug</v>
      </c>
    </row>
    <row r="9" spans="1:5" x14ac:dyDescent="0.25">
      <c r="B9" s="1">
        <v>140680007</v>
      </c>
      <c r="C9" s="1" t="s">
        <v>291</v>
      </c>
      <c r="D9" s="1" t="s">
        <v>207</v>
      </c>
      <c r="E9" s="1" t="str">
        <f>_xlfn.XLOOKUP(Table1567891011[[#This Row],[mold_id]],Table156789[id],Table156789[moldable_type])</f>
        <v>cord</v>
      </c>
    </row>
    <row r="10" spans="1:5" x14ac:dyDescent="0.25">
      <c r="B10" s="1">
        <v>140680007</v>
      </c>
      <c r="C10" s="1" t="s">
        <v>293</v>
      </c>
      <c r="D10" s="1" t="s">
        <v>207</v>
      </c>
      <c r="E10" s="1" t="str">
        <f>_xlfn.XLOOKUP(Table1567891011[[#This Row],[mold_id]],Table156789[id],Table156789[moldable_type])</f>
        <v>cord</v>
      </c>
    </row>
    <row r="11" spans="1:5" x14ac:dyDescent="0.25">
      <c r="B11" s="1">
        <v>140550063</v>
      </c>
      <c r="C11" s="1" t="s">
        <v>294</v>
      </c>
      <c r="D11" s="1" t="s">
        <v>207</v>
      </c>
      <c r="E11" s="1" t="str">
        <f>_xlfn.XLOOKUP(Table1567891011[[#This Row],[mold_id]],Table156789[id],Table156789[moldable_type])</f>
        <v>plug</v>
      </c>
    </row>
    <row r="12" spans="1:5" x14ac:dyDescent="0.25">
      <c r="B12" s="1">
        <v>140550060</v>
      </c>
      <c r="C12" s="1" t="s">
        <v>266</v>
      </c>
      <c r="D12" s="1" t="s">
        <v>207</v>
      </c>
      <c r="E12" s="1" t="str">
        <f>_xlfn.XLOOKUP(Table1567891011[[#This Row],[mold_id]],Table156789[id],Table156789[moldable_type])</f>
        <v>cord</v>
      </c>
    </row>
    <row r="13" spans="1:5" x14ac:dyDescent="0.25">
      <c r="B13" s="1">
        <v>140530039</v>
      </c>
      <c r="C13" s="1" t="s">
        <v>249</v>
      </c>
      <c r="D13" s="1" t="s">
        <v>207</v>
      </c>
      <c r="E13" s="1" t="str">
        <f>_xlfn.XLOOKUP(Table1567891011[[#This Row],[mold_id]],Table156789[id],Table156789[moldable_type])</f>
        <v>plug</v>
      </c>
    </row>
    <row r="14" spans="1:5" x14ac:dyDescent="0.25">
      <c r="B14" s="1">
        <v>140550019</v>
      </c>
      <c r="C14" s="1" t="s">
        <v>250</v>
      </c>
      <c r="D14" s="1" t="s">
        <v>207</v>
      </c>
      <c r="E14" s="1" t="str">
        <f>_xlfn.XLOOKUP(Table1567891011[[#This Row],[mold_id]],Table156789[id],Table156789[moldable_type])</f>
        <v>plug</v>
      </c>
    </row>
    <row r="15" spans="1:5" x14ac:dyDescent="0.25">
      <c r="B15" s="1">
        <v>140550019</v>
      </c>
      <c r="C15" s="1" t="s">
        <v>248</v>
      </c>
      <c r="D15" s="1" t="s">
        <v>207</v>
      </c>
      <c r="E15" s="1" t="str">
        <f>_xlfn.XLOOKUP(Table1567891011[[#This Row],[mold_id]],Table156789[id],Table156789[moldable_type])</f>
        <v>plug</v>
      </c>
    </row>
    <row r="16" spans="1:5" x14ac:dyDescent="0.25">
      <c r="B16" s="1">
        <v>140530004</v>
      </c>
      <c r="C16" s="1" t="s">
        <v>249</v>
      </c>
      <c r="D16" s="1" t="s">
        <v>207</v>
      </c>
      <c r="E16" s="1" t="str">
        <f>_xlfn.XLOOKUP(Table1567891011[[#This Row],[mold_id]],Table156789[id],Table156789[moldable_type])</f>
        <v>plug</v>
      </c>
    </row>
    <row r="17" spans="2:5" x14ac:dyDescent="0.25">
      <c r="B17" s="1">
        <v>140090143</v>
      </c>
      <c r="C17" s="1" t="s">
        <v>263</v>
      </c>
      <c r="D17" s="1" t="s">
        <v>207</v>
      </c>
      <c r="E17" s="1" t="str">
        <f>_xlfn.XLOOKUP(Table1567891011[[#This Row],[mold_id]],Table156789[id],Table156789[moldable_type])</f>
        <v>cord</v>
      </c>
    </row>
    <row r="18" spans="2:5" x14ac:dyDescent="0.25">
      <c r="B18" s="1">
        <v>140090143</v>
      </c>
      <c r="C18" s="1" t="s">
        <v>291</v>
      </c>
      <c r="D18" s="1" t="s">
        <v>207</v>
      </c>
      <c r="E18" s="1" t="str">
        <f>_xlfn.XLOOKUP(Table1567891011[[#This Row],[mold_id]],Table156789[id],Table156789[moldable_type])</f>
        <v>cord</v>
      </c>
    </row>
    <row r="19" spans="2:5" x14ac:dyDescent="0.25">
      <c r="B19" s="1">
        <v>140090143</v>
      </c>
      <c r="C19" s="1" t="s">
        <v>293</v>
      </c>
      <c r="D19" s="1" t="s">
        <v>207</v>
      </c>
      <c r="E19" s="1" t="str">
        <f>_xlfn.XLOOKUP(Table1567891011[[#This Row],[mold_id]],Table156789[id],Table156789[moldable_type])</f>
        <v>cord</v>
      </c>
    </row>
    <row r="20" spans="2:5" x14ac:dyDescent="0.25">
      <c r="B20" s="1">
        <v>140220012</v>
      </c>
      <c r="C20" s="1" t="s">
        <v>263</v>
      </c>
      <c r="D20" s="1" t="s">
        <v>207</v>
      </c>
      <c r="E20" s="1" t="str">
        <f>_xlfn.XLOOKUP(Table1567891011[[#This Row],[mold_id]],Table156789[id],Table156789[moldable_type])</f>
        <v>cord</v>
      </c>
    </row>
    <row r="21" spans="2:5" x14ac:dyDescent="0.25">
      <c r="B21" s="1">
        <v>140220012</v>
      </c>
      <c r="C21" s="1" t="s">
        <v>291</v>
      </c>
      <c r="D21" s="1" t="s">
        <v>207</v>
      </c>
      <c r="E21" s="1" t="str">
        <f>_xlfn.XLOOKUP(Table1567891011[[#This Row],[mold_id]],Table156789[id],Table156789[moldable_type])</f>
        <v>cord</v>
      </c>
    </row>
    <row r="22" spans="2:5" x14ac:dyDescent="0.25">
      <c r="B22" s="1">
        <v>140220012</v>
      </c>
      <c r="C22" s="1" t="s">
        <v>293</v>
      </c>
      <c r="D22" s="1" t="s">
        <v>207</v>
      </c>
      <c r="E22" s="1" t="str">
        <f>_xlfn.XLOOKUP(Table1567891011[[#This Row],[mold_id]],Table156789[id],Table156789[moldable_type])</f>
        <v>cord</v>
      </c>
    </row>
    <row r="23" spans="2:5" x14ac:dyDescent="0.25">
      <c r="B23" s="1">
        <v>140310058</v>
      </c>
      <c r="C23" s="1" t="s">
        <v>263</v>
      </c>
      <c r="D23" s="1" t="s">
        <v>207</v>
      </c>
      <c r="E23" s="1" t="str">
        <f>_xlfn.XLOOKUP(Table1567891011[[#This Row],[mold_id]],Table156789[id],Table156789[moldable_type])</f>
        <v>cord</v>
      </c>
    </row>
    <row r="24" spans="2:5" x14ac:dyDescent="0.25">
      <c r="B24" s="1">
        <v>140310058</v>
      </c>
      <c r="C24" s="1" t="s">
        <v>291</v>
      </c>
      <c r="D24" s="1" t="s">
        <v>207</v>
      </c>
      <c r="E24" s="1" t="str">
        <f>_xlfn.XLOOKUP(Table1567891011[[#This Row],[mold_id]],Table156789[id],Table156789[moldable_type])</f>
        <v>cord</v>
      </c>
    </row>
    <row r="25" spans="2:5" x14ac:dyDescent="0.25">
      <c r="B25" s="1">
        <v>140310058</v>
      </c>
      <c r="C25" s="1" t="s">
        <v>293</v>
      </c>
      <c r="D25" s="1" t="s">
        <v>207</v>
      </c>
      <c r="E25" s="1" t="str">
        <f>_xlfn.XLOOKUP(Table1567891011[[#This Row],[mold_id]],Table156789[id],Table156789[moldable_type])</f>
        <v>cord</v>
      </c>
    </row>
    <row r="26" spans="2:5" x14ac:dyDescent="0.25">
      <c r="B26" s="1">
        <v>140310071</v>
      </c>
      <c r="C26" s="1" t="s">
        <v>263</v>
      </c>
      <c r="D26" s="1" t="s">
        <v>207</v>
      </c>
      <c r="E26" s="1" t="str">
        <f>_xlfn.XLOOKUP(Table1567891011[[#This Row],[mold_id]],Table156789[id],Table156789[moldable_type])</f>
        <v>cord</v>
      </c>
    </row>
    <row r="27" spans="2:5" x14ac:dyDescent="0.25">
      <c r="B27" s="1">
        <v>140310071</v>
      </c>
      <c r="C27" s="1" t="s">
        <v>291</v>
      </c>
      <c r="D27" s="1" t="s">
        <v>207</v>
      </c>
      <c r="E27" s="1" t="str">
        <f>_xlfn.XLOOKUP(Table1567891011[[#This Row],[mold_id]],Table156789[id],Table156789[moldable_type])</f>
        <v>cord</v>
      </c>
    </row>
    <row r="28" spans="2:5" x14ac:dyDescent="0.25">
      <c r="B28" s="1">
        <v>140310071</v>
      </c>
      <c r="C28" s="1" t="s">
        <v>293</v>
      </c>
      <c r="D28" s="1" t="s">
        <v>207</v>
      </c>
      <c r="E28" s="1" t="str">
        <f>_xlfn.XLOOKUP(Table1567891011[[#This Row],[mold_id]],Table156789[id],Table156789[moldable_type])</f>
        <v>cord</v>
      </c>
    </row>
    <row r="29" spans="2:5" x14ac:dyDescent="0.25">
      <c r="B29" s="1">
        <v>140310012</v>
      </c>
      <c r="C29" s="1" t="s">
        <v>266</v>
      </c>
      <c r="D29" s="1" t="s">
        <v>207</v>
      </c>
      <c r="E29" s="1" t="str">
        <f>_xlfn.XLOOKUP(Table1567891011[[#This Row],[mold_id]],Table156789[id],Table156789[moldable_type])</f>
        <v>cord</v>
      </c>
    </row>
    <row r="30" spans="2:5" x14ac:dyDescent="0.25">
      <c r="B30" s="1">
        <v>140010295</v>
      </c>
      <c r="C30" s="1" t="s">
        <v>249</v>
      </c>
      <c r="D30" s="1" t="s">
        <v>207</v>
      </c>
      <c r="E30" s="1" t="str">
        <f>_xlfn.XLOOKUP(Table1567891011[[#This Row],[mold_id]],Table156789[id],Table156789[moldable_type])</f>
        <v>plug</v>
      </c>
    </row>
    <row r="31" spans="2:5" x14ac:dyDescent="0.25">
      <c r="B31" s="1">
        <v>140010117</v>
      </c>
      <c r="C31" s="1" t="s">
        <v>291</v>
      </c>
      <c r="D31" s="1" t="s">
        <v>207</v>
      </c>
      <c r="E31" s="1" t="str">
        <f>_xlfn.XLOOKUP(Table1567891011[[#This Row],[mold_id]],Table156789[id],Table156789[moldable_type])</f>
        <v>cord</v>
      </c>
    </row>
    <row r="32" spans="2:5" x14ac:dyDescent="0.25">
      <c r="B32" s="1">
        <v>140010117</v>
      </c>
      <c r="C32" s="1" t="s">
        <v>293</v>
      </c>
      <c r="D32" s="1" t="s">
        <v>207</v>
      </c>
      <c r="E32" s="1" t="str">
        <f>_xlfn.XLOOKUP(Table1567891011[[#This Row],[mold_id]],Table156789[id],Table156789[moldable_type])</f>
        <v>cord</v>
      </c>
    </row>
    <row r="33" spans="2:5" x14ac:dyDescent="0.25">
      <c r="B33" s="1">
        <v>140010230</v>
      </c>
      <c r="C33" s="1" t="s">
        <v>291</v>
      </c>
      <c r="D33" s="1" t="s">
        <v>207</v>
      </c>
      <c r="E33" s="1" t="str">
        <f>_xlfn.XLOOKUP(Table1567891011[[#This Row],[mold_id]],Table156789[id],Table156789[moldable_type])</f>
        <v>cord</v>
      </c>
    </row>
    <row r="34" spans="2:5" x14ac:dyDescent="0.25">
      <c r="B34" s="1">
        <v>140010230</v>
      </c>
      <c r="C34" s="1" t="s">
        <v>293</v>
      </c>
      <c r="D34" s="1" t="s">
        <v>207</v>
      </c>
      <c r="E34" s="1" t="str">
        <f>_xlfn.XLOOKUP(Table1567891011[[#This Row],[mold_id]],Table156789[id],Table156789[moldable_type])</f>
        <v>cord</v>
      </c>
    </row>
    <row r="35" spans="2:5" x14ac:dyDescent="0.25">
      <c r="B35" s="1">
        <v>140010255</v>
      </c>
      <c r="C35" s="1" t="s">
        <v>291</v>
      </c>
      <c r="D35" s="1" t="s">
        <v>207</v>
      </c>
      <c r="E35" s="1" t="str">
        <f>_xlfn.XLOOKUP(Table1567891011[[#This Row],[mold_id]],Table156789[id],Table156789[moldable_type])</f>
        <v>cord</v>
      </c>
    </row>
    <row r="36" spans="2:5" x14ac:dyDescent="0.25">
      <c r="B36" s="1">
        <v>140010255</v>
      </c>
      <c r="C36" s="1" t="s">
        <v>293</v>
      </c>
      <c r="D36" s="1" t="s">
        <v>207</v>
      </c>
      <c r="E36" s="1" t="str">
        <f>_xlfn.XLOOKUP(Table1567891011[[#This Row],[mold_id]],Table156789[id],Table156789[moldable_type])</f>
        <v>cord</v>
      </c>
    </row>
    <row r="37" spans="2:5" x14ac:dyDescent="0.25">
      <c r="B37" s="1">
        <v>140020181</v>
      </c>
      <c r="C37" s="1" t="s">
        <v>291</v>
      </c>
      <c r="D37" s="1" t="s">
        <v>207</v>
      </c>
      <c r="E37" s="1" t="str">
        <f>_xlfn.XLOOKUP(Table1567891011[[#This Row],[mold_id]],Table156789[id],Table156789[moldable_type])</f>
        <v>cord</v>
      </c>
    </row>
    <row r="38" spans="2:5" x14ac:dyDescent="0.25">
      <c r="B38" s="1">
        <v>140020181</v>
      </c>
      <c r="C38" s="1" t="s">
        <v>293</v>
      </c>
      <c r="D38" s="1" t="s">
        <v>207</v>
      </c>
      <c r="E38" s="1" t="str">
        <f>_xlfn.XLOOKUP(Table1567891011[[#This Row],[mold_id]],Table156789[id],Table156789[moldable_type])</f>
        <v>cord</v>
      </c>
    </row>
    <row r="39" spans="2:5" x14ac:dyDescent="0.25">
      <c r="B39" s="1">
        <v>140020196</v>
      </c>
      <c r="C39" s="1" t="s">
        <v>291</v>
      </c>
      <c r="D39" s="1" t="s">
        <v>207</v>
      </c>
      <c r="E39" s="1" t="str">
        <f>_xlfn.XLOOKUP(Table1567891011[[#This Row],[mold_id]],Table156789[id],Table156789[moldable_type])</f>
        <v>cord</v>
      </c>
    </row>
    <row r="40" spans="2:5" x14ac:dyDescent="0.25">
      <c r="B40" s="1">
        <v>140020196</v>
      </c>
      <c r="C40" s="1" t="s">
        <v>293</v>
      </c>
      <c r="D40" s="1" t="s">
        <v>207</v>
      </c>
      <c r="E40" s="1" t="str">
        <f>_xlfn.XLOOKUP(Table1567891011[[#This Row],[mold_id]],Table156789[id],Table156789[moldable_type])</f>
        <v>cord</v>
      </c>
    </row>
    <row r="41" spans="2:5" x14ac:dyDescent="0.25">
      <c r="B41" s="1">
        <v>140030039</v>
      </c>
      <c r="C41" s="1" t="s">
        <v>291</v>
      </c>
      <c r="D41" s="1" t="s">
        <v>207</v>
      </c>
      <c r="E41" s="1" t="str">
        <f>_xlfn.XLOOKUP(Table1567891011[[#This Row],[mold_id]],Table156789[id],Table156789[moldable_type])</f>
        <v>cord</v>
      </c>
    </row>
    <row r="42" spans="2:5" x14ac:dyDescent="0.25">
      <c r="B42" s="1">
        <v>140030039</v>
      </c>
      <c r="C42" s="1" t="s">
        <v>293</v>
      </c>
      <c r="D42" s="1" t="s">
        <v>207</v>
      </c>
      <c r="E42" s="1" t="str">
        <f>_xlfn.XLOOKUP(Table1567891011[[#This Row],[mold_id]],Table156789[id],Table156789[moldable_type])</f>
        <v>cord</v>
      </c>
    </row>
    <row r="43" spans="2:5" x14ac:dyDescent="0.25">
      <c r="B43" s="1">
        <v>140030040</v>
      </c>
      <c r="C43" s="1" t="s">
        <v>291</v>
      </c>
      <c r="D43" s="1" t="s">
        <v>207</v>
      </c>
      <c r="E43" s="1" t="str">
        <f>_xlfn.XLOOKUP(Table1567891011[[#This Row],[mold_id]],Table156789[id],Table156789[moldable_type])</f>
        <v>cord</v>
      </c>
    </row>
    <row r="44" spans="2:5" x14ac:dyDescent="0.25">
      <c r="B44" s="1">
        <v>140030040</v>
      </c>
      <c r="C44" s="1" t="s">
        <v>293</v>
      </c>
      <c r="D44" s="1" t="s">
        <v>207</v>
      </c>
      <c r="E44" s="1" t="str">
        <f>_xlfn.XLOOKUP(Table1567891011[[#This Row],[mold_id]],Table156789[id],Table156789[moldable_type])</f>
        <v>cord</v>
      </c>
    </row>
    <row r="45" spans="2:5" x14ac:dyDescent="0.25">
      <c r="B45" s="1">
        <v>140240004</v>
      </c>
      <c r="C45" s="1" t="s">
        <v>291</v>
      </c>
      <c r="D45" s="1" t="s">
        <v>207</v>
      </c>
      <c r="E45" s="1" t="str">
        <f>_xlfn.XLOOKUP(Table1567891011[[#This Row],[mold_id]],Table156789[id],Table156789[moldable_type])</f>
        <v>cord</v>
      </c>
    </row>
    <row r="46" spans="2:5" x14ac:dyDescent="0.25">
      <c r="B46" s="1">
        <v>140240004</v>
      </c>
      <c r="C46" s="1" t="s">
        <v>293</v>
      </c>
      <c r="D46" s="1" t="s">
        <v>207</v>
      </c>
      <c r="E46" s="1" t="str">
        <f>_xlfn.XLOOKUP(Table1567891011[[#This Row],[mold_id]],Table156789[id],Table156789[moldable_type])</f>
        <v>cord</v>
      </c>
    </row>
    <row r="47" spans="2:5" x14ac:dyDescent="0.25">
      <c r="B47" s="1">
        <v>140310007</v>
      </c>
      <c r="C47" s="1" t="s">
        <v>291</v>
      </c>
      <c r="D47" s="1" t="s">
        <v>207</v>
      </c>
      <c r="E47" s="1" t="str">
        <f>_xlfn.XLOOKUP(Table1567891011[[#This Row],[mold_id]],Table156789[id],Table156789[moldable_type])</f>
        <v>cord</v>
      </c>
    </row>
    <row r="48" spans="2:5" x14ac:dyDescent="0.25">
      <c r="B48" s="1">
        <v>140310007</v>
      </c>
      <c r="C48" s="1" t="s">
        <v>293</v>
      </c>
      <c r="D48" s="1" t="s">
        <v>207</v>
      </c>
      <c r="E48" s="1" t="str">
        <f>_xlfn.XLOOKUP(Table1567891011[[#This Row],[mold_id]],Table156789[id],Table156789[moldable_type])</f>
        <v>cord</v>
      </c>
    </row>
    <row r="49" spans="2:5" x14ac:dyDescent="0.25">
      <c r="B49" s="1">
        <v>140310083</v>
      </c>
      <c r="C49" s="1" t="s">
        <v>248</v>
      </c>
      <c r="D49" s="1" t="s">
        <v>207</v>
      </c>
      <c r="E49" s="1" t="str">
        <f>_xlfn.XLOOKUP(Table1567891011[[#This Row],[mold_id]],Table156789[id],Table156789[moldable_type])</f>
        <v>plug</v>
      </c>
    </row>
    <row r="50" spans="2:5" x14ac:dyDescent="0.25">
      <c r="B50" s="1">
        <v>140310083</v>
      </c>
      <c r="C50" s="1" t="s">
        <v>250</v>
      </c>
      <c r="D50" s="1" t="s">
        <v>207</v>
      </c>
      <c r="E50" s="1" t="str">
        <f>_xlfn.XLOOKUP(Table1567891011[[#This Row],[mold_id]],Table156789[id],Table156789[moldable_type])</f>
        <v>plug</v>
      </c>
    </row>
    <row r="51" spans="2:5" x14ac:dyDescent="0.25">
      <c r="B51" s="1">
        <v>140010117</v>
      </c>
      <c r="C51" s="1" t="s">
        <v>262</v>
      </c>
      <c r="D51" s="1" t="s">
        <v>208</v>
      </c>
      <c r="E51" s="1" t="str">
        <f>_xlfn.XLOOKUP(Table1567891011[[#This Row],[mold_id]],Table156789[id],Table156789[moldable_type])</f>
        <v>cord</v>
      </c>
    </row>
    <row r="52" spans="2:5" x14ac:dyDescent="0.25">
      <c r="B52" s="1">
        <v>140010117</v>
      </c>
      <c r="C52" s="1" t="s">
        <v>290</v>
      </c>
      <c r="D52" s="1" t="s">
        <v>208</v>
      </c>
      <c r="E52" s="1" t="str">
        <f>_xlfn.XLOOKUP(Table1567891011[[#This Row],[mold_id]],Table156789[id],Table156789[moldable_type])</f>
        <v>misc</v>
      </c>
    </row>
    <row r="53" spans="2:5" x14ac:dyDescent="0.25">
      <c r="B53" s="1">
        <v>140010117</v>
      </c>
      <c r="C53" s="1" t="s">
        <v>285</v>
      </c>
      <c r="D53" s="1" t="s">
        <v>208</v>
      </c>
      <c r="E53" s="1" t="str">
        <f>_xlfn.XLOOKUP(Table1567891011[[#This Row],[mold_id]],Table156789[id],Table156789[moldable_type])</f>
        <v>misc</v>
      </c>
    </row>
    <row r="54" spans="2:5" x14ac:dyDescent="0.25">
      <c r="B54" s="1">
        <v>140010230</v>
      </c>
      <c r="C54" s="1" t="s">
        <v>262</v>
      </c>
      <c r="D54" s="1" t="s">
        <v>208</v>
      </c>
      <c r="E54" s="1" t="str">
        <f>_xlfn.XLOOKUP(Table1567891011[[#This Row],[mold_id]],Table156789[id],Table156789[moldable_type])</f>
        <v>cord</v>
      </c>
    </row>
    <row r="55" spans="2:5" x14ac:dyDescent="0.25">
      <c r="B55" s="1">
        <v>140010230</v>
      </c>
      <c r="C55" s="1" t="s">
        <v>285</v>
      </c>
      <c r="D55" s="1" t="s">
        <v>208</v>
      </c>
      <c r="E55" s="1" t="str">
        <f>_xlfn.XLOOKUP(Table1567891011[[#This Row],[mold_id]],Table156789[id],Table156789[moldable_type])</f>
        <v>misc</v>
      </c>
    </row>
    <row r="56" spans="2:5" x14ac:dyDescent="0.25">
      <c r="B56" s="1">
        <v>140010255</v>
      </c>
      <c r="C56" s="1" t="s">
        <v>262</v>
      </c>
      <c r="D56" s="1" t="s">
        <v>208</v>
      </c>
      <c r="E56" s="1" t="str">
        <f>_xlfn.XLOOKUP(Table1567891011[[#This Row],[mold_id]],Table156789[id],Table156789[moldable_type])</f>
        <v>cord</v>
      </c>
    </row>
    <row r="57" spans="2:5" x14ac:dyDescent="0.25">
      <c r="B57" s="1">
        <v>140010255</v>
      </c>
      <c r="C57" s="1" t="s">
        <v>290</v>
      </c>
      <c r="D57" s="1" t="s">
        <v>208</v>
      </c>
      <c r="E57" s="1" t="str">
        <f>_xlfn.XLOOKUP(Table1567891011[[#This Row],[mold_id]],Table156789[id],Table156789[moldable_type])</f>
        <v>misc</v>
      </c>
    </row>
    <row r="58" spans="2:5" x14ac:dyDescent="0.25">
      <c r="B58" s="1">
        <v>140010255</v>
      </c>
      <c r="C58" s="1" t="s">
        <v>285</v>
      </c>
      <c r="D58" s="1" t="s">
        <v>208</v>
      </c>
      <c r="E58" s="1" t="str">
        <f>_xlfn.XLOOKUP(Table1567891011[[#This Row],[mold_id]],Table156789[id],Table156789[moldable_type])</f>
        <v>misc</v>
      </c>
    </row>
    <row r="59" spans="2:5" x14ac:dyDescent="0.25">
      <c r="B59" s="1">
        <v>140020181</v>
      </c>
      <c r="C59" s="1" t="s">
        <v>262</v>
      </c>
      <c r="D59" s="1" t="s">
        <v>208</v>
      </c>
      <c r="E59" s="1" t="str">
        <f>_xlfn.XLOOKUP(Table1567891011[[#This Row],[mold_id]],Table156789[id],Table156789[moldable_type])</f>
        <v>cord</v>
      </c>
    </row>
    <row r="60" spans="2:5" x14ac:dyDescent="0.25">
      <c r="B60" s="1">
        <v>140020181</v>
      </c>
      <c r="C60" s="1" t="s">
        <v>290</v>
      </c>
      <c r="D60" s="1" t="s">
        <v>208</v>
      </c>
      <c r="E60" s="1" t="str">
        <f>_xlfn.XLOOKUP(Table1567891011[[#This Row],[mold_id]],Table156789[id],Table156789[moldable_type])</f>
        <v>misc</v>
      </c>
    </row>
    <row r="61" spans="2:5" x14ac:dyDescent="0.25">
      <c r="B61" s="1">
        <v>140020196</v>
      </c>
      <c r="C61" s="1" t="s">
        <v>262</v>
      </c>
      <c r="D61" s="1" t="s">
        <v>208</v>
      </c>
      <c r="E61" s="1" t="str">
        <f>_xlfn.XLOOKUP(Table1567891011[[#This Row],[mold_id]],Table156789[id],Table156789[moldable_type])</f>
        <v>cord</v>
      </c>
    </row>
    <row r="62" spans="2:5" x14ac:dyDescent="0.25">
      <c r="B62" s="1">
        <v>140020196</v>
      </c>
      <c r="C62" s="1" t="s">
        <v>290</v>
      </c>
      <c r="D62" s="1" t="s">
        <v>208</v>
      </c>
      <c r="E62" s="1" t="str">
        <f>_xlfn.XLOOKUP(Table1567891011[[#This Row],[mold_id]],Table156789[id],Table156789[moldable_type])</f>
        <v>misc</v>
      </c>
    </row>
    <row r="63" spans="2:5" x14ac:dyDescent="0.25">
      <c r="B63" s="1">
        <v>140030039</v>
      </c>
      <c r="C63" s="1" t="s">
        <v>262</v>
      </c>
      <c r="D63" s="1" t="s">
        <v>208</v>
      </c>
      <c r="E63" s="1" t="str">
        <f>_xlfn.XLOOKUP(Table1567891011[[#This Row],[mold_id]],Table156789[id],Table156789[moldable_type])</f>
        <v>cord</v>
      </c>
    </row>
    <row r="64" spans="2:5" x14ac:dyDescent="0.25">
      <c r="B64" s="1">
        <v>140030039</v>
      </c>
      <c r="C64" s="1" t="s">
        <v>290</v>
      </c>
      <c r="D64" s="1" t="s">
        <v>208</v>
      </c>
      <c r="E64" s="1" t="str">
        <f>_xlfn.XLOOKUP(Table1567891011[[#This Row],[mold_id]],Table156789[id],Table156789[moldable_type])</f>
        <v>misc</v>
      </c>
    </row>
    <row r="65" spans="2:5" x14ac:dyDescent="0.25">
      <c r="B65" s="1">
        <v>140030039</v>
      </c>
      <c r="C65" s="1" t="s">
        <v>285</v>
      </c>
      <c r="D65" s="1" t="s">
        <v>208</v>
      </c>
      <c r="E65" s="1" t="str">
        <f>_xlfn.XLOOKUP(Table1567891011[[#This Row],[mold_id]],Table156789[id],Table156789[moldable_type])</f>
        <v>misc</v>
      </c>
    </row>
    <row r="66" spans="2:5" x14ac:dyDescent="0.25">
      <c r="B66" s="1">
        <v>140030040</v>
      </c>
      <c r="C66" s="1" t="s">
        <v>262</v>
      </c>
      <c r="D66" s="1" t="s">
        <v>208</v>
      </c>
      <c r="E66" s="1" t="str">
        <f>_xlfn.XLOOKUP(Table1567891011[[#This Row],[mold_id]],Table156789[id],Table156789[moldable_type])</f>
        <v>cord</v>
      </c>
    </row>
    <row r="67" spans="2:5" x14ac:dyDescent="0.25">
      <c r="B67" s="1">
        <v>140030040</v>
      </c>
      <c r="C67" s="1" t="s">
        <v>290</v>
      </c>
      <c r="D67" s="1" t="s">
        <v>208</v>
      </c>
      <c r="E67" s="1" t="str">
        <f>_xlfn.XLOOKUP(Table1567891011[[#This Row],[mold_id]],Table156789[id],Table156789[moldable_type])</f>
        <v>misc</v>
      </c>
    </row>
    <row r="68" spans="2:5" x14ac:dyDescent="0.25">
      <c r="B68" s="1">
        <v>140030040</v>
      </c>
      <c r="C68" s="1" t="s">
        <v>285</v>
      </c>
      <c r="D68" s="1" t="s">
        <v>208</v>
      </c>
      <c r="E68" s="1" t="str">
        <f>_xlfn.XLOOKUP(Table1567891011[[#This Row],[mold_id]],Table156789[id],Table156789[moldable_type])</f>
        <v>misc</v>
      </c>
    </row>
    <row r="69" spans="2:5" x14ac:dyDescent="0.25">
      <c r="B69" s="1">
        <v>140090143</v>
      </c>
      <c r="C69" s="1" t="s">
        <v>262</v>
      </c>
      <c r="D69" s="1" t="s">
        <v>208</v>
      </c>
      <c r="E69" s="1" t="str">
        <f>_xlfn.XLOOKUP(Table1567891011[[#This Row],[mold_id]],Table156789[id],Table156789[moldable_type])</f>
        <v>cord</v>
      </c>
    </row>
    <row r="70" spans="2:5" x14ac:dyDescent="0.25">
      <c r="B70" s="1">
        <v>140090143</v>
      </c>
      <c r="C70" s="1" t="s">
        <v>290</v>
      </c>
      <c r="D70" s="1" t="s">
        <v>208</v>
      </c>
      <c r="E70" s="1" t="str">
        <f>_xlfn.XLOOKUP(Table1567891011[[#This Row],[mold_id]],Table156789[id],Table156789[moldable_type])</f>
        <v>misc</v>
      </c>
    </row>
    <row r="71" spans="2:5" x14ac:dyDescent="0.25">
      <c r="B71" s="1">
        <v>140090143</v>
      </c>
      <c r="C71" s="1" t="s">
        <v>285</v>
      </c>
      <c r="D71" s="1" t="s">
        <v>208</v>
      </c>
      <c r="E71" s="1" t="str">
        <f>_xlfn.XLOOKUP(Table1567891011[[#This Row],[mold_id]],Table156789[id],Table156789[moldable_type])</f>
        <v>misc</v>
      </c>
    </row>
    <row r="72" spans="2:5" x14ac:dyDescent="0.25">
      <c r="B72" s="1">
        <v>140310058</v>
      </c>
      <c r="C72" s="1" t="s">
        <v>262</v>
      </c>
      <c r="D72" s="1" t="s">
        <v>208</v>
      </c>
      <c r="E72" s="1" t="str">
        <f>_xlfn.XLOOKUP(Table1567891011[[#This Row],[mold_id]],Table156789[id],Table156789[moldable_type])</f>
        <v>cord</v>
      </c>
    </row>
    <row r="73" spans="2:5" x14ac:dyDescent="0.25">
      <c r="B73" s="1">
        <v>140310058</v>
      </c>
      <c r="C73" s="1" t="s">
        <v>285</v>
      </c>
      <c r="D73" s="1" t="s">
        <v>208</v>
      </c>
      <c r="E73" s="1" t="str">
        <f>_xlfn.XLOOKUP(Table1567891011[[#This Row],[mold_id]],Table156789[id],Table156789[moldable_type])</f>
        <v>misc</v>
      </c>
    </row>
    <row r="74" spans="2:5" x14ac:dyDescent="0.25">
      <c r="B74" s="1">
        <v>140550019</v>
      </c>
      <c r="C74" s="1" t="s">
        <v>262</v>
      </c>
      <c r="D74" s="1" t="s">
        <v>208</v>
      </c>
      <c r="E74" s="1" t="str">
        <f>_xlfn.XLOOKUP(Table1567891011[[#This Row],[mold_id]],Table156789[id],Table156789[moldable_type])</f>
        <v>cord</v>
      </c>
    </row>
    <row r="75" spans="2:5" x14ac:dyDescent="0.25">
      <c r="B75" s="1">
        <v>140680007</v>
      </c>
      <c r="C75" s="1" t="s">
        <v>262</v>
      </c>
      <c r="D75" s="1" t="s">
        <v>208</v>
      </c>
      <c r="E75" s="1" t="str">
        <f>_xlfn.XLOOKUP(Table1567891011[[#This Row],[mold_id]],Table156789[id],Table156789[moldable_type])</f>
        <v>cord</v>
      </c>
    </row>
    <row r="76" spans="2:5" x14ac:dyDescent="0.25">
      <c r="B76" s="1">
        <v>140680007</v>
      </c>
      <c r="C76" s="1" t="s">
        <v>290</v>
      </c>
      <c r="D76" s="1" t="s">
        <v>208</v>
      </c>
      <c r="E76" s="1" t="str">
        <f>_xlfn.XLOOKUP(Table1567891011[[#This Row],[mold_id]],Table156789[id],Table156789[moldable_type])</f>
        <v>misc</v>
      </c>
    </row>
    <row r="77" spans="2:5" x14ac:dyDescent="0.25">
      <c r="B77" s="1">
        <v>140680007</v>
      </c>
      <c r="C77" s="1" t="s">
        <v>285</v>
      </c>
      <c r="D77" s="1" t="s">
        <v>208</v>
      </c>
      <c r="E77" s="1" t="str">
        <f>_xlfn.XLOOKUP(Table1567891011[[#This Row],[mold_id]],Table156789[id],Table156789[moldable_type])</f>
        <v>misc</v>
      </c>
    </row>
    <row r="78" spans="2:5" x14ac:dyDescent="0.25">
      <c r="B78" s="1">
        <v>140310071</v>
      </c>
      <c r="C78" s="1" t="s">
        <v>265</v>
      </c>
      <c r="D78" s="1" t="s">
        <v>208</v>
      </c>
      <c r="E78" s="1" t="str">
        <f>_xlfn.XLOOKUP(Table1567891011[[#This Row],[mold_id]],Table156789[id],Table156789[moldable_type])</f>
        <v>cord</v>
      </c>
    </row>
    <row r="79" spans="2:5" x14ac:dyDescent="0.25">
      <c r="B79" s="1">
        <v>140310007</v>
      </c>
      <c r="C79" s="1" t="s">
        <v>246</v>
      </c>
      <c r="D79" s="1" t="s">
        <v>208</v>
      </c>
      <c r="E79" s="1" t="str">
        <f>_xlfn.XLOOKUP(Table1567891011[[#This Row],[mold_id]],Table156789[id],Table156789[moldable_type])</f>
        <v>plug</v>
      </c>
    </row>
    <row r="80" spans="2:5" x14ac:dyDescent="0.25">
      <c r="B80" s="1">
        <v>140310007</v>
      </c>
      <c r="C80" s="1" t="s">
        <v>297</v>
      </c>
      <c r="D80" s="1" t="s">
        <v>208</v>
      </c>
      <c r="E80" s="1" t="str">
        <f>_xlfn.XLOOKUP(Table1567891011[[#This Row],[mold_id]],Table156789[id],Table156789[moldable_type])</f>
        <v>misc</v>
      </c>
    </row>
    <row r="81" spans="2:5" x14ac:dyDescent="0.25">
      <c r="B81" s="1">
        <v>140220012</v>
      </c>
      <c r="C81" s="1" t="s">
        <v>259</v>
      </c>
      <c r="D81" s="1" t="s">
        <v>208</v>
      </c>
      <c r="E81" s="1" t="str">
        <f>_xlfn.XLOOKUP(Table1567891011[[#This Row],[mold_id]],Table156789[id],Table156789[moldable_type])</f>
        <v>cord</v>
      </c>
    </row>
    <row r="82" spans="2:5" x14ac:dyDescent="0.25">
      <c r="B82" s="1">
        <v>140220012</v>
      </c>
      <c r="C82" s="1" t="s">
        <v>284</v>
      </c>
      <c r="D82" s="1" t="s">
        <v>208</v>
      </c>
      <c r="E82" s="1" t="str">
        <f>_xlfn.XLOOKUP(Table1567891011[[#This Row],[mold_id]],Table156789[id],Table156789[moldable_type])</f>
        <v>misc</v>
      </c>
    </row>
    <row r="83" spans="2:5" x14ac:dyDescent="0.25">
      <c r="B83" s="1">
        <v>140310031</v>
      </c>
      <c r="C83" s="1" t="s">
        <v>290</v>
      </c>
      <c r="D83" s="1" t="s">
        <v>208</v>
      </c>
      <c r="E83" s="1" t="str">
        <f>_xlfn.XLOOKUP(Table1567891011[[#This Row],[mold_id]],Table156789[id],Table156789[moldable_type])</f>
        <v>misc</v>
      </c>
    </row>
    <row r="84" spans="2:5" x14ac:dyDescent="0.25">
      <c r="B84" s="1">
        <v>140550060</v>
      </c>
      <c r="C84" s="1" t="s">
        <v>252</v>
      </c>
      <c r="D84" s="1" t="s">
        <v>208</v>
      </c>
      <c r="E84" s="1" t="str">
        <f>_xlfn.XLOOKUP(Table1567891011[[#This Row],[mold_id]],Table156789[id],Table156789[moldable_type])</f>
        <v>cord</v>
      </c>
    </row>
    <row r="85" spans="2:5" x14ac:dyDescent="0.25">
      <c r="B85" s="1">
        <v>140010295</v>
      </c>
      <c r="C85" s="1" t="s">
        <v>247</v>
      </c>
      <c r="D85" s="1" t="s">
        <v>208</v>
      </c>
      <c r="E85" s="1" t="str">
        <f>_xlfn.XLOOKUP(Table1567891011[[#This Row],[mold_id]],Table156789[id],Table156789[moldable_type])</f>
        <v>plug</v>
      </c>
    </row>
    <row r="86" spans="2:5" x14ac:dyDescent="0.25">
      <c r="B86" s="1">
        <v>140530039</v>
      </c>
      <c r="C86" s="1" t="s">
        <v>247</v>
      </c>
      <c r="D86" s="1" t="s">
        <v>208</v>
      </c>
      <c r="E86" s="1" t="str">
        <f>_xlfn.XLOOKUP(Table1567891011[[#This Row],[mold_id]],Table156789[id],Table156789[moldable_type])</f>
        <v>plug</v>
      </c>
    </row>
    <row r="87" spans="2:5" x14ac:dyDescent="0.25">
      <c r="B87" s="1">
        <v>140530004</v>
      </c>
      <c r="C87" s="1" t="s">
        <v>253</v>
      </c>
      <c r="D87" s="1" t="s">
        <v>208</v>
      </c>
      <c r="E87" s="1" t="str">
        <f>_xlfn.XLOOKUP(Table1567891011[[#This Row],[mold_id]],Table156789[id],Table156789[moldable_type])</f>
        <v>plug</v>
      </c>
    </row>
    <row r="88" spans="2:5" x14ac:dyDescent="0.25">
      <c r="B88" s="1">
        <v>140530004</v>
      </c>
      <c r="C88" s="1" t="s">
        <v>282</v>
      </c>
      <c r="D88" s="1" t="s">
        <v>208</v>
      </c>
      <c r="E88" s="1" t="str">
        <f>_xlfn.XLOOKUP(Table1567891011[[#This Row],[mold_id]],Table156789[id],Table156789[moldable_type])</f>
        <v>cord</v>
      </c>
    </row>
    <row r="89" spans="2:5" x14ac:dyDescent="0.25">
      <c r="B89" s="1">
        <v>140310075</v>
      </c>
      <c r="C89" s="1" t="s">
        <v>255</v>
      </c>
      <c r="D89" s="1" t="s">
        <v>208</v>
      </c>
      <c r="E89" s="1" t="str">
        <f>_xlfn.XLOOKUP(Table1567891011[[#This Row],[mold_id]],Table156789[id],Table156789[moldable_type])</f>
        <v>cord</v>
      </c>
    </row>
    <row r="90" spans="2:5" x14ac:dyDescent="0.25">
      <c r="B90" s="1">
        <v>140310075</v>
      </c>
      <c r="C90" s="1" t="s">
        <v>293</v>
      </c>
      <c r="D90" s="1" t="s">
        <v>208</v>
      </c>
      <c r="E90" s="1" t="str">
        <f>_xlfn.XLOOKUP(Table1567891011[[#This Row],[mold_id]],Table156789[id],Table156789[moldable_type])</f>
        <v>cord</v>
      </c>
    </row>
    <row r="91" spans="2:5" x14ac:dyDescent="0.25">
      <c r="B91" s="1">
        <v>140310075</v>
      </c>
      <c r="C91" s="1" t="s">
        <v>257</v>
      </c>
      <c r="D91" s="1" t="s">
        <v>208</v>
      </c>
      <c r="E91" s="1" t="str">
        <f>_xlfn.XLOOKUP(Table1567891011[[#This Row],[mold_id]],Table156789[id],Table156789[moldable_type])</f>
        <v>cord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30D96-C6D7-498B-88F9-93D025B2D9C2}">
  <sheetPr codeName="Sheet9"/>
  <dimension ref="A1:B7"/>
  <sheetViews>
    <sheetView workbookViewId="0">
      <selection activeCell="A4" sqref="A4"/>
    </sheetView>
  </sheetViews>
  <sheetFormatPr defaultRowHeight="15" x14ac:dyDescent="0.25"/>
  <cols>
    <col min="1" max="1" width="11.28515625" style="1" customWidth="1"/>
    <col min="2" max="2" width="18.7109375" style="1" customWidth="1"/>
    <col min="3" max="16384" width="9.140625" style="1"/>
  </cols>
  <sheetData>
    <row r="1" spans="1:2" x14ac:dyDescent="0.25">
      <c r="A1" s="1" t="s">
        <v>0</v>
      </c>
      <c r="B1" s="1" t="s">
        <v>2</v>
      </c>
    </row>
    <row r="2" spans="1:2" x14ac:dyDescent="0.25">
      <c r="A2" s="1">
        <v>1</v>
      </c>
      <c r="B2" s="1" t="s">
        <v>185</v>
      </c>
    </row>
    <row r="3" spans="1:2" x14ac:dyDescent="0.25">
      <c r="A3" s="1">
        <v>2</v>
      </c>
      <c r="B3" s="1" t="s">
        <v>21</v>
      </c>
    </row>
    <row r="4" spans="1:2" x14ac:dyDescent="0.25">
      <c r="A4" s="1">
        <v>120300056</v>
      </c>
      <c r="B4" s="1" t="s">
        <v>384</v>
      </c>
    </row>
    <row r="5" spans="1:2" x14ac:dyDescent="0.25">
      <c r="A5" s="1">
        <v>123000067</v>
      </c>
      <c r="B5" s="1" t="s">
        <v>385</v>
      </c>
    </row>
    <row r="6" spans="1:2" x14ac:dyDescent="0.25">
      <c r="A6" s="1">
        <v>120300086</v>
      </c>
      <c r="B6" s="1" t="s">
        <v>386</v>
      </c>
    </row>
    <row r="7" spans="1:2" x14ac:dyDescent="0.25">
      <c r="A7" s="1">
        <v>120300052</v>
      </c>
      <c r="B7" s="1" t="s">
        <v>387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E96D8-E8A6-48BB-8757-0C414F7E9073}">
  <sheetPr codeName="Sheet11"/>
  <dimension ref="A1:P53"/>
  <sheetViews>
    <sheetView workbookViewId="0">
      <selection activeCell="C2" sqref="C2"/>
    </sheetView>
  </sheetViews>
  <sheetFormatPr defaultRowHeight="15" x14ac:dyDescent="0.25"/>
  <cols>
    <col min="1" max="1" width="7.28515625" style="1" bestFit="1" customWidth="1"/>
    <col min="2" max="2" width="15.140625" style="1" bestFit="1" customWidth="1"/>
    <col min="3" max="3" width="15.140625" style="1" customWidth="1"/>
    <col min="4" max="4" width="22" style="1" bestFit="1" customWidth="1"/>
    <col min="5" max="5" width="11.42578125" style="1" bestFit="1" customWidth="1"/>
    <col min="6" max="6" width="13" style="1" bestFit="1" customWidth="1"/>
    <col min="7" max="7" width="21" style="1" bestFit="1" customWidth="1"/>
    <col min="8" max="8" width="9.85546875" style="1" bestFit="1" customWidth="1"/>
    <col min="9" max="9" width="10.85546875" style="1" bestFit="1" customWidth="1"/>
    <col min="10" max="10" width="10.85546875" style="1" customWidth="1"/>
    <col min="11" max="11" width="37.140625" style="1" bestFit="1" customWidth="1"/>
    <col min="12" max="12" width="15" style="1" bestFit="1" customWidth="1"/>
    <col min="13" max="13" width="15.42578125" style="1" bestFit="1" customWidth="1"/>
    <col min="14" max="14" width="15" style="1" bestFit="1" customWidth="1"/>
    <col min="15" max="15" width="15.7109375" style="1" bestFit="1" customWidth="1"/>
    <col min="16" max="16" width="15.28515625" style="1" bestFit="1" customWidth="1"/>
    <col min="17" max="16384" width="9.140625" style="1"/>
  </cols>
  <sheetData>
    <row r="1" spans="1:16" x14ac:dyDescent="0.25">
      <c r="A1" s="1" t="s">
        <v>0</v>
      </c>
      <c r="B1" s="1" t="s">
        <v>366</v>
      </c>
      <c r="C1" s="1" t="s">
        <v>829</v>
      </c>
      <c r="D1" s="1" t="s">
        <v>564</v>
      </c>
      <c r="E1" s="1" t="s">
        <v>388</v>
      </c>
      <c r="F1" s="1" t="s">
        <v>389</v>
      </c>
      <c r="G1" s="1" t="s">
        <v>390</v>
      </c>
      <c r="H1" s="1" t="s">
        <v>391</v>
      </c>
      <c r="I1" s="1" t="s">
        <v>392</v>
      </c>
      <c r="J1" s="1" t="s">
        <v>367</v>
      </c>
      <c r="K1" s="1" t="s">
        <v>13</v>
      </c>
      <c r="L1" s="1" t="s">
        <v>830</v>
      </c>
      <c r="M1" s="1" t="s">
        <v>14</v>
      </c>
      <c r="N1" s="1" t="s">
        <v>15</v>
      </c>
      <c r="O1" s="1" t="s">
        <v>16</v>
      </c>
      <c r="P1" s="1" t="s">
        <v>17</v>
      </c>
    </row>
    <row r="2" spans="1:16" x14ac:dyDescent="0.25">
      <c r="A2" s="1">
        <v>1</v>
      </c>
      <c r="B2" s="1" t="s">
        <v>486</v>
      </c>
      <c r="D2" s="1" t="s">
        <v>425</v>
      </c>
      <c r="E2" s="1" t="s">
        <v>421</v>
      </c>
      <c r="F2" s="1">
        <v>8200</v>
      </c>
      <c r="G2" s="1" t="s">
        <v>393</v>
      </c>
      <c r="H2" s="1" t="b">
        <v>1</v>
      </c>
      <c r="I2" s="1" t="s">
        <v>485</v>
      </c>
      <c r="K2" s="2"/>
      <c r="L2" s="2"/>
    </row>
    <row r="3" spans="1:16" x14ac:dyDescent="0.25">
      <c r="A3" s="1">
        <v>2</v>
      </c>
      <c r="B3" s="1" t="s">
        <v>486</v>
      </c>
      <c r="D3" s="1" t="s">
        <v>426</v>
      </c>
      <c r="E3" s="1" t="s">
        <v>422</v>
      </c>
      <c r="F3" s="1">
        <v>6240</v>
      </c>
      <c r="H3" s="1" t="b">
        <v>1</v>
      </c>
      <c r="I3" s="1" t="s">
        <v>485</v>
      </c>
      <c r="K3" s="2"/>
      <c r="L3" s="2"/>
    </row>
    <row r="4" spans="1:16" x14ac:dyDescent="0.25">
      <c r="A4" s="1">
        <v>3</v>
      </c>
      <c r="B4" s="1" t="s">
        <v>486</v>
      </c>
      <c r="D4" s="1" t="s">
        <v>427</v>
      </c>
      <c r="E4" s="1" t="s">
        <v>423</v>
      </c>
      <c r="F4" s="1">
        <v>10800</v>
      </c>
      <c r="H4" s="1" t="b">
        <v>1</v>
      </c>
      <c r="I4" s="1" t="s">
        <v>485</v>
      </c>
      <c r="K4" s="2"/>
      <c r="L4" s="2"/>
    </row>
    <row r="5" spans="1:16" x14ac:dyDescent="0.25">
      <c r="A5" s="1">
        <v>4</v>
      </c>
      <c r="B5" s="1" t="s">
        <v>487</v>
      </c>
      <c r="D5" s="1" t="s">
        <v>428</v>
      </c>
      <c r="E5" s="1" t="s">
        <v>423</v>
      </c>
      <c r="F5" s="1">
        <v>8864</v>
      </c>
      <c r="G5" s="1" t="s">
        <v>405</v>
      </c>
      <c r="H5" s="1" t="b">
        <v>1</v>
      </c>
      <c r="I5" s="1" t="s">
        <v>485</v>
      </c>
      <c r="K5" s="2"/>
      <c r="L5" s="2"/>
    </row>
    <row r="6" spans="1:16" x14ac:dyDescent="0.25">
      <c r="A6" s="1">
        <v>5</v>
      </c>
      <c r="B6" s="1" t="s">
        <v>488</v>
      </c>
      <c r="D6" s="1" t="s">
        <v>429</v>
      </c>
      <c r="E6" s="1" t="s">
        <v>424</v>
      </c>
      <c r="F6" s="1">
        <v>6400</v>
      </c>
      <c r="G6" s="1" t="s">
        <v>406</v>
      </c>
      <c r="H6" s="1" t="b">
        <v>1</v>
      </c>
      <c r="I6" s="1" t="s">
        <v>485</v>
      </c>
      <c r="K6" s="2" t="s">
        <v>59</v>
      </c>
      <c r="L6" s="2"/>
    </row>
    <row r="7" spans="1:16" x14ac:dyDescent="0.25">
      <c r="A7" s="1">
        <v>6</v>
      </c>
      <c r="B7" s="1" t="s">
        <v>489</v>
      </c>
      <c r="D7" s="1" t="s">
        <v>430</v>
      </c>
      <c r="E7" s="1" t="s">
        <v>424</v>
      </c>
      <c r="F7" s="1">
        <v>2800</v>
      </c>
      <c r="G7" s="1" t="s">
        <v>406</v>
      </c>
      <c r="H7" s="1" t="b">
        <v>1</v>
      </c>
      <c r="I7" s="1" t="s">
        <v>485</v>
      </c>
      <c r="K7" s="2" t="s">
        <v>59</v>
      </c>
      <c r="L7" s="2"/>
    </row>
    <row r="8" spans="1:16" x14ac:dyDescent="0.25">
      <c r="A8" s="1">
        <v>7</v>
      </c>
      <c r="B8" s="1" t="s">
        <v>486</v>
      </c>
      <c r="D8" s="1" t="s">
        <v>439</v>
      </c>
      <c r="E8" s="1" t="s">
        <v>436</v>
      </c>
      <c r="F8" s="1">
        <v>600</v>
      </c>
      <c r="H8" s="1" t="b">
        <v>1</v>
      </c>
      <c r="I8" s="1" t="s">
        <v>485</v>
      </c>
      <c r="K8" s="2"/>
      <c r="L8" s="2"/>
    </row>
    <row r="9" spans="1:16" x14ac:dyDescent="0.25">
      <c r="A9" s="1">
        <v>8</v>
      </c>
      <c r="B9" s="1" t="s">
        <v>490</v>
      </c>
      <c r="D9" s="1" t="s">
        <v>446</v>
      </c>
      <c r="E9" s="1" t="s">
        <v>432</v>
      </c>
      <c r="F9" s="1">
        <v>7000</v>
      </c>
      <c r="G9" s="1" t="s">
        <v>395</v>
      </c>
      <c r="H9" s="1" t="b">
        <v>1</v>
      </c>
      <c r="I9" s="1" t="s">
        <v>485</v>
      </c>
      <c r="K9" s="2"/>
      <c r="L9" s="2"/>
    </row>
    <row r="10" spans="1:16" x14ac:dyDescent="0.25">
      <c r="A10" s="1">
        <v>9</v>
      </c>
      <c r="B10" s="1" t="s">
        <v>491</v>
      </c>
      <c r="D10" s="1" t="s">
        <v>447</v>
      </c>
      <c r="E10" s="1" t="s">
        <v>432</v>
      </c>
      <c r="F10" s="1">
        <v>22000</v>
      </c>
      <c r="G10" s="1" t="s">
        <v>395</v>
      </c>
      <c r="H10" s="1" t="b">
        <v>1</v>
      </c>
      <c r="I10" s="1" t="s">
        <v>485</v>
      </c>
      <c r="K10" s="2"/>
      <c r="L10" s="2"/>
    </row>
    <row r="11" spans="1:16" x14ac:dyDescent="0.25">
      <c r="A11" s="1">
        <v>10</v>
      </c>
      <c r="B11" s="1" t="s">
        <v>492</v>
      </c>
      <c r="D11" s="1" t="s">
        <v>448</v>
      </c>
      <c r="E11" s="1" t="s">
        <v>432</v>
      </c>
      <c r="F11" s="1">
        <v>1000</v>
      </c>
      <c r="G11" s="1" t="s">
        <v>395</v>
      </c>
      <c r="H11" s="1" t="b">
        <v>1</v>
      </c>
      <c r="I11" s="1" t="s">
        <v>485</v>
      </c>
      <c r="K11" s="2"/>
      <c r="L11" s="2"/>
    </row>
    <row r="12" spans="1:16" x14ac:dyDescent="0.25">
      <c r="A12" s="1">
        <v>11</v>
      </c>
      <c r="B12" s="1" t="s">
        <v>493</v>
      </c>
      <c r="D12" s="1" t="s">
        <v>445</v>
      </c>
      <c r="E12" s="1" t="s">
        <v>432</v>
      </c>
      <c r="F12" s="1">
        <v>8100</v>
      </c>
      <c r="G12" s="1" t="s">
        <v>395</v>
      </c>
      <c r="H12" s="1" t="b">
        <v>1</v>
      </c>
      <c r="I12" s="1" t="s">
        <v>485</v>
      </c>
      <c r="K12" s="2" t="s">
        <v>418</v>
      </c>
      <c r="L12" s="2"/>
    </row>
    <row r="13" spans="1:16" x14ac:dyDescent="0.25">
      <c r="A13" s="1">
        <v>12</v>
      </c>
      <c r="B13" s="1" t="s">
        <v>494</v>
      </c>
      <c r="D13" s="1" t="s">
        <v>443</v>
      </c>
      <c r="E13" s="1" t="s">
        <v>432</v>
      </c>
      <c r="F13" s="1">
        <v>8000</v>
      </c>
      <c r="G13" s="1" t="s">
        <v>395</v>
      </c>
      <c r="H13" s="1" t="b">
        <v>1</v>
      </c>
      <c r="I13" s="1" t="s">
        <v>485</v>
      </c>
      <c r="K13" s="2"/>
      <c r="L13" s="2"/>
    </row>
    <row r="14" spans="1:16" x14ac:dyDescent="0.25">
      <c r="A14" s="1">
        <v>13</v>
      </c>
      <c r="B14" s="1" t="s">
        <v>486</v>
      </c>
      <c r="D14" s="1" t="s">
        <v>444</v>
      </c>
      <c r="E14" s="1" t="s">
        <v>432</v>
      </c>
      <c r="F14" s="1">
        <v>8000</v>
      </c>
      <c r="G14" s="1" t="s">
        <v>395</v>
      </c>
      <c r="H14" s="1" t="b">
        <v>1</v>
      </c>
      <c r="I14" s="1" t="s">
        <v>485</v>
      </c>
      <c r="K14" s="2"/>
      <c r="L14" s="2"/>
    </row>
    <row r="15" spans="1:16" x14ac:dyDescent="0.25">
      <c r="A15" s="1">
        <v>14</v>
      </c>
      <c r="B15" s="1" t="s">
        <v>495</v>
      </c>
      <c r="D15" s="1" t="s">
        <v>455</v>
      </c>
      <c r="E15" s="1" t="s">
        <v>432</v>
      </c>
      <c r="F15" s="1">
        <v>500</v>
      </c>
      <c r="G15" s="1" t="s">
        <v>398</v>
      </c>
      <c r="H15" s="1" t="b">
        <v>1</v>
      </c>
      <c r="I15" s="1" t="s">
        <v>485</v>
      </c>
      <c r="K15" s="2" t="s">
        <v>420</v>
      </c>
      <c r="L15" s="2"/>
    </row>
    <row r="16" spans="1:16" x14ac:dyDescent="0.25">
      <c r="A16" s="1">
        <v>15</v>
      </c>
      <c r="B16" s="1" t="s">
        <v>496</v>
      </c>
      <c r="D16" s="1" t="s">
        <v>450</v>
      </c>
      <c r="E16" s="1" t="s">
        <v>432</v>
      </c>
      <c r="F16" s="1">
        <v>6000</v>
      </c>
      <c r="G16" s="1" t="s">
        <v>397</v>
      </c>
      <c r="H16" s="1" t="b">
        <v>1</v>
      </c>
      <c r="I16" s="1" t="s">
        <v>485</v>
      </c>
      <c r="K16" s="2" t="s">
        <v>419</v>
      </c>
      <c r="L16" s="2"/>
    </row>
    <row r="17" spans="1:12" x14ac:dyDescent="0.25">
      <c r="A17" s="1">
        <v>16</v>
      </c>
      <c r="B17" s="1" t="s">
        <v>497</v>
      </c>
      <c r="D17" s="1" t="s">
        <v>449</v>
      </c>
      <c r="E17" s="1" t="s">
        <v>432</v>
      </c>
      <c r="F17" s="1">
        <v>3000</v>
      </c>
      <c r="G17" s="1" t="s">
        <v>396</v>
      </c>
      <c r="H17" s="1" t="b">
        <v>1</v>
      </c>
      <c r="I17" s="1" t="s">
        <v>485</v>
      </c>
      <c r="K17" s="2"/>
      <c r="L17" s="2"/>
    </row>
    <row r="18" spans="1:12" x14ac:dyDescent="0.25">
      <c r="A18" s="1">
        <v>17</v>
      </c>
      <c r="B18" s="1" t="s">
        <v>498</v>
      </c>
      <c r="D18" s="1" t="s">
        <v>457</v>
      </c>
      <c r="E18" s="1" t="s">
        <v>432</v>
      </c>
      <c r="F18" s="1">
        <v>15000</v>
      </c>
      <c r="H18" s="1" t="b">
        <v>1</v>
      </c>
      <c r="I18" s="1" t="s">
        <v>485</v>
      </c>
      <c r="K18" s="2"/>
      <c r="L18" s="2"/>
    </row>
    <row r="19" spans="1:12" x14ac:dyDescent="0.25">
      <c r="A19" s="1">
        <v>18</v>
      </c>
      <c r="B19" s="1" t="s">
        <v>499</v>
      </c>
      <c r="D19" s="1" t="s">
        <v>451</v>
      </c>
      <c r="E19" s="1" t="s">
        <v>432</v>
      </c>
      <c r="F19" s="1">
        <v>45000</v>
      </c>
      <c r="G19" s="1" t="s">
        <v>398</v>
      </c>
      <c r="H19" s="1" t="b">
        <v>1</v>
      </c>
      <c r="I19" s="1" t="s">
        <v>485</v>
      </c>
      <c r="K19" s="2"/>
      <c r="L19" s="2"/>
    </row>
    <row r="20" spans="1:12" x14ac:dyDescent="0.25">
      <c r="A20" s="1">
        <v>19</v>
      </c>
      <c r="B20" s="1" t="s">
        <v>490</v>
      </c>
      <c r="D20" s="1" t="s">
        <v>442</v>
      </c>
      <c r="E20" s="1" t="s">
        <v>431</v>
      </c>
      <c r="F20" s="1">
        <v>3000</v>
      </c>
      <c r="G20" s="1" t="s">
        <v>394</v>
      </c>
      <c r="H20" s="1" t="b">
        <v>1</v>
      </c>
      <c r="I20" s="1" t="s">
        <v>485</v>
      </c>
      <c r="K20" s="2"/>
      <c r="L20" s="2"/>
    </row>
    <row r="21" spans="1:12" x14ac:dyDescent="0.25">
      <c r="A21" s="1">
        <v>20</v>
      </c>
      <c r="B21" s="1" t="s">
        <v>494</v>
      </c>
      <c r="D21" s="1" t="s">
        <v>441</v>
      </c>
      <c r="E21" s="1" t="s">
        <v>431</v>
      </c>
      <c r="F21" s="1">
        <v>3000</v>
      </c>
      <c r="G21" s="1" t="s">
        <v>394</v>
      </c>
      <c r="H21" s="1" t="b">
        <v>1</v>
      </c>
      <c r="I21" s="1" t="s">
        <v>485</v>
      </c>
      <c r="K21" s="2"/>
      <c r="L21" s="2"/>
    </row>
    <row r="22" spans="1:12" x14ac:dyDescent="0.25">
      <c r="A22" s="1">
        <v>21</v>
      </c>
      <c r="B22" s="1" t="s">
        <v>486</v>
      </c>
      <c r="D22" s="1" t="s">
        <v>440</v>
      </c>
      <c r="E22" s="1" t="s">
        <v>431</v>
      </c>
      <c r="F22" s="1">
        <v>3000</v>
      </c>
      <c r="G22" s="1" t="s">
        <v>394</v>
      </c>
      <c r="H22" s="1" t="b">
        <v>1</v>
      </c>
      <c r="I22" s="1" t="s">
        <v>485</v>
      </c>
      <c r="K22" s="2"/>
      <c r="L22" s="2"/>
    </row>
    <row r="23" spans="1:12" x14ac:dyDescent="0.25">
      <c r="A23" s="1">
        <v>22</v>
      </c>
      <c r="B23" s="1" t="s">
        <v>490</v>
      </c>
      <c r="D23" s="1" t="s">
        <v>463</v>
      </c>
      <c r="E23" s="1" t="s">
        <v>434</v>
      </c>
      <c r="F23" s="1">
        <v>12000</v>
      </c>
      <c r="G23" s="1" t="s">
        <v>403</v>
      </c>
      <c r="H23" s="1" t="b">
        <v>1</v>
      </c>
      <c r="I23" s="1" t="s">
        <v>485</v>
      </c>
      <c r="K23" s="2"/>
      <c r="L23" s="2"/>
    </row>
    <row r="24" spans="1:12" x14ac:dyDescent="0.25">
      <c r="A24" s="1">
        <v>23</v>
      </c>
      <c r="B24" s="1" t="s">
        <v>491</v>
      </c>
      <c r="D24" s="1" t="s">
        <v>464</v>
      </c>
      <c r="E24" s="1" t="s">
        <v>434</v>
      </c>
      <c r="F24" s="1">
        <v>3000</v>
      </c>
      <c r="G24" s="1" t="s">
        <v>403</v>
      </c>
      <c r="H24" s="1" t="b">
        <v>1</v>
      </c>
      <c r="I24" s="1" t="s">
        <v>485</v>
      </c>
      <c r="K24" s="2"/>
      <c r="L24" s="2"/>
    </row>
    <row r="25" spans="1:12" x14ac:dyDescent="0.25">
      <c r="A25" s="1">
        <v>24</v>
      </c>
      <c r="B25" s="1" t="s">
        <v>492</v>
      </c>
      <c r="D25" s="1" t="s">
        <v>465</v>
      </c>
      <c r="E25" s="1" t="s">
        <v>434</v>
      </c>
      <c r="F25" s="1">
        <v>500</v>
      </c>
      <c r="G25" s="1" t="s">
        <v>403</v>
      </c>
      <c r="H25" s="1" t="b">
        <v>1</v>
      </c>
      <c r="I25" s="1" t="s">
        <v>485</v>
      </c>
      <c r="K25" s="2"/>
      <c r="L25" s="2"/>
    </row>
    <row r="26" spans="1:12" x14ac:dyDescent="0.25">
      <c r="A26" s="1">
        <v>25</v>
      </c>
      <c r="B26" s="1" t="s">
        <v>493</v>
      </c>
      <c r="D26" s="1" t="s">
        <v>456</v>
      </c>
      <c r="E26" s="1" t="s">
        <v>434</v>
      </c>
      <c r="F26" s="1">
        <v>10000</v>
      </c>
      <c r="G26" s="1" t="s">
        <v>400</v>
      </c>
      <c r="H26" s="1" t="b">
        <v>1</v>
      </c>
      <c r="I26" s="1" t="s">
        <v>485</v>
      </c>
      <c r="K26" s="2"/>
      <c r="L26" s="2"/>
    </row>
    <row r="27" spans="1:12" x14ac:dyDescent="0.25">
      <c r="A27" s="1">
        <v>26</v>
      </c>
      <c r="B27" s="1" t="s">
        <v>494</v>
      </c>
      <c r="D27" s="1" t="s">
        <v>466</v>
      </c>
      <c r="E27" s="1" t="s">
        <v>434</v>
      </c>
      <c r="F27" s="1">
        <v>8300</v>
      </c>
      <c r="G27" s="1" t="s">
        <v>403</v>
      </c>
      <c r="H27" s="1" t="b">
        <v>1</v>
      </c>
      <c r="I27" s="1" t="s">
        <v>485</v>
      </c>
      <c r="K27" s="2"/>
      <c r="L27" s="2"/>
    </row>
    <row r="28" spans="1:12" x14ac:dyDescent="0.25">
      <c r="A28" s="1">
        <v>27</v>
      </c>
      <c r="B28" s="1" t="s">
        <v>486</v>
      </c>
      <c r="D28" s="1" t="s">
        <v>467</v>
      </c>
      <c r="E28" s="1" t="s">
        <v>434</v>
      </c>
      <c r="F28" s="1">
        <v>4400</v>
      </c>
      <c r="G28" s="1" t="s">
        <v>403</v>
      </c>
      <c r="H28" s="1" t="b">
        <v>1</v>
      </c>
      <c r="I28" s="1" t="s">
        <v>485</v>
      </c>
      <c r="K28" s="2"/>
      <c r="L28" s="2"/>
    </row>
    <row r="29" spans="1:12" x14ac:dyDescent="0.25">
      <c r="A29" s="1">
        <v>28</v>
      </c>
      <c r="B29" s="1" t="s">
        <v>500</v>
      </c>
      <c r="D29" s="1" t="s">
        <v>458</v>
      </c>
      <c r="E29" s="1" t="s">
        <v>434</v>
      </c>
      <c r="F29" s="1">
        <v>10000</v>
      </c>
      <c r="G29" s="1" t="s">
        <v>401</v>
      </c>
      <c r="H29" s="1" t="b">
        <v>1</v>
      </c>
      <c r="I29" s="1" t="s">
        <v>485</v>
      </c>
      <c r="K29" s="2"/>
      <c r="L29" s="2"/>
    </row>
    <row r="30" spans="1:12" x14ac:dyDescent="0.25">
      <c r="A30" s="1">
        <v>29</v>
      </c>
      <c r="B30" s="1" t="s">
        <v>496</v>
      </c>
      <c r="D30" s="1" t="s">
        <v>461</v>
      </c>
      <c r="E30" s="1" t="s">
        <v>434</v>
      </c>
      <c r="F30" s="1">
        <v>4000</v>
      </c>
      <c r="G30" s="1" t="s">
        <v>401</v>
      </c>
      <c r="H30" s="1" t="b">
        <v>1</v>
      </c>
      <c r="I30" s="1" t="s">
        <v>485</v>
      </c>
      <c r="K30" s="2"/>
      <c r="L30" s="2"/>
    </row>
    <row r="31" spans="1:12" x14ac:dyDescent="0.25">
      <c r="A31" s="1">
        <v>30</v>
      </c>
      <c r="B31" s="1" t="s">
        <v>501</v>
      </c>
      <c r="D31" s="1" t="s">
        <v>459</v>
      </c>
      <c r="E31" s="1" t="s">
        <v>434</v>
      </c>
      <c r="F31" s="1">
        <v>70000</v>
      </c>
      <c r="G31" s="1" t="s">
        <v>401</v>
      </c>
      <c r="H31" s="1" t="b">
        <v>1</v>
      </c>
      <c r="I31" s="1" t="s">
        <v>485</v>
      </c>
      <c r="K31" s="2"/>
      <c r="L31" s="2"/>
    </row>
    <row r="32" spans="1:12" x14ac:dyDescent="0.25">
      <c r="A32" s="1">
        <v>31</v>
      </c>
      <c r="B32" s="1" t="s">
        <v>502</v>
      </c>
      <c r="D32" s="1" t="s">
        <v>460</v>
      </c>
      <c r="E32" s="1" t="s">
        <v>434</v>
      </c>
      <c r="F32" s="1">
        <v>30000</v>
      </c>
      <c r="G32" s="1" t="s">
        <v>401</v>
      </c>
      <c r="H32" s="1" t="b">
        <v>1</v>
      </c>
      <c r="I32" s="1" t="s">
        <v>485</v>
      </c>
      <c r="K32" s="2"/>
      <c r="L32" s="2"/>
    </row>
    <row r="33" spans="1:12" x14ac:dyDescent="0.25">
      <c r="A33" s="1">
        <v>32</v>
      </c>
      <c r="B33" s="1" t="s">
        <v>497</v>
      </c>
      <c r="D33" s="1" t="s">
        <v>462</v>
      </c>
      <c r="E33" s="1" t="s">
        <v>434</v>
      </c>
      <c r="F33" s="1">
        <v>4000</v>
      </c>
      <c r="G33" s="1" t="s">
        <v>401</v>
      </c>
      <c r="H33" s="1" t="b">
        <v>1</v>
      </c>
      <c r="I33" s="1" t="s">
        <v>485</v>
      </c>
      <c r="K33" s="2"/>
      <c r="L33" s="2"/>
    </row>
    <row r="34" spans="1:12" x14ac:dyDescent="0.25">
      <c r="A34" s="1">
        <v>33</v>
      </c>
      <c r="B34" s="1" t="s">
        <v>503</v>
      </c>
      <c r="D34" s="1" t="s">
        <v>469</v>
      </c>
      <c r="E34" s="1" t="s">
        <v>434</v>
      </c>
      <c r="F34" s="1">
        <v>20000</v>
      </c>
      <c r="G34" s="1" t="s">
        <v>404</v>
      </c>
      <c r="H34" s="1" t="b">
        <v>1</v>
      </c>
      <c r="I34" s="1" t="s">
        <v>485</v>
      </c>
      <c r="K34" s="2"/>
      <c r="L34" s="2"/>
    </row>
    <row r="35" spans="1:12" x14ac:dyDescent="0.25">
      <c r="A35" s="1">
        <v>34</v>
      </c>
      <c r="B35" s="1" t="s">
        <v>499</v>
      </c>
      <c r="D35" s="1" t="s">
        <v>468</v>
      </c>
      <c r="E35" s="1" t="s">
        <v>434</v>
      </c>
      <c r="F35" s="1">
        <v>15000</v>
      </c>
      <c r="G35" s="1" t="s">
        <v>404</v>
      </c>
      <c r="H35" s="1" t="b">
        <v>1</v>
      </c>
      <c r="I35" s="1" t="s">
        <v>485</v>
      </c>
      <c r="K35" s="2"/>
      <c r="L35" s="2"/>
    </row>
    <row r="36" spans="1:12" x14ac:dyDescent="0.25">
      <c r="A36" s="1">
        <v>35</v>
      </c>
      <c r="B36" s="1" t="s">
        <v>490</v>
      </c>
      <c r="D36" s="1" t="s">
        <v>454</v>
      </c>
      <c r="E36" s="1" t="s">
        <v>433</v>
      </c>
      <c r="F36" s="1">
        <v>3000</v>
      </c>
      <c r="G36" s="1" t="s">
        <v>399</v>
      </c>
      <c r="H36" s="1" t="b">
        <v>1</v>
      </c>
      <c r="I36" s="1" t="s">
        <v>485</v>
      </c>
      <c r="K36" s="2" t="s">
        <v>420</v>
      </c>
      <c r="L36" s="2"/>
    </row>
    <row r="37" spans="1:12" x14ac:dyDescent="0.25">
      <c r="A37" s="1">
        <v>36</v>
      </c>
      <c r="B37" s="1" t="s">
        <v>494</v>
      </c>
      <c r="D37" s="1" t="s">
        <v>452</v>
      </c>
      <c r="E37" s="1" t="s">
        <v>433</v>
      </c>
      <c r="F37" s="1">
        <v>3000</v>
      </c>
      <c r="G37" s="1" t="s">
        <v>399</v>
      </c>
      <c r="H37" s="1" t="b">
        <v>1</v>
      </c>
      <c r="I37" s="1" t="s">
        <v>485</v>
      </c>
      <c r="K37" s="2" t="s">
        <v>420</v>
      </c>
      <c r="L37" s="2"/>
    </row>
    <row r="38" spans="1:12" x14ac:dyDescent="0.25">
      <c r="A38" s="1">
        <v>37</v>
      </c>
      <c r="B38" s="1" t="s">
        <v>486</v>
      </c>
      <c r="D38" s="1" t="s">
        <v>453</v>
      </c>
      <c r="E38" s="1" t="s">
        <v>433</v>
      </c>
      <c r="F38" s="1">
        <v>3000</v>
      </c>
      <c r="G38" s="1" t="s">
        <v>399</v>
      </c>
      <c r="H38" s="1" t="b">
        <v>1</v>
      </c>
      <c r="I38" s="1" t="s">
        <v>485</v>
      </c>
      <c r="K38" s="2" t="s">
        <v>420</v>
      </c>
      <c r="L38" s="2"/>
    </row>
    <row r="39" spans="1:12" x14ac:dyDescent="0.25">
      <c r="A39" s="1">
        <v>38</v>
      </c>
      <c r="B39" s="1" t="s">
        <v>490</v>
      </c>
      <c r="D39" s="1" t="s">
        <v>470</v>
      </c>
      <c r="E39" s="1" t="s">
        <v>435</v>
      </c>
      <c r="F39" s="1">
        <v>2000</v>
      </c>
      <c r="G39" s="1" t="s">
        <v>407</v>
      </c>
      <c r="H39" s="1" t="b">
        <v>1</v>
      </c>
      <c r="I39" s="1" t="s">
        <v>485</v>
      </c>
      <c r="K39" s="2"/>
      <c r="L39" s="2"/>
    </row>
    <row r="40" spans="1:12" x14ac:dyDescent="0.25">
      <c r="A40" s="1">
        <v>39</v>
      </c>
      <c r="B40" s="1" t="s">
        <v>491</v>
      </c>
      <c r="D40" s="1" t="s">
        <v>471</v>
      </c>
      <c r="E40" s="1" t="s">
        <v>435</v>
      </c>
      <c r="F40" s="1">
        <v>9000</v>
      </c>
      <c r="G40" s="1" t="s">
        <v>407</v>
      </c>
      <c r="H40" s="1" t="b">
        <v>1</v>
      </c>
      <c r="I40" s="1" t="s">
        <v>485</v>
      </c>
      <c r="K40" s="2"/>
      <c r="L40" s="2"/>
    </row>
    <row r="41" spans="1:12" x14ac:dyDescent="0.25">
      <c r="A41" s="1">
        <v>40</v>
      </c>
      <c r="B41" s="1" t="s">
        <v>492</v>
      </c>
      <c r="D41" s="1" t="s">
        <v>472</v>
      </c>
      <c r="E41" s="1" t="s">
        <v>435</v>
      </c>
      <c r="F41" s="1">
        <v>500</v>
      </c>
      <c r="G41" s="1" t="s">
        <v>407</v>
      </c>
      <c r="H41" s="1" t="b">
        <v>1</v>
      </c>
      <c r="I41" s="1" t="s">
        <v>485</v>
      </c>
      <c r="K41" s="2"/>
      <c r="L41" s="2"/>
    </row>
    <row r="42" spans="1:12" x14ac:dyDescent="0.25">
      <c r="A42" s="1">
        <v>41</v>
      </c>
      <c r="B42" s="1" t="s">
        <v>494</v>
      </c>
      <c r="D42" s="1" t="s">
        <v>473</v>
      </c>
      <c r="E42" s="1" t="s">
        <v>435</v>
      </c>
      <c r="F42" s="1">
        <v>5200</v>
      </c>
      <c r="G42" s="1" t="s">
        <v>407</v>
      </c>
      <c r="H42" s="1" t="b">
        <v>1</v>
      </c>
      <c r="I42" s="1" t="s">
        <v>485</v>
      </c>
      <c r="K42" s="2"/>
      <c r="L42" s="2"/>
    </row>
    <row r="43" spans="1:12" x14ac:dyDescent="0.25">
      <c r="A43" s="1">
        <v>42</v>
      </c>
      <c r="B43" s="1" t="s">
        <v>486</v>
      </c>
      <c r="D43" s="1" t="s">
        <v>474</v>
      </c>
      <c r="E43" s="1" t="s">
        <v>435</v>
      </c>
      <c r="F43" s="1">
        <v>6300</v>
      </c>
      <c r="G43" s="1" t="s">
        <v>407</v>
      </c>
      <c r="H43" s="1" t="b">
        <v>1</v>
      </c>
      <c r="I43" s="1" t="s">
        <v>485</v>
      </c>
      <c r="K43" s="2"/>
      <c r="L43" s="2"/>
    </row>
    <row r="44" spans="1:12" x14ac:dyDescent="0.25">
      <c r="A44" s="1">
        <v>43</v>
      </c>
      <c r="B44" s="1" t="s">
        <v>500</v>
      </c>
      <c r="D44" s="1" t="s">
        <v>476</v>
      </c>
      <c r="E44" s="1" t="s">
        <v>435</v>
      </c>
      <c r="F44" s="1">
        <v>60000</v>
      </c>
      <c r="G44" s="1" t="s">
        <v>408</v>
      </c>
      <c r="H44" s="1" t="b">
        <v>1</v>
      </c>
      <c r="I44" s="1" t="s">
        <v>485</v>
      </c>
      <c r="K44" s="2"/>
      <c r="L44" s="2"/>
    </row>
    <row r="45" spans="1:12" x14ac:dyDescent="0.25">
      <c r="A45" s="1">
        <v>44</v>
      </c>
      <c r="B45" s="1" t="s">
        <v>495</v>
      </c>
      <c r="D45" s="1" t="s">
        <v>477</v>
      </c>
      <c r="E45" s="1" t="s">
        <v>435</v>
      </c>
      <c r="F45" s="1">
        <v>8500</v>
      </c>
      <c r="G45" s="1" t="s">
        <v>409</v>
      </c>
      <c r="H45" s="1" t="b">
        <v>1</v>
      </c>
      <c r="I45" s="1" t="s">
        <v>485</v>
      </c>
      <c r="K45" s="2"/>
      <c r="L45" s="2"/>
    </row>
    <row r="46" spans="1:12" x14ac:dyDescent="0.25">
      <c r="A46" s="1">
        <v>45</v>
      </c>
      <c r="B46" s="1" t="s">
        <v>504</v>
      </c>
      <c r="D46" s="1" t="s">
        <v>475</v>
      </c>
      <c r="E46" s="1" t="s">
        <v>435</v>
      </c>
      <c r="F46" s="1">
        <v>11000</v>
      </c>
      <c r="G46" s="1" t="s">
        <v>407</v>
      </c>
      <c r="H46" s="1" t="b">
        <v>1</v>
      </c>
      <c r="I46" s="1" t="s">
        <v>485</v>
      </c>
      <c r="K46" s="2"/>
      <c r="L46" s="2"/>
    </row>
    <row r="47" spans="1:12" x14ac:dyDescent="0.25">
      <c r="A47" s="1">
        <v>46</v>
      </c>
      <c r="B47" s="1" t="s">
        <v>491</v>
      </c>
      <c r="D47" s="1" t="s">
        <v>481</v>
      </c>
      <c r="E47" s="1" t="s">
        <v>437</v>
      </c>
      <c r="F47" s="1">
        <v>400</v>
      </c>
      <c r="G47" s="1" t="s">
        <v>411</v>
      </c>
      <c r="H47" s="1" t="b">
        <v>1</v>
      </c>
      <c r="I47" s="1" t="s">
        <v>485</v>
      </c>
      <c r="K47" s="2"/>
      <c r="L47" s="2"/>
    </row>
    <row r="48" spans="1:12" x14ac:dyDescent="0.25">
      <c r="A48" s="1">
        <v>47</v>
      </c>
      <c r="B48" s="1" t="s">
        <v>492</v>
      </c>
      <c r="D48" s="1" t="s">
        <v>482</v>
      </c>
      <c r="E48" s="1" t="s">
        <v>437</v>
      </c>
      <c r="F48" s="1">
        <v>700</v>
      </c>
      <c r="G48" s="1" t="s">
        <v>411</v>
      </c>
      <c r="H48" s="1" t="b">
        <v>1</v>
      </c>
      <c r="I48" s="1" t="s">
        <v>485</v>
      </c>
      <c r="K48" s="2"/>
      <c r="L48" s="2"/>
    </row>
    <row r="49" spans="1:12" x14ac:dyDescent="0.25">
      <c r="A49" s="1">
        <v>48</v>
      </c>
      <c r="B49" s="1" t="s">
        <v>490</v>
      </c>
      <c r="D49" s="1" t="s">
        <v>478</v>
      </c>
      <c r="E49" s="1" t="s">
        <v>438</v>
      </c>
      <c r="F49" s="1">
        <v>17000</v>
      </c>
      <c r="G49" s="1" t="s">
        <v>410</v>
      </c>
      <c r="H49" s="1" t="b">
        <v>1</v>
      </c>
      <c r="I49" s="1" t="s">
        <v>485</v>
      </c>
      <c r="K49" s="2"/>
      <c r="L49" s="2"/>
    </row>
    <row r="50" spans="1:12" x14ac:dyDescent="0.25">
      <c r="A50" s="1">
        <v>49</v>
      </c>
      <c r="B50" s="1" t="s">
        <v>491</v>
      </c>
      <c r="D50" s="1" t="s">
        <v>479</v>
      </c>
      <c r="E50" s="1" t="s">
        <v>438</v>
      </c>
      <c r="F50" s="1">
        <v>18000</v>
      </c>
      <c r="G50" s="1" t="s">
        <v>410</v>
      </c>
      <c r="H50" s="1" t="b">
        <v>1</v>
      </c>
      <c r="I50" s="1" t="s">
        <v>485</v>
      </c>
      <c r="K50" s="2"/>
      <c r="L50" s="2"/>
    </row>
    <row r="51" spans="1:12" x14ac:dyDescent="0.25">
      <c r="A51" s="1">
        <v>50</v>
      </c>
      <c r="B51" s="1" t="s">
        <v>492</v>
      </c>
      <c r="D51" s="1" t="s">
        <v>480</v>
      </c>
      <c r="E51" s="1" t="s">
        <v>438</v>
      </c>
      <c r="F51" s="1">
        <v>2800</v>
      </c>
      <c r="G51" s="1" t="s">
        <v>410</v>
      </c>
      <c r="H51" s="1" t="b">
        <v>1</v>
      </c>
      <c r="I51" s="1" t="s">
        <v>485</v>
      </c>
      <c r="K51" s="2"/>
      <c r="L51" s="2"/>
    </row>
    <row r="52" spans="1:12" x14ac:dyDescent="0.25">
      <c r="A52" s="1">
        <v>51</v>
      </c>
      <c r="B52" s="1" t="s">
        <v>494</v>
      </c>
      <c r="D52" s="1" t="s">
        <v>483</v>
      </c>
      <c r="E52" s="1" t="s">
        <v>438</v>
      </c>
      <c r="F52" s="1">
        <v>1800</v>
      </c>
      <c r="G52" s="1" t="s">
        <v>412</v>
      </c>
      <c r="H52" s="1" t="b">
        <v>1</v>
      </c>
      <c r="I52" s="1" t="s">
        <v>485</v>
      </c>
      <c r="K52" s="2"/>
      <c r="L52" s="2"/>
    </row>
    <row r="53" spans="1:12" x14ac:dyDescent="0.25">
      <c r="A53" s="1">
        <v>52</v>
      </c>
      <c r="B53" s="1" t="s">
        <v>497</v>
      </c>
      <c r="D53" s="1" t="s">
        <v>484</v>
      </c>
      <c r="E53" s="1" t="s">
        <v>438</v>
      </c>
      <c r="F53" s="1">
        <v>2500</v>
      </c>
      <c r="G53" s="1" t="s">
        <v>414</v>
      </c>
      <c r="H53" s="1" t="b">
        <v>1</v>
      </c>
      <c r="I53" s="1" t="s">
        <v>485</v>
      </c>
      <c r="K53" s="2"/>
      <c r="L53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ACE-BB82-411A-AFF6-76CC8594C6DF}">
  <sheetPr codeName="Sheet12"/>
  <dimension ref="A1:K138"/>
  <sheetViews>
    <sheetView workbookViewId="0">
      <selection activeCell="I9" sqref="I9"/>
    </sheetView>
  </sheetViews>
  <sheetFormatPr defaultRowHeight="15" x14ac:dyDescent="0.25"/>
  <cols>
    <col min="1" max="1" width="11.28515625" style="1" customWidth="1"/>
    <col min="2" max="2" width="23.85546875" style="1" bestFit="1" customWidth="1"/>
    <col min="3" max="3" width="19.140625" style="1" bestFit="1" customWidth="1"/>
    <col min="4" max="4" width="22.7109375" style="1" bestFit="1" customWidth="1"/>
    <col min="5" max="5" width="10.85546875" style="1" bestFit="1" customWidth="1"/>
    <col min="6" max="6" width="9.140625" style="1"/>
    <col min="7" max="7" width="15.5703125" style="1" bestFit="1" customWidth="1"/>
    <col min="8" max="8" width="15.42578125" style="1" bestFit="1" customWidth="1"/>
    <col min="9" max="9" width="15" style="1" bestFit="1" customWidth="1"/>
    <col min="10" max="10" width="15.7109375" style="1" bestFit="1" customWidth="1"/>
    <col min="11" max="11" width="15.28515625" style="1" bestFit="1" customWidth="1"/>
    <col min="12" max="16384" width="9.140625" style="1"/>
  </cols>
  <sheetData>
    <row r="1" spans="1:11" x14ac:dyDescent="0.25">
      <c r="A1" s="1" t="s">
        <v>0</v>
      </c>
      <c r="B1" s="1" t="s">
        <v>505</v>
      </c>
      <c r="C1" s="1" t="s">
        <v>506</v>
      </c>
      <c r="D1" s="1" t="s">
        <v>507</v>
      </c>
      <c r="E1" s="1" t="s">
        <v>392</v>
      </c>
      <c r="F1" s="1" t="s">
        <v>367</v>
      </c>
      <c r="G1" s="1" t="s">
        <v>13</v>
      </c>
      <c r="H1" s="1" t="s">
        <v>14</v>
      </c>
      <c r="I1" s="1" t="s">
        <v>15</v>
      </c>
      <c r="J1" s="1" t="s">
        <v>16</v>
      </c>
      <c r="K1" s="1" t="s">
        <v>17</v>
      </c>
    </row>
    <row r="2" spans="1:11" x14ac:dyDescent="0.25">
      <c r="A2" s="1">
        <v>1</v>
      </c>
      <c r="B2" s="11">
        <v>1</v>
      </c>
      <c r="C2" s="11"/>
      <c r="D2" s="13">
        <v>8200</v>
      </c>
    </row>
    <row r="3" spans="1:11" x14ac:dyDescent="0.25">
      <c r="A3" s="1">
        <v>2</v>
      </c>
      <c r="B3" s="11">
        <v>2</v>
      </c>
      <c r="C3" s="11"/>
      <c r="D3" s="13">
        <v>6240</v>
      </c>
    </row>
    <row r="4" spans="1:11" x14ac:dyDescent="0.25">
      <c r="A4" s="1">
        <v>3</v>
      </c>
      <c r="B4" s="11">
        <v>3</v>
      </c>
      <c r="C4" s="11"/>
      <c r="D4" s="13">
        <v>10800</v>
      </c>
    </row>
    <row r="5" spans="1:11" x14ac:dyDescent="0.25">
      <c r="A5" s="1">
        <v>4</v>
      </c>
      <c r="B5" s="11">
        <v>4</v>
      </c>
      <c r="C5" s="11"/>
      <c r="D5" s="13">
        <v>8864</v>
      </c>
    </row>
    <row r="6" spans="1:11" x14ac:dyDescent="0.25">
      <c r="A6" s="1">
        <v>5</v>
      </c>
      <c r="B6" s="11">
        <v>5</v>
      </c>
      <c r="C6" s="11" t="s">
        <v>541</v>
      </c>
      <c r="D6" s="13">
        <v>6400</v>
      </c>
    </row>
    <row r="7" spans="1:11" x14ac:dyDescent="0.25">
      <c r="A7" s="1">
        <v>6</v>
      </c>
      <c r="B7" s="11">
        <v>6</v>
      </c>
      <c r="C7" s="11"/>
      <c r="D7" s="13">
        <v>2800</v>
      </c>
    </row>
    <row r="8" spans="1:11" x14ac:dyDescent="0.25">
      <c r="A8" s="1">
        <v>7</v>
      </c>
      <c r="B8" s="11">
        <v>7</v>
      </c>
      <c r="C8" s="11"/>
      <c r="D8" s="13">
        <v>600</v>
      </c>
    </row>
    <row r="9" spans="1:11" x14ac:dyDescent="0.25">
      <c r="A9" s="1">
        <v>8</v>
      </c>
      <c r="B9" s="11">
        <v>8</v>
      </c>
      <c r="C9" s="11" t="s">
        <v>399</v>
      </c>
      <c r="D9" s="13">
        <v>2500</v>
      </c>
    </row>
    <row r="10" spans="1:11" x14ac:dyDescent="0.25">
      <c r="A10" s="1">
        <v>9</v>
      </c>
      <c r="B10" s="11">
        <v>8</v>
      </c>
      <c r="C10" s="11" t="s">
        <v>514</v>
      </c>
      <c r="D10" s="13">
        <v>2500</v>
      </c>
    </row>
    <row r="11" spans="1:11" x14ac:dyDescent="0.25">
      <c r="A11" s="1">
        <v>10</v>
      </c>
      <c r="B11" s="11">
        <v>8</v>
      </c>
      <c r="C11" s="11" t="s">
        <v>515</v>
      </c>
      <c r="D11" s="13">
        <v>2000</v>
      </c>
    </row>
    <row r="12" spans="1:11" x14ac:dyDescent="0.25">
      <c r="A12" s="1">
        <v>11</v>
      </c>
      <c r="B12" s="11">
        <v>9</v>
      </c>
      <c r="C12" s="11" t="s">
        <v>399</v>
      </c>
      <c r="D12" s="13">
        <v>6000</v>
      </c>
    </row>
    <row r="13" spans="1:11" x14ac:dyDescent="0.25">
      <c r="A13" s="1">
        <v>12</v>
      </c>
      <c r="B13" s="11">
        <v>9</v>
      </c>
      <c r="C13" s="11" t="s">
        <v>514</v>
      </c>
      <c r="D13" s="13">
        <v>5000</v>
      </c>
    </row>
    <row r="14" spans="1:11" x14ac:dyDescent="0.25">
      <c r="A14" s="1">
        <v>13</v>
      </c>
      <c r="B14" s="11">
        <v>9</v>
      </c>
      <c r="C14" s="11" t="s">
        <v>515</v>
      </c>
      <c r="D14" s="13">
        <v>6000</v>
      </c>
    </row>
    <row r="15" spans="1:11" x14ac:dyDescent="0.25">
      <c r="A15" s="1">
        <v>14</v>
      </c>
      <c r="B15" s="11">
        <v>9</v>
      </c>
      <c r="C15" s="11" t="s">
        <v>401</v>
      </c>
      <c r="D15" s="13">
        <v>5000</v>
      </c>
    </row>
    <row r="16" spans="1:11" x14ac:dyDescent="0.25">
      <c r="A16" s="1">
        <v>15</v>
      </c>
      <c r="B16" s="11">
        <v>10</v>
      </c>
      <c r="C16" s="11" t="s">
        <v>399</v>
      </c>
      <c r="D16" s="13">
        <v>500</v>
      </c>
    </row>
    <row r="17" spans="1:4" x14ac:dyDescent="0.25">
      <c r="A17" s="1">
        <v>16</v>
      </c>
      <c r="B17" s="11">
        <v>10</v>
      </c>
      <c r="C17" s="11" t="s">
        <v>515</v>
      </c>
      <c r="D17" s="13">
        <v>500</v>
      </c>
    </row>
    <row r="18" spans="1:4" x14ac:dyDescent="0.25">
      <c r="A18" s="1">
        <v>17</v>
      </c>
      <c r="B18" s="11">
        <v>11</v>
      </c>
      <c r="C18" s="11" t="s">
        <v>396</v>
      </c>
      <c r="D18" s="13">
        <v>8000</v>
      </c>
    </row>
    <row r="19" spans="1:4" x14ac:dyDescent="0.25">
      <c r="A19" s="1">
        <v>18</v>
      </c>
      <c r="B19" s="11">
        <v>11</v>
      </c>
      <c r="C19" s="11" t="s">
        <v>511</v>
      </c>
      <c r="D19" s="13">
        <v>3000</v>
      </c>
    </row>
    <row r="20" spans="1:4" x14ac:dyDescent="0.25">
      <c r="A20" s="1">
        <v>19</v>
      </c>
      <c r="B20" s="11">
        <v>11</v>
      </c>
      <c r="C20" s="11" t="s">
        <v>512</v>
      </c>
      <c r="D20" s="13">
        <v>3000</v>
      </c>
    </row>
    <row r="21" spans="1:4" x14ac:dyDescent="0.25">
      <c r="A21" s="1">
        <v>20</v>
      </c>
      <c r="B21" s="11">
        <v>11</v>
      </c>
      <c r="C21" s="11" t="s">
        <v>513</v>
      </c>
      <c r="D21" s="13">
        <v>2000</v>
      </c>
    </row>
    <row r="22" spans="1:4" x14ac:dyDescent="0.25">
      <c r="A22" s="1">
        <v>21</v>
      </c>
      <c r="B22" s="11">
        <v>11</v>
      </c>
      <c r="C22" s="11"/>
      <c r="D22" s="13">
        <v>-7900</v>
      </c>
    </row>
    <row r="23" spans="1:4" x14ac:dyDescent="0.25">
      <c r="A23" s="1">
        <v>22</v>
      </c>
      <c r="B23" s="11">
        <v>12</v>
      </c>
      <c r="C23" s="11" t="s">
        <v>509</v>
      </c>
      <c r="D23" s="13">
        <v>2000</v>
      </c>
    </row>
    <row r="24" spans="1:4" x14ac:dyDescent="0.25">
      <c r="A24" s="1">
        <v>23</v>
      </c>
      <c r="B24" s="11">
        <v>12</v>
      </c>
      <c r="C24" s="11" t="s">
        <v>508</v>
      </c>
      <c r="D24" s="13">
        <v>3000</v>
      </c>
    </row>
    <row r="25" spans="1:4" x14ac:dyDescent="0.25">
      <c r="A25" s="1">
        <v>24</v>
      </c>
      <c r="B25" s="11">
        <v>12</v>
      </c>
      <c r="C25" s="11" t="s">
        <v>510</v>
      </c>
      <c r="D25" s="13">
        <v>3000</v>
      </c>
    </row>
    <row r="26" spans="1:4" x14ac:dyDescent="0.25">
      <c r="A26" s="1">
        <v>25</v>
      </c>
      <c r="B26" s="11">
        <v>13</v>
      </c>
      <c r="C26" s="11" t="s">
        <v>509</v>
      </c>
      <c r="D26" s="13">
        <v>2000</v>
      </c>
    </row>
    <row r="27" spans="1:4" x14ac:dyDescent="0.25">
      <c r="A27" s="1">
        <v>26</v>
      </c>
      <c r="B27" s="11">
        <v>13</v>
      </c>
      <c r="C27" s="11" t="s">
        <v>508</v>
      </c>
      <c r="D27" s="13">
        <v>3000</v>
      </c>
    </row>
    <row r="28" spans="1:4" x14ac:dyDescent="0.25">
      <c r="A28" s="1">
        <v>27</v>
      </c>
      <c r="B28" s="11">
        <v>13</v>
      </c>
      <c r="C28" s="11" t="s">
        <v>510</v>
      </c>
      <c r="D28" s="13">
        <v>3000</v>
      </c>
    </row>
    <row r="29" spans="1:4" x14ac:dyDescent="0.25">
      <c r="A29" s="1">
        <v>28</v>
      </c>
      <c r="B29" s="11">
        <v>14</v>
      </c>
      <c r="C29" s="11" t="s">
        <v>400</v>
      </c>
      <c r="D29" s="13">
        <v>500</v>
      </c>
    </row>
    <row r="30" spans="1:4" x14ac:dyDescent="0.25">
      <c r="A30" s="1">
        <v>29</v>
      </c>
      <c r="B30" s="11">
        <v>15</v>
      </c>
      <c r="C30" s="11" t="s">
        <v>399</v>
      </c>
      <c r="D30" s="13">
        <v>2000</v>
      </c>
    </row>
    <row r="31" spans="1:4" x14ac:dyDescent="0.25">
      <c r="A31" s="1">
        <v>30</v>
      </c>
      <c r="B31" s="11">
        <v>15</v>
      </c>
      <c r="C31" s="11" t="s">
        <v>516</v>
      </c>
      <c r="D31" s="13">
        <v>2000</v>
      </c>
    </row>
    <row r="32" spans="1:4" x14ac:dyDescent="0.25">
      <c r="A32" s="1">
        <v>31</v>
      </c>
      <c r="B32" s="11">
        <v>15</v>
      </c>
      <c r="C32" s="11" t="s">
        <v>510</v>
      </c>
      <c r="D32" s="13">
        <v>2000</v>
      </c>
    </row>
    <row r="33" spans="1:4" x14ac:dyDescent="0.25">
      <c r="A33" s="1">
        <v>32</v>
      </c>
      <c r="B33" s="11">
        <v>16</v>
      </c>
      <c r="C33" s="11" t="s">
        <v>508</v>
      </c>
      <c r="D33" s="13">
        <v>3000</v>
      </c>
    </row>
    <row r="34" spans="1:4" x14ac:dyDescent="0.25">
      <c r="A34" s="1">
        <v>33</v>
      </c>
      <c r="B34" s="11">
        <v>17</v>
      </c>
      <c r="C34" s="11"/>
      <c r="D34" s="13">
        <v>15000</v>
      </c>
    </row>
    <row r="35" spans="1:4" x14ac:dyDescent="0.25">
      <c r="A35" s="1">
        <v>34</v>
      </c>
      <c r="B35" s="11">
        <v>18</v>
      </c>
      <c r="C35" s="11" t="s">
        <v>517</v>
      </c>
      <c r="D35" s="13">
        <v>5000</v>
      </c>
    </row>
    <row r="36" spans="1:4" x14ac:dyDescent="0.25">
      <c r="A36" s="1">
        <v>35</v>
      </c>
      <c r="B36" s="11">
        <v>18</v>
      </c>
      <c r="C36" s="11" t="s">
        <v>518</v>
      </c>
      <c r="D36" s="13">
        <v>10000</v>
      </c>
    </row>
    <row r="37" spans="1:4" x14ac:dyDescent="0.25">
      <c r="A37" s="1">
        <v>36</v>
      </c>
      <c r="B37" s="11">
        <v>18</v>
      </c>
      <c r="C37" s="11" t="s">
        <v>519</v>
      </c>
      <c r="D37" s="13">
        <v>10000</v>
      </c>
    </row>
    <row r="38" spans="1:4" x14ac:dyDescent="0.25">
      <c r="A38" s="1">
        <v>37</v>
      </c>
      <c r="B38" s="11">
        <v>18</v>
      </c>
      <c r="C38" s="11" t="s">
        <v>520</v>
      </c>
      <c r="D38" s="13">
        <v>10000</v>
      </c>
    </row>
    <row r="39" spans="1:4" x14ac:dyDescent="0.25">
      <c r="A39" s="1">
        <v>38</v>
      </c>
      <c r="B39" s="11">
        <v>18</v>
      </c>
      <c r="C39" s="11" t="s">
        <v>521</v>
      </c>
      <c r="D39" s="13">
        <v>10000</v>
      </c>
    </row>
    <row r="40" spans="1:4" x14ac:dyDescent="0.25">
      <c r="A40" s="1">
        <v>39</v>
      </c>
      <c r="B40" s="11">
        <v>19</v>
      </c>
      <c r="C40" s="11" t="s">
        <v>508</v>
      </c>
      <c r="D40" s="13">
        <v>3000</v>
      </c>
    </row>
    <row r="41" spans="1:4" x14ac:dyDescent="0.25">
      <c r="A41" s="1">
        <v>40</v>
      </c>
      <c r="B41" s="11">
        <v>20</v>
      </c>
      <c r="C41" s="11" t="s">
        <v>508</v>
      </c>
      <c r="D41" s="13">
        <v>3000</v>
      </c>
    </row>
    <row r="42" spans="1:4" x14ac:dyDescent="0.25">
      <c r="A42" s="1">
        <v>41</v>
      </c>
      <c r="B42" s="11">
        <v>21</v>
      </c>
      <c r="C42" s="11" t="s">
        <v>508</v>
      </c>
      <c r="D42" s="13">
        <v>3000</v>
      </c>
    </row>
    <row r="43" spans="1:4" x14ac:dyDescent="0.25">
      <c r="A43" s="1">
        <v>42</v>
      </c>
      <c r="B43" s="11">
        <v>22</v>
      </c>
      <c r="C43" s="11" t="s">
        <v>523</v>
      </c>
      <c r="D43" s="13">
        <v>3000</v>
      </c>
    </row>
    <row r="44" spans="1:4" x14ac:dyDescent="0.25">
      <c r="A44" s="1">
        <v>43</v>
      </c>
      <c r="B44" s="11">
        <v>22</v>
      </c>
      <c r="C44" s="11" t="s">
        <v>521</v>
      </c>
      <c r="D44" s="13">
        <v>3000</v>
      </c>
    </row>
    <row r="45" spans="1:4" x14ac:dyDescent="0.25">
      <c r="A45" s="1">
        <v>44</v>
      </c>
      <c r="B45" s="11">
        <v>22</v>
      </c>
      <c r="C45" s="11" t="s">
        <v>532</v>
      </c>
      <c r="D45" s="13">
        <v>3000</v>
      </c>
    </row>
    <row r="46" spans="1:4" x14ac:dyDescent="0.25">
      <c r="A46" s="1">
        <v>45</v>
      </c>
      <c r="B46" s="11">
        <v>22</v>
      </c>
      <c r="C46" s="11" t="s">
        <v>533</v>
      </c>
      <c r="D46" s="13">
        <v>3000</v>
      </c>
    </row>
    <row r="47" spans="1:4" x14ac:dyDescent="0.25">
      <c r="A47" s="1">
        <v>46</v>
      </c>
      <c r="B47" s="11">
        <v>23</v>
      </c>
      <c r="C47" s="11" t="s">
        <v>533</v>
      </c>
      <c r="D47" s="13">
        <v>3000</v>
      </c>
    </row>
    <row r="48" spans="1:4" x14ac:dyDescent="0.25">
      <c r="A48" s="1">
        <v>47</v>
      </c>
      <c r="B48" s="11">
        <v>24</v>
      </c>
      <c r="C48" s="11" t="s">
        <v>533</v>
      </c>
      <c r="D48" s="13">
        <v>500</v>
      </c>
    </row>
    <row r="49" spans="1:4" x14ac:dyDescent="0.25">
      <c r="A49" s="1">
        <v>48</v>
      </c>
      <c r="B49" s="11">
        <v>25</v>
      </c>
      <c r="C49" s="11" t="s">
        <v>522</v>
      </c>
      <c r="D49" s="13">
        <v>2500</v>
      </c>
    </row>
    <row r="50" spans="1:4" x14ac:dyDescent="0.25">
      <c r="A50" s="1">
        <v>49</v>
      </c>
      <c r="B50" s="11">
        <v>25</v>
      </c>
      <c r="C50" s="11" t="s">
        <v>523</v>
      </c>
      <c r="D50" s="13">
        <v>2500</v>
      </c>
    </row>
    <row r="51" spans="1:4" x14ac:dyDescent="0.25">
      <c r="A51" s="1">
        <v>50</v>
      </c>
      <c r="B51" s="11">
        <v>25</v>
      </c>
      <c r="C51" s="11" t="s">
        <v>524</v>
      </c>
      <c r="D51" s="13">
        <v>2500</v>
      </c>
    </row>
    <row r="52" spans="1:4" x14ac:dyDescent="0.25">
      <c r="A52" s="1">
        <v>51</v>
      </c>
      <c r="B52" s="11">
        <v>25</v>
      </c>
      <c r="C52" s="11" t="s">
        <v>525</v>
      </c>
      <c r="D52" s="13">
        <v>2500</v>
      </c>
    </row>
    <row r="53" spans="1:4" x14ac:dyDescent="0.25">
      <c r="A53" s="1">
        <v>52</v>
      </c>
      <c r="B53" s="11">
        <v>26</v>
      </c>
      <c r="C53" s="11" t="s">
        <v>523</v>
      </c>
      <c r="D53" s="13">
        <v>900</v>
      </c>
    </row>
    <row r="54" spans="1:4" x14ac:dyDescent="0.25">
      <c r="A54" s="1">
        <v>53</v>
      </c>
      <c r="B54" s="11">
        <v>26</v>
      </c>
      <c r="C54" s="11" t="s">
        <v>534</v>
      </c>
      <c r="D54" s="13">
        <v>2800</v>
      </c>
    </row>
    <row r="55" spans="1:4" x14ac:dyDescent="0.25">
      <c r="A55" s="1">
        <v>54</v>
      </c>
      <c r="B55" s="11">
        <v>26</v>
      </c>
      <c r="C55" s="11" t="s">
        <v>535</v>
      </c>
      <c r="D55" s="13">
        <v>2200</v>
      </c>
    </row>
    <row r="56" spans="1:4" x14ac:dyDescent="0.25">
      <c r="A56" s="1">
        <v>55</v>
      </c>
      <c r="B56" s="11">
        <v>26</v>
      </c>
      <c r="C56" s="11" t="s">
        <v>536</v>
      </c>
      <c r="D56" s="13">
        <v>2400</v>
      </c>
    </row>
    <row r="57" spans="1:4" x14ac:dyDescent="0.25">
      <c r="A57" s="1">
        <v>56</v>
      </c>
      <c r="B57" s="11">
        <v>27</v>
      </c>
      <c r="C57" s="11" t="s">
        <v>523</v>
      </c>
      <c r="D57" s="13">
        <v>1200</v>
      </c>
    </row>
    <row r="58" spans="1:4" x14ac:dyDescent="0.25">
      <c r="A58" s="1">
        <v>57</v>
      </c>
      <c r="B58" s="11">
        <v>27</v>
      </c>
      <c r="C58" s="11" t="s">
        <v>534</v>
      </c>
      <c r="D58" s="13">
        <v>1900</v>
      </c>
    </row>
    <row r="59" spans="1:4" x14ac:dyDescent="0.25">
      <c r="A59" s="1">
        <v>58</v>
      </c>
      <c r="B59" s="11">
        <v>27</v>
      </c>
      <c r="C59" s="11" t="s">
        <v>535</v>
      </c>
      <c r="D59" s="13">
        <v>1300</v>
      </c>
    </row>
    <row r="60" spans="1:4" x14ac:dyDescent="0.25">
      <c r="A60" s="1">
        <v>59</v>
      </c>
      <c r="B60" s="11">
        <v>28</v>
      </c>
      <c r="C60" s="11" t="s">
        <v>526</v>
      </c>
      <c r="D60" s="13">
        <v>2000</v>
      </c>
    </row>
    <row r="61" spans="1:4" x14ac:dyDescent="0.25">
      <c r="A61" s="1">
        <v>60</v>
      </c>
      <c r="B61" s="11">
        <v>28</v>
      </c>
      <c r="C61" s="11" t="s">
        <v>523</v>
      </c>
      <c r="D61" s="13">
        <v>2000</v>
      </c>
    </row>
    <row r="62" spans="1:4" x14ac:dyDescent="0.25">
      <c r="A62" s="1">
        <v>61</v>
      </c>
      <c r="B62" s="11">
        <v>28</v>
      </c>
      <c r="C62" s="11" t="s">
        <v>527</v>
      </c>
      <c r="D62" s="13">
        <v>2000</v>
      </c>
    </row>
    <row r="63" spans="1:4" x14ac:dyDescent="0.25">
      <c r="A63" s="1">
        <v>62</v>
      </c>
      <c r="B63" s="11">
        <v>28</v>
      </c>
      <c r="C63" s="11" t="s">
        <v>528</v>
      </c>
      <c r="D63" s="13">
        <v>3000</v>
      </c>
    </row>
    <row r="64" spans="1:4" x14ac:dyDescent="0.25">
      <c r="A64" s="1">
        <v>63</v>
      </c>
      <c r="B64" s="11">
        <v>28</v>
      </c>
      <c r="C64" s="11" t="s">
        <v>529</v>
      </c>
      <c r="D64" s="13">
        <v>1000</v>
      </c>
    </row>
    <row r="65" spans="1:4" x14ac:dyDescent="0.25">
      <c r="A65" s="1">
        <v>64</v>
      </c>
      <c r="B65" s="11">
        <v>29</v>
      </c>
      <c r="C65" s="11" t="s">
        <v>526</v>
      </c>
      <c r="D65" s="13">
        <v>2000</v>
      </c>
    </row>
    <row r="66" spans="1:4" x14ac:dyDescent="0.25">
      <c r="A66" s="1">
        <v>65</v>
      </c>
      <c r="B66" s="11">
        <v>29</v>
      </c>
      <c r="C66" s="11" t="s">
        <v>521</v>
      </c>
      <c r="D66" s="13">
        <v>2000</v>
      </c>
    </row>
    <row r="67" spans="1:4" x14ac:dyDescent="0.25">
      <c r="A67" s="1">
        <v>66</v>
      </c>
      <c r="B67" s="11">
        <v>30</v>
      </c>
      <c r="C67" s="11" t="s">
        <v>526</v>
      </c>
      <c r="D67" s="13">
        <v>5000</v>
      </c>
    </row>
    <row r="68" spans="1:4" x14ac:dyDescent="0.25">
      <c r="A68" s="1">
        <v>67</v>
      </c>
      <c r="B68" s="11">
        <v>30</v>
      </c>
      <c r="C68" s="11" t="s">
        <v>523</v>
      </c>
      <c r="D68" s="13">
        <v>5000</v>
      </c>
    </row>
    <row r="69" spans="1:4" x14ac:dyDescent="0.25">
      <c r="A69" s="1">
        <v>68</v>
      </c>
      <c r="B69" s="11">
        <v>30</v>
      </c>
      <c r="C69" s="11" t="s">
        <v>527</v>
      </c>
      <c r="D69" s="13">
        <v>12000</v>
      </c>
    </row>
    <row r="70" spans="1:4" x14ac:dyDescent="0.25">
      <c r="A70" s="1">
        <v>69</v>
      </c>
      <c r="B70" s="11">
        <v>30</v>
      </c>
      <c r="C70" s="11" t="s">
        <v>528</v>
      </c>
      <c r="D70" s="13">
        <v>12000</v>
      </c>
    </row>
    <row r="71" spans="1:4" x14ac:dyDescent="0.25">
      <c r="A71" s="1">
        <v>70</v>
      </c>
      <c r="B71" s="11">
        <v>30</v>
      </c>
      <c r="C71" s="11" t="s">
        <v>529</v>
      </c>
      <c r="D71" s="13">
        <v>12000</v>
      </c>
    </row>
    <row r="72" spans="1:4" x14ac:dyDescent="0.25">
      <c r="A72" s="1">
        <v>71</v>
      </c>
      <c r="B72" s="11">
        <v>30</v>
      </c>
      <c r="C72" s="11" t="s">
        <v>530</v>
      </c>
      <c r="D72" s="13">
        <v>12000</v>
      </c>
    </row>
    <row r="73" spans="1:4" x14ac:dyDescent="0.25">
      <c r="A73" s="1">
        <v>72</v>
      </c>
      <c r="B73" s="11">
        <v>30</v>
      </c>
      <c r="C73" s="11" t="s">
        <v>531</v>
      </c>
      <c r="D73" s="13">
        <v>12000</v>
      </c>
    </row>
    <row r="74" spans="1:4" x14ac:dyDescent="0.25">
      <c r="A74" s="1">
        <v>73</v>
      </c>
      <c r="B74" s="11">
        <v>31</v>
      </c>
      <c r="C74" s="11" t="s">
        <v>526</v>
      </c>
      <c r="D74" s="13">
        <v>3000</v>
      </c>
    </row>
    <row r="75" spans="1:4" x14ac:dyDescent="0.25">
      <c r="A75" s="1">
        <v>74</v>
      </c>
      <c r="B75" s="11">
        <v>31</v>
      </c>
      <c r="C75" s="11" t="s">
        <v>523</v>
      </c>
      <c r="D75" s="13">
        <v>3000</v>
      </c>
    </row>
    <row r="76" spans="1:4" x14ac:dyDescent="0.25">
      <c r="A76" s="1">
        <v>75</v>
      </c>
      <c r="B76" s="11">
        <v>31</v>
      </c>
      <c r="C76" s="11" t="s">
        <v>527</v>
      </c>
      <c r="D76" s="13">
        <v>5000</v>
      </c>
    </row>
    <row r="77" spans="1:4" x14ac:dyDescent="0.25">
      <c r="A77" s="1">
        <v>76</v>
      </c>
      <c r="B77" s="11">
        <v>31</v>
      </c>
      <c r="C77" s="11" t="s">
        <v>528</v>
      </c>
      <c r="D77" s="13">
        <v>5000</v>
      </c>
    </row>
    <row r="78" spans="1:4" x14ac:dyDescent="0.25">
      <c r="A78" s="1">
        <v>77</v>
      </c>
      <c r="B78" s="11">
        <v>31</v>
      </c>
      <c r="C78" s="11" t="s">
        <v>529</v>
      </c>
      <c r="D78" s="13">
        <v>5000</v>
      </c>
    </row>
    <row r="79" spans="1:4" x14ac:dyDescent="0.25">
      <c r="A79" s="1">
        <v>78</v>
      </c>
      <c r="B79" s="11">
        <v>31</v>
      </c>
      <c r="C79" s="11" t="s">
        <v>530</v>
      </c>
      <c r="D79" s="13">
        <v>5000</v>
      </c>
    </row>
    <row r="80" spans="1:4" x14ac:dyDescent="0.25">
      <c r="A80" s="1">
        <v>79</v>
      </c>
      <c r="B80" s="11">
        <v>31</v>
      </c>
      <c r="C80" s="11" t="s">
        <v>531</v>
      </c>
      <c r="D80" s="13">
        <v>4000</v>
      </c>
    </row>
    <row r="81" spans="1:4" x14ac:dyDescent="0.25">
      <c r="A81" s="1">
        <v>80</v>
      </c>
      <c r="B81" s="11">
        <v>32</v>
      </c>
      <c r="C81" s="11" t="s">
        <v>526</v>
      </c>
      <c r="D81" s="13">
        <v>2000</v>
      </c>
    </row>
    <row r="82" spans="1:4" x14ac:dyDescent="0.25">
      <c r="A82" s="1">
        <v>81</v>
      </c>
      <c r="B82" s="11">
        <v>32</v>
      </c>
      <c r="C82" s="11" t="s">
        <v>523</v>
      </c>
      <c r="D82" s="13">
        <v>2000</v>
      </c>
    </row>
    <row r="83" spans="1:4" x14ac:dyDescent="0.25">
      <c r="A83" s="1">
        <v>82</v>
      </c>
      <c r="B83" s="11">
        <v>33</v>
      </c>
      <c r="C83" s="11" t="s">
        <v>537</v>
      </c>
      <c r="D83" s="13">
        <v>3000</v>
      </c>
    </row>
    <row r="84" spans="1:4" x14ac:dyDescent="0.25">
      <c r="A84" s="1">
        <v>83</v>
      </c>
      <c r="B84" s="11">
        <v>33</v>
      </c>
      <c r="C84" s="11" t="s">
        <v>539</v>
      </c>
      <c r="D84" s="13">
        <v>5000</v>
      </c>
    </row>
    <row r="85" spans="1:4" x14ac:dyDescent="0.25">
      <c r="A85" s="1">
        <v>84</v>
      </c>
      <c r="B85" s="11">
        <v>33</v>
      </c>
      <c r="C85" s="11" t="s">
        <v>540</v>
      </c>
      <c r="D85" s="13">
        <v>7000</v>
      </c>
    </row>
    <row r="86" spans="1:4" x14ac:dyDescent="0.25">
      <c r="A86" s="1">
        <v>85</v>
      </c>
      <c r="B86" s="11">
        <v>33</v>
      </c>
      <c r="C86" s="11" t="s">
        <v>538</v>
      </c>
      <c r="D86" s="13">
        <v>5000</v>
      </c>
    </row>
    <row r="87" spans="1:4" x14ac:dyDescent="0.25">
      <c r="A87" s="1">
        <v>86</v>
      </c>
      <c r="B87" s="11">
        <v>34</v>
      </c>
      <c r="C87" s="11" t="s">
        <v>537</v>
      </c>
      <c r="D87" s="13">
        <v>3000</v>
      </c>
    </row>
    <row r="88" spans="1:4" x14ac:dyDescent="0.25">
      <c r="A88" s="1">
        <v>87</v>
      </c>
      <c r="B88" s="11">
        <v>34</v>
      </c>
      <c r="C88" s="11" t="s">
        <v>539</v>
      </c>
      <c r="D88" s="13">
        <v>4000</v>
      </c>
    </row>
    <row r="89" spans="1:4" x14ac:dyDescent="0.25">
      <c r="A89" s="1">
        <v>88</v>
      </c>
      <c r="B89" s="11">
        <v>34</v>
      </c>
      <c r="C89" s="11" t="s">
        <v>540</v>
      </c>
      <c r="D89" s="13">
        <v>4000</v>
      </c>
    </row>
    <row r="90" spans="1:4" x14ac:dyDescent="0.25">
      <c r="A90" s="1">
        <v>89</v>
      </c>
      <c r="B90" s="11">
        <v>34</v>
      </c>
      <c r="C90" s="11" t="s">
        <v>538</v>
      </c>
      <c r="D90" s="13">
        <v>4000</v>
      </c>
    </row>
    <row r="91" spans="1:4" x14ac:dyDescent="0.25">
      <c r="A91" s="1">
        <v>90</v>
      </c>
      <c r="B91" s="11">
        <v>35</v>
      </c>
      <c r="C91" s="11" t="s">
        <v>520</v>
      </c>
      <c r="D91" s="13">
        <v>3000</v>
      </c>
    </row>
    <row r="92" spans="1:4" x14ac:dyDescent="0.25">
      <c r="A92" s="1">
        <v>91</v>
      </c>
      <c r="B92" s="11">
        <v>36</v>
      </c>
      <c r="C92" s="11" t="s">
        <v>520</v>
      </c>
      <c r="D92" s="13">
        <v>3000</v>
      </c>
    </row>
    <row r="93" spans="1:4" x14ac:dyDescent="0.25">
      <c r="A93" s="1">
        <v>92</v>
      </c>
      <c r="B93" s="11">
        <v>37</v>
      </c>
      <c r="C93" s="11" t="s">
        <v>520</v>
      </c>
      <c r="D93" s="13">
        <v>3000</v>
      </c>
    </row>
    <row r="94" spans="1:4" x14ac:dyDescent="0.25">
      <c r="A94" s="1">
        <v>93</v>
      </c>
      <c r="B94" s="11">
        <v>38</v>
      </c>
      <c r="C94" s="11" t="s">
        <v>542</v>
      </c>
      <c r="D94" s="13">
        <v>2000</v>
      </c>
    </row>
    <row r="95" spans="1:4" x14ac:dyDescent="0.25">
      <c r="A95" s="1">
        <v>94</v>
      </c>
      <c r="B95" s="11">
        <v>39</v>
      </c>
      <c r="C95" s="11" t="s">
        <v>543</v>
      </c>
      <c r="D95" s="13">
        <v>3000</v>
      </c>
    </row>
    <row r="96" spans="1:4" x14ac:dyDescent="0.25">
      <c r="A96" s="1">
        <v>95</v>
      </c>
      <c r="B96" s="11">
        <v>39</v>
      </c>
      <c r="C96" s="11" t="s">
        <v>542</v>
      </c>
      <c r="D96" s="13">
        <v>6000</v>
      </c>
    </row>
    <row r="97" spans="1:4" x14ac:dyDescent="0.25">
      <c r="A97" s="1">
        <v>96</v>
      </c>
      <c r="B97" s="11">
        <v>40</v>
      </c>
      <c r="C97" s="11" t="s">
        <v>543</v>
      </c>
      <c r="D97" s="13">
        <v>500</v>
      </c>
    </row>
    <row r="98" spans="1:4" x14ac:dyDescent="0.25">
      <c r="A98" s="1">
        <v>97</v>
      </c>
      <c r="B98" s="11">
        <v>41</v>
      </c>
      <c r="C98" s="11" t="s">
        <v>544</v>
      </c>
      <c r="D98" s="13">
        <v>1000</v>
      </c>
    </row>
    <row r="99" spans="1:4" x14ac:dyDescent="0.25">
      <c r="A99" s="1">
        <v>98</v>
      </c>
      <c r="B99" s="11">
        <v>41</v>
      </c>
      <c r="C99" s="11" t="s">
        <v>545</v>
      </c>
      <c r="D99" s="13">
        <v>700</v>
      </c>
    </row>
    <row r="100" spans="1:4" x14ac:dyDescent="0.25">
      <c r="A100" s="1">
        <v>99</v>
      </c>
      <c r="B100" s="11">
        <v>41</v>
      </c>
      <c r="C100" s="11" t="s">
        <v>542</v>
      </c>
      <c r="D100" s="13">
        <v>1700</v>
      </c>
    </row>
    <row r="101" spans="1:4" x14ac:dyDescent="0.25">
      <c r="A101" s="1">
        <v>100</v>
      </c>
      <c r="B101" s="11">
        <v>41</v>
      </c>
      <c r="C101" s="11" t="s">
        <v>546</v>
      </c>
      <c r="D101" s="13">
        <v>1800</v>
      </c>
    </row>
    <row r="102" spans="1:4" x14ac:dyDescent="0.25">
      <c r="A102" s="1">
        <v>101</v>
      </c>
      <c r="B102" s="11">
        <v>42</v>
      </c>
      <c r="C102" s="11" t="s">
        <v>544</v>
      </c>
      <c r="D102" s="13">
        <v>2000</v>
      </c>
    </row>
    <row r="103" spans="1:4" x14ac:dyDescent="0.25">
      <c r="A103" s="1">
        <v>102</v>
      </c>
      <c r="B103" s="11">
        <v>42</v>
      </c>
      <c r="C103" s="11" t="s">
        <v>545</v>
      </c>
      <c r="D103" s="13">
        <v>3600</v>
      </c>
    </row>
    <row r="104" spans="1:4" x14ac:dyDescent="0.25">
      <c r="A104" s="1">
        <v>103</v>
      </c>
      <c r="B104" s="11">
        <v>42</v>
      </c>
      <c r="C104" s="11" t="s">
        <v>542</v>
      </c>
      <c r="D104" s="13">
        <v>400</v>
      </c>
    </row>
    <row r="105" spans="1:4" x14ac:dyDescent="0.25">
      <c r="A105" s="1">
        <v>104</v>
      </c>
      <c r="B105" s="11">
        <v>42</v>
      </c>
      <c r="C105" s="11" t="s">
        <v>546</v>
      </c>
      <c r="D105" s="13">
        <v>300</v>
      </c>
    </row>
    <row r="106" spans="1:4" x14ac:dyDescent="0.25">
      <c r="A106" s="1">
        <v>105</v>
      </c>
      <c r="B106" s="11">
        <v>43</v>
      </c>
      <c r="C106" s="11" t="s">
        <v>409</v>
      </c>
      <c r="D106" s="13">
        <v>10000</v>
      </c>
    </row>
    <row r="107" spans="1:4" x14ac:dyDescent="0.25">
      <c r="A107" s="1">
        <v>106</v>
      </c>
      <c r="B107" s="11">
        <v>43</v>
      </c>
      <c r="C107" s="11" t="s">
        <v>549</v>
      </c>
      <c r="D107" s="13">
        <v>10000</v>
      </c>
    </row>
    <row r="108" spans="1:4" x14ac:dyDescent="0.25">
      <c r="A108" s="1">
        <v>107</v>
      </c>
      <c r="B108" s="11">
        <v>43</v>
      </c>
      <c r="C108" s="11" t="s">
        <v>550</v>
      </c>
      <c r="D108" s="13">
        <v>10000</v>
      </c>
    </row>
    <row r="109" spans="1:4" x14ac:dyDescent="0.25">
      <c r="A109" s="1">
        <v>108</v>
      </c>
      <c r="B109" s="11">
        <v>43</v>
      </c>
      <c r="C109" s="11" t="s">
        <v>551</v>
      </c>
      <c r="D109" s="13">
        <v>10000</v>
      </c>
    </row>
    <row r="110" spans="1:4" x14ac:dyDescent="0.25">
      <c r="A110" s="1">
        <v>109</v>
      </c>
      <c r="B110" s="11">
        <v>43</v>
      </c>
      <c r="C110" s="11" t="s">
        <v>552</v>
      </c>
      <c r="D110" s="13">
        <v>10000</v>
      </c>
    </row>
    <row r="111" spans="1:4" x14ac:dyDescent="0.25">
      <c r="A111" s="1">
        <v>110</v>
      </c>
      <c r="B111" s="11">
        <v>43</v>
      </c>
      <c r="C111" s="11" t="s">
        <v>553</v>
      </c>
      <c r="D111" s="13">
        <v>10000</v>
      </c>
    </row>
    <row r="112" spans="1:4" x14ac:dyDescent="0.25">
      <c r="A112" s="1">
        <v>111</v>
      </c>
      <c r="B112" s="11">
        <v>44</v>
      </c>
      <c r="C112" s="11" t="s">
        <v>554</v>
      </c>
      <c r="D112" s="13">
        <v>8500</v>
      </c>
    </row>
    <row r="113" spans="1:4" x14ac:dyDescent="0.25">
      <c r="A113" s="1">
        <v>112</v>
      </c>
      <c r="B113" s="11">
        <v>45</v>
      </c>
      <c r="C113" s="11" t="s">
        <v>547</v>
      </c>
      <c r="D113" s="13">
        <v>5000</v>
      </c>
    </row>
    <row r="114" spans="1:4" x14ac:dyDescent="0.25">
      <c r="A114" s="1">
        <v>113</v>
      </c>
      <c r="B114" s="11">
        <v>45</v>
      </c>
      <c r="C114" s="11" t="s">
        <v>531</v>
      </c>
      <c r="D114" s="13">
        <v>3000</v>
      </c>
    </row>
    <row r="115" spans="1:4" x14ac:dyDescent="0.25">
      <c r="A115" s="1">
        <v>114</v>
      </c>
      <c r="B115" s="11">
        <v>45</v>
      </c>
      <c r="C115" s="11" t="s">
        <v>548</v>
      </c>
      <c r="D115" s="13">
        <v>3000</v>
      </c>
    </row>
    <row r="116" spans="1:4" x14ac:dyDescent="0.25">
      <c r="A116" s="1">
        <v>115</v>
      </c>
      <c r="B116" s="11">
        <v>46</v>
      </c>
      <c r="C116" s="11" t="s">
        <v>558</v>
      </c>
      <c r="D116" s="13">
        <v>400</v>
      </c>
    </row>
    <row r="117" spans="1:4" x14ac:dyDescent="0.25">
      <c r="A117" s="1">
        <v>116</v>
      </c>
      <c r="B117" s="11">
        <v>47</v>
      </c>
      <c r="C117" s="11" t="s">
        <v>558</v>
      </c>
      <c r="D117" s="13">
        <v>700</v>
      </c>
    </row>
    <row r="118" spans="1:4" x14ac:dyDescent="0.25">
      <c r="A118" s="1">
        <v>117</v>
      </c>
      <c r="B118" s="11">
        <v>48</v>
      </c>
      <c r="C118" s="11" t="s">
        <v>414</v>
      </c>
      <c r="D118" s="13">
        <v>3400</v>
      </c>
    </row>
    <row r="119" spans="1:4" x14ac:dyDescent="0.25">
      <c r="A119" s="1">
        <v>118</v>
      </c>
      <c r="B119" s="11">
        <v>48</v>
      </c>
      <c r="C119" s="11" t="s">
        <v>555</v>
      </c>
      <c r="D119" s="13">
        <v>3400</v>
      </c>
    </row>
    <row r="120" spans="1:4" x14ac:dyDescent="0.25">
      <c r="A120" s="1">
        <v>119</v>
      </c>
      <c r="B120" s="12">
        <v>48</v>
      </c>
      <c r="C120" s="11" t="s">
        <v>556</v>
      </c>
      <c r="D120" s="13">
        <v>3400</v>
      </c>
    </row>
    <row r="121" spans="1:4" x14ac:dyDescent="0.25">
      <c r="A121" s="1">
        <v>120</v>
      </c>
      <c r="B121" s="12">
        <v>48</v>
      </c>
      <c r="C121" s="11" t="s">
        <v>557</v>
      </c>
      <c r="D121" s="13">
        <v>3400</v>
      </c>
    </row>
    <row r="122" spans="1:4" x14ac:dyDescent="0.25">
      <c r="A122" s="1">
        <v>121</v>
      </c>
      <c r="B122" s="11">
        <v>48</v>
      </c>
      <c r="C122" s="11" t="s">
        <v>558</v>
      </c>
      <c r="D122" s="13">
        <v>3400</v>
      </c>
    </row>
    <row r="123" spans="1:4" x14ac:dyDescent="0.25">
      <c r="A123" s="1">
        <v>122</v>
      </c>
      <c r="B123" s="11">
        <v>49</v>
      </c>
      <c r="C123" s="11" t="s">
        <v>414</v>
      </c>
      <c r="D123" s="13">
        <v>3600</v>
      </c>
    </row>
    <row r="124" spans="1:4" x14ac:dyDescent="0.25">
      <c r="A124" s="1">
        <v>123</v>
      </c>
      <c r="B124" s="11">
        <v>49</v>
      </c>
      <c r="C124" s="11" t="s">
        <v>555</v>
      </c>
      <c r="D124" s="13">
        <v>3600</v>
      </c>
    </row>
    <row r="125" spans="1:4" x14ac:dyDescent="0.25">
      <c r="A125" s="1">
        <v>124</v>
      </c>
      <c r="B125" s="11">
        <v>49</v>
      </c>
      <c r="C125" s="11" t="s">
        <v>556</v>
      </c>
      <c r="D125" s="13">
        <v>3600</v>
      </c>
    </row>
    <row r="126" spans="1:4" x14ac:dyDescent="0.25">
      <c r="A126" s="1">
        <v>125</v>
      </c>
      <c r="B126" s="11">
        <v>49</v>
      </c>
      <c r="C126" s="11" t="s">
        <v>557</v>
      </c>
      <c r="D126" s="13">
        <v>3600</v>
      </c>
    </row>
    <row r="127" spans="1:4" x14ac:dyDescent="0.25">
      <c r="A127" s="1">
        <v>126</v>
      </c>
      <c r="B127" s="11">
        <v>49</v>
      </c>
      <c r="C127" s="11" t="s">
        <v>558</v>
      </c>
      <c r="D127" s="13">
        <v>3600</v>
      </c>
    </row>
    <row r="128" spans="1:4" x14ac:dyDescent="0.25">
      <c r="A128" s="1">
        <v>127</v>
      </c>
      <c r="B128" s="11">
        <v>50</v>
      </c>
      <c r="C128" s="11" t="s">
        <v>414</v>
      </c>
      <c r="D128" s="13">
        <v>360</v>
      </c>
    </row>
    <row r="129" spans="1:4" x14ac:dyDescent="0.25">
      <c r="A129" s="1">
        <v>128</v>
      </c>
      <c r="B129" s="11">
        <v>50</v>
      </c>
      <c r="C129" s="11" t="s">
        <v>555</v>
      </c>
      <c r="D129" s="13">
        <v>360</v>
      </c>
    </row>
    <row r="130" spans="1:4" x14ac:dyDescent="0.25">
      <c r="A130" s="1">
        <v>129</v>
      </c>
      <c r="B130" s="11">
        <v>50</v>
      </c>
      <c r="C130" s="11" t="s">
        <v>561</v>
      </c>
      <c r="D130" s="13">
        <v>500</v>
      </c>
    </row>
    <row r="131" spans="1:4" x14ac:dyDescent="0.25">
      <c r="A131" s="1">
        <v>130</v>
      </c>
      <c r="B131" s="11">
        <v>50</v>
      </c>
      <c r="C131" s="11" t="s">
        <v>556</v>
      </c>
      <c r="D131" s="13">
        <v>360</v>
      </c>
    </row>
    <row r="132" spans="1:4" x14ac:dyDescent="0.25">
      <c r="A132" s="1">
        <v>131</v>
      </c>
      <c r="B132" s="11">
        <v>50</v>
      </c>
      <c r="C132" s="11" t="s">
        <v>562</v>
      </c>
      <c r="D132" s="13">
        <v>500</v>
      </c>
    </row>
    <row r="133" spans="1:4" x14ac:dyDescent="0.25">
      <c r="A133" s="1">
        <v>132</v>
      </c>
      <c r="B133" s="11">
        <v>50</v>
      </c>
      <c r="C133" s="11" t="s">
        <v>557</v>
      </c>
      <c r="D133" s="13">
        <v>360</v>
      </c>
    </row>
    <row r="134" spans="1:4" x14ac:dyDescent="0.25">
      <c r="A134" s="1">
        <v>133</v>
      </c>
      <c r="B134" s="11">
        <v>50</v>
      </c>
      <c r="C134" s="11" t="s">
        <v>558</v>
      </c>
      <c r="D134" s="13">
        <v>360</v>
      </c>
    </row>
    <row r="135" spans="1:4" x14ac:dyDescent="0.25">
      <c r="A135" s="1">
        <v>134</v>
      </c>
      <c r="B135" s="11">
        <v>51</v>
      </c>
      <c r="C135" s="11" t="s">
        <v>559</v>
      </c>
      <c r="D135" s="13">
        <v>1000</v>
      </c>
    </row>
    <row r="136" spans="1:4" x14ac:dyDescent="0.25">
      <c r="A136" s="1">
        <v>135</v>
      </c>
      <c r="B136" s="11">
        <v>51</v>
      </c>
      <c r="C136" s="11" t="s">
        <v>560</v>
      </c>
      <c r="D136" s="13">
        <v>800</v>
      </c>
    </row>
    <row r="137" spans="1:4" x14ac:dyDescent="0.25">
      <c r="A137" s="1">
        <v>136</v>
      </c>
      <c r="B137" s="11">
        <v>52</v>
      </c>
      <c r="C137" s="11" t="s">
        <v>555</v>
      </c>
      <c r="D137" s="13">
        <v>1500</v>
      </c>
    </row>
    <row r="138" spans="1:4" x14ac:dyDescent="0.25">
      <c r="A138" s="1">
        <v>137</v>
      </c>
      <c r="B138" s="11">
        <v>52</v>
      </c>
      <c r="C138" s="11" t="s">
        <v>563</v>
      </c>
      <c r="D138" s="13">
        <v>1000</v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84E52-9B69-4A0C-8B80-646EB61227BE}">
  <sheetPr codeName="Sheet15"/>
  <dimension ref="A1:B13"/>
  <sheetViews>
    <sheetView workbookViewId="0">
      <selection activeCell="O35" sqref="O35"/>
    </sheetView>
  </sheetViews>
  <sheetFormatPr defaultRowHeight="15" x14ac:dyDescent="0.25"/>
  <cols>
    <col min="1" max="1" width="11.28515625" style="1" customWidth="1"/>
    <col min="2" max="2" width="10.5703125" style="1" bestFit="1" customWidth="1"/>
    <col min="3" max="16384" width="9.140625" style="1"/>
  </cols>
  <sheetData>
    <row r="1" spans="1:2" x14ac:dyDescent="0.25">
      <c r="A1" s="1" t="s">
        <v>0</v>
      </c>
      <c r="B1" s="1" t="s">
        <v>2</v>
      </c>
    </row>
    <row r="2" spans="1:2" x14ac:dyDescent="0.25">
      <c r="A2" s="1">
        <v>1</v>
      </c>
      <c r="B2" s="1" t="s">
        <v>421</v>
      </c>
    </row>
    <row r="3" spans="1:2" x14ac:dyDescent="0.25">
      <c r="A3" s="1">
        <v>2</v>
      </c>
      <c r="B3" s="1" t="s">
        <v>422</v>
      </c>
    </row>
    <row r="4" spans="1:2" x14ac:dyDescent="0.25">
      <c r="A4" s="1">
        <v>3</v>
      </c>
      <c r="B4" s="1" t="s">
        <v>423</v>
      </c>
    </row>
    <row r="5" spans="1:2" x14ac:dyDescent="0.25">
      <c r="A5" s="1">
        <v>4</v>
      </c>
      <c r="B5" s="1" t="s">
        <v>424</v>
      </c>
    </row>
    <row r="6" spans="1:2" x14ac:dyDescent="0.25">
      <c r="A6" s="1">
        <v>5</v>
      </c>
      <c r="B6" s="1" t="s">
        <v>436</v>
      </c>
    </row>
    <row r="7" spans="1:2" x14ac:dyDescent="0.25">
      <c r="A7" s="1">
        <v>6</v>
      </c>
      <c r="B7" s="1" t="s">
        <v>431</v>
      </c>
    </row>
    <row r="8" spans="1:2" x14ac:dyDescent="0.25">
      <c r="A8" s="1">
        <v>7</v>
      </c>
      <c r="B8" s="1" t="s">
        <v>432</v>
      </c>
    </row>
    <row r="9" spans="1:2" x14ac:dyDescent="0.25">
      <c r="A9" s="1">
        <v>8</v>
      </c>
      <c r="B9" s="1" t="s">
        <v>433</v>
      </c>
    </row>
    <row r="10" spans="1:2" x14ac:dyDescent="0.25">
      <c r="A10" s="1">
        <v>9</v>
      </c>
      <c r="B10" s="1" t="s">
        <v>434</v>
      </c>
    </row>
    <row r="11" spans="1:2" x14ac:dyDescent="0.25">
      <c r="A11" s="1">
        <v>10</v>
      </c>
      <c r="B11" s="1" t="s">
        <v>435</v>
      </c>
    </row>
    <row r="12" spans="1:2" x14ac:dyDescent="0.25">
      <c r="A12" s="1">
        <v>11</v>
      </c>
      <c r="B12" s="1" t="s">
        <v>437</v>
      </c>
    </row>
    <row r="13" spans="1:2" x14ac:dyDescent="0.25">
      <c r="A13" s="1">
        <v>12</v>
      </c>
      <c r="B13" s="1" t="s">
        <v>438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68B8-C048-4F16-8F54-976C0DB22CCE}">
  <sheetPr codeName="Sheet16"/>
  <dimension ref="A1:E1"/>
  <sheetViews>
    <sheetView workbookViewId="0">
      <selection activeCell="E1" sqref="E1"/>
    </sheetView>
  </sheetViews>
  <sheetFormatPr defaultColWidth="15.7109375" defaultRowHeight="15" x14ac:dyDescent="0.25"/>
  <cols>
    <col min="1" max="4" width="15.7109375" style="1"/>
    <col min="5" max="5" width="32.140625" style="1" bestFit="1" customWidth="1"/>
    <col min="6" max="16384" width="15.7109375" style="1"/>
  </cols>
  <sheetData>
    <row r="1" spans="1:5" x14ac:dyDescent="0.25">
      <c r="A1" s="1" t="s">
        <v>0</v>
      </c>
      <c r="B1" s="1" t="s">
        <v>366</v>
      </c>
      <c r="C1" s="1" t="s">
        <v>565</v>
      </c>
      <c r="D1" s="1" t="s">
        <v>566</v>
      </c>
      <c r="E1" s="1" t="s">
        <v>567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E1365-7C10-415A-A74E-A4E4F42943DD}">
  <sheetPr codeName="Sheet17"/>
  <dimension ref="A1:O190"/>
  <sheetViews>
    <sheetView topLeftCell="A107" workbookViewId="0">
      <selection activeCell="O132" sqref="O132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5" x14ac:dyDescent="0.25">
      <c r="A1" s="1" t="s">
        <v>0</v>
      </c>
      <c r="B1" s="1" t="s">
        <v>564</v>
      </c>
      <c r="C1" s="1" t="s">
        <v>505</v>
      </c>
      <c r="D1" s="1" t="s">
        <v>389</v>
      </c>
      <c r="E1" s="1" t="s">
        <v>568</v>
      </c>
      <c r="F1" s="1" t="s">
        <v>569</v>
      </c>
      <c r="G1" s="1" t="s">
        <v>570</v>
      </c>
      <c r="H1" s="1" t="s">
        <v>392</v>
      </c>
      <c r="I1" s="1" t="s">
        <v>367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  <c r="O1" s="1" t="s">
        <v>794</v>
      </c>
    </row>
    <row r="2" spans="1:15" x14ac:dyDescent="0.25">
      <c r="A2" s="1">
        <v>1</v>
      </c>
      <c r="C2" s="1">
        <v>6</v>
      </c>
      <c r="D2" s="1">
        <v>2000</v>
      </c>
      <c r="E2" s="1">
        <v>300</v>
      </c>
      <c r="F2" s="1" t="s">
        <v>572</v>
      </c>
      <c r="G2" s="1">
        <v>11</v>
      </c>
      <c r="H2" s="1">
        <v>140450035</v>
      </c>
      <c r="I2" s="3"/>
      <c r="J2" s="2"/>
      <c r="L2" s="1" t="s">
        <v>572</v>
      </c>
      <c r="M2" s="14"/>
      <c r="N2" s="14"/>
      <c r="O2" s="14">
        <v>0</v>
      </c>
    </row>
    <row r="3" spans="1:15" x14ac:dyDescent="0.25">
      <c r="A3" s="1">
        <v>2</v>
      </c>
      <c r="C3" s="1">
        <v>5</v>
      </c>
      <c r="D3" s="1">
        <v>3405</v>
      </c>
      <c r="E3" s="1">
        <v>300</v>
      </c>
      <c r="F3" s="1" t="s">
        <v>573</v>
      </c>
      <c r="G3" s="1">
        <v>11</v>
      </c>
      <c r="H3" s="1">
        <v>140450027</v>
      </c>
      <c r="I3" s="3"/>
      <c r="J3" s="2"/>
      <c r="L3" s="1" t="s">
        <v>573</v>
      </c>
      <c r="M3" s="14"/>
      <c r="N3" s="14"/>
      <c r="O3" s="14">
        <v>0</v>
      </c>
    </row>
    <row r="4" spans="1:15" x14ac:dyDescent="0.25">
      <c r="A4" s="1">
        <v>3</v>
      </c>
      <c r="C4" s="1">
        <v>5</v>
      </c>
      <c r="D4" s="1">
        <v>-3405</v>
      </c>
      <c r="E4" s="1">
        <v>300</v>
      </c>
      <c r="F4" s="1" t="s">
        <v>573</v>
      </c>
      <c r="G4" s="1">
        <v>11</v>
      </c>
      <c r="H4" s="1">
        <v>140450027</v>
      </c>
      <c r="I4" s="3"/>
      <c r="J4" s="2" t="s">
        <v>618</v>
      </c>
      <c r="L4" s="1" t="s">
        <v>573</v>
      </c>
      <c r="M4" s="14"/>
      <c r="N4" s="14"/>
      <c r="O4" s="14">
        <v>0</v>
      </c>
    </row>
    <row r="5" spans="1:15" x14ac:dyDescent="0.25">
      <c r="A5" s="1">
        <v>4</v>
      </c>
      <c r="C5" s="1">
        <v>5</v>
      </c>
      <c r="D5" s="1">
        <v>3000</v>
      </c>
      <c r="E5" s="1">
        <v>300</v>
      </c>
      <c r="F5" s="1" t="s">
        <v>574</v>
      </c>
      <c r="G5" s="1">
        <v>11</v>
      </c>
      <c r="H5" s="1">
        <v>140450027</v>
      </c>
      <c r="I5" s="3"/>
      <c r="J5" s="2"/>
      <c r="L5" s="1" t="s">
        <v>574</v>
      </c>
      <c r="M5" s="14"/>
      <c r="N5" s="14"/>
      <c r="O5" s="14">
        <v>0</v>
      </c>
    </row>
    <row r="6" spans="1:15" x14ac:dyDescent="0.25">
      <c r="A6" s="1">
        <v>5</v>
      </c>
      <c r="C6" s="1">
        <v>9</v>
      </c>
      <c r="D6" s="1">
        <v>100</v>
      </c>
      <c r="E6" s="1">
        <v>300</v>
      </c>
      <c r="F6" s="1" t="s">
        <v>575</v>
      </c>
      <c r="G6" s="1">
        <v>2</v>
      </c>
      <c r="H6" s="1">
        <v>140010230</v>
      </c>
      <c r="I6" s="3"/>
      <c r="J6" s="2"/>
      <c r="L6" s="1" t="s">
        <v>575</v>
      </c>
      <c r="M6" s="14"/>
      <c r="N6" s="14"/>
      <c r="O6" s="14">
        <v>0</v>
      </c>
    </row>
    <row r="7" spans="1:15" x14ac:dyDescent="0.25">
      <c r="A7" s="1">
        <v>6</v>
      </c>
      <c r="C7" s="1">
        <v>7</v>
      </c>
      <c r="D7" s="1">
        <v>600</v>
      </c>
      <c r="E7" s="1">
        <v>300</v>
      </c>
      <c r="F7" s="1" t="s">
        <v>577</v>
      </c>
      <c r="G7" s="1" t="s">
        <v>415</v>
      </c>
      <c r="H7" s="1">
        <v>140030040</v>
      </c>
      <c r="I7" s="3"/>
      <c r="J7" s="2"/>
      <c r="L7" s="1" t="s">
        <v>577</v>
      </c>
      <c r="M7" s="14"/>
      <c r="N7" s="14"/>
      <c r="O7" s="14">
        <v>0</v>
      </c>
    </row>
    <row r="8" spans="1:15" x14ac:dyDescent="0.25">
      <c r="A8" s="1">
        <v>7</v>
      </c>
      <c r="C8" s="1">
        <v>21</v>
      </c>
      <c r="D8" s="1">
        <v>3000</v>
      </c>
      <c r="E8" s="1">
        <v>300</v>
      </c>
      <c r="F8" s="1" t="s">
        <v>394</v>
      </c>
      <c r="G8" s="1" t="s">
        <v>416</v>
      </c>
      <c r="H8" s="1">
        <v>140030040</v>
      </c>
      <c r="I8" s="3"/>
      <c r="J8" s="2"/>
      <c r="L8" s="1" t="s">
        <v>394</v>
      </c>
      <c r="M8" s="14"/>
      <c r="N8" s="14"/>
      <c r="O8" s="14">
        <v>0</v>
      </c>
    </row>
    <row r="9" spans="1:15" x14ac:dyDescent="0.25">
      <c r="A9" s="1">
        <v>8</v>
      </c>
      <c r="C9" s="1">
        <v>20</v>
      </c>
      <c r="D9" s="1">
        <v>3000</v>
      </c>
      <c r="E9" s="1">
        <v>300</v>
      </c>
      <c r="F9" s="1" t="s">
        <v>394</v>
      </c>
      <c r="G9" s="1" t="s">
        <v>416</v>
      </c>
      <c r="H9" s="1">
        <v>140030039</v>
      </c>
      <c r="I9" s="3"/>
      <c r="J9" s="2"/>
      <c r="L9" s="1" t="s">
        <v>394</v>
      </c>
      <c r="M9" s="14"/>
      <c r="N9" s="14"/>
      <c r="O9" s="14">
        <v>0</v>
      </c>
    </row>
    <row r="10" spans="1:15" x14ac:dyDescent="0.25">
      <c r="A10" s="1">
        <v>9</v>
      </c>
      <c r="C10" s="1">
        <v>19</v>
      </c>
      <c r="D10" s="1">
        <v>3000</v>
      </c>
      <c r="E10" s="1">
        <v>300</v>
      </c>
      <c r="F10" s="1" t="s">
        <v>394</v>
      </c>
      <c r="G10" s="1" t="s">
        <v>416</v>
      </c>
      <c r="H10" s="1">
        <v>140010117</v>
      </c>
      <c r="I10" s="3"/>
      <c r="J10" s="2"/>
      <c r="L10" s="1" t="s">
        <v>394</v>
      </c>
      <c r="M10" s="14"/>
      <c r="N10" s="14"/>
      <c r="O10" s="14">
        <v>0</v>
      </c>
    </row>
    <row r="11" spans="1:15" x14ac:dyDescent="0.25">
      <c r="A11" s="1">
        <v>10</v>
      </c>
      <c r="C11" s="1">
        <v>12</v>
      </c>
      <c r="D11" s="1">
        <v>3000</v>
      </c>
      <c r="E11" s="1">
        <v>300</v>
      </c>
      <c r="F11" s="1" t="s">
        <v>578</v>
      </c>
      <c r="G11" s="1">
        <v>2</v>
      </c>
      <c r="H11" s="1">
        <v>140030039</v>
      </c>
      <c r="I11" s="3"/>
      <c r="J11" s="2" t="s">
        <v>619</v>
      </c>
      <c r="L11" s="1" t="s">
        <v>578</v>
      </c>
      <c r="M11" s="14"/>
      <c r="N11" s="14"/>
      <c r="O11" s="14">
        <v>0</v>
      </c>
    </row>
    <row r="12" spans="1:15" x14ac:dyDescent="0.25">
      <c r="A12" s="1">
        <v>11</v>
      </c>
      <c r="C12" s="1">
        <v>11</v>
      </c>
      <c r="D12" s="1">
        <v>3000</v>
      </c>
      <c r="E12" s="1">
        <v>300</v>
      </c>
      <c r="F12" s="1" t="s">
        <v>578</v>
      </c>
      <c r="G12" s="1">
        <v>2</v>
      </c>
      <c r="H12" s="1">
        <v>140020181</v>
      </c>
      <c r="I12" s="3"/>
      <c r="J12" s="2"/>
      <c r="L12" s="1" t="s">
        <v>578</v>
      </c>
      <c r="M12" s="14"/>
      <c r="N12" s="14"/>
      <c r="O12" s="14">
        <v>0</v>
      </c>
    </row>
    <row r="13" spans="1:15" x14ac:dyDescent="0.25">
      <c r="A13" s="1">
        <v>12</v>
      </c>
      <c r="C13" s="1">
        <v>13</v>
      </c>
      <c r="D13" s="1">
        <v>2100</v>
      </c>
      <c r="E13" s="1">
        <v>300</v>
      </c>
      <c r="F13" s="1" t="s">
        <v>578</v>
      </c>
      <c r="G13" s="1">
        <v>2</v>
      </c>
      <c r="H13" s="1">
        <v>140030040</v>
      </c>
      <c r="I13" s="3"/>
      <c r="J13" s="2"/>
      <c r="L13" s="1" t="s">
        <v>578</v>
      </c>
      <c r="M13" s="14"/>
      <c r="N13" s="14"/>
      <c r="O13" s="14">
        <v>0</v>
      </c>
    </row>
    <row r="14" spans="1:15" x14ac:dyDescent="0.25">
      <c r="A14" s="1">
        <v>13</v>
      </c>
      <c r="C14" s="1">
        <v>11</v>
      </c>
      <c r="D14" s="1">
        <v>2100</v>
      </c>
      <c r="E14" s="1">
        <v>300</v>
      </c>
      <c r="F14" s="1" t="s">
        <v>578</v>
      </c>
      <c r="G14" s="1">
        <v>2</v>
      </c>
      <c r="H14" s="1">
        <v>140020181</v>
      </c>
      <c r="I14" s="3"/>
      <c r="J14" s="2"/>
      <c r="L14" s="1" t="s">
        <v>578</v>
      </c>
      <c r="M14" s="14"/>
      <c r="N14" s="14"/>
      <c r="O14" s="14">
        <v>0</v>
      </c>
    </row>
    <row r="15" spans="1:15" x14ac:dyDescent="0.25">
      <c r="A15" s="1">
        <v>14</v>
      </c>
      <c r="C15" s="1">
        <v>11</v>
      </c>
      <c r="D15" s="1">
        <v>3000</v>
      </c>
      <c r="E15" s="1">
        <v>300</v>
      </c>
      <c r="F15" s="1" t="s">
        <v>579</v>
      </c>
      <c r="G15" s="1">
        <v>2</v>
      </c>
      <c r="H15" s="1">
        <v>140020181</v>
      </c>
      <c r="I15" s="3"/>
      <c r="J15" s="2"/>
      <c r="L15" s="1" t="s">
        <v>579</v>
      </c>
      <c r="M15" s="14"/>
      <c r="N15" s="14"/>
      <c r="O15" s="14">
        <v>0</v>
      </c>
    </row>
    <row r="16" spans="1:15" x14ac:dyDescent="0.25">
      <c r="A16" s="1">
        <v>15</v>
      </c>
      <c r="C16" s="1">
        <v>12</v>
      </c>
      <c r="D16" s="1">
        <v>3000</v>
      </c>
      <c r="E16" s="1">
        <v>300</v>
      </c>
      <c r="F16" s="1" t="s">
        <v>579</v>
      </c>
      <c r="G16" s="1">
        <v>2</v>
      </c>
      <c r="H16" s="1">
        <v>140030039</v>
      </c>
      <c r="I16" s="3"/>
      <c r="J16" s="2"/>
      <c r="L16" s="1" t="s">
        <v>579</v>
      </c>
      <c r="M16" s="14"/>
      <c r="N16" s="14"/>
      <c r="O16" s="14">
        <v>0</v>
      </c>
    </row>
    <row r="17" spans="1:15" x14ac:dyDescent="0.25">
      <c r="A17" s="1">
        <v>16</v>
      </c>
      <c r="C17" s="1">
        <v>13</v>
      </c>
      <c r="D17" s="1">
        <v>3000</v>
      </c>
      <c r="E17" s="1">
        <v>300</v>
      </c>
      <c r="F17" s="1" t="s">
        <v>580</v>
      </c>
      <c r="G17" s="1">
        <v>2</v>
      </c>
      <c r="H17" s="1">
        <v>140030040</v>
      </c>
      <c r="I17" s="3"/>
      <c r="J17" s="2"/>
      <c r="L17" s="1" t="s">
        <v>580</v>
      </c>
      <c r="M17" s="14"/>
      <c r="N17" s="14"/>
      <c r="O17" s="14">
        <v>0</v>
      </c>
    </row>
    <row r="18" spans="1:15" x14ac:dyDescent="0.25">
      <c r="A18" s="1">
        <v>17</v>
      </c>
      <c r="C18" s="1">
        <v>12</v>
      </c>
      <c r="D18" s="1">
        <v>2000</v>
      </c>
      <c r="E18" s="1">
        <v>300</v>
      </c>
      <c r="F18" s="1" t="s">
        <v>581</v>
      </c>
      <c r="G18" s="1">
        <v>2</v>
      </c>
      <c r="H18" s="1">
        <v>140030039</v>
      </c>
      <c r="I18" s="3"/>
      <c r="J18" s="2"/>
      <c r="L18" s="1" t="s">
        <v>581</v>
      </c>
      <c r="M18" s="14"/>
      <c r="N18" s="14"/>
      <c r="O18" s="14">
        <v>0</v>
      </c>
    </row>
    <row r="19" spans="1:15" x14ac:dyDescent="0.25">
      <c r="A19" s="1">
        <v>18</v>
      </c>
      <c r="C19" s="1">
        <v>13</v>
      </c>
      <c r="D19" s="1">
        <v>2900</v>
      </c>
      <c r="E19" s="1">
        <v>300</v>
      </c>
      <c r="F19" s="1" t="s">
        <v>581</v>
      </c>
      <c r="G19" s="1">
        <v>2</v>
      </c>
      <c r="H19" s="1">
        <v>140030040</v>
      </c>
      <c r="I19" s="3"/>
      <c r="J19" s="2"/>
      <c r="L19" s="1" t="s">
        <v>581</v>
      </c>
      <c r="M19" s="14"/>
      <c r="N19" s="14"/>
      <c r="O19" s="14">
        <v>0</v>
      </c>
    </row>
    <row r="20" spans="1:15" x14ac:dyDescent="0.25">
      <c r="A20" s="1">
        <v>19</v>
      </c>
      <c r="C20" s="1">
        <v>8</v>
      </c>
      <c r="D20" s="1">
        <v>3000</v>
      </c>
      <c r="E20" s="1">
        <v>300</v>
      </c>
      <c r="F20" s="1" t="s">
        <v>509</v>
      </c>
      <c r="G20" s="1">
        <v>2</v>
      </c>
      <c r="H20" s="1">
        <v>140010117</v>
      </c>
      <c r="I20" s="3"/>
      <c r="J20" s="2"/>
      <c r="L20" s="1" t="s">
        <v>509</v>
      </c>
      <c r="M20" s="14"/>
      <c r="N20" s="14"/>
      <c r="O20" s="14">
        <v>0</v>
      </c>
    </row>
    <row r="21" spans="1:15" x14ac:dyDescent="0.25">
      <c r="A21" s="1">
        <v>20</v>
      </c>
      <c r="C21" s="1">
        <v>9</v>
      </c>
      <c r="D21" s="1">
        <v>3000</v>
      </c>
      <c r="E21" s="1">
        <v>300</v>
      </c>
      <c r="F21" s="1" t="s">
        <v>509</v>
      </c>
      <c r="G21" s="1">
        <v>2</v>
      </c>
      <c r="H21" s="1">
        <v>140010230</v>
      </c>
      <c r="I21" s="3"/>
      <c r="J21" s="2"/>
      <c r="L21" s="1" t="s">
        <v>509</v>
      </c>
      <c r="M21" s="14"/>
      <c r="N21" s="14"/>
      <c r="O21" s="14">
        <v>0</v>
      </c>
    </row>
    <row r="22" spans="1:15" x14ac:dyDescent="0.25">
      <c r="A22" s="1">
        <v>21</v>
      </c>
      <c r="C22" s="1">
        <v>8</v>
      </c>
      <c r="D22" s="1">
        <v>4000</v>
      </c>
      <c r="E22" s="1">
        <v>300</v>
      </c>
      <c r="F22" s="1" t="s">
        <v>509</v>
      </c>
      <c r="G22" s="1">
        <v>2</v>
      </c>
      <c r="H22" s="1">
        <v>140010117</v>
      </c>
      <c r="I22" s="3"/>
      <c r="J22" s="2"/>
      <c r="L22" s="1" t="s">
        <v>509</v>
      </c>
      <c r="M22" s="14"/>
      <c r="N22" s="14"/>
      <c r="O22" s="14">
        <v>0</v>
      </c>
    </row>
    <row r="23" spans="1:15" x14ac:dyDescent="0.25">
      <c r="A23" s="1">
        <v>22</v>
      </c>
      <c r="C23" s="1">
        <v>9</v>
      </c>
      <c r="D23" s="1">
        <v>3000</v>
      </c>
      <c r="E23" s="1">
        <v>300</v>
      </c>
      <c r="F23" s="1" t="s">
        <v>509</v>
      </c>
      <c r="G23" s="1">
        <v>2</v>
      </c>
      <c r="H23" s="1">
        <v>140010230</v>
      </c>
      <c r="I23" s="3"/>
      <c r="J23" s="2"/>
      <c r="L23" s="1" t="s">
        <v>509</v>
      </c>
      <c r="M23" s="14"/>
      <c r="N23" s="14"/>
      <c r="O23" s="14">
        <v>0</v>
      </c>
    </row>
    <row r="24" spans="1:15" x14ac:dyDescent="0.25">
      <c r="A24" s="1">
        <v>23</v>
      </c>
      <c r="B24" s="1">
        <v>33</v>
      </c>
      <c r="C24" s="1">
        <v>16</v>
      </c>
      <c r="D24" s="1">
        <v>3000</v>
      </c>
      <c r="E24" s="1">
        <v>300</v>
      </c>
      <c r="F24" s="1" t="s">
        <v>583</v>
      </c>
      <c r="G24" s="1">
        <v>2</v>
      </c>
      <c r="H24" s="1">
        <v>140310096</v>
      </c>
      <c r="I24" s="3"/>
      <c r="J24" s="2"/>
      <c r="L24" s="1" t="s">
        <v>583</v>
      </c>
      <c r="M24" s="14"/>
      <c r="N24" s="14"/>
      <c r="O24" s="14" t="s">
        <v>630</v>
      </c>
    </row>
    <row r="25" spans="1:15" x14ac:dyDescent="0.25">
      <c r="A25" s="1">
        <v>24</v>
      </c>
      <c r="B25" s="1">
        <v>34</v>
      </c>
      <c r="C25" s="1">
        <v>10</v>
      </c>
      <c r="D25" s="1">
        <v>1000</v>
      </c>
      <c r="E25" s="1">
        <v>300</v>
      </c>
      <c r="F25" s="1" t="s">
        <v>396</v>
      </c>
      <c r="G25" s="1">
        <v>2</v>
      </c>
      <c r="H25" s="1">
        <v>140010255</v>
      </c>
      <c r="I25" s="3"/>
      <c r="J25" s="2"/>
      <c r="L25" s="1" t="s">
        <v>396</v>
      </c>
      <c r="M25" s="14"/>
      <c r="N25" s="14"/>
      <c r="O25" s="14" t="s">
        <v>631</v>
      </c>
    </row>
    <row r="26" spans="1:15" x14ac:dyDescent="0.25">
      <c r="A26" s="1">
        <v>25</v>
      </c>
      <c r="B26" s="1">
        <v>35</v>
      </c>
      <c r="C26" s="1">
        <v>9</v>
      </c>
      <c r="D26" s="1">
        <v>3000</v>
      </c>
      <c r="E26" s="1">
        <v>300</v>
      </c>
      <c r="F26" s="1" t="s">
        <v>396</v>
      </c>
      <c r="G26" s="1">
        <v>2</v>
      </c>
      <c r="H26" s="1">
        <v>140010230</v>
      </c>
      <c r="I26" s="3"/>
      <c r="J26" s="2"/>
      <c r="L26" s="1" t="s">
        <v>396</v>
      </c>
      <c r="M26" s="14"/>
      <c r="N26" s="14"/>
      <c r="O26" s="14" t="s">
        <v>632</v>
      </c>
    </row>
    <row r="27" spans="1:15" x14ac:dyDescent="0.25">
      <c r="A27" s="1">
        <v>26</v>
      </c>
      <c r="B27" s="1">
        <v>36</v>
      </c>
      <c r="C27" s="1">
        <v>9</v>
      </c>
      <c r="D27" s="1">
        <v>3000</v>
      </c>
      <c r="E27" s="1">
        <v>300</v>
      </c>
      <c r="F27" s="1" t="s">
        <v>396</v>
      </c>
      <c r="G27" s="1">
        <v>2</v>
      </c>
      <c r="H27" s="1">
        <v>140010230</v>
      </c>
      <c r="I27" s="3"/>
      <c r="J27" s="2"/>
      <c r="L27" s="1" t="s">
        <v>396</v>
      </c>
      <c r="M27" s="14"/>
      <c r="N27" s="14"/>
      <c r="O27" s="14" t="s">
        <v>633</v>
      </c>
    </row>
    <row r="28" spans="1:15" x14ac:dyDescent="0.25">
      <c r="A28" s="1">
        <v>27</v>
      </c>
      <c r="B28" s="1">
        <v>37</v>
      </c>
      <c r="C28" s="1">
        <v>9</v>
      </c>
      <c r="D28" s="1">
        <v>3000</v>
      </c>
      <c r="E28" s="1">
        <v>300</v>
      </c>
      <c r="F28" s="1" t="s">
        <v>396</v>
      </c>
      <c r="G28" s="1">
        <v>2</v>
      </c>
      <c r="H28" s="1">
        <v>140010230</v>
      </c>
      <c r="I28" s="3"/>
      <c r="J28" s="2"/>
      <c r="L28" s="1" t="s">
        <v>396</v>
      </c>
      <c r="M28" s="14"/>
      <c r="N28" s="14"/>
      <c r="O28" s="14" t="s">
        <v>634</v>
      </c>
    </row>
    <row r="29" spans="1:15" x14ac:dyDescent="0.25">
      <c r="A29" s="1">
        <v>28</v>
      </c>
      <c r="B29" s="1">
        <v>38</v>
      </c>
      <c r="C29" s="1">
        <v>9</v>
      </c>
      <c r="D29" s="1">
        <v>3000</v>
      </c>
      <c r="E29" s="1">
        <v>300</v>
      </c>
      <c r="F29" s="1" t="s">
        <v>396</v>
      </c>
      <c r="G29" s="1">
        <v>2</v>
      </c>
      <c r="H29" s="1">
        <v>140010230</v>
      </c>
      <c r="I29" s="3"/>
      <c r="J29" s="2"/>
      <c r="L29" s="1" t="s">
        <v>396</v>
      </c>
      <c r="M29" s="14"/>
      <c r="N29" s="14"/>
      <c r="O29" s="14" t="s">
        <v>635</v>
      </c>
    </row>
    <row r="30" spans="1:15" x14ac:dyDescent="0.25">
      <c r="A30" s="1">
        <v>29</v>
      </c>
      <c r="B30" s="1">
        <v>40</v>
      </c>
      <c r="C30" s="1">
        <v>14</v>
      </c>
      <c r="D30" s="1">
        <v>513</v>
      </c>
      <c r="E30" s="1">
        <v>250</v>
      </c>
      <c r="F30" s="1" t="s">
        <v>397</v>
      </c>
      <c r="G30" s="1">
        <v>2</v>
      </c>
      <c r="H30" s="1">
        <v>140310031</v>
      </c>
      <c r="I30" s="3"/>
      <c r="J30" s="2"/>
      <c r="L30" s="1" t="s">
        <v>397</v>
      </c>
      <c r="M30" s="14"/>
      <c r="N30" s="14"/>
      <c r="O30" s="14" t="s">
        <v>636</v>
      </c>
    </row>
    <row r="31" spans="1:15" x14ac:dyDescent="0.25">
      <c r="A31" s="1">
        <v>30</v>
      </c>
      <c r="B31" s="1">
        <v>41</v>
      </c>
      <c r="C31" s="1">
        <v>9</v>
      </c>
      <c r="D31" s="1">
        <v>3900</v>
      </c>
      <c r="E31" s="1">
        <v>300</v>
      </c>
      <c r="F31" s="1" t="s">
        <v>397</v>
      </c>
      <c r="G31" s="1">
        <v>2</v>
      </c>
      <c r="H31" s="1">
        <v>140010230</v>
      </c>
      <c r="I31" s="3"/>
      <c r="J31" s="2"/>
      <c r="L31" s="1" t="s">
        <v>397</v>
      </c>
      <c r="M31" s="14"/>
      <c r="N31" s="14"/>
      <c r="O31" s="14" t="s">
        <v>637</v>
      </c>
    </row>
    <row r="32" spans="1:15" x14ac:dyDescent="0.25">
      <c r="A32" s="1">
        <v>31</v>
      </c>
      <c r="B32" s="1">
        <v>42</v>
      </c>
      <c r="C32" s="1">
        <v>15</v>
      </c>
      <c r="D32" s="1">
        <v>3000</v>
      </c>
      <c r="E32" s="1">
        <v>300</v>
      </c>
      <c r="F32" s="1" t="s">
        <v>397</v>
      </c>
      <c r="G32" s="1">
        <v>2</v>
      </c>
      <c r="H32" s="1">
        <v>140310058</v>
      </c>
      <c r="I32" s="3"/>
      <c r="J32" s="2"/>
      <c r="L32" s="1" t="s">
        <v>397</v>
      </c>
      <c r="M32" s="14"/>
      <c r="N32" s="14"/>
      <c r="O32" s="14" t="s">
        <v>638</v>
      </c>
    </row>
    <row r="33" spans="1:15" x14ac:dyDescent="0.25">
      <c r="A33" s="1">
        <v>32</v>
      </c>
      <c r="B33" s="1">
        <v>43</v>
      </c>
      <c r="C33" s="1">
        <v>18</v>
      </c>
      <c r="D33" s="1">
        <v>3000</v>
      </c>
      <c r="E33" s="1">
        <v>500</v>
      </c>
      <c r="F33" s="1" t="s">
        <v>399</v>
      </c>
      <c r="G33" s="1">
        <v>2</v>
      </c>
      <c r="H33" s="1">
        <v>141320055</v>
      </c>
      <c r="I33" s="3"/>
      <c r="J33" s="2"/>
      <c r="L33" s="1" t="s">
        <v>399</v>
      </c>
      <c r="M33" s="14"/>
      <c r="N33" s="14"/>
      <c r="O33" s="14" t="s">
        <v>639</v>
      </c>
    </row>
    <row r="34" spans="1:15" x14ac:dyDescent="0.25">
      <c r="A34" s="1">
        <v>33</v>
      </c>
      <c r="B34" s="1">
        <v>44</v>
      </c>
      <c r="C34" s="1">
        <v>18</v>
      </c>
      <c r="D34" s="1">
        <v>3000</v>
      </c>
      <c r="E34" s="1">
        <v>500</v>
      </c>
      <c r="F34" s="1" t="s">
        <v>584</v>
      </c>
      <c r="G34" s="1">
        <v>2</v>
      </c>
      <c r="H34" s="1">
        <v>141320055</v>
      </c>
      <c r="I34" s="3"/>
      <c r="J34" s="2"/>
      <c r="L34" s="1" t="s">
        <v>584</v>
      </c>
      <c r="M34" s="14"/>
      <c r="N34" s="14"/>
      <c r="O34" s="14" t="s">
        <v>640</v>
      </c>
    </row>
    <row r="35" spans="1:15" x14ac:dyDescent="0.25">
      <c r="A35" s="1">
        <v>34</v>
      </c>
      <c r="B35" s="1">
        <v>45</v>
      </c>
      <c r="C35" s="1">
        <v>37</v>
      </c>
      <c r="D35" s="1">
        <v>3000</v>
      </c>
      <c r="E35" s="1">
        <v>300</v>
      </c>
      <c r="F35" s="1" t="s">
        <v>584</v>
      </c>
      <c r="G35" s="1" t="s">
        <v>417</v>
      </c>
      <c r="H35" s="1">
        <v>140030040</v>
      </c>
      <c r="I35" s="3"/>
      <c r="J35" s="2"/>
      <c r="L35" s="1" t="s">
        <v>584</v>
      </c>
      <c r="M35" s="14"/>
      <c r="N35" s="14"/>
      <c r="O35" s="14" t="s">
        <v>641</v>
      </c>
    </row>
    <row r="36" spans="1:15" x14ac:dyDescent="0.25">
      <c r="A36" s="1">
        <v>35</v>
      </c>
      <c r="B36" s="1">
        <v>46</v>
      </c>
      <c r="C36" s="1">
        <v>36</v>
      </c>
      <c r="D36" s="1">
        <v>600</v>
      </c>
      <c r="E36" s="1">
        <v>300</v>
      </c>
      <c r="F36" s="1" t="s">
        <v>584</v>
      </c>
      <c r="G36" s="1" t="s">
        <v>417</v>
      </c>
      <c r="H36" s="1">
        <v>140030039</v>
      </c>
      <c r="I36" s="3"/>
      <c r="J36" s="2"/>
      <c r="L36" s="1" t="s">
        <v>584</v>
      </c>
      <c r="M36" s="14"/>
      <c r="N36" s="14"/>
      <c r="O36" s="14" t="s">
        <v>642</v>
      </c>
    </row>
    <row r="37" spans="1:15" x14ac:dyDescent="0.25">
      <c r="A37" s="1">
        <v>36</v>
      </c>
      <c r="B37" s="1">
        <v>47</v>
      </c>
      <c r="C37" s="1">
        <v>36</v>
      </c>
      <c r="D37" s="1">
        <v>2400</v>
      </c>
      <c r="E37" s="1">
        <v>300</v>
      </c>
      <c r="F37" s="1" t="s">
        <v>584</v>
      </c>
      <c r="G37" s="1" t="s">
        <v>417</v>
      </c>
      <c r="H37" s="1">
        <v>140030039</v>
      </c>
      <c r="I37" s="3"/>
      <c r="J37" s="2"/>
      <c r="L37" s="1" t="s">
        <v>584</v>
      </c>
      <c r="M37" s="14"/>
      <c r="N37" s="14"/>
      <c r="O37" s="14" t="s">
        <v>643</v>
      </c>
    </row>
    <row r="38" spans="1:15" x14ac:dyDescent="0.25">
      <c r="A38" s="1">
        <v>37</v>
      </c>
      <c r="B38" s="1">
        <v>48</v>
      </c>
      <c r="C38" s="1">
        <v>18</v>
      </c>
      <c r="D38" s="1">
        <v>347</v>
      </c>
      <c r="E38" s="1">
        <v>500</v>
      </c>
      <c r="F38" s="1" t="s">
        <v>584</v>
      </c>
      <c r="G38" s="1">
        <v>2</v>
      </c>
      <c r="H38" s="1">
        <v>141320055</v>
      </c>
      <c r="I38" s="3"/>
      <c r="J38" s="2"/>
      <c r="L38" s="1" t="s">
        <v>584</v>
      </c>
      <c r="M38" s="14"/>
      <c r="N38" s="14"/>
      <c r="O38" s="14" t="s">
        <v>644</v>
      </c>
    </row>
    <row r="39" spans="1:15" x14ac:dyDescent="0.25">
      <c r="A39" s="1">
        <v>38</v>
      </c>
      <c r="B39" s="1">
        <v>49</v>
      </c>
      <c r="C39" s="1">
        <v>35</v>
      </c>
      <c r="D39" s="1">
        <v>3000</v>
      </c>
      <c r="E39" s="1">
        <v>300</v>
      </c>
      <c r="F39" s="1" t="s">
        <v>585</v>
      </c>
      <c r="G39" s="1" t="s">
        <v>417</v>
      </c>
      <c r="H39" s="1">
        <v>140010117</v>
      </c>
      <c r="I39" s="3"/>
      <c r="J39" s="2"/>
      <c r="L39" s="1" t="s">
        <v>585</v>
      </c>
      <c r="M39" s="14"/>
      <c r="N39" s="14"/>
      <c r="O39" s="14" t="s">
        <v>645</v>
      </c>
    </row>
    <row r="40" spans="1:15" x14ac:dyDescent="0.25">
      <c r="A40" s="1">
        <v>39</v>
      </c>
      <c r="B40" s="1">
        <v>50</v>
      </c>
      <c r="C40" s="1">
        <v>15</v>
      </c>
      <c r="D40" s="1">
        <v>3000</v>
      </c>
      <c r="E40" s="1">
        <v>300</v>
      </c>
      <c r="F40" s="1" t="s">
        <v>511</v>
      </c>
      <c r="G40" s="1">
        <v>2</v>
      </c>
      <c r="H40" s="1">
        <v>140310058</v>
      </c>
      <c r="I40" s="3"/>
      <c r="J40" s="2"/>
      <c r="L40" s="1" t="s">
        <v>511</v>
      </c>
      <c r="M40" s="14"/>
      <c r="N40" s="14"/>
      <c r="O40" s="14" t="s">
        <v>646</v>
      </c>
    </row>
    <row r="41" spans="1:15" x14ac:dyDescent="0.25">
      <c r="A41" s="1">
        <v>40</v>
      </c>
      <c r="B41" s="1">
        <v>51</v>
      </c>
      <c r="C41" s="1">
        <v>25</v>
      </c>
      <c r="D41" s="1">
        <v>3000</v>
      </c>
      <c r="E41" s="1">
        <v>300</v>
      </c>
      <c r="F41" s="1" t="s">
        <v>400</v>
      </c>
      <c r="G41" s="1">
        <v>3</v>
      </c>
      <c r="H41" s="1">
        <v>140020181</v>
      </c>
      <c r="I41" s="3"/>
      <c r="J41" s="2"/>
      <c r="L41" s="1" t="s">
        <v>400</v>
      </c>
      <c r="M41" s="14"/>
      <c r="N41" s="14"/>
      <c r="O41" s="14" t="s">
        <v>647</v>
      </c>
    </row>
    <row r="42" spans="1:15" x14ac:dyDescent="0.25">
      <c r="A42" s="1">
        <v>41</v>
      </c>
      <c r="B42" s="1">
        <v>52</v>
      </c>
      <c r="C42" s="1">
        <v>25</v>
      </c>
      <c r="D42" s="1">
        <v>3000</v>
      </c>
      <c r="E42" s="1">
        <v>300</v>
      </c>
      <c r="F42" s="1" t="s">
        <v>400</v>
      </c>
      <c r="G42" s="1">
        <v>3</v>
      </c>
      <c r="H42" s="1">
        <v>140020181</v>
      </c>
      <c r="I42" s="3"/>
      <c r="J42" s="2"/>
      <c r="L42" s="1" t="s">
        <v>400</v>
      </c>
      <c r="M42" s="14"/>
      <c r="N42" s="14"/>
      <c r="O42" s="14" t="s">
        <v>648</v>
      </c>
    </row>
    <row r="43" spans="1:15" x14ac:dyDescent="0.25">
      <c r="A43" s="1">
        <v>42</v>
      </c>
      <c r="B43" s="1">
        <v>53</v>
      </c>
      <c r="C43" s="1">
        <v>25</v>
      </c>
      <c r="D43" s="1">
        <v>3000</v>
      </c>
      <c r="E43" s="1">
        <v>300</v>
      </c>
      <c r="F43" s="1" t="s">
        <v>512</v>
      </c>
      <c r="G43" s="1">
        <v>3</v>
      </c>
      <c r="H43" s="1">
        <v>140020181</v>
      </c>
      <c r="I43" s="3"/>
      <c r="J43" s="2"/>
      <c r="L43" s="1" t="s">
        <v>512</v>
      </c>
      <c r="M43" s="14"/>
      <c r="N43" s="14"/>
      <c r="O43" s="14" t="s">
        <v>649</v>
      </c>
    </row>
    <row r="44" spans="1:15" x14ac:dyDescent="0.25">
      <c r="A44" s="1">
        <v>43</v>
      </c>
      <c r="B44" s="1">
        <v>54</v>
      </c>
      <c r="C44" s="1">
        <v>25</v>
      </c>
      <c r="D44" s="1">
        <v>1000</v>
      </c>
      <c r="E44" s="1">
        <v>300</v>
      </c>
      <c r="F44" s="1" t="s">
        <v>515</v>
      </c>
      <c r="G44" s="1">
        <v>3</v>
      </c>
      <c r="H44" s="1">
        <v>140020181</v>
      </c>
      <c r="I44" s="3"/>
      <c r="J44" s="2"/>
      <c r="L44" s="1" t="s">
        <v>515</v>
      </c>
      <c r="M44" s="14"/>
      <c r="N44" s="14"/>
      <c r="O44" s="14" t="s">
        <v>650</v>
      </c>
    </row>
    <row r="45" spans="1:15" x14ac:dyDescent="0.25">
      <c r="A45" s="1">
        <v>44</v>
      </c>
      <c r="B45" s="1">
        <v>55</v>
      </c>
      <c r="C45" s="1">
        <v>18</v>
      </c>
      <c r="D45" s="1">
        <v>3000</v>
      </c>
      <c r="E45" s="1">
        <v>500</v>
      </c>
      <c r="F45" s="1" t="s">
        <v>518</v>
      </c>
      <c r="G45" s="1">
        <v>2</v>
      </c>
      <c r="H45" s="1">
        <v>141320055</v>
      </c>
      <c r="I45" s="3"/>
      <c r="J45" s="2"/>
      <c r="L45" s="1" t="s">
        <v>518</v>
      </c>
      <c r="M45" s="14"/>
      <c r="N45" s="14"/>
      <c r="O45" s="14" t="s">
        <v>651</v>
      </c>
    </row>
    <row r="46" spans="1:15" x14ac:dyDescent="0.25">
      <c r="A46" s="1">
        <v>45</v>
      </c>
      <c r="B46" s="1">
        <v>56</v>
      </c>
      <c r="C46" s="1">
        <v>18</v>
      </c>
      <c r="D46" s="1">
        <v>3000</v>
      </c>
      <c r="E46" s="1">
        <v>500</v>
      </c>
      <c r="F46" s="1" t="s">
        <v>401</v>
      </c>
      <c r="G46" s="1">
        <v>2</v>
      </c>
      <c r="H46" s="1">
        <v>141320055</v>
      </c>
      <c r="I46" s="3"/>
      <c r="J46" s="2"/>
      <c r="L46" s="1" t="s">
        <v>401</v>
      </c>
      <c r="M46" s="14"/>
      <c r="N46" s="14"/>
      <c r="O46" s="14" t="s">
        <v>652</v>
      </c>
    </row>
    <row r="47" spans="1:15" x14ac:dyDescent="0.25">
      <c r="A47" s="1">
        <v>46</v>
      </c>
      <c r="B47" s="1">
        <v>57</v>
      </c>
      <c r="C47" s="1">
        <v>18</v>
      </c>
      <c r="D47" s="1">
        <v>3000</v>
      </c>
      <c r="E47" s="1">
        <v>500</v>
      </c>
      <c r="F47" s="1" t="s">
        <v>513</v>
      </c>
      <c r="G47" s="1">
        <v>2</v>
      </c>
      <c r="H47" s="1">
        <v>141320055</v>
      </c>
      <c r="I47" s="3"/>
      <c r="J47" s="2"/>
      <c r="L47" s="1" t="s">
        <v>513</v>
      </c>
      <c r="M47" s="14"/>
      <c r="N47" s="14"/>
      <c r="O47" s="14" t="s">
        <v>653</v>
      </c>
    </row>
    <row r="48" spans="1:15" x14ac:dyDescent="0.25">
      <c r="A48" s="1">
        <v>47</v>
      </c>
      <c r="B48" s="1">
        <v>58</v>
      </c>
      <c r="C48" s="1">
        <v>30</v>
      </c>
      <c r="D48" s="1">
        <v>3000</v>
      </c>
      <c r="E48" s="1">
        <v>300</v>
      </c>
      <c r="F48" s="1" t="s">
        <v>401</v>
      </c>
      <c r="G48" s="1">
        <v>3</v>
      </c>
      <c r="H48" s="1">
        <v>140310071</v>
      </c>
      <c r="I48" s="3"/>
      <c r="J48" s="2"/>
      <c r="L48" s="1" t="s">
        <v>401</v>
      </c>
      <c r="M48" s="14"/>
      <c r="N48" s="14"/>
      <c r="O48" s="14" t="s">
        <v>654</v>
      </c>
    </row>
    <row r="49" spans="1:15" x14ac:dyDescent="0.25">
      <c r="A49" s="1">
        <v>48</v>
      </c>
      <c r="B49" s="1">
        <v>59</v>
      </c>
      <c r="C49" s="1">
        <v>31</v>
      </c>
      <c r="D49" s="1">
        <v>3000</v>
      </c>
      <c r="E49" s="1">
        <v>300</v>
      </c>
      <c r="F49" s="1" t="s">
        <v>513</v>
      </c>
      <c r="G49" s="1">
        <v>3</v>
      </c>
      <c r="H49" s="1">
        <v>140310083</v>
      </c>
      <c r="I49" s="3"/>
      <c r="J49" s="2"/>
      <c r="L49" s="1" t="s">
        <v>513</v>
      </c>
      <c r="M49" s="14"/>
      <c r="N49" s="14"/>
      <c r="O49" s="14" t="s">
        <v>655</v>
      </c>
    </row>
    <row r="50" spans="1:15" x14ac:dyDescent="0.25">
      <c r="A50" s="1">
        <v>49</v>
      </c>
      <c r="B50" s="1">
        <v>60</v>
      </c>
      <c r="C50" s="1">
        <v>29</v>
      </c>
      <c r="D50" s="1">
        <v>2000</v>
      </c>
      <c r="E50" s="1">
        <v>300</v>
      </c>
      <c r="F50" s="1" t="s">
        <v>513</v>
      </c>
      <c r="G50" s="1">
        <v>3</v>
      </c>
      <c r="H50" s="1">
        <v>140310058</v>
      </c>
      <c r="I50" s="3"/>
      <c r="J50" s="2"/>
      <c r="L50" s="1" t="s">
        <v>513</v>
      </c>
      <c r="M50" s="14"/>
      <c r="N50" s="14"/>
      <c r="O50" s="14" t="s">
        <v>656</v>
      </c>
    </row>
    <row r="51" spans="1:15" x14ac:dyDescent="0.25">
      <c r="A51" s="1">
        <v>50</v>
      </c>
      <c r="B51" s="1">
        <v>61</v>
      </c>
      <c r="C51" s="1">
        <v>32</v>
      </c>
      <c r="D51" s="1">
        <v>2400</v>
      </c>
      <c r="E51" s="1">
        <v>300</v>
      </c>
      <c r="F51" s="1" t="s">
        <v>401</v>
      </c>
      <c r="G51" s="1">
        <v>3</v>
      </c>
      <c r="H51" s="1">
        <v>140310096</v>
      </c>
      <c r="I51" s="3"/>
      <c r="J51" s="2"/>
      <c r="L51" s="1" t="s">
        <v>401</v>
      </c>
      <c r="M51" s="14"/>
      <c r="N51" s="14"/>
      <c r="O51" s="14" t="s">
        <v>657</v>
      </c>
    </row>
    <row r="52" spans="1:15" x14ac:dyDescent="0.25">
      <c r="A52" s="1">
        <v>51</v>
      </c>
      <c r="B52" s="1">
        <v>62</v>
      </c>
      <c r="C52" s="1">
        <v>28</v>
      </c>
      <c r="D52" s="1">
        <v>3000</v>
      </c>
      <c r="E52" s="1">
        <v>300</v>
      </c>
      <c r="F52" s="1" t="s">
        <v>513</v>
      </c>
      <c r="G52" s="1">
        <v>3</v>
      </c>
      <c r="H52" s="1">
        <v>140310007</v>
      </c>
      <c r="I52" s="3"/>
      <c r="J52" s="2"/>
      <c r="L52" s="1" t="s">
        <v>513</v>
      </c>
      <c r="M52" s="14"/>
      <c r="N52" s="14"/>
      <c r="O52" s="14" t="s">
        <v>658</v>
      </c>
    </row>
    <row r="53" spans="1:15" x14ac:dyDescent="0.25">
      <c r="A53" s="1">
        <v>52</v>
      </c>
      <c r="B53" s="1">
        <v>63</v>
      </c>
      <c r="C53" s="1">
        <v>28</v>
      </c>
      <c r="D53" s="1">
        <v>3000</v>
      </c>
      <c r="E53" s="1">
        <v>300</v>
      </c>
      <c r="F53" s="1" t="s">
        <v>402</v>
      </c>
      <c r="G53" s="1">
        <v>3</v>
      </c>
      <c r="H53" s="1">
        <v>140310007</v>
      </c>
      <c r="I53" s="3"/>
      <c r="J53" s="2"/>
      <c r="L53" s="1" t="s">
        <v>402</v>
      </c>
      <c r="M53" s="14"/>
      <c r="N53" s="14"/>
      <c r="O53" s="14" t="s">
        <v>659</v>
      </c>
    </row>
    <row r="54" spans="1:15" x14ac:dyDescent="0.25">
      <c r="A54" s="1">
        <v>53</v>
      </c>
      <c r="B54" s="1">
        <v>64</v>
      </c>
      <c r="C54" s="1">
        <v>30</v>
      </c>
      <c r="D54" s="1">
        <v>2400</v>
      </c>
      <c r="E54" s="1">
        <v>300</v>
      </c>
      <c r="F54" s="1" t="s">
        <v>402</v>
      </c>
      <c r="G54" s="1">
        <v>3</v>
      </c>
      <c r="H54" s="1">
        <v>140310071</v>
      </c>
      <c r="I54" s="3"/>
      <c r="J54" s="2"/>
      <c r="L54" s="1" t="s">
        <v>402</v>
      </c>
      <c r="M54" s="14"/>
      <c r="N54" s="14"/>
      <c r="O54" s="14" t="s">
        <v>660</v>
      </c>
    </row>
    <row r="55" spans="1:15" x14ac:dyDescent="0.25">
      <c r="A55" s="1">
        <v>54</v>
      </c>
      <c r="B55" s="1">
        <v>65</v>
      </c>
      <c r="C55" s="1">
        <v>18</v>
      </c>
      <c r="D55" s="1">
        <v>2000</v>
      </c>
      <c r="E55" s="1">
        <v>500</v>
      </c>
      <c r="F55" s="1" t="s">
        <v>402</v>
      </c>
      <c r="G55" s="1">
        <v>2</v>
      </c>
      <c r="H55" s="1">
        <v>141320055</v>
      </c>
      <c r="I55" s="3"/>
      <c r="J55" s="2"/>
      <c r="L55" s="1" t="s">
        <v>402</v>
      </c>
      <c r="M55" s="14"/>
      <c r="N55" s="14"/>
      <c r="O55" s="14" t="s">
        <v>661</v>
      </c>
    </row>
    <row r="56" spans="1:15" x14ac:dyDescent="0.25">
      <c r="A56" s="1">
        <v>55</v>
      </c>
      <c r="B56" s="1">
        <v>66</v>
      </c>
      <c r="C56" s="1">
        <v>18</v>
      </c>
      <c r="D56" s="1">
        <v>6000</v>
      </c>
      <c r="E56" s="1">
        <v>500</v>
      </c>
      <c r="F56" s="1" t="s">
        <v>402</v>
      </c>
      <c r="G56" s="1">
        <v>2</v>
      </c>
      <c r="H56" s="1">
        <v>141320055</v>
      </c>
      <c r="I56" s="3"/>
      <c r="J56" s="2"/>
      <c r="L56" s="1" t="s">
        <v>402</v>
      </c>
      <c r="M56" s="14"/>
      <c r="N56" s="14"/>
      <c r="O56" s="14" t="s">
        <v>662</v>
      </c>
    </row>
    <row r="57" spans="1:15" x14ac:dyDescent="0.25">
      <c r="A57" s="1">
        <v>56</v>
      </c>
      <c r="B57" s="1">
        <v>67</v>
      </c>
      <c r="C57" s="1">
        <v>31</v>
      </c>
      <c r="D57" s="1">
        <v>1200</v>
      </c>
      <c r="E57" s="1">
        <v>300</v>
      </c>
      <c r="F57" s="1" t="s">
        <v>403</v>
      </c>
      <c r="G57" s="1">
        <v>3</v>
      </c>
      <c r="H57" s="1">
        <v>140310083</v>
      </c>
      <c r="I57" s="3"/>
      <c r="J57" s="2"/>
      <c r="L57" s="1" t="s">
        <v>403</v>
      </c>
      <c r="M57" s="14"/>
      <c r="N57" s="14"/>
      <c r="O57" s="14" t="s">
        <v>663</v>
      </c>
    </row>
    <row r="58" spans="1:15" x14ac:dyDescent="0.25">
      <c r="A58" s="1">
        <v>57</v>
      </c>
      <c r="B58" s="1">
        <v>68</v>
      </c>
      <c r="C58" s="1">
        <v>29</v>
      </c>
      <c r="D58" s="1">
        <v>2000</v>
      </c>
      <c r="E58" s="1">
        <v>300</v>
      </c>
      <c r="F58" s="1" t="s">
        <v>403</v>
      </c>
      <c r="G58" s="1">
        <v>3</v>
      </c>
      <c r="H58" s="1">
        <v>140310058</v>
      </c>
      <c r="I58" s="3"/>
      <c r="J58" s="2"/>
      <c r="L58" s="1" t="s">
        <v>403</v>
      </c>
      <c r="M58" s="14"/>
      <c r="N58" s="14"/>
      <c r="O58" s="14" t="s">
        <v>664</v>
      </c>
    </row>
    <row r="59" spans="1:15" x14ac:dyDescent="0.25">
      <c r="A59" s="1">
        <v>58</v>
      </c>
      <c r="B59" s="1">
        <v>69</v>
      </c>
      <c r="C59" s="1">
        <v>32</v>
      </c>
      <c r="D59" s="1">
        <v>1600</v>
      </c>
      <c r="E59" s="1">
        <v>300</v>
      </c>
      <c r="F59" s="1" t="s">
        <v>404</v>
      </c>
      <c r="G59" s="1">
        <v>3</v>
      </c>
      <c r="H59" s="1">
        <v>140310096</v>
      </c>
      <c r="I59" s="3"/>
      <c r="J59" s="2"/>
      <c r="L59" s="1" t="s">
        <v>404</v>
      </c>
      <c r="M59" s="14"/>
      <c r="N59" s="14"/>
      <c r="O59" s="14" t="s">
        <v>665</v>
      </c>
    </row>
    <row r="60" spans="1:15" x14ac:dyDescent="0.25">
      <c r="A60" s="1">
        <v>59</v>
      </c>
      <c r="B60" s="1">
        <v>70</v>
      </c>
      <c r="C60" s="1">
        <v>18</v>
      </c>
      <c r="D60" s="1">
        <v>3000</v>
      </c>
      <c r="E60" s="1">
        <v>500</v>
      </c>
      <c r="F60" s="1" t="s">
        <v>519</v>
      </c>
      <c r="G60" s="1">
        <v>2</v>
      </c>
      <c r="H60" s="1">
        <v>141320055</v>
      </c>
      <c r="I60" s="3"/>
      <c r="J60" s="2"/>
      <c r="L60" s="1" t="s">
        <v>519</v>
      </c>
      <c r="M60" s="14"/>
      <c r="N60" s="14"/>
      <c r="O60" s="14" t="s">
        <v>666</v>
      </c>
    </row>
    <row r="61" spans="1:15" x14ac:dyDescent="0.25">
      <c r="A61" s="1">
        <v>60</v>
      </c>
      <c r="B61" s="1">
        <v>71</v>
      </c>
      <c r="C61" s="1">
        <v>18</v>
      </c>
      <c r="D61" s="1">
        <v>3000</v>
      </c>
      <c r="E61" s="1">
        <v>500</v>
      </c>
      <c r="F61" s="1" t="s">
        <v>519</v>
      </c>
      <c r="G61" s="1">
        <v>2</v>
      </c>
      <c r="H61" s="1">
        <v>141320055</v>
      </c>
      <c r="I61" s="3"/>
      <c r="J61" s="2"/>
      <c r="L61" s="1" t="s">
        <v>519</v>
      </c>
      <c r="M61" s="14"/>
      <c r="N61" s="14"/>
      <c r="O61" s="14" t="s">
        <v>667</v>
      </c>
    </row>
    <row r="62" spans="1:15" x14ac:dyDescent="0.25">
      <c r="A62" s="1">
        <v>61</v>
      </c>
      <c r="B62" s="1">
        <v>72</v>
      </c>
      <c r="C62" s="1">
        <v>30</v>
      </c>
      <c r="D62" s="1">
        <v>2700</v>
      </c>
      <c r="E62" s="1">
        <v>300</v>
      </c>
      <c r="F62" s="1" t="s">
        <v>519</v>
      </c>
      <c r="G62" s="1">
        <v>3</v>
      </c>
      <c r="H62" s="1">
        <v>140310071</v>
      </c>
      <c r="I62" s="3"/>
      <c r="J62" s="2"/>
      <c r="L62" s="1" t="s">
        <v>519</v>
      </c>
      <c r="M62" s="14"/>
      <c r="N62" s="14"/>
      <c r="O62" s="14" t="s">
        <v>668</v>
      </c>
    </row>
    <row r="63" spans="1:15" x14ac:dyDescent="0.25">
      <c r="A63" s="1">
        <v>62</v>
      </c>
      <c r="B63" s="1">
        <v>73</v>
      </c>
      <c r="C63" s="1">
        <v>30</v>
      </c>
      <c r="D63" s="1">
        <v>2700</v>
      </c>
      <c r="E63" s="1">
        <v>300</v>
      </c>
      <c r="F63" s="1" t="s">
        <v>519</v>
      </c>
      <c r="G63" s="1">
        <v>3</v>
      </c>
      <c r="H63" s="1">
        <v>140310071</v>
      </c>
      <c r="I63" s="3"/>
      <c r="J63" s="2"/>
      <c r="L63" s="1" t="s">
        <v>519</v>
      </c>
      <c r="M63" s="14"/>
      <c r="N63" s="14"/>
      <c r="O63" s="14" t="s">
        <v>669</v>
      </c>
    </row>
    <row r="64" spans="1:15" x14ac:dyDescent="0.25">
      <c r="A64" s="1">
        <v>63</v>
      </c>
      <c r="B64" s="1">
        <v>74</v>
      </c>
      <c r="C64" s="1">
        <v>30</v>
      </c>
      <c r="D64" s="1">
        <v>2700</v>
      </c>
      <c r="E64" s="1">
        <v>300</v>
      </c>
      <c r="F64" s="1" t="s">
        <v>519</v>
      </c>
      <c r="G64" s="1">
        <v>3</v>
      </c>
      <c r="H64" s="1">
        <v>140310071</v>
      </c>
      <c r="I64" s="3"/>
      <c r="J64" s="2"/>
      <c r="L64" s="1" t="s">
        <v>519</v>
      </c>
      <c r="M64" s="14"/>
      <c r="N64" s="14"/>
      <c r="O64" s="14" t="s">
        <v>670</v>
      </c>
    </row>
    <row r="65" spans="1:15" x14ac:dyDescent="0.25">
      <c r="A65" s="1">
        <v>64</v>
      </c>
      <c r="B65" s="1">
        <v>75</v>
      </c>
      <c r="C65" s="1">
        <v>22</v>
      </c>
      <c r="D65" s="1">
        <v>2100</v>
      </c>
      <c r="E65" s="1">
        <v>300</v>
      </c>
      <c r="F65" s="1" t="s">
        <v>526</v>
      </c>
      <c r="G65" s="1">
        <v>3</v>
      </c>
      <c r="H65" s="1">
        <v>140010117</v>
      </c>
      <c r="I65" s="3"/>
      <c r="J65" s="2"/>
      <c r="L65" s="1" t="s">
        <v>526</v>
      </c>
      <c r="M65" s="14"/>
      <c r="N65" s="14"/>
      <c r="O65" s="14" t="s">
        <v>671</v>
      </c>
    </row>
    <row r="66" spans="1:15" x14ac:dyDescent="0.25">
      <c r="A66" s="1">
        <v>65</v>
      </c>
      <c r="B66" s="1">
        <v>76</v>
      </c>
      <c r="C66" s="1">
        <v>31</v>
      </c>
      <c r="D66" s="1">
        <v>1800</v>
      </c>
      <c r="E66" s="1">
        <v>300</v>
      </c>
      <c r="F66" s="1" t="s">
        <v>526</v>
      </c>
      <c r="G66" s="1">
        <v>3</v>
      </c>
      <c r="H66" s="1">
        <v>140310083</v>
      </c>
      <c r="I66" s="3"/>
      <c r="J66" s="2"/>
      <c r="L66" s="1" t="s">
        <v>526</v>
      </c>
      <c r="M66" s="14"/>
      <c r="N66" s="14"/>
      <c r="O66" s="14" t="s">
        <v>672</v>
      </c>
    </row>
    <row r="67" spans="1:15" x14ac:dyDescent="0.25">
      <c r="A67" s="1">
        <v>66</v>
      </c>
      <c r="B67" s="1">
        <v>77</v>
      </c>
      <c r="C67" s="1">
        <v>28</v>
      </c>
      <c r="D67" s="1">
        <v>4010</v>
      </c>
      <c r="E67" s="1">
        <v>300</v>
      </c>
      <c r="F67" s="1" t="s">
        <v>526</v>
      </c>
      <c r="G67" s="1">
        <v>3</v>
      </c>
      <c r="H67" s="1">
        <v>140310007</v>
      </c>
      <c r="I67" s="3"/>
      <c r="J67" s="2"/>
      <c r="L67" s="1" t="s">
        <v>526</v>
      </c>
      <c r="M67" s="14"/>
      <c r="N67" s="14"/>
      <c r="O67" s="14" t="s">
        <v>673</v>
      </c>
    </row>
    <row r="68" spans="1:15" x14ac:dyDescent="0.25">
      <c r="A68" s="1">
        <v>67</v>
      </c>
      <c r="B68" s="1">
        <v>78</v>
      </c>
      <c r="C68" s="1">
        <v>26</v>
      </c>
      <c r="D68" s="1">
        <v>1500</v>
      </c>
      <c r="E68" s="1">
        <v>300</v>
      </c>
      <c r="F68" s="1" t="s">
        <v>404</v>
      </c>
      <c r="G68" s="1">
        <v>3</v>
      </c>
      <c r="H68" s="1">
        <v>140030039</v>
      </c>
      <c r="I68" s="3"/>
      <c r="J68" s="2"/>
      <c r="L68" s="1" t="s">
        <v>404</v>
      </c>
      <c r="M68" s="14"/>
      <c r="N68" s="14"/>
      <c r="O68" s="14" t="s">
        <v>674</v>
      </c>
    </row>
    <row r="69" spans="1:15" x14ac:dyDescent="0.25">
      <c r="A69" s="1">
        <v>68</v>
      </c>
      <c r="B69" s="1">
        <v>79</v>
      </c>
      <c r="C69" s="1">
        <v>27</v>
      </c>
      <c r="D69" s="1">
        <v>1500</v>
      </c>
      <c r="E69" s="1">
        <v>300</v>
      </c>
      <c r="F69" s="1" t="s">
        <v>404</v>
      </c>
      <c r="G69" s="1">
        <v>3</v>
      </c>
      <c r="H69" s="1">
        <v>140030040</v>
      </c>
      <c r="I69" s="3"/>
      <c r="J69" s="2"/>
      <c r="L69" s="1" t="s">
        <v>404</v>
      </c>
      <c r="M69" s="14"/>
      <c r="N69" s="14"/>
      <c r="O69" s="14" t="s">
        <v>675</v>
      </c>
    </row>
    <row r="70" spans="1:15" x14ac:dyDescent="0.25">
      <c r="A70" s="1">
        <v>69</v>
      </c>
      <c r="B70" s="1">
        <v>80</v>
      </c>
      <c r="C70" s="1">
        <v>31</v>
      </c>
      <c r="D70" s="1">
        <v>2400</v>
      </c>
      <c r="E70" s="1">
        <v>300</v>
      </c>
      <c r="F70" s="1" t="s">
        <v>404</v>
      </c>
      <c r="G70" s="1">
        <v>3</v>
      </c>
      <c r="H70" s="1">
        <v>140310083</v>
      </c>
      <c r="I70" s="3"/>
      <c r="J70" s="2"/>
      <c r="L70" s="1" t="s">
        <v>404</v>
      </c>
      <c r="M70" s="14"/>
      <c r="N70" s="14"/>
      <c r="O70" s="14" t="s">
        <v>676</v>
      </c>
    </row>
    <row r="71" spans="1:15" x14ac:dyDescent="0.25">
      <c r="A71" s="1">
        <v>70</v>
      </c>
      <c r="B71" s="1">
        <v>81</v>
      </c>
      <c r="C71" s="1">
        <v>22</v>
      </c>
      <c r="D71" s="1">
        <v>1200</v>
      </c>
      <c r="E71" s="1">
        <v>300</v>
      </c>
      <c r="F71" s="1" t="s">
        <v>404</v>
      </c>
      <c r="G71" s="1">
        <v>3</v>
      </c>
      <c r="H71" s="1">
        <v>140010117</v>
      </c>
      <c r="I71" s="3"/>
      <c r="J71" s="2"/>
      <c r="L71" s="1" t="s">
        <v>404</v>
      </c>
      <c r="M71" s="14"/>
      <c r="N71" s="14"/>
      <c r="O71" s="14" t="s">
        <v>677</v>
      </c>
    </row>
    <row r="72" spans="1:15" x14ac:dyDescent="0.25">
      <c r="A72" s="1">
        <v>71</v>
      </c>
      <c r="B72" s="1">
        <v>82</v>
      </c>
      <c r="C72" s="1">
        <v>30</v>
      </c>
      <c r="D72" s="1">
        <v>1500</v>
      </c>
      <c r="E72" s="1">
        <v>300</v>
      </c>
      <c r="F72" s="1" t="s">
        <v>404</v>
      </c>
      <c r="G72" s="1">
        <v>3</v>
      </c>
      <c r="H72" s="1">
        <v>140310071</v>
      </c>
      <c r="I72" s="3"/>
      <c r="J72" s="2"/>
      <c r="L72" s="1" t="s">
        <v>404</v>
      </c>
      <c r="M72" s="14"/>
      <c r="N72" s="14"/>
      <c r="O72" s="14" t="s">
        <v>678</v>
      </c>
    </row>
    <row r="73" spans="1:15" x14ac:dyDescent="0.25">
      <c r="A73" s="1">
        <v>72</v>
      </c>
      <c r="B73" s="1">
        <v>83</v>
      </c>
      <c r="C73" s="1">
        <v>30</v>
      </c>
      <c r="D73" s="1">
        <v>3000</v>
      </c>
      <c r="E73" s="1">
        <v>300</v>
      </c>
      <c r="F73" s="1" t="s">
        <v>586</v>
      </c>
      <c r="G73" s="1">
        <v>3</v>
      </c>
      <c r="H73" s="1">
        <v>140310071</v>
      </c>
      <c r="I73" s="3"/>
      <c r="J73" s="2"/>
      <c r="L73" s="1" t="s">
        <v>586</v>
      </c>
      <c r="M73" s="14"/>
      <c r="N73" s="14"/>
      <c r="O73" s="14" t="s">
        <v>679</v>
      </c>
    </row>
    <row r="74" spans="1:15" x14ac:dyDescent="0.25">
      <c r="A74" s="1">
        <v>73</v>
      </c>
      <c r="B74" s="1">
        <v>84</v>
      </c>
      <c r="C74" s="1">
        <v>22</v>
      </c>
      <c r="D74" s="1">
        <v>3000</v>
      </c>
      <c r="E74" s="1">
        <v>300</v>
      </c>
      <c r="F74" s="1" t="s">
        <v>586</v>
      </c>
      <c r="G74" s="1">
        <v>3</v>
      </c>
      <c r="H74" s="1">
        <v>140010117</v>
      </c>
      <c r="I74" s="3"/>
      <c r="J74" s="2"/>
      <c r="L74" s="1" t="s">
        <v>586</v>
      </c>
      <c r="M74" s="14"/>
      <c r="N74" s="14"/>
      <c r="O74" s="14" t="s">
        <v>680</v>
      </c>
    </row>
    <row r="75" spans="1:15" x14ac:dyDescent="0.25">
      <c r="A75" s="1">
        <v>74</v>
      </c>
      <c r="B75" s="1">
        <v>85</v>
      </c>
      <c r="C75" s="1">
        <v>31</v>
      </c>
      <c r="D75" s="1">
        <v>2100</v>
      </c>
      <c r="E75" s="1">
        <v>300</v>
      </c>
      <c r="F75" s="1" t="s">
        <v>520</v>
      </c>
      <c r="G75" s="1">
        <v>3</v>
      </c>
      <c r="H75" s="1">
        <v>140310083</v>
      </c>
      <c r="I75" s="3"/>
      <c r="J75" s="2"/>
      <c r="L75" s="1" t="s">
        <v>520</v>
      </c>
      <c r="M75" s="14"/>
      <c r="N75" s="14"/>
      <c r="O75" s="14" t="s">
        <v>681</v>
      </c>
    </row>
    <row r="76" spans="1:15" x14ac:dyDescent="0.25">
      <c r="A76" s="1">
        <v>75</v>
      </c>
      <c r="B76" s="1">
        <v>86</v>
      </c>
      <c r="C76" s="1">
        <v>26</v>
      </c>
      <c r="D76" s="1">
        <v>2100</v>
      </c>
      <c r="E76" s="1">
        <v>300</v>
      </c>
      <c r="F76" s="1" t="s">
        <v>520</v>
      </c>
      <c r="G76" s="1">
        <v>3</v>
      </c>
      <c r="H76" s="1">
        <v>140030039</v>
      </c>
      <c r="I76" s="3"/>
      <c r="J76" s="2"/>
      <c r="L76" s="1" t="s">
        <v>520</v>
      </c>
      <c r="M76" s="14"/>
      <c r="N76" s="14"/>
      <c r="O76" s="14" t="s">
        <v>682</v>
      </c>
    </row>
    <row r="77" spans="1:15" x14ac:dyDescent="0.25">
      <c r="A77" s="1">
        <v>76</v>
      </c>
      <c r="B77" s="1">
        <v>87</v>
      </c>
      <c r="C77" s="1">
        <v>27</v>
      </c>
      <c r="D77" s="1">
        <v>2100</v>
      </c>
      <c r="E77" s="1">
        <v>300</v>
      </c>
      <c r="F77" s="1" t="s">
        <v>520</v>
      </c>
      <c r="G77" s="1">
        <v>3</v>
      </c>
      <c r="H77" s="1">
        <v>140030040</v>
      </c>
      <c r="I77" s="3"/>
      <c r="J77" s="2"/>
      <c r="L77" s="1" t="s">
        <v>520</v>
      </c>
      <c r="M77" s="14"/>
      <c r="N77" s="14"/>
      <c r="O77" s="14" t="s">
        <v>683</v>
      </c>
    </row>
    <row r="78" spans="1:15" x14ac:dyDescent="0.25">
      <c r="A78" s="1">
        <v>77</v>
      </c>
      <c r="B78" s="1">
        <v>88</v>
      </c>
      <c r="C78" s="1">
        <v>5</v>
      </c>
      <c r="D78" s="1">
        <v>3410</v>
      </c>
      <c r="E78" s="1">
        <v>300</v>
      </c>
      <c r="F78" s="1" t="s">
        <v>523</v>
      </c>
      <c r="G78" s="1">
        <v>11</v>
      </c>
      <c r="H78" s="1">
        <v>140450027</v>
      </c>
      <c r="I78" s="3"/>
      <c r="J78" s="2"/>
      <c r="L78" s="1" t="s">
        <v>523</v>
      </c>
      <c r="M78" s="14"/>
      <c r="N78" s="14"/>
      <c r="O78" s="14" t="s">
        <v>684</v>
      </c>
    </row>
    <row r="79" spans="1:15" x14ac:dyDescent="0.25">
      <c r="A79" s="1">
        <v>78</v>
      </c>
      <c r="B79" s="1">
        <v>89</v>
      </c>
      <c r="C79" s="1">
        <v>6</v>
      </c>
      <c r="D79" s="1">
        <v>808</v>
      </c>
      <c r="E79" s="1">
        <v>300</v>
      </c>
      <c r="F79" s="1" t="s">
        <v>523</v>
      </c>
      <c r="G79" s="1">
        <v>11</v>
      </c>
      <c r="H79" s="1">
        <v>140450035</v>
      </c>
      <c r="I79" s="3"/>
      <c r="J79" s="2"/>
      <c r="L79" s="1" t="s">
        <v>523</v>
      </c>
      <c r="M79" s="14"/>
      <c r="N79" s="14"/>
      <c r="O79" s="14" t="s">
        <v>685</v>
      </c>
    </row>
    <row r="80" spans="1:15" x14ac:dyDescent="0.25">
      <c r="A80" s="1">
        <v>79</v>
      </c>
      <c r="B80" s="1">
        <v>90</v>
      </c>
      <c r="C80" s="1">
        <v>18</v>
      </c>
      <c r="D80" s="1">
        <v>8000</v>
      </c>
      <c r="E80" s="1">
        <v>500</v>
      </c>
      <c r="F80" s="1" t="s">
        <v>587</v>
      </c>
      <c r="G80" s="1">
        <v>2</v>
      </c>
      <c r="H80" s="1">
        <v>141320055</v>
      </c>
      <c r="I80" s="3"/>
      <c r="J80" s="2"/>
      <c r="L80" s="1" t="s">
        <v>587</v>
      </c>
      <c r="M80" s="14"/>
      <c r="N80" s="14"/>
      <c r="O80" s="14" t="s">
        <v>686</v>
      </c>
    </row>
    <row r="81" spans="1:15" x14ac:dyDescent="0.25">
      <c r="A81" s="1">
        <v>80</v>
      </c>
      <c r="B81" s="1">
        <v>91</v>
      </c>
      <c r="C81" s="1">
        <v>17</v>
      </c>
      <c r="D81" s="1">
        <v>3000</v>
      </c>
      <c r="E81" s="1">
        <v>300</v>
      </c>
      <c r="F81" s="1" t="s">
        <v>588</v>
      </c>
      <c r="G81" s="1">
        <v>2</v>
      </c>
      <c r="H81" s="1">
        <v>140640007</v>
      </c>
      <c r="I81" s="3"/>
      <c r="J81" s="2"/>
      <c r="L81" s="1" t="s">
        <v>588</v>
      </c>
      <c r="M81" s="14"/>
      <c r="N81" s="14"/>
      <c r="O81" s="14" t="s">
        <v>687</v>
      </c>
    </row>
    <row r="82" spans="1:15" x14ac:dyDescent="0.25">
      <c r="A82" s="1">
        <v>81</v>
      </c>
      <c r="B82" s="1">
        <v>92</v>
      </c>
      <c r="C82" s="1">
        <v>31</v>
      </c>
      <c r="D82" s="1">
        <v>3000</v>
      </c>
      <c r="E82" s="1">
        <v>300</v>
      </c>
      <c r="F82" s="1" t="s">
        <v>588</v>
      </c>
      <c r="G82" s="1">
        <v>3</v>
      </c>
      <c r="H82" s="1">
        <v>140310083</v>
      </c>
      <c r="I82" s="3"/>
      <c r="J82" s="2"/>
      <c r="L82" s="1" t="s">
        <v>588</v>
      </c>
      <c r="M82" s="14"/>
      <c r="N82" s="14"/>
      <c r="O82" s="14" t="s">
        <v>688</v>
      </c>
    </row>
    <row r="83" spans="1:15" x14ac:dyDescent="0.25">
      <c r="A83" s="1">
        <v>82</v>
      </c>
      <c r="B83" s="1">
        <v>93</v>
      </c>
      <c r="C83" s="1">
        <v>27</v>
      </c>
      <c r="D83" s="1">
        <v>800</v>
      </c>
      <c r="E83" s="1">
        <v>300</v>
      </c>
      <c r="F83" s="1" t="s">
        <v>588</v>
      </c>
      <c r="G83" s="1">
        <v>3</v>
      </c>
      <c r="H83" s="1">
        <v>140030040</v>
      </c>
      <c r="I83" s="3"/>
      <c r="J83" s="2"/>
      <c r="L83" s="1" t="s">
        <v>588</v>
      </c>
      <c r="M83" s="14"/>
      <c r="N83" s="14"/>
      <c r="O83" s="14" t="s">
        <v>689</v>
      </c>
    </row>
    <row r="84" spans="1:15" x14ac:dyDescent="0.25">
      <c r="A84" s="1">
        <v>83</v>
      </c>
      <c r="B84" s="1">
        <v>94</v>
      </c>
      <c r="C84" s="1">
        <v>26</v>
      </c>
      <c r="D84" s="1">
        <v>2700</v>
      </c>
      <c r="E84" s="1">
        <v>300</v>
      </c>
      <c r="F84" s="1" t="s">
        <v>588</v>
      </c>
      <c r="G84" s="1">
        <v>3</v>
      </c>
      <c r="H84" s="1">
        <v>140030039</v>
      </c>
      <c r="I84" s="3"/>
      <c r="J84" s="2"/>
      <c r="L84" s="1" t="s">
        <v>588</v>
      </c>
      <c r="M84" s="14"/>
      <c r="N84" s="14"/>
      <c r="O84" s="14" t="s">
        <v>690</v>
      </c>
    </row>
    <row r="85" spans="1:15" x14ac:dyDescent="0.25">
      <c r="A85" s="1">
        <v>84</v>
      </c>
      <c r="B85" s="1">
        <v>95</v>
      </c>
      <c r="C85" s="1">
        <v>23</v>
      </c>
      <c r="D85" s="1">
        <v>1500</v>
      </c>
      <c r="E85" s="1">
        <v>300</v>
      </c>
      <c r="F85" s="1" t="s">
        <v>589</v>
      </c>
      <c r="G85" s="1">
        <v>3</v>
      </c>
      <c r="H85" s="1">
        <v>140010230</v>
      </c>
      <c r="I85" s="3"/>
      <c r="J85" s="2"/>
      <c r="L85" s="1" t="s">
        <v>589</v>
      </c>
      <c r="M85" s="14"/>
      <c r="N85" s="14"/>
      <c r="O85" s="14" t="s">
        <v>691</v>
      </c>
    </row>
    <row r="86" spans="1:15" x14ac:dyDescent="0.25">
      <c r="A86" s="1">
        <v>85</v>
      </c>
      <c r="B86" s="1">
        <v>96</v>
      </c>
      <c r="C86" s="1">
        <v>24</v>
      </c>
      <c r="D86" s="1">
        <v>500</v>
      </c>
      <c r="E86" s="1">
        <v>300</v>
      </c>
      <c r="F86" s="1" t="s">
        <v>589</v>
      </c>
      <c r="G86" s="1">
        <v>3</v>
      </c>
      <c r="H86" s="1">
        <v>140010255</v>
      </c>
      <c r="I86" s="3"/>
      <c r="J86" s="2"/>
      <c r="L86" s="1" t="s">
        <v>589</v>
      </c>
      <c r="M86" s="14"/>
      <c r="N86" s="14"/>
      <c r="O86" s="14" t="s">
        <v>692</v>
      </c>
    </row>
    <row r="87" spans="1:15" x14ac:dyDescent="0.25">
      <c r="A87" s="1">
        <v>86</v>
      </c>
      <c r="B87" s="1">
        <v>97</v>
      </c>
      <c r="C87" s="1">
        <v>26</v>
      </c>
      <c r="D87" s="1">
        <v>2010</v>
      </c>
      <c r="E87" s="1">
        <v>300</v>
      </c>
      <c r="F87" s="1" t="s">
        <v>589</v>
      </c>
      <c r="G87" s="1">
        <v>3</v>
      </c>
      <c r="H87" s="1">
        <v>140030039</v>
      </c>
      <c r="I87" s="3"/>
      <c r="J87" s="2">
        <v>6.7</v>
      </c>
      <c r="L87" s="1" t="s">
        <v>589</v>
      </c>
      <c r="M87" s="14"/>
      <c r="N87" s="14"/>
      <c r="O87" s="14" t="s">
        <v>693</v>
      </c>
    </row>
    <row r="88" spans="1:15" x14ac:dyDescent="0.25">
      <c r="A88" s="1">
        <v>87</v>
      </c>
      <c r="B88" s="1">
        <v>98</v>
      </c>
      <c r="C88" s="1">
        <v>30</v>
      </c>
      <c r="D88" s="1">
        <v>3000</v>
      </c>
      <c r="E88" s="1">
        <v>300</v>
      </c>
      <c r="F88" s="1" t="s">
        <v>589</v>
      </c>
      <c r="G88" s="1">
        <v>3</v>
      </c>
      <c r="H88" s="1">
        <v>140310071</v>
      </c>
      <c r="I88" s="3"/>
      <c r="J88" s="2">
        <v>11</v>
      </c>
      <c r="L88" s="1" t="s">
        <v>589</v>
      </c>
      <c r="M88" s="14"/>
      <c r="N88" s="14"/>
      <c r="O88" s="14" t="s">
        <v>694</v>
      </c>
    </row>
    <row r="89" spans="1:15" x14ac:dyDescent="0.25">
      <c r="A89" s="1">
        <v>88</v>
      </c>
      <c r="B89" s="1">
        <v>99</v>
      </c>
      <c r="C89" s="1">
        <v>31</v>
      </c>
      <c r="D89" s="1">
        <v>3000</v>
      </c>
      <c r="E89" s="1">
        <v>300</v>
      </c>
      <c r="F89" s="1" t="s">
        <v>589</v>
      </c>
      <c r="G89" s="1">
        <v>3</v>
      </c>
      <c r="H89" s="1">
        <v>140310083</v>
      </c>
      <c r="I89" s="3"/>
      <c r="J89" s="2">
        <v>11</v>
      </c>
      <c r="L89" s="1" t="s">
        <v>589</v>
      </c>
      <c r="M89" s="14"/>
      <c r="N89" s="14"/>
      <c r="O89" s="14" t="s">
        <v>695</v>
      </c>
    </row>
    <row r="90" spans="1:15" x14ac:dyDescent="0.25">
      <c r="A90" s="1">
        <v>89</v>
      </c>
      <c r="B90" s="1">
        <v>100</v>
      </c>
      <c r="C90" s="1">
        <v>23</v>
      </c>
      <c r="D90" s="1">
        <v>1500</v>
      </c>
      <c r="E90" s="1">
        <v>300</v>
      </c>
      <c r="F90" s="1" t="s">
        <v>589</v>
      </c>
      <c r="G90" s="1">
        <v>3</v>
      </c>
      <c r="H90" s="1">
        <v>140010230</v>
      </c>
      <c r="I90" s="3"/>
      <c r="J90" s="2">
        <v>6</v>
      </c>
      <c r="L90" s="1" t="s">
        <v>589</v>
      </c>
      <c r="M90" s="14"/>
      <c r="N90" s="14"/>
      <c r="O90" s="14" t="s">
        <v>696</v>
      </c>
    </row>
    <row r="91" spans="1:15" x14ac:dyDescent="0.25">
      <c r="A91" s="1">
        <v>90</v>
      </c>
      <c r="B91" s="1">
        <v>101</v>
      </c>
      <c r="C91" s="1">
        <v>18</v>
      </c>
      <c r="D91" s="1">
        <v>2653</v>
      </c>
      <c r="E91" s="1">
        <v>500</v>
      </c>
      <c r="F91" s="1" t="s">
        <v>589</v>
      </c>
      <c r="G91" s="1">
        <v>2</v>
      </c>
      <c r="H91" s="1">
        <v>141320055</v>
      </c>
      <c r="I91" s="3"/>
      <c r="J91" s="2">
        <v>6.306</v>
      </c>
      <c r="L91" s="1" t="s">
        <v>589</v>
      </c>
      <c r="M91" s="14"/>
      <c r="N91" s="14"/>
      <c r="O91" s="14" t="s">
        <v>697</v>
      </c>
    </row>
    <row r="92" spans="1:15" x14ac:dyDescent="0.25">
      <c r="A92" s="1">
        <v>91</v>
      </c>
      <c r="B92" s="1">
        <v>102</v>
      </c>
      <c r="C92" s="1">
        <v>30</v>
      </c>
      <c r="D92" s="1">
        <v>3000</v>
      </c>
      <c r="E92" s="1">
        <v>300</v>
      </c>
      <c r="F92" s="1" t="s">
        <v>521</v>
      </c>
      <c r="G92" s="1">
        <v>3</v>
      </c>
      <c r="H92" s="1">
        <v>140310071</v>
      </c>
      <c r="I92" s="3"/>
      <c r="J92" s="2"/>
      <c r="L92" s="1" t="s">
        <v>521</v>
      </c>
      <c r="M92" s="14"/>
      <c r="N92" s="14"/>
      <c r="O92" s="14" t="s">
        <v>698</v>
      </c>
    </row>
    <row r="93" spans="1:15" x14ac:dyDescent="0.25">
      <c r="A93" s="1">
        <v>92</v>
      </c>
      <c r="B93" s="1">
        <v>103</v>
      </c>
      <c r="C93" s="1">
        <v>31</v>
      </c>
      <c r="D93" s="1">
        <v>3000</v>
      </c>
      <c r="E93" s="1">
        <v>300</v>
      </c>
      <c r="F93" s="1" t="s">
        <v>521</v>
      </c>
      <c r="G93" s="1">
        <v>3</v>
      </c>
      <c r="H93" s="1">
        <v>140310083</v>
      </c>
      <c r="I93" s="3"/>
      <c r="J93" s="2"/>
      <c r="L93" s="1" t="s">
        <v>521</v>
      </c>
      <c r="M93" s="14"/>
      <c r="N93" s="14"/>
      <c r="O93" s="14" t="s">
        <v>699</v>
      </c>
    </row>
    <row r="94" spans="1:15" x14ac:dyDescent="0.25">
      <c r="A94" s="1">
        <v>93</v>
      </c>
      <c r="B94" s="1">
        <v>104</v>
      </c>
      <c r="C94" s="1">
        <v>22</v>
      </c>
      <c r="D94" s="1">
        <v>2700</v>
      </c>
      <c r="E94" s="1">
        <v>300</v>
      </c>
      <c r="F94" s="1" t="s">
        <v>527</v>
      </c>
      <c r="G94" s="1">
        <v>3</v>
      </c>
      <c r="H94" s="1">
        <v>140010117</v>
      </c>
      <c r="I94" s="3"/>
      <c r="J94" s="2"/>
      <c r="L94" s="1" t="s">
        <v>527</v>
      </c>
      <c r="M94" s="14"/>
      <c r="N94" s="14"/>
      <c r="O94" s="14" t="s">
        <v>700</v>
      </c>
    </row>
    <row r="95" spans="1:15" x14ac:dyDescent="0.25">
      <c r="A95" s="1">
        <v>94</v>
      </c>
      <c r="B95" s="1">
        <v>105</v>
      </c>
      <c r="C95" s="1">
        <v>22</v>
      </c>
      <c r="D95" s="1">
        <v>3000</v>
      </c>
      <c r="E95" s="1">
        <v>300</v>
      </c>
      <c r="F95" s="1" t="s">
        <v>527</v>
      </c>
      <c r="G95" s="1">
        <v>3</v>
      </c>
      <c r="H95" s="1">
        <v>140010117</v>
      </c>
      <c r="I95" s="3"/>
      <c r="J95" s="2"/>
      <c r="L95" s="1" t="s">
        <v>527</v>
      </c>
      <c r="M95" s="14"/>
      <c r="N95" s="14"/>
      <c r="O95" s="14" t="s">
        <v>701</v>
      </c>
    </row>
    <row r="96" spans="1:15" x14ac:dyDescent="0.25">
      <c r="A96" s="1">
        <v>95</v>
      </c>
      <c r="B96" s="1">
        <v>106</v>
      </c>
      <c r="C96" s="1">
        <v>18</v>
      </c>
      <c r="D96" s="1">
        <v>5000</v>
      </c>
      <c r="E96" s="1">
        <v>500</v>
      </c>
      <c r="F96" s="1" t="s">
        <v>590</v>
      </c>
      <c r="G96" s="1">
        <v>2</v>
      </c>
      <c r="H96" s="1">
        <v>141320055</v>
      </c>
      <c r="I96" s="3"/>
      <c r="J96" s="2"/>
      <c r="L96" s="1" t="s">
        <v>590</v>
      </c>
      <c r="M96" s="14"/>
      <c r="N96" s="14"/>
      <c r="O96" s="14" t="s">
        <v>702</v>
      </c>
    </row>
    <row r="97" spans="1:15" x14ac:dyDescent="0.25">
      <c r="A97" s="1">
        <v>96</v>
      </c>
      <c r="B97" s="1">
        <v>107</v>
      </c>
      <c r="C97" s="1">
        <v>31</v>
      </c>
      <c r="D97" s="1">
        <v>3000</v>
      </c>
      <c r="E97" s="1">
        <v>300</v>
      </c>
      <c r="F97" s="1" t="s">
        <v>590</v>
      </c>
      <c r="G97" s="1">
        <v>3</v>
      </c>
      <c r="H97" s="1">
        <v>140310083</v>
      </c>
      <c r="I97" s="3"/>
      <c r="J97" s="2"/>
      <c r="L97" s="1" t="s">
        <v>590</v>
      </c>
      <c r="M97" s="14"/>
      <c r="N97" s="14"/>
      <c r="O97" s="14" t="s">
        <v>703</v>
      </c>
    </row>
    <row r="98" spans="1:15" x14ac:dyDescent="0.25">
      <c r="A98" s="1">
        <v>97</v>
      </c>
      <c r="B98" s="1">
        <v>108</v>
      </c>
      <c r="C98" s="1">
        <v>17</v>
      </c>
      <c r="D98" s="1">
        <v>1500</v>
      </c>
      <c r="E98" s="1">
        <v>300</v>
      </c>
      <c r="F98" s="1" t="s">
        <v>590</v>
      </c>
      <c r="G98" s="1">
        <v>2</v>
      </c>
      <c r="H98" s="1">
        <v>140640007</v>
      </c>
      <c r="I98" s="3"/>
      <c r="J98" s="2"/>
      <c r="L98" s="1" t="s">
        <v>590</v>
      </c>
      <c r="M98" s="14"/>
      <c r="N98" s="14"/>
      <c r="O98" s="14" t="s">
        <v>704</v>
      </c>
    </row>
    <row r="99" spans="1:15" x14ac:dyDescent="0.25">
      <c r="A99" s="1">
        <v>98</v>
      </c>
      <c r="B99" s="1">
        <v>109</v>
      </c>
      <c r="C99" s="1">
        <v>30</v>
      </c>
      <c r="D99" s="1">
        <v>6000</v>
      </c>
      <c r="E99" s="1">
        <v>300</v>
      </c>
      <c r="F99" s="1" t="s">
        <v>532</v>
      </c>
      <c r="G99" s="1">
        <v>3</v>
      </c>
      <c r="H99" s="1">
        <v>140310071</v>
      </c>
      <c r="I99" s="3"/>
      <c r="J99" s="2"/>
      <c r="L99" s="1" t="s">
        <v>532</v>
      </c>
      <c r="M99" s="14"/>
      <c r="N99" s="14"/>
      <c r="O99" s="14" t="s">
        <v>705</v>
      </c>
    </row>
    <row r="100" spans="1:15" x14ac:dyDescent="0.25">
      <c r="A100" s="1">
        <v>99</v>
      </c>
      <c r="B100" s="1">
        <v>110</v>
      </c>
      <c r="C100" s="1">
        <v>17</v>
      </c>
      <c r="D100" s="1">
        <v>1500</v>
      </c>
      <c r="E100" s="1">
        <v>300</v>
      </c>
      <c r="F100" s="1" t="s">
        <v>532</v>
      </c>
      <c r="G100" s="1">
        <v>2</v>
      </c>
      <c r="H100" s="1">
        <v>140640007</v>
      </c>
      <c r="I100" s="3"/>
      <c r="J100" s="2"/>
      <c r="L100" s="1" t="s">
        <v>532</v>
      </c>
      <c r="M100" s="14"/>
      <c r="N100" s="14"/>
      <c r="O100" s="14" t="s">
        <v>706</v>
      </c>
    </row>
    <row r="101" spans="1:15" x14ac:dyDescent="0.25">
      <c r="A101" s="1">
        <v>100</v>
      </c>
      <c r="B101" s="1">
        <v>111</v>
      </c>
      <c r="C101" s="1">
        <v>30</v>
      </c>
      <c r="D101" s="1">
        <v>3000</v>
      </c>
      <c r="E101" s="1">
        <v>300</v>
      </c>
      <c r="F101" s="1" t="s">
        <v>537</v>
      </c>
      <c r="G101" s="1">
        <v>3</v>
      </c>
      <c r="H101" s="1">
        <v>140310071</v>
      </c>
      <c r="I101" s="3"/>
      <c r="J101" s="2"/>
      <c r="L101" s="1" t="s">
        <v>537</v>
      </c>
      <c r="M101" s="14"/>
      <c r="N101" s="14"/>
      <c r="O101" s="14" t="s">
        <v>707</v>
      </c>
    </row>
    <row r="102" spans="1:15" x14ac:dyDescent="0.25">
      <c r="A102" s="1">
        <v>101</v>
      </c>
      <c r="B102" s="1">
        <v>112</v>
      </c>
      <c r="C102" s="1">
        <v>17</v>
      </c>
      <c r="D102" s="1">
        <v>1500</v>
      </c>
      <c r="E102" s="1">
        <v>300</v>
      </c>
      <c r="F102" s="1" t="s">
        <v>528</v>
      </c>
      <c r="G102" s="1">
        <v>2</v>
      </c>
      <c r="H102" s="1">
        <v>140640007</v>
      </c>
      <c r="I102" s="3"/>
      <c r="J102" s="2"/>
      <c r="L102" s="1" t="s">
        <v>528</v>
      </c>
      <c r="M102" s="14"/>
      <c r="N102" s="14"/>
      <c r="O102" s="14" t="s">
        <v>708</v>
      </c>
    </row>
    <row r="103" spans="1:15" x14ac:dyDescent="0.25">
      <c r="A103" s="1">
        <v>102</v>
      </c>
      <c r="B103" s="1">
        <v>113</v>
      </c>
      <c r="C103" s="1">
        <v>18</v>
      </c>
      <c r="D103" s="1">
        <v>5000</v>
      </c>
      <c r="E103" s="1">
        <v>500</v>
      </c>
      <c r="F103" s="1" t="s">
        <v>587</v>
      </c>
      <c r="G103" s="1">
        <v>2</v>
      </c>
      <c r="H103" s="1">
        <v>141320055</v>
      </c>
      <c r="I103" s="3"/>
      <c r="J103" s="2"/>
      <c r="L103" s="1" t="s">
        <v>587</v>
      </c>
      <c r="M103" s="14"/>
      <c r="N103" s="14"/>
      <c r="O103" s="14" t="s">
        <v>709</v>
      </c>
    </row>
    <row r="104" spans="1:15" x14ac:dyDescent="0.25">
      <c r="A104" s="1">
        <v>103</v>
      </c>
      <c r="B104" s="1">
        <v>114</v>
      </c>
      <c r="C104" s="1">
        <v>17</v>
      </c>
      <c r="D104" s="1">
        <v>1500</v>
      </c>
      <c r="E104" s="1">
        <v>300</v>
      </c>
      <c r="F104" s="1" t="s">
        <v>528</v>
      </c>
      <c r="G104" s="1">
        <v>2</v>
      </c>
      <c r="H104" s="1">
        <v>140640007</v>
      </c>
      <c r="I104" s="3"/>
      <c r="J104" s="2"/>
      <c r="L104" s="1" t="s">
        <v>528</v>
      </c>
      <c r="M104" s="14"/>
      <c r="N104" s="14"/>
      <c r="O104" s="14" t="s">
        <v>710</v>
      </c>
    </row>
    <row r="105" spans="1:15" x14ac:dyDescent="0.25">
      <c r="A105" s="1">
        <v>104</v>
      </c>
      <c r="B105" s="1">
        <v>115</v>
      </c>
      <c r="C105" s="1">
        <v>18</v>
      </c>
      <c r="D105" s="1">
        <v>3000</v>
      </c>
      <c r="E105" s="1">
        <v>500</v>
      </c>
      <c r="F105" s="1" t="s">
        <v>591</v>
      </c>
      <c r="G105" s="1">
        <v>2</v>
      </c>
      <c r="H105" s="1">
        <v>141320055</v>
      </c>
      <c r="I105" s="3"/>
      <c r="J105" s="2"/>
      <c r="L105" s="1" t="s">
        <v>591</v>
      </c>
      <c r="M105" s="14"/>
      <c r="N105" s="14"/>
      <c r="O105" s="14" t="s">
        <v>711</v>
      </c>
    </row>
    <row r="106" spans="1:15" x14ac:dyDescent="0.25">
      <c r="A106" s="1">
        <v>105</v>
      </c>
      <c r="B106" s="1">
        <v>116</v>
      </c>
      <c r="C106" s="1">
        <v>30</v>
      </c>
      <c r="D106" s="1">
        <v>6000</v>
      </c>
      <c r="E106" s="1">
        <v>300</v>
      </c>
      <c r="F106" s="1" t="s">
        <v>529</v>
      </c>
      <c r="G106" s="1">
        <v>3</v>
      </c>
      <c r="H106" s="1">
        <v>140310071</v>
      </c>
      <c r="I106" s="3"/>
      <c r="J106" s="2"/>
      <c r="L106" s="1" t="s">
        <v>529</v>
      </c>
      <c r="M106" s="14"/>
      <c r="N106" s="14"/>
      <c r="O106" s="14" t="s">
        <v>712</v>
      </c>
    </row>
    <row r="107" spans="1:15" x14ac:dyDescent="0.25">
      <c r="A107" s="1">
        <v>106</v>
      </c>
      <c r="B107" s="1">
        <v>117</v>
      </c>
      <c r="C107" s="1">
        <v>38</v>
      </c>
      <c r="D107" s="1">
        <v>2000</v>
      </c>
      <c r="E107" s="1">
        <v>300</v>
      </c>
      <c r="F107" s="1" t="s">
        <v>591</v>
      </c>
      <c r="G107" s="1">
        <v>4</v>
      </c>
      <c r="H107" s="1">
        <v>140010117</v>
      </c>
      <c r="I107" s="3"/>
      <c r="J107" s="2"/>
      <c r="L107" s="1" t="s">
        <v>591</v>
      </c>
      <c r="M107" s="14"/>
      <c r="N107" s="14"/>
      <c r="O107" s="14" t="s">
        <v>713</v>
      </c>
    </row>
    <row r="108" spans="1:15" x14ac:dyDescent="0.25">
      <c r="A108" s="1">
        <v>107</v>
      </c>
      <c r="B108" s="1">
        <v>119</v>
      </c>
      <c r="C108" s="1">
        <v>39</v>
      </c>
      <c r="D108" s="1">
        <v>300</v>
      </c>
      <c r="E108" s="1">
        <v>300</v>
      </c>
      <c r="F108" s="1" t="s">
        <v>591</v>
      </c>
      <c r="G108" s="1">
        <v>4</v>
      </c>
      <c r="H108" s="1">
        <v>140010230</v>
      </c>
      <c r="I108" s="3"/>
      <c r="J108" s="2"/>
      <c r="L108" s="1" t="s">
        <v>591</v>
      </c>
      <c r="M108" s="14"/>
      <c r="N108" s="14"/>
      <c r="O108" s="14" t="s">
        <v>714</v>
      </c>
    </row>
    <row r="109" spans="1:15" x14ac:dyDescent="0.25">
      <c r="A109" s="1">
        <v>108</v>
      </c>
      <c r="B109" s="1">
        <v>120</v>
      </c>
      <c r="C109" s="1">
        <v>30</v>
      </c>
      <c r="D109" s="1">
        <v>6000</v>
      </c>
      <c r="E109" s="1">
        <v>300</v>
      </c>
      <c r="F109" s="1" t="s">
        <v>591</v>
      </c>
      <c r="G109" s="1">
        <v>3</v>
      </c>
      <c r="H109" s="1">
        <v>140310071</v>
      </c>
      <c r="I109" s="3"/>
      <c r="J109" s="2"/>
      <c r="L109" s="1" t="s">
        <v>591</v>
      </c>
      <c r="M109" s="14"/>
      <c r="N109" s="14"/>
      <c r="O109" s="14" t="s">
        <v>715</v>
      </c>
    </row>
    <row r="110" spans="1:15" x14ac:dyDescent="0.25">
      <c r="A110" s="1">
        <v>109</v>
      </c>
      <c r="B110" s="1">
        <v>121</v>
      </c>
      <c r="C110" s="1">
        <v>39</v>
      </c>
      <c r="D110" s="1">
        <v>3000</v>
      </c>
      <c r="E110" s="1">
        <v>300</v>
      </c>
      <c r="F110" s="1" t="s">
        <v>591</v>
      </c>
      <c r="G110" s="1">
        <v>4</v>
      </c>
      <c r="H110" s="1">
        <v>140010230</v>
      </c>
      <c r="I110" s="3"/>
      <c r="J110" s="2"/>
      <c r="L110" s="1" t="s">
        <v>591</v>
      </c>
      <c r="M110" s="14"/>
      <c r="N110" s="14"/>
      <c r="O110" s="14" t="s">
        <v>716</v>
      </c>
    </row>
    <row r="111" spans="1:15" x14ac:dyDescent="0.25">
      <c r="A111" s="1">
        <v>110</v>
      </c>
      <c r="B111" s="1">
        <v>122</v>
      </c>
      <c r="C111" s="1">
        <v>17</v>
      </c>
      <c r="D111" s="1">
        <v>3000</v>
      </c>
      <c r="E111" s="1">
        <v>300</v>
      </c>
      <c r="F111" s="1" t="s">
        <v>591</v>
      </c>
      <c r="G111" s="1">
        <v>2</v>
      </c>
      <c r="H111" s="1">
        <v>140640007</v>
      </c>
      <c r="I111" s="3"/>
      <c r="J111" s="2"/>
      <c r="L111" s="1" t="s">
        <v>591</v>
      </c>
      <c r="M111" s="14"/>
      <c r="N111" s="14"/>
      <c r="O111" s="14" t="s">
        <v>717</v>
      </c>
    </row>
    <row r="112" spans="1:15" x14ac:dyDescent="0.25">
      <c r="A112" s="1">
        <v>111</v>
      </c>
      <c r="B112" s="1">
        <v>123</v>
      </c>
      <c r="C112" s="1">
        <v>41</v>
      </c>
      <c r="D112" s="1">
        <v>3000</v>
      </c>
      <c r="E112" s="1">
        <v>300</v>
      </c>
      <c r="F112" s="1" t="s">
        <v>544</v>
      </c>
      <c r="G112" s="1">
        <v>4</v>
      </c>
      <c r="H112" s="1">
        <v>140030039</v>
      </c>
      <c r="I112" s="3"/>
      <c r="J112" s="2"/>
      <c r="L112" s="1" t="s">
        <v>544</v>
      </c>
      <c r="M112" s="14"/>
      <c r="N112" s="14"/>
      <c r="O112" s="14" t="s">
        <v>717</v>
      </c>
    </row>
    <row r="113" spans="1:15" x14ac:dyDescent="0.25">
      <c r="A113" s="1">
        <v>112</v>
      </c>
      <c r="B113" s="1">
        <v>124</v>
      </c>
      <c r="C113" s="1">
        <v>42</v>
      </c>
      <c r="D113" s="1">
        <v>3000</v>
      </c>
      <c r="E113" s="1">
        <v>300</v>
      </c>
      <c r="F113" s="1" t="s">
        <v>544</v>
      </c>
      <c r="G113" s="1">
        <v>4</v>
      </c>
      <c r="H113" s="1">
        <v>140030040</v>
      </c>
      <c r="I113" s="3"/>
      <c r="J113" s="2"/>
      <c r="L113" s="1" t="s">
        <v>544</v>
      </c>
      <c r="M113" s="14"/>
      <c r="N113" s="14"/>
      <c r="O113" s="14" t="s">
        <v>718</v>
      </c>
    </row>
    <row r="114" spans="1:15" x14ac:dyDescent="0.25">
      <c r="A114" s="1">
        <v>113</v>
      </c>
      <c r="B114" s="1">
        <v>125</v>
      </c>
      <c r="C114" s="1">
        <v>4</v>
      </c>
      <c r="D114" s="1">
        <v>2000</v>
      </c>
      <c r="E114" s="1">
        <v>300</v>
      </c>
      <c r="F114" s="1" t="s">
        <v>592</v>
      </c>
      <c r="G114" s="1">
        <v>10</v>
      </c>
      <c r="H114" s="1">
        <v>140550019</v>
      </c>
      <c r="I114" s="3"/>
      <c r="J114" s="2"/>
      <c r="L114" s="1" t="s">
        <v>592</v>
      </c>
      <c r="M114" s="14"/>
      <c r="N114" s="14"/>
      <c r="O114" s="14" t="s">
        <v>719</v>
      </c>
    </row>
    <row r="115" spans="1:15" x14ac:dyDescent="0.25">
      <c r="A115" s="1">
        <v>114</v>
      </c>
      <c r="B115" s="1">
        <v>126</v>
      </c>
      <c r="C115" s="1">
        <v>30</v>
      </c>
      <c r="D115" s="1">
        <v>5000</v>
      </c>
      <c r="E115" s="1">
        <v>300</v>
      </c>
      <c r="F115" s="1" t="s">
        <v>592</v>
      </c>
      <c r="G115" s="1">
        <v>3</v>
      </c>
      <c r="H115" s="1">
        <v>140310071</v>
      </c>
      <c r="I115" s="3"/>
      <c r="J115" s="2"/>
      <c r="L115" s="1" t="s">
        <v>592</v>
      </c>
      <c r="M115" s="14"/>
      <c r="N115" s="14"/>
      <c r="O115" s="14" t="s">
        <v>720</v>
      </c>
    </row>
    <row r="116" spans="1:15" x14ac:dyDescent="0.25">
      <c r="A116" s="1">
        <v>115</v>
      </c>
      <c r="B116" s="1">
        <v>127</v>
      </c>
      <c r="C116" s="1">
        <v>42</v>
      </c>
      <c r="D116" s="1">
        <v>3300</v>
      </c>
      <c r="E116" s="1">
        <v>300</v>
      </c>
      <c r="F116" s="1" t="s">
        <v>592</v>
      </c>
      <c r="G116" s="1">
        <v>4</v>
      </c>
      <c r="H116" s="1">
        <v>140030040</v>
      </c>
      <c r="I116" s="3"/>
      <c r="J116" s="2"/>
      <c r="L116" s="1" t="s">
        <v>592</v>
      </c>
      <c r="M116" s="14"/>
      <c r="N116" s="14"/>
      <c r="O116" s="14" t="s">
        <v>721</v>
      </c>
    </row>
    <row r="117" spans="1:15" x14ac:dyDescent="0.25">
      <c r="A117" s="1">
        <v>116</v>
      </c>
      <c r="B117" s="1">
        <v>128</v>
      </c>
      <c r="C117" s="1">
        <v>4</v>
      </c>
      <c r="D117" s="1">
        <v>6870</v>
      </c>
      <c r="E117" s="1">
        <v>300</v>
      </c>
      <c r="F117" s="1" t="s">
        <v>548</v>
      </c>
      <c r="G117" s="1">
        <v>10</v>
      </c>
      <c r="H117" s="1">
        <v>140550019</v>
      </c>
      <c r="I117" s="3"/>
      <c r="J117" s="2"/>
      <c r="L117" s="1" t="s">
        <v>548</v>
      </c>
      <c r="M117" s="14"/>
      <c r="N117" s="14"/>
      <c r="O117" s="14" t="s">
        <v>722</v>
      </c>
    </row>
    <row r="118" spans="1:15" x14ac:dyDescent="0.25">
      <c r="A118" s="1">
        <v>117</v>
      </c>
      <c r="B118" s="1">
        <v>129</v>
      </c>
      <c r="C118" s="1">
        <v>34</v>
      </c>
      <c r="D118" s="1">
        <v>6000</v>
      </c>
      <c r="E118" s="1">
        <v>500</v>
      </c>
      <c r="F118" s="1" t="s">
        <v>548</v>
      </c>
      <c r="G118" s="1">
        <v>3</v>
      </c>
      <c r="H118" s="1">
        <v>141320055</v>
      </c>
      <c r="I118" s="3"/>
      <c r="J118" s="2"/>
      <c r="L118" s="1" t="s">
        <v>548</v>
      </c>
      <c r="M118" s="14"/>
      <c r="N118" s="14"/>
      <c r="O118" s="14" t="s">
        <v>790</v>
      </c>
    </row>
    <row r="119" spans="1:15" x14ac:dyDescent="0.25">
      <c r="A119" s="1">
        <v>118</v>
      </c>
      <c r="B119" s="1">
        <v>129.5</v>
      </c>
      <c r="C119" s="1">
        <v>18</v>
      </c>
      <c r="D119" s="1">
        <v>2000</v>
      </c>
      <c r="E119" s="1">
        <v>500</v>
      </c>
      <c r="F119" s="1" t="s">
        <v>548</v>
      </c>
      <c r="G119" s="1">
        <v>2</v>
      </c>
      <c r="H119" s="1">
        <v>141320055</v>
      </c>
      <c r="I119" s="3"/>
      <c r="J119" s="2"/>
      <c r="L119" s="1" t="s">
        <v>548</v>
      </c>
      <c r="M119" s="14"/>
      <c r="N119" s="14"/>
      <c r="O119" s="14" t="s">
        <v>791</v>
      </c>
    </row>
    <row r="120" spans="1:15" x14ac:dyDescent="0.25">
      <c r="A120" s="1">
        <v>119</v>
      </c>
      <c r="B120" s="1">
        <v>130</v>
      </c>
      <c r="C120" s="1">
        <v>17</v>
      </c>
      <c r="D120" s="1">
        <v>3005</v>
      </c>
      <c r="E120" s="1">
        <v>300</v>
      </c>
      <c r="F120" s="1" t="s">
        <v>593</v>
      </c>
      <c r="G120" s="1">
        <v>2</v>
      </c>
      <c r="H120" s="1">
        <v>140640007</v>
      </c>
      <c r="I120" s="3"/>
      <c r="J120" s="2"/>
      <c r="L120" s="1" t="s">
        <v>593</v>
      </c>
      <c r="M120" s="14"/>
      <c r="N120" s="14"/>
      <c r="O120" s="14" t="s">
        <v>723</v>
      </c>
    </row>
    <row r="121" spans="1:15" x14ac:dyDescent="0.25">
      <c r="A121" s="1">
        <v>120</v>
      </c>
      <c r="B121" s="1">
        <v>131</v>
      </c>
      <c r="C121" s="1">
        <v>41</v>
      </c>
      <c r="D121" s="1">
        <v>2200</v>
      </c>
      <c r="E121" s="1">
        <v>300</v>
      </c>
      <c r="F121" s="1" t="s">
        <v>593</v>
      </c>
      <c r="G121" s="1">
        <v>4</v>
      </c>
      <c r="H121" s="1">
        <v>140030039</v>
      </c>
      <c r="I121" s="3"/>
      <c r="J121" s="2"/>
      <c r="L121" s="1" t="s">
        <v>593</v>
      </c>
      <c r="M121" s="14"/>
      <c r="N121" s="14"/>
      <c r="O121" s="14" t="s">
        <v>724</v>
      </c>
    </row>
    <row r="122" spans="1:15" x14ac:dyDescent="0.25">
      <c r="A122" s="1">
        <v>121</v>
      </c>
      <c r="B122" s="1">
        <v>132</v>
      </c>
      <c r="C122" s="1">
        <v>31</v>
      </c>
      <c r="D122" s="1">
        <v>6000</v>
      </c>
      <c r="E122" s="1">
        <v>300</v>
      </c>
      <c r="F122" s="1" t="s">
        <v>594</v>
      </c>
      <c r="G122" s="1">
        <v>3</v>
      </c>
      <c r="H122" s="1">
        <v>140310083</v>
      </c>
      <c r="I122" s="3"/>
      <c r="J122" s="2"/>
      <c r="L122" s="1" t="s">
        <v>594</v>
      </c>
      <c r="M122" s="14"/>
      <c r="N122" s="14"/>
      <c r="O122" s="14" t="s">
        <v>725</v>
      </c>
    </row>
    <row r="123" spans="1:15" x14ac:dyDescent="0.25">
      <c r="A123" s="1">
        <v>122</v>
      </c>
      <c r="B123" s="1">
        <v>133</v>
      </c>
      <c r="C123" s="1">
        <v>33</v>
      </c>
      <c r="D123" s="1">
        <v>3000</v>
      </c>
      <c r="E123" s="1">
        <v>500</v>
      </c>
      <c r="F123" s="1" t="s">
        <v>594</v>
      </c>
      <c r="G123" s="1">
        <v>3</v>
      </c>
      <c r="H123" s="1">
        <v>140530039</v>
      </c>
      <c r="I123" s="3"/>
      <c r="J123" s="2"/>
      <c r="L123" s="1" t="s">
        <v>594</v>
      </c>
      <c r="M123" s="14"/>
      <c r="N123" s="14"/>
      <c r="O123" s="14" t="s">
        <v>726</v>
      </c>
    </row>
    <row r="124" spans="1:15" x14ac:dyDescent="0.25">
      <c r="A124" s="1">
        <v>123</v>
      </c>
      <c r="B124" s="1">
        <v>134</v>
      </c>
      <c r="C124" s="1">
        <v>45</v>
      </c>
      <c r="D124" s="1">
        <v>500</v>
      </c>
      <c r="E124" s="1">
        <v>500</v>
      </c>
      <c r="F124" s="1" t="s">
        <v>594</v>
      </c>
      <c r="G124" s="1">
        <v>4</v>
      </c>
      <c r="H124" s="1">
        <v>140450047</v>
      </c>
      <c r="I124" s="3"/>
      <c r="J124" s="2"/>
      <c r="L124" s="1" t="s">
        <v>594</v>
      </c>
      <c r="M124" s="14"/>
      <c r="N124" s="14"/>
      <c r="O124" s="14" t="s">
        <v>727</v>
      </c>
    </row>
    <row r="125" spans="1:15" x14ac:dyDescent="0.25">
      <c r="A125" s="1">
        <v>124</v>
      </c>
      <c r="B125" s="1">
        <v>135</v>
      </c>
      <c r="C125" s="1">
        <v>31</v>
      </c>
      <c r="D125" s="1">
        <v>1500</v>
      </c>
      <c r="E125" s="1">
        <v>300</v>
      </c>
      <c r="F125" s="1" t="s">
        <v>595</v>
      </c>
      <c r="G125" s="1">
        <v>3</v>
      </c>
      <c r="H125" s="1">
        <v>140310083</v>
      </c>
      <c r="I125" s="3"/>
      <c r="J125" s="2"/>
      <c r="L125" s="1" t="s">
        <v>595</v>
      </c>
      <c r="M125" s="14"/>
      <c r="N125" s="14"/>
      <c r="O125" s="14" t="s">
        <v>728</v>
      </c>
    </row>
    <row r="126" spans="1:15" x14ac:dyDescent="0.25">
      <c r="A126" s="1">
        <v>125</v>
      </c>
      <c r="B126" s="1">
        <v>136</v>
      </c>
      <c r="C126" s="1">
        <v>30</v>
      </c>
      <c r="D126" s="1">
        <v>6000</v>
      </c>
      <c r="E126" s="1">
        <v>300</v>
      </c>
      <c r="F126" s="1" t="s">
        <v>596</v>
      </c>
      <c r="G126" s="1">
        <v>3</v>
      </c>
      <c r="H126" s="1">
        <v>140310071</v>
      </c>
      <c r="I126" s="3"/>
      <c r="J126" s="2"/>
      <c r="L126" s="1" t="s">
        <v>596</v>
      </c>
      <c r="M126" s="14"/>
      <c r="N126" s="14"/>
      <c r="O126" s="14" t="s">
        <v>729</v>
      </c>
    </row>
    <row r="127" spans="1:15" x14ac:dyDescent="0.25">
      <c r="A127" s="1">
        <v>126</v>
      </c>
      <c r="B127" s="1">
        <v>137</v>
      </c>
      <c r="C127" s="1">
        <v>34</v>
      </c>
      <c r="D127" s="1">
        <v>5000</v>
      </c>
      <c r="E127" s="1">
        <v>500</v>
      </c>
      <c r="F127" s="1" t="s">
        <v>596</v>
      </c>
      <c r="G127" s="1">
        <v>3</v>
      </c>
      <c r="H127" s="1">
        <v>141320055</v>
      </c>
      <c r="I127" s="3"/>
      <c r="J127" s="2"/>
      <c r="L127" s="1" t="s">
        <v>596</v>
      </c>
      <c r="M127" s="14"/>
      <c r="N127" s="14"/>
      <c r="O127" s="14" t="s">
        <v>730</v>
      </c>
    </row>
    <row r="128" spans="1:15" x14ac:dyDescent="0.25">
      <c r="A128" s="1">
        <v>127</v>
      </c>
      <c r="B128" s="1">
        <v>139</v>
      </c>
      <c r="C128" s="1">
        <v>43</v>
      </c>
      <c r="D128" s="1">
        <v>3000</v>
      </c>
      <c r="E128" s="1">
        <v>300</v>
      </c>
      <c r="F128" s="1" t="s">
        <v>597</v>
      </c>
      <c r="G128" s="1">
        <v>4</v>
      </c>
      <c r="H128" s="1">
        <v>140310007</v>
      </c>
      <c r="I128" s="3"/>
      <c r="J128" s="2"/>
      <c r="L128" s="1" t="s">
        <v>597</v>
      </c>
      <c r="M128" s="14"/>
      <c r="N128" s="14"/>
      <c r="O128" s="14" t="s">
        <v>731</v>
      </c>
    </row>
    <row r="129" spans="1:15" x14ac:dyDescent="0.25">
      <c r="A129" s="1">
        <v>128</v>
      </c>
      <c r="B129" s="1">
        <v>141</v>
      </c>
      <c r="C129" s="1">
        <v>34</v>
      </c>
      <c r="D129" s="1">
        <v>4000</v>
      </c>
      <c r="E129" s="1">
        <v>500</v>
      </c>
      <c r="F129" s="1" t="s">
        <v>599</v>
      </c>
      <c r="G129" s="1">
        <v>3</v>
      </c>
      <c r="H129" s="1">
        <v>141320055</v>
      </c>
      <c r="I129" s="3"/>
      <c r="J129" s="2"/>
      <c r="L129" s="1" t="s">
        <v>599</v>
      </c>
      <c r="M129" s="14"/>
      <c r="N129" s="14"/>
      <c r="O129" s="14" t="s">
        <v>732</v>
      </c>
    </row>
    <row r="130" spans="1:15" x14ac:dyDescent="0.25">
      <c r="A130" s="1">
        <v>129</v>
      </c>
      <c r="B130" s="1">
        <v>142</v>
      </c>
      <c r="C130" s="1">
        <v>39</v>
      </c>
      <c r="D130" s="1">
        <v>5700</v>
      </c>
      <c r="E130" s="1">
        <v>300</v>
      </c>
      <c r="F130" s="1" t="s">
        <v>599</v>
      </c>
      <c r="G130" s="1">
        <v>4</v>
      </c>
      <c r="H130" s="1">
        <v>140010230</v>
      </c>
      <c r="I130" s="3"/>
      <c r="J130" s="2"/>
      <c r="L130" s="1" t="s">
        <v>599</v>
      </c>
      <c r="M130" s="14"/>
      <c r="N130" s="14"/>
      <c r="O130" s="14" t="s">
        <v>733</v>
      </c>
    </row>
    <row r="131" spans="1:15" x14ac:dyDescent="0.25">
      <c r="A131" s="1">
        <v>130</v>
      </c>
      <c r="B131" s="1">
        <v>143</v>
      </c>
      <c r="C131" s="1">
        <v>43</v>
      </c>
      <c r="D131" s="1">
        <v>7000</v>
      </c>
      <c r="E131" s="1">
        <v>300</v>
      </c>
      <c r="F131" s="1" t="s">
        <v>600</v>
      </c>
      <c r="G131" s="1">
        <v>4</v>
      </c>
      <c r="H131" s="1">
        <v>140310007</v>
      </c>
      <c r="I131" s="3"/>
      <c r="J131" s="2"/>
      <c r="L131" s="1" t="s">
        <v>600</v>
      </c>
      <c r="M131" s="14"/>
      <c r="N131" s="14"/>
      <c r="O131" s="14" t="s">
        <v>734</v>
      </c>
    </row>
    <row r="132" spans="1:15" x14ac:dyDescent="0.25">
      <c r="A132" s="1">
        <v>131</v>
      </c>
      <c r="B132" s="1">
        <v>144</v>
      </c>
      <c r="C132" s="1">
        <v>45</v>
      </c>
      <c r="D132" s="1">
        <v>50</v>
      </c>
      <c r="E132" s="1">
        <v>300</v>
      </c>
      <c r="F132" s="1" t="s">
        <v>409</v>
      </c>
      <c r="G132" s="1">
        <v>4</v>
      </c>
      <c r="H132" s="1">
        <v>140450047</v>
      </c>
      <c r="I132" s="3"/>
      <c r="J132" s="2"/>
      <c r="L132" s="1" t="s">
        <v>409</v>
      </c>
      <c r="M132" s="14"/>
      <c r="N132" s="14"/>
      <c r="O132" s="14">
        <v>51.659722222222221</v>
      </c>
    </row>
    <row r="133" spans="1:15" x14ac:dyDescent="0.25">
      <c r="A133" s="1">
        <v>132</v>
      </c>
      <c r="B133" s="1">
        <v>145</v>
      </c>
      <c r="C133" s="1">
        <v>33</v>
      </c>
      <c r="D133" s="1">
        <v>7000</v>
      </c>
      <c r="E133" s="1">
        <v>500</v>
      </c>
      <c r="F133" s="1" t="s">
        <v>409</v>
      </c>
      <c r="G133" s="1">
        <v>3</v>
      </c>
      <c r="H133" s="1">
        <v>140530039</v>
      </c>
      <c r="I133" s="3"/>
      <c r="J133" s="2"/>
      <c r="L133" s="1" t="s">
        <v>409</v>
      </c>
      <c r="M133" s="14"/>
      <c r="N133" s="14"/>
      <c r="O133" s="14" t="s">
        <v>735</v>
      </c>
    </row>
    <row r="134" spans="1:15" x14ac:dyDescent="0.25">
      <c r="A134" s="1">
        <v>133</v>
      </c>
      <c r="B134" s="1">
        <v>147</v>
      </c>
      <c r="C134" s="1">
        <v>44</v>
      </c>
      <c r="D134" s="1">
        <v>1500</v>
      </c>
      <c r="E134" s="1">
        <v>300</v>
      </c>
      <c r="F134" s="1" t="s">
        <v>602</v>
      </c>
      <c r="G134" s="1">
        <v>4</v>
      </c>
      <c r="H134" s="1">
        <v>140310031</v>
      </c>
      <c r="I134" s="3"/>
      <c r="J134" s="2"/>
      <c r="L134" s="1" t="s">
        <v>602</v>
      </c>
      <c r="M134" s="14"/>
      <c r="N134" s="14"/>
      <c r="O134" s="14" t="s">
        <v>736</v>
      </c>
    </row>
    <row r="135" spans="1:15" x14ac:dyDescent="0.25">
      <c r="A135" s="1">
        <v>134</v>
      </c>
      <c r="B135" s="1">
        <v>148</v>
      </c>
      <c r="C135" s="1">
        <v>43</v>
      </c>
      <c r="D135" s="1">
        <v>6000</v>
      </c>
      <c r="E135" s="1">
        <v>300</v>
      </c>
      <c r="F135" s="1" t="s">
        <v>603</v>
      </c>
      <c r="G135" s="1">
        <v>4</v>
      </c>
      <c r="H135" s="1">
        <v>140310007</v>
      </c>
      <c r="I135" s="3"/>
      <c r="J135" s="2"/>
      <c r="L135" s="1" t="s">
        <v>603</v>
      </c>
      <c r="M135" s="14"/>
      <c r="N135" s="14"/>
      <c r="O135" s="14" t="s">
        <v>737</v>
      </c>
    </row>
    <row r="136" spans="1:15" x14ac:dyDescent="0.25">
      <c r="A136" s="1">
        <v>135</v>
      </c>
      <c r="B136" s="1">
        <v>149</v>
      </c>
      <c r="C136" s="1">
        <v>45</v>
      </c>
      <c r="D136" s="1">
        <v>100</v>
      </c>
      <c r="E136" s="1">
        <v>100</v>
      </c>
      <c r="F136" s="1" t="s">
        <v>603</v>
      </c>
      <c r="G136" s="1">
        <v>4</v>
      </c>
      <c r="H136" s="1">
        <v>140450047</v>
      </c>
      <c r="I136" s="3"/>
      <c r="J136" s="2"/>
      <c r="L136" s="1" t="s">
        <v>603</v>
      </c>
      <c r="M136" s="14"/>
      <c r="N136" s="14"/>
      <c r="O136" s="14" t="s">
        <v>738</v>
      </c>
    </row>
    <row r="137" spans="1:15" x14ac:dyDescent="0.25">
      <c r="A137" s="1">
        <v>136</v>
      </c>
      <c r="B137" s="1">
        <v>151</v>
      </c>
      <c r="C137" s="1">
        <v>43</v>
      </c>
      <c r="D137" s="1">
        <v>3000</v>
      </c>
      <c r="E137" s="1">
        <v>300</v>
      </c>
      <c r="F137" s="1" t="s">
        <v>604</v>
      </c>
      <c r="G137" s="1">
        <v>4</v>
      </c>
      <c r="H137" s="1">
        <v>140310007</v>
      </c>
      <c r="I137" s="3"/>
      <c r="J137" s="2"/>
      <c r="L137" s="1" t="s">
        <v>604</v>
      </c>
      <c r="M137" s="14"/>
      <c r="N137" s="14"/>
      <c r="O137" s="14" t="s">
        <v>739</v>
      </c>
    </row>
    <row r="138" spans="1:15" x14ac:dyDescent="0.25">
      <c r="A138" s="1">
        <v>137</v>
      </c>
      <c r="B138" s="1">
        <v>152</v>
      </c>
      <c r="C138" s="1">
        <v>43</v>
      </c>
      <c r="D138" s="1">
        <v>3000</v>
      </c>
      <c r="E138" s="1">
        <v>300</v>
      </c>
      <c r="F138" s="1" t="s">
        <v>605</v>
      </c>
      <c r="G138" s="1">
        <v>4</v>
      </c>
      <c r="H138" s="1">
        <v>140310007</v>
      </c>
      <c r="I138" s="3"/>
      <c r="J138" s="2"/>
      <c r="L138" s="1" t="s">
        <v>605</v>
      </c>
      <c r="M138" s="14"/>
      <c r="N138" s="14"/>
      <c r="O138" s="14" t="s">
        <v>740</v>
      </c>
    </row>
    <row r="139" spans="1:15" x14ac:dyDescent="0.25">
      <c r="A139" s="1">
        <v>138</v>
      </c>
      <c r="B139" s="1">
        <v>153</v>
      </c>
      <c r="C139" s="1">
        <v>30</v>
      </c>
      <c r="D139" s="1">
        <v>3000</v>
      </c>
      <c r="E139" s="1">
        <v>300</v>
      </c>
      <c r="F139" s="1" t="s">
        <v>605</v>
      </c>
      <c r="G139" s="1">
        <v>3</v>
      </c>
      <c r="H139" s="1">
        <v>140310071</v>
      </c>
      <c r="I139" s="3"/>
      <c r="J139" s="2"/>
      <c r="L139" s="1" t="s">
        <v>605</v>
      </c>
      <c r="M139" s="14"/>
      <c r="N139" s="14"/>
      <c r="O139" s="14" t="s">
        <v>741</v>
      </c>
    </row>
    <row r="140" spans="1:15" x14ac:dyDescent="0.25">
      <c r="A140" s="1">
        <v>139</v>
      </c>
      <c r="B140" s="1">
        <v>154</v>
      </c>
      <c r="C140" s="1">
        <v>44</v>
      </c>
      <c r="D140" s="1">
        <v>7000</v>
      </c>
      <c r="E140" s="1">
        <v>300</v>
      </c>
      <c r="F140" s="1" t="s">
        <v>550</v>
      </c>
      <c r="G140" s="1">
        <v>4</v>
      </c>
      <c r="H140" s="1">
        <v>140310031</v>
      </c>
      <c r="I140" s="3"/>
      <c r="J140" s="2"/>
      <c r="L140" s="1" t="s">
        <v>550</v>
      </c>
      <c r="M140" s="14"/>
      <c r="N140" s="14"/>
      <c r="O140" s="14" t="s">
        <v>742</v>
      </c>
    </row>
    <row r="141" spans="1:15" x14ac:dyDescent="0.25">
      <c r="A141" s="1">
        <v>140</v>
      </c>
      <c r="B141" s="1">
        <v>155</v>
      </c>
      <c r="C141" s="1">
        <v>45</v>
      </c>
      <c r="D141" s="1">
        <v>100</v>
      </c>
      <c r="E141" s="1">
        <v>300</v>
      </c>
      <c r="F141" s="1" t="s">
        <v>606</v>
      </c>
      <c r="G141" s="1">
        <v>4</v>
      </c>
      <c r="H141" s="1">
        <v>140450047</v>
      </c>
      <c r="I141" s="3"/>
      <c r="J141" s="2"/>
      <c r="L141" s="1" t="s">
        <v>606</v>
      </c>
      <c r="M141" s="14"/>
      <c r="N141" s="14"/>
      <c r="O141" s="14" t="s">
        <v>743</v>
      </c>
    </row>
    <row r="142" spans="1:15" x14ac:dyDescent="0.25">
      <c r="A142" s="1">
        <v>141</v>
      </c>
      <c r="B142" s="1">
        <v>156</v>
      </c>
      <c r="C142" s="1">
        <v>45</v>
      </c>
      <c r="D142" s="1">
        <v>300</v>
      </c>
      <c r="E142" s="1">
        <v>300</v>
      </c>
      <c r="F142" s="1" t="s">
        <v>606</v>
      </c>
      <c r="G142" s="1">
        <v>4</v>
      </c>
      <c r="H142" s="1">
        <v>140450047</v>
      </c>
      <c r="I142" s="3"/>
      <c r="J142" s="2"/>
      <c r="L142" s="1" t="s">
        <v>606</v>
      </c>
      <c r="M142" s="14"/>
      <c r="N142" s="14"/>
      <c r="O142" s="14" t="s">
        <v>744</v>
      </c>
    </row>
    <row r="143" spans="1:15" x14ac:dyDescent="0.25">
      <c r="A143" s="1">
        <v>142</v>
      </c>
      <c r="B143" s="1">
        <v>157</v>
      </c>
      <c r="C143" s="1">
        <v>43</v>
      </c>
      <c r="D143" s="1">
        <v>1500</v>
      </c>
      <c r="E143" s="1">
        <v>300</v>
      </c>
      <c r="F143" s="1" t="s">
        <v>606</v>
      </c>
      <c r="G143" s="1">
        <v>4</v>
      </c>
      <c r="H143" s="1">
        <v>140310007</v>
      </c>
      <c r="I143" s="3"/>
      <c r="J143" s="2"/>
      <c r="L143" s="1" t="s">
        <v>606</v>
      </c>
      <c r="M143" s="14"/>
      <c r="N143" s="14"/>
      <c r="O143" s="14" t="s">
        <v>745</v>
      </c>
    </row>
    <row r="144" spans="1:15" x14ac:dyDescent="0.25">
      <c r="A144" s="1">
        <v>143</v>
      </c>
      <c r="B144" s="1">
        <v>158</v>
      </c>
      <c r="C144" s="1">
        <v>45</v>
      </c>
      <c r="D144" s="1">
        <v>500</v>
      </c>
      <c r="E144" s="1">
        <v>100</v>
      </c>
      <c r="F144" s="1" t="s">
        <v>606</v>
      </c>
      <c r="G144" s="1">
        <v>4</v>
      </c>
      <c r="H144" s="1">
        <v>140450047</v>
      </c>
      <c r="I144" s="3"/>
      <c r="J144" s="2"/>
      <c r="L144" s="1" t="s">
        <v>606</v>
      </c>
      <c r="M144" s="14"/>
      <c r="N144" s="14"/>
      <c r="O144" s="14" t="s">
        <v>746</v>
      </c>
    </row>
    <row r="145" spans="1:15" x14ac:dyDescent="0.25">
      <c r="A145" s="1">
        <v>144</v>
      </c>
      <c r="B145" s="1">
        <v>159</v>
      </c>
      <c r="C145" s="1">
        <v>45</v>
      </c>
      <c r="D145" s="1">
        <v>1000</v>
      </c>
      <c r="E145" s="1">
        <v>300</v>
      </c>
      <c r="F145" s="1" t="s">
        <v>607</v>
      </c>
      <c r="G145" s="1">
        <v>4</v>
      </c>
      <c r="H145" s="1">
        <v>140450047</v>
      </c>
      <c r="I145" s="3"/>
      <c r="J145" s="2"/>
      <c r="L145" s="1" t="s">
        <v>607</v>
      </c>
      <c r="M145" s="14"/>
      <c r="N145" s="14"/>
      <c r="O145" s="14" t="s">
        <v>747</v>
      </c>
    </row>
    <row r="146" spans="1:15" x14ac:dyDescent="0.25">
      <c r="A146" s="1">
        <v>145</v>
      </c>
      <c r="B146" s="1">
        <v>160</v>
      </c>
      <c r="C146" s="1">
        <v>30</v>
      </c>
      <c r="D146" s="1">
        <v>3000</v>
      </c>
      <c r="E146" s="1">
        <v>300</v>
      </c>
      <c r="F146" s="1" t="s">
        <v>608</v>
      </c>
      <c r="G146" s="1">
        <v>3</v>
      </c>
      <c r="H146" s="1">
        <v>140310071</v>
      </c>
      <c r="I146" s="3"/>
      <c r="J146" s="2"/>
      <c r="L146" s="1" t="s">
        <v>608</v>
      </c>
      <c r="M146" s="14"/>
      <c r="N146" s="14"/>
      <c r="O146" s="14" t="s">
        <v>748</v>
      </c>
    </row>
    <row r="147" spans="1:15" x14ac:dyDescent="0.25">
      <c r="A147" s="1">
        <v>146</v>
      </c>
      <c r="B147" s="1">
        <v>161</v>
      </c>
      <c r="C147" s="1">
        <v>43</v>
      </c>
      <c r="D147" s="1">
        <v>1500</v>
      </c>
      <c r="E147" s="1">
        <v>300</v>
      </c>
      <c r="F147" s="1" t="s">
        <v>608</v>
      </c>
      <c r="G147" s="1">
        <v>4</v>
      </c>
      <c r="H147" s="1">
        <v>140310007</v>
      </c>
      <c r="I147" s="3"/>
      <c r="J147" s="2"/>
      <c r="L147" s="1" t="s">
        <v>608</v>
      </c>
      <c r="M147" s="14"/>
      <c r="N147" s="14"/>
      <c r="O147" s="14" t="s">
        <v>749</v>
      </c>
    </row>
    <row r="148" spans="1:15" x14ac:dyDescent="0.25">
      <c r="A148" s="1">
        <v>147</v>
      </c>
      <c r="B148" s="1">
        <v>162</v>
      </c>
      <c r="C148" s="1">
        <v>30</v>
      </c>
      <c r="E148" s="1">
        <v>300</v>
      </c>
      <c r="G148" s="1">
        <v>3</v>
      </c>
      <c r="H148" s="1">
        <v>140310071</v>
      </c>
      <c r="I148" s="3"/>
      <c r="J148" s="2" t="s">
        <v>625</v>
      </c>
      <c r="L148" s="1" t="s">
        <v>554</v>
      </c>
      <c r="M148" s="14"/>
      <c r="N148" s="14"/>
      <c r="O148" s="14">
        <v>0</v>
      </c>
    </row>
    <row r="149" spans="1:15" x14ac:dyDescent="0.25">
      <c r="A149" s="1">
        <v>148</v>
      </c>
      <c r="B149" s="1">
        <v>163</v>
      </c>
      <c r="C149" s="1">
        <v>43</v>
      </c>
      <c r="D149" s="1">
        <v>3000</v>
      </c>
      <c r="E149" s="1">
        <v>300</v>
      </c>
      <c r="F149" s="1" t="s">
        <v>554</v>
      </c>
      <c r="G149" s="1">
        <v>4</v>
      </c>
      <c r="H149" s="1">
        <v>140310007</v>
      </c>
      <c r="I149" s="3"/>
      <c r="J149" s="2"/>
      <c r="L149" s="1" t="s">
        <v>554</v>
      </c>
      <c r="M149" s="14"/>
      <c r="N149" s="14"/>
      <c r="O149" s="14" t="s">
        <v>750</v>
      </c>
    </row>
    <row r="150" spans="1:15" x14ac:dyDescent="0.25">
      <c r="A150" s="1">
        <v>149</v>
      </c>
      <c r="B150" s="1">
        <v>164</v>
      </c>
      <c r="C150" s="1">
        <v>33</v>
      </c>
      <c r="D150" s="1">
        <v>100</v>
      </c>
      <c r="E150" s="1">
        <v>500</v>
      </c>
      <c r="F150" s="1" t="s">
        <v>554</v>
      </c>
      <c r="G150" s="1">
        <v>3</v>
      </c>
      <c r="H150" s="1">
        <v>140530039</v>
      </c>
      <c r="I150" s="3"/>
      <c r="J150" s="2"/>
      <c r="L150" s="1" t="s">
        <v>554</v>
      </c>
      <c r="M150" s="14"/>
      <c r="N150" s="14"/>
      <c r="O150" s="14" t="s">
        <v>751</v>
      </c>
    </row>
    <row r="151" spans="1:15" x14ac:dyDescent="0.25">
      <c r="A151" s="1">
        <v>150</v>
      </c>
      <c r="B151" s="1">
        <v>165</v>
      </c>
      <c r="C151" s="1">
        <v>4</v>
      </c>
      <c r="D151" s="1">
        <v>6</v>
      </c>
      <c r="E151" s="1">
        <v>300</v>
      </c>
      <c r="F151" s="1" t="s">
        <v>554</v>
      </c>
      <c r="G151" s="1">
        <v>10</v>
      </c>
      <c r="H151" s="1">
        <v>140550019</v>
      </c>
      <c r="I151" s="3"/>
      <c r="J151" s="2"/>
      <c r="L151" s="1" t="s">
        <v>554</v>
      </c>
      <c r="M151" s="14"/>
      <c r="N151" s="14"/>
      <c r="O151" s="14">
        <v>57.587499999999999</v>
      </c>
    </row>
    <row r="152" spans="1:15" x14ac:dyDescent="0.25">
      <c r="A152" s="1">
        <v>151</v>
      </c>
      <c r="B152" s="1">
        <v>166</v>
      </c>
      <c r="C152" s="1">
        <v>45</v>
      </c>
      <c r="D152" s="1">
        <v>900</v>
      </c>
      <c r="E152" s="1">
        <v>300</v>
      </c>
      <c r="F152" s="1" t="s">
        <v>554</v>
      </c>
      <c r="G152" s="1">
        <v>4</v>
      </c>
      <c r="H152" s="1">
        <v>140450047</v>
      </c>
      <c r="I152" s="3"/>
      <c r="J152" s="2"/>
      <c r="L152" s="1" t="s">
        <v>554</v>
      </c>
      <c r="M152" s="14"/>
      <c r="N152" s="14"/>
      <c r="O152" s="14" t="s">
        <v>752</v>
      </c>
    </row>
    <row r="153" spans="1:15" x14ac:dyDescent="0.25">
      <c r="A153" s="1">
        <v>152</v>
      </c>
      <c r="B153" s="1">
        <v>167</v>
      </c>
      <c r="C153" s="1">
        <v>45</v>
      </c>
      <c r="D153" s="1">
        <v>900</v>
      </c>
      <c r="E153" s="1">
        <v>300</v>
      </c>
      <c r="F153" s="1" t="s">
        <v>609</v>
      </c>
      <c r="G153" s="1">
        <v>4</v>
      </c>
      <c r="H153" s="1">
        <v>140450047</v>
      </c>
      <c r="I153" s="3"/>
      <c r="J153" s="2"/>
      <c r="L153" s="1" t="s">
        <v>609</v>
      </c>
      <c r="M153" s="14"/>
      <c r="N153" s="14"/>
      <c r="O153" s="14" t="s">
        <v>753</v>
      </c>
    </row>
    <row r="154" spans="1:15" x14ac:dyDescent="0.25">
      <c r="A154" s="1">
        <v>153</v>
      </c>
      <c r="B154" s="1">
        <v>168</v>
      </c>
      <c r="C154" s="1">
        <v>30</v>
      </c>
      <c r="D154" s="1">
        <v>3000</v>
      </c>
      <c r="E154" s="1">
        <v>300</v>
      </c>
      <c r="F154" s="1" t="s">
        <v>609</v>
      </c>
      <c r="G154" s="1">
        <v>3</v>
      </c>
      <c r="H154" s="1">
        <v>140310071</v>
      </c>
      <c r="I154" s="3"/>
      <c r="J154" s="2"/>
      <c r="L154" s="1" t="s">
        <v>609</v>
      </c>
      <c r="M154" s="14"/>
      <c r="N154" s="14"/>
      <c r="O154" s="14" t="s">
        <v>754</v>
      </c>
    </row>
    <row r="155" spans="1:15" x14ac:dyDescent="0.25">
      <c r="A155" s="1">
        <v>154</v>
      </c>
      <c r="B155" s="1">
        <v>169</v>
      </c>
      <c r="C155" s="1">
        <v>45</v>
      </c>
      <c r="D155" s="1">
        <v>900</v>
      </c>
      <c r="E155" s="1">
        <v>300</v>
      </c>
      <c r="F155" s="1" t="s">
        <v>610</v>
      </c>
      <c r="G155" s="1">
        <v>4</v>
      </c>
      <c r="H155" s="1">
        <v>140450047</v>
      </c>
      <c r="I155" s="3"/>
      <c r="J155" s="2"/>
      <c r="L155" s="1" t="s">
        <v>610</v>
      </c>
      <c r="M155" s="14"/>
      <c r="N155" s="14"/>
      <c r="O155" s="14" t="s">
        <v>755</v>
      </c>
    </row>
    <row r="156" spans="1:15" x14ac:dyDescent="0.25">
      <c r="A156" s="1">
        <v>155</v>
      </c>
      <c r="B156" s="1">
        <v>170</v>
      </c>
      <c r="C156" s="1">
        <v>43</v>
      </c>
      <c r="D156" s="1">
        <v>3000</v>
      </c>
      <c r="E156" s="1">
        <v>300</v>
      </c>
      <c r="F156" s="1" t="s">
        <v>610</v>
      </c>
      <c r="G156" s="1">
        <v>4</v>
      </c>
      <c r="H156" s="1">
        <v>140310007</v>
      </c>
      <c r="I156" s="3"/>
      <c r="J156" s="2"/>
      <c r="L156" s="1" t="s">
        <v>610</v>
      </c>
      <c r="M156" s="14"/>
      <c r="N156" s="14"/>
      <c r="O156" s="14" t="s">
        <v>756</v>
      </c>
    </row>
    <row r="157" spans="1:15" x14ac:dyDescent="0.25">
      <c r="A157" s="1">
        <v>156</v>
      </c>
      <c r="B157" s="1">
        <v>180</v>
      </c>
      <c r="C157" s="1">
        <v>4</v>
      </c>
      <c r="D157" s="1">
        <v>12</v>
      </c>
      <c r="E157" s="1">
        <v>300</v>
      </c>
      <c r="F157" s="1" t="s">
        <v>610</v>
      </c>
      <c r="G157" s="1">
        <v>10</v>
      </c>
      <c r="H157" s="1">
        <v>140550019</v>
      </c>
      <c r="I157" s="3"/>
      <c r="J157" s="2"/>
      <c r="L157" s="1" t="s">
        <v>610</v>
      </c>
      <c r="M157" s="14"/>
      <c r="N157" s="14"/>
      <c r="O157" s="14" t="s">
        <v>757</v>
      </c>
    </row>
    <row r="158" spans="1:15" x14ac:dyDescent="0.25">
      <c r="A158" s="1">
        <v>157</v>
      </c>
      <c r="B158" s="1">
        <v>181</v>
      </c>
      <c r="C158" s="1">
        <v>30</v>
      </c>
      <c r="D158" s="1">
        <v>3000</v>
      </c>
      <c r="E158" s="1">
        <v>300</v>
      </c>
      <c r="F158" s="1" t="s">
        <v>611</v>
      </c>
      <c r="G158" s="1">
        <v>3</v>
      </c>
      <c r="H158" s="1">
        <v>140310071</v>
      </c>
      <c r="I158" s="3"/>
      <c r="J158" s="2"/>
      <c r="L158" s="1" t="s">
        <v>611</v>
      </c>
      <c r="M158" s="14"/>
      <c r="N158" s="14"/>
      <c r="O158" s="14" t="s">
        <v>758</v>
      </c>
    </row>
    <row r="159" spans="1:15" x14ac:dyDescent="0.25">
      <c r="A159" s="1">
        <v>158</v>
      </c>
      <c r="B159" s="1">
        <v>182</v>
      </c>
      <c r="C159" s="1">
        <v>17</v>
      </c>
      <c r="D159" s="1">
        <v>65</v>
      </c>
      <c r="E159" s="1">
        <v>300</v>
      </c>
      <c r="F159" s="1" t="s">
        <v>611</v>
      </c>
      <c r="G159" s="1">
        <v>2</v>
      </c>
      <c r="H159" s="1">
        <v>140640007</v>
      </c>
      <c r="I159" s="3"/>
      <c r="J159" s="2"/>
      <c r="L159" s="1" t="s">
        <v>611</v>
      </c>
      <c r="M159" s="14"/>
      <c r="N159" s="14"/>
      <c r="O159" s="14" t="s">
        <v>759</v>
      </c>
    </row>
    <row r="160" spans="1:15" x14ac:dyDescent="0.25">
      <c r="A160" s="1">
        <v>159</v>
      </c>
      <c r="B160" s="1">
        <v>183</v>
      </c>
      <c r="C160" s="1">
        <v>43</v>
      </c>
      <c r="D160" s="1">
        <v>3000</v>
      </c>
      <c r="E160" s="1">
        <v>300</v>
      </c>
      <c r="F160" s="1" t="s">
        <v>612</v>
      </c>
      <c r="G160" s="1">
        <v>4</v>
      </c>
      <c r="H160" s="1">
        <v>140310007</v>
      </c>
      <c r="I160" s="3"/>
      <c r="J160" s="2"/>
      <c r="L160" s="1" t="s">
        <v>612</v>
      </c>
      <c r="M160" s="14"/>
      <c r="N160" s="14"/>
      <c r="O160" s="14" t="s">
        <v>760</v>
      </c>
    </row>
    <row r="161" spans="1:15" x14ac:dyDescent="0.25">
      <c r="A161" s="1">
        <v>160</v>
      </c>
      <c r="B161" s="1">
        <v>184</v>
      </c>
      <c r="C161" s="1">
        <v>45</v>
      </c>
      <c r="D161" s="1">
        <v>900</v>
      </c>
      <c r="E161" s="1">
        <v>300</v>
      </c>
      <c r="F161" s="1" t="s">
        <v>612</v>
      </c>
      <c r="G161" s="1">
        <v>4</v>
      </c>
      <c r="H161" s="1">
        <v>140450047</v>
      </c>
      <c r="I161" s="3"/>
      <c r="J161" s="2"/>
      <c r="L161" s="1" t="s">
        <v>612</v>
      </c>
      <c r="M161" s="14"/>
      <c r="N161" s="14"/>
      <c r="O161" s="14" t="s">
        <v>761</v>
      </c>
    </row>
    <row r="162" spans="1:15" x14ac:dyDescent="0.25">
      <c r="A162" s="1">
        <v>161</v>
      </c>
      <c r="B162" s="1">
        <v>185</v>
      </c>
      <c r="C162" s="1">
        <v>46</v>
      </c>
      <c r="D162" s="1">
        <v>400</v>
      </c>
      <c r="E162" s="1">
        <v>300</v>
      </c>
      <c r="F162" s="1" t="s">
        <v>613</v>
      </c>
      <c r="G162" s="1">
        <v>5</v>
      </c>
      <c r="H162" s="1">
        <v>140010230</v>
      </c>
      <c r="I162" s="3"/>
      <c r="J162" s="2"/>
      <c r="L162" s="1" t="s">
        <v>613</v>
      </c>
      <c r="M162" s="14"/>
      <c r="N162" s="14"/>
      <c r="O162" s="14" t="s">
        <v>762</v>
      </c>
    </row>
    <row r="163" spans="1:15" x14ac:dyDescent="0.25">
      <c r="A163" s="1">
        <v>162</v>
      </c>
      <c r="B163" s="1">
        <v>186</v>
      </c>
      <c r="C163" s="1">
        <v>47</v>
      </c>
      <c r="D163" s="1">
        <v>700</v>
      </c>
      <c r="E163" s="1">
        <v>300</v>
      </c>
      <c r="F163" s="1" t="s">
        <v>613</v>
      </c>
      <c r="G163" s="1">
        <v>5</v>
      </c>
      <c r="H163" s="1">
        <v>140010255</v>
      </c>
      <c r="I163" s="3"/>
      <c r="J163" s="2"/>
      <c r="L163" s="1" t="s">
        <v>613</v>
      </c>
      <c r="M163" s="14"/>
      <c r="N163" s="14"/>
      <c r="O163" s="14" t="s">
        <v>763</v>
      </c>
    </row>
    <row r="164" spans="1:15" x14ac:dyDescent="0.25">
      <c r="A164" s="1">
        <v>163</v>
      </c>
      <c r="B164" s="1">
        <v>187</v>
      </c>
      <c r="C164" s="1">
        <v>45</v>
      </c>
      <c r="D164" s="1">
        <v>1500</v>
      </c>
      <c r="E164" s="1">
        <v>300</v>
      </c>
      <c r="F164" s="1" t="s">
        <v>613</v>
      </c>
      <c r="G164" s="1">
        <v>4</v>
      </c>
      <c r="H164" s="1">
        <v>140450047</v>
      </c>
      <c r="I164" s="3"/>
      <c r="J164" s="2"/>
      <c r="L164" s="1" t="s">
        <v>613</v>
      </c>
      <c r="M164" s="14"/>
      <c r="N164" s="14"/>
      <c r="O164" s="14" t="s">
        <v>764</v>
      </c>
    </row>
    <row r="165" spans="1:15" x14ac:dyDescent="0.25">
      <c r="A165" s="1">
        <v>164</v>
      </c>
      <c r="B165" s="1">
        <v>188</v>
      </c>
      <c r="C165" s="1">
        <v>43</v>
      </c>
      <c r="D165" s="1">
        <v>1500</v>
      </c>
      <c r="E165" s="1">
        <v>300</v>
      </c>
      <c r="F165" s="1" t="s">
        <v>552</v>
      </c>
      <c r="G165" s="1">
        <v>4</v>
      </c>
      <c r="H165" s="1">
        <v>140310007</v>
      </c>
      <c r="I165" s="3"/>
      <c r="J165" s="2"/>
      <c r="L165" s="1" t="s">
        <v>552</v>
      </c>
      <c r="M165" s="14"/>
      <c r="N165" s="14"/>
      <c r="O165" s="14" t="s">
        <v>765</v>
      </c>
    </row>
    <row r="166" spans="1:15" x14ac:dyDescent="0.25">
      <c r="A166" s="1">
        <v>165</v>
      </c>
      <c r="B166" s="1">
        <v>189</v>
      </c>
      <c r="C166" s="1">
        <v>30</v>
      </c>
      <c r="D166" s="1">
        <v>2000</v>
      </c>
      <c r="E166" s="1">
        <v>300</v>
      </c>
      <c r="F166" s="1" t="s">
        <v>552</v>
      </c>
      <c r="G166" s="1">
        <v>3</v>
      </c>
      <c r="H166" s="1">
        <v>140310071</v>
      </c>
      <c r="I166" s="3"/>
      <c r="J166" s="2"/>
      <c r="L166" s="1" t="s">
        <v>552</v>
      </c>
      <c r="M166" s="14"/>
      <c r="N166" s="14"/>
      <c r="O166" s="14" t="s">
        <v>766</v>
      </c>
    </row>
    <row r="167" spans="1:15" x14ac:dyDescent="0.25">
      <c r="A167" s="1">
        <v>166</v>
      </c>
      <c r="B167" s="1">
        <v>191</v>
      </c>
      <c r="C167" s="1">
        <v>38</v>
      </c>
      <c r="D167" s="1">
        <v>75</v>
      </c>
      <c r="E167" s="1">
        <v>300</v>
      </c>
      <c r="F167" s="1" t="s">
        <v>614</v>
      </c>
      <c r="G167" s="1">
        <v>4</v>
      </c>
      <c r="H167" s="1">
        <v>140010117</v>
      </c>
      <c r="I167" s="3"/>
      <c r="J167" s="2" t="s">
        <v>627</v>
      </c>
      <c r="L167" s="1" t="s">
        <v>614</v>
      </c>
      <c r="M167" s="14"/>
      <c r="N167" s="14"/>
      <c r="O167" s="14" t="s">
        <v>767</v>
      </c>
    </row>
    <row r="168" spans="1:15" x14ac:dyDescent="0.25">
      <c r="A168" s="1">
        <v>167</v>
      </c>
      <c r="B168" s="1">
        <v>192</v>
      </c>
      <c r="C168" s="1">
        <v>45</v>
      </c>
      <c r="D168" s="1">
        <v>1500</v>
      </c>
      <c r="E168" s="1">
        <v>300</v>
      </c>
      <c r="F168" s="1" t="s">
        <v>614</v>
      </c>
      <c r="G168" s="1">
        <v>4</v>
      </c>
      <c r="H168" s="1">
        <v>140450047</v>
      </c>
      <c r="I168" s="3"/>
      <c r="J168" s="2"/>
      <c r="L168" s="1" t="s">
        <v>614</v>
      </c>
      <c r="M168" s="14"/>
      <c r="N168" s="14"/>
      <c r="O168" s="14" t="s">
        <v>768</v>
      </c>
    </row>
    <row r="169" spans="1:15" x14ac:dyDescent="0.25">
      <c r="A169" s="1">
        <v>168</v>
      </c>
      <c r="B169" s="1">
        <v>193</v>
      </c>
      <c r="C169" s="1">
        <v>43</v>
      </c>
      <c r="D169" s="1">
        <v>3000</v>
      </c>
      <c r="E169" s="1">
        <v>300</v>
      </c>
      <c r="F169" s="1" t="s">
        <v>614</v>
      </c>
      <c r="G169" s="1">
        <v>4</v>
      </c>
      <c r="H169" s="1">
        <v>140310007</v>
      </c>
      <c r="I169" s="3"/>
      <c r="J169" s="2"/>
      <c r="L169" s="1" t="s">
        <v>614</v>
      </c>
      <c r="M169" s="14"/>
      <c r="N169" s="14"/>
      <c r="O169" s="14" t="s">
        <v>769</v>
      </c>
    </row>
    <row r="170" spans="1:15" x14ac:dyDescent="0.25">
      <c r="A170" s="1">
        <v>169</v>
      </c>
      <c r="B170" s="1">
        <v>194</v>
      </c>
      <c r="C170" s="1">
        <v>43</v>
      </c>
      <c r="D170" s="1">
        <v>3000</v>
      </c>
      <c r="E170" s="1">
        <v>300</v>
      </c>
      <c r="F170" s="1" t="s">
        <v>615</v>
      </c>
      <c r="G170" s="1">
        <v>4</v>
      </c>
      <c r="H170" s="1">
        <v>140310007</v>
      </c>
      <c r="I170" s="3"/>
      <c r="J170" s="2"/>
      <c r="L170" s="1" t="s">
        <v>615</v>
      </c>
      <c r="M170" s="14"/>
      <c r="N170" s="14"/>
      <c r="O170" s="14" t="s">
        <v>770</v>
      </c>
    </row>
    <row r="171" spans="1:15" x14ac:dyDescent="0.25">
      <c r="A171" s="1">
        <v>170</v>
      </c>
      <c r="B171" s="1">
        <v>195</v>
      </c>
      <c r="C171" s="1">
        <v>43</v>
      </c>
      <c r="D171" s="1">
        <v>3000</v>
      </c>
      <c r="E171" s="1">
        <v>300</v>
      </c>
      <c r="F171" s="1" t="s">
        <v>616</v>
      </c>
      <c r="G171" s="1">
        <v>4</v>
      </c>
      <c r="H171" s="1">
        <v>140310007</v>
      </c>
      <c r="I171" s="3"/>
      <c r="J171" s="2"/>
      <c r="L171" s="1" t="s">
        <v>616</v>
      </c>
      <c r="M171" s="14"/>
      <c r="N171" s="14"/>
      <c r="O171" s="14" t="s">
        <v>771</v>
      </c>
    </row>
    <row r="172" spans="1:15" x14ac:dyDescent="0.25">
      <c r="A172" s="1">
        <v>171</v>
      </c>
      <c r="B172" s="1">
        <v>196</v>
      </c>
      <c r="C172" s="1">
        <v>48</v>
      </c>
      <c r="D172" s="1">
        <v>3000</v>
      </c>
      <c r="E172" s="1">
        <v>300</v>
      </c>
      <c r="F172" s="1" t="s">
        <v>410</v>
      </c>
      <c r="G172" s="1">
        <v>6</v>
      </c>
      <c r="H172" s="1">
        <v>140010117</v>
      </c>
      <c r="I172" s="3"/>
      <c r="J172" s="2"/>
      <c r="L172" s="1" t="s">
        <v>410</v>
      </c>
      <c r="M172" s="14"/>
      <c r="N172" s="14"/>
      <c r="O172" s="14" t="s">
        <v>772</v>
      </c>
    </row>
    <row r="173" spans="1:15" x14ac:dyDescent="0.25">
      <c r="A173" s="1">
        <v>172</v>
      </c>
      <c r="B173" s="1">
        <v>197</v>
      </c>
      <c r="C173" s="1">
        <v>50</v>
      </c>
      <c r="D173" s="1">
        <v>1800</v>
      </c>
      <c r="E173" s="1">
        <v>300</v>
      </c>
      <c r="F173" s="1" t="s">
        <v>553</v>
      </c>
      <c r="G173" s="1">
        <v>6</v>
      </c>
      <c r="H173" s="1">
        <v>140010255</v>
      </c>
      <c r="I173" s="3"/>
      <c r="J173" s="2"/>
      <c r="L173" s="1" t="s">
        <v>553</v>
      </c>
      <c r="M173" s="14"/>
      <c r="N173" s="14"/>
      <c r="O173" s="14" t="s">
        <v>773</v>
      </c>
    </row>
    <row r="174" spans="1:15" x14ac:dyDescent="0.25">
      <c r="A174" s="1">
        <v>173</v>
      </c>
      <c r="B174" s="1">
        <v>198</v>
      </c>
      <c r="C174" s="1">
        <v>49</v>
      </c>
      <c r="D174" s="1">
        <v>3000</v>
      </c>
      <c r="E174" s="1">
        <v>300</v>
      </c>
      <c r="F174" s="1" t="s">
        <v>553</v>
      </c>
      <c r="G174" s="1">
        <v>6</v>
      </c>
      <c r="H174" s="1">
        <v>140010230</v>
      </c>
      <c r="I174" s="3"/>
      <c r="J174" s="2"/>
      <c r="L174" s="1" t="s">
        <v>553</v>
      </c>
      <c r="M174" s="14"/>
      <c r="N174" s="14"/>
      <c r="O174" s="14" t="s">
        <v>774</v>
      </c>
    </row>
    <row r="175" spans="1:15" x14ac:dyDescent="0.25">
      <c r="A175" s="1">
        <v>174</v>
      </c>
      <c r="B175" s="1">
        <v>199</v>
      </c>
      <c r="C175" s="1">
        <v>46</v>
      </c>
      <c r="D175" s="1">
        <v>3</v>
      </c>
      <c r="E175" s="1">
        <v>300</v>
      </c>
      <c r="F175" s="1" t="s">
        <v>410</v>
      </c>
      <c r="G175" s="1">
        <v>5</v>
      </c>
      <c r="H175" s="1">
        <v>140010230</v>
      </c>
      <c r="I175" s="3"/>
      <c r="J175" s="2" t="s">
        <v>628</v>
      </c>
      <c r="L175" s="1" t="s">
        <v>410</v>
      </c>
      <c r="M175" s="14"/>
      <c r="N175" s="14"/>
      <c r="O175" s="14" t="s">
        <v>795</v>
      </c>
    </row>
    <row r="176" spans="1:15" x14ac:dyDescent="0.25">
      <c r="A176" s="1">
        <v>175</v>
      </c>
      <c r="B176" s="1">
        <v>200</v>
      </c>
      <c r="C176" s="1">
        <v>45</v>
      </c>
      <c r="D176" s="1">
        <v>1850</v>
      </c>
      <c r="E176" s="1">
        <v>300</v>
      </c>
      <c r="F176" s="1" t="s">
        <v>553</v>
      </c>
      <c r="G176" s="1">
        <v>4</v>
      </c>
      <c r="H176" s="1">
        <v>140450047</v>
      </c>
      <c r="I176" s="3"/>
      <c r="J176" s="2"/>
      <c r="L176" s="1" t="s">
        <v>553</v>
      </c>
      <c r="M176" s="14"/>
      <c r="N176" s="14"/>
      <c r="O176" s="14" t="s">
        <v>775</v>
      </c>
    </row>
    <row r="177" spans="1:15" x14ac:dyDescent="0.25">
      <c r="A177" s="1">
        <v>176</v>
      </c>
      <c r="B177" s="1">
        <v>201</v>
      </c>
      <c r="C177" s="1">
        <v>48</v>
      </c>
      <c r="D177" s="1">
        <v>3000</v>
      </c>
      <c r="E177" s="1">
        <v>300</v>
      </c>
      <c r="F177" s="1" t="s">
        <v>553</v>
      </c>
      <c r="G177" s="1">
        <v>6</v>
      </c>
      <c r="H177" s="1">
        <v>140010117</v>
      </c>
      <c r="I177" s="3"/>
      <c r="J177" s="2"/>
      <c r="L177" s="1" t="s">
        <v>553</v>
      </c>
      <c r="M177" s="14"/>
      <c r="N177" s="14"/>
      <c r="O177" s="14" t="s">
        <v>776</v>
      </c>
    </row>
    <row r="178" spans="1:15" x14ac:dyDescent="0.25">
      <c r="A178" s="1">
        <v>177</v>
      </c>
      <c r="B178" s="1">
        <v>202</v>
      </c>
      <c r="C178" s="1">
        <v>49</v>
      </c>
      <c r="D178" s="1">
        <v>3000</v>
      </c>
      <c r="E178" s="1">
        <v>300</v>
      </c>
      <c r="F178" s="1" t="s">
        <v>553</v>
      </c>
      <c r="G178" s="1">
        <v>6</v>
      </c>
      <c r="H178" s="1">
        <v>140010230</v>
      </c>
      <c r="I178" s="3"/>
      <c r="J178" s="2"/>
      <c r="L178" s="1" t="s">
        <v>553</v>
      </c>
      <c r="M178" s="14"/>
      <c r="N178" s="14"/>
      <c r="O178" s="14" t="s">
        <v>777</v>
      </c>
    </row>
    <row r="179" spans="1:15" x14ac:dyDescent="0.25">
      <c r="A179" s="1">
        <v>178</v>
      </c>
      <c r="B179" s="1">
        <v>203</v>
      </c>
      <c r="C179" s="1">
        <v>48</v>
      </c>
      <c r="D179" s="1">
        <v>3000</v>
      </c>
      <c r="E179" s="1">
        <v>300</v>
      </c>
      <c r="F179" s="1" t="s">
        <v>412</v>
      </c>
      <c r="G179" s="1">
        <v>6</v>
      </c>
      <c r="H179" s="1">
        <v>140010117</v>
      </c>
      <c r="I179" s="3"/>
      <c r="J179" s="2"/>
      <c r="L179" s="1" t="s">
        <v>412</v>
      </c>
      <c r="M179" s="14"/>
      <c r="N179" s="14"/>
      <c r="O179" s="14" t="s">
        <v>778</v>
      </c>
    </row>
    <row r="180" spans="1:15" x14ac:dyDescent="0.25">
      <c r="A180" s="1">
        <v>179</v>
      </c>
      <c r="B180" s="1">
        <v>204</v>
      </c>
      <c r="C180" s="1">
        <v>49</v>
      </c>
      <c r="D180" s="1">
        <v>3000</v>
      </c>
      <c r="E180" s="1">
        <v>300</v>
      </c>
      <c r="F180" s="1" t="s">
        <v>412</v>
      </c>
      <c r="G180" s="1">
        <v>6</v>
      </c>
      <c r="H180" s="1">
        <v>140010230</v>
      </c>
      <c r="I180" s="3"/>
      <c r="J180" s="2"/>
      <c r="L180" s="1" t="s">
        <v>412</v>
      </c>
      <c r="M180" s="14"/>
      <c r="N180" s="14"/>
      <c r="O180" s="14" t="s">
        <v>779</v>
      </c>
    </row>
    <row r="181" spans="1:15" x14ac:dyDescent="0.25">
      <c r="A181" s="1">
        <v>180</v>
      </c>
      <c r="B181" s="1">
        <v>208</v>
      </c>
      <c r="C181" s="1">
        <v>51</v>
      </c>
      <c r="D181" s="1">
        <v>1800</v>
      </c>
      <c r="E181" s="1">
        <v>300</v>
      </c>
      <c r="F181" s="1" t="s">
        <v>414</v>
      </c>
      <c r="G181" s="1">
        <v>6</v>
      </c>
      <c r="H181" s="1">
        <v>140030039</v>
      </c>
      <c r="I181" s="3"/>
      <c r="J181" s="2"/>
      <c r="L181" s="1" t="s">
        <v>414</v>
      </c>
      <c r="M181" s="14"/>
      <c r="N181" s="14"/>
      <c r="O181" s="14" t="s">
        <v>780</v>
      </c>
    </row>
    <row r="182" spans="1:15" x14ac:dyDescent="0.25">
      <c r="A182" s="1">
        <v>181</v>
      </c>
      <c r="B182" s="1">
        <v>209</v>
      </c>
      <c r="C182" s="1">
        <v>52</v>
      </c>
      <c r="D182" s="1">
        <v>2500</v>
      </c>
      <c r="E182" s="1">
        <v>300</v>
      </c>
      <c r="F182" s="1" t="s">
        <v>413</v>
      </c>
      <c r="G182" s="1">
        <v>6</v>
      </c>
      <c r="H182" s="1">
        <v>140310096</v>
      </c>
      <c r="I182" s="3"/>
      <c r="J182" s="2"/>
      <c r="L182" s="1" t="s">
        <v>413</v>
      </c>
      <c r="M182" s="14"/>
      <c r="N182" s="14"/>
      <c r="O182" s="14" t="s">
        <v>781</v>
      </c>
    </row>
    <row r="183" spans="1:15" x14ac:dyDescent="0.25">
      <c r="A183" s="1">
        <v>182</v>
      </c>
      <c r="B183" s="1">
        <v>210</v>
      </c>
      <c r="C183" s="1">
        <v>50</v>
      </c>
      <c r="D183" s="1">
        <v>1000</v>
      </c>
      <c r="E183" s="1">
        <v>300</v>
      </c>
      <c r="F183" s="1" t="s">
        <v>413</v>
      </c>
      <c r="G183" s="1">
        <v>6</v>
      </c>
      <c r="H183" s="1">
        <v>140010255</v>
      </c>
      <c r="I183" s="3"/>
      <c r="J183" s="2"/>
      <c r="L183" s="1" t="s">
        <v>413</v>
      </c>
      <c r="M183" s="14"/>
      <c r="N183" s="14"/>
      <c r="O183" s="14" t="s">
        <v>782</v>
      </c>
    </row>
    <row r="184" spans="1:15" x14ac:dyDescent="0.25">
      <c r="A184" s="1">
        <v>183</v>
      </c>
      <c r="B184" s="1">
        <v>211</v>
      </c>
      <c r="C184" s="1">
        <v>44</v>
      </c>
      <c r="D184" s="1">
        <v>2</v>
      </c>
      <c r="E184" s="1">
        <v>2</v>
      </c>
      <c r="F184" s="1" t="s">
        <v>617</v>
      </c>
      <c r="G184" s="1">
        <v>4</v>
      </c>
      <c r="H184" s="1">
        <v>140310031</v>
      </c>
      <c r="I184" s="3"/>
      <c r="J184" s="2" t="s">
        <v>629</v>
      </c>
      <c r="L184" s="1" t="s">
        <v>617</v>
      </c>
      <c r="M184" s="14"/>
      <c r="N184" s="14"/>
      <c r="O184" s="14" t="s">
        <v>783</v>
      </c>
    </row>
    <row r="185" spans="1:15" x14ac:dyDescent="0.25">
      <c r="A185" s="1">
        <v>184</v>
      </c>
      <c r="B185" s="1">
        <v>212</v>
      </c>
      <c r="C185" s="1">
        <v>48</v>
      </c>
      <c r="D185" s="1">
        <v>3000</v>
      </c>
      <c r="E185" s="1">
        <v>300</v>
      </c>
      <c r="F185" s="1" t="s">
        <v>561</v>
      </c>
      <c r="G185" s="1">
        <v>6</v>
      </c>
      <c r="H185" s="1">
        <v>140010117</v>
      </c>
      <c r="I185" s="3"/>
      <c r="J185" s="2"/>
      <c r="L185" s="1" t="s">
        <v>561</v>
      </c>
      <c r="M185" s="14"/>
      <c r="N185" s="14"/>
      <c r="O185" s="14" t="s">
        <v>784</v>
      </c>
    </row>
    <row r="186" spans="1:15" x14ac:dyDescent="0.25">
      <c r="A186" s="1">
        <v>185</v>
      </c>
      <c r="B186" s="1">
        <v>213</v>
      </c>
      <c r="C186" s="1">
        <v>49</v>
      </c>
      <c r="D186" s="1">
        <v>3000</v>
      </c>
      <c r="E186" s="1">
        <v>300</v>
      </c>
      <c r="F186" s="1" t="s">
        <v>561</v>
      </c>
      <c r="G186" s="1">
        <v>6</v>
      </c>
      <c r="H186" s="1">
        <v>140010230</v>
      </c>
      <c r="I186" s="3"/>
      <c r="J186" s="2"/>
      <c r="L186" s="1" t="s">
        <v>561</v>
      </c>
      <c r="M186" s="14"/>
      <c r="N186" s="14"/>
      <c r="O186" s="14" t="s">
        <v>785</v>
      </c>
    </row>
    <row r="187" spans="1:15" x14ac:dyDescent="0.25">
      <c r="A187" s="1">
        <v>186</v>
      </c>
      <c r="B187" s="1">
        <v>214</v>
      </c>
      <c r="C187" s="1">
        <v>43</v>
      </c>
      <c r="D187" s="1">
        <v>3000</v>
      </c>
      <c r="E187" s="1">
        <v>300</v>
      </c>
      <c r="F187" s="1" t="s">
        <v>561</v>
      </c>
      <c r="G187" s="1">
        <v>4</v>
      </c>
      <c r="H187" s="1">
        <v>140310007</v>
      </c>
      <c r="I187" s="3"/>
      <c r="J187" s="2"/>
      <c r="L187" s="1" t="s">
        <v>561</v>
      </c>
      <c r="M187" s="14"/>
      <c r="N187" s="14"/>
      <c r="O187" s="14" t="s">
        <v>786</v>
      </c>
    </row>
    <row r="188" spans="1:15" x14ac:dyDescent="0.25">
      <c r="A188" s="1">
        <v>187</v>
      </c>
      <c r="B188" s="1">
        <v>215</v>
      </c>
      <c r="C188" s="1">
        <v>48</v>
      </c>
      <c r="D188" s="1">
        <v>3000</v>
      </c>
      <c r="E188" s="1">
        <v>300</v>
      </c>
      <c r="F188" s="1" t="s">
        <v>556</v>
      </c>
      <c r="G188" s="1">
        <v>6</v>
      </c>
      <c r="H188" s="1">
        <v>140010117</v>
      </c>
      <c r="I188" s="3"/>
      <c r="J188" s="2"/>
      <c r="L188" s="1" t="s">
        <v>556</v>
      </c>
      <c r="M188" s="14"/>
      <c r="N188" s="14"/>
      <c r="O188" s="14" t="s">
        <v>787</v>
      </c>
    </row>
    <row r="189" spans="1:15" x14ac:dyDescent="0.25">
      <c r="A189" s="1">
        <v>188</v>
      </c>
      <c r="B189" s="1">
        <v>216</v>
      </c>
      <c r="C189" s="1">
        <v>49</v>
      </c>
      <c r="D189" s="1">
        <v>3000</v>
      </c>
      <c r="E189" s="1">
        <v>300</v>
      </c>
      <c r="F189" s="1" t="s">
        <v>556</v>
      </c>
      <c r="G189" s="1">
        <v>6</v>
      </c>
      <c r="H189" s="1">
        <v>140010230</v>
      </c>
      <c r="I189" s="3"/>
      <c r="J189" s="2"/>
      <c r="L189" s="1" t="s">
        <v>556</v>
      </c>
      <c r="M189" s="14"/>
      <c r="N189" s="14"/>
      <c r="O189" s="14" t="s">
        <v>788</v>
      </c>
    </row>
    <row r="190" spans="1:15" x14ac:dyDescent="0.25">
      <c r="A190" s="1">
        <v>189</v>
      </c>
      <c r="B190" s="1">
        <v>217</v>
      </c>
      <c r="C190" s="1">
        <v>43</v>
      </c>
      <c r="D190" s="1">
        <v>3000</v>
      </c>
      <c r="E190" s="1">
        <v>300</v>
      </c>
      <c r="F190" s="1" t="s">
        <v>556</v>
      </c>
      <c r="G190" s="1">
        <v>4</v>
      </c>
      <c r="H190" s="1">
        <v>140310007</v>
      </c>
      <c r="I190" s="3"/>
      <c r="J190" s="2"/>
      <c r="L190" s="1" t="s">
        <v>556</v>
      </c>
      <c r="M190" s="14"/>
      <c r="N190" s="14"/>
      <c r="O190" s="14" t="s">
        <v>789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8741F-E64A-41E1-B6CD-C337F1C73D68}">
  <sheetPr codeName="Sheet21"/>
  <dimension ref="A1:N6"/>
  <sheetViews>
    <sheetView workbookViewId="0">
      <selection activeCell="O1" sqref="O1:O1048576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customWidth="1"/>
    <col min="5" max="5" width="25" style="1" customWidth="1"/>
    <col min="6" max="6" width="17.7109375" style="1" customWidth="1"/>
    <col min="7" max="7" width="16.7109375" style="1" customWidth="1"/>
    <col min="8" max="8" width="15.7109375" style="1" customWidth="1"/>
    <col min="9" max="9" width="19" style="1" customWidth="1"/>
    <col min="10" max="10" width="34.7109375" style="1" customWidth="1"/>
    <col min="11" max="14" width="15.7109375" style="1" customWidth="1"/>
    <col min="15" max="16384" width="15.7109375" style="1"/>
  </cols>
  <sheetData>
    <row r="1" spans="1:14" x14ac:dyDescent="0.25">
      <c r="A1" s="1" t="s">
        <v>0</v>
      </c>
      <c r="B1" s="1" t="s">
        <v>564</v>
      </c>
      <c r="C1" s="1" t="s">
        <v>505</v>
      </c>
      <c r="D1" s="1" t="s">
        <v>389</v>
      </c>
      <c r="E1" s="1" t="s">
        <v>568</v>
      </c>
      <c r="F1" s="1" t="s">
        <v>569</v>
      </c>
      <c r="G1" s="1" t="s">
        <v>570</v>
      </c>
      <c r="H1" s="1" t="s">
        <v>392</v>
      </c>
      <c r="I1" s="1" t="s">
        <v>367</v>
      </c>
      <c r="J1" s="1" t="s">
        <v>13</v>
      </c>
      <c r="K1" s="1" t="s">
        <v>14</v>
      </c>
      <c r="L1" s="1" t="s">
        <v>15</v>
      </c>
      <c r="M1" s="1" t="s">
        <v>16</v>
      </c>
      <c r="N1" s="1" t="s">
        <v>17</v>
      </c>
    </row>
    <row r="2" spans="1:14" x14ac:dyDescent="0.25">
      <c r="A2" s="1">
        <v>125</v>
      </c>
      <c r="B2" s="1">
        <v>117.2</v>
      </c>
      <c r="C2" s="1">
        <v>33</v>
      </c>
      <c r="D2" s="1">
        <v>6900</v>
      </c>
      <c r="F2" s="1">
        <v>140530039</v>
      </c>
      <c r="G2" s="1">
        <v>3</v>
      </c>
      <c r="I2" s="3"/>
      <c r="J2" s="2" t="s">
        <v>623</v>
      </c>
      <c r="L2" s="1" t="s">
        <v>591</v>
      </c>
      <c r="M2" s="14"/>
      <c r="N2" s="14"/>
    </row>
    <row r="3" spans="1:14" x14ac:dyDescent="0.25">
      <c r="A3" s="1">
        <v>132</v>
      </c>
      <c r="B3" s="1">
        <v>122.2</v>
      </c>
      <c r="C3" s="1">
        <v>33</v>
      </c>
      <c r="D3" s="1">
        <v>3100</v>
      </c>
      <c r="F3" s="1">
        <v>140530039</v>
      </c>
      <c r="G3" s="1">
        <v>3</v>
      </c>
      <c r="I3" s="3"/>
      <c r="J3" s="2" t="s">
        <v>623</v>
      </c>
      <c r="L3" s="1" t="s">
        <v>407</v>
      </c>
      <c r="M3" s="14"/>
      <c r="N3" s="14"/>
    </row>
    <row r="4" spans="1:14" x14ac:dyDescent="0.25">
      <c r="A4" s="1">
        <v>124</v>
      </c>
      <c r="B4" s="1">
        <v>117.1</v>
      </c>
      <c r="C4" s="1">
        <v>18</v>
      </c>
      <c r="D4" s="1">
        <v>-6900</v>
      </c>
      <c r="F4" s="1">
        <v>141320055</v>
      </c>
      <c r="G4" s="1">
        <v>2</v>
      </c>
      <c r="I4" s="3"/>
      <c r="J4" s="2" t="s">
        <v>622</v>
      </c>
      <c r="L4" s="1" t="s">
        <v>591</v>
      </c>
      <c r="M4" s="14"/>
      <c r="N4" s="14"/>
    </row>
    <row r="5" spans="1:14" x14ac:dyDescent="0.25">
      <c r="A5" s="1">
        <v>131</v>
      </c>
      <c r="B5" s="1">
        <v>122.1</v>
      </c>
      <c r="C5" s="1">
        <v>18</v>
      </c>
      <c r="D5" s="1">
        <v>-3100</v>
      </c>
      <c r="F5" s="1">
        <v>141320055</v>
      </c>
      <c r="G5" s="1">
        <v>2</v>
      </c>
      <c r="I5" s="3"/>
      <c r="J5" s="2" t="s">
        <v>622</v>
      </c>
      <c r="L5" s="1" t="s">
        <v>407</v>
      </c>
      <c r="M5" s="14"/>
      <c r="N5" s="14"/>
    </row>
    <row r="6" spans="1:14" x14ac:dyDescent="0.25">
      <c r="A6" s="1">
        <v>201</v>
      </c>
      <c r="B6" s="1">
        <v>199</v>
      </c>
      <c r="C6" s="1">
        <v>46</v>
      </c>
      <c r="D6" s="1">
        <v>3</v>
      </c>
      <c r="E6" s="1">
        <v>300</v>
      </c>
      <c r="F6" s="1">
        <v>140010230</v>
      </c>
      <c r="G6" s="1">
        <v>5</v>
      </c>
      <c r="I6" s="3"/>
      <c r="J6" s="2" t="s">
        <v>628</v>
      </c>
      <c r="L6" s="1" t="s">
        <v>410</v>
      </c>
      <c r="M6" s="14"/>
      <c r="N6" s="14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B8614-AB0E-47E3-A4A3-8F57C2013B23}">
  <sheetPr codeName="Sheet20"/>
  <dimension ref="A1:M26"/>
  <sheetViews>
    <sheetView workbookViewId="0">
      <selection activeCell="A7" sqref="A7"/>
    </sheetView>
  </sheetViews>
  <sheetFormatPr defaultColWidth="15.7109375" defaultRowHeight="15" x14ac:dyDescent="0.25"/>
  <cols>
    <col min="1" max="1" width="7.28515625" style="1" bestFit="1" customWidth="1"/>
    <col min="2" max="2" width="8.42578125" style="1" bestFit="1" customWidth="1"/>
    <col min="3" max="3" width="15.7109375" style="1"/>
    <col min="4" max="4" width="13" style="1" bestFit="1" customWidth="1"/>
    <col min="5" max="5" width="25" style="1" bestFit="1" customWidth="1"/>
    <col min="6" max="6" width="16.7109375" style="1" bestFit="1" customWidth="1"/>
    <col min="7" max="7" width="15.7109375" style="1"/>
    <col min="8" max="8" width="19" style="1" bestFit="1" customWidth="1"/>
    <col min="9" max="9" width="34.7109375" style="1" bestFit="1" customWidth="1"/>
    <col min="10" max="16384" width="15.7109375" style="1"/>
  </cols>
  <sheetData>
    <row r="1" spans="1:13" x14ac:dyDescent="0.25">
      <c r="A1" s="1" t="s">
        <v>0</v>
      </c>
      <c r="B1" s="1" t="s">
        <v>564</v>
      </c>
      <c r="C1" s="1" t="s">
        <v>366</v>
      </c>
      <c r="D1" s="1" t="s">
        <v>389</v>
      </c>
      <c r="E1" s="1" t="s">
        <v>568</v>
      </c>
      <c r="F1" s="1" t="s">
        <v>570</v>
      </c>
      <c r="G1" s="1" t="s">
        <v>392</v>
      </c>
      <c r="H1" s="1" t="s">
        <v>367</v>
      </c>
      <c r="I1" s="1" t="s">
        <v>13</v>
      </c>
      <c r="J1" s="1" t="s">
        <v>14</v>
      </c>
      <c r="K1" s="1" t="s">
        <v>15</v>
      </c>
      <c r="L1" s="1" t="s">
        <v>16</v>
      </c>
      <c r="M1" s="1" t="s">
        <v>17</v>
      </c>
    </row>
    <row r="2" spans="1:13" x14ac:dyDescent="0.25">
      <c r="A2" s="1">
        <v>1</v>
      </c>
      <c r="C2" s="1">
        <v>140010230</v>
      </c>
      <c r="D2" s="1">
        <v>2000</v>
      </c>
      <c r="E2" s="1">
        <v>300</v>
      </c>
      <c r="H2" s="3"/>
      <c r="I2" s="2"/>
      <c r="K2" s="1" t="s">
        <v>575</v>
      </c>
      <c r="L2" s="14"/>
      <c r="M2" s="14"/>
    </row>
    <row r="3" spans="1:13" x14ac:dyDescent="0.25">
      <c r="A3" s="1">
        <v>2</v>
      </c>
      <c r="B3" s="1">
        <v>2</v>
      </c>
      <c r="C3" s="1">
        <v>140010255</v>
      </c>
      <c r="D3" s="1">
        <v>500</v>
      </c>
      <c r="E3" s="1">
        <v>300</v>
      </c>
      <c r="H3" s="3"/>
      <c r="I3" s="2"/>
      <c r="K3" s="1" t="s">
        <v>575</v>
      </c>
      <c r="L3" s="14"/>
      <c r="M3" s="14"/>
    </row>
    <row r="4" spans="1:13" x14ac:dyDescent="0.25">
      <c r="A4" s="1">
        <v>3</v>
      </c>
      <c r="C4" s="1">
        <v>140010117</v>
      </c>
      <c r="D4" s="1">
        <v>2100</v>
      </c>
      <c r="E4" s="1">
        <v>300</v>
      </c>
      <c r="H4" s="3"/>
      <c r="I4" s="2"/>
      <c r="K4" s="1" t="s">
        <v>575</v>
      </c>
      <c r="L4" s="14"/>
      <c r="M4" s="14"/>
    </row>
    <row r="5" spans="1:13" x14ac:dyDescent="0.25">
      <c r="A5" s="1">
        <v>4</v>
      </c>
      <c r="C5" s="1">
        <v>140010117</v>
      </c>
      <c r="D5" s="1">
        <v>3000</v>
      </c>
      <c r="E5" s="1">
        <v>300</v>
      </c>
      <c r="H5" s="3"/>
      <c r="I5" s="2"/>
      <c r="K5" s="1" t="s">
        <v>576</v>
      </c>
      <c r="L5" s="14"/>
      <c r="M5" s="14"/>
    </row>
    <row r="6" spans="1:13" x14ac:dyDescent="0.25">
      <c r="A6" s="1">
        <v>5</v>
      </c>
      <c r="C6" s="1">
        <v>140010230</v>
      </c>
      <c r="D6" s="1">
        <v>3000</v>
      </c>
      <c r="E6" s="1">
        <v>300</v>
      </c>
      <c r="H6" s="3"/>
      <c r="I6" s="2"/>
      <c r="K6" s="1" t="s">
        <v>576</v>
      </c>
      <c r="L6" s="14"/>
      <c r="M6" s="14"/>
    </row>
    <row r="7" spans="1:13" x14ac:dyDescent="0.25">
      <c r="A7" s="1">
        <v>6</v>
      </c>
      <c r="C7" s="1">
        <v>140010117</v>
      </c>
      <c r="D7" s="1">
        <v>4900</v>
      </c>
      <c r="E7" s="1">
        <v>300</v>
      </c>
      <c r="H7" s="3"/>
      <c r="I7" s="2"/>
      <c r="K7" s="1" t="s">
        <v>577</v>
      </c>
      <c r="L7" s="14"/>
      <c r="M7" s="14"/>
    </row>
    <row r="8" spans="1:13" x14ac:dyDescent="0.25">
      <c r="A8" s="1">
        <v>7</v>
      </c>
      <c r="C8" s="1">
        <v>140010298</v>
      </c>
      <c r="D8" s="1">
        <v>630</v>
      </c>
      <c r="E8" s="1">
        <v>500</v>
      </c>
      <c r="H8" s="3"/>
      <c r="I8" s="2"/>
      <c r="K8" s="1" t="s">
        <v>394</v>
      </c>
      <c r="L8" s="14"/>
      <c r="M8" s="14"/>
    </row>
    <row r="9" spans="1:13" x14ac:dyDescent="0.25">
      <c r="A9" s="1">
        <v>8</v>
      </c>
      <c r="C9" s="1">
        <v>140010279</v>
      </c>
      <c r="D9" s="1">
        <v>3000</v>
      </c>
      <c r="E9" s="1">
        <v>500</v>
      </c>
      <c r="H9" s="3"/>
      <c r="I9" s="2"/>
      <c r="K9" s="1" t="s">
        <v>394</v>
      </c>
      <c r="L9" s="14"/>
      <c r="M9" s="14"/>
    </row>
    <row r="10" spans="1:13" x14ac:dyDescent="0.25">
      <c r="A10" s="1">
        <v>9</v>
      </c>
      <c r="C10" s="1">
        <v>140010295</v>
      </c>
      <c r="D10" s="1">
        <v>4300</v>
      </c>
      <c r="E10" s="1">
        <v>500</v>
      </c>
      <c r="H10" s="3"/>
      <c r="I10" s="2"/>
      <c r="K10" s="1" t="s">
        <v>394</v>
      </c>
      <c r="L10" s="14"/>
      <c r="M10" s="14"/>
    </row>
    <row r="11" spans="1:13" x14ac:dyDescent="0.25">
      <c r="A11" s="1">
        <v>10</v>
      </c>
      <c r="C11" s="1">
        <v>140010280</v>
      </c>
      <c r="D11" s="1">
        <v>3000</v>
      </c>
      <c r="E11" s="1">
        <v>500</v>
      </c>
      <c r="H11" s="3"/>
      <c r="I11" s="2"/>
      <c r="K11" s="1" t="s">
        <v>578</v>
      </c>
      <c r="L11" s="14"/>
      <c r="M11" s="14"/>
    </row>
    <row r="12" spans="1:13" x14ac:dyDescent="0.25">
      <c r="A12" s="1">
        <v>11</v>
      </c>
      <c r="C12" s="1">
        <v>140010280</v>
      </c>
      <c r="D12" s="1">
        <v>1495</v>
      </c>
      <c r="E12" s="1">
        <v>500</v>
      </c>
      <c r="H12" s="3"/>
      <c r="I12" s="2"/>
      <c r="K12" s="1" t="s">
        <v>578</v>
      </c>
      <c r="L12" s="14"/>
      <c r="M12" s="14"/>
    </row>
    <row r="13" spans="1:13" x14ac:dyDescent="0.25">
      <c r="A13" s="1">
        <v>12</v>
      </c>
      <c r="C13" s="1">
        <v>140010280</v>
      </c>
      <c r="D13" s="1">
        <v>3610</v>
      </c>
      <c r="E13" s="1">
        <v>500</v>
      </c>
      <c r="H13" s="3"/>
      <c r="I13" s="2"/>
      <c r="K13" s="1" t="s">
        <v>580</v>
      </c>
      <c r="L13" s="14"/>
      <c r="M13" s="14"/>
    </row>
    <row r="14" spans="1:13" x14ac:dyDescent="0.25">
      <c r="A14" s="1">
        <v>13</v>
      </c>
      <c r="C14" s="1">
        <v>140010279</v>
      </c>
      <c r="D14" s="1">
        <v>3000</v>
      </c>
      <c r="E14" s="1">
        <v>500</v>
      </c>
      <c r="H14" s="3"/>
      <c r="I14" s="2"/>
      <c r="K14" s="1" t="s">
        <v>580</v>
      </c>
      <c r="L14" s="14"/>
      <c r="M14" s="14"/>
    </row>
    <row r="15" spans="1:13" x14ac:dyDescent="0.25">
      <c r="A15" s="1">
        <v>14</v>
      </c>
      <c r="C15" s="1">
        <v>140010279</v>
      </c>
      <c r="D15" s="1">
        <v>4300</v>
      </c>
      <c r="E15" s="1">
        <v>500</v>
      </c>
      <c r="H15" s="3"/>
      <c r="I15" s="2"/>
      <c r="K15" s="1" t="s">
        <v>581</v>
      </c>
      <c r="L15" s="14"/>
      <c r="M15" s="14"/>
    </row>
    <row r="16" spans="1:13" x14ac:dyDescent="0.25">
      <c r="A16" s="1">
        <v>15</v>
      </c>
      <c r="C16" s="1">
        <v>140010295</v>
      </c>
      <c r="D16" s="1">
        <v>10</v>
      </c>
      <c r="E16" s="1">
        <v>500</v>
      </c>
      <c r="H16" s="3"/>
      <c r="I16" s="2" t="s">
        <v>620</v>
      </c>
      <c r="K16" s="1" t="s">
        <v>582</v>
      </c>
      <c r="L16" s="14"/>
      <c r="M16" s="14"/>
    </row>
    <row r="17" spans="1:13" x14ac:dyDescent="0.25">
      <c r="A17" s="1">
        <v>16</v>
      </c>
      <c r="C17" s="1">
        <v>140010279</v>
      </c>
      <c r="D17" s="1">
        <v>-2</v>
      </c>
      <c r="E17" s="1">
        <v>500</v>
      </c>
      <c r="H17" s="3"/>
      <c r="I17" s="2" t="s">
        <v>621</v>
      </c>
      <c r="K17" s="1" t="s">
        <v>582</v>
      </c>
      <c r="L17" s="14"/>
      <c r="M17" s="14"/>
    </row>
    <row r="18" spans="1:13" x14ac:dyDescent="0.25">
      <c r="A18" s="1">
        <v>17</v>
      </c>
      <c r="C18" s="1">
        <v>140010298</v>
      </c>
      <c r="D18" s="1">
        <v>2</v>
      </c>
      <c r="E18" s="1">
        <v>500</v>
      </c>
      <c r="H18" s="3"/>
      <c r="I18" s="2" t="s">
        <v>621</v>
      </c>
      <c r="K18" s="1" t="s">
        <v>582</v>
      </c>
      <c r="L18" s="14"/>
      <c r="M18" s="14"/>
    </row>
    <row r="19" spans="1:13" x14ac:dyDescent="0.25">
      <c r="A19" s="1">
        <v>18</v>
      </c>
      <c r="B19" s="1">
        <v>138</v>
      </c>
      <c r="C19" s="1">
        <v>140550019</v>
      </c>
      <c r="E19" s="1">
        <v>300</v>
      </c>
      <c r="H19" s="3"/>
      <c r="I19" s="2" t="s">
        <v>624</v>
      </c>
      <c r="K19" s="1" t="s">
        <v>408</v>
      </c>
      <c r="L19" s="14"/>
      <c r="M19" s="14"/>
    </row>
    <row r="20" spans="1:13" x14ac:dyDescent="0.25">
      <c r="A20" s="1">
        <v>19</v>
      </c>
      <c r="B20" s="1">
        <v>140</v>
      </c>
      <c r="C20" s="1">
        <v>140310071</v>
      </c>
      <c r="D20" s="1">
        <v>300</v>
      </c>
      <c r="E20" s="1">
        <v>300</v>
      </c>
      <c r="H20" s="3"/>
      <c r="I20" s="2" t="s">
        <v>624</v>
      </c>
      <c r="K20" s="1" t="s">
        <v>598</v>
      </c>
      <c r="L20" s="14"/>
      <c r="M20" s="14"/>
    </row>
    <row r="21" spans="1:13" x14ac:dyDescent="0.25">
      <c r="A21" s="1">
        <v>20</v>
      </c>
      <c r="B21" s="1">
        <v>146</v>
      </c>
      <c r="C21" s="1">
        <v>140310071</v>
      </c>
      <c r="D21" s="1">
        <v>1200</v>
      </c>
      <c r="E21" s="1">
        <v>300</v>
      </c>
      <c r="H21" s="3"/>
      <c r="I21" s="2" t="s">
        <v>624</v>
      </c>
      <c r="K21" s="1" t="s">
        <v>601</v>
      </c>
      <c r="L21" s="14"/>
      <c r="M21" s="14"/>
    </row>
    <row r="22" spans="1:13" x14ac:dyDescent="0.25">
      <c r="A22" s="1">
        <v>21</v>
      </c>
      <c r="B22" s="1">
        <v>150</v>
      </c>
      <c r="C22" s="1">
        <v>140310071</v>
      </c>
      <c r="D22" s="1">
        <v>1200</v>
      </c>
      <c r="E22" s="1">
        <v>300</v>
      </c>
      <c r="H22" s="3"/>
      <c r="I22" s="2" t="s">
        <v>624</v>
      </c>
      <c r="K22" s="1" t="s">
        <v>549</v>
      </c>
      <c r="L22" s="14"/>
      <c r="M22" s="14"/>
    </row>
    <row r="23" spans="1:13" x14ac:dyDescent="0.25">
      <c r="A23" s="1">
        <v>22</v>
      </c>
      <c r="B23" s="1">
        <v>190</v>
      </c>
      <c r="C23" s="1">
        <v>140310071</v>
      </c>
      <c r="D23" s="1">
        <v>275</v>
      </c>
      <c r="E23" s="1">
        <v>275</v>
      </c>
      <c r="H23" s="3"/>
      <c r="I23" s="2" t="s">
        <v>626</v>
      </c>
      <c r="K23" s="1" t="s">
        <v>614</v>
      </c>
      <c r="L23" s="14"/>
      <c r="M23" s="14"/>
    </row>
    <row r="24" spans="1:13" x14ac:dyDescent="0.25">
      <c r="A24" s="1">
        <v>23</v>
      </c>
      <c r="B24" s="1">
        <v>205</v>
      </c>
      <c r="C24" s="1">
        <v>140310031</v>
      </c>
      <c r="D24" s="1">
        <v>11</v>
      </c>
      <c r="E24" s="1">
        <v>300</v>
      </c>
      <c r="H24" s="3"/>
      <c r="I24" s="2" t="s">
        <v>628</v>
      </c>
      <c r="K24" s="1" t="s">
        <v>412</v>
      </c>
      <c r="L24" s="14"/>
      <c r="M24" s="14"/>
    </row>
    <row r="25" spans="1:13" x14ac:dyDescent="0.25">
      <c r="A25" s="1">
        <v>24</v>
      </c>
      <c r="B25" s="1">
        <v>206</v>
      </c>
      <c r="C25" s="1">
        <v>140310071</v>
      </c>
      <c r="D25" s="1">
        <v>174</v>
      </c>
      <c r="E25" s="1">
        <v>174</v>
      </c>
      <c r="H25" s="3"/>
      <c r="I25" s="2" t="s">
        <v>628</v>
      </c>
      <c r="K25" s="1" t="s">
        <v>412</v>
      </c>
      <c r="L25" s="14"/>
      <c r="M25" s="14"/>
    </row>
    <row r="26" spans="1:13" x14ac:dyDescent="0.25">
      <c r="A26" s="1">
        <v>25</v>
      </c>
      <c r="B26" s="1">
        <v>207</v>
      </c>
      <c r="C26" s="1">
        <v>140310083</v>
      </c>
      <c r="D26" s="1">
        <v>26</v>
      </c>
      <c r="E26" s="1">
        <v>26</v>
      </c>
      <c r="H26" s="3"/>
      <c r="I26" s="2" t="s">
        <v>628</v>
      </c>
      <c r="K26" s="1" t="s">
        <v>412</v>
      </c>
      <c r="L26" s="14"/>
      <c r="M26" s="14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1C88-02B7-4988-A276-D41D9B95F196}">
  <sheetPr codeName="Sheet18"/>
  <dimension ref="A1:C1353"/>
  <sheetViews>
    <sheetView workbookViewId="0">
      <pane ySplit="1" topLeftCell="A2" activePane="bottomLeft" state="frozen"/>
      <selection pane="bottomLeft" activeCell="A2" sqref="A2"/>
    </sheetView>
  </sheetViews>
  <sheetFormatPr defaultColWidth="15.7109375" defaultRowHeight="15" x14ac:dyDescent="0.25"/>
  <cols>
    <col min="1" max="16384" width="15.7109375" style="1"/>
  </cols>
  <sheetData>
    <row r="1" spans="1:3" x14ac:dyDescent="0.25">
      <c r="A1" s="1" t="s">
        <v>0</v>
      </c>
      <c r="B1" s="1" t="s">
        <v>792</v>
      </c>
      <c r="C1" s="1" t="s">
        <v>793</v>
      </c>
    </row>
    <row r="2" spans="1:3" x14ac:dyDescent="0.25">
      <c r="A2" s="1">
        <v>270</v>
      </c>
      <c r="B2" s="1">
        <v>23</v>
      </c>
      <c r="C2" s="1">
        <v>300</v>
      </c>
    </row>
    <row r="3" spans="1:3" x14ac:dyDescent="0.25">
      <c r="A3" s="1">
        <v>271</v>
      </c>
      <c r="B3" s="1">
        <v>23</v>
      </c>
      <c r="C3" s="1">
        <v>300</v>
      </c>
    </row>
    <row r="4" spans="1:3" x14ac:dyDescent="0.25">
      <c r="A4" s="1">
        <v>272</v>
      </c>
      <c r="B4" s="1">
        <v>23</v>
      </c>
      <c r="C4" s="1">
        <v>300</v>
      </c>
    </row>
    <row r="5" spans="1:3" x14ac:dyDescent="0.25">
      <c r="A5" s="1">
        <v>273</v>
      </c>
      <c r="B5" s="1">
        <v>23</v>
      </c>
      <c r="C5" s="1">
        <v>300</v>
      </c>
    </row>
    <row r="6" spans="1:3" x14ac:dyDescent="0.25">
      <c r="A6" s="1">
        <v>274</v>
      </c>
      <c r="B6" s="1">
        <v>23</v>
      </c>
      <c r="C6" s="1">
        <v>300</v>
      </c>
    </row>
    <row r="7" spans="1:3" x14ac:dyDescent="0.25">
      <c r="A7" s="1">
        <v>275</v>
      </c>
      <c r="B7" s="1">
        <v>23</v>
      </c>
      <c r="C7" s="1">
        <v>300</v>
      </c>
    </row>
    <row r="8" spans="1:3" x14ac:dyDescent="0.25">
      <c r="A8" s="1">
        <v>276</v>
      </c>
      <c r="B8" s="1">
        <v>23</v>
      </c>
      <c r="C8" s="1">
        <v>300</v>
      </c>
    </row>
    <row r="9" spans="1:3" x14ac:dyDescent="0.25">
      <c r="A9" s="1">
        <v>277</v>
      </c>
      <c r="B9" s="1">
        <v>23</v>
      </c>
      <c r="C9" s="1">
        <v>300</v>
      </c>
    </row>
    <row r="10" spans="1:3" x14ac:dyDescent="0.25">
      <c r="A10" s="1">
        <v>278</v>
      </c>
      <c r="B10" s="1">
        <v>23</v>
      </c>
      <c r="C10" s="1">
        <v>300</v>
      </c>
    </row>
    <row r="11" spans="1:3" x14ac:dyDescent="0.25">
      <c r="A11" s="1">
        <v>279</v>
      </c>
      <c r="B11" s="1">
        <v>23</v>
      </c>
      <c r="C11" s="1">
        <v>300</v>
      </c>
    </row>
    <row r="12" spans="1:3" x14ac:dyDescent="0.25">
      <c r="A12" s="1">
        <v>280</v>
      </c>
      <c r="B12" s="1">
        <v>24</v>
      </c>
      <c r="C12" s="1">
        <v>300</v>
      </c>
    </row>
    <row r="13" spans="1:3" x14ac:dyDescent="0.25">
      <c r="A13" s="1">
        <v>281</v>
      </c>
      <c r="B13" s="1">
        <v>24</v>
      </c>
      <c r="C13" s="1">
        <v>300</v>
      </c>
    </row>
    <row r="14" spans="1:3" x14ac:dyDescent="0.25">
      <c r="A14" s="1">
        <v>282</v>
      </c>
      <c r="B14" s="1">
        <v>24</v>
      </c>
      <c r="C14" s="1">
        <v>300</v>
      </c>
    </row>
    <row r="15" spans="1:3" x14ac:dyDescent="0.25">
      <c r="A15" s="1">
        <v>283</v>
      </c>
      <c r="B15" s="1">
        <v>24</v>
      </c>
      <c r="C15" s="1">
        <v>100</v>
      </c>
    </row>
    <row r="16" spans="1:3" x14ac:dyDescent="0.25">
      <c r="A16" s="1">
        <v>284</v>
      </c>
      <c r="B16" s="1">
        <v>25</v>
      </c>
      <c r="C16" s="1">
        <v>300</v>
      </c>
    </row>
    <row r="17" spans="1:3" x14ac:dyDescent="0.25">
      <c r="A17" s="1">
        <v>285</v>
      </c>
      <c r="B17" s="1">
        <v>25</v>
      </c>
      <c r="C17" s="1">
        <v>300</v>
      </c>
    </row>
    <row r="18" spans="1:3" x14ac:dyDescent="0.25">
      <c r="A18" s="1">
        <v>286</v>
      </c>
      <c r="B18" s="1">
        <v>25</v>
      </c>
      <c r="C18" s="1">
        <v>300</v>
      </c>
    </row>
    <row r="19" spans="1:3" x14ac:dyDescent="0.25">
      <c r="A19" s="1">
        <v>287</v>
      </c>
      <c r="B19" s="1">
        <v>25</v>
      </c>
      <c r="C19" s="1">
        <v>300</v>
      </c>
    </row>
    <row r="20" spans="1:3" x14ac:dyDescent="0.25">
      <c r="A20" s="1">
        <v>288</v>
      </c>
      <c r="B20" s="1">
        <v>25</v>
      </c>
      <c r="C20" s="1">
        <v>300</v>
      </c>
    </row>
    <row r="21" spans="1:3" x14ac:dyDescent="0.25">
      <c r="A21" s="1">
        <v>289</v>
      </c>
      <c r="B21" s="1">
        <v>25</v>
      </c>
      <c r="C21" s="1">
        <v>300</v>
      </c>
    </row>
    <row r="22" spans="1:3" x14ac:dyDescent="0.25">
      <c r="A22" s="1">
        <v>290</v>
      </c>
      <c r="B22" s="1">
        <v>25</v>
      </c>
      <c r="C22" s="1">
        <v>300</v>
      </c>
    </row>
    <row r="23" spans="1:3" x14ac:dyDescent="0.25">
      <c r="A23" s="1">
        <v>291</v>
      </c>
      <c r="B23" s="1">
        <v>25</v>
      </c>
      <c r="C23" s="1">
        <v>300</v>
      </c>
    </row>
    <row r="24" spans="1:3" x14ac:dyDescent="0.25">
      <c r="A24" s="1">
        <v>292</v>
      </c>
      <c r="B24" s="1">
        <v>25</v>
      </c>
      <c r="C24" s="1">
        <v>300</v>
      </c>
    </row>
    <row r="25" spans="1:3" x14ac:dyDescent="0.25">
      <c r="A25" s="1">
        <v>293</v>
      </c>
      <c r="B25" s="1">
        <v>25</v>
      </c>
      <c r="C25" s="1">
        <v>300</v>
      </c>
    </row>
    <row r="26" spans="1:3" x14ac:dyDescent="0.25">
      <c r="A26" s="1">
        <v>294</v>
      </c>
      <c r="B26" s="1">
        <v>26</v>
      </c>
      <c r="C26" s="1">
        <v>300</v>
      </c>
    </row>
    <row r="27" spans="1:3" x14ac:dyDescent="0.25">
      <c r="A27" s="1">
        <v>295</v>
      </c>
      <c r="B27" s="1">
        <v>26</v>
      </c>
      <c r="C27" s="1">
        <v>300</v>
      </c>
    </row>
    <row r="28" spans="1:3" x14ac:dyDescent="0.25">
      <c r="A28" s="1">
        <v>296</v>
      </c>
      <c r="B28" s="1">
        <v>26</v>
      </c>
      <c r="C28" s="1">
        <v>300</v>
      </c>
    </row>
    <row r="29" spans="1:3" x14ac:dyDescent="0.25">
      <c r="A29" s="1">
        <v>297</v>
      </c>
      <c r="B29" s="1">
        <v>26</v>
      </c>
      <c r="C29" s="1">
        <v>300</v>
      </c>
    </row>
    <row r="30" spans="1:3" x14ac:dyDescent="0.25">
      <c r="A30" s="1">
        <v>298</v>
      </c>
      <c r="B30" s="1">
        <v>26</v>
      </c>
      <c r="C30" s="1">
        <v>300</v>
      </c>
    </row>
    <row r="31" spans="1:3" x14ac:dyDescent="0.25">
      <c r="A31" s="1">
        <v>299</v>
      </c>
      <c r="B31" s="1">
        <v>26</v>
      </c>
      <c r="C31" s="1">
        <v>300</v>
      </c>
    </row>
    <row r="32" spans="1:3" x14ac:dyDescent="0.25">
      <c r="A32" s="1">
        <v>300</v>
      </c>
      <c r="B32" s="1">
        <v>26</v>
      </c>
      <c r="C32" s="1">
        <v>300</v>
      </c>
    </row>
    <row r="33" spans="1:3" x14ac:dyDescent="0.25">
      <c r="A33" s="1">
        <v>301</v>
      </c>
      <c r="B33" s="1">
        <v>26</v>
      </c>
      <c r="C33" s="1">
        <v>300</v>
      </c>
    </row>
    <row r="34" spans="1:3" x14ac:dyDescent="0.25">
      <c r="A34" s="1">
        <v>302</v>
      </c>
      <c r="B34" s="1">
        <v>26</v>
      </c>
      <c r="C34" s="1">
        <v>300</v>
      </c>
    </row>
    <row r="35" spans="1:3" x14ac:dyDescent="0.25">
      <c r="A35" s="1">
        <v>303</v>
      </c>
      <c r="B35" s="1">
        <v>26</v>
      </c>
      <c r="C35" s="1">
        <v>300</v>
      </c>
    </row>
    <row r="36" spans="1:3" x14ac:dyDescent="0.25">
      <c r="A36" s="1">
        <v>304</v>
      </c>
      <c r="B36" s="1">
        <v>27</v>
      </c>
      <c r="C36" s="1">
        <v>300</v>
      </c>
    </row>
    <row r="37" spans="1:3" x14ac:dyDescent="0.25">
      <c r="A37" s="1">
        <v>305</v>
      </c>
      <c r="B37" s="1">
        <v>27</v>
      </c>
      <c r="C37" s="1">
        <v>300</v>
      </c>
    </row>
    <row r="38" spans="1:3" x14ac:dyDescent="0.25">
      <c r="A38" s="1">
        <v>306</v>
      </c>
      <c r="B38" s="1">
        <v>27</v>
      </c>
      <c r="C38" s="1">
        <v>300</v>
      </c>
    </row>
    <row r="39" spans="1:3" x14ac:dyDescent="0.25">
      <c r="A39" s="1">
        <v>307</v>
      </c>
      <c r="B39" s="1">
        <v>27</v>
      </c>
      <c r="C39" s="1">
        <v>300</v>
      </c>
    </row>
    <row r="40" spans="1:3" x14ac:dyDescent="0.25">
      <c r="A40" s="1">
        <v>308</v>
      </c>
      <c r="B40" s="1">
        <v>27</v>
      </c>
      <c r="C40" s="1">
        <v>300</v>
      </c>
    </row>
    <row r="41" spans="1:3" x14ac:dyDescent="0.25">
      <c r="A41" s="1">
        <v>309</v>
      </c>
      <c r="B41" s="1">
        <v>27</v>
      </c>
      <c r="C41" s="1">
        <v>300</v>
      </c>
    </row>
    <row r="42" spans="1:3" x14ac:dyDescent="0.25">
      <c r="A42" s="1">
        <v>310</v>
      </c>
      <c r="B42" s="1">
        <v>27</v>
      </c>
      <c r="C42" s="1">
        <v>300</v>
      </c>
    </row>
    <row r="43" spans="1:3" x14ac:dyDescent="0.25">
      <c r="A43" s="1">
        <v>311</v>
      </c>
      <c r="B43" s="1">
        <v>27</v>
      </c>
      <c r="C43" s="1">
        <v>300</v>
      </c>
    </row>
    <row r="44" spans="1:3" x14ac:dyDescent="0.25">
      <c r="A44" s="1">
        <v>312</v>
      </c>
      <c r="B44" s="1">
        <v>27</v>
      </c>
      <c r="C44" s="1">
        <v>300</v>
      </c>
    </row>
    <row r="45" spans="1:3" x14ac:dyDescent="0.25">
      <c r="A45" s="1">
        <v>313</v>
      </c>
      <c r="B45" s="1">
        <v>27</v>
      </c>
      <c r="C45" s="1">
        <v>300</v>
      </c>
    </row>
    <row r="46" spans="1:3" x14ac:dyDescent="0.25">
      <c r="A46" s="1">
        <v>314</v>
      </c>
      <c r="B46" s="1">
        <v>28</v>
      </c>
      <c r="C46" s="1">
        <v>300</v>
      </c>
    </row>
    <row r="47" spans="1:3" x14ac:dyDescent="0.25">
      <c r="A47" s="1">
        <v>315</v>
      </c>
      <c r="B47" s="1">
        <v>28</v>
      </c>
      <c r="C47" s="1">
        <v>300</v>
      </c>
    </row>
    <row r="48" spans="1:3" x14ac:dyDescent="0.25">
      <c r="A48" s="1">
        <v>316</v>
      </c>
      <c r="B48" s="1">
        <v>28</v>
      </c>
      <c r="C48" s="1">
        <v>300</v>
      </c>
    </row>
    <row r="49" spans="1:3" x14ac:dyDescent="0.25">
      <c r="A49" s="1">
        <v>317</v>
      </c>
      <c r="B49" s="1">
        <v>28</v>
      </c>
      <c r="C49" s="1">
        <v>300</v>
      </c>
    </row>
    <row r="50" spans="1:3" x14ac:dyDescent="0.25">
      <c r="A50" s="1">
        <v>318</v>
      </c>
      <c r="B50" s="1">
        <v>28</v>
      </c>
      <c r="C50" s="1">
        <v>300</v>
      </c>
    </row>
    <row r="51" spans="1:3" x14ac:dyDescent="0.25">
      <c r="A51" s="1">
        <v>319</v>
      </c>
      <c r="B51" s="1">
        <v>28</v>
      </c>
      <c r="C51" s="1">
        <v>300</v>
      </c>
    </row>
    <row r="52" spans="1:3" x14ac:dyDescent="0.25">
      <c r="A52" s="1">
        <v>320</v>
      </c>
      <c r="B52" s="1">
        <v>28</v>
      </c>
      <c r="C52" s="1">
        <v>300</v>
      </c>
    </row>
    <row r="53" spans="1:3" x14ac:dyDescent="0.25">
      <c r="A53" s="1">
        <v>321</v>
      </c>
      <c r="B53" s="1">
        <v>28</v>
      </c>
      <c r="C53" s="1">
        <v>300</v>
      </c>
    </row>
    <row r="54" spans="1:3" x14ac:dyDescent="0.25">
      <c r="A54" s="1">
        <v>322</v>
      </c>
      <c r="B54" s="1">
        <v>28</v>
      </c>
      <c r="C54" s="1">
        <v>300</v>
      </c>
    </row>
    <row r="55" spans="1:3" x14ac:dyDescent="0.25">
      <c r="A55" s="1">
        <v>323</v>
      </c>
      <c r="B55" s="1">
        <v>28</v>
      </c>
      <c r="C55" s="1">
        <v>300</v>
      </c>
    </row>
    <row r="56" spans="1:3" x14ac:dyDescent="0.25">
      <c r="A56" s="1">
        <v>324</v>
      </c>
      <c r="B56" s="1">
        <v>29</v>
      </c>
      <c r="C56" s="1">
        <v>250</v>
      </c>
    </row>
    <row r="57" spans="1:3" x14ac:dyDescent="0.25">
      <c r="A57" s="1">
        <v>325</v>
      </c>
      <c r="B57" s="1">
        <v>29</v>
      </c>
      <c r="C57" s="1">
        <v>250</v>
      </c>
    </row>
    <row r="58" spans="1:3" x14ac:dyDescent="0.25">
      <c r="A58" s="1">
        <v>326</v>
      </c>
      <c r="B58" s="1">
        <v>30</v>
      </c>
      <c r="C58" s="1">
        <v>300</v>
      </c>
    </row>
    <row r="59" spans="1:3" x14ac:dyDescent="0.25">
      <c r="A59" s="1">
        <v>327</v>
      </c>
      <c r="B59" s="1">
        <v>30</v>
      </c>
      <c r="C59" s="1">
        <v>300</v>
      </c>
    </row>
    <row r="60" spans="1:3" x14ac:dyDescent="0.25">
      <c r="A60" s="1">
        <v>328</v>
      </c>
      <c r="B60" s="1">
        <v>30</v>
      </c>
      <c r="C60" s="1">
        <v>300</v>
      </c>
    </row>
    <row r="61" spans="1:3" x14ac:dyDescent="0.25">
      <c r="A61" s="1">
        <v>329</v>
      </c>
      <c r="B61" s="1">
        <v>30</v>
      </c>
      <c r="C61" s="1">
        <v>300</v>
      </c>
    </row>
    <row r="62" spans="1:3" x14ac:dyDescent="0.25">
      <c r="A62" s="1">
        <v>330</v>
      </c>
      <c r="B62" s="1">
        <v>30</v>
      </c>
      <c r="C62" s="1">
        <v>300</v>
      </c>
    </row>
    <row r="63" spans="1:3" x14ac:dyDescent="0.25">
      <c r="A63" s="1">
        <v>331</v>
      </c>
      <c r="B63" s="1">
        <v>30</v>
      </c>
      <c r="C63" s="1">
        <v>300</v>
      </c>
    </row>
    <row r="64" spans="1:3" x14ac:dyDescent="0.25">
      <c r="A64" s="1">
        <v>332</v>
      </c>
      <c r="B64" s="1">
        <v>30</v>
      </c>
      <c r="C64" s="1">
        <v>300</v>
      </c>
    </row>
    <row r="65" spans="1:3" x14ac:dyDescent="0.25">
      <c r="A65" s="1">
        <v>333</v>
      </c>
      <c r="B65" s="1">
        <v>30</v>
      </c>
      <c r="C65" s="1">
        <v>300</v>
      </c>
    </row>
    <row r="66" spans="1:3" x14ac:dyDescent="0.25">
      <c r="A66" s="1">
        <v>334</v>
      </c>
      <c r="B66" s="1">
        <v>30</v>
      </c>
      <c r="C66" s="1">
        <v>300</v>
      </c>
    </row>
    <row r="67" spans="1:3" x14ac:dyDescent="0.25">
      <c r="A67" s="1">
        <v>335</v>
      </c>
      <c r="B67" s="1">
        <v>30</v>
      </c>
      <c r="C67" s="1">
        <v>300</v>
      </c>
    </row>
    <row r="68" spans="1:3" x14ac:dyDescent="0.25">
      <c r="A68" s="1">
        <v>336</v>
      </c>
      <c r="B68" s="1">
        <v>30</v>
      </c>
      <c r="C68" s="1">
        <v>300</v>
      </c>
    </row>
    <row r="69" spans="1:3" x14ac:dyDescent="0.25">
      <c r="A69" s="1">
        <v>337</v>
      </c>
      <c r="B69" s="1">
        <v>30</v>
      </c>
      <c r="C69" s="1">
        <v>300</v>
      </c>
    </row>
    <row r="70" spans="1:3" x14ac:dyDescent="0.25">
      <c r="A70" s="1">
        <v>338</v>
      </c>
      <c r="B70" s="1">
        <v>30</v>
      </c>
      <c r="C70" s="1">
        <v>300</v>
      </c>
    </row>
    <row r="71" spans="1:3" x14ac:dyDescent="0.25">
      <c r="A71" s="1">
        <v>339</v>
      </c>
      <c r="B71" s="1">
        <v>31</v>
      </c>
      <c r="C71" s="1">
        <v>300</v>
      </c>
    </row>
    <row r="72" spans="1:3" x14ac:dyDescent="0.25">
      <c r="A72" s="1">
        <v>340</v>
      </c>
      <c r="B72" s="1">
        <v>31</v>
      </c>
      <c r="C72" s="1">
        <v>300</v>
      </c>
    </row>
    <row r="73" spans="1:3" x14ac:dyDescent="0.25">
      <c r="A73" s="1">
        <v>341</v>
      </c>
      <c r="B73" s="1">
        <v>31</v>
      </c>
      <c r="C73" s="1">
        <v>300</v>
      </c>
    </row>
    <row r="74" spans="1:3" x14ac:dyDescent="0.25">
      <c r="A74" s="1">
        <v>342</v>
      </c>
      <c r="B74" s="1">
        <v>31</v>
      </c>
      <c r="C74" s="1">
        <v>300</v>
      </c>
    </row>
    <row r="75" spans="1:3" x14ac:dyDescent="0.25">
      <c r="A75" s="1">
        <v>343</v>
      </c>
      <c r="B75" s="1">
        <v>31</v>
      </c>
      <c r="C75" s="1">
        <v>300</v>
      </c>
    </row>
    <row r="76" spans="1:3" x14ac:dyDescent="0.25">
      <c r="A76" s="1">
        <v>344</v>
      </c>
      <c r="B76" s="1">
        <v>31</v>
      </c>
      <c r="C76" s="1">
        <v>300</v>
      </c>
    </row>
    <row r="77" spans="1:3" x14ac:dyDescent="0.25">
      <c r="A77" s="1">
        <v>345</v>
      </c>
      <c r="B77" s="1">
        <v>31</v>
      </c>
      <c r="C77" s="1">
        <v>300</v>
      </c>
    </row>
    <row r="78" spans="1:3" x14ac:dyDescent="0.25">
      <c r="A78" s="1">
        <v>346</v>
      </c>
      <c r="B78" s="1">
        <v>31</v>
      </c>
      <c r="C78" s="1">
        <v>300</v>
      </c>
    </row>
    <row r="79" spans="1:3" x14ac:dyDescent="0.25">
      <c r="A79" s="1">
        <v>347</v>
      </c>
      <c r="B79" s="1">
        <v>31</v>
      </c>
      <c r="C79" s="1">
        <v>300</v>
      </c>
    </row>
    <row r="80" spans="1:3" x14ac:dyDescent="0.25">
      <c r="A80" s="1">
        <v>348</v>
      </c>
      <c r="B80" s="1">
        <v>31</v>
      </c>
      <c r="C80" s="1">
        <v>300</v>
      </c>
    </row>
    <row r="81" spans="1:3" x14ac:dyDescent="0.25">
      <c r="A81" s="1">
        <v>349</v>
      </c>
      <c r="B81" s="1">
        <v>32</v>
      </c>
      <c r="C81" s="1">
        <v>500</v>
      </c>
    </row>
    <row r="82" spans="1:3" x14ac:dyDescent="0.25">
      <c r="A82" s="1">
        <v>350</v>
      </c>
      <c r="B82" s="1">
        <v>32</v>
      </c>
      <c r="C82" s="1">
        <v>500</v>
      </c>
    </row>
    <row r="83" spans="1:3" x14ac:dyDescent="0.25">
      <c r="A83" s="1">
        <v>351</v>
      </c>
      <c r="B83" s="1">
        <v>32</v>
      </c>
      <c r="C83" s="1">
        <v>500</v>
      </c>
    </row>
    <row r="84" spans="1:3" x14ac:dyDescent="0.25">
      <c r="A84" s="1">
        <v>352</v>
      </c>
      <c r="B84" s="1">
        <v>32</v>
      </c>
      <c r="C84" s="1">
        <v>500</v>
      </c>
    </row>
    <row r="85" spans="1:3" x14ac:dyDescent="0.25">
      <c r="A85" s="1">
        <v>353</v>
      </c>
      <c r="B85" s="1">
        <v>32</v>
      </c>
      <c r="C85" s="1">
        <v>500</v>
      </c>
    </row>
    <row r="86" spans="1:3" x14ac:dyDescent="0.25">
      <c r="A86" s="1">
        <v>354</v>
      </c>
      <c r="B86" s="1">
        <v>32</v>
      </c>
      <c r="C86" s="1">
        <v>500</v>
      </c>
    </row>
    <row r="87" spans="1:3" x14ac:dyDescent="0.25">
      <c r="A87" s="1">
        <v>355</v>
      </c>
      <c r="B87" s="1">
        <v>33</v>
      </c>
      <c r="C87" s="1">
        <v>500</v>
      </c>
    </row>
    <row r="88" spans="1:3" x14ac:dyDescent="0.25">
      <c r="A88" s="1">
        <v>356</v>
      </c>
      <c r="B88" s="1">
        <v>33</v>
      </c>
      <c r="C88" s="1">
        <v>500</v>
      </c>
    </row>
    <row r="89" spans="1:3" x14ac:dyDescent="0.25">
      <c r="A89" s="1">
        <v>357</v>
      </c>
      <c r="B89" s="1">
        <v>33</v>
      </c>
      <c r="C89" s="1">
        <v>500</v>
      </c>
    </row>
    <row r="90" spans="1:3" x14ac:dyDescent="0.25">
      <c r="A90" s="1">
        <v>358</v>
      </c>
      <c r="B90" s="1">
        <v>33</v>
      </c>
      <c r="C90" s="1">
        <v>500</v>
      </c>
    </row>
    <row r="91" spans="1:3" x14ac:dyDescent="0.25">
      <c r="A91" s="1">
        <v>359</v>
      </c>
      <c r="B91" s="1">
        <v>33</v>
      </c>
      <c r="C91" s="1">
        <v>500</v>
      </c>
    </row>
    <row r="92" spans="1:3" x14ac:dyDescent="0.25">
      <c r="A92" s="1">
        <v>360</v>
      </c>
      <c r="B92" s="1">
        <v>33</v>
      </c>
      <c r="C92" s="1">
        <v>500</v>
      </c>
    </row>
    <row r="93" spans="1:3" x14ac:dyDescent="0.25">
      <c r="A93" s="1">
        <v>361</v>
      </c>
      <c r="B93" s="1">
        <v>34</v>
      </c>
      <c r="C93" s="1">
        <v>300</v>
      </c>
    </row>
    <row r="94" spans="1:3" x14ac:dyDescent="0.25">
      <c r="A94" s="1">
        <v>362</v>
      </c>
      <c r="B94" s="1">
        <v>34</v>
      </c>
      <c r="C94" s="1">
        <v>300</v>
      </c>
    </row>
    <row r="95" spans="1:3" x14ac:dyDescent="0.25">
      <c r="A95" s="1">
        <v>363</v>
      </c>
      <c r="B95" s="1">
        <v>34</v>
      </c>
      <c r="C95" s="1">
        <v>300</v>
      </c>
    </row>
    <row r="96" spans="1:3" x14ac:dyDescent="0.25">
      <c r="A96" s="1">
        <v>364</v>
      </c>
      <c r="B96" s="1">
        <v>34</v>
      </c>
      <c r="C96" s="1">
        <v>300</v>
      </c>
    </row>
    <row r="97" spans="1:3" x14ac:dyDescent="0.25">
      <c r="A97" s="1">
        <v>365</v>
      </c>
      <c r="B97" s="1">
        <v>34</v>
      </c>
      <c r="C97" s="1">
        <v>300</v>
      </c>
    </row>
    <row r="98" spans="1:3" x14ac:dyDescent="0.25">
      <c r="A98" s="1">
        <v>366</v>
      </c>
      <c r="B98" s="1">
        <v>34</v>
      </c>
      <c r="C98" s="1">
        <v>300</v>
      </c>
    </row>
    <row r="99" spans="1:3" x14ac:dyDescent="0.25">
      <c r="A99" s="1">
        <v>367</v>
      </c>
      <c r="B99" s="1">
        <v>34</v>
      </c>
      <c r="C99" s="1">
        <v>300</v>
      </c>
    </row>
    <row r="100" spans="1:3" x14ac:dyDescent="0.25">
      <c r="A100" s="1">
        <v>368</v>
      </c>
      <c r="B100" s="1">
        <v>34</v>
      </c>
      <c r="C100" s="1">
        <v>300</v>
      </c>
    </row>
    <row r="101" spans="1:3" x14ac:dyDescent="0.25">
      <c r="A101" s="1">
        <v>369</v>
      </c>
      <c r="B101" s="1">
        <v>34</v>
      </c>
      <c r="C101" s="1">
        <v>300</v>
      </c>
    </row>
    <row r="102" spans="1:3" x14ac:dyDescent="0.25">
      <c r="A102" s="1">
        <v>370</v>
      </c>
      <c r="B102" s="1">
        <v>34</v>
      </c>
      <c r="C102" s="1">
        <v>300</v>
      </c>
    </row>
    <row r="103" spans="1:3" x14ac:dyDescent="0.25">
      <c r="A103" s="1">
        <v>371</v>
      </c>
      <c r="B103" s="1">
        <v>35</v>
      </c>
      <c r="C103" s="1">
        <v>300</v>
      </c>
    </row>
    <row r="104" spans="1:3" x14ac:dyDescent="0.25">
      <c r="A104" s="1">
        <v>372</v>
      </c>
      <c r="B104" s="1">
        <v>35</v>
      </c>
      <c r="C104" s="1">
        <v>300</v>
      </c>
    </row>
    <row r="105" spans="1:3" x14ac:dyDescent="0.25">
      <c r="A105" s="1">
        <v>373</v>
      </c>
      <c r="B105" s="1">
        <v>36</v>
      </c>
      <c r="C105" s="1">
        <v>300</v>
      </c>
    </row>
    <row r="106" spans="1:3" x14ac:dyDescent="0.25">
      <c r="A106" s="1">
        <v>374</v>
      </c>
      <c r="B106" s="1">
        <v>36</v>
      </c>
      <c r="C106" s="1">
        <v>300</v>
      </c>
    </row>
    <row r="107" spans="1:3" x14ac:dyDescent="0.25">
      <c r="A107" s="1">
        <v>375</v>
      </c>
      <c r="B107" s="1">
        <v>36</v>
      </c>
      <c r="C107" s="1">
        <v>300</v>
      </c>
    </row>
    <row r="108" spans="1:3" x14ac:dyDescent="0.25">
      <c r="A108" s="1">
        <v>375</v>
      </c>
      <c r="B108" s="1">
        <v>37</v>
      </c>
      <c r="C108" s="1">
        <v>347</v>
      </c>
    </row>
    <row r="109" spans="1:3" x14ac:dyDescent="0.25">
      <c r="A109" s="1">
        <v>376</v>
      </c>
      <c r="B109" s="1">
        <v>36</v>
      </c>
      <c r="C109" s="1">
        <v>300</v>
      </c>
    </row>
    <row r="110" spans="1:3" x14ac:dyDescent="0.25">
      <c r="A110" s="1">
        <v>376</v>
      </c>
      <c r="B110" s="1">
        <v>38</v>
      </c>
      <c r="C110" s="1">
        <v>300</v>
      </c>
    </row>
    <row r="111" spans="1:3" x14ac:dyDescent="0.25">
      <c r="A111" s="1">
        <v>377</v>
      </c>
      <c r="B111" s="1">
        <v>36</v>
      </c>
      <c r="C111" s="1">
        <v>300</v>
      </c>
    </row>
    <row r="112" spans="1:3" x14ac:dyDescent="0.25">
      <c r="A112" s="1">
        <v>377</v>
      </c>
      <c r="B112" s="1">
        <v>38</v>
      </c>
      <c r="C112" s="1">
        <v>300</v>
      </c>
    </row>
    <row r="113" spans="1:3" x14ac:dyDescent="0.25">
      <c r="A113" s="1">
        <v>378</v>
      </c>
      <c r="B113" s="1">
        <v>36</v>
      </c>
      <c r="C113" s="1">
        <v>300</v>
      </c>
    </row>
    <row r="114" spans="1:3" x14ac:dyDescent="0.25">
      <c r="A114" s="1">
        <v>378</v>
      </c>
      <c r="B114" s="1">
        <v>38</v>
      </c>
      <c r="C114" s="1">
        <v>300</v>
      </c>
    </row>
    <row r="115" spans="1:3" x14ac:dyDescent="0.25">
      <c r="A115" s="1">
        <v>379</v>
      </c>
      <c r="B115" s="1">
        <v>36</v>
      </c>
      <c r="C115" s="1">
        <v>300</v>
      </c>
    </row>
    <row r="116" spans="1:3" x14ac:dyDescent="0.25">
      <c r="A116" s="1">
        <v>379</v>
      </c>
      <c r="B116" s="1">
        <v>38</v>
      </c>
      <c r="C116" s="1">
        <v>300</v>
      </c>
    </row>
    <row r="117" spans="1:3" x14ac:dyDescent="0.25">
      <c r="A117" s="1">
        <v>380</v>
      </c>
      <c r="B117" s="1">
        <v>36</v>
      </c>
      <c r="C117" s="1">
        <v>300</v>
      </c>
    </row>
    <row r="118" spans="1:3" x14ac:dyDescent="0.25">
      <c r="A118" s="1">
        <v>380</v>
      </c>
      <c r="B118" s="1">
        <v>38</v>
      </c>
      <c r="C118" s="1">
        <v>300</v>
      </c>
    </row>
    <row r="119" spans="1:3" x14ac:dyDescent="0.25">
      <c r="A119" s="1">
        <v>381</v>
      </c>
      <c r="B119" s="1">
        <v>38</v>
      </c>
      <c r="C119" s="1">
        <v>300</v>
      </c>
    </row>
    <row r="120" spans="1:3" x14ac:dyDescent="0.25">
      <c r="A120" s="1">
        <v>382</v>
      </c>
      <c r="B120" s="1">
        <v>38</v>
      </c>
      <c r="C120" s="1">
        <v>300</v>
      </c>
    </row>
    <row r="121" spans="1:3" x14ac:dyDescent="0.25">
      <c r="A121" s="1">
        <v>383</v>
      </c>
      <c r="B121" s="1">
        <v>38</v>
      </c>
      <c r="C121" s="1">
        <v>300</v>
      </c>
    </row>
    <row r="122" spans="1:3" x14ac:dyDescent="0.25">
      <c r="A122" s="1">
        <v>384</v>
      </c>
      <c r="B122" s="1">
        <v>38</v>
      </c>
      <c r="C122" s="1">
        <v>300</v>
      </c>
    </row>
    <row r="123" spans="1:3" x14ac:dyDescent="0.25">
      <c r="A123" s="1">
        <v>385</v>
      </c>
      <c r="B123" s="1">
        <v>38</v>
      </c>
      <c r="C123" s="1">
        <v>300</v>
      </c>
    </row>
    <row r="124" spans="1:3" x14ac:dyDescent="0.25">
      <c r="A124" s="1">
        <v>387</v>
      </c>
      <c r="B124" s="1">
        <v>39</v>
      </c>
      <c r="C124" s="1">
        <v>300</v>
      </c>
    </row>
    <row r="125" spans="1:3" x14ac:dyDescent="0.25">
      <c r="A125" s="1">
        <v>388</v>
      </c>
      <c r="B125" s="1">
        <v>39</v>
      </c>
      <c r="C125" s="1">
        <v>300</v>
      </c>
    </row>
    <row r="126" spans="1:3" x14ac:dyDescent="0.25">
      <c r="A126" s="1">
        <v>389</v>
      </c>
      <c r="B126" s="1">
        <v>39</v>
      </c>
      <c r="C126" s="1">
        <v>300</v>
      </c>
    </row>
    <row r="127" spans="1:3" x14ac:dyDescent="0.25">
      <c r="A127" s="1">
        <v>390</v>
      </c>
      <c r="B127" s="1">
        <v>39</v>
      </c>
      <c r="C127" s="1">
        <v>300</v>
      </c>
    </row>
    <row r="128" spans="1:3" x14ac:dyDescent="0.25">
      <c r="A128" s="1">
        <v>391</v>
      </c>
      <c r="B128" s="1">
        <v>39</v>
      </c>
      <c r="C128" s="1">
        <v>300</v>
      </c>
    </row>
    <row r="129" spans="1:3" x14ac:dyDescent="0.25">
      <c r="A129" s="1">
        <v>392</v>
      </c>
      <c r="B129" s="1">
        <v>39</v>
      </c>
      <c r="C129" s="1">
        <v>300</v>
      </c>
    </row>
    <row r="130" spans="1:3" x14ac:dyDescent="0.25">
      <c r="A130" s="1">
        <v>393</v>
      </c>
      <c r="B130" s="1">
        <v>39</v>
      </c>
      <c r="C130" s="1">
        <v>300</v>
      </c>
    </row>
    <row r="131" spans="1:3" x14ac:dyDescent="0.25">
      <c r="A131" s="1">
        <v>394</v>
      </c>
      <c r="B131" s="1">
        <v>39</v>
      </c>
      <c r="C131" s="1">
        <v>300</v>
      </c>
    </row>
    <row r="132" spans="1:3" x14ac:dyDescent="0.25">
      <c r="A132" s="1">
        <v>395</v>
      </c>
      <c r="B132" s="1">
        <v>39</v>
      </c>
      <c r="C132" s="1">
        <v>300</v>
      </c>
    </row>
    <row r="133" spans="1:3" x14ac:dyDescent="0.25">
      <c r="A133" s="1">
        <v>406</v>
      </c>
      <c r="B133" s="1">
        <v>40</v>
      </c>
      <c r="C133" s="1">
        <v>300</v>
      </c>
    </row>
    <row r="134" spans="1:3" x14ac:dyDescent="0.25">
      <c r="A134" s="1">
        <v>407</v>
      </c>
      <c r="B134" s="1">
        <v>40</v>
      </c>
      <c r="C134" s="1">
        <v>300</v>
      </c>
    </row>
    <row r="135" spans="1:3" x14ac:dyDescent="0.25">
      <c r="A135" s="1">
        <v>408</v>
      </c>
      <c r="B135" s="1">
        <v>40</v>
      </c>
      <c r="C135" s="1">
        <v>300</v>
      </c>
    </row>
    <row r="136" spans="1:3" x14ac:dyDescent="0.25">
      <c r="A136" s="1">
        <v>409</v>
      </c>
      <c r="B136" s="1">
        <v>40</v>
      </c>
      <c r="C136" s="1">
        <v>300</v>
      </c>
    </row>
    <row r="137" spans="1:3" x14ac:dyDescent="0.25">
      <c r="A137" s="1">
        <v>410</v>
      </c>
      <c r="B137" s="1">
        <v>40</v>
      </c>
      <c r="C137" s="1">
        <v>300</v>
      </c>
    </row>
    <row r="138" spans="1:3" x14ac:dyDescent="0.25">
      <c r="A138" s="1">
        <v>411</v>
      </c>
      <c r="B138" s="1">
        <v>40</v>
      </c>
      <c r="C138" s="1">
        <v>300</v>
      </c>
    </row>
    <row r="139" spans="1:3" x14ac:dyDescent="0.25">
      <c r="A139" s="1">
        <v>412</v>
      </c>
      <c r="B139" s="1">
        <v>40</v>
      </c>
      <c r="C139" s="1">
        <v>300</v>
      </c>
    </row>
    <row r="140" spans="1:3" x14ac:dyDescent="0.25">
      <c r="A140" s="1">
        <v>413</v>
      </c>
      <c r="B140" s="1">
        <v>40</v>
      </c>
      <c r="C140" s="1">
        <v>300</v>
      </c>
    </row>
    <row r="141" spans="1:3" x14ac:dyDescent="0.25">
      <c r="A141" s="1">
        <v>414</v>
      </c>
      <c r="B141" s="1">
        <v>40</v>
      </c>
      <c r="C141" s="1">
        <v>300</v>
      </c>
    </row>
    <row r="142" spans="1:3" x14ac:dyDescent="0.25">
      <c r="A142" s="1">
        <v>415</v>
      </c>
      <c r="B142" s="1">
        <v>40</v>
      </c>
      <c r="C142" s="1">
        <v>300</v>
      </c>
    </row>
    <row r="143" spans="1:3" x14ac:dyDescent="0.25">
      <c r="A143" s="1">
        <v>416</v>
      </c>
      <c r="B143" s="1">
        <v>41</v>
      </c>
      <c r="C143" s="1">
        <v>300</v>
      </c>
    </row>
    <row r="144" spans="1:3" x14ac:dyDescent="0.25">
      <c r="A144" s="1">
        <v>417</v>
      </c>
      <c r="B144" s="1">
        <v>41</v>
      </c>
      <c r="C144" s="1">
        <v>300</v>
      </c>
    </row>
    <row r="145" spans="1:3" x14ac:dyDescent="0.25">
      <c r="A145" s="1">
        <v>418</v>
      </c>
      <c r="B145" s="1">
        <v>41</v>
      </c>
      <c r="C145" s="1">
        <v>300</v>
      </c>
    </row>
    <row r="146" spans="1:3" x14ac:dyDescent="0.25">
      <c r="A146" s="1">
        <v>419</v>
      </c>
      <c r="B146" s="1">
        <v>41</v>
      </c>
      <c r="C146" s="1">
        <v>300</v>
      </c>
    </row>
    <row r="147" spans="1:3" x14ac:dyDescent="0.25">
      <c r="A147" s="1">
        <v>420</v>
      </c>
      <c r="B147" s="1">
        <v>41</v>
      </c>
      <c r="C147" s="1">
        <v>300</v>
      </c>
    </row>
    <row r="148" spans="1:3" x14ac:dyDescent="0.25">
      <c r="A148" s="1">
        <v>421</v>
      </c>
      <c r="B148" s="1">
        <v>41</v>
      </c>
      <c r="C148" s="1">
        <v>300</v>
      </c>
    </row>
    <row r="149" spans="1:3" x14ac:dyDescent="0.25">
      <c r="A149" s="1">
        <v>422</v>
      </c>
      <c r="B149" s="1">
        <v>41</v>
      </c>
      <c r="C149" s="1">
        <v>300</v>
      </c>
    </row>
    <row r="150" spans="1:3" x14ac:dyDescent="0.25">
      <c r="A150" s="1">
        <v>424</v>
      </c>
      <c r="B150" s="1">
        <v>41</v>
      </c>
      <c r="C150" s="1">
        <v>300</v>
      </c>
    </row>
    <row r="151" spans="1:3" x14ac:dyDescent="0.25">
      <c r="A151" s="1">
        <v>425</v>
      </c>
      <c r="B151" s="1">
        <v>41</v>
      </c>
      <c r="C151" s="1">
        <v>300</v>
      </c>
    </row>
    <row r="152" spans="1:3" x14ac:dyDescent="0.25">
      <c r="A152" s="1">
        <v>426</v>
      </c>
      <c r="B152" s="1">
        <v>42</v>
      </c>
      <c r="C152" s="1">
        <v>300</v>
      </c>
    </row>
    <row r="153" spans="1:3" x14ac:dyDescent="0.25">
      <c r="A153" s="1">
        <v>427</v>
      </c>
      <c r="B153" s="1">
        <v>42</v>
      </c>
      <c r="C153" s="1">
        <v>300</v>
      </c>
    </row>
    <row r="154" spans="1:3" x14ac:dyDescent="0.25">
      <c r="A154" s="1">
        <v>428</v>
      </c>
      <c r="B154" s="1">
        <v>42</v>
      </c>
      <c r="C154" s="1">
        <v>300</v>
      </c>
    </row>
    <row r="155" spans="1:3" x14ac:dyDescent="0.25">
      <c r="A155" s="1">
        <v>429</v>
      </c>
      <c r="B155" s="1">
        <v>42</v>
      </c>
      <c r="C155" s="1">
        <v>300</v>
      </c>
    </row>
    <row r="156" spans="1:3" x14ac:dyDescent="0.25">
      <c r="A156" s="1">
        <v>430</v>
      </c>
      <c r="B156" s="1">
        <v>42</v>
      </c>
      <c r="C156" s="1">
        <v>300</v>
      </c>
    </row>
    <row r="157" spans="1:3" x14ac:dyDescent="0.25">
      <c r="A157" s="1">
        <v>431</v>
      </c>
      <c r="B157" s="1">
        <v>42</v>
      </c>
      <c r="C157" s="1">
        <v>300</v>
      </c>
    </row>
    <row r="158" spans="1:3" x14ac:dyDescent="0.25">
      <c r="A158" s="1">
        <v>432</v>
      </c>
      <c r="B158" s="1">
        <v>42</v>
      </c>
      <c r="C158" s="1">
        <v>300</v>
      </c>
    </row>
    <row r="159" spans="1:3" x14ac:dyDescent="0.25">
      <c r="A159" s="1">
        <v>433</v>
      </c>
      <c r="B159" s="1">
        <v>42</v>
      </c>
      <c r="C159" s="1">
        <v>300</v>
      </c>
    </row>
    <row r="160" spans="1:3" x14ac:dyDescent="0.25">
      <c r="A160" s="1">
        <v>434</v>
      </c>
      <c r="B160" s="1">
        <v>42</v>
      </c>
      <c r="C160" s="1">
        <v>300</v>
      </c>
    </row>
    <row r="161" spans="1:3" x14ac:dyDescent="0.25">
      <c r="A161" s="1">
        <v>435</v>
      </c>
      <c r="B161" s="1">
        <v>42</v>
      </c>
      <c r="C161" s="1">
        <v>300</v>
      </c>
    </row>
    <row r="162" spans="1:3" x14ac:dyDescent="0.25">
      <c r="A162" s="1">
        <v>436</v>
      </c>
      <c r="B162" s="1">
        <v>43</v>
      </c>
      <c r="C162" s="1">
        <v>300</v>
      </c>
    </row>
    <row r="163" spans="1:3" x14ac:dyDescent="0.25">
      <c r="A163" s="1">
        <v>437</v>
      </c>
      <c r="B163" s="1">
        <v>43</v>
      </c>
      <c r="C163" s="1">
        <v>300</v>
      </c>
    </row>
    <row r="164" spans="1:3" x14ac:dyDescent="0.25">
      <c r="A164" s="1">
        <v>438</v>
      </c>
      <c r="B164" s="1">
        <v>43</v>
      </c>
      <c r="C164" s="1">
        <v>300</v>
      </c>
    </row>
    <row r="165" spans="1:3" x14ac:dyDescent="0.25">
      <c r="A165" s="1">
        <v>439</v>
      </c>
      <c r="B165" s="1">
        <v>43</v>
      </c>
      <c r="C165" s="1">
        <v>100</v>
      </c>
    </row>
    <row r="166" spans="1:3" x14ac:dyDescent="0.25">
      <c r="A166" s="1">
        <v>440</v>
      </c>
      <c r="B166" s="1">
        <v>44</v>
      </c>
      <c r="C166" s="1">
        <v>500</v>
      </c>
    </row>
    <row r="167" spans="1:3" x14ac:dyDescent="0.25">
      <c r="A167" s="1">
        <v>441</v>
      </c>
      <c r="B167" s="1">
        <v>44</v>
      </c>
      <c r="C167" s="1">
        <v>500</v>
      </c>
    </row>
    <row r="168" spans="1:3" x14ac:dyDescent="0.25">
      <c r="A168" s="1">
        <v>442</v>
      </c>
      <c r="B168" s="1">
        <v>44</v>
      </c>
      <c r="C168" s="1">
        <v>500</v>
      </c>
    </row>
    <row r="169" spans="1:3" x14ac:dyDescent="0.25">
      <c r="A169" s="1">
        <v>443</v>
      </c>
      <c r="B169" s="1">
        <v>44</v>
      </c>
      <c r="C169" s="1">
        <v>500</v>
      </c>
    </row>
    <row r="170" spans="1:3" x14ac:dyDescent="0.25">
      <c r="A170" s="1">
        <v>444</v>
      </c>
      <c r="B170" s="1">
        <v>44</v>
      </c>
      <c r="C170" s="1">
        <v>500</v>
      </c>
    </row>
    <row r="171" spans="1:3" x14ac:dyDescent="0.25">
      <c r="A171" s="1">
        <v>445</v>
      </c>
      <c r="B171" s="1">
        <v>44</v>
      </c>
      <c r="C171" s="1">
        <v>500</v>
      </c>
    </row>
    <row r="172" spans="1:3" x14ac:dyDescent="0.25">
      <c r="A172" s="1">
        <v>446</v>
      </c>
      <c r="B172" s="1">
        <v>45</v>
      </c>
      <c r="C172" s="1">
        <v>500</v>
      </c>
    </row>
    <row r="173" spans="1:3" x14ac:dyDescent="0.25">
      <c r="A173" s="1">
        <v>447</v>
      </c>
      <c r="B173" s="1">
        <v>45</v>
      </c>
      <c r="C173" s="1">
        <v>500</v>
      </c>
    </row>
    <row r="174" spans="1:3" x14ac:dyDescent="0.25">
      <c r="A174" s="1">
        <v>448</v>
      </c>
      <c r="B174" s="1">
        <v>45</v>
      </c>
      <c r="C174" s="1">
        <v>500</v>
      </c>
    </row>
    <row r="175" spans="1:3" x14ac:dyDescent="0.25">
      <c r="A175" s="1">
        <v>449</v>
      </c>
      <c r="B175" s="1">
        <v>45</v>
      </c>
      <c r="C175" s="1">
        <v>500</v>
      </c>
    </row>
    <row r="176" spans="1:3" x14ac:dyDescent="0.25">
      <c r="A176" s="1">
        <v>450</v>
      </c>
      <c r="B176" s="1">
        <v>45</v>
      </c>
      <c r="C176" s="1">
        <v>500</v>
      </c>
    </row>
    <row r="177" spans="1:3" x14ac:dyDescent="0.25">
      <c r="A177" s="1">
        <v>451</v>
      </c>
      <c r="B177" s="1">
        <v>45</v>
      </c>
      <c r="C177" s="1">
        <v>500</v>
      </c>
    </row>
    <row r="178" spans="1:3" x14ac:dyDescent="0.25">
      <c r="A178" s="1">
        <v>452</v>
      </c>
      <c r="B178" s="1">
        <v>46</v>
      </c>
      <c r="C178" s="1">
        <v>500</v>
      </c>
    </row>
    <row r="179" spans="1:3" x14ac:dyDescent="0.25">
      <c r="A179" s="1">
        <v>453</v>
      </c>
      <c r="B179" s="1">
        <v>46</v>
      </c>
      <c r="C179" s="1">
        <v>500</v>
      </c>
    </row>
    <row r="180" spans="1:3" x14ac:dyDescent="0.25">
      <c r="A180" s="1">
        <v>454</v>
      </c>
      <c r="B180" s="1">
        <v>46</v>
      </c>
      <c r="C180" s="1">
        <v>500</v>
      </c>
    </row>
    <row r="181" spans="1:3" x14ac:dyDescent="0.25">
      <c r="A181" s="1">
        <v>455</v>
      </c>
      <c r="B181" s="1">
        <v>46</v>
      </c>
      <c r="C181" s="1">
        <v>500</v>
      </c>
    </row>
    <row r="182" spans="1:3" x14ac:dyDescent="0.25">
      <c r="A182" s="1">
        <v>456</v>
      </c>
      <c r="B182" s="1">
        <v>46</v>
      </c>
      <c r="C182" s="1">
        <v>500</v>
      </c>
    </row>
    <row r="183" spans="1:3" x14ac:dyDescent="0.25">
      <c r="A183" s="1">
        <v>457</v>
      </c>
      <c r="B183" s="1">
        <v>46</v>
      </c>
      <c r="C183" s="1">
        <v>500</v>
      </c>
    </row>
    <row r="184" spans="1:3" x14ac:dyDescent="0.25">
      <c r="A184" s="1">
        <v>458</v>
      </c>
      <c r="B184" s="1">
        <v>47</v>
      </c>
      <c r="C184" s="1">
        <v>300</v>
      </c>
    </row>
    <row r="185" spans="1:3" x14ac:dyDescent="0.25">
      <c r="A185" s="1">
        <v>459</v>
      </c>
      <c r="B185" s="1">
        <v>47</v>
      </c>
      <c r="C185" s="1">
        <v>300</v>
      </c>
    </row>
    <row r="186" spans="1:3" x14ac:dyDescent="0.25">
      <c r="A186" s="1">
        <v>460</v>
      </c>
      <c r="B186" s="1">
        <v>47</v>
      </c>
      <c r="C186" s="1">
        <v>300</v>
      </c>
    </row>
    <row r="187" spans="1:3" x14ac:dyDescent="0.25">
      <c r="A187" s="1">
        <v>461</v>
      </c>
      <c r="B187" s="1">
        <v>47</v>
      </c>
      <c r="C187" s="1">
        <v>300</v>
      </c>
    </row>
    <row r="188" spans="1:3" x14ac:dyDescent="0.25">
      <c r="A188" s="1">
        <v>462</v>
      </c>
      <c r="B188" s="1">
        <v>47</v>
      </c>
      <c r="C188" s="1">
        <v>300</v>
      </c>
    </row>
    <row r="189" spans="1:3" x14ac:dyDescent="0.25">
      <c r="A189" s="1">
        <v>463</v>
      </c>
      <c r="B189" s="1">
        <v>47</v>
      </c>
      <c r="C189" s="1">
        <v>300</v>
      </c>
    </row>
    <row r="190" spans="1:3" x14ac:dyDescent="0.25">
      <c r="A190" s="1">
        <v>464</v>
      </c>
      <c r="B190" s="1">
        <v>47</v>
      </c>
      <c r="C190" s="1">
        <v>300</v>
      </c>
    </row>
    <row r="191" spans="1:3" x14ac:dyDescent="0.25">
      <c r="A191" s="1">
        <v>465</v>
      </c>
      <c r="B191" s="1">
        <v>47</v>
      </c>
      <c r="C191" s="1">
        <v>300</v>
      </c>
    </row>
    <row r="192" spans="1:3" x14ac:dyDescent="0.25">
      <c r="A192" s="1">
        <v>466</v>
      </c>
      <c r="B192" s="1">
        <v>47</v>
      </c>
      <c r="C192" s="1">
        <v>300</v>
      </c>
    </row>
    <row r="193" spans="1:3" x14ac:dyDescent="0.25">
      <c r="A193" s="1">
        <v>467</v>
      </c>
      <c r="B193" s="1">
        <v>47</v>
      </c>
      <c r="C193" s="1">
        <v>300</v>
      </c>
    </row>
    <row r="194" spans="1:3" x14ac:dyDescent="0.25">
      <c r="A194" s="1">
        <v>468</v>
      </c>
      <c r="B194" s="1">
        <v>48</v>
      </c>
      <c r="C194" s="1">
        <v>300</v>
      </c>
    </row>
    <row r="195" spans="1:3" x14ac:dyDescent="0.25">
      <c r="A195" s="1">
        <v>469</v>
      </c>
      <c r="B195" s="1">
        <v>48</v>
      </c>
      <c r="C195" s="1">
        <v>300</v>
      </c>
    </row>
    <row r="196" spans="1:3" x14ac:dyDescent="0.25">
      <c r="A196" s="1">
        <v>470</v>
      </c>
      <c r="B196" s="1">
        <v>48</v>
      </c>
      <c r="C196" s="1">
        <v>300</v>
      </c>
    </row>
    <row r="197" spans="1:3" x14ac:dyDescent="0.25">
      <c r="A197" s="1">
        <v>471</v>
      </c>
      <c r="B197" s="1">
        <v>48</v>
      </c>
      <c r="C197" s="1">
        <v>300</v>
      </c>
    </row>
    <row r="198" spans="1:3" x14ac:dyDescent="0.25">
      <c r="A198" s="1">
        <v>472</v>
      </c>
      <c r="B198" s="1">
        <v>48</v>
      </c>
      <c r="C198" s="1">
        <v>300</v>
      </c>
    </row>
    <row r="199" spans="1:3" x14ac:dyDescent="0.25">
      <c r="A199" s="1">
        <v>473</v>
      </c>
      <c r="B199" s="1">
        <v>48</v>
      </c>
      <c r="C199" s="1">
        <v>300</v>
      </c>
    </row>
    <row r="200" spans="1:3" x14ac:dyDescent="0.25">
      <c r="A200" s="1">
        <v>474</v>
      </c>
      <c r="B200" s="1">
        <v>48</v>
      </c>
      <c r="C200" s="1">
        <v>300</v>
      </c>
    </row>
    <row r="201" spans="1:3" x14ac:dyDescent="0.25">
      <c r="A201" s="1">
        <v>475</v>
      </c>
      <c r="B201" s="1">
        <v>48</v>
      </c>
      <c r="C201" s="1">
        <v>300</v>
      </c>
    </row>
    <row r="202" spans="1:3" x14ac:dyDescent="0.25">
      <c r="A202" s="1">
        <v>476</v>
      </c>
      <c r="B202" s="1">
        <v>48</v>
      </c>
      <c r="C202" s="1">
        <v>300</v>
      </c>
    </row>
    <row r="203" spans="1:3" x14ac:dyDescent="0.25">
      <c r="A203" s="1">
        <v>477</v>
      </c>
      <c r="B203" s="1">
        <v>48</v>
      </c>
      <c r="C203" s="1">
        <v>300</v>
      </c>
    </row>
    <row r="204" spans="1:3" x14ac:dyDescent="0.25">
      <c r="A204" s="1">
        <v>478</v>
      </c>
      <c r="B204" s="1">
        <v>49</v>
      </c>
      <c r="C204" s="1">
        <v>300</v>
      </c>
    </row>
    <row r="205" spans="1:3" x14ac:dyDescent="0.25">
      <c r="A205" s="1">
        <v>479</v>
      </c>
      <c r="B205" s="1">
        <v>49</v>
      </c>
      <c r="C205" s="1">
        <v>300</v>
      </c>
    </row>
    <row r="206" spans="1:3" x14ac:dyDescent="0.25">
      <c r="A206" s="1">
        <v>480</v>
      </c>
      <c r="B206" s="1">
        <v>49</v>
      </c>
      <c r="C206" s="1">
        <v>300</v>
      </c>
    </row>
    <row r="207" spans="1:3" x14ac:dyDescent="0.25">
      <c r="A207" s="1">
        <v>481</v>
      </c>
      <c r="B207" s="1">
        <v>49</v>
      </c>
      <c r="C207" s="1">
        <v>300</v>
      </c>
    </row>
    <row r="208" spans="1:3" x14ac:dyDescent="0.25">
      <c r="A208" s="1">
        <v>482</v>
      </c>
      <c r="B208" s="1">
        <v>49</v>
      </c>
      <c r="C208" s="1">
        <v>300</v>
      </c>
    </row>
    <row r="209" spans="1:3" x14ac:dyDescent="0.25">
      <c r="A209" s="1">
        <v>483</v>
      </c>
      <c r="B209" s="1">
        <v>49</v>
      </c>
      <c r="C209" s="1">
        <v>300</v>
      </c>
    </row>
    <row r="210" spans="1:3" x14ac:dyDescent="0.25">
      <c r="A210" s="1">
        <v>484</v>
      </c>
      <c r="B210" s="1">
        <v>49</v>
      </c>
      <c r="C210" s="1">
        <v>200</v>
      </c>
    </row>
    <row r="211" spans="1:3" x14ac:dyDescent="0.25">
      <c r="A211" s="1">
        <v>485</v>
      </c>
      <c r="B211" s="1">
        <v>50</v>
      </c>
      <c r="C211" s="1">
        <v>300</v>
      </c>
    </row>
    <row r="212" spans="1:3" x14ac:dyDescent="0.25">
      <c r="A212" s="1">
        <v>486</v>
      </c>
      <c r="B212" s="1">
        <v>50</v>
      </c>
      <c r="C212" s="1">
        <v>300</v>
      </c>
    </row>
    <row r="213" spans="1:3" x14ac:dyDescent="0.25">
      <c r="A213" s="1">
        <v>487</v>
      </c>
      <c r="B213" s="1">
        <v>50</v>
      </c>
      <c r="C213" s="1">
        <v>300</v>
      </c>
    </row>
    <row r="214" spans="1:3" x14ac:dyDescent="0.25">
      <c r="A214" s="1">
        <v>488</v>
      </c>
      <c r="B214" s="1">
        <v>50</v>
      </c>
      <c r="C214" s="1">
        <v>300</v>
      </c>
    </row>
    <row r="215" spans="1:3" x14ac:dyDescent="0.25">
      <c r="A215" s="1">
        <v>489</v>
      </c>
      <c r="B215" s="1">
        <v>50</v>
      </c>
      <c r="C215" s="1">
        <v>300</v>
      </c>
    </row>
    <row r="216" spans="1:3" x14ac:dyDescent="0.25">
      <c r="A216" s="1">
        <v>490</v>
      </c>
      <c r="B216" s="1">
        <v>50</v>
      </c>
      <c r="C216" s="1">
        <v>300</v>
      </c>
    </row>
    <row r="217" spans="1:3" x14ac:dyDescent="0.25">
      <c r="A217" s="1">
        <v>491</v>
      </c>
      <c r="B217" s="1">
        <v>50</v>
      </c>
      <c r="C217" s="1">
        <v>300</v>
      </c>
    </row>
    <row r="218" spans="1:3" x14ac:dyDescent="0.25">
      <c r="A218" s="1">
        <v>492</v>
      </c>
      <c r="B218" s="1">
        <v>50</v>
      </c>
      <c r="C218" s="1">
        <v>300</v>
      </c>
    </row>
    <row r="219" spans="1:3" x14ac:dyDescent="0.25">
      <c r="A219" s="1">
        <v>493</v>
      </c>
      <c r="B219" s="1">
        <v>51</v>
      </c>
      <c r="C219" s="1">
        <v>300</v>
      </c>
    </row>
    <row r="220" spans="1:3" x14ac:dyDescent="0.25">
      <c r="A220" s="1">
        <v>494</v>
      </c>
      <c r="B220" s="1">
        <v>51</v>
      </c>
      <c r="C220" s="1">
        <v>300</v>
      </c>
    </row>
    <row r="221" spans="1:3" x14ac:dyDescent="0.25">
      <c r="A221" s="1">
        <v>495</v>
      </c>
      <c r="B221" s="1">
        <v>51</v>
      </c>
      <c r="C221" s="1">
        <v>300</v>
      </c>
    </row>
    <row r="222" spans="1:3" x14ac:dyDescent="0.25">
      <c r="A222" s="1">
        <v>496</v>
      </c>
      <c r="B222" s="1">
        <v>51</v>
      </c>
      <c r="C222" s="1">
        <v>300</v>
      </c>
    </row>
    <row r="223" spans="1:3" x14ac:dyDescent="0.25">
      <c r="A223" s="1">
        <v>497</v>
      </c>
      <c r="B223" s="1">
        <v>51</v>
      </c>
      <c r="C223" s="1">
        <v>300</v>
      </c>
    </row>
    <row r="224" spans="1:3" x14ac:dyDescent="0.25">
      <c r="A224" s="1">
        <v>498</v>
      </c>
      <c r="B224" s="1">
        <v>51</v>
      </c>
      <c r="C224" s="1">
        <v>300</v>
      </c>
    </row>
    <row r="225" spans="1:3" x14ac:dyDescent="0.25">
      <c r="A225" s="1">
        <v>499</v>
      </c>
      <c r="B225" s="1">
        <v>51</v>
      </c>
      <c r="C225" s="1">
        <v>300</v>
      </c>
    </row>
    <row r="226" spans="1:3" x14ac:dyDescent="0.25">
      <c r="A226" s="1">
        <v>500</v>
      </c>
      <c r="B226" s="1">
        <v>51</v>
      </c>
      <c r="C226" s="1">
        <v>300</v>
      </c>
    </row>
    <row r="227" spans="1:3" x14ac:dyDescent="0.25">
      <c r="A227" s="1">
        <v>501</v>
      </c>
      <c r="B227" s="1">
        <v>51</v>
      </c>
      <c r="C227" s="1">
        <v>300</v>
      </c>
    </row>
    <row r="228" spans="1:3" x14ac:dyDescent="0.25">
      <c r="A228" s="1">
        <v>502</v>
      </c>
      <c r="B228" s="1">
        <v>51</v>
      </c>
      <c r="C228" s="1">
        <v>300</v>
      </c>
    </row>
    <row r="229" spans="1:3" x14ac:dyDescent="0.25">
      <c r="A229" s="1">
        <v>503</v>
      </c>
      <c r="B229" s="1">
        <v>52</v>
      </c>
      <c r="C229" s="1">
        <v>300</v>
      </c>
    </row>
    <row r="230" spans="1:3" x14ac:dyDescent="0.25">
      <c r="A230" s="1">
        <v>504</v>
      </c>
      <c r="B230" s="1">
        <v>52</v>
      </c>
      <c r="C230" s="1">
        <v>300</v>
      </c>
    </row>
    <row r="231" spans="1:3" x14ac:dyDescent="0.25">
      <c r="A231" s="1">
        <v>505</v>
      </c>
      <c r="B231" s="1">
        <v>52</v>
      </c>
      <c r="C231" s="1">
        <v>300</v>
      </c>
    </row>
    <row r="232" spans="1:3" x14ac:dyDescent="0.25">
      <c r="A232" s="1">
        <v>506</v>
      </c>
      <c r="B232" s="1">
        <v>52</v>
      </c>
      <c r="C232" s="1">
        <v>300</v>
      </c>
    </row>
    <row r="233" spans="1:3" x14ac:dyDescent="0.25">
      <c r="A233" s="1">
        <v>507</v>
      </c>
      <c r="B233" s="1">
        <v>52</v>
      </c>
      <c r="C233" s="1">
        <v>300</v>
      </c>
    </row>
    <row r="234" spans="1:3" x14ac:dyDescent="0.25">
      <c r="A234" s="1">
        <v>508</v>
      </c>
      <c r="B234" s="1">
        <v>52</v>
      </c>
      <c r="C234" s="1">
        <v>300</v>
      </c>
    </row>
    <row r="235" spans="1:3" x14ac:dyDescent="0.25">
      <c r="A235" s="1">
        <v>509</v>
      </c>
      <c r="B235" s="1">
        <v>52</v>
      </c>
      <c r="C235" s="1">
        <v>300</v>
      </c>
    </row>
    <row r="236" spans="1:3" x14ac:dyDescent="0.25">
      <c r="A236" s="1">
        <v>510</v>
      </c>
      <c r="B236" s="1">
        <v>52</v>
      </c>
      <c r="C236" s="1">
        <v>300</v>
      </c>
    </row>
    <row r="237" spans="1:3" x14ac:dyDescent="0.25">
      <c r="A237" s="1">
        <v>511</v>
      </c>
      <c r="B237" s="1">
        <v>52</v>
      </c>
      <c r="C237" s="1">
        <v>300</v>
      </c>
    </row>
    <row r="238" spans="1:3" x14ac:dyDescent="0.25">
      <c r="A238" s="1">
        <v>512</v>
      </c>
      <c r="B238" s="1">
        <v>52</v>
      </c>
      <c r="C238" s="1">
        <v>300</v>
      </c>
    </row>
    <row r="239" spans="1:3" x14ac:dyDescent="0.25">
      <c r="A239" s="1">
        <v>513</v>
      </c>
      <c r="B239" s="1">
        <v>53</v>
      </c>
      <c r="C239" s="1">
        <v>300</v>
      </c>
    </row>
    <row r="240" spans="1:3" x14ac:dyDescent="0.25">
      <c r="A240" s="1">
        <v>514</v>
      </c>
      <c r="B240" s="1">
        <v>53</v>
      </c>
      <c r="C240" s="1">
        <v>300</v>
      </c>
    </row>
    <row r="241" spans="1:3" x14ac:dyDescent="0.25">
      <c r="A241" s="1">
        <v>515</v>
      </c>
      <c r="B241" s="1">
        <v>53</v>
      </c>
      <c r="C241" s="1">
        <v>300</v>
      </c>
    </row>
    <row r="242" spans="1:3" x14ac:dyDescent="0.25">
      <c r="A242" s="1">
        <v>516</v>
      </c>
      <c r="B242" s="1">
        <v>53</v>
      </c>
      <c r="C242" s="1">
        <v>300</v>
      </c>
    </row>
    <row r="243" spans="1:3" x14ac:dyDescent="0.25">
      <c r="A243" s="1">
        <v>517</v>
      </c>
      <c r="B243" s="1">
        <v>53</v>
      </c>
      <c r="C243" s="1">
        <v>300</v>
      </c>
    </row>
    <row r="244" spans="1:3" x14ac:dyDescent="0.25">
      <c r="A244" s="1">
        <v>518</v>
      </c>
      <c r="B244" s="1">
        <v>53</v>
      </c>
      <c r="C244" s="1">
        <v>300</v>
      </c>
    </row>
    <row r="245" spans="1:3" x14ac:dyDescent="0.25">
      <c r="A245" s="1">
        <v>519</v>
      </c>
      <c r="B245" s="1">
        <v>53</v>
      </c>
      <c r="C245" s="1">
        <v>300</v>
      </c>
    </row>
    <row r="246" spans="1:3" x14ac:dyDescent="0.25">
      <c r="A246" s="1">
        <v>520</v>
      </c>
      <c r="B246" s="1">
        <v>53</v>
      </c>
      <c r="C246" s="1">
        <v>300</v>
      </c>
    </row>
    <row r="247" spans="1:3" x14ac:dyDescent="0.25">
      <c r="A247" s="1">
        <v>521</v>
      </c>
      <c r="B247" s="1">
        <v>54</v>
      </c>
      <c r="C247" s="1">
        <v>500</v>
      </c>
    </row>
    <row r="248" spans="1:3" x14ac:dyDescent="0.25">
      <c r="A248" s="1">
        <v>522</v>
      </c>
      <c r="B248" s="1">
        <v>54</v>
      </c>
      <c r="C248" s="1">
        <v>500</v>
      </c>
    </row>
    <row r="249" spans="1:3" x14ac:dyDescent="0.25">
      <c r="A249" s="1">
        <v>523</v>
      </c>
      <c r="B249" s="1">
        <v>54</v>
      </c>
      <c r="C249" s="1">
        <v>500</v>
      </c>
    </row>
    <row r="250" spans="1:3" x14ac:dyDescent="0.25">
      <c r="A250" s="1">
        <v>524</v>
      </c>
      <c r="B250" s="1">
        <v>54</v>
      </c>
      <c r="C250" s="1">
        <v>500</v>
      </c>
    </row>
    <row r="251" spans="1:3" x14ac:dyDescent="0.25">
      <c r="A251" s="1">
        <v>525</v>
      </c>
      <c r="B251" s="1">
        <v>55</v>
      </c>
      <c r="C251" s="1">
        <v>500</v>
      </c>
    </row>
    <row r="252" spans="1:3" x14ac:dyDescent="0.25">
      <c r="A252" s="1">
        <v>526</v>
      </c>
      <c r="B252" s="1">
        <v>55</v>
      </c>
      <c r="C252" s="1">
        <v>500</v>
      </c>
    </row>
    <row r="253" spans="1:3" x14ac:dyDescent="0.25">
      <c r="A253" s="1">
        <v>527</v>
      </c>
      <c r="B253" s="1">
        <v>55</v>
      </c>
      <c r="C253" s="1">
        <v>500</v>
      </c>
    </row>
    <row r="254" spans="1:3" x14ac:dyDescent="0.25">
      <c r="A254" s="1">
        <v>528</v>
      </c>
      <c r="B254" s="1">
        <v>55</v>
      </c>
      <c r="C254" s="1">
        <v>500</v>
      </c>
    </row>
    <row r="255" spans="1:3" x14ac:dyDescent="0.25">
      <c r="A255" s="1">
        <v>529</v>
      </c>
      <c r="B255" s="1">
        <v>55</v>
      </c>
      <c r="C255" s="1">
        <v>500</v>
      </c>
    </row>
    <row r="256" spans="1:3" x14ac:dyDescent="0.25">
      <c r="A256" s="1">
        <v>530</v>
      </c>
      <c r="B256" s="1">
        <v>55</v>
      </c>
      <c r="C256" s="1">
        <v>500</v>
      </c>
    </row>
    <row r="257" spans="1:3" x14ac:dyDescent="0.25">
      <c r="A257" s="1">
        <v>531</v>
      </c>
      <c r="B257" s="1">
        <v>55</v>
      </c>
      <c r="C257" s="1">
        <v>500</v>
      </c>
    </row>
    <row r="258" spans="1:3" x14ac:dyDescent="0.25">
      <c r="A258" s="1">
        <v>532</v>
      </c>
      <c r="B258" s="1">
        <v>55</v>
      </c>
      <c r="C258" s="1">
        <v>500</v>
      </c>
    </row>
    <row r="259" spans="1:3" x14ac:dyDescent="0.25">
      <c r="A259" s="1">
        <v>533</v>
      </c>
      <c r="B259" s="1">
        <v>55</v>
      </c>
      <c r="C259" s="1">
        <v>500</v>
      </c>
    </row>
    <row r="260" spans="1:3" x14ac:dyDescent="0.25">
      <c r="A260" s="1">
        <v>534</v>
      </c>
      <c r="B260" s="1">
        <v>55</v>
      </c>
      <c r="C260" s="1">
        <v>500</v>
      </c>
    </row>
    <row r="261" spans="1:3" x14ac:dyDescent="0.25">
      <c r="A261" s="1">
        <v>535</v>
      </c>
      <c r="B261" s="1">
        <v>55</v>
      </c>
      <c r="C261" s="1">
        <v>500</v>
      </c>
    </row>
    <row r="262" spans="1:3" x14ac:dyDescent="0.25">
      <c r="A262" s="1">
        <v>536</v>
      </c>
      <c r="B262" s="1">
        <v>55</v>
      </c>
      <c r="C262" s="1">
        <v>500</v>
      </c>
    </row>
    <row r="263" spans="1:3" x14ac:dyDescent="0.25">
      <c r="A263" s="1">
        <v>537</v>
      </c>
      <c r="B263" s="1">
        <v>56</v>
      </c>
      <c r="C263" s="1">
        <v>300</v>
      </c>
    </row>
    <row r="264" spans="1:3" x14ac:dyDescent="0.25">
      <c r="A264" s="1">
        <v>538</v>
      </c>
      <c r="B264" s="1">
        <v>56</v>
      </c>
      <c r="C264" s="1">
        <v>300</v>
      </c>
    </row>
    <row r="265" spans="1:3" x14ac:dyDescent="0.25">
      <c r="A265" s="1">
        <v>539</v>
      </c>
      <c r="B265" s="1">
        <v>56</v>
      </c>
      <c r="C265" s="1">
        <v>300</v>
      </c>
    </row>
    <row r="266" spans="1:3" x14ac:dyDescent="0.25">
      <c r="A266" s="1">
        <v>540</v>
      </c>
      <c r="B266" s="1">
        <v>56</v>
      </c>
      <c r="C266" s="1">
        <v>300</v>
      </c>
    </row>
    <row r="267" spans="1:3" x14ac:dyDescent="0.25">
      <c r="A267" s="1">
        <v>541</v>
      </c>
      <c r="B267" s="1">
        <v>57</v>
      </c>
      <c r="C267" s="1">
        <v>300</v>
      </c>
    </row>
    <row r="268" spans="1:3" x14ac:dyDescent="0.25">
      <c r="A268" s="1">
        <v>542</v>
      </c>
      <c r="B268" s="1">
        <v>57</v>
      </c>
      <c r="C268" s="1">
        <v>300</v>
      </c>
    </row>
    <row r="269" spans="1:3" x14ac:dyDescent="0.25">
      <c r="A269" s="1">
        <v>543</v>
      </c>
      <c r="B269" s="1">
        <v>57</v>
      </c>
      <c r="C269" s="1">
        <v>300</v>
      </c>
    </row>
    <row r="270" spans="1:3" x14ac:dyDescent="0.25">
      <c r="A270" s="1">
        <v>544</v>
      </c>
      <c r="B270" s="1">
        <v>57</v>
      </c>
      <c r="C270" s="1">
        <v>300</v>
      </c>
    </row>
    <row r="271" spans="1:3" x14ac:dyDescent="0.25">
      <c r="A271" s="1">
        <v>545</v>
      </c>
      <c r="B271" s="1">
        <v>57</v>
      </c>
      <c r="C271" s="1">
        <v>300</v>
      </c>
    </row>
    <row r="272" spans="1:3" x14ac:dyDescent="0.25">
      <c r="A272" s="1">
        <v>546</v>
      </c>
      <c r="B272" s="1">
        <v>57</v>
      </c>
      <c r="C272" s="1">
        <v>300</v>
      </c>
    </row>
    <row r="273" spans="1:3" x14ac:dyDescent="0.25">
      <c r="A273" s="1">
        <v>547</v>
      </c>
      <c r="B273" s="1">
        <v>57</v>
      </c>
      <c r="C273" s="1">
        <v>200</v>
      </c>
    </row>
    <row r="274" spans="1:3" x14ac:dyDescent="0.25">
      <c r="A274" s="1">
        <v>548</v>
      </c>
      <c r="B274" s="1">
        <v>58</v>
      </c>
      <c r="C274" s="1">
        <v>300</v>
      </c>
    </row>
    <row r="275" spans="1:3" x14ac:dyDescent="0.25">
      <c r="A275" s="1">
        <v>549</v>
      </c>
      <c r="B275" s="1">
        <v>58</v>
      </c>
      <c r="C275" s="1">
        <v>300</v>
      </c>
    </row>
    <row r="276" spans="1:3" x14ac:dyDescent="0.25">
      <c r="A276" s="1">
        <v>550</v>
      </c>
      <c r="B276" s="1">
        <v>58</v>
      </c>
      <c r="C276" s="1">
        <v>300</v>
      </c>
    </row>
    <row r="277" spans="1:3" x14ac:dyDescent="0.25">
      <c r="A277" s="1">
        <v>551</v>
      </c>
      <c r="B277" s="1">
        <v>58</v>
      </c>
      <c r="C277" s="1">
        <v>300</v>
      </c>
    </row>
    <row r="278" spans="1:3" x14ac:dyDescent="0.25">
      <c r="A278" s="1">
        <v>552</v>
      </c>
      <c r="B278" s="1">
        <v>58</v>
      </c>
      <c r="C278" s="1">
        <v>300</v>
      </c>
    </row>
    <row r="279" spans="1:3" x14ac:dyDescent="0.25">
      <c r="A279" s="1">
        <v>553</v>
      </c>
      <c r="B279" s="1">
        <v>58</v>
      </c>
      <c r="C279" s="1">
        <v>100</v>
      </c>
    </row>
    <row r="280" spans="1:3" x14ac:dyDescent="0.25">
      <c r="A280" s="1">
        <v>554</v>
      </c>
      <c r="B280" s="1">
        <v>59</v>
      </c>
      <c r="C280" s="1">
        <v>500</v>
      </c>
    </row>
    <row r="281" spans="1:3" x14ac:dyDescent="0.25">
      <c r="A281" s="1">
        <v>555</v>
      </c>
      <c r="B281" s="1">
        <v>59</v>
      </c>
      <c r="C281" s="1">
        <v>500</v>
      </c>
    </row>
    <row r="282" spans="1:3" x14ac:dyDescent="0.25">
      <c r="A282" s="1">
        <v>556</v>
      </c>
      <c r="B282" s="1">
        <v>59</v>
      </c>
      <c r="C282" s="1">
        <v>500</v>
      </c>
    </row>
    <row r="283" spans="1:3" x14ac:dyDescent="0.25">
      <c r="A283" s="1">
        <v>557</v>
      </c>
      <c r="B283" s="1">
        <v>59</v>
      </c>
      <c r="C283" s="1">
        <v>500</v>
      </c>
    </row>
    <row r="284" spans="1:3" x14ac:dyDescent="0.25">
      <c r="A284" s="1">
        <v>558</v>
      </c>
      <c r="B284" s="1">
        <v>59</v>
      </c>
      <c r="C284" s="1">
        <v>500</v>
      </c>
    </row>
    <row r="285" spans="1:3" x14ac:dyDescent="0.25">
      <c r="A285" s="1">
        <v>559</v>
      </c>
      <c r="B285" s="1">
        <v>59</v>
      </c>
      <c r="C285" s="1">
        <v>500</v>
      </c>
    </row>
    <row r="286" spans="1:3" x14ac:dyDescent="0.25">
      <c r="A286" s="1">
        <v>560</v>
      </c>
      <c r="B286" s="1">
        <v>60</v>
      </c>
      <c r="C286" s="1">
        <v>500</v>
      </c>
    </row>
    <row r="287" spans="1:3" x14ac:dyDescent="0.25">
      <c r="A287" s="1">
        <v>561</v>
      </c>
      <c r="B287" s="1">
        <v>60</v>
      </c>
      <c r="C287" s="1">
        <v>500</v>
      </c>
    </row>
    <row r="288" spans="1:3" x14ac:dyDescent="0.25">
      <c r="A288" s="1">
        <v>562</v>
      </c>
      <c r="B288" s="1">
        <v>60</v>
      </c>
      <c r="C288" s="1">
        <v>500</v>
      </c>
    </row>
    <row r="289" spans="1:3" x14ac:dyDescent="0.25">
      <c r="A289" s="1">
        <v>563</v>
      </c>
      <c r="B289" s="1">
        <v>60</v>
      </c>
      <c r="C289" s="1">
        <v>500</v>
      </c>
    </row>
    <row r="290" spans="1:3" x14ac:dyDescent="0.25">
      <c r="A290" s="1">
        <v>564</v>
      </c>
      <c r="B290" s="1">
        <v>60</v>
      </c>
      <c r="C290" s="1">
        <v>500</v>
      </c>
    </row>
    <row r="291" spans="1:3" x14ac:dyDescent="0.25">
      <c r="A291" s="1">
        <v>565</v>
      </c>
      <c r="B291" s="1">
        <v>60</v>
      </c>
      <c r="C291" s="1">
        <v>500</v>
      </c>
    </row>
    <row r="292" spans="1:3" x14ac:dyDescent="0.25">
      <c r="A292" s="1">
        <v>566</v>
      </c>
      <c r="B292" s="1">
        <v>61</v>
      </c>
      <c r="C292" s="1">
        <v>300</v>
      </c>
    </row>
    <row r="293" spans="1:3" x14ac:dyDescent="0.25">
      <c r="A293" s="1">
        <v>567</v>
      </c>
      <c r="B293" s="1">
        <v>61</v>
      </c>
      <c r="C293" s="1">
        <v>300</v>
      </c>
    </row>
    <row r="294" spans="1:3" x14ac:dyDescent="0.25">
      <c r="A294" s="1">
        <v>568</v>
      </c>
      <c r="B294" s="1">
        <v>61</v>
      </c>
      <c r="C294" s="1">
        <v>300</v>
      </c>
    </row>
    <row r="295" spans="1:3" x14ac:dyDescent="0.25">
      <c r="A295" s="1">
        <v>569</v>
      </c>
      <c r="B295" s="1">
        <v>61</v>
      </c>
      <c r="C295" s="1">
        <v>300</v>
      </c>
    </row>
    <row r="296" spans="1:3" x14ac:dyDescent="0.25">
      <c r="A296" s="1">
        <v>570</v>
      </c>
      <c r="B296" s="1">
        <v>61</v>
      </c>
      <c r="C296" s="1">
        <v>300</v>
      </c>
    </row>
    <row r="297" spans="1:3" x14ac:dyDescent="0.25">
      <c r="A297" s="1">
        <v>571</v>
      </c>
      <c r="B297" s="1">
        <v>61</v>
      </c>
      <c r="C297" s="1">
        <v>300</v>
      </c>
    </row>
    <row r="298" spans="1:3" x14ac:dyDescent="0.25">
      <c r="A298" s="1">
        <v>572</v>
      </c>
      <c r="B298" s="1">
        <v>61</v>
      </c>
      <c r="C298" s="1">
        <v>300</v>
      </c>
    </row>
    <row r="299" spans="1:3" x14ac:dyDescent="0.25">
      <c r="A299" s="1">
        <v>573</v>
      </c>
      <c r="B299" s="1">
        <v>61</v>
      </c>
      <c r="C299" s="1">
        <v>300</v>
      </c>
    </row>
    <row r="300" spans="1:3" x14ac:dyDescent="0.25">
      <c r="A300" s="1">
        <v>574</v>
      </c>
      <c r="B300" s="1">
        <v>61</v>
      </c>
      <c r="C300" s="1">
        <v>300</v>
      </c>
    </row>
    <row r="301" spans="1:3" x14ac:dyDescent="0.25">
      <c r="A301" s="1">
        <v>575</v>
      </c>
      <c r="B301" s="1">
        <v>62</v>
      </c>
      <c r="C301" s="1">
        <v>300</v>
      </c>
    </row>
    <row r="302" spans="1:3" x14ac:dyDescent="0.25">
      <c r="A302" s="1">
        <v>576</v>
      </c>
      <c r="B302" s="1">
        <v>62</v>
      </c>
      <c r="C302" s="1">
        <v>300</v>
      </c>
    </row>
    <row r="303" spans="1:3" x14ac:dyDescent="0.25">
      <c r="A303" s="1">
        <v>577</v>
      </c>
      <c r="B303" s="1">
        <v>62</v>
      </c>
      <c r="C303" s="1">
        <v>300</v>
      </c>
    </row>
    <row r="304" spans="1:3" x14ac:dyDescent="0.25">
      <c r="A304" s="1">
        <v>578</v>
      </c>
      <c r="B304" s="1">
        <v>62</v>
      </c>
      <c r="C304" s="1">
        <v>300</v>
      </c>
    </row>
    <row r="305" spans="1:3" x14ac:dyDescent="0.25">
      <c r="A305" s="1">
        <v>579</v>
      </c>
      <c r="B305" s="1">
        <v>62</v>
      </c>
      <c r="C305" s="1">
        <v>300</v>
      </c>
    </row>
    <row r="306" spans="1:3" x14ac:dyDescent="0.25">
      <c r="A306" s="1">
        <v>580</v>
      </c>
      <c r="B306" s="1">
        <v>62</v>
      </c>
      <c r="C306" s="1">
        <v>300</v>
      </c>
    </row>
    <row r="307" spans="1:3" x14ac:dyDescent="0.25">
      <c r="A307" s="1">
        <v>581</v>
      </c>
      <c r="B307" s="1">
        <v>62</v>
      </c>
      <c r="C307" s="1">
        <v>300</v>
      </c>
    </row>
    <row r="308" spans="1:3" x14ac:dyDescent="0.25">
      <c r="A308" s="1">
        <v>582</v>
      </c>
      <c r="B308" s="1">
        <v>62</v>
      </c>
      <c r="C308" s="1">
        <v>300</v>
      </c>
    </row>
    <row r="309" spans="1:3" x14ac:dyDescent="0.25">
      <c r="A309" s="1">
        <v>583</v>
      </c>
      <c r="B309" s="1">
        <v>62</v>
      </c>
      <c r="C309" s="1">
        <v>300</v>
      </c>
    </row>
    <row r="310" spans="1:3" x14ac:dyDescent="0.25">
      <c r="A310" s="1">
        <v>584</v>
      </c>
      <c r="B310" s="1">
        <v>63</v>
      </c>
      <c r="C310" s="1">
        <v>300</v>
      </c>
    </row>
    <row r="311" spans="1:3" x14ac:dyDescent="0.25">
      <c r="A311" s="1">
        <v>585</v>
      </c>
      <c r="B311" s="1">
        <v>63</v>
      </c>
      <c r="C311" s="1">
        <v>300</v>
      </c>
    </row>
    <row r="312" spans="1:3" x14ac:dyDescent="0.25">
      <c r="A312" s="1">
        <v>586</v>
      </c>
      <c r="B312" s="1">
        <v>63</v>
      </c>
      <c r="C312" s="1">
        <v>300</v>
      </c>
    </row>
    <row r="313" spans="1:3" x14ac:dyDescent="0.25">
      <c r="A313" s="1">
        <v>587</v>
      </c>
      <c r="B313" s="1">
        <v>63</v>
      </c>
      <c r="C313" s="1">
        <v>300</v>
      </c>
    </row>
    <row r="314" spans="1:3" x14ac:dyDescent="0.25">
      <c r="A314" s="1">
        <v>588</v>
      </c>
      <c r="B314" s="1">
        <v>63</v>
      </c>
      <c r="C314" s="1">
        <v>300</v>
      </c>
    </row>
    <row r="315" spans="1:3" x14ac:dyDescent="0.25">
      <c r="A315" s="1">
        <v>589</v>
      </c>
      <c r="B315" s="1">
        <v>63</v>
      </c>
      <c r="C315" s="1">
        <v>300</v>
      </c>
    </row>
    <row r="316" spans="1:3" x14ac:dyDescent="0.25">
      <c r="A316" s="1">
        <v>590</v>
      </c>
      <c r="B316" s="1">
        <v>63</v>
      </c>
      <c r="C316" s="1">
        <v>300</v>
      </c>
    </row>
    <row r="317" spans="1:3" x14ac:dyDescent="0.25">
      <c r="A317" s="1">
        <v>591</v>
      </c>
      <c r="B317" s="1">
        <v>63</v>
      </c>
      <c r="C317" s="1">
        <v>300</v>
      </c>
    </row>
    <row r="318" spans="1:3" x14ac:dyDescent="0.25">
      <c r="A318" s="1">
        <v>592</v>
      </c>
      <c r="B318" s="1">
        <v>63</v>
      </c>
      <c r="C318" s="1">
        <v>300</v>
      </c>
    </row>
    <row r="319" spans="1:3" x14ac:dyDescent="0.25">
      <c r="A319" s="1">
        <v>593</v>
      </c>
      <c r="B319" s="1">
        <v>64</v>
      </c>
      <c r="C319" s="1">
        <v>300</v>
      </c>
    </row>
    <row r="320" spans="1:3" x14ac:dyDescent="0.25">
      <c r="A320" s="1">
        <v>594</v>
      </c>
      <c r="B320" s="1">
        <v>64</v>
      </c>
      <c r="C320" s="1">
        <v>300</v>
      </c>
    </row>
    <row r="321" spans="1:3" x14ac:dyDescent="0.25">
      <c r="A321" s="1">
        <v>595</v>
      </c>
      <c r="B321" s="1">
        <v>64</v>
      </c>
      <c r="C321" s="1">
        <v>300</v>
      </c>
    </row>
    <row r="322" spans="1:3" x14ac:dyDescent="0.25">
      <c r="A322" s="1">
        <v>596</v>
      </c>
      <c r="B322" s="1">
        <v>64</v>
      </c>
      <c r="C322" s="1">
        <v>300</v>
      </c>
    </row>
    <row r="323" spans="1:3" x14ac:dyDescent="0.25">
      <c r="A323" s="1">
        <v>597</v>
      </c>
      <c r="B323" s="1">
        <v>64</v>
      </c>
      <c r="C323" s="1">
        <v>300</v>
      </c>
    </row>
    <row r="324" spans="1:3" x14ac:dyDescent="0.25">
      <c r="A324" s="1">
        <v>598</v>
      </c>
      <c r="B324" s="1">
        <v>64</v>
      </c>
      <c r="C324" s="1">
        <v>300</v>
      </c>
    </row>
    <row r="325" spans="1:3" x14ac:dyDescent="0.25">
      <c r="A325" s="1">
        <v>599</v>
      </c>
      <c r="B325" s="1">
        <v>64</v>
      </c>
      <c r="C325" s="1">
        <v>300</v>
      </c>
    </row>
    <row r="326" spans="1:3" x14ac:dyDescent="0.25">
      <c r="A326" s="1">
        <v>600</v>
      </c>
      <c r="B326" s="1">
        <v>65</v>
      </c>
      <c r="C326" s="1">
        <v>300</v>
      </c>
    </row>
    <row r="327" spans="1:3" x14ac:dyDescent="0.25">
      <c r="A327" s="1">
        <v>601</v>
      </c>
      <c r="B327" s="1">
        <v>65</v>
      </c>
      <c r="C327" s="1">
        <v>300</v>
      </c>
    </row>
    <row r="328" spans="1:3" x14ac:dyDescent="0.25">
      <c r="A328" s="1">
        <v>602</v>
      </c>
      <c r="B328" s="1">
        <v>65</v>
      </c>
      <c r="C328" s="1">
        <v>300</v>
      </c>
    </row>
    <row r="329" spans="1:3" x14ac:dyDescent="0.25">
      <c r="A329" s="1">
        <v>603</v>
      </c>
      <c r="B329" s="1">
        <v>65</v>
      </c>
      <c r="C329" s="1">
        <v>300</v>
      </c>
    </row>
    <row r="330" spans="1:3" x14ac:dyDescent="0.25">
      <c r="A330" s="1">
        <v>604</v>
      </c>
      <c r="B330" s="1">
        <v>65</v>
      </c>
      <c r="C330" s="1">
        <v>300</v>
      </c>
    </row>
    <row r="331" spans="1:3" x14ac:dyDescent="0.25">
      <c r="A331" s="1">
        <v>605</v>
      </c>
      <c r="B331" s="1">
        <v>65</v>
      </c>
      <c r="C331" s="1">
        <v>300</v>
      </c>
    </row>
    <row r="332" spans="1:3" x14ac:dyDescent="0.25">
      <c r="A332" s="1">
        <v>606</v>
      </c>
      <c r="B332" s="1">
        <v>66</v>
      </c>
      <c r="C332" s="1">
        <v>300</v>
      </c>
    </row>
    <row r="333" spans="1:3" x14ac:dyDescent="0.25">
      <c r="A333" s="1">
        <v>607</v>
      </c>
      <c r="B333" s="1">
        <v>66</v>
      </c>
      <c r="C333" s="1">
        <v>300</v>
      </c>
    </row>
    <row r="334" spans="1:3" x14ac:dyDescent="0.25">
      <c r="A334" s="1">
        <v>608</v>
      </c>
      <c r="B334" s="1">
        <v>66</v>
      </c>
      <c r="C334" s="1">
        <v>300</v>
      </c>
    </row>
    <row r="335" spans="1:3" x14ac:dyDescent="0.25">
      <c r="A335" s="1">
        <v>609</v>
      </c>
      <c r="B335" s="1">
        <v>66</v>
      </c>
      <c r="C335" s="1">
        <v>300</v>
      </c>
    </row>
    <row r="336" spans="1:3" x14ac:dyDescent="0.25">
      <c r="A336" s="1">
        <v>610</v>
      </c>
      <c r="B336" s="1">
        <v>66</v>
      </c>
      <c r="C336" s="1">
        <v>300</v>
      </c>
    </row>
    <row r="337" spans="1:3" x14ac:dyDescent="0.25">
      <c r="A337" s="1">
        <v>611</v>
      </c>
      <c r="B337" s="1">
        <v>66</v>
      </c>
      <c r="C337" s="1">
        <v>300</v>
      </c>
    </row>
    <row r="338" spans="1:3" x14ac:dyDescent="0.25">
      <c r="A338" s="1">
        <v>612</v>
      </c>
      <c r="B338" s="1">
        <v>66</v>
      </c>
      <c r="C338" s="1">
        <v>300</v>
      </c>
    </row>
    <row r="339" spans="1:3" x14ac:dyDescent="0.25">
      <c r="A339" s="1">
        <v>613</v>
      </c>
      <c r="B339" s="1">
        <v>66</v>
      </c>
      <c r="C339" s="1">
        <v>300</v>
      </c>
    </row>
    <row r="340" spans="1:3" x14ac:dyDescent="0.25">
      <c r="A340" s="1">
        <v>614</v>
      </c>
      <c r="B340" s="1">
        <v>66</v>
      </c>
      <c r="C340" s="1">
        <v>300</v>
      </c>
    </row>
    <row r="341" spans="1:3" x14ac:dyDescent="0.25">
      <c r="A341" s="1">
        <v>615</v>
      </c>
      <c r="B341" s="1">
        <v>66</v>
      </c>
      <c r="C341" s="1">
        <v>300</v>
      </c>
    </row>
    <row r="342" spans="1:3" x14ac:dyDescent="0.25">
      <c r="A342" s="1">
        <v>616</v>
      </c>
      <c r="B342" s="1">
        <v>66</v>
      </c>
      <c r="C342" s="1">
        <v>300</v>
      </c>
    </row>
    <row r="343" spans="1:3" x14ac:dyDescent="0.25">
      <c r="A343" s="1">
        <v>617</v>
      </c>
      <c r="B343" s="1">
        <v>66</v>
      </c>
      <c r="C343" s="1">
        <v>300</v>
      </c>
    </row>
    <row r="344" spans="1:3" x14ac:dyDescent="0.25">
      <c r="A344" s="1">
        <v>618</v>
      </c>
      <c r="B344" s="1">
        <v>66</v>
      </c>
      <c r="C344" s="1">
        <v>300</v>
      </c>
    </row>
    <row r="345" spans="1:3" x14ac:dyDescent="0.25">
      <c r="A345" s="1">
        <v>619</v>
      </c>
      <c r="B345" s="1">
        <v>66</v>
      </c>
      <c r="C345" s="1">
        <v>110</v>
      </c>
    </row>
    <row r="346" spans="1:3" x14ac:dyDescent="0.25">
      <c r="A346" s="1">
        <v>620</v>
      </c>
      <c r="B346" s="1">
        <v>67</v>
      </c>
      <c r="C346" s="1">
        <v>300</v>
      </c>
    </row>
    <row r="347" spans="1:3" x14ac:dyDescent="0.25">
      <c r="A347" s="1">
        <v>621</v>
      </c>
      <c r="B347" s="1">
        <v>67</v>
      </c>
      <c r="C347" s="1">
        <v>300</v>
      </c>
    </row>
    <row r="348" spans="1:3" x14ac:dyDescent="0.25">
      <c r="A348" s="1">
        <v>622</v>
      </c>
      <c r="B348" s="1">
        <v>67</v>
      </c>
      <c r="C348" s="1">
        <v>300</v>
      </c>
    </row>
    <row r="349" spans="1:3" x14ac:dyDescent="0.25">
      <c r="A349" s="1">
        <v>623</v>
      </c>
      <c r="B349" s="1">
        <v>67</v>
      </c>
      <c r="C349" s="1">
        <v>300</v>
      </c>
    </row>
    <row r="350" spans="1:3" x14ac:dyDescent="0.25">
      <c r="A350" s="1">
        <v>624</v>
      </c>
      <c r="B350" s="1">
        <v>67</v>
      </c>
      <c r="C350" s="1">
        <v>300</v>
      </c>
    </row>
    <row r="351" spans="1:3" x14ac:dyDescent="0.25">
      <c r="A351" s="1">
        <v>625</v>
      </c>
      <c r="B351" s="1">
        <v>68</v>
      </c>
      <c r="C351" s="1">
        <v>300</v>
      </c>
    </row>
    <row r="352" spans="1:3" x14ac:dyDescent="0.25">
      <c r="A352" s="1">
        <v>626</v>
      </c>
      <c r="B352" s="1">
        <v>68</v>
      </c>
      <c r="C352" s="1">
        <v>300</v>
      </c>
    </row>
    <row r="353" spans="1:3" x14ac:dyDescent="0.25">
      <c r="A353" s="1">
        <v>627</v>
      </c>
      <c r="B353" s="1">
        <v>68</v>
      </c>
      <c r="C353" s="1">
        <v>300</v>
      </c>
    </row>
    <row r="354" spans="1:3" x14ac:dyDescent="0.25">
      <c r="A354" s="1">
        <v>628</v>
      </c>
      <c r="B354" s="1">
        <v>68</v>
      </c>
      <c r="C354" s="1">
        <v>300</v>
      </c>
    </row>
    <row r="355" spans="1:3" x14ac:dyDescent="0.25">
      <c r="A355" s="1">
        <v>629</v>
      </c>
      <c r="B355" s="1">
        <v>68</v>
      </c>
      <c r="C355" s="1">
        <v>300</v>
      </c>
    </row>
    <row r="356" spans="1:3" x14ac:dyDescent="0.25">
      <c r="A356" s="1">
        <v>630</v>
      </c>
      <c r="B356" s="1">
        <v>69</v>
      </c>
      <c r="C356" s="1">
        <v>300</v>
      </c>
    </row>
    <row r="357" spans="1:3" x14ac:dyDescent="0.25">
      <c r="A357" s="1">
        <v>631</v>
      </c>
      <c r="B357" s="1">
        <v>69</v>
      </c>
      <c r="C357" s="1">
        <v>300</v>
      </c>
    </row>
    <row r="358" spans="1:3" x14ac:dyDescent="0.25">
      <c r="A358" s="1">
        <v>632</v>
      </c>
      <c r="B358" s="1">
        <v>69</v>
      </c>
      <c r="C358" s="1">
        <v>300</v>
      </c>
    </row>
    <row r="359" spans="1:3" x14ac:dyDescent="0.25">
      <c r="A359" s="1">
        <v>633</v>
      </c>
      <c r="B359" s="1">
        <v>69</v>
      </c>
      <c r="C359" s="1">
        <v>300</v>
      </c>
    </row>
    <row r="360" spans="1:3" x14ac:dyDescent="0.25">
      <c r="A360" s="1">
        <v>634</v>
      </c>
      <c r="B360" s="1">
        <v>69</v>
      </c>
      <c r="C360" s="1">
        <v>300</v>
      </c>
    </row>
    <row r="361" spans="1:3" x14ac:dyDescent="0.25">
      <c r="A361" s="1">
        <v>635</v>
      </c>
      <c r="B361" s="1">
        <v>69</v>
      </c>
      <c r="C361" s="1">
        <v>300</v>
      </c>
    </row>
    <row r="362" spans="1:3" x14ac:dyDescent="0.25">
      <c r="A362" s="1">
        <v>636</v>
      </c>
      <c r="B362" s="1">
        <v>69</v>
      </c>
      <c r="C362" s="1">
        <v>300</v>
      </c>
    </row>
    <row r="363" spans="1:3" x14ac:dyDescent="0.25">
      <c r="A363" s="1">
        <v>637</v>
      </c>
      <c r="B363" s="1">
        <v>69</v>
      </c>
      <c r="C363" s="1">
        <v>300</v>
      </c>
    </row>
    <row r="364" spans="1:3" x14ac:dyDescent="0.25">
      <c r="A364" s="1">
        <v>638</v>
      </c>
      <c r="B364" s="1">
        <v>70</v>
      </c>
      <c r="C364" s="1">
        <v>300</v>
      </c>
    </row>
    <row r="365" spans="1:3" x14ac:dyDescent="0.25">
      <c r="A365" s="1">
        <v>639</v>
      </c>
      <c r="B365" s="1">
        <v>70</v>
      </c>
      <c r="C365" s="1">
        <v>300</v>
      </c>
    </row>
    <row r="366" spans="1:3" x14ac:dyDescent="0.25">
      <c r="A366" s="1">
        <v>640</v>
      </c>
      <c r="B366" s="1">
        <v>70</v>
      </c>
      <c r="C366" s="1">
        <v>300</v>
      </c>
    </row>
    <row r="367" spans="1:3" x14ac:dyDescent="0.25">
      <c r="A367" s="1">
        <v>641</v>
      </c>
      <c r="B367" s="1">
        <v>70</v>
      </c>
      <c r="C367" s="1">
        <v>300</v>
      </c>
    </row>
    <row r="368" spans="1:3" x14ac:dyDescent="0.25">
      <c r="A368" s="1">
        <v>642</v>
      </c>
      <c r="B368" s="1">
        <v>71</v>
      </c>
      <c r="C368" s="1">
        <v>300</v>
      </c>
    </row>
    <row r="369" spans="1:3" x14ac:dyDescent="0.25">
      <c r="A369" s="1">
        <v>643</v>
      </c>
      <c r="B369" s="1">
        <v>71</v>
      </c>
      <c r="C369" s="1">
        <v>300</v>
      </c>
    </row>
    <row r="370" spans="1:3" x14ac:dyDescent="0.25">
      <c r="A370" s="1">
        <v>644</v>
      </c>
      <c r="B370" s="1">
        <v>71</v>
      </c>
      <c r="C370" s="1">
        <v>300</v>
      </c>
    </row>
    <row r="371" spans="1:3" x14ac:dyDescent="0.25">
      <c r="A371" s="1">
        <v>645</v>
      </c>
      <c r="B371" s="1">
        <v>71</v>
      </c>
      <c r="C371" s="1">
        <v>300</v>
      </c>
    </row>
    <row r="372" spans="1:3" x14ac:dyDescent="0.25">
      <c r="A372" s="1">
        <v>646</v>
      </c>
      <c r="B372" s="1">
        <v>71</v>
      </c>
      <c r="C372" s="1">
        <v>300</v>
      </c>
    </row>
    <row r="373" spans="1:3" x14ac:dyDescent="0.25">
      <c r="A373" s="1">
        <v>647</v>
      </c>
      <c r="B373" s="1">
        <v>72</v>
      </c>
      <c r="C373" s="1">
        <v>300</v>
      </c>
    </row>
    <row r="374" spans="1:3" x14ac:dyDescent="0.25">
      <c r="A374" s="1">
        <v>648</v>
      </c>
      <c r="B374" s="1">
        <v>72</v>
      </c>
      <c r="C374" s="1">
        <v>300</v>
      </c>
    </row>
    <row r="375" spans="1:3" x14ac:dyDescent="0.25">
      <c r="A375" s="1">
        <v>649</v>
      </c>
      <c r="B375" s="1">
        <v>72</v>
      </c>
      <c r="C375" s="1">
        <v>300</v>
      </c>
    </row>
    <row r="376" spans="1:3" x14ac:dyDescent="0.25">
      <c r="A376" s="1">
        <v>650</v>
      </c>
      <c r="B376" s="1">
        <v>72</v>
      </c>
      <c r="C376" s="1">
        <v>300</v>
      </c>
    </row>
    <row r="377" spans="1:3" x14ac:dyDescent="0.25">
      <c r="A377" s="1">
        <v>651</v>
      </c>
      <c r="B377" s="1">
        <v>72</v>
      </c>
      <c r="C377" s="1">
        <v>300</v>
      </c>
    </row>
    <row r="378" spans="1:3" x14ac:dyDescent="0.25">
      <c r="A378" s="1">
        <v>652</v>
      </c>
      <c r="B378" s="1">
        <v>72</v>
      </c>
      <c r="C378" s="1">
        <v>300</v>
      </c>
    </row>
    <row r="379" spans="1:3" x14ac:dyDescent="0.25">
      <c r="A379" s="1">
        <v>653</v>
      </c>
      <c r="B379" s="1">
        <v>72</v>
      </c>
      <c r="C379" s="1">
        <v>300</v>
      </c>
    </row>
    <row r="380" spans="1:3" x14ac:dyDescent="0.25">
      <c r="A380" s="1">
        <v>654</v>
      </c>
      <c r="B380" s="1">
        <v>72</v>
      </c>
      <c r="C380" s="1">
        <v>300</v>
      </c>
    </row>
    <row r="381" spans="1:3" x14ac:dyDescent="0.25">
      <c r="A381" s="1">
        <v>655</v>
      </c>
      <c r="B381" s="1">
        <v>72</v>
      </c>
      <c r="C381" s="1">
        <v>300</v>
      </c>
    </row>
    <row r="382" spans="1:3" x14ac:dyDescent="0.25">
      <c r="A382" s="1">
        <v>656</v>
      </c>
      <c r="B382" s="1">
        <v>72</v>
      </c>
      <c r="C382" s="1">
        <v>300</v>
      </c>
    </row>
    <row r="383" spans="1:3" x14ac:dyDescent="0.25">
      <c r="A383" s="1">
        <v>657</v>
      </c>
      <c r="B383" s="1">
        <v>73</v>
      </c>
      <c r="C383" s="1">
        <v>300</v>
      </c>
    </row>
    <row r="384" spans="1:3" x14ac:dyDescent="0.25">
      <c r="A384" s="1">
        <v>658</v>
      </c>
      <c r="B384" s="1">
        <v>73</v>
      </c>
      <c r="C384" s="1">
        <v>300</v>
      </c>
    </row>
    <row r="385" spans="1:3" x14ac:dyDescent="0.25">
      <c r="A385" s="1">
        <v>659</v>
      </c>
      <c r="B385" s="1">
        <v>73</v>
      </c>
      <c r="C385" s="1">
        <v>300</v>
      </c>
    </row>
    <row r="386" spans="1:3" x14ac:dyDescent="0.25">
      <c r="A386" s="1">
        <v>660</v>
      </c>
      <c r="B386" s="1">
        <v>73</v>
      </c>
      <c r="C386" s="1">
        <v>300</v>
      </c>
    </row>
    <row r="387" spans="1:3" x14ac:dyDescent="0.25">
      <c r="A387" s="1">
        <v>661</v>
      </c>
      <c r="B387" s="1">
        <v>73</v>
      </c>
      <c r="C387" s="1">
        <v>300</v>
      </c>
    </row>
    <row r="388" spans="1:3" x14ac:dyDescent="0.25">
      <c r="A388" s="1">
        <v>662</v>
      </c>
      <c r="B388" s="1">
        <v>73</v>
      </c>
      <c r="C388" s="1">
        <v>300</v>
      </c>
    </row>
    <row r="389" spans="1:3" x14ac:dyDescent="0.25">
      <c r="A389" s="1">
        <v>663</v>
      </c>
      <c r="B389" s="1">
        <v>73</v>
      </c>
      <c r="C389" s="1">
        <v>300</v>
      </c>
    </row>
    <row r="390" spans="1:3" x14ac:dyDescent="0.25">
      <c r="A390" s="1">
        <v>664</v>
      </c>
      <c r="B390" s="1">
        <v>73</v>
      </c>
      <c r="C390" s="1">
        <v>300</v>
      </c>
    </row>
    <row r="391" spans="1:3" x14ac:dyDescent="0.25">
      <c r="A391" s="1">
        <v>665</v>
      </c>
      <c r="B391" s="1">
        <v>73</v>
      </c>
      <c r="C391" s="1">
        <v>300</v>
      </c>
    </row>
    <row r="392" spans="1:3" x14ac:dyDescent="0.25">
      <c r="A392" s="1">
        <v>666</v>
      </c>
      <c r="B392" s="1">
        <v>73</v>
      </c>
      <c r="C392" s="1">
        <v>300</v>
      </c>
    </row>
    <row r="393" spans="1:3" x14ac:dyDescent="0.25">
      <c r="A393" s="1">
        <v>667</v>
      </c>
      <c r="B393" s="1">
        <v>74</v>
      </c>
      <c r="C393" s="1">
        <v>300</v>
      </c>
    </row>
    <row r="394" spans="1:3" x14ac:dyDescent="0.25">
      <c r="A394" s="1">
        <v>668</v>
      </c>
      <c r="B394" s="1">
        <v>74</v>
      </c>
      <c r="C394" s="1">
        <v>300</v>
      </c>
    </row>
    <row r="395" spans="1:3" x14ac:dyDescent="0.25">
      <c r="A395" s="1">
        <v>669</v>
      </c>
      <c r="B395" s="1">
        <v>74</v>
      </c>
      <c r="C395" s="1">
        <v>300</v>
      </c>
    </row>
    <row r="396" spans="1:3" x14ac:dyDescent="0.25">
      <c r="A396" s="1">
        <v>670</v>
      </c>
      <c r="B396" s="1">
        <v>74</v>
      </c>
      <c r="C396" s="1">
        <v>300</v>
      </c>
    </row>
    <row r="397" spans="1:3" x14ac:dyDescent="0.25">
      <c r="A397" s="1">
        <v>671</v>
      </c>
      <c r="B397" s="1">
        <v>74</v>
      </c>
      <c r="C397" s="1">
        <v>300</v>
      </c>
    </row>
    <row r="398" spans="1:3" x14ac:dyDescent="0.25">
      <c r="A398" s="1">
        <v>672</v>
      </c>
      <c r="B398" s="1">
        <v>74</v>
      </c>
      <c r="C398" s="1">
        <v>300</v>
      </c>
    </row>
    <row r="399" spans="1:3" x14ac:dyDescent="0.25">
      <c r="A399" s="1">
        <v>673</v>
      </c>
      <c r="B399" s="1">
        <v>74</v>
      </c>
      <c r="C399" s="1">
        <v>300</v>
      </c>
    </row>
    <row r="400" spans="1:3" x14ac:dyDescent="0.25">
      <c r="A400" s="1">
        <v>674</v>
      </c>
      <c r="B400" s="1">
        <v>75</v>
      </c>
      <c r="C400" s="1">
        <v>300</v>
      </c>
    </row>
    <row r="401" spans="1:3" x14ac:dyDescent="0.25">
      <c r="A401" s="1">
        <v>675</v>
      </c>
      <c r="B401" s="1">
        <v>75</v>
      </c>
      <c r="C401" s="1">
        <v>300</v>
      </c>
    </row>
    <row r="402" spans="1:3" x14ac:dyDescent="0.25">
      <c r="A402" s="1">
        <v>676</v>
      </c>
      <c r="B402" s="1">
        <v>75</v>
      </c>
      <c r="C402" s="1">
        <v>300</v>
      </c>
    </row>
    <row r="403" spans="1:3" x14ac:dyDescent="0.25">
      <c r="A403" s="1">
        <v>677</v>
      </c>
      <c r="B403" s="1">
        <v>75</v>
      </c>
      <c r="C403" s="1">
        <v>300</v>
      </c>
    </row>
    <row r="404" spans="1:3" x14ac:dyDescent="0.25">
      <c r="A404" s="1">
        <v>678</v>
      </c>
      <c r="B404" s="1">
        <v>75</v>
      </c>
      <c r="C404" s="1">
        <v>300</v>
      </c>
    </row>
    <row r="405" spans="1:3" x14ac:dyDescent="0.25">
      <c r="A405" s="1">
        <v>679</v>
      </c>
      <c r="B405" s="1">
        <v>75</v>
      </c>
      <c r="C405" s="1">
        <v>300</v>
      </c>
    </row>
    <row r="406" spans="1:3" x14ac:dyDescent="0.25">
      <c r="A406" s="1">
        <v>680</v>
      </c>
      <c r="B406" s="1">
        <v>75</v>
      </c>
      <c r="C406" s="1">
        <v>300</v>
      </c>
    </row>
    <row r="407" spans="1:3" x14ac:dyDescent="0.25">
      <c r="A407" s="1">
        <v>681</v>
      </c>
      <c r="B407" s="1">
        <v>76</v>
      </c>
      <c r="C407" s="1">
        <v>300</v>
      </c>
    </row>
    <row r="408" spans="1:3" x14ac:dyDescent="0.25">
      <c r="A408" s="1">
        <v>682</v>
      </c>
      <c r="B408" s="1">
        <v>76</v>
      </c>
      <c r="C408" s="1">
        <v>300</v>
      </c>
    </row>
    <row r="409" spans="1:3" x14ac:dyDescent="0.25">
      <c r="A409" s="1">
        <v>683</v>
      </c>
      <c r="B409" s="1">
        <v>76</v>
      </c>
      <c r="C409" s="1">
        <v>300</v>
      </c>
    </row>
    <row r="410" spans="1:3" x14ac:dyDescent="0.25">
      <c r="A410" s="1">
        <v>684</v>
      </c>
      <c r="B410" s="1">
        <v>76</v>
      </c>
      <c r="C410" s="1">
        <v>300</v>
      </c>
    </row>
    <row r="411" spans="1:3" x14ac:dyDescent="0.25">
      <c r="A411" s="1">
        <v>685</v>
      </c>
      <c r="B411" s="1">
        <v>76</v>
      </c>
      <c r="C411" s="1">
        <v>300</v>
      </c>
    </row>
    <row r="412" spans="1:3" x14ac:dyDescent="0.25">
      <c r="A412" s="1">
        <v>686</v>
      </c>
      <c r="B412" s="1">
        <v>76</v>
      </c>
      <c r="C412" s="1">
        <v>300</v>
      </c>
    </row>
    <row r="413" spans="1:3" x14ac:dyDescent="0.25">
      <c r="A413" s="1">
        <v>687</v>
      </c>
      <c r="B413" s="1">
        <v>76</v>
      </c>
      <c r="C413" s="1">
        <v>300</v>
      </c>
    </row>
    <row r="414" spans="1:3" x14ac:dyDescent="0.25">
      <c r="A414" s="1">
        <v>688</v>
      </c>
      <c r="B414" s="1">
        <v>77</v>
      </c>
      <c r="C414" s="1">
        <v>300</v>
      </c>
    </row>
    <row r="415" spans="1:3" x14ac:dyDescent="0.25">
      <c r="A415" s="1">
        <v>689</v>
      </c>
      <c r="B415" s="1">
        <v>77</v>
      </c>
      <c r="C415" s="1">
        <v>300</v>
      </c>
    </row>
    <row r="416" spans="1:3" x14ac:dyDescent="0.25">
      <c r="A416" s="1">
        <v>690</v>
      </c>
      <c r="B416" s="1">
        <v>77</v>
      </c>
      <c r="C416" s="1">
        <v>300</v>
      </c>
    </row>
    <row r="417" spans="1:3" x14ac:dyDescent="0.25">
      <c r="A417" s="1">
        <v>691</v>
      </c>
      <c r="B417" s="1">
        <v>77</v>
      </c>
      <c r="C417" s="1">
        <v>300</v>
      </c>
    </row>
    <row r="418" spans="1:3" x14ac:dyDescent="0.25">
      <c r="A418" s="1">
        <v>692</v>
      </c>
      <c r="B418" s="1">
        <v>77</v>
      </c>
      <c r="C418" s="1">
        <v>300</v>
      </c>
    </row>
    <row r="419" spans="1:3" x14ac:dyDescent="0.25">
      <c r="A419" s="1">
        <v>693</v>
      </c>
      <c r="B419" s="1">
        <v>77</v>
      </c>
      <c r="C419" s="1">
        <v>300</v>
      </c>
    </row>
    <row r="420" spans="1:3" x14ac:dyDescent="0.25">
      <c r="A420" s="1">
        <v>694</v>
      </c>
      <c r="B420" s="1">
        <v>77</v>
      </c>
      <c r="C420" s="1">
        <v>300</v>
      </c>
    </row>
    <row r="421" spans="1:3" x14ac:dyDescent="0.25">
      <c r="A421" s="1">
        <v>695</v>
      </c>
      <c r="B421" s="1">
        <v>77</v>
      </c>
      <c r="C421" s="1">
        <v>300</v>
      </c>
    </row>
    <row r="422" spans="1:3" x14ac:dyDescent="0.25">
      <c r="A422" s="1">
        <v>696</v>
      </c>
      <c r="B422" s="1">
        <v>77</v>
      </c>
      <c r="C422" s="1">
        <v>300</v>
      </c>
    </row>
    <row r="423" spans="1:3" x14ac:dyDescent="0.25">
      <c r="A423" s="1">
        <v>697</v>
      </c>
      <c r="B423" s="1">
        <v>77</v>
      </c>
      <c r="C423" s="1">
        <v>300</v>
      </c>
    </row>
    <row r="424" spans="1:3" x14ac:dyDescent="0.25">
      <c r="A424" s="1">
        <v>698</v>
      </c>
      <c r="B424" s="1">
        <v>77</v>
      </c>
      <c r="C424" s="1">
        <v>300</v>
      </c>
    </row>
    <row r="425" spans="1:3" x14ac:dyDescent="0.25">
      <c r="A425" s="1">
        <v>699</v>
      </c>
      <c r="B425" s="1">
        <v>77</v>
      </c>
      <c r="C425" s="1">
        <v>110</v>
      </c>
    </row>
    <row r="426" spans="1:3" x14ac:dyDescent="0.25">
      <c r="A426" s="1">
        <v>700</v>
      </c>
      <c r="B426" s="1">
        <v>78</v>
      </c>
      <c r="C426" s="1">
        <v>300</v>
      </c>
    </row>
    <row r="427" spans="1:3" x14ac:dyDescent="0.25">
      <c r="A427" s="1">
        <v>701</v>
      </c>
      <c r="B427" s="1">
        <v>78</v>
      </c>
      <c r="C427" s="1">
        <v>300</v>
      </c>
    </row>
    <row r="428" spans="1:3" x14ac:dyDescent="0.25">
      <c r="A428" s="1">
        <v>702</v>
      </c>
      <c r="B428" s="1">
        <v>78</v>
      </c>
      <c r="C428" s="1">
        <v>208</v>
      </c>
    </row>
    <row r="429" spans="1:3" x14ac:dyDescent="0.25">
      <c r="A429" s="1">
        <v>703</v>
      </c>
      <c r="B429" s="1">
        <v>79</v>
      </c>
      <c r="C429" s="1">
        <v>500</v>
      </c>
    </row>
    <row r="430" spans="1:3" x14ac:dyDescent="0.25">
      <c r="A430" s="1">
        <v>704</v>
      </c>
      <c r="B430" s="1">
        <v>79</v>
      </c>
      <c r="C430" s="1">
        <v>500</v>
      </c>
    </row>
    <row r="431" spans="1:3" x14ac:dyDescent="0.25">
      <c r="A431" s="1">
        <v>705</v>
      </c>
      <c r="B431" s="1">
        <v>79</v>
      </c>
      <c r="C431" s="1">
        <v>500</v>
      </c>
    </row>
    <row r="432" spans="1:3" x14ac:dyDescent="0.25">
      <c r="A432" s="1">
        <v>706</v>
      </c>
      <c r="B432" s="1">
        <v>79</v>
      </c>
      <c r="C432" s="1">
        <v>500</v>
      </c>
    </row>
    <row r="433" spans="1:3" x14ac:dyDescent="0.25">
      <c r="A433" s="1">
        <v>707</v>
      </c>
      <c r="B433" s="1">
        <v>79</v>
      </c>
      <c r="C433" s="1">
        <v>500</v>
      </c>
    </row>
    <row r="434" spans="1:3" x14ac:dyDescent="0.25">
      <c r="A434" s="1">
        <v>708</v>
      </c>
      <c r="B434" s="1">
        <v>79</v>
      </c>
      <c r="C434" s="1">
        <v>500</v>
      </c>
    </row>
    <row r="435" spans="1:3" x14ac:dyDescent="0.25">
      <c r="A435" s="1">
        <v>709</v>
      </c>
      <c r="B435" s="1">
        <v>79</v>
      </c>
      <c r="C435" s="1">
        <v>500</v>
      </c>
    </row>
    <row r="436" spans="1:3" x14ac:dyDescent="0.25">
      <c r="A436" s="1">
        <v>710</v>
      </c>
      <c r="B436" s="1">
        <v>79</v>
      </c>
      <c r="C436" s="1">
        <v>500</v>
      </c>
    </row>
    <row r="437" spans="1:3" x14ac:dyDescent="0.25">
      <c r="A437" s="1">
        <v>711</v>
      </c>
      <c r="B437" s="1">
        <v>79</v>
      </c>
      <c r="C437" s="1">
        <v>500</v>
      </c>
    </row>
    <row r="438" spans="1:3" x14ac:dyDescent="0.25">
      <c r="A438" s="1">
        <v>712</v>
      </c>
      <c r="B438" s="1">
        <v>79</v>
      </c>
      <c r="C438" s="1">
        <v>500</v>
      </c>
    </row>
    <row r="439" spans="1:3" x14ac:dyDescent="0.25">
      <c r="A439" s="1">
        <v>713</v>
      </c>
      <c r="B439" s="1">
        <v>79</v>
      </c>
      <c r="C439" s="1">
        <v>500</v>
      </c>
    </row>
    <row r="440" spans="1:3" x14ac:dyDescent="0.25">
      <c r="A440" s="1">
        <v>714</v>
      </c>
      <c r="B440" s="1">
        <v>79</v>
      </c>
      <c r="C440" s="1">
        <v>500</v>
      </c>
    </row>
    <row r="441" spans="1:3" x14ac:dyDescent="0.25">
      <c r="A441" s="1">
        <v>715</v>
      </c>
      <c r="B441" s="1">
        <v>79</v>
      </c>
      <c r="C441" s="1">
        <v>500</v>
      </c>
    </row>
    <row r="442" spans="1:3" x14ac:dyDescent="0.25">
      <c r="A442" s="1">
        <v>716</v>
      </c>
      <c r="B442" s="1">
        <v>79</v>
      </c>
      <c r="C442" s="1">
        <v>500</v>
      </c>
    </row>
    <row r="443" spans="1:3" x14ac:dyDescent="0.25">
      <c r="A443" s="1">
        <v>717</v>
      </c>
      <c r="B443" s="1">
        <v>79</v>
      </c>
      <c r="C443" s="1">
        <v>500</v>
      </c>
    </row>
    <row r="444" spans="1:3" x14ac:dyDescent="0.25">
      <c r="A444" s="1">
        <v>718</v>
      </c>
      <c r="B444" s="1">
        <v>79</v>
      </c>
      <c r="C444" s="1">
        <v>500</v>
      </c>
    </row>
    <row r="445" spans="1:3" x14ac:dyDescent="0.25">
      <c r="A445" s="1">
        <v>719</v>
      </c>
      <c r="B445" s="1">
        <v>80</v>
      </c>
      <c r="C445" s="1">
        <v>300</v>
      </c>
    </row>
    <row r="446" spans="1:3" x14ac:dyDescent="0.25">
      <c r="A446" s="1">
        <v>720</v>
      </c>
      <c r="B446" s="1">
        <v>80</v>
      </c>
      <c r="C446" s="1">
        <v>300</v>
      </c>
    </row>
    <row r="447" spans="1:3" x14ac:dyDescent="0.25">
      <c r="A447" s="1">
        <v>721</v>
      </c>
      <c r="B447" s="1">
        <v>80</v>
      </c>
      <c r="C447" s="1">
        <v>300</v>
      </c>
    </row>
    <row r="448" spans="1:3" x14ac:dyDescent="0.25">
      <c r="A448" s="1">
        <v>722</v>
      </c>
      <c r="B448" s="1">
        <v>80</v>
      </c>
      <c r="C448" s="1">
        <v>300</v>
      </c>
    </row>
    <row r="449" spans="1:3" x14ac:dyDescent="0.25">
      <c r="A449" s="1">
        <v>723</v>
      </c>
      <c r="B449" s="1">
        <v>80</v>
      </c>
      <c r="C449" s="1">
        <v>300</v>
      </c>
    </row>
    <row r="450" spans="1:3" x14ac:dyDescent="0.25">
      <c r="A450" s="1">
        <v>724</v>
      </c>
      <c r="B450" s="1">
        <v>80</v>
      </c>
      <c r="C450" s="1">
        <v>300</v>
      </c>
    </row>
    <row r="451" spans="1:3" x14ac:dyDescent="0.25">
      <c r="A451" s="1">
        <v>725</v>
      </c>
      <c r="B451" s="1">
        <v>80</v>
      </c>
      <c r="C451" s="1">
        <v>300</v>
      </c>
    </row>
    <row r="452" spans="1:3" x14ac:dyDescent="0.25">
      <c r="A452" s="1">
        <v>726</v>
      </c>
      <c r="B452" s="1">
        <v>80</v>
      </c>
      <c r="C452" s="1">
        <v>300</v>
      </c>
    </row>
    <row r="453" spans="1:3" x14ac:dyDescent="0.25">
      <c r="A453" s="1">
        <v>727</v>
      </c>
      <c r="B453" s="1">
        <v>80</v>
      </c>
      <c r="C453" s="1">
        <v>300</v>
      </c>
    </row>
    <row r="454" spans="1:3" x14ac:dyDescent="0.25">
      <c r="A454" s="1">
        <v>728</v>
      </c>
      <c r="B454" s="1">
        <v>80</v>
      </c>
      <c r="C454" s="1">
        <v>300</v>
      </c>
    </row>
    <row r="455" spans="1:3" x14ac:dyDescent="0.25">
      <c r="A455" s="1">
        <v>729</v>
      </c>
      <c r="B455" s="1">
        <v>81</v>
      </c>
      <c r="C455" s="1">
        <v>300</v>
      </c>
    </row>
    <row r="456" spans="1:3" x14ac:dyDescent="0.25">
      <c r="A456" s="1">
        <v>730</v>
      </c>
      <c r="B456" s="1">
        <v>81</v>
      </c>
      <c r="C456" s="1">
        <v>300</v>
      </c>
    </row>
    <row r="457" spans="1:3" x14ac:dyDescent="0.25">
      <c r="A457" s="1">
        <v>731</v>
      </c>
      <c r="B457" s="1">
        <v>81</v>
      </c>
      <c r="C457" s="1">
        <v>300</v>
      </c>
    </row>
    <row r="458" spans="1:3" x14ac:dyDescent="0.25">
      <c r="A458" s="1">
        <v>732</v>
      </c>
      <c r="B458" s="1">
        <v>81</v>
      </c>
      <c r="C458" s="1">
        <v>300</v>
      </c>
    </row>
    <row r="459" spans="1:3" x14ac:dyDescent="0.25">
      <c r="A459" s="1">
        <v>733</v>
      </c>
      <c r="B459" s="1">
        <v>81</v>
      </c>
      <c r="C459" s="1">
        <v>300</v>
      </c>
    </row>
    <row r="460" spans="1:3" x14ac:dyDescent="0.25">
      <c r="A460" s="1">
        <v>734</v>
      </c>
      <c r="B460" s="1">
        <v>81</v>
      </c>
      <c r="C460" s="1">
        <v>300</v>
      </c>
    </row>
    <row r="461" spans="1:3" x14ac:dyDescent="0.25">
      <c r="A461" s="1">
        <v>735</v>
      </c>
      <c r="B461" s="1">
        <v>81</v>
      </c>
      <c r="C461" s="1">
        <v>300</v>
      </c>
    </row>
    <row r="462" spans="1:3" x14ac:dyDescent="0.25">
      <c r="A462" s="1">
        <v>736</v>
      </c>
      <c r="B462" s="1">
        <v>81</v>
      </c>
      <c r="C462" s="1">
        <v>300</v>
      </c>
    </row>
    <row r="463" spans="1:3" x14ac:dyDescent="0.25">
      <c r="A463" s="1">
        <v>737</v>
      </c>
      <c r="B463" s="1">
        <v>81</v>
      </c>
      <c r="C463" s="1">
        <v>300</v>
      </c>
    </row>
    <row r="464" spans="1:3" x14ac:dyDescent="0.25">
      <c r="A464" s="1">
        <v>738</v>
      </c>
      <c r="B464" s="1">
        <v>81</v>
      </c>
      <c r="C464" s="1">
        <v>300</v>
      </c>
    </row>
    <row r="465" spans="1:3" x14ac:dyDescent="0.25">
      <c r="A465" s="1">
        <v>739</v>
      </c>
      <c r="B465" s="1">
        <v>82</v>
      </c>
      <c r="C465" s="1">
        <v>300</v>
      </c>
    </row>
    <row r="466" spans="1:3" x14ac:dyDescent="0.25">
      <c r="A466" s="1">
        <v>740</v>
      </c>
      <c r="B466" s="1">
        <v>82</v>
      </c>
      <c r="C466" s="1">
        <v>300</v>
      </c>
    </row>
    <row r="467" spans="1:3" x14ac:dyDescent="0.25">
      <c r="A467" s="1">
        <v>741</v>
      </c>
      <c r="B467" s="1">
        <v>82</v>
      </c>
      <c r="C467" s="1">
        <v>200</v>
      </c>
    </row>
    <row r="468" spans="1:3" x14ac:dyDescent="0.25">
      <c r="A468" s="1">
        <v>742</v>
      </c>
      <c r="B468" s="1">
        <v>83</v>
      </c>
      <c r="C468" s="1">
        <v>300</v>
      </c>
    </row>
    <row r="469" spans="1:3" x14ac:dyDescent="0.25">
      <c r="A469" s="1">
        <v>743</v>
      </c>
      <c r="B469" s="1">
        <v>83</v>
      </c>
      <c r="C469" s="1">
        <v>300</v>
      </c>
    </row>
    <row r="470" spans="1:3" x14ac:dyDescent="0.25">
      <c r="A470" s="1">
        <v>744</v>
      </c>
      <c r="B470" s="1">
        <v>83</v>
      </c>
      <c r="C470" s="1">
        <v>300</v>
      </c>
    </row>
    <row r="471" spans="1:3" x14ac:dyDescent="0.25">
      <c r="A471" s="1">
        <v>745</v>
      </c>
      <c r="B471" s="1">
        <v>83</v>
      </c>
      <c r="C471" s="1">
        <v>300</v>
      </c>
    </row>
    <row r="472" spans="1:3" x14ac:dyDescent="0.25">
      <c r="A472" s="1">
        <v>746</v>
      </c>
      <c r="B472" s="1">
        <v>83</v>
      </c>
      <c r="C472" s="1">
        <v>300</v>
      </c>
    </row>
    <row r="473" spans="1:3" x14ac:dyDescent="0.25">
      <c r="A473" s="1">
        <v>747</v>
      </c>
      <c r="B473" s="1">
        <v>83</v>
      </c>
      <c r="C473" s="1">
        <v>300</v>
      </c>
    </row>
    <row r="474" spans="1:3" x14ac:dyDescent="0.25">
      <c r="A474" s="1">
        <v>748</v>
      </c>
      <c r="B474" s="1">
        <v>83</v>
      </c>
      <c r="C474" s="1">
        <v>300</v>
      </c>
    </row>
    <row r="475" spans="1:3" x14ac:dyDescent="0.25">
      <c r="A475" s="1">
        <v>749</v>
      </c>
      <c r="B475" s="1">
        <v>83</v>
      </c>
      <c r="C475" s="1">
        <v>300</v>
      </c>
    </row>
    <row r="476" spans="1:3" x14ac:dyDescent="0.25">
      <c r="A476" s="1">
        <v>750</v>
      </c>
      <c r="B476" s="1">
        <v>83</v>
      </c>
      <c r="C476" s="1">
        <v>300</v>
      </c>
    </row>
    <row r="477" spans="1:3" x14ac:dyDescent="0.25">
      <c r="A477" s="1">
        <v>751</v>
      </c>
      <c r="B477" s="1">
        <v>84</v>
      </c>
      <c r="C477" s="1">
        <v>300</v>
      </c>
    </row>
    <row r="478" spans="1:3" x14ac:dyDescent="0.25">
      <c r="A478" s="1">
        <v>752</v>
      </c>
      <c r="B478" s="1">
        <v>84</v>
      </c>
      <c r="C478" s="1">
        <v>300</v>
      </c>
    </row>
    <row r="479" spans="1:3" x14ac:dyDescent="0.25">
      <c r="A479" s="1">
        <v>753</v>
      </c>
      <c r="B479" s="1">
        <v>84</v>
      </c>
      <c r="C479" s="1">
        <v>300</v>
      </c>
    </row>
    <row r="480" spans="1:3" x14ac:dyDescent="0.25">
      <c r="A480" s="1">
        <v>754</v>
      </c>
      <c r="B480" s="1">
        <v>84</v>
      </c>
      <c r="C480" s="1">
        <v>300</v>
      </c>
    </row>
    <row r="481" spans="1:3" x14ac:dyDescent="0.25">
      <c r="A481" s="1">
        <v>755</v>
      </c>
      <c r="B481" s="1">
        <v>84</v>
      </c>
      <c r="C481" s="1">
        <v>300</v>
      </c>
    </row>
    <row r="482" spans="1:3" x14ac:dyDescent="0.25">
      <c r="A482" s="1">
        <v>756</v>
      </c>
      <c r="B482" s="1">
        <v>85</v>
      </c>
      <c r="C482" s="1">
        <v>300</v>
      </c>
    </row>
    <row r="483" spans="1:3" x14ac:dyDescent="0.25">
      <c r="A483" s="1">
        <v>757</v>
      </c>
      <c r="B483" s="1">
        <v>85</v>
      </c>
      <c r="C483" s="1">
        <v>200</v>
      </c>
    </row>
    <row r="484" spans="1:3" x14ac:dyDescent="0.25">
      <c r="A484" s="1">
        <v>758</v>
      </c>
      <c r="B484" s="1">
        <v>86</v>
      </c>
      <c r="C484" s="1">
        <v>300</v>
      </c>
    </row>
    <row r="485" spans="1:3" x14ac:dyDescent="0.25">
      <c r="A485" s="1">
        <v>759</v>
      </c>
      <c r="B485" s="1">
        <v>86</v>
      </c>
      <c r="C485" s="1">
        <v>300</v>
      </c>
    </row>
    <row r="486" spans="1:3" x14ac:dyDescent="0.25">
      <c r="A486" s="1">
        <v>760</v>
      </c>
      <c r="B486" s="1">
        <v>86</v>
      </c>
      <c r="C486" s="1">
        <v>300</v>
      </c>
    </row>
    <row r="487" spans="1:3" x14ac:dyDescent="0.25">
      <c r="A487" s="1">
        <v>761</v>
      </c>
      <c r="B487" s="1">
        <v>86</v>
      </c>
      <c r="C487" s="1">
        <v>300</v>
      </c>
    </row>
    <row r="488" spans="1:3" x14ac:dyDescent="0.25">
      <c r="A488" s="1">
        <v>762</v>
      </c>
      <c r="B488" s="1">
        <v>86</v>
      </c>
      <c r="C488" s="1">
        <v>300</v>
      </c>
    </row>
    <row r="489" spans="1:3" x14ac:dyDescent="0.25">
      <c r="A489" s="1">
        <v>763</v>
      </c>
      <c r="B489" s="1">
        <v>86</v>
      </c>
      <c r="C489" s="1">
        <v>300</v>
      </c>
    </row>
    <row r="490" spans="1:3" x14ac:dyDescent="0.25">
      <c r="A490" s="1">
        <v>764</v>
      </c>
      <c r="B490" s="1">
        <v>86</v>
      </c>
      <c r="C490" s="1">
        <v>210</v>
      </c>
    </row>
    <row r="491" spans="1:3" x14ac:dyDescent="0.25">
      <c r="A491" s="1">
        <v>765</v>
      </c>
      <c r="B491" s="1">
        <v>87</v>
      </c>
      <c r="C491" s="1">
        <v>300</v>
      </c>
    </row>
    <row r="492" spans="1:3" x14ac:dyDescent="0.25">
      <c r="A492" s="1">
        <v>766</v>
      </c>
      <c r="B492" s="1">
        <v>87</v>
      </c>
      <c r="C492" s="1">
        <v>300</v>
      </c>
    </row>
    <row r="493" spans="1:3" x14ac:dyDescent="0.25">
      <c r="A493" s="1">
        <v>767</v>
      </c>
      <c r="B493" s="1">
        <v>87</v>
      </c>
      <c r="C493" s="1">
        <v>300</v>
      </c>
    </row>
    <row r="494" spans="1:3" x14ac:dyDescent="0.25">
      <c r="A494" s="1">
        <v>768</v>
      </c>
      <c r="B494" s="1">
        <v>87</v>
      </c>
      <c r="C494" s="1">
        <v>300</v>
      </c>
    </row>
    <row r="495" spans="1:3" x14ac:dyDescent="0.25">
      <c r="A495" s="1">
        <v>769</v>
      </c>
      <c r="B495" s="1">
        <v>87</v>
      </c>
      <c r="C495" s="1">
        <v>300</v>
      </c>
    </row>
    <row r="496" spans="1:3" x14ac:dyDescent="0.25">
      <c r="A496" s="1">
        <v>770</v>
      </c>
      <c r="B496" s="1">
        <v>87</v>
      </c>
      <c r="C496" s="1">
        <v>300</v>
      </c>
    </row>
    <row r="497" spans="1:3" x14ac:dyDescent="0.25">
      <c r="A497" s="1">
        <v>771</v>
      </c>
      <c r="B497" s="1">
        <v>87</v>
      </c>
      <c r="C497" s="1">
        <v>300</v>
      </c>
    </row>
    <row r="498" spans="1:3" x14ac:dyDescent="0.25">
      <c r="A498" s="1">
        <v>772</v>
      </c>
      <c r="B498" s="1">
        <v>87</v>
      </c>
      <c r="C498" s="1">
        <v>300</v>
      </c>
    </row>
    <row r="499" spans="1:3" x14ac:dyDescent="0.25">
      <c r="A499" s="1">
        <v>773</v>
      </c>
      <c r="B499" s="1">
        <v>87</v>
      </c>
      <c r="C499" s="1">
        <v>300</v>
      </c>
    </row>
    <row r="500" spans="1:3" x14ac:dyDescent="0.25">
      <c r="A500" s="1">
        <v>774</v>
      </c>
      <c r="B500" s="1">
        <v>87</v>
      </c>
      <c r="C500" s="1">
        <v>300</v>
      </c>
    </row>
    <row r="501" spans="1:3" x14ac:dyDescent="0.25">
      <c r="A501" s="1">
        <v>775</v>
      </c>
      <c r="B501" s="1">
        <v>88</v>
      </c>
      <c r="C501" s="1">
        <v>300</v>
      </c>
    </row>
    <row r="502" spans="1:3" x14ac:dyDescent="0.25">
      <c r="A502" s="1">
        <v>776</v>
      </c>
      <c r="B502" s="1">
        <v>88</v>
      </c>
      <c r="C502" s="1">
        <v>300</v>
      </c>
    </row>
    <row r="503" spans="1:3" x14ac:dyDescent="0.25">
      <c r="A503" s="1">
        <v>777</v>
      </c>
      <c r="B503" s="1">
        <v>88</v>
      </c>
      <c r="C503" s="1">
        <v>300</v>
      </c>
    </row>
    <row r="504" spans="1:3" x14ac:dyDescent="0.25">
      <c r="A504" s="1">
        <v>778</v>
      </c>
      <c r="B504" s="1">
        <v>88</v>
      </c>
      <c r="C504" s="1">
        <v>300</v>
      </c>
    </row>
    <row r="505" spans="1:3" x14ac:dyDescent="0.25">
      <c r="A505" s="1">
        <v>779</v>
      </c>
      <c r="B505" s="1">
        <v>88</v>
      </c>
      <c r="C505" s="1">
        <v>300</v>
      </c>
    </row>
    <row r="506" spans="1:3" x14ac:dyDescent="0.25">
      <c r="A506" s="1">
        <v>780</v>
      </c>
      <c r="B506" s="1">
        <v>88</v>
      </c>
      <c r="C506" s="1">
        <v>300</v>
      </c>
    </row>
    <row r="507" spans="1:3" x14ac:dyDescent="0.25">
      <c r="A507" s="1">
        <v>781</v>
      </c>
      <c r="B507" s="1">
        <v>88</v>
      </c>
      <c r="C507" s="1">
        <v>300</v>
      </c>
    </row>
    <row r="508" spans="1:3" x14ac:dyDescent="0.25">
      <c r="A508" s="1">
        <v>782</v>
      </c>
      <c r="B508" s="1">
        <v>88</v>
      </c>
      <c r="C508" s="1">
        <v>300</v>
      </c>
    </row>
    <row r="509" spans="1:3" x14ac:dyDescent="0.25">
      <c r="A509" s="1">
        <v>783</v>
      </c>
      <c r="B509" s="1">
        <v>88</v>
      </c>
      <c r="C509" s="1">
        <v>300</v>
      </c>
    </row>
    <row r="510" spans="1:3" x14ac:dyDescent="0.25">
      <c r="A510" s="1">
        <v>784</v>
      </c>
      <c r="B510" s="1">
        <v>88</v>
      </c>
      <c r="C510" s="1">
        <v>300</v>
      </c>
    </row>
    <row r="511" spans="1:3" x14ac:dyDescent="0.25">
      <c r="A511" s="1">
        <v>785</v>
      </c>
      <c r="B511" s="1">
        <v>89</v>
      </c>
      <c r="C511" s="1">
        <v>300</v>
      </c>
    </row>
    <row r="512" spans="1:3" x14ac:dyDescent="0.25">
      <c r="A512" s="1">
        <v>786</v>
      </c>
      <c r="B512" s="1">
        <v>89</v>
      </c>
      <c r="C512" s="1">
        <v>300</v>
      </c>
    </row>
    <row r="513" spans="1:3" x14ac:dyDescent="0.25">
      <c r="A513" s="1">
        <v>787</v>
      </c>
      <c r="B513" s="1">
        <v>89</v>
      </c>
      <c r="C513" s="1">
        <v>300</v>
      </c>
    </row>
    <row r="514" spans="1:3" x14ac:dyDescent="0.25">
      <c r="A514" s="1">
        <v>788</v>
      </c>
      <c r="B514" s="1">
        <v>89</v>
      </c>
      <c r="C514" s="1">
        <v>300</v>
      </c>
    </row>
    <row r="515" spans="1:3" x14ac:dyDescent="0.25">
      <c r="A515" s="1">
        <v>789</v>
      </c>
      <c r="B515" s="1">
        <v>89</v>
      </c>
      <c r="C515" s="1">
        <v>300</v>
      </c>
    </row>
    <row r="516" spans="1:3" x14ac:dyDescent="0.25">
      <c r="A516" s="1">
        <v>799</v>
      </c>
      <c r="B516" s="1">
        <v>90</v>
      </c>
      <c r="C516" s="1">
        <v>500</v>
      </c>
    </row>
    <row r="517" spans="1:3" x14ac:dyDescent="0.25">
      <c r="A517" s="1">
        <v>800</v>
      </c>
      <c r="B517" s="1">
        <v>90</v>
      </c>
      <c r="C517" s="1">
        <v>500</v>
      </c>
    </row>
    <row r="518" spans="1:3" x14ac:dyDescent="0.25">
      <c r="A518" s="1">
        <v>801</v>
      </c>
      <c r="B518" s="1">
        <v>90</v>
      </c>
      <c r="C518" s="1">
        <v>500</v>
      </c>
    </row>
    <row r="519" spans="1:3" x14ac:dyDescent="0.25">
      <c r="A519" s="1">
        <v>802</v>
      </c>
      <c r="B519" s="1">
        <v>90</v>
      </c>
      <c r="C519" s="1">
        <v>500</v>
      </c>
    </row>
    <row r="520" spans="1:3" x14ac:dyDescent="0.25">
      <c r="A520" s="1">
        <v>803</v>
      </c>
      <c r="B520" s="1">
        <v>90</v>
      </c>
      <c r="C520" s="1">
        <v>500</v>
      </c>
    </row>
    <row r="521" spans="1:3" x14ac:dyDescent="0.25">
      <c r="A521" s="1">
        <v>804</v>
      </c>
      <c r="B521" s="1">
        <v>90</v>
      </c>
      <c r="C521" s="1">
        <v>153</v>
      </c>
    </row>
    <row r="522" spans="1:3" x14ac:dyDescent="0.25">
      <c r="A522" s="1">
        <v>805</v>
      </c>
      <c r="B522" s="1">
        <v>91</v>
      </c>
      <c r="C522" s="1">
        <v>300</v>
      </c>
    </row>
    <row r="523" spans="1:3" x14ac:dyDescent="0.25">
      <c r="A523" s="1">
        <v>806</v>
      </c>
      <c r="B523" s="1">
        <v>91</v>
      </c>
      <c r="C523" s="1">
        <v>300</v>
      </c>
    </row>
    <row r="524" spans="1:3" x14ac:dyDescent="0.25">
      <c r="A524" s="1">
        <v>807</v>
      </c>
      <c r="B524" s="1">
        <v>91</v>
      </c>
      <c r="C524" s="1">
        <v>300</v>
      </c>
    </row>
    <row r="525" spans="1:3" x14ac:dyDescent="0.25">
      <c r="A525" s="1">
        <v>808</v>
      </c>
      <c r="B525" s="1">
        <v>91</v>
      </c>
      <c r="C525" s="1">
        <v>300</v>
      </c>
    </row>
    <row r="526" spans="1:3" x14ac:dyDescent="0.25">
      <c r="A526" s="1">
        <v>809</v>
      </c>
      <c r="B526" s="1">
        <v>91</v>
      </c>
      <c r="C526" s="1">
        <v>300</v>
      </c>
    </row>
    <row r="527" spans="1:3" x14ac:dyDescent="0.25">
      <c r="A527" s="1">
        <v>810</v>
      </c>
      <c r="B527" s="1">
        <v>91</v>
      </c>
      <c r="C527" s="1">
        <v>300</v>
      </c>
    </row>
    <row r="528" spans="1:3" x14ac:dyDescent="0.25">
      <c r="A528" s="1">
        <v>811</v>
      </c>
      <c r="B528" s="1">
        <v>91</v>
      </c>
      <c r="C528" s="1">
        <v>300</v>
      </c>
    </row>
    <row r="529" spans="1:3" x14ac:dyDescent="0.25">
      <c r="A529" s="1">
        <v>812</v>
      </c>
      <c r="B529" s="1">
        <v>91</v>
      </c>
      <c r="C529" s="1">
        <v>300</v>
      </c>
    </row>
    <row r="530" spans="1:3" x14ac:dyDescent="0.25">
      <c r="A530" s="1">
        <v>813</v>
      </c>
      <c r="B530" s="1">
        <v>91</v>
      </c>
      <c r="C530" s="1">
        <v>300</v>
      </c>
    </row>
    <row r="531" spans="1:3" x14ac:dyDescent="0.25">
      <c r="A531" s="1">
        <v>814</v>
      </c>
      <c r="B531" s="1">
        <v>91</v>
      </c>
      <c r="C531" s="1">
        <v>300</v>
      </c>
    </row>
    <row r="532" spans="1:3" x14ac:dyDescent="0.25">
      <c r="A532" s="1">
        <v>815</v>
      </c>
      <c r="B532" s="1">
        <v>92</v>
      </c>
      <c r="C532" s="1">
        <v>300</v>
      </c>
    </row>
    <row r="533" spans="1:3" x14ac:dyDescent="0.25">
      <c r="A533" s="1">
        <v>816</v>
      </c>
      <c r="B533" s="1">
        <v>92</v>
      </c>
      <c r="C533" s="1">
        <v>300</v>
      </c>
    </row>
    <row r="534" spans="1:3" x14ac:dyDescent="0.25">
      <c r="A534" s="1">
        <v>817</v>
      </c>
      <c r="B534" s="1">
        <v>92</v>
      </c>
      <c r="C534" s="1">
        <v>300</v>
      </c>
    </row>
    <row r="535" spans="1:3" x14ac:dyDescent="0.25">
      <c r="A535" s="1">
        <v>818</v>
      </c>
      <c r="B535" s="1">
        <v>92</v>
      </c>
      <c r="C535" s="1">
        <v>300</v>
      </c>
    </row>
    <row r="536" spans="1:3" x14ac:dyDescent="0.25">
      <c r="A536" s="1">
        <v>819</v>
      </c>
      <c r="B536" s="1">
        <v>92</v>
      </c>
      <c r="C536" s="1">
        <v>300</v>
      </c>
    </row>
    <row r="537" spans="1:3" x14ac:dyDescent="0.25">
      <c r="A537" s="1">
        <v>820</v>
      </c>
      <c r="B537" s="1">
        <v>92</v>
      </c>
      <c r="C537" s="1">
        <v>300</v>
      </c>
    </row>
    <row r="538" spans="1:3" x14ac:dyDescent="0.25">
      <c r="A538" s="1">
        <v>821</v>
      </c>
      <c r="B538" s="1">
        <v>92</v>
      </c>
      <c r="C538" s="1">
        <v>300</v>
      </c>
    </row>
    <row r="539" spans="1:3" x14ac:dyDescent="0.25">
      <c r="A539" s="1">
        <v>822</v>
      </c>
      <c r="B539" s="1">
        <v>92</v>
      </c>
      <c r="C539" s="1">
        <v>300</v>
      </c>
    </row>
    <row r="540" spans="1:3" x14ac:dyDescent="0.25">
      <c r="A540" s="1">
        <v>823</v>
      </c>
      <c r="B540" s="1">
        <v>92</v>
      </c>
      <c r="C540" s="1">
        <v>300</v>
      </c>
    </row>
    <row r="541" spans="1:3" x14ac:dyDescent="0.25">
      <c r="A541" s="1">
        <v>824</v>
      </c>
      <c r="B541" s="1">
        <v>92</v>
      </c>
      <c r="C541" s="1">
        <v>300</v>
      </c>
    </row>
    <row r="542" spans="1:3" x14ac:dyDescent="0.25">
      <c r="A542" s="1">
        <v>825</v>
      </c>
      <c r="B542" s="1">
        <v>93</v>
      </c>
      <c r="C542" s="1">
        <v>300</v>
      </c>
    </row>
    <row r="543" spans="1:3" x14ac:dyDescent="0.25">
      <c r="A543" s="1">
        <v>826</v>
      </c>
      <c r="B543" s="1">
        <v>93</v>
      </c>
      <c r="C543" s="1">
        <v>300</v>
      </c>
    </row>
    <row r="544" spans="1:3" x14ac:dyDescent="0.25">
      <c r="A544" s="1">
        <v>827</v>
      </c>
      <c r="B544" s="1">
        <v>93</v>
      </c>
      <c r="C544" s="1">
        <v>300</v>
      </c>
    </row>
    <row r="545" spans="1:3" x14ac:dyDescent="0.25">
      <c r="A545" s="1">
        <v>828</v>
      </c>
      <c r="B545" s="1">
        <v>93</v>
      </c>
      <c r="C545" s="1">
        <v>300</v>
      </c>
    </row>
    <row r="546" spans="1:3" x14ac:dyDescent="0.25">
      <c r="A546" s="1">
        <v>829</v>
      </c>
      <c r="B546" s="1">
        <v>93</v>
      </c>
      <c r="C546" s="1">
        <v>300</v>
      </c>
    </row>
    <row r="547" spans="1:3" x14ac:dyDescent="0.25">
      <c r="A547" s="1">
        <v>830</v>
      </c>
      <c r="B547" s="1">
        <v>93</v>
      </c>
      <c r="C547" s="1">
        <v>300</v>
      </c>
    </row>
    <row r="548" spans="1:3" x14ac:dyDescent="0.25">
      <c r="A548" s="1">
        <v>831</v>
      </c>
      <c r="B548" s="1">
        <v>93</v>
      </c>
      <c r="C548" s="1">
        <v>300</v>
      </c>
    </row>
    <row r="549" spans="1:3" x14ac:dyDescent="0.25">
      <c r="A549" s="1">
        <v>832</v>
      </c>
      <c r="B549" s="1">
        <v>93</v>
      </c>
      <c r="C549" s="1">
        <v>300</v>
      </c>
    </row>
    <row r="550" spans="1:3" x14ac:dyDescent="0.25">
      <c r="A550" s="1">
        <v>833</v>
      </c>
      <c r="B550" s="1">
        <v>93</v>
      </c>
      <c r="C550" s="1">
        <v>300</v>
      </c>
    </row>
    <row r="551" spans="1:3" x14ac:dyDescent="0.25">
      <c r="A551" s="1">
        <v>834</v>
      </c>
      <c r="B551" s="1">
        <v>94</v>
      </c>
      <c r="C551" s="1">
        <v>300</v>
      </c>
    </row>
    <row r="552" spans="1:3" x14ac:dyDescent="0.25">
      <c r="A552" s="1">
        <v>835</v>
      </c>
      <c r="B552" s="1">
        <v>94</v>
      </c>
      <c r="C552" s="1">
        <v>300</v>
      </c>
    </row>
    <row r="553" spans="1:3" x14ac:dyDescent="0.25">
      <c r="A553" s="1">
        <v>836</v>
      </c>
      <c r="B553" s="1">
        <v>94</v>
      </c>
      <c r="C553" s="1">
        <v>300</v>
      </c>
    </row>
    <row r="554" spans="1:3" x14ac:dyDescent="0.25">
      <c r="A554" s="1">
        <v>837</v>
      </c>
      <c r="B554" s="1">
        <v>94</v>
      </c>
      <c r="C554" s="1">
        <v>300</v>
      </c>
    </row>
    <row r="555" spans="1:3" x14ac:dyDescent="0.25">
      <c r="A555" s="1">
        <v>838</v>
      </c>
      <c r="B555" s="1">
        <v>94</v>
      </c>
      <c r="C555" s="1">
        <v>300</v>
      </c>
    </row>
    <row r="556" spans="1:3" x14ac:dyDescent="0.25">
      <c r="A556" s="1">
        <v>839</v>
      </c>
      <c r="B556" s="1">
        <v>94</v>
      </c>
      <c r="C556" s="1">
        <v>300</v>
      </c>
    </row>
    <row r="557" spans="1:3" x14ac:dyDescent="0.25">
      <c r="A557" s="1">
        <v>840</v>
      </c>
      <c r="B557" s="1">
        <v>94</v>
      </c>
      <c r="C557" s="1">
        <v>300</v>
      </c>
    </row>
    <row r="558" spans="1:3" x14ac:dyDescent="0.25">
      <c r="A558" s="1">
        <v>841</v>
      </c>
      <c r="B558" s="1">
        <v>94</v>
      </c>
      <c r="C558" s="1">
        <v>300</v>
      </c>
    </row>
    <row r="559" spans="1:3" x14ac:dyDescent="0.25">
      <c r="A559" s="1">
        <v>842</v>
      </c>
      <c r="B559" s="1">
        <v>94</v>
      </c>
      <c r="C559" s="1">
        <v>300</v>
      </c>
    </row>
    <row r="560" spans="1:3" x14ac:dyDescent="0.25">
      <c r="A560" s="1">
        <v>843</v>
      </c>
      <c r="B560" s="1">
        <v>94</v>
      </c>
      <c r="C560" s="1">
        <v>300</v>
      </c>
    </row>
    <row r="561" spans="1:3" x14ac:dyDescent="0.25">
      <c r="A561" s="1">
        <v>844</v>
      </c>
      <c r="B561" s="1">
        <v>95</v>
      </c>
      <c r="C561" s="1">
        <v>500</v>
      </c>
    </row>
    <row r="562" spans="1:3" x14ac:dyDescent="0.25">
      <c r="A562" s="1">
        <v>845</v>
      </c>
      <c r="B562" s="1">
        <v>95</v>
      </c>
      <c r="C562" s="1">
        <v>500</v>
      </c>
    </row>
    <row r="563" spans="1:3" x14ac:dyDescent="0.25">
      <c r="A563" s="1">
        <v>846</v>
      </c>
      <c r="B563" s="1">
        <v>95</v>
      </c>
      <c r="C563" s="1">
        <v>500</v>
      </c>
    </row>
    <row r="564" spans="1:3" x14ac:dyDescent="0.25">
      <c r="A564" s="1">
        <v>847</v>
      </c>
      <c r="B564" s="1">
        <v>95</v>
      </c>
      <c r="C564" s="1">
        <v>500</v>
      </c>
    </row>
    <row r="565" spans="1:3" x14ac:dyDescent="0.25">
      <c r="A565" s="1">
        <v>848</v>
      </c>
      <c r="B565" s="1">
        <v>95</v>
      </c>
      <c r="C565" s="1">
        <v>500</v>
      </c>
    </row>
    <row r="566" spans="1:3" x14ac:dyDescent="0.25">
      <c r="A566" s="1">
        <v>849</v>
      </c>
      <c r="B566" s="1">
        <v>95</v>
      </c>
      <c r="C566" s="1">
        <v>500</v>
      </c>
    </row>
    <row r="567" spans="1:3" x14ac:dyDescent="0.25">
      <c r="A567" s="1">
        <v>850</v>
      </c>
      <c r="B567" s="1">
        <v>95</v>
      </c>
      <c r="C567" s="1">
        <v>500</v>
      </c>
    </row>
    <row r="568" spans="1:3" x14ac:dyDescent="0.25">
      <c r="A568" s="1">
        <v>851</v>
      </c>
      <c r="B568" s="1">
        <v>95</v>
      </c>
      <c r="C568" s="1">
        <v>500</v>
      </c>
    </row>
    <row r="569" spans="1:3" x14ac:dyDescent="0.25">
      <c r="A569" s="1">
        <v>852</v>
      </c>
      <c r="B569" s="1">
        <v>95</v>
      </c>
      <c r="C569" s="1">
        <v>500</v>
      </c>
    </row>
    <row r="570" spans="1:3" x14ac:dyDescent="0.25">
      <c r="A570" s="1">
        <v>853</v>
      </c>
      <c r="B570" s="1">
        <v>95</v>
      </c>
      <c r="C570" s="1">
        <v>500</v>
      </c>
    </row>
    <row r="571" spans="1:3" x14ac:dyDescent="0.25">
      <c r="A571" s="1">
        <v>854</v>
      </c>
      <c r="B571" s="1">
        <v>96</v>
      </c>
      <c r="C571" s="1">
        <v>300</v>
      </c>
    </row>
    <row r="572" spans="1:3" x14ac:dyDescent="0.25">
      <c r="A572" s="1">
        <v>855</v>
      </c>
      <c r="B572" s="1">
        <v>96</v>
      </c>
      <c r="C572" s="1">
        <v>300</v>
      </c>
    </row>
    <row r="573" spans="1:3" x14ac:dyDescent="0.25">
      <c r="A573" s="1">
        <v>856</v>
      </c>
      <c r="B573" s="1">
        <v>96</v>
      </c>
      <c r="C573" s="1">
        <v>300</v>
      </c>
    </row>
    <row r="574" spans="1:3" x14ac:dyDescent="0.25">
      <c r="A574" s="1">
        <v>857</v>
      </c>
      <c r="B574" s="1">
        <v>96</v>
      </c>
      <c r="C574" s="1">
        <v>300</v>
      </c>
    </row>
    <row r="575" spans="1:3" x14ac:dyDescent="0.25">
      <c r="A575" s="1">
        <v>858</v>
      </c>
      <c r="B575" s="1">
        <v>96</v>
      </c>
      <c r="C575" s="1">
        <v>300</v>
      </c>
    </row>
    <row r="576" spans="1:3" x14ac:dyDescent="0.25">
      <c r="A576" s="1">
        <v>859</v>
      </c>
      <c r="B576" s="1">
        <v>96</v>
      </c>
      <c r="C576" s="1">
        <v>300</v>
      </c>
    </row>
    <row r="577" spans="1:3" x14ac:dyDescent="0.25">
      <c r="A577" s="1">
        <v>860</v>
      </c>
      <c r="B577" s="1">
        <v>96</v>
      </c>
      <c r="C577" s="1">
        <v>300</v>
      </c>
    </row>
    <row r="578" spans="1:3" x14ac:dyDescent="0.25">
      <c r="A578" s="1">
        <v>861</v>
      </c>
      <c r="B578" s="1">
        <v>96</v>
      </c>
      <c r="C578" s="1">
        <v>300</v>
      </c>
    </row>
    <row r="579" spans="1:3" x14ac:dyDescent="0.25">
      <c r="A579" s="1">
        <v>862</v>
      </c>
      <c r="B579" s="1">
        <v>96</v>
      </c>
      <c r="C579" s="1">
        <v>300</v>
      </c>
    </row>
    <row r="580" spans="1:3" x14ac:dyDescent="0.25">
      <c r="A580" s="1">
        <v>863</v>
      </c>
      <c r="B580" s="1">
        <v>96</v>
      </c>
      <c r="C580" s="1">
        <v>300</v>
      </c>
    </row>
    <row r="581" spans="1:3" x14ac:dyDescent="0.25">
      <c r="A581" s="1">
        <v>864</v>
      </c>
      <c r="B581" s="1">
        <v>97</v>
      </c>
      <c r="C581" s="1">
        <v>300</v>
      </c>
    </row>
    <row r="582" spans="1:3" x14ac:dyDescent="0.25">
      <c r="A582" s="1">
        <v>865</v>
      </c>
      <c r="B582" s="1">
        <v>97</v>
      </c>
      <c r="C582" s="1">
        <v>300</v>
      </c>
    </row>
    <row r="583" spans="1:3" x14ac:dyDescent="0.25">
      <c r="A583" s="1">
        <v>866</v>
      </c>
      <c r="B583" s="1">
        <v>97</v>
      </c>
      <c r="C583" s="1">
        <v>300</v>
      </c>
    </row>
    <row r="584" spans="1:3" x14ac:dyDescent="0.25">
      <c r="A584" s="1">
        <v>867</v>
      </c>
      <c r="B584" s="1">
        <v>97</v>
      </c>
      <c r="C584" s="1">
        <v>300</v>
      </c>
    </row>
    <row r="585" spans="1:3" x14ac:dyDescent="0.25">
      <c r="A585" s="1">
        <v>868</v>
      </c>
      <c r="B585" s="1">
        <v>97</v>
      </c>
      <c r="C585" s="1">
        <v>300</v>
      </c>
    </row>
    <row r="586" spans="1:3" x14ac:dyDescent="0.25">
      <c r="A586" s="1">
        <v>869</v>
      </c>
      <c r="B586" s="1">
        <v>98</v>
      </c>
      <c r="C586" s="1">
        <v>300</v>
      </c>
    </row>
    <row r="587" spans="1:3" x14ac:dyDescent="0.25">
      <c r="A587" s="1">
        <v>870</v>
      </c>
      <c r="B587" s="1">
        <v>98</v>
      </c>
      <c r="C587" s="1">
        <v>300</v>
      </c>
    </row>
    <row r="588" spans="1:3" x14ac:dyDescent="0.25">
      <c r="A588" s="1">
        <v>871</v>
      </c>
      <c r="B588" s="1">
        <v>98</v>
      </c>
      <c r="C588" s="1">
        <v>300</v>
      </c>
    </row>
    <row r="589" spans="1:3" x14ac:dyDescent="0.25">
      <c r="A589" s="1">
        <v>872</v>
      </c>
      <c r="B589" s="1">
        <v>98</v>
      </c>
      <c r="C589" s="1">
        <v>300</v>
      </c>
    </row>
    <row r="590" spans="1:3" x14ac:dyDescent="0.25">
      <c r="A590" s="1">
        <v>873</v>
      </c>
      <c r="B590" s="1">
        <v>98</v>
      </c>
      <c r="C590" s="1">
        <v>300</v>
      </c>
    </row>
    <row r="591" spans="1:3" x14ac:dyDescent="0.25">
      <c r="A591" s="1">
        <v>874</v>
      </c>
      <c r="B591" s="1">
        <v>98</v>
      </c>
      <c r="C591" s="1">
        <v>300</v>
      </c>
    </row>
    <row r="592" spans="1:3" x14ac:dyDescent="0.25">
      <c r="A592" s="1">
        <v>875</v>
      </c>
      <c r="B592" s="1">
        <v>98</v>
      </c>
      <c r="C592" s="1">
        <v>300</v>
      </c>
    </row>
    <row r="593" spans="1:3" x14ac:dyDescent="0.25">
      <c r="A593" s="1">
        <v>876</v>
      </c>
      <c r="B593" s="1">
        <v>98</v>
      </c>
      <c r="C593" s="1">
        <v>300</v>
      </c>
    </row>
    <row r="594" spans="1:3" x14ac:dyDescent="0.25">
      <c r="A594" s="1">
        <v>877</v>
      </c>
      <c r="B594" s="1">
        <v>98</v>
      </c>
      <c r="C594" s="1">
        <v>300</v>
      </c>
    </row>
    <row r="595" spans="1:3" x14ac:dyDescent="0.25">
      <c r="A595" s="1">
        <v>878</v>
      </c>
      <c r="B595" s="1">
        <v>98</v>
      </c>
      <c r="C595" s="1">
        <v>300</v>
      </c>
    </row>
    <row r="596" spans="1:3" x14ac:dyDescent="0.25">
      <c r="A596" s="1">
        <v>879</v>
      </c>
      <c r="B596" s="1">
        <v>98</v>
      </c>
      <c r="C596" s="1">
        <v>300</v>
      </c>
    </row>
    <row r="597" spans="1:3" x14ac:dyDescent="0.25">
      <c r="A597" s="1">
        <v>880</v>
      </c>
      <c r="B597" s="1">
        <v>98</v>
      </c>
      <c r="C597" s="1">
        <v>300</v>
      </c>
    </row>
    <row r="598" spans="1:3" x14ac:dyDescent="0.25">
      <c r="A598" s="1">
        <v>881</v>
      </c>
      <c r="B598" s="1">
        <v>98</v>
      </c>
      <c r="C598" s="1">
        <v>300</v>
      </c>
    </row>
    <row r="599" spans="1:3" x14ac:dyDescent="0.25">
      <c r="A599" s="1">
        <v>882</v>
      </c>
      <c r="B599" s="1">
        <v>98</v>
      </c>
      <c r="C599" s="1">
        <v>300</v>
      </c>
    </row>
    <row r="600" spans="1:3" x14ac:dyDescent="0.25">
      <c r="A600" s="1">
        <v>883</v>
      </c>
      <c r="B600" s="1">
        <v>98</v>
      </c>
      <c r="C600" s="1">
        <v>300</v>
      </c>
    </row>
    <row r="601" spans="1:3" x14ac:dyDescent="0.25">
      <c r="A601" s="1">
        <v>884</v>
      </c>
      <c r="B601" s="1">
        <v>98</v>
      </c>
      <c r="C601" s="1">
        <v>300</v>
      </c>
    </row>
    <row r="602" spans="1:3" x14ac:dyDescent="0.25">
      <c r="A602" s="1">
        <v>885</v>
      </c>
      <c r="B602" s="1">
        <v>98</v>
      </c>
      <c r="C602" s="1">
        <v>300</v>
      </c>
    </row>
    <row r="603" spans="1:3" x14ac:dyDescent="0.25">
      <c r="A603" s="1">
        <v>886</v>
      </c>
      <c r="B603" s="1">
        <v>98</v>
      </c>
      <c r="C603" s="1">
        <v>300</v>
      </c>
    </row>
    <row r="604" spans="1:3" x14ac:dyDescent="0.25">
      <c r="A604" s="1">
        <v>887</v>
      </c>
      <c r="B604" s="1">
        <v>98</v>
      </c>
      <c r="C604" s="1">
        <v>300</v>
      </c>
    </row>
    <row r="605" spans="1:3" x14ac:dyDescent="0.25">
      <c r="A605" s="1">
        <v>888</v>
      </c>
      <c r="B605" s="1">
        <v>98</v>
      </c>
      <c r="C605" s="1">
        <v>300</v>
      </c>
    </row>
    <row r="606" spans="1:3" x14ac:dyDescent="0.25">
      <c r="A606" s="1">
        <v>889</v>
      </c>
      <c r="B606" s="1">
        <v>99</v>
      </c>
      <c r="C606" s="1">
        <v>300</v>
      </c>
    </row>
    <row r="607" spans="1:3" x14ac:dyDescent="0.25">
      <c r="A607" s="1">
        <v>890</v>
      </c>
      <c r="B607" s="1">
        <v>99</v>
      </c>
      <c r="C607" s="1">
        <v>300</v>
      </c>
    </row>
    <row r="608" spans="1:3" x14ac:dyDescent="0.25">
      <c r="A608" s="1">
        <v>891</v>
      </c>
      <c r="B608" s="1">
        <v>99</v>
      </c>
      <c r="C608" s="1">
        <v>300</v>
      </c>
    </row>
    <row r="609" spans="1:3" x14ac:dyDescent="0.25">
      <c r="A609" s="1">
        <v>892</v>
      </c>
      <c r="B609" s="1">
        <v>99</v>
      </c>
      <c r="C609" s="1">
        <v>300</v>
      </c>
    </row>
    <row r="610" spans="1:3" x14ac:dyDescent="0.25">
      <c r="A610" s="1">
        <v>893</v>
      </c>
      <c r="B610" s="1">
        <v>99</v>
      </c>
      <c r="C610" s="1">
        <v>300</v>
      </c>
    </row>
    <row r="611" spans="1:3" x14ac:dyDescent="0.25">
      <c r="A611" s="1">
        <v>894</v>
      </c>
      <c r="B611" s="1">
        <v>100</v>
      </c>
      <c r="C611" s="1">
        <v>300</v>
      </c>
    </row>
    <row r="612" spans="1:3" x14ac:dyDescent="0.25">
      <c r="A612" s="1">
        <v>895</v>
      </c>
      <c r="B612" s="1">
        <v>100</v>
      </c>
      <c r="C612" s="1">
        <v>300</v>
      </c>
    </row>
    <row r="613" spans="1:3" x14ac:dyDescent="0.25">
      <c r="A613" s="1">
        <v>896</v>
      </c>
      <c r="B613" s="1">
        <v>100</v>
      </c>
      <c r="C613" s="1">
        <v>300</v>
      </c>
    </row>
    <row r="614" spans="1:3" x14ac:dyDescent="0.25">
      <c r="A614" s="1">
        <v>897</v>
      </c>
      <c r="B614" s="1">
        <v>100</v>
      </c>
      <c r="C614" s="1">
        <v>300</v>
      </c>
    </row>
    <row r="615" spans="1:3" x14ac:dyDescent="0.25">
      <c r="A615" s="1">
        <v>898</v>
      </c>
      <c r="B615" s="1">
        <v>100</v>
      </c>
      <c r="C615" s="1">
        <v>300</v>
      </c>
    </row>
    <row r="616" spans="1:3" x14ac:dyDescent="0.25">
      <c r="A616" s="1">
        <v>899</v>
      </c>
      <c r="B616" s="1">
        <v>100</v>
      </c>
      <c r="C616" s="1">
        <v>300</v>
      </c>
    </row>
    <row r="617" spans="1:3" x14ac:dyDescent="0.25">
      <c r="A617" s="1">
        <v>900</v>
      </c>
      <c r="B617" s="1">
        <v>100</v>
      </c>
      <c r="C617" s="1">
        <v>300</v>
      </c>
    </row>
    <row r="618" spans="1:3" x14ac:dyDescent="0.25">
      <c r="A618" s="1">
        <v>901</v>
      </c>
      <c r="B618" s="1">
        <v>100</v>
      </c>
      <c r="C618" s="1">
        <v>300</v>
      </c>
    </row>
    <row r="619" spans="1:3" x14ac:dyDescent="0.25">
      <c r="A619" s="1">
        <v>902</v>
      </c>
      <c r="B619" s="1">
        <v>100</v>
      </c>
      <c r="C619" s="1">
        <v>300</v>
      </c>
    </row>
    <row r="620" spans="1:3" x14ac:dyDescent="0.25">
      <c r="A620" s="1">
        <v>903</v>
      </c>
      <c r="B620" s="1">
        <v>100</v>
      </c>
      <c r="C620" s="1">
        <v>300</v>
      </c>
    </row>
    <row r="621" spans="1:3" x14ac:dyDescent="0.25">
      <c r="A621" s="1">
        <v>904</v>
      </c>
      <c r="B621" s="1">
        <v>101</v>
      </c>
      <c r="C621" s="1">
        <v>300</v>
      </c>
    </row>
    <row r="622" spans="1:3" x14ac:dyDescent="0.25">
      <c r="A622" s="1">
        <v>905</v>
      </c>
      <c r="B622" s="1">
        <v>101</v>
      </c>
      <c r="C622" s="1">
        <v>300</v>
      </c>
    </row>
    <row r="623" spans="1:3" x14ac:dyDescent="0.25">
      <c r="A623" s="1">
        <v>906</v>
      </c>
      <c r="B623" s="1">
        <v>101</v>
      </c>
      <c r="C623" s="1">
        <v>300</v>
      </c>
    </row>
    <row r="624" spans="1:3" x14ac:dyDescent="0.25">
      <c r="A624" s="1">
        <v>907</v>
      </c>
      <c r="B624" s="1">
        <v>101</v>
      </c>
      <c r="C624" s="1">
        <v>300</v>
      </c>
    </row>
    <row r="625" spans="1:3" x14ac:dyDescent="0.25">
      <c r="A625" s="1">
        <v>908</v>
      </c>
      <c r="B625" s="1">
        <v>101</v>
      </c>
      <c r="C625" s="1">
        <v>300</v>
      </c>
    </row>
    <row r="626" spans="1:3" x14ac:dyDescent="0.25">
      <c r="A626" s="1">
        <v>909</v>
      </c>
      <c r="B626" s="1">
        <v>102</v>
      </c>
      <c r="C626" s="1">
        <v>500</v>
      </c>
    </row>
    <row r="627" spans="1:3" x14ac:dyDescent="0.25">
      <c r="A627" s="1">
        <v>910</v>
      </c>
      <c r="B627" s="1">
        <v>102</v>
      </c>
      <c r="C627" s="1">
        <v>500</v>
      </c>
    </row>
    <row r="628" spans="1:3" x14ac:dyDescent="0.25">
      <c r="A628" s="1">
        <v>911</v>
      </c>
      <c r="B628" s="1">
        <v>102</v>
      </c>
      <c r="C628" s="1">
        <v>500</v>
      </c>
    </row>
    <row r="629" spans="1:3" x14ac:dyDescent="0.25">
      <c r="A629" s="1">
        <v>912</v>
      </c>
      <c r="B629" s="1">
        <v>102</v>
      </c>
      <c r="C629" s="1">
        <v>500</v>
      </c>
    </row>
    <row r="630" spans="1:3" x14ac:dyDescent="0.25">
      <c r="A630" s="1">
        <v>913</v>
      </c>
      <c r="B630" s="1">
        <v>102</v>
      </c>
      <c r="C630" s="1">
        <v>500</v>
      </c>
    </row>
    <row r="631" spans="1:3" x14ac:dyDescent="0.25">
      <c r="A631" s="1">
        <v>914</v>
      </c>
      <c r="B631" s="1">
        <v>102</v>
      </c>
      <c r="C631" s="1">
        <v>500</v>
      </c>
    </row>
    <row r="632" spans="1:3" x14ac:dyDescent="0.25">
      <c r="A632" s="1">
        <v>915</v>
      </c>
      <c r="B632" s="1">
        <v>102</v>
      </c>
      <c r="C632" s="1">
        <v>500</v>
      </c>
    </row>
    <row r="633" spans="1:3" x14ac:dyDescent="0.25">
      <c r="A633" s="1">
        <v>916</v>
      </c>
      <c r="B633" s="1">
        <v>102</v>
      </c>
      <c r="C633" s="1">
        <v>500</v>
      </c>
    </row>
    <row r="634" spans="1:3" x14ac:dyDescent="0.25">
      <c r="A634" s="1">
        <v>917</v>
      </c>
      <c r="B634" s="1">
        <v>102</v>
      </c>
      <c r="C634" s="1">
        <v>500</v>
      </c>
    </row>
    <row r="635" spans="1:3" x14ac:dyDescent="0.25">
      <c r="A635" s="1">
        <v>918</v>
      </c>
      <c r="B635" s="1">
        <v>102</v>
      </c>
      <c r="C635" s="1">
        <v>500</v>
      </c>
    </row>
    <row r="636" spans="1:3" x14ac:dyDescent="0.25">
      <c r="A636" s="1">
        <v>919</v>
      </c>
      <c r="B636" s="1">
        <v>103</v>
      </c>
      <c r="C636" s="1">
        <v>300</v>
      </c>
    </row>
    <row r="637" spans="1:3" x14ac:dyDescent="0.25">
      <c r="A637" s="1">
        <v>920</v>
      </c>
      <c r="B637" s="1">
        <v>103</v>
      </c>
      <c r="C637" s="1">
        <v>300</v>
      </c>
    </row>
    <row r="638" spans="1:3" x14ac:dyDescent="0.25">
      <c r="A638" s="1">
        <v>921</v>
      </c>
      <c r="B638" s="1">
        <v>103</v>
      </c>
      <c r="C638" s="1">
        <v>300</v>
      </c>
    </row>
    <row r="639" spans="1:3" x14ac:dyDescent="0.25">
      <c r="A639" s="1">
        <v>922</v>
      </c>
      <c r="B639" s="1">
        <v>103</v>
      </c>
      <c r="C639" s="1">
        <v>300</v>
      </c>
    </row>
    <row r="640" spans="1:3" x14ac:dyDescent="0.25">
      <c r="A640" s="1">
        <v>923</v>
      </c>
      <c r="B640" s="1">
        <v>103</v>
      </c>
      <c r="C640" s="1">
        <v>300</v>
      </c>
    </row>
    <row r="641" spans="1:3" x14ac:dyDescent="0.25">
      <c r="A641" s="1">
        <v>924</v>
      </c>
      <c r="B641" s="1">
        <v>105</v>
      </c>
      <c r="C641" s="1">
        <v>300</v>
      </c>
    </row>
    <row r="642" spans="1:3" x14ac:dyDescent="0.25">
      <c r="A642" s="1">
        <v>925</v>
      </c>
      <c r="B642" s="1">
        <v>105</v>
      </c>
      <c r="C642" s="1">
        <v>300</v>
      </c>
    </row>
    <row r="643" spans="1:3" x14ac:dyDescent="0.25">
      <c r="A643" s="1">
        <v>926</v>
      </c>
      <c r="B643" s="1">
        <v>105</v>
      </c>
      <c r="C643" s="1">
        <v>300</v>
      </c>
    </row>
    <row r="644" spans="1:3" x14ac:dyDescent="0.25">
      <c r="A644" s="1">
        <v>927</v>
      </c>
      <c r="B644" s="1">
        <v>105</v>
      </c>
      <c r="C644" s="1">
        <v>300</v>
      </c>
    </row>
    <row r="645" spans="1:3" x14ac:dyDescent="0.25">
      <c r="A645" s="1">
        <v>928</v>
      </c>
      <c r="B645" s="1">
        <v>105</v>
      </c>
      <c r="C645" s="1">
        <v>300</v>
      </c>
    </row>
    <row r="646" spans="1:3" x14ac:dyDescent="0.25">
      <c r="A646" s="1">
        <v>929</v>
      </c>
      <c r="B646" s="1">
        <v>105</v>
      </c>
      <c r="C646" s="1">
        <v>300</v>
      </c>
    </row>
    <row r="647" spans="1:3" x14ac:dyDescent="0.25">
      <c r="A647" s="1">
        <v>930</v>
      </c>
      <c r="B647" s="1">
        <v>105</v>
      </c>
      <c r="C647" s="1">
        <v>300</v>
      </c>
    </row>
    <row r="648" spans="1:3" x14ac:dyDescent="0.25">
      <c r="A648" s="1">
        <v>931</v>
      </c>
      <c r="B648" s="1">
        <v>105</v>
      </c>
      <c r="C648" s="1">
        <v>300</v>
      </c>
    </row>
    <row r="649" spans="1:3" x14ac:dyDescent="0.25">
      <c r="A649" s="1">
        <v>932</v>
      </c>
      <c r="B649" s="1">
        <v>105</v>
      </c>
      <c r="C649" s="1">
        <v>300</v>
      </c>
    </row>
    <row r="650" spans="1:3" x14ac:dyDescent="0.25">
      <c r="A650" s="1">
        <v>933</v>
      </c>
      <c r="B650" s="1">
        <v>105</v>
      </c>
      <c r="C650" s="1">
        <v>300</v>
      </c>
    </row>
    <row r="651" spans="1:3" x14ac:dyDescent="0.25">
      <c r="A651" s="1">
        <v>934</v>
      </c>
      <c r="B651" s="1">
        <v>105</v>
      </c>
      <c r="C651" s="1">
        <v>300</v>
      </c>
    </row>
    <row r="652" spans="1:3" x14ac:dyDescent="0.25">
      <c r="A652" s="1">
        <v>935</v>
      </c>
      <c r="B652" s="1">
        <v>105</v>
      </c>
      <c r="C652" s="1">
        <v>300</v>
      </c>
    </row>
    <row r="653" spans="1:3" x14ac:dyDescent="0.25">
      <c r="A653" s="1">
        <v>936</v>
      </c>
      <c r="B653" s="1">
        <v>105</v>
      </c>
      <c r="C653" s="1">
        <v>300</v>
      </c>
    </row>
    <row r="654" spans="1:3" x14ac:dyDescent="0.25">
      <c r="A654" s="1">
        <v>937</v>
      </c>
      <c r="B654" s="1">
        <v>105</v>
      </c>
      <c r="C654" s="1">
        <v>300</v>
      </c>
    </row>
    <row r="655" spans="1:3" x14ac:dyDescent="0.25">
      <c r="A655" s="1">
        <v>938</v>
      </c>
      <c r="B655" s="1">
        <v>105</v>
      </c>
      <c r="C655" s="1">
        <v>300</v>
      </c>
    </row>
    <row r="656" spans="1:3" x14ac:dyDescent="0.25">
      <c r="A656" s="1">
        <v>939</v>
      </c>
      <c r="B656" s="1">
        <v>105</v>
      </c>
      <c r="C656" s="1">
        <v>300</v>
      </c>
    </row>
    <row r="657" spans="1:3" x14ac:dyDescent="0.25">
      <c r="A657" s="1">
        <v>940</v>
      </c>
      <c r="B657" s="1">
        <v>105</v>
      </c>
      <c r="C657" s="1">
        <v>300</v>
      </c>
    </row>
    <row r="658" spans="1:3" x14ac:dyDescent="0.25">
      <c r="A658" s="1">
        <v>941</v>
      </c>
      <c r="B658" s="1">
        <v>105</v>
      </c>
      <c r="C658" s="1">
        <v>300</v>
      </c>
    </row>
    <row r="659" spans="1:3" x14ac:dyDescent="0.25">
      <c r="A659" s="1">
        <v>942</v>
      </c>
      <c r="B659" s="1">
        <v>105</v>
      </c>
      <c r="C659" s="1">
        <v>300</v>
      </c>
    </row>
    <row r="660" spans="1:3" x14ac:dyDescent="0.25">
      <c r="A660" s="1">
        <v>943</v>
      </c>
      <c r="B660" s="1">
        <v>105</v>
      </c>
      <c r="C660" s="1">
        <v>300</v>
      </c>
    </row>
    <row r="661" spans="1:3" x14ac:dyDescent="0.25">
      <c r="A661" s="1">
        <v>944</v>
      </c>
      <c r="B661" s="1">
        <v>104</v>
      </c>
      <c r="C661" s="1">
        <v>500</v>
      </c>
    </row>
    <row r="662" spans="1:3" x14ac:dyDescent="0.25">
      <c r="A662" s="1">
        <v>945</v>
      </c>
      <c r="B662" s="1">
        <v>104</v>
      </c>
      <c r="C662" s="1">
        <v>500</v>
      </c>
    </row>
    <row r="663" spans="1:3" x14ac:dyDescent="0.25">
      <c r="A663" s="1">
        <v>946</v>
      </c>
      <c r="B663" s="1">
        <v>104</v>
      </c>
      <c r="C663" s="1">
        <v>500</v>
      </c>
    </row>
    <row r="664" spans="1:3" x14ac:dyDescent="0.25">
      <c r="A664" s="1">
        <v>947</v>
      </c>
      <c r="B664" s="1">
        <v>104</v>
      </c>
      <c r="C664" s="1">
        <v>500</v>
      </c>
    </row>
    <row r="665" spans="1:3" x14ac:dyDescent="0.25">
      <c r="A665" s="1">
        <v>948</v>
      </c>
      <c r="B665" s="1">
        <v>104</v>
      </c>
      <c r="C665" s="1">
        <v>500</v>
      </c>
    </row>
    <row r="666" spans="1:3" x14ac:dyDescent="0.25">
      <c r="A666" s="1">
        <v>949</v>
      </c>
      <c r="B666" s="1">
        <v>104</v>
      </c>
      <c r="C666" s="1">
        <v>500</v>
      </c>
    </row>
    <row r="667" spans="1:3" x14ac:dyDescent="0.25">
      <c r="A667" s="1">
        <v>950</v>
      </c>
      <c r="B667" s="1">
        <v>106</v>
      </c>
      <c r="C667" s="1">
        <v>300</v>
      </c>
    </row>
    <row r="668" spans="1:3" x14ac:dyDescent="0.25">
      <c r="A668" s="1">
        <v>951</v>
      </c>
      <c r="B668" s="1">
        <v>106</v>
      </c>
      <c r="C668" s="1">
        <v>300</v>
      </c>
    </row>
    <row r="669" spans="1:3" x14ac:dyDescent="0.25">
      <c r="A669" s="1">
        <v>952</v>
      </c>
      <c r="B669" s="1">
        <v>106</v>
      </c>
      <c r="C669" s="1">
        <v>300</v>
      </c>
    </row>
    <row r="670" spans="1:3" x14ac:dyDescent="0.25">
      <c r="A670" s="1">
        <v>953</v>
      </c>
      <c r="B670" s="1">
        <v>106</v>
      </c>
      <c r="C670" s="1">
        <v>300</v>
      </c>
    </row>
    <row r="671" spans="1:3" x14ac:dyDescent="0.25">
      <c r="A671" s="1">
        <v>954</v>
      </c>
      <c r="B671" s="1">
        <v>106</v>
      </c>
      <c r="C671" s="1">
        <v>300</v>
      </c>
    </row>
    <row r="672" spans="1:3" x14ac:dyDescent="0.25">
      <c r="A672" s="1">
        <v>955</v>
      </c>
      <c r="B672" s="1">
        <v>106</v>
      </c>
      <c r="C672" s="1">
        <v>300</v>
      </c>
    </row>
    <row r="673" spans="1:3" x14ac:dyDescent="0.25">
      <c r="A673" s="1">
        <v>956</v>
      </c>
      <c r="B673" s="1">
        <v>106</v>
      </c>
      <c r="C673" s="1">
        <v>200</v>
      </c>
    </row>
    <row r="674" spans="1:3" x14ac:dyDescent="0.25">
      <c r="A674" s="1">
        <v>958</v>
      </c>
      <c r="B674" s="1">
        <v>107</v>
      </c>
      <c r="C674" s="1">
        <v>300</v>
      </c>
    </row>
    <row r="675" spans="1:3" x14ac:dyDescent="0.25">
      <c r="A675" s="1">
        <v>959</v>
      </c>
      <c r="B675" s="1">
        <v>108</v>
      </c>
      <c r="C675" s="1">
        <v>300</v>
      </c>
    </row>
    <row r="676" spans="1:3" x14ac:dyDescent="0.25">
      <c r="A676" s="1">
        <v>960</v>
      </c>
      <c r="B676" s="1">
        <v>108</v>
      </c>
      <c r="C676" s="1">
        <v>300</v>
      </c>
    </row>
    <row r="677" spans="1:3" x14ac:dyDescent="0.25">
      <c r="A677" s="1">
        <v>961</v>
      </c>
      <c r="B677" s="1">
        <v>108</v>
      </c>
      <c r="C677" s="1">
        <v>300</v>
      </c>
    </row>
    <row r="678" spans="1:3" x14ac:dyDescent="0.25">
      <c r="A678" s="1">
        <v>962</v>
      </c>
      <c r="B678" s="1">
        <v>108</v>
      </c>
      <c r="C678" s="1">
        <v>300</v>
      </c>
    </row>
    <row r="679" spans="1:3" x14ac:dyDescent="0.25">
      <c r="A679" s="1">
        <v>963</v>
      </c>
      <c r="B679" s="1">
        <v>108</v>
      </c>
      <c r="C679" s="1">
        <v>300</v>
      </c>
    </row>
    <row r="680" spans="1:3" x14ac:dyDescent="0.25">
      <c r="A680" s="1">
        <v>964</v>
      </c>
      <c r="B680" s="1">
        <v>108</v>
      </c>
      <c r="C680" s="1">
        <v>300</v>
      </c>
    </row>
    <row r="681" spans="1:3" x14ac:dyDescent="0.25">
      <c r="A681" s="1">
        <v>965</v>
      </c>
      <c r="B681" s="1">
        <v>108</v>
      </c>
      <c r="C681" s="1">
        <v>300</v>
      </c>
    </row>
    <row r="682" spans="1:3" x14ac:dyDescent="0.25">
      <c r="A682" s="1">
        <v>966</v>
      </c>
      <c r="B682" s="1">
        <v>108</v>
      </c>
      <c r="C682" s="1">
        <v>300</v>
      </c>
    </row>
    <row r="683" spans="1:3" x14ac:dyDescent="0.25">
      <c r="A683" s="1">
        <v>967</v>
      </c>
      <c r="B683" s="1">
        <v>108</v>
      </c>
      <c r="C683" s="1">
        <v>300</v>
      </c>
    </row>
    <row r="684" spans="1:3" x14ac:dyDescent="0.25">
      <c r="A684" s="1">
        <v>968</v>
      </c>
      <c r="B684" s="1">
        <v>108</v>
      </c>
      <c r="C684" s="1">
        <v>300</v>
      </c>
    </row>
    <row r="685" spans="1:3" x14ac:dyDescent="0.25">
      <c r="A685" s="1">
        <v>969</v>
      </c>
      <c r="B685" s="1">
        <v>108</v>
      </c>
      <c r="C685" s="1">
        <v>300</v>
      </c>
    </row>
    <row r="686" spans="1:3" x14ac:dyDescent="0.25">
      <c r="A686" s="1">
        <v>970</v>
      </c>
      <c r="B686" s="1">
        <v>108</v>
      </c>
      <c r="C686" s="1">
        <v>300</v>
      </c>
    </row>
    <row r="687" spans="1:3" x14ac:dyDescent="0.25">
      <c r="A687" s="1">
        <v>971</v>
      </c>
      <c r="B687" s="1">
        <v>108</v>
      </c>
      <c r="C687" s="1">
        <v>300</v>
      </c>
    </row>
    <row r="688" spans="1:3" x14ac:dyDescent="0.25">
      <c r="A688" s="1">
        <v>972</v>
      </c>
      <c r="B688" s="1">
        <v>108</v>
      </c>
      <c r="C688" s="1">
        <v>300</v>
      </c>
    </row>
    <row r="689" spans="1:3" x14ac:dyDescent="0.25">
      <c r="A689" s="1">
        <v>973</v>
      </c>
      <c r="B689" s="1">
        <v>108</v>
      </c>
      <c r="C689" s="1">
        <v>300</v>
      </c>
    </row>
    <row r="690" spans="1:3" x14ac:dyDescent="0.25">
      <c r="A690" s="1">
        <v>974</v>
      </c>
      <c r="B690" s="1">
        <v>108</v>
      </c>
      <c r="C690" s="1">
        <v>300</v>
      </c>
    </row>
    <row r="691" spans="1:3" x14ac:dyDescent="0.25">
      <c r="A691" s="1">
        <v>975</v>
      </c>
      <c r="B691" s="1">
        <v>108</v>
      </c>
      <c r="C691" s="1">
        <v>300</v>
      </c>
    </row>
    <row r="692" spans="1:3" x14ac:dyDescent="0.25">
      <c r="A692" s="1">
        <v>976</v>
      </c>
      <c r="B692" s="1">
        <v>108</v>
      </c>
      <c r="C692" s="1">
        <v>300</v>
      </c>
    </row>
    <row r="693" spans="1:3" x14ac:dyDescent="0.25">
      <c r="A693" s="1">
        <v>977</v>
      </c>
      <c r="B693" s="1">
        <v>108</v>
      </c>
      <c r="C693" s="1">
        <v>300</v>
      </c>
    </row>
    <row r="694" spans="1:3" x14ac:dyDescent="0.25">
      <c r="A694" s="1">
        <v>978</v>
      </c>
      <c r="B694" s="1">
        <v>108</v>
      </c>
      <c r="C694" s="1">
        <v>300</v>
      </c>
    </row>
    <row r="695" spans="1:3" x14ac:dyDescent="0.25">
      <c r="A695" s="1">
        <v>979</v>
      </c>
      <c r="B695" s="1">
        <v>109</v>
      </c>
      <c r="C695" s="1">
        <v>300</v>
      </c>
    </row>
    <row r="696" spans="1:3" x14ac:dyDescent="0.25">
      <c r="A696" s="1">
        <v>980</v>
      </c>
      <c r="B696" s="1">
        <v>109</v>
      </c>
      <c r="C696" s="1">
        <v>300</v>
      </c>
    </row>
    <row r="697" spans="1:3" x14ac:dyDescent="0.25">
      <c r="A697" s="1">
        <v>981</v>
      </c>
      <c r="B697" s="1">
        <v>109</v>
      </c>
      <c r="C697" s="1">
        <v>300</v>
      </c>
    </row>
    <row r="698" spans="1:3" x14ac:dyDescent="0.25">
      <c r="A698" s="1">
        <v>982</v>
      </c>
      <c r="B698" s="1">
        <v>109</v>
      </c>
      <c r="C698" s="1">
        <v>300</v>
      </c>
    </row>
    <row r="699" spans="1:3" x14ac:dyDescent="0.25">
      <c r="A699" s="1">
        <v>983</v>
      </c>
      <c r="B699" s="1">
        <v>109</v>
      </c>
      <c r="C699" s="1">
        <v>300</v>
      </c>
    </row>
    <row r="700" spans="1:3" x14ac:dyDescent="0.25">
      <c r="A700" s="1">
        <v>984</v>
      </c>
      <c r="B700" s="1">
        <v>109</v>
      </c>
      <c r="C700" s="1">
        <v>300</v>
      </c>
    </row>
    <row r="701" spans="1:3" x14ac:dyDescent="0.25">
      <c r="A701" s="1">
        <v>985</v>
      </c>
      <c r="B701" s="1">
        <v>109</v>
      </c>
      <c r="C701" s="1">
        <v>300</v>
      </c>
    </row>
    <row r="702" spans="1:3" x14ac:dyDescent="0.25">
      <c r="A702" s="1">
        <v>986</v>
      </c>
      <c r="B702" s="1">
        <v>109</v>
      </c>
      <c r="C702" s="1">
        <v>300</v>
      </c>
    </row>
    <row r="703" spans="1:3" x14ac:dyDescent="0.25">
      <c r="A703" s="1">
        <v>987</v>
      </c>
      <c r="B703" s="1">
        <v>109</v>
      </c>
      <c r="C703" s="1">
        <v>300</v>
      </c>
    </row>
    <row r="704" spans="1:3" x14ac:dyDescent="0.25">
      <c r="A704" s="1">
        <v>988</v>
      </c>
      <c r="B704" s="1">
        <v>109</v>
      </c>
      <c r="C704" s="1">
        <v>300</v>
      </c>
    </row>
    <row r="705" spans="1:3" x14ac:dyDescent="0.25">
      <c r="A705" s="1">
        <v>989</v>
      </c>
      <c r="B705" s="1">
        <v>110</v>
      </c>
      <c r="C705" s="1">
        <v>300</v>
      </c>
    </row>
    <row r="706" spans="1:3" x14ac:dyDescent="0.25">
      <c r="A706" s="1">
        <v>989</v>
      </c>
      <c r="B706" s="1">
        <v>111</v>
      </c>
      <c r="C706" s="1">
        <v>300</v>
      </c>
    </row>
    <row r="707" spans="1:3" x14ac:dyDescent="0.25">
      <c r="A707" s="1">
        <v>990</v>
      </c>
      <c r="B707" s="1">
        <v>110</v>
      </c>
      <c r="C707" s="1">
        <v>300</v>
      </c>
    </row>
    <row r="708" spans="1:3" x14ac:dyDescent="0.25">
      <c r="A708" s="1">
        <v>990</v>
      </c>
      <c r="B708" s="1">
        <v>111</v>
      </c>
      <c r="C708" s="1">
        <v>300</v>
      </c>
    </row>
    <row r="709" spans="1:3" x14ac:dyDescent="0.25">
      <c r="A709" s="1">
        <v>991</v>
      </c>
      <c r="B709" s="1">
        <v>110</v>
      </c>
      <c r="C709" s="1">
        <v>300</v>
      </c>
    </row>
    <row r="710" spans="1:3" x14ac:dyDescent="0.25">
      <c r="A710" s="1">
        <v>991</v>
      </c>
      <c r="B710" s="1">
        <v>111</v>
      </c>
      <c r="C710" s="1">
        <v>300</v>
      </c>
    </row>
    <row r="711" spans="1:3" x14ac:dyDescent="0.25">
      <c r="A711" s="1">
        <v>992</v>
      </c>
      <c r="B711" s="1">
        <v>110</v>
      </c>
      <c r="C711" s="1">
        <v>300</v>
      </c>
    </row>
    <row r="712" spans="1:3" x14ac:dyDescent="0.25">
      <c r="A712" s="1">
        <v>992</v>
      </c>
      <c r="B712" s="1">
        <v>111</v>
      </c>
      <c r="C712" s="1">
        <v>300</v>
      </c>
    </row>
    <row r="713" spans="1:3" x14ac:dyDescent="0.25">
      <c r="A713" s="1">
        <v>993</v>
      </c>
      <c r="B713" s="1">
        <v>110</v>
      </c>
      <c r="C713" s="1">
        <v>300</v>
      </c>
    </row>
    <row r="714" spans="1:3" x14ac:dyDescent="0.25">
      <c r="A714" s="1">
        <v>993</v>
      </c>
      <c r="B714" s="1">
        <v>111</v>
      </c>
      <c r="C714" s="1">
        <v>300</v>
      </c>
    </row>
    <row r="715" spans="1:3" x14ac:dyDescent="0.25">
      <c r="A715" s="1">
        <v>994</v>
      </c>
      <c r="B715" s="1">
        <v>110</v>
      </c>
      <c r="C715" s="1">
        <v>300</v>
      </c>
    </row>
    <row r="716" spans="1:3" x14ac:dyDescent="0.25">
      <c r="A716" s="1">
        <v>994</v>
      </c>
      <c r="B716" s="1">
        <v>111</v>
      </c>
      <c r="C716" s="1">
        <v>300</v>
      </c>
    </row>
    <row r="717" spans="1:3" x14ac:dyDescent="0.25">
      <c r="A717" s="1">
        <v>995</v>
      </c>
      <c r="B717" s="1">
        <v>110</v>
      </c>
      <c r="C717" s="1">
        <v>300</v>
      </c>
    </row>
    <row r="718" spans="1:3" x14ac:dyDescent="0.25">
      <c r="A718" s="1">
        <v>995</v>
      </c>
      <c r="B718" s="1">
        <v>111</v>
      </c>
      <c r="C718" s="1">
        <v>300</v>
      </c>
    </row>
    <row r="719" spans="1:3" x14ac:dyDescent="0.25">
      <c r="A719" s="1">
        <v>996</v>
      </c>
      <c r="B719" s="1">
        <v>110</v>
      </c>
      <c r="C719" s="1">
        <v>300</v>
      </c>
    </row>
    <row r="720" spans="1:3" x14ac:dyDescent="0.25">
      <c r="A720" s="1">
        <v>996</v>
      </c>
      <c r="B720" s="1">
        <v>111</v>
      </c>
      <c r="C720" s="1">
        <v>300</v>
      </c>
    </row>
    <row r="721" spans="1:3" x14ac:dyDescent="0.25">
      <c r="A721" s="1">
        <v>997</v>
      </c>
      <c r="B721" s="1">
        <v>110</v>
      </c>
      <c r="C721" s="1">
        <v>300</v>
      </c>
    </row>
    <row r="722" spans="1:3" x14ac:dyDescent="0.25">
      <c r="A722" s="1">
        <v>997</v>
      </c>
      <c r="B722" s="1">
        <v>111</v>
      </c>
      <c r="C722" s="1">
        <v>300</v>
      </c>
    </row>
    <row r="723" spans="1:3" x14ac:dyDescent="0.25">
      <c r="A723" s="1">
        <v>998</v>
      </c>
      <c r="B723" s="1">
        <v>110</v>
      </c>
      <c r="C723" s="1">
        <v>300</v>
      </c>
    </row>
    <row r="724" spans="1:3" x14ac:dyDescent="0.25">
      <c r="A724" s="1">
        <v>998</v>
      </c>
      <c r="B724" s="1">
        <v>111</v>
      </c>
      <c r="C724" s="1">
        <v>300</v>
      </c>
    </row>
    <row r="725" spans="1:3" x14ac:dyDescent="0.25">
      <c r="A725" s="1">
        <v>999</v>
      </c>
      <c r="B725" s="1">
        <v>112</v>
      </c>
      <c r="C725" s="1">
        <v>300</v>
      </c>
    </row>
    <row r="726" spans="1:3" x14ac:dyDescent="0.25">
      <c r="A726" s="1">
        <v>1000</v>
      </c>
      <c r="B726" s="1">
        <v>112</v>
      </c>
      <c r="C726" s="1">
        <v>300</v>
      </c>
    </row>
    <row r="727" spans="1:3" x14ac:dyDescent="0.25">
      <c r="A727" s="1">
        <v>1001</v>
      </c>
      <c r="B727" s="1">
        <v>112</v>
      </c>
      <c r="C727" s="1">
        <v>300</v>
      </c>
    </row>
    <row r="728" spans="1:3" x14ac:dyDescent="0.25">
      <c r="A728" s="1">
        <v>1002</v>
      </c>
      <c r="B728" s="1">
        <v>112</v>
      </c>
      <c r="C728" s="1">
        <v>300</v>
      </c>
    </row>
    <row r="729" spans="1:3" x14ac:dyDescent="0.25">
      <c r="A729" s="1">
        <v>1003</v>
      </c>
      <c r="B729" s="1">
        <v>112</v>
      </c>
      <c r="C729" s="1">
        <v>300</v>
      </c>
    </row>
    <row r="730" spans="1:3" x14ac:dyDescent="0.25">
      <c r="A730" s="1">
        <v>1004</v>
      </c>
      <c r="B730" s="1">
        <v>112</v>
      </c>
      <c r="C730" s="1">
        <v>300</v>
      </c>
    </row>
    <row r="731" spans="1:3" x14ac:dyDescent="0.25">
      <c r="A731" s="1">
        <v>1005</v>
      </c>
      <c r="B731" s="1">
        <v>112</v>
      </c>
      <c r="C731" s="1">
        <v>300</v>
      </c>
    </row>
    <row r="732" spans="1:3" x14ac:dyDescent="0.25">
      <c r="A732" s="1">
        <v>1006</v>
      </c>
      <c r="B732" s="1">
        <v>112</v>
      </c>
      <c r="C732" s="1">
        <v>300</v>
      </c>
    </row>
    <row r="733" spans="1:3" x14ac:dyDescent="0.25">
      <c r="A733" s="1">
        <v>1007</v>
      </c>
      <c r="B733" s="1">
        <v>112</v>
      </c>
      <c r="C733" s="1">
        <v>300</v>
      </c>
    </row>
    <row r="734" spans="1:3" x14ac:dyDescent="0.25">
      <c r="A734" s="1">
        <v>1008</v>
      </c>
      <c r="B734" s="1">
        <v>112</v>
      </c>
      <c r="C734" s="1">
        <v>300</v>
      </c>
    </row>
    <row r="735" spans="1:3" x14ac:dyDescent="0.25">
      <c r="A735" s="1">
        <v>1009</v>
      </c>
      <c r="B735" s="1">
        <v>113</v>
      </c>
      <c r="C735" s="1">
        <v>300</v>
      </c>
    </row>
    <row r="736" spans="1:3" x14ac:dyDescent="0.25">
      <c r="A736" s="1">
        <v>1010</v>
      </c>
      <c r="B736" s="1">
        <v>113</v>
      </c>
      <c r="C736" s="1">
        <v>300</v>
      </c>
    </row>
    <row r="737" spans="1:3" x14ac:dyDescent="0.25">
      <c r="A737" s="1">
        <v>1011</v>
      </c>
      <c r="B737" s="1">
        <v>113</v>
      </c>
      <c r="C737" s="1">
        <v>300</v>
      </c>
    </row>
    <row r="738" spans="1:3" x14ac:dyDescent="0.25">
      <c r="A738" s="1">
        <v>1012</v>
      </c>
      <c r="B738" s="1">
        <v>113</v>
      </c>
      <c r="C738" s="1">
        <v>300</v>
      </c>
    </row>
    <row r="739" spans="1:3" x14ac:dyDescent="0.25">
      <c r="A739" s="1">
        <v>1013</v>
      </c>
      <c r="B739" s="1">
        <v>113</v>
      </c>
      <c r="C739" s="1">
        <v>300</v>
      </c>
    </row>
    <row r="740" spans="1:3" x14ac:dyDescent="0.25">
      <c r="A740" s="1">
        <v>1014</v>
      </c>
      <c r="B740" s="1">
        <v>113</v>
      </c>
      <c r="C740" s="1">
        <v>300</v>
      </c>
    </row>
    <row r="741" spans="1:3" x14ac:dyDescent="0.25">
      <c r="A741" s="1">
        <v>1015</v>
      </c>
      <c r="B741" s="1">
        <v>113</v>
      </c>
      <c r="C741" s="1">
        <v>200</v>
      </c>
    </row>
    <row r="742" spans="1:3" x14ac:dyDescent="0.25">
      <c r="A742" s="1">
        <v>1016</v>
      </c>
      <c r="B742" s="1">
        <v>114</v>
      </c>
      <c r="C742" s="1">
        <v>300</v>
      </c>
    </row>
    <row r="743" spans="1:3" x14ac:dyDescent="0.25">
      <c r="A743" s="1">
        <v>1017</v>
      </c>
      <c r="B743" s="1">
        <v>114</v>
      </c>
      <c r="C743" s="1">
        <v>300</v>
      </c>
    </row>
    <row r="744" spans="1:3" x14ac:dyDescent="0.25">
      <c r="A744" s="1">
        <v>1018</v>
      </c>
      <c r="B744" s="1">
        <v>114</v>
      </c>
      <c r="C744" s="1">
        <v>300</v>
      </c>
    </row>
    <row r="745" spans="1:3" x14ac:dyDescent="0.25">
      <c r="A745" s="1">
        <v>1019</v>
      </c>
      <c r="B745" s="1">
        <v>114</v>
      </c>
      <c r="C745" s="1">
        <v>300</v>
      </c>
    </row>
    <row r="746" spans="1:3" x14ac:dyDescent="0.25">
      <c r="A746" s="1">
        <v>1020</v>
      </c>
      <c r="B746" s="1">
        <v>114</v>
      </c>
      <c r="C746" s="1">
        <v>300</v>
      </c>
    </row>
    <row r="747" spans="1:3" x14ac:dyDescent="0.25">
      <c r="A747" s="1">
        <v>1021</v>
      </c>
      <c r="B747" s="1">
        <v>114</v>
      </c>
      <c r="C747" s="1">
        <v>300</v>
      </c>
    </row>
    <row r="748" spans="1:3" x14ac:dyDescent="0.25">
      <c r="A748" s="1">
        <v>1022</v>
      </c>
      <c r="B748" s="1">
        <v>114</v>
      </c>
      <c r="C748" s="1">
        <v>300</v>
      </c>
    </row>
    <row r="749" spans="1:3" x14ac:dyDescent="0.25">
      <c r="A749" s="1">
        <v>1023</v>
      </c>
      <c r="B749" s="1">
        <v>114</v>
      </c>
      <c r="C749" s="1">
        <v>300</v>
      </c>
    </row>
    <row r="750" spans="1:3" x14ac:dyDescent="0.25">
      <c r="A750" s="1">
        <v>1024</v>
      </c>
      <c r="B750" s="1">
        <v>114</v>
      </c>
      <c r="C750" s="1">
        <v>300</v>
      </c>
    </row>
    <row r="751" spans="1:3" x14ac:dyDescent="0.25">
      <c r="A751" s="1">
        <v>1025</v>
      </c>
      <c r="B751" s="1">
        <v>114</v>
      </c>
      <c r="C751" s="1">
        <v>300</v>
      </c>
    </row>
    <row r="752" spans="1:3" x14ac:dyDescent="0.25">
      <c r="A752" s="1">
        <v>1026</v>
      </c>
      <c r="B752" s="1">
        <v>114</v>
      </c>
      <c r="C752" s="1">
        <v>300</v>
      </c>
    </row>
    <row r="753" spans="1:3" x14ac:dyDescent="0.25">
      <c r="A753" s="1">
        <v>1027</v>
      </c>
      <c r="B753" s="1">
        <v>114</v>
      </c>
      <c r="C753" s="1">
        <v>300</v>
      </c>
    </row>
    <row r="754" spans="1:3" x14ac:dyDescent="0.25">
      <c r="A754" s="1">
        <v>1028</v>
      </c>
      <c r="B754" s="1">
        <v>114</v>
      </c>
      <c r="C754" s="1">
        <v>300</v>
      </c>
    </row>
    <row r="755" spans="1:3" x14ac:dyDescent="0.25">
      <c r="A755" s="1">
        <v>1029</v>
      </c>
      <c r="B755" s="1">
        <v>114</v>
      </c>
      <c r="C755" s="1">
        <v>300</v>
      </c>
    </row>
    <row r="756" spans="1:3" x14ac:dyDescent="0.25">
      <c r="A756" s="1">
        <v>1030</v>
      </c>
      <c r="B756" s="1">
        <v>114</v>
      </c>
      <c r="C756" s="1">
        <v>300</v>
      </c>
    </row>
    <row r="757" spans="1:3" x14ac:dyDescent="0.25">
      <c r="A757" s="1">
        <v>1031</v>
      </c>
      <c r="B757" s="1">
        <v>114</v>
      </c>
      <c r="C757" s="1">
        <v>300</v>
      </c>
    </row>
    <row r="758" spans="1:3" x14ac:dyDescent="0.25">
      <c r="A758" s="1">
        <v>1032</v>
      </c>
      <c r="B758" s="1">
        <v>114</v>
      </c>
      <c r="C758" s="1">
        <v>200</v>
      </c>
    </row>
    <row r="759" spans="1:3" x14ac:dyDescent="0.25">
      <c r="A759" s="1">
        <v>1033</v>
      </c>
      <c r="B759" s="1">
        <v>115</v>
      </c>
      <c r="C759" s="1">
        <v>300</v>
      </c>
    </row>
    <row r="760" spans="1:3" x14ac:dyDescent="0.25">
      <c r="A760" s="1">
        <v>1034</v>
      </c>
      <c r="B760" s="1">
        <v>115</v>
      </c>
      <c r="C760" s="1">
        <v>300</v>
      </c>
    </row>
    <row r="761" spans="1:3" x14ac:dyDescent="0.25">
      <c r="A761" s="1">
        <v>1035</v>
      </c>
      <c r="B761" s="1">
        <v>115</v>
      </c>
      <c r="C761" s="1">
        <v>300</v>
      </c>
    </row>
    <row r="762" spans="1:3" x14ac:dyDescent="0.25">
      <c r="A762" s="1">
        <v>1036</v>
      </c>
      <c r="B762" s="1">
        <v>115</v>
      </c>
      <c r="C762" s="1">
        <v>300</v>
      </c>
    </row>
    <row r="763" spans="1:3" x14ac:dyDescent="0.25">
      <c r="A763" s="1">
        <v>1037</v>
      </c>
      <c r="B763" s="1">
        <v>115</v>
      </c>
      <c r="C763" s="1">
        <v>300</v>
      </c>
    </row>
    <row r="764" spans="1:3" x14ac:dyDescent="0.25">
      <c r="A764" s="1">
        <v>1038</v>
      </c>
      <c r="B764" s="1">
        <v>115</v>
      </c>
      <c r="C764" s="1">
        <v>300</v>
      </c>
    </row>
    <row r="765" spans="1:3" x14ac:dyDescent="0.25">
      <c r="A765" s="1">
        <v>1039</v>
      </c>
      <c r="B765" s="1">
        <v>115</v>
      </c>
      <c r="C765" s="1">
        <v>300</v>
      </c>
    </row>
    <row r="766" spans="1:3" x14ac:dyDescent="0.25">
      <c r="A766" s="1">
        <v>1040</v>
      </c>
      <c r="B766" s="1">
        <v>115</v>
      </c>
      <c r="C766" s="1">
        <v>300</v>
      </c>
    </row>
    <row r="767" spans="1:3" x14ac:dyDescent="0.25">
      <c r="A767" s="1">
        <v>1041</v>
      </c>
      <c r="B767" s="1">
        <v>115</v>
      </c>
      <c r="C767" s="1">
        <v>300</v>
      </c>
    </row>
    <row r="768" spans="1:3" x14ac:dyDescent="0.25">
      <c r="A768" s="1">
        <v>1042</v>
      </c>
      <c r="B768" s="1">
        <v>115</v>
      </c>
      <c r="C768" s="1">
        <v>300</v>
      </c>
    </row>
    <row r="769" spans="1:3" x14ac:dyDescent="0.25">
      <c r="A769" s="1">
        <v>1043</v>
      </c>
      <c r="B769" s="1">
        <v>115</v>
      </c>
      <c r="C769" s="1">
        <v>300</v>
      </c>
    </row>
    <row r="770" spans="1:3" x14ac:dyDescent="0.25">
      <c r="A770" s="1">
        <v>1044</v>
      </c>
      <c r="B770" s="1">
        <v>116</v>
      </c>
      <c r="C770" s="1">
        <v>300</v>
      </c>
    </row>
    <row r="771" spans="1:3" x14ac:dyDescent="0.25">
      <c r="A771" s="1">
        <v>1045</v>
      </c>
      <c r="B771" s="1">
        <v>116</v>
      </c>
      <c r="C771" s="1">
        <v>300</v>
      </c>
    </row>
    <row r="772" spans="1:3" x14ac:dyDescent="0.25">
      <c r="A772" s="1">
        <v>1046</v>
      </c>
      <c r="B772" s="1">
        <v>116</v>
      </c>
      <c r="C772" s="1">
        <v>300</v>
      </c>
    </row>
    <row r="773" spans="1:3" x14ac:dyDescent="0.25">
      <c r="A773" s="1">
        <v>1047</v>
      </c>
      <c r="B773" s="1">
        <v>116</v>
      </c>
      <c r="C773" s="1">
        <v>300</v>
      </c>
    </row>
    <row r="774" spans="1:3" x14ac:dyDescent="0.25">
      <c r="A774" s="1">
        <v>1048</v>
      </c>
      <c r="B774" s="1">
        <v>116</v>
      </c>
      <c r="C774" s="1">
        <v>300</v>
      </c>
    </row>
    <row r="775" spans="1:3" x14ac:dyDescent="0.25">
      <c r="A775" s="1">
        <v>1049</v>
      </c>
      <c r="B775" s="1">
        <v>116</v>
      </c>
      <c r="C775" s="1">
        <v>300</v>
      </c>
    </row>
    <row r="776" spans="1:3" x14ac:dyDescent="0.25">
      <c r="A776" s="1">
        <v>1050</v>
      </c>
      <c r="B776" s="1">
        <v>116</v>
      </c>
      <c r="C776" s="1">
        <v>300</v>
      </c>
    </row>
    <row r="777" spans="1:3" x14ac:dyDescent="0.25">
      <c r="A777" s="1">
        <v>1051</v>
      </c>
      <c r="B777" s="1">
        <v>116</v>
      </c>
      <c r="C777" s="1">
        <v>300</v>
      </c>
    </row>
    <row r="778" spans="1:3" x14ac:dyDescent="0.25">
      <c r="A778" s="1">
        <v>1052</v>
      </c>
      <c r="B778" s="1">
        <v>116</v>
      </c>
      <c r="C778" s="1">
        <v>300</v>
      </c>
    </row>
    <row r="779" spans="1:3" x14ac:dyDescent="0.25">
      <c r="A779" s="1">
        <v>1053</v>
      </c>
      <c r="B779" s="1">
        <v>116</v>
      </c>
      <c r="C779" s="1">
        <v>300</v>
      </c>
    </row>
    <row r="780" spans="1:3" x14ac:dyDescent="0.25">
      <c r="A780" s="1">
        <v>1054</v>
      </c>
      <c r="B780" s="1">
        <v>116</v>
      </c>
      <c r="C780" s="1">
        <v>300</v>
      </c>
    </row>
    <row r="781" spans="1:3" x14ac:dyDescent="0.25">
      <c r="A781" s="1">
        <v>1055</v>
      </c>
      <c r="B781" s="1">
        <v>116</v>
      </c>
      <c r="C781" s="1">
        <v>300</v>
      </c>
    </row>
    <row r="782" spans="1:3" x14ac:dyDescent="0.25">
      <c r="A782" s="1">
        <v>1056</v>
      </c>
      <c r="B782" s="1">
        <v>116</v>
      </c>
      <c r="C782" s="1">
        <v>300</v>
      </c>
    </row>
    <row r="783" spans="1:3" x14ac:dyDescent="0.25">
      <c r="A783" s="1">
        <v>1057</v>
      </c>
      <c r="B783" s="1">
        <v>116</v>
      </c>
      <c r="C783" s="1">
        <v>300</v>
      </c>
    </row>
    <row r="784" spans="1:3" x14ac:dyDescent="0.25">
      <c r="A784" s="1">
        <v>1058</v>
      </c>
      <c r="B784" s="1">
        <v>116</v>
      </c>
      <c r="C784" s="1">
        <v>300</v>
      </c>
    </row>
    <row r="785" spans="1:3" x14ac:dyDescent="0.25">
      <c r="A785" s="1">
        <v>1059</v>
      </c>
      <c r="B785" s="1">
        <v>116</v>
      </c>
      <c r="C785" s="1">
        <v>300</v>
      </c>
    </row>
    <row r="786" spans="1:3" x14ac:dyDescent="0.25">
      <c r="A786" s="1">
        <v>1060</v>
      </c>
      <c r="B786" s="1">
        <v>116</v>
      </c>
      <c r="C786" s="1">
        <v>300</v>
      </c>
    </row>
    <row r="787" spans="1:3" x14ac:dyDescent="0.25">
      <c r="A787" s="1">
        <v>1061</v>
      </c>
      <c r="B787" s="1">
        <v>116</v>
      </c>
      <c r="C787" s="1">
        <v>300</v>
      </c>
    </row>
    <row r="788" spans="1:3" x14ac:dyDescent="0.25">
      <c r="A788" s="1">
        <v>1062</v>
      </c>
      <c r="B788" s="1">
        <v>116</v>
      </c>
      <c r="C788" s="1">
        <v>300</v>
      </c>
    </row>
    <row r="789" spans="1:3" x14ac:dyDescent="0.25">
      <c r="A789" s="1">
        <v>1063</v>
      </c>
      <c r="B789" s="1">
        <v>116</v>
      </c>
      <c r="C789" s="1">
        <v>300</v>
      </c>
    </row>
    <row r="790" spans="1:3" x14ac:dyDescent="0.25">
      <c r="A790" s="1">
        <v>1064</v>
      </c>
      <c r="B790" s="1">
        <v>116</v>
      </c>
      <c r="C790" s="1">
        <v>300</v>
      </c>
    </row>
    <row r="791" spans="1:3" x14ac:dyDescent="0.25">
      <c r="A791" s="1">
        <v>1065</v>
      </c>
      <c r="B791" s="1">
        <v>116</v>
      </c>
      <c r="C791" s="1">
        <v>300</v>
      </c>
    </row>
    <row r="792" spans="1:3" x14ac:dyDescent="0.25">
      <c r="A792" s="1">
        <v>1066</v>
      </c>
      <c r="B792" s="1">
        <v>116</v>
      </c>
      <c r="C792" s="1">
        <v>270</v>
      </c>
    </row>
    <row r="793" spans="1:3" x14ac:dyDescent="0.25">
      <c r="A793" s="1">
        <v>1067</v>
      </c>
      <c r="B793" s="1">
        <v>117</v>
      </c>
      <c r="C793" s="1">
        <v>500</v>
      </c>
    </row>
    <row r="794" spans="1:3" x14ac:dyDescent="0.25">
      <c r="A794" s="1">
        <v>1068</v>
      </c>
      <c r="B794" s="1">
        <v>117</v>
      </c>
      <c r="C794" s="1">
        <v>500</v>
      </c>
    </row>
    <row r="795" spans="1:3" x14ac:dyDescent="0.25">
      <c r="A795" s="1">
        <v>1069</v>
      </c>
      <c r="B795" s="1">
        <v>117</v>
      </c>
      <c r="C795" s="1">
        <v>500</v>
      </c>
    </row>
    <row r="796" spans="1:3" x14ac:dyDescent="0.25">
      <c r="A796" s="1">
        <v>1070</v>
      </c>
      <c r="B796" s="1">
        <v>117</v>
      </c>
      <c r="C796" s="1">
        <v>500</v>
      </c>
    </row>
    <row r="797" spans="1:3" x14ac:dyDescent="0.25">
      <c r="A797" s="1">
        <v>1071</v>
      </c>
      <c r="B797" s="1">
        <v>117</v>
      </c>
      <c r="C797" s="1">
        <v>500</v>
      </c>
    </row>
    <row r="798" spans="1:3" x14ac:dyDescent="0.25">
      <c r="A798" s="1">
        <v>1072</v>
      </c>
      <c r="B798" s="1">
        <v>117</v>
      </c>
      <c r="C798" s="1">
        <v>500</v>
      </c>
    </row>
    <row r="799" spans="1:3" x14ac:dyDescent="0.25">
      <c r="A799" s="1">
        <v>1073</v>
      </c>
      <c r="B799" s="1">
        <v>117</v>
      </c>
      <c r="C799" s="1">
        <v>500</v>
      </c>
    </row>
    <row r="800" spans="1:3" x14ac:dyDescent="0.25">
      <c r="A800" s="1">
        <v>1074</v>
      </c>
      <c r="B800" s="1">
        <v>117</v>
      </c>
      <c r="C800" s="1">
        <v>500</v>
      </c>
    </row>
    <row r="801" spans="1:3" x14ac:dyDescent="0.25">
      <c r="A801" s="1">
        <v>1075</v>
      </c>
      <c r="B801" s="1">
        <v>117</v>
      </c>
      <c r="C801" s="1">
        <v>500</v>
      </c>
    </row>
    <row r="802" spans="1:3" x14ac:dyDescent="0.25">
      <c r="A802" s="1">
        <v>1076</v>
      </c>
      <c r="B802" s="1">
        <v>117</v>
      </c>
      <c r="C802" s="1">
        <v>500</v>
      </c>
    </row>
    <row r="803" spans="1:3" x14ac:dyDescent="0.25">
      <c r="A803" s="1">
        <v>1077</v>
      </c>
      <c r="B803" s="1">
        <v>117</v>
      </c>
      <c r="C803" s="1">
        <v>500</v>
      </c>
    </row>
    <row r="804" spans="1:3" x14ac:dyDescent="0.25">
      <c r="A804" s="1">
        <v>1078</v>
      </c>
      <c r="B804" s="1">
        <v>117</v>
      </c>
      <c r="C804" s="1">
        <v>500</v>
      </c>
    </row>
    <row r="805" spans="1:3" x14ac:dyDescent="0.25">
      <c r="A805" s="1">
        <v>1079</v>
      </c>
      <c r="B805" s="1">
        <v>118</v>
      </c>
      <c r="C805" s="1">
        <v>500</v>
      </c>
    </row>
    <row r="806" spans="1:3" x14ac:dyDescent="0.25">
      <c r="A806" s="1">
        <v>1080</v>
      </c>
      <c r="B806" s="1">
        <v>118</v>
      </c>
      <c r="C806" s="1">
        <v>500</v>
      </c>
    </row>
    <row r="807" spans="1:3" x14ac:dyDescent="0.25">
      <c r="A807" s="1">
        <v>1081</v>
      </c>
      <c r="B807" s="1">
        <v>118</v>
      </c>
      <c r="C807" s="1">
        <v>500</v>
      </c>
    </row>
    <row r="808" spans="1:3" x14ac:dyDescent="0.25">
      <c r="A808" s="1">
        <v>1082</v>
      </c>
      <c r="B808" s="1">
        <v>118</v>
      </c>
      <c r="C808" s="1">
        <v>500</v>
      </c>
    </row>
    <row r="809" spans="1:3" x14ac:dyDescent="0.25">
      <c r="A809" s="1">
        <v>1094</v>
      </c>
      <c r="B809" s="1">
        <v>119</v>
      </c>
      <c r="C809" s="1">
        <v>300</v>
      </c>
    </row>
    <row r="810" spans="1:3" x14ac:dyDescent="0.25">
      <c r="A810" s="1">
        <v>1095</v>
      </c>
      <c r="B810" s="1">
        <v>119</v>
      </c>
      <c r="C810" s="1">
        <v>300</v>
      </c>
    </row>
    <row r="811" spans="1:3" x14ac:dyDescent="0.25">
      <c r="A811" s="1">
        <v>1096</v>
      </c>
      <c r="B811" s="1">
        <v>119</v>
      </c>
      <c r="C811" s="1">
        <v>300</v>
      </c>
    </row>
    <row r="812" spans="1:3" x14ac:dyDescent="0.25">
      <c r="A812" s="1">
        <v>1097</v>
      </c>
      <c r="B812" s="1">
        <v>119</v>
      </c>
      <c r="C812" s="1">
        <v>300</v>
      </c>
    </row>
    <row r="813" spans="1:3" x14ac:dyDescent="0.25">
      <c r="A813" s="1">
        <v>1098</v>
      </c>
      <c r="B813" s="1">
        <v>119</v>
      </c>
      <c r="C813" s="1">
        <v>300</v>
      </c>
    </row>
    <row r="814" spans="1:3" x14ac:dyDescent="0.25">
      <c r="A814" s="1">
        <v>1099</v>
      </c>
      <c r="B814" s="1">
        <v>119</v>
      </c>
      <c r="C814" s="1">
        <v>300</v>
      </c>
    </row>
    <row r="815" spans="1:3" x14ac:dyDescent="0.25">
      <c r="A815" s="1">
        <v>1100</v>
      </c>
      <c r="B815" s="1">
        <v>119</v>
      </c>
      <c r="C815" s="1">
        <v>300</v>
      </c>
    </row>
    <row r="816" spans="1:3" x14ac:dyDescent="0.25">
      <c r="A816" s="1">
        <v>1101</v>
      </c>
      <c r="B816" s="1">
        <v>119</v>
      </c>
      <c r="C816" s="1">
        <v>300</v>
      </c>
    </row>
    <row r="817" spans="1:3" x14ac:dyDescent="0.25">
      <c r="A817" s="1">
        <v>1102</v>
      </c>
      <c r="B817" s="1">
        <v>119</v>
      </c>
      <c r="C817" s="1">
        <v>300</v>
      </c>
    </row>
    <row r="818" spans="1:3" x14ac:dyDescent="0.25">
      <c r="A818" s="1">
        <v>1103</v>
      </c>
      <c r="B818" s="1">
        <v>119</v>
      </c>
      <c r="C818" s="1">
        <v>300</v>
      </c>
    </row>
    <row r="819" spans="1:3" x14ac:dyDescent="0.25">
      <c r="A819" s="1">
        <v>1104</v>
      </c>
      <c r="B819" s="1">
        <v>119</v>
      </c>
      <c r="C819" s="1">
        <v>5</v>
      </c>
    </row>
    <row r="820" spans="1:3" x14ac:dyDescent="0.25">
      <c r="A820" s="1">
        <v>1105</v>
      </c>
      <c r="B820" s="1">
        <v>120</v>
      </c>
      <c r="C820" s="1">
        <v>300</v>
      </c>
    </row>
    <row r="821" spans="1:3" x14ac:dyDescent="0.25">
      <c r="A821" s="1">
        <v>1106</v>
      </c>
      <c r="B821" s="1">
        <v>120</v>
      </c>
      <c r="C821" s="1">
        <v>300</v>
      </c>
    </row>
    <row r="822" spans="1:3" x14ac:dyDescent="0.25">
      <c r="A822" s="1">
        <v>1107</v>
      </c>
      <c r="B822" s="1">
        <v>120</v>
      </c>
      <c r="C822" s="1">
        <v>300</v>
      </c>
    </row>
    <row r="823" spans="1:3" x14ac:dyDescent="0.25">
      <c r="A823" s="1">
        <v>1108</v>
      </c>
      <c r="B823" s="1">
        <v>120</v>
      </c>
      <c r="C823" s="1">
        <v>300</v>
      </c>
    </row>
    <row r="824" spans="1:3" x14ac:dyDescent="0.25">
      <c r="A824" s="1">
        <v>1109</v>
      </c>
      <c r="B824" s="1">
        <v>120</v>
      </c>
      <c r="C824" s="1">
        <v>300</v>
      </c>
    </row>
    <row r="825" spans="1:3" x14ac:dyDescent="0.25">
      <c r="A825" s="1">
        <v>1110</v>
      </c>
      <c r="B825" s="1">
        <v>120</v>
      </c>
      <c r="C825" s="1">
        <v>300</v>
      </c>
    </row>
    <row r="826" spans="1:3" x14ac:dyDescent="0.25">
      <c r="A826" s="1">
        <v>1111</v>
      </c>
      <c r="B826" s="1">
        <v>120</v>
      </c>
      <c r="C826" s="1">
        <v>300</v>
      </c>
    </row>
    <row r="827" spans="1:3" x14ac:dyDescent="0.25">
      <c r="A827" s="1">
        <v>1112</v>
      </c>
      <c r="B827" s="1">
        <v>120</v>
      </c>
      <c r="C827" s="1">
        <v>100</v>
      </c>
    </row>
    <row r="828" spans="1:3" x14ac:dyDescent="0.25">
      <c r="A828" s="1">
        <v>1113</v>
      </c>
      <c r="B828" s="1">
        <v>121</v>
      </c>
      <c r="C828" s="1">
        <v>300</v>
      </c>
    </row>
    <row r="829" spans="1:3" x14ac:dyDescent="0.25">
      <c r="A829" s="1">
        <v>1114</v>
      </c>
      <c r="B829" s="1">
        <v>121</v>
      </c>
      <c r="C829" s="1">
        <v>300</v>
      </c>
    </row>
    <row r="830" spans="1:3" x14ac:dyDescent="0.25">
      <c r="A830" s="1">
        <v>1115</v>
      </c>
      <c r="B830" s="1">
        <v>121</v>
      </c>
      <c r="C830" s="1">
        <v>300</v>
      </c>
    </row>
    <row r="831" spans="1:3" x14ac:dyDescent="0.25">
      <c r="A831" s="1">
        <v>1116</v>
      </c>
      <c r="B831" s="1">
        <v>121</v>
      </c>
      <c r="C831" s="1">
        <v>300</v>
      </c>
    </row>
    <row r="832" spans="1:3" x14ac:dyDescent="0.25">
      <c r="A832" s="1">
        <v>1117</v>
      </c>
      <c r="B832" s="1">
        <v>121</v>
      </c>
      <c r="C832" s="1">
        <v>300</v>
      </c>
    </row>
    <row r="833" spans="1:3" x14ac:dyDescent="0.25">
      <c r="A833" s="1">
        <v>1118</v>
      </c>
      <c r="B833" s="1">
        <v>121</v>
      </c>
      <c r="C833" s="1">
        <v>300</v>
      </c>
    </row>
    <row r="834" spans="1:3" x14ac:dyDescent="0.25">
      <c r="A834" s="1">
        <v>1119</v>
      </c>
      <c r="B834" s="1">
        <v>121</v>
      </c>
      <c r="C834" s="1">
        <v>300</v>
      </c>
    </row>
    <row r="835" spans="1:3" x14ac:dyDescent="0.25">
      <c r="A835" s="1">
        <v>1120</v>
      </c>
      <c r="B835" s="1">
        <v>121</v>
      </c>
      <c r="C835" s="1">
        <v>300</v>
      </c>
    </row>
    <row r="836" spans="1:3" x14ac:dyDescent="0.25">
      <c r="A836" s="1">
        <v>1121</v>
      </c>
      <c r="B836" s="1">
        <v>121</v>
      </c>
      <c r="C836" s="1">
        <v>300</v>
      </c>
    </row>
    <row r="837" spans="1:3" x14ac:dyDescent="0.25">
      <c r="A837" s="1">
        <v>1122</v>
      </c>
      <c r="B837" s="1">
        <v>121</v>
      </c>
      <c r="C837" s="1">
        <v>300</v>
      </c>
    </row>
    <row r="838" spans="1:3" x14ac:dyDescent="0.25">
      <c r="A838" s="1">
        <v>1123</v>
      </c>
      <c r="B838" s="1">
        <v>121</v>
      </c>
      <c r="C838" s="1">
        <v>300</v>
      </c>
    </row>
    <row r="839" spans="1:3" x14ac:dyDescent="0.25">
      <c r="A839" s="1">
        <v>1124</v>
      </c>
      <c r="B839" s="1">
        <v>121</v>
      </c>
      <c r="C839" s="1">
        <v>300</v>
      </c>
    </row>
    <row r="840" spans="1:3" x14ac:dyDescent="0.25">
      <c r="A840" s="1">
        <v>1125</v>
      </c>
      <c r="B840" s="1">
        <v>121</v>
      </c>
      <c r="C840" s="1">
        <v>300</v>
      </c>
    </row>
    <row r="841" spans="1:3" x14ac:dyDescent="0.25">
      <c r="A841" s="1">
        <v>1126</v>
      </c>
      <c r="B841" s="1">
        <v>121</v>
      </c>
      <c r="C841" s="1">
        <v>300</v>
      </c>
    </row>
    <row r="842" spans="1:3" x14ac:dyDescent="0.25">
      <c r="A842" s="1">
        <v>1127</v>
      </c>
      <c r="B842" s="1">
        <v>121</v>
      </c>
      <c r="C842" s="1">
        <v>300</v>
      </c>
    </row>
    <row r="843" spans="1:3" x14ac:dyDescent="0.25">
      <c r="A843" s="1">
        <v>1128</v>
      </c>
      <c r="B843" s="1">
        <v>121</v>
      </c>
      <c r="C843" s="1">
        <v>300</v>
      </c>
    </row>
    <row r="844" spans="1:3" x14ac:dyDescent="0.25">
      <c r="A844" s="1">
        <v>1129</v>
      </c>
      <c r="B844" s="1">
        <v>121</v>
      </c>
      <c r="C844" s="1">
        <v>300</v>
      </c>
    </row>
    <row r="845" spans="1:3" x14ac:dyDescent="0.25">
      <c r="A845" s="1">
        <v>1130</v>
      </c>
      <c r="B845" s="1">
        <v>121</v>
      </c>
      <c r="C845" s="1">
        <v>300</v>
      </c>
    </row>
    <row r="846" spans="1:3" x14ac:dyDescent="0.25">
      <c r="A846" s="1">
        <v>1131</v>
      </c>
      <c r="B846" s="1">
        <v>121</v>
      </c>
      <c r="C846" s="1">
        <v>300</v>
      </c>
    </row>
    <row r="847" spans="1:3" x14ac:dyDescent="0.25">
      <c r="A847" s="1">
        <v>1132</v>
      </c>
      <c r="B847" s="1">
        <v>121</v>
      </c>
      <c r="C847" s="1">
        <v>300</v>
      </c>
    </row>
    <row r="848" spans="1:3" x14ac:dyDescent="0.25">
      <c r="A848" s="1">
        <v>1133</v>
      </c>
      <c r="B848" s="1">
        <v>122</v>
      </c>
      <c r="C848" s="1">
        <v>500</v>
      </c>
    </row>
    <row r="849" spans="1:3" x14ac:dyDescent="0.25">
      <c r="A849" s="1">
        <v>1134</v>
      </c>
      <c r="B849" s="1">
        <v>122</v>
      </c>
      <c r="C849" s="1">
        <v>500</v>
      </c>
    </row>
    <row r="850" spans="1:3" x14ac:dyDescent="0.25">
      <c r="A850" s="1">
        <v>1135</v>
      </c>
      <c r="B850" s="1">
        <v>122</v>
      </c>
      <c r="C850" s="1">
        <v>500</v>
      </c>
    </row>
    <row r="851" spans="1:3" x14ac:dyDescent="0.25">
      <c r="A851" s="1">
        <v>1136</v>
      </c>
      <c r="B851" s="1">
        <v>122</v>
      </c>
      <c r="C851" s="1">
        <v>500</v>
      </c>
    </row>
    <row r="852" spans="1:3" x14ac:dyDescent="0.25">
      <c r="A852" s="1">
        <v>1137</v>
      </c>
      <c r="B852" s="1">
        <v>122</v>
      </c>
      <c r="C852" s="1">
        <v>500</v>
      </c>
    </row>
    <row r="853" spans="1:3" x14ac:dyDescent="0.25">
      <c r="A853" s="1">
        <v>1138</v>
      </c>
      <c r="B853" s="1">
        <v>122</v>
      </c>
      <c r="C853" s="1">
        <v>500</v>
      </c>
    </row>
    <row r="854" spans="1:3" x14ac:dyDescent="0.25">
      <c r="A854" s="1">
        <v>1139</v>
      </c>
      <c r="B854" s="1">
        <v>123</v>
      </c>
      <c r="C854" s="1">
        <v>500</v>
      </c>
    </row>
    <row r="855" spans="1:3" x14ac:dyDescent="0.25">
      <c r="A855" s="1">
        <v>1140</v>
      </c>
      <c r="B855" s="1">
        <v>124</v>
      </c>
      <c r="C855" s="1">
        <v>300</v>
      </c>
    </row>
    <row r="856" spans="1:3" x14ac:dyDescent="0.25">
      <c r="A856" s="1">
        <v>1141</v>
      </c>
      <c r="B856" s="1">
        <v>124</v>
      </c>
      <c r="C856" s="1">
        <v>300</v>
      </c>
    </row>
    <row r="857" spans="1:3" x14ac:dyDescent="0.25">
      <c r="A857" s="1">
        <v>1142</v>
      </c>
      <c r="B857" s="1">
        <v>124</v>
      </c>
      <c r="C857" s="1">
        <v>300</v>
      </c>
    </row>
    <row r="858" spans="1:3" x14ac:dyDescent="0.25">
      <c r="A858" s="1">
        <v>1143</v>
      </c>
      <c r="B858" s="1">
        <v>124</v>
      </c>
      <c r="C858" s="1">
        <v>300</v>
      </c>
    </row>
    <row r="859" spans="1:3" x14ac:dyDescent="0.25">
      <c r="A859" s="1">
        <v>1144</v>
      </c>
      <c r="B859" s="1">
        <v>124</v>
      </c>
      <c r="C859" s="1">
        <v>300</v>
      </c>
    </row>
    <row r="860" spans="1:3" x14ac:dyDescent="0.25">
      <c r="A860" s="1">
        <v>1145</v>
      </c>
      <c r="B860" s="1">
        <v>125</v>
      </c>
      <c r="C860" s="1">
        <v>300</v>
      </c>
    </row>
    <row r="861" spans="1:3" x14ac:dyDescent="0.25">
      <c r="A861" s="1">
        <v>1146</v>
      </c>
      <c r="B861" s="1">
        <v>125</v>
      </c>
      <c r="C861" s="1">
        <v>300</v>
      </c>
    </row>
    <row r="862" spans="1:3" x14ac:dyDescent="0.25">
      <c r="A862" s="1">
        <v>1147</v>
      </c>
      <c r="B862" s="1">
        <v>125</v>
      </c>
      <c r="C862" s="1">
        <v>300</v>
      </c>
    </row>
    <row r="863" spans="1:3" x14ac:dyDescent="0.25">
      <c r="A863" s="1">
        <v>1148</v>
      </c>
      <c r="B863" s="1">
        <v>125</v>
      </c>
      <c r="C863" s="1">
        <v>300</v>
      </c>
    </row>
    <row r="864" spans="1:3" x14ac:dyDescent="0.25">
      <c r="A864" s="1">
        <v>1149</v>
      </c>
      <c r="B864" s="1">
        <v>125</v>
      </c>
      <c r="C864" s="1">
        <v>300</v>
      </c>
    </row>
    <row r="865" spans="1:3" x14ac:dyDescent="0.25">
      <c r="A865" s="1">
        <v>1150</v>
      </c>
      <c r="B865" s="1">
        <v>125</v>
      </c>
      <c r="C865" s="1">
        <v>300</v>
      </c>
    </row>
    <row r="866" spans="1:3" x14ac:dyDescent="0.25">
      <c r="A866" s="1">
        <v>1151</v>
      </c>
      <c r="B866" s="1">
        <v>125</v>
      </c>
      <c r="C866" s="1">
        <v>300</v>
      </c>
    </row>
    <row r="867" spans="1:3" x14ac:dyDescent="0.25">
      <c r="A867" s="1">
        <v>1152</v>
      </c>
      <c r="B867" s="1">
        <v>125</v>
      </c>
      <c r="C867" s="1">
        <v>300</v>
      </c>
    </row>
    <row r="868" spans="1:3" x14ac:dyDescent="0.25">
      <c r="A868" s="1">
        <v>1153</v>
      </c>
      <c r="B868" s="1">
        <v>125</v>
      </c>
      <c r="C868" s="1">
        <v>300</v>
      </c>
    </row>
    <row r="869" spans="1:3" x14ac:dyDescent="0.25">
      <c r="A869" s="1">
        <v>1154</v>
      </c>
      <c r="B869" s="1">
        <v>125</v>
      </c>
      <c r="C869" s="1">
        <v>300</v>
      </c>
    </row>
    <row r="870" spans="1:3" x14ac:dyDescent="0.25">
      <c r="A870" s="1">
        <v>1155</v>
      </c>
      <c r="B870" s="1">
        <v>125</v>
      </c>
      <c r="C870" s="1">
        <v>300</v>
      </c>
    </row>
    <row r="871" spans="1:3" x14ac:dyDescent="0.25">
      <c r="A871" s="1">
        <v>1156</v>
      </c>
      <c r="B871" s="1">
        <v>125</v>
      </c>
      <c r="C871" s="1">
        <v>300</v>
      </c>
    </row>
    <row r="872" spans="1:3" x14ac:dyDescent="0.25">
      <c r="A872" s="1">
        <v>1157</v>
      </c>
      <c r="B872" s="1">
        <v>125</v>
      </c>
      <c r="C872" s="1">
        <v>300</v>
      </c>
    </row>
    <row r="873" spans="1:3" x14ac:dyDescent="0.25">
      <c r="A873" s="1">
        <v>1158</v>
      </c>
      <c r="B873" s="1">
        <v>125</v>
      </c>
      <c r="C873" s="1">
        <v>300</v>
      </c>
    </row>
    <row r="874" spans="1:3" x14ac:dyDescent="0.25">
      <c r="A874" s="1">
        <v>1159</v>
      </c>
      <c r="B874" s="1">
        <v>125</v>
      </c>
      <c r="C874" s="1">
        <v>300</v>
      </c>
    </row>
    <row r="875" spans="1:3" x14ac:dyDescent="0.25">
      <c r="A875" s="1">
        <v>1160</v>
      </c>
      <c r="B875" s="1">
        <v>125</v>
      </c>
      <c r="C875" s="1">
        <v>300</v>
      </c>
    </row>
    <row r="876" spans="1:3" x14ac:dyDescent="0.25">
      <c r="A876" s="1">
        <v>1161</v>
      </c>
      <c r="B876" s="1">
        <v>125</v>
      </c>
      <c r="C876" s="1">
        <v>300</v>
      </c>
    </row>
    <row r="877" spans="1:3" x14ac:dyDescent="0.25">
      <c r="A877" s="1">
        <v>1162</v>
      </c>
      <c r="B877" s="1">
        <v>125</v>
      </c>
      <c r="C877" s="1">
        <v>300</v>
      </c>
    </row>
    <row r="878" spans="1:3" x14ac:dyDescent="0.25">
      <c r="A878" s="1">
        <v>1163</v>
      </c>
      <c r="B878" s="1">
        <v>125</v>
      </c>
      <c r="C878" s="1">
        <v>300</v>
      </c>
    </row>
    <row r="879" spans="1:3" x14ac:dyDescent="0.25">
      <c r="A879" s="1">
        <v>1164</v>
      </c>
      <c r="B879" s="1">
        <v>125</v>
      </c>
      <c r="C879" s="1">
        <v>300</v>
      </c>
    </row>
    <row r="880" spans="1:3" x14ac:dyDescent="0.25">
      <c r="A880" s="1">
        <v>1165</v>
      </c>
      <c r="B880" s="1">
        <v>126</v>
      </c>
      <c r="C880" s="1">
        <v>500</v>
      </c>
    </row>
    <row r="881" spans="1:3" x14ac:dyDescent="0.25">
      <c r="A881" s="1">
        <v>1166</v>
      </c>
      <c r="B881" s="1">
        <v>126</v>
      </c>
      <c r="C881" s="1">
        <v>500</v>
      </c>
    </row>
    <row r="882" spans="1:3" x14ac:dyDescent="0.25">
      <c r="A882" s="1">
        <v>1167</v>
      </c>
      <c r="B882" s="1">
        <v>126</v>
      </c>
      <c r="C882" s="1">
        <v>500</v>
      </c>
    </row>
    <row r="883" spans="1:3" x14ac:dyDescent="0.25">
      <c r="A883" s="1">
        <v>1168</v>
      </c>
      <c r="B883" s="1">
        <v>126</v>
      </c>
      <c r="C883" s="1">
        <v>500</v>
      </c>
    </row>
    <row r="884" spans="1:3" x14ac:dyDescent="0.25">
      <c r="A884" s="1">
        <v>1169</v>
      </c>
      <c r="B884" s="1">
        <v>126</v>
      </c>
      <c r="C884" s="1">
        <v>500</v>
      </c>
    </row>
    <row r="885" spans="1:3" x14ac:dyDescent="0.25">
      <c r="A885" s="1">
        <v>1170</v>
      </c>
      <c r="B885" s="1">
        <v>126</v>
      </c>
      <c r="C885" s="1">
        <v>500</v>
      </c>
    </row>
    <row r="886" spans="1:3" x14ac:dyDescent="0.25">
      <c r="A886" s="1">
        <v>1171</v>
      </c>
      <c r="B886" s="1">
        <v>126</v>
      </c>
      <c r="C886" s="1">
        <v>500</v>
      </c>
    </row>
    <row r="887" spans="1:3" x14ac:dyDescent="0.25">
      <c r="A887" s="1">
        <v>1172</v>
      </c>
      <c r="B887" s="1">
        <v>126</v>
      </c>
      <c r="C887" s="1">
        <v>500</v>
      </c>
    </row>
    <row r="888" spans="1:3" x14ac:dyDescent="0.25">
      <c r="A888" s="1">
        <v>1173</v>
      </c>
      <c r="B888" s="1">
        <v>126</v>
      </c>
      <c r="C888" s="1">
        <v>500</v>
      </c>
    </row>
    <row r="889" spans="1:3" x14ac:dyDescent="0.25">
      <c r="A889" s="1">
        <v>1174</v>
      </c>
      <c r="B889" s="1">
        <v>126</v>
      </c>
      <c r="C889" s="1">
        <v>500</v>
      </c>
    </row>
    <row r="890" spans="1:3" x14ac:dyDescent="0.25">
      <c r="A890" s="1">
        <v>1176</v>
      </c>
      <c r="B890" s="1">
        <v>127</v>
      </c>
      <c r="C890" s="1">
        <v>300</v>
      </c>
    </row>
    <row r="891" spans="1:3" x14ac:dyDescent="0.25">
      <c r="A891" s="1">
        <v>1177</v>
      </c>
      <c r="B891" s="1">
        <v>127</v>
      </c>
      <c r="C891" s="1">
        <v>300</v>
      </c>
    </row>
    <row r="892" spans="1:3" x14ac:dyDescent="0.25">
      <c r="A892" s="1">
        <v>1178</v>
      </c>
      <c r="B892" s="1">
        <v>127</v>
      </c>
      <c r="C892" s="1">
        <v>300</v>
      </c>
    </row>
    <row r="893" spans="1:3" x14ac:dyDescent="0.25">
      <c r="A893" s="1">
        <v>1179</v>
      </c>
      <c r="B893" s="1">
        <v>127</v>
      </c>
      <c r="C893" s="1">
        <v>300</v>
      </c>
    </row>
    <row r="894" spans="1:3" x14ac:dyDescent="0.25">
      <c r="A894" s="1">
        <v>1180</v>
      </c>
      <c r="B894" s="1">
        <v>127</v>
      </c>
      <c r="C894" s="1">
        <v>300</v>
      </c>
    </row>
    <row r="895" spans="1:3" x14ac:dyDescent="0.25">
      <c r="A895" s="1">
        <v>1181</v>
      </c>
      <c r="B895" s="1">
        <v>127</v>
      </c>
      <c r="C895" s="1">
        <v>300</v>
      </c>
    </row>
    <row r="896" spans="1:3" x14ac:dyDescent="0.25">
      <c r="A896" s="1">
        <v>1182</v>
      </c>
      <c r="B896" s="1">
        <v>127</v>
      </c>
      <c r="C896" s="1">
        <v>300</v>
      </c>
    </row>
    <row r="897" spans="1:3" x14ac:dyDescent="0.25">
      <c r="A897" s="1">
        <v>1183</v>
      </c>
      <c r="B897" s="1">
        <v>127</v>
      </c>
      <c r="C897" s="1">
        <v>300</v>
      </c>
    </row>
    <row r="898" spans="1:3" x14ac:dyDescent="0.25">
      <c r="A898" s="1">
        <v>1184</v>
      </c>
      <c r="B898" s="1">
        <v>127</v>
      </c>
      <c r="C898" s="1">
        <v>300</v>
      </c>
    </row>
    <row r="899" spans="1:3" x14ac:dyDescent="0.25">
      <c r="A899" s="1">
        <v>1185</v>
      </c>
      <c r="B899" s="1">
        <v>127</v>
      </c>
      <c r="C899" s="1">
        <v>300</v>
      </c>
    </row>
    <row r="900" spans="1:3" x14ac:dyDescent="0.25">
      <c r="A900" s="1">
        <v>1187</v>
      </c>
      <c r="B900" s="1">
        <v>128</v>
      </c>
      <c r="C900" s="1">
        <v>500</v>
      </c>
    </row>
    <row r="901" spans="1:3" x14ac:dyDescent="0.25">
      <c r="A901" s="1">
        <v>1188</v>
      </c>
      <c r="B901" s="1">
        <v>128</v>
      </c>
      <c r="C901" s="1">
        <v>500</v>
      </c>
    </row>
    <row r="902" spans="1:3" x14ac:dyDescent="0.25">
      <c r="A902" s="1">
        <v>1189</v>
      </c>
      <c r="B902" s="1">
        <v>128</v>
      </c>
      <c r="C902" s="1">
        <v>500</v>
      </c>
    </row>
    <row r="903" spans="1:3" x14ac:dyDescent="0.25">
      <c r="A903" s="1">
        <v>1190</v>
      </c>
      <c r="B903" s="1">
        <v>128</v>
      </c>
      <c r="C903" s="1">
        <v>500</v>
      </c>
    </row>
    <row r="904" spans="1:3" x14ac:dyDescent="0.25">
      <c r="A904" s="1">
        <v>1191</v>
      </c>
      <c r="B904" s="1">
        <v>128</v>
      </c>
      <c r="C904" s="1">
        <v>500</v>
      </c>
    </row>
    <row r="905" spans="1:3" x14ac:dyDescent="0.25">
      <c r="A905" s="1">
        <v>1192</v>
      </c>
      <c r="B905" s="1">
        <v>128</v>
      </c>
      <c r="C905" s="1">
        <v>500</v>
      </c>
    </row>
    <row r="906" spans="1:3" x14ac:dyDescent="0.25">
      <c r="A906" s="1">
        <v>1193</v>
      </c>
      <c r="B906" s="1">
        <v>128</v>
      </c>
      <c r="C906" s="1">
        <v>500</v>
      </c>
    </row>
    <row r="907" spans="1:3" x14ac:dyDescent="0.25">
      <c r="A907" s="1">
        <v>1194</v>
      </c>
      <c r="B907" s="1">
        <v>128</v>
      </c>
      <c r="C907" s="1">
        <v>500</v>
      </c>
    </row>
    <row r="908" spans="1:3" x14ac:dyDescent="0.25">
      <c r="A908" s="1">
        <v>1195</v>
      </c>
      <c r="B908" s="1">
        <v>129</v>
      </c>
      <c r="C908" s="1">
        <v>300</v>
      </c>
    </row>
    <row r="909" spans="1:3" x14ac:dyDescent="0.25">
      <c r="A909" s="1">
        <v>1196</v>
      </c>
      <c r="B909" s="1">
        <v>129</v>
      </c>
      <c r="C909" s="1">
        <v>300</v>
      </c>
    </row>
    <row r="910" spans="1:3" x14ac:dyDescent="0.25">
      <c r="A910" s="1">
        <v>1197</v>
      </c>
      <c r="B910" s="1">
        <v>129</v>
      </c>
      <c r="C910" s="1">
        <v>300</v>
      </c>
    </row>
    <row r="911" spans="1:3" x14ac:dyDescent="0.25">
      <c r="A911" s="1">
        <v>1198</v>
      </c>
      <c r="B911" s="1">
        <v>129</v>
      </c>
      <c r="C911" s="1">
        <v>300</v>
      </c>
    </row>
    <row r="912" spans="1:3" x14ac:dyDescent="0.25">
      <c r="A912" s="1">
        <v>1199</v>
      </c>
      <c r="B912" s="1">
        <v>129</v>
      </c>
      <c r="C912" s="1">
        <v>300</v>
      </c>
    </row>
    <row r="913" spans="1:3" x14ac:dyDescent="0.25">
      <c r="A913" s="1">
        <v>1200</v>
      </c>
      <c r="B913" s="1">
        <v>129</v>
      </c>
      <c r="C913" s="1">
        <v>300</v>
      </c>
    </row>
    <row r="914" spans="1:3" x14ac:dyDescent="0.25">
      <c r="A914" s="1">
        <v>1201</v>
      </c>
      <c r="B914" s="1">
        <v>129</v>
      </c>
      <c r="C914" s="1">
        <v>300</v>
      </c>
    </row>
    <row r="915" spans="1:3" x14ac:dyDescent="0.25">
      <c r="A915" s="1">
        <v>1202</v>
      </c>
      <c r="B915" s="1">
        <v>129</v>
      </c>
      <c r="C915" s="1">
        <v>300</v>
      </c>
    </row>
    <row r="916" spans="1:3" x14ac:dyDescent="0.25">
      <c r="A916" s="1">
        <v>1203</v>
      </c>
      <c r="B916" s="1">
        <v>129</v>
      </c>
      <c r="C916" s="1">
        <v>300</v>
      </c>
    </row>
    <row r="917" spans="1:3" x14ac:dyDescent="0.25">
      <c r="A917" s="1">
        <v>1204</v>
      </c>
      <c r="B917" s="1">
        <v>129</v>
      </c>
      <c r="C917" s="1">
        <v>300</v>
      </c>
    </row>
    <row r="918" spans="1:3" x14ac:dyDescent="0.25">
      <c r="A918" s="1">
        <v>1205</v>
      </c>
      <c r="B918" s="1">
        <v>129</v>
      </c>
      <c r="C918" s="1">
        <v>300</v>
      </c>
    </row>
    <row r="919" spans="1:3" x14ac:dyDescent="0.25">
      <c r="A919" s="1">
        <v>1206</v>
      </c>
      <c r="B919" s="1">
        <v>129</v>
      </c>
      <c r="C919" s="1">
        <v>300</v>
      </c>
    </row>
    <row r="920" spans="1:3" x14ac:dyDescent="0.25">
      <c r="A920" s="1">
        <v>1207</v>
      </c>
      <c r="B920" s="1">
        <v>129</v>
      </c>
      <c r="C920" s="1">
        <v>300</v>
      </c>
    </row>
    <row r="921" spans="1:3" x14ac:dyDescent="0.25">
      <c r="A921" s="1">
        <v>1208</v>
      </c>
      <c r="B921" s="1">
        <v>129</v>
      </c>
      <c r="C921" s="1">
        <v>300</v>
      </c>
    </row>
    <row r="922" spans="1:3" x14ac:dyDescent="0.25">
      <c r="A922" s="1">
        <v>1209</v>
      </c>
      <c r="B922" s="1">
        <v>129</v>
      </c>
      <c r="C922" s="1">
        <v>300</v>
      </c>
    </row>
    <row r="923" spans="1:3" x14ac:dyDescent="0.25">
      <c r="A923" s="1">
        <v>1210</v>
      </c>
      <c r="B923" s="1">
        <v>129</v>
      </c>
      <c r="C923" s="1">
        <v>300</v>
      </c>
    </row>
    <row r="924" spans="1:3" x14ac:dyDescent="0.25">
      <c r="A924" s="1">
        <v>1211</v>
      </c>
      <c r="B924" s="1">
        <v>129</v>
      </c>
      <c r="C924" s="1">
        <v>300</v>
      </c>
    </row>
    <row r="925" spans="1:3" x14ac:dyDescent="0.25">
      <c r="A925" s="1">
        <v>1212</v>
      </c>
      <c r="B925" s="1">
        <v>129</v>
      </c>
      <c r="C925" s="1">
        <v>300</v>
      </c>
    </row>
    <row r="926" spans="1:3" x14ac:dyDescent="0.25">
      <c r="A926" s="1">
        <v>1213</v>
      </c>
      <c r="B926" s="1">
        <v>129</v>
      </c>
      <c r="C926" s="1">
        <v>300</v>
      </c>
    </row>
    <row r="927" spans="1:3" x14ac:dyDescent="0.25">
      <c r="A927" s="1">
        <v>1214</v>
      </c>
      <c r="B927" s="1">
        <v>130</v>
      </c>
      <c r="C927" s="1">
        <v>300</v>
      </c>
    </row>
    <row r="928" spans="1:3" x14ac:dyDescent="0.25">
      <c r="A928" s="1">
        <v>1215</v>
      </c>
      <c r="B928" s="1">
        <v>130</v>
      </c>
      <c r="C928" s="1">
        <v>300</v>
      </c>
    </row>
    <row r="929" spans="1:3" x14ac:dyDescent="0.25">
      <c r="A929" s="1">
        <v>1216</v>
      </c>
      <c r="B929" s="1">
        <v>130</v>
      </c>
      <c r="C929" s="1">
        <v>300</v>
      </c>
    </row>
    <row r="930" spans="1:3" x14ac:dyDescent="0.25">
      <c r="A930" s="1">
        <v>1217</v>
      </c>
      <c r="B930" s="1">
        <v>130</v>
      </c>
      <c r="C930" s="1">
        <v>300</v>
      </c>
    </row>
    <row r="931" spans="1:3" x14ac:dyDescent="0.25">
      <c r="A931" s="1">
        <v>1218</v>
      </c>
      <c r="B931" s="1">
        <v>130</v>
      </c>
      <c r="C931" s="1">
        <v>300</v>
      </c>
    </row>
    <row r="932" spans="1:3" x14ac:dyDescent="0.25">
      <c r="A932" s="1">
        <v>1219</v>
      </c>
      <c r="B932" s="1">
        <v>130</v>
      </c>
      <c r="C932" s="1">
        <v>300</v>
      </c>
    </row>
    <row r="933" spans="1:3" x14ac:dyDescent="0.25">
      <c r="A933" s="1">
        <v>1220</v>
      </c>
      <c r="B933" s="1">
        <v>130</v>
      </c>
      <c r="C933" s="1">
        <v>300</v>
      </c>
    </row>
    <row r="934" spans="1:3" x14ac:dyDescent="0.25">
      <c r="A934" s="1">
        <v>1221</v>
      </c>
      <c r="B934" s="1">
        <v>130</v>
      </c>
      <c r="C934" s="1">
        <v>300</v>
      </c>
    </row>
    <row r="935" spans="1:3" x14ac:dyDescent="0.25">
      <c r="A935" s="1">
        <v>1222</v>
      </c>
      <c r="B935" s="1">
        <v>130</v>
      </c>
      <c r="C935" s="1">
        <v>300</v>
      </c>
    </row>
    <row r="936" spans="1:3" x14ac:dyDescent="0.25">
      <c r="A936" s="1">
        <v>1223</v>
      </c>
      <c r="B936" s="1">
        <v>130</v>
      </c>
      <c r="C936" s="1">
        <v>300</v>
      </c>
    </row>
    <row r="937" spans="1:3" x14ac:dyDescent="0.25">
      <c r="A937" s="1">
        <v>1224</v>
      </c>
      <c r="B937" s="1">
        <v>130</v>
      </c>
      <c r="C937" s="1">
        <v>300</v>
      </c>
    </row>
    <row r="938" spans="1:3" x14ac:dyDescent="0.25">
      <c r="A938" s="1">
        <v>1225</v>
      </c>
      <c r="B938" s="1">
        <v>130</v>
      </c>
      <c r="C938" s="1">
        <v>300</v>
      </c>
    </row>
    <row r="939" spans="1:3" x14ac:dyDescent="0.25">
      <c r="A939" s="1">
        <v>1226</v>
      </c>
      <c r="B939" s="1">
        <v>130</v>
      </c>
      <c r="C939" s="1">
        <v>300</v>
      </c>
    </row>
    <row r="940" spans="1:3" x14ac:dyDescent="0.25">
      <c r="A940" s="1">
        <v>1227</v>
      </c>
      <c r="B940" s="1">
        <v>130</v>
      </c>
      <c r="C940" s="1">
        <v>300</v>
      </c>
    </row>
    <row r="941" spans="1:3" x14ac:dyDescent="0.25">
      <c r="A941" s="1">
        <v>1228</v>
      </c>
      <c r="B941" s="1">
        <v>130</v>
      </c>
      <c r="C941" s="1">
        <v>300</v>
      </c>
    </row>
    <row r="942" spans="1:3" x14ac:dyDescent="0.25">
      <c r="A942" s="1">
        <v>1229</v>
      </c>
      <c r="B942" s="1">
        <v>130</v>
      </c>
      <c r="C942" s="1">
        <v>300</v>
      </c>
    </row>
    <row r="943" spans="1:3" x14ac:dyDescent="0.25">
      <c r="A943" s="1">
        <v>1230</v>
      </c>
      <c r="B943" s="1">
        <v>130</v>
      </c>
      <c r="C943" s="1">
        <v>300</v>
      </c>
    </row>
    <row r="944" spans="1:3" x14ac:dyDescent="0.25">
      <c r="A944" s="1">
        <v>1231</v>
      </c>
      <c r="B944" s="1">
        <v>130</v>
      </c>
      <c r="C944" s="1">
        <v>300</v>
      </c>
    </row>
    <row r="945" spans="1:3" x14ac:dyDescent="0.25">
      <c r="A945" s="1">
        <v>1232</v>
      </c>
      <c r="B945" s="1">
        <v>130</v>
      </c>
      <c r="C945" s="1">
        <v>300</v>
      </c>
    </row>
    <row r="946" spans="1:3" x14ac:dyDescent="0.25">
      <c r="A946" s="1">
        <v>1233</v>
      </c>
      <c r="B946" s="1">
        <v>130</v>
      </c>
      <c r="C946" s="1">
        <v>300</v>
      </c>
    </row>
    <row r="947" spans="1:3" x14ac:dyDescent="0.25">
      <c r="A947" s="1">
        <v>1234</v>
      </c>
      <c r="B947" s="1">
        <v>130</v>
      </c>
      <c r="C947" s="1">
        <v>300</v>
      </c>
    </row>
    <row r="948" spans="1:3" x14ac:dyDescent="0.25">
      <c r="A948" s="1">
        <v>1235</v>
      </c>
      <c r="B948" s="1">
        <v>130</v>
      </c>
      <c r="C948" s="1">
        <v>300</v>
      </c>
    </row>
    <row r="949" spans="1:3" x14ac:dyDescent="0.25">
      <c r="A949" s="1">
        <v>1236</v>
      </c>
      <c r="B949" s="1">
        <v>130</v>
      </c>
      <c r="C949" s="1">
        <v>300</v>
      </c>
    </row>
    <row r="950" spans="1:3" x14ac:dyDescent="0.25">
      <c r="A950" s="1">
        <v>1237</v>
      </c>
      <c r="B950" s="1">
        <v>130</v>
      </c>
      <c r="C950" s="1">
        <v>100</v>
      </c>
    </row>
    <row r="951" spans="1:3" x14ac:dyDescent="0.25">
      <c r="A951" s="1">
        <v>1238</v>
      </c>
      <c r="B951" s="1">
        <v>131</v>
      </c>
      <c r="C951" s="1">
        <v>50</v>
      </c>
    </row>
    <row r="952" spans="1:3" x14ac:dyDescent="0.25">
      <c r="A952" s="1">
        <v>1240</v>
      </c>
      <c r="B952" s="1">
        <v>132</v>
      </c>
      <c r="C952" s="1">
        <v>500</v>
      </c>
    </row>
    <row r="953" spans="1:3" x14ac:dyDescent="0.25">
      <c r="A953" s="1">
        <v>1241</v>
      </c>
      <c r="B953" s="1">
        <v>132</v>
      </c>
      <c r="C953" s="1">
        <v>500</v>
      </c>
    </row>
    <row r="954" spans="1:3" x14ac:dyDescent="0.25">
      <c r="A954" s="1">
        <v>1242</v>
      </c>
      <c r="B954" s="1">
        <v>132</v>
      </c>
      <c r="C954" s="1">
        <v>500</v>
      </c>
    </row>
    <row r="955" spans="1:3" x14ac:dyDescent="0.25">
      <c r="A955" s="1">
        <v>1243</v>
      </c>
      <c r="B955" s="1">
        <v>132</v>
      </c>
      <c r="C955" s="1">
        <v>500</v>
      </c>
    </row>
    <row r="956" spans="1:3" x14ac:dyDescent="0.25">
      <c r="A956" s="1">
        <v>1244</v>
      </c>
      <c r="B956" s="1">
        <v>132</v>
      </c>
      <c r="C956" s="1">
        <v>500</v>
      </c>
    </row>
    <row r="957" spans="1:3" x14ac:dyDescent="0.25">
      <c r="A957" s="1">
        <v>1245</v>
      </c>
      <c r="B957" s="1">
        <v>132</v>
      </c>
      <c r="C957" s="1">
        <v>500</v>
      </c>
    </row>
    <row r="958" spans="1:3" x14ac:dyDescent="0.25">
      <c r="A958" s="1">
        <v>1246</v>
      </c>
      <c r="B958" s="1">
        <v>132</v>
      </c>
      <c r="C958" s="1">
        <v>500</v>
      </c>
    </row>
    <row r="959" spans="1:3" x14ac:dyDescent="0.25">
      <c r="A959" s="1">
        <v>1247</v>
      </c>
      <c r="B959" s="1">
        <v>132</v>
      </c>
      <c r="C959" s="1">
        <v>500</v>
      </c>
    </row>
    <row r="960" spans="1:3" x14ac:dyDescent="0.25">
      <c r="A960" s="1">
        <v>1248</v>
      </c>
      <c r="B960" s="1">
        <v>132</v>
      </c>
      <c r="C960" s="1">
        <v>500</v>
      </c>
    </row>
    <row r="961" spans="1:3" x14ac:dyDescent="0.25">
      <c r="A961" s="1">
        <v>1249</v>
      </c>
      <c r="B961" s="1">
        <v>132</v>
      </c>
      <c r="C961" s="1">
        <v>500</v>
      </c>
    </row>
    <row r="962" spans="1:3" x14ac:dyDescent="0.25">
      <c r="A962" s="1">
        <v>1250</v>
      </c>
      <c r="B962" s="1">
        <v>132</v>
      </c>
      <c r="C962" s="1">
        <v>500</v>
      </c>
    </row>
    <row r="963" spans="1:3" x14ac:dyDescent="0.25">
      <c r="A963" s="1">
        <v>1251</v>
      </c>
      <c r="B963" s="1">
        <v>132</v>
      </c>
      <c r="C963" s="1">
        <v>500</v>
      </c>
    </row>
    <row r="964" spans="1:3" x14ac:dyDescent="0.25">
      <c r="A964" s="1">
        <v>1252</v>
      </c>
      <c r="B964" s="1">
        <v>132</v>
      </c>
      <c r="C964" s="1">
        <v>500</v>
      </c>
    </row>
    <row r="965" spans="1:3" x14ac:dyDescent="0.25">
      <c r="A965" s="1">
        <v>1253</v>
      </c>
      <c r="B965" s="1">
        <v>132</v>
      </c>
      <c r="C965" s="1">
        <v>500</v>
      </c>
    </row>
    <row r="966" spans="1:3" x14ac:dyDescent="0.25">
      <c r="A966" s="1">
        <v>1254</v>
      </c>
      <c r="B966" s="1">
        <v>133</v>
      </c>
      <c r="C966" s="1">
        <v>300</v>
      </c>
    </row>
    <row r="967" spans="1:3" x14ac:dyDescent="0.25">
      <c r="A967" s="1">
        <v>1255</v>
      </c>
      <c r="B967" s="1">
        <v>133</v>
      </c>
      <c r="C967" s="1">
        <v>300</v>
      </c>
    </row>
    <row r="968" spans="1:3" x14ac:dyDescent="0.25">
      <c r="A968" s="1">
        <v>1256</v>
      </c>
      <c r="B968" s="1">
        <v>133</v>
      </c>
      <c r="C968" s="1">
        <v>300</v>
      </c>
    </row>
    <row r="969" spans="1:3" x14ac:dyDescent="0.25">
      <c r="A969" s="1">
        <v>1257</v>
      </c>
      <c r="B969" s="1">
        <v>133</v>
      </c>
      <c r="C969" s="1">
        <v>300</v>
      </c>
    </row>
    <row r="970" spans="1:3" x14ac:dyDescent="0.25">
      <c r="A970" s="1">
        <v>1258</v>
      </c>
      <c r="B970" s="1">
        <v>133</v>
      </c>
      <c r="C970" s="1">
        <v>300</v>
      </c>
    </row>
    <row r="971" spans="1:3" x14ac:dyDescent="0.25">
      <c r="A971" s="1">
        <v>1259</v>
      </c>
      <c r="B971" s="1">
        <v>134</v>
      </c>
      <c r="C971" s="1">
        <v>300</v>
      </c>
    </row>
    <row r="972" spans="1:3" x14ac:dyDescent="0.25">
      <c r="A972" s="1">
        <v>1260</v>
      </c>
      <c r="B972" s="1">
        <v>134</v>
      </c>
      <c r="C972" s="1">
        <v>300</v>
      </c>
    </row>
    <row r="973" spans="1:3" x14ac:dyDescent="0.25">
      <c r="A973" s="1">
        <v>1261</v>
      </c>
      <c r="B973" s="1">
        <v>134</v>
      </c>
      <c r="C973" s="1">
        <v>300</v>
      </c>
    </row>
    <row r="974" spans="1:3" x14ac:dyDescent="0.25">
      <c r="A974" s="1">
        <v>1262</v>
      </c>
      <c r="B974" s="1">
        <v>134</v>
      </c>
      <c r="C974" s="1">
        <v>300</v>
      </c>
    </row>
    <row r="975" spans="1:3" x14ac:dyDescent="0.25">
      <c r="A975" s="1">
        <v>1263</v>
      </c>
      <c r="B975" s="1">
        <v>134</v>
      </c>
      <c r="C975" s="1">
        <v>300</v>
      </c>
    </row>
    <row r="976" spans="1:3" x14ac:dyDescent="0.25">
      <c r="A976" s="1">
        <v>1264</v>
      </c>
      <c r="B976" s="1">
        <v>134</v>
      </c>
      <c r="C976" s="1">
        <v>300</v>
      </c>
    </row>
    <row r="977" spans="1:3" x14ac:dyDescent="0.25">
      <c r="A977" s="1">
        <v>1265</v>
      </c>
      <c r="B977" s="1">
        <v>134</v>
      </c>
      <c r="C977" s="1">
        <v>300</v>
      </c>
    </row>
    <row r="978" spans="1:3" x14ac:dyDescent="0.25">
      <c r="A978" s="1">
        <v>1266</v>
      </c>
      <c r="B978" s="1">
        <v>134</v>
      </c>
      <c r="C978" s="1">
        <v>300</v>
      </c>
    </row>
    <row r="979" spans="1:3" x14ac:dyDescent="0.25">
      <c r="A979" s="1">
        <v>1267</v>
      </c>
      <c r="B979" s="1">
        <v>134</v>
      </c>
      <c r="C979" s="1">
        <v>300</v>
      </c>
    </row>
    <row r="980" spans="1:3" x14ac:dyDescent="0.25">
      <c r="A980" s="1">
        <v>1268</v>
      </c>
      <c r="B980" s="1">
        <v>134</v>
      </c>
      <c r="C980" s="1">
        <v>300</v>
      </c>
    </row>
    <row r="981" spans="1:3" x14ac:dyDescent="0.25">
      <c r="A981" s="1">
        <v>1269</v>
      </c>
      <c r="B981" s="1">
        <v>134</v>
      </c>
      <c r="C981" s="1">
        <v>300</v>
      </c>
    </row>
    <row r="982" spans="1:3" x14ac:dyDescent="0.25">
      <c r="A982" s="1">
        <v>1270</v>
      </c>
      <c r="B982" s="1">
        <v>134</v>
      </c>
      <c r="C982" s="1">
        <v>300</v>
      </c>
    </row>
    <row r="983" spans="1:3" x14ac:dyDescent="0.25">
      <c r="A983" s="1">
        <v>1271</v>
      </c>
      <c r="B983" s="1">
        <v>134</v>
      </c>
      <c r="C983" s="1">
        <v>300</v>
      </c>
    </row>
    <row r="984" spans="1:3" x14ac:dyDescent="0.25">
      <c r="A984" s="1">
        <v>1272</v>
      </c>
      <c r="B984" s="1">
        <v>134</v>
      </c>
      <c r="C984" s="1">
        <v>300</v>
      </c>
    </row>
    <row r="985" spans="1:3" x14ac:dyDescent="0.25">
      <c r="A985" s="1">
        <v>1273</v>
      </c>
      <c r="B985" s="1">
        <v>134</v>
      </c>
      <c r="C985" s="1">
        <v>300</v>
      </c>
    </row>
    <row r="986" spans="1:3" x14ac:dyDescent="0.25">
      <c r="A986" s="1">
        <v>1274</v>
      </c>
      <c r="B986" s="1">
        <v>134</v>
      </c>
      <c r="C986" s="1">
        <v>300</v>
      </c>
    </row>
    <row r="987" spans="1:3" x14ac:dyDescent="0.25">
      <c r="A987" s="1">
        <v>1275</v>
      </c>
      <c r="B987" s="1">
        <v>134</v>
      </c>
      <c r="C987" s="1">
        <v>300</v>
      </c>
    </row>
    <row r="988" spans="1:3" x14ac:dyDescent="0.25">
      <c r="A988" s="1">
        <v>1276</v>
      </c>
      <c r="B988" s="1">
        <v>134</v>
      </c>
      <c r="C988" s="1">
        <v>300</v>
      </c>
    </row>
    <row r="989" spans="1:3" x14ac:dyDescent="0.25">
      <c r="A989" s="1">
        <v>1277</v>
      </c>
      <c r="B989" s="1">
        <v>134</v>
      </c>
      <c r="C989" s="1">
        <v>300</v>
      </c>
    </row>
    <row r="990" spans="1:3" x14ac:dyDescent="0.25">
      <c r="A990" s="1">
        <v>1278</v>
      </c>
      <c r="B990" s="1">
        <v>134</v>
      </c>
      <c r="C990" s="1">
        <v>300</v>
      </c>
    </row>
    <row r="991" spans="1:3" x14ac:dyDescent="0.25">
      <c r="A991" s="1">
        <v>1279</v>
      </c>
      <c r="B991" s="1">
        <v>135</v>
      </c>
      <c r="C991" s="1">
        <v>100</v>
      </c>
    </row>
    <row r="992" spans="1:3" x14ac:dyDescent="0.25">
      <c r="A992" s="1">
        <v>1284</v>
      </c>
      <c r="B992" s="1">
        <v>136</v>
      </c>
      <c r="C992" s="1">
        <v>300</v>
      </c>
    </row>
    <row r="993" spans="1:3" x14ac:dyDescent="0.25">
      <c r="A993" s="1">
        <v>1285</v>
      </c>
      <c r="B993" s="1">
        <v>136</v>
      </c>
      <c r="C993" s="1">
        <v>300</v>
      </c>
    </row>
    <row r="994" spans="1:3" x14ac:dyDescent="0.25">
      <c r="A994" s="1">
        <v>1286</v>
      </c>
      <c r="B994" s="1">
        <v>136</v>
      </c>
      <c r="C994" s="1">
        <v>300</v>
      </c>
    </row>
    <row r="995" spans="1:3" x14ac:dyDescent="0.25">
      <c r="A995" s="1">
        <v>1287</v>
      </c>
      <c r="B995" s="1">
        <v>136</v>
      </c>
      <c r="C995" s="1">
        <v>300</v>
      </c>
    </row>
    <row r="996" spans="1:3" x14ac:dyDescent="0.25">
      <c r="A996" s="1">
        <v>1288</v>
      </c>
      <c r="B996" s="1">
        <v>136</v>
      </c>
      <c r="C996" s="1">
        <v>300</v>
      </c>
    </row>
    <row r="997" spans="1:3" x14ac:dyDescent="0.25">
      <c r="A997" s="1">
        <v>1289</v>
      </c>
      <c r="B997" s="1">
        <v>136</v>
      </c>
      <c r="C997" s="1">
        <v>300</v>
      </c>
    </row>
    <row r="998" spans="1:3" x14ac:dyDescent="0.25">
      <c r="A998" s="1">
        <v>1290</v>
      </c>
      <c r="B998" s="1">
        <v>136</v>
      </c>
      <c r="C998" s="1">
        <v>300</v>
      </c>
    </row>
    <row r="999" spans="1:3" x14ac:dyDescent="0.25">
      <c r="A999" s="1">
        <v>1291</v>
      </c>
      <c r="B999" s="1">
        <v>136</v>
      </c>
      <c r="C999" s="1">
        <v>300</v>
      </c>
    </row>
    <row r="1000" spans="1:3" x14ac:dyDescent="0.25">
      <c r="A1000" s="1">
        <v>1292</v>
      </c>
      <c r="B1000" s="1">
        <v>136</v>
      </c>
      <c r="C1000" s="1">
        <v>300</v>
      </c>
    </row>
    <row r="1001" spans="1:3" x14ac:dyDescent="0.25">
      <c r="A1001" s="1">
        <v>1293</v>
      </c>
      <c r="B1001" s="1">
        <v>136</v>
      </c>
      <c r="C1001" s="1">
        <v>300</v>
      </c>
    </row>
    <row r="1002" spans="1:3" x14ac:dyDescent="0.25">
      <c r="A1002" s="1">
        <v>1294</v>
      </c>
      <c r="B1002" s="1">
        <v>137</v>
      </c>
      <c r="C1002" s="1">
        <v>300</v>
      </c>
    </row>
    <row r="1003" spans="1:3" x14ac:dyDescent="0.25">
      <c r="A1003" s="1">
        <v>1295</v>
      </c>
      <c r="B1003" s="1">
        <v>137</v>
      </c>
      <c r="C1003" s="1">
        <v>300</v>
      </c>
    </row>
    <row r="1004" spans="1:3" x14ac:dyDescent="0.25">
      <c r="A1004" s="1">
        <v>1296</v>
      </c>
      <c r="B1004" s="1">
        <v>137</v>
      </c>
      <c r="C1004" s="1">
        <v>300</v>
      </c>
    </row>
    <row r="1005" spans="1:3" x14ac:dyDescent="0.25">
      <c r="A1005" s="1">
        <v>1297</v>
      </c>
      <c r="B1005" s="1">
        <v>137</v>
      </c>
      <c r="C1005" s="1">
        <v>300</v>
      </c>
    </row>
    <row r="1006" spans="1:3" x14ac:dyDescent="0.25">
      <c r="A1006" s="1">
        <v>1298</v>
      </c>
      <c r="B1006" s="1">
        <v>137</v>
      </c>
      <c r="C1006" s="1">
        <v>300</v>
      </c>
    </row>
    <row r="1007" spans="1:3" x14ac:dyDescent="0.25">
      <c r="A1007" s="1">
        <v>1299</v>
      </c>
      <c r="B1007" s="1">
        <v>137</v>
      </c>
      <c r="C1007" s="1">
        <v>300</v>
      </c>
    </row>
    <row r="1008" spans="1:3" x14ac:dyDescent="0.25">
      <c r="A1008" s="1">
        <v>1300</v>
      </c>
      <c r="B1008" s="1">
        <v>137</v>
      </c>
      <c r="C1008" s="1">
        <v>300</v>
      </c>
    </row>
    <row r="1009" spans="1:3" x14ac:dyDescent="0.25">
      <c r="A1009" s="1">
        <v>1301</v>
      </c>
      <c r="B1009" s="1">
        <v>137</v>
      </c>
      <c r="C1009" s="1">
        <v>300</v>
      </c>
    </row>
    <row r="1010" spans="1:3" x14ac:dyDescent="0.25">
      <c r="A1010" s="1">
        <v>1302</v>
      </c>
      <c r="B1010" s="1">
        <v>137</v>
      </c>
      <c r="C1010" s="1">
        <v>300</v>
      </c>
    </row>
    <row r="1011" spans="1:3" x14ac:dyDescent="0.25">
      <c r="A1011" s="1">
        <v>1303</v>
      </c>
      <c r="B1011" s="1">
        <v>137</v>
      </c>
      <c r="C1011" s="1">
        <v>300</v>
      </c>
    </row>
    <row r="1012" spans="1:3" x14ac:dyDescent="0.25">
      <c r="A1012" s="1">
        <v>1304</v>
      </c>
      <c r="B1012" s="1">
        <v>138</v>
      </c>
      <c r="C1012" s="1">
        <v>300</v>
      </c>
    </row>
    <row r="1013" spans="1:3" x14ac:dyDescent="0.25">
      <c r="A1013" s="1">
        <v>1305</v>
      </c>
      <c r="B1013" s="1">
        <v>138</v>
      </c>
      <c r="C1013" s="1">
        <v>300</v>
      </c>
    </row>
    <row r="1014" spans="1:3" x14ac:dyDescent="0.25">
      <c r="A1014" s="1">
        <v>1306</v>
      </c>
      <c r="B1014" s="1">
        <v>138</v>
      </c>
      <c r="C1014" s="1">
        <v>300</v>
      </c>
    </row>
    <row r="1015" spans="1:3" x14ac:dyDescent="0.25">
      <c r="A1015" s="1">
        <v>1307</v>
      </c>
      <c r="B1015" s="1">
        <v>138</v>
      </c>
      <c r="C1015" s="1">
        <v>300</v>
      </c>
    </row>
    <row r="1016" spans="1:3" x14ac:dyDescent="0.25">
      <c r="A1016" s="1">
        <v>1308</v>
      </c>
      <c r="B1016" s="1">
        <v>138</v>
      </c>
      <c r="C1016" s="1">
        <v>300</v>
      </c>
    </row>
    <row r="1017" spans="1:3" x14ac:dyDescent="0.25">
      <c r="A1017" s="1">
        <v>1309</v>
      </c>
      <c r="B1017" s="1">
        <v>138</v>
      </c>
      <c r="C1017" s="1">
        <v>300</v>
      </c>
    </row>
    <row r="1018" spans="1:3" x14ac:dyDescent="0.25">
      <c r="A1018" s="1">
        <v>1310</v>
      </c>
      <c r="B1018" s="1">
        <v>138</v>
      </c>
      <c r="C1018" s="1">
        <v>300</v>
      </c>
    </row>
    <row r="1019" spans="1:3" x14ac:dyDescent="0.25">
      <c r="A1019" s="1">
        <v>1311</v>
      </c>
      <c r="B1019" s="1">
        <v>138</v>
      </c>
      <c r="C1019" s="1">
        <v>300</v>
      </c>
    </row>
    <row r="1020" spans="1:3" x14ac:dyDescent="0.25">
      <c r="A1020" s="1">
        <v>1312</v>
      </c>
      <c r="B1020" s="1">
        <v>138</v>
      </c>
      <c r="C1020" s="1">
        <v>300</v>
      </c>
    </row>
    <row r="1021" spans="1:3" x14ac:dyDescent="0.25">
      <c r="A1021" s="1">
        <v>1313</v>
      </c>
      <c r="B1021" s="1">
        <v>138</v>
      </c>
      <c r="C1021" s="1">
        <v>300</v>
      </c>
    </row>
    <row r="1022" spans="1:3" x14ac:dyDescent="0.25">
      <c r="A1022" s="1">
        <v>1314</v>
      </c>
      <c r="B1022" s="1">
        <v>139</v>
      </c>
      <c r="C1022" s="1">
        <v>300</v>
      </c>
    </row>
    <row r="1023" spans="1:3" x14ac:dyDescent="0.25">
      <c r="A1023" s="1">
        <v>1315</v>
      </c>
      <c r="B1023" s="1">
        <v>139</v>
      </c>
      <c r="C1023" s="1">
        <v>300</v>
      </c>
    </row>
    <row r="1024" spans="1:3" x14ac:dyDescent="0.25">
      <c r="A1024" s="1">
        <v>1316</v>
      </c>
      <c r="B1024" s="1">
        <v>139</v>
      </c>
      <c r="C1024" s="1">
        <v>300</v>
      </c>
    </row>
    <row r="1025" spans="1:3" x14ac:dyDescent="0.25">
      <c r="A1025" s="1">
        <v>1317</v>
      </c>
      <c r="B1025" s="1">
        <v>139</v>
      </c>
      <c r="C1025" s="1">
        <v>300</v>
      </c>
    </row>
    <row r="1026" spans="1:3" x14ac:dyDescent="0.25">
      <c r="A1026" s="1">
        <v>1318</v>
      </c>
      <c r="B1026" s="1">
        <v>139</v>
      </c>
      <c r="C1026" s="1">
        <v>300</v>
      </c>
    </row>
    <row r="1027" spans="1:3" x14ac:dyDescent="0.25">
      <c r="A1027" s="1">
        <v>1319</v>
      </c>
      <c r="B1027" s="1">
        <v>139</v>
      </c>
      <c r="C1027" s="1">
        <v>300</v>
      </c>
    </row>
    <row r="1028" spans="1:3" x14ac:dyDescent="0.25">
      <c r="A1028" s="1">
        <v>1320</v>
      </c>
      <c r="B1028" s="1">
        <v>139</v>
      </c>
      <c r="C1028" s="1">
        <v>300</v>
      </c>
    </row>
    <row r="1029" spans="1:3" x14ac:dyDescent="0.25">
      <c r="A1029" s="1">
        <v>1321</v>
      </c>
      <c r="B1029" s="1">
        <v>139</v>
      </c>
      <c r="C1029" s="1">
        <v>300</v>
      </c>
    </row>
    <row r="1030" spans="1:3" x14ac:dyDescent="0.25">
      <c r="A1030" s="1">
        <v>1322</v>
      </c>
      <c r="B1030" s="1">
        <v>139</v>
      </c>
      <c r="C1030" s="1">
        <v>300</v>
      </c>
    </row>
    <row r="1031" spans="1:3" x14ac:dyDescent="0.25">
      <c r="A1031" s="1">
        <v>1323</v>
      </c>
      <c r="B1031" s="1">
        <v>139</v>
      </c>
      <c r="C1031" s="1">
        <v>300</v>
      </c>
    </row>
    <row r="1032" spans="1:3" x14ac:dyDescent="0.25">
      <c r="A1032" s="1">
        <v>1324</v>
      </c>
      <c r="B1032" s="1">
        <v>139</v>
      </c>
      <c r="C1032" s="1">
        <v>300</v>
      </c>
    </row>
    <row r="1033" spans="1:3" x14ac:dyDescent="0.25">
      <c r="A1033" s="1">
        <v>1325</v>
      </c>
      <c r="B1033" s="1">
        <v>139</v>
      </c>
      <c r="C1033" s="1">
        <v>300</v>
      </c>
    </row>
    <row r="1034" spans="1:3" x14ac:dyDescent="0.25">
      <c r="A1034" s="1">
        <v>1326</v>
      </c>
      <c r="B1034" s="1">
        <v>139</v>
      </c>
      <c r="C1034" s="1">
        <v>300</v>
      </c>
    </row>
    <row r="1035" spans="1:3" x14ac:dyDescent="0.25">
      <c r="A1035" s="1">
        <v>1327</v>
      </c>
      <c r="B1035" s="1">
        <v>139</v>
      </c>
      <c r="C1035" s="1">
        <v>300</v>
      </c>
    </row>
    <row r="1036" spans="1:3" x14ac:dyDescent="0.25">
      <c r="A1036" s="1">
        <v>1328</v>
      </c>
      <c r="B1036" s="1">
        <v>139</v>
      </c>
      <c r="C1036" s="1">
        <v>300</v>
      </c>
    </row>
    <row r="1037" spans="1:3" x14ac:dyDescent="0.25">
      <c r="A1037" s="1">
        <v>1329</v>
      </c>
      <c r="B1037" s="1">
        <v>139</v>
      </c>
      <c r="C1037" s="1">
        <v>300</v>
      </c>
    </row>
    <row r="1038" spans="1:3" x14ac:dyDescent="0.25">
      <c r="A1038" s="1">
        <v>1330</v>
      </c>
      <c r="B1038" s="1">
        <v>139</v>
      </c>
      <c r="C1038" s="1">
        <v>300</v>
      </c>
    </row>
    <row r="1039" spans="1:3" x14ac:dyDescent="0.25">
      <c r="A1039" s="1">
        <v>1331</v>
      </c>
      <c r="B1039" s="1">
        <v>139</v>
      </c>
      <c r="C1039" s="1">
        <v>300</v>
      </c>
    </row>
    <row r="1040" spans="1:3" x14ac:dyDescent="0.25">
      <c r="A1040" s="1">
        <v>1332</v>
      </c>
      <c r="B1040" s="1">
        <v>139</v>
      </c>
      <c r="C1040" s="1">
        <v>300</v>
      </c>
    </row>
    <row r="1041" spans="1:3" x14ac:dyDescent="0.25">
      <c r="A1041" s="1">
        <v>1333</v>
      </c>
      <c r="B1041" s="1">
        <v>139</v>
      </c>
      <c r="C1041" s="1">
        <v>300</v>
      </c>
    </row>
    <row r="1042" spans="1:3" x14ac:dyDescent="0.25">
      <c r="A1042" s="1">
        <v>1334</v>
      </c>
      <c r="B1042" s="1">
        <v>139</v>
      </c>
      <c r="C1042" s="1">
        <v>300</v>
      </c>
    </row>
    <row r="1043" spans="1:3" x14ac:dyDescent="0.25">
      <c r="A1043" s="1">
        <v>1335</v>
      </c>
      <c r="B1043" s="1">
        <v>139</v>
      </c>
      <c r="C1043" s="1">
        <v>300</v>
      </c>
    </row>
    <row r="1044" spans="1:3" x14ac:dyDescent="0.25">
      <c r="A1044" s="1">
        <v>1336</v>
      </c>
      <c r="B1044" s="1">
        <v>139</v>
      </c>
      <c r="C1044" s="1">
        <v>300</v>
      </c>
    </row>
    <row r="1045" spans="1:3" x14ac:dyDescent="0.25">
      <c r="A1045" s="1">
        <v>1337</v>
      </c>
      <c r="B1045" s="1">
        <v>139</v>
      </c>
      <c r="C1045" s="1">
        <v>100</v>
      </c>
    </row>
    <row r="1046" spans="1:3" x14ac:dyDescent="0.25">
      <c r="A1046" s="1">
        <v>1338</v>
      </c>
      <c r="B1046" s="1">
        <v>140</v>
      </c>
      <c r="C1046" s="1">
        <v>100</v>
      </c>
    </row>
    <row r="1047" spans="1:3" x14ac:dyDescent="0.25">
      <c r="A1047" s="1">
        <v>1339</v>
      </c>
      <c r="B1047" s="1">
        <v>141</v>
      </c>
      <c r="C1047" s="1">
        <v>300</v>
      </c>
    </row>
    <row r="1048" spans="1:3" x14ac:dyDescent="0.25">
      <c r="A1048" s="1">
        <v>1342</v>
      </c>
      <c r="B1048" s="1">
        <v>142</v>
      </c>
      <c r="C1048" s="1">
        <v>300</v>
      </c>
    </row>
    <row r="1049" spans="1:3" x14ac:dyDescent="0.25">
      <c r="A1049" s="1">
        <v>1343</v>
      </c>
      <c r="B1049" s="1">
        <v>142</v>
      </c>
      <c r="C1049" s="1">
        <v>300</v>
      </c>
    </row>
    <row r="1050" spans="1:3" x14ac:dyDescent="0.25">
      <c r="A1050" s="1">
        <v>1344</v>
      </c>
      <c r="B1050" s="1">
        <v>142</v>
      </c>
      <c r="C1050" s="1">
        <v>300</v>
      </c>
    </row>
    <row r="1051" spans="1:3" x14ac:dyDescent="0.25">
      <c r="A1051" s="1">
        <v>1345</v>
      </c>
      <c r="B1051" s="1">
        <v>142</v>
      </c>
      <c r="C1051" s="1">
        <v>300</v>
      </c>
    </row>
    <row r="1052" spans="1:3" x14ac:dyDescent="0.25">
      <c r="A1052" s="1">
        <v>1346</v>
      </c>
      <c r="B1052" s="1">
        <v>142</v>
      </c>
      <c r="C1052" s="1">
        <v>300</v>
      </c>
    </row>
    <row r="1053" spans="1:3" x14ac:dyDescent="0.25">
      <c r="A1053" s="1">
        <v>1347</v>
      </c>
      <c r="B1053" s="1">
        <v>143</v>
      </c>
      <c r="C1053" s="1">
        <v>100</v>
      </c>
    </row>
    <row r="1054" spans="1:3" x14ac:dyDescent="0.25">
      <c r="A1054" s="1">
        <v>1348</v>
      </c>
      <c r="B1054" s="1">
        <v>143</v>
      </c>
      <c r="C1054" s="1">
        <v>100</v>
      </c>
    </row>
    <row r="1055" spans="1:3" x14ac:dyDescent="0.25">
      <c r="A1055" s="1">
        <v>1349</v>
      </c>
      <c r="B1055" s="1">
        <v>143</v>
      </c>
      <c r="C1055" s="1">
        <v>100</v>
      </c>
    </row>
    <row r="1056" spans="1:3" x14ac:dyDescent="0.25">
      <c r="A1056" s="1">
        <v>1350</v>
      </c>
      <c r="B1056" s="1">
        <v>143</v>
      </c>
      <c r="C1056" s="1">
        <v>100</v>
      </c>
    </row>
    <row r="1057" spans="1:3" x14ac:dyDescent="0.25">
      <c r="A1057" s="1">
        <v>1351</v>
      </c>
      <c r="B1057" s="1">
        <v>143</v>
      </c>
      <c r="C1057" s="1">
        <v>100</v>
      </c>
    </row>
    <row r="1058" spans="1:3" x14ac:dyDescent="0.25">
      <c r="A1058" s="1">
        <v>1352</v>
      </c>
      <c r="B1058" s="1">
        <v>144</v>
      </c>
      <c r="C1058" s="1">
        <v>300</v>
      </c>
    </row>
    <row r="1059" spans="1:3" x14ac:dyDescent="0.25">
      <c r="A1059" s="1">
        <v>1353</v>
      </c>
      <c r="B1059" s="1">
        <v>144</v>
      </c>
      <c r="C1059" s="1">
        <v>300</v>
      </c>
    </row>
    <row r="1060" spans="1:3" x14ac:dyDescent="0.25">
      <c r="A1060" s="1">
        <v>1354</v>
      </c>
      <c r="B1060" s="1">
        <v>144</v>
      </c>
      <c r="C1060" s="1">
        <v>300</v>
      </c>
    </row>
    <row r="1061" spans="1:3" x14ac:dyDescent="0.25">
      <c r="A1061" s="1">
        <v>1355</v>
      </c>
      <c r="B1061" s="1">
        <v>144</v>
      </c>
      <c r="C1061" s="1">
        <v>100</v>
      </c>
    </row>
    <row r="1062" spans="1:3" x14ac:dyDescent="0.25">
      <c r="A1062" s="1">
        <v>1356</v>
      </c>
      <c r="B1062" s="1">
        <v>145</v>
      </c>
      <c r="C1062" s="1">
        <v>300</v>
      </c>
    </row>
    <row r="1063" spans="1:3" x14ac:dyDescent="0.25">
      <c r="A1063" s="1">
        <v>1357</v>
      </c>
      <c r="B1063" s="1">
        <v>145</v>
      </c>
      <c r="C1063" s="1">
        <v>300</v>
      </c>
    </row>
    <row r="1064" spans="1:3" x14ac:dyDescent="0.25">
      <c r="A1064" s="1">
        <v>1358</v>
      </c>
      <c r="B1064" s="1">
        <v>145</v>
      </c>
      <c r="C1064" s="1">
        <v>300</v>
      </c>
    </row>
    <row r="1065" spans="1:3" x14ac:dyDescent="0.25">
      <c r="A1065" s="1">
        <v>1359</v>
      </c>
      <c r="B1065" s="1">
        <v>145</v>
      </c>
      <c r="C1065" s="1">
        <v>300</v>
      </c>
    </row>
    <row r="1066" spans="1:3" x14ac:dyDescent="0.25">
      <c r="A1066" s="1">
        <v>1360</v>
      </c>
      <c r="B1066" s="1">
        <v>145</v>
      </c>
      <c r="C1066" s="1">
        <v>300</v>
      </c>
    </row>
    <row r="1067" spans="1:3" x14ac:dyDescent="0.25">
      <c r="A1067" s="1">
        <v>1361</v>
      </c>
      <c r="B1067" s="1">
        <v>145</v>
      </c>
      <c r="C1067" s="1">
        <v>300</v>
      </c>
    </row>
    <row r="1068" spans="1:3" x14ac:dyDescent="0.25">
      <c r="A1068" s="1">
        <v>1362</v>
      </c>
      <c r="B1068" s="1">
        <v>145</v>
      </c>
      <c r="C1068" s="1">
        <v>300</v>
      </c>
    </row>
    <row r="1069" spans="1:3" x14ac:dyDescent="0.25">
      <c r="A1069" s="1">
        <v>1363</v>
      </c>
      <c r="B1069" s="1">
        <v>145</v>
      </c>
      <c r="C1069" s="1">
        <v>300</v>
      </c>
    </row>
    <row r="1070" spans="1:3" x14ac:dyDescent="0.25">
      <c r="A1070" s="1">
        <v>1364</v>
      </c>
      <c r="B1070" s="1">
        <v>145</v>
      </c>
      <c r="C1070" s="1">
        <v>300</v>
      </c>
    </row>
    <row r="1071" spans="1:3" x14ac:dyDescent="0.25">
      <c r="A1071" s="1">
        <v>1365</v>
      </c>
      <c r="B1071" s="1">
        <v>145</v>
      </c>
      <c r="C1071" s="1">
        <v>300</v>
      </c>
    </row>
    <row r="1072" spans="1:3" x14ac:dyDescent="0.25">
      <c r="A1072" s="1">
        <v>1366</v>
      </c>
      <c r="B1072" s="1">
        <v>146</v>
      </c>
      <c r="C1072" s="1">
        <v>300</v>
      </c>
    </row>
    <row r="1073" spans="1:3" x14ac:dyDescent="0.25">
      <c r="A1073" s="1">
        <v>1367</v>
      </c>
      <c r="B1073" s="1">
        <v>146</v>
      </c>
      <c r="C1073" s="1">
        <v>300</v>
      </c>
    </row>
    <row r="1074" spans="1:3" x14ac:dyDescent="0.25">
      <c r="A1074" s="1">
        <v>1368</v>
      </c>
      <c r="B1074" s="1">
        <v>146</v>
      </c>
      <c r="C1074" s="1">
        <v>300</v>
      </c>
    </row>
    <row r="1075" spans="1:3" x14ac:dyDescent="0.25">
      <c r="A1075" s="1">
        <v>1369</v>
      </c>
      <c r="B1075" s="1">
        <v>146</v>
      </c>
      <c r="C1075" s="1">
        <v>300</v>
      </c>
    </row>
    <row r="1076" spans="1:3" x14ac:dyDescent="0.25">
      <c r="A1076" s="1">
        <v>1370</v>
      </c>
      <c r="B1076" s="1">
        <v>146</v>
      </c>
      <c r="C1076" s="1">
        <v>300</v>
      </c>
    </row>
    <row r="1077" spans="1:3" x14ac:dyDescent="0.25">
      <c r="A1077" s="1">
        <v>1371</v>
      </c>
      <c r="B1077" s="1">
        <v>148</v>
      </c>
      <c r="C1077" s="1">
        <v>300</v>
      </c>
    </row>
    <row r="1078" spans="1:3" x14ac:dyDescent="0.25">
      <c r="A1078" s="1">
        <v>1372</v>
      </c>
      <c r="B1078" s="1">
        <v>148</v>
      </c>
      <c r="C1078" s="1">
        <v>300</v>
      </c>
    </row>
    <row r="1079" spans="1:3" x14ac:dyDescent="0.25">
      <c r="A1079" s="1">
        <v>1373</v>
      </c>
      <c r="B1079" s="1">
        <v>148</v>
      </c>
      <c r="C1079" s="1">
        <v>300</v>
      </c>
    </row>
    <row r="1080" spans="1:3" x14ac:dyDescent="0.25">
      <c r="A1080" s="1">
        <v>1374</v>
      </c>
      <c r="B1080" s="1">
        <v>148</v>
      </c>
      <c r="C1080" s="1">
        <v>300</v>
      </c>
    </row>
    <row r="1081" spans="1:3" x14ac:dyDescent="0.25">
      <c r="A1081" s="1">
        <v>1375</v>
      </c>
      <c r="B1081" s="1">
        <v>148</v>
      </c>
      <c r="C1081" s="1">
        <v>300</v>
      </c>
    </row>
    <row r="1082" spans="1:3" x14ac:dyDescent="0.25">
      <c r="A1082" s="1">
        <v>1376</v>
      </c>
      <c r="B1082" s="1">
        <v>148</v>
      </c>
      <c r="C1082" s="1">
        <v>300</v>
      </c>
    </row>
    <row r="1083" spans="1:3" x14ac:dyDescent="0.25">
      <c r="A1083" s="1">
        <v>1377</v>
      </c>
      <c r="B1083" s="1">
        <v>148</v>
      </c>
      <c r="C1083" s="1">
        <v>300</v>
      </c>
    </row>
    <row r="1084" spans="1:3" x14ac:dyDescent="0.25">
      <c r="A1084" s="1">
        <v>1378</v>
      </c>
      <c r="B1084" s="1">
        <v>148</v>
      </c>
      <c r="C1084" s="1">
        <v>300</v>
      </c>
    </row>
    <row r="1085" spans="1:3" x14ac:dyDescent="0.25">
      <c r="A1085" s="1">
        <v>1379</v>
      </c>
      <c r="B1085" s="1">
        <v>148</v>
      </c>
      <c r="C1085" s="1">
        <v>300</v>
      </c>
    </row>
    <row r="1086" spans="1:3" x14ac:dyDescent="0.25">
      <c r="A1086" s="1">
        <v>1380</v>
      </c>
      <c r="B1086" s="1">
        <v>148</v>
      </c>
      <c r="C1086" s="1">
        <v>300</v>
      </c>
    </row>
    <row r="1087" spans="1:3" x14ac:dyDescent="0.25">
      <c r="A1087" s="1">
        <v>1381</v>
      </c>
      <c r="B1087" s="1">
        <v>149</v>
      </c>
      <c r="C1087" s="1">
        <v>100</v>
      </c>
    </row>
    <row r="1088" spans="1:3" x14ac:dyDescent="0.25">
      <c r="A1088" s="1">
        <v>1382</v>
      </c>
      <c r="B1088" s="1">
        <v>150</v>
      </c>
      <c r="C1088" s="1">
        <v>6</v>
      </c>
    </row>
    <row r="1089" spans="1:3" x14ac:dyDescent="0.25">
      <c r="A1089" s="1">
        <v>1383</v>
      </c>
      <c r="B1089" s="1">
        <v>151</v>
      </c>
      <c r="C1089" s="1">
        <v>300</v>
      </c>
    </row>
    <row r="1090" spans="1:3" x14ac:dyDescent="0.25">
      <c r="A1090" s="1">
        <v>1384</v>
      </c>
      <c r="B1090" s="1">
        <v>151</v>
      </c>
      <c r="C1090" s="1">
        <v>300</v>
      </c>
    </row>
    <row r="1091" spans="1:3" x14ac:dyDescent="0.25">
      <c r="A1091" s="1">
        <v>1385</v>
      </c>
      <c r="B1091" s="1">
        <v>151</v>
      </c>
      <c r="C1091" s="1">
        <v>300</v>
      </c>
    </row>
    <row r="1092" spans="1:3" x14ac:dyDescent="0.25">
      <c r="A1092" s="1">
        <v>1386</v>
      </c>
      <c r="B1092" s="1">
        <v>152</v>
      </c>
      <c r="C1092" s="1">
        <v>300</v>
      </c>
    </row>
    <row r="1093" spans="1:3" x14ac:dyDescent="0.25">
      <c r="A1093" s="1">
        <v>1387</v>
      </c>
      <c r="B1093" s="1">
        <v>152</v>
      </c>
      <c r="C1093" s="1">
        <v>300</v>
      </c>
    </row>
    <row r="1094" spans="1:3" x14ac:dyDescent="0.25">
      <c r="A1094" s="1">
        <v>1388</v>
      </c>
      <c r="B1094" s="1">
        <v>152</v>
      </c>
      <c r="C1094" s="1">
        <v>300</v>
      </c>
    </row>
    <row r="1095" spans="1:3" x14ac:dyDescent="0.25">
      <c r="A1095" s="1">
        <v>1389</v>
      </c>
      <c r="B1095" s="1">
        <v>153</v>
      </c>
      <c r="C1095" s="1">
        <v>300</v>
      </c>
    </row>
    <row r="1096" spans="1:3" x14ac:dyDescent="0.25">
      <c r="A1096" s="1">
        <v>1390</v>
      </c>
      <c r="B1096" s="1">
        <v>153</v>
      </c>
      <c r="C1096" s="1">
        <v>300</v>
      </c>
    </row>
    <row r="1097" spans="1:3" x14ac:dyDescent="0.25">
      <c r="A1097" s="1">
        <v>1391</v>
      </c>
      <c r="B1097" s="1">
        <v>153</v>
      </c>
      <c r="C1097" s="1">
        <v>300</v>
      </c>
    </row>
    <row r="1098" spans="1:3" x14ac:dyDescent="0.25">
      <c r="A1098" s="1">
        <v>1392</v>
      </c>
      <c r="B1098" s="1">
        <v>153</v>
      </c>
      <c r="C1098" s="1">
        <v>300</v>
      </c>
    </row>
    <row r="1099" spans="1:3" x14ac:dyDescent="0.25">
      <c r="A1099" s="1">
        <v>1393</v>
      </c>
      <c r="B1099" s="1">
        <v>153</v>
      </c>
      <c r="C1099" s="1">
        <v>300</v>
      </c>
    </row>
    <row r="1100" spans="1:3" x14ac:dyDescent="0.25">
      <c r="A1100" s="1">
        <v>1394</v>
      </c>
      <c r="B1100" s="1">
        <v>153</v>
      </c>
      <c r="C1100" s="1">
        <v>300</v>
      </c>
    </row>
    <row r="1101" spans="1:3" x14ac:dyDescent="0.25">
      <c r="A1101" s="1">
        <v>1395</v>
      </c>
      <c r="B1101" s="1">
        <v>153</v>
      </c>
      <c r="C1101" s="1">
        <v>300</v>
      </c>
    </row>
    <row r="1102" spans="1:3" x14ac:dyDescent="0.25">
      <c r="A1102" s="1">
        <v>1396</v>
      </c>
      <c r="B1102" s="1">
        <v>153</v>
      </c>
      <c r="C1102" s="1">
        <v>300</v>
      </c>
    </row>
    <row r="1103" spans="1:3" x14ac:dyDescent="0.25">
      <c r="A1103" s="1">
        <v>1397</v>
      </c>
      <c r="B1103" s="1">
        <v>153</v>
      </c>
      <c r="C1103" s="1">
        <v>300</v>
      </c>
    </row>
    <row r="1104" spans="1:3" x14ac:dyDescent="0.25">
      <c r="A1104" s="1">
        <v>1398</v>
      </c>
      <c r="B1104" s="1">
        <v>153</v>
      </c>
      <c r="C1104" s="1">
        <v>300</v>
      </c>
    </row>
    <row r="1105" spans="1:3" x14ac:dyDescent="0.25">
      <c r="A1105" s="1">
        <v>1399</v>
      </c>
      <c r="B1105" s="1">
        <v>154</v>
      </c>
      <c r="C1105" s="1">
        <v>300</v>
      </c>
    </row>
    <row r="1106" spans="1:3" x14ac:dyDescent="0.25">
      <c r="A1106" s="1">
        <v>1400</v>
      </c>
      <c r="B1106" s="1">
        <v>154</v>
      </c>
      <c r="C1106" s="1">
        <v>300</v>
      </c>
    </row>
    <row r="1107" spans="1:3" x14ac:dyDescent="0.25">
      <c r="A1107" s="1">
        <v>1401</v>
      </c>
      <c r="B1107" s="1">
        <v>154</v>
      </c>
      <c r="C1107" s="1">
        <v>300</v>
      </c>
    </row>
    <row r="1108" spans="1:3" x14ac:dyDescent="0.25">
      <c r="A1108" s="1">
        <v>1402</v>
      </c>
      <c r="B1108" s="1">
        <v>155</v>
      </c>
      <c r="C1108" s="1">
        <v>300</v>
      </c>
    </row>
    <row r="1109" spans="1:3" x14ac:dyDescent="0.25">
      <c r="A1109" s="1">
        <v>1403</v>
      </c>
      <c r="B1109" s="1">
        <v>155</v>
      </c>
      <c r="C1109" s="1">
        <v>300</v>
      </c>
    </row>
    <row r="1110" spans="1:3" x14ac:dyDescent="0.25">
      <c r="A1110" s="1">
        <v>1404</v>
      </c>
      <c r="B1110" s="1">
        <v>155</v>
      </c>
      <c r="C1110" s="1">
        <v>300</v>
      </c>
    </row>
    <row r="1111" spans="1:3" x14ac:dyDescent="0.25">
      <c r="A1111" s="1">
        <v>1405</v>
      </c>
      <c r="B1111" s="1">
        <v>155</v>
      </c>
      <c r="C1111" s="1">
        <v>300</v>
      </c>
    </row>
    <row r="1112" spans="1:3" x14ac:dyDescent="0.25">
      <c r="A1112" s="1">
        <v>1406</v>
      </c>
      <c r="B1112" s="1">
        <v>155</v>
      </c>
      <c r="C1112" s="1">
        <v>300</v>
      </c>
    </row>
    <row r="1113" spans="1:3" x14ac:dyDescent="0.25">
      <c r="A1113" s="1">
        <v>1407</v>
      </c>
      <c r="B1113" s="1">
        <v>155</v>
      </c>
      <c r="C1113" s="1">
        <v>300</v>
      </c>
    </row>
    <row r="1114" spans="1:3" x14ac:dyDescent="0.25">
      <c r="A1114" s="1">
        <v>1408</v>
      </c>
      <c r="B1114" s="1">
        <v>155</v>
      </c>
      <c r="C1114" s="1">
        <v>300</v>
      </c>
    </row>
    <row r="1115" spans="1:3" x14ac:dyDescent="0.25">
      <c r="A1115" s="1">
        <v>1409</v>
      </c>
      <c r="B1115" s="1">
        <v>155</v>
      </c>
      <c r="C1115" s="1">
        <v>300</v>
      </c>
    </row>
    <row r="1116" spans="1:3" x14ac:dyDescent="0.25">
      <c r="A1116" s="1">
        <v>1410</v>
      </c>
      <c r="B1116" s="1">
        <v>155</v>
      </c>
      <c r="C1116" s="1">
        <v>300</v>
      </c>
    </row>
    <row r="1117" spans="1:3" x14ac:dyDescent="0.25">
      <c r="A1117" s="1">
        <v>1411</v>
      </c>
      <c r="B1117" s="1">
        <v>155</v>
      </c>
      <c r="C1117" s="1">
        <v>300</v>
      </c>
    </row>
    <row r="1118" spans="1:3" x14ac:dyDescent="0.25">
      <c r="A1118" s="1">
        <v>1412</v>
      </c>
      <c r="B1118" s="1">
        <v>156</v>
      </c>
      <c r="C1118" s="1">
        <v>300</v>
      </c>
    </row>
    <row r="1119" spans="1:3" x14ac:dyDescent="0.25">
      <c r="A1119" s="1">
        <v>1413</v>
      </c>
      <c r="B1119" s="1">
        <v>157</v>
      </c>
      <c r="C1119" s="1">
        <v>300</v>
      </c>
    </row>
    <row r="1120" spans="1:3" x14ac:dyDescent="0.25">
      <c r="A1120" s="1">
        <v>1414</v>
      </c>
      <c r="B1120" s="1">
        <v>157</v>
      </c>
      <c r="C1120" s="1">
        <v>300</v>
      </c>
    </row>
    <row r="1121" spans="1:3" x14ac:dyDescent="0.25">
      <c r="A1121" s="1">
        <v>1415</v>
      </c>
      <c r="B1121" s="1">
        <v>157</v>
      </c>
      <c r="C1121" s="1">
        <v>300</v>
      </c>
    </row>
    <row r="1122" spans="1:3" x14ac:dyDescent="0.25">
      <c r="A1122" s="1">
        <v>1416</v>
      </c>
      <c r="B1122" s="1">
        <v>157</v>
      </c>
      <c r="C1122" s="1">
        <v>300</v>
      </c>
    </row>
    <row r="1123" spans="1:3" x14ac:dyDescent="0.25">
      <c r="A1123" s="1">
        <v>1417</v>
      </c>
      <c r="B1123" s="1">
        <v>157</v>
      </c>
      <c r="C1123" s="1">
        <v>300</v>
      </c>
    </row>
    <row r="1124" spans="1:3" x14ac:dyDescent="0.25">
      <c r="A1124" s="1">
        <v>1418</v>
      </c>
      <c r="B1124" s="1">
        <v>157</v>
      </c>
      <c r="C1124" s="1">
        <v>300</v>
      </c>
    </row>
    <row r="1125" spans="1:3" x14ac:dyDescent="0.25">
      <c r="A1125" s="1">
        <v>1419</v>
      </c>
      <c r="B1125" s="1">
        <v>157</v>
      </c>
      <c r="C1125" s="1">
        <v>300</v>
      </c>
    </row>
    <row r="1126" spans="1:3" x14ac:dyDescent="0.25">
      <c r="A1126" s="1">
        <v>1420</v>
      </c>
      <c r="B1126" s="1">
        <v>157</v>
      </c>
      <c r="C1126" s="1">
        <v>300</v>
      </c>
    </row>
    <row r="1127" spans="1:3" x14ac:dyDescent="0.25">
      <c r="A1127" s="1">
        <v>1421</v>
      </c>
      <c r="B1127" s="1">
        <v>157</v>
      </c>
      <c r="C1127" s="1">
        <v>300</v>
      </c>
    </row>
    <row r="1128" spans="1:3" x14ac:dyDescent="0.25">
      <c r="A1128" s="1">
        <v>1422</v>
      </c>
      <c r="B1128" s="1">
        <v>157</v>
      </c>
      <c r="C1128" s="1">
        <v>300</v>
      </c>
    </row>
    <row r="1129" spans="1:3" x14ac:dyDescent="0.25">
      <c r="A1129" s="1">
        <v>1424</v>
      </c>
      <c r="B1129" s="1">
        <v>158</v>
      </c>
      <c r="C1129" s="1">
        <v>65</v>
      </c>
    </row>
    <row r="1130" spans="1:3" x14ac:dyDescent="0.25">
      <c r="A1130" s="1">
        <v>1425</v>
      </c>
      <c r="B1130" s="1">
        <v>159</v>
      </c>
      <c r="C1130" s="1">
        <v>300</v>
      </c>
    </row>
    <row r="1131" spans="1:3" x14ac:dyDescent="0.25">
      <c r="A1131" s="1">
        <v>1426</v>
      </c>
      <c r="B1131" s="1">
        <v>159</v>
      </c>
      <c r="C1131" s="1">
        <v>300</v>
      </c>
    </row>
    <row r="1132" spans="1:3" x14ac:dyDescent="0.25">
      <c r="A1132" s="1">
        <v>1427</v>
      </c>
      <c r="B1132" s="1">
        <v>159</v>
      </c>
      <c r="C1132" s="1">
        <v>300</v>
      </c>
    </row>
    <row r="1133" spans="1:3" x14ac:dyDescent="0.25">
      <c r="A1133" s="1">
        <v>1428</v>
      </c>
      <c r="B1133" s="1">
        <v>159</v>
      </c>
      <c r="C1133" s="1">
        <v>300</v>
      </c>
    </row>
    <row r="1134" spans="1:3" x14ac:dyDescent="0.25">
      <c r="A1134" s="1">
        <v>1429</v>
      </c>
      <c r="B1134" s="1">
        <v>159</v>
      </c>
      <c r="C1134" s="1">
        <v>300</v>
      </c>
    </row>
    <row r="1135" spans="1:3" x14ac:dyDescent="0.25">
      <c r="A1135" s="1">
        <v>1430</v>
      </c>
      <c r="B1135" s="1">
        <v>159</v>
      </c>
      <c r="C1135" s="1">
        <v>300</v>
      </c>
    </row>
    <row r="1136" spans="1:3" x14ac:dyDescent="0.25">
      <c r="A1136" s="1">
        <v>1431</v>
      </c>
      <c r="B1136" s="1">
        <v>159</v>
      </c>
      <c r="C1136" s="1">
        <v>300</v>
      </c>
    </row>
    <row r="1137" spans="1:3" x14ac:dyDescent="0.25">
      <c r="A1137" s="1">
        <v>1432</v>
      </c>
      <c r="B1137" s="1">
        <v>159</v>
      </c>
      <c r="C1137" s="1">
        <v>300</v>
      </c>
    </row>
    <row r="1138" spans="1:3" x14ac:dyDescent="0.25">
      <c r="A1138" s="1">
        <v>1433</v>
      </c>
      <c r="B1138" s="1">
        <v>159</v>
      </c>
      <c r="C1138" s="1">
        <v>300</v>
      </c>
    </row>
    <row r="1139" spans="1:3" x14ac:dyDescent="0.25">
      <c r="A1139" s="1">
        <v>1434</v>
      </c>
      <c r="B1139" s="1">
        <v>159</v>
      </c>
      <c r="C1139" s="1">
        <v>300</v>
      </c>
    </row>
    <row r="1140" spans="1:3" x14ac:dyDescent="0.25">
      <c r="A1140" s="1">
        <v>1435</v>
      </c>
      <c r="B1140" s="1">
        <v>160</v>
      </c>
      <c r="C1140" s="1">
        <v>300</v>
      </c>
    </row>
    <row r="1141" spans="1:3" x14ac:dyDescent="0.25">
      <c r="A1141" s="1">
        <v>1436</v>
      </c>
      <c r="B1141" s="1">
        <v>160</v>
      </c>
      <c r="C1141" s="1">
        <v>300</v>
      </c>
    </row>
    <row r="1142" spans="1:3" x14ac:dyDescent="0.25">
      <c r="A1142" s="1">
        <v>1437</v>
      </c>
      <c r="B1142" s="1">
        <v>160</v>
      </c>
      <c r="C1142" s="1">
        <v>300</v>
      </c>
    </row>
    <row r="1143" spans="1:3" x14ac:dyDescent="0.25">
      <c r="A1143" s="1">
        <v>1438</v>
      </c>
      <c r="B1143" s="1">
        <v>161</v>
      </c>
      <c r="C1143" s="1">
        <v>300</v>
      </c>
    </row>
    <row r="1144" spans="1:3" x14ac:dyDescent="0.25">
      <c r="A1144" s="1">
        <v>1439</v>
      </c>
      <c r="B1144" s="1">
        <v>161</v>
      </c>
      <c r="C1144" s="1">
        <v>100</v>
      </c>
    </row>
    <row r="1145" spans="1:3" x14ac:dyDescent="0.25">
      <c r="A1145" s="1">
        <v>1440</v>
      </c>
      <c r="B1145" s="1">
        <v>162</v>
      </c>
      <c r="C1145" s="1">
        <v>300</v>
      </c>
    </row>
    <row r="1146" spans="1:3" x14ac:dyDescent="0.25">
      <c r="A1146" s="1">
        <v>1441</v>
      </c>
      <c r="B1146" s="1">
        <v>162</v>
      </c>
      <c r="C1146" s="1">
        <v>300</v>
      </c>
    </row>
    <row r="1147" spans="1:3" x14ac:dyDescent="0.25">
      <c r="A1147" s="1">
        <v>1442</v>
      </c>
      <c r="B1147" s="1">
        <v>162</v>
      </c>
      <c r="C1147" s="1">
        <v>100</v>
      </c>
    </row>
    <row r="1148" spans="1:3" x14ac:dyDescent="0.25">
      <c r="A1148" s="1">
        <v>1443</v>
      </c>
      <c r="B1148" s="1">
        <v>163</v>
      </c>
      <c r="C1148" s="1">
        <v>300</v>
      </c>
    </row>
    <row r="1149" spans="1:3" x14ac:dyDescent="0.25">
      <c r="A1149" s="1">
        <v>1444</v>
      </c>
      <c r="B1149" s="1">
        <v>163</v>
      </c>
      <c r="C1149" s="1">
        <v>300</v>
      </c>
    </row>
    <row r="1150" spans="1:3" x14ac:dyDescent="0.25">
      <c r="A1150" s="1">
        <v>1445</v>
      </c>
      <c r="B1150" s="1">
        <v>163</v>
      </c>
      <c r="C1150" s="1">
        <v>300</v>
      </c>
    </row>
    <row r="1151" spans="1:3" x14ac:dyDescent="0.25">
      <c r="A1151" s="1">
        <v>1446</v>
      </c>
      <c r="B1151" s="1">
        <v>163</v>
      </c>
      <c r="C1151" s="1">
        <v>300</v>
      </c>
    </row>
    <row r="1152" spans="1:3" x14ac:dyDescent="0.25">
      <c r="A1152" s="1">
        <v>1447</v>
      </c>
      <c r="B1152" s="1">
        <v>163</v>
      </c>
      <c r="C1152" s="1">
        <v>300</v>
      </c>
    </row>
    <row r="1153" spans="1:3" x14ac:dyDescent="0.25">
      <c r="A1153" s="1">
        <v>1448</v>
      </c>
      <c r="B1153" s="1">
        <v>164</v>
      </c>
      <c r="C1153" s="1">
        <v>300</v>
      </c>
    </row>
    <row r="1154" spans="1:3" x14ac:dyDescent="0.25">
      <c r="A1154" s="1">
        <v>1449</v>
      </c>
      <c r="B1154" s="1">
        <v>164</v>
      </c>
      <c r="C1154" s="1">
        <v>300</v>
      </c>
    </row>
    <row r="1155" spans="1:3" x14ac:dyDescent="0.25">
      <c r="A1155" s="1">
        <v>1450</v>
      </c>
      <c r="B1155" s="1">
        <v>164</v>
      </c>
      <c r="C1155" s="1">
        <v>300</v>
      </c>
    </row>
    <row r="1156" spans="1:3" x14ac:dyDescent="0.25">
      <c r="A1156" s="1">
        <v>1451</v>
      </c>
      <c r="B1156" s="1">
        <v>164</v>
      </c>
      <c r="C1156" s="1">
        <v>300</v>
      </c>
    </row>
    <row r="1157" spans="1:3" x14ac:dyDescent="0.25">
      <c r="A1157" s="1">
        <v>1452</v>
      </c>
      <c r="B1157" s="1">
        <v>164</v>
      </c>
      <c r="C1157" s="1">
        <v>300</v>
      </c>
    </row>
    <row r="1158" spans="1:3" x14ac:dyDescent="0.25">
      <c r="A1158" s="1">
        <v>1453</v>
      </c>
      <c r="B1158" s="1">
        <v>165</v>
      </c>
      <c r="C1158" s="1">
        <v>300</v>
      </c>
    </row>
    <row r="1159" spans="1:3" x14ac:dyDescent="0.25">
      <c r="A1159" s="1">
        <v>1454</v>
      </c>
      <c r="B1159" s="1">
        <v>165</v>
      </c>
      <c r="C1159" s="1">
        <v>300</v>
      </c>
    </row>
    <row r="1160" spans="1:3" x14ac:dyDescent="0.25">
      <c r="A1160" s="1">
        <v>1455</v>
      </c>
      <c r="B1160" s="1">
        <v>165</v>
      </c>
      <c r="C1160" s="1">
        <v>300</v>
      </c>
    </row>
    <row r="1161" spans="1:3" x14ac:dyDescent="0.25">
      <c r="A1161" s="1">
        <v>1456</v>
      </c>
      <c r="B1161" s="1">
        <v>165</v>
      </c>
      <c r="C1161" s="1">
        <v>300</v>
      </c>
    </row>
    <row r="1162" spans="1:3" x14ac:dyDescent="0.25">
      <c r="A1162" s="1">
        <v>1457</v>
      </c>
      <c r="B1162" s="1">
        <v>165</v>
      </c>
      <c r="C1162" s="1">
        <v>300</v>
      </c>
    </row>
    <row r="1163" spans="1:3" x14ac:dyDescent="0.25">
      <c r="A1163" s="1">
        <v>1458</v>
      </c>
      <c r="B1163" s="1">
        <v>165</v>
      </c>
      <c r="C1163" s="1">
        <v>300</v>
      </c>
    </row>
    <row r="1164" spans="1:3" x14ac:dyDescent="0.25">
      <c r="A1164" s="1">
        <v>1459</v>
      </c>
      <c r="B1164" s="1">
        <v>165</v>
      </c>
      <c r="C1164" s="1">
        <v>200</v>
      </c>
    </row>
    <row r="1165" spans="1:3" x14ac:dyDescent="0.25">
      <c r="A1165" s="1">
        <v>1461</v>
      </c>
      <c r="B1165" s="1">
        <v>166</v>
      </c>
      <c r="C1165" s="1">
        <v>75</v>
      </c>
    </row>
    <row r="1166" spans="1:3" x14ac:dyDescent="0.25">
      <c r="A1166" s="1">
        <v>1462</v>
      </c>
      <c r="B1166" s="1">
        <v>167</v>
      </c>
      <c r="C1166" s="1">
        <v>300</v>
      </c>
    </row>
    <row r="1167" spans="1:3" x14ac:dyDescent="0.25">
      <c r="A1167" s="1">
        <v>1463</v>
      </c>
      <c r="B1167" s="1">
        <v>167</v>
      </c>
      <c r="C1167" s="1">
        <v>300</v>
      </c>
    </row>
    <row r="1168" spans="1:3" x14ac:dyDescent="0.25">
      <c r="A1168" s="1">
        <v>1464</v>
      </c>
      <c r="B1168" s="1">
        <v>167</v>
      </c>
      <c r="C1168" s="1">
        <v>300</v>
      </c>
    </row>
    <row r="1169" spans="1:3" x14ac:dyDescent="0.25">
      <c r="A1169" s="1">
        <v>1465</v>
      </c>
      <c r="B1169" s="1">
        <v>167</v>
      </c>
      <c r="C1169" s="1">
        <v>300</v>
      </c>
    </row>
    <row r="1170" spans="1:3" x14ac:dyDescent="0.25">
      <c r="A1170" s="1">
        <v>1466</v>
      </c>
      <c r="B1170" s="1">
        <v>167</v>
      </c>
      <c r="C1170" s="1">
        <v>300</v>
      </c>
    </row>
    <row r="1171" spans="1:3" x14ac:dyDescent="0.25">
      <c r="A1171" s="1">
        <v>1467</v>
      </c>
      <c r="B1171" s="1">
        <v>168</v>
      </c>
      <c r="C1171" s="1">
        <v>300</v>
      </c>
    </row>
    <row r="1172" spans="1:3" x14ac:dyDescent="0.25">
      <c r="A1172" s="1">
        <v>1468</v>
      </c>
      <c r="B1172" s="1">
        <v>168</v>
      </c>
      <c r="C1172" s="1">
        <v>300</v>
      </c>
    </row>
    <row r="1173" spans="1:3" x14ac:dyDescent="0.25">
      <c r="A1173" s="1">
        <v>1469</v>
      </c>
      <c r="B1173" s="1">
        <v>168</v>
      </c>
      <c r="C1173" s="1">
        <v>300</v>
      </c>
    </row>
    <row r="1174" spans="1:3" x14ac:dyDescent="0.25">
      <c r="A1174" s="1">
        <v>1470</v>
      </c>
      <c r="B1174" s="1">
        <v>168</v>
      </c>
      <c r="C1174" s="1">
        <v>300</v>
      </c>
    </row>
    <row r="1175" spans="1:3" x14ac:dyDescent="0.25">
      <c r="A1175" s="1">
        <v>1471</v>
      </c>
      <c r="B1175" s="1">
        <v>168</v>
      </c>
      <c r="C1175" s="1">
        <v>300</v>
      </c>
    </row>
    <row r="1176" spans="1:3" x14ac:dyDescent="0.25">
      <c r="A1176" s="1">
        <v>1472</v>
      </c>
      <c r="B1176" s="1">
        <v>168</v>
      </c>
      <c r="C1176" s="1">
        <v>300</v>
      </c>
    </row>
    <row r="1177" spans="1:3" x14ac:dyDescent="0.25">
      <c r="A1177" s="1">
        <v>1473</v>
      </c>
      <c r="B1177" s="1">
        <v>168</v>
      </c>
      <c r="C1177" s="1">
        <v>300</v>
      </c>
    </row>
    <row r="1178" spans="1:3" x14ac:dyDescent="0.25">
      <c r="A1178" s="1">
        <v>1474</v>
      </c>
      <c r="B1178" s="1">
        <v>168</v>
      </c>
      <c r="C1178" s="1">
        <v>300</v>
      </c>
    </row>
    <row r="1179" spans="1:3" x14ac:dyDescent="0.25">
      <c r="A1179" s="1">
        <v>1475</v>
      </c>
      <c r="B1179" s="1">
        <v>168</v>
      </c>
      <c r="C1179" s="1">
        <v>300</v>
      </c>
    </row>
    <row r="1180" spans="1:3" x14ac:dyDescent="0.25">
      <c r="A1180" s="1">
        <v>1476</v>
      </c>
      <c r="B1180" s="1">
        <v>168</v>
      </c>
      <c r="C1180" s="1">
        <v>300</v>
      </c>
    </row>
    <row r="1181" spans="1:3" x14ac:dyDescent="0.25">
      <c r="A1181" s="1">
        <v>1477</v>
      </c>
      <c r="B1181" s="1">
        <v>169</v>
      </c>
      <c r="C1181" s="1">
        <v>300</v>
      </c>
    </row>
    <row r="1182" spans="1:3" x14ac:dyDescent="0.25">
      <c r="A1182" s="1">
        <v>1478</v>
      </c>
      <c r="B1182" s="1">
        <v>169</v>
      </c>
      <c r="C1182" s="1">
        <v>300</v>
      </c>
    </row>
    <row r="1183" spans="1:3" x14ac:dyDescent="0.25">
      <c r="A1183" s="1">
        <v>1479</v>
      </c>
      <c r="B1183" s="1">
        <v>169</v>
      </c>
      <c r="C1183" s="1">
        <v>300</v>
      </c>
    </row>
    <row r="1184" spans="1:3" x14ac:dyDescent="0.25">
      <c r="A1184" s="1">
        <v>1480</v>
      </c>
      <c r="B1184" s="1">
        <v>169</v>
      </c>
      <c r="C1184" s="1">
        <v>300</v>
      </c>
    </row>
    <row r="1185" spans="1:3" x14ac:dyDescent="0.25">
      <c r="A1185" s="1">
        <v>1481</v>
      </c>
      <c r="B1185" s="1">
        <v>169</v>
      </c>
      <c r="C1185" s="1">
        <v>300</v>
      </c>
    </row>
    <row r="1186" spans="1:3" x14ac:dyDescent="0.25">
      <c r="A1186" s="1">
        <v>1482</v>
      </c>
      <c r="B1186" s="1">
        <v>169</v>
      </c>
      <c r="C1186" s="1">
        <v>300</v>
      </c>
    </row>
    <row r="1187" spans="1:3" x14ac:dyDescent="0.25">
      <c r="A1187" s="1">
        <v>1483</v>
      </c>
      <c r="B1187" s="1">
        <v>169</v>
      </c>
      <c r="C1187" s="1">
        <v>300</v>
      </c>
    </row>
    <row r="1188" spans="1:3" x14ac:dyDescent="0.25">
      <c r="A1188" s="1">
        <v>1484</v>
      </c>
      <c r="B1188" s="1">
        <v>169</v>
      </c>
      <c r="C1188" s="1">
        <v>300</v>
      </c>
    </row>
    <row r="1189" spans="1:3" x14ac:dyDescent="0.25">
      <c r="A1189" s="1">
        <v>1485</v>
      </c>
      <c r="B1189" s="1">
        <v>169</v>
      </c>
      <c r="C1189" s="1">
        <v>300</v>
      </c>
    </row>
    <row r="1190" spans="1:3" x14ac:dyDescent="0.25">
      <c r="A1190" s="1">
        <v>1486</v>
      </c>
      <c r="B1190" s="1">
        <v>169</v>
      </c>
      <c r="C1190" s="1">
        <v>300</v>
      </c>
    </row>
    <row r="1191" spans="1:3" x14ac:dyDescent="0.25">
      <c r="A1191" s="1">
        <v>1487</v>
      </c>
      <c r="B1191" s="1">
        <v>170</v>
      </c>
      <c r="C1191" s="1">
        <v>300</v>
      </c>
    </row>
    <row r="1192" spans="1:3" x14ac:dyDescent="0.25">
      <c r="A1192" s="1">
        <v>1488</v>
      </c>
      <c r="B1192" s="1">
        <v>170</v>
      </c>
      <c r="C1192" s="1">
        <v>300</v>
      </c>
    </row>
    <row r="1193" spans="1:3" x14ac:dyDescent="0.25">
      <c r="A1193" s="1">
        <v>1489</v>
      </c>
      <c r="B1193" s="1">
        <v>170</v>
      </c>
      <c r="C1193" s="1">
        <v>300</v>
      </c>
    </row>
    <row r="1194" spans="1:3" x14ac:dyDescent="0.25">
      <c r="A1194" s="1">
        <v>1490</v>
      </c>
      <c r="B1194" s="1">
        <v>170</v>
      </c>
      <c r="C1194" s="1">
        <v>300</v>
      </c>
    </row>
    <row r="1195" spans="1:3" x14ac:dyDescent="0.25">
      <c r="A1195" s="1">
        <v>1491</v>
      </c>
      <c r="B1195" s="1">
        <v>170</v>
      </c>
      <c r="C1195" s="1">
        <v>300</v>
      </c>
    </row>
    <row r="1196" spans="1:3" x14ac:dyDescent="0.25">
      <c r="A1196" s="1">
        <v>1492</v>
      </c>
      <c r="B1196" s="1">
        <v>170</v>
      </c>
      <c r="C1196" s="1">
        <v>300</v>
      </c>
    </row>
    <row r="1197" spans="1:3" x14ac:dyDescent="0.25">
      <c r="A1197" s="1">
        <v>1493</v>
      </c>
      <c r="B1197" s="1">
        <v>170</v>
      </c>
      <c r="C1197" s="1">
        <v>300</v>
      </c>
    </row>
    <row r="1198" spans="1:3" x14ac:dyDescent="0.25">
      <c r="A1198" s="1">
        <v>1494</v>
      </c>
      <c r="B1198" s="1">
        <v>170</v>
      </c>
      <c r="C1198" s="1">
        <v>300</v>
      </c>
    </row>
    <row r="1199" spans="1:3" x14ac:dyDescent="0.25">
      <c r="A1199" s="1">
        <v>1495</v>
      </c>
      <c r="B1199" s="1">
        <v>170</v>
      </c>
      <c r="C1199" s="1">
        <v>300</v>
      </c>
    </row>
    <row r="1200" spans="1:3" x14ac:dyDescent="0.25">
      <c r="A1200" s="1">
        <v>1496</v>
      </c>
      <c r="B1200" s="1">
        <v>170</v>
      </c>
      <c r="C1200" s="1">
        <v>300</v>
      </c>
    </row>
    <row r="1201" spans="1:3" x14ac:dyDescent="0.25">
      <c r="A1201" s="1">
        <v>1497</v>
      </c>
      <c r="B1201" s="1">
        <v>171</v>
      </c>
      <c r="C1201" s="1">
        <v>300</v>
      </c>
    </row>
    <row r="1202" spans="1:3" x14ac:dyDescent="0.25">
      <c r="A1202" s="1">
        <v>1498</v>
      </c>
      <c r="B1202" s="1">
        <v>171</v>
      </c>
      <c r="C1202" s="1">
        <v>300</v>
      </c>
    </row>
    <row r="1203" spans="1:3" x14ac:dyDescent="0.25">
      <c r="A1203" s="1">
        <v>1499</v>
      </c>
      <c r="B1203" s="1">
        <v>171</v>
      </c>
      <c r="C1203" s="1">
        <v>300</v>
      </c>
    </row>
    <row r="1204" spans="1:3" x14ac:dyDescent="0.25">
      <c r="A1204" s="1">
        <v>1500</v>
      </c>
      <c r="B1204" s="1">
        <v>171</v>
      </c>
      <c r="C1204" s="1">
        <v>300</v>
      </c>
    </row>
    <row r="1205" spans="1:3" x14ac:dyDescent="0.25">
      <c r="A1205" s="1">
        <v>1501</v>
      </c>
      <c r="B1205" s="1">
        <v>171</v>
      </c>
      <c r="C1205" s="1">
        <v>300</v>
      </c>
    </row>
    <row r="1206" spans="1:3" x14ac:dyDescent="0.25">
      <c r="A1206" s="1">
        <v>1502</v>
      </c>
      <c r="B1206" s="1">
        <v>171</v>
      </c>
      <c r="C1206" s="1">
        <v>300</v>
      </c>
    </row>
    <row r="1207" spans="1:3" x14ac:dyDescent="0.25">
      <c r="A1207" s="1">
        <v>1503</v>
      </c>
      <c r="B1207" s="1">
        <v>171</v>
      </c>
      <c r="C1207" s="1">
        <v>300</v>
      </c>
    </row>
    <row r="1208" spans="1:3" x14ac:dyDescent="0.25">
      <c r="A1208" s="1">
        <v>1504</v>
      </c>
      <c r="B1208" s="1">
        <v>171</v>
      </c>
      <c r="C1208" s="1">
        <v>300</v>
      </c>
    </row>
    <row r="1209" spans="1:3" x14ac:dyDescent="0.25">
      <c r="A1209" s="1">
        <v>1505</v>
      </c>
      <c r="B1209" s="1">
        <v>171</v>
      </c>
      <c r="C1209" s="1">
        <v>300</v>
      </c>
    </row>
    <row r="1210" spans="1:3" x14ac:dyDescent="0.25">
      <c r="A1210" s="1">
        <v>1506</v>
      </c>
      <c r="B1210" s="1">
        <v>171</v>
      </c>
      <c r="C1210" s="1">
        <v>300</v>
      </c>
    </row>
    <row r="1211" spans="1:3" x14ac:dyDescent="0.25">
      <c r="A1211" s="1">
        <v>1507</v>
      </c>
      <c r="B1211" s="1">
        <v>172</v>
      </c>
      <c r="C1211" s="1">
        <v>300</v>
      </c>
    </row>
    <row r="1212" spans="1:3" x14ac:dyDescent="0.25">
      <c r="A1212" s="1">
        <v>1508</v>
      </c>
      <c r="B1212" s="1">
        <v>172</v>
      </c>
      <c r="C1212" s="1">
        <v>300</v>
      </c>
    </row>
    <row r="1213" spans="1:3" x14ac:dyDescent="0.25">
      <c r="A1213" s="1">
        <v>1509</v>
      </c>
      <c r="B1213" s="1">
        <v>172</v>
      </c>
      <c r="C1213" s="1">
        <v>300</v>
      </c>
    </row>
    <row r="1214" spans="1:3" x14ac:dyDescent="0.25">
      <c r="A1214" s="1">
        <v>1510</v>
      </c>
      <c r="B1214" s="1">
        <v>172</v>
      </c>
      <c r="C1214" s="1">
        <v>300</v>
      </c>
    </row>
    <row r="1215" spans="1:3" x14ac:dyDescent="0.25">
      <c r="A1215" s="1">
        <v>1511</v>
      </c>
      <c r="B1215" s="1">
        <v>172</v>
      </c>
      <c r="C1215" s="1">
        <v>300</v>
      </c>
    </row>
    <row r="1216" spans="1:3" x14ac:dyDescent="0.25">
      <c r="A1216" s="1">
        <v>1512</v>
      </c>
      <c r="B1216" s="1">
        <v>172</v>
      </c>
      <c r="C1216" s="1">
        <v>300</v>
      </c>
    </row>
    <row r="1217" spans="1:3" x14ac:dyDescent="0.25">
      <c r="A1217" s="1">
        <v>1513</v>
      </c>
      <c r="B1217" s="1">
        <v>173</v>
      </c>
      <c r="C1217" s="1">
        <v>300</v>
      </c>
    </row>
    <row r="1218" spans="1:3" x14ac:dyDescent="0.25">
      <c r="A1218" s="1">
        <v>1514</v>
      </c>
      <c r="B1218" s="1">
        <v>173</v>
      </c>
      <c r="C1218" s="1">
        <v>300</v>
      </c>
    </row>
    <row r="1219" spans="1:3" x14ac:dyDescent="0.25">
      <c r="A1219" s="1">
        <v>1515</v>
      </c>
      <c r="B1219" s="1">
        <v>173</v>
      </c>
      <c r="C1219" s="1">
        <v>300</v>
      </c>
    </row>
    <row r="1220" spans="1:3" x14ac:dyDescent="0.25">
      <c r="A1220" s="1">
        <v>1516</v>
      </c>
      <c r="B1220" s="1">
        <v>173</v>
      </c>
      <c r="C1220" s="1">
        <v>300</v>
      </c>
    </row>
    <row r="1221" spans="1:3" x14ac:dyDescent="0.25">
      <c r="A1221" s="1">
        <v>1517</v>
      </c>
      <c r="B1221" s="1">
        <v>173</v>
      </c>
      <c r="C1221" s="1">
        <v>300</v>
      </c>
    </row>
    <row r="1222" spans="1:3" x14ac:dyDescent="0.25">
      <c r="A1222" s="1">
        <v>1518</v>
      </c>
      <c r="B1222" s="1">
        <v>173</v>
      </c>
      <c r="C1222" s="1">
        <v>300</v>
      </c>
    </row>
    <row r="1223" spans="1:3" x14ac:dyDescent="0.25">
      <c r="A1223" s="1">
        <v>1519</v>
      </c>
      <c r="B1223" s="1">
        <v>173</v>
      </c>
      <c r="C1223" s="1">
        <v>300</v>
      </c>
    </row>
    <row r="1224" spans="1:3" x14ac:dyDescent="0.25">
      <c r="A1224" s="1">
        <v>1520</v>
      </c>
      <c r="B1224" s="1">
        <v>173</v>
      </c>
      <c r="C1224" s="1">
        <v>300</v>
      </c>
    </row>
    <row r="1225" spans="1:3" x14ac:dyDescent="0.25">
      <c r="A1225" s="1">
        <v>1521</v>
      </c>
      <c r="B1225" s="1">
        <v>173</v>
      </c>
      <c r="C1225" s="1">
        <v>300</v>
      </c>
    </row>
    <row r="1226" spans="1:3" x14ac:dyDescent="0.25">
      <c r="A1226" s="1">
        <v>1522</v>
      </c>
      <c r="B1226" s="1">
        <v>173</v>
      </c>
      <c r="C1226" s="1">
        <v>300</v>
      </c>
    </row>
    <row r="1227" spans="1:3" x14ac:dyDescent="0.25">
      <c r="A1227" s="1">
        <v>1523</v>
      </c>
      <c r="B1227" s="1">
        <v>175</v>
      </c>
      <c r="C1227" s="1">
        <v>300</v>
      </c>
    </row>
    <row r="1228" spans="1:3" x14ac:dyDescent="0.25">
      <c r="A1228" s="1">
        <v>1524</v>
      </c>
      <c r="B1228" s="1">
        <v>175</v>
      </c>
      <c r="C1228" s="1">
        <v>300</v>
      </c>
    </row>
    <row r="1229" spans="1:3" x14ac:dyDescent="0.25">
      <c r="A1229" s="1">
        <v>1525</v>
      </c>
      <c r="B1229" s="1">
        <v>175</v>
      </c>
      <c r="C1229" s="1">
        <v>300</v>
      </c>
    </row>
    <row r="1230" spans="1:3" x14ac:dyDescent="0.25">
      <c r="A1230" s="1">
        <v>1526</v>
      </c>
      <c r="B1230" s="1">
        <v>175</v>
      </c>
      <c r="C1230" s="1">
        <v>300</v>
      </c>
    </row>
    <row r="1231" spans="1:3" x14ac:dyDescent="0.25">
      <c r="A1231" s="1">
        <v>1527</v>
      </c>
      <c r="B1231" s="1">
        <v>175</v>
      </c>
      <c r="C1231" s="1">
        <v>300</v>
      </c>
    </row>
    <row r="1232" spans="1:3" x14ac:dyDescent="0.25">
      <c r="A1232" s="1">
        <v>1528</v>
      </c>
      <c r="B1232" s="1">
        <v>175</v>
      </c>
      <c r="C1232" s="1">
        <v>300</v>
      </c>
    </row>
    <row r="1233" spans="1:3" x14ac:dyDescent="0.25">
      <c r="A1233" s="1">
        <v>1529</v>
      </c>
      <c r="B1233" s="1">
        <v>175</v>
      </c>
      <c r="C1233" s="1">
        <v>50</v>
      </c>
    </row>
    <row r="1234" spans="1:3" x14ac:dyDescent="0.25">
      <c r="A1234" s="1">
        <v>1530</v>
      </c>
      <c r="B1234" s="1">
        <v>176</v>
      </c>
      <c r="C1234" s="1">
        <v>300</v>
      </c>
    </row>
    <row r="1235" spans="1:3" x14ac:dyDescent="0.25">
      <c r="A1235" s="1">
        <v>1531</v>
      </c>
      <c r="B1235" s="1">
        <v>176</v>
      </c>
      <c r="C1235" s="1">
        <v>300</v>
      </c>
    </row>
    <row r="1236" spans="1:3" x14ac:dyDescent="0.25">
      <c r="A1236" s="1">
        <v>1532</v>
      </c>
      <c r="B1236" s="1">
        <v>176</v>
      </c>
      <c r="C1236" s="1">
        <v>300</v>
      </c>
    </row>
    <row r="1237" spans="1:3" x14ac:dyDescent="0.25">
      <c r="A1237" s="1">
        <v>1533</v>
      </c>
      <c r="B1237" s="1">
        <v>176</v>
      </c>
      <c r="C1237" s="1">
        <v>300</v>
      </c>
    </row>
    <row r="1238" spans="1:3" x14ac:dyDescent="0.25">
      <c r="A1238" s="1">
        <v>1534</v>
      </c>
      <c r="B1238" s="1">
        <v>176</v>
      </c>
      <c r="C1238" s="1">
        <v>300</v>
      </c>
    </row>
    <row r="1239" spans="1:3" x14ac:dyDescent="0.25">
      <c r="A1239" s="1">
        <v>1535</v>
      </c>
      <c r="B1239" s="1">
        <v>176</v>
      </c>
      <c r="C1239" s="1">
        <v>300</v>
      </c>
    </row>
    <row r="1240" spans="1:3" x14ac:dyDescent="0.25">
      <c r="A1240" s="1">
        <v>1536</v>
      </c>
      <c r="B1240" s="1">
        <v>176</v>
      </c>
      <c r="C1240" s="1">
        <v>300</v>
      </c>
    </row>
    <row r="1241" spans="1:3" x14ac:dyDescent="0.25">
      <c r="A1241" s="1">
        <v>1537</v>
      </c>
      <c r="B1241" s="1">
        <v>176</v>
      </c>
      <c r="C1241" s="1">
        <v>300</v>
      </c>
    </row>
    <row r="1242" spans="1:3" x14ac:dyDescent="0.25">
      <c r="A1242" s="1">
        <v>1538</v>
      </c>
      <c r="B1242" s="1">
        <v>176</v>
      </c>
      <c r="C1242" s="1">
        <v>300</v>
      </c>
    </row>
    <row r="1243" spans="1:3" x14ac:dyDescent="0.25">
      <c r="A1243" s="1">
        <v>1539</v>
      </c>
      <c r="B1243" s="1">
        <v>176</v>
      </c>
      <c r="C1243" s="1">
        <v>300</v>
      </c>
    </row>
    <row r="1244" spans="1:3" x14ac:dyDescent="0.25">
      <c r="A1244" s="1">
        <v>1540</v>
      </c>
      <c r="B1244" s="1">
        <v>177</v>
      </c>
      <c r="C1244" s="1">
        <v>300</v>
      </c>
    </row>
    <row r="1245" spans="1:3" x14ac:dyDescent="0.25">
      <c r="A1245" s="1">
        <v>1541</v>
      </c>
      <c r="B1245" s="1">
        <v>177</v>
      </c>
      <c r="C1245" s="1">
        <v>300</v>
      </c>
    </row>
    <row r="1246" spans="1:3" x14ac:dyDescent="0.25">
      <c r="A1246" s="1">
        <v>1542</v>
      </c>
      <c r="B1246" s="1">
        <v>177</v>
      </c>
      <c r="C1246" s="1">
        <v>300</v>
      </c>
    </row>
    <row r="1247" spans="1:3" x14ac:dyDescent="0.25">
      <c r="A1247" s="1">
        <v>1543</v>
      </c>
      <c r="B1247" s="1">
        <v>177</v>
      </c>
      <c r="C1247" s="1">
        <v>300</v>
      </c>
    </row>
    <row r="1248" spans="1:3" x14ac:dyDescent="0.25">
      <c r="A1248" s="1">
        <v>1544</v>
      </c>
      <c r="B1248" s="1">
        <v>177</v>
      </c>
      <c r="C1248" s="1">
        <v>300</v>
      </c>
    </row>
    <row r="1249" spans="1:3" x14ac:dyDescent="0.25">
      <c r="A1249" s="1">
        <v>1545</v>
      </c>
      <c r="B1249" s="1">
        <v>177</v>
      </c>
      <c r="C1249" s="1">
        <v>300</v>
      </c>
    </row>
    <row r="1250" spans="1:3" x14ac:dyDescent="0.25">
      <c r="A1250" s="1">
        <v>1546</v>
      </c>
      <c r="B1250" s="1">
        <v>177</v>
      </c>
      <c r="C1250" s="1">
        <v>300</v>
      </c>
    </row>
    <row r="1251" spans="1:3" x14ac:dyDescent="0.25">
      <c r="A1251" s="1">
        <v>1547</v>
      </c>
      <c r="B1251" s="1">
        <v>177</v>
      </c>
      <c r="C1251" s="1">
        <v>300</v>
      </c>
    </row>
    <row r="1252" spans="1:3" x14ac:dyDescent="0.25">
      <c r="A1252" s="1">
        <v>1548</v>
      </c>
      <c r="B1252" s="1">
        <v>177</v>
      </c>
      <c r="C1252" s="1">
        <v>300</v>
      </c>
    </row>
    <row r="1253" spans="1:3" x14ac:dyDescent="0.25">
      <c r="A1253" s="1">
        <v>1549</v>
      </c>
      <c r="B1253" s="1">
        <v>177</v>
      </c>
      <c r="C1253" s="1">
        <v>300</v>
      </c>
    </row>
    <row r="1254" spans="1:3" x14ac:dyDescent="0.25">
      <c r="A1254" s="1">
        <v>1550</v>
      </c>
      <c r="B1254" s="1">
        <v>178</v>
      </c>
      <c r="C1254" s="1">
        <v>300</v>
      </c>
    </row>
    <row r="1255" spans="1:3" x14ac:dyDescent="0.25">
      <c r="A1255" s="1">
        <v>1551</v>
      </c>
      <c r="B1255" s="1">
        <v>178</v>
      </c>
      <c r="C1255" s="1">
        <v>300</v>
      </c>
    </row>
    <row r="1256" spans="1:3" x14ac:dyDescent="0.25">
      <c r="A1256" s="1">
        <v>1552</v>
      </c>
      <c r="B1256" s="1">
        <v>178</v>
      </c>
      <c r="C1256" s="1">
        <v>300</v>
      </c>
    </row>
    <row r="1257" spans="1:3" x14ac:dyDescent="0.25">
      <c r="A1257" s="1">
        <v>1553</v>
      </c>
      <c r="B1257" s="1">
        <v>178</v>
      </c>
      <c r="C1257" s="1">
        <v>300</v>
      </c>
    </row>
    <row r="1258" spans="1:3" x14ac:dyDescent="0.25">
      <c r="A1258" s="1">
        <v>1554</v>
      </c>
      <c r="B1258" s="1">
        <v>178</v>
      </c>
      <c r="C1258" s="1">
        <v>300</v>
      </c>
    </row>
    <row r="1259" spans="1:3" x14ac:dyDescent="0.25">
      <c r="A1259" s="1">
        <v>1555</v>
      </c>
      <c r="B1259" s="1">
        <v>178</v>
      </c>
      <c r="C1259" s="1">
        <v>300</v>
      </c>
    </row>
    <row r="1260" spans="1:3" x14ac:dyDescent="0.25">
      <c r="A1260" s="1">
        <v>1556</v>
      </c>
      <c r="B1260" s="1">
        <v>178</v>
      </c>
      <c r="C1260" s="1">
        <v>300</v>
      </c>
    </row>
    <row r="1261" spans="1:3" x14ac:dyDescent="0.25">
      <c r="A1261" s="1">
        <v>1557</v>
      </c>
      <c r="B1261" s="1">
        <v>178</v>
      </c>
      <c r="C1261" s="1">
        <v>300</v>
      </c>
    </row>
    <row r="1262" spans="1:3" x14ac:dyDescent="0.25">
      <c r="A1262" s="1">
        <v>1558</v>
      </c>
      <c r="B1262" s="1">
        <v>178</v>
      </c>
      <c r="C1262" s="1">
        <v>300</v>
      </c>
    </row>
    <row r="1263" spans="1:3" x14ac:dyDescent="0.25">
      <c r="A1263" s="1">
        <v>1559</v>
      </c>
      <c r="B1263" s="1">
        <v>178</v>
      </c>
      <c r="C1263" s="1">
        <v>300</v>
      </c>
    </row>
    <row r="1264" spans="1:3" x14ac:dyDescent="0.25">
      <c r="A1264" s="1">
        <v>1560</v>
      </c>
      <c r="B1264" s="1">
        <v>179</v>
      </c>
      <c r="C1264" s="1">
        <v>300</v>
      </c>
    </row>
    <row r="1265" spans="1:3" x14ac:dyDescent="0.25">
      <c r="A1265" s="1">
        <v>1561</v>
      </c>
      <c r="B1265" s="1">
        <v>179</v>
      </c>
      <c r="C1265" s="1">
        <v>300</v>
      </c>
    </row>
    <row r="1266" spans="1:3" x14ac:dyDescent="0.25">
      <c r="A1266" s="1">
        <v>1562</v>
      </c>
      <c r="B1266" s="1">
        <v>179</v>
      </c>
      <c r="C1266" s="1">
        <v>300</v>
      </c>
    </row>
    <row r="1267" spans="1:3" x14ac:dyDescent="0.25">
      <c r="A1267" s="1">
        <v>1563</v>
      </c>
      <c r="B1267" s="1">
        <v>179</v>
      </c>
      <c r="C1267" s="1">
        <v>300</v>
      </c>
    </row>
    <row r="1268" spans="1:3" x14ac:dyDescent="0.25">
      <c r="A1268" s="1">
        <v>1564</v>
      </c>
      <c r="B1268" s="1">
        <v>179</v>
      </c>
      <c r="C1268" s="1">
        <v>300</v>
      </c>
    </row>
    <row r="1269" spans="1:3" x14ac:dyDescent="0.25">
      <c r="A1269" s="1">
        <v>1565</v>
      </c>
      <c r="B1269" s="1">
        <v>179</v>
      </c>
      <c r="C1269" s="1">
        <v>300</v>
      </c>
    </row>
    <row r="1270" spans="1:3" x14ac:dyDescent="0.25">
      <c r="A1270" s="1">
        <v>1566</v>
      </c>
      <c r="B1270" s="1">
        <v>179</v>
      </c>
      <c r="C1270" s="1">
        <v>300</v>
      </c>
    </row>
    <row r="1271" spans="1:3" x14ac:dyDescent="0.25">
      <c r="A1271" s="1">
        <v>1567</v>
      </c>
      <c r="B1271" s="1">
        <v>179</v>
      </c>
      <c r="C1271" s="1">
        <v>300</v>
      </c>
    </row>
    <row r="1272" spans="1:3" x14ac:dyDescent="0.25">
      <c r="A1272" s="1">
        <v>1568</v>
      </c>
      <c r="B1272" s="1">
        <v>179</v>
      </c>
      <c r="C1272" s="1">
        <v>300</v>
      </c>
    </row>
    <row r="1273" spans="1:3" x14ac:dyDescent="0.25">
      <c r="A1273" s="1">
        <v>1569</v>
      </c>
      <c r="B1273" s="1">
        <v>179</v>
      </c>
      <c r="C1273" s="1">
        <v>300</v>
      </c>
    </row>
    <row r="1274" spans="1:3" x14ac:dyDescent="0.25">
      <c r="A1274" s="1">
        <v>1573</v>
      </c>
      <c r="B1274" s="1">
        <v>180</v>
      </c>
      <c r="C1274" s="1">
        <v>300</v>
      </c>
    </row>
    <row r="1275" spans="1:3" x14ac:dyDescent="0.25">
      <c r="A1275" s="1">
        <v>1574</v>
      </c>
      <c r="B1275" s="1">
        <v>180</v>
      </c>
      <c r="C1275" s="1">
        <v>300</v>
      </c>
    </row>
    <row r="1276" spans="1:3" x14ac:dyDescent="0.25">
      <c r="A1276" s="1">
        <v>1575</v>
      </c>
      <c r="B1276" s="1">
        <v>180</v>
      </c>
      <c r="C1276" s="1">
        <v>300</v>
      </c>
    </row>
    <row r="1277" spans="1:3" x14ac:dyDescent="0.25">
      <c r="A1277" s="1">
        <v>1576</v>
      </c>
      <c r="B1277" s="1">
        <v>180</v>
      </c>
      <c r="C1277" s="1">
        <v>300</v>
      </c>
    </row>
    <row r="1278" spans="1:3" x14ac:dyDescent="0.25">
      <c r="A1278" s="1">
        <v>1577</v>
      </c>
      <c r="B1278" s="1">
        <v>180</v>
      </c>
      <c r="C1278" s="1">
        <v>300</v>
      </c>
    </row>
    <row r="1279" spans="1:3" x14ac:dyDescent="0.25">
      <c r="A1279" s="1">
        <v>1578</v>
      </c>
      <c r="B1279" s="1">
        <v>180</v>
      </c>
      <c r="C1279" s="1">
        <v>300</v>
      </c>
    </row>
    <row r="1280" spans="1:3" x14ac:dyDescent="0.25">
      <c r="A1280" s="1">
        <v>1579</v>
      </c>
      <c r="B1280" s="1">
        <v>181</v>
      </c>
      <c r="C1280" s="1">
        <v>300</v>
      </c>
    </row>
    <row r="1281" spans="1:3" x14ac:dyDescent="0.25">
      <c r="A1281" s="1">
        <v>1580</v>
      </c>
      <c r="B1281" s="1">
        <v>181</v>
      </c>
      <c r="C1281" s="1">
        <v>300</v>
      </c>
    </row>
    <row r="1282" spans="1:3" x14ac:dyDescent="0.25">
      <c r="A1282" s="1">
        <v>1581</v>
      </c>
      <c r="B1282" s="1">
        <v>181</v>
      </c>
      <c r="C1282" s="1">
        <v>300</v>
      </c>
    </row>
    <row r="1283" spans="1:3" x14ac:dyDescent="0.25">
      <c r="A1283" s="1">
        <v>1582</v>
      </c>
      <c r="B1283" s="1">
        <v>181</v>
      </c>
      <c r="C1283" s="1">
        <v>300</v>
      </c>
    </row>
    <row r="1284" spans="1:3" x14ac:dyDescent="0.25">
      <c r="A1284" s="1">
        <v>1583</v>
      </c>
      <c r="B1284" s="1">
        <v>181</v>
      </c>
      <c r="C1284" s="1">
        <v>300</v>
      </c>
    </row>
    <row r="1285" spans="1:3" x14ac:dyDescent="0.25">
      <c r="A1285" s="1">
        <v>1584</v>
      </c>
      <c r="B1285" s="1">
        <v>181</v>
      </c>
      <c r="C1285" s="1">
        <v>300</v>
      </c>
    </row>
    <row r="1286" spans="1:3" x14ac:dyDescent="0.25">
      <c r="A1286" s="1">
        <v>1585</v>
      </c>
      <c r="B1286" s="1">
        <v>181</v>
      </c>
      <c r="C1286" s="1">
        <v>300</v>
      </c>
    </row>
    <row r="1287" spans="1:3" x14ac:dyDescent="0.25">
      <c r="A1287" s="1">
        <v>1586</v>
      </c>
      <c r="B1287" s="1">
        <v>181</v>
      </c>
      <c r="C1287" s="1">
        <v>300</v>
      </c>
    </row>
    <row r="1288" spans="1:3" x14ac:dyDescent="0.25">
      <c r="A1288" s="1">
        <v>1587</v>
      </c>
      <c r="B1288" s="1">
        <v>181</v>
      </c>
      <c r="C1288" s="1">
        <v>100</v>
      </c>
    </row>
    <row r="1289" spans="1:3" x14ac:dyDescent="0.25">
      <c r="A1289" s="1">
        <v>1588</v>
      </c>
      <c r="B1289" s="1">
        <v>182</v>
      </c>
      <c r="C1289" s="1">
        <v>300</v>
      </c>
    </row>
    <row r="1290" spans="1:3" x14ac:dyDescent="0.25">
      <c r="A1290" s="1">
        <v>1589</v>
      </c>
      <c r="B1290" s="1">
        <v>182</v>
      </c>
      <c r="C1290" s="1">
        <v>300</v>
      </c>
    </row>
    <row r="1291" spans="1:3" x14ac:dyDescent="0.25">
      <c r="A1291" s="1">
        <v>1590</v>
      </c>
      <c r="B1291" s="1">
        <v>182</v>
      </c>
      <c r="C1291" s="1">
        <v>300</v>
      </c>
    </row>
    <row r="1292" spans="1:3" x14ac:dyDescent="0.25">
      <c r="A1292" s="1">
        <v>1591</v>
      </c>
      <c r="B1292" s="1">
        <v>182</v>
      </c>
      <c r="C1292" s="1">
        <v>100</v>
      </c>
    </row>
    <row r="1293" spans="1:3" x14ac:dyDescent="0.25">
      <c r="A1293" s="1">
        <v>1593</v>
      </c>
      <c r="B1293" s="1">
        <v>183</v>
      </c>
      <c r="C1293" s="1">
        <v>2</v>
      </c>
    </row>
    <row r="1294" spans="1:3" x14ac:dyDescent="0.25">
      <c r="A1294" s="1">
        <v>1594</v>
      </c>
      <c r="B1294" s="1">
        <v>184</v>
      </c>
      <c r="C1294" s="1">
        <v>300</v>
      </c>
    </row>
    <row r="1295" spans="1:3" x14ac:dyDescent="0.25">
      <c r="A1295" s="1">
        <v>1595</v>
      </c>
      <c r="B1295" s="1">
        <v>184</v>
      </c>
      <c r="C1295" s="1">
        <v>300</v>
      </c>
    </row>
    <row r="1296" spans="1:3" x14ac:dyDescent="0.25">
      <c r="A1296" s="1">
        <v>1596</v>
      </c>
      <c r="B1296" s="1">
        <v>184</v>
      </c>
      <c r="C1296" s="1">
        <v>300</v>
      </c>
    </row>
    <row r="1297" spans="1:3" x14ac:dyDescent="0.25">
      <c r="A1297" s="1">
        <v>1597</v>
      </c>
      <c r="B1297" s="1">
        <v>184</v>
      </c>
      <c r="C1297" s="1">
        <v>300</v>
      </c>
    </row>
    <row r="1298" spans="1:3" x14ac:dyDescent="0.25">
      <c r="A1298" s="1">
        <v>1598</v>
      </c>
      <c r="B1298" s="1">
        <v>184</v>
      </c>
      <c r="C1298" s="1">
        <v>300</v>
      </c>
    </row>
    <row r="1299" spans="1:3" x14ac:dyDescent="0.25">
      <c r="A1299" s="1">
        <v>1599</v>
      </c>
      <c r="B1299" s="1">
        <v>184</v>
      </c>
      <c r="C1299" s="1">
        <v>300</v>
      </c>
    </row>
    <row r="1300" spans="1:3" x14ac:dyDescent="0.25">
      <c r="A1300" s="1">
        <v>1600</v>
      </c>
      <c r="B1300" s="1">
        <v>184</v>
      </c>
      <c r="C1300" s="1">
        <v>300</v>
      </c>
    </row>
    <row r="1301" spans="1:3" x14ac:dyDescent="0.25">
      <c r="A1301" s="1">
        <v>1601</v>
      </c>
      <c r="B1301" s="1">
        <v>184</v>
      </c>
      <c r="C1301" s="1">
        <v>300</v>
      </c>
    </row>
    <row r="1302" spans="1:3" x14ac:dyDescent="0.25">
      <c r="A1302" s="1">
        <v>1602</v>
      </c>
      <c r="B1302" s="1">
        <v>184</v>
      </c>
      <c r="C1302" s="1">
        <v>300</v>
      </c>
    </row>
    <row r="1303" spans="1:3" x14ac:dyDescent="0.25">
      <c r="A1303" s="1">
        <v>1603</v>
      </c>
      <c r="B1303" s="1">
        <v>184</v>
      </c>
      <c r="C1303" s="1">
        <v>300</v>
      </c>
    </row>
    <row r="1304" spans="1:3" x14ac:dyDescent="0.25">
      <c r="A1304" s="1">
        <v>1604</v>
      </c>
      <c r="B1304" s="1">
        <v>185</v>
      </c>
      <c r="C1304" s="1">
        <v>300</v>
      </c>
    </row>
    <row r="1305" spans="1:3" x14ac:dyDescent="0.25">
      <c r="A1305" s="1">
        <v>1605</v>
      </c>
      <c r="B1305" s="1">
        <v>185</v>
      </c>
      <c r="C1305" s="1">
        <v>300</v>
      </c>
    </row>
    <row r="1306" spans="1:3" x14ac:dyDescent="0.25">
      <c r="A1306" s="1">
        <v>1606</v>
      </c>
      <c r="B1306" s="1">
        <v>185</v>
      </c>
      <c r="C1306" s="1">
        <v>300</v>
      </c>
    </row>
    <row r="1307" spans="1:3" x14ac:dyDescent="0.25">
      <c r="A1307" s="1">
        <v>1607</v>
      </c>
      <c r="B1307" s="1">
        <v>185</v>
      </c>
      <c r="C1307" s="1">
        <v>300</v>
      </c>
    </row>
    <row r="1308" spans="1:3" x14ac:dyDescent="0.25">
      <c r="A1308" s="1">
        <v>1608</v>
      </c>
      <c r="B1308" s="1">
        <v>185</v>
      </c>
      <c r="C1308" s="1">
        <v>300</v>
      </c>
    </row>
    <row r="1309" spans="1:3" x14ac:dyDescent="0.25">
      <c r="A1309" s="1">
        <v>1609</v>
      </c>
      <c r="B1309" s="1">
        <v>185</v>
      </c>
      <c r="C1309" s="1">
        <v>300</v>
      </c>
    </row>
    <row r="1310" spans="1:3" x14ac:dyDescent="0.25">
      <c r="A1310" s="1">
        <v>1610</v>
      </c>
      <c r="B1310" s="1">
        <v>185</v>
      </c>
      <c r="C1310" s="1">
        <v>300</v>
      </c>
    </row>
    <row r="1311" spans="1:3" x14ac:dyDescent="0.25">
      <c r="A1311" s="1">
        <v>1611</v>
      </c>
      <c r="B1311" s="1">
        <v>185</v>
      </c>
      <c r="C1311" s="1">
        <v>300</v>
      </c>
    </row>
    <row r="1312" spans="1:3" x14ac:dyDescent="0.25">
      <c r="A1312" s="1">
        <v>1612</v>
      </c>
      <c r="B1312" s="1">
        <v>185</v>
      </c>
      <c r="C1312" s="1">
        <v>300</v>
      </c>
    </row>
    <row r="1313" spans="1:3" x14ac:dyDescent="0.25">
      <c r="A1313" s="1">
        <v>1613</v>
      </c>
      <c r="B1313" s="1">
        <v>185</v>
      </c>
      <c r="C1313" s="1">
        <v>300</v>
      </c>
    </row>
    <row r="1314" spans="1:3" x14ac:dyDescent="0.25">
      <c r="A1314" s="1">
        <v>1614</v>
      </c>
      <c r="B1314" s="1">
        <v>186</v>
      </c>
      <c r="C1314" s="1">
        <v>300</v>
      </c>
    </row>
    <row r="1315" spans="1:3" x14ac:dyDescent="0.25">
      <c r="A1315" s="1">
        <v>1615</v>
      </c>
      <c r="B1315" s="1">
        <v>186</v>
      </c>
      <c r="C1315" s="1">
        <v>300</v>
      </c>
    </row>
    <row r="1316" spans="1:3" x14ac:dyDescent="0.25">
      <c r="A1316" s="1">
        <v>1616</v>
      </c>
      <c r="B1316" s="1">
        <v>186</v>
      </c>
      <c r="C1316" s="1">
        <v>300</v>
      </c>
    </row>
    <row r="1317" spans="1:3" x14ac:dyDescent="0.25">
      <c r="A1317" s="1">
        <v>1617</v>
      </c>
      <c r="B1317" s="1">
        <v>186</v>
      </c>
      <c r="C1317" s="1">
        <v>300</v>
      </c>
    </row>
    <row r="1318" spans="1:3" x14ac:dyDescent="0.25">
      <c r="A1318" s="1">
        <v>1618</v>
      </c>
      <c r="B1318" s="1">
        <v>186</v>
      </c>
      <c r="C1318" s="1">
        <v>300</v>
      </c>
    </row>
    <row r="1319" spans="1:3" x14ac:dyDescent="0.25">
      <c r="A1319" s="1">
        <v>1619</v>
      </c>
      <c r="B1319" s="1">
        <v>186</v>
      </c>
      <c r="C1319" s="1">
        <v>300</v>
      </c>
    </row>
    <row r="1320" spans="1:3" x14ac:dyDescent="0.25">
      <c r="A1320" s="1">
        <v>1620</v>
      </c>
      <c r="B1320" s="1">
        <v>186</v>
      </c>
      <c r="C1320" s="1">
        <v>300</v>
      </c>
    </row>
    <row r="1321" spans="1:3" x14ac:dyDescent="0.25">
      <c r="A1321" s="1">
        <v>1621</v>
      </c>
      <c r="B1321" s="1">
        <v>186</v>
      </c>
      <c r="C1321" s="1">
        <v>300</v>
      </c>
    </row>
    <row r="1322" spans="1:3" x14ac:dyDescent="0.25">
      <c r="A1322" s="1">
        <v>1622</v>
      </c>
      <c r="B1322" s="1">
        <v>186</v>
      </c>
      <c r="C1322" s="1">
        <v>300</v>
      </c>
    </row>
    <row r="1323" spans="1:3" x14ac:dyDescent="0.25">
      <c r="A1323" s="1">
        <v>1623</v>
      </c>
      <c r="B1323" s="1">
        <v>186</v>
      </c>
      <c r="C1323" s="1">
        <v>300</v>
      </c>
    </row>
    <row r="1324" spans="1:3" x14ac:dyDescent="0.25">
      <c r="A1324" s="1">
        <v>1624</v>
      </c>
      <c r="B1324" s="1">
        <v>187</v>
      </c>
      <c r="C1324" s="1">
        <v>300</v>
      </c>
    </row>
    <row r="1325" spans="1:3" x14ac:dyDescent="0.25">
      <c r="A1325" s="1">
        <v>1625</v>
      </c>
      <c r="B1325" s="1">
        <v>187</v>
      </c>
      <c r="C1325" s="1">
        <v>300</v>
      </c>
    </row>
    <row r="1326" spans="1:3" x14ac:dyDescent="0.25">
      <c r="A1326" s="1">
        <v>1626</v>
      </c>
      <c r="B1326" s="1">
        <v>187</v>
      </c>
      <c r="C1326" s="1">
        <v>300</v>
      </c>
    </row>
    <row r="1327" spans="1:3" x14ac:dyDescent="0.25">
      <c r="A1327" s="1">
        <v>1627</v>
      </c>
      <c r="B1327" s="1">
        <v>187</v>
      </c>
      <c r="C1327" s="1">
        <v>300</v>
      </c>
    </row>
    <row r="1328" spans="1:3" x14ac:dyDescent="0.25">
      <c r="A1328" s="1">
        <v>1628</v>
      </c>
      <c r="B1328" s="1">
        <v>187</v>
      </c>
      <c r="C1328" s="1">
        <v>300</v>
      </c>
    </row>
    <row r="1329" spans="1:3" x14ac:dyDescent="0.25">
      <c r="A1329" s="1">
        <v>1629</v>
      </c>
      <c r="B1329" s="1">
        <v>187</v>
      </c>
      <c r="C1329" s="1">
        <v>300</v>
      </c>
    </row>
    <row r="1330" spans="1:3" x14ac:dyDescent="0.25">
      <c r="A1330" s="1">
        <v>1630</v>
      </c>
      <c r="B1330" s="1">
        <v>187</v>
      </c>
      <c r="C1330" s="1">
        <v>300</v>
      </c>
    </row>
    <row r="1331" spans="1:3" x14ac:dyDescent="0.25">
      <c r="A1331" s="1">
        <v>1631</v>
      </c>
      <c r="B1331" s="1">
        <v>187</v>
      </c>
      <c r="C1331" s="1">
        <v>300</v>
      </c>
    </row>
    <row r="1332" spans="1:3" x14ac:dyDescent="0.25">
      <c r="A1332" s="1">
        <v>1632</v>
      </c>
      <c r="B1332" s="1">
        <v>187</v>
      </c>
      <c r="C1332" s="1">
        <v>300</v>
      </c>
    </row>
    <row r="1333" spans="1:3" x14ac:dyDescent="0.25">
      <c r="A1333" s="1">
        <v>1633</v>
      </c>
      <c r="B1333" s="1">
        <v>187</v>
      </c>
      <c r="C1333" s="1">
        <v>300</v>
      </c>
    </row>
    <row r="1334" spans="1:3" x14ac:dyDescent="0.25">
      <c r="A1334" s="1">
        <v>1634</v>
      </c>
      <c r="B1334" s="1">
        <v>188</v>
      </c>
      <c r="C1334" s="1">
        <v>300</v>
      </c>
    </row>
    <row r="1335" spans="1:3" x14ac:dyDescent="0.25">
      <c r="A1335" s="1">
        <v>1635</v>
      </c>
      <c r="B1335" s="1">
        <v>188</v>
      </c>
      <c r="C1335" s="1">
        <v>300</v>
      </c>
    </row>
    <row r="1336" spans="1:3" x14ac:dyDescent="0.25">
      <c r="A1336" s="1">
        <v>1636</v>
      </c>
      <c r="B1336" s="1">
        <v>188</v>
      </c>
      <c r="C1336" s="1">
        <v>300</v>
      </c>
    </row>
    <row r="1337" spans="1:3" x14ac:dyDescent="0.25">
      <c r="A1337" s="1">
        <v>1637</v>
      </c>
      <c r="B1337" s="1">
        <v>188</v>
      </c>
      <c r="C1337" s="1">
        <v>300</v>
      </c>
    </row>
    <row r="1338" spans="1:3" x14ac:dyDescent="0.25">
      <c r="A1338" s="1">
        <v>1638</v>
      </c>
      <c r="B1338" s="1">
        <v>188</v>
      </c>
      <c r="C1338" s="1">
        <v>300</v>
      </c>
    </row>
    <row r="1339" spans="1:3" x14ac:dyDescent="0.25">
      <c r="A1339" s="1">
        <v>1639</v>
      </c>
      <c r="B1339" s="1">
        <v>188</v>
      </c>
      <c r="C1339" s="1">
        <v>300</v>
      </c>
    </row>
    <row r="1340" spans="1:3" x14ac:dyDescent="0.25">
      <c r="A1340" s="1">
        <v>1640</v>
      </c>
      <c r="B1340" s="1">
        <v>188</v>
      </c>
      <c r="C1340" s="1">
        <v>300</v>
      </c>
    </row>
    <row r="1341" spans="1:3" x14ac:dyDescent="0.25">
      <c r="A1341" s="1">
        <v>1641</v>
      </c>
      <c r="B1341" s="1">
        <v>188</v>
      </c>
      <c r="C1341" s="1">
        <v>300</v>
      </c>
    </row>
    <row r="1342" spans="1:3" x14ac:dyDescent="0.25">
      <c r="A1342" s="1">
        <v>1642</v>
      </c>
      <c r="B1342" s="1">
        <v>188</v>
      </c>
      <c r="C1342" s="1">
        <v>300</v>
      </c>
    </row>
    <row r="1343" spans="1:3" x14ac:dyDescent="0.25">
      <c r="A1343" s="1">
        <v>1643</v>
      </c>
      <c r="B1343" s="1">
        <v>188</v>
      </c>
      <c r="C1343" s="1">
        <v>300</v>
      </c>
    </row>
    <row r="1344" spans="1:3" x14ac:dyDescent="0.25">
      <c r="A1344" s="1">
        <v>1644</v>
      </c>
      <c r="B1344" s="1">
        <v>189</v>
      </c>
      <c r="C1344" s="1">
        <v>300</v>
      </c>
    </row>
    <row r="1345" spans="1:3" x14ac:dyDescent="0.25">
      <c r="A1345" s="1">
        <v>1645</v>
      </c>
      <c r="B1345" s="1">
        <v>189</v>
      </c>
      <c r="C1345" s="1">
        <v>300</v>
      </c>
    </row>
    <row r="1346" spans="1:3" x14ac:dyDescent="0.25">
      <c r="A1346" s="1">
        <v>1646</v>
      </c>
      <c r="B1346" s="1">
        <v>189</v>
      </c>
      <c r="C1346" s="1">
        <v>300</v>
      </c>
    </row>
    <row r="1347" spans="1:3" x14ac:dyDescent="0.25">
      <c r="A1347" s="1">
        <v>1647</v>
      </c>
      <c r="B1347" s="1">
        <v>189</v>
      </c>
      <c r="C1347" s="1">
        <v>300</v>
      </c>
    </row>
    <row r="1348" spans="1:3" x14ac:dyDescent="0.25">
      <c r="A1348" s="1">
        <v>1648</v>
      </c>
      <c r="B1348" s="1">
        <v>189</v>
      </c>
      <c r="C1348" s="1">
        <v>300</v>
      </c>
    </row>
    <row r="1349" spans="1:3" x14ac:dyDescent="0.25">
      <c r="A1349" s="1">
        <v>1649</v>
      </c>
      <c r="B1349" s="1">
        <v>189</v>
      </c>
      <c r="C1349" s="1">
        <v>300</v>
      </c>
    </row>
    <row r="1350" spans="1:3" x14ac:dyDescent="0.25">
      <c r="A1350" s="1">
        <v>1650</v>
      </c>
      <c r="B1350" s="1">
        <v>189</v>
      </c>
      <c r="C1350" s="1">
        <v>300</v>
      </c>
    </row>
    <row r="1351" spans="1:3" x14ac:dyDescent="0.25">
      <c r="A1351" s="1">
        <v>1651</v>
      </c>
      <c r="B1351" s="1">
        <v>189</v>
      </c>
      <c r="C1351" s="1">
        <v>300</v>
      </c>
    </row>
    <row r="1352" spans="1:3" x14ac:dyDescent="0.25">
      <c r="A1352" s="1">
        <v>1652</v>
      </c>
      <c r="B1352" s="1">
        <v>189</v>
      </c>
      <c r="C1352" s="1">
        <v>300</v>
      </c>
    </row>
    <row r="1353" spans="1:3" x14ac:dyDescent="0.25">
      <c r="A1353" s="1">
        <v>1653</v>
      </c>
      <c r="B1353" s="1">
        <v>189</v>
      </c>
      <c r="C1353" s="1">
        <v>300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A34FB-A028-4C4E-9AB0-2103BE28FCAC}">
  <sheetPr codeName="Sheet19"/>
  <dimension ref="A1:I430"/>
  <sheetViews>
    <sheetView topLeftCell="A413" workbookViewId="0">
      <selection activeCell="E336" sqref="E336:E430"/>
    </sheetView>
  </sheetViews>
  <sheetFormatPr defaultColWidth="15.7109375" defaultRowHeight="15" x14ac:dyDescent="0.25"/>
  <cols>
    <col min="1" max="4" width="15.7109375" style="1"/>
    <col min="5" max="5" width="22.5703125" style="1" bestFit="1" customWidth="1"/>
    <col min="6" max="6" width="15.7109375" style="1"/>
    <col min="7" max="7" width="19.85546875" style="1" bestFit="1" customWidth="1"/>
    <col min="8" max="16384" width="15.7109375" style="1"/>
  </cols>
  <sheetData>
    <row r="1" spans="1:9" x14ac:dyDescent="0.25">
      <c r="A1" s="1" t="s">
        <v>0</v>
      </c>
      <c r="B1" s="1" t="s">
        <v>571</v>
      </c>
      <c r="C1" s="1" t="s">
        <v>366</v>
      </c>
      <c r="D1" s="1" t="s">
        <v>389</v>
      </c>
      <c r="E1" s="1" t="s">
        <v>838</v>
      </c>
      <c r="F1" s="1" t="s">
        <v>505</v>
      </c>
      <c r="G1" s="1" t="s">
        <v>816</v>
      </c>
      <c r="H1" s="1" t="s">
        <v>836</v>
      </c>
      <c r="I1" s="1" t="s">
        <v>818</v>
      </c>
    </row>
    <row r="2" spans="1:9" x14ac:dyDescent="0.25">
      <c r="A2" s="1">
        <v>4</v>
      </c>
      <c r="B2" s="1" t="s">
        <v>799</v>
      </c>
      <c r="C2" s="1">
        <v>140450035</v>
      </c>
      <c r="D2" s="1">
        <v>100</v>
      </c>
      <c r="E2" s="1">
        <v>4</v>
      </c>
      <c r="F2" s="3">
        <v>6</v>
      </c>
      <c r="G2" s="1">
        <v>100</v>
      </c>
      <c r="H2" s="3"/>
    </row>
    <row r="3" spans="1:9" x14ac:dyDescent="0.25">
      <c r="A3" s="1">
        <v>5</v>
      </c>
      <c r="B3" s="1" t="s">
        <v>800</v>
      </c>
      <c r="C3" s="1">
        <v>140450035</v>
      </c>
      <c r="D3" s="1">
        <v>1050</v>
      </c>
      <c r="E3" s="1">
        <v>5</v>
      </c>
      <c r="F3" s="3">
        <v>6</v>
      </c>
      <c r="G3" s="1">
        <v>1050</v>
      </c>
      <c r="H3" s="3"/>
    </row>
    <row r="4" spans="1:9" x14ac:dyDescent="0.25">
      <c r="A4" s="1">
        <v>6</v>
      </c>
      <c r="B4" s="1" t="s">
        <v>801</v>
      </c>
      <c r="C4" s="1">
        <v>140450035</v>
      </c>
      <c r="D4" s="1">
        <v>800</v>
      </c>
      <c r="E4" s="1">
        <v>6</v>
      </c>
      <c r="F4" s="3">
        <v>6</v>
      </c>
      <c r="G4" s="1">
        <v>800</v>
      </c>
      <c r="H4" s="3"/>
    </row>
    <row r="5" spans="1:9" x14ac:dyDescent="0.25">
      <c r="A5" s="1">
        <v>7</v>
      </c>
      <c r="B5" s="1" t="s">
        <v>802</v>
      </c>
      <c r="C5" s="1">
        <v>140450027</v>
      </c>
      <c r="D5" s="1">
        <v>1200</v>
      </c>
      <c r="E5" s="1">
        <v>7</v>
      </c>
      <c r="F5" s="3">
        <v>5</v>
      </c>
      <c r="G5" s="1">
        <v>1200</v>
      </c>
      <c r="H5" s="3"/>
      <c r="I5" s="1" t="s">
        <v>84</v>
      </c>
    </row>
    <row r="6" spans="1:9" x14ac:dyDescent="0.25">
      <c r="A6" s="1">
        <v>8</v>
      </c>
      <c r="B6" s="1" t="s">
        <v>803</v>
      </c>
      <c r="C6" s="1">
        <v>140450027</v>
      </c>
      <c r="D6" s="1">
        <v>1200</v>
      </c>
      <c r="E6" s="1">
        <v>8</v>
      </c>
      <c r="F6" s="3">
        <v>5</v>
      </c>
      <c r="G6" s="1">
        <v>1200</v>
      </c>
      <c r="H6" s="3"/>
      <c r="I6" s="1" t="s">
        <v>84</v>
      </c>
    </row>
    <row r="7" spans="1:9" x14ac:dyDescent="0.25">
      <c r="A7" s="1">
        <v>9</v>
      </c>
      <c r="B7" s="1" t="s">
        <v>804</v>
      </c>
      <c r="C7" s="1">
        <v>140450027</v>
      </c>
      <c r="D7" s="1">
        <v>593</v>
      </c>
      <c r="E7" s="1">
        <v>9</v>
      </c>
      <c r="F7" s="3">
        <v>5</v>
      </c>
      <c r="G7" s="1">
        <v>593</v>
      </c>
      <c r="H7" s="3"/>
      <c r="I7" s="1" t="s">
        <v>84</v>
      </c>
    </row>
    <row r="8" spans="1:9" x14ac:dyDescent="0.25">
      <c r="A8" s="1">
        <v>22</v>
      </c>
      <c r="B8" s="1" t="s">
        <v>577</v>
      </c>
      <c r="C8" s="1">
        <v>140450035</v>
      </c>
      <c r="D8" s="1">
        <v>44</v>
      </c>
      <c r="E8" s="1">
        <v>22</v>
      </c>
      <c r="F8" s="3">
        <v>6</v>
      </c>
      <c r="G8" s="1">
        <v>44</v>
      </c>
      <c r="H8" s="3"/>
    </row>
    <row r="9" spans="1:9" x14ac:dyDescent="0.25">
      <c r="A9" s="1">
        <v>32</v>
      </c>
      <c r="B9" s="1" t="s">
        <v>805</v>
      </c>
      <c r="C9" s="1">
        <v>140030040</v>
      </c>
      <c r="D9" s="1">
        <v>300</v>
      </c>
      <c r="E9" s="1">
        <v>32</v>
      </c>
      <c r="F9" s="3">
        <v>7</v>
      </c>
      <c r="G9" s="1">
        <v>300</v>
      </c>
      <c r="H9" s="3"/>
    </row>
    <row r="10" spans="1:9" x14ac:dyDescent="0.25">
      <c r="A10" s="1">
        <v>46</v>
      </c>
      <c r="B10" s="1" t="s">
        <v>579</v>
      </c>
      <c r="C10" s="1">
        <v>140030040</v>
      </c>
      <c r="D10" s="1">
        <v>2900</v>
      </c>
      <c r="E10" s="1">
        <v>46</v>
      </c>
      <c r="F10" s="3">
        <v>21</v>
      </c>
      <c r="G10" s="1">
        <v>2600</v>
      </c>
      <c r="H10" s="3">
        <v>7</v>
      </c>
      <c r="I10" s="1">
        <v>300</v>
      </c>
    </row>
    <row r="11" spans="1:9" x14ac:dyDescent="0.25">
      <c r="A11" s="1">
        <v>49</v>
      </c>
      <c r="B11" s="1" t="s">
        <v>580</v>
      </c>
      <c r="C11" s="1">
        <v>140020181</v>
      </c>
      <c r="D11" s="1">
        <v>1725</v>
      </c>
      <c r="E11" s="1">
        <v>49</v>
      </c>
      <c r="F11" s="3">
        <v>11</v>
      </c>
      <c r="G11" s="1">
        <v>1725</v>
      </c>
      <c r="H11" s="3"/>
    </row>
    <row r="12" spans="1:9" x14ac:dyDescent="0.25">
      <c r="A12" s="1">
        <v>52</v>
      </c>
      <c r="B12" s="1" t="s">
        <v>581</v>
      </c>
      <c r="C12" s="1">
        <v>140010117</v>
      </c>
      <c r="D12" s="1">
        <v>300</v>
      </c>
      <c r="E12" s="1">
        <v>52</v>
      </c>
      <c r="F12" s="3">
        <v>19</v>
      </c>
      <c r="G12" s="1">
        <v>300</v>
      </c>
      <c r="H12" s="3"/>
    </row>
    <row r="13" spans="1:9" x14ac:dyDescent="0.25">
      <c r="A13" s="1">
        <v>53</v>
      </c>
      <c r="B13" s="1" t="s">
        <v>581</v>
      </c>
      <c r="C13" s="1">
        <v>140020181</v>
      </c>
      <c r="D13" s="1">
        <v>4050</v>
      </c>
      <c r="E13" s="1">
        <v>53</v>
      </c>
      <c r="F13" s="3">
        <v>11</v>
      </c>
      <c r="G13" s="1">
        <v>4050</v>
      </c>
      <c r="H13" s="3"/>
    </row>
    <row r="14" spans="1:9" x14ac:dyDescent="0.25">
      <c r="A14" s="1">
        <v>54</v>
      </c>
      <c r="B14" s="1" t="s">
        <v>581</v>
      </c>
      <c r="C14" s="1">
        <v>140030039</v>
      </c>
      <c r="D14" s="1">
        <v>2300</v>
      </c>
      <c r="E14" s="1">
        <v>54</v>
      </c>
      <c r="F14" s="3">
        <v>20</v>
      </c>
      <c r="G14" s="1">
        <v>1000</v>
      </c>
      <c r="H14" s="3"/>
      <c r="I14" s="1">
        <v>1300</v>
      </c>
    </row>
    <row r="15" spans="1:9" x14ac:dyDescent="0.25">
      <c r="A15" s="1">
        <v>56</v>
      </c>
      <c r="B15" s="1" t="s">
        <v>582</v>
      </c>
      <c r="C15" s="1">
        <v>140010117</v>
      </c>
      <c r="D15" s="1">
        <v>1200</v>
      </c>
      <c r="E15" s="1">
        <v>56</v>
      </c>
      <c r="F15" s="3">
        <v>19</v>
      </c>
      <c r="G15" s="1">
        <v>1200</v>
      </c>
      <c r="H15" s="3"/>
    </row>
    <row r="16" spans="1:9" x14ac:dyDescent="0.25">
      <c r="A16" s="1">
        <v>58</v>
      </c>
      <c r="B16" s="1" t="s">
        <v>582</v>
      </c>
      <c r="C16" s="1">
        <v>140020181</v>
      </c>
      <c r="D16" s="1">
        <v>2250</v>
      </c>
      <c r="E16" s="1">
        <v>58</v>
      </c>
      <c r="F16" s="3">
        <v>11</v>
      </c>
      <c r="G16" s="1">
        <v>2250</v>
      </c>
      <c r="H16" s="3"/>
    </row>
    <row r="17" spans="1:9" x14ac:dyDescent="0.25">
      <c r="A17" s="1">
        <v>59</v>
      </c>
      <c r="B17" s="1" t="s">
        <v>582</v>
      </c>
      <c r="C17" s="1">
        <v>140030039</v>
      </c>
      <c r="D17" s="1">
        <v>2000</v>
      </c>
      <c r="E17" s="1">
        <v>59</v>
      </c>
      <c r="F17" s="3">
        <v>20</v>
      </c>
      <c r="G17" s="1">
        <v>2000</v>
      </c>
      <c r="H17" s="3"/>
    </row>
    <row r="18" spans="1:9" x14ac:dyDescent="0.25">
      <c r="A18" s="1">
        <v>60</v>
      </c>
      <c r="B18" s="1" t="s">
        <v>582</v>
      </c>
      <c r="C18" s="1">
        <v>140030040</v>
      </c>
      <c r="D18" s="1">
        <v>1300</v>
      </c>
      <c r="E18" s="1">
        <v>60</v>
      </c>
      <c r="F18" s="3">
        <v>13</v>
      </c>
      <c r="G18" s="1">
        <v>900</v>
      </c>
      <c r="H18" s="3">
        <v>21</v>
      </c>
      <c r="I18" s="1">
        <v>400</v>
      </c>
    </row>
    <row r="19" spans="1:9" x14ac:dyDescent="0.25">
      <c r="A19" s="1">
        <v>64</v>
      </c>
      <c r="B19" s="1" t="s">
        <v>509</v>
      </c>
      <c r="C19" s="1">
        <v>140030039</v>
      </c>
      <c r="D19" s="1">
        <v>1800</v>
      </c>
      <c r="E19" s="1">
        <v>64</v>
      </c>
      <c r="F19" s="3">
        <v>12</v>
      </c>
      <c r="G19" s="1">
        <v>1800</v>
      </c>
      <c r="H19" s="3"/>
    </row>
    <row r="20" spans="1:9" x14ac:dyDescent="0.25">
      <c r="A20" s="1">
        <v>65</v>
      </c>
      <c r="B20" s="1" t="s">
        <v>509</v>
      </c>
      <c r="C20" s="1">
        <v>140030040</v>
      </c>
      <c r="D20" s="1">
        <v>3500</v>
      </c>
      <c r="E20" s="1">
        <v>65</v>
      </c>
      <c r="F20" s="3">
        <v>13</v>
      </c>
      <c r="G20" s="1">
        <v>3500</v>
      </c>
      <c r="H20" s="3"/>
    </row>
    <row r="21" spans="1:9" x14ac:dyDescent="0.25">
      <c r="A21" s="1">
        <v>67</v>
      </c>
      <c r="B21" s="1" t="s">
        <v>583</v>
      </c>
      <c r="C21" s="1">
        <v>140030039</v>
      </c>
      <c r="D21" s="1">
        <v>1300</v>
      </c>
      <c r="E21" s="1">
        <v>67</v>
      </c>
      <c r="F21" s="3">
        <v>12</v>
      </c>
      <c r="G21" s="1">
        <v>1300</v>
      </c>
      <c r="H21" s="3"/>
    </row>
    <row r="22" spans="1:9" x14ac:dyDescent="0.25">
      <c r="A22" s="1">
        <v>68</v>
      </c>
      <c r="B22" s="1" t="s">
        <v>583</v>
      </c>
      <c r="C22" s="1">
        <v>140030040</v>
      </c>
      <c r="D22" s="1">
        <v>2200</v>
      </c>
      <c r="E22" s="1">
        <v>68</v>
      </c>
      <c r="F22" s="3">
        <v>13</v>
      </c>
      <c r="G22" s="1">
        <v>2200</v>
      </c>
      <c r="H22" s="3"/>
    </row>
    <row r="23" spans="1:9" x14ac:dyDescent="0.25">
      <c r="A23" s="1">
        <v>70</v>
      </c>
      <c r="B23" s="1" t="s">
        <v>396</v>
      </c>
      <c r="C23" s="1">
        <v>140020181</v>
      </c>
      <c r="D23" s="1">
        <v>75</v>
      </c>
      <c r="E23" s="1">
        <v>70</v>
      </c>
      <c r="F23" s="3">
        <v>11</v>
      </c>
      <c r="G23" s="1">
        <v>75</v>
      </c>
      <c r="H23" s="3"/>
    </row>
    <row r="24" spans="1:9" x14ac:dyDescent="0.25">
      <c r="A24" s="1">
        <v>71</v>
      </c>
      <c r="B24" s="1" t="s">
        <v>396</v>
      </c>
      <c r="C24" s="1">
        <v>140030040</v>
      </c>
      <c r="D24" s="1">
        <v>900</v>
      </c>
      <c r="E24" s="1">
        <v>71</v>
      </c>
      <c r="F24" s="3">
        <v>13</v>
      </c>
      <c r="G24" s="1">
        <v>900</v>
      </c>
      <c r="H24" s="3"/>
    </row>
    <row r="25" spans="1:9" x14ac:dyDescent="0.25">
      <c r="A25" s="1">
        <v>72</v>
      </c>
      <c r="B25" s="1" t="s">
        <v>396</v>
      </c>
      <c r="C25" s="1">
        <v>140310096</v>
      </c>
      <c r="D25" s="1">
        <v>1300</v>
      </c>
      <c r="E25" s="1">
        <v>72</v>
      </c>
      <c r="F25" s="3">
        <v>16</v>
      </c>
      <c r="G25" s="1">
        <v>1300</v>
      </c>
      <c r="H25" s="3"/>
    </row>
    <row r="26" spans="1:9" x14ac:dyDescent="0.25">
      <c r="A26" s="1">
        <v>76</v>
      </c>
      <c r="B26" s="1" t="s">
        <v>397</v>
      </c>
      <c r="C26" s="1">
        <v>140010117</v>
      </c>
      <c r="D26" s="1">
        <v>1950</v>
      </c>
      <c r="E26" s="1">
        <v>76</v>
      </c>
      <c r="F26" s="3">
        <v>8</v>
      </c>
      <c r="G26" s="1">
        <v>1850</v>
      </c>
      <c r="H26" s="3">
        <v>19</v>
      </c>
      <c r="I26" s="1">
        <v>100</v>
      </c>
    </row>
    <row r="27" spans="1:9" x14ac:dyDescent="0.25">
      <c r="A27" s="1">
        <v>77</v>
      </c>
      <c r="B27" s="1" t="s">
        <v>397</v>
      </c>
      <c r="C27" s="1">
        <v>140010230</v>
      </c>
      <c r="D27" s="1">
        <v>300</v>
      </c>
      <c r="E27" s="1">
        <v>77</v>
      </c>
      <c r="F27" s="3">
        <v>9</v>
      </c>
      <c r="G27" s="1">
        <v>300</v>
      </c>
      <c r="H27" s="3"/>
    </row>
    <row r="28" spans="1:9" x14ac:dyDescent="0.25">
      <c r="A28" s="1">
        <v>78</v>
      </c>
      <c r="B28" s="1" t="s">
        <v>397</v>
      </c>
      <c r="C28" s="1">
        <v>140030039</v>
      </c>
      <c r="D28" s="1">
        <v>1500</v>
      </c>
      <c r="E28" s="1">
        <v>78</v>
      </c>
      <c r="F28" s="3">
        <v>12</v>
      </c>
      <c r="G28" s="1">
        <v>1500</v>
      </c>
      <c r="H28" s="3"/>
    </row>
    <row r="29" spans="1:9" x14ac:dyDescent="0.25">
      <c r="A29" s="1">
        <v>79</v>
      </c>
      <c r="B29" s="1" t="s">
        <v>397</v>
      </c>
      <c r="C29" s="1">
        <v>140310096</v>
      </c>
      <c r="D29" s="1">
        <v>600</v>
      </c>
      <c r="E29" s="1">
        <v>79</v>
      </c>
      <c r="F29" s="3">
        <v>16</v>
      </c>
      <c r="G29" s="1">
        <v>600</v>
      </c>
      <c r="H29" s="3"/>
    </row>
    <row r="30" spans="1:9" x14ac:dyDescent="0.25">
      <c r="A30" s="1">
        <v>82</v>
      </c>
      <c r="B30" s="1" t="s">
        <v>398</v>
      </c>
      <c r="C30" s="1">
        <v>140310058</v>
      </c>
      <c r="D30" s="1">
        <v>1300</v>
      </c>
      <c r="E30" s="1">
        <v>82</v>
      </c>
      <c r="F30" s="3">
        <v>15</v>
      </c>
      <c r="G30" s="1">
        <v>1300</v>
      </c>
      <c r="H30" s="3"/>
    </row>
    <row r="31" spans="1:9" x14ac:dyDescent="0.25">
      <c r="A31" s="1">
        <v>83</v>
      </c>
      <c r="B31" s="1" t="s">
        <v>399</v>
      </c>
      <c r="C31" s="1">
        <v>140010117</v>
      </c>
      <c r="D31" s="1">
        <v>1800</v>
      </c>
      <c r="E31" s="1">
        <v>83</v>
      </c>
      <c r="F31" s="3">
        <v>8</v>
      </c>
      <c r="G31" s="1">
        <v>1800</v>
      </c>
      <c r="H31" s="3"/>
    </row>
    <row r="32" spans="1:9" x14ac:dyDescent="0.25">
      <c r="A32" s="1">
        <v>84</v>
      </c>
      <c r="B32" s="1" t="s">
        <v>399</v>
      </c>
      <c r="C32" s="1">
        <v>140010230</v>
      </c>
      <c r="D32" s="1">
        <v>2850</v>
      </c>
      <c r="E32" s="1">
        <v>84</v>
      </c>
      <c r="F32" s="3">
        <v>9</v>
      </c>
      <c r="G32" s="1">
        <v>2850</v>
      </c>
      <c r="H32" s="3"/>
    </row>
    <row r="33" spans="1:8" x14ac:dyDescent="0.25">
      <c r="A33" s="1">
        <v>85</v>
      </c>
      <c r="B33" s="1" t="s">
        <v>399</v>
      </c>
      <c r="C33" s="1">
        <v>140010255</v>
      </c>
      <c r="D33" s="1">
        <v>600</v>
      </c>
      <c r="E33" s="1">
        <v>85</v>
      </c>
      <c r="F33" s="3">
        <v>10</v>
      </c>
      <c r="G33" s="1">
        <v>600</v>
      </c>
      <c r="H33" s="3"/>
    </row>
    <row r="34" spans="1:8" x14ac:dyDescent="0.25">
      <c r="A34" s="1">
        <v>86</v>
      </c>
      <c r="B34" s="1" t="s">
        <v>399</v>
      </c>
      <c r="C34" s="1">
        <v>140310096</v>
      </c>
      <c r="D34" s="1">
        <v>1000</v>
      </c>
      <c r="E34" s="1">
        <v>86</v>
      </c>
      <c r="F34" s="3">
        <v>16</v>
      </c>
      <c r="G34" s="1">
        <v>1000</v>
      </c>
      <c r="H34" s="3"/>
    </row>
    <row r="35" spans="1:8" x14ac:dyDescent="0.25">
      <c r="A35" s="1">
        <v>88</v>
      </c>
      <c r="B35" s="1" t="s">
        <v>584</v>
      </c>
      <c r="C35" s="1">
        <v>140010117</v>
      </c>
      <c r="D35" s="1">
        <v>750</v>
      </c>
      <c r="E35" s="1">
        <v>88</v>
      </c>
      <c r="F35" s="3">
        <v>8</v>
      </c>
      <c r="G35" s="1">
        <v>750</v>
      </c>
      <c r="H35" s="3"/>
    </row>
    <row r="36" spans="1:8" x14ac:dyDescent="0.25">
      <c r="A36" s="1">
        <v>89</v>
      </c>
      <c r="B36" s="1" t="s">
        <v>584</v>
      </c>
      <c r="C36" s="1">
        <v>140010230</v>
      </c>
      <c r="D36" s="1">
        <v>1700</v>
      </c>
      <c r="E36" s="1">
        <v>89</v>
      </c>
      <c r="F36" s="3">
        <v>9</v>
      </c>
      <c r="G36" s="1">
        <v>1700</v>
      </c>
      <c r="H36" s="3"/>
    </row>
    <row r="37" spans="1:8" x14ac:dyDescent="0.25">
      <c r="A37" s="1">
        <v>90</v>
      </c>
      <c r="B37" s="1" t="s">
        <v>584</v>
      </c>
      <c r="C37" s="1">
        <v>140010255</v>
      </c>
      <c r="D37" s="1">
        <v>400</v>
      </c>
      <c r="E37" s="1">
        <v>90</v>
      </c>
      <c r="F37" s="3">
        <v>10</v>
      </c>
      <c r="G37" s="1">
        <v>400</v>
      </c>
      <c r="H37" s="3"/>
    </row>
    <row r="38" spans="1:8" x14ac:dyDescent="0.25">
      <c r="A38" s="1">
        <v>91</v>
      </c>
      <c r="B38" s="1" t="s">
        <v>584</v>
      </c>
      <c r="C38" s="1">
        <v>140030039</v>
      </c>
      <c r="D38" s="1">
        <v>2200</v>
      </c>
      <c r="E38" s="1">
        <v>91</v>
      </c>
      <c r="F38" s="3">
        <v>12</v>
      </c>
      <c r="G38" s="1">
        <v>2200</v>
      </c>
      <c r="H38" s="3"/>
    </row>
    <row r="39" spans="1:8" x14ac:dyDescent="0.25">
      <c r="A39" s="1">
        <v>92</v>
      </c>
      <c r="B39" s="1" t="s">
        <v>584</v>
      </c>
      <c r="C39" s="1">
        <v>140310096</v>
      </c>
      <c r="D39" s="1">
        <v>100</v>
      </c>
      <c r="E39" s="1">
        <v>92</v>
      </c>
      <c r="F39" s="3">
        <v>16</v>
      </c>
      <c r="G39" s="1">
        <v>100</v>
      </c>
      <c r="H39" s="3"/>
    </row>
    <row r="40" spans="1:8" x14ac:dyDescent="0.25">
      <c r="A40" s="1">
        <v>94</v>
      </c>
      <c r="B40" s="1" t="s">
        <v>585</v>
      </c>
      <c r="C40" s="1">
        <v>140010117</v>
      </c>
      <c r="D40" s="1">
        <v>975</v>
      </c>
      <c r="E40" s="1">
        <v>94</v>
      </c>
      <c r="F40" s="3">
        <v>8</v>
      </c>
      <c r="G40" s="1">
        <v>975</v>
      </c>
      <c r="H40" s="3"/>
    </row>
    <row r="41" spans="1:8" x14ac:dyDescent="0.25">
      <c r="A41" s="1">
        <v>95</v>
      </c>
      <c r="B41" s="1" t="s">
        <v>585</v>
      </c>
      <c r="C41" s="1">
        <v>140010230</v>
      </c>
      <c r="D41" s="1">
        <v>3000</v>
      </c>
      <c r="E41" s="1">
        <v>95</v>
      </c>
      <c r="F41" s="3">
        <v>9</v>
      </c>
      <c r="G41" s="1">
        <v>3000</v>
      </c>
      <c r="H41" s="3"/>
    </row>
    <row r="42" spans="1:8" x14ac:dyDescent="0.25">
      <c r="A42" s="1">
        <v>96</v>
      </c>
      <c r="B42" s="1" t="s">
        <v>585</v>
      </c>
      <c r="C42" s="1">
        <v>140030039</v>
      </c>
      <c r="D42" s="1">
        <v>600</v>
      </c>
      <c r="E42" s="1">
        <v>96</v>
      </c>
      <c r="F42" s="3">
        <v>36</v>
      </c>
      <c r="G42" s="1">
        <v>600</v>
      </c>
      <c r="H42" s="3"/>
    </row>
    <row r="43" spans="1:8" x14ac:dyDescent="0.25">
      <c r="A43" s="1">
        <v>97</v>
      </c>
      <c r="B43" s="1" t="s">
        <v>585</v>
      </c>
      <c r="C43" s="1">
        <v>140030040</v>
      </c>
      <c r="D43" s="1">
        <v>500</v>
      </c>
      <c r="E43" s="1">
        <v>97</v>
      </c>
      <c r="F43" s="3">
        <v>13</v>
      </c>
      <c r="G43" s="1">
        <v>500</v>
      </c>
      <c r="H43" s="3"/>
    </row>
    <row r="44" spans="1:8" x14ac:dyDescent="0.25">
      <c r="A44" s="1">
        <v>98</v>
      </c>
      <c r="B44" s="1" t="s">
        <v>585</v>
      </c>
      <c r="C44" s="1">
        <v>140310058</v>
      </c>
      <c r="D44" s="1">
        <v>800</v>
      </c>
      <c r="E44" s="1">
        <v>98</v>
      </c>
      <c r="F44" s="3">
        <v>15</v>
      </c>
      <c r="G44" s="1">
        <v>800</v>
      </c>
      <c r="H44" s="3"/>
    </row>
    <row r="45" spans="1:8" x14ac:dyDescent="0.25">
      <c r="A45" s="1">
        <v>99</v>
      </c>
      <c r="B45" s="1" t="s">
        <v>511</v>
      </c>
      <c r="C45" s="1">
        <v>140010117</v>
      </c>
      <c r="D45" s="1">
        <v>300</v>
      </c>
      <c r="E45" s="1">
        <v>99</v>
      </c>
      <c r="F45" s="3">
        <v>8</v>
      </c>
      <c r="G45" s="1">
        <v>300</v>
      </c>
      <c r="H45" s="3"/>
    </row>
    <row r="46" spans="1:8" x14ac:dyDescent="0.25">
      <c r="A46" s="1">
        <v>100</v>
      </c>
      <c r="B46" s="1" t="s">
        <v>511</v>
      </c>
      <c r="C46" s="1">
        <v>140010230</v>
      </c>
      <c r="D46" s="1">
        <v>1000</v>
      </c>
      <c r="E46" s="1">
        <v>100</v>
      </c>
      <c r="F46" s="3">
        <v>9</v>
      </c>
      <c r="G46" s="1">
        <v>1000</v>
      </c>
      <c r="H46" s="3"/>
    </row>
    <row r="47" spans="1:8" x14ac:dyDescent="0.25">
      <c r="A47" s="1">
        <v>101</v>
      </c>
      <c r="B47" s="1" t="s">
        <v>511</v>
      </c>
      <c r="C47" s="1">
        <v>140030039</v>
      </c>
      <c r="D47" s="1">
        <v>100</v>
      </c>
      <c r="E47" s="1">
        <v>101</v>
      </c>
      <c r="F47" s="3">
        <v>36</v>
      </c>
      <c r="G47" s="1">
        <v>100</v>
      </c>
      <c r="H47" s="3"/>
    </row>
    <row r="48" spans="1:8" x14ac:dyDescent="0.25">
      <c r="A48" s="1">
        <v>102</v>
      </c>
      <c r="B48" s="1" t="s">
        <v>511</v>
      </c>
      <c r="C48" s="1">
        <v>140310058</v>
      </c>
      <c r="D48" s="1">
        <v>1500</v>
      </c>
      <c r="E48" s="1">
        <v>102</v>
      </c>
      <c r="F48" s="3">
        <v>15</v>
      </c>
      <c r="G48" s="1">
        <v>1500</v>
      </c>
      <c r="H48" s="3"/>
    </row>
    <row r="49" spans="1:9" x14ac:dyDescent="0.25">
      <c r="A49" s="1">
        <v>104</v>
      </c>
      <c r="B49" s="1" t="s">
        <v>511</v>
      </c>
      <c r="C49" s="1">
        <v>141320055</v>
      </c>
      <c r="D49" s="1">
        <v>3200</v>
      </c>
      <c r="E49" s="1">
        <v>104</v>
      </c>
      <c r="F49" s="3">
        <v>18</v>
      </c>
      <c r="G49" s="1">
        <v>3200</v>
      </c>
      <c r="H49" s="3"/>
    </row>
    <row r="50" spans="1:9" x14ac:dyDescent="0.25">
      <c r="A50" s="1">
        <v>105</v>
      </c>
      <c r="B50" s="1" t="s">
        <v>516</v>
      </c>
      <c r="C50" s="1">
        <v>140010230</v>
      </c>
      <c r="D50" s="1">
        <v>450</v>
      </c>
      <c r="E50" s="1">
        <v>105</v>
      </c>
      <c r="F50" s="3">
        <v>9</v>
      </c>
      <c r="G50" s="1">
        <v>450</v>
      </c>
      <c r="H50" s="3"/>
    </row>
    <row r="51" spans="1:9" x14ac:dyDescent="0.25">
      <c r="A51" s="1">
        <v>106</v>
      </c>
      <c r="B51" s="1" t="s">
        <v>516</v>
      </c>
      <c r="C51" s="1">
        <v>140030039</v>
      </c>
      <c r="D51" s="1">
        <v>200</v>
      </c>
      <c r="E51" s="1">
        <v>106</v>
      </c>
      <c r="F51" s="3">
        <v>36</v>
      </c>
      <c r="G51" s="1">
        <v>200</v>
      </c>
      <c r="H51" s="3"/>
    </row>
    <row r="52" spans="1:9" x14ac:dyDescent="0.25">
      <c r="A52" s="1">
        <v>107</v>
      </c>
      <c r="B52" s="1" t="s">
        <v>516</v>
      </c>
      <c r="C52" s="1">
        <v>140030040</v>
      </c>
      <c r="D52" s="1">
        <v>1500</v>
      </c>
      <c r="E52" s="1">
        <v>107</v>
      </c>
      <c r="F52" s="3">
        <v>37</v>
      </c>
      <c r="G52" s="1">
        <v>1500</v>
      </c>
      <c r="H52" s="3"/>
    </row>
    <row r="53" spans="1:9" x14ac:dyDescent="0.25">
      <c r="A53" s="1">
        <v>109</v>
      </c>
      <c r="B53" s="1" t="s">
        <v>516</v>
      </c>
      <c r="C53" s="1">
        <v>140310031</v>
      </c>
      <c r="D53" s="1">
        <v>514</v>
      </c>
      <c r="E53" s="1">
        <v>109</v>
      </c>
      <c r="F53" s="3">
        <v>14</v>
      </c>
      <c r="G53" s="1">
        <v>514</v>
      </c>
      <c r="H53" s="3"/>
    </row>
    <row r="54" spans="1:9" x14ac:dyDescent="0.25">
      <c r="A54" s="1">
        <v>110</v>
      </c>
      <c r="B54" s="1" t="s">
        <v>516</v>
      </c>
      <c r="C54" s="1">
        <v>140310058</v>
      </c>
      <c r="D54" s="1">
        <v>450</v>
      </c>
      <c r="E54" s="1">
        <v>110</v>
      </c>
      <c r="F54" s="3">
        <v>15</v>
      </c>
      <c r="G54" s="1">
        <v>450</v>
      </c>
      <c r="H54" s="3"/>
    </row>
    <row r="55" spans="1:9" x14ac:dyDescent="0.25">
      <c r="A55" s="1">
        <v>112</v>
      </c>
      <c r="B55" s="1" t="s">
        <v>516</v>
      </c>
      <c r="C55" s="1">
        <v>141320055</v>
      </c>
      <c r="D55" s="1">
        <v>2200</v>
      </c>
      <c r="E55" s="1">
        <v>112</v>
      </c>
      <c r="F55" s="3">
        <v>18</v>
      </c>
      <c r="G55" s="1">
        <v>2200</v>
      </c>
      <c r="H55" s="3"/>
    </row>
    <row r="56" spans="1:9" x14ac:dyDescent="0.25">
      <c r="A56" s="1">
        <v>113</v>
      </c>
      <c r="B56" s="1" t="s">
        <v>806</v>
      </c>
      <c r="C56" s="1">
        <v>140010230</v>
      </c>
      <c r="D56" s="1">
        <v>1000</v>
      </c>
      <c r="E56" s="1">
        <v>113</v>
      </c>
      <c r="F56" s="3">
        <v>9</v>
      </c>
      <c r="G56" s="1">
        <v>1000</v>
      </c>
      <c r="H56" s="3"/>
    </row>
    <row r="57" spans="1:9" x14ac:dyDescent="0.25">
      <c r="A57" s="1">
        <v>114</v>
      </c>
      <c r="B57" s="1" t="s">
        <v>806</v>
      </c>
      <c r="C57" s="1">
        <v>140310058</v>
      </c>
      <c r="D57" s="1">
        <v>1950</v>
      </c>
      <c r="E57" s="1">
        <v>114</v>
      </c>
      <c r="F57" s="3">
        <v>15</v>
      </c>
      <c r="G57" s="1">
        <v>1950</v>
      </c>
      <c r="H57" s="3"/>
    </row>
    <row r="58" spans="1:9" x14ac:dyDescent="0.25">
      <c r="A58" s="1">
        <v>115</v>
      </c>
      <c r="B58" s="1" t="s">
        <v>806</v>
      </c>
      <c r="C58" s="1">
        <v>141320055</v>
      </c>
      <c r="D58" s="1">
        <v>900</v>
      </c>
      <c r="E58" s="1">
        <v>115</v>
      </c>
      <c r="F58" s="3">
        <v>18</v>
      </c>
      <c r="G58" s="1">
        <v>900</v>
      </c>
      <c r="H58" s="3"/>
    </row>
    <row r="59" spans="1:9" x14ac:dyDescent="0.25">
      <c r="A59" s="1">
        <v>116</v>
      </c>
      <c r="B59" s="1" t="s">
        <v>517</v>
      </c>
      <c r="C59" s="1">
        <v>140010230</v>
      </c>
      <c r="D59" s="1">
        <v>2350</v>
      </c>
      <c r="E59" s="1">
        <v>116</v>
      </c>
      <c r="F59" s="3">
        <v>9</v>
      </c>
      <c r="G59" s="1">
        <v>2350</v>
      </c>
      <c r="H59" s="3"/>
    </row>
    <row r="60" spans="1:9" x14ac:dyDescent="0.25">
      <c r="A60" s="1">
        <v>117</v>
      </c>
      <c r="B60" s="1" t="s">
        <v>517</v>
      </c>
      <c r="C60" s="1">
        <v>140030040</v>
      </c>
      <c r="D60" s="1">
        <v>1400</v>
      </c>
      <c r="E60" s="1">
        <v>117</v>
      </c>
      <c r="F60" s="3">
        <v>37</v>
      </c>
      <c r="G60" s="1">
        <v>1400</v>
      </c>
      <c r="H60" s="3"/>
    </row>
    <row r="61" spans="1:9" x14ac:dyDescent="0.25">
      <c r="A61" s="1">
        <v>118</v>
      </c>
      <c r="B61" s="1" t="s">
        <v>400</v>
      </c>
      <c r="C61" s="1">
        <v>140010230</v>
      </c>
      <c r="D61" s="1">
        <v>3450</v>
      </c>
      <c r="E61" s="1">
        <v>118</v>
      </c>
      <c r="F61" s="3">
        <v>9</v>
      </c>
      <c r="G61" s="1">
        <v>3450</v>
      </c>
      <c r="H61" s="3"/>
    </row>
    <row r="62" spans="1:9" x14ac:dyDescent="0.25">
      <c r="A62" s="1">
        <v>119</v>
      </c>
      <c r="B62" s="1" t="s">
        <v>512</v>
      </c>
      <c r="C62" s="1">
        <v>140010117</v>
      </c>
      <c r="D62" s="1">
        <v>1800</v>
      </c>
      <c r="E62" s="1">
        <v>119</v>
      </c>
      <c r="F62" s="3">
        <v>8</v>
      </c>
      <c r="G62" s="1">
        <v>1325</v>
      </c>
      <c r="H62" s="3">
        <v>35</v>
      </c>
      <c r="I62" s="1">
        <v>475</v>
      </c>
    </row>
    <row r="63" spans="1:9" x14ac:dyDescent="0.25">
      <c r="A63" s="1">
        <v>120</v>
      </c>
      <c r="B63" s="1" t="s">
        <v>512</v>
      </c>
      <c r="C63" s="1">
        <v>140010230</v>
      </c>
      <c r="D63" s="1">
        <v>1800</v>
      </c>
      <c r="E63" s="1">
        <v>120</v>
      </c>
      <c r="F63" s="3">
        <v>9</v>
      </c>
      <c r="G63" s="1">
        <v>1800</v>
      </c>
      <c r="H63" s="3"/>
    </row>
    <row r="64" spans="1:9" x14ac:dyDescent="0.25">
      <c r="A64" s="1">
        <v>121</v>
      </c>
      <c r="B64" s="1" t="s">
        <v>512</v>
      </c>
      <c r="C64" s="1">
        <v>140030039</v>
      </c>
      <c r="D64" s="1">
        <v>400</v>
      </c>
      <c r="E64" s="1">
        <v>121</v>
      </c>
      <c r="F64" s="3">
        <v>36</v>
      </c>
      <c r="G64" s="1">
        <v>400</v>
      </c>
      <c r="H64" s="3"/>
    </row>
    <row r="65" spans="1:8" x14ac:dyDescent="0.25">
      <c r="A65" s="1">
        <v>122</v>
      </c>
      <c r="B65" s="1" t="s">
        <v>512</v>
      </c>
      <c r="C65" s="1">
        <v>140030040</v>
      </c>
      <c r="D65" s="1">
        <v>100</v>
      </c>
      <c r="E65" s="1">
        <v>122</v>
      </c>
      <c r="F65" s="3">
        <v>37</v>
      </c>
      <c r="G65" s="1">
        <v>100</v>
      </c>
      <c r="H65" s="3"/>
    </row>
    <row r="66" spans="1:8" x14ac:dyDescent="0.25">
      <c r="A66" s="1">
        <v>123</v>
      </c>
      <c r="B66" s="1" t="s">
        <v>515</v>
      </c>
      <c r="C66" s="1">
        <v>140010117</v>
      </c>
      <c r="D66" s="1">
        <v>1275</v>
      </c>
      <c r="E66" s="1">
        <v>123</v>
      </c>
      <c r="F66" s="3">
        <v>35</v>
      </c>
      <c r="G66" s="1">
        <v>1275</v>
      </c>
      <c r="H66" s="3"/>
    </row>
    <row r="67" spans="1:8" x14ac:dyDescent="0.25">
      <c r="A67" s="1">
        <v>124</v>
      </c>
      <c r="B67" s="1" t="s">
        <v>515</v>
      </c>
      <c r="C67" s="1">
        <v>140010230</v>
      </c>
      <c r="D67" s="1">
        <v>450</v>
      </c>
      <c r="E67" s="1">
        <v>124</v>
      </c>
      <c r="F67" s="3">
        <v>9</v>
      </c>
      <c r="G67" s="1">
        <v>450</v>
      </c>
      <c r="H67" s="3"/>
    </row>
    <row r="68" spans="1:8" x14ac:dyDescent="0.25">
      <c r="A68" s="1">
        <v>125</v>
      </c>
      <c r="B68" s="1" t="s">
        <v>515</v>
      </c>
      <c r="C68" s="1">
        <v>140020181</v>
      </c>
      <c r="D68" s="1">
        <v>300</v>
      </c>
      <c r="E68" s="1">
        <v>125</v>
      </c>
      <c r="F68" s="3">
        <v>25</v>
      </c>
      <c r="G68" s="1">
        <v>300</v>
      </c>
      <c r="H68" s="3"/>
    </row>
    <row r="69" spans="1:8" x14ac:dyDescent="0.25">
      <c r="A69" s="1">
        <v>126</v>
      </c>
      <c r="B69" s="1" t="s">
        <v>518</v>
      </c>
      <c r="C69" s="1">
        <v>140010117</v>
      </c>
      <c r="D69" s="1">
        <v>825</v>
      </c>
      <c r="E69" s="1">
        <v>126</v>
      </c>
      <c r="F69" s="3">
        <v>35</v>
      </c>
      <c r="G69" s="1">
        <v>825</v>
      </c>
      <c r="H69" s="3"/>
    </row>
    <row r="70" spans="1:8" x14ac:dyDescent="0.25">
      <c r="A70" s="1">
        <v>127</v>
      </c>
      <c r="B70" s="1" t="s">
        <v>518</v>
      </c>
      <c r="C70" s="1">
        <v>140020181</v>
      </c>
      <c r="D70" s="1">
        <v>1350</v>
      </c>
      <c r="E70" s="1">
        <v>127</v>
      </c>
      <c r="F70" s="3">
        <v>25</v>
      </c>
      <c r="G70" s="1">
        <v>1350</v>
      </c>
      <c r="H70" s="3"/>
    </row>
    <row r="71" spans="1:8" x14ac:dyDescent="0.25">
      <c r="A71" s="1">
        <v>128</v>
      </c>
      <c r="B71" s="1" t="s">
        <v>401</v>
      </c>
      <c r="C71" s="1">
        <v>140010230</v>
      </c>
      <c r="D71" s="1">
        <v>500</v>
      </c>
      <c r="E71" s="1">
        <v>128</v>
      </c>
      <c r="F71" s="3">
        <v>9</v>
      </c>
      <c r="G71" s="1">
        <v>500</v>
      </c>
      <c r="H71" s="3"/>
    </row>
    <row r="72" spans="1:8" x14ac:dyDescent="0.25">
      <c r="A72" s="1">
        <v>129</v>
      </c>
      <c r="B72" s="1" t="s">
        <v>401</v>
      </c>
      <c r="C72" s="1">
        <v>140020181</v>
      </c>
      <c r="D72" s="1">
        <v>3150</v>
      </c>
      <c r="E72" s="1">
        <v>129</v>
      </c>
      <c r="F72" s="3">
        <v>25</v>
      </c>
      <c r="G72" s="1">
        <v>3150</v>
      </c>
      <c r="H72" s="3"/>
    </row>
    <row r="73" spans="1:8" x14ac:dyDescent="0.25">
      <c r="A73" s="1">
        <v>130</v>
      </c>
      <c r="B73" s="1" t="s">
        <v>401</v>
      </c>
      <c r="C73" s="1">
        <v>140030039</v>
      </c>
      <c r="D73" s="1">
        <v>600</v>
      </c>
      <c r="E73" s="1">
        <v>130</v>
      </c>
      <c r="F73" s="3">
        <v>36</v>
      </c>
      <c r="G73" s="1">
        <v>600</v>
      </c>
      <c r="H73" s="3"/>
    </row>
    <row r="74" spans="1:8" x14ac:dyDescent="0.25">
      <c r="A74" s="1">
        <v>131</v>
      </c>
      <c r="B74" s="1" t="s">
        <v>513</v>
      </c>
      <c r="C74" s="1">
        <v>140010230</v>
      </c>
      <c r="D74" s="1">
        <v>1900</v>
      </c>
      <c r="E74" s="1">
        <v>131</v>
      </c>
      <c r="F74" s="3">
        <v>9</v>
      </c>
      <c r="G74" s="1">
        <v>1900</v>
      </c>
      <c r="H74" s="3"/>
    </row>
    <row r="75" spans="1:8" x14ac:dyDescent="0.25">
      <c r="A75" s="1">
        <v>132</v>
      </c>
      <c r="B75" s="1" t="s">
        <v>513</v>
      </c>
      <c r="C75" s="1">
        <v>140020181</v>
      </c>
      <c r="D75" s="1">
        <v>975</v>
      </c>
      <c r="E75" s="1">
        <v>132</v>
      </c>
      <c r="F75" s="3">
        <v>25</v>
      </c>
      <c r="G75" s="1">
        <v>975</v>
      </c>
      <c r="H75" s="3"/>
    </row>
    <row r="76" spans="1:8" x14ac:dyDescent="0.25">
      <c r="A76" s="1">
        <v>133</v>
      </c>
      <c r="B76" s="1" t="s">
        <v>513</v>
      </c>
      <c r="C76" s="1">
        <v>140030039</v>
      </c>
      <c r="D76" s="1">
        <v>1100</v>
      </c>
      <c r="E76" s="1">
        <v>133</v>
      </c>
      <c r="F76" s="3">
        <v>36</v>
      </c>
      <c r="G76" s="1">
        <v>1100</v>
      </c>
      <c r="H76" s="3"/>
    </row>
    <row r="77" spans="1:8" x14ac:dyDescent="0.25">
      <c r="A77" s="1">
        <v>134</v>
      </c>
      <c r="B77" s="1" t="s">
        <v>402</v>
      </c>
      <c r="C77" s="1">
        <v>140010117</v>
      </c>
      <c r="D77" s="1">
        <v>375</v>
      </c>
      <c r="E77" s="1">
        <v>134</v>
      </c>
      <c r="F77" s="3">
        <v>35</v>
      </c>
      <c r="G77" s="1">
        <v>375</v>
      </c>
      <c r="H77" s="3"/>
    </row>
    <row r="78" spans="1:8" x14ac:dyDescent="0.25">
      <c r="A78" s="1">
        <v>135</v>
      </c>
      <c r="B78" s="1" t="s">
        <v>402</v>
      </c>
      <c r="C78" s="1">
        <v>140010230</v>
      </c>
      <c r="D78" s="1">
        <v>1050</v>
      </c>
      <c r="E78" s="1">
        <v>135</v>
      </c>
      <c r="F78" s="3">
        <v>9</v>
      </c>
      <c r="G78" s="1">
        <v>1050</v>
      </c>
      <c r="H78" s="3"/>
    </row>
    <row r="79" spans="1:8" x14ac:dyDescent="0.25">
      <c r="A79" s="1">
        <v>136</v>
      </c>
      <c r="B79" s="1" t="s">
        <v>402</v>
      </c>
      <c r="C79" s="1">
        <v>140020181</v>
      </c>
      <c r="D79" s="1">
        <v>825</v>
      </c>
      <c r="E79" s="1">
        <v>136</v>
      </c>
      <c r="F79" s="3">
        <v>25</v>
      </c>
      <c r="G79" s="1">
        <v>825</v>
      </c>
      <c r="H79" s="3"/>
    </row>
    <row r="80" spans="1:8" x14ac:dyDescent="0.25">
      <c r="A80" s="1">
        <v>137</v>
      </c>
      <c r="B80" s="1" t="s">
        <v>402</v>
      </c>
      <c r="C80" s="1">
        <v>140030039</v>
      </c>
      <c r="D80" s="1">
        <v>700</v>
      </c>
      <c r="E80" s="1">
        <v>137</v>
      </c>
      <c r="F80" s="3">
        <v>36</v>
      </c>
      <c r="G80" s="1">
        <v>700</v>
      </c>
      <c r="H80" s="3"/>
    </row>
    <row r="81" spans="1:8" x14ac:dyDescent="0.25">
      <c r="A81" s="1">
        <v>140</v>
      </c>
      <c r="B81" s="1" t="s">
        <v>402</v>
      </c>
      <c r="C81" s="1">
        <v>141320055</v>
      </c>
      <c r="D81" s="1">
        <v>1200</v>
      </c>
      <c r="E81" s="1">
        <v>140</v>
      </c>
      <c r="F81" s="3">
        <v>18</v>
      </c>
      <c r="G81" s="1">
        <v>1200</v>
      </c>
      <c r="H81" s="3"/>
    </row>
    <row r="82" spans="1:8" x14ac:dyDescent="0.25">
      <c r="A82" s="1">
        <v>141</v>
      </c>
      <c r="B82" s="1" t="s">
        <v>403</v>
      </c>
      <c r="C82" s="1">
        <v>140020181</v>
      </c>
      <c r="D82" s="1">
        <v>1725</v>
      </c>
      <c r="E82" s="1">
        <v>141</v>
      </c>
      <c r="F82" s="3">
        <v>25</v>
      </c>
      <c r="G82" s="1">
        <v>1725</v>
      </c>
      <c r="H82" s="3"/>
    </row>
    <row r="83" spans="1:8" x14ac:dyDescent="0.25">
      <c r="A83" s="1">
        <v>142</v>
      </c>
      <c r="B83" s="1" t="s">
        <v>403</v>
      </c>
      <c r="C83" s="1">
        <v>141320055</v>
      </c>
      <c r="D83" s="1">
        <v>2100</v>
      </c>
      <c r="E83" s="1">
        <v>142</v>
      </c>
      <c r="F83" s="3">
        <v>18</v>
      </c>
      <c r="G83" s="1">
        <v>2100</v>
      </c>
      <c r="H83" s="3"/>
    </row>
    <row r="84" spans="1:8" x14ac:dyDescent="0.25">
      <c r="A84" s="1">
        <v>143</v>
      </c>
      <c r="B84" s="1" t="s">
        <v>519</v>
      </c>
      <c r="C84" s="1">
        <v>140020181</v>
      </c>
      <c r="D84" s="1">
        <v>1575</v>
      </c>
      <c r="E84" s="1">
        <v>143</v>
      </c>
      <c r="F84" s="3">
        <v>25</v>
      </c>
      <c r="G84" s="1">
        <v>1575</v>
      </c>
      <c r="H84" s="3"/>
    </row>
    <row r="85" spans="1:8" x14ac:dyDescent="0.25">
      <c r="A85" s="1">
        <v>144</v>
      </c>
      <c r="B85" s="1" t="s">
        <v>519</v>
      </c>
      <c r="C85" s="1">
        <v>141320055</v>
      </c>
      <c r="D85" s="1">
        <v>1300</v>
      </c>
      <c r="E85" s="1">
        <v>144</v>
      </c>
      <c r="F85" s="3">
        <v>18</v>
      </c>
      <c r="G85" s="1">
        <v>1300</v>
      </c>
      <c r="H85" s="3"/>
    </row>
    <row r="86" spans="1:8" x14ac:dyDescent="0.25">
      <c r="A86" s="1">
        <v>145</v>
      </c>
      <c r="B86" s="1" t="s">
        <v>526</v>
      </c>
      <c r="C86" s="1">
        <v>140310058</v>
      </c>
      <c r="D86" s="1">
        <v>1000</v>
      </c>
      <c r="E86" s="1">
        <v>145</v>
      </c>
      <c r="F86" s="3">
        <v>29</v>
      </c>
      <c r="G86" s="1">
        <v>1000</v>
      </c>
      <c r="H86" s="3"/>
    </row>
    <row r="87" spans="1:8" x14ac:dyDescent="0.25">
      <c r="A87" s="1">
        <v>146</v>
      </c>
      <c r="B87" s="1" t="s">
        <v>526</v>
      </c>
      <c r="C87" s="1">
        <v>140310096</v>
      </c>
      <c r="D87" s="1">
        <v>400</v>
      </c>
      <c r="E87" s="1">
        <v>146</v>
      </c>
      <c r="F87" s="3">
        <v>32</v>
      </c>
      <c r="G87" s="1">
        <v>400</v>
      </c>
      <c r="H87" s="3"/>
    </row>
    <row r="88" spans="1:8" x14ac:dyDescent="0.25">
      <c r="A88" s="1">
        <v>147</v>
      </c>
      <c r="B88" s="1" t="s">
        <v>526</v>
      </c>
      <c r="C88" s="1">
        <v>141320055</v>
      </c>
      <c r="D88" s="1">
        <v>2400</v>
      </c>
      <c r="E88" s="1">
        <v>147</v>
      </c>
      <c r="F88" s="3">
        <v>18</v>
      </c>
      <c r="G88" s="1">
        <v>2400</v>
      </c>
      <c r="H88" s="3"/>
    </row>
    <row r="89" spans="1:8" x14ac:dyDescent="0.25">
      <c r="A89" s="1">
        <v>148</v>
      </c>
      <c r="B89" s="1" t="s">
        <v>404</v>
      </c>
      <c r="C89" s="1">
        <v>140310007</v>
      </c>
      <c r="D89" s="1">
        <v>1400</v>
      </c>
      <c r="E89" s="1">
        <v>148</v>
      </c>
      <c r="F89" s="3">
        <v>28</v>
      </c>
      <c r="G89" s="1">
        <v>1400</v>
      </c>
      <c r="H89" s="3"/>
    </row>
    <row r="90" spans="1:8" x14ac:dyDescent="0.25">
      <c r="A90" s="1">
        <v>149</v>
      </c>
      <c r="B90" s="1" t="s">
        <v>404</v>
      </c>
      <c r="C90" s="1">
        <v>140310058</v>
      </c>
      <c r="D90" s="1">
        <v>1000</v>
      </c>
      <c r="E90" s="1">
        <v>149</v>
      </c>
      <c r="F90" s="3">
        <v>29</v>
      </c>
      <c r="G90" s="1">
        <v>1000</v>
      </c>
      <c r="H90" s="3"/>
    </row>
    <row r="91" spans="1:8" x14ac:dyDescent="0.25">
      <c r="A91" s="1">
        <v>150</v>
      </c>
      <c r="B91" s="1" t="s">
        <v>404</v>
      </c>
      <c r="C91" s="1">
        <v>140310096</v>
      </c>
      <c r="D91" s="1">
        <v>950</v>
      </c>
      <c r="E91" s="1">
        <v>150</v>
      </c>
      <c r="F91" s="3">
        <v>32</v>
      </c>
      <c r="G91" s="1">
        <v>950</v>
      </c>
      <c r="H91" s="3"/>
    </row>
    <row r="92" spans="1:8" x14ac:dyDescent="0.25">
      <c r="A92" s="1">
        <v>151</v>
      </c>
      <c r="B92" s="1" t="s">
        <v>404</v>
      </c>
      <c r="C92" s="1">
        <v>141320055</v>
      </c>
      <c r="D92" s="1">
        <v>1200</v>
      </c>
      <c r="E92" s="1">
        <v>151</v>
      </c>
      <c r="F92" s="3">
        <v>18</v>
      </c>
      <c r="G92" s="1">
        <v>1200</v>
      </c>
      <c r="H92" s="3"/>
    </row>
    <row r="93" spans="1:8" x14ac:dyDescent="0.25">
      <c r="A93" s="1">
        <v>152</v>
      </c>
      <c r="B93" s="1" t="s">
        <v>807</v>
      </c>
      <c r="C93" s="1">
        <v>140310007</v>
      </c>
      <c r="D93" s="1">
        <v>1800</v>
      </c>
      <c r="E93" s="1">
        <v>152</v>
      </c>
      <c r="F93" s="3">
        <v>28</v>
      </c>
      <c r="G93" s="1">
        <v>1800</v>
      </c>
      <c r="H93" s="3"/>
    </row>
    <row r="94" spans="1:8" x14ac:dyDescent="0.25">
      <c r="A94" s="1">
        <v>153</v>
      </c>
      <c r="B94" s="1" t="s">
        <v>807</v>
      </c>
      <c r="C94" s="1">
        <v>140310096</v>
      </c>
      <c r="D94" s="1">
        <v>1000</v>
      </c>
      <c r="E94" s="1">
        <v>153</v>
      </c>
      <c r="F94" s="3">
        <v>32</v>
      </c>
      <c r="G94" s="1">
        <v>1000</v>
      </c>
      <c r="H94" s="3"/>
    </row>
    <row r="95" spans="1:8" x14ac:dyDescent="0.25">
      <c r="A95" s="1">
        <v>154</v>
      </c>
      <c r="B95" s="1" t="s">
        <v>807</v>
      </c>
      <c r="C95" s="1">
        <v>141320055</v>
      </c>
      <c r="D95" s="1">
        <v>2500</v>
      </c>
      <c r="E95" s="1">
        <v>154</v>
      </c>
      <c r="F95" s="3">
        <v>18</v>
      </c>
      <c r="G95" s="1">
        <v>2500</v>
      </c>
      <c r="H95" s="3"/>
    </row>
    <row r="96" spans="1:8" x14ac:dyDescent="0.25">
      <c r="A96" s="1">
        <v>155</v>
      </c>
      <c r="B96" s="1" t="s">
        <v>586</v>
      </c>
      <c r="C96" s="1">
        <v>140310007</v>
      </c>
      <c r="D96" s="1">
        <v>1600</v>
      </c>
      <c r="E96" s="1">
        <v>155</v>
      </c>
      <c r="F96" s="3">
        <v>28</v>
      </c>
      <c r="G96" s="1">
        <v>1600</v>
      </c>
      <c r="H96" s="3"/>
    </row>
    <row r="97" spans="1:9" x14ac:dyDescent="0.25">
      <c r="A97" s="1">
        <v>156</v>
      </c>
      <c r="B97" s="1" t="s">
        <v>586</v>
      </c>
      <c r="C97" s="1">
        <v>140310071</v>
      </c>
      <c r="D97" s="1">
        <v>2050</v>
      </c>
      <c r="E97" s="1">
        <v>156</v>
      </c>
      <c r="F97" s="3">
        <v>30</v>
      </c>
      <c r="G97" s="1">
        <v>2050</v>
      </c>
      <c r="H97" s="3"/>
    </row>
    <row r="98" spans="1:9" x14ac:dyDescent="0.25">
      <c r="A98" s="1">
        <v>157</v>
      </c>
      <c r="B98" s="1" t="s">
        <v>586</v>
      </c>
      <c r="C98" s="1">
        <v>140310083</v>
      </c>
      <c r="D98" s="1">
        <v>700</v>
      </c>
      <c r="E98" s="1">
        <v>157</v>
      </c>
      <c r="F98" s="3">
        <v>31</v>
      </c>
      <c r="G98" s="1">
        <v>700</v>
      </c>
      <c r="H98" s="3"/>
    </row>
    <row r="99" spans="1:9" x14ac:dyDescent="0.25">
      <c r="A99" s="1">
        <v>158</v>
      </c>
      <c r="B99" s="1" t="s">
        <v>520</v>
      </c>
      <c r="C99" s="1">
        <v>140010117</v>
      </c>
      <c r="D99" s="1">
        <v>975</v>
      </c>
      <c r="E99" s="1">
        <v>158</v>
      </c>
      <c r="F99" s="3">
        <v>22</v>
      </c>
      <c r="G99" s="1">
        <v>925</v>
      </c>
      <c r="H99" s="3">
        <v>35</v>
      </c>
      <c r="I99" s="1">
        <v>50</v>
      </c>
    </row>
    <row r="100" spans="1:9" x14ac:dyDescent="0.25">
      <c r="A100" s="1">
        <v>159</v>
      </c>
      <c r="B100" s="1" t="s">
        <v>520</v>
      </c>
      <c r="C100" s="1">
        <v>140310007</v>
      </c>
      <c r="D100" s="1">
        <v>2600</v>
      </c>
      <c r="E100" s="1">
        <v>159</v>
      </c>
      <c r="F100" s="3">
        <v>28</v>
      </c>
      <c r="G100" s="1">
        <v>2600</v>
      </c>
      <c r="H100" s="3"/>
    </row>
    <row r="101" spans="1:9" x14ac:dyDescent="0.25">
      <c r="A101" s="1">
        <v>160</v>
      </c>
      <c r="B101" s="1" t="s">
        <v>520</v>
      </c>
      <c r="C101" s="1">
        <v>140310058</v>
      </c>
      <c r="D101" s="1">
        <v>800</v>
      </c>
      <c r="E101" s="1">
        <v>160</v>
      </c>
      <c r="F101" s="3">
        <v>29</v>
      </c>
      <c r="G101" s="1">
        <v>800</v>
      </c>
      <c r="H101" s="3"/>
    </row>
    <row r="102" spans="1:9" x14ac:dyDescent="0.25">
      <c r="A102" s="1">
        <v>161</v>
      </c>
      <c r="B102" s="1" t="s">
        <v>520</v>
      </c>
      <c r="C102" s="1">
        <v>140310071</v>
      </c>
      <c r="D102" s="1">
        <v>300</v>
      </c>
      <c r="E102" s="1">
        <v>161</v>
      </c>
      <c r="F102" s="3">
        <v>30</v>
      </c>
      <c r="G102" s="1">
        <v>300</v>
      </c>
      <c r="H102" s="3"/>
    </row>
    <row r="103" spans="1:9" x14ac:dyDescent="0.25">
      <c r="A103" s="1">
        <v>162</v>
      </c>
      <c r="B103" s="1" t="s">
        <v>520</v>
      </c>
      <c r="C103" s="1">
        <v>140310083</v>
      </c>
      <c r="D103" s="1">
        <v>1000</v>
      </c>
      <c r="E103" s="1">
        <v>162</v>
      </c>
      <c r="F103" s="3">
        <v>31</v>
      </c>
      <c r="G103" s="1">
        <v>1000</v>
      </c>
      <c r="H103" s="3"/>
    </row>
    <row r="104" spans="1:9" x14ac:dyDescent="0.25">
      <c r="A104" s="1">
        <v>163</v>
      </c>
      <c r="B104" s="1" t="s">
        <v>520</v>
      </c>
      <c r="C104" s="1">
        <v>141320055</v>
      </c>
      <c r="D104" s="1">
        <v>1600</v>
      </c>
      <c r="E104" s="1">
        <v>163</v>
      </c>
      <c r="F104" s="3">
        <v>18</v>
      </c>
      <c r="G104" s="1">
        <v>1600</v>
      </c>
      <c r="H104" s="3"/>
    </row>
    <row r="105" spans="1:9" x14ac:dyDescent="0.25">
      <c r="A105" s="1">
        <v>164</v>
      </c>
      <c r="B105" s="1" t="s">
        <v>523</v>
      </c>
      <c r="C105" s="1">
        <v>140010117</v>
      </c>
      <c r="D105" s="1">
        <v>475</v>
      </c>
      <c r="E105" s="1">
        <v>164</v>
      </c>
      <c r="F105" s="3">
        <v>22</v>
      </c>
      <c r="G105" s="1">
        <v>475</v>
      </c>
      <c r="H105" s="3"/>
    </row>
    <row r="106" spans="1:9" x14ac:dyDescent="0.25">
      <c r="A106" s="1">
        <v>165</v>
      </c>
      <c r="B106" s="1" t="s">
        <v>523</v>
      </c>
      <c r="C106" s="1">
        <v>140010230</v>
      </c>
      <c r="D106" s="1">
        <v>100</v>
      </c>
      <c r="E106" s="1">
        <v>165</v>
      </c>
      <c r="F106" s="3">
        <v>9</v>
      </c>
      <c r="G106" s="1">
        <v>100</v>
      </c>
      <c r="H106" s="3"/>
    </row>
    <row r="107" spans="1:9" x14ac:dyDescent="0.25">
      <c r="A107" s="1">
        <v>166</v>
      </c>
      <c r="B107" s="1" t="s">
        <v>523</v>
      </c>
      <c r="C107" s="1">
        <v>140310007</v>
      </c>
      <c r="D107" s="1">
        <v>800</v>
      </c>
      <c r="E107" s="1">
        <v>166</v>
      </c>
      <c r="F107" s="3">
        <v>28</v>
      </c>
      <c r="G107" s="1">
        <v>800</v>
      </c>
      <c r="H107" s="3"/>
    </row>
    <row r="108" spans="1:9" x14ac:dyDescent="0.25">
      <c r="A108" s="1">
        <v>167</v>
      </c>
      <c r="B108" s="1" t="s">
        <v>523</v>
      </c>
      <c r="C108" s="1">
        <v>140310071</v>
      </c>
      <c r="D108" s="1">
        <v>550</v>
      </c>
      <c r="E108" s="1">
        <v>167</v>
      </c>
      <c r="F108" s="3">
        <v>30</v>
      </c>
      <c r="G108" s="1">
        <v>550</v>
      </c>
      <c r="H108" s="3"/>
    </row>
    <row r="109" spans="1:9" x14ac:dyDescent="0.25">
      <c r="A109" s="1">
        <v>168</v>
      </c>
      <c r="B109" s="1" t="s">
        <v>523</v>
      </c>
      <c r="C109" s="1">
        <v>140310083</v>
      </c>
      <c r="D109" s="1">
        <v>900</v>
      </c>
      <c r="E109" s="1">
        <v>168</v>
      </c>
      <c r="F109" s="3">
        <v>31</v>
      </c>
      <c r="G109" s="1">
        <v>900</v>
      </c>
      <c r="H109" s="3"/>
    </row>
    <row r="110" spans="1:9" x14ac:dyDescent="0.25">
      <c r="A110" s="1">
        <v>169</v>
      </c>
      <c r="B110" s="1" t="s">
        <v>523</v>
      </c>
      <c r="C110" s="1">
        <v>141320055</v>
      </c>
      <c r="D110" s="1">
        <v>1000</v>
      </c>
      <c r="E110" s="1">
        <v>169</v>
      </c>
      <c r="F110" s="3">
        <v>18</v>
      </c>
      <c r="G110" s="1">
        <v>1000</v>
      </c>
      <c r="H110" s="3"/>
    </row>
    <row r="111" spans="1:9" x14ac:dyDescent="0.25">
      <c r="A111" s="1">
        <v>170</v>
      </c>
      <c r="B111" s="1" t="s">
        <v>588</v>
      </c>
      <c r="C111" s="1">
        <v>140010117</v>
      </c>
      <c r="D111" s="1">
        <v>825</v>
      </c>
      <c r="E111" s="1">
        <v>170</v>
      </c>
      <c r="F111" s="3">
        <v>22</v>
      </c>
      <c r="G111" s="1">
        <v>825</v>
      </c>
      <c r="H111" s="3"/>
    </row>
    <row r="112" spans="1:9" x14ac:dyDescent="0.25">
      <c r="A112" s="1">
        <v>171</v>
      </c>
      <c r="B112" s="1" t="s">
        <v>588</v>
      </c>
      <c r="C112" s="1">
        <v>140310007</v>
      </c>
      <c r="D112" s="1">
        <v>1000</v>
      </c>
      <c r="E112" s="1">
        <v>171</v>
      </c>
      <c r="F112" s="3">
        <v>28</v>
      </c>
      <c r="G112" s="1">
        <v>1000</v>
      </c>
      <c r="H112" s="3"/>
    </row>
    <row r="113" spans="1:8" x14ac:dyDescent="0.25">
      <c r="A113" s="1">
        <v>172</v>
      </c>
      <c r="B113" s="1" t="s">
        <v>588</v>
      </c>
      <c r="C113" s="1">
        <v>140310058</v>
      </c>
      <c r="D113" s="1">
        <v>400</v>
      </c>
      <c r="E113" s="1">
        <v>172</v>
      </c>
      <c r="F113" s="3">
        <v>29</v>
      </c>
      <c r="G113" s="1">
        <v>400</v>
      </c>
      <c r="H113" s="3"/>
    </row>
    <row r="114" spans="1:8" x14ac:dyDescent="0.25">
      <c r="A114" s="1">
        <v>173</v>
      </c>
      <c r="B114" s="1" t="s">
        <v>588</v>
      </c>
      <c r="C114" s="1">
        <v>140310071</v>
      </c>
      <c r="D114" s="1">
        <v>1400</v>
      </c>
      <c r="E114" s="1">
        <v>173</v>
      </c>
      <c r="F114" s="3">
        <v>30</v>
      </c>
      <c r="G114" s="1">
        <v>1400</v>
      </c>
      <c r="H114" s="3"/>
    </row>
    <row r="115" spans="1:8" x14ac:dyDescent="0.25">
      <c r="A115" s="1">
        <v>174</v>
      </c>
      <c r="B115" s="1" t="s">
        <v>588</v>
      </c>
      <c r="C115" s="1">
        <v>140310083</v>
      </c>
      <c r="D115" s="1">
        <v>1500</v>
      </c>
      <c r="E115" s="1">
        <v>174</v>
      </c>
      <c r="F115" s="3">
        <v>31</v>
      </c>
      <c r="G115" s="1">
        <v>1500</v>
      </c>
      <c r="H115" s="3"/>
    </row>
    <row r="116" spans="1:8" x14ac:dyDescent="0.25">
      <c r="A116" s="1">
        <v>175</v>
      </c>
      <c r="B116" s="1" t="s">
        <v>588</v>
      </c>
      <c r="C116" s="1">
        <v>141320055</v>
      </c>
      <c r="D116" s="1">
        <v>3900</v>
      </c>
      <c r="E116" s="1">
        <v>175</v>
      </c>
      <c r="F116" s="3">
        <v>18</v>
      </c>
      <c r="G116" s="1">
        <v>3900</v>
      </c>
      <c r="H116" s="3"/>
    </row>
    <row r="117" spans="1:8" x14ac:dyDescent="0.25">
      <c r="A117" s="1">
        <v>176</v>
      </c>
      <c r="B117" s="1" t="s">
        <v>589</v>
      </c>
      <c r="C117" s="1">
        <v>140010117</v>
      </c>
      <c r="D117" s="1">
        <v>1275</v>
      </c>
      <c r="E117" s="1">
        <v>176</v>
      </c>
      <c r="F117" s="3">
        <v>22</v>
      </c>
      <c r="G117" s="1">
        <v>1275</v>
      </c>
      <c r="H117" s="3"/>
    </row>
    <row r="118" spans="1:8" x14ac:dyDescent="0.25">
      <c r="A118" s="1">
        <v>177</v>
      </c>
      <c r="B118" s="1" t="s">
        <v>589</v>
      </c>
      <c r="C118" s="1">
        <v>140030039</v>
      </c>
      <c r="D118" s="1">
        <v>300</v>
      </c>
      <c r="E118" s="1">
        <v>177</v>
      </c>
      <c r="F118" s="3">
        <v>26</v>
      </c>
      <c r="G118" s="1">
        <v>300</v>
      </c>
      <c r="H118" s="3"/>
    </row>
    <row r="119" spans="1:8" x14ac:dyDescent="0.25">
      <c r="A119" s="1">
        <v>178</v>
      </c>
      <c r="B119" s="1" t="s">
        <v>589</v>
      </c>
      <c r="C119" s="1">
        <v>140310007</v>
      </c>
      <c r="D119" s="1">
        <v>400</v>
      </c>
      <c r="E119" s="1">
        <v>178</v>
      </c>
      <c r="F119" s="3">
        <v>28</v>
      </c>
      <c r="G119" s="1">
        <v>400</v>
      </c>
      <c r="H119" s="3"/>
    </row>
    <row r="120" spans="1:8" x14ac:dyDescent="0.25">
      <c r="A120" s="1">
        <v>179</v>
      </c>
      <c r="B120" s="1" t="s">
        <v>589</v>
      </c>
      <c r="C120" s="1">
        <v>140310058</v>
      </c>
      <c r="D120" s="1">
        <v>700</v>
      </c>
      <c r="E120" s="1">
        <v>179</v>
      </c>
      <c r="F120" s="3">
        <v>29</v>
      </c>
      <c r="G120" s="1">
        <v>700</v>
      </c>
      <c r="H120" s="3"/>
    </row>
    <row r="121" spans="1:8" x14ac:dyDescent="0.25">
      <c r="A121" s="1">
        <v>180</v>
      </c>
      <c r="B121" s="1" t="s">
        <v>589</v>
      </c>
      <c r="C121" s="1">
        <v>140310071</v>
      </c>
      <c r="D121" s="1">
        <v>400</v>
      </c>
      <c r="E121" s="1">
        <v>180</v>
      </c>
      <c r="F121" s="3">
        <v>30</v>
      </c>
      <c r="G121" s="1">
        <v>400</v>
      </c>
      <c r="H121" s="3"/>
    </row>
    <row r="122" spans="1:8" x14ac:dyDescent="0.25">
      <c r="A122" s="1">
        <v>181</v>
      </c>
      <c r="B122" s="1" t="s">
        <v>589</v>
      </c>
      <c r="C122" s="1">
        <v>140310083</v>
      </c>
      <c r="D122" s="1">
        <v>1100</v>
      </c>
      <c r="E122" s="1">
        <v>181</v>
      </c>
      <c r="F122" s="3">
        <v>31</v>
      </c>
      <c r="G122" s="1">
        <v>1100</v>
      </c>
      <c r="H122" s="3"/>
    </row>
    <row r="123" spans="1:8" x14ac:dyDescent="0.25">
      <c r="A123" s="1">
        <v>182</v>
      </c>
      <c r="B123" s="1" t="s">
        <v>589</v>
      </c>
      <c r="C123" s="1">
        <v>140310096</v>
      </c>
      <c r="D123" s="1">
        <v>900</v>
      </c>
      <c r="E123" s="1">
        <v>182</v>
      </c>
      <c r="F123" s="3">
        <v>32</v>
      </c>
      <c r="G123" s="1">
        <v>900</v>
      </c>
      <c r="H123" s="3"/>
    </row>
    <row r="124" spans="1:8" x14ac:dyDescent="0.25">
      <c r="A124" s="1">
        <v>183</v>
      </c>
      <c r="B124" s="1" t="s">
        <v>589</v>
      </c>
      <c r="C124" s="1">
        <v>140450027</v>
      </c>
      <c r="D124" s="1">
        <v>440</v>
      </c>
      <c r="E124" s="1">
        <v>183</v>
      </c>
      <c r="F124" s="3">
        <v>5</v>
      </c>
      <c r="G124" s="1">
        <v>440</v>
      </c>
      <c r="H124" s="3"/>
    </row>
    <row r="125" spans="1:8" x14ac:dyDescent="0.25">
      <c r="A125" s="1">
        <v>184</v>
      </c>
      <c r="B125" s="1" t="s">
        <v>589</v>
      </c>
      <c r="C125" s="1">
        <v>141320055</v>
      </c>
      <c r="D125" s="1">
        <v>2000</v>
      </c>
      <c r="E125" s="1">
        <v>184</v>
      </c>
      <c r="F125" s="3">
        <v>18</v>
      </c>
      <c r="G125" s="1">
        <v>2000</v>
      </c>
      <c r="H125" s="3"/>
    </row>
    <row r="126" spans="1:8" x14ac:dyDescent="0.25">
      <c r="A126" s="1">
        <v>185</v>
      </c>
      <c r="B126" s="1" t="s">
        <v>521</v>
      </c>
      <c r="C126" s="1">
        <v>140010117</v>
      </c>
      <c r="D126" s="1">
        <v>900</v>
      </c>
      <c r="E126" s="1">
        <v>185</v>
      </c>
      <c r="F126" s="3">
        <v>22</v>
      </c>
      <c r="G126" s="1">
        <v>900</v>
      </c>
      <c r="H126" s="3"/>
    </row>
    <row r="127" spans="1:8" x14ac:dyDescent="0.25">
      <c r="A127" s="1">
        <v>186</v>
      </c>
      <c r="B127" s="1" t="s">
        <v>521</v>
      </c>
      <c r="C127" s="1">
        <v>140030039</v>
      </c>
      <c r="D127" s="1">
        <v>600</v>
      </c>
      <c r="E127" s="1">
        <v>186</v>
      </c>
      <c r="F127" s="3">
        <v>26</v>
      </c>
      <c r="G127" s="1">
        <v>600</v>
      </c>
      <c r="H127" s="3"/>
    </row>
    <row r="128" spans="1:8" x14ac:dyDescent="0.25">
      <c r="A128" s="1">
        <v>187</v>
      </c>
      <c r="B128" s="1" t="s">
        <v>521</v>
      </c>
      <c r="C128" s="1">
        <v>140310007</v>
      </c>
      <c r="D128" s="1">
        <v>300</v>
      </c>
      <c r="E128" s="1">
        <v>187</v>
      </c>
      <c r="F128" s="3">
        <v>28</v>
      </c>
      <c r="G128" s="1">
        <v>300</v>
      </c>
      <c r="H128" s="3"/>
    </row>
    <row r="129" spans="1:8" x14ac:dyDescent="0.25">
      <c r="A129" s="1">
        <v>188</v>
      </c>
      <c r="B129" s="1" t="s">
        <v>521</v>
      </c>
      <c r="C129" s="1">
        <v>140310071</v>
      </c>
      <c r="D129" s="1">
        <v>1200</v>
      </c>
      <c r="E129" s="1">
        <v>188</v>
      </c>
      <c r="F129" s="3">
        <v>30</v>
      </c>
      <c r="G129" s="1">
        <v>1200</v>
      </c>
      <c r="H129" s="3"/>
    </row>
    <row r="130" spans="1:8" x14ac:dyDescent="0.25">
      <c r="A130" s="1">
        <v>189</v>
      </c>
      <c r="B130" s="1" t="s">
        <v>521</v>
      </c>
      <c r="C130" s="1">
        <v>140310083</v>
      </c>
      <c r="D130" s="1">
        <v>1000</v>
      </c>
      <c r="E130" s="1">
        <v>189</v>
      </c>
      <c r="F130" s="3">
        <v>31</v>
      </c>
      <c r="G130" s="1">
        <v>1000</v>
      </c>
      <c r="H130" s="3"/>
    </row>
    <row r="131" spans="1:8" x14ac:dyDescent="0.25">
      <c r="A131" s="1">
        <v>190</v>
      </c>
      <c r="B131" s="1" t="s">
        <v>521</v>
      </c>
      <c r="C131" s="1">
        <v>140310096</v>
      </c>
      <c r="D131" s="1">
        <v>250</v>
      </c>
      <c r="E131" s="1">
        <v>190</v>
      </c>
      <c r="F131" s="3">
        <v>32</v>
      </c>
      <c r="G131" s="1">
        <v>250</v>
      </c>
      <c r="H131" s="3"/>
    </row>
    <row r="132" spans="1:8" x14ac:dyDescent="0.25">
      <c r="A132" s="1">
        <v>191</v>
      </c>
      <c r="B132" s="1" t="s">
        <v>521</v>
      </c>
      <c r="C132" s="1">
        <v>140450027</v>
      </c>
      <c r="D132" s="1">
        <v>960</v>
      </c>
      <c r="E132" s="1">
        <v>191</v>
      </c>
      <c r="F132" s="3">
        <v>5</v>
      </c>
      <c r="G132" s="1">
        <v>960</v>
      </c>
      <c r="H132" s="3"/>
    </row>
    <row r="133" spans="1:8" x14ac:dyDescent="0.25">
      <c r="A133" s="1">
        <v>192</v>
      </c>
      <c r="B133" s="1" t="s">
        <v>521</v>
      </c>
      <c r="C133" s="1">
        <v>141320055</v>
      </c>
      <c r="D133" s="1">
        <v>2400</v>
      </c>
      <c r="E133" s="1">
        <v>192</v>
      </c>
      <c r="F133" s="3">
        <v>18</v>
      </c>
      <c r="G133" s="1">
        <v>2400</v>
      </c>
      <c r="H133" s="3"/>
    </row>
    <row r="134" spans="1:8" x14ac:dyDescent="0.25">
      <c r="A134" s="1">
        <v>193</v>
      </c>
      <c r="B134" s="1" t="s">
        <v>527</v>
      </c>
      <c r="C134" s="1">
        <v>140010117</v>
      </c>
      <c r="D134" s="1">
        <v>225</v>
      </c>
      <c r="E134" s="1">
        <v>193</v>
      </c>
      <c r="F134" s="3">
        <v>22</v>
      </c>
      <c r="G134" s="1">
        <v>225</v>
      </c>
      <c r="H134" s="3"/>
    </row>
    <row r="135" spans="1:8" x14ac:dyDescent="0.25">
      <c r="A135" s="1">
        <v>194</v>
      </c>
      <c r="B135" s="1" t="s">
        <v>527</v>
      </c>
      <c r="C135" s="1">
        <v>140030039</v>
      </c>
      <c r="D135" s="1">
        <v>1200</v>
      </c>
      <c r="E135" s="1">
        <v>194</v>
      </c>
      <c r="F135" s="3">
        <v>26</v>
      </c>
      <c r="G135" s="1">
        <v>1200</v>
      </c>
      <c r="H135" s="3"/>
    </row>
    <row r="136" spans="1:8" x14ac:dyDescent="0.25">
      <c r="A136" s="1">
        <v>195</v>
      </c>
      <c r="B136" s="1" t="s">
        <v>527</v>
      </c>
      <c r="C136" s="1">
        <v>140030040</v>
      </c>
      <c r="D136" s="1">
        <v>500</v>
      </c>
      <c r="E136" s="1">
        <v>195</v>
      </c>
      <c r="F136" s="3">
        <v>27</v>
      </c>
      <c r="G136" s="1">
        <v>500</v>
      </c>
      <c r="H136" s="3"/>
    </row>
    <row r="137" spans="1:8" x14ac:dyDescent="0.25">
      <c r="A137" s="1">
        <v>196</v>
      </c>
      <c r="B137" s="1" t="s">
        <v>527</v>
      </c>
      <c r="C137" s="1">
        <v>140310071</v>
      </c>
      <c r="D137" s="1">
        <v>1450</v>
      </c>
      <c r="E137" s="1">
        <v>196</v>
      </c>
      <c r="F137" s="3">
        <v>30</v>
      </c>
      <c r="G137" s="1">
        <v>1450</v>
      </c>
      <c r="H137" s="3"/>
    </row>
    <row r="138" spans="1:8" x14ac:dyDescent="0.25">
      <c r="A138" s="1">
        <v>197</v>
      </c>
      <c r="B138" s="1" t="s">
        <v>527</v>
      </c>
      <c r="C138" s="1">
        <v>140310083</v>
      </c>
      <c r="D138" s="1">
        <v>1600</v>
      </c>
      <c r="E138" s="1">
        <v>197</v>
      </c>
      <c r="F138" s="3">
        <v>31</v>
      </c>
      <c r="G138" s="1">
        <v>1600</v>
      </c>
      <c r="H138" s="3"/>
    </row>
    <row r="139" spans="1:8" x14ac:dyDescent="0.25">
      <c r="A139" s="1">
        <v>198</v>
      </c>
      <c r="B139" s="1" t="s">
        <v>527</v>
      </c>
      <c r="C139" s="1">
        <v>140450027</v>
      </c>
      <c r="D139" s="1">
        <v>1760</v>
      </c>
      <c r="E139" s="1">
        <v>198</v>
      </c>
      <c r="F139" s="3">
        <v>5</v>
      </c>
      <c r="G139" s="1">
        <v>1760</v>
      </c>
      <c r="H139" s="3"/>
    </row>
    <row r="140" spans="1:8" x14ac:dyDescent="0.25">
      <c r="A140" s="1">
        <v>199</v>
      </c>
      <c r="B140" s="1" t="s">
        <v>527</v>
      </c>
      <c r="C140" s="1">
        <v>141320055</v>
      </c>
      <c r="D140" s="1">
        <v>2700</v>
      </c>
      <c r="E140" s="1">
        <v>199</v>
      </c>
      <c r="F140" s="3">
        <v>18</v>
      </c>
      <c r="G140" s="1">
        <v>2700</v>
      </c>
      <c r="H140" s="3"/>
    </row>
    <row r="141" spans="1:8" x14ac:dyDescent="0.25">
      <c r="A141" s="1">
        <v>200</v>
      </c>
      <c r="B141" s="1" t="s">
        <v>590</v>
      </c>
      <c r="C141" s="1">
        <v>140010117</v>
      </c>
      <c r="D141" s="1">
        <v>1275</v>
      </c>
      <c r="E141" s="1">
        <v>200</v>
      </c>
      <c r="F141" s="3">
        <v>22</v>
      </c>
      <c r="G141" s="1">
        <v>1275</v>
      </c>
      <c r="H141" s="3"/>
    </row>
    <row r="142" spans="1:8" x14ac:dyDescent="0.25">
      <c r="A142" s="1">
        <v>201</v>
      </c>
      <c r="B142" s="1" t="s">
        <v>590</v>
      </c>
      <c r="C142" s="1">
        <v>140010255</v>
      </c>
      <c r="D142" s="1">
        <v>500</v>
      </c>
      <c r="E142" s="1">
        <v>201</v>
      </c>
      <c r="F142" s="3">
        <v>24</v>
      </c>
      <c r="G142" s="1">
        <v>500</v>
      </c>
      <c r="H142" s="3"/>
    </row>
    <row r="143" spans="1:8" x14ac:dyDescent="0.25">
      <c r="A143" s="1">
        <v>202</v>
      </c>
      <c r="B143" s="1" t="s">
        <v>590</v>
      </c>
      <c r="C143" s="1">
        <v>140030039</v>
      </c>
      <c r="D143" s="1">
        <v>1200</v>
      </c>
      <c r="E143" s="1">
        <v>202</v>
      </c>
      <c r="F143" s="3">
        <v>26</v>
      </c>
      <c r="G143" s="1">
        <v>1200</v>
      </c>
      <c r="H143" s="3"/>
    </row>
    <row r="144" spans="1:8" x14ac:dyDescent="0.25">
      <c r="A144" s="1">
        <v>203</v>
      </c>
      <c r="B144" s="1" t="s">
        <v>590</v>
      </c>
      <c r="C144" s="1">
        <v>140030040</v>
      </c>
      <c r="D144" s="1">
        <v>1500</v>
      </c>
      <c r="E144" s="1">
        <v>203</v>
      </c>
      <c r="F144" s="3">
        <v>27</v>
      </c>
      <c r="G144" s="1">
        <v>1500</v>
      </c>
      <c r="H144" s="3"/>
    </row>
    <row r="145" spans="1:8" x14ac:dyDescent="0.25">
      <c r="A145" s="1">
        <v>204</v>
      </c>
      <c r="B145" s="1" t="s">
        <v>590</v>
      </c>
      <c r="C145" s="1">
        <v>140310071</v>
      </c>
      <c r="D145" s="1">
        <v>1350</v>
      </c>
      <c r="E145" s="1">
        <v>204</v>
      </c>
      <c r="F145" s="3">
        <v>30</v>
      </c>
      <c r="G145" s="1">
        <v>1350</v>
      </c>
      <c r="H145" s="3"/>
    </row>
    <row r="146" spans="1:8" x14ac:dyDescent="0.25">
      <c r="A146" s="1">
        <v>205</v>
      </c>
      <c r="B146" s="1" t="s">
        <v>590</v>
      </c>
      <c r="C146" s="1">
        <v>140310083</v>
      </c>
      <c r="D146" s="1">
        <v>1400</v>
      </c>
      <c r="E146" s="1">
        <v>205</v>
      </c>
      <c r="F146" s="3">
        <v>31</v>
      </c>
      <c r="G146" s="1">
        <v>1400</v>
      </c>
      <c r="H146" s="3"/>
    </row>
    <row r="147" spans="1:8" x14ac:dyDescent="0.25">
      <c r="A147" s="1">
        <v>206</v>
      </c>
      <c r="B147" s="1" t="s">
        <v>590</v>
      </c>
      <c r="C147" s="1">
        <v>140310096</v>
      </c>
      <c r="D147" s="1">
        <v>450</v>
      </c>
      <c r="E147" s="1">
        <v>206</v>
      </c>
      <c r="F147" s="3">
        <v>32</v>
      </c>
      <c r="G147" s="1">
        <v>450</v>
      </c>
      <c r="H147" s="3"/>
    </row>
    <row r="148" spans="1:8" x14ac:dyDescent="0.25">
      <c r="A148" s="1">
        <v>207</v>
      </c>
      <c r="B148" s="1" t="s">
        <v>590</v>
      </c>
      <c r="C148" s="1">
        <v>140450027</v>
      </c>
      <c r="D148" s="1">
        <v>200</v>
      </c>
      <c r="E148" s="1">
        <v>207</v>
      </c>
      <c r="F148" s="3">
        <v>5</v>
      </c>
      <c r="G148" s="1">
        <v>200</v>
      </c>
      <c r="H148" s="3"/>
    </row>
    <row r="149" spans="1:8" x14ac:dyDescent="0.25">
      <c r="A149" s="1">
        <v>208</v>
      </c>
      <c r="B149" s="1" t="s">
        <v>590</v>
      </c>
      <c r="C149" s="1">
        <v>140450035</v>
      </c>
      <c r="D149" s="1">
        <v>750</v>
      </c>
      <c r="E149" s="1">
        <v>208</v>
      </c>
      <c r="F149" s="3">
        <v>6</v>
      </c>
      <c r="G149" s="1">
        <v>750</v>
      </c>
      <c r="H149" s="3"/>
    </row>
    <row r="150" spans="1:8" x14ac:dyDescent="0.25">
      <c r="A150" s="1">
        <v>209</v>
      </c>
      <c r="B150" s="1" t="s">
        <v>590</v>
      </c>
      <c r="C150" s="1">
        <v>141320055</v>
      </c>
      <c r="D150" s="1">
        <v>1900</v>
      </c>
      <c r="E150" s="1">
        <v>209</v>
      </c>
      <c r="F150" s="3">
        <v>18</v>
      </c>
      <c r="G150" s="1">
        <v>1900</v>
      </c>
      <c r="H150" s="3"/>
    </row>
    <row r="151" spans="1:8" x14ac:dyDescent="0.25">
      <c r="A151" s="1">
        <v>210</v>
      </c>
      <c r="B151" s="1" t="s">
        <v>532</v>
      </c>
      <c r="C151" s="1">
        <v>140010117</v>
      </c>
      <c r="D151" s="1">
        <v>300</v>
      </c>
      <c r="E151" s="1">
        <v>210</v>
      </c>
      <c r="F151" s="3">
        <v>22</v>
      </c>
      <c r="G151" s="1">
        <v>300</v>
      </c>
      <c r="H151" s="3"/>
    </row>
    <row r="152" spans="1:8" x14ac:dyDescent="0.25">
      <c r="A152" s="1">
        <v>211</v>
      </c>
      <c r="B152" s="1" t="s">
        <v>532</v>
      </c>
      <c r="C152" s="1">
        <v>140010230</v>
      </c>
      <c r="D152" s="1">
        <v>2550</v>
      </c>
      <c r="E152" s="1">
        <v>211</v>
      </c>
      <c r="F152" s="3">
        <v>23</v>
      </c>
      <c r="G152" s="1">
        <v>2550</v>
      </c>
      <c r="H152" s="3"/>
    </row>
    <row r="153" spans="1:8" x14ac:dyDescent="0.25">
      <c r="A153" s="1">
        <v>212</v>
      </c>
      <c r="B153" s="1" t="s">
        <v>532</v>
      </c>
      <c r="C153" s="1">
        <v>140030039</v>
      </c>
      <c r="D153" s="1">
        <v>800</v>
      </c>
      <c r="E153" s="1">
        <v>212</v>
      </c>
      <c r="F153" s="3">
        <v>26</v>
      </c>
      <c r="G153" s="1">
        <v>800</v>
      </c>
      <c r="H153" s="3"/>
    </row>
    <row r="154" spans="1:8" x14ac:dyDescent="0.25">
      <c r="A154" s="1">
        <v>213</v>
      </c>
      <c r="B154" s="1" t="s">
        <v>532</v>
      </c>
      <c r="C154" s="1">
        <v>140030040</v>
      </c>
      <c r="D154" s="1">
        <v>1500</v>
      </c>
      <c r="E154" s="1">
        <v>213</v>
      </c>
      <c r="F154" s="3">
        <v>27</v>
      </c>
      <c r="G154" s="1">
        <v>1500</v>
      </c>
      <c r="H154" s="3"/>
    </row>
    <row r="155" spans="1:8" x14ac:dyDescent="0.25">
      <c r="A155" s="1">
        <v>214</v>
      </c>
      <c r="B155" s="1" t="s">
        <v>532</v>
      </c>
      <c r="C155" s="1">
        <v>140310071</v>
      </c>
      <c r="D155" s="1">
        <v>950</v>
      </c>
      <c r="E155" s="1">
        <v>214</v>
      </c>
      <c r="F155" s="3">
        <v>30</v>
      </c>
      <c r="G155" s="1">
        <v>950</v>
      </c>
      <c r="H155" s="3"/>
    </row>
    <row r="156" spans="1:8" x14ac:dyDescent="0.25">
      <c r="A156" s="1">
        <v>215</v>
      </c>
      <c r="B156" s="1" t="s">
        <v>532</v>
      </c>
      <c r="C156" s="1">
        <v>140310083</v>
      </c>
      <c r="D156" s="1">
        <v>800</v>
      </c>
      <c r="E156" s="1">
        <v>215</v>
      </c>
      <c r="F156" s="3">
        <v>31</v>
      </c>
      <c r="G156" s="1">
        <v>800</v>
      </c>
      <c r="H156" s="3"/>
    </row>
    <row r="157" spans="1:8" x14ac:dyDescent="0.25">
      <c r="A157" s="1">
        <v>216</v>
      </c>
      <c r="B157" s="1" t="s">
        <v>532</v>
      </c>
      <c r="C157" s="1">
        <v>140530039</v>
      </c>
      <c r="D157" s="1">
        <v>2400</v>
      </c>
      <c r="E157" s="1">
        <v>216</v>
      </c>
      <c r="F157" s="3">
        <v>33</v>
      </c>
      <c r="G157" s="1">
        <v>2400</v>
      </c>
      <c r="H157" s="3"/>
    </row>
    <row r="158" spans="1:8" x14ac:dyDescent="0.25">
      <c r="A158" s="1">
        <v>217</v>
      </c>
      <c r="B158" s="1" t="s">
        <v>537</v>
      </c>
      <c r="C158" s="1">
        <v>140010117</v>
      </c>
      <c r="D158" s="1">
        <v>300</v>
      </c>
      <c r="E158" s="1">
        <v>217</v>
      </c>
      <c r="F158" s="3">
        <v>22</v>
      </c>
      <c r="G158" s="1">
        <v>300</v>
      </c>
      <c r="H158" s="3"/>
    </row>
    <row r="159" spans="1:8" x14ac:dyDescent="0.25">
      <c r="A159" s="1">
        <v>218</v>
      </c>
      <c r="B159" s="1" t="s">
        <v>537</v>
      </c>
      <c r="C159" s="1">
        <v>140010230</v>
      </c>
      <c r="D159" s="1">
        <v>450</v>
      </c>
      <c r="E159" s="1">
        <v>218</v>
      </c>
      <c r="F159" s="3">
        <v>23</v>
      </c>
      <c r="G159" s="1">
        <v>450</v>
      </c>
      <c r="H159" s="3"/>
    </row>
    <row r="160" spans="1:8" x14ac:dyDescent="0.25">
      <c r="A160" s="1">
        <v>219</v>
      </c>
      <c r="B160" s="1" t="s">
        <v>537</v>
      </c>
      <c r="C160" s="1">
        <v>140030039</v>
      </c>
      <c r="D160" s="1">
        <v>1700</v>
      </c>
      <c r="E160" s="1">
        <v>219</v>
      </c>
      <c r="F160" s="3">
        <v>26</v>
      </c>
      <c r="G160" s="1">
        <v>1700</v>
      </c>
      <c r="H160" s="3"/>
    </row>
    <row r="161" spans="1:8" x14ac:dyDescent="0.25">
      <c r="A161" s="1">
        <v>220</v>
      </c>
      <c r="B161" s="1" t="s">
        <v>537</v>
      </c>
      <c r="C161" s="1">
        <v>140030040</v>
      </c>
      <c r="D161" s="1">
        <v>200</v>
      </c>
      <c r="E161" s="1">
        <v>220</v>
      </c>
      <c r="F161" s="3">
        <v>27</v>
      </c>
      <c r="G161" s="1">
        <v>200</v>
      </c>
      <c r="H161" s="3"/>
    </row>
    <row r="162" spans="1:8" x14ac:dyDescent="0.25">
      <c r="A162" s="1">
        <v>221</v>
      </c>
      <c r="B162" s="1" t="s">
        <v>537</v>
      </c>
      <c r="C162" s="1">
        <v>140310071</v>
      </c>
      <c r="D162" s="1">
        <v>1800</v>
      </c>
      <c r="E162" s="1">
        <v>221</v>
      </c>
      <c r="F162" s="3">
        <v>30</v>
      </c>
      <c r="G162" s="1">
        <v>1800</v>
      </c>
      <c r="H162" s="3"/>
    </row>
    <row r="163" spans="1:8" x14ac:dyDescent="0.25">
      <c r="A163" s="1">
        <v>222</v>
      </c>
      <c r="B163" s="1" t="s">
        <v>537</v>
      </c>
      <c r="C163" s="1">
        <v>140310083</v>
      </c>
      <c r="D163" s="1">
        <v>1600</v>
      </c>
      <c r="E163" s="1">
        <v>222</v>
      </c>
      <c r="F163" s="3">
        <v>31</v>
      </c>
      <c r="G163" s="1">
        <v>1600</v>
      </c>
      <c r="H163" s="3"/>
    </row>
    <row r="164" spans="1:8" x14ac:dyDescent="0.25">
      <c r="A164" s="1">
        <v>223</v>
      </c>
      <c r="B164" s="1" t="s">
        <v>537</v>
      </c>
      <c r="C164" s="1">
        <v>140640007</v>
      </c>
      <c r="D164" s="1">
        <v>800</v>
      </c>
      <c r="E164" s="1">
        <v>223</v>
      </c>
      <c r="F164" s="3">
        <v>17</v>
      </c>
      <c r="G164" s="1">
        <v>800</v>
      </c>
      <c r="H164" s="3"/>
    </row>
    <row r="165" spans="1:8" x14ac:dyDescent="0.25">
      <c r="A165" s="1">
        <v>224</v>
      </c>
      <c r="B165" s="1" t="s">
        <v>537</v>
      </c>
      <c r="C165" s="1">
        <v>140530039</v>
      </c>
      <c r="D165" s="1">
        <v>2400</v>
      </c>
      <c r="E165" s="1">
        <v>224</v>
      </c>
      <c r="F165" s="3">
        <v>33</v>
      </c>
      <c r="G165" s="1">
        <v>2400</v>
      </c>
      <c r="H165" s="3"/>
    </row>
    <row r="166" spans="1:8" x14ac:dyDescent="0.25">
      <c r="A166" s="1">
        <v>225</v>
      </c>
      <c r="B166" s="1" t="s">
        <v>528</v>
      </c>
      <c r="C166" s="1">
        <v>140010117</v>
      </c>
      <c r="D166" s="1">
        <v>1200</v>
      </c>
      <c r="E166" s="1">
        <v>225</v>
      </c>
      <c r="F166" s="3">
        <v>22</v>
      </c>
      <c r="G166" s="1">
        <v>1200</v>
      </c>
      <c r="H166" s="3"/>
    </row>
    <row r="167" spans="1:8" x14ac:dyDescent="0.25">
      <c r="A167" s="1">
        <v>226</v>
      </c>
      <c r="B167" s="1" t="s">
        <v>528</v>
      </c>
      <c r="C167" s="1">
        <v>140020181</v>
      </c>
      <c r="D167" s="1">
        <v>100</v>
      </c>
      <c r="E167" s="1">
        <v>226</v>
      </c>
      <c r="F167" s="3">
        <v>25</v>
      </c>
      <c r="G167" s="1">
        <v>100</v>
      </c>
      <c r="H167" s="3"/>
    </row>
    <row r="168" spans="1:8" x14ac:dyDescent="0.25">
      <c r="A168" s="1">
        <v>227</v>
      </c>
      <c r="B168" s="1" t="s">
        <v>528</v>
      </c>
      <c r="C168" s="1">
        <v>140030039</v>
      </c>
      <c r="D168" s="1">
        <v>400</v>
      </c>
      <c r="E168" s="1">
        <v>227</v>
      </c>
      <c r="F168" s="3">
        <v>26</v>
      </c>
      <c r="G168" s="1">
        <v>400</v>
      </c>
      <c r="H168" s="3"/>
    </row>
    <row r="169" spans="1:8" x14ac:dyDescent="0.25">
      <c r="A169" s="1">
        <v>228</v>
      </c>
      <c r="B169" s="1" t="s">
        <v>528</v>
      </c>
      <c r="C169" s="1">
        <v>140030040</v>
      </c>
      <c r="D169" s="1">
        <v>600</v>
      </c>
      <c r="E169" s="1">
        <v>228</v>
      </c>
      <c r="F169" s="3">
        <v>27</v>
      </c>
      <c r="G169" s="1">
        <v>600</v>
      </c>
      <c r="H169" s="3"/>
    </row>
    <row r="170" spans="1:8" x14ac:dyDescent="0.25">
      <c r="A170" s="1">
        <v>229</v>
      </c>
      <c r="B170" s="1" t="s">
        <v>528</v>
      </c>
      <c r="C170" s="1">
        <v>140310071</v>
      </c>
      <c r="D170" s="1">
        <v>1550</v>
      </c>
      <c r="E170" s="1">
        <v>229</v>
      </c>
      <c r="F170" s="3">
        <v>30</v>
      </c>
      <c r="G170" s="1">
        <v>1550</v>
      </c>
      <c r="H170" s="3"/>
    </row>
    <row r="171" spans="1:8" x14ac:dyDescent="0.25">
      <c r="A171" s="1">
        <v>230</v>
      </c>
      <c r="B171" s="1" t="s">
        <v>528</v>
      </c>
      <c r="C171" s="1">
        <v>140310083</v>
      </c>
      <c r="D171" s="1">
        <v>2200</v>
      </c>
      <c r="E171" s="1">
        <v>230</v>
      </c>
      <c r="F171" s="3">
        <v>31</v>
      </c>
      <c r="G171" s="1">
        <v>2200</v>
      </c>
      <c r="H171" s="3"/>
    </row>
    <row r="172" spans="1:8" x14ac:dyDescent="0.25">
      <c r="A172" s="1">
        <v>231</v>
      </c>
      <c r="B172" s="1" t="s">
        <v>528</v>
      </c>
      <c r="C172" s="1">
        <v>140450027</v>
      </c>
      <c r="D172" s="1">
        <v>49</v>
      </c>
      <c r="E172" s="1">
        <v>231</v>
      </c>
      <c r="F172" s="3">
        <v>5</v>
      </c>
      <c r="G172" s="1">
        <v>49</v>
      </c>
      <c r="H172" s="3"/>
    </row>
    <row r="173" spans="1:8" x14ac:dyDescent="0.25">
      <c r="A173" s="1">
        <v>232</v>
      </c>
      <c r="B173" s="1" t="s">
        <v>528</v>
      </c>
      <c r="C173" s="1">
        <v>140450035</v>
      </c>
      <c r="D173" s="1">
        <v>64</v>
      </c>
      <c r="E173" s="1">
        <v>232</v>
      </c>
      <c r="F173" s="3">
        <v>6</v>
      </c>
      <c r="G173" s="1">
        <v>64</v>
      </c>
      <c r="H173" s="3"/>
    </row>
    <row r="174" spans="1:8" x14ac:dyDescent="0.25">
      <c r="A174" s="1">
        <v>233</v>
      </c>
      <c r="B174" s="1" t="s">
        <v>528</v>
      </c>
      <c r="C174" s="1">
        <v>140640007</v>
      </c>
      <c r="D174" s="1">
        <v>1400</v>
      </c>
      <c r="E174" s="1">
        <v>233</v>
      </c>
      <c r="F174" s="3">
        <v>17</v>
      </c>
      <c r="G174" s="1">
        <v>1400</v>
      </c>
      <c r="H174" s="3"/>
    </row>
    <row r="175" spans="1:8" x14ac:dyDescent="0.25">
      <c r="A175" s="1">
        <v>234</v>
      </c>
      <c r="B175" s="1" t="s">
        <v>528</v>
      </c>
      <c r="C175" s="1">
        <v>140530039</v>
      </c>
      <c r="D175" s="1">
        <v>2100</v>
      </c>
      <c r="E175" s="1">
        <v>234</v>
      </c>
      <c r="F175" s="3">
        <v>33</v>
      </c>
      <c r="G175" s="1">
        <v>2100</v>
      </c>
      <c r="H175" s="3"/>
    </row>
    <row r="176" spans="1:8" x14ac:dyDescent="0.25">
      <c r="A176" s="1">
        <v>235</v>
      </c>
      <c r="B176" s="1" t="s">
        <v>529</v>
      </c>
      <c r="C176" s="1">
        <v>140010117</v>
      </c>
      <c r="D176" s="1">
        <v>450</v>
      </c>
      <c r="E176" s="1">
        <v>235</v>
      </c>
      <c r="F176" s="3">
        <v>22</v>
      </c>
      <c r="G176" s="1">
        <v>450</v>
      </c>
      <c r="H176" s="3"/>
    </row>
    <row r="177" spans="1:8" x14ac:dyDescent="0.25">
      <c r="A177" s="1">
        <v>236</v>
      </c>
      <c r="B177" s="1" t="s">
        <v>529</v>
      </c>
      <c r="C177" s="1">
        <v>140310083</v>
      </c>
      <c r="D177" s="1">
        <v>2500</v>
      </c>
      <c r="E177" s="1">
        <v>236</v>
      </c>
      <c r="F177" s="3">
        <v>31</v>
      </c>
      <c r="G177" s="1">
        <v>2500</v>
      </c>
      <c r="H177" s="3"/>
    </row>
    <row r="178" spans="1:8" x14ac:dyDescent="0.25">
      <c r="A178" s="1">
        <v>237</v>
      </c>
      <c r="B178" s="1" t="s">
        <v>529</v>
      </c>
      <c r="C178" s="1">
        <v>140640007</v>
      </c>
      <c r="D178" s="1">
        <v>1300</v>
      </c>
      <c r="E178" s="1">
        <v>237</v>
      </c>
      <c r="F178" s="3">
        <v>17</v>
      </c>
      <c r="G178" s="1">
        <v>1300</v>
      </c>
      <c r="H178" s="3"/>
    </row>
    <row r="179" spans="1:8" x14ac:dyDescent="0.25">
      <c r="A179" s="1">
        <v>238</v>
      </c>
      <c r="B179" s="1" t="s">
        <v>529</v>
      </c>
      <c r="C179" s="1">
        <v>141320055</v>
      </c>
      <c r="D179" s="1">
        <v>2800</v>
      </c>
      <c r="E179" s="1">
        <v>238</v>
      </c>
      <c r="F179" s="3">
        <v>18</v>
      </c>
      <c r="G179" s="1">
        <v>2800</v>
      </c>
      <c r="H179" s="3"/>
    </row>
    <row r="180" spans="1:8" x14ac:dyDescent="0.25">
      <c r="A180" s="1">
        <v>239</v>
      </c>
      <c r="B180" s="1" t="s">
        <v>808</v>
      </c>
      <c r="C180" s="1">
        <v>140010117</v>
      </c>
      <c r="D180" s="1">
        <v>1500</v>
      </c>
      <c r="E180" s="1">
        <v>239</v>
      </c>
      <c r="F180" s="3">
        <v>22</v>
      </c>
      <c r="G180" s="1">
        <v>1500</v>
      </c>
      <c r="H180" s="3"/>
    </row>
    <row r="181" spans="1:8" x14ac:dyDescent="0.25">
      <c r="A181" s="1">
        <v>240</v>
      </c>
      <c r="B181" s="1" t="s">
        <v>808</v>
      </c>
      <c r="C181" s="1">
        <v>140030039</v>
      </c>
      <c r="D181" s="1">
        <v>1200</v>
      </c>
      <c r="E181" s="1">
        <v>240</v>
      </c>
      <c r="F181" s="3">
        <v>26</v>
      </c>
      <c r="G181" s="1">
        <v>1200</v>
      </c>
      <c r="H181" s="3"/>
    </row>
    <row r="182" spans="1:8" x14ac:dyDescent="0.25">
      <c r="A182" s="1">
        <v>241</v>
      </c>
      <c r="B182" s="1" t="s">
        <v>808</v>
      </c>
      <c r="C182" s="1">
        <v>140310071</v>
      </c>
      <c r="D182" s="1">
        <v>500</v>
      </c>
      <c r="E182" s="1">
        <v>241</v>
      </c>
      <c r="F182" s="3">
        <v>30</v>
      </c>
      <c r="G182" s="1">
        <v>500</v>
      </c>
      <c r="H182" s="3"/>
    </row>
    <row r="183" spans="1:8" x14ac:dyDescent="0.25">
      <c r="A183" s="1">
        <v>242</v>
      </c>
      <c r="B183" s="1" t="s">
        <v>808</v>
      </c>
      <c r="C183" s="1">
        <v>140310083</v>
      </c>
      <c r="D183" s="1">
        <v>1200</v>
      </c>
      <c r="E183" s="1">
        <v>242</v>
      </c>
      <c r="F183" s="3">
        <v>31</v>
      </c>
      <c r="G183" s="1">
        <v>1200</v>
      </c>
      <c r="H183" s="3"/>
    </row>
    <row r="184" spans="1:8" x14ac:dyDescent="0.25">
      <c r="A184" s="1">
        <v>243</v>
      </c>
      <c r="B184" s="1" t="s">
        <v>808</v>
      </c>
      <c r="C184" s="1">
        <v>140640007</v>
      </c>
      <c r="D184" s="1">
        <v>1200</v>
      </c>
      <c r="E184" s="1">
        <v>243</v>
      </c>
      <c r="F184" s="3">
        <v>17</v>
      </c>
      <c r="G184" s="1">
        <v>1200</v>
      </c>
      <c r="H184" s="3"/>
    </row>
    <row r="185" spans="1:8" x14ac:dyDescent="0.25">
      <c r="A185" s="1">
        <v>244</v>
      </c>
      <c r="B185" s="1" t="s">
        <v>808</v>
      </c>
      <c r="C185" s="1">
        <v>141320055</v>
      </c>
      <c r="D185" s="1">
        <v>2400</v>
      </c>
      <c r="E185" s="1">
        <v>244</v>
      </c>
      <c r="F185" s="3">
        <v>18</v>
      </c>
      <c r="G185" s="1">
        <v>2400</v>
      </c>
      <c r="H185" s="3"/>
    </row>
    <row r="186" spans="1:8" x14ac:dyDescent="0.25">
      <c r="A186" s="1">
        <v>245</v>
      </c>
      <c r="B186" s="1" t="s">
        <v>591</v>
      </c>
      <c r="C186" s="1">
        <v>140010117</v>
      </c>
      <c r="D186" s="1">
        <v>1050</v>
      </c>
      <c r="E186" s="1">
        <v>245</v>
      </c>
      <c r="F186" s="3">
        <v>22</v>
      </c>
      <c r="G186" s="1">
        <v>1050</v>
      </c>
      <c r="H186" s="3"/>
    </row>
    <row r="187" spans="1:8" x14ac:dyDescent="0.25">
      <c r="A187" s="1">
        <v>246</v>
      </c>
      <c r="B187" s="1" t="s">
        <v>591</v>
      </c>
      <c r="C187" s="1">
        <v>140030039</v>
      </c>
      <c r="D187" s="1">
        <v>900</v>
      </c>
      <c r="E187" s="1">
        <v>246</v>
      </c>
      <c r="F187" s="3">
        <v>26</v>
      </c>
      <c r="G187" s="1">
        <v>900</v>
      </c>
      <c r="H187" s="3"/>
    </row>
    <row r="188" spans="1:8" x14ac:dyDescent="0.25">
      <c r="A188" s="1">
        <v>247</v>
      </c>
      <c r="B188" s="1" t="s">
        <v>591</v>
      </c>
      <c r="C188" s="1">
        <v>140310071</v>
      </c>
      <c r="D188" s="1">
        <v>2000</v>
      </c>
      <c r="E188" s="1">
        <v>247</v>
      </c>
      <c r="F188" s="3">
        <v>30</v>
      </c>
      <c r="G188" s="1">
        <v>2000</v>
      </c>
      <c r="H188" s="3"/>
    </row>
    <row r="189" spans="1:8" x14ac:dyDescent="0.25">
      <c r="A189" s="1">
        <v>248</v>
      </c>
      <c r="B189" s="1" t="s">
        <v>591</v>
      </c>
      <c r="C189" s="1">
        <v>140310083</v>
      </c>
      <c r="D189" s="1">
        <v>1100</v>
      </c>
      <c r="E189" s="1">
        <v>248</v>
      </c>
      <c r="F189" s="3">
        <v>31</v>
      </c>
      <c r="G189" s="1">
        <v>1100</v>
      </c>
      <c r="H189" s="3"/>
    </row>
    <row r="190" spans="1:8" x14ac:dyDescent="0.25">
      <c r="A190" s="1">
        <v>249</v>
      </c>
      <c r="B190" s="1" t="s">
        <v>591</v>
      </c>
      <c r="C190" s="1">
        <v>140640007</v>
      </c>
      <c r="D190" s="1">
        <v>2300</v>
      </c>
      <c r="E190" s="1">
        <v>249</v>
      </c>
      <c r="F190" s="3">
        <v>17</v>
      </c>
      <c r="G190" s="1">
        <v>2300</v>
      </c>
      <c r="H190" s="3"/>
    </row>
    <row r="191" spans="1:8" x14ac:dyDescent="0.25">
      <c r="A191" s="1">
        <v>250</v>
      </c>
      <c r="B191" s="1" t="s">
        <v>591</v>
      </c>
      <c r="C191" s="1">
        <v>140530039</v>
      </c>
      <c r="D191" s="1">
        <v>1700</v>
      </c>
      <c r="E191" s="1">
        <v>250</v>
      </c>
      <c r="F191" s="3">
        <v>33</v>
      </c>
      <c r="G191" s="1">
        <v>1700</v>
      </c>
      <c r="H191" s="3"/>
    </row>
    <row r="192" spans="1:8" x14ac:dyDescent="0.25">
      <c r="A192" s="1">
        <v>251</v>
      </c>
      <c r="B192" s="1" t="s">
        <v>544</v>
      </c>
      <c r="C192" s="1">
        <v>140010117</v>
      </c>
      <c r="D192" s="1">
        <v>750</v>
      </c>
      <c r="E192" s="1">
        <v>251</v>
      </c>
      <c r="F192" s="3">
        <v>22</v>
      </c>
      <c r="G192" s="1">
        <v>750</v>
      </c>
      <c r="H192" s="3"/>
    </row>
    <row r="193" spans="1:8" x14ac:dyDescent="0.25">
      <c r="A193" s="1">
        <v>252</v>
      </c>
      <c r="B193" s="1" t="s">
        <v>544</v>
      </c>
      <c r="C193" s="1">
        <v>140310071</v>
      </c>
      <c r="D193" s="1">
        <v>4800</v>
      </c>
      <c r="E193" s="1">
        <v>252</v>
      </c>
      <c r="F193" s="3">
        <v>30</v>
      </c>
      <c r="G193" s="1">
        <v>4800</v>
      </c>
      <c r="H193" s="3"/>
    </row>
    <row r="194" spans="1:8" x14ac:dyDescent="0.25">
      <c r="A194" s="1">
        <v>253</v>
      </c>
      <c r="B194" s="1" t="s">
        <v>544</v>
      </c>
      <c r="C194" s="1">
        <v>140310083</v>
      </c>
      <c r="D194" s="1">
        <v>1400</v>
      </c>
      <c r="E194" s="1">
        <v>253</v>
      </c>
      <c r="F194" s="3">
        <v>31</v>
      </c>
      <c r="G194" s="1">
        <v>1400</v>
      </c>
      <c r="H194" s="3"/>
    </row>
    <row r="195" spans="1:8" x14ac:dyDescent="0.25">
      <c r="A195" s="1">
        <v>254</v>
      </c>
      <c r="B195" s="1" t="s">
        <v>544</v>
      </c>
      <c r="C195" s="1">
        <v>140640007</v>
      </c>
      <c r="D195" s="1">
        <v>1900</v>
      </c>
      <c r="E195" s="1">
        <v>254</v>
      </c>
      <c r="F195" s="3">
        <v>17</v>
      </c>
      <c r="G195" s="1">
        <v>1900</v>
      </c>
      <c r="H195" s="3"/>
    </row>
    <row r="196" spans="1:8" x14ac:dyDescent="0.25">
      <c r="A196" s="1">
        <v>255</v>
      </c>
      <c r="B196" s="1" t="s">
        <v>544</v>
      </c>
      <c r="C196" s="1">
        <v>140530039</v>
      </c>
      <c r="D196" s="1">
        <v>1400</v>
      </c>
      <c r="E196" s="1">
        <v>255</v>
      </c>
      <c r="F196" s="3">
        <v>33</v>
      </c>
      <c r="G196" s="1">
        <v>1400</v>
      </c>
      <c r="H196" s="3"/>
    </row>
    <row r="197" spans="1:8" x14ac:dyDescent="0.25">
      <c r="A197" s="1">
        <v>256</v>
      </c>
      <c r="B197" s="1" t="s">
        <v>544</v>
      </c>
      <c r="C197" s="1">
        <v>141320055</v>
      </c>
      <c r="D197" s="1">
        <v>1100</v>
      </c>
      <c r="E197" s="1">
        <v>256</v>
      </c>
      <c r="F197" s="3">
        <v>18</v>
      </c>
      <c r="G197" s="1">
        <v>1100</v>
      </c>
      <c r="H197" s="3"/>
    </row>
    <row r="198" spans="1:8" x14ac:dyDescent="0.25">
      <c r="A198" s="1">
        <v>257</v>
      </c>
      <c r="B198" s="1" t="s">
        <v>592</v>
      </c>
      <c r="C198" s="1">
        <v>140010117</v>
      </c>
      <c r="D198" s="1">
        <v>300</v>
      </c>
      <c r="E198" s="1">
        <v>257</v>
      </c>
      <c r="F198" s="3">
        <v>22</v>
      </c>
      <c r="G198" s="1">
        <v>300</v>
      </c>
      <c r="H198" s="3"/>
    </row>
    <row r="199" spans="1:8" x14ac:dyDescent="0.25">
      <c r="A199" s="1">
        <v>258</v>
      </c>
      <c r="B199" s="1" t="s">
        <v>592</v>
      </c>
      <c r="C199" s="1">
        <v>140310071</v>
      </c>
      <c r="D199" s="1">
        <v>2600</v>
      </c>
      <c r="E199" s="1">
        <v>258</v>
      </c>
      <c r="F199" s="3">
        <v>30</v>
      </c>
      <c r="G199" s="1">
        <v>2600</v>
      </c>
      <c r="H199" s="3"/>
    </row>
    <row r="200" spans="1:8" x14ac:dyDescent="0.25">
      <c r="A200" s="1">
        <v>259</v>
      </c>
      <c r="B200" s="1" t="s">
        <v>592</v>
      </c>
      <c r="C200" s="1">
        <v>141320055</v>
      </c>
      <c r="D200" s="1">
        <v>2200</v>
      </c>
      <c r="E200" s="1">
        <v>259</v>
      </c>
      <c r="F200" s="3">
        <v>18</v>
      </c>
      <c r="G200" s="1">
        <v>2200</v>
      </c>
      <c r="H200" s="3"/>
    </row>
    <row r="201" spans="1:8" x14ac:dyDescent="0.25">
      <c r="A201" s="1">
        <v>260</v>
      </c>
      <c r="B201" s="1" t="s">
        <v>548</v>
      </c>
      <c r="C201" s="1">
        <v>140010117</v>
      </c>
      <c r="D201" s="1">
        <v>150</v>
      </c>
      <c r="E201" s="1">
        <v>260</v>
      </c>
      <c r="F201" s="3">
        <v>22</v>
      </c>
      <c r="G201" s="1">
        <v>150</v>
      </c>
      <c r="H201" s="3"/>
    </row>
    <row r="202" spans="1:8" x14ac:dyDescent="0.25">
      <c r="A202" s="1">
        <v>261</v>
      </c>
      <c r="B202" s="1" t="s">
        <v>548</v>
      </c>
      <c r="C202" s="1">
        <v>140010255</v>
      </c>
      <c r="D202" s="1">
        <v>500</v>
      </c>
      <c r="E202" s="1">
        <v>261</v>
      </c>
      <c r="F202" s="3">
        <v>40</v>
      </c>
      <c r="G202" s="1">
        <v>500</v>
      </c>
      <c r="H202" s="3"/>
    </row>
    <row r="203" spans="1:8" x14ac:dyDescent="0.25">
      <c r="A203" s="1">
        <v>262</v>
      </c>
      <c r="B203" s="1" t="s">
        <v>548</v>
      </c>
      <c r="C203" s="1">
        <v>140310071</v>
      </c>
      <c r="D203" s="1">
        <v>2700</v>
      </c>
      <c r="E203" s="1">
        <v>262</v>
      </c>
      <c r="F203" s="3">
        <v>30</v>
      </c>
      <c r="G203" s="1">
        <v>2700</v>
      </c>
      <c r="H203" s="3"/>
    </row>
    <row r="204" spans="1:8" x14ac:dyDescent="0.25">
      <c r="A204" s="1">
        <v>263</v>
      </c>
      <c r="B204" s="1" t="s">
        <v>548</v>
      </c>
      <c r="C204" s="1">
        <v>140640007</v>
      </c>
      <c r="D204" s="1">
        <v>1300</v>
      </c>
      <c r="E204" s="1">
        <v>263</v>
      </c>
      <c r="F204" s="3">
        <v>17</v>
      </c>
      <c r="G204" s="1">
        <v>1300</v>
      </c>
      <c r="H204" s="3"/>
    </row>
    <row r="205" spans="1:8" x14ac:dyDescent="0.25">
      <c r="A205" s="1">
        <v>264</v>
      </c>
      <c r="B205" s="1" t="s">
        <v>548</v>
      </c>
      <c r="C205" s="1">
        <v>141320055</v>
      </c>
      <c r="D205" s="1">
        <v>1900</v>
      </c>
      <c r="E205" s="1">
        <v>264</v>
      </c>
      <c r="F205" s="3">
        <v>18</v>
      </c>
      <c r="G205" s="1">
        <v>1900</v>
      </c>
      <c r="H205" s="3"/>
    </row>
    <row r="206" spans="1:8" x14ac:dyDescent="0.25">
      <c r="A206" s="1">
        <v>265</v>
      </c>
      <c r="B206" s="1" t="s">
        <v>593</v>
      </c>
      <c r="C206" s="1">
        <v>140030039</v>
      </c>
      <c r="D206" s="1">
        <v>1200</v>
      </c>
      <c r="E206" s="1">
        <v>265</v>
      </c>
      <c r="F206" s="3">
        <v>41</v>
      </c>
      <c r="G206" s="1">
        <v>1200</v>
      </c>
      <c r="H206" s="3"/>
    </row>
    <row r="207" spans="1:8" x14ac:dyDescent="0.25">
      <c r="A207" s="1">
        <v>266</v>
      </c>
      <c r="B207" s="1" t="s">
        <v>593</v>
      </c>
      <c r="C207" s="1">
        <v>140310071</v>
      </c>
      <c r="D207" s="1">
        <v>5200</v>
      </c>
      <c r="E207" s="1">
        <v>266</v>
      </c>
      <c r="F207" s="3">
        <v>30</v>
      </c>
      <c r="G207" s="1">
        <v>5200</v>
      </c>
      <c r="H207" s="3"/>
    </row>
    <row r="208" spans="1:8" x14ac:dyDescent="0.25">
      <c r="A208" s="1">
        <v>267</v>
      </c>
      <c r="B208" s="1" t="s">
        <v>593</v>
      </c>
      <c r="C208" s="1">
        <v>140640007</v>
      </c>
      <c r="D208" s="1">
        <v>950</v>
      </c>
      <c r="E208" s="1">
        <v>267</v>
      </c>
      <c r="F208" s="3">
        <v>17</v>
      </c>
      <c r="G208" s="1">
        <v>950</v>
      </c>
      <c r="H208" s="3"/>
    </row>
    <row r="209" spans="1:9" x14ac:dyDescent="0.25">
      <c r="A209" s="1">
        <v>268</v>
      </c>
      <c r="B209" s="1" t="s">
        <v>594</v>
      </c>
      <c r="C209" s="1">
        <v>140030039</v>
      </c>
      <c r="D209" s="1">
        <v>700</v>
      </c>
      <c r="E209" s="1">
        <v>268</v>
      </c>
      <c r="F209" s="3">
        <v>41</v>
      </c>
      <c r="G209" s="1">
        <v>700</v>
      </c>
      <c r="H209" s="3"/>
    </row>
    <row r="210" spans="1:9" x14ac:dyDescent="0.25">
      <c r="A210" s="1">
        <v>269</v>
      </c>
      <c r="B210" s="1" t="s">
        <v>594</v>
      </c>
      <c r="C210" s="1">
        <v>140030040</v>
      </c>
      <c r="D210" s="1">
        <v>1300</v>
      </c>
      <c r="E210" s="1">
        <v>269</v>
      </c>
      <c r="F210" s="3">
        <v>42</v>
      </c>
      <c r="G210" s="1">
        <v>1300</v>
      </c>
      <c r="H210" s="3"/>
    </row>
    <row r="211" spans="1:9" x14ac:dyDescent="0.25">
      <c r="A211" s="1">
        <v>270</v>
      </c>
      <c r="B211" s="1" t="s">
        <v>594</v>
      </c>
      <c r="C211" s="1">
        <v>140310071</v>
      </c>
      <c r="D211" s="1">
        <v>2900</v>
      </c>
      <c r="E211" s="1">
        <v>270</v>
      </c>
      <c r="F211" s="3">
        <v>30</v>
      </c>
      <c r="G211" s="1">
        <v>2900</v>
      </c>
      <c r="H211" s="3"/>
    </row>
    <row r="212" spans="1:9" x14ac:dyDescent="0.25">
      <c r="A212" s="1">
        <v>271</v>
      </c>
      <c r="B212" s="1" t="s">
        <v>594</v>
      </c>
      <c r="C212" s="1">
        <v>140640007</v>
      </c>
      <c r="D212" s="1">
        <v>400</v>
      </c>
      <c r="E212" s="1">
        <v>271</v>
      </c>
      <c r="F212" s="3">
        <v>17</v>
      </c>
      <c r="G212" s="1">
        <v>400</v>
      </c>
      <c r="H212" s="3"/>
    </row>
    <row r="213" spans="1:9" x14ac:dyDescent="0.25">
      <c r="A213" s="1">
        <v>272</v>
      </c>
      <c r="B213" s="1" t="s">
        <v>594</v>
      </c>
      <c r="C213" s="1">
        <v>141320055</v>
      </c>
      <c r="D213" s="1">
        <v>400</v>
      </c>
      <c r="E213" s="1">
        <v>272</v>
      </c>
      <c r="F213" s="3">
        <v>18</v>
      </c>
      <c r="G213" s="1">
        <v>400</v>
      </c>
      <c r="H213" s="3"/>
    </row>
    <row r="214" spans="1:9" x14ac:dyDescent="0.25">
      <c r="A214" s="1">
        <v>273</v>
      </c>
      <c r="B214" s="1" t="s">
        <v>595</v>
      </c>
      <c r="C214" s="1">
        <v>140030039</v>
      </c>
      <c r="D214" s="1">
        <v>200</v>
      </c>
      <c r="E214" s="1">
        <v>273</v>
      </c>
      <c r="F214" s="3">
        <v>41</v>
      </c>
      <c r="G214" s="1">
        <v>200</v>
      </c>
      <c r="H214" s="3"/>
    </row>
    <row r="215" spans="1:9" x14ac:dyDescent="0.25">
      <c r="A215" s="1">
        <v>274</v>
      </c>
      <c r="B215" s="1" t="s">
        <v>595</v>
      </c>
      <c r="C215" s="1">
        <v>140030040</v>
      </c>
      <c r="D215" s="1">
        <v>700</v>
      </c>
      <c r="E215" s="1">
        <v>274</v>
      </c>
      <c r="F215" s="3">
        <v>42</v>
      </c>
      <c r="G215" s="1">
        <v>700</v>
      </c>
      <c r="H215" s="3"/>
    </row>
    <row r="216" spans="1:9" x14ac:dyDescent="0.25">
      <c r="A216" s="1">
        <v>275</v>
      </c>
      <c r="B216" s="1" t="s">
        <v>595</v>
      </c>
      <c r="C216" s="1">
        <v>140310071</v>
      </c>
      <c r="D216" s="1">
        <v>2250</v>
      </c>
      <c r="E216" s="1">
        <v>275</v>
      </c>
      <c r="F216" s="3">
        <v>30</v>
      </c>
      <c r="G216" s="1">
        <v>2250</v>
      </c>
      <c r="H216" s="3"/>
    </row>
    <row r="217" spans="1:9" x14ac:dyDescent="0.25">
      <c r="A217" s="1">
        <v>276</v>
      </c>
      <c r="B217" s="1" t="s">
        <v>595</v>
      </c>
      <c r="C217" s="1">
        <v>140310083</v>
      </c>
      <c r="D217" s="1">
        <v>700</v>
      </c>
      <c r="E217" s="1">
        <v>276</v>
      </c>
      <c r="F217" s="3">
        <v>31</v>
      </c>
      <c r="G217" s="1">
        <v>700</v>
      </c>
      <c r="H217" s="3"/>
    </row>
    <row r="218" spans="1:9" x14ac:dyDescent="0.25">
      <c r="A218" s="1">
        <v>277</v>
      </c>
      <c r="B218" s="1" t="s">
        <v>595</v>
      </c>
      <c r="C218" s="1">
        <v>140640007</v>
      </c>
      <c r="D218" s="1">
        <v>250</v>
      </c>
      <c r="E218" s="1">
        <v>277</v>
      </c>
      <c r="F218" s="3">
        <v>17</v>
      </c>
      <c r="G218" s="1">
        <v>250</v>
      </c>
      <c r="H218" s="3"/>
    </row>
    <row r="219" spans="1:9" x14ac:dyDescent="0.25">
      <c r="A219" s="1">
        <v>278</v>
      </c>
      <c r="B219" s="1" t="s">
        <v>595</v>
      </c>
      <c r="C219" s="1">
        <v>140530039</v>
      </c>
      <c r="D219" s="1">
        <v>200</v>
      </c>
      <c r="E219" s="1">
        <v>278</v>
      </c>
      <c r="F219" s="3">
        <v>33</v>
      </c>
      <c r="G219" s="1">
        <v>200</v>
      </c>
      <c r="H219" s="3"/>
    </row>
    <row r="220" spans="1:9" x14ac:dyDescent="0.25">
      <c r="A220" s="1">
        <v>279</v>
      </c>
      <c r="B220" s="1" t="s">
        <v>595</v>
      </c>
      <c r="C220" s="1">
        <v>141320055</v>
      </c>
      <c r="D220" s="1">
        <v>1300</v>
      </c>
      <c r="E220" s="1">
        <v>279</v>
      </c>
      <c r="F220" s="3">
        <v>18</v>
      </c>
      <c r="G220" s="1">
        <v>1300</v>
      </c>
      <c r="H220" s="3"/>
    </row>
    <row r="221" spans="1:9" x14ac:dyDescent="0.25">
      <c r="A221" s="1">
        <v>280</v>
      </c>
      <c r="B221" s="1" t="s">
        <v>596</v>
      </c>
      <c r="C221" s="1">
        <v>140030040</v>
      </c>
      <c r="D221" s="1">
        <v>800</v>
      </c>
      <c r="E221" s="1">
        <v>280</v>
      </c>
      <c r="F221" s="3">
        <v>27</v>
      </c>
      <c r="G221" s="1">
        <v>100</v>
      </c>
      <c r="H221" s="3">
        <v>42</v>
      </c>
      <c r="I221" s="1">
        <v>700</v>
      </c>
    </row>
    <row r="222" spans="1:9" x14ac:dyDescent="0.25">
      <c r="A222" s="1">
        <v>281</v>
      </c>
      <c r="B222" s="1" t="s">
        <v>596</v>
      </c>
      <c r="C222" s="1">
        <v>140310071</v>
      </c>
      <c r="D222" s="1">
        <v>1500</v>
      </c>
      <c r="E222" s="1">
        <v>281</v>
      </c>
      <c r="F222" s="3">
        <v>30</v>
      </c>
      <c r="G222" s="1">
        <v>1500</v>
      </c>
      <c r="H222" s="3"/>
    </row>
    <row r="223" spans="1:9" x14ac:dyDescent="0.25">
      <c r="A223" s="1">
        <v>282</v>
      </c>
      <c r="B223" s="1" t="s">
        <v>596</v>
      </c>
      <c r="C223" s="1">
        <v>140310083</v>
      </c>
      <c r="D223" s="1">
        <v>400</v>
      </c>
      <c r="E223" s="1">
        <v>282</v>
      </c>
      <c r="F223" s="3">
        <v>31</v>
      </c>
      <c r="G223" s="1">
        <v>400</v>
      </c>
      <c r="H223" s="3"/>
    </row>
    <row r="224" spans="1:9" x14ac:dyDescent="0.25">
      <c r="A224" s="1">
        <v>283</v>
      </c>
      <c r="B224" s="1" t="s">
        <v>596</v>
      </c>
      <c r="C224" s="1">
        <v>140530039</v>
      </c>
      <c r="D224" s="1">
        <v>200</v>
      </c>
      <c r="E224" s="1">
        <v>283</v>
      </c>
      <c r="F224" s="3">
        <v>33</v>
      </c>
      <c r="G224" s="1">
        <v>200</v>
      </c>
      <c r="H224" s="3"/>
    </row>
    <row r="225" spans="1:9" x14ac:dyDescent="0.25">
      <c r="A225" s="1">
        <v>284</v>
      </c>
      <c r="B225" s="1" t="s">
        <v>596</v>
      </c>
      <c r="C225" s="1">
        <v>141320055</v>
      </c>
      <c r="D225" s="1">
        <v>2200</v>
      </c>
      <c r="E225" s="1">
        <v>284</v>
      </c>
      <c r="F225" s="3">
        <v>34</v>
      </c>
      <c r="G225" s="1">
        <v>1800</v>
      </c>
      <c r="H225" s="3">
        <v>18</v>
      </c>
      <c r="I225" s="1">
        <v>400</v>
      </c>
    </row>
    <row r="226" spans="1:9" x14ac:dyDescent="0.25">
      <c r="A226" s="1">
        <v>285</v>
      </c>
      <c r="B226" s="1" t="s">
        <v>408</v>
      </c>
      <c r="C226" s="1">
        <v>140010117</v>
      </c>
      <c r="D226" s="1">
        <v>600</v>
      </c>
      <c r="E226" s="1">
        <v>285</v>
      </c>
      <c r="F226" s="3">
        <v>38</v>
      </c>
      <c r="G226" s="1">
        <v>500</v>
      </c>
      <c r="H226" s="3">
        <v>22</v>
      </c>
      <c r="I226" s="1">
        <v>100</v>
      </c>
    </row>
    <row r="227" spans="1:9" x14ac:dyDescent="0.25">
      <c r="A227" s="1">
        <v>286</v>
      </c>
      <c r="B227" s="1" t="s">
        <v>408</v>
      </c>
      <c r="C227" s="1">
        <v>140030040</v>
      </c>
      <c r="D227" s="1">
        <v>200</v>
      </c>
      <c r="E227" s="1">
        <v>286</v>
      </c>
      <c r="F227" s="3">
        <v>42</v>
      </c>
      <c r="G227" s="1">
        <v>200</v>
      </c>
      <c r="H227" s="3"/>
    </row>
    <row r="228" spans="1:9" x14ac:dyDescent="0.25">
      <c r="A228" s="1">
        <v>289</v>
      </c>
      <c r="B228" s="1" t="s">
        <v>408</v>
      </c>
      <c r="C228" s="1">
        <v>140310071</v>
      </c>
      <c r="D228" s="1">
        <v>2400</v>
      </c>
      <c r="E228" s="1">
        <v>289</v>
      </c>
      <c r="F228" s="3">
        <v>30</v>
      </c>
      <c r="G228" s="1">
        <v>2400</v>
      </c>
      <c r="H228" s="3"/>
    </row>
    <row r="229" spans="1:9" x14ac:dyDescent="0.25">
      <c r="A229" s="1">
        <v>291</v>
      </c>
      <c r="B229" s="1" t="s">
        <v>408</v>
      </c>
      <c r="C229" s="1">
        <v>140310083</v>
      </c>
      <c r="D229" s="1">
        <v>400</v>
      </c>
      <c r="E229" s="1">
        <v>291</v>
      </c>
      <c r="F229" s="3">
        <v>31</v>
      </c>
      <c r="G229" s="1">
        <v>400</v>
      </c>
      <c r="H229" s="3"/>
    </row>
    <row r="230" spans="1:9" x14ac:dyDescent="0.25">
      <c r="A230" s="1">
        <v>294</v>
      </c>
      <c r="B230" s="1" t="s">
        <v>408</v>
      </c>
      <c r="C230" s="1">
        <v>140550019</v>
      </c>
      <c r="D230" s="1">
        <v>1000</v>
      </c>
      <c r="E230" s="1">
        <v>294</v>
      </c>
      <c r="F230" s="3">
        <v>4</v>
      </c>
      <c r="G230" s="1">
        <v>1000</v>
      </c>
      <c r="H230" s="3"/>
    </row>
    <row r="231" spans="1:9" x14ac:dyDescent="0.25">
      <c r="A231" s="1">
        <v>295</v>
      </c>
      <c r="B231" s="1" t="s">
        <v>597</v>
      </c>
      <c r="C231" s="1">
        <v>140010117</v>
      </c>
      <c r="D231" s="1">
        <v>225</v>
      </c>
      <c r="E231" s="1">
        <v>295</v>
      </c>
      <c r="F231" s="3">
        <v>38</v>
      </c>
      <c r="G231" s="1">
        <v>225</v>
      </c>
      <c r="H231" s="3"/>
    </row>
    <row r="232" spans="1:9" x14ac:dyDescent="0.25">
      <c r="A232" s="1">
        <v>296</v>
      </c>
      <c r="B232" s="1" t="s">
        <v>597</v>
      </c>
      <c r="C232" s="1">
        <v>140010230</v>
      </c>
      <c r="D232" s="1">
        <v>300</v>
      </c>
      <c r="E232" s="1">
        <v>296</v>
      </c>
      <c r="F232" s="3">
        <v>39</v>
      </c>
      <c r="G232" s="1">
        <v>300</v>
      </c>
      <c r="H232" s="3"/>
    </row>
    <row r="233" spans="1:9" x14ac:dyDescent="0.25">
      <c r="A233" s="1">
        <v>297</v>
      </c>
      <c r="B233" s="1" t="s">
        <v>597</v>
      </c>
      <c r="C233" s="1">
        <v>140030039</v>
      </c>
      <c r="D233" s="1">
        <v>800</v>
      </c>
      <c r="E233" s="1">
        <v>297</v>
      </c>
      <c r="F233" s="3">
        <v>41</v>
      </c>
      <c r="G233" s="1">
        <v>800</v>
      </c>
      <c r="H233" s="3"/>
    </row>
    <row r="234" spans="1:9" x14ac:dyDescent="0.25">
      <c r="A234" s="1">
        <v>298</v>
      </c>
      <c r="B234" s="1" t="s">
        <v>597</v>
      </c>
      <c r="C234" s="1">
        <v>140030040</v>
      </c>
      <c r="D234" s="1">
        <v>900</v>
      </c>
      <c r="E234" s="1">
        <v>298</v>
      </c>
      <c r="F234" s="3">
        <v>42</v>
      </c>
      <c r="G234" s="1">
        <v>900</v>
      </c>
      <c r="H234" s="3"/>
    </row>
    <row r="235" spans="1:9" x14ac:dyDescent="0.25">
      <c r="A235" s="1">
        <v>299</v>
      </c>
      <c r="B235" s="1" t="s">
        <v>597</v>
      </c>
      <c r="C235" s="1">
        <v>140310071</v>
      </c>
      <c r="D235" s="1">
        <v>1150</v>
      </c>
      <c r="E235" s="1">
        <v>299</v>
      </c>
      <c r="F235" s="3">
        <v>30</v>
      </c>
      <c r="G235" s="1">
        <v>1150</v>
      </c>
      <c r="H235" s="3"/>
    </row>
    <row r="236" spans="1:9" x14ac:dyDescent="0.25">
      <c r="A236" s="1">
        <v>300</v>
      </c>
      <c r="B236" s="1" t="s">
        <v>597</v>
      </c>
      <c r="C236" s="1">
        <v>140310083</v>
      </c>
      <c r="D236" s="1">
        <v>200</v>
      </c>
      <c r="E236" s="1">
        <v>300</v>
      </c>
      <c r="F236" s="3">
        <v>31</v>
      </c>
      <c r="G236" s="1">
        <v>200</v>
      </c>
      <c r="H236" s="3"/>
    </row>
    <row r="237" spans="1:9" x14ac:dyDescent="0.25">
      <c r="A237" s="1">
        <v>301</v>
      </c>
      <c r="B237" s="1" t="s">
        <v>597</v>
      </c>
      <c r="C237" s="1">
        <v>140450047</v>
      </c>
      <c r="D237" s="1">
        <v>500</v>
      </c>
      <c r="E237" s="1">
        <v>301</v>
      </c>
      <c r="F237" s="3">
        <v>45</v>
      </c>
      <c r="G237" s="1">
        <v>500</v>
      </c>
      <c r="H237" s="3"/>
    </row>
    <row r="238" spans="1:9" x14ac:dyDescent="0.25">
      <c r="A238" s="1">
        <v>302</v>
      </c>
      <c r="B238" s="1" t="s">
        <v>597</v>
      </c>
      <c r="C238" s="1">
        <v>140550019</v>
      </c>
      <c r="D238" s="1">
        <v>600</v>
      </c>
      <c r="E238" s="1">
        <v>302</v>
      </c>
      <c r="F238" s="3">
        <v>4</v>
      </c>
      <c r="G238" s="1">
        <v>600</v>
      </c>
      <c r="H238" s="3"/>
    </row>
    <row r="239" spans="1:9" x14ac:dyDescent="0.25">
      <c r="A239" s="1">
        <v>303</v>
      </c>
      <c r="B239" s="1" t="s">
        <v>597</v>
      </c>
      <c r="C239" s="1">
        <v>141320055</v>
      </c>
      <c r="D239" s="1">
        <v>1100</v>
      </c>
      <c r="E239" s="1">
        <v>303</v>
      </c>
      <c r="F239" s="3">
        <v>34</v>
      </c>
      <c r="G239" s="1">
        <v>1100</v>
      </c>
      <c r="H239" s="3"/>
    </row>
    <row r="240" spans="1:9" x14ac:dyDescent="0.25">
      <c r="A240" s="1">
        <v>304</v>
      </c>
      <c r="B240" s="1" t="s">
        <v>598</v>
      </c>
      <c r="C240" s="1">
        <v>140030039</v>
      </c>
      <c r="D240" s="1">
        <v>600</v>
      </c>
      <c r="E240" s="1">
        <v>304</v>
      </c>
      <c r="F240" s="3">
        <v>41</v>
      </c>
      <c r="G240" s="1">
        <v>600</v>
      </c>
      <c r="H240" s="3"/>
    </row>
    <row r="241" spans="1:9" x14ac:dyDescent="0.25">
      <c r="A241" s="1">
        <v>305</v>
      </c>
      <c r="B241" s="1" t="s">
        <v>598</v>
      </c>
      <c r="C241" s="1">
        <v>140030040</v>
      </c>
      <c r="D241" s="1">
        <v>600</v>
      </c>
      <c r="E241" s="1">
        <v>305</v>
      </c>
      <c r="F241" s="3">
        <v>42</v>
      </c>
      <c r="G241" s="1">
        <v>600</v>
      </c>
      <c r="H241" s="3"/>
    </row>
    <row r="242" spans="1:9" x14ac:dyDescent="0.25">
      <c r="A242" s="1">
        <v>306</v>
      </c>
      <c r="B242" s="1" t="s">
        <v>598</v>
      </c>
      <c r="C242" s="1">
        <v>140310071</v>
      </c>
      <c r="D242" s="1">
        <v>1500</v>
      </c>
      <c r="E242" s="1">
        <v>306</v>
      </c>
      <c r="F242" s="3">
        <v>30</v>
      </c>
      <c r="G242" s="1">
        <v>1500</v>
      </c>
      <c r="H242" s="3"/>
    </row>
    <row r="243" spans="1:9" x14ac:dyDescent="0.25">
      <c r="A243" s="1">
        <v>307</v>
      </c>
      <c r="B243" s="1" t="s">
        <v>598</v>
      </c>
      <c r="C243" s="1">
        <v>141320055</v>
      </c>
      <c r="D243" s="1">
        <v>1000</v>
      </c>
      <c r="E243" s="1">
        <v>307</v>
      </c>
      <c r="F243" s="3">
        <v>34</v>
      </c>
      <c r="G243" s="1">
        <v>1000</v>
      </c>
      <c r="H243" s="3"/>
    </row>
    <row r="244" spans="1:9" x14ac:dyDescent="0.25">
      <c r="A244" s="1">
        <v>308</v>
      </c>
      <c r="B244" s="1" t="s">
        <v>599</v>
      </c>
      <c r="C244" s="1">
        <v>140030039</v>
      </c>
      <c r="D244" s="1">
        <v>600</v>
      </c>
      <c r="E244" s="1">
        <v>308</v>
      </c>
      <c r="F244" s="3">
        <v>41</v>
      </c>
      <c r="G244" s="1">
        <v>600</v>
      </c>
      <c r="H244" s="3"/>
    </row>
    <row r="245" spans="1:9" x14ac:dyDescent="0.25">
      <c r="A245" s="1">
        <v>309</v>
      </c>
      <c r="B245" s="1" t="s">
        <v>599</v>
      </c>
      <c r="C245" s="1">
        <v>140030040</v>
      </c>
      <c r="D245" s="1">
        <v>700</v>
      </c>
      <c r="E245" s="1">
        <v>309</v>
      </c>
      <c r="F245" s="3">
        <v>42</v>
      </c>
      <c r="G245" s="1">
        <v>700</v>
      </c>
      <c r="H245" s="3"/>
    </row>
    <row r="246" spans="1:9" x14ac:dyDescent="0.25">
      <c r="A246" s="1">
        <v>310</v>
      </c>
      <c r="B246" s="1" t="s">
        <v>599</v>
      </c>
      <c r="C246" s="1">
        <v>140310071</v>
      </c>
      <c r="D246" s="1">
        <v>1200</v>
      </c>
      <c r="E246" s="1">
        <v>310</v>
      </c>
      <c r="F246" s="3">
        <v>30</v>
      </c>
      <c r="G246" s="1">
        <v>1200</v>
      </c>
      <c r="H246" s="3"/>
    </row>
    <row r="247" spans="1:9" x14ac:dyDescent="0.25">
      <c r="A247" s="1">
        <v>311</v>
      </c>
      <c r="B247" s="1" t="s">
        <v>599</v>
      </c>
      <c r="C247" s="1">
        <v>140310083</v>
      </c>
      <c r="D247" s="1">
        <v>400</v>
      </c>
      <c r="E247" s="1">
        <v>311</v>
      </c>
      <c r="F247" s="3">
        <v>31</v>
      </c>
      <c r="G247" s="1">
        <v>400</v>
      </c>
      <c r="H247" s="3"/>
    </row>
    <row r="248" spans="1:9" x14ac:dyDescent="0.25">
      <c r="A248" s="1">
        <v>312</v>
      </c>
      <c r="B248" s="1" t="s">
        <v>599</v>
      </c>
      <c r="C248" s="1">
        <v>140550019</v>
      </c>
      <c r="D248" s="1">
        <v>800</v>
      </c>
      <c r="E248" s="1">
        <v>312</v>
      </c>
      <c r="F248" s="3">
        <v>4</v>
      </c>
      <c r="G248" s="1">
        <v>800</v>
      </c>
      <c r="H248" s="3"/>
    </row>
    <row r="249" spans="1:9" x14ac:dyDescent="0.25">
      <c r="A249" s="1">
        <v>313</v>
      </c>
      <c r="B249" s="1" t="s">
        <v>599</v>
      </c>
      <c r="C249" s="1">
        <v>141320055</v>
      </c>
      <c r="D249" s="1">
        <v>1000</v>
      </c>
      <c r="E249" s="1">
        <v>313</v>
      </c>
      <c r="F249" s="3">
        <v>34</v>
      </c>
      <c r="G249" s="1">
        <v>1000</v>
      </c>
      <c r="H249" s="3"/>
    </row>
    <row r="250" spans="1:9" x14ac:dyDescent="0.25">
      <c r="A250" s="1">
        <v>314</v>
      </c>
      <c r="B250" s="1" t="s">
        <v>600</v>
      </c>
      <c r="C250" s="1">
        <v>140010230</v>
      </c>
      <c r="D250" s="1">
        <v>1300</v>
      </c>
      <c r="E250" s="1">
        <v>314</v>
      </c>
      <c r="F250" s="3">
        <v>39</v>
      </c>
      <c r="G250" s="1">
        <v>1300</v>
      </c>
      <c r="H250" s="3"/>
    </row>
    <row r="251" spans="1:9" x14ac:dyDescent="0.25">
      <c r="A251" s="1">
        <v>315</v>
      </c>
      <c r="B251" s="1" t="s">
        <v>600</v>
      </c>
      <c r="C251" s="1">
        <v>140030040</v>
      </c>
      <c r="D251" s="1">
        <v>200</v>
      </c>
      <c r="E251" s="1">
        <v>315</v>
      </c>
      <c r="F251" s="3">
        <v>42</v>
      </c>
      <c r="G251" s="1">
        <v>200</v>
      </c>
      <c r="H251" s="3"/>
    </row>
    <row r="252" spans="1:9" x14ac:dyDescent="0.25">
      <c r="A252" s="1">
        <v>316</v>
      </c>
      <c r="B252" s="1" t="s">
        <v>600</v>
      </c>
      <c r="C252" s="1">
        <v>140310007</v>
      </c>
      <c r="D252" s="1">
        <v>1000</v>
      </c>
      <c r="E252" s="1">
        <v>316</v>
      </c>
      <c r="F252" s="3">
        <v>43</v>
      </c>
      <c r="G252" s="1">
        <v>900</v>
      </c>
      <c r="H252" s="3">
        <v>28</v>
      </c>
      <c r="I252" s="1">
        <v>100</v>
      </c>
    </row>
    <row r="253" spans="1:9" x14ac:dyDescent="0.25">
      <c r="A253" s="1">
        <v>317</v>
      </c>
      <c r="B253" s="1" t="s">
        <v>600</v>
      </c>
      <c r="C253" s="1">
        <v>140310071</v>
      </c>
      <c r="D253" s="1">
        <v>1800</v>
      </c>
      <c r="E253" s="1">
        <v>317</v>
      </c>
      <c r="F253" s="3">
        <v>30</v>
      </c>
      <c r="G253" s="1">
        <v>1800</v>
      </c>
      <c r="H253" s="3"/>
    </row>
    <row r="254" spans="1:9" x14ac:dyDescent="0.25">
      <c r="A254" s="1">
        <v>318</v>
      </c>
      <c r="B254" s="1" t="s">
        <v>600</v>
      </c>
      <c r="C254" s="1">
        <v>141320055</v>
      </c>
      <c r="D254" s="1">
        <v>200</v>
      </c>
      <c r="E254" s="1">
        <v>318</v>
      </c>
      <c r="F254" s="3">
        <v>34</v>
      </c>
      <c r="G254" s="1">
        <v>200</v>
      </c>
      <c r="H254" s="3"/>
    </row>
    <row r="255" spans="1:9" x14ac:dyDescent="0.25">
      <c r="A255" s="1">
        <v>319</v>
      </c>
      <c r="B255" s="1" t="s">
        <v>409</v>
      </c>
      <c r="C255" s="1">
        <v>140010230</v>
      </c>
      <c r="D255" s="1">
        <v>500</v>
      </c>
      <c r="E255" s="1">
        <v>319</v>
      </c>
      <c r="F255" s="3">
        <v>39</v>
      </c>
      <c r="G255" s="1">
        <v>500</v>
      </c>
      <c r="H255" s="3"/>
    </row>
    <row r="256" spans="1:9" x14ac:dyDescent="0.25">
      <c r="A256" s="1">
        <v>320</v>
      </c>
      <c r="B256" s="1" t="s">
        <v>409</v>
      </c>
      <c r="C256" s="1">
        <v>140310007</v>
      </c>
      <c r="D256" s="1">
        <v>800</v>
      </c>
      <c r="E256" s="1">
        <v>320</v>
      </c>
      <c r="F256" s="3">
        <v>43</v>
      </c>
      <c r="G256" s="1">
        <v>800</v>
      </c>
      <c r="H256" s="3"/>
    </row>
    <row r="257" spans="1:8" x14ac:dyDescent="0.25">
      <c r="A257" s="1">
        <v>321</v>
      </c>
      <c r="B257" s="1" t="s">
        <v>409</v>
      </c>
      <c r="C257" s="1">
        <v>140310071</v>
      </c>
      <c r="D257" s="1">
        <v>2050</v>
      </c>
      <c r="E257" s="1">
        <v>321</v>
      </c>
      <c r="F257" s="3">
        <v>30</v>
      </c>
      <c r="G257" s="1">
        <v>2050</v>
      </c>
      <c r="H257" s="3"/>
    </row>
    <row r="258" spans="1:8" x14ac:dyDescent="0.25">
      <c r="A258" s="1">
        <v>322</v>
      </c>
      <c r="B258" s="1" t="s">
        <v>409</v>
      </c>
      <c r="C258" s="1">
        <v>140310083</v>
      </c>
      <c r="D258" s="1">
        <v>800</v>
      </c>
      <c r="E258" s="1">
        <v>322</v>
      </c>
      <c r="F258" s="3">
        <v>31</v>
      </c>
      <c r="G258" s="1">
        <v>800</v>
      </c>
      <c r="H258" s="3"/>
    </row>
    <row r="259" spans="1:8" x14ac:dyDescent="0.25">
      <c r="A259" s="1">
        <v>323</v>
      </c>
      <c r="B259" s="1" t="s">
        <v>409</v>
      </c>
      <c r="C259" s="1">
        <v>140550019</v>
      </c>
      <c r="D259" s="1">
        <v>600</v>
      </c>
      <c r="E259" s="1">
        <v>323</v>
      </c>
      <c r="F259" s="3">
        <v>4</v>
      </c>
      <c r="G259" s="1">
        <v>600</v>
      </c>
      <c r="H259" s="3"/>
    </row>
    <row r="260" spans="1:8" x14ac:dyDescent="0.25">
      <c r="A260" s="1">
        <v>324</v>
      </c>
      <c r="B260" s="1" t="s">
        <v>601</v>
      </c>
      <c r="C260" s="1">
        <v>140010230</v>
      </c>
      <c r="D260" s="1">
        <v>500</v>
      </c>
      <c r="E260" s="1">
        <v>324</v>
      </c>
      <c r="F260" s="3">
        <v>39</v>
      </c>
      <c r="G260" s="1">
        <v>500</v>
      </c>
      <c r="H260" s="3"/>
    </row>
    <row r="261" spans="1:8" x14ac:dyDescent="0.25">
      <c r="A261" s="1">
        <v>325</v>
      </c>
      <c r="B261" s="1" t="s">
        <v>601</v>
      </c>
      <c r="C261" s="1">
        <v>140310007</v>
      </c>
      <c r="D261" s="1">
        <v>1000</v>
      </c>
      <c r="E261" s="1">
        <v>325</v>
      </c>
      <c r="F261" s="3">
        <v>43</v>
      </c>
      <c r="G261" s="1">
        <v>1000</v>
      </c>
      <c r="H261" s="3"/>
    </row>
    <row r="262" spans="1:8" x14ac:dyDescent="0.25">
      <c r="A262" s="1">
        <v>326</v>
      </c>
      <c r="B262" s="1" t="s">
        <v>601</v>
      </c>
      <c r="C262" s="1">
        <v>140310083</v>
      </c>
      <c r="D262" s="1">
        <v>800</v>
      </c>
      <c r="E262" s="1">
        <v>326</v>
      </c>
      <c r="F262" s="3">
        <v>31</v>
      </c>
      <c r="G262" s="1">
        <v>800</v>
      </c>
      <c r="H262" s="3"/>
    </row>
    <row r="263" spans="1:8" x14ac:dyDescent="0.25">
      <c r="A263" s="1">
        <v>327</v>
      </c>
      <c r="B263" s="1" t="s">
        <v>601</v>
      </c>
      <c r="C263" s="1">
        <v>140450047</v>
      </c>
      <c r="D263" s="1">
        <v>40</v>
      </c>
      <c r="E263" s="1">
        <v>327</v>
      </c>
      <c r="F263" s="3">
        <v>45</v>
      </c>
      <c r="G263" s="1">
        <v>40</v>
      </c>
      <c r="H263" s="3"/>
    </row>
    <row r="264" spans="1:8" x14ac:dyDescent="0.25">
      <c r="A264" s="1">
        <v>328</v>
      </c>
      <c r="B264" s="1" t="s">
        <v>601</v>
      </c>
      <c r="C264" s="1">
        <v>140550019</v>
      </c>
      <c r="D264" s="1">
        <v>800</v>
      </c>
      <c r="E264" s="1">
        <v>328</v>
      </c>
      <c r="F264" s="3">
        <v>4</v>
      </c>
      <c r="G264" s="1">
        <v>800</v>
      </c>
      <c r="H264" s="3"/>
    </row>
    <row r="265" spans="1:8" x14ac:dyDescent="0.25">
      <c r="A265" s="1">
        <v>329</v>
      </c>
      <c r="B265" s="1" t="s">
        <v>601</v>
      </c>
      <c r="C265" s="1">
        <v>141320055</v>
      </c>
      <c r="D265" s="1">
        <v>1400</v>
      </c>
      <c r="E265" s="1">
        <v>329</v>
      </c>
      <c r="F265" s="3">
        <v>34</v>
      </c>
      <c r="G265" s="1">
        <v>1400</v>
      </c>
      <c r="H265" s="3"/>
    </row>
    <row r="266" spans="1:8" x14ac:dyDescent="0.25">
      <c r="A266" s="1">
        <v>330</v>
      </c>
      <c r="B266" s="1" t="s">
        <v>602</v>
      </c>
      <c r="C266" s="1">
        <v>140010230</v>
      </c>
      <c r="D266" s="1">
        <v>350</v>
      </c>
      <c r="E266" s="1">
        <v>330</v>
      </c>
      <c r="F266" s="3">
        <v>39</v>
      </c>
      <c r="G266" s="1">
        <v>350</v>
      </c>
      <c r="H266" s="3"/>
    </row>
    <row r="267" spans="1:8" x14ac:dyDescent="0.25">
      <c r="A267" s="1">
        <v>331</v>
      </c>
      <c r="B267" s="1" t="s">
        <v>602</v>
      </c>
      <c r="C267" s="1">
        <v>140310007</v>
      </c>
      <c r="D267" s="1">
        <v>1300</v>
      </c>
      <c r="E267" s="1">
        <v>331</v>
      </c>
      <c r="F267" s="3">
        <v>43</v>
      </c>
      <c r="G267" s="1">
        <v>1300</v>
      </c>
      <c r="H267" s="3"/>
    </row>
    <row r="268" spans="1:8" x14ac:dyDescent="0.25">
      <c r="A268" s="1">
        <v>332</v>
      </c>
      <c r="B268" s="1" t="s">
        <v>602</v>
      </c>
      <c r="C268" s="1">
        <v>140550019</v>
      </c>
      <c r="D268" s="1">
        <v>600</v>
      </c>
      <c r="E268" s="1">
        <v>332</v>
      </c>
      <c r="F268" s="3">
        <v>4</v>
      </c>
      <c r="G268" s="1">
        <v>600</v>
      </c>
      <c r="H268" s="3"/>
    </row>
    <row r="269" spans="1:8" x14ac:dyDescent="0.25">
      <c r="A269" s="1">
        <v>333</v>
      </c>
      <c r="B269" s="1" t="s">
        <v>602</v>
      </c>
      <c r="C269" s="1">
        <v>140530039</v>
      </c>
      <c r="D269" s="1">
        <v>2600</v>
      </c>
      <c r="E269" s="1">
        <v>333</v>
      </c>
      <c r="F269" s="3">
        <v>33</v>
      </c>
      <c r="G269" s="1">
        <v>2600</v>
      </c>
      <c r="H269" s="3"/>
    </row>
    <row r="270" spans="1:8" x14ac:dyDescent="0.25">
      <c r="A270" s="1">
        <v>334</v>
      </c>
      <c r="B270" s="1" t="s">
        <v>603</v>
      </c>
      <c r="C270" s="1">
        <v>140310071</v>
      </c>
      <c r="D270" s="1">
        <v>2250</v>
      </c>
      <c r="E270" s="1">
        <v>334</v>
      </c>
      <c r="F270" s="3">
        <v>30</v>
      </c>
      <c r="G270" s="1">
        <v>2250</v>
      </c>
      <c r="H270" s="3"/>
    </row>
    <row r="271" spans="1:8" x14ac:dyDescent="0.25">
      <c r="A271" s="1">
        <v>335</v>
      </c>
      <c r="B271" s="1" t="s">
        <v>603</v>
      </c>
      <c r="C271" s="1">
        <v>140640007</v>
      </c>
      <c r="D271" s="1">
        <v>1800</v>
      </c>
      <c r="E271" s="1">
        <v>335</v>
      </c>
      <c r="F271" s="3">
        <v>17</v>
      </c>
      <c r="G271" s="1">
        <v>1800</v>
      </c>
      <c r="H271" s="3"/>
    </row>
    <row r="272" spans="1:8" x14ac:dyDescent="0.25">
      <c r="A272" s="1">
        <v>336</v>
      </c>
      <c r="B272" s="1" t="s">
        <v>603</v>
      </c>
      <c r="C272" s="1">
        <v>140550019</v>
      </c>
      <c r="D272" s="1">
        <v>600</v>
      </c>
      <c r="E272" s="1">
        <v>336</v>
      </c>
      <c r="F272" s="3">
        <v>4</v>
      </c>
      <c r="G272" s="1">
        <v>600</v>
      </c>
      <c r="H272" s="3"/>
    </row>
    <row r="273" spans="1:8" x14ac:dyDescent="0.25">
      <c r="A273" s="1">
        <v>337</v>
      </c>
      <c r="B273" s="1" t="s">
        <v>549</v>
      </c>
      <c r="C273" s="1">
        <v>140030040</v>
      </c>
      <c r="D273" s="1">
        <v>300</v>
      </c>
      <c r="E273" s="1">
        <v>337</v>
      </c>
      <c r="F273" s="3">
        <v>42</v>
      </c>
      <c r="G273" s="1">
        <v>300</v>
      </c>
      <c r="H273" s="3"/>
    </row>
    <row r="274" spans="1:8" x14ac:dyDescent="0.25">
      <c r="A274" s="1">
        <v>338</v>
      </c>
      <c r="B274" s="1" t="s">
        <v>549</v>
      </c>
      <c r="C274" s="1">
        <v>140310071</v>
      </c>
      <c r="D274" s="1">
        <v>500</v>
      </c>
      <c r="E274" s="1">
        <v>338</v>
      </c>
      <c r="F274" s="3">
        <v>30</v>
      </c>
      <c r="G274" s="1">
        <v>500</v>
      </c>
      <c r="H274" s="3"/>
    </row>
    <row r="275" spans="1:8" x14ac:dyDescent="0.25">
      <c r="A275" s="1">
        <v>339</v>
      </c>
      <c r="B275" s="1" t="s">
        <v>549</v>
      </c>
      <c r="C275" s="1">
        <v>140310083</v>
      </c>
      <c r="D275" s="1">
        <v>1100</v>
      </c>
      <c r="E275" s="1">
        <v>339</v>
      </c>
      <c r="F275" s="3">
        <v>31</v>
      </c>
      <c r="G275" s="1">
        <v>1100</v>
      </c>
      <c r="H275" s="3"/>
    </row>
    <row r="276" spans="1:8" x14ac:dyDescent="0.25">
      <c r="A276" s="1">
        <v>340</v>
      </c>
      <c r="B276" s="1" t="s">
        <v>549</v>
      </c>
      <c r="C276" s="1">
        <v>140640007</v>
      </c>
      <c r="D276" s="1">
        <v>1200</v>
      </c>
      <c r="E276" s="1">
        <v>340</v>
      </c>
      <c r="F276" s="3">
        <v>17</v>
      </c>
      <c r="G276" s="1">
        <v>1200</v>
      </c>
      <c r="H276" s="3"/>
    </row>
    <row r="277" spans="1:8" x14ac:dyDescent="0.25">
      <c r="A277" s="1">
        <v>341</v>
      </c>
      <c r="B277" s="1" t="s">
        <v>549</v>
      </c>
      <c r="C277" s="1">
        <v>140550019</v>
      </c>
      <c r="D277" s="1">
        <v>500</v>
      </c>
      <c r="E277" s="1">
        <v>341</v>
      </c>
      <c r="F277" s="3">
        <v>4</v>
      </c>
      <c r="G277" s="1">
        <v>500</v>
      </c>
      <c r="H277" s="3"/>
    </row>
    <row r="278" spans="1:8" x14ac:dyDescent="0.25">
      <c r="A278" s="1">
        <v>342</v>
      </c>
      <c r="B278" s="1" t="s">
        <v>549</v>
      </c>
      <c r="C278" s="1">
        <v>141320055</v>
      </c>
      <c r="D278" s="1">
        <v>1500</v>
      </c>
      <c r="E278" s="1">
        <v>342</v>
      </c>
      <c r="F278" s="3">
        <v>34</v>
      </c>
      <c r="G278" s="1">
        <v>1500</v>
      </c>
      <c r="H278" s="3"/>
    </row>
    <row r="279" spans="1:8" x14ac:dyDescent="0.25">
      <c r="A279" s="1">
        <v>343</v>
      </c>
      <c r="B279" s="1" t="s">
        <v>604</v>
      </c>
      <c r="C279" s="1">
        <v>140010230</v>
      </c>
      <c r="D279" s="1">
        <v>360</v>
      </c>
      <c r="E279" s="1">
        <v>343</v>
      </c>
      <c r="F279" s="3">
        <v>39</v>
      </c>
      <c r="G279" s="1">
        <v>360</v>
      </c>
      <c r="H279" s="3"/>
    </row>
    <row r="280" spans="1:8" x14ac:dyDescent="0.25">
      <c r="A280" s="1">
        <v>344</v>
      </c>
      <c r="B280" s="1" t="s">
        <v>604</v>
      </c>
      <c r="C280" s="1">
        <v>140310071</v>
      </c>
      <c r="D280" s="1">
        <v>1200</v>
      </c>
      <c r="E280" s="1">
        <v>344</v>
      </c>
      <c r="F280" s="3">
        <v>30</v>
      </c>
      <c r="G280" s="1">
        <v>1200</v>
      </c>
      <c r="H280" s="3"/>
    </row>
    <row r="281" spans="1:8" x14ac:dyDescent="0.25">
      <c r="A281" s="1">
        <v>345</v>
      </c>
      <c r="B281" s="1" t="s">
        <v>604</v>
      </c>
      <c r="C281" s="1">
        <v>140450047</v>
      </c>
      <c r="D281" s="1">
        <v>100</v>
      </c>
      <c r="E281" s="1">
        <v>345</v>
      </c>
      <c r="F281" s="3">
        <v>45</v>
      </c>
      <c r="G281" s="1">
        <v>100</v>
      </c>
      <c r="H281" s="3"/>
    </row>
    <row r="282" spans="1:8" x14ac:dyDescent="0.25">
      <c r="A282" s="1">
        <v>346</v>
      </c>
      <c r="B282" s="1" t="s">
        <v>604</v>
      </c>
      <c r="C282" s="1">
        <v>140550019</v>
      </c>
      <c r="D282" s="1">
        <v>950</v>
      </c>
      <c r="E282" s="1">
        <v>346</v>
      </c>
      <c r="F282" s="3">
        <v>4</v>
      </c>
      <c r="G282" s="1">
        <v>950</v>
      </c>
      <c r="H282" s="3"/>
    </row>
    <row r="283" spans="1:8" x14ac:dyDescent="0.25">
      <c r="A283" s="1">
        <v>347</v>
      </c>
      <c r="B283" s="1" t="s">
        <v>604</v>
      </c>
      <c r="C283" s="1">
        <v>140530039</v>
      </c>
      <c r="D283" s="1">
        <v>2300</v>
      </c>
      <c r="E283" s="1">
        <v>347</v>
      </c>
      <c r="F283" s="3">
        <v>33</v>
      </c>
      <c r="G283" s="1">
        <v>2300</v>
      </c>
      <c r="H283" s="3"/>
    </row>
    <row r="284" spans="1:8" x14ac:dyDescent="0.25">
      <c r="A284" s="1">
        <v>348</v>
      </c>
      <c r="B284" s="1" t="s">
        <v>605</v>
      </c>
      <c r="C284" s="1">
        <v>140310007</v>
      </c>
      <c r="D284" s="1">
        <v>4200</v>
      </c>
      <c r="E284" s="1">
        <v>348</v>
      </c>
      <c r="F284" s="3">
        <v>43</v>
      </c>
      <c r="G284" s="1">
        <v>4200</v>
      </c>
      <c r="H284" s="3"/>
    </row>
    <row r="285" spans="1:8" x14ac:dyDescent="0.25">
      <c r="A285" s="1">
        <v>349</v>
      </c>
      <c r="B285" s="1" t="s">
        <v>605</v>
      </c>
      <c r="C285" s="1">
        <v>140310031</v>
      </c>
      <c r="D285" s="1">
        <v>900</v>
      </c>
      <c r="E285" s="1">
        <v>349</v>
      </c>
      <c r="F285" s="3">
        <v>44</v>
      </c>
      <c r="G285" s="1">
        <v>900</v>
      </c>
      <c r="H285" s="3"/>
    </row>
    <row r="286" spans="1:8" x14ac:dyDescent="0.25">
      <c r="A286" s="1">
        <v>350</v>
      </c>
      <c r="B286" s="1" t="s">
        <v>809</v>
      </c>
      <c r="C286" s="1">
        <v>140010230</v>
      </c>
      <c r="D286" s="1">
        <v>200</v>
      </c>
      <c r="E286" s="1">
        <v>350</v>
      </c>
      <c r="F286" s="3">
        <v>39</v>
      </c>
      <c r="G286" s="1">
        <v>200</v>
      </c>
      <c r="H286" s="3"/>
    </row>
    <row r="287" spans="1:8" x14ac:dyDescent="0.25">
      <c r="A287" s="1">
        <v>351</v>
      </c>
      <c r="B287" s="1" t="s">
        <v>809</v>
      </c>
      <c r="C287" s="1">
        <v>140030039</v>
      </c>
      <c r="D287" s="1">
        <v>300</v>
      </c>
      <c r="E287" s="1">
        <v>351</v>
      </c>
      <c r="F287" s="3">
        <v>41</v>
      </c>
      <c r="G287" s="1">
        <v>300</v>
      </c>
      <c r="H287" s="3"/>
    </row>
    <row r="288" spans="1:8" x14ac:dyDescent="0.25">
      <c r="A288" s="1">
        <v>352</v>
      </c>
      <c r="B288" s="1" t="s">
        <v>809</v>
      </c>
      <c r="C288" s="1">
        <v>140030040</v>
      </c>
      <c r="D288" s="1">
        <v>600</v>
      </c>
      <c r="E288" s="1">
        <v>352</v>
      </c>
      <c r="F288" s="3">
        <v>42</v>
      </c>
      <c r="G288" s="1">
        <v>600</v>
      </c>
      <c r="H288" s="3"/>
    </row>
    <row r="289" spans="1:8" x14ac:dyDescent="0.25">
      <c r="A289" s="1">
        <v>353</v>
      </c>
      <c r="B289" s="1" t="s">
        <v>809</v>
      </c>
      <c r="C289" s="1">
        <v>140310007</v>
      </c>
      <c r="D289" s="1">
        <v>1100</v>
      </c>
      <c r="E289" s="1">
        <v>353</v>
      </c>
      <c r="F289" s="3">
        <v>43</v>
      </c>
      <c r="G289" s="1">
        <v>1100</v>
      </c>
      <c r="H289" s="3"/>
    </row>
    <row r="290" spans="1:8" x14ac:dyDescent="0.25">
      <c r="A290" s="1">
        <v>354</v>
      </c>
      <c r="B290" s="1" t="s">
        <v>809</v>
      </c>
      <c r="C290" s="1">
        <v>140640007</v>
      </c>
      <c r="D290" s="1">
        <v>50</v>
      </c>
      <c r="E290" s="1">
        <v>354</v>
      </c>
      <c r="F290" s="3">
        <v>17</v>
      </c>
      <c r="G290" s="1">
        <v>50</v>
      </c>
      <c r="H290" s="3"/>
    </row>
    <row r="291" spans="1:8" x14ac:dyDescent="0.25">
      <c r="A291" s="1">
        <v>355</v>
      </c>
      <c r="B291" s="1" t="s">
        <v>809</v>
      </c>
      <c r="C291" s="1">
        <v>140550019</v>
      </c>
      <c r="D291" s="1">
        <v>650</v>
      </c>
      <c r="E291" s="1">
        <v>355</v>
      </c>
      <c r="F291" s="3">
        <v>4</v>
      </c>
      <c r="G291" s="1">
        <v>650</v>
      </c>
      <c r="H291" s="3"/>
    </row>
    <row r="292" spans="1:8" x14ac:dyDescent="0.25">
      <c r="A292" s="1">
        <v>356</v>
      </c>
      <c r="B292" s="1" t="s">
        <v>809</v>
      </c>
      <c r="C292" s="1">
        <v>141320055</v>
      </c>
      <c r="D292" s="1">
        <v>2000</v>
      </c>
      <c r="E292" s="1">
        <v>356</v>
      </c>
      <c r="F292" s="3">
        <v>34</v>
      </c>
      <c r="G292" s="1">
        <v>2000</v>
      </c>
      <c r="H292" s="3"/>
    </row>
    <row r="293" spans="1:8" x14ac:dyDescent="0.25">
      <c r="A293" s="1">
        <v>357</v>
      </c>
      <c r="B293" s="1" t="s">
        <v>550</v>
      </c>
      <c r="C293" s="1">
        <v>140010230</v>
      </c>
      <c r="D293" s="1">
        <v>600</v>
      </c>
      <c r="E293" s="1">
        <v>357</v>
      </c>
      <c r="F293" s="3">
        <v>39</v>
      </c>
      <c r="G293" s="1">
        <v>600</v>
      </c>
      <c r="H293" s="3"/>
    </row>
    <row r="294" spans="1:8" x14ac:dyDescent="0.25">
      <c r="A294" s="1">
        <v>358</v>
      </c>
      <c r="B294" s="1" t="s">
        <v>550</v>
      </c>
      <c r="C294" s="1">
        <v>140030039</v>
      </c>
      <c r="D294" s="1">
        <v>400</v>
      </c>
      <c r="E294" s="1">
        <v>358</v>
      </c>
      <c r="F294" s="3">
        <v>41</v>
      </c>
      <c r="G294" s="1">
        <v>400</v>
      </c>
      <c r="H294" s="3"/>
    </row>
    <row r="295" spans="1:8" x14ac:dyDescent="0.25">
      <c r="A295" s="1">
        <v>359</v>
      </c>
      <c r="B295" s="1" t="s">
        <v>550</v>
      </c>
      <c r="C295" s="1">
        <v>140310007</v>
      </c>
      <c r="D295" s="1">
        <v>200</v>
      </c>
      <c r="E295" s="1">
        <v>359</v>
      </c>
      <c r="F295" s="3">
        <v>43</v>
      </c>
      <c r="G295" s="1">
        <v>200</v>
      </c>
      <c r="H295" s="3"/>
    </row>
    <row r="296" spans="1:8" x14ac:dyDescent="0.25">
      <c r="A296" s="1">
        <v>360</v>
      </c>
      <c r="B296" s="1" t="s">
        <v>550</v>
      </c>
      <c r="C296" s="1">
        <v>140310083</v>
      </c>
      <c r="D296" s="1">
        <v>500</v>
      </c>
      <c r="E296" s="1">
        <v>360</v>
      </c>
      <c r="F296" s="3">
        <v>31</v>
      </c>
      <c r="G296" s="1">
        <v>500</v>
      </c>
      <c r="H296" s="3"/>
    </row>
    <row r="297" spans="1:8" x14ac:dyDescent="0.25">
      <c r="A297" s="1">
        <v>361</v>
      </c>
      <c r="B297" s="1" t="s">
        <v>550</v>
      </c>
      <c r="C297" s="1">
        <v>140550019</v>
      </c>
      <c r="D297" s="1">
        <v>550</v>
      </c>
      <c r="E297" s="1">
        <v>361</v>
      </c>
      <c r="F297" s="3">
        <v>4</v>
      </c>
      <c r="G297" s="1">
        <v>550</v>
      </c>
      <c r="H297" s="3"/>
    </row>
    <row r="298" spans="1:8" x14ac:dyDescent="0.25">
      <c r="A298" s="1">
        <v>362</v>
      </c>
      <c r="B298" s="1" t="s">
        <v>550</v>
      </c>
      <c r="C298" s="1">
        <v>141320055</v>
      </c>
      <c r="D298" s="1">
        <v>2600</v>
      </c>
      <c r="E298" s="1">
        <v>362</v>
      </c>
      <c r="F298" s="3">
        <v>34</v>
      </c>
      <c r="G298" s="1">
        <v>2600</v>
      </c>
      <c r="H298" s="3"/>
    </row>
    <row r="299" spans="1:8" x14ac:dyDescent="0.25">
      <c r="A299" s="1">
        <v>363</v>
      </c>
      <c r="B299" s="1" t="s">
        <v>810</v>
      </c>
      <c r="C299" s="1">
        <v>140010230</v>
      </c>
      <c r="D299" s="1">
        <v>1050</v>
      </c>
      <c r="E299" s="1">
        <v>363</v>
      </c>
      <c r="F299" s="3">
        <v>39</v>
      </c>
      <c r="G299" s="1">
        <v>1050</v>
      </c>
      <c r="H299" s="3"/>
    </row>
    <row r="300" spans="1:8" x14ac:dyDescent="0.25">
      <c r="A300" s="1">
        <v>364</v>
      </c>
      <c r="B300" s="1" t="s">
        <v>810</v>
      </c>
      <c r="C300" s="1">
        <v>140030039</v>
      </c>
      <c r="D300" s="1">
        <v>300</v>
      </c>
      <c r="E300" s="1">
        <v>364</v>
      </c>
      <c r="F300" s="3">
        <v>41</v>
      </c>
      <c r="G300" s="1">
        <v>300</v>
      </c>
      <c r="H300" s="3"/>
    </row>
    <row r="301" spans="1:8" x14ac:dyDescent="0.25">
      <c r="A301" s="1">
        <v>365</v>
      </c>
      <c r="B301" s="1" t="s">
        <v>810</v>
      </c>
      <c r="C301" s="1">
        <v>140310007</v>
      </c>
      <c r="D301" s="1">
        <v>1000</v>
      </c>
      <c r="E301" s="1">
        <v>365</v>
      </c>
      <c r="F301" s="3">
        <v>43</v>
      </c>
      <c r="G301" s="1">
        <v>1000</v>
      </c>
      <c r="H301" s="3"/>
    </row>
    <row r="302" spans="1:8" x14ac:dyDescent="0.25">
      <c r="A302" s="1">
        <v>366</v>
      </c>
      <c r="B302" s="1" t="s">
        <v>810</v>
      </c>
      <c r="C302" s="1">
        <v>140310031</v>
      </c>
      <c r="D302" s="1">
        <v>500</v>
      </c>
      <c r="E302" s="1">
        <v>366</v>
      </c>
      <c r="F302" s="3">
        <v>44</v>
      </c>
      <c r="G302" s="1">
        <v>500</v>
      </c>
      <c r="H302" s="3"/>
    </row>
    <row r="303" spans="1:8" x14ac:dyDescent="0.25">
      <c r="A303" s="1">
        <v>367</v>
      </c>
      <c r="B303" s="1" t="s">
        <v>810</v>
      </c>
      <c r="C303" s="1">
        <v>140310083</v>
      </c>
      <c r="D303" s="1">
        <v>700</v>
      </c>
      <c r="E303" s="1">
        <v>367</v>
      </c>
      <c r="F303" s="3">
        <v>31</v>
      </c>
      <c r="G303" s="1">
        <v>700</v>
      </c>
      <c r="H303" s="3"/>
    </row>
    <row r="304" spans="1:8" x14ac:dyDescent="0.25">
      <c r="A304" s="1">
        <v>368</v>
      </c>
      <c r="B304" s="1" t="s">
        <v>810</v>
      </c>
      <c r="C304" s="1">
        <v>141320055</v>
      </c>
      <c r="D304" s="1">
        <v>1000</v>
      </c>
      <c r="E304" s="1">
        <v>368</v>
      </c>
      <c r="F304" s="3">
        <v>34</v>
      </c>
      <c r="G304" s="1">
        <v>1000</v>
      </c>
      <c r="H304" s="3"/>
    </row>
    <row r="305" spans="1:8" x14ac:dyDescent="0.25">
      <c r="A305" s="1">
        <v>370</v>
      </c>
      <c r="B305" s="1" t="s">
        <v>606</v>
      </c>
      <c r="C305" s="1">
        <v>140010230</v>
      </c>
      <c r="D305" s="1">
        <v>1400</v>
      </c>
      <c r="E305" s="1">
        <v>370</v>
      </c>
      <c r="F305" s="3">
        <v>39</v>
      </c>
      <c r="G305" s="1">
        <v>1400</v>
      </c>
      <c r="H305" s="3"/>
    </row>
    <row r="306" spans="1:8" x14ac:dyDescent="0.25">
      <c r="A306" s="1">
        <v>371</v>
      </c>
      <c r="B306" s="1" t="s">
        <v>606</v>
      </c>
      <c r="C306" s="1">
        <v>140310007</v>
      </c>
      <c r="D306" s="1">
        <v>1600</v>
      </c>
      <c r="E306" s="1">
        <v>371</v>
      </c>
      <c r="F306" s="3">
        <v>43</v>
      </c>
      <c r="G306" s="1">
        <v>1600</v>
      </c>
      <c r="H306" s="3"/>
    </row>
    <row r="307" spans="1:8" x14ac:dyDescent="0.25">
      <c r="A307" s="1">
        <v>372</v>
      </c>
      <c r="B307" s="1" t="s">
        <v>606</v>
      </c>
      <c r="C307" s="1">
        <v>140310031</v>
      </c>
      <c r="D307" s="1">
        <v>50</v>
      </c>
      <c r="E307" s="1">
        <v>372</v>
      </c>
      <c r="F307" s="3">
        <v>44</v>
      </c>
      <c r="G307" s="1">
        <v>50</v>
      </c>
      <c r="H307" s="3"/>
    </row>
    <row r="308" spans="1:8" x14ac:dyDescent="0.25">
      <c r="A308" s="1">
        <v>373</v>
      </c>
      <c r="B308" s="1" t="s">
        <v>606</v>
      </c>
      <c r="C308" s="1">
        <v>140310071</v>
      </c>
      <c r="D308" s="1">
        <v>250</v>
      </c>
      <c r="E308" s="1">
        <v>373</v>
      </c>
      <c r="F308" s="3">
        <v>30</v>
      </c>
      <c r="G308" s="1">
        <v>250</v>
      </c>
      <c r="H308" s="3"/>
    </row>
    <row r="309" spans="1:8" x14ac:dyDescent="0.25">
      <c r="A309" s="1">
        <v>374</v>
      </c>
      <c r="B309" s="1" t="s">
        <v>606</v>
      </c>
      <c r="C309" s="1">
        <v>140310096</v>
      </c>
      <c r="D309" s="1">
        <v>57</v>
      </c>
      <c r="E309" s="1">
        <v>374</v>
      </c>
      <c r="F309" s="3">
        <v>32</v>
      </c>
      <c r="G309" s="1">
        <v>57</v>
      </c>
      <c r="H309" s="3"/>
    </row>
    <row r="310" spans="1:8" x14ac:dyDescent="0.25">
      <c r="A310" s="1">
        <v>375</v>
      </c>
      <c r="B310" s="1" t="s">
        <v>606</v>
      </c>
      <c r="C310" s="1">
        <v>140450047</v>
      </c>
      <c r="D310" s="1">
        <v>25</v>
      </c>
      <c r="E310" s="1">
        <v>375</v>
      </c>
      <c r="F310" s="3">
        <v>45</v>
      </c>
      <c r="G310" s="1">
        <v>25</v>
      </c>
      <c r="H310" s="3"/>
    </row>
    <row r="311" spans="1:8" x14ac:dyDescent="0.25">
      <c r="A311" s="1">
        <v>376</v>
      </c>
      <c r="B311" s="1" t="s">
        <v>606</v>
      </c>
      <c r="C311" s="1">
        <v>141320055</v>
      </c>
      <c r="D311" s="1">
        <v>1300</v>
      </c>
      <c r="E311" s="1">
        <v>376</v>
      </c>
      <c r="F311" s="3">
        <v>34</v>
      </c>
      <c r="G311" s="1">
        <v>1300</v>
      </c>
      <c r="H311" s="3"/>
    </row>
    <row r="312" spans="1:8" x14ac:dyDescent="0.25">
      <c r="A312" s="1">
        <v>377</v>
      </c>
      <c r="B312" s="1" t="s">
        <v>811</v>
      </c>
      <c r="C312" s="1">
        <v>140010230</v>
      </c>
      <c r="D312" s="1">
        <v>800</v>
      </c>
      <c r="E312" s="1">
        <v>377</v>
      </c>
      <c r="F312" s="3">
        <v>39</v>
      </c>
      <c r="G312" s="1">
        <v>800</v>
      </c>
      <c r="H312" s="3"/>
    </row>
    <row r="313" spans="1:8" x14ac:dyDescent="0.25">
      <c r="A313" s="1">
        <v>378</v>
      </c>
      <c r="B313" s="1" t="s">
        <v>811</v>
      </c>
      <c r="C313" s="1">
        <v>140310007</v>
      </c>
      <c r="D313" s="1">
        <v>1300</v>
      </c>
      <c r="E313" s="1">
        <v>378</v>
      </c>
      <c r="F313" s="3">
        <v>43</v>
      </c>
      <c r="G313" s="1">
        <v>1300</v>
      </c>
      <c r="H313" s="3"/>
    </row>
    <row r="314" spans="1:8" x14ac:dyDescent="0.25">
      <c r="A314" s="1">
        <v>379</v>
      </c>
      <c r="B314" s="1" t="s">
        <v>811</v>
      </c>
      <c r="C314" s="1">
        <v>140310083</v>
      </c>
      <c r="D314" s="1">
        <v>1600</v>
      </c>
      <c r="E314" s="1">
        <v>379</v>
      </c>
      <c r="F314" s="3">
        <v>31</v>
      </c>
      <c r="G314" s="1">
        <v>1600</v>
      </c>
      <c r="H314" s="3"/>
    </row>
    <row r="315" spans="1:8" x14ac:dyDescent="0.25">
      <c r="A315" s="1">
        <v>380</v>
      </c>
      <c r="B315" s="1" t="s">
        <v>811</v>
      </c>
      <c r="C315" s="1">
        <v>140450047</v>
      </c>
      <c r="D315" s="1">
        <v>400</v>
      </c>
      <c r="E315" s="1">
        <v>380</v>
      </c>
      <c r="F315" s="3">
        <v>45</v>
      </c>
      <c r="G315" s="1">
        <v>400</v>
      </c>
      <c r="H315" s="3"/>
    </row>
    <row r="316" spans="1:8" x14ac:dyDescent="0.25">
      <c r="A316" s="1">
        <v>381</v>
      </c>
      <c r="B316" s="1" t="s">
        <v>811</v>
      </c>
      <c r="C316" s="1">
        <v>140530039</v>
      </c>
      <c r="D316" s="1">
        <v>500</v>
      </c>
      <c r="E316" s="1">
        <v>381</v>
      </c>
      <c r="F316" s="3">
        <v>33</v>
      </c>
      <c r="G316" s="1">
        <v>500</v>
      </c>
      <c r="H316" s="3"/>
    </row>
    <row r="317" spans="1:8" x14ac:dyDescent="0.25">
      <c r="A317" s="1">
        <v>382</v>
      </c>
      <c r="B317" s="1" t="s">
        <v>811</v>
      </c>
      <c r="C317" s="1">
        <v>141320055</v>
      </c>
      <c r="D317" s="1">
        <v>100</v>
      </c>
      <c r="E317" s="1">
        <v>382</v>
      </c>
      <c r="F317" s="3">
        <v>34</v>
      </c>
      <c r="G317" s="1">
        <v>100</v>
      </c>
      <c r="H317" s="3"/>
    </row>
    <row r="318" spans="1:8" x14ac:dyDescent="0.25">
      <c r="A318" s="1">
        <v>383</v>
      </c>
      <c r="B318" s="1" t="s">
        <v>607</v>
      </c>
      <c r="C318" s="1">
        <v>140010117</v>
      </c>
      <c r="D318" s="1">
        <v>450</v>
      </c>
      <c r="E318" s="1">
        <v>383</v>
      </c>
      <c r="F318" s="3">
        <v>38</v>
      </c>
      <c r="G318" s="1">
        <v>450</v>
      </c>
      <c r="H318" s="3"/>
    </row>
    <row r="319" spans="1:8" x14ac:dyDescent="0.25">
      <c r="A319" s="1">
        <v>384</v>
      </c>
      <c r="B319" s="1" t="s">
        <v>607</v>
      </c>
      <c r="C319" s="1">
        <v>140010230</v>
      </c>
      <c r="D319" s="1">
        <v>400</v>
      </c>
      <c r="E319" s="1">
        <v>384</v>
      </c>
      <c r="F319" s="3">
        <v>39</v>
      </c>
      <c r="G319" s="1">
        <v>400</v>
      </c>
      <c r="H319" s="3"/>
    </row>
    <row r="320" spans="1:8" x14ac:dyDescent="0.25">
      <c r="A320" s="1">
        <v>385</v>
      </c>
      <c r="B320" s="1" t="s">
        <v>607</v>
      </c>
      <c r="C320" s="1">
        <v>140310007</v>
      </c>
      <c r="D320" s="1">
        <v>900</v>
      </c>
      <c r="E320" s="1">
        <v>385</v>
      </c>
      <c r="F320" s="3">
        <v>43</v>
      </c>
      <c r="G320" s="1">
        <v>900</v>
      </c>
      <c r="H320" s="3"/>
    </row>
    <row r="321" spans="1:8" x14ac:dyDescent="0.25">
      <c r="A321" s="1">
        <v>386</v>
      </c>
      <c r="B321" s="1" t="s">
        <v>607</v>
      </c>
      <c r="C321" s="1">
        <v>140310071</v>
      </c>
      <c r="D321" s="1">
        <v>550</v>
      </c>
      <c r="E321" s="1">
        <v>386</v>
      </c>
      <c r="F321" s="3">
        <v>30</v>
      </c>
      <c r="G321" s="1">
        <v>550</v>
      </c>
      <c r="H321" s="3"/>
    </row>
    <row r="322" spans="1:8" x14ac:dyDescent="0.25">
      <c r="A322" s="1">
        <v>387</v>
      </c>
      <c r="B322" s="1" t="s">
        <v>607</v>
      </c>
      <c r="C322" s="1">
        <v>140310083</v>
      </c>
      <c r="D322" s="1">
        <v>400</v>
      </c>
      <c r="E322" s="1">
        <v>387</v>
      </c>
      <c r="F322" s="3">
        <v>31</v>
      </c>
      <c r="G322" s="1">
        <v>400</v>
      </c>
      <c r="H322" s="3"/>
    </row>
    <row r="323" spans="1:8" x14ac:dyDescent="0.25">
      <c r="A323" s="1">
        <v>388</v>
      </c>
      <c r="B323" s="1" t="s">
        <v>607</v>
      </c>
      <c r="C323" s="1">
        <v>140450047</v>
      </c>
      <c r="D323" s="1">
        <v>550</v>
      </c>
      <c r="E323" s="1">
        <v>388</v>
      </c>
      <c r="F323" s="3">
        <v>45</v>
      </c>
      <c r="G323" s="1">
        <v>550</v>
      </c>
      <c r="H323" s="3"/>
    </row>
    <row r="324" spans="1:8" x14ac:dyDescent="0.25">
      <c r="A324" s="1">
        <v>389</v>
      </c>
      <c r="B324" s="1" t="s">
        <v>607</v>
      </c>
      <c r="C324" s="1">
        <v>140550019</v>
      </c>
      <c r="D324" s="1">
        <v>850</v>
      </c>
      <c r="E324" s="1">
        <v>389</v>
      </c>
      <c r="F324" s="3">
        <v>4</v>
      </c>
      <c r="G324" s="1">
        <v>850</v>
      </c>
      <c r="H324" s="3"/>
    </row>
    <row r="325" spans="1:8" x14ac:dyDescent="0.25">
      <c r="A325" s="1">
        <v>390</v>
      </c>
      <c r="B325" s="1" t="s">
        <v>607</v>
      </c>
      <c r="C325" s="1">
        <v>140530039</v>
      </c>
      <c r="D325" s="1">
        <v>800</v>
      </c>
      <c r="E325" s="1">
        <v>390</v>
      </c>
      <c r="F325" s="3">
        <v>33</v>
      </c>
      <c r="G325" s="1">
        <v>800</v>
      </c>
      <c r="H325" s="3"/>
    </row>
    <row r="326" spans="1:8" x14ac:dyDescent="0.25">
      <c r="A326" s="1">
        <v>391</v>
      </c>
      <c r="B326" s="1" t="s">
        <v>608</v>
      </c>
      <c r="C326" s="1">
        <v>140010117</v>
      </c>
      <c r="D326" s="1">
        <v>300</v>
      </c>
      <c r="E326" s="1">
        <v>391</v>
      </c>
      <c r="F326" s="3">
        <v>38</v>
      </c>
      <c r="G326" s="1">
        <v>300</v>
      </c>
      <c r="H326" s="3"/>
    </row>
    <row r="327" spans="1:8" x14ac:dyDescent="0.25">
      <c r="A327" s="1">
        <v>392</v>
      </c>
      <c r="B327" s="1" t="s">
        <v>608</v>
      </c>
      <c r="C327" s="1">
        <v>140010230</v>
      </c>
      <c r="D327" s="1">
        <v>800</v>
      </c>
      <c r="E327" s="1">
        <v>392</v>
      </c>
      <c r="F327" s="3">
        <v>39</v>
      </c>
      <c r="G327" s="1">
        <v>800</v>
      </c>
      <c r="H327" s="3"/>
    </row>
    <row r="328" spans="1:8" x14ac:dyDescent="0.25">
      <c r="A328" s="1">
        <v>393</v>
      </c>
      <c r="B328" s="1" t="s">
        <v>608</v>
      </c>
      <c r="C328" s="1">
        <v>140030039</v>
      </c>
      <c r="D328" s="1">
        <v>100</v>
      </c>
      <c r="E328" s="1">
        <v>393</v>
      </c>
      <c r="F328" s="3">
        <v>41</v>
      </c>
      <c r="G328" s="1">
        <v>100</v>
      </c>
      <c r="H328" s="3"/>
    </row>
    <row r="329" spans="1:8" x14ac:dyDescent="0.25">
      <c r="A329" s="1">
        <v>394</v>
      </c>
      <c r="B329" s="1" t="s">
        <v>608</v>
      </c>
      <c r="C329" s="1">
        <v>140030040</v>
      </c>
      <c r="D329" s="1">
        <v>100</v>
      </c>
      <c r="E329" s="1">
        <v>394</v>
      </c>
      <c r="F329" s="3">
        <v>42</v>
      </c>
      <c r="G329" s="1">
        <v>100</v>
      </c>
      <c r="H329" s="3"/>
    </row>
    <row r="330" spans="1:8" x14ac:dyDescent="0.25">
      <c r="A330" s="1">
        <v>395</v>
      </c>
      <c r="B330" s="1" t="s">
        <v>608</v>
      </c>
      <c r="C330" s="1">
        <v>140310007</v>
      </c>
      <c r="D330" s="1">
        <v>200</v>
      </c>
      <c r="E330" s="1">
        <v>395</v>
      </c>
      <c r="F330" s="3">
        <v>43</v>
      </c>
      <c r="G330" s="1">
        <v>200</v>
      </c>
      <c r="H330" s="3"/>
    </row>
    <row r="331" spans="1:8" x14ac:dyDescent="0.25">
      <c r="A331" s="1">
        <v>396</v>
      </c>
      <c r="B331" s="1" t="s">
        <v>608</v>
      </c>
      <c r="C331" s="1">
        <v>140550019</v>
      </c>
      <c r="D331" s="1">
        <v>150</v>
      </c>
      <c r="E331" s="1">
        <v>396</v>
      </c>
      <c r="F331" s="3">
        <v>4</v>
      </c>
      <c r="G331" s="1">
        <v>150</v>
      </c>
      <c r="H331" s="3"/>
    </row>
    <row r="332" spans="1:8" x14ac:dyDescent="0.25">
      <c r="A332" s="1">
        <v>397</v>
      </c>
      <c r="B332" s="1" t="s">
        <v>608</v>
      </c>
      <c r="C332" s="1">
        <v>140530039</v>
      </c>
      <c r="D332" s="1">
        <v>3200</v>
      </c>
      <c r="E332" s="1">
        <v>397</v>
      </c>
      <c r="F332" s="3">
        <v>33</v>
      </c>
      <c r="G332" s="1">
        <v>3200</v>
      </c>
      <c r="H332" s="3"/>
    </row>
    <row r="333" spans="1:8" x14ac:dyDescent="0.25">
      <c r="A333" s="1">
        <v>398</v>
      </c>
      <c r="B333" s="1" t="s">
        <v>554</v>
      </c>
      <c r="C333" s="1">
        <v>140010117</v>
      </c>
      <c r="D333" s="1">
        <v>300</v>
      </c>
      <c r="E333" s="1">
        <v>398</v>
      </c>
      <c r="F333" s="3">
        <v>38</v>
      </c>
      <c r="G333" s="1">
        <v>300</v>
      </c>
      <c r="H333" s="3"/>
    </row>
    <row r="334" spans="1:8" x14ac:dyDescent="0.25">
      <c r="A334" s="1">
        <v>399</v>
      </c>
      <c r="B334" s="1" t="s">
        <v>554</v>
      </c>
      <c r="C334" s="1">
        <v>140010230</v>
      </c>
      <c r="D334" s="1">
        <v>440</v>
      </c>
      <c r="E334" s="1">
        <v>399</v>
      </c>
      <c r="F334" s="3">
        <v>39</v>
      </c>
      <c r="G334" s="1">
        <v>440</v>
      </c>
      <c r="H334" s="3"/>
    </row>
    <row r="335" spans="1:8" x14ac:dyDescent="0.25">
      <c r="A335" s="1">
        <v>400</v>
      </c>
      <c r="B335" s="1" t="s">
        <v>554</v>
      </c>
      <c r="C335" s="1">
        <v>140310007</v>
      </c>
      <c r="D335" s="1">
        <v>2400</v>
      </c>
      <c r="E335" s="1">
        <v>400</v>
      </c>
      <c r="F335" s="3">
        <v>43</v>
      </c>
      <c r="G335" s="1">
        <v>2400</v>
      </c>
      <c r="H335" s="3"/>
    </row>
    <row r="336" spans="1:8" x14ac:dyDescent="0.25">
      <c r="A336" s="1">
        <v>401</v>
      </c>
      <c r="B336" s="1" t="s">
        <v>554</v>
      </c>
      <c r="C336" s="1">
        <v>140310071</v>
      </c>
      <c r="D336" s="1">
        <v>600</v>
      </c>
      <c r="E336" s="1">
        <v>401</v>
      </c>
      <c r="F336" s="3">
        <v>30</v>
      </c>
      <c r="G336" s="1">
        <v>600</v>
      </c>
      <c r="H336" s="3"/>
    </row>
    <row r="337" spans="1:8" x14ac:dyDescent="0.25">
      <c r="A337" s="1">
        <v>402</v>
      </c>
      <c r="B337" s="1" t="s">
        <v>554</v>
      </c>
      <c r="C337" s="1">
        <v>140310083</v>
      </c>
      <c r="D337" s="1">
        <v>1000</v>
      </c>
      <c r="E337" s="1">
        <v>402</v>
      </c>
      <c r="F337" s="3">
        <v>31</v>
      </c>
      <c r="G337" s="1">
        <v>1000</v>
      </c>
      <c r="H337" s="3"/>
    </row>
    <row r="338" spans="1:8" x14ac:dyDescent="0.25">
      <c r="A338" s="1">
        <v>404</v>
      </c>
      <c r="B338" s="1" t="s">
        <v>554</v>
      </c>
      <c r="C338" s="1">
        <v>140530039</v>
      </c>
      <c r="D338" s="1">
        <v>100</v>
      </c>
      <c r="E338" s="1">
        <v>404</v>
      </c>
      <c r="F338" s="3">
        <v>33</v>
      </c>
      <c r="G338" s="1">
        <v>100</v>
      </c>
      <c r="H338" s="3"/>
    </row>
    <row r="339" spans="1:8" x14ac:dyDescent="0.25">
      <c r="A339" s="1">
        <v>405</v>
      </c>
      <c r="B339" s="1" t="s">
        <v>609</v>
      </c>
      <c r="C339" s="1">
        <v>140010117</v>
      </c>
      <c r="D339" s="1">
        <v>150</v>
      </c>
      <c r="E339" s="1">
        <v>405</v>
      </c>
      <c r="F339" s="3">
        <v>38</v>
      </c>
      <c r="G339" s="1">
        <v>150</v>
      </c>
      <c r="H339" s="3"/>
    </row>
    <row r="340" spans="1:8" x14ac:dyDescent="0.25">
      <c r="A340" s="1">
        <v>406</v>
      </c>
      <c r="B340" s="1" t="s">
        <v>609</v>
      </c>
      <c r="C340" s="1">
        <v>140310007</v>
      </c>
      <c r="D340" s="1">
        <v>1700</v>
      </c>
      <c r="E340" s="1">
        <v>406</v>
      </c>
      <c r="F340" s="3">
        <v>43</v>
      </c>
      <c r="G340" s="1">
        <v>1700</v>
      </c>
      <c r="H340" s="3"/>
    </row>
    <row r="341" spans="1:8" x14ac:dyDescent="0.25">
      <c r="A341" s="1">
        <v>407</v>
      </c>
      <c r="B341" s="1" t="s">
        <v>609</v>
      </c>
      <c r="C341" s="1">
        <v>140310031</v>
      </c>
      <c r="D341" s="1">
        <v>350</v>
      </c>
      <c r="E341" s="1">
        <v>407</v>
      </c>
      <c r="F341" s="3">
        <v>44</v>
      </c>
      <c r="G341" s="1">
        <v>350</v>
      </c>
      <c r="H341" s="3"/>
    </row>
    <row r="342" spans="1:8" x14ac:dyDescent="0.25">
      <c r="A342" s="1">
        <v>408</v>
      </c>
      <c r="B342" s="1" t="s">
        <v>609</v>
      </c>
      <c r="C342" s="1">
        <v>140310071</v>
      </c>
      <c r="D342" s="1">
        <v>1850</v>
      </c>
      <c r="E342" s="1">
        <v>408</v>
      </c>
      <c r="F342" s="3">
        <v>30</v>
      </c>
      <c r="G342" s="1">
        <v>1850</v>
      </c>
      <c r="H342" s="3"/>
    </row>
    <row r="343" spans="1:8" x14ac:dyDescent="0.25">
      <c r="A343" s="1">
        <v>409</v>
      </c>
      <c r="B343" s="1" t="s">
        <v>609</v>
      </c>
      <c r="C343" s="1">
        <v>140450047</v>
      </c>
      <c r="D343" s="1">
        <v>500</v>
      </c>
      <c r="E343" s="1">
        <v>409</v>
      </c>
      <c r="F343" s="3">
        <v>45</v>
      </c>
      <c r="G343" s="1">
        <v>500</v>
      </c>
      <c r="H343" s="3"/>
    </row>
    <row r="344" spans="1:8" x14ac:dyDescent="0.25">
      <c r="A344" s="1">
        <v>410</v>
      </c>
      <c r="B344" s="1" t="s">
        <v>610</v>
      </c>
      <c r="C344" s="1">
        <v>140310007</v>
      </c>
      <c r="D344" s="1">
        <v>2000</v>
      </c>
      <c r="E344" s="1">
        <v>410</v>
      </c>
      <c r="F344" s="3">
        <v>43</v>
      </c>
      <c r="G344" s="1">
        <v>2000</v>
      </c>
      <c r="H344" s="3"/>
    </row>
    <row r="345" spans="1:8" x14ac:dyDescent="0.25">
      <c r="A345" s="1">
        <v>411</v>
      </c>
      <c r="B345" s="1" t="s">
        <v>610</v>
      </c>
      <c r="C345" s="1">
        <v>140310031</v>
      </c>
      <c r="D345" s="1">
        <v>800</v>
      </c>
      <c r="E345" s="1">
        <v>411</v>
      </c>
      <c r="F345" s="3">
        <v>44</v>
      </c>
      <c r="G345" s="1">
        <v>800</v>
      </c>
      <c r="H345" s="3"/>
    </row>
    <row r="346" spans="1:8" x14ac:dyDescent="0.25">
      <c r="A346" s="1">
        <v>412</v>
      </c>
      <c r="B346" s="1" t="s">
        <v>610</v>
      </c>
      <c r="C346" s="1">
        <v>140310071</v>
      </c>
      <c r="D346" s="1">
        <v>1200</v>
      </c>
      <c r="E346" s="1">
        <v>412</v>
      </c>
      <c r="F346" s="3">
        <v>30</v>
      </c>
      <c r="G346" s="1">
        <v>1200</v>
      </c>
      <c r="H346" s="3"/>
    </row>
    <row r="347" spans="1:8" x14ac:dyDescent="0.25">
      <c r="A347" s="1">
        <v>413</v>
      </c>
      <c r="B347" s="1" t="s">
        <v>610</v>
      </c>
      <c r="C347" s="1">
        <v>140450047</v>
      </c>
      <c r="D347" s="1">
        <v>400</v>
      </c>
      <c r="E347" s="1">
        <v>413</v>
      </c>
      <c r="F347" s="3">
        <v>45</v>
      </c>
      <c r="G347" s="1">
        <v>400</v>
      </c>
      <c r="H347" s="3"/>
    </row>
    <row r="348" spans="1:8" x14ac:dyDescent="0.25">
      <c r="A348" s="1">
        <v>414</v>
      </c>
      <c r="B348" s="1" t="s">
        <v>610</v>
      </c>
      <c r="C348" s="1">
        <v>140550019</v>
      </c>
      <c r="D348" s="1">
        <v>214</v>
      </c>
      <c r="E348" s="1">
        <v>414</v>
      </c>
      <c r="F348" s="3">
        <v>4</v>
      </c>
      <c r="G348" s="1">
        <v>214</v>
      </c>
      <c r="H348" s="3"/>
    </row>
    <row r="349" spans="1:8" x14ac:dyDescent="0.25">
      <c r="A349" s="1">
        <v>415</v>
      </c>
      <c r="B349" s="1" t="s">
        <v>610</v>
      </c>
      <c r="C349" s="1">
        <v>140530039</v>
      </c>
      <c r="D349" s="1">
        <v>173</v>
      </c>
      <c r="E349" s="1">
        <v>415</v>
      </c>
      <c r="F349" s="3">
        <v>33</v>
      </c>
      <c r="G349" s="1">
        <v>173</v>
      </c>
      <c r="H349" s="3"/>
    </row>
    <row r="350" spans="1:8" x14ac:dyDescent="0.25">
      <c r="A350" s="1">
        <v>416</v>
      </c>
      <c r="B350" s="1" t="s">
        <v>611</v>
      </c>
      <c r="C350" s="1">
        <v>140310007</v>
      </c>
      <c r="D350" s="1">
        <v>1200</v>
      </c>
      <c r="E350" s="1">
        <v>416</v>
      </c>
      <c r="F350" s="3">
        <v>43</v>
      </c>
      <c r="G350" s="1">
        <v>1200</v>
      </c>
      <c r="H350" s="3"/>
    </row>
    <row r="351" spans="1:8" x14ac:dyDescent="0.25">
      <c r="A351" s="1">
        <v>417</v>
      </c>
      <c r="B351" s="1" t="s">
        <v>611</v>
      </c>
      <c r="C351" s="1">
        <v>140310031</v>
      </c>
      <c r="D351" s="1">
        <v>500</v>
      </c>
      <c r="E351" s="1">
        <v>417</v>
      </c>
      <c r="F351" s="3">
        <v>44</v>
      </c>
      <c r="G351" s="1">
        <v>500</v>
      </c>
      <c r="H351" s="3"/>
    </row>
    <row r="352" spans="1:8" x14ac:dyDescent="0.25">
      <c r="A352" s="1">
        <v>418</v>
      </c>
      <c r="B352" s="1" t="s">
        <v>611</v>
      </c>
      <c r="C352" s="1">
        <v>140310071</v>
      </c>
      <c r="D352" s="1">
        <v>1700</v>
      </c>
      <c r="E352" s="1">
        <v>418</v>
      </c>
      <c r="F352" s="3">
        <v>30</v>
      </c>
      <c r="G352" s="1">
        <v>1700</v>
      </c>
      <c r="H352" s="3"/>
    </row>
    <row r="353" spans="1:8" x14ac:dyDescent="0.25">
      <c r="A353" s="1">
        <v>419</v>
      </c>
      <c r="B353" s="1" t="s">
        <v>611</v>
      </c>
      <c r="C353" s="1">
        <v>140450047</v>
      </c>
      <c r="D353" s="1">
        <v>100</v>
      </c>
      <c r="E353" s="1">
        <v>419</v>
      </c>
      <c r="F353" s="3">
        <v>45</v>
      </c>
      <c r="G353" s="1">
        <v>100</v>
      </c>
      <c r="H353" s="3"/>
    </row>
    <row r="354" spans="1:8" x14ac:dyDescent="0.25">
      <c r="A354" s="1">
        <v>420</v>
      </c>
      <c r="B354" s="1" t="s">
        <v>612</v>
      </c>
      <c r="C354" s="1">
        <v>140310007</v>
      </c>
      <c r="D354" s="1">
        <v>900</v>
      </c>
      <c r="E354" s="1">
        <v>420</v>
      </c>
      <c r="F354" s="3">
        <v>43</v>
      </c>
      <c r="G354" s="1">
        <v>900</v>
      </c>
      <c r="H354" s="3"/>
    </row>
    <row r="355" spans="1:8" x14ac:dyDescent="0.25">
      <c r="A355" s="1">
        <v>421</v>
      </c>
      <c r="B355" s="1" t="s">
        <v>612</v>
      </c>
      <c r="C355" s="1">
        <v>140310031</v>
      </c>
      <c r="D355" s="1">
        <v>600</v>
      </c>
      <c r="E355" s="1">
        <v>421</v>
      </c>
      <c r="F355" s="3">
        <v>44</v>
      </c>
      <c r="G355" s="1">
        <v>600</v>
      </c>
      <c r="H355" s="3"/>
    </row>
    <row r="356" spans="1:8" x14ac:dyDescent="0.25">
      <c r="A356" s="1">
        <v>422</v>
      </c>
      <c r="B356" s="1" t="s">
        <v>612</v>
      </c>
      <c r="C356" s="1">
        <v>140310071</v>
      </c>
      <c r="D356" s="1">
        <v>850</v>
      </c>
      <c r="E356" s="1">
        <v>422</v>
      </c>
      <c r="F356" s="3">
        <v>30</v>
      </c>
      <c r="G356" s="1">
        <v>850</v>
      </c>
      <c r="H356" s="3"/>
    </row>
    <row r="357" spans="1:8" x14ac:dyDescent="0.25">
      <c r="A357" s="1">
        <v>423</v>
      </c>
      <c r="B357" s="1" t="s">
        <v>612</v>
      </c>
      <c r="C357" s="1">
        <v>140450047</v>
      </c>
      <c r="D357" s="1">
        <v>500</v>
      </c>
      <c r="E357" s="1">
        <v>423</v>
      </c>
      <c r="F357" s="3">
        <v>45</v>
      </c>
      <c r="G357" s="1">
        <v>500</v>
      </c>
      <c r="H357" s="3"/>
    </row>
    <row r="358" spans="1:8" x14ac:dyDescent="0.25">
      <c r="A358" s="1">
        <v>424</v>
      </c>
      <c r="B358" s="1" t="s">
        <v>613</v>
      </c>
      <c r="C358" s="1">
        <v>140310007</v>
      </c>
      <c r="D358" s="1">
        <v>1400</v>
      </c>
      <c r="E358" s="1">
        <v>424</v>
      </c>
      <c r="F358" s="3">
        <v>43</v>
      </c>
      <c r="G358" s="1">
        <v>1400</v>
      </c>
      <c r="H358" s="3"/>
    </row>
    <row r="359" spans="1:8" x14ac:dyDescent="0.25">
      <c r="A359" s="1">
        <v>425</v>
      </c>
      <c r="B359" s="1" t="s">
        <v>613</v>
      </c>
      <c r="C359" s="1">
        <v>140310031</v>
      </c>
      <c r="D359" s="1">
        <v>700</v>
      </c>
      <c r="E359" s="1">
        <v>425</v>
      </c>
      <c r="F359" s="3">
        <v>44</v>
      </c>
      <c r="G359" s="1">
        <v>700</v>
      </c>
      <c r="H359" s="3"/>
    </row>
    <row r="360" spans="1:8" x14ac:dyDescent="0.25">
      <c r="A360" s="1">
        <v>426</v>
      </c>
      <c r="B360" s="1" t="s">
        <v>613</v>
      </c>
      <c r="C360" s="1">
        <v>140310083</v>
      </c>
      <c r="D360" s="1">
        <v>250</v>
      </c>
      <c r="E360" s="1">
        <v>426</v>
      </c>
      <c r="F360" s="3">
        <v>31</v>
      </c>
      <c r="G360" s="1">
        <v>250</v>
      </c>
      <c r="H360" s="3"/>
    </row>
    <row r="361" spans="1:8" x14ac:dyDescent="0.25">
      <c r="A361" s="1">
        <v>427</v>
      </c>
      <c r="B361" s="1" t="s">
        <v>613</v>
      </c>
      <c r="C361" s="1">
        <v>140450047</v>
      </c>
      <c r="D361" s="1">
        <v>750</v>
      </c>
      <c r="E361" s="1">
        <v>427</v>
      </c>
      <c r="F361" s="3">
        <v>45</v>
      </c>
      <c r="G361" s="1">
        <v>750</v>
      </c>
      <c r="H361" s="3"/>
    </row>
    <row r="362" spans="1:8" x14ac:dyDescent="0.25">
      <c r="A362" s="1">
        <v>428</v>
      </c>
      <c r="B362" s="1" t="s">
        <v>552</v>
      </c>
      <c r="C362" s="1">
        <v>140310007</v>
      </c>
      <c r="D362" s="1">
        <v>600</v>
      </c>
      <c r="E362" s="1">
        <v>428</v>
      </c>
      <c r="F362" s="3">
        <v>43</v>
      </c>
      <c r="G362" s="1">
        <v>600</v>
      </c>
      <c r="H362" s="3"/>
    </row>
    <row r="363" spans="1:8" x14ac:dyDescent="0.25">
      <c r="A363" s="1">
        <v>429</v>
      </c>
      <c r="B363" s="1" t="s">
        <v>552</v>
      </c>
      <c r="C363" s="1">
        <v>140310031</v>
      </c>
      <c r="D363" s="1">
        <v>300</v>
      </c>
      <c r="E363" s="1">
        <v>429</v>
      </c>
      <c r="F363" s="3">
        <v>44</v>
      </c>
      <c r="G363" s="1">
        <v>300</v>
      </c>
      <c r="H363" s="3"/>
    </row>
    <row r="364" spans="1:8" x14ac:dyDescent="0.25">
      <c r="A364" s="1">
        <v>430</v>
      </c>
      <c r="B364" s="1" t="s">
        <v>552</v>
      </c>
      <c r="C364" s="1">
        <v>140310071</v>
      </c>
      <c r="D364" s="1">
        <v>550</v>
      </c>
      <c r="E364" s="1">
        <v>430</v>
      </c>
      <c r="F364" s="3">
        <v>30</v>
      </c>
      <c r="G364" s="1">
        <v>550</v>
      </c>
      <c r="H364" s="3"/>
    </row>
    <row r="365" spans="1:8" x14ac:dyDescent="0.25">
      <c r="A365" s="1">
        <v>431</v>
      </c>
      <c r="B365" s="1" t="s">
        <v>552</v>
      </c>
      <c r="C365" s="1">
        <v>140310083</v>
      </c>
      <c r="D365" s="1">
        <v>600</v>
      </c>
      <c r="E365" s="1">
        <v>431</v>
      </c>
      <c r="F365" s="3">
        <v>31</v>
      </c>
      <c r="G365" s="1">
        <v>600</v>
      </c>
      <c r="H365" s="3"/>
    </row>
    <row r="366" spans="1:8" x14ac:dyDescent="0.25">
      <c r="A366" s="1">
        <v>432</v>
      </c>
      <c r="B366" s="1" t="s">
        <v>552</v>
      </c>
      <c r="C366" s="1">
        <v>140450047</v>
      </c>
      <c r="D366" s="1">
        <v>800</v>
      </c>
      <c r="E366" s="1">
        <v>432</v>
      </c>
      <c r="F366" s="3">
        <v>45</v>
      </c>
      <c r="G366" s="1">
        <v>800</v>
      </c>
      <c r="H366" s="3"/>
    </row>
    <row r="367" spans="1:8" x14ac:dyDescent="0.25">
      <c r="A367" s="1">
        <v>433</v>
      </c>
      <c r="B367" s="1" t="s">
        <v>614</v>
      </c>
      <c r="C367" s="1">
        <v>140310007</v>
      </c>
      <c r="D367" s="1">
        <v>750</v>
      </c>
      <c r="E367" s="1">
        <v>433</v>
      </c>
      <c r="F367" s="3">
        <v>43</v>
      </c>
      <c r="G367" s="1">
        <v>750</v>
      </c>
      <c r="H367" s="3"/>
    </row>
    <row r="368" spans="1:8" x14ac:dyDescent="0.25">
      <c r="A368" s="1">
        <v>434</v>
      </c>
      <c r="B368" s="1" t="s">
        <v>614</v>
      </c>
      <c r="C368" s="1">
        <v>140310031</v>
      </c>
      <c r="D368" s="1">
        <v>1100</v>
      </c>
      <c r="E368" s="1">
        <v>434</v>
      </c>
      <c r="F368" s="3">
        <v>44</v>
      </c>
      <c r="G368" s="1">
        <v>1100</v>
      </c>
      <c r="H368" s="3"/>
    </row>
    <row r="369" spans="1:8" x14ac:dyDescent="0.25">
      <c r="A369" s="1">
        <v>435</v>
      </c>
      <c r="B369" s="1" t="s">
        <v>614</v>
      </c>
      <c r="C369" s="1">
        <v>140310071</v>
      </c>
      <c r="D369" s="1">
        <v>300</v>
      </c>
      <c r="E369" s="1">
        <v>435</v>
      </c>
      <c r="F369" s="3">
        <v>30</v>
      </c>
      <c r="G369" s="1">
        <v>300</v>
      </c>
      <c r="H369" s="3"/>
    </row>
    <row r="370" spans="1:8" x14ac:dyDescent="0.25">
      <c r="A370" s="1">
        <v>436</v>
      </c>
      <c r="B370" s="1" t="s">
        <v>614</v>
      </c>
      <c r="C370" s="1">
        <v>140450047</v>
      </c>
      <c r="D370" s="1">
        <v>550</v>
      </c>
      <c r="E370" s="1">
        <v>436</v>
      </c>
      <c r="F370" s="3">
        <v>45</v>
      </c>
      <c r="G370" s="1">
        <v>550</v>
      </c>
      <c r="H370" s="3"/>
    </row>
    <row r="371" spans="1:8" x14ac:dyDescent="0.25">
      <c r="A371" s="1">
        <v>437</v>
      </c>
      <c r="B371" s="1" t="s">
        <v>614</v>
      </c>
      <c r="C371" s="1">
        <v>140640007</v>
      </c>
      <c r="D371" s="1">
        <v>150</v>
      </c>
      <c r="E371" s="1">
        <v>437</v>
      </c>
      <c r="F371" s="3">
        <v>17</v>
      </c>
      <c r="G371" s="1">
        <v>150</v>
      </c>
      <c r="H371" s="3"/>
    </row>
    <row r="372" spans="1:8" x14ac:dyDescent="0.25">
      <c r="A372" s="1">
        <v>438</v>
      </c>
      <c r="B372" s="1" t="s">
        <v>411</v>
      </c>
      <c r="C372" s="1">
        <v>140010255</v>
      </c>
      <c r="D372" s="1">
        <v>300</v>
      </c>
      <c r="E372" s="1">
        <v>438</v>
      </c>
      <c r="F372" s="3">
        <v>47</v>
      </c>
      <c r="G372" s="1">
        <v>300</v>
      </c>
      <c r="H372" s="3"/>
    </row>
    <row r="373" spans="1:8" x14ac:dyDescent="0.25">
      <c r="A373" s="1">
        <v>439</v>
      </c>
      <c r="B373" s="1" t="s">
        <v>411</v>
      </c>
      <c r="C373" s="1">
        <v>140310007</v>
      </c>
      <c r="D373" s="1">
        <v>1100</v>
      </c>
      <c r="E373" s="1">
        <v>439</v>
      </c>
      <c r="F373" s="3">
        <v>43</v>
      </c>
      <c r="G373" s="1">
        <v>1100</v>
      </c>
      <c r="H373" s="3"/>
    </row>
    <row r="374" spans="1:8" x14ac:dyDescent="0.25">
      <c r="A374" s="1">
        <v>440</v>
      </c>
      <c r="B374" s="1" t="s">
        <v>411</v>
      </c>
      <c r="C374" s="1">
        <v>140310071</v>
      </c>
      <c r="D374" s="1">
        <v>1500</v>
      </c>
      <c r="E374" s="1">
        <v>440</v>
      </c>
      <c r="F374" s="3">
        <v>30</v>
      </c>
      <c r="G374" s="1">
        <v>1500</v>
      </c>
      <c r="H374" s="3"/>
    </row>
    <row r="375" spans="1:8" x14ac:dyDescent="0.25">
      <c r="A375" s="1">
        <v>441</v>
      </c>
      <c r="B375" s="1" t="s">
        <v>411</v>
      </c>
      <c r="C375" s="1">
        <v>140310083</v>
      </c>
      <c r="D375" s="1">
        <v>50</v>
      </c>
      <c r="E375" s="1">
        <v>441</v>
      </c>
      <c r="F375" s="3">
        <v>31</v>
      </c>
      <c r="G375" s="1">
        <v>50</v>
      </c>
      <c r="H375" s="3"/>
    </row>
    <row r="376" spans="1:8" x14ac:dyDescent="0.25">
      <c r="A376" s="1">
        <v>442</v>
      </c>
      <c r="B376" s="1" t="s">
        <v>411</v>
      </c>
      <c r="C376" s="1">
        <v>140450047</v>
      </c>
      <c r="D376" s="1">
        <v>650</v>
      </c>
      <c r="E376" s="1">
        <v>442</v>
      </c>
      <c r="F376" s="3">
        <v>45</v>
      </c>
      <c r="G376" s="1">
        <v>650</v>
      </c>
      <c r="H376" s="3"/>
    </row>
    <row r="377" spans="1:8" x14ac:dyDescent="0.25">
      <c r="A377" s="1">
        <v>443</v>
      </c>
      <c r="B377" s="1" t="s">
        <v>812</v>
      </c>
      <c r="C377" s="1">
        <v>140010255</v>
      </c>
      <c r="D377" s="1">
        <v>400</v>
      </c>
      <c r="E377" s="1">
        <v>443</v>
      </c>
      <c r="F377" s="3">
        <v>47</v>
      </c>
      <c r="G377" s="1">
        <v>400</v>
      </c>
      <c r="H377" s="3"/>
    </row>
    <row r="378" spans="1:8" x14ac:dyDescent="0.25">
      <c r="A378" s="1">
        <v>444</v>
      </c>
      <c r="B378" s="1" t="s">
        <v>812</v>
      </c>
      <c r="C378" s="1">
        <v>140310007</v>
      </c>
      <c r="D378" s="1">
        <v>1450</v>
      </c>
      <c r="E378" s="1">
        <v>444</v>
      </c>
      <c r="F378" s="3">
        <v>43</v>
      </c>
      <c r="G378" s="1">
        <v>1450</v>
      </c>
      <c r="H378" s="3"/>
    </row>
    <row r="379" spans="1:8" x14ac:dyDescent="0.25">
      <c r="A379" s="1">
        <v>445</v>
      </c>
      <c r="B379" s="1" t="s">
        <v>812</v>
      </c>
      <c r="C379" s="1">
        <v>140310031</v>
      </c>
      <c r="D379" s="1">
        <v>500</v>
      </c>
      <c r="E379" s="1">
        <v>445</v>
      </c>
      <c r="F379" s="3">
        <v>44</v>
      </c>
      <c r="G379" s="1">
        <v>500</v>
      </c>
      <c r="H379" s="3"/>
    </row>
    <row r="380" spans="1:8" x14ac:dyDescent="0.25">
      <c r="A380" s="1">
        <v>446</v>
      </c>
      <c r="B380" s="1" t="s">
        <v>812</v>
      </c>
      <c r="C380" s="1">
        <v>140310071</v>
      </c>
      <c r="D380" s="1">
        <v>1500</v>
      </c>
      <c r="E380" s="1">
        <v>446</v>
      </c>
      <c r="F380" s="3">
        <v>30</v>
      </c>
      <c r="G380" s="1">
        <v>1500</v>
      </c>
      <c r="H380" s="3"/>
    </row>
    <row r="381" spans="1:8" x14ac:dyDescent="0.25">
      <c r="A381" s="1">
        <v>447</v>
      </c>
      <c r="B381" s="1" t="s">
        <v>615</v>
      </c>
      <c r="C381" s="1">
        <v>140310007</v>
      </c>
      <c r="D381" s="1">
        <v>150</v>
      </c>
      <c r="E381" s="1">
        <v>447</v>
      </c>
      <c r="F381" s="3">
        <v>43</v>
      </c>
      <c r="G381" s="1">
        <v>150</v>
      </c>
      <c r="H381" s="3"/>
    </row>
    <row r="382" spans="1:8" x14ac:dyDescent="0.25">
      <c r="A382" s="1">
        <v>448</v>
      </c>
      <c r="B382" s="1" t="s">
        <v>615</v>
      </c>
      <c r="C382" s="1">
        <v>140310031</v>
      </c>
      <c r="D382" s="1">
        <v>600</v>
      </c>
      <c r="E382" s="1">
        <v>448</v>
      </c>
      <c r="F382" s="3">
        <v>44</v>
      </c>
      <c r="G382" s="1">
        <v>600</v>
      </c>
      <c r="H382" s="3"/>
    </row>
    <row r="383" spans="1:8" x14ac:dyDescent="0.25">
      <c r="A383" s="1">
        <v>449</v>
      </c>
      <c r="B383" s="1" t="s">
        <v>615</v>
      </c>
      <c r="C383" s="1">
        <v>140310071</v>
      </c>
      <c r="D383" s="1">
        <v>1500</v>
      </c>
      <c r="E383" s="1">
        <v>449</v>
      </c>
      <c r="F383" s="3">
        <v>30</v>
      </c>
      <c r="G383" s="1">
        <v>1500</v>
      </c>
      <c r="H383" s="3"/>
    </row>
    <row r="384" spans="1:8" x14ac:dyDescent="0.25">
      <c r="A384" s="1">
        <v>450</v>
      </c>
      <c r="B384" s="1" t="s">
        <v>615</v>
      </c>
      <c r="C384" s="1">
        <v>140450047</v>
      </c>
      <c r="D384" s="1">
        <v>1750</v>
      </c>
      <c r="E384" s="1">
        <v>450</v>
      </c>
      <c r="F384" s="3">
        <v>45</v>
      </c>
      <c r="G384" s="1">
        <v>1750</v>
      </c>
      <c r="H384" s="3"/>
    </row>
    <row r="385" spans="1:8" x14ac:dyDescent="0.25">
      <c r="A385" s="1">
        <v>451</v>
      </c>
      <c r="B385" s="1" t="s">
        <v>616</v>
      </c>
      <c r="C385" s="1">
        <v>140310071</v>
      </c>
      <c r="D385" s="1">
        <v>3000</v>
      </c>
      <c r="E385" s="1">
        <v>451</v>
      </c>
      <c r="F385" s="3">
        <v>30</v>
      </c>
      <c r="G385" s="1">
        <v>3000</v>
      </c>
      <c r="H385" s="3"/>
    </row>
    <row r="386" spans="1:8" x14ac:dyDescent="0.25">
      <c r="A386" s="1">
        <v>452</v>
      </c>
      <c r="B386" s="1" t="s">
        <v>616</v>
      </c>
      <c r="C386" s="1">
        <v>140450047</v>
      </c>
      <c r="D386" s="1">
        <v>750</v>
      </c>
      <c r="E386" s="1">
        <v>452</v>
      </c>
      <c r="F386" s="3">
        <v>45</v>
      </c>
      <c r="G386" s="1">
        <v>750</v>
      </c>
      <c r="H386" s="3"/>
    </row>
    <row r="387" spans="1:8" x14ac:dyDescent="0.25">
      <c r="A387" s="1">
        <v>453</v>
      </c>
      <c r="B387" s="1" t="s">
        <v>410</v>
      </c>
      <c r="C387" s="1">
        <v>140010117</v>
      </c>
      <c r="D387" s="1">
        <v>75</v>
      </c>
      <c r="E387" s="1">
        <v>453</v>
      </c>
      <c r="F387" s="3">
        <v>38</v>
      </c>
      <c r="G387" s="1">
        <v>75</v>
      </c>
      <c r="H387" s="3"/>
    </row>
    <row r="388" spans="1:8" x14ac:dyDescent="0.25">
      <c r="A388" s="1">
        <v>454</v>
      </c>
      <c r="B388" s="1" t="s">
        <v>410</v>
      </c>
      <c r="C388" s="1">
        <v>140010230</v>
      </c>
      <c r="D388" s="1">
        <v>400</v>
      </c>
      <c r="E388" s="1">
        <v>454</v>
      </c>
      <c r="F388" s="3">
        <v>46</v>
      </c>
      <c r="G388" s="1">
        <v>400</v>
      </c>
      <c r="H388" s="3"/>
    </row>
    <row r="389" spans="1:8" x14ac:dyDescent="0.25">
      <c r="A389" s="1">
        <v>455</v>
      </c>
      <c r="B389" s="1" t="s">
        <v>410</v>
      </c>
      <c r="C389" s="1">
        <v>140310007</v>
      </c>
      <c r="D389" s="1">
        <v>2700</v>
      </c>
      <c r="E389" s="1">
        <v>455</v>
      </c>
      <c r="F389" s="3">
        <v>43</v>
      </c>
      <c r="G389" s="1">
        <v>2700</v>
      </c>
      <c r="H389" s="3"/>
    </row>
    <row r="390" spans="1:8" x14ac:dyDescent="0.25">
      <c r="A390" s="1">
        <v>456</v>
      </c>
      <c r="B390" s="1" t="s">
        <v>410</v>
      </c>
      <c r="C390" s="1">
        <v>140310031</v>
      </c>
      <c r="D390" s="1">
        <v>700</v>
      </c>
      <c r="E390" s="1">
        <v>456</v>
      </c>
      <c r="F390" s="3">
        <v>44</v>
      </c>
      <c r="G390" s="1">
        <v>700</v>
      </c>
      <c r="H390" s="3"/>
    </row>
    <row r="391" spans="1:8" x14ac:dyDescent="0.25">
      <c r="A391" s="1">
        <v>458</v>
      </c>
      <c r="B391" s="1" t="s">
        <v>553</v>
      </c>
      <c r="C391" s="1">
        <v>140310007</v>
      </c>
      <c r="D391" s="1">
        <v>1650</v>
      </c>
      <c r="E391" s="1">
        <v>458</v>
      </c>
      <c r="F391" s="3">
        <v>43</v>
      </c>
      <c r="G391" s="1">
        <v>1650</v>
      </c>
      <c r="H391" s="3"/>
    </row>
    <row r="392" spans="1:8" x14ac:dyDescent="0.25">
      <c r="A392" s="1">
        <v>459</v>
      </c>
      <c r="B392" s="1" t="s">
        <v>553</v>
      </c>
      <c r="C392" s="1">
        <v>140310031</v>
      </c>
      <c r="D392" s="1">
        <v>800</v>
      </c>
      <c r="E392" s="1">
        <v>459</v>
      </c>
      <c r="F392" s="3">
        <v>44</v>
      </c>
      <c r="G392" s="1">
        <v>800</v>
      </c>
      <c r="H392" s="3"/>
    </row>
    <row r="393" spans="1:8" x14ac:dyDescent="0.25">
      <c r="A393" s="1">
        <v>460</v>
      </c>
      <c r="B393" s="1" t="s">
        <v>553</v>
      </c>
      <c r="C393" s="1">
        <v>140310071</v>
      </c>
      <c r="D393" s="1">
        <v>700</v>
      </c>
      <c r="E393" s="1">
        <v>460</v>
      </c>
      <c r="F393" s="3">
        <v>30</v>
      </c>
      <c r="G393" s="1">
        <v>700</v>
      </c>
      <c r="H393" s="3"/>
    </row>
    <row r="394" spans="1:8" x14ac:dyDescent="0.25">
      <c r="A394" s="1">
        <v>461</v>
      </c>
      <c r="B394" s="1" t="s">
        <v>553</v>
      </c>
      <c r="C394" s="1">
        <v>140450047</v>
      </c>
      <c r="D394" s="1">
        <v>600</v>
      </c>
      <c r="E394" s="1">
        <v>461</v>
      </c>
      <c r="F394" s="3">
        <v>45</v>
      </c>
      <c r="G394" s="1">
        <v>600</v>
      </c>
      <c r="H394" s="3"/>
    </row>
    <row r="395" spans="1:8" x14ac:dyDescent="0.25">
      <c r="A395" s="1">
        <v>462</v>
      </c>
      <c r="B395" s="1" t="s">
        <v>412</v>
      </c>
      <c r="C395" s="1">
        <v>140310007</v>
      </c>
      <c r="D395" s="1">
        <v>1100</v>
      </c>
      <c r="E395" s="1">
        <v>462</v>
      </c>
      <c r="F395" s="3">
        <v>43</v>
      </c>
      <c r="G395" s="1">
        <v>1100</v>
      </c>
      <c r="H395" s="3"/>
    </row>
    <row r="396" spans="1:8" x14ac:dyDescent="0.25">
      <c r="A396" s="1">
        <v>463</v>
      </c>
      <c r="B396" s="1" t="s">
        <v>412</v>
      </c>
      <c r="C396" s="1">
        <v>140310031</v>
      </c>
      <c r="D396" s="1">
        <v>50</v>
      </c>
      <c r="E396" s="1">
        <v>463</v>
      </c>
      <c r="F396" s="3">
        <v>44</v>
      </c>
      <c r="G396" s="1">
        <v>50</v>
      </c>
      <c r="H396" s="3"/>
    </row>
    <row r="397" spans="1:8" x14ac:dyDescent="0.25">
      <c r="A397" s="1">
        <v>464</v>
      </c>
      <c r="B397" s="1" t="s">
        <v>412</v>
      </c>
      <c r="C397" s="1">
        <v>140310071</v>
      </c>
      <c r="D397" s="1">
        <v>2200</v>
      </c>
      <c r="E397" s="1">
        <v>464</v>
      </c>
      <c r="F397" s="3">
        <v>30</v>
      </c>
      <c r="G397" s="1">
        <v>2200</v>
      </c>
      <c r="H397" s="3"/>
    </row>
    <row r="398" spans="1:8" x14ac:dyDescent="0.25">
      <c r="A398" s="1">
        <v>465</v>
      </c>
      <c r="B398" s="1" t="s">
        <v>412</v>
      </c>
      <c r="C398" s="1">
        <v>140450047</v>
      </c>
      <c r="D398" s="1">
        <v>200</v>
      </c>
      <c r="E398" s="1">
        <v>465</v>
      </c>
      <c r="F398" s="3">
        <v>45</v>
      </c>
      <c r="G398" s="1">
        <v>200</v>
      </c>
      <c r="H398" s="3"/>
    </row>
    <row r="399" spans="1:8" x14ac:dyDescent="0.25">
      <c r="A399" s="1">
        <v>466</v>
      </c>
      <c r="B399" s="1" t="s">
        <v>813</v>
      </c>
      <c r="C399" s="1">
        <v>140010117</v>
      </c>
      <c r="D399" s="1">
        <v>750</v>
      </c>
      <c r="E399" s="1">
        <v>466</v>
      </c>
      <c r="F399" s="3">
        <v>48</v>
      </c>
      <c r="G399" s="1">
        <v>750</v>
      </c>
      <c r="H399" s="3"/>
    </row>
    <row r="400" spans="1:8" x14ac:dyDescent="0.25">
      <c r="A400" s="1">
        <v>467</v>
      </c>
      <c r="B400" s="1" t="s">
        <v>813</v>
      </c>
      <c r="C400" s="1">
        <v>140010230</v>
      </c>
      <c r="D400" s="1">
        <v>10</v>
      </c>
      <c r="E400" s="1">
        <v>467</v>
      </c>
      <c r="F400" s="3">
        <v>49</v>
      </c>
      <c r="G400" s="1">
        <v>10</v>
      </c>
      <c r="H400" s="3"/>
    </row>
    <row r="401" spans="1:8" x14ac:dyDescent="0.25">
      <c r="A401" s="1">
        <v>468</v>
      </c>
      <c r="B401" s="1" t="s">
        <v>813</v>
      </c>
      <c r="C401" s="1">
        <v>140310007</v>
      </c>
      <c r="D401" s="1">
        <v>1800</v>
      </c>
      <c r="E401" s="1">
        <v>468</v>
      </c>
      <c r="F401" s="3">
        <v>43</v>
      </c>
      <c r="G401" s="1">
        <v>1800</v>
      </c>
      <c r="H401" s="3"/>
    </row>
    <row r="402" spans="1:8" x14ac:dyDescent="0.25">
      <c r="A402" s="1">
        <v>469</v>
      </c>
      <c r="B402" s="1" t="s">
        <v>414</v>
      </c>
      <c r="C402" s="1">
        <v>140010117</v>
      </c>
      <c r="D402" s="1">
        <v>1500</v>
      </c>
      <c r="E402" s="1">
        <v>469</v>
      </c>
      <c r="F402" s="3">
        <v>48</v>
      </c>
      <c r="G402" s="1">
        <v>1500</v>
      </c>
      <c r="H402" s="3"/>
    </row>
    <row r="403" spans="1:8" x14ac:dyDescent="0.25">
      <c r="A403" s="1">
        <v>470</v>
      </c>
      <c r="B403" s="1" t="s">
        <v>414</v>
      </c>
      <c r="C403" s="1">
        <v>140310007</v>
      </c>
      <c r="D403" s="1">
        <v>1200</v>
      </c>
      <c r="E403" s="1">
        <v>470</v>
      </c>
      <c r="F403" s="3">
        <v>43</v>
      </c>
      <c r="G403" s="1">
        <v>1200</v>
      </c>
      <c r="H403" s="3"/>
    </row>
    <row r="404" spans="1:8" x14ac:dyDescent="0.25">
      <c r="A404" s="1">
        <v>471</v>
      </c>
      <c r="B404" s="1" t="s">
        <v>414</v>
      </c>
      <c r="C404" s="1">
        <v>140310083</v>
      </c>
      <c r="D404" s="1">
        <v>100</v>
      </c>
      <c r="E404" s="1">
        <v>471</v>
      </c>
      <c r="F404" s="3">
        <v>31</v>
      </c>
      <c r="G404" s="1">
        <v>100</v>
      </c>
      <c r="H404" s="3"/>
    </row>
    <row r="405" spans="1:8" x14ac:dyDescent="0.25">
      <c r="A405" s="1">
        <v>472</v>
      </c>
      <c r="B405" s="1" t="s">
        <v>413</v>
      </c>
      <c r="C405" s="1">
        <v>140010117</v>
      </c>
      <c r="D405" s="1">
        <v>75</v>
      </c>
      <c r="E405" s="1">
        <v>472</v>
      </c>
      <c r="F405" s="3">
        <v>48</v>
      </c>
      <c r="G405" s="1">
        <v>75</v>
      </c>
      <c r="H405" s="3"/>
    </row>
    <row r="406" spans="1:8" x14ac:dyDescent="0.25">
      <c r="A406" s="1">
        <v>473</v>
      </c>
      <c r="B406" s="1" t="s">
        <v>413</v>
      </c>
      <c r="C406" s="1">
        <v>140010230</v>
      </c>
      <c r="D406" s="1">
        <v>500</v>
      </c>
      <c r="E406" s="1">
        <v>473</v>
      </c>
      <c r="F406" s="3">
        <v>49</v>
      </c>
      <c r="G406" s="1">
        <v>500</v>
      </c>
      <c r="H406" s="3"/>
    </row>
    <row r="407" spans="1:8" x14ac:dyDescent="0.25">
      <c r="A407" s="1">
        <v>474</v>
      </c>
      <c r="B407" s="1" t="s">
        <v>413</v>
      </c>
      <c r="C407" s="1">
        <v>140310007</v>
      </c>
      <c r="D407" s="1">
        <v>1100</v>
      </c>
      <c r="E407" s="1">
        <v>474</v>
      </c>
      <c r="F407" s="3">
        <v>43</v>
      </c>
      <c r="G407" s="1">
        <v>1100</v>
      </c>
      <c r="H407" s="3"/>
    </row>
    <row r="408" spans="1:8" x14ac:dyDescent="0.25">
      <c r="A408" s="1">
        <v>475</v>
      </c>
      <c r="B408" s="1" t="s">
        <v>413</v>
      </c>
      <c r="C408" s="1">
        <v>140310071</v>
      </c>
      <c r="D408" s="1">
        <v>200</v>
      </c>
      <c r="E408" s="1">
        <v>475</v>
      </c>
      <c r="F408" s="3">
        <v>30</v>
      </c>
      <c r="G408" s="1">
        <v>200</v>
      </c>
      <c r="H408" s="3"/>
    </row>
    <row r="409" spans="1:8" x14ac:dyDescent="0.25">
      <c r="A409" s="1">
        <v>476</v>
      </c>
      <c r="B409" s="1" t="s">
        <v>617</v>
      </c>
      <c r="C409" s="1">
        <v>140010117</v>
      </c>
      <c r="D409" s="1">
        <v>375</v>
      </c>
      <c r="E409" s="1">
        <v>476</v>
      </c>
      <c r="F409" s="3">
        <v>48</v>
      </c>
      <c r="G409" s="1">
        <v>375</v>
      </c>
      <c r="H409" s="3"/>
    </row>
    <row r="410" spans="1:8" x14ac:dyDescent="0.25">
      <c r="A410" s="1">
        <v>477</v>
      </c>
      <c r="B410" s="1" t="s">
        <v>617</v>
      </c>
      <c r="C410" s="1">
        <v>140010230</v>
      </c>
      <c r="D410" s="1">
        <v>500</v>
      </c>
      <c r="E410" s="1">
        <v>477</v>
      </c>
      <c r="F410" s="3">
        <v>49</v>
      </c>
      <c r="G410" s="1">
        <v>500</v>
      </c>
      <c r="H410" s="3"/>
    </row>
    <row r="411" spans="1:8" x14ac:dyDescent="0.25">
      <c r="A411" s="1">
        <v>478</v>
      </c>
      <c r="B411" s="1" t="s">
        <v>617</v>
      </c>
      <c r="C411" s="1">
        <v>140310007</v>
      </c>
      <c r="D411" s="1">
        <v>200</v>
      </c>
      <c r="E411" s="1">
        <v>478</v>
      </c>
      <c r="F411" s="3">
        <v>43</v>
      </c>
      <c r="G411" s="1">
        <v>200</v>
      </c>
      <c r="H411" s="3"/>
    </row>
    <row r="412" spans="1:8" x14ac:dyDescent="0.25">
      <c r="A412" s="1">
        <v>479</v>
      </c>
      <c r="B412" s="1" t="s">
        <v>617</v>
      </c>
      <c r="C412" s="1">
        <v>140450047</v>
      </c>
      <c r="D412" s="1">
        <v>1500</v>
      </c>
      <c r="E412" s="1">
        <v>479</v>
      </c>
      <c r="F412" s="3">
        <v>45</v>
      </c>
      <c r="G412" s="1">
        <v>1500</v>
      </c>
      <c r="H412" s="3"/>
    </row>
    <row r="413" spans="1:8" x14ac:dyDescent="0.25">
      <c r="A413" s="1">
        <v>480</v>
      </c>
      <c r="B413" s="1" t="s">
        <v>555</v>
      </c>
      <c r="C413" s="1">
        <v>140010117</v>
      </c>
      <c r="D413" s="1">
        <v>225</v>
      </c>
      <c r="E413" s="1">
        <v>480</v>
      </c>
      <c r="F413" s="3">
        <v>48</v>
      </c>
      <c r="G413" s="1">
        <v>225</v>
      </c>
      <c r="H413" s="3"/>
    </row>
    <row r="414" spans="1:8" x14ac:dyDescent="0.25">
      <c r="A414" s="1">
        <v>481</v>
      </c>
      <c r="B414" s="1" t="s">
        <v>555</v>
      </c>
      <c r="C414" s="1">
        <v>140010230</v>
      </c>
      <c r="D414" s="1">
        <v>1000</v>
      </c>
      <c r="E414" s="1">
        <v>481</v>
      </c>
      <c r="F414" s="3">
        <v>49</v>
      </c>
      <c r="G414" s="1">
        <v>1000</v>
      </c>
      <c r="H414" s="3"/>
    </row>
    <row r="415" spans="1:8" x14ac:dyDescent="0.25">
      <c r="A415" s="1">
        <v>482</v>
      </c>
      <c r="B415" s="1" t="s">
        <v>555</v>
      </c>
      <c r="C415" s="1">
        <v>140010255</v>
      </c>
      <c r="D415" s="1">
        <v>900</v>
      </c>
      <c r="E415" s="1">
        <v>482</v>
      </c>
      <c r="F415" s="3">
        <v>50</v>
      </c>
      <c r="G415" s="1">
        <v>900</v>
      </c>
      <c r="H415" s="3"/>
    </row>
    <row r="416" spans="1:8" x14ac:dyDescent="0.25">
      <c r="A416" s="1">
        <v>483</v>
      </c>
      <c r="B416" s="1" t="s">
        <v>555</v>
      </c>
      <c r="C416" s="1">
        <v>140310096</v>
      </c>
      <c r="D416" s="1">
        <v>300</v>
      </c>
      <c r="E416" s="1">
        <v>483</v>
      </c>
      <c r="F416" s="3">
        <v>52</v>
      </c>
      <c r="G416" s="1">
        <v>300</v>
      </c>
      <c r="H416" s="3"/>
    </row>
    <row r="417" spans="1:8" x14ac:dyDescent="0.25">
      <c r="A417" s="1">
        <v>484</v>
      </c>
      <c r="B417" s="1" t="s">
        <v>555</v>
      </c>
      <c r="C417" s="1">
        <v>140450047</v>
      </c>
      <c r="D417" s="1">
        <v>200</v>
      </c>
      <c r="E417" s="1">
        <v>484</v>
      </c>
      <c r="F417" s="3">
        <v>45</v>
      </c>
      <c r="G417" s="1">
        <v>200</v>
      </c>
      <c r="H417" s="3"/>
    </row>
    <row r="418" spans="1:8" x14ac:dyDescent="0.25">
      <c r="A418" s="1">
        <v>485</v>
      </c>
      <c r="B418" s="1" t="s">
        <v>561</v>
      </c>
      <c r="C418" s="1">
        <v>140010230</v>
      </c>
      <c r="D418" s="1">
        <v>950</v>
      </c>
      <c r="E418" s="1">
        <v>485</v>
      </c>
      <c r="F418" s="3">
        <v>49</v>
      </c>
      <c r="G418" s="1">
        <v>950</v>
      </c>
      <c r="H418" s="3"/>
    </row>
    <row r="419" spans="1:8" x14ac:dyDescent="0.25">
      <c r="A419" s="1">
        <v>486</v>
      </c>
      <c r="B419" s="1" t="s">
        <v>561</v>
      </c>
      <c r="C419" s="1">
        <v>140010255</v>
      </c>
      <c r="D419" s="1">
        <v>675</v>
      </c>
      <c r="E419" s="1">
        <v>486</v>
      </c>
      <c r="F419" s="3">
        <v>50</v>
      </c>
      <c r="G419" s="1">
        <v>675</v>
      </c>
      <c r="H419" s="3"/>
    </row>
    <row r="420" spans="1:8" x14ac:dyDescent="0.25">
      <c r="A420" s="1">
        <v>487</v>
      </c>
      <c r="B420" s="1" t="s">
        <v>561</v>
      </c>
      <c r="C420" s="1">
        <v>140310007</v>
      </c>
      <c r="D420" s="1">
        <v>1700</v>
      </c>
      <c r="E420" s="1">
        <v>487</v>
      </c>
      <c r="F420" s="3">
        <v>43</v>
      </c>
      <c r="G420" s="1">
        <v>1700</v>
      </c>
      <c r="H420" s="3"/>
    </row>
    <row r="421" spans="1:8" x14ac:dyDescent="0.25">
      <c r="A421" s="1">
        <v>488</v>
      </c>
      <c r="B421" s="1" t="s">
        <v>561</v>
      </c>
      <c r="C421" s="1">
        <v>140310031</v>
      </c>
      <c r="D421" s="1">
        <v>50</v>
      </c>
      <c r="E421" s="1">
        <v>488</v>
      </c>
      <c r="F421" s="3">
        <v>44</v>
      </c>
      <c r="G421" s="1">
        <v>50</v>
      </c>
      <c r="H421" s="3"/>
    </row>
    <row r="422" spans="1:8" x14ac:dyDescent="0.25">
      <c r="A422" s="1">
        <v>489</v>
      </c>
      <c r="B422" s="1" t="s">
        <v>563</v>
      </c>
      <c r="C422" s="1">
        <v>140010117</v>
      </c>
      <c r="D422" s="1">
        <v>1500</v>
      </c>
      <c r="E422" s="1">
        <v>489</v>
      </c>
      <c r="F422" s="3">
        <v>48</v>
      </c>
      <c r="G422" s="1">
        <v>1500</v>
      </c>
      <c r="H422" s="3"/>
    </row>
    <row r="423" spans="1:8" x14ac:dyDescent="0.25">
      <c r="A423" s="1">
        <v>490</v>
      </c>
      <c r="B423" s="1" t="s">
        <v>563</v>
      </c>
      <c r="C423" s="1">
        <v>140010230</v>
      </c>
      <c r="D423" s="1">
        <v>200</v>
      </c>
      <c r="E423" s="1">
        <v>490</v>
      </c>
      <c r="F423" s="3">
        <v>49</v>
      </c>
      <c r="G423" s="1">
        <v>200</v>
      </c>
      <c r="H423" s="3"/>
    </row>
    <row r="424" spans="1:8" x14ac:dyDescent="0.25">
      <c r="A424" s="1">
        <v>491</v>
      </c>
      <c r="B424" s="1" t="s">
        <v>563</v>
      </c>
      <c r="C424" s="1">
        <v>140030039</v>
      </c>
      <c r="D424" s="1">
        <v>800</v>
      </c>
      <c r="E424" s="1">
        <v>491</v>
      </c>
      <c r="F424" s="3">
        <v>51</v>
      </c>
      <c r="G424" s="1">
        <v>800</v>
      </c>
      <c r="H424" s="3"/>
    </row>
    <row r="425" spans="1:8" x14ac:dyDescent="0.25">
      <c r="A425" s="1">
        <v>492</v>
      </c>
      <c r="B425" s="1" t="s">
        <v>563</v>
      </c>
      <c r="C425" s="1">
        <v>140310007</v>
      </c>
      <c r="D425" s="1">
        <v>900</v>
      </c>
      <c r="E425" s="1">
        <v>492</v>
      </c>
      <c r="F425" s="3">
        <v>43</v>
      </c>
      <c r="G425" s="1">
        <v>900</v>
      </c>
      <c r="H425" s="3"/>
    </row>
    <row r="426" spans="1:8" x14ac:dyDescent="0.25">
      <c r="A426" s="1">
        <v>493</v>
      </c>
      <c r="B426" s="1" t="s">
        <v>556</v>
      </c>
      <c r="C426" s="1">
        <v>140010230</v>
      </c>
      <c r="D426" s="1">
        <v>300</v>
      </c>
      <c r="E426" s="1">
        <v>493</v>
      </c>
      <c r="F426" s="3">
        <v>49</v>
      </c>
      <c r="G426" s="1">
        <v>300</v>
      </c>
      <c r="H426" s="3"/>
    </row>
    <row r="427" spans="1:8" x14ac:dyDescent="0.25">
      <c r="A427" s="1">
        <v>494</v>
      </c>
      <c r="B427" s="1" t="s">
        <v>556</v>
      </c>
      <c r="C427" s="1">
        <v>140030039</v>
      </c>
      <c r="D427" s="1">
        <v>600</v>
      </c>
      <c r="E427" s="1">
        <v>494</v>
      </c>
      <c r="F427" s="3">
        <v>51</v>
      </c>
      <c r="G427" s="1">
        <v>600</v>
      </c>
      <c r="H427" s="3"/>
    </row>
    <row r="428" spans="1:8" x14ac:dyDescent="0.25">
      <c r="A428" s="1">
        <v>495</v>
      </c>
      <c r="B428" s="1" t="s">
        <v>556</v>
      </c>
      <c r="C428" s="1">
        <v>140310007</v>
      </c>
      <c r="D428" s="1">
        <v>1500</v>
      </c>
      <c r="E428" s="1">
        <v>495</v>
      </c>
      <c r="F428" s="3">
        <v>43</v>
      </c>
      <c r="G428" s="1">
        <v>1500</v>
      </c>
      <c r="H428" s="3"/>
    </row>
    <row r="429" spans="1:8" x14ac:dyDescent="0.25">
      <c r="A429" s="1">
        <v>496</v>
      </c>
      <c r="B429" s="1" t="s">
        <v>556</v>
      </c>
      <c r="C429" s="1">
        <v>140310096</v>
      </c>
      <c r="D429" s="1">
        <v>1500</v>
      </c>
      <c r="E429" s="1">
        <v>496</v>
      </c>
      <c r="F429" s="3">
        <v>52</v>
      </c>
      <c r="G429" s="1">
        <v>1500</v>
      </c>
      <c r="H429" s="3"/>
    </row>
    <row r="430" spans="1:8" x14ac:dyDescent="0.25">
      <c r="A430" s="1">
        <v>497</v>
      </c>
      <c r="B430" s="1" t="s">
        <v>556</v>
      </c>
      <c r="C430" s="1">
        <v>140450047</v>
      </c>
      <c r="D430" s="1">
        <v>135</v>
      </c>
      <c r="E430" s="1">
        <v>497</v>
      </c>
      <c r="F430" s="3">
        <v>45</v>
      </c>
      <c r="G430" s="1">
        <v>135</v>
      </c>
      <c r="H430" s="3"/>
    </row>
  </sheetData>
  <phoneticPr fontId="19" type="noConversion"/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CF138-D197-44CF-9956-D2FDDBA522B4}">
  <sheetPr codeName="Sheet24"/>
  <dimension ref="A1:O294"/>
  <sheetViews>
    <sheetView tabSelected="1" topLeftCell="A31" workbookViewId="0">
      <selection activeCell="A62" sqref="A62:XFD62"/>
    </sheetView>
  </sheetViews>
  <sheetFormatPr defaultColWidth="15.7109375" defaultRowHeight="15" x14ac:dyDescent="0.25"/>
  <cols>
    <col min="1" max="11" width="15.7109375" style="1"/>
    <col min="12" max="12" width="19.85546875" style="1" bestFit="1" customWidth="1"/>
    <col min="13" max="16384" width="15.7109375" style="1"/>
  </cols>
  <sheetData>
    <row r="1" spans="1:13" x14ac:dyDescent="0.25">
      <c r="A1" s="1" t="s">
        <v>0</v>
      </c>
      <c r="B1" s="1" t="s">
        <v>571</v>
      </c>
      <c r="C1" s="1" t="s">
        <v>366</v>
      </c>
      <c r="D1" s="1" t="s">
        <v>389</v>
      </c>
      <c r="E1" s="1" t="s">
        <v>815</v>
      </c>
      <c r="F1" s="1" t="s">
        <v>816</v>
      </c>
      <c r="G1" s="1" t="s">
        <v>817</v>
      </c>
      <c r="H1" s="1" t="s">
        <v>818</v>
      </c>
      <c r="I1" s="1" t="s">
        <v>363</v>
      </c>
      <c r="J1" s="1" t="s">
        <v>364</v>
      </c>
      <c r="K1" s="1" t="s">
        <v>814</v>
      </c>
      <c r="L1" s="1" t="s">
        <v>819</v>
      </c>
      <c r="M1" s="1" t="s">
        <v>505</v>
      </c>
    </row>
    <row r="2" spans="1:13" x14ac:dyDescent="0.25">
      <c r="A2" s="1">
        <v>1</v>
      </c>
      <c r="B2" s="1" t="s">
        <v>796</v>
      </c>
      <c r="C2" s="1">
        <v>140550019</v>
      </c>
      <c r="D2" s="1">
        <v>1400</v>
      </c>
      <c r="E2" s="1">
        <v>1000</v>
      </c>
      <c r="F2" s="1">
        <v>1400</v>
      </c>
      <c r="H2" s="1" t="s">
        <v>84</v>
      </c>
      <c r="I2" s="1" t="str" cm="1">
        <f t="array" ref="I2">LEFT(E2, MATCH(FALSE, ISNUMBER(MID(E2, ROW($1:$100), 1)*1), 0)-1)</f>
        <v>1000</v>
      </c>
      <c r="J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2" s="1" t="str">
        <f>IF(VALUE(Table15678910111216182021222329[[#This Row],[Column5]])&gt;7,"1403/"&amp;J2,"1404/"&amp;J2)</f>
        <v>1403/</v>
      </c>
      <c r="L2" s="3" t="str">
        <f>K2&amp;"-"&amp;Table15678910111216182021222329[[#This Row],[product_id]]</f>
        <v>1403/-140550019</v>
      </c>
      <c r="M2" s="3" t="e">
        <f>_xlfn.XLOOKUP(Table15678910111216182021222329[[#This Row],[order]],Table156789101112[idd],Table156789101112[id])</f>
        <v>#N/A</v>
      </c>
    </row>
    <row r="3" spans="1:13" x14ac:dyDescent="0.25">
      <c r="A3" s="1">
        <v>2</v>
      </c>
      <c r="B3" s="1" t="s">
        <v>797</v>
      </c>
      <c r="C3" s="1">
        <v>140550019</v>
      </c>
      <c r="D3" s="1">
        <v>200</v>
      </c>
      <c r="E3" s="1">
        <v>1000</v>
      </c>
      <c r="F3" s="1">
        <v>200</v>
      </c>
      <c r="H3" s="1" t="s">
        <v>84</v>
      </c>
      <c r="I3" s="1" t="str" cm="1">
        <f t="array" ref="I3">LEFT(E3, MATCH(FALSE, ISNUMBER(MID(E3, ROW($1:$100), 1)*1), 0)-1)</f>
        <v>1000</v>
      </c>
      <c r="J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3" s="1" t="str">
        <f>IF(VALUE(Table15678910111216182021222329[[#This Row],[Column5]])&gt;7,"1403/"&amp;J3,"1404/"&amp;J3)</f>
        <v>1403/</v>
      </c>
      <c r="L3" s="3" t="str">
        <f>K3&amp;"-"&amp;Table15678910111216182021222329[[#This Row],[product_id]]</f>
        <v>1403/-140550019</v>
      </c>
      <c r="M3" s="3" t="e">
        <f>_xlfn.XLOOKUP(Table15678910111216182021222329[[#This Row],[order]],Table156789101112[idd],Table156789101112[id])</f>
        <v>#N/A</v>
      </c>
    </row>
    <row r="4" spans="1:13" x14ac:dyDescent="0.25">
      <c r="A4" s="1">
        <v>3</v>
      </c>
      <c r="B4" s="1" t="s">
        <v>798</v>
      </c>
      <c r="C4" s="1">
        <v>140550019</v>
      </c>
      <c r="D4" s="1">
        <v>400</v>
      </c>
      <c r="E4" s="1">
        <v>1000</v>
      </c>
      <c r="F4" s="1">
        <v>400</v>
      </c>
      <c r="H4" s="1" t="s">
        <v>84</v>
      </c>
      <c r="I4" s="1" t="str" cm="1">
        <f t="array" ref="I4">LEFT(E4, MATCH(FALSE, ISNUMBER(MID(E4, ROW($1:$100), 1)*1), 0)-1)</f>
        <v>1000</v>
      </c>
      <c r="J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4" s="1" t="str">
        <f>IF(VALUE(Table15678910111216182021222329[[#This Row],[Column5]])&gt;7,"1403/"&amp;J4,"1404/"&amp;J4)</f>
        <v>1403/</v>
      </c>
      <c r="L4" s="3" t="str">
        <f>K4&amp;"-"&amp;Table15678910111216182021222329[[#This Row],[product_id]]</f>
        <v>1403/-140550019</v>
      </c>
      <c r="M4" s="3" t="e">
        <f>_xlfn.XLOOKUP(Table15678910111216182021222329[[#This Row],[order]],Table156789101112[idd],Table156789101112[id])</f>
        <v>#N/A</v>
      </c>
    </row>
    <row r="5" spans="1:13" x14ac:dyDescent="0.25">
      <c r="A5" s="1">
        <v>10</v>
      </c>
      <c r="B5" s="1" t="s">
        <v>576</v>
      </c>
      <c r="C5" s="1">
        <v>140010117</v>
      </c>
      <c r="D5" s="1">
        <v>75</v>
      </c>
      <c r="E5" s="1">
        <v>12</v>
      </c>
      <c r="F5" s="1">
        <v>75</v>
      </c>
      <c r="I5" s="1" t="str" cm="1">
        <f t="array" ref="I5">LEFT(E5, MATCH(FALSE, ISNUMBER(MID(E5, ROW($1:$100), 1)*1), 0)-1)</f>
        <v>12</v>
      </c>
      <c r="J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" s="1" t="str">
        <f>IF(VALUE(Table15678910111216182021222329[[#This Row],[Column5]])&gt;7,"1403/"&amp;J5,"1404/"&amp;J5)</f>
        <v>1403/12</v>
      </c>
      <c r="L5" s="3" t="str">
        <f>K5&amp;"-"&amp;Table15678910111216182021222329[[#This Row],[product_id]]</f>
        <v>1403/12-140010117</v>
      </c>
      <c r="M5" s="3" t="e">
        <f>_xlfn.XLOOKUP(Table15678910111216182021222329[[#This Row],[order]],Table156789101112[idd],Table156789101112[id])</f>
        <v>#N/A</v>
      </c>
    </row>
    <row r="6" spans="1:13" x14ac:dyDescent="0.25">
      <c r="A6" s="1">
        <v>11</v>
      </c>
      <c r="B6" s="1" t="s">
        <v>576</v>
      </c>
      <c r="C6" s="1">
        <v>140010230</v>
      </c>
      <c r="D6" s="1">
        <v>50</v>
      </c>
      <c r="E6" s="1">
        <v>12</v>
      </c>
      <c r="F6" s="1">
        <v>50</v>
      </c>
      <c r="I6" s="1" t="str" cm="1">
        <f t="array" ref="I6">LEFT(E6, MATCH(FALSE, ISNUMBER(MID(E6, ROW($1:$100), 1)*1), 0)-1)</f>
        <v>12</v>
      </c>
      <c r="J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6" s="1" t="str">
        <f>IF(VALUE(Table15678910111216182021222329[[#This Row],[Column5]])&gt;7,"1403/"&amp;J6,"1404/"&amp;J6)</f>
        <v>1403/12</v>
      </c>
      <c r="L6" s="3" t="str">
        <f>K6&amp;"-"&amp;Table15678910111216182021222329[[#This Row],[product_id]]</f>
        <v>1403/12-140010230</v>
      </c>
      <c r="M6" s="3" t="e">
        <f>_xlfn.XLOOKUP(Table15678910111216182021222329[[#This Row],[order]],Table156789101112[idd],Table156789101112[id])</f>
        <v>#N/A</v>
      </c>
    </row>
    <row r="7" spans="1:13" x14ac:dyDescent="0.25">
      <c r="A7" s="1">
        <v>12</v>
      </c>
      <c r="B7" s="1" t="s">
        <v>576</v>
      </c>
      <c r="C7" s="1">
        <v>140020181</v>
      </c>
      <c r="D7" s="1">
        <v>50</v>
      </c>
      <c r="E7" s="1">
        <v>12</v>
      </c>
      <c r="F7" s="1">
        <v>50</v>
      </c>
      <c r="I7" s="1" t="str" cm="1">
        <f t="array" ref="I7">LEFT(E7, MATCH(FALSE, ISNUMBER(MID(E7, ROW($1:$100), 1)*1), 0)-1)</f>
        <v>12</v>
      </c>
      <c r="J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7" s="1" t="str">
        <f>IF(VALUE(Table15678910111216182021222329[[#This Row],[Column5]])&gt;7,"1403/"&amp;J7,"1404/"&amp;J7)</f>
        <v>1403/12</v>
      </c>
      <c r="L7" s="3" t="str">
        <f>K7&amp;"-"&amp;Table15678910111216182021222329[[#This Row],[product_id]]</f>
        <v>1403/12-140020181</v>
      </c>
      <c r="M7" s="3" t="e">
        <f>_xlfn.XLOOKUP(Table15678910111216182021222329[[#This Row],[order]],Table156789101112[idd],Table156789101112[id])</f>
        <v>#N/A</v>
      </c>
    </row>
    <row r="8" spans="1:13" x14ac:dyDescent="0.25">
      <c r="A8" s="1">
        <v>13</v>
      </c>
      <c r="B8" s="1" t="s">
        <v>576</v>
      </c>
      <c r="C8" s="1">
        <v>140090143</v>
      </c>
      <c r="D8" s="1">
        <v>1350</v>
      </c>
      <c r="E8" s="1">
        <v>12</v>
      </c>
      <c r="F8" s="1">
        <v>1350</v>
      </c>
      <c r="I8" s="1" t="str" cm="1">
        <f t="array" ref="I8">LEFT(E8, MATCH(FALSE, ISNUMBER(MID(E8, ROW($1:$100), 1)*1), 0)-1)</f>
        <v>12</v>
      </c>
      <c r="J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8" s="1" t="str">
        <f>IF(VALUE(Table15678910111216182021222329[[#This Row],[Column5]])&gt;7,"1403/"&amp;J8,"1404/"&amp;J8)</f>
        <v>1403/12</v>
      </c>
      <c r="L8" s="3" t="str">
        <f>K8&amp;"-"&amp;Table15678910111216182021222329[[#This Row],[product_id]]</f>
        <v>1403/12-140090143</v>
      </c>
      <c r="M8" s="3" t="e">
        <f>_xlfn.XLOOKUP(Table15678910111216182021222329[[#This Row],[order]],Table156789101112[idd],Table156789101112[id])</f>
        <v>#N/A</v>
      </c>
    </row>
    <row r="9" spans="1:13" x14ac:dyDescent="0.25">
      <c r="A9" s="1">
        <v>14</v>
      </c>
      <c r="B9" s="1" t="s">
        <v>576</v>
      </c>
      <c r="C9" s="1">
        <v>140310017</v>
      </c>
      <c r="D9" s="1">
        <v>1850</v>
      </c>
      <c r="E9" s="1">
        <v>12</v>
      </c>
      <c r="F9" s="1">
        <v>1850</v>
      </c>
      <c r="I9" s="1" t="str" cm="1">
        <f t="array" ref="I9">LEFT(E9, MATCH(FALSE, ISNUMBER(MID(E9, ROW($1:$100), 1)*1), 0)-1)</f>
        <v>12</v>
      </c>
      <c r="J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9" s="1" t="str">
        <f>IF(VALUE(Table15678910111216182021222329[[#This Row],[Column5]])&gt;7,"1403/"&amp;J9,"1404/"&amp;J9)</f>
        <v>1403/12</v>
      </c>
      <c r="L9" s="3" t="str">
        <f>K9&amp;"-"&amp;Table15678910111216182021222329[[#This Row],[product_id]]</f>
        <v>1403/12-140310017</v>
      </c>
      <c r="M9" s="3" t="e">
        <f>_xlfn.XLOOKUP(Table15678910111216182021222329[[#This Row],[order]],Table156789101112[idd],Table156789101112[id])</f>
        <v>#N/A</v>
      </c>
    </row>
    <row r="10" spans="1:13" x14ac:dyDescent="0.25">
      <c r="A10" s="1">
        <v>15</v>
      </c>
      <c r="B10" s="1" t="s">
        <v>576</v>
      </c>
      <c r="C10" s="1">
        <v>140220012</v>
      </c>
      <c r="D10" s="1">
        <v>3900</v>
      </c>
      <c r="E10" s="1">
        <v>12</v>
      </c>
      <c r="F10" s="1">
        <v>3900</v>
      </c>
      <c r="I10" s="1" t="str" cm="1">
        <f t="array" ref="I10">LEFT(E10, MATCH(FALSE, ISNUMBER(MID(E10, ROW($1:$100), 1)*1), 0)-1)</f>
        <v>12</v>
      </c>
      <c r="J1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0" s="1" t="str">
        <f>IF(VALUE(Table15678910111216182021222329[[#This Row],[Column5]])&gt;7,"1403/"&amp;J10,"1404/"&amp;J10)</f>
        <v>1403/12</v>
      </c>
      <c r="L10" s="3" t="str">
        <f>K10&amp;"-"&amp;Table15678910111216182021222329[[#This Row],[product_id]]</f>
        <v>1403/12-140220012</v>
      </c>
      <c r="M10" s="3" t="e">
        <f>_xlfn.XLOOKUP(Table15678910111216182021222329[[#This Row],[order]],Table156789101112[idd],Table156789101112[id])</f>
        <v>#N/A</v>
      </c>
    </row>
    <row r="11" spans="1:13" x14ac:dyDescent="0.25">
      <c r="A11" s="1">
        <v>16</v>
      </c>
      <c r="B11" s="1" t="s">
        <v>577</v>
      </c>
      <c r="C11" s="1">
        <v>140030039</v>
      </c>
      <c r="D11" s="1">
        <v>200</v>
      </c>
      <c r="E11" s="1">
        <v>1</v>
      </c>
      <c r="F11" s="1">
        <v>200</v>
      </c>
      <c r="I11" s="1" t="str" cm="1">
        <f t="array" ref="I11">LEFT(E11, MATCH(FALSE, ISNUMBER(MID(E11, ROW($1:$100), 1)*1), 0)-1)</f>
        <v>1</v>
      </c>
      <c r="J1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1" s="1" t="str">
        <f>IF(VALUE(Table15678910111216182021222329[[#This Row],[Column5]])&gt;7,"1403/"&amp;J11,"1404/"&amp;J11)</f>
        <v>1404/01</v>
      </c>
      <c r="L11" s="3" t="str">
        <f>K11&amp;"-"&amp;Table15678910111216182021222329[[#This Row],[product_id]]</f>
        <v>1404/01-140030039</v>
      </c>
      <c r="M11" s="3" t="e">
        <f>_xlfn.XLOOKUP(Table15678910111216182021222329[[#This Row],[order]],Table156789101112[idd],Table156789101112[id])</f>
        <v>#N/A</v>
      </c>
    </row>
    <row r="12" spans="1:13" x14ac:dyDescent="0.25">
      <c r="A12" s="1">
        <v>17</v>
      </c>
      <c r="B12" s="1" t="s">
        <v>577</v>
      </c>
      <c r="C12" s="1">
        <v>140090143</v>
      </c>
      <c r="D12" s="1">
        <v>3000</v>
      </c>
      <c r="E12" s="1">
        <v>12</v>
      </c>
      <c r="F12" s="1">
        <v>3000</v>
      </c>
      <c r="I12" s="1" t="str" cm="1">
        <f t="array" ref="I12">LEFT(E12, MATCH(FALSE, ISNUMBER(MID(E12, ROW($1:$100), 1)*1), 0)-1)</f>
        <v>12</v>
      </c>
      <c r="J1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2" s="1" t="str">
        <f>IF(VALUE(Table15678910111216182021222329[[#This Row],[Column5]])&gt;7,"1403/"&amp;J12,"1404/"&amp;J12)</f>
        <v>1403/12</v>
      </c>
      <c r="L12" s="3" t="str">
        <f>K12&amp;"-"&amp;Table15678910111216182021222329[[#This Row],[product_id]]</f>
        <v>1403/12-140090143</v>
      </c>
      <c r="M12" s="3" t="e">
        <f>_xlfn.XLOOKUP(Table15678910111216182021222329[[#This Row],[order]],Table156789101112[idd],Table156789101112[id])</f>
        <v>#N/A</v>
      </c>
    </row>
    <row r="13" spans="1:13" x14ac:dyDescent="0.25">
      <c r="A13" s="1">
        <v>18</v>
      </c>
      <c r="B13" s="1" t="s">
        <v>577</v>
      </c>
      <c r="C13" s="1">
        <v>140310007</v>
      </c>
      <c r="D13" s="1">
        <v>92</v>
      </c>
      <c r="E13" s="1">
        <v>12</v>
      </c>
      <c r="F13" s="1">
        <v>92</v>
      </c>
      <c r="I13" s="1" t="str" cm="1">
        <f t="array" ref="I13">LEFT(E13, MATCH(FALSE, ISNUMBER(MID(E13, ROW($1:$100), 1)*1), 0)-1)</f>
        <v>12</v>
      </c>
      <c r="J13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3" s="1" t="str">
        <f>IF(VALUE(Table15678910111216182021222329[[#This Row],[Column5]])&gt;7,"1403/"&amp;J13,"1404/"&amp;J13)</f>
        <v>1403/12</v>
      </c>
      <c r="L13" s="3" t="str">
        <f>K13&amp;"-"&amp;Table15678910111216182021222329[[#This Row],[product_id]]</f>
        <v>1403/12-140310007</v>
      </c>
      <c r="M13" s="3" t="e">
        <f>_xlfn.XLOOKUP(Table15678910111216182021222329[[#This Row],[order]],Table156789101112[idd],Table156789101112[id])</f>
        <v>#N/A</v>
      </c>
    </row>
    <row r="14" spans="1:13" x14ac:dyDescent="0.25">
      <c r="A14" s="1">
        <v>19</v>
      </c>
      <c r="B14" s="1" t="s">
        <v>577</v>
      </c>
      <c r="C14" s="1">
        <v>140310017</v>
      </c>
      <c r="D14" s="1">
        <v>50</v>
      </c>
      <c r="E14" s="1">
        <v>12</v>
      </c>
      <c r="F14" s="1">
        <v>50</v>
      </c>
      <c r="I14" s="1" t="str" cm="1">
        <f t="array" ref="I14">LEFT(E14, MATCH(FALSE, ISNUMBER(MID(E14, ROW($1:$100), 1)*1), 0)-1)</f>
        <v>12</v>
      </c>
      <c r="J14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4" s="1" t="str">
        <f>IF(VALUE(Table15678910111216182021222329[[#This Row],[Column5]])&gt;7,"1403/"&amp;J14,"1404/"&amp;J14)</f>
        <v>1403/12</v>
      </c>
      <c r="L14" s="3" t="str">
        <f>K14&amp;"-"&amp;Table15678910111216182021222329[[#This Row],[product_id]]</f>
        <v>1403/12-140310017</v>
      </c>
      <c r="M14" s="3" t="e">
        <f>_xlfn.XLOOKUP(Table15678910111216182021222329[[#This Row],[order]],Table156789101112[idd],Table156789101112[id])</f>
        <v>#N/A</v>
      </c>
    </row>
    <row r="15" spans="1:13" x14ac:dyDescent="0.25">
      <c r="A15" s="1">
        <v>20</v>
      </c>
      <c r="B15" s="1" t="s">
        <v>577</v>
      </c>
      <c r="C15" s="1">
        <v>140310031</v>
      </c>
      <c r="D15" s="1">
        <v>36</v>
      </c>
      <c r="E15" s="1">
        <v>12</v>
      </c>
      <c r="F15" s="1">
        <v>36</v>
      </c>
      <c r="I15" s="1" t="str" cm="1">
        <f t="array" ref="I15">LEFT(E15, MATCH(FALSE, ISNUMBER(MID(E15, ROW($1:$100), 1)*1), 0)-1)</f>
        <v>12</v>
      </c>
      <c r="J1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5" s="1" t="str">
        <f>IF(VALUE(Table15678910111216182021222329[[#This Row],[Column5]])&gt;7,"1403/"&amp;J15,"1404/"&amp;J15)</f>
        <v>1403/12</v>
      </c>
      <c r="L15" s="3" t="str">
        <f>K15&amp;"-"&amp;Table15678910111216182021222329[[#This Row],[product_id]]</f>
        <v>1403/12-140310031</v>
      </c>
      <c r="M15" s="3" t="e">
        <f>_xlfn.XLOOKUP(Table15678910111216182021222329[[#This Row],[order]],Table156789101112[idd],Table156789101112[id])</f>
        <v>#N/A</v>
      </c>
    </row>
    <row r="16" spans="1:13" x14ac:dyDescent="0.25">
      <c r="A16" s="1">
        <v>21</v>
      </c>
      <c r="B16" s="1" t="s">
        <v>577</v>
      </c>
      <c r="C16" s="1">
        <v>140220012</v>
      </c>
      <c r="D16" s="1">
        <v>2100</v>
      </c>
      <c r="E16" s="1">
        <v>12</v>
      </c>
      <c r="F16" s="1">
        <v>2100</v>
      </c>
      <c r="I16" s="1" t="str" cm="1">
        <f t="array" ref="I16">LEFT(E16, MATCH(FALSE, ISNUMBER(MID(E16, ROW($1:$100), 1)*1), 0)-1)</f>
        <v>12</v>
      </c>
      <c r="J1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16" s="1" t="str">
        <f>IF(VALUE(Table15678910111216182021222329[[#This Row],[Column5]])&gt;7,"1403/"&amp;J16,"1404/"&amp;J16)</f>
        <v>1403/12</v>
      </c>
      <c r="L16" s="3" t="str">
        <f>K16&amp;"-"&amp;Table15678910111216182021222329[[#This Row],[product_id]]</f>
        <v>1403/12-140220012</v>
      </c>
      <c r="M16" s="3" t="e">
        <f>_xlfn.XLOOKUP(Table15678910111216182021222329[[#This Row],[order]],Table156789101112[idd],Table156789101112[id])</f>
        <v>#N/A</v>
      </c>
    </row>
    <row r="17" spans="1:13" x14ac:dyDescent="0.25">
      <c r="A17" s="1">
        <v>23</v>
      </c>
      <c r="B17" s="1" t="s">
        <v>577</v>
      </c>
      <c r="C17" s="1">
        <v>140550019</v>
      </c>
      <c r="D17" s="1">
        <v>34</v>
      </c>
      <c r="E17" s="1">
        <v>1000</v>
      </c>
      <c r="F17" s="1">
        <v>34</v>
      </c>
      <c r="I17" s="1" t="str" cm="1">
        <f t="array" ref="I17">LEFT(E17, MATCH(FALSE, ISNUMBER(MID(E17, ROW($1:$100), 1)*1), 0)-1)</f>
        <v>1000</v>
      </c>
      <c r="J1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17" s="1" t="str">
        <f>IF(VALUE(Table15678910111216182021222329[[#This Row],[Column5]])&gt;7,"1403/"&amp;J17,"1404/"&amp;J17)</f>
        <v>1403/</v>
      </c>
      <c r="L17" s="3" t="str">
        <f>K17&amp;"-"&amp;Table15678910111216182021222329[[#This Row],[product_id]]</f>
        <v>1403/-140550019</v>
      </c>
      <c r="M17" s="3" t="e">
        <f>_xlfn.XLOOKUP(Table15678910111216182021222329[[#This Row],[order]],Table156789101112[idd],Table156789101112[id])</f>
        <v>#N/A</v>
      </c>
    </row>
    <row r="18" spans="1:13" x14ac:dyDescent="0.25">
      <c r="A18" s="1">
        <v>24</v>
      </c>
      <c r="B18" s="1" t="s">
        <v>394</v>
      </c>
      <c r="C18" s="1">
        <v>140010117</v>
      </c>
      <c r="D18" s="1">
        <v>1275</v>
      </c>
      <c r="E18" s="1">
        <v>1</v>
      </c>
      <c r="F18" s="1">
        <v>1275</v>
      </c>
      <c r="I18" s="1" t="str" cm="1">
        <f t="array" ref="I18">LEFT(E18, MATCH(FALSE, ISNUMBER(MID(E18, ROW($1:$100), 1)*1), 0)-1)</f>
        <v>1</v>
      </c>
      <c r="J1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8" s="1" t="str">
        <f>IF(VALUE(Table15678910111216182021222329[[#This Row],[Column5]])&gt;7,"1403/"&amp;J18,"1404/"&amp;J18)</f>
        <v>1404/01</v>
      </c>
      <c r="L18" s="3" t="str">
        <f>K18&amp;"-"&amp;Table15678910111216182021222329[[#This Row],[product_id]]</f>
        <v>1404/01-140010117</v>
      </c>
      <c r="M18" s="3" t="e">
        <f>_xlfn.XLOOKUP(Table15678910111216182021222329[[#This Row],[order]],Table156789101112[idd],Table156789101112[id])</f>
        <v>#N/A</v>
      </c>
    </row>
    <row r="19" spans="1:13" x14ac:dyDescent="0.25">
      <c r="A19" s="1">
        <v>25</v>
      </c>
      <c r="B19" s="1" t="s">
        <v>394</v>
      </c>
      <c r="C19" s="1">
        <v>140010230</v>
      </c>
      <c r="D19" s="1">
        <v>300</v>
      </c>
      <c r="E19" s="1">
        <v>1</v>
      </c>
      <c r="F19" s="1">
        <v>300</v>
      </c>
      <c r="I19" s="1" t="str" cm="1">
        <f t="array" ref="I19">LEFT(E19, MATCH(FALSE, ISNUMBER(MID(E19, ROW($1:$100), 1)*1), 0)-1)</f>
        <v>1</v>
      </c>
      <c r="J1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19" s="1" t="str">
        <f>IF(VALUE(Table15678910111216182021222329[[#This Row],[Column5]])&gt;7,"1403/"&amp;J19,"1404/"&amp;J19)</f>
        <v>1404/01</v>
      </c>
      <c r="L19" s="3" t="str">
        <f>K19&amp;"-"&amp;Table15678910111216182021222329[[#This Row],[product_id]]</f>
        <v>1404/01-140010230</v>
      </c>
      <c r="M19" s="3" t="e">
        <f>_xlfn.XLOOKUP(Table15678910111216182021222329[[#This Row],[order]],Table156789101112[idd],Table156789101112[id])</f>
        <v>#N/A</v>
      </c>
    </row>
    <row r="20" spans="1:13" x14ac:dyDescent="0.25">
      <c r="A20" s="1">
        <v>26</v>
      </c>
      <c r="B20" s="1" t="s">
        <v>394</v>
      </c>
      <c r="C20" s="1">
        <v>140010255</v>
      </c>
      <c r="D20" s="1">
        <v>500</v>
      </c>
      <c r="E20" s="1">
        <v>1</v>
      </c>
      <c r="F20" s="1">
        <v>500</v>
      </c>
      <c r="I20" s="1" t="str" cm="1">
        <f t="array" ref="I20">LEFT(E20, MATCH(FALSE, ISNUMBER(MID(E20, ROW($1:$100), 1)*1), 0)-1)</f>
        <v>1</v>
      </c>
      <c r="J2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0" s="1" t="str">
        <f>IF(VALUE(Table15678910111216182021222329[[#This Row],[Column5]])&gt;7,"1403/"&amp;J20,"1404/"&amp;J20)</f>
        <v>1404/01</v>
      </c>
      <c r="L20" s="3" t="str">
        <f>K20&amp;"-"&amp;Table15678910111216182021222329[[#This Row],[product_id]]</f>
        <v>1404/01-140010255</v>
      </c>
      <c r="M20" s="3" t="e">
        <f>_xlfn.XLOOKUP(Table15678910111216182021222329[[#This Row],[order]],Table156789101112[idd],Table156789101112[id])</f>
        <v>#N/A</v>
      </c>
    </row>
    <row r="21" spans="1:13" x14ac:dyDescent="0.25">
      <c r="A21" s="1">
        <v>27</v>
      </c>
      <c r="B21" s="1" t="s">
        <v>394</v>
      </c>
      <c r="C21" s="1">
        <v>140090143</v>
      </c>
      <c r="D21" s="1">
        <v>1050</v>
      </c>
      <c r="E21" s="1">
        <v>12</v>
      </c>
      <c r="F21" s="1">
        <v>1050</v>
      </c>
      <c r="I21" s="1" t="str" cm="1">
        <f t="array" ref="I21">LEFT(E21, MATCH(FALSE, ISNUMBER(MID(E21, ROW($1:$100), 1)*1), 0)-1)</f>
        <v>12</v>
      </c>
      <c r="J2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1" s="1" t="str">
        <f>IF(VALUE(Table15678910111216182021222329[[#This Row],[Column5]])&gt;7,"1403/"&amp;J21,"1404/"&amp;J21)</f>
        <v>1403/12</v>
      </c>
      <c r="L21" s="3" t="str">
        <f>K21&amp;"-"&amp;Table15678910111216182021222329[[#This Row],[product_id]]</f>
        <v>1403/12-140090143</v>
      </c>
      <c r="M21" s="3" t="e">
        <f>_xlfn.XLOOKUP(Table15678910111216182021222329[[#This Row],[order]],Table156789101112[idd],Table156789101112[id])</f>
        <v>#N/A</v>
      </c>
    </row>
    <row r="22" spans="1:13" x14ac:dyDescent="0.25">
      <c r="A22" s="1">
        <v>28</v>
      </c>
      <c r="B22" s="1" t="s">
        <v>394</v>
      </c>
      <c r="C22" s="1">
        <v>140220012</v>
      </c>
      <c r="D22" s="1">
        <v>1650</v>
      </c>
      <c r="E22" s="1">
        <v>12</v>
      </c>
      <c r="F22" s="1">
        <v>1650</v>
      </c>
      <c r="I22" s="1" t="str" cm="1">
        <f t="array" ref="I22">LEFT(E22, MATCH(FALSE, ISNUMBER(MID(E22, ROW($1:$100), 1)*1), 0)-1)</f>
        <v>12</v>
      </c>
      <c r="J22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2" s="1" t="str">
        <f>IF(VALUE(Table15678910111216182021222329[[#This Row],[Column5]])&gt;7,"1403/"&amp;J22,"1404/"&amp;J22)</f>
        <v>1403/12</v>
      </c>
      <c r="L22" s="3" t="str">
        <f>K22&amp;"-"&amp;Table15678910111216182021222329[[#This Row],[product_id]]</f>
        <v>1403/12-140220012</v>
      </c>
      <c r="M22" s="3" t="e">
        <f>_xlfn.XLOOKUP(Table15678910111216182021222329[[#This Row],[order]],Table156789101112[idd],Table156789101112[id])</f>
        <v>#N/A</v>
      </c>
    </row>
    <row r="23" spans="1:13" x14ac:dyDescent="0.25">
      <c r="A23" s="1">
        <v>29</v>
      </c>
      <c r="B23" s="1" t="s">
        <v>805</v>
      </c>
      <c r="C23" s="1">
        <v>140010117</v>
      </c>
      <c r="D23" s="1">
        <v>2550</v>
      </c>
      <c r="E23" s="1">
        <v>1</v>
      </c>
      <c r="F23" s="1">
        <v>2550</v>
      </c>
      <c r="I23" s="1" t="str" cm="1">
        <f t="array" ref="I23">LEFT(E23, MATCH(FALSE, ISNUMBER(MID(E23, ROW($1:$100), 1)*1), 0)-1)</f>
        <v>1</v>
      </c>
      <c r="J2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3" s="1" t="str">
        <f>IF(VALUE(Table15678910111216182021222329[[#This Row],[Column5]])&gt;7,"1403/"&amp;J23,"1404/"&amp;J23)</f>
        <v>1404/01</v>
      </c>
      <c r="L23" s="3" t="str">
        <f>K23&amp;"-"&amp;Table15678910111216182021222329[[#This Row],[product_id]]</f>
        <v>1404/01-140010117</v>
      </c>
      <c r="M23" s="3" t="e">
        <f>_xlfn.XLOOKUP(Table15678910111216182021222329[[#This Row],[order]],Table156789101112[idd],Table156789101112[id])</f>
        <v>#N/A</v>
      </c>
    </row>
    <row r="24" spans="1:13" x14ac:dyDescent="0.25">
      <c r="A24" s="1">
        <v>30</v>
      </c>
      <c r="B24" s="1" t="s">
        <v>805</v>
      </c>
      <c r="C24" s="1">
        <v>140010230</v>
      </c>
      <c r="D24" s="1">
        <v>1150</v>
      </c>
      <c r="E24" s="1">
        <v>1</v>
      </c>
      <c r="F24" s="1">
        <v>1150</v>
      </c>
      <c r="I24" s="1" t="str" cm="1">
        <f t="array" ref="I24">LEFT(E24, MATCH(FALSE, ISNUMBER(MID(E24, ROW($1:$100), 1)*1), 0)-1)</f>
        <v>1</v>
      </c>
      <c r="J2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4" s="1" t="str">
        <f>IF(VALUE(Table15678910111216182021222329[[#This Row],[Column5]])&gt;7,"1403/"&amp;J24,"1404/"&amp;J24)</f>
        <v>1404/01</v>
      </c>
      <c r="L24" s="3" t="str">
        <f>K24&amp;"-"&amp;Table15678910111216182021222329[[#This Row],[product_id]]</f>
        <v>1404/01-140010230</v>
      </c>
      <c r="M24" s="3" t="e">
        <f>_xlfn.XLOOKUP(Table15678910111216182021222329[[#This Row],[order]],Table156789101112[idd],Table156789101112[id])</f>
        <v>#N/A</v>
      </c>
    </row>
    <row r="25" spans="1:13" x14ac:dyDescent="0.25">
      <c r="A25" s="1">
        <v>31</v>
      </c>
      <c r="B25" s="1" t="s">
        <v>805</v>
      </c>
      <c r="C25" s="1">
        <v>140030039</v>
      </c>
      <c r="D25" s="1">
        <v>200</v>
      </c>
      <c r="E25" s="1">
        <v>1</v>
      </c>
      <c r="F25" s="1">
        <v>200</v>
      </c>
      <c r="I25" s="1" t="str" cm="1">
        <f t="array" ref="I25">LEFT(E25, MATCH(FALSE, ISNUMBER(MID(E25, ROW($1:$100), 1)*1), 0)-1)</f>
        <v>1</v>
      </c>
      <c r="J2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5" s="1" t="str">
        <f>IF(VALUE(Table15678910111216182021222329[[#This Row],[Column5]])&gt;7,"1403/"&amp;J25,"1404/"&amp;J25)</f>
        <v>1404/01</v>
      </c>
      <c r="L25" s="3" t="str">
        <f>K25&amp;"-"&amp;Table15678910111216182021222329[[#This Row],[product_id]]</f>
        <v>1404/01-140030039</v>
      </c>
      <c r="M25" s="3" t="e">
        <f>_xlfn.XLOOKUP(Table15678910111216182021222329[[#This Row],[order]],Table156789101112[idd],Table156789101112[id])</f>
        <v>#N/A</v>
      </c>
    </row>
    <row r="26" spans="1:13" x14ac:dyDescent="0.25">
      <c r="A26" s="1">
        <v>33</v>
      </c>
      <c r="B26" s="1" t="s">
        <v>805</v>
      </c>
      <c r="C26" s="1">
        <v>140310016</v>
      </c>
      <c r="D26" s="1">
        <v>250</v>
      </c>
      <c r="E26" s="1">
        <v>12</v>
      </c>
      <c r="F26" s="1">
        <v>250</v>
      </c>
      <c r="I26" s="1" t="str" cm="1">
        <f t="array" ref="I26">LEFT(E26, MATCH(FALSE, ISNUMBER(MID(E26, ROW($1:$100), 1)*1), 0)-1)</f>
        <v>12</v>
      </c>
      <c r="J26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6" s="1" t="str">
        <f>IF(VALUE(Table15678910111216182021222329[[#This Row],[Column5]])&gt;7,"1403/"&amp;J26,"1404/"&amp;J26)</f>
        <v>1403/12</v>
      </c>
      <c r="L26" s="3" t="str">
        <f>K26&amp;"-"&amp;Table15678910111216182021222329[[#This Row],[product_id]]</f>
        <v>1403/12-140310016</v>
      </c>
      <c r="M26" s="3" t="e">
        <f>_xlfn.XLOOKUP(Table15678910111216182021222329[[#This Row],[order]],Table156789101112[idd],Table156789101112[id])</f>
        <v>#N/A</v>
      </c>
    </row>
    <row r="27" spans="1:13" x14ac:dyDescent="0.25">
      <c r="A27" s="1">
        <v>34</v>
      </c>
      <c r="B27" s="1" t="s">
        <v>805</v>
      </c>
      <c r="C27" s="1">
        <v>140220012</v>
      </c>
      <c r="D27" s="1">
        <v>400</v>
      </c>
      <c r="E27" s="1">
        <v>12</v>
      </c>
      <c r="F27" s="1">
        <v>400</v>
      </c>
      <c r="I27" s="1" t="str" cm="1">
        <f t="array" ref="I27">LEFT(E27, MATCH(FALSE, ISNUMBER(MID(E27, ROW($1:$100), 1)*1), 0)-1)</f>
        <v>12</v>
      </c>
      <c r="J27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27" s="1" t="str">
        <f>IF(VALUE(Table15678910111216182021222329[[#This Row],[Column5]])&gt;7,"1403/"&amp;J27,"1404/"&amp;J27)</f>
        <v>1403/12</v>
      </c>
      <c r="L27" s="3" t="str">
        <f>K27&amp;"-"&amp;Table15678910111216182021222329[[#This Row],[product_id]]</f>
        <v>1403/12-140220012</v>
      </c>
      <c r="M27" s="3" t="e">
        <f>_xlfn.XLOOKUP(Table15678910111216182021222329[[#This Row],[order]],Table156789101112[idd],Table156789101112[id])</f>
        <v>#N/A</v>
      </c>
    </row>
    <row r="28" spans="1:13" x14ac:dyDescent="0.25">
      <c r="A28" s="1">
        <v>35</v>
      </c>
      <c r="B28" s="1" t="s">
        <v>395</v>
      </c>
      <c r="C28" s="1">
        <v>140010117</v>
      </c>
      <c r="D28" s="1">
        <v>2325</v>
      </c>
      <c r="E28" s="1">
        <v>1</v>
      </c>
      <c r="F28" s="1">
        <v>2325</v>
      </c>
      <c r="I28" s="1" t="str" cm="1">
        <f t="array" ref="I28">LEFT(E28, MATCH(FALSE, ISNUMBER(MID(E28, ROW($1:$100), 1)*1), 0)-1)</f>
        <v>1</v>
      </c>
      <c r="J2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8" s="1" t="str">
        <f>IF(VALUE(Table15678910111216182021222329[[#This Row],[Column5]])&gt;7,"1403/"&amp;J28,"1404/"&amp;J28)</f>
        <v>1404/01</v>
      </c>
      <c r="L28" s="3" t="str">
        <f>K28&amp;"-"&amp;Table15678910111216182021222329[[#This Row],[product_id]]</f>
        <v>1404/01-140010117</v>
      </c>
      <c r="M28" s="3" t="e">
        <f>_xlfn.XLOOKUP(Table15678910111216182021222329[[#This Row],[order]],Table156789101112[idd],Table156789101112[id])</f>
        <v>#N/A</v>
      </c>
    </row>
    <row r="29" spans="1:13" x14ac:dyDescent="0.25">
      <c r="A29" s="1">
        <v>36</v>
      </c>
      <c r="B29" s="1" t="s">
        <v>395</v>
      </c>
      <c r="C29" s="1">
        <v>140010230</v>
      </c>
      <c r="D29" s="1">
        <v>1500</v>
      </c>
      <c r="E29" s="1">
        <v>1</v>
      </c>
      <c r="F29" s="1">
        <v>1500</v>
      </c>
      <c r="I29" s="1" t="str" cm="1">
        <f t="array" ref="I29">LEFT(E29, MATCH(FALSE, ISNUMBER(MID(E29, ROW($1:$100), 1)*1), 0)-1)</f>
        <v>1</v>
      </c>
      <c r="J2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29" s="1" t="str">
        <f>IF(VALUE(Table15678910111216182021222329[[#This Row],[Column5]])&gt;7,"1403/"&amp;J29,"1404/"&amp;J29)</f>
        <v>1404/01</v>
      </c>
      <c r="L29" s="3" t="str">
        <f>K29&amp;"-"&amp;Table15678910111216182021222329[[#This Row],[product_id]]</f>
        <v>1404/01-140010230</v>
      </c>
      <c r="M29" s="3" t="e">
        <f>_xlfn.XLOOKUP(Table15678910111216182021222329[[#This Row],[order]],Table156789101112[idd],Table156789101112[id])</f>
        <v>#N/A</v>
      </c>
    </row>
    <row r="30" spans="1:13" x14ac:dyDescent="0.25">
      <c r="A30" s="1">
        <v>37</v>
      </c>
      <c r="B30" s="1" t="s">
        <v>395</v>
      </c>
      <c r="C30" s="1">
        <v>140090143</v>
      </c>
      <c r="D30" s="1">
        <v>300</v>
      </c>
      <c r="E30" s="1">
        <v>12</v>
      </c>
      <c r="F30" s="1">
        <v>300</v>
      </c>
      <c r="I30" s="1" t="str" cm="1">
        <f t="array" ref="I30">LEFT(E30, MATCH(FALSE, ISNUMBER(MID(E30, ROW($1:$100), 1)*1), 0)-1)</f>
        <v>12</v>
      </c>
      <c r="J3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0" s="1" t="str">
        <f>IF(VALUE(Table15678910111216182021222329[[#This Row],[Column5]])&gt;7,"1403/"&amp;J30,"1404/"&amp;J30)</f>
        <v>1403/12</v>
      </c>
      <c r="L30" s="3" t="str">
        <f>K30&amp;"-"&amp;Table15678910111216182021222329[[#This Row],[product_id]]</f>
        <v>1403/12-140090143</v>
      </c>
      <c r="M30" s="3" t="e">
        <f>_xlfn.XLOOKUP(Table15678910111216182021222329[[#This Row],[order]],Table156789101112[idd],Table156789101112[id])</f>
        <v>#N/A</v>
      </c>
    </row>
    <row r="31" spans="1:13" x14ac:dyDescent="0.25">
      <c r="A31" s="1">
        <v>38</v>
      </c>
      <c r="B31" s="1" t="s">
        <v>395</v>
      </c>
      <c r="C31" s="1">
        <v>140220012</v>
      </c>
      <c r="D31" s="1">
        <v>700</v>
      </c>
      <c r="E31" s="1">
        <v>12</v>
      </c>
      <c r="F31" s="1">
        <v>700</v>
      </c>
      <c r="I31" s="1" t="str" cm="1">
        <f t="array" ref="I31">LEFT(E31, MATCH(FALSE, ISNUMBER(MID(E31, ROW($1:$100), 1)*1), 0)-1)</f>
        <v>12</v>
      </c>
      <c r="J31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1" s="1" t="str">
        <f>IF(VALUE(Table15678910111216182021222329[[#This Row],[Column5]])&gt;7,"1403/"&amp;J31,"1404/"&amp;J31)</f>
        <v>1403/12</v>
      </c>
      <c r="L31" s="3" t="str">
        <f>K31&amp;"-"&amp;Table15678910111216182021222329[[#This Row],[product_id]]</f>
        <v>1403/12-140220012</v>
      </c>
      <c r="M31" s="3" t="e">
        <f>_xlfn.XLOOKUP(Table15678910111216182021222329[[#This Row],[order]],Table156789101112[idd],Table156789101112[id])</f>
        <v>#N/A</v>
      </c>
    </row>
    <row r="32" spans="1:13" x14ac:dyDescent="0.25">
      <c r="A32" s="1">
        <v>39</v>
      </c>
      <c r="B32" s="1" t="s">
        <v>578</v>
      </c>
      <c r="C32" s="1">
        <v>140010117</v>
      </c>
      <c r="D32" s="1">
        <v>1350</v>
      </c>
      <c r="E32" s="1">
        <v>1</v>
      </c>
      <c r="F32" s="1">
        <v>1350</v>
      </c>
      <c r="I32" s="1" t="str" cm="1">
        <f t="array" ref="I32">LEFT(E32, MATCH(FALSE, ISNUMBER(MID(E32, ROW($1:$100), 1)*1), 0)-1)</f>
        <v>1</v>
      </c>
      <c r="J3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2" s="1" t="str">
        <f>IF(VALUE(Table15678910111216182021222329[[#This Row],[Column5]])&gt;7,"1403/"&amp;J32,"1404/"&amp;J32)</f>
        <v>1404/01</v>
      </c>
      <c r="L32" s="3" t="str">
        <f>K32&amp;"-"&amp;Table15678910111216182021222329[[#This Row],[product_id]]</f>
        <v>1404/01-140010117</v>
      </c>
      <c r="M32" s="3" t="e">
        <f>_xlfn.XLOOKUP(Table15678910111216182021222329[[#This Row],[order]],Table156789101112[idd],Table156789101112[id])</f>
        <v>#N/A</v>
      </c>
    </row>
    <row r="33" spans="1:13" x14ac:dyDescent="0.25">
      <c r="A33" s="1">
        <v>40</v>
      </c>
      <c r="B33" s="1" t="s">
        <v>578</v>
      </c>
      <c r="C33" s="1">
        <v>140010230</v>
      </c>
      <c r="D33" s="1">
        <v>1600</v>
      </c>
      <c r="E33" s="1">
        <v>1</v>
      </c>
      <c r="F33" s="1">
        <v>1600</v>
      </c>
      <c r="I33" s="1" t="str" cm="1">
        <f t="array" ref="I33">LEFT(E33, MATCH(FALSE, ISNUMBER(MID(E33, ROW($1:$100), 1)*1), 0)-1)</f>
        <v>1</v>
      </c>
      <c r="J3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3" s="1" t="str">
        <f>IF(VALUE(Table15678910111216182021222329[[#This Row],[Column5]])&gt;7,"1403/"&amp;J33,"1404/"&amp;J33)</f>
        <v>1404/01</v>
      </c>
      <c r="L33" s="3" t="str">
        <f>K33&amp;"-"&amp;Table15678910111216182021222329[[#This Row],[product_id]]</f>
        <v>1404/01-140010230</v>
      </c>
      <c r="M33" s="3" t="e">
        <f>_xlfn.XLOOKUP(Table15678910111216182021222329[[#This Row],[order]],Table156789101112[idd],Table156789101112[id])</f>
        <v>#N/A</v>
      </c>
    </row>
    <row r="34" spans="1:13" x14ac:dyDescent="0.25">
      <c r="A34" s="1">
        <v>41</v>
      </c>
      <c r="B34" s="1" t="s">
        <v>578</v>
      </c>
      <c r="C34" s="1">
        <v>140030039</v>
      </c>
      <c r="D34" s="1">
        <v>3000</v>
      </c>
      <c r="E34" s="1">
        <v>1</v>
      </c>
      <c r="F34" s="1">
        <v>3000</v>
      </c>
      <c r="I34" s="1" t="str" cm="1">
        <f t="array" ref="I34">LEFT(E34, MATCH(FALSE, ISNUMBER(MID(E34, ROW($1:$100), 1)*1), 0)-1)</f>
        <v>1</v>
      </c>
      <c r="J3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4" s="1" t="str">
        <f>IF(VALUE(Table15678910111216182021222329[[#This Row],[Column5]])&gt;7,"1403/"&amp;J34,"1404/"&amp;J34)</f>
        <v>1404/01</v>
      </c>
      <c r="L34" s="3" t="str">
        <f>K34&amp;"-"&amp;Table15678910111216182021222329[[#This Row],[product_id]]</f>
        <v>1404/01-140030039</v>
      </c>
      <c r="M34" s="3" t="e">
        <f>_xlfn.XLOOKUP(Table15678910111216182021222329[[#This Row],[order]],Table156789101112[idd],Table156789101112[id])</f>
        <v>#N/A</v>
      </c>
    </row>
    <row r="35" spans="1:13" x14ac:dyDescent="0.25">
      <c r="A35" s="1">
        <v>42</v>
      </c>
      <c r="B35" s="1" t="s">
        <v>578</v>
      </c>
      <c r="C35" s="1">
        <v>140310017</v>
      </c>
      <c r="D35" s="1">
        <v>18</v>
      </c>
      <c r="E35" s="1">
        <v>12</v>
      </c>
      <c r="F35" s="1">
        <v>18</v>
      </c>
      <c r="I35" s="1" t="str" cm="1">
        <f t="array" ref="I35">LEFT(E35, MATCH(FALSE, ISNUMBER(MID(E35, ROW($1:$100), 1)*1), 0)-1)</f>
        <v>12</v>
      </c>
      <c r="J35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35" s="1" t="str">
        <f>IF(VALUE(Table15678910111216182021222329[[#This Row],[Column5]])&gt;7,"1403/"&amp;J35,"1404/"&amp;J35)</f>
        <v>1403/12</v>
      </c>
      <c r="L35" s="3" t="str">
        <f>K35&amp;"-"&amp;Table15678910111216182021222329[[#This Row],[product_id]]</f>
        <v>1403/12-140310017</v>
      </c>
      <c r="M35" s="3" t="e">
        <f>_xlfn.XLOOKUP(Table15678910111216182021222329[[#This Row],[order]],Table156789101112[idd],Table156789101112[id])</f>
        <v>#N/A</v>
      </c>
    </row>
    <row r="36" spans="1:13" x14ac:dyDescent="0.25">
      <c r="A36" s="1">
        <v>43</v>
      </c>
      <c r="B36" s="1" t="s">
        <v>578</v>
      </c>
      <c r="C36" s="1">
        <v>140010295</v>
      </c>
      <c r="D36" s="1">
        <v>800</v>
      </c>
      <c r="E36" s="1">
        <v>1</v>
      </c>
      <c r="F36" s="1">
        <v>800</v>
      </c>
      <c r="I36" s="1" t="str" cm="1">
        <f t="array" ref="I36">LEFT(E36, MATCH(FALSE, ISNUMBER(MID(E36, ROW($1:$100), 1)*1), 0)-1)</f>
        <v>1</v>
      </c>
      <c r="J3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6" s="1" t="str">
        <f>IF(VALUE(Table15678910111216182021222329[[#This Row],[Column5]])&gt;7,"1403/"&amp;J36,"1404/"&amp;J36)</f>
        <v>1404/01</v>
      </c>
      <c r="L36" s="3" t="str">
        <f>K36&amp;"-"&amp;Table15678910111216182021222329[[#This Row],[product_id]]</f>
        <v>1404/01-140010295</v>
      </c>
      <c r="M36" s="3" t="e">
        <f>_xlfn.XLOOKUP(Table15678910111216182021222329[[#This Row],[order]],Table156789101112[idd],Table156789101112[id])</f>
        <v>#N/A</v>
      </c>
    </row>
    <row r="37" spans="1:13" x14ac:dyDescent="0.25">
      <c r="A37" s="1">
        <v>44</v>
      </c>
      <c r="B37" s="1" t="s">
        <v>579</v>
      </c>
      <c r="C37" s="1">
        <v>140010117</v>
      </c>
      <c r="D37" s="1">
        <v>2100</v>
      </c>
      <c r="E37" s="1">
        <v>1</v>
      </c>
      <c r="F37" s="1">
        <v>2100</v>
      </c>
      <c r="I37" s="1" t="str" cm="1">
        <f t="array" ref="I37">LEFT(E37, MATCH(FALSE, ISNUMBER(MID(E37, ROW($1:$100), 1)*1), 0)-1)</f>
        <v>1</v>
      </c>
      <c r="J3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7" s="1" t="str">
        <f>IF(VALUE(Table15678910111216182021222329[[#This Row],[Column5]])&gt;7,"1403/"&amp;J37,"1404/"&amp;J37)</f>
        <v>1404/01</v>
      </c>
      <c r="L37" s="3" t="str">
        <f>K37&amp;"-"&amp;Table15678910111216182021222329[[#This Row],[product_id]]</f>
        <v>1404/01-140010117</v>
      </c>
      <c r="M37" s="3" t="e">
        <f>_xlfn.XLOOKUP(Table15678910111216182021222329[[#This Row],[order]],Table156789101112[idd],Table156789101112[id])</f>
        <v>#N/A</v>
      </c>
    </row>
    <row r="38" spans="1:13" x14ac:dyDescent="0.25">
      <c r="A38" s="1">
        <v>45</v>
      </c>
      <c r="B38" s="1" t="s">
        <v>579</v>
      </c>
      <c r="C38" s="1">
        <v>140010230</v>
      </c>
      <c r="D38" s="1">
        <v>200</v>
      </c>
      <c r="E38" s="1">
        <v>1</v>
      </c>
      <c r="F38" s="1">
        <v>200</v>
      </c>
      <c r="I38" s="1" t="str" cm="1">
        <f t="array" ref="I38">LEFT(E38, MATCH(FALSE, ISNUMBER(MID(E38, ROW($1:$100), 1)*1), 0)-1)</f>
        <v>1</v>
      </c>
      <c r="J3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8" s="1" t="str">
        <f>IF(VALUE(Table15678910111216182021222329[[#This Row],[Column5]])&gt;7,"1403/"&amp;J38,"1404/"&amp;J38)</f>
        <v>1404/01</v>
      </c>
      <c r="L38" s="3" t="str">
        <f>K38&amp;"-"&amp;Table15678910111216182021222329[[#This Row],[product_id]]</f>
        <v>1404/01-140010230</v>
      </c>
      <c r="M38" s="3" t="e">
        <f>_xlfn.XLOOKUP(Table15678910111216182021222329[[#This Row],[order]],Table156789101112[idd],Table156789101112[id])</f>
        <v>#N/A</v>
      </c>
    </row>
    <row r="39" spans="1:13" x14ac:dyDescent="0.25">
      <c r="A39" s="1">
        <v>47</v>
      </c>
      <c r="B39" s="1" t="s">
        <v>579</v>
      </c>
      <c r="C39" s="1">
        <v>140010295</v>
      </c>
      <c r="D39" s="1">
        <v>2200</v>
      </c>
      <c r="E39" s="1">
        <v>1</v>
      </c>
      <c r="F39" s="1">
        <v>2200</v>
      </c>
      <c r="I39" s="1" t="str" cm="1">
        <f t="array" ref="I39">LEFT(E39, MATCH(FALSE, ISNUMBER(MID(E39, ROW($1:$100), 1)*1), 0)-1)</f>
        <v>1</v>
      </c>
      <c r="J3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39" s="1" t="str">
        <f>IF(VALUE(Table15678910111216182021222329[[#This Row],[Column5]])&gt;7,"1403/"&amp;J39,"1404/"&amp;J39)</f>
        <v>1404/01</v>
      </c>
      <c r="L39" s="3" t="str">
        <f>K39&amp;"-"&amp;Table15678910111216182021222329[[#This Row],[product_id]]</f>
        <v>1404/01-140010295</v>
      </c>
      <c r="M39" s="3" t="e">
        <f>_xlfn.XLOOKUP(Table15678910111216182021222329[[#This Row],[order]],Table156789101112[idd],Table156789101112[id])</f>
        <v>#N/A</v>
      </c>
    </row>
    <row r="40" spans="1:13" x14ac:dyDescent="0.25">
      <c r="A40" s="1">
        <v>48</v>
      </c>
      <c r="B40" s="1" t="s">
        <v>580</v>
      </c>
      <c r="C40" s="1">
        <v>140010117</v>
      </c>
      <c r="D40" s="1">
        <v>1800</v>
      </c>
      <c r="E40" s="1">
        <v>1</v>
      </c>
      <c r="F40" s="1">
        <v>400</v>
      </c>
      <c r="G40" s="1" t="s">
        <v>416</v>
      </c>
      <c r="H40" s="1">
        <v>1400</v>
      </c>
      <c r="I40" s="1" t="str" cm="1">
        <f t="array" ref="I40">LEFT(E40, MATCH(FALSE, ISNUMBER(MID(E40, ROW($1:$100), 1)*1), 0)-1)</f>
        <v>1</v>
      </c>
      <c r="J4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0" s="1" t="str">
        <f>IF(VALUE(Table15678910111216182021222329[[#This Row],[Column5]])&gt;7,"1403/"&amp;J40,"1404/"&amp;J40)</f>
        <v>1404/01</v>
      </c>
      <c r="L40" s="3" t="str">
        <f>K40&amp;"-"&amp;Table15678910111216182021222329[[#This Row],[product_id]]</f>
        <v>1404/01-140010117</v>
      </c>
      <c r="M40" s="3" t="e">
        <f>_xlfn.XLOOKUP(Table15678910111216182021222329[[#This Row],[order]],Table156789101112[idd],Table156789101112[id])</f>
        <v>#N/A</v>
      </c>
    </row>
    <row r="41" spans="1:13" x14ac:dyDescent="0.25">
      <c r="A41" s="1">
        <v>50</v>
      </c>
      <c r="B41" s="1" t="s">
        <v>580</v>
      </c>
      <c r="C41" s="1">
        <v>140010279</v>
      </c>
      <c r="D41" s="1">
        <v>1000</v>
      </c>
      <c r="E41" s="1">
        <v>1</v>
      </c>
      <c r="F41" s="1">
        <v>1000</v>
      </c>
      <c r="I41" s="1" t="str" cm="1">
        <f t="array" ref="I41">LEFT(E41, MATCH(FALSE, ISNUMBER(MID(E41, ROW($1:$100), 1)*1), 0)-1)</f>
        <v>1</v>
      </c>
      <c r="J4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1" s="1" t="str">
        <f>IF(VALUE(Table15678910111216182021222329[[#This Row],[Column5]])&gt;7,"1403/"&amp;J41,"1404/"&amp;J41)</f>
        <v>1404/01</v>
      </c>
      <c r="L41" s="3" t="str">
        <f>K41&amp;"-"&amp;Table15678910111216182021222329[[#This Row],[product_id]]</f>
        <v>1404/01-140010279</v>
      </c>
      <c r="M41" s="3" t="e">
        <f>_xlfn.XLOOKUP(Table15678910111216182021222329[[#This Row],[order]],Table156789101112[idd],Table156789101112[id])</f>
        <v>#N/A</v>
      </c>
    </row>
    <row r="42" spans="1:13" x14ac:dyDescent="0.25">
      <c r="A42" s="1">
        <v>51</v>
      </c>
      <c r="B42" s="1" t="s">
        <v>580</v>
      </c>
      <c r="C42" s="1">
        <v>140010295</v>
      </c>
      <c r="D42" s="1">
        <v>1200</v>
      </c>
      <c r="E42" s="1">
        <v>1</v>
      </c>
      <c r="F42" s="1">
        <v>1200</v>
      </c>
      <c r="I42" s="1" t="str" cm="1">
        <f t="array" ref="I42">LEFT(E42, MATCH(FALSE, ISNUMBER(MID(E42, ROW($1:$100), 1)*1), 0)-1)</f>
        <v>1</v>
      </c>
      <c r="J4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2" s="1" t="str">
        <f>IF(VALUE(Table15678910111216182021222329[[#This Row],[Column5]])&gt;7,"1403/"&amp;J42,"1404/"&amp;J42)</f>
        <v>1404/01</v>
      </c>
      <c r="L42" s="3" t="str">
        <f>K42&amp;"-"&amp;Table15678910111216182021222329[[#This Row],[product_id]]</f>
        <v>1404/01-140010295</v>
      </c>
      <c r="M42" s="3" t="e">
        <f>_xlfn.XLOOKUP(Table15678910111216182021222329[[#This Row],[order]],Table156789101112[idd],Table156789101112[id])</f>
        <v>#N/A</v>
      </c>
    </row>
    <row r="43" spans="1:13" x14ac:dyDescent="0.25">
      <c r="A43" s="1">
        <v>55</v>
      </c>
      <c r="B43" s="1" t="s">
        <v>581</v>
      </c>
      <c r="C43" s="1">
        <v>140010279</v>
      </c>
      <c r="D43" s="1">
        <v>1800</v>
      </c>
      <c r="E43" s="1">
        <v>1</v>
      </c>
      <c r="F43" s="1">
        <v>1800</v>
      </c>
      <c r="I43" s="1" t="str" cm="1">
        <f t="array" ref="I43">LEFT(E43, MATCH(FALSE, ISNUMBER(MID(E43, ROW($1:$100), 1)*1), 0)-1)</f>
        <v>1</v>
      </c>
      <c r="J4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3" s="1" t="str">
        <f>IF(VALUE(Table15678910111216182021222329[[#This Row],[Column5]])&gt;7,"1403/"&amp;J43,"1404/"&amp;J43)</f>
        <v>1404/01</v>
      </c>
      <c r="L43" s="3" t="str">
        <f>K43&amp;"-"&amp;Table15678910111216182021222329[[#This Row],[product_id]]</f>
        <v>1404/01-140010279</v>
      </c>
      <c r="M43" s="3" t="e">
        <f>_xlfn.XLOOKUP(Table15678910111216182021222329[[#This Row],[order]],Table156789101112[idd],Table156789101112[id])</f>
        <v>#N/A</v>
      </c>
    </row>
    <row r="44" spans="1:13" x14ac:dyDescent="0.25">
      <c r="A44" s="1">
        <v>57</v>
      </c>
      <c r="B44" s="1" t="s">
        <v>582</v>
      </c>
      <c r="C44" s="1">
        <v>140010230</v>
      </c>
      <c r="D44" s="1">
        <v>350</v>
      </c>
      <c r="E44" s="1">
        <v>1</v>
      </c>
      <c r="F44" s="1">
        <v>250</v>
      </c>
      <c r="G44" s="1">
        <v>2</v>
      </c>
      <c r="H44" s="1">
        <v>100</v>
      </c>
      <c r="I44" s="1" t="str" cm="1">
        <f t="array" ref="I44">LEFT(E44, MATCH(FALSE, ISNUMBER(MID(E44, ROW($1:$100), 1)*1), 0)-1)</f>
        <v>1</v>
      </c>
      <c r="J4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4" s="1" t="str">
        <f>IF(VALUE(Table15678910111216182021222329[[#This Row],[Column5]])&gt;7,"1403/"&amp;J44,"1404/"&amp;J44)</f>
        <v>1404/01</v>
      </c>
      <c r="L44" s="3" t="str">
        <f>K44&amp;"-"&amp;Table15678910111216182021222329[[#This Row],[product_id]]</f>
        <v>1404/01-140010230</v>
      </c>
      <c r="M44" s="3" t="e">
        <f>_xlfn.XLOOKUP(Table15678910111216182021222329[[#This Row],[order]],Table156789101112[idd],Table156789101112[id])</f>
        <v>#N/A</v>
      </c>
    </row>
    <row r="45" spans="1:13" x14ac:dyDescent="0.25">
      <c r="A45" s="1">
        <v>61</v>
      </c>
      <c r="B45" s="1" t="s">
        <v>582</v>
      </c>
      <c r="C45" s="1">
        <v>140010279</v>
      </c>
      <c r="D45" s="1">
        <v>100</v>
      </c>
      <c r="E45" s="1">
        <v>1</v>
      </c>
      <c r="F45" s="1">
        <v>100</v>
      </c>
      <c r="I45" s="1" t="str" cm="1">
        <f t="array" ref="I45">LEFT(E45, MATCH(FALSE, ISNUMBER(MID(E45, ROW($1:$100), 1)*1), 0)-1)</f>
        <v>1</v>
      </c>
      <c r="J4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5" s="1" t="str">
        <f>IF(VALUE(Table15678910111216182021222329[[#This Row],[Column5]])&gt;7,"1403/"&amp;J45,"1404/"&amp;J45)</f>
        <v>1404/01</v>
      </c>
      <c r="L45" s="3" t="str">
        <f>K45&amp;"-"&amp;Table15678910111216182021222329[[#This Row],[product_id]]</f>
        <v>1404/01-140010279</v>
      </c>
      <c r="M45" s="3" t="e">
        <f>_xlfn.XLOOKUP(Table15678910111216182021222329[[#This Row],[order]],Table156789101112[idd],Table156789101112[id])</f>
        <v>#N/A</v>
      </c>
    </row>
    <row r="46" spans="1:13" x14ac:dyDescent="0.25">
      <c r="A46" s="1">
        <v>62</v>
      </c>
      <c r="B46" s="1" t="s">
        <v>582</v>
      </c>
      <c r="C46" s="1">
        <v>140010280</v>
      </c>
      <c r="D46" s="1">
        <v>800</v>
      </c>
      <c r="E46" s="1">
        <v>1</v>
      </c>
      <c r="F46" s="1">
        <v>800</v>
      </c>
      <c r="I46" s="1" t="str" cm="1">
        <f t="array" ref="I46">LEFT(E46, MATCH(FALSE, ISNUMBER(MID(E46, ROW($1:$100), 1)*1), 0)-1)</f>
        <v>1</v>
      </c>
      <c r="J4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6" s="1" t="str">
        <f>IF(VALUE(Table15678910111216182021222329[[#This Row],[Column5]])&gt;7,"1403/"&amp;J46,"1404/"&amp;J46)</f>
        <v>1404/01</v>
      </c>
      <c r="L46" s="3" t="str">
        <f>K46&amp;"-"&amp;Table15678910111216182021222329[[#This Row],[product_id]]</f>
        <v>1404/01-140010280</v>
      </c>
      <c r="M46" s="3" t="e">
        <f>_xlfn.XLOOKUP(Table15678910111216182021222329[[#This Row],[order]],Table156789101112[idd],Table156789101112[id])</f>
        <v>#N/A</v>
      </c>
    </row>
    <row r="47" spans="1:13" x14ac:dyDescent="0.25">
      <c r="A47" s="1">
        <v>63</v>
      </c>
      <c r="B47" s="1" t="s">
        <v>582</v>
      </c>
      <c r="C47" s="1">
        <v>140010298</v>
      </c>
      <c r="D47" s="1">
        <v>630</v>
      </c>
      <c r="E47" s="1">
        <v>1</v>
      </c>
      <c r="F47" s="1">
        <v>630</v>
      </c>
      <c r="I47" s="1" t="str" cm="1">
        <f t="array" ref="I47">LEFT(E47, MATCH(FALSE, ISNUMBER(MID(E47, ROW($1:$100), 1)*1), 0)-1)</f>
        <v>1</v>
      </c>
      <c r="J4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7" s="1" t="str">
        <f>IF(VALUE(Table15678910111216182021222329[[#This Row],[Column5]])&gt;7,"1403/"&amp;J47,"1404/"&amp;J47)</f>
        <v>1404/01</v>
      </c>
      <c r="L47" s="3" t="str">
        <f>K47&amp;"-"&amp;Table15678910111216182021222329[[#This Row],[product_id]]</f>
        <v>1404/01-140010298</v>
      </c>
      <c r="M47" s="3" t="e">
        <f>_xlfn.XLOOKUP(Table15678910111216182021222329[[#This Row],[order]],Table156789101112[idd],Table156789101112[id])</f>
        <v>#N/A</v>
      </c>
    </row>
    <row r="48" spans="1:13" x14ac:dyDescent="0.25">
      <c r="A48" s="1">
        <v>66</v>
      </c>
      <c r="B48" s="1" t="s">
        <v>509</v>
      </c>
      <c r="C48" s="1">
        <v>140010280</v>
      </c>
      <c r="D48" s="1">
        <v>2200</v>
      </c>
      <c r="E48" s="1">
        <v>1</v>
      </c>
      <c r="F48" s="1">
        <v>2200</v>
      </c>
      <c r="I48" s="1" t="str" cm="1">
        <f t="array" ref="I48">LEFT(E48, MATCH(FALSE, ISNUMBER(MID(E48, ROW($1:$100), 1)*1), 0)-1)</f>
        <v>1</v>
      </c>
      <c r="J4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8" s="1" t="str">
        <f>IF(VALUE(Table15678910111216182021222329[[#This Row],[Column5]])&gt;7,"1403/"&amp;J48,"1404/"&amp;J48)</f>
        <v>1404/01</v>
      </c>
      <c r="L48" s="3" t="str">
        <f>K48&amp;"-"&amp;Table15678910111216182021222329[[#This Row],[product_id]]</f>
        <v>1404/01-140010280</v>
      </c>
      <c r="M48" s="3" t="e">
        <f>_xlfn.XLOOKUP(Table15678910111216182021222329[[#This Row],[order]],Table156789101112[idd],Table156789101112[id])</f>
        <v>#N/A</v>
      </c>
    </row>
    <row r="49" spans="1:13" x14ac:dyDescent="0.25">
      <c r="A49" s="1">
        <v>69</v>
      </c>
      <c r="B49" s="1" t="s">
        <v>583</v>
      </c>
      <c r="C49" s="1">
        <v>140010280</v>
      </c>
      <c r="D49" s="1">
        <v>3600</v>
      </c>
      <c r="E49" s="1">
        <v>1</v>
      </c>
      <c r="F49" s="1">
        <v>3600</v>
      </c>
      <c r="I49" s="1" t="str" cm="1">
        <f t="array" ref="I49">LEFT(E49, MATCH(FALSE, ISNUMBER(MID(E49, ROW($1:$100), 1)*1), 0)-1)</f>
        <v>1</v>
      </c>
      <c r="J49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49" s="1" t="str">
        <f>IF(VALUE(Table15678910111216182021222329[[#This Row],[Column5]])&gt;7,"1403/"&amp;J49,"1404/"&amp;J49)</f>
        <v>1404/01</v>
      </c>
      <c r="L49" s="3" t="str">
        <f>K49&amp;"-"&amp;Table15678910111216182021222329[[#This Row],[product_id]]</f>
        <v>1404/01-140010280</v>
      </c>
      <c r="M49" s="3" t="e">
        <f>_xlfn.XLOOKUP(Table15678910111216182021222329[[#This Row],[order]],Table156789101112[idd],Table156789101112[id])</f>
        <v>#N/A</v>
      </c>
    </row>
    <row r="50" spans="1:13" x14ac:dyDescent="0.25">
      <c r="A50" s="1">
        <v>73</v>
      </c>
      <c r="B50" s="1" t="s">
        <v>396</v>
      </c>
      <c r="C50" s="1">
        <v>140220012</v>
      </c>
      <c r="D50" s="1">
        <v>50</v>
      </c>
      <c r="E50" s="1">
        <v>12</v>
      </c>
      <c r="F50" s="1">
        <v>50</v>
      </c>
      <c r="I50" s="1" t="str" cm="1">
        <f t="array" ref="I50">LEFT(E50, MATCH(FALSE, ISNUMBER(MID(E50, ROW($1:$100), 1)*1), 0)-1)</f>
        <v>12</v>
      </c>
      <c r="J50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0" s="1" t="str">
        <f>IF(VALUE(Table15678910111216182021222329[[#This Row],[Column5]])&gt;7,"1403/"&amp;J50,"1404/"&amp;J50)</f>
        <v>1403/12</v>
      </c>
      <c r="L50" s="3" t="str">
        <f>K50&amp;"-"&amp;Table15678910111216182021222329[[#This Row],[product_id]]</f>
        <v>1403/12-140220012</v>
      </c>
      <c r="M50" s="3" t="e">
        <f>_xlfn.XLOOKUP(Table15678910111216182021222329[[#This Row],[order]],Table156789101112[idd],Table156789101112[id])</f>
        <v>#N/A</v>
      </c>
    </row>
    <row r="51" spans="1:13" x14ac:dyDescent="0.25">
      <c r="A51" s="1">
        <v>74</v>
      </c>
      <c r="B51" s="1" t="s">
        <v>396</v>
      </c>
      <c r="C51" s="1">
        <v>140010279</v>
      </c>
      <c r="D51" s="1">
        <v>1600</v>
      </c>
      <c r="E51" s="1">
        <v>1</v>
      </c>
      <c r="F51" s="1">
        <v>1600</v>
      </c>
      <c r="I51" s="1" t="str" cm="1">
        <f t="array" ref="I51">LEFT(E51, MATCH(FALSE, ISNUMBER(MID(E51, ROW($1:$100), 1)*1), 0)-1)</f>
        <v>1</v>
      </c>
      <c r="J5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1" s="1" t="str">
        <f>IF(VALUE(Table15678910111216182021222329[[#This Row],[Column5]])&gt;7,"1403/"&amp;J51,"1404/"&amp;J51)</f>
        <v>1404/01</v>
      </c>
      <c r="L51" s="3" t="str">
        <f>K51&amp;"-"&amp;Table15678910111216182021222329[[#This Row],[product_id]]</f>
        <v>1404/01-140010279</v>
      </c>
      <c r="M51" s="3" t="e">
        <f>_xlfn.XLOOKUP(Table15678910111216182021222329[[#This Row],[order]],Table156789101112[idd],Table156789101112[id])</f>
        <v>#N/A</v>
      </c>
    </row>
    <row r="52" spans="1:13" x14ac:dyDescent="0.25">
      <c r="A52" s="1">
        <v>75</v>
      </c>
      <c r="B52" s="1" t="s">
        <v>396</v>
      </c>
      <c r="C52" s="1">
        <v>140010280</v>
      </c>
      <c r="D52" s="1">
        <v>1400</v>
      </c>
      <c r="E52" s="1">
        <v>1</v>
      </c>
      <c r="F52" s="1">
        <v>1400</v>
      </c>
      <c r="I52" s="1" t="str" cm="1">
        <f t="array" ref="I52">LEFT(E52, MATCH(FALSE, ISNUMBER(MID(E52, ROW($1:$100), 1)*1), 0)-1)</f>
        <v>1</v>
      </c>
      <c r="J5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2" s="1" t="str">
        <f>IF(VALUE(Table15678910111216182021222329[[#This Row],[Column5]])&gt;7,"1403/"&amp;J52,"1404/"&amp;J52)</f>
        <v>1404/01</v>
      </c>
      <c r="L52" s="3" t="str">
        <f>K52&amp;"-"&amp;Table15678910111216182021222329[[#This Row],[product_id]]</f>
        <v>1404/01-140010280</v>
      </c>
      <c r="M52" s="3" t="e">
        <f>_xlfn.XLOOKUP(Table15678910111216182021222329[[#This Row],[order]],Table156789101112[idd],Table156789101112[id])</f>
        <v>#N/A</v>
      </c>
    </row>
    <row r="53" spans="1:13" x14ac:dyDescent="0.25">
      <c r="A53" s="1">
        <v>80</v>
      </c>
      <c r="B53" s="1" t="s">
        <v>397</v>
      </c>
      <c r="C53" s="1">
        <v>140010279</v>
      </c>
      <c r="D53" s="1">
        <v>3600</v>
      </c>
      <c r="E53" s="1">
        <v>1</v>
      </c>
      <c r="F53" s="1">
        <v>3600</v>
      </c>
      <c r="I53" s="1" t="str" cm="1">
        <f t="array" ref="I53">LEFT(E53, MATCH(FALSE, ISNUMBER(MID(E53, ROW($1:$100), 1)*1), 0)-1)</f>
        <v>1</v>
      </c>
      <c r="J5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3" s="1" t="str">
        <f>IF(VALUE(Table15678910111216182021222329[[#This Row],[Column5]])&gt;7,"1403/"&amp;J53,"1404/"&amp;J53)</f>
        <v>1404/01</v>
      </c>
      <c r="L53" s="3" t="str">
        <f>K53&amp;"-"&amp;Table15678910111216182021222329[[#This Row],[product_id]]</f>
        <v>1404/01-140010279</v>
      </c>
      <c r="M53" s="3" t="e">
        <f>_xlfn.XLOOKUP(Table15678910111216182021222329[[#This Row],[order]],Table156789101112[idd],Table156789101112[id])</f>
        <v>#N/A</v>
      </c>
    </row>
    <row r="54" spans="1:13" x14ac:dyDescent="0.25">
      <c r="A54" s="1">
        <v>81</v>
      </c>
      <c r="B54" s="1" t="s">
        <v>397</v>
      </c>
      <c r="C54" s="1">
        <v>140010295</v>
      </c>
      <c r="D54" s="1">
        <v>105</v>
      </c>
      <c r="E54" s="1">
        <v>1</v>
      </c>
      <c r="F54" s="1">
        <v>105</v>
      </c>
      <c r="I54" s="1" t="str" cm="1">
        <f t="array" ref="I54">LEFT(E54, MATCH(FALSE, ISNUMBER(MID(E54, ROW($1:$100), 1)*1), 0)-1)</f>
        <v>1</v>
      </c>
      <c r="J5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4" s="1" t="str">
        <f>IF(VALUE(Table15678910111216182021222329[[#This Row],[Column5]])&gt;7,"1403/"&amp;J54,"1404/"&amp;J54)</f>
        <v>1404/01</v>
      </c>
      <c r="L54" s="3" t="str">
        <f>K54&amp;"-"&amp;Table15678910111216182021222329[[#This Row],[product_id]]</f>
        <v>1404/01-140010295</v>
      </c>
      <c r="M54" s="3" t="e">
        <f>_xlfn.XLOOKUP(Table15678910111216182021222329[[#This Row],[order]],Table156789101112[idd],Table156789101112[id])</f>
        <v>#N/A</v>
      </c>
    </row>
    <row r="55" spans="1:13" x14ac:dyDescent="0.25">
      <c r="A55" s="1">
        <v>87</v>
      </c>
      <c r="B55" s="1" t="s">
        <v>399</v>
      </c>
      <c r="C55" s="1">
        <v>140010279</v>
      </c>
      <c r="D55" s="1">
        <v>1600</v>
      </c>
      <c r="E55" s="1">
        <v>1</v>
      </c>
      <c r="F55" s="1">
        <v>1600</v>
      </c>
      <c r="I55" s="1" t="str" cm="1">
        <f t="array" ref="I55">LEFT(E55, MATCH(FALSE, ISNUMBER(MID(E55, ROW($1:$100), 1)*1), 0)-1)</f>
        <v>1</v>
      </c>
      <c r="J5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5" s="1" t="str">
        <f>IF(VALUE(Table15678910111216182021222329[[#This Row],[Column5]])&gt;7,"1403/"&amp;J55,"1404/"&amp;J55)</f>
        <v>1404/01</v>
      </c>
      <c r="L55" s="3" t="str">
        <f>K55&amp;"-"&amp;Table15678910111216182021222329[[#This Row],[product_id]]</f>
        <v>1404/01-140010279</v>
      </c>
      <c r="M55" s="3" t="e">
        <f>_xlfn.XLOOKUP(Table15678910111216182021222329[[#This Row],[order]],Table156789101112[idd],Table156789101112[id])</f>
        <v>#N/A</v>
      </c>
    </row>
    <row r="56" spans="1:13" x14ac:dyDescent="0.25">
      <c r="A56" s="1">
        <v>93</v>
      </c>
      <c r="B56" s="1" t="s">
        <v>584</v>
      </c>
      <c r="C56" s="1">
        <v>140010279</v>
      </c>
      <c r="D56" s="1">
        <v>603</v>
      </c>
      <c r="E56" s="1">
        <v>1</v>
      </c>
      <c r="F56" s="1">
        <v>603</v>
      </c>
      <c r="I56" s="1" t="str" cm="1">
        <f t="array" ref="I56">LEFT(E56, MATCH(FALSE, ISNUMBER(MID(E56, ROW($1:$100), 1)*1), 0)-1)</f>
        <v>1</v>
      </c>
      <c r="J5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6" s="1" t="str">
        <f>IF(VALUE(Table15678910111216182021222329[[#This Row],[Column5]])&gt;7,"1403/"&amp;J56,"1404/"&amp;J56)</f>
        <v>1404/01</v>
      </c>
      <c r="L56" s="3" t="str">
        <f>K56&amp;"-"&amp;Table15678910111216182021222329[[#This Row],[product_id]]</f>
        <v>1404/01-140010279</v>
      </c>
      <c r="M56" s="3" t="e">
        <f>_xlfn.XLOOKUP(Table15678910111216182021222329[[#This Row],[order]],Table156789101112[idd],Table156789101112[id])</f>
        <v>#N/A</v>
      </c>
    </row>
    <row r="57" spans="1:13" x14ac:dyDescent="0.25">
      <c r="A57" s="1">
        <v>103</v>
      </c>
      <c r="B57" s="1" t="s">
        <v>511</v>
      </c>
      <c r="C57" s="1">
        <v>140010280</v>
      </c>
      <c r="D57" s="1">
        <v>99</v>
      </c>
      <c r="E57" s="1">
        <v>1</v>
      </c>
      <c r="F57" s="1">
        <v>99</v>
      </c>
      <c r="I57" s="1" t="str" cm="1">
        <f t="array" ref="I57">LEFT(E57, MATCH(FALSE, ISNUMBER(MID(E57, ROW($1:$100), 1)*1), 0)-1)</f>
        <v>1</v>
      </c>
      <c r="J5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57" s="1" t="str">
        <f>IF(VALUE(Table15678910111216182021222329[[#This Row],[Column5]])&gt;7,"1403/"&amp;J57,"1404/"&amp;J57)</f>
        <v>1404/01</v>
      </c>
      <c r="L57" s="3" t="str">
        <f>K57&amp;"-"&amp;Table15678910111216182021222329[[#This Row],[product_id]]</f>
        <v>1404/01-140010280</v>
      </c>
      <c r="M57" s="3" t="e">
        <f>_xlfn.XLOOKUP(Table15678910111216182021222329[[#This Row],[order]],Table156789101112[idd],Table156789101112[id])</f>
        <v>#N/A</v>
      </c>
    </row>
    <row r="58" spans="1:13" x14ac:dyDescent="0.25">
      <c r="A58" s="1">
        <v>108</v>
      </c>
      <c r="B58" s="1" t="s">
        <v>516</v>
      </c>
      <c r="C58" s="1">
        <v>140090143</v>
      </c>
      <c r="D58" s="1">
        <v>43</v>
      </c>
      <c r="E58" s="1">
        <v>12</v>
      </c>
      <c r="F58" s="1">
        <v>43</v>
      </c>
      <c r="I58" s="1" t="str" cm="1">
        <f t="array" ref="I58">LEFT(E58, MATCH(FALSE, ISNUMBER(MID(E58, ROW($1:$100), 1)*1), 0)-1)</f>
        <v>12</v>
      </c>
      <c r="J58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8" s="1" t="str">
        <f>IF(VALUE(Table15678910111216182021222329[[#This Row],[Column5]])&gt;7,"1403/"&amp;J58,"1404/"&amp;J58)</f>
        <v>1403/12</v>
      </c>
      <c r="L58" s="3" t="str">
        <f>K58&amp;"-"&amp;Table15678910111216182021222329[[#This Row],[product_id]]</f>
        <v>1403/12-140090143</v>
      </c>
      <c r="M58" s="3" t="e">
        <f>_xlfn.XLOOKUP(Table15678910111216182021222329[[#This Row],[order]],Table156789101112[idd],Table156789101112[id])</f>
        <v>#N/A</v>
      </c>
    </row>
    <row r="59" spans="1:13" x14ac:dyDescent="0.25">
      <c r="A59" s="1">
        <v>111</v>
      </c>
      <c r="B59" s="1" t="s">
        <v>516</v>
      </c>
      <c r="C59" s="1">
        <v>140220012</v>
      </c>
      <c r="D59" s="1">
        <v>15</v>
      </c>
      <c r="E59" s="1">
        <v>12</v>
      </c>
      <c r="F59" s="1">
        <v>15</v>
      </c>
      <c r="I59" s="1" t="str" cm="1">
        <f t="array" ref="I59">LEFT(E59, MATCH(FALSE, ISNUMBER(MID(E59, ROW($1:$100), 1)*1), 0)-1)</f>
        <v>12</v>
      </c>
      <c r="J5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12</v>
      </c>
      <c r="K59" s="1" t="str">
        <f>IF(VALUE(Table15678910111216182021222329[[#This Row],[Column5]])&gt;7,"1403/"&amp;J59,"1404/"&amp;J59)</f>
        <v>1403/12</v>
      </c>
      <c r="L59" s="3" t="str">
        <f>K59&amp;"-"&amp;Table15678910111216182021222329[[#This Row],[product_id]]</f>
        <v>1403/12-140220012</v>
      </c>
      <c r="M59" s="3" t="e">
        <f>_xlfn.XLOOKUP(Table15678910111216182021222329[[#This Row],[order]],Table156789101112[idd],Table156789101112[id])</f>
        <v>#N/A</v>
      </c>
    </row>
    <row r="60" spans="1:13" x14ac:dyDescent="0.25">
      <c r="A60" s="1">
        <v>138</v>
      </c>
      <c r="B60" s="1" t="s">
        <v>402</v>
      </c>
      <c r="C60" s="1">
        <v>140010279</v>
      </c>
      <c r="D60" s="1">
        <v>12</v>
      </c>
      <c r="E60" s="1">
        <v>1</v>
      </c>
      <c r="F60" s="1">
        <v>12</v>
      </c>
      <c r="I60" s="1" t="str" cm="1">
        <f t="array" ref="I60">LEFT(E60, MATCH(FALSE, ISNUMBER(MID(E60, ROW($1:$100), 1)*1), 0)-1)</f>
        <v>1</v>
      </c>
      <c r="J60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01</v>
      </c>
      <c r="K60" s="1" t="str">
        <f>IF(VALUE(Table15678910111216182021222329[[#This Row],[Column5]])&gt;7,"1403/"&amp;J60,"1404/"&amp;J60)</f>
        <v>1404/01</v>
      </c>
      <c r="L60" s="3" t="str">
        <f>K60&amp;"-"&amp;Table15678910111216182021222329[[#This Row],[product_id]]</f>
        <v>1404/01-140010279</v>
      </c>
      <c r="M60" s="3" t="e">
        <f>_xlfn.XLOOKUP(Table15678910111216182021222329[[#This Row],[order]],Table156789101112[idd],Table156789101112[id])</f>
        <v>#N/A</v>
      </c>
    </row>
    <row r="61" spans="1:13" x14ac:dyDescent="0.25">
      <c r="A61" s="1">
        <v>139</v>
      </c>
      <c r="B61" s="1" t="s">
        <v>402</v>
      </c>
      <c r="C61" s="1">
        <v>140550019</v>
      </c>
      <c r="D61" s="1">
        <v>11</v>
      </c>
      <c r="E61" s="1">
        <v>1000</v>
      </c>
      <c r="F61" s="1">
        <v>11</v>
      </c>
      <c r="I61" s="1" t="str" cm="1">
        <f t="array" ref="I61">LEFT(E61, MATCH(FALSE, ISNUMBER(MID(E61, ROW($1:$100), 1)*1), 0)-1)</f>
        <v>1000</v>
      </c>
      <c r="J61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1" s="1" t="str">
        <f>IF(VALUE(Table15678910111216182021222329[[#This Row],[Column5]])&gt;7,"1403/"&amp;J61,"1404/"&amp;J61)</f>
        <v>1403/</v>
      </c>
      <c r="L61" s="3" t="str">
        <f>K61&amp;"-"&amp;Table15678910111216182021222329[[#This Row],[product_id]]</f>
        <v>1403/-140550019</v>
      </c>
      <c r="M61" s="3" t="e">
        <f>_xlfn.XLOOKUP(Table15678910111216182021222329[[#This Row],[order]],Table156789101112[idd],Table156789101112[id])</f>
        <v>#N/A</v>
      </c>
    </row>
    <row r="62" spans="1:13" x14ac:dyDescent="0.25">
      <c r="A62" s="1">
        <v>287</v>
      </c>
      <c r="B62" s="1" t="s">
        <v>408</v>
      </c>
      <c r="C62" s="1">
        <v>140090143</v>
      </c>
      <c r="D62" s="1">
        <v>14</v>
      </c>
      <c r="E62" s="1" t="s">
        <v>371</v>
      </c>
      <c r="F62" s="1">
        <v>14</v>
      </c>
      <c r="I62" s="1" t="str" cm="1">
        <f t="array" ref="I62">LEFT(E62, MATCH(FALSE, ISNUMBER(MID(E62, ROW($1:$100), 1)*1), 0)-1)</f>
        <v/>
      </c>
      <c r="J62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2" s="1" t="e">
        <f>IF(VALUE(Table15678910111216182021222329[[#This Row],[Column5]])&gt;7,"1403/"&amp;J62,"1404/"&amp;J62)</f>
        <v>#VALUE!</v>
      </c>
      <c r="L62" s="3" t="e">
        <f>K62&amp;"-"&amp;Table15678910111216182021222329[[#This Row],[product_id]]</f>
        <v>#VALUE!</v>
      </c>
      <c r="M62" s="3" t="e">
        <f>_xlfn.XLOOKUP(Table15678910111216182021222329[[#This Row],[order]],Table156789101112[idd],Table156789101112[id])</f>
        <v>#VALUE!</v>
      </c>
    </row>
    <row r="63" spans="1:13" x14ac:dyDescent="0.25">
      <c r="A63" s="1">
        <v>288</v>
      </c>
      <c r="B63" s="1" t="s">
        <v>408</v>
      </c>
      <c r="C63" s="1">
        <v>140310016</v>
      </c>
      <c r="D63" s="1">
        <v>2</v>
      </c>
      <c r="E63" s="1" t="s">
        <v>371</v>
      </c>
      <c r="F63" s="1">
        <v>2</v>
      </c>
      <c r="I63" s="1" t="str" cm="1">
        <f t="array" ref="I63">LEFT(E63, MATCH(FALSE, ISNUMBER(MID(E63, ROW($1:$100), 1)*1), 0)-1)</f>
        <v/>
      </c>
      <c r="J63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3" s="1" t="e">
        <f>IF(VALUE(Table15678910111216182021222329[[#This Row],[Column5]])&gt;7,"1403/"&amp;J63,"1404/"&amp;J63)</f>
        <v>#VALUE!</v>
      </c>
      <c r="L63" s="3" t="e">
        <f>K63&amp;"-"&amp;Table15678910111216182021222329[[#This Row],[product_id]]</f>
        <v>#VALUE!</v>
      </c>
      <c r="M63" s="3" t="e">
        <f>_xlfn.XLOOKUP(Table15678910111216182021222329[[#This Row],[order]],Table156789101112[idd],Table156789101112[id])</f>
        <v>#VALUE!</v>
      </c>
    </row>
    <row r="64" spans="1:13" x14ac:dyDescent="0.25">
      <c r="A64" s="1">
        <v>290</v>
      </c>
      <c r="B64" s="1" t="s">
        <v>408</v>
      </c>
      <c r="C64" s="1">
        <v>140310075</v>
      </c>
      <c r="D64" s="1">
        <v>24</v>
      </c>
      <c r="E64" s="1" t="s">
        <v>371</v>
      </c>
      <c r="F64" s="1">
        <v>24</v>
      </c>
      <c r="I64" s="1" t="str" cm="1">
        <f t="array" ref="I64">LEFT(E64, MATCH(FALSE, ISNUMBER(MID(E64, ROW($1:$100), 1)*1), 0)-1)</f>
        <v/>
      </c>
      <c r="J64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4" s="1" t="e">
        <f>IF(VALUE(Table15678910111216182021222329[[#This Row],[Column5]])&gt;7,"1403/"&amp;J64,"1404/"&amp;J64)</f>
        <v>#VALUE!</v>
      </c>
      <c r="L64" s="3" t="e">
        <f>K64&amp;"-"&amp;Table15678910111216182021222329[[#This Row],[product_id]]</f>
        <v>#VALUE!</v>
      </c>
      <c r="M64" s="3" t="e">
        <f>_xlfn.XLOOKUP(Table15678910111216182021222329[[#This Row],[order]],Table156789101112[idd],Table156789101112[id])</f>
        <v>#VALUE!</v>
      </c>
    </row>
    <row r="65" spans="1:13" x14ac:dyDescent="0.25">
      <c r="A65" s="1">
        <v>292</v>
      </c>
      <c r="B65" s="1" t="s">
        <v>408</v>
      </c>
      <c r="C65" s="1">
        <v>140220012</v>
      </c>
      <c r="D65" s="1">
        <v>19</v>
      </c>
      <c r="E65" s="1" t="s">
        <v>371</v>
      </c>
      <c r="F65" s="1">
        <v>19</v>
      </c>
      <c r="I65" s="1" t="str" cm="1">
        <f t="array" ref="I65">LEFT(E65, MATCH(FALSE, ISNUMBER(MID(E65, ROW($1:$100), 1)*1), 0)-1)</f>
        <v/>
      </c>
      <c r="J65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5" s="1" t="e">
        <f>IF(VALUE(Table15678910111216182021222329[[#This Row],[Column5]])&gt;7,"1403/"&amp;J65,"1404/"&amp;J65)</f>
        <v>#VALUE!</v>
      </c>
      <c r="L65" s="3" t="e">
        <f>K65&amp;"-"&amp;Table15678910111216182021222329[[#This Row],[product_id]]</f>
        <v>#VALUE!</v>
      </c>
      <c r="M65" s="3" t="e">
        <f>_xlfn.XLOOKUP(Table15678910111216182021222329[[#This Row],[order]],Table156789101112[idd],Table156789101112[id])</f>
        <v>#VALUE!</v>
      </c>
    </row>
    <row r="66" spans="1:13" x14ac:dyDescent="0.25">
      <c r="A66" s="1">
        <v>293</v>
      </c>
      <c r="B66" s="1" t="s">
        <v>408</v>
      </c>
      <c r="C66" s="1">
        <v>141650001</v>
      </c>
      <c r="D66" s="1">
        <v>6</v>
      </c>
      <c r="E66" s="1" t="s">
        <v>371</v>
      </c>
      <c r="F66" s="1">
        <v>6</v>
      </c>
      <c r="I66" s="1" t="str" cm="1">
        <f t="array" ref="I66">LEFT(E66, MATCH(FALSE, ISNUMBER(MID(E66, ROW($1:$100), 1)*1), 0)-1)</f>
        <v/>
      </c>
      <c r="J66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>-</v>
      </c>
      <c r="K66" s="1" t="e">
        <f>IF(VALUE(Table15678910111216182021222329[[#This Row],[Column5]])&gt;7,"1403/"&amp;J66,"1404/"&amp;J66)</f>
        <v>#VALUE!</v>
      </c>
      <c r="L66" s="3" t="e">
        <f>K66&amp;"-"&amp;Table15678910111216182021222329[[#This Row],[product_id]]</f>
        <v>#VALUE!</v>
      </c>
      <c r="M66" s="3" t="e">
        <f>_xlfn.XLOOKUP(Table15678910111216182021222329[[#This Row],[order]],Table156789101112[idd],Table156789101112[id])</f>
        <v>#VALUE!</v>
      </c>
    </row>
    <row r="67" spans="1:13" x14ac:dyDescent="0.25">
      <c r="A67" s="1">
        <v>369</v>
      </c>
      <c r="B67" s="1" t="s">
        <v>810</v>
      </c>
      <c r="C67" s="1">
        <v>140550022</v>
      </c>
      <c r="D67" s="1">
        <v>30</v>
      </c>
      <c r="E67" s="1">
        <v>1000</v>
      </c>
      <c r="F67" s="1">
        <v>30</v>
      </c>
      <c r="I67" s="1" t="str" cm="1">
        <f t="array" ref="I67">LEFT(E67, MATCH(FALSE, ISNUMBER(MID(E67, ROW($1:$100), 1)*1), 0)-1)</f>
        <v>1000</v>
      </c>
      <c r="J67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7" s="1" t="str">
        <f>IF(VALUE(Table15678910111216182021222329[[#This Row],[Column5]])&gt;7,"1403/"&amp;J67,"1404/"&amp;J67)</f>
        <v>1403/</v>
      </c>
      <c r="L67" s="3" t="str">
        <f>K67&amp;"-"&amp;Table15678910111216182021222329[[#This Row],[product_id]]</f>
        <v>1403/-140550022</v>
      </c>
      <c r="M67" s="3" t="e">
        <f>_xlfn.XLOOKUP(Table15678910111216182021222329[[#This Row],[order]],Table156789101112[idd],Table156789101112[id])</f>
        <v>#N/A</v>
      </c>
    </row>
    <row r="68" spans="1:13" x14ac:dyDescent="0.25">
      <c r="A68" s="1">
        <v>403</v>
      </c>
      <c r="B68" s="1" t="s">
        <v>554</v>
      </c>
      <c r="C68" s="1">
        <v>140550088</v>
      </c>
      <c r="D68" s="1">
        <v>30</v>
      </c>
      <c r="E68" s="1">
        <v>1000</v>
      </c>
      <c r="F68" s="1">
        <v>30</v>
      </c>
      <c r="I68" s="1" t="str" cm="1">
        <f t="array" ref="I68">LEFT(E68, MATCH(FALSE, ISNUMBER(MID(E68, ROW($1:$100), 1)*1), 0)-1)</f>
        <v>1000</v>
      </c>
      <c r="J68" s="1" t="str">
        <f>IF(LEN(Table15678910111216182021222329[[#This Row],[Column5]])=1,"0"&amp;Table15678910111216182021222329[[#This Row],[plan]],IF(LEN(Table15678910111216182021222329[[#This Row],[Column5]])&lt;3,Table15678910111216182021222329[[#This Row],[plan]],""))</f>
        <v/>
      </c>
      <c r="K68" s="1" t="str">
        <f>IF(VALUE(Table15678910111216182021222329[[#This Row],[Column5]])&gt;7,"1403/"&amp;J68,"1404/"&amp;J68)</f>
        <v>1403/</v>
      </c>
      <c r="L68" s="3" t="str">
        <f>K68&amp;"-"&amp;Table15678910111216182021222329[[#This Row],[product_id]]</f>
        <v>1403/-140550088</v>
      </c>
      <c r="M68" s="3" t="e">
        <f>_xlfn.XLOOKUP(Table15678910111216182021222329[[#This Row],[order]],Table156789101112[idd],Table156789101112[id])</f>
        <v>#N/A</v>
      </c>
    </row>
    <row r="69" spans="1:13" x14ac:dyDescent="0.25">
      <c r="A69" s="1">
        <v>457</v>
      </c>
      <c r="B69" s="1" t="s">
        <v>410</v>
      </c>
      <c r="C69" s="1">
        <v>140550056</v>
      </c>
      <c r="D69" s="1">
        <v>30</v>
      </c>
      <c r="F69" s="1">
        <v>30</v>
      </c>
      <c r="I69" s="1" t="str" cm="1">
        <f t="array" ref="I69">LEFT(E69, MATCH(FALSE, ISNUMBER(MID(E69, ROW($1:$100), 1)*1), 0)-1)</f>
        <v/>
      </c>
      <c r="J69" s="1">
        <f>IF(LEN(Table15678910111216182021222329[[#This Row],[Column5]])=1,"0"&amp;Table15678910111216182021222329[[#This Row],[plan]],IF(LEN(Table15678910111216182021222329[[#This Row],[Column5]])&lt;3,Table15678910111216182021222329[[#This Row],[plan]],""))</f>
        <v>0</v>
      </c>
      <c r="K69" s="1" t="e">
        <f>IF(VALUE(Table15678910111216182021222329[[#This Row],[Column5]])&gt;7,"1403/"&amp;J69,"1404/"&amp;J69)</f>
        <v>#VALUE!</v>
      </c>
      <c r="L69" s="3" t="e">
        <f>K69&amp;"-"&amp;Table15678910111216182021222329[[#This Row],[product_id]]</f>
        <v>#VALUE!</v>
      </c>
      <c r="M69" s="3" t="e">
        <f>_xlfn.XLOOKUP(Table15678910111216182021222329[[#This Row],[order]],Table156789101112[idd],Table156789101112[id])</f>
        <v>#VALUE!</v>
      </c>
    </row>
    <row r="286" spans="15:15" x14ac:dyDescent="0.25">
      <c r="O286" s="1" t="s">
        <v>820</v>
      </c>
    </row>
    <row r="287" spans="15:15" x14ac:dyDescent="0.25">
      <c r="O287" s="1" t="s">
        <v>821</v>
      </c>
    </row>
    <row r="288" spans="15:15" x14ac:dyDescent="0.25">
      <c r="O288" s="1" t="s">
        <v>822</v>
      </c>
    </row>
    <row r="289" spans="15:15" x14ac:dyDescent="0.25">
      <c r="O289" s="1" t="s">
        <v>823</v>
      </c>
    </row>
    <row r="290" spans="15:15" x14ac:dyDescent="0.25">
      <c r="O290" s="1" t="s">
        <v>824</v>
      </c>
    </row>
    <row r="291" spans="15:15" x14ac:dyDescent="0.25">
      <c r="O291" s="1" t="s">
        <v>825</v>
      </c>
    </row>
    <row r="292" spans="15:15" x14ac:dyDescent="0.25">
      <c r="O292" s="1" t="s">
        <v>826</v>
      </c>
    </row>
    <row r="293" spans="15:15" x14ac:dyDescent="0.25">
      <c r="O293" s="1" t="s">
        <v>827</v>
      </c>
    </row>
    <row r="294" spans="15:15" x14ac:dyDescent="0.25">
      <c r="O294" s="1" t="s">
        <v>828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9D471-5D72-4CEB-8104-AB411C9D4D34}">
  <sheetPr codeName="Sheet22"/>
  <dimension ref="A1:D441"/>
  <sheetViews>
    <sheetView topLeftCell="A413" workbookViewId="0">
      <selection activeCell="A441" sqref="A441"/>
    </sheetView>
  </sheetViews>
  <sheetFormatPr defaultColWidth="15.7109375" defaultRowHeight="15" x14ac:dyDescent="0.25"/>
  <cols>
    <col min="1" max="1" width="15.7109375" style="1"/>
    <col min="2" max="2" width="18.140625" style="1" bestFit="1" customWidth="1"/>
    <col min="3" max="16384" width="15.7109375" style="1"/>
  </cols>
  <sheetData>
    <row r="1" spans="1:4" x14ac:dyDescent="0.25">
      <c r="A1" s="1" t="s">
        <v>0</v>
      </c>
      <c r="B1" s="1" t="s">
        <v>837</v>
      </c>
      <c r="C1" s="1" t="s">
        <v>389</v>
      </c>
      <c r="D1" s="1" t="s">
        <v>505</v>
      </c>
    </row>
    <row r="2" spans="1:4" x14ac:dyDescent="0.25">
      <c r="A2" s="1">
        <v>1</v>
      </c>
      <c r="B2" s="1">
        <v>4</v>
      </c>
      <c r="C2" s="1">
        <v>100</v>
      </c>
      <c r="D2" s="1">
        <v>6</v>
      </c>
    </row>
    <row r="3" spans="1:4" x14ac:dyDescent="0.25">
      <c r="A3" s="1">
        <v>2</v>
      </c>
      <c r="B3" s="1">
        <v>4</v>
      </c>
    </row>
    <row r="4" spans="1:4" x14ac:dyDescent="0.25">
      <c r="A4" s="1">
        <v>3</v>
      </c>
      <c r="B4" s="1">
        <v>5</v>
      </c>
      <c r="C4" s="1">
        <v>1050</v>
      </c>
      <c r="D4" s="1">
        <v>6</v>
      </c>
    </row>
    <row r="5" spans="1:4" x14ac:dyDescent="0.25">
      <c r="A5" s="1">
        <v>4</v>
      </c>
      <c r="B5" s="1">
        <v>5</v>
      </c>
    </row>
    <row r="6" spans="1:4" x14ac:dyDescent="0.25">
      <c r="A6" s="1">
        <v>5</v>
      </c>
      <c r="B6" s="1">
        <v>6</v>
      </c>
      <c r="C6" s="1">
        <v>800</v>
      </c>
      <c r="D6" s="1">
        <v>6</v>
      </c>
    </row>
    <row r="7" spans="1:4" x14ac:dyDescent="0.25">
      <c r="A7" s="1">
        <v>6</v>
      </c>
      <c r="B7" s="1">
        <v>7</v>
      </c>
      <c r="C7" s="1">
        <v>1200</v>
      </c>
      <c r="D7" s="1">
        <v>5</v>
      </c>
    </row>
    <row r="8" spans="1:4" x14ac:dyDescent="0.25">
      <c r="A8" s="1">
        <v>7</v>
      </c>
      <c r="B8" s="1">
        <v>8</v>
      </c>
      <c r="C8" s="1">
        <v>1200</v>
      </c>
      <c r="D8" s="1">
        <v>5</v>
      </c>
    </row>
    <row r="9" spans="1:4" x14ac:dyDescent="0.25">
      <c r="A9" s="1">
        <v>8</v>
      </c>
      <c r="B9" s="1">
        <v>9</v>
      </c>
      <c r="C9" s="1">
        <v>593</v>
      </c>
      <c r="D9" s="1">
        <v>5</v>
      </c>
    </row>
    <row r="10" spans="1:4" x14ac:dyDescent="0.25">
      <c r="A10" s="1">
        <v>9</v>
      </c>
      <c r="B10" s="1">
        <v>22</v>
      </c>
      <c r="C10" s="1">
        <v>44</v>
      </c>
      <c r="D10" s="1">
        <v>6</v>
      </c>
    </row>
    <row r="11" spans="1:4" x14ac:dyDescent="0.25">
      <c r="A11" s="1">
        <v>10</v>
      </c>
      <c r="B11" s="1">
        <v>32</v>
      </c>
      <c r="C11" s="1">
        <v>300</v>
      </c>
      <c r="D11" s="1">
        <v>7</v>
      </c>
    </row>
    <row r="12" spans="1:4" x14ac:dyDescent="0.25">
      <c r="A12" s="1">
        <v>11</v>
      </c>
      <c r="B12" s="1">
        <v>46</v>
      </c>
      <c r="C12" s="1">
        <v>2600</v>
      </c>
      <c r="D12" s="1">
        <v>21</v>
      </c>
    </row>
    <row r="13" spans="1:4" x14ac:dyDescent="0.25">
      <c r="A13" s="1">
        <v>12</v>
      </c>
      <c r="B13" s="1">
        <v>46</v>
      </c>
      <c r="C13" s="1">
        <v>300</v>
      </c>
      <c r="D13" s="1">
        <v>7</v>
      </c>
    </row>
    <row r="14" spans="1:4" x14ac:dyDescent="0.25">
      <c r="A14" s="1">
        <v>13</v>
      </c>
      <c r="B14" s="1">
        <v>49</v>
      </c>
      <c r="C14" s="1">
        <v>1725</v>
      </c>
      <c r="D14" s="1">
        <v>11</v>
      </c>
    </row>
    <row r="15" spans="1:4" x14ac:dyDescent="0.25">
      <c r="A15" s="1">
        <v>14</v>
      </c>
      <c r="B15" s="1">
        <v>52</v>
      </c>
      <c r="C15" s="1">
        <v>300</v>
      </c>
      <c r="D15" s="1">
        <v>19</v>
      </c>
    </row>
    <row r="16" spans="1:4" x14ac:dyDescent="0.25">
      <c r="A16" s="1">
        <v>15</v>
      </c>
      <c r="B16" s="1">
        <v>53</v>
      </c>
      <c r="C16" s="1">
        <v>4050</v>
      </c>
      <c r="D16" s="1">
        <v>11</v>
      </c>
    </row>
    <row r="17" spans="1:4" x14ac:dyDescent="0.25">
      <c r="A17" s="1">
        <v>16</v>
      </c>
      <c r="B17" s="1">
        <v>54</v>
      </c>
      <c r="C17" s="1">
        <v>1000</v>
      </c>
      <c r="D17" s="1">
        <v>20</v>
      </c>
    </row>
    <row r="18" spans="1:4" x14ac:dyDescent="0.25">
      <c r="A18" s="1">
        <v>17</v>
      </c>
      <c r="B18" s="1">
        <v>56</v>
      </c>
      <c r="C18" s="1">
        <v>1200</v>
      </c>
      <c r="D18" s="1">
        <v>19</v>
      </c>
    </row>
    <row r="19" spans="1:4" x14ac:dyDescent="0.25">
      <c r="A19" s="1">
        <v>18</v>
      </c>
      <c r="B19" s="1">
        <v>58</v>
      </c>
      <c r="C19" s="1">
        <v>2250</v>
      </c>
      <c r="D19" s="1">
        <v>11</v>
      </c>
    </row>
    <row r="20" spans="1:4" x14ac:dyDescent="0.25">
      <c r="A20" s="1">
        <v>19</v>
      </c>
      <c r="B20" s="1">
        <v>59</v>
      </c>
      <c r="C20" s="1">
        <v>2000</v>
      </c>
      <c r="D20" s="1">
        <v>20</v>
      </c>
    </row>
    <row r="21" spans="1:4" x14ac:dyDescent="0.25">
      <c r="A21" s="1">
        <v>20</v>
      </c>
      <c r="B21" s="1">
        <v>60</v>
      </c>
      <c r="C21" s="1">
        <v>900</v>
      </c>
      <c r="D21" s="1">
        <v>13</v>
      </c>
    </row>
    <row r="22" spans="1:4" x14ac:dyDescent="0.25">
      <c r="A22" s="1">
        <v>21</v>
      </c>
      <c r="B22" s="1">
        <v>60</v>
      </c>
      <c r="C22" s="1">
        <v>400</v>
      </c>
      <c r="D22" s="1">
        <v>21</v>
      </c>
    </row>
    <row r="23" spans="1:4" x14ac:dyDescent="0.25">
      <c r="A23" s="1">
        <v>22</v>
      </c>
      <c r="B23" s="1">
        <v>64</v>
      </c>
      <c r="C23" s="1">
        <v>1800</v>
      </c>
      <c r="D23" s="1">
        <v>12</v>
      </c>
    </row>
    <row r="24" spans="1:4" x14ac:dyDescent="0.25">
      <c r="A24" s="1">
        <v>23</v>
      </c>
      <c r="B24" s="1">
        <v>65</v>
      </c>
      <c r="C24" s="1">
        <v>3500</v>
      </c>
      <c r="D24" s="1">
        <v>13</v>
      </c>
    </row>
    <row r="25" spans="1:4" x14ac:dyDescent="0.25">
      <c r="A25" s="1">
        <v>24</v>
      </c>
      <c r="B25" s="1">
        <v>67</v>
      </c>
      <c r="C25" s="1">
        <v>1300</v>
      </c>
      <c r="D25" s="1">
        <v>12</v>
      </c>
    </row>
    <row r="26" spans="1:4" x14ac:dyDescent="0.25">
      <c r="A26" s="1">
        <v>25</v>
      </c>
      <c r="B26" s="1">
        <v>68</v>
      </c>
      <c r="C26" s="1">
        <v>2200</v>
      </c>
      <c r="D26" s="1">
        <v>13</v>
      </c>
    </row>
    <row r="27" spans="1:4" x14ac:dyDescent="0.25">
      <c r="A27" s="1">
        <v>26</v>
      </c>
      <c r="B27" s="1">
        <v>70</v>
      </c>
      <c r="C27" s="1">
        <v>75</v>
      </c>
      <c r="D27" s="1">
        <v>11</v>
      </c>
    </row>
    <row r="28" spans="1:4" x14ac:dyDescent="0.25">
      <c r="A28" s="1">
        <v>27</v>
      </c>
      <c r="B28" s="1">
        <v>71</v>
      </c>
      <c r="C28" s="1">
        <v>900</v>
      </c>
      <c r="D28" s="1">
        <v>13</v>
      </c>
    </row>
    <row r="29" spans="1:4" x14ac:dyDescent="0.25">
      <c r="A29" s="1">
        <v>28</v>
      </c>
      <c r="B29" s="1">
        <v>72</v>
      </c>
      <c r="C29" s="1">
        <v>1300</v>
      </c>
      <c r="D29" s="1">
        <v>16</v>
      </c>
    </row>
    <row r="30" spans="1:4" x14ac:dyDescent="0.25">
      <c r="A30" s="1">
        <v>29</v>
      </c>
      <c r="B30" s="1">
        <v>76</v>
      </c>
      <c r="C30" s="1">
        <v>1850</v>
      </c>
      <c r="D30" s="1">
        <v>8</v>
      </c>
    </row>
    <row r="31" spans="1:4" x14ac:dyDescent="0.25">
      <c r="A31" s="1">
        <v>30</v>
      </c>
      <c r="B31" s="1">
        <v>76</v>
      </c>
      <c r="C31" s="1">
        <v>100</v>
      </c>
      <c r="D31" s="1">
        <v>19</v>
      </c>
    </row>
    <row r="32" spans="1:4" x14ac:dyDescent="0.25">
      <c r="A32" s="1">
        <v>31</v>
      </c>
      <c r="B32" s="1">
        <v>77</v>
      </c>
      <c r="C32" s="1">
        <v>300</v>
      </c>
      <c r="D32" s="1">
        <v>9</v>
      </c>
    </row>
    <row r="33" spans="1:4" x14ac:dyDescent="0.25">
      <c r="A33" s="1">
        <v>32</v>
      </c>
      <c r="B33" s="1">
        <v>78</v>
      </c>
      <c r="C33" s="1">
        <v>1500</v>
      </c>
      <c r="D33" s="1">
        <v>12</v>
      </c>
    </row>
    <row r="34" spans="1:4" x14ac:dyDescent="0.25">
      <c r="A34" s="1">
        <v>33</v>
      </c>
      <c r="B34" s="1">
        <v>79</v>
      </c>
      <c r="C34" s="1">
        <v>600</v>
      </c>
      <c r="D34" s="1">
        <v>16</v>
      </c>
    </row>
    <row r="35" spans="1:4" x14ac:dyDescent="0.25">
      <c r="A35" s="1">
        <v>34</v>
      </c>
      <c r="B35" s="1">
        <v>82</v>
      </c>
      <c r="C35" s="1">
        <v>1300</v>
      </c>
      <c r="D35" s="1">
        <v>15</v>
      </c>
    </row>
    <row r="36" spans="1:4" x14ac:dyDescent="0.25">
      <c r="A36" s="1">
        <v>35</v>
      </c>
      <c r="B36" s="1">
        <v>83</v>
      </c>
      <c r="C36" s="1">
        <v>1800</v>
      </c>
      <c r="D36" s="1">
        <v>8</v>
      </c>
    </row>
    <row r="37" spans="1:4" x14ac:dyDescent="0.25">
      <c r="A37" s="1">
        <v>36</v>
      </c>
      <c r="B37" s="1">
        <v>84</v>
      </c>
      <c r="C37" s="1">
        <v>2850</v>
      </c>
      <c r="D37" s="1">
        <v>9</v>
      </c>
    </row>
    <row r="38" spans="1:4" x14ac:dyDescent="0.25">
      <c r="A38" s="1">
        <v>37</v>
      </c>
      <c r="B38" s="1">
        <v>85</v>
      </c>
      <c r="C38" s="1">
        <v>600</v>
      </c>
      <c r="D38" s="1">
        <v>10</v>
      </c>
    </row>
    <row r="39" spans="1:4" x14ac:dyDescent="0.25">
      <c r="A39" s="1">
        <v>38</v>
      </c>
      <c r="B39" s="1">
        <v>86</v>
      </c>
      <c r="C39" s="1">
        <v>1000</v>
      </c>
      <c r="D39" s="1">
        <v>16</v>
      </c>
    </row>
    <row r="40" spans="1:4" x14ac:dyDescent="0.25">
      <c r="A40" s="1">
        <v>39</v>
      </c>
      <c r="B40" s="1">
        <v>88</v>
      </c>
      <c r="C40" s="1">
        <v>750</v>
      </c>
      <c r="D40" s="1">
        <v>8</v>
      </c>
    </row>
    <row r="41" spans="1:4" x14ac:dyDescent="0.25">
      <c r="A41" s="1">
        <v>40</v>
      </c>
      <c r="B41" s="1">
        <v>89</v>
      </c>
      <c r="C41" s="1">
        <v>1700</v>
      </c>
      <c r="D41" s="1">
        <v>9</v>
      </c>
    </row>
    <row r="42" spans="1:4" x14ac:dyDescent="0.25">
      <c r="A42" s="1">
        <v>41</v>
      </c>
      <c r="B42" s="1">
        <v>90</v>
      </c>
      <c r="C42" s="1">
        <v>400</v>
      </c>
      <c r="D42" s="1">
        <v>10</v>
      </c>
    </row>
    <row r="43" spans="1:4" x14ac:dyDescent="0.25">
      <c r="A43" s="1">
        <v>42</v>
      </c>
      <c r="B43" s="1">
        <v>91</v>
      </c>
      <c r="C43" s="1">
        <v>2200</v>
      </c>
      <c r="D43" s="1">
        <v>12</v>
      </c>
    </row>
    <row r="44" spans="1:4" x14ac:dyDescent="0.25">
      <c r="A44" s="1">
        <v>43</v>
      </c>
      <c r="B44" s="1">
        <v>92</v>
      </c>
      <c r="C44" s="1">
        <v>100</v>
      </c>
      <c r="D44" s="1">
        <v>16</v>
      </c>
    </row>
    <row r="45" spans="1:4" x14ac:dyDescent="0.25">
      <c r="A45" s="1">
        <v>44</v>
      </c>
      <c r="B45" s="1">
        <v>94</v>
      </c>
      <c r="C45" s="1">
        <v>975</v>
      </c>
      <c r="D45" s="1">
        <v>8</v>
      </c>
    </row>
    <row r="46" spans="1:4" x14ac:dyDescent="0.25">
      <c r="A46" s="1">
        <v>45</v>
      </c>
      <c r="B46" s="1">
        <v>95</v>
      </c>
      <c r="C46" s="1">
        <v>3000</v>
      </c>
      <c r="D46" s="1">
        <v>9</v>
      </c>
    </row>
    <row r="47" spans="1:4" x14ac:dyDescent="0.25">
      <c r="A47" s="1">
        <v>46</v>
      </c>
      <c r="B47" s="1">
        <v>96</v>
      </c>
      <c r="C47" s="1">
        <v>600</v>
      </c>
      <c r="D47" s="1">
        <v>36</v>
      </c>
    </row>
    <row r="48" spans="1:4" x14ac:dyDescent="0.25">
      <c r="A48" s="1">
        <v>47</v>
      </c>
      <c r="B48" s="1">
        <v>97</v>
      </c>
      <c r="C48" s="1">
        <v>500</v>
      </c>
      <c r="D48" s="1">
        <v>13</v>
      </c>
    </row>
    <row r="49" spans="1:4" x14ac:dyDescent="0.25">
      <c r="A49" s="1">
        <v>48</v>
      </c>
      <c r="B49" s="1">
        <v>98</v>
      </c>
      <c r="C49" s="1">
        <v>800</v>
      </c>
      <c r="D49" s="1">
        <v>15</v>
      </c>
    </row>
    <row r="50" spans="1:4" x14ac:dyDescent="0.25">
      <c r="A50" s="1">
        <v>49</v>
      </c>
      <c r="B50" s="1">
        <v>99</v>
      </c>
      <c r="C50" s="1">
        <v>300</v>
      </c>
      <c r="D50" s="1">
        <v>8</v>
      </c>
    </row>
    <row r="51" spans="1:4" x14ac:dyDescent="0.25">
      <c r="A51" s="1">
        <v>50</v>
      </c>
      <c r="B51" s="1">
        <v>100</v>
      </c>
      <c r="C51" s="1">
        <v>1000</v>
      </c>
      <c r="D51" s="1">
        <v>9</v>
      </c>
    </row>
    <row r="52" spans="1:4" x14ac:dyDescent="0.25">
      <c r="A52" s="1">
        <v>51</v>
      </c>
      <c r="B52" s="1">
        <v>101</v>
      </c>
      <c r="C52" s="1">
        <v>100</v>
      </c>
      <c r="D52" s="1">
        <v>36</v>
      </c>
    </row>
    <row r="53" spans="1:4" x14ac:dyDescent="0.25">
      <c r="A53" s="1">
        <v>52</v>
      </c>
      <c r="B53" s="1">
        <v>102</v>
      </c>
      <c r="C53" s="1">
        <v>1500</v>
      </c>
      <c r="D53" s="1">
        <v>15</v>
      </c>
    </row>
    <row r="54" spans="1:4" x14ac:dyDescent="0.25">
      <c r="A54" s="1">
        <v>53</v>
      </c>
      <c r="B54" s="1">
        <v>104</v>
      </c>
      <c r="C54" s="1">
        <v>3200</v>
      </c>
      <c r="D54" s="1">
        <v>18</v>
      </c>
    </row>
    <row r="55" spans="1:4" x14ac:dyDescent="0.25">
      <c r="A55" s="1">
        <v>54</v>
      </c>
      <c r="B55" s="1">
        <v>105</v>
      </c>
      <c r="C55" s="1">
        <v>450</v>
      </c>
      <c r="D55" s="1">
        <v>9</v>
      </c>
    </row>
    <row r="56" spans="1:4" x14ac:dyDescent="0.25">
      <c r="A56" s="1">
        <v>55</v>
      </c>
      <c r="B56" s="1">
        <v>106</v>
      </c>
      <c r="C56" s="1">
        <v>200</v>
      </c>
      <c r="D56" s="1">
        <v>36</v>
      </c>
    </row>
    <row r="57" spans="1:4" x14ac:dyDescent="0.25">
      <c r="A57" s="1">
        <v>56</v>
      </c>
      <c r="B57" s="1">
        <v>107</v>
      </c>
      <c r="C57" s="1">
        <v>1500</v>
      </c>
      <c r="D57" s="1">
        <v>37</v>
      </c>
    </row>
    <row r="58" spans="1:4" x14ac:dyDescent="0.25">
      <c r="A58" s="1">
        <v>57</v>
      </c>
      <c r="B58" s="1">
        <v>109</v>
      </c>
      <c r="C58" s="1">
        <v>514</v>
      </c>
      <c r="D58" s="1">
        <v>14</v>
      </c>
    </row>
    <row r="59" spans="1:4" x14ac:dyDescent="0.25">
      <c r="A59" s="1">
        <v>58</v>
      </c>
      <c r="B59" s="1">
        <v>110</v>
      </c>
      <c r="C59" s="1">
        <v>450</v>
      </c>
      <c r="D59" s="1">
        <v>15</v>
      </c>
    </row>
    <row r="60" spans="1:4" x14ac:dyDescent="0.25">
      <c r="A60" s="1">
        <v>59</v>
      </c>
      <c r="B60" s="1">
        <v>112</v>
      </c>
      <c r="C60" s="1">
        <v>2200</v>
      </c>
      <c r="D60" s="1">
        <v>18</v>
      </c>
    </row>
    <row r="61" spans="1:4" x14ac:dyDescent="0.25">
      <c r="A61" s="1">
        <v>60</v>
      </c>
      <c r="B61" s="1">
        <v>113</v>
      </c>
      <c r="C61" s="1">
        <v>1000</v>
      </c>
      <c r="D61" s="1">
        <v>9</v>
      </c>
    </row>
    <row r="62" spans="1:4" x14ac:dyDescent="0.25">
      <c r="A62" s="1">
        <v>61</v>
      </c>
      <c r="B62" s="1">
        <v>114</v>
      </c>
      <c r="C62" s="1">
        <v>1950</v>
      </c>
      <c r="D62" s="1">
        <v>15</v>
      </c>
    </row>
    <row r="63" spans="1:4" x14ac:dyDescent="0.25">
      <c r="A63" s="1">
        <v>62</v>
      </c>
      <c r="B63" s="1">
        <v>115</v>
      </c>
      <c r="C63" s="1">
        <v>900</v>
      </c>
      <c r="D63" s="1">
        <v>18</v>
      </c>
    </row>
    <row r="64" spans="1:4" x14ac:dyDescent="0.25">
      <c r="A64" s="1">
        <v>63</v>
      </c>
      <c r="B64" s="1">
        <v>116</v>
      </c>
      <c r="C64" s="1">
        <v>2350</v>
      </c>
      <c r="D64" s="1">
        <v>9</v>
      </c>
    </row>
    <row r="65" spans="1:4" x14ac:dyDescent="0.25">
      <c r="A65" s="1">
        <v>64</v>
      </c>
      <c r="B65" s="1">
        <v>117</v>
      </c>
      <c r="C65" s="1">
        <v>1400</v>
      </c>
      <c r="D65" s="1">
        <v>37</v>
      </c>
    </row>
    <row r="66" spans="1:4" x14ac:dyDescent="0.25">
      <c r="A66" s="1">
        <v>65</v>
      </c>
      <c r="B66" s="1">
        <v>118</v>
      </c>
      <c r="C66" s="1">
        <v>3450</v>
      </c>
      <c r="D66" s="1">
        <v>9</v>
      </c>
    </row>
    <row r="67" spans="1:4" x14ac:dyDescent="0.25">
      <c r="A67" s="1">
        <v>66</v>
      </c>
      <c r="B67" s="1">
        <v>119</v>
      </c>
      <c r="C67" s="1">
        <v>1325</v>
      </c>
      <c r="D67" s="1">
        <v>8</v>
      </c>
    </row>
    <row r="68" spans="1:4" x14ac:dyDescent="0.25">
      <c r="A68" s="1">
        <v>67</v>
      </c>
      <c r="B68" s="1">
        <v>119</v>
      </c>
      <c r="C68" s="1">
        <v>475</v>
      </c>
      <c r="D68" s="1">
        <v>35</v>
      </c>
    </row>
    <row r="69" spans="1:4" x14ac:dyDescent="0.25">
      <c r="A69" s="1">
        <v>68</v>
      </c>
      <c r="B69" s="1">
        <v>120</v>
      </c>
      <c r="C69" s="1">
        <v>1800</v>
      </c>
      <c r="D69" s="1">
        <v>9</v>
      </c>
    </row>
    <row r="70" spans="1:4" x14ac:dyDescent="0.25">
      <c r="A70" s="1">
        <v>69</v>
      </c>
      <c r="B70" s="1">
        <v>121</v>
      </c>
      <c r="C70" s="1">
        <v>400</v>
      </c>
      <c r="D70" s="1">
        <v>36</v>
      </c>
    </row>
    <row r="71" spans="1:4" x14ac:dyDescent="0.25">
      <c r="A71" s="1">
        <v>70</v>
      </c>
      <c r="B71" s="1">
        <v>122</v>
      </c>
      <c r="C71" s="1">
        <v>100</v>
      </c>
      <c r="D71" s="1">
        <v>37</v>
      </c>
    </row>
    <row r="72" spans="1:4" x14ac:dyDescent="0.25">
      <c r="A72" s="1">
        <v>71</v>
      </c>
      <c r="B72" s="1">
        <v>123</v>
      </c>
      <c r="C72" s="1">
        <v>1275</v>
      </c>
      <c r="D72" s="1">
        <v>35</v>
      </c>
    </row>
    <row r="73" spans="1:4" x14ac:dyDescent="0.25">
      <c r="A73" s="1">
        <v>72</v>
      </c>
      <c r="B73" s="1">
        <v>124</v>
      </c>
      <c r="C73" s="1">
        <v>450</v>
      </c>
      <c r="D73" s="1">
        <v>9</v>
      </c>
    </row>
    <row r="74" spans="1:4" x14ac:dyDescent="0.25">
      <c r="A74" s="1">
        <v>73</v>
      </c>
      <c r="B74" s="1">
        <v>125</v>
      </c>
      <c r="C74" s="1">
        <v>300</v>
      </c>
      <c r="D74" s="1">
        <v>25</v>
      </c>
    </row>
    <row r="75" spans="1:4" x14ac:dyDescent="0.25">
      <c r="A75" s="1">
        <v>74</v>
      </c>
      <c r="B75" s="1">
        <v>126</v>
      </c>
      <c r="C75" s="1">
        <v>825</v>
      </c>
      <c r="D75" s="1">
        <v>35</v>
      </c>
    </row>
    <row r="76" spans="1:4" x14ac:dyDescent="0.25">
      <c r="A76" s="1">
        <v>75</v>
      </c>
      <c r="B76" s="1">
        <v>127</v>
      </c>
      <c r="C76" s="1">
        <v>1350</v>
      </c>
      <c r="D76" s="1">
        <v>25</v>
      </c>
    </row>
    <row r="77" spans="1:4" x14ac:dyDescent="0.25">
      <c r="A77" s="1">
        <v>76</v>
      </c>
      <c r="B77" s="1">
        <v>128</v>
      </c>
      <c r="C77" s="1">
        <v>500</v>
      </c>
      <c r="D77" s="1">
        <v>9</v>
      </c>
    </row>
    <row r="78" spans="1:4" x14ac:dyDescent="0.25">
      <c r="A78" s="1">
        <v>77</v>
      </c>
      <c r="B78" s="1">
        <v>129</v>
      </c>
      <c r="C78" s="1">
        <v>3150</v>
      </c>
      <c r="D78" s="1">
        <v>25</v>
      </c>
    </row>
    <row r="79" spans="1:4" x14ac:dyDescent="0.25">
      <c r="A79" s="1">
        <v>78</v>
      </c>
      <c r="B79" s="1">
        <v>130</v>
      </c>
      <c r="C79" s="1">
        <v>600</v>
      </c>
      <c r="D79" s="1">
        <v>36</v>
      </c>
    </row>
    <row r="80" spans="1:4" x14ac:dyDescent="0.25">
      <c r="A80" s="1">
        <v>79</v>
      </c>
      <c r="B80" s="1">
        <v>131</v>
      </c>
      <c r="C80" s="1">
        <v>1900</v>
      </c>
      <c r="D80" s="1">
        <v>9</v>
      </c>
    </row>
    <row r="81" spans="1:4" x14ac:dyDescent="0.25">
      <c r="A81" s="1">
        <v>80</v>
      </c>
      <c r="B81" s="1">
        <v>132</v>
      </c>
      <c r="C81" s="1">
        <v>975</v>
      </c>
      <c r="D81" s="1">
        <v>25</v>
      </c>
    </row>
    <row r="82" spans="1:4" x14ac:dyDescent="0.25">
      <c r="A82" s="1">
        <v>81</v>
      </c>
      <c r="B82" s="1">
        <v>133</v>
      </c>
      <c r="C82" s="1">
        <v>1100</v>
      </c>
      <c r="D82" s="1">
        <v>36</v>
      </c>
    </row>
    <row r="83" spans="1:4" x14ac:dyDescent="0.25">
      <c r="A83" s="1">
        <v>82</v>
      </c>
      <c r="B83" s="1">
        <v>134</v>
      </c>
      <c r="C83" s="1">
        <v>375</v>
      </c>
      <c r="D83" s="1">
        <v>35</v>
      </c>
    </row>
    <row r="84" spans="1:4" x14ac:dyDescent="0.25">
      <c r="A84" s="1">
        <v>83</v>
      </c>
      <c r="B84" s="1">
        <v>135</v>
      </c>
      <c r="C84" s="1">
        <v>1050</v>
      </c>
      <c r="D84" s="1">
        <v>9</v>
      </c>
    </row>
    <row r="85" spans="1:4" x14ac:dyDescent="0.25">
      <c r="A85" s="1">
        <v>84</v>
      </c>
      <c r="B85" s="1">
        <v>136</v>
      </c>
      <c r="C85" s="1">
        <v>825</v>
      </c>
      <c r="D85" s="1">
        <v>25</v>
      </c>
    </row>
    <row r="86" spans="1:4" x14ac:dyDescent="0.25">
      <c r="A86" s="1">
        <v>85</v>
      </c>
      <c r="B86" s="1">
        <v>137</v>
      </c>
      <c r="C86" s="1">
        <v>700</v>
      </c>
      <c r="D86" s="1">
        <v>36</v>
      </c>
    </row>
    <row r="87" spans="1:4" x14ac:dyDescent="0.25">
      <c r="A87" s="1">
        <v>86</v>
      </c>
      <c r="B87" s="1">
        <v>140</v>
      </c>
      <c r="C87" s="1">
        <v>1200</v>
      </c>
      <c r="D87" s="1">
        <v>18</v>
      </c>
    </row>
    <row r="88" spans="1:4" x14ac:dyDescent="0.25">
      <c r="A88" s="1">
        <v>87</v>
      </c>
      <c r="B88" s="1">
        <v>141</v>
      </c>
      <c r="C88" s="1">
        <v>1725</v>
      </c>
      <c r="D88" s="1">
        <v>25</v>
      </c>
    </row>
    <row r="89" spans="1:4" x14ac:dyDescent="0.25">
      <c r="A89" s="1">
        <v>88</v>
      </c>
      <c r="B89" s="1">
        <v>142</v>
      </c>
      <c r="C89" s="1">
        <v>2100</v>
      </c>
      <c r="D89" s="1">
        <v>18</v>
      </c>
    </row>
    <row r="90" spans="1:4" x14ac:dyDescent="0.25">
      <c r="A90" s="1">
        <v>89</v>
      </c>
      <c r="B90" s="1">
        <v>143</v>
      </c>
      <c r="C90" s="1">
        <v>1575</v>
      </c>
      <c r="D90" s="1">
        <v>25</v>
      </c>
    </row>
    <row r="91" spans="1:4" x14ac:dyDescent="0.25">
      <c r="A91" s="1">
        <v>90</v>
      </c>
      <c r="B91" s="1">
        <v>144</v>
      </c>
      <c r="C91" s="1">
        <v>1300</v>
      </c>
      <c r="D91" s="1">
        <v>18</v>
      </c>
    </row>
    <row r="92" spans="1:4" x14ac:dyDescent="0.25">
      <c r="A92" s="1">
        <v>91</v>
      </c>
      <c r="B92" s="1">
        <v>145</v>
      </c>
      <c r="C92" s="1">
        <v>1000</v>
      </c>
      <c r="D92" s="1">
        <v>29</v>
      </c>
    </row>
    <row r="93" spans="1:4" x14ac:dyDescent="0.25">
      <c r="A93" s="1">
        <v>92</v>
      </c>
      <c r="B93" s="1">
        <v>146</v>
      </c>
      <c r="C93" s="1">
        <v>400</v>
      </c>
      <c r="D93" s="1">
        <v>32</v>
      </c>
    </row>
    <row r="94" spans="1:4" x14ac:dyDescent="0.25">
      <c r="A94" s="1">
        <v>93</v>
      </c>
      <c r="B94" s="1">
        <v>147</v>
      </c>
      <c r="C94" s="1">
        <v>2400</v>
      </c>
      <c r="D94" s="1">
        <v>18</v>
      </c>
    </row>
    <row r="95" spans="1:4" x14ac:dyDescent="0.25">
      <c r="A95" s="1">
        <v>94</v>
      </c>
      <c r="B95" s="1">
        <v>148</v>
      </c>
      <c r="C95" s="1">
        <v>1400</v>
      </c>
      <c r="D95" s="1">
        <v>28</v>
      </c>
    </row>
    <row r="96" spans="1:4" x14ac:dyDescent="0.25">
      <c r="A96" s="1">
        <v>95</v>
      </c>
      <c r="B96" s="1">
        <v>149</v>
      </c>
      <c r="C96" s="1">
        <v>1000</v>
      </c>
      <c r="D96" s="1">
        <v>29</v>
      </c>
    </row>
    <row r="97" spans="1:4" x14ac:dyDescent="0.25">
      <c r="A97" s="1">
        <v>96</v>
      </c>
      <c r="B97" s="1">
        <v>150</v>
      </c>
      <c r="C97" s="1">
        <v>950</v>
      </c>
      <c r="D97" s="1">
        <v>32</v>
      </c>
    </row>
    <row r="98" spans="1:4" x14ac:dyDescent="0.25">
      <c r="A98" s="1">
        <v>97</v>
      </c>
      <c r="B98" s="1">
        <v>151</v>
      </c>
      <c r="C98" s="1">
        <v>1200</v>
      </c>
      <c r="D98" s="1">
        <v>18</v>
      </c>
    </row>
    <row r="99" spans="1:4" x14ac:dyDescent="0.25">
      <c r="A99" s="1">
        <v>98</v>
      </c>
      <c r="B99" s="1">
        <v>152</v>
      </c>
      <c r="C99" s="1">
        <v>1800</v>
      </c>
      <c r="D99" s="1">
        <v>28</v>
      </c>
    </row>
    <row r="100" spans="1:4" x14ac:dyDescent="0.25">
      <c r="A100" s="1">
        <v>99</v>
      </c>
      <c r="B100" s="1">
        <v>153</v>
      </c>
      <c r="C100" s="1">
        <v>1000</v>
      </c>
      <c r="D100" s="1">
        <v>32</v>
      </c>
    </row>
    <row r="101" spans="1:4" x14ac:dyDescent="0.25">
      <c r="A101" s="1">
        <v>100</v>
      </c>
      <c r="B101" s="1">
        <v>154</v>
      </c>
      <c r="C101" s="1">
        <v>2500</v>
      </c>
      <c r="D101" s="1">
        <v>18</v>
      </c>
    </row>
    <row r="102" spans="1:4" x14ac:dyDescent="0.25">
      <c r="A102" s="1">
        <v>101</v>
      </c>
      <c r="B102" s="1">
        <v>155</v>
      </c>
      <c r="C102" s="1">
        <v>1600</v>
      </c>
      <c r="D102" s="1">
        <v>28</v>
      </c>
    </row>
    <row r="103" spans="1:4" x14ac:dyDescent="0.25">
      <c r="A103" s="1">
        <v>102</v>
      </c>
      <c r="B103" s="1">
        <v>156</v>
      </c>
      <c r="C103" s="1">
        <v>2050</v>
      </c>
      <c r="D103" s="1">
        <v>30</v>
      </c>
    </row>
    <row r="104" spans="1:4" x14ac:dyDescent="0.25">
      <c r="A104" s="1">
        <v>103</v>
      </c>
      <c r="B104" s="1">
        <v>157</v>
      </c>
      <c r="C104" s="1">
        <v>700</v>
      </c>
      <c r="D104" s="1">
        <v>31</v>
      </c>
    </row>
    <row r="105" spans="1:4" x14ac:dyDescent="0.25">
      <c r="A105" s="1">
        <v>104</v>
      </c>
      <c r="B105" s="1">
        <v>158</v>
      </c>
      <c r="C105" s="1">
        <v>925</v>
      </c>
      <c r="D105" s="1">
        <v>22</v>
      </c>
    </row>
    <row r="106" spans="1:4" x14ac:dyDescent="0.25">
      <c r="A106" s="1">
        <v>105</v>
      </c>
      <c r="B106" s="1">
        <v>158</v>
      </c>
      <c r="C106" s="1">
        <v>50</v>
      </c>
      <c r="D106" s="1">
        <v>35</v>
      </c>
    </row>
    <row r="107" spans="1:4" x14ac:dyDescent="0.25">
      <c r="A107" s="1">
        <v>106</v>
      </c>
      <c r="B107" s="1">
        <v>159</v>
      </c>
      <c r="C107" s="1">
        <v>2600</v>
      </c>
      <c r="D107" s="1">
        <v>28</v>
      </c>
    </row>
    <row r="108" spans="1:4" x14ac:dyDescent="0.25">
      <c r="A108" s="1">
        <v>107</v>
      </c>
      <c r="B108" s="1">
        <v>160</v>
      </c>
      <c r="C108" s="1">
        <v>800</v>
      </c>
      <c r="D108" s="1">
        <v>29</v>
      </c>
    </row>
    <row r="109" spans="1:4" x14ac:dyDescent="0.25">
      <c r="A109" s="1">
        <v>108</v>
      </c>
      <c r="B109" s="1">
        <v>161</v>
      </c>
      <c r="C109" s="1">
        <v>300</v>
      </c>
      <c r="D109" s="1">
        <v>30</v>
      </c>
    </row>
    <row r="110" spans="1:4" x14ac:dyDescent="0.25">
      <c r="A110" s="1">
        <v>109</v>
      </c>
      <c r="B110" s="1">
        <v>162</v>
      </c>
      <c r="C110" s="1">
        <v>1000</v>
      </c>
      <c r="D110" s="1">
        <v>31</v>
      </c>
    </row>
    <row r="111" spans="1:4" x14ac:dyDescent="0.25">
      <c r="A111" s="1">
        <v>110</v>
      </c>
      <c r="B111" s="1">
        <v>163</v>
      </c>
      <c r="C111" s="1">
        <v>1600</v>
      </c>
      <c r="D111" s="1">
        <v>18</v>
      </c>
    </row>
    <row r="112" spans="1:4" x14ac:dyDescent="0.25">
      <c r="A112" s="1">
        <v>111</v>
      </c>
      <c r="B112" s="1">
        <v>164</v>
      </c>
      <c r="C112" s="1">
        <v>475</v>
      </c>
      <c r="D112" s="1">
        <v>22</v>
      </c>
    </row>
    <row r="113" spans="1:4" x14ac:dyDescent="0.25">
      <c r="A113" s="1">
        <v>112</v>
      </c>
      <c r="B113" s="1">
        <v>165</v>
      </c>
      <c r="C113" s="1">
        <v>100</v>
      </c>
      <c r="D113" s="1">
        <v>9</v>
      </c>
    </row>
    <row r="114" spans="1:4" x14ac:dyDescent="0.25">
      <c r="A114" s="1">
        <v>113</v>
      </c>
      <c r="B114" s="1">
        <v>166</v>
      </c>
      <c r="C114" s="1">
        <v>800</v>
      </c>
      <c r="D114" s="1">
        <v>28</v>
      </c>
    </row>
    <row r="115" spans="1:4" x14ac:dyDescent="0.25">
      <c r="A115" s="1">
        <v>114</v>
      </c>
      <c r="B115" s="1">
        <v>167</v>
      </c>
      <c r="C115" s="1">
        <v>550</v>
      </c>
      <c r="D115" s="1">
        <v>30</v>
      </c>
    </row>
    <row r="116" spans="1:4" x14ac:dyDescent="0.25">
      <c r="A116" s="1">
        <v>115</v>
      </c>
      <c r="B116" s="1">
        <v>168</v>
      </c>
      <c r="C116" s="1">
        <v>900</v>
      </c>
      <c r="D116" s="1">
        <v>31</v>
      </c>
    </row>
    <row r="117" spans="1:4" x14ac:dyDescent="0.25">
      <c r="A117" s="1">
        <v>116</v>
      </c>
      <c r="B117" s="1">
        <v>169</v>
      </c>
      <c r="C117" s="1">
        <v>1000</v>
      </c>
      <c r="D117" s="1">
        <v>18</v>
      </c>
    </row>
    <row r="118" spans="1:4" x14ac:dyDescent="0.25">
      <c r="A118" s="1">
        <v>117</v>
      </c>
      <c r="B118" s="1">
        <v>170</v>
      </c>
      <c r="C118" s="1">
        <v>825</v>
      </c>
      <c r="D118" s="1">
        <v>22</v>
      </c>
    </row>
    <row r="119" spans="1:4" x14ac:dyDescent="0.25">
      <c r="A119" s="1">
        <v>118</v>
      </c>
      <c r="B119" s="1">
        <v>171</v>
      </c>
      <c r="C119" s="1">
        <v>1000</v>
      </c>
      <c r="D119" s="1">
        <v>28</v>
      </c>
    </row>
    <row r="120" spans="1:4" x14ac:dyDescent="0.25">
      <c r="A120" s="1">
        <v>119</v>
      </c>
      <c r="B120" s="1">
        <v>172</v>
      </c>
      <c r="C120" s="1">
        <v>400</v>
      </c>
      <c r="D120" s="1">
        <v>29</v>
      </c>
    </row>
    <row r="121" spans="1:4" x14ac:dyDescent="0.25">
      <c r="A121" s="1">
        <v>120</v>
      </c>
      <c r="B121" s="1">
        <v>173</v>
      </c>
      <c r="C121" s="1">
        <v>1400</v>
      </c>
      <c r="D121" s="1">
        <v>30</v>
      </c>
    </row>
    <row r="122" spans="1:4" x14ac:dyDescent="0.25">
      <c r="A122" s="1">
        <v>121</v>
      </c>
      <c r="B122" s="1">
        <v>174</v>
      </c>
      <c r="C122" s="1">
        <v>1500</v>
      </c>
      <c r="D122" s="1">
        <v>31</v>
      </c>
    </row>
    <row r="123" spans="1:4" x14ac:dyDescent="0.25">
      <c r="A123" s="1">
        <v>122</v>
      </c>
      <c r="B123" s="1">
        <v>175</v>
      </c>
      <c r="C123" s="1">
        <v>3900</v>
      </c>
      <c r="D123" s="1">
        <v>18</v>
      </c>
    </row>
    <row r="124" spans="1:4" x14ac:dyDescent="0.25">
      <c r="A124" s="1">
        <v>123</v>
      </c>
      <c r="B124" s="1">
        <v>176</v>
      </c>
      <c r="C124" s="1">
        <v>1275</v>
      </c>
      <c r="D124" s="1">
        <v>22</v>
      </c>
    </row>
    <row r="125" spans="1:4" x14ac:dyDescent="0.25">
      <c r="A125" s="1">
        <v>124</v>
      </c>
      <c r="B125" s="1">
        <v>177</v>
      </c>
      <c r="C125" s="1">
        <v>300</v>
      </c>
      <c r="D125" s="1">
        <v>26</v>
      </c>
    </row>
    <row r="126" spans="1:4" x14ac:dyDescent="0.25">
      <c r="A126" s="1">
        <v>125</v>
      </c>
      <c r="B126" s="1">
        <v>178</v>
      </c>
      <c r="C126" s="1">
        <v>400</v>
      </c>
      <c r="D126" s="1">
        <v>28</v>
      </c>
    </row>
    <row r="127" spans="1:4" x14ac:dyDescent="0.25">
      <c r="A127" s="1">
        <v>126</v>
      </c>
      <c r="B127" s="1">
        <v>179</v>
      </c>
      <c r="C127" s="1">
        <v>700</v>
      </c>
      <c r="D127" s="1">
        <v>29</v>
      </c>
    </row>
    <row r="128" spans="1:4" x14ac:dyDescent="0.25">
      <c r="A128" s="1">
        <v>127</v>
      </c>
      <c r="B128" s="1">
        <v>180</v>
      </c>
      <c r="C128" s="1">
        <v>400</v>
      </c>
      <c r="D128" s="1">
        <v>30</v>
      </c>
    </row>
    <row r="129" spans="1:4" x14ac:dyDescent="0.25">
      <c r="A129" s="1">
        <v>128</v>
      </c>
      <c r="B129" s="1">
        <v>181</v>
      </c>
      <c r="C129" s="1">
        <v>1100</v>
      </c>
      <c r="D129" s="1">
        <v>31</v>
      </c>
    </row>
    <row r="130" spans="1:4" x14ac:dyDescent="0.25">
      <c r="A130" s="1">
        <v>129</v>
      </c>
      <c r="B130" s="1">
        <v>182</v>
      </c>
      <c r="C130" s="1">
        <v>900</v>
      </c>
      <c r="D130" s="1">
        <v>32</v>
      </c>
    </row>
    <row r="131" spans="1:4" x14ac:dyDescent="0.25">
      <c r="A131" s="1">
        <v>130</v>
      </c>
      <c r="B131" s="1">
        <v>183</v>
      </c>
      <c r="C131" s="1">
        <v>440</v>
      </c>
      <c r="D131" s="1">
        <v>5</v>
      </c>
    </row>
    <row r="132" spans="1:4" x14ac:dyDescent="0.25">
      <c r="A132" s="1">
        <v>131</v>
      </c>
      <c r="B132" s="1">
        <v>184</v>
      </c>
      <c r="C132" s="1">
        <v>2000</v>
      </c>
      <c r="D132" s="1">
        <v>18</v>
      </c>
    </row>
    <row r="133" spans="1:4" x14ac:dyDescent="0.25">
      <c r="A133" s="1">
        <v>132</v>
      </c>
      <c r="B133" s="1">
        <v>185</v>
      </c>
      <c r="C133" s="1">
        <v>900</v>
      </c>
      <c r="D133" s="1">
        <v>22</v>
      </c>
    </row>
    <row r="134" spans="1:4" x14ac:dyDescent="0.25">
      <c r="A134" s="1">
        <v>133</v>
      </c>
      <c r="B134" s="1">
        <v>186</v>
      </c>
      <c r="C134" s="1">
        <v>600</v>
      </c>
      <c r="D134" s="1">
        <v>26</v>
      </c>
    </row>
    <row r="135" spans="1:4" x14ac:dyDescent="0.25">
      <c r="A135" s="1">
        <v>134</v>
      </c>
      <c r="B135" s="1">
        <v>187</v>
      </c>
      <c r="C135" s="1">
        <v>300</v>
      </c>
      <c r="D135" s="1">
        <v>28</v>
      </c>
    </row>
    <row r="136" spans="1:4" x14ac:dyDescent="0.25">
      <c r="A136" s="1">
        <v>135</v>
      </c>
      <c r="B136" s="1">
        <v>188</v>
      </c>
      <c r="C136" s="1">
        <v>1200</v>
      </c>
      <c r="D136" s="1">
        <v>30</v>
      </c>
    </row>
    <row r="137" spans="1:4" x14ac:dyDescent="0.25">
      <c r="A137" s="1">
        <v>136</v>
      </c>
      <c r="B137" s="1">
        <v>189</v>
      </c>
      <c r="C137" s="1">
        <v>1000</v>
      </c>
      <c r="D137" s="1">
        <v>31</v>
      </c>
    </row>
    <row r="138" spans="1:4" x14ac:dyDescent="0.25">
      <c r="A138" s="1">
        <v>137</v>
      </c>
      <c r="B138" s="1">
        <v>190</v>
      </c>
      <c r="C138" s="1">
        <v>250</v>
      </c>
      <c r="D138" s="1">
        <v>32</v>
      </c>
    </row>
    <row r="139" spans="1:4" x14ac:dyDescent="0.25">
      <c r="A139" s="1">
        <v>138</v>
      </c>
      <c r="B139" s="1">
        <v>191</v>
      </c>
      <c r="C139" s="1">
        <v>960</v>
      </c>
      <c r="D139" s="1">
        <v>5</v>
      </c>
    </row>
    <row r="140" spans="1:4" x14ac:dyDescent="0.25">
      <c r="A140" s="1">
        <v>139</v>
      </c>
      <c r="B140" s="1">
        <v>192</v>
      </c>
      <c r="C140" s="1">
        <v>2400</v>
      </c>
      <c r="D140" s="1">
        <v>18</v>
      </c>
    </row>
    <row r="141" spans="1:4" x14ac:dyDescent="0.25">
      <c r="A141" s="1">
        <v>140</v>
      </c>
      <c r="B141" s="1">
        <v>193</v>
      </c>
      <c r="C141" s="1">
        <v>225</v>
      </c>
      <c r="D141" s="1">
        <v>22</v>
      </c>
    </row>
    <row r="142" spans="1:4" x14ac:dyDescent="0.25">
      <c r="A142" s="1">
        <v>141</v>
      </c>
      <c r="B142" s="1">
        <v>194</v>
      </c>
      <c r="C142" s="1">
        <v>1200</v>
      </c>
      <c r="D142" s="1">
        <v>26</v>
      </c>
    </row>
    <row r="143" spans="1:4" x14ac:dyDescent="0.25">
      <c r="A143" s="1">
        <v>142</v>
      </c>
      <c r="B143" s="1">
        <v>195</v>
      </c>
      <c r="C143" s="1">
        <v>500</v>
      </c>
      <c r="D143" s="1">
        <v>27</v>
      </c>
    </row>
    <row r="144" spans="1:4" x14ac:dyDescent="0.25">
      <c r="A144" s="1">
        <v>143</v>
      </c>
      <c r="B144" s="1">
        <v>196</v>
      </c>
      <c r="C144" s="1">
        <v>1450</v>
      </c>
      <c r="D144" s="1">
        <v>30</v>
      </c>
    </row>
    <row r="145" spans="1:4" x14ac:dyDescent="0.25">
      <c r="A145" s="1">
        <v>144</v>
      </c>
      <c r="B145" s="1">
        <v>197</v>
      </c>
      <c r="C145" s="1">
        <v>1600</v>
      </c>
      <c r="D145" s="1">
        <v>31</v>
      </c>
    </row>
    <row r="146" spans="1:4" x14ac:dyDescent="0.25">
      <c r="A146" s="1">
        <v>145</v>
      </c>
      <c r="B146" s="1">
        <v>198</v>
      </c>
      <c r="C146" s="1">
        <v>1760</v>
      </c>
      <c r="D146" s="1">
        <v>5</v>
      </c>
    </row>
    <row r="147" spans="1:4" x14ac:dyDescent="0.25">
      <c r="A147" s="1">
        <v>146</v>
      </c>
      <c r="B147" s="1">
        <v>199</v>
      </c>
      <c r="C147" s="1">
        <v>2700</v>
      </c>
      <c r="D147" s="1">
        <v>18</v>
      </c>
    </row>
    <row r="148" spans="1:4" x14ac:dyDescent="0.25">
      <c r="A148" s="1">
        <v>147</v>
      </c>
      <c r="B148" s="1">
        <v>200</v>
      </c>
      <c r="C148" s="1">
        <v>1275</v>
      </c>
      <c r="D148" s="1">
        <v>22</v>
      </c>
    </row>
    <row r="149" spans="1:4" x14ac:dyDescent="0.25">
      <c r="A149" s="1">
        <v>148</v>
      </c>
      <c r="B149" s="1">
        <v>201</v>
      </c>
      <c r="C149" s="1">
        <v>500</v>
      </c>
      <c r="D149" s="1">
        <v>24</v>
      </c>
    </row>
    <row r="150" spans="1:4" x14ac:dyDescent="0.25">
      <c r="A150" s="1">
        <v>149</v>
      </c>
      <c r="B150" s="1">
        <v>202</v>
      </c>
      <c r="C150" s="1">
        <v>1200</v>
      </c>
      <c r="D150" s="1">
        <v>26</v>
      </c>
    </row>
    <row r="151" spans="1:4" x14ac:dyDescent="0.25">
      <c r="A151" s="1">
        <v>150</v>
      </c>
      <c r="B151" s="1">
        <v>203</v>
      </c>
      <c r="C151" s="1">
        <v>1500</v>
      </c>
      <c r="D151" s="1">
        <v>27</v>
      </c>
    </row>
    <row r="152" spans="1:4" x14ac:dyDescent="0.25">
      <c r="A152" s="1">
        <v>151</v>
      </c>
      <c r="B152" s="1">
        <v>204</v>
      </c>
      <c r="C152" s="1">
        <v>1350</v>
      </c>
      <c r="D152" s="1">
        <v>30</v>
      </c>
    </row>
    <row r="153" spans="1:4" x14ac:dyDescent="0.25">
      <c r="A153" s="1">
        <v>152</v>
      </c>
      <c r="B153" s="1">
        <v>205</v>
      </c>
      <c r="C153" s="1">
        <v>1400</v>
      </c>
      <c r="D153" s="1">
        <v>31</v>
      </c>
    </row>
    <row r="154" spans="1:4" x14ac:dyDescent="0.25">
      <c r="A154" s="1">
        <v>153</v>
      </c>
      <c r="B154" s="1">
        <v>206</v>
      </c>
      <c r="C154" s="1">
        <v>450</v>
      </c>
      <c r="D154" s="1">
        <v>32</v>
      </c>
    </row>
    <row r="155" spans="1:4" x14ac:dyDescent="0.25">
      <c r="A155" s="1">
        <v>154</v>
      </c>
      <c r="B155" s="1">
        <v>207</v>
      </c>
      <c r="C155" s="1">
        <v>200</v>
      </c>
      <c r="D155" s="1">
        <v>5</v>
      </c>
    </row>
    <row r="156" spans="1:4" x14ac:dyDescent="0.25">
      <c r="A156" s="1">
        <v>155</v>
      </c>
      <c r="B156" s="1">
        <v>208</v>
      </c>
      <c r="C156" s="1">
        <v>750</v>
      </c>
      <c r="D156" s="1">
        <v>6</v>
      </c>
    </row>
    <row r="157" spans="1:4" x14ac:dyDescent="0.25">
      <c r="A157" s="1">
        <v>156</v>
      </c>
      <c r="B157" s="1">
        <v>209</v>
      </c>
      <c r="C157" s="1">
        <v>1900</v>
      </c>
      <c r="D157" s="1">
        <v>18</v>
      </c>
    </row>
    <row r="158" spans="1:4" x14ac:dyDescent="0.25">
      <c r="A158" s="1">
        <v>157</v>
      </c>
      <c r="B158" s="1">
        <v>210</v>
      </c>
      <c r="C158" s="1">
        <v>300</v>
      </c>
      <c r="D158" s="1">
        <v>22</v>
      </c>
    </row>
    <row r="159" spans="1:4" x14ac:dyDescent="0.25">
      <c r="A159" s="1">
        <v>158</v>
      </c>
      <c r="B159" s="1">
        <v>211</v>
      </c>
      <c r="C159" s="1">
        <v>2550</v>
      </c>
      <c r="D159" s="1">
        <v>23</v>
      </c>
    </row>
    <row r="160" spans="1:4" x14ac:dyDescent="0.25">
      <c r="A160" s="1">
        <v>159</v>
      </c>
      <c r="B160" s="1">
        <v>212</v>
      </c>
      <c r="C160" s="1">
        <v>800</v>
      </c>
      <c r="D160" s="1">
        <v>26</v>
      </c>
    </row>
    <row r="161" spans="1:4" x14ac:dyDescent="0.25">
      <c r="A161" s="1">
        <v>160</v>
      </c>
      <c r="B161" s="1">
        <v>213</v>
      </c>
      <c r="C161" s="1">
        <v>1500</v>
      </c>
      <c r="D161" s="1">
        <v>27</v>
      </c>
    </row>
    <row r="162" spans="1:4" x14ac:dyDescent="0.25">
      <c r="A162" s="1">
        <v>161</v>
      </c>
      <c r="B162" s="1">
        <v>214</v>
      </c>
      <c r="C162" s="1">
        <v>950</v>
      </c>
      <c r="D162" s="1">
        <v>30</v>
      </c>
    </row>
    <row r="163" spans="1:4" x14ac:dyDescent="0.25">
      <c r="A163" s="1">
        <v>162</v>
      </c>
      <c r="B163" s="1">
        <v>215</v>
      </c>
      <c r="C163" s="1">
        <v>800</v>
      </c>
      <c r="D163" s="1">
        <v>31</v>
      </c>
    </row>
    <row r="164" spans="1:4" x14ac:dyDescent="0.25">
      <c r="A164" s="1">
        <v>163</v>
      </c>
      <c r="B164" s="1">
        <v>216</v>
      </c>
      <c r="C164" s="1">
        <v>2400</v>
      </c>
      <c r="D164" s="1">
        <v>33</v>
      </c>
    </row>
    <row r="165" spans="1:4" x14ac:dyDescent="0.25">
      <c r="A165" s="1">
        <v>164</v>
      </c>
      <c r="B165" s="1">
        <v>217</v>
      </c>
      <c r="C165" s="1">
        <v>300</v>
      </c>
      <c r="D165" s="1">
        <v>22</v>
      </c>
    </row>
    <row r="166" spans="1:4" x14ac:dyDescent="0.25">
      <c r="A166" s="1">
        <v>165</v>
      </c>
      <c r="B166" s="1">
        <v>218</v>
      </c>
      <c r="C166" s="1">
        <v>450</v>
      </c>
      <c r="D166" s="1">
        <v>23</v>
      </c>
    </row>
    <row r="167" spans="1:4" x14ac:dyDescent="0.25">
      <c r="A167" s="1">
        <v>166</v>
      </c>
      <c r="B167" s="1">
        <v>219</v>
      </c>
      <c r="C167" s="1">
        <v>1700</v>
      </c>
      <c r="D167" s="1">
        <v>26</v>
      </c>
    </row>
    <row r="168" spans="1:4" x14ac:dyDescent="0.25">
      <c r="A168" s="1">
        <v>167</v>
      </c>
      <c r="B168" s="1">
        <v>220</v>
      </c>
      <c r="C168" s="1">
        <v>200</v>
      </c>
      <c r="D168" s="1">
        <v>27</v>
      </c>
    </row>
    <row r="169" spans="1:4" x14ac:dyDescent="0.25">
      <c r="A169" s="1">
        <v>168</v>
      </c>
      <c r="B169" s="1">
        <v>221</v>
      </c>
      <c r="C169" s="1">
        <v>1800</v>
      </c>
      <c r="D169" s="1">
        <v>30</v>
      </c>
    </row>
    <row r="170" spans="1:4" x14ac:dyDescent="0.25">
      <c r="A170" s="1">
        <v>169</v>
      </c>
      <c r="B170" s="1">
        <v>222</v>
      </c>
      <c r="C170" s="1">
        <v>1600</v>
      </c>
      <c r="D170" s="1">
        <v>31</v>
      </c>
    </row>
    <row r="171" spans="1:4" x14ac:dyDescent="0.25">
      <c r="A171" s="1">
        <v>170</v>
      </c>
      <c r="B171" s="1">
        <v>223</v>
      </c>
      <c r="C171" s="1">
        <v>800</v>
      </c>
      <c r="D171" s="1">
        <v>17</v>
      </c>
    </row>
    <row r="172" spans="1:4" x14ac:dyDescent="0.25">
      <c r="A172" s="1">
        <v>171</v>
      </c>
      <c r="B172" s="1">
        <v>224</v>
      </c>
      <c r="C172" s="1">
        <v>2400</v>
      </c>
      <c r="D172" s="1">
        <v>33</v>
      </c>
    </row>
    <row r="173" spans="1:4" x14ac:dyDescent="0.25">
      <c r="A173" s="1">
        <v>172</v>
      </c>
      <c r="B173" s="1">
        <v>225</v>
      </c>
      <c r="C173" s="1">
        <v>1200</v>
      </c>
      <c r="D173" s="1">
        <v>22</v>
      </c>
    </row>
    <row r="174" spans="1:4" x14ac:dyDescent="0.25">
      <c r="A174" s="1">
        <v>173</v>
      </c>
      <c r="B174" s="1">
        <v>226</v>
      </c>
      <c r="C174" s="1">
        <v>100</v>
      </c>
      <c r="D174" s="1">
        <v>25</v>
      </c>
    </row>
    <row r="175" spans="1:4" x14ac:dyDescent="0.25">
      <c r="A175" s="1">
        <v>174</v>
      </c>
      <c r="B175" s="1">
        <v>227</v>
      </c>
      <c r="C175" s="1">
        <v>400</v>
      </c>
      <c r="D175" s="1">
        <v>26</v>
      </c>
    </row>
    <row r="176" spans="1:4" x14ac:dyDescent="0.25">
      <c r="A176" s="1">
        <v>175</v>
      </c>
      <c r="B176" s="1">
        <v>228</v>
      </c>
      <c r="C176" s="1">
        <v>600</v>
      </c>
      <c r="D176" s="1">
        <v>27</v>
      </c>
    </row>
    <row r="177" spans="1:4" x14ac:dyDescent="0.25">
      <c r="A177" s="1">
        <v>176</v>
      </c>
      <c r="B177" s="1">
        <v>229</v>
      </c>
      <c r="C177" s="1">
        <v>1550</v>
      </c>
      <c r="D177" s="1">
        <v>30</v>
      </c>
    </row>
    <row r="178" spans="1:4" x14ac:dyDescent="0.25">
      <c r="A178" s="1">
        <v>177</v>
      </c>
      <c r="B178" s="1">
        <v>230</v>
      </c>
      <c r="C178" s="1">
        <v>2200</v>
      </c>
      <c r="D178" s="1">
        <v>31</v>
      </c>
    </row>
    <row r="179" spans="1:4" x14ac:dyDescent="0.25">
      <c r="A179" s="1">
        <v>178</v>
      </c>
      <c r="B179" s="1">
        <v>231</v>
      </c>
      <c r="C179" s="1">
        <v>49</v>
      </c>
      <c r="D179" s="1">
        <v>5</v>
      </c>
    </row>
    <row r="180" spans="1:4" x14ac:dyDescent="0.25">
      <c r="A180" s="1">
        <v>179</v>
      </c>
      <c r="B180" s="1">
        <v>232</v>
      </c>
      <c r="C180" s="1">
        <v>64</v>
      </c>
      <c r="D180" s="1">
        <v>6</v>
      </c>
    </row>
    <row r="181" spans="1:4" x14ac:dyDescent="0.25">
      <c r="A181" s="1">
        <v>180</v>
      </c>
      <c r="B181" s="1">
        <v>233</v>
      </c>
      <c r="C181" s="1">
        <v>1400</v>
      </c>
      <c r="D181" s="1">
        <v>17</v>
      </c>
    </row>
    <row r="182" spans="1:4" x14ac:dyDescent="0.25">
      <c r="A182" s="1">
        <v>181</v>
      </c>
      <c r="B182" s="1">
        <v>234</v>
      </c>
      <c r="C182" s="1">
        <v>2100</v>
      </c>
      <c r="D182" s="1">
        <v>33</v>
      </c>
    </row>
    <row r="183" spans="1:4" x14ac:dyDescent="0.25">
      <c r="A183" s="1">
        <v>182</v>
      </c>
      <c r="B183" s="1">
        <v>235</v>
      </c>
      <c r="C183" s="1">
        <v>450</v>
      </c>
      <c r="D183" s="1">
        <v>22</v>
      </c>
    </row>
    <row r="184" spans="1:4" x14ac:dyDescent="0.25">
      <c r="A184" s="1">
        <v>183</v>
      </c>
      <c r="B184" s="1">
        <v>236</v>
      </c>
      <c r="C184" s="1">
        <v>2500</v>
      </c>
      <c r="D184" s="1">
        <v>31</v>
      </c>
    </row>
    <row r="185" spans="1:4" x14ac:dyDescent="0.25">
      <c r="A185" s="1">
        <v>184</v>
      </c>
      <c r="B185" s="1">
        <v>237</v>
      </c>
      <c r="C185" s="1">
        <v>1300</v>
      </c>
      <c r="D185" s="1">
        <v>17</v>
      </c>
    </row>
    <row r="186" spans="1:4" x14ac:dyDescent="0.25">
      <c r="A186" s="1">
        <v>185</v>
      </c>
      <c r="B186" s="1">
        <v>238</v>
      </c>
      <c r="C186" s="1">
        <v>2800</v>
      </c>
      <c r="D186" s="1">
        <v>18</v>
      </c>
    </row>
    <row r="187" spans="1:4" x14ac:dyDescent="0.25">
      <c r="A187" s="1">
        <v>186</v>
      </c>
      <c r="B187" s="1">
        <v>239</v>
      </c>
      <c r="C187" s="1">
        <v>1500</v>
      </c>
      <c r="D187" s="1">
        <v>22</v>
      </c>
    </row>
    <row r="188" spans="1:4" x14ac:dyDescent="0.25">
      <c r="A188" s="1">
        <v>187</v>
      </c>
      <c r="B188" s="1">
        <v>240</v>
      </c>
      <c r="C188" s="1">
        <v>1200</v>
      </c>
      <c r="D188" s="1">
        <v>26</v>
      </c>
    </row>
    <row r="189" spans="1:4" x14ac:dyDescent="0.25">
      <c r="A189" s="1">
        <v>188</v>
      </c>
      <c r="B189" s="1">
        <v>241</v>
      </c>
      <c r="C189" s="1">
        <v>500</v>
      </c>
      <c r="D189" s="1">
        <v>30</v>
      </c>
    </row>
    <row r="190" spans="1:4" x14ac:dyDescent="0.25">
      <c r="A190" s="1">
        <v>189</v>
      </c>
      <c r="B190" s="1">
        <v>242</v>
      </c>
      <c r="C190" s="1">
        <v>1200</v>
      </c>
      <c r="D190" s="1">
        <v>31</v>
      </c>
    </row>
    <row r="191" spans="1:4" x14ac:dyDescent="0.25">
      <c r="A191" s="1">
        <v>190</v>
      </c>
      <c r="B191" s="1">
        <v>243</v>
      </c>
      <c r="C191" s="1">
        <v>1200</v>
      </c>
      <c r="D191" s="1">
        <v>17</v>
      </c>
    </row>
    <row r="192" spans="1:4" x14ac:dyDescent="0.25">
      <c r="A192" s="1">
        <v>191</v>
      </c>
      <c r="B192" s="1">
        <v>244</v>
      </c>
      <c r="C192" s="1">
        <v>2400</v>
      </c>
      <c r="D192" s="1">
        <v>18</v>
      </c>
    </row>
    <row r="193" spans="1:4" x14ac:dyDescent="0.25">
      <c r="A193" s="1">
        <v>192</v>
      </c>
      <c r="B193" s="1">
        <v>245</v>
      </c>
      <c r="C193" s="1">
        <v>1050</v>
      </c>
      <c r="D193" s="1">
        <v>22</v>
      </c>
    </row>
    <row r="194" spans="1:4" x14ac:dyDescent="0.25">
      <c r="A194" s="1">
        <v>193</v>
      </c>
      <c r="B194" s="1">
        <v>246</v>
      </c>
      <c r="C194" s="1">
        <v>900</v>
      </c>
      <c r="D194" s="1">
        <v>26</v>
      </c>
    </row>
    <row r="195" spans="1:4" x14ac:dyDescent="0.25">
      <c r="A195" s="1">
        <v>194</v>
      </c>
      <c r="B195" s="1">
        <v>247</v>
      </c>
      <c r="C195" s="1">
        <v>2000</v>
      </c>
      <c r="D195" s="1">
        <v>30</v>
      </c>
    </row>
    <row r="196" spans="1:4" x14ac:dyDescent="0.25">
      <c r="A196" s="1">
        <v>195</v>
      </c>
      <c r="B196" s="1">
        <v>248</v>
      </c>
      <c r="C196" s="1">
        <v>1100</v>
      </c>
      <c r="D196" s="1">
        <v>31</v>
      </c>
    </row>
    <row r="197" spans="1:4" x14ac:dyDescent="0.25">
      <c r="A197" s="1">
        <v>196</v>
      </c>
      <c r="B197" s="1">
        <v>249</v>
      </c>
      <c r="C197" s="1">
        <v>2300</v>
      </c>
      <c r="D197" s="1">
        <v>17</v>
      </c>
    </row>
    <row r="198" spans="1:4" x14ac:dyDescent="0.25">
      <c r="A198" s="1">
        <v>197</v>
      </c>
      <c r="B198" s="1">
        <v>250</v>
      </c>
      <c r="C198" s="1">
        <v>1700</v>
      </c>
      <c r="D198" s="1">
        <v>33</v>
      </c>
    </row>
    <row r="199" spans="1:4" x14ac:dyDescent="0.25">
      <c r="A199" s="1">
        <v>198</v>
      </c>
      <c r="B199" s="1">
        <v>251</v>
      </c>
      <c r="C199" s="1">
        <v>750</v>
      </c>
      <c r="D199" s="1">
        <v>22</v>
      </c>
    </row>
    <row r="200" spans="1:4" x14ac:dyDescent="0.25">
      <c r="A200" s="1">
        <v>199</v>
      </c>
      <c r="B200" s="1">
        <v>252</v>
      </c>
      <c r="C200" s="1">
        <v>4800</v>
      </c>
      <c r="D200" s="1">
        <v>30</v>
      </c>
    </row>
    <row r="201" spans="1:4" x14ac:dyDescent="0.25">
      <c r="A201" s="1">
        <v>200</v>
      </c>
      <c r="B201" s="1">
        <v>253</v>
      </c>
      <c r="C201" s="1">
        <v>1400</v>
      </c>
      <c r="D201" s="1">
        <v>31</v>
      </c>
    </row>
    <row r="202" spans="1:4" x14ac:dyDescent="0.25">
      <c r="A202" s="1">
        <v>201</v>
      </c>
      <c r="B202" s="1">
        <v>254</v>
      </c>
      <c r="C202" s="1">
        <v>1900</v>
      </c>
      <c r="D202" s="1">
        <v>17</v>
      </c>
    </row>
    <row r="203" spans="1:4" x14ac:dyDescent="0.25">
      <c r="A203" s="1">
        <v>202</v>
      </c>
      <c r="B203" s="1">
        <v>255</v>
      </c>
      <c r="C203" s="1">
        <v>1400</v>
      </c>
      <c r="D203" s="1">
        <v>33</v>
      </c>
    </row>
    <row r="204" spans="1:4" x14ac:dyDescent="0.25">
      <c r="A204" s="1">
        <v>203</v>
      </c>
      <c r="B204" s="1">
        <v>256</v>
      </c>
      <c r="C204" s="1">
        <v>1100</v>
      </c>
      <c r="D204" s="1">
        <v>18</v>
      </c>
    </row>
    <row r="205" spans="1:4" x14ac:dyDescent="0.25">
      <c r="A205" s="1">
        <v>204</v>
      </c>
      <c r="B205" s="1">
        <v>257</v>
      </c>
      <c r="C205" s="1">
        <v>300</v>
      </c>
      <c r="D205" s="1">
        <v>22</v>
      </c>
    </row>
    <row r="206" spans="1:4" x14ac:dyDescent="0.25">
      <c r="A206" s="1">
        <v>205</v>
      </c>
      <c r="B206" s="1">
        <v>258</v>
      </c>
      <c r="C206" s="1">
        <v>2600</v>
      </c>
      <c r="D206" s="1">
        <v>30</v>
      </c>
    </row>
    <row r="207" spans="1:4" x14ac:dyDescent="0.25">
      <c r="A207" s="1">
        <v>206</v>
      </c>
      <c r="B207" s="1">
        <v>259</v>
      </c>
      <c r="C207" s="1">
        <v>2200</v>
      </c>
      <c r="D207" s="1">
        <v>18</v>
      </c>
    </row>
    <row r="208" spans="1:4" x14ac:dyDescent="0.25">
      <c r="A208" s="1">
        <v>207</v>
      </c>
      <c r="B208" s="1">
        <v>260</v>
      </c>
      <c r="C208" s="1">
        <v>150</v>
      </c>
      <c r="D208" s="1">
        <v>22</v>
      </c>
    </row>
    <row r="209" spans="1:4" x14ac:dyDescent="0.25">
      <c r="A209" s="1">
        <v>208</v>
      </c>
      <c r="B209" s="1">
        <v>261</v>
      </c>
      <c r="C209" s="1">
        <v>500</v>
      </c>
      <c r="D209" s="1">
        <v>40</v>
      </c>
    </row>
    <row r="210" spans="1:4" x14ac:dyDescent="0.25">
      <c r="A210" s="1">
        <v>209</v>
      </c>
      <c r="B210" s="1">
        <v>262</v>
      </c>
      <c r="C210" s="1">
        <v>2700</v>
      </c>
      <c r="D210" s="1">
        <v>30</v>
      </c>
    </row>
    <row r="211" spans="1:4" x14ac:dyDescent="0.25">
      <c r="A211" s="1">
        <v>210</v>
      </c>
      <c r="B211" s="1">
        <v>263</v>
      </c>
      <c r="C211" s="1">
        <v>1300</v>
      </c>
      <c r="D211" s="1">
        <v>17</v>
      </c>
    </row>
    <row r="212" spans="1:4" x14ac:dyDescent="0.25">
      <c r="A212" s="1">
        <v>211</v>
      </c>
      <c r="B212" s="1">
        <v>264</v>
      </c>
      <c r="C212" s="1">
        <v>1900</v>
      </c>
      <c r="D212" s="1">
        <v>18</v>
      </c>
    </row>
    <row r="213" spans="1:4" x14ac:dyDescent="0.25">
      <c r="A213" s="1">
        <v>212</v>
      </c>
      <c r="B213" s="1">
        <v>265</v>
      </c>
      <c r="C213" s="1">
        <v>1200</v>
      </c>
      <c r="D213" s="1">
        <v>41</v>
      </c>
    </row>
    <row r="214" spans="1:4" x14ac:dyDescent="0.25">
      <c r="A214" s="1">
        <v>213</v>
      </c>
      <c r="B214" s="1">
        <v>266</v>
      </c>
      <c r="C214" s="1">
        <v>5200</v>
      </c>
      <c r="D214" s="1">
        <v>30</v>
      </c>
    </row>
    <row r="215" spans="1:4" x14ac:dyDescent="0.25">
      <c r="A215" s="1">
        <v>214</v>
      </c>
      <c r="B215" s="1">
        <v>267</v>
      </c>
      <c r="C215" s="1">
        <v>950</v>
      </c>
      <c r="D215" s="1">
        <v>17</v>
      </c>
    </row>
    <row r="216" spans="1:4" x14ac:dyDescent="0.25">
      <c r="A216" s="1">
        <v>215</v>
      </c>
      <c r="B216" s="1">
        <v>268</v>
      </c>
      <c r="C216" s="1">
        <v>700</v>
      </c>
      <c r="D216" s="1">
        <v>41</v>
      </c>
    </row>
    <row r="217" spans="1:4" x14ac:dyDescent="0.25">
      <c r="A217" s="1">
        <v>216</v>
      </c>
      <c r="B217" s="1">
        <v>269</v>
      </c>
      <c r="C217" s="1">
        <v>1300</v>
      </c>
      <c r="D217" s="1">
        <v>42</v>
      </c>
    </row>
    <row r="218" spans="1:4" x14ac:dyDescent="0.25">
      <c r="A218" s="1">
        <v>217</v>
      </c>
      <c r="B218" s="1">
        <v>270</v>
      </c>
      <c r="C218" s="1">
        <v>2900</v>
      </c>
      <c r="D218" s="1">
        <v>30</v>
      </c>
    </row>
    <row r="219" spans="1:4" x14ac:dyDescent="0.25">
      <c r="A219" s="1">
        <v>218</v>
      </c>
      <c r="B219" s="1">
        <v>271</v>
      </c>
      <c r="C219" s="1">
        <v>400</v>
      </c>
      <c r="D219" s="1">
        <v>17</v>
      </c>
    </row>
    <row r="220" spans="1:4" x14ac:dyDescent="0.25">
      <c r="A220" s="1">
        <v>219</v>
      </c>
      <c r="B220" s="1">
        <v>272</v>
      </c>
      <c r="C220" s="1">
        <v>400</v>
      </c>
      <c r="D220" s="1">
        <v>18</v>
      </c>
    </row>
    <row r="221" spans="1:4" x14ac:dyDescent="0.25">
      <c r="A221" s="1">
        <v>220</v>
      </c>
      <c r="B221" s="1">
        <v>273</v>
      </c>
      <c r="C221" s="1">
        <v>200</v>
      </c>
      <c r="D221" s="1">
        <v>41</v>
      </c>
    </row>
    <row r="222" spans="1:4" x14ac:dyDescent="0.25">
      <c r="A222" s="1">
        <v>221</v>
      </c>
      <c r="B222" s="1">
        <v>274</v>
      </c>
      <c r="C222" s="1">
        <v>700</v>
      </c>
      <c r="D222" s="1">
        <v>42</v>
      </c>
    </row>
    <row r="223" spans="1:4" x14ac:dyDescent="0.25">
      <c r="A223" s="1">
        <v>222</v>
      </c>
      <c r="B223" s="1">
        <v>275</v>
      </c>
      <c r="C223" s="1">
        <v>2250</v>
      </c>
      <c r="D223" s="1">
        <v>30</v>
      </c>
    </row>
    <row r="224" spans="1:4" x14ac:dyDescent="0.25">
      <c r="A224" s="1">
        <v>223</v>
      </c>
      <c r="B224" s="1">
        <v>276</v>
      </c>
      <c r="C224" s="1">
        <v>700</v>
      </c>
      <c r="D224" s="1">
        <v>31</v>
      </c>
    </row>
    <row r="225" spans="1:4" x14ac:dyDescent="0.25">
      <c r="A225" s="1">
        <v>224</v>
      </c>
      <c r="B225" s="1">
        <v>277</v>
      </c>
      <c r="C225" s="1">
        <v>250</v>
      </c>
      <c r="D225" s="1">
        <v>17</v>
      </c>
    </row>
    <row r="226" spans="1:4" x14ac:dyDescent="0.25">
      <c r="A226" s="1">
        <v>225</v>
      </c>
      <c r="B226" s="1">
        <v>278</v>
      </c>
      <c r="C226" s="1">
        <v>200</v>
      </c>
      <c r="D226" s="1">
        <v>33</v>
      </c>
    </row>
    <row r="227" spans="1:4" x14ac:dyDescent="0.25">
      <c r="A227" s="1">
        <v>226</v>
      </c>
      <c r="B227" s="1">
        <v>279</v>
      </c>
      <c r="C227" s="1">
        <v>1300</v>
      </c>
      <c r="D227" s="1">
        <v>18</v>
      </c>
    </row>
    <row r="228" spans="1:4" x14ac:dyDescent="0.25">
      <c r="A228" s="1">
        <v>227</v>
      </c>
      <c r="B228" s="1">
        <v>280</v>
      </c>
      <c r="C228" s="1">
        <v>100</v>
      </c>
      <c r="D228" s="1">
        <v>27</v>
      </c>
    </row>
    <row r="229" spans="1:4" x14ac:dyDescent="0.25">
      <c r="A229" s="1">
        <v>228</v>
      </c>
      <c r="B229" s="1">
        <v>280</v>
      </c>
      <c r="C229" s="1">
        <v>700</v>
      </c>
      <c r="D229" s="1">
        <v>42</v>
      </c>
    </row>
    <row r="230" spans="1:4" x14ac:dyDescent="0.25">
      <c r="A230" s="1">
        <v>229</v>
      </c>
      <c r="B230" s="1">
        <v>281</v>
      </c>
      <c r="C230" s="1">
        <v>1500</v>
      </c>
      <c r="D230" s="1">
        <v>30</v>
      </c>
    </row>
    <row r="231" spans="1:4" x14ac:dyDescent="0.25">
      <c r="A231" s="1">
        <v>230</v>
      </c>
      <c r="B231" s="1">
        <v>282</v>
      </c>
      <c r="C231" s="1">
        <v>400</v>
      </c>
      <c r="D231" s="1">
        <v>31</v>
      </c>
    </row>
    <row r="232" spans="1:4" x14ac:dyDescent="0.25">
      <c r="A232" s="1">
        <v>231</v>
      </c>
      <c r="B232" s="1">
        <v>283</v>
      </c>
      <c r="C232" s="1">
        <v>200</v>
      </c>
      <c r="D232" s="1">
        <v>33</v>
      </c>
    </row>
    <row r="233" spans="1:4" x14ac:dyDescent="0.25">
      <c r="A233" s="1">
        <v>232</v>
      </c>
      <c r="B233" s="1">
        <v>284</v>
      </c>
      <c r="C233" s="1">
        <v>1800</v>
      </c>
      <c r="D233" s="1">
        <v>34</v>
      </c>
    </row>
    <row r="234" spans="1:4" x14ac:dyDescent="0.25">
      <c r="A234" s="1">
        <v>233</v>
      </c>
      <c r="B234" s="1">
        <v>284</v>
      </c>
      <c r="C234" s="1">
        <v>400</v>
      </c>
      <c r="D234" s="1">
        <v>18</v>
      </c>
    </row>
    <row r="235" spans="1:4" x14ac:dyDescent="0.25">
      <c r="A235" s="1">
        <v>234</v>
      </c>
      <c r="B235" s="1">
        <v>285</v>
      </c>
      <c r="C235" s="1">
        <v>500</v>
      </c>
      <c r="D235" s="1">
        <v>38</v>
      </c>
    </row>
    <row r="236" spans="1:4" x14ac:dyDescent="0.25">
      <c r="A236" s="1">
        <v>235</v>
      </c>
      <c r="B236" s="1">
        <v>285</v>
      </c>
      <c r="C236" s="1">
        <v>100</v>
      </c>
      <c r="D236" s="1">
        <v>22</v>
      </c>
    </row>
    <row r="237" spans="1:4" x14ac:dyDescent="0.25">
      <c r="A237" s="1">
        <v>236</v>
      </c>
      <c r="B237" s="1">
        <v>286</v>
      </c>
      <c r="C237" s="1">
        <v>200</v>
      </c>
      <c r="D237" s="1">
        <v>42</v>
      </c>
    </row>
    <row r="238" spans="1:4" x14ac:dyDescent="0.25">
      <c r="A238" s="1">
        <v>237</v>
      </c>
      <c r="B238" s="1">
        <v>289</v>
      </c>
      <c r="C238" s="1">
        <v>2400</v>
      </c>
      <c r="D238" s="1">
        <v>30</v>
      </c>
    </row>
    <row r="239" spans="1:4" x14ac:dyDescent="0.25">
      <c r="A239" s="1">
        <v>238</v>
      </c>
      <c r="B239" s="1">
        <v>291</v>
      </c>
      <c r="C239" s="1">
        <v>400</v>
      </c>
      <c r="D239" s="1">
        <v>31</v>
      </c>
    </row>
    <row r="240" spans="1:4" x14ac:dyDescent="0.25">
      <c r="A240" s="1">
        <v>239</v>
      </c>
      <c r="B240" s="1">
        <v>294</v>
      </c>
      <c r="C240" s="1">
        <v>1000</v>
      </c>
      <c r="D240" s="1">
        <v>4</v>
      </c>
    </row>
    <row r="241" spans="1:4" x14ac:dyDescent="0.25">
      <c r="A241" s="1">
        <v>240</v>
      </c>
      <c r="B241" s="1">
        <v>295</v>
      </c>
      <c r="C241" s="1">
        <v>225</v>
      </c>
      <c r="D241" s="1">
        <v>38</v>
      </c>
    </row>
    <row r="242" spans="1:4" x14ac:dyDescent="0.25">
      <c r="A242" s="1">
        <v>241</v>
      </c>
      <c r="B242" s="1">
        <v>296</v>
      </c>
      <c r="C242" s="1">
        <v>300</v>
      </c>
      <c r="D242" s="1">
        <v>39</v>
      </c>
    </row>
    <row r="243" spans="1:4" x14ac:dyDescent="0.25">
      <c r="A243" s="1">
        <v>242</v>
      </c>
      <c r="B243" s="1">
        <v>297</v>
      </c>
      <c r="C243" s="1">
        <v>800</v>
      </c>
      <c r="D243" s="1">
        <v>41</v>
      </c>
    </row>
    <row r="244" spans="1:4" x14ac:dyDescent="0.25">
      <c r="A244" s="1">
        <v>243</v>
      </c>
      <c r="B244" s="1">
        <v>298</v>
      </c>
      <c r="C244" s="1">
        <v>900</v>
      </c>
      <c r="D244" s="1">
        <v>42</v>
      </c>
    </row>
    <row r="245" spans="1:4" x14ac:dyDescent="0.25">
      <c r="A245" s="1">
        <v>244</v>
      </c>
      <c r="B245" s="1">
        <v>299</v>
      </c>
      <c r="C245" s="1">
        <v>1150</v>
      </c>
      <c r="D245" s="1">
        <v>30</v>
      </c>
    </row>
    <row r="246" spans="1:4" x14ac:dyDescent="0.25">
      <c r="A246" s="1">
        <v>245</v>
      </c>
      <c r="B246" s="1">
        <v>300</v>
      </c>
      <c r="C246" s="1">
        <v>200</v>
      </c>
      <c r="D246" s="1">
        <v>31</v>
      </c>
    </row>
    <row r="247" spans="1:4" x14ac:dyDescent="0.25">
      <c r="A247" s="1">
        <v>246</v>
      </c>
      <c r="B247" s="1">
        <v>301</v>
      </c>
      <c r="C247" s="1">
        <v>500</v>
      </c>
      <c r="D247" s="1">
        <v>45</v>
      </c>
    </row>
    <row r="248" spans="1:4" x14ac:dyDescent="0.25">
      <c r="A248" s="1">
        <v>247</v>
      </c>
      <c r="B248" s="1">
        <v>302</v>
      </c>
      <c r="C248" s="1">
        <v>600</v>
      </c>
      <c r="D248" s="1">
        <v>4</v>
      </c>
    </row>
    <row r="249" spans="1:4" x14ac:dyDescent="0.25">
      <c r="A249" s="1">
        <v>248</v>
      </c>
      <c r="B249" s="1">
        <v>303</v>
      </c>
      <c r="C249" s="1">
        <v>1100</v>
      </c>
      <c r="D249" s="1">
        <v>34</v>
      </c>
    </row>
    <row r="250" spans="1:4" x14ac:dyDescent="0.25">
      <c r="A250" s="1">
        <v>249</v>
      </c>
      <c r="B250" s="1">
        <v>304</v>
      </c>
      <c r="C250" s="1">
        <v>600</v>
      </c>
      <c r="D250" s="1">
        <v>41</v>
      </c>
    </row>
    <row r="251" spans="1:4" x14ac:dyDescent="0.25">
      <c r="A251" s="1">
        <v>250</v>
      </c>
      <c r="B251" s="1">
        <v>305</v>
      </c>
      <c r="C251" s="1">
        <v>600</v>
      </c>
      <c r="D251" s="1">
        <v>42</v>
      </c>
    </row>
    <row r="252" spans="1:4" x14ac:dyDescent="0.25">
      <c r="A252" s="1">
        <v>251</v>
      </c>
      <c r="B252" s="1">
        <v>306</v>
      </c>
      <c r="C252" s="1">
        <v>1500</v>
      </c>
      <c r="D252" s="1">
        <v>30</v>
      </c>
    </row>
    <row r="253" spans="1:4" x14ac:dyDescent="0.25">
      <c r="A253" s="1">
        <v>252</v>
      </c>
      <c r="B253" s="1">
        <v>307</v>
      </c>
      <c r="C253" s="1">
        <v>1000</v>
      </c>
      <c r="D253" s="1">
        <v>34</v>
      </c>
    </row>
    <row r="254" spans="1:4" x14ac:dyDescent="0.25">
      <c r="A254" s="1">
        <v>253</v>
      </c>
      <c r="B254" s="1">
        <v>308</v>
      </c>
      <c r="C254" s="1">
        <v>600</v>
      </c>
      <c r="D254" s="1">
        <v>41</v>
      </c>
    </row>
    <row r="255" spans="1:4" x14ac:dyDescent="0.25">
      <c r="A255" s="1">
        <v>254</v>
      </c>
      <c r="B255" s="1">
        <v>309</v>
      </c>
      <c r="C255" s="1">
        <v>700</v>
      </c>
      <c r="D255" s="1">
        <v>42</v>
      </c>
    </row>
    <row r="256" spans="1:4" x14ac:dyDescent="0.25">
      <c r="A256" s="1">
        <v>255</v>
      </c>
      <c r="B256" s="1">
        <v>310</v>
      </c>
      <c r="C256" s="1">
        <v>1200</v>
      </c>
      <c r="D256" s="1">
        <v>30</v>
      </c>
    </row>
    <row r="257" spans="1:4" x14ac:dyDescent="0.25">
      <c r="A257" s="1">
        <v>256</v>
      </c>
      <c r="B257" s="1">
        <v>311</v>
      </c>
      <c r="C257" s="1">
        <v>400</v>
      </c>
      <c r="D257" s="1">
        <v>31</v>
      </c>
    </row>
    <row r="258" spans="1:4" x14ac:dyDescent="0.25">
      <c r="A258" s="1">
        <v>257</v>
      </c>
      <c r="B258" s="1">
        <v>312</v>
      </c>
      <c r="C258" s="1">
        <v>800</v>
      </c>
      <c r="D258" s="1">
        <v>4</v>
      </c>
    </row>
    <row r="259" spans="1:4" x14ac:dyDescent="0.25">
      <c r="A259" s="1">
        <v>258</v>
      </c>
      <c r="B259" s="1">
        <v>313</v>
      </c>
      <c r="C259" s="1">
        <v>1000</v>
      </c>
      <c r="D259" s="1">
        <v>34</v>
      </c>
    </row>
    <row r="260" spans="1:4" x14ac:dyDescent="0.25">
      <c r="A260" s="1">
        <v>259</v>
      </c>
      <c r="B260" s="1">
        <v>314</v>
      </c>
      <c r="C260" s="1">
        <v>1300</v>
      </c>
      <c r="D260" s="1">
        <v>39</v>
      </c>
    </row>
    <row r="261" spans="1:4" x14ac:dyDescent="0.25">
      <c r="A261" s="1">
        <v>260</v>
      </c>
      <c r="B261" s="1">
        <v>315</v>
      </c>
      <c r="C261" s="1">
        <v>200</v>
      </c>
      <c r="D261" s="1">
        <v>42</v>
      </c>
    </row>
    <row r="262" spans="1:4" x14ac:dyDescent="0.25">
      <c r="A262" s="1">
        <v>261</v>
      </c>
      <c r="B262" s="1">
        <v>316</v>
      </c>
      <c r="C262" s="1">
        <v>900</v>
      </c>
      <c r="D262" s="1">
        <v>43</v>
      </c>
    </row>
    <row r="263" spans="1:4" x14ac:dyDescent="0.25">
      <c r="A263" s="1">
        <v>262</v>
      </c>
      <c r="B263" s="1">
        <v>316</v>
      </c>
      <c r="C263" s="1">
        <v>100</v>
      </c>
      <c r="D263" s="1">
        <v>28</v>
      </c>
    </row>
    <row r="264" spans="1:4" x14ac:dyDescent="0.25">
      <c r="A264" s="1">
        <v>263</v>
      </c>
      <c r="B264" s="1">
        <v>317</v>
      </c>
      <c r="C264" s="1">
        <v>1800</v>
      </c>
      <c r="D264" s="1">
        <v>30</v>
      </c>
    </row>
    <row r="265" spans="1:4" x14ac:dyDescent="0.25">
      <c r="A265" s="1">
        <v>264</v>
      </c>
      <c r="B265" s="1">
        <v>318</v>
      </c>
      <c r="C265" s="1">
        <v>200</v>
      </c>
      <c r="D265" s="1">
        <v>34</v>
      </c>
    </row>
    <row r="266" spans="1:4" x14ac:dyDescent="0.25">
      <c r="A266" s="1">
        <v>265</v>
      </c>
      <c r="B266" s="1">
        <v>319</v>
      </c>
      <c r="C266" s="1">
        <v>500</v>
      </c>
      <c r="D266" s="1">
        <v>39</v>
      </c>
    </row>
    <row r="267" spans="1:4" x14ac:dyDescent="0.25">
      <c r="A267" s="1">
        <v>266</v>
      </c>
      <c r="B267" s="1">
        <v>320</v>
      </c>
      <c r="C267" s="1">
        <v>800</v>
      </c>
      <c r="D267" s="1">
        <v>43</v>
      </c>
    </row>
    <row r="268" spans="1:4" x14ac:dyDescent="0.25">
      <c r="A268" s="1">
        <v>267</v>
      </c>
      <c r="B268" s="1">
        <v>321</v>
      </c>
      <c r="C268" s="1">
        <v>2050</v>
      </c>
      <c r="D268" s="1">
        <v>30</v>
      </c>
    </row>
    <row r="269" spans="1:4" x14ac:dyDescent="0.25">
      <c r="A269" s="1">
        <v>268</v>
      </c>
      <c r="B269" s="1">
        <v>322</v>
      </c>
      <c r="C269" s="1">
        <v>800</v>
      </c>
      <c r="D269" s="1">
        <v>31</v>
      </c>
    </row>
    <row r="270" spans="1:4" x14ac:dyDescent="0.25">
      <c r="A270" s="1">
        <v>269</v>
      </c>
      <c r="B270" s="1">
        <v>323</v>
      </c>
      <c r="C270" s="1">
        <v>600</v>
      </c>
      <c r="D270" s="1">
        <v>4</v>
      </c>
    </row>
    <row r="271" spans="1:4" x14ac:dyDescent="0.25">
      <c r="A271" s="1">
        <v>270</v>
      </c>
      <c r="B271" s="1">
        <v>324</v>
      </c>
      <c r="C271" s="1">
        <v>500</v>
      </c>
      <c r="D271" s="1">
        <v>39</v>
      </c>
    </row>
    <row r="272" spans="1:4" x14ac:dyDescent="0.25">
      <c r="A272" s="1">
        <v>271</v>
      </c>
      <c r="B272" s="1">
        <v>325</v>
      </c>
      <c r="C272" s="1">
        <v>1000</v>
      </c>
      <c r="D272" s="1">
        <v>43</v>
      </c>
    </row>
    <row r="273" spans="1:4" x14ac:dyDescent="0.25">
      <c r="A273" s="1">
        <v>272</v>
      </c>
      <c r="B273" s="1">
        <v>326</v>
      </c>
      <c r="C273" s="1">
        <v>800</v>
      </c>
      <c r="D273" s="1">
        <v>31</v>
      </c>
    </row>
    <row r="274" spans="1:4" x14ac:dyDescent="0.25">
      <c r="A274" s="1">
        <v>273</v>
      </c>
      <c r="B274" s="1">
        <v>327</v>
      </c>
      <c r="C274" s="1">
        <v>40</v>
      </c>
      <c r="D274" s="1">
        <v>45</v>
      </c>
    </row>
    <row r="275" spans="1:4" x14ac:dyDescent="0.25">
      <c r="A275" s="1">
        <v>274</v>
      </c>
      <c r="B275" s="1">
        <v>328</v>
      </c>
      <c r="C275" s="1">
        <v>800</v>
      </c>
      <c r="D275" s="1">
        <v>4</v>
      </c>
    </row>
    <row r="276" spans="1:4" x14ac:dyDescent="0.25">
      <c r="A276" s="1">
        <v>275</v>
      </c>
      <c r="B276" s="1">
        <v>329</v>
      </c>
      <c r="C276" s="1">
        <v>1400</v>
      </c>
      <c r="D276" s="1">
        <v>34</v>
      </c>
    </row>
    <row r="277" spans="1:4" x14ac:dyDescent="0.25">
      <c r="A277" s="1">
        <v>276</v>
      </c>
      <c r="B277" s="1">
        <v>330</v>
      </c>
      <c r="C277" s="1">
        <v>350</v>
      </c>
      <c r="D277" s="1">
        <v>39</v>
      </c>
    </row>
    <row r="278" spans="1:4" x14ac:dyDescent="0.25">
      <c r="A278" s="1">
        <v>277</v>
      </c>
      <c r="B278" s="1">
        <v>331</v>
      </c>
      <c r="C278" s="1">
        <v>1300</v>
      </c>
      <c r="D278" s="1">
        <v>43</v>
      </c>
    </row>
    <row r="279" spans="1:4" x14ac:dyDescent="0.25">
      <c r="A279" s="1">
        <v>278</v>
      </c>
      <c r="B279" s="1">
        <v>332</v>
      </c>
      <c r="C279" s="1">
        <v>600</v>
      </c>
      <c r="D279" s="1">
        <v>4</v>
      </c>
    </row>
    <row r="280" spans="1:4" x14ac:dyDescent="0.25">
      <c r="A280" s="1">
        <v>279</v>
      </c>
      <c r="B280" s="1">
        <v>333</v>
      </c>
      <c r="C280" s="1">
        <v>2600</v>
      </c>
      <c r="D280" s="1">
        <v>33</v>
      </c>
    </row>
    <row r="281" spans="1:4" x14ac:dyDescent="0.25">
      <c r="A281" s="1">
        <v>280</v>
      </c>
      <c r="B281" s="1">
        <v>334</v>
      </c>
      <c r="C281" s="1">
        <v>2250</v>
      </c>
      <c r="D281" s="1">
        <v>30</v>
      </c>
    </row>
    <row r="282" spans="1:4" x14ac:dyDescent="0.25">
      <c r="A282" s="1">
        <v>281</v>
      </c>
      <c r="B282" s="1">
        <v>335</v>
      </c>
      <c r="C282" s="1">
        <v>1800</v>
      </c>
      <c r="D282" s="1">
        <v>17</v>
      </c>
    </row>
    <row r="283" spans="1:4" x14ac:dyDescent="0.25">
      <c r="A283" s="1">
        <v>282</v>
      </c>
      <c r="B283" s="1">
        <v>336</v>
      </c>
      <c r="C283" s="1">
        <v>600</v>
      </c>
      <c r="D283" s="1">
        <v>4</v>
      </c>
    </row>
    <row r="284" spans="1:4" x14ac:dyDescent="0.25">
      <c r="A284" s="1">
        <v>283</v>
      </c>
      <c r="B284" s="1">
        <v>337</v>
      </c>
      <c r="C284" s="1">
        <v>300</v>
      </c>
      <c r="D284" s="1">
        <v>42</v>
      </c>
    </row>
    <row r="285" spans="1:4" x14ac:dyDescent="0.25">
      <c r="A285" s="1">
        <v>284</v>
      </c>
      <c r="B285" s="1">
        <v>338</v>
      </c>
      <c r="C285" s="1">
        <v>500</v>
      </c>
      <c r="D285" s="1">
        <v>30</v>
      </c>
    </row>
    <row r="286" spans="1:4" x14ac:dyDescent="0.25">
      <c r="A286" s="1">
        <v>285</v>
      </c>
      <c r="B286" s="1">
        <v>339</v>
      </c>
      <c r="C286" s="1">
        <v>1100</v>
      </c>
      <c r="D286" s="1">
        <v>31</v>
      </c>
    </row>
    <row r="287" spans="1:4" x14ac:dyDescent="0.25">
      <c r="A287" s="1">
        <v>286</v>
      </c>
      <c r="B287" s="1">
        <v>340</v>
      </c>
      <c r="C287" s="1">
        <v>1200</v>
      </c>
      <c r="D287" s="1">
        <v>17</v>
      </c>
    </row>
    <row r="288" spans="1:4" x14ac:dyDescent="0.25">
      <c r="A288" s="1">
        <v>287</v>
      </c>
      <c r="B288" s="1">
        <v>341</v>
      </c>
      <c r="C288" s="1">
        <v>500</v>
      </c>
      <c r="D288" s="1">
        <v>4</v>
      </c>
    </row>
    <row r="289" spans="1:4" x14ac:dyDescent="0.25">
      <c r="A289" s="1">
        <v>288</v>
      </c>
      <c r="B289" s="1">
        <v>342</v>
      </c>
      <c r="C289" s="1">
        <v>1500</v>
      </c>
      <c r="D289" s="1">
        <v>34</v>
      </c>
    </row>
    <row r="290" spans="1:4" x14ac:dyDescent="0.25">
      <c r="A290" s="1">
        <v>289</v>
      </c>
      <c r="B290" s="1">
        <v>343</v>
      </c>
      <c r="C290" s="1">
        <v>360</v>
      </c>
      <c r="D290" s="1">
        <v>39</v>
      </c>
    </row>
    <row r="291" spans="1:4" x14ac:dyDescent="0.25">
      <c r="A291" s="1">
        <v>290</v>
      </c>
      <c r="B291" s="1">
        <v>344</v>
      </c>
      <c r="C291" s="1">
        <v>1200</v>
      </c>
      <c r="D291" s="1">
        <v>30</v>
      </c>
    </row>
    <row r="292" spans="1:4" x14ac:dyDescent="0.25">
      <c r="A292" s="1">
        <v>291</v>
      </c>
      <c r="B292" s="1">
        <v>345</v>
      </c>
      <c r="C292" s="1">
        <v>100</v>
      </c>
      <c r="D292" s="1">
        <v>45</v>
      </c>
    </row>
    <row r="293" spans="1:4" x14ac:dyDescent="0.25">
      <c r="A293" s="1">
        <v>292</v>
      </c>
      <c r="B293" s="1">
        <v>346</v>
      </c>
      <c r="C293" s="1">
        <v>950</v>
      </c>
      <c r="D293" s="1">
        <v>4</v>
      </c>
    </row>
    <row r="294" spans="1:4" x14ac:dyDescent="0.25">
      <c r="A294" s="1">
        <v>293</v>
      </c>
      <c r="B294" s="1">
        <v>347</v>
      </c>
      <c r="C294" s="1">
        <v>2300</v>
      </c>
      <c r="D294" s="1">
        <v>33</v>
      </c>
    </row>
    <row r="295" spans="1:4" x14ac:dyDescent="0.25">
      <c r="A295" s="1">
        <v>294</v>
      </c>
      <c r="B295" s="1">
        <v>348</v>
      </c>
      <c r="C295" s="1">
        <v>4200</v>
      </c>
      <c r="D295" s="1">
        <v>43</v>
      </c>
    </row>
    <row r="296" spans="1:4" x14ac:dyDescent="0.25">
      <c r="A296" s="1">
        <v>295</v>
      </c>
      <c r="B296" s="1">
        <v>349</v>
      </c>
      <c r="C296" s="1">
        <v>900</v>
      </c>
      <c r="D296" s="1">
        <v>44</v>
      </c>
    </row>
    <row r="297" spans="1:4" x14ac:dyDescent="0.25">
      <c r="A297" s="1">
        <v>296</v>
      </c>
      <c r="B297" s="1">
        <v>350</v>
      </c>
      <c r="C297" s="1">
        <v>200</v>
      </c>
      <c r="D297" s="1">
        <v>39</v>
      </c>
    </row>
    <row r="298" spans="1:4" x14ac:dyDescent="0.25">
      <c r="A298" s="1">
        <v>297</v>
      </c>
      <c r="B298" s="1">
        <v>351</v>
      </c>
      <c r="C298" s="1">
        <v>300</v>
      </c>
      <c r="D298" s="1">
        <v>41</v>
      </c>
    </row>
    <row r="299" spans="1:4" x14ac:dyDescent="0.25">
      <c r="A299" s="1">
        <v>298</v>
      </c>
      <c r="B299" s="1">
        <v>352</v>
      </c>
      <c r="C299" s="1">
        <v>600</v>
      </c>
      <c r="D299" s="1">
        <v>42</v>
      </c>
    </row>
    <row r="300" spans="1:4" x14ac:dyDescent="0.25">
      <c r="A300" s="1">
        <v>299</v>
      </c>
      <c r="B300" s="1">
        <v>353</v>
      </c>
      <c r="C300" s="1">
        <v>1100</v>
      </c>
      <c r="D300" s="1">
        <v>43</v>
      </c>
    </row>
    <row r="301" spans="1:4" x14ac:dyDescent="0.25">
      <c r="A301" s="1">
        <v>300</v>
      </c>
      <c r="B301" s="1">
        <v>354</v>
      </c>
      <c r="C301" s="1">
        <v>50</v>
      </c>
      <c r="D301" s="1">
        <v>17</v>
      </c>
    </row>
    <row r="302" spans="1:4" x14ac:dyDescent="0.25">
      <c r="A302" s="1">
        <v>301</v>
      </c>
      <c r="B302" s="1">
        <v>355</v>
      </c>
      <c r="C302" s="1">
        <v>650</v>
      </c>
      <c r="D302" s="1">
        <v>4</v>
      </c>
    </row>
    <row r="303" spans="1:4" x14ac:dyDescent="0.25">
      <c r="A303" s="1">
        <v>302</v>
      </c>
      <c r="B303" s="1">
        <v>356</v>
      </c>
      <c r="C303" s="1">
        <v>2000</v>
      </c>
      <c r="D303" s="1">
        <v>34</v>
      </c>
    </row>
    <row r="304" spans="1:4" x14ac:dyDescent="0.25">
      <c r="A304" s="1">
        <v>303</v>
      </c>
      <c r="B304" s="1">
        <v>357</v>
      </c>
      <c r="C304" s="1">
        <v>600</v>
      </c>
      <c r="D304" s="1">
        <v>39</v>
      </c>
    </row>
    <row r="305" spans="1:4" x14ac:dyDescent="0.25">
      <c r="A305" s="1">
        <v>304</v>
      </c>
      <c r="B305" s="1">
        <v>358</v>
      </c>
      <c r="C305" s="1">
        <v>400</v>
      </c>
      <c r="D305" s="1">
        <v>41</v>
      </c>
    </row>
    <row r="306" spans="1:4" x14ac:dyDescent="0.25">
      <c r="A306" s="1">
        <v>305</v>
      </c>
      <c r="B306" s="1">
        <v>359</v>
      </c>
      <c r="C306" s="1">
        <v>200</v>
      </c>
      <c r="D306" s="1">
        <v>43</v>
      </c>
    </row>
    <row r="307" spans="1:4" x14ac:dyDescent="0.25">
      <c r="A307" s="1">
        <v>306</v>
      </c>
      <c r="B307" s="1">
        <v>360</v>
      </c>
      <c r="C307" s="1">
        <v>500</v>
      </c>
      <c r="D307" s="1">
        <v>31</v>
      </c>
    </row>
    <row r="308" spans="1:4" x14ac:dyDescent="0.25">
      <c r="A308" s="1">
        <v>307</v>
      </c>
      <c r="B308" s="1">
        <v>361</v>
      </c>
      <c r="C308" s="1">
        <v>550</v>
      </c>
      <c r="D308" s="1">
        <v>4</v>
      </c>
    </row>
    <row r="309" spans="1:4" x14ac:dyDescent="0.25">
      <c r="A309" s="1">
        <v>308</v>
      </c>
      <c r="B309" s="1">
        <v>362</v>
      </c>
      <c r="C309" s="1">
        <v>2600</v>
      </c>
      <c r="D309" s="1">
        <v>34</v>
      </c>
    </row>
    <row r="310" spans="1:4" x14ac:dyDescent="0.25">
      <c r="A310" s="1">
        <v>309</v>
      </c>
      <c r="B310" s="1">
        <v>363</v>
      </c>
      <c r="C310" s="1">
        <v>1050</v>
      </c>
      <c r="D310" s="1">
        <v>39</v>
      </c>
    </row>
    <row r="311" spans="1:4" x14ac:dyDescent="0.25">
      <c r="A311" s="1">
        <v>310</v>
      </c>
      <c r="B311" s="1">
        <v>364</v>
      </c>
      <c r="C311" s="1">
        <v>300</v>
      </c>
      <c r="D311" s="1">
        <v>41</v>
      </c>
    </row>
    <row r="312" spans="1:4" x14ac:dyDescent="0.25">
      <c r="A312" s="1">
        <v>311</v>
      </c>
      <c r="B312" s="1">
        <v>365</v>
      </c>
      <c r="C312" s="1">
        <v>1000</v>
      </c>
      <c r="D312" s="1">
        <v>43</v>
      </c>
    </row>
    <row r="313" spans="1:4" x14ac:dyDescent="0.25">
      <c r="A313" s="1">
        <v>312</v>
      </c>
      <c r="B313" s="1">
        <v>366</v>
      </c>
      <c r="C313" s="1">
        <v>500</v>
      </c>
      <c r="D313" s="1">
        <v>44</v>
      </c>
    </row>
    <row r="314" spans="1:4" x14ac:dyDescent="0.25">
      <c r="A314" s="1">
        <v>313</v>
      </c>
      <c r="B314" s="1">
        <v>367</v>
      </c>
      <c r="C314" s="1">
        <v>700</v>
      </c>
      <c r="D314" s="1">
        <v>31</v>
      </c>
    </row>
    <row r="315" spans="1:4" x14ac:dyDescent="0.25">
      <c r="A315" s="1">
        <v>314</v>
      </c>
      <c r="B315" s="1">
        <v>368</v>
      </c>
      <c r="C315" s="1">
        <v>1000</v>
      </c>
      <c r="D315" s="1">
        <v>34</v>
      </c>
    </row>
    <row r="316" spans="1:4" x14ac:dyDescent="0.25">
      <c r="A316" s="1">
        <v>315</v>
      </c>
      <c r="B316" s="1">
        <v>370</v>
      </c>
      <c r="C316" s="1">
        <v>1400</v>
      </c>
      <c r="D316" s="1">
        <v>39</v>
      </c>
    </row>
    <row r="317" spans="1:4" x14ac:dyDescent="0.25">
      <c r="A317" s="1">
        <v>316</v>
      </c>
      <c r="B317" s="1">
        <v>371</v>
      </c>
      <c r="C317" s="1">
        <v>1600</v>
      </c>
      <c r="D317" s="1">
        <v>43</v>
      </c>
    </row>
    <row r="318" spans="1:4" x14ac:dyDescent="0.25">
      <c r="A318" s="1">
        <v>317</v>
      </c>
      <c r="B318" s="1">
        <v>372</v>
      </c>
      <c r="C318" s="1">
        <v>50</v>
      </c>
      <c r="D318" s="1">
        <v>44</v>
      </c>
    </row>
    <row r="319" spans="1:4" x14ac:dyDescent="0.25">
      <c r="A319" s="1">
        <v>318</v>
      </c>
      <c r="B319" s="1">
        <v>373</v>
      </c>
      <c r="C319" s="1">
        <v>250</v>
      </c>
      <c r="D319" s="1">
        <v>30</v>
      </c>
    </row>
    <row r="320" spans="1:4" x14ac:dyDescent="0.25">
      <c r="A320" s="1">
        <v>319</v>
      </c>
      <c r="B320" s="1">
        <v>374</v>
      </c>
      <c r="C320" s="1">
        <v>57</v>
      </c>
      <c r="D320" s="1">
        <v>32</v>
      </c>
    </row>
    <row r="321" spans="1:4" x14ac:dyDescent="0.25">
      <c r="A321" s="1">
        <v>320</v>
      </c>
      <c r="B321" s="1">
        <v>375</v>
      </c>
      <c r="C321" s="1">
        <v>25</v>
      </c>
      <c r="D321" s="1">
        <v>45</v>
      </c>
    </row>
    <row r="322" spans="1:4" x14ac:dyDescent="0.25">
      <c r="A322" s="1">
        <v>321</v>
      </c>
      <c r="B322" s="1">
        <v>376</v>
      </c>
      <c r="C322" s="1">
        <v>1300</v>
      </c>
      <c r="D322" s="1">
        <v>34</v>
      </c>
    </row>
    <row r="323" spans="1:4" x14ac:dyDescent="0.25">
      <c r="A323" s="1">
        <v>322</v>
      </c>
      <c r="B323" s="1">
        <v>377</v>
      </c>
      <c r="C323" s="1">
        <v>800</v>
      </c>
      <c r="D323" s="1">
        <v>39</v>
      </c>
    </row>
    <row r="324" spans="1:4" x14ac:dyDescent="0.25">
      <c r="A324" s="1">
        <v>323</v>
      </c>
      <c r="B324" s="1">
        <v>378</v>
      </c>
      <c r="C324" s="1">
        <v>1300</v>
      </c>
      <c r="D324" s="1">
        <v>43</v>
      </c>
    </row>
    <row r="325" spans="1:4" x14ac:dyDescent="0.25">
      <c r="A325" s="1">
        <v>324</v>
      </c>
      <c r="B325" s="1">
        <v>379</v>
      </c>
      <c r="C325" s="1">
        <v>1600</v>
      </c>
      <c r="D325" s="1">
        <v>31</v>
      </c>
    </row>
    <row r="326" spans="1:4" x14ac:dyDescent="0.25">
      <c r="A326" s="1">
        <v>325</v>
      </c>
      <c r="B326" s="1">
        <v>380</v>
      </c>
      <c r="C326" s="1">
        <v>400</v>
      </c>
      <c r="D326" s="1">
        <v>45</v>
      </c>
    </row>
    <row r="327" spans="1:4" x14ac:dyDescent="0.25">
      <c r="A327" s="1">
        <v>326</v>
      </c>
      <c r="B327" s="1">
        <v>381</v>
      </c>
      <c r="C327" s="1">
        <v>500</v>
      </c>
      <c r="D327" s="1">
        <v>33</v>
      </c>
    </row>
    <row r="328" spans="1:4" x14ac:dyDescent="0.25">
      <c r="A328" s="1">
        <v>327</v>
      </c>
      <c r="B328" s="1">
        <v>382</v>
      </c>
      <c r="C328" s="1">
        <v>100</v>
      </c>
      <c r="D328" s="1">
        <v>34</v>
      </c>
    </row>
    <row r="329" spans="1:4" x14ac:dyDescent="0.25">
      <c r="A329" s="1">
        <v>328</v>
      </c>
      <c r="B329" s="1">
        <v>383</v>
      </c>
      <c r="C329" s="1">
        <v>450</v>
      </c>
      <c r="D329" s="1">
        <v>38</v>
      </c>
    </row>
    <row r="330" spans="1:4" x14ac:dyDescent="0.25">
      <c r="A330" s="1">
        <v>329</v>
      </c>
      <c r="B330" s="1">
        <v>384</v>
      </c>
      <c r="C330" s="1">
        <v>400</v>
      </c>
      <c r="D330" s="1">
        <v>39</v>
      </c>
    </row>
    <row r="331" spans="1:4" x14ac:dyDescent="0.25">
      <c r="A331" s="1">
        <v>330</v>
      </c>
      <c r="B331" s="1">
        <v>385</v>
      </c>
      <c r="C331" s="1">
        <v>900</v>
      </c>
      <c r="D331" s="1">
        <v>43</v>
      </c>
    </row>
    <row r="332" spans="1:4" x14ac:dyDescent="0.25">
      <c r="A332" s="1">
        <v>331</v>
      </c>
      <c r="B332" s="1">
        <v>386</v>
      </c>
      <c r="C332" s="1">
        <v>550</v>
      </c>
      <c r="D332" s="1">
        <v>30</v>
      </c>
    </row>
    <row r="333" spans="1:4" x14ac:dyDescent="0.25">
      <c r="A333" s="1">
        <v>332</v>
      </c>
      <c r="B333" s="1">
        <v>387</v>
      </c>
      <c r="C333" s="1">
        <v>400</v>
      </c>
      <c r="D333" s="1">
        <v>31</v>
      </c>
    </row>
    <row r="334" spans="1:4" x14ac:dyDescent="0.25">
      <c r="A334" s="1">
        <v>333</v>
      </c>
      <c r="B334" s="1">
        <v>388</v>
      </c>
      <c r="C334" s="1">
        <v>550</v>
      </c>
      <c r="D334" s="1">
        <v>45</v>
      </c>
    </row>
    <row r="335" spans="1:4" x14ac:dyDescent="0.25">
      <c r="A335" s="1">
        <v>334</v>
      </c>
      <c r="B335" s="1">
        <v>389</v>
      </c>
      <c r="C335" s="1">
        <v>850</v>
      </c>
      <c r="D335" s="1">
        <v>4</v>
      </c>
    </row>
    <row r="336" spans="1:4" x14ac:dyDescent="0.25">
      <c r="A336" s="1">
        <v>335</v>
      </c>
      <c r="B336" s="1">
        <v>390</v>
      </c>
      <c r="C336" s="1">
        <v>800</v>
      </c>
      <c r="D336" s="1">
        <v>33</v>
      </c>
    </row>
    <row r="337" spans="1:4" x14ac:dyDescent="0.25">
      <c r="A337" s="1">
        <v>336</v>
      </c>
      <c r="B337" s="1">
        <v>391</v>
      </c>
      <c r="C337" s="1">
        <v>300</v>
      </c>
      <c r="D337" s="1">
        <v>38</v>
      </c>
    </row>
    <row r="338" spans="1:4" x14ac:dyDescent="0.25">
      <c r="A338" s="1">
        <v>337</v>
      </c>
      <c r="B338" s="1">
        <v>392</v>
      </c>
      <c r="C338" s="1">
        <v>800</v>
      </c>
      <c r="D338" s="1">
        <v>39</v>
      </c>
    </row>
    <row r="339" spans="1:4" x14ac:dyDescent="0.25">
      <c r="A339" s="1">
        <v>338</v>
      </c>
      <c r="B339" s="1">
        <v>393</v>
      </c>
      <c r="C339" s="1">
        <v>100</v>
      </c>
      <c r="D339" s="1">
        <v>41</v>
      </c>
    </row>
    <row r="340" spans="1:4" x14ac:dyDescent="0.25">
      <c r="A340" s="1">
        <v>339</v>
      </c>
      <c r="B340" s="1">
        <v>394</v>
      </c>
      <c r="C340" s="1">
        <v>100</v>
      </c>
      <c r="D340" s="1">
        <v>42</v>
      </c>
    </row>
    <row r="341" spans="1:4" x14ac:dyDescent="0.25">
      <c r="A341" s="1">
        <v>340</v>
      </c>
      <c r="B341" s="1">
        <v>395</v>
      </c>
      <c r="C341" s="1">
        <v>200</v>
      </c>
      <c r="D341" s="1">
        <v>43</v>
      </c>
    </row>
    <row r="342" spans="1:4" x14ac:dyDescent="0.25">
      <c r="A342" s="1">
        <v>341</v>
      </c>
      <c r="B342" s="1">
        <v>396</v>
      </c>
      <c r="C342" s="1">
        <v>150</v>
      </c>
      <c r="D342" s="1">
        <v>4</v>
      </c>
    </row>
    <row r="343" spans="1:4" x14ac:dyDescent="0.25">
      <c r="A343" s="1">
        <v>342</v>
      </c>
      <c r="B343" s="1">
        <v>397</v>
      </c>
      <c r="C343" s="1">
        <v>3200</v>
      </c>
      <c r="D343" s="1">
        <v>33</v>
      </c>
    </row>
    <row r="344" spans="1:4" x14ac:dyDescent="0.25">
      <c r="A344" s="1">
        <v>343</v>
      </c>
      <c r="B344" s="1">
        <v>398</v>
      </c>
      <c r="C344" s="1">
        <v>300</v>
      </c>
      <c r="D344" s="1">
        <v>38</v>
      </c>
    </row>
    <row r="345" spans="1:4" x14ac:dyDescent="0.25">
      <c r="A345" s="1">
        <v>344</v>
      </c>
      <c r="B345" s="1">
        <v>399</v>
      </c>
      <c r="C345" s="1">
        <v>440</v>
      </c>
      <c r="D345" s="1">
        <v>39</v>
      </c>
    </row>
    <row r="346" spans="1:4" x14ac:dyDescent="0.25">
      <c r="A346" s="1">
        <v>345</v>
      </c>
      <c r="B346" s="1">
        <v>400</v>
      </c>
      <c r="C346" s="1">
        <v>2400</v>
      </c>
      <c r="D346" s="1">
        <v>43</v>
      </c>
    </row>
    <row r="347" spans="1:4" x14ac:dyDescent="0.25">
      <c r="A347" s="1">
        <v>346</v>
      </c>
      <c r="B347" s="1">
        <v>401</v>
      </c>
      <c r="C347" s="1">
        <v>600</v>
      </c>
      <c r="D347" s="1">
        <v>30</v>
      </c>
    </row>
    <row r="348" spans="1:4" x14ac:dyDescent="0.25">
      <c r="A348" s="1">
        <v>347</v>
      </c>
      <c r="B348" s="1">
        <v>402</v>
      </c>
      <c r="C348" s="1">
        <v>1000</v>
      </c>
      <c r="D348" s="1">
        <v>31</v>
      </c>
    </row>
    <row r="349" spans="1:4" x14ac:dyDescent="0.25">
      <c r="A349" s="1">
        <v>348</v>
      </c>
      <c r="B349" s="1">
        <v>404</v>
      </c>
      <c r="C349" s="1">
        <v>100</v>
      </c>
      <c r="D349" s="1">
        <v>33</v>
      </c>
    </row>
    <row r="350" spans="1:4" x14ac:dyDescent="0.25">
      <c r="A350" s="1">
        <v>349</v>
      </c>
      <c r="B350" s="1">
        <v>405</v>
      </c>
      <c r="C350" s="1">
        <v>150</v>
      </c>
      <c r="D350" s="1">
        <v>38</v>
      </c>
    </row>
    <row r="351" spans="1:4" x14ac:dyDescent="0.25">
      <c r="A351" s="1">
        <v>350</v>
      </c>
      <c r="B351" s="1">
        <v>406</v>
      </c>
      <c r="C351" s="1">
        <v>1700</v>
      </c>
      <c r="D351" s="1">
        <v>43</v>
      </c>
    </row>
    <row r="352" spans="1:4" x14ac:dyDescent="0.25">
      <c r="A352" s="1">
        <v>351</v>
      </c>
      <c r="B352" s="1">
        <v>407</v>
      </c>
      <c r="C352" s="1">
        <v>350</v>
      </c>
      <c r="D352" s="1">
        <v>44</v>
      </c>
    </row>
    <row r="353" spans="1:4" x14ac:dyDescent="0.25">
      <c r="A353" s="1">
        <v>352</v>
      </c>
      <c r="B353" s="1">
        <v>408</v>
      </c>
      <c r="C353" s="1">
        <v>1850</v>
      </c>
      <c r="D353" s="1">
        <v>30</v>
      </c>
    </row>
    <row r="354" spans="1:4" x14ac:dyDescent="0.25">
      <c r="A354" s="1">
        <v>353</v>
      </c>
      <c r="B354" s="1">
        <v>409</v>
      </c>
      <c r="C354" s="1">
        <v>500</v>
      </c>
      <c r="D354" s="1">
        <v>45</v>
      </c>
    </row>
    <row r="355" spans="1:4" x14ac:dyDescent="0.25">
      <c r="A355" s="1">
        <v>354</v>
      </c>
      <c r="B355" s="1">
        <v>410</v>
      </c>
      <c r="C355" s="1">
        <v>2000</v>
      </c>
      <c r="D355" s="1">
        <v>43</v>
      </c>
    </row>
    <row r="356" spans="1:4" x14ac:dyDescent="0.25">
      <c r="A356" s="1">
        <v>355</v>
      </c>
      <c r="B356" s="1">
        <v>411</v>
      </c>
      <c r="C356" s="1">
        <v>800</v>
      </c>
      <c r="D356" s="1">
        <v>44</v>
      </c>
    </row>
    <row r="357" spans="1:4" x14ac:dyDescent="0.25">
      <c r="A357" s="1">
        <v>356</v>
      </c>
      <c r="B357" s="1">
        <v>412</v>
      </c>
      <c r="C357" s="1">
        <v>1200</v>
      </c>
      <c r="D357" s="1">
        <v>30</v>
      </c>
    </row>
    <row r="358" spans="1:4" x14ac:dyDescent="0.25">
      <c r="A358" s="1">
        <v>357</v>
      </c>
      <c r="B358" s="1">
        <v>413</v>
      </c>
      <c r="C358" s="1">
        <v>400</v>
      </c>
      <c r="D358" s="1">
        <v>45</v>
      </c>
    </row>
    <row r="359" spans="1:4" x14ac:dyDescent="0.25">
      <c r="A359" s="1">
        <v>358</v>
      </c>
      <c r="B359" s="1">
        <v>414</v>
      </c>
      <c r="C359" s="1">
        <v>214</v>
      </c>
      <c r="D359" s="1">
        <v>4</v>
      </c>
    </row>
    <row r="360" spans="1:4" x14ac:dyDescent="0.25">
      <c r="A360" s="1">
        <v>359</v>
      </c>
      <c r="B360" s="1">
        <v>415</v>
      </c>
      <c r="C360" s="1">
        <v>173</v>
      </c>
      <c r="D360" s="1">
        <v>33</v>
      </c>
    </row>
    <row r="361" spans="1:4" x14ac:dyDescent="0.25">
      <c r="A361" s="1">
        <v>360</v>
      </c>
      <c r="B361" s="1">
        <v>416</v>
      </c>
      <c r="C361" s="1">
        <v>1200</v>
      </c>
      <c r="D361" s="1">
        <v>43</v>
      </c>
    </row>
    <row r="362" spans="1:4" x14ac:dyDescent="0.25">
      <c r="A362" s="1">
        <v>361</v>
      </c>
      <c r="B362" s="1">
        <v>417</v>
      </c>
      <c r="C362" s="1">
        <v>500</v>
      </c>
      <c r="D362" s="1">
        <v>44</v>
      </c>
    </row>
    <row r="363" spans="1:4" x14ac:dyDescent="0.25">
      <c r="A363" s="1">
        <v>362</v>
      </c>
      <c r="B363" s="1">
        <v>418</v>
      </c>
      <c r="C363" s="1">
        <v>1700</v>
      </c>
      <c r="D363" s="1">
        <v>30</v>
      </c>
    </row>
    <row r="364" spans="1:4" x14ac:dyDescent="0.25">
      <c r="A364" s="1">
        <v>363</v>
      </c>
      <c r="B364" s="1">
        <v>419</v>
      </c>
      <c r="C364" s="1">
        <v>100</v>
      </c>
      <c r="D364" s="1">
        <v>45</v>
      </c>
    </row>
    <row r="365" spans="1:4" x14ac:dyDescent="0.25">
      <c r="A365" s="1">
        <v>364</v>
      </c>
      <c r="B365" s="1">
        <v>420</v>
      </c>
      <c r="C365" s="1">
        <v>900</v>
      </c>
      <c r="D365" s="1">
        <v>43</v>
      </c>
    </row>
    <row r="366" spans="1:4" x14ac:dyDescent="0.25">
      <c r="A366" s="1">
        <v>365</v>
      </c>
      <c r="B366" s="1">
        <v>421</v>
      </c>
      <c r="C366" s="1">
        <v>600</v>
      </c>
      <c r="D366" s="1">
        <v>44</v>
      </c>
    </row>
    <row r="367" spans="1:4" x14ac:dyDescent="0.25">
      <c r="A367" s="1">
        <v>366</v>
      </c>
      <c r="B367" s="1">
        <v>422</v>
      </c>
      <c r="C367" s="1">
        <v>850</v>
      </c>
      <c r="D367" s="1">
        <v>30</v>
      </c>
    </row>
    <row r="368" spans="1:4" x14ac:dyDescent="0.25">
      <c r="A368" s="1">
        <v>367</v>
      </c>
      <c r="B368" s="1">
        <v>423</v>
      </c>
      <c r="C368" s="1">
        <v>500</v>
      </c>
      <c r="D368" s="1">
        <v>45</v>
      </c>
    </row>
    <row r="369" spans="1:4" x14ac:dyDescent="0.25">
      <c r="A369" s="1">
        <v>368</v>
      </c>
      <c r="B369" s="1">
        <v>424</v>
      </c>
      <c r="C369" s="1">
        <v>1400</v>
      </c>
      <c r="D369" s="1">
        <v>43</v>
      </c>
    </row>
    <row r="370" spans="1:4" x14ac:dyDescent="0.25">
      <c r="A370" s="1">
        <v>369</v>
      </c>
      <c r="B370" s="1">
        <v>425</v>
      </c>
      <c r="C370" s="1">
        <v>700</v>
      </c>
      <c r="D370" s="1">
        <v>44</v>
      </c>
    </row>
    <row r="371" spans="1:4" x14ac:dyDescent="0.25">
      <c r="A371" s="1">
        <v>370</v>
      </c>
      <c r="B371" s="1">
        <v>426</v>
      </c>
      <c r="C371" s="1">
        <v>250</v>
      </c>
      <c r="D371" s="1">
        <v>31</v>
      </c>
    </row>
    <row r="372" spans="1:4" x14ac:dyDescent="0.25">
      <c r="A372" s="1">
        <v>371</v>
      </c>
      <c r="B372" s="1">
        <v>427</v>
      </c>
      <c r="C372" s="1">
        <v>750</v>
      </c>
      <c r="D372" s="1">
        <v>45</v>
      </c>
    </row>
    <row r="373" spans="1:4" x14ac:dyDescent="0.25">
      <c r="A373" s="1">
        <v>372</v>
      </c>
      <c r="B373" s="1">
        <v>428</v>
      </c>
      <c r="C373" s="1">
        <v>600</v>
      </c>
      <c r="D373" s="1">
        <v>43</v>
      </c>
    </row>
    <row r="374" spans="1:4" x14ac:dyDescent="0.25">
      <c r="A374" s="1">
        <v>373</v>
      </c>
      <c r="B374" s="1">
        <v>429</v>
      </c>
      <c r="C374" s="1">
        <v>300</v>
      </c>
      <c r="D374" s="1">
        <v>44</v>
      </c>
    </row>
    <row r="375" spans="1:4" x14ac:dyDescent="0.25">
      <c r="A375" s="1">
        <v>374</v>
      </c>
      <c r="B375" s="1">
        <v>430</v>
      </c>
      <c r="C375" s="1">
        <v>550</v>
      </c>
      <c r="D375" s="1">
        <v>30</v>
      </c>
    </row>
    <row r="376" spans="1:4" x14ac:dyDescent="0.25">
      <c r="A376" s="1">
        <v>375</v>
      </c>
      <c r="B376" s="1">
        <v>431</v>
      </c>
      <c r="C376" s="1">
        <v>600</v>
      </c>
      <c r="D376" s="1">
        <v>31</v>
      </c>
    </row>
    <row r="377" spans="1:4" x14ac:dyDescent="0.25">
      <c r="A377" s="1">
        <v>376</v>
      </c>
      <c r="B377" s="1">
        <v>432</v>
      </c>
      <c r="C377" s="1">
        <v>800</v>
      </c>
      <c r="D377" s="1">
        <v>45</v>
      </c>
    </row>
    <row r="378" spans="1:4" x14ac:dyDescent="0.25">
      <c r="A378" s="1">
        <v>377</v>
      </c>
      <c r="B378" s="1">
        <v>433</v>
      </c>
      <c r="C378" s="1">
        <v>750</v>
      </c>
      <c r="D378" s="1">
        <v>43</v>
      </c>
    </row>
    <row r="379" spans="1:4" x14ac:dyDescent="0.25">
      <c r="A379" s="1">
        <v>378</v>
      </c>
      <c r="B379" s="1">
        <v>434</v>
      </c>
      <c r="C379" s="1">
        <v>1100</v>
      </c>
      <c r="D379" s="1">
        <v>44</v>
      </c>
    </row>
    <row r="380" spans="1:4" x14ac:dyDescent="0.25">
      <c r="A380" s="1">
        <v>379</v>
      </c>
      <c r="B380" s="1">
        <v>435</v>
      </c>
      <c r="C380" s="1">
        <v>300</v>
      </c>
      <c r="D380" s="1">
        <v>30</v>
      </c>
    </row>
    <row r="381" spans="1:4" x14ac:dyDescent="0.25">
      <c r="A381" s="1">
        <v>380</v>
      </c>
      <c r="B381" s="1">
        <v>436</v>
      </c>
      <c r="C381" s="1">
        <v>550</v>
      </c>
      <c r="D381" s="1">
        <v>45</v>
      </c>
    </row>
    <row r="382" spans="1:4" x14ac:dyDescent="0.25">
      <c r="A382" s="1">
        <v>381</v>
      </c>
      <c r="B382" s="1">
        <v>437</v>
      </c>
      <c r="C382" s="1">
        <v>150</v>
      </c>
      <c r="D382" s="1">
        <v>17</v>
      </c>
    </row>
    <row r="383" spans="1:4" x14ac:dyDescent="0.25">
      <c r="A383" s="1">
        <v>382</v>
      </c>
      <c r="B383" s="1">
        <v>438</v>
      </c>
      <c r="C383" s="1">
        <v>300</v>
      </c>
      <c r="D383" s="1">
        <v>47</v>
      </c>
    </row>
    <row r="384" spans="1:4" x14ac:dyDescent="0.25">
      <c r="A384" s="1">
        <v>383</v>
      </c>
      <c r="B384" s="1">
        <v>439</v>
      </c>
      <c r="C384" s="1">
        <v>1100</v>
      </c>
      <c r="D384" s="1">
        <v>43</v>
      </c>
    </row>
    <row r="385" spans="1:4" x14ac:dyDescent="0.25">
      <c r="A385" s="1">
        <v>384</v>
      </c>
      <c r="B385" s="1">
        <v>440</v>
      </c>
      <c r="C385" s="1">
        <v>1500</v>
      </c>
      <c r="D385" s="1">
        <v>30</v>
      </c>
    </row>
    <row r="386" spans="1:4" x14ac:dyDescent="0.25">
      <c r="A386" s="1">
        <v>385</v>
      </c>
      <c r="B386" s="1">
        <v>441</v>
      </c>
      <c r="C386" s="1">
        <v>50</v>
      </c>
      <c r="D386" s="1">
        <v>31</v>
      </c>
    </row>
    <row r="387" spans="1:4" x14ac:dyDescent="0.25">
      <c r="A387" s="1">
        <v>386</v>
      </c>
      <c r="B387" s="1">
        <v>442</v>
      </c>
      <c r="C387" s="1">
        <v>650</v>
      </c>
      <c r="D387" s="1">
        <v>45</v>
      </c>
    </row>
    <row r="388" spans="1:4" x14ac:dyDescent="0.25">
      <c r="A388" s="1">
        <v>387</v>
      </c>
      <c r="B388" s="1">
        <v>443</v>
      </c>
      <c r="C388" s="1">
        <v>400</v>
      </c>
      <c r="D388" s="1">
        <v>47</v>
      </c>
    </row>
    <row r="389" spans="1:4" x14ac:dyDescent="0.25">
      <c r="A389" s="1">
        <v>388</v>
      </c>
      <c r="B389" s="1">
        <v>444</v>
      </c>
      <c r="C389" s="1">
        <v>1450</v>
      </c>
      <c r="D389" s="1">
        <v>43</v>
      </c>
    </row>
    <row r="390" spans="1:4" x14ac:dyDescent="0.25">
      <c r="A390" s="1">
        <v>389</v>
      </c>
      <c r="B390" s="1">
        <v>445</v>
      </c>
      <c r="C390" s="1">
        <v>500</v>
      </c>
      <c r="D390" s="1">
        <v>44</v>
      </c>
    </row>
    <row r="391" spans="1:4" x14ac:dyDescent="0.25">
      <c r="A391" s="1">
        <v>390</v>
      </c>
      <c r="B391" s="1">
        <v>446</v>
      </c>
      <c r="C391" s="1">
        <v>1500</v>
      </c>
      <c r="D391" s="1">
        <v>30</v>
      </c>
    </row>
    <row r="392" spans="1:4" x14ac:dyDescent="0.25">
      <c r="A392" s="1">
        <v>391</v>
      </c>
      <c r="B392" s="1">
        <v>447</v>
      </c>
      <c r="C392" s="1">
        <v>150</v>
      </c>
      <c r="D392" s="1">
        <v>43</v>
      </c>
    </row>
    <row r="393" spans="1:4" x14ac:dyDescent="0.25">
      <c r="A393" s="1">
        <v>392</v>
      </c>
      <c r="B393" s="1">
        <v>448</v>
      </c>
      <c r="C393" s="1">
        <v>600</v>
      </c>
      <c r="D393" s="1">
        <v>44</v>
      </c>
    </row>
    <row r="394" spans="1:4" x14ac:dyDescent="0.25">
      <c r="A394" s="1">
        <v>393</v>
      </c>
      <c r="B394" s="1">
        <v>449</v>
      </c>
      <c r="C394" s="1">
        <v>1500</v>
      </c>
      <c r="D394" s="1">
        <v>30</v>
      </c>
    </row>
    <row r="395" spans="1:4" x14ac:dyDescent="0.25">
      <c r="A395" s="1">
        <v>394</v>
      </c>
      <c r="B395" s="1">
        <v>450</v>
      </c>
      <c r="C395" s="1">
        <v>1750</v>
      </c>
      <c r="D395" s="1">
        <v>45</v>
      </c>
    </row>
    <row r="396" spans="1:4" x14ac:dyDescent="0.25">
      <c r="A396" s="1">
        <v>395</v>
      </c>
      <c r="B396" s="1">
        <v>451</v>
      </c>
      <c r="C396" s="1">
        <v>3000</v>
      </c>
      <c r="D396" s="1">
        <v>30</v>
      </c>
    </row>
    <row r="397" spans="1:4" x14ac:dyDescent="0.25">
      <c r="A397" s="1">
        <v>396</v>
      </c>
      <c r="B397" s="1">
        <v>452</v>
      </c>
      <c r="C397" s="1">
        <v>750</v>
      </c>
      <c r="D397" s="1">
        <v>45</v>
      </c>
    </row>
    <row r="398" spans="1:4" x14ac:dyDescent="0.25">
      <c r="A398" s="1">
        <v>397</v>
      </c>
      <c r="B398" s="1">
        <v>453</v>
      </c>
      <c r="C398" s="1">
        <v>75</v>
      </c>
      <c r="D398" s="1">
        <v>38</v>
      </c>
    </row>
    <row r="399" spans="1:4" x14ac:dyDescent="0.25">
      <c r="A399" s="1">
        <v>398</v>
      </c>
      <c r="B399" s="1">
        <v>454</v>
      </c>
      <c r="C399" s="1">
        <v>400</v>
      </c>
      <c r="D399" s="1">
        <v>46</v>
      </c>
    </row>
    <row r="400" spans="1:4" x14ac:dyDescent="0.25">
      <c r="A400" s="1">
        <v>399</v>
      </c>
      <c r="B400" s="1">
        <v>455</v>
      </c>
      <c r="C400" s="1">
        <v>2700</v>
      </c>
      <c r="D400" s="1">
        <v>43</v>
      </c>
    </row>
    <row r="401" spans="1:4" x14ac:dyDescent="0.25">
      <c r="A401" s="1">
        <v>400</v>
      </c>
      <c r="B401" s="1">
        <v>456</v>
      </c>
      <c r="C401" s="1">
        <v>700</v>
      </c>
      <c r="D401" s="1">
        <v>44</v>
      </c>
    </row>
    <row r="402" spans="1:4" x14ac:dyDescent="0.25">
      <c r="A402" s="1">
        <v>401</v>
      </c>
      <c r="B402" s="1">
        <v>458</v>
      </c>
      <c r="C402" s="1">
        <v>1650</v>
      </c>
      <c r="D402" s="1">
        <v>43</v>
      </c>
    </row>
    <row r="403" spans="1:4" x14ac:dyDescent="0.25">
      <c r="A403" s="1">
        <v>402</v>
      </c>
      <c r="B403" s="1">
        <v>459</v>
      </c>
      <c r="C403" s="1">
        <v>800</v>
      </c>
      <c r="D403" s="1">
        <v>44</v>
      </c>
    </row>
    <row r="404" spans="1:4" x14ac:dyDescent="0.25">
      <c r="A404" s="1">
        <v>403</v>
      </c>
      <c r="B404" s="1">
        <v>460</v>
      </c>
      <c r="C404" s="1">
        <v>700</v>
      </c>
      <c r="D404" s="1">
        <v>30</v>
      </c>
    </row>
    <row r="405" spans="1:4" x14ac:dyDescent="0.25">
      <c r="A405" s="1">
        <v>404</v>
      </c>
      <c r="B405" s="1">
        <v>461</v>
      </c>
      <c r="C405" s="1">
        <v>600</v>
      </c>
      <c r="D405" s="1">
        <v>45</v>
      </c>
    </row>
    <row r="406" spans="1:4" x14ac:dyDescent="0.25">
      <c r="A406" s="1">
        <v>405</v>
      </c>
      <c r="B406" s="1">
        <v>462</v>
      </c>
      <c r="C406" s="1">
        <v>1100</v>
      </c>
      <c r="D406" s="1">
        <v>43</v>
      </c>
    </row>
    <row r="407" spans="1:4" x14ac:dyDescent="0.25">
      <c r="A407" s="1">
        <v>406</v>
      </c>
      <c r="B407" s="1">
        <v>463</v>
      </c>
      <c r="C407" s="1">
        <v>50</v>
      </c>
      <c r="D407" s="1">
        <v>44</v>
      </c>
    </row>
    <row r="408" spans="1:4" x14ac:dyDescent="0.25">
      <c r="A408" s="1">
        <v>407</v>
      </c>
      <c r="B408" s="1">
        <v>464</v>
      </c>
      <c r="C408" s="1">
        <v>2200</v>
      </c>
      <c r="D408" s="1">
        <v>30</v>
      </c>
    </row>
    <row r="409" spans="1:4" x14ac:dyDescent="0.25">
      <c r="A409" s="1">
        <v>408</v>
      </c>
      <c r="B409" s="1">
        <v>465</v>
      </c>
      <c r="C409" s="1">
        <v>200</v>
      </c>
      <c r="D409" s="1">
        <v>45</v>
      </c>
    </row>
    <row r="410" spans="1:4" x14ac:dyDescent="0.25">
      <c r="A410" s="1">
        <v>409</v>
      </c>
      <c r="B410" s="1">
        <v>466</v>
      </c>
      <c r="C410" s="1">
        <v>750</v>
      </c>
      <c r="D410" s="1">
        <v>48</v>
      </c>
    </row>
    <row r="411" spans="1:4" x14ac:dyDescent="0.25">
      <c r="A411" s="1">
        <v>410</v>
      </c>
      <c r="B411" s="1">
        <v>467</v>
      </c>
      <c r="C411" s="1">
        <v>10</v>
      </c>
      <c r="D411" s="1">
        <v>49</v>
      </c>
    </row>
    <row r="412" spans="1:4" x14ac:dyDescent="0.25">
      <c r="A412" s="1">
        <v>411</v>
      </c>
      <c r="B412" s="1">
        <v>468</v>
      </c>
      <c r="C412" s="1">
        <v>1800</v>
      </c>
      <c r="D412" s="1">
        <v>43</v>
      </c>
    </row>
    <row r="413" spans="1:4" x14ac:dyDescent="0.25">
      <c r="A413" s="1">
        <v>412</v>
      </c>
      <c r="B413" s="1">
        <v>469</v>
      </c>
      <c r="C413" s="1">
        <v>1500</v>
      </c>
      <c r="D413" s="1">
        <v>48</v>
      </c>
    </row>
    <row r="414" spans="1:4" x14ac:dyDescent="0.25">
      <c r="A414" s="1">
        <v>413</v>
      </c>
      <c r="B414" s="1">
        <v>470</v>
      </c>
      <c r="C414" s="1">
        <v>1200</v>
      </c>
      <c r="D414" s="1">
        <v>43</v>
      </c>
    </row>
    <row r="415" spans="1:4" x14ac:dyDescent="0.25">
      <c r="A415" s="1">
        <v>414</v>
      </c>
      <c r="B415" s="1">
        <v>471</v>
      </c>
      <c r="C415" s="1">
        <v>100</v>
      </c>
      <c r="D415" s="1">
        <v>31</v>
      </c>
    </row>
    <row r="416" spans="1:4" x14ac:dyDescent="0.25">
      <c r="A416" s="1">
        <v>415</v>
      </c>
      <c r="B416" s="1">
        <v>472</v>
      </c>
      <c r="C416" s="1">
        <v>75</v>
      </c>
      <c r="D416" s="1">
        <v>48</v>
      </c>
    </row>
    <row r="417" spans="1:4" x14ac:dyDescent="0.25">
      <c r="A417" s="1">
        <v>416</v>
      </c>
      <c r="B417" s="1">
        <v>473</v>
      </c>
      <c r="C417" s="1">
        <v>500</v>
      </c>
      <c r="D417" s="1">
        <v>49</v>
      </c>
    </row>
    <row r="418" spans="1:4" x14ac:dyDescent="0.25">
      <c r="A418" s="1">
        <v>417</v>
      </c>
      <c r="B418" s="1">
        <v>474</v>
      </c>
      <c r="C418" s="1">
        <v>1100</v>
      </c>
      <c r="D418" s="1">
        <v>43</v>
      </c>
    </row>
    <row r="419" spans="1:4" x14ac:dyDescent="0.25">
      <c r="A419" s="1">
        <v>418</v>
      </c>
      <c r="B419" s="1">
        <v>475</v>
      </c>
      <c r="C419" s="1">
        <v>200</v>
      </c>
      <c r="D419" s="1">
        <v>30</v>
      </c>
    </row>
    <row r="420" spans="1:4" x14ac:dyDescent="0.25">
      <c r="A420" s="1">
        <v>419</v>
      </c>
      <c r="B420" s="1">
        <v>476</v>
      </c>
      <c r="C420" s="1">
        <v>375</v>
      </c>
      <c r="D420" s="1">
        <v>48</v>
      </c>
    </row>
    <row r="421" spans="1:4" x14ac:dyDescent="0.25">
      <c r="A421" s="1">
        <v>420</v>
      </c>
      <c r="B421" s="1">
        <v>477</v>
      </c>
      <c r="C421" s="1">
        <v>500</v>
      </c>
      <c r="D421" s="1">
        <v>49</v>
      </c>
    </row>
    <row r="422" spans="1:4" x14ac:dyDescent="0.25">
      <c r="A422" s="1">
        <v>421</v>
      </c>
      <c r="B422" s="1">
        <v>478</v>
      </c>
      <c r="C422" s="1">
        <v>200</v>
      </c>
      <c r="D422" s="1">
        <v>43</v>
      </c>
    </row>
    <row r="423" spans="1:4" x14ac:dyDescent="0.25">
      <c r="A423" s="1">
        <v>422</v>
      </c>
      <c r="B423" s="1">
        <v>479</v>
      </c>
      <c r="C423" s="1">
        <v>1500</v>
      </c>
      <c r="D423" s="1">
        <v>45</v>
      </c>
    </row>
    <row r="424" spans="1:4" x14ac:dyDescent="0.25">
      <c r="A424" s="1">
        <v>423</v>
      </c>
      <c r="B424" s="1">
        <v>480</v>
      </c>
      <c r="C424" s="1">
        <v>225</v>
      </c>
      <c r="D424" s="1">
        <v>48</v>
      </c>
    </row>
    <row r="425" spans="1:4" x14ac:dyDescent="0.25">
      <c r="A425" s="1">
        <v>424</v>
      </c>
      <c r="B425" s="1">
        <v>481</v>
      </c>
      <c r="C425" s="1">
        <v>1000</v>
      </c>
      <c r="D425" s="1">
        <v>49</v>
      </c>
    </row>
    <row r="426" spans="1:4" x14ac:dyDescent="0.25">
      <c r="A426" s="1">
        <v>425</v>
      </c>
      <c r="B426" s="1">
        <v>482</v>
      </c>
      <c r="C426" s="1">
        <v>900</v>
      </c>
      <c r="D426" s="1">
        <v>50</v>
      </c>
    </row>
    <row r="427" spans="1:4" x14ac:dyDescent="0.25">
      <c r="A427" s="1">
        <v>426</v>
      </c>
      <c r="B427" s="1">
        <v>483</v>
      </c>
      <c r="C427" s="1">
        <v>300</v>
      </c>
      <c r="D427" s="1">
        <v>52</v>
      </c>
    </row>
    <row r="428" spans="1:4" x14ac:dyDescent="0.25">
      <c r="A428" s="1">
        <v>427</v>
      </c>
      <c r="B428" s="1">
        <v>484</v>
      </c>
      <c r="C428" s="1">
        <v>200</v>
      </c>
      <c r="D428" s="1">
        <v>45</v>
      </c>
    </row>
    <row r="429" spans="1:4" x14ac:dyDescent="0.25">
      <c r="A429" s="1">
        <v>428</v>
      </c>
      <c r="B429" s="1">
        <v>485</v>
      </c>
      <c r="C429" s="1">
        <v>950</v>
      </c>
      <c r="D429" s="1">
        <v>49</v>
      </c>
    </row>
    <row r="430" spans="1:4" x14ac:dyDescent="0.25">
      <c r="A430" s="1">
        <v>429</v>
      </c>
      <c r="B430" s="1">
        <v>486</v>
      </c>
      <c r="C430" s="1">
        <v>675</v>
      </c>
      <c r="D430" s="1">
        <v>50</v>
      </c>
    </row>
    <row r="431" spans="1:4" x14ac:dyDescent="0.25">
      <c r="A431" s="1">
        <v>430</v>
      </c>
      <c r="B431" s="1">
        <v>487</v>
      </c>
      <c r="C431" s="1">
        <v>1700</v>
      </c>
      <c r="D431" s="1">
        <v>43</v>
      </c>
    </row>
    <row r="432" spans="1:4" x14ac:dyDescent="0.25">
      <c r="A432" s="1">
        <v>431</v>
      </c>
      <c r="B432" s="1">
        <v>488</v>
      </c>
      <c r="C432" s="1">
        <v>50</v>
      </c>
      <c r="D432" s="1">
        <v>44</v>
      </c>
    </row>
    <row r="433" spans="1:4" x14ac:dyDescent="0.25">
      <c r="A433" s="1">
        <v>432</v>
      </c>
      <c r="B433" s="1">
        <v>489</v>
      </c>
      <c r="C433" s="1">
        <v>1500</v>
      </c>
      <c r="D433" s="1">
        <v>48</v>
      </c>
    </row>
    <row r="434" spans="1:4" x14ac:dyDescent="0.25">
      <c r="A434" s="1">
        <v>433</v>
      </c>
      <c r="B434" s="1">
        <v>490</v>
      </c>
      <c r="C434" s="1">
        <v>200</v>
      </c>
      <c r="D434" s="1">
        <v>49</v>
      </c>
    </row>
    <row r="435" spans="1:4" x14ac:dyDescent="0.25">
      <c r="A435" s="1">
        <v>434</v>
      </c>
      <c r="B435" s="1">
        <v>491</v>
      </c>
      <c r="C435" s="1">
        <v>800</v>
      </c>
      <c r="D435" s="1">
        <v>51</v>
      </c>
    </row>
    <row r="436" spans="1:4" x14ac:dyDescent="0.25">
      <c r="A436" s="1">
        <v>435</v>
      </c>
      <c r="B436" s="1">
        <v>492</v>
      </c>
      <c r="C436" s="1">
        <v>900</v>
      </c>
      <c r="D436" s="1">
        <v>43</v>
      </c>
    </row>
    <row r="437" spans="1:4" x14ac:dyDescent="0.25">
      <c r="A437" s="1">
        <v>436</v>
      </c>
      <c r="B437" s="1">
        <v>493</v>
      </c>
      <c r="C437" s="1">
        <v>300</v>
      </c>
      <c r="D437" s="1">
        <v>49</v>
      </c>
    </row>
    <row r="438" spans="1:4" x14ac:dyDescent="0.25">
      <c r="A438" s="1">
        <v>437</v>
      </c>
      <c r="B438" s="1">
        <v>494</v>
      </c>
      <c r="C438" s="1">
        <v>600</v>
      </c>
      <c r="D438" s="1">
        <v>51</v>
      </c>
    </row>
    <row r="439" spans="1:4" x14ac:dyDescent="0.25">
      <c r="A439" s="1">
        <v>438</v>
      </c>
      <c r="B439" s="1">
        <v>495</v>
      </c>
      <c r="C439" s="1">
        <v>1500</v>
      </c>
      <c r="D439" s="1">
        <v>43</v>
      </c>
    </row>
    <row r="440" spans="1:4" x14ac:dyDescent="0.25">
      <c r="A440" s="1">
        <v>439</v>
      </c>
      <c r="B440" s="1">
        <v>496</v>
      </c>
      <c r="C440" s="1">
        <v>1500</v>
      </c>
      <c r="D440" s="1">
        <v>52</v>
      </c>
    </row>
    <row r="441" spans="1:4" x14ac:dyDescent="0.25">
      <c r="A441" s="1">
        <v>440</v>
      </c>
      <c r="B441" s="1">
        <v>497</v>
      </c>
      <c r="C441" s="1">
        <v>135</v>
      </c>
      <c r="D441" s="1">
        <v>45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55EDA-69AE-48E5-BD13-698EA9B81731}">
  <sheetPr codeName="Sheet23"/>
  <dimension ref="A1:F2"/>
  <sheetViews>
    <sheetView workbookViewId="0">
      <selection activeCell="B1" sqref="B1:D1"/>
    </sheetView>
  </sheetViews>
  <sheetFormatPr defaultColWidth="15.7109375" defaultRowHeight="15" x14ac:dyDescent="0.25"/>
  <cols>
    <col min="1" max="1" width="15.7109375" style="1"/>
    <col min="2" max="2" width="17.85546875" style="1" bestFit="1" customWidth="1"/>
    <col min="3" max="3" width="16.85546875" style="1" bestFit="1" customWidth="1"/>
    <col min="4" max="4" width="14.42578125" style="1" bestFit="1" customWidth="1"/>
    <col min="5" max="5" width="9.85546875" style="1" bestFit="1" customWidth="1"/>
    <col min="6" max="6" width="7.42578125" style="1" bestFit="1" customWidth="1"/>
    <col min="7" max="16384" width="15.7109375" style="1"/>
  </cols>
  <sheetData>
    <row r="1" spans="1:6" x14ac:dyDescent="0.25">
      <c r="A1" s="1" t="s">
        <v>0</v>
      </c>
      <c r="B1" s="1" t="s">
        <v>833</v>
      </c>
      <c r="C1" s="1" t="s">
        <v>834</v>
      </c>
      <c r="D1" s="1" t="s">
        <v>835</v>
      </c>
      <c r="E1" s="1" t="s">
        <v>831</v>
      </c>
      <c r="F1" s="1" t="s">
        <v>832</v>
      </c>
    </row>
    <row r="2" spans="1:6" x14ac:dyDescent="0.25">
      <c r="C2" s="1" t="s">
        <v>830</v>
      </c>
      <c r="E2" s="1">
        <v>1403</v>
      </c>
      <c r="F2" s="1">
        <v>1404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0E6B7-5302-4600-AC99-79F59A9B1766}">
  <sheetPr codeName="Sheet25"/>
  <dimension ref="A1"/>
  <sheetViews>
    <sheetView workbookViewId="0">
      <selection activeCell="O35" sqref="O35"/>
    </sheetView>
  </sheetViews>
  <sheetFormatPr defaultColWidth="15.7109375" defaultRowHeight="15" x14ac:dyDescent="0.25"/>
  <cols>
    <col min="1" max="16384" width="15.7109375" style="1"/>
  </cols>
  <sheetData>
    <row r="1" spans="1:1" x14ac:dyDescent="0.25">
      <c r="A1" s="1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products</vt:lpstr>
      <vt:lpstr>customers</vt:lpstr>
      <vt:lpstr>cables</vt:lpstr>
      <vt:lpstr>plugs</vt:lpstr>
      <vt:lpstr>cords</vt:lpstr>
      <vt:lpstr>terminals</vt:lpstr>
      <vt:lpstr>applicators</vt:lpstr>
      <vt:lpstr>molds</vt:lpstr>
      <vt:lpstr>mold_product</vt:lpstr>
      <vt:lpstr>ferrites</vt:lpstr>
      <vt:lpstr>orders</vt:lpstr>
      <vt:lpstr>deadlines</vt:lpstr>
      <vt:lpstr>months</vt:lpstr>
      <vt:lpstr>cycletimes</vt:lpstr>
      <vt:lpstr>cuts</vt:lpstr>
      <vt:lpstr>converts</vt:lpstr>
      <vt:lpstr>nonordered_cuts</vt:lpstr>
      <vt:lpstr>batches</vt:lpstr>
      <vt:lpstr>productions</vt:lpstr>
      <vt:lpstr>nonordered_productions</vt:lpstr>
      <vt:lpstr>order_production</vt:lpstr>
      <vt:lpstr>carrieds</vt:lpstr>
      <vt:lpstr>cables (18)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SE7EN-PC</dc:creator>
  <cp:lastModifiedBy>bakhtiar sadeghi</cp:lastModifiedBy>
  <dcterms:created xsi:type="dcterms:W3CDTF">2025-10-13T13:16:50Z</dcterms:created>
  <dcterms:modified xsi:type="dcterms:W3CDTF">2025-10-16T07:01:22Z</dcterms:modified>
</cp:coreProperties>
</file>