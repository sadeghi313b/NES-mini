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1.xml" ContentType="application/vnd.openxmlformats-officedocument.spreadsheetml.comment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EBBF1EDF-2893-4230-9709-79A756F62A39}" xr6:coauthVersionLast="47" xr6:coauthVersionMax="47" xr10:uidLastSave="{00000000-0000-0000-0000-000000000000}"/>
  <bookViews>
    <workbookView xWindow="-120" yWindow="-120" windowWidth="20730" windowHeight="11160" tabRatio="813" firstSheet="18" activeTab="25" xr2:uid="{955AE44E-51B7-4C9B-8439-672E6D42C561}"/>
  </bookViews>
  <sheets>
    <sheet name="_mySQL" sheetId="32" r:id="rId1"/>
    <sheet name="products" sheetId="1" r:id="rId2"/>
    <sheet name="customers" sheetId="2" r:id="rId3"/>
    <sheet name="cables" sheetId="3" r:id="rId4"/>
    <sheet name="plugs" sheetId="5" r:id="rId5"/>
    <sheet name="cords" sheetId="6" r:id="rId6"/>
    <sheet name="terminals" sheetId="7" r:id="rId7"/>
    <sheet name="applicators" sheetId="8" r:id="rId8"/>
    <sheet name="molds" sheetId="9" r:id="rId9"/>
    <sheet name="mold_product" sheetId="11" r:id="rId10"/>
    <sheet name="ferrites" sheetId="10" r:id="rId11"/>
    <sheet name="orders" sheetId="12" r:id="rId12"/>
    <sheet name="deadlines" sheetId="13" r:id="rId13"/>
    <sheet name="months" sheetId="16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activities" sheetId="33" r:id="rId23"/>
    <sheet name="product_standard_times" sheetId="18" r:id="rId24"/>
    <sheet name="_CT" sheetId="34" r:id="rId25"/>
    <sheet name="_total" sheetId="45" r:id="rId26"/>
    <sheet name="works" sheetId="27" r:id="rId27"/>
    <sheet name="batched_works" sheetId="35" r:id="rId28"/>
    <sheet name="nonbatched_works" sheetId="37" r:id="rId29"/>
    <sheet name="extra_works" sheetId="36" r:id="rId30"/>
    <sheet name="performances" sheetId="29" r:id="rId31"/>
    <sheet name="equipment_runtimes" sheetId="28" r:id="rId32"/>
    <sheet name="users" sheetId="38" r:id="rId33"/>
    <sheet name="roles" sheetId="39" r:id="rId34"/>
    <sheet name="employees" sheetId="40" r:id="rId35"/>
    <sheet name="role_user" sheetId="41" r:id="rId36"/>
    <sheet name="phones" sheetId="42" r:id="rId37"/>
    <sheet name="departments" sheetId="43" r:id="rId38"/>
    <sheet name="subdepartments" sheetId="44" r:id="rId39"/>
    <sheet name="_template" sheetId="31" r:id="rId40"/>
  </sheets>
  <functionGroups builtInGroupCount="19"/>
  <externalReferences>
    <externalReference r:id="rId41"/>
    <externalReference r:id="rId42"/>
    <externalReference r:id="rId43"/>
  </externalReferences>
  <definedNames>
    <definedName name="aaaa">_CT!$Z$15,_CT!$W$15:$Y$15,_CT!$Y$17:$Y$21,_CT!$W$17,_CT!$W$19:$W$29,_CT!$X$24:$X$25,_CT!$X$27:$X$28,_CT!$Y$26:$Y$29,_CT!$Z$27:$AC$29,_CT!$AD$27:$AF$28,_CT!$AA$24:$AF$26,_CT!$Z$23:$Z$24,_CT!$AA$17:$AA$23,_CT!$Z$17:$Z$21,_CT!$AB$17:$AF$18,_CT!$AF$19,_CT!$AC$20:$AE$20,_CT!$AB$21,_CT!$AC$23,_CT!$AF$23,_CT!$AC$22:$AF$22</definedName>
    <definedName name="batchAmount">300</definedName>
    <definedName name="batchId">2126</definedName>
    <definedName name="cutOrdAmount">3000</definedName>
    <definedName name="cutOrdDdate">"1404/07/26"</definedName>
    <definedName name="cutOrdId">269</definedName>
    <definedName name="dailyMyColumns">'[1]daily80%'!$C:$H,'[1]daily80%'!$J:$T,'[1]daily80%'!$V:$AD,'[1]daily80%'!$AF:$AN</definedName>
    <definedName name="description">"="</definedName>
    <definedName name="lastBatchId">2126</definedName>
    <definedName name="myColumns">'[1]regali80%'!$D:$I,'[1]regali80%'!$K:$U,'[1]regali80%'!$W:$AE,'[1]regali80%'!$AG:$AO</definedName>
    <definedName name="pid">140030039</definedName>
    <definedName name="remain">-5500</definedName>
    <definedName name="titles">'[2]آقای صدیقی'!$F$2,'[2]آقای صدیقی'!$B$2,'[2]آقای صدیقی'!$B$5,'[2]آقای صدیقی'!$F$5,'[2]آقای صدیقی'!$F$8,'[2]آقای صدیقی'!$B$8,'[2]آقای صدیقی'!$B$11,'[2]آقای صدیقی'!$F$11,'[2]آقای صدیقی'!$F$14,'[2]آقای صدیقی'!$B$14,'[2]آقای صدیقی'!#REF!,'[2]آقای صدیقی'!#REF!,'[2]آقای صدیقی'!$F$17,'[2]آقای صدیقی'!$B$17,'[2]آقای صدیقی'!$B$20,'[2]آقای صدیقی'!$F$20,'[2]آقای صدیقی'!$F$23,'[2]آقای صدیقی'!$B$23,'[2]آقای صدیقی'!$B$26,'[2]آقای صدیقی'!$F$26,'[2]آقای صدیقی'!$B$29,'[2]آقای صدیقی'!$F$29</definedName>
    <definedName name="unityCycleTime">[3]data!$B$3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35" l="1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F416" i="35"/>
  <c r="F417" i="35"/>
  <c r="F418" i="35"/>
  <c r="F419" i="35"/>
  <c r="F420" i="35"/>
  <c r="F421" i="35"/>
  <c r="F422" i="35"/>
  <c r="F423" i="35"/>
  <c r="F424" i="35"/>
  <c r="F425" i="35"/>
  <c r="F426" i="35"/>
  <c r="F427" i="35"/>
  <c r="F428" i="35"/>
  <c r="F429" i="35"/>
  <c r="F430" i="35"/>
  <c r="F431" i="35"/>
  <c r="F432" i="35"/>
  <c r="F433" i="35"/>
  <c r="F434" i="35"/>
  <c r="F435" i="35"/>
  <c r="F436" i="35"/>
  <c r="F437" i="35"/>
  <c r="F438" i="35"/>
  <c r="F439" i="35"/>
  <c r="F440" i="35"/>
  <c r="F441" i="35"/>
  <c r="F442" i="35"/>
  <c r="F443" i="35"/>
  <c r="F444" i="35"/>
  <c r="F445" i="35"/>
  <c r="F446" i="35"/>
  <c r="F447" i="35"/>
  <c r="F448" i="35"/>
  <c r="F449" i="35"/>
  <c r="F450" i="35"/>
  <c r="F451" i="35"/>
  <c r="F452" i="35"/>
  <c r="F453" i="35"/>
  <c r="F454" i="35"/>
  <c r="F455" i="35"/>
  <c r="F456" i="35"/>
  <c r="F457" i="35"/>
  <c r="F458" i="35"/>
  <c r="F459" i="35"/>
  <c r="F460" i="35"/>
  <c r="F461" i="35"/>
  <c r="F462" i="35"/>
  <c r="F463" i="35"/>
  <c r="F464" i="35"/>
  <c r="F465" i="35"/>
  <c r="F466" i="35"/>
  <c r="F467" i="35"/>
  <c r="F468" i="35"/>
  <c r="F469" i="35"/>
  <c r="F470" i="35"/>
  <c r="F471" i="35"/>
  <c r="F472" i="35"/>
  <c r="F473" i="35"/>
  <c r="F474" i="35"/>
  <c r="F475" i="35"/>
  <c r="F476" i="35"/>
  <c r="F477" i="35"/>
  <c r="F478" i="35"/>
  <c r="F479" i="35"/>
  <c r="F480" i="35"/>
  <c r="F481" i="35"/>
  <c r="F482" i="35"/>
  <c r="F483" i="35"/>
  <c r="F484" i="35"/>
  <c r="F485" i="35"/>
  <c r="F486" i="35"/>
  <c r="F487" i="35"/>
  <c r="F488" i="35"/>
  <c r="F489" i="35"/>
  <c r="F490" i="35"/>
  <c r="F491" i="35"/>
  <c r="F492" i="35"/>
  <c r="F493" i="35"/>
  <c r="F494" i="35"/>
  <c r="F495" i="35"/>
  <c r="F496" i="35"/>
  <c r="F497" i="35"/>
  <c r="F498" i="35"/>
  <c r="F499" i="35"/>
  <c r="F500" i="35"/>
  <c r="F501" i="35"/>
  <c r="F502" i="35"/>
  <c r="F503" i="35"/>
  <c r="F504" i="35"/>
  <c r="F505" i="35"/>
  <c r="F506" i="35"/>
  <c r="F507" i="35"/>
  <c r="F508" i="35"/>
  <c r="F509" i="35"/>
  <c r="F510" i="35"/>
  <c r="F511" i="35"/>
  <c r="F512" i="35"/>
  <c r="F513" i="35"/>
  <c r="F514" i="35"/>
  <c r="F515" i="35"/>
  <c r="F516" i="35"/>
  <c r="F517" i="35"/>
  <c r="F518" i="35"/>
  <c r="F519" i="35"/>
  <c r="F520" i="35"/>
  <c r="F521" i="35"/>
  <c r="F522" i="35"/>
  <c r="F523" i="35"/>
  <c r="F524" i="35"/>
  <c r="F525" i="35"/>
  <c r="F526" i="35"/>
  <c r="F527" i="35"/>
  <c r="F528" i="35"/>
  <c r="F529" i="35"/>
  <c r="F530" i="35"/>
  <c r="F531" i="35"/>
  <c r="F532" i="35"/>
  <c r="F533" i="35"/>
  <c r="F534" i="35"/>
  <c r="F535" i="35"/>
  <c r="F536" i="35"/>
  <c r="F537" i="35"/>
  <c r="F538" i="35"/>
  <c r="F539" i="35"/>
  <c r="F540" i="35"/>
  <c r="F541" i="35"/>
  <c r="F542" i="35"/>
  <c r="F543" i="35"/>
  <c r="F544" i="35"/>
  <c r="F545" i="35"/>
  <c r="F546" i="35"/>
  <c r="F547" i="35"/>
  <c r="F548" i="35"/>
  <c r="F549" i="35"/>
  <c r="F550" i="35"/>
  <c r="F551" i="35"/>
  <c r="F552" i="35"/>
  <c r="F553" i="35"/>
  <c r="F554" i="35"/>
  <c r="F555" i="35"/>
  <c r="F556" i="35"/>
  <c r="F557" i="35"/>
  <c r="F558" i="35"/>
  <c r="F559" i="35"/>
  <c r="F560" i="35"/>
  <c r="F561" i="35"/>
  <c r="F562" i="35"/>
  <c r="F563" i="35"/>
  <c r="F564" i="35"/>
  <c r="F565" i="35"/>
  <c r="F566" i="35"/>
  <c r="F567" i="35"/>
  <c r="F568" i="35"/>
  <c r="F569" i="35"/>
  <c r="F570" i="35"/>
  <c r="F571" i="35"/>
  <c r="F572" i="35"/>
  <c r="F573" i="35"/>
  <c r="F574" i="35"/>
  <c r="F575" i="35"/>
  <c r="F576" i="35"/>
  <c r="F577" i="35"/>
  <c r="F578" i="35"/>
  <c r="F579" i="35"/>
  <c r="F580" i="35"/>
  <c r="F581" i="35"/>
  <c r="F582" i="35"/>
  <c r="F583" i="35"/>
  <c r="F584" i="35"/>
  <c r="F585" i="35"/>
  <c r="F586" i="35"/>
  <c r="F587" i="35"/>
  <c r="F588" i="35"/>
  <c r="F589" i="35"/>
  <c r="F590" i="35"/>
  <c r="F591" i="35"/>
  <c r="F592" i="35"/>
  <c r="F593" i="35"/>
  <c r="F594" i="35"/>
  <c r="F595" i="35"/>
  <c r="F596" i="35"/>
  <c r="F597" i="35"/>
  <c r="F598" i="35"/>
  <c r="F599" i="35"/>
  <c r="F600" i="35"/>
  <c r="F601" i="35"/>
  <c r="F602" i="35"/>
  <c r="F603" i="35"/>
  <c r="F604" i="35"/>
  <c r="F605" i="35"/>
  <c r="F606" i="35"/>
  <c r="F607" i="35"/>
  <c r="F608" i="35"/>
  <c r="F609" i="35"/>
  <c r="F610" i="35"/>
  <c r="F611" i="35"/>
  <c r="F612" i="35"/>
  <c r="F613" i="35"/>
  <c r="F614" i="35"/>
  <c r="F615" i="35"/>
  <c r="F616" i="35"/>
  <c r="F617" i="35"/>
  <c r="F618" i="35"/>
  <c r="F619" i="35"/>
  <c r="F620" i="35"/>
  <c r="F621" i="35"/>
  <c r="F622" i="35"/>
  <c r="F623" i="35"/>
  <c r="F624" i="35"/>
  <c r="F625" i="35"/>
  <c r="F626" i="35"/>
  <c r="F627" i="35"/>
  <c r="F628" i="35"/>
  <c r="F629" i="35"/>
  <c r="F630" i="35"/>
  <c r="F631" i="35"/>
  <c r="F632" i="35"/>
  <c r="F633" i="35"/>
  <c r="F634" i="35"/>
  <c r="F635" i="35"/>
  <c r="F636" i="35"/>
  <c r="F637" i="35"/>
  <c r="F638" i="35"/>
  <c r="F639" i="35"/>
  <c r="F640" i="35"/>
  <c r="F641" i="35"/>
  <c r="F642" i="35"/>
  <c r="F643" i="35"/>
  <c r="F644" i="35"/>
  <c r="F645" i="35"/>
  <c r="F646" i="35"/>
  <c r="F647" i="35"/>
  <c r="F648" i="35"/>
  <c r="F649" i="35"/>
  <c r="F650" i="35"/>
  <c r="F651" i="35"/>
  <c r="F652" i="35"/>
  <c r="F653" i="35"/>
  <c r="F654" i="35"/>
  <c r="F655" i="35"/>
  <c r="F656" i="35"/>
  <c r="F657" i="35"/>
  <c r="F658" i="35"/>
  <c r="F659" i="35"/>
  <c r="F660" i="35"/>
  <c r="F661" i="35"/>
  <c r="F662" i="35"/>
  <c r="F663" i="35"/>
  <c r="F664" i="35"/>
  <c r="F665" i="35"/>
  <c r="F666" i="35"/>
  <c r="F667" i="35"/>
  <c r="F668" i="35"/>
  <c r="F669" i="35"/>
  <c r="F670" i="35"/>
  <c r="F671" i="35"/>
  <c r="F672" i="35"/>
  <c r="F673" i="35"/>
  <c r="F674" i="35"/>
  <c r="F675" i="35"/>
  <c r="F676" i="35"/>
  <c r="F677" i="35"/>
  <c r="F678" i="35"/>
  <c r="F679" i="35"/>
  <c r="F680" i="35"/>
  <c r="F681" i="35"/>
  <c r="F682" i="35"/>
  <c r="F683" i="35"/>
  <c r="F684" i="35"/>
  <c r="F685" i="35"/>
  <c r="F686" i="35"/>
  <c r="F687" i="35"/>
  <c r="F688" i="35"/>
  <c r="F689" i="35"/>
  <c r="F690" i="35"/>
  <c r="F691" i="35"/>
  <c r="F692" i="35"/>
  <c r="F693" i="35"/>
  <c r="F694" i="35"/>
  <c r="F695" i="35"/>
  <c r="F696" i="35"/>
  <c r="F697" i="35"/>
  <c r="F698" i="35"/>
  <c r="F699" i="35"/>
  <c r="F700" i="35"/>
  <c r="F701" i="35"/>
  <c r="F702" i="35"/>
  <c r="F703" i="35"/>
  <c r="F704" i="35"/>
  <c r="F705" i="35"/>
  <c r="F706" i="35"/>
  <c r="F707" i="35"/>
  <c r="F708" i="35"/>
  <c r="F709" i="35"/>
  <c r="F710" i="35"/>
  <c r="F711" i="35"/>
  <c r="F712" i="35"/>
  <c r="F713" i="35"/>
  <c r="F714" i="35"/>
  <c r="F715" i="35"/>
  <c r="F716" i="35"/>
  <c r="F717" i="35"/>
  <c r="F718" i="35"/>
  <c r="F719" i="35"/>
  <c r="F720" i="35"/>
  <c r="F721" i="35"/>
  <c r="F722" i="35"/>
  <c r="F723" i="35"/>
  <c r="F724" i="35"/>
  <c r="F725" i="35"/>
  <c r="F726" i="35"/>
  <c r="F727" i="35"/>
  <c r="F728" i="35"/>
  <c r="F729" i="35"/>
  <c r="F730" i="35"/>
  <c r="F731" i="35"/>
  <c r="F732" i="35"/>
  <c r="F733" i="35"/>
  <c r="F734" i="35"/>
  <c r="F735" i="35"/>
  <c r="F736" i="35"/>
  <c r="F737" i="35"/>
  <c r="F738" i="35"/>
  <c r="F739" i="35"/>
  <c r="F740" i="35"/>
  <c r="F741" i="35"/>
  <c r="F742" i="35"/>
  <c r="F743" i="35"/>
  <c r="F744" i="35"/>
  <c r="F745" i="35"/>
  <c r="F746" i="35"/>
  <c r="F747" i="35"/>
  <c r="F748" i="35"/>
  <c r="F749" i="35"/>
  <c r="F750" i="35"/>
  <c r="F751" i="35"/>
  <c r="F752" i="35"/>
  <c r="F753" i="35"/>
  <c r="F754" i="35"/>
  <c r="F755" i="35"/>
  <c r="F756" i="35"/>
  <c r="F757" i="35"/>
  <c r="F3" i="35"/>
  <c r="AQ36" i="34" l="1"/>
  <c r="AQ35" i="34"/>
  <c r="AQ34" i="34"/>
  <c r="AQ33" i="34"/>
  <c r="AQ32" i="34"/>
  <c r="AQ31" i="34"/>
  <c r="AQ30" i="34"/>
  <c r="AQ29" i="34"/>
  <c r="AQ28" i="34"/>
  <c r="AQ27" i="34"/>
  <c r="AQ26" i="34"/>
  <c r="AQ25" i="34"/>
  <c r="AQ24" i="34"/>
  <c r="AQ23" i="34"/>
  <c r="AQ22" i="34"/>
  <c r="AQ21" i="34"/>
  <c r="AQ20" i="34"/>
  <c r="AQ19" i="34"/>
  <c r="AQ18" i="34"/>
  <c r="AQ17" i="34"/>
  <c r="AQ16" i="34"/>
  <c r="AQ15" i="34"/>
  <c r="AQ14" i="34"/>
  <c r="AQ13" i="34"/>
  <c r="AQ12" i="34"/>
  <c r="AQ11" i="34"/>
  <c r="AQ10" i="34"/>
  <c r="AQ9" i="34"/>
  <c r="AQ8" i="34"/>
  <c r="AQ7" i="34"/>
  <c r="AQ6" i="34"/>
  <c r="AQ5" i="34"/>
  <c r="AQ4" i="34"/>
  <c r="AR3" i="34"/>
  <c r="AQ2" i="34" l="1"/>
  <c r="AR2" i="34" s="1"/>
  <c r="C70" i="26"/>
  <c r="C67" i="26"/>
  <c r="C64" i="26"/>
  <c r="C59" i="26"/>
  <c r="C38" i="26"/>
  <c r="C47" i="26" l="1"/>
  <c r="C63" i="26"/>
  <c r="C54" i="26"/>
  <c r="C61" i="26"/>
  <c r="C66" i="26"/>
  <c r="C69" i="26"/>
  <c r="C8" i="26"/>
  <c r="C12" i="26"/>
  <c r="C16" i="26"/>
  <c r="C19" i="26"/>
  <c r="C23" i="26"/>
  <c r="C35" i="26"/>
  <c r="C43" i="26"/>
  <c r="C45" i="26"/>
  <c r="C51" i="26"/>
  <c r="C4" i="26"/>
  <c r="C6" i="26"/>
  <c r="C10" i="26"/>
  <c r="C14" i="26"/>
  <c r="C21" i="26"/>
  <c r="C25" i="26"/>
  <c r="C28" i="26"/>
  <c r="C31" i="26"/>
  <c r="C37" i="26"/>
  <c r="C3" i="26"/>
  <c r="C9" i="26"/>
  <c r="C13" i="26"/>
  <c r="C17" i="26"/>
  <c r="C20" i="26"/>
  <c r="C24" i="26"/>
  <c r="C27" i="26"/>
  <c r="C33" i="26"/>
  <c r="C5" i="26"/>
  <c r="C7" i="26"/>
  <c r="C11" i="26"/>
  <c r="C15" i="26"/>
  <c r="C18" i="26"/>
  <c r="C22" i="26"/>
  <c r="C26" i="26"/>
  <c r="C29" i="26"/>
  <c r="C32" i="26"/>
  <c r="C30" i="26"/>
  <c r="C34" i="26"/>
  <c r="C41" i="26"/>
  <c r="C36" i="26"/>
  <c r="C42" i="26"/>
  <c r="C49" i="26"/>
  <c r="C52" i="26"/>
  <c r="C53" i="26"/>
  <c r="C56" i="26"/>
  <c r="C57" i="26"/>
  <c r="C39" i="26"/>
  <c r="C46" i="26"/>
  <c r="C50" i="26"/>
  <c r="C58" i="26"/>
  <c r="C40" i="26"/>
  <c r="C44" i="26"/>
  <c r="C48" i="26"/>
  <c r="C55" i="26"/>
  <c r="C60" i="26"/>
  <c r="C62" i="26"/>
  <c r="C65" i="26"/>
  <c r="C68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Momen Kiaee</author>
  </authors>
  <commentList>
    <comment ref="T7" authorId="0" shapeId="0" xr:uid="{83B8931B-2A3A-45B7-8F31-2CF8F129AAE1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مغزی فاز و نول 10A</t>
        </r>
      </text>
    </comment>
    <comment ref="AF20" authorId="0" shapeId="0" xr:uid="{C93B7746-F16D-4158-A9D1-2121E8234BD8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X21" authorId="0" shapeId="0" xr:uid="{40FBBC97-B7A3-43BB-B798-D1D9CF7E7DC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زدن، فریت پیچی و اتصال سیم به سوکت همزمان انجام می‌شود و مستقل انجام دادن این فرایند هیچ توجیهی ندارد.</t>
        </r>
      </text>
    </comment>
    <comment ref="AF21" authorId="0" shapeId="0" xr:uid="{C6415359-0687-404D-A0ED-582994ABF1FA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AD23" authorId="0" shapeId="0" xr:uid="{30581C82-FCD3-4C8E-BA6E-007921213F1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زمان رد کردن و سشوار کشیدن وارنیش بطور همزمان</t>
        </r>
      </text>
    </comment>
    <comment ref="AE23" authorId="0" shapeId="0" xr:uid="{93264464-A963-498E-B202-A17AF7ACEEF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رد کردن و سشوار وارنیش می‌بایست همزمان انجام شود و در غیر اینصورت توجیه ندارد
</t>
        </r>
      </text>
    </comment>
  </commentList>
</comments>
</file>

<file path=xl/sharedStrings.xml><?xml version="1.0" encoding="utf-8"?>
<sst xmlns="http://schemas.openxmlformats.org/spreadsheetml/2006/main" count="9288" uniqueCount="1843">
  <si>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</si>
  <si>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</si>
  <si>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</si>
  <si>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</si>
  <si>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</si>
  <si>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</si>
  <si>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</si>
  <si>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</si>
  <si>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</si>
  <si>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</si>
  <si>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</si>
  <si>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</si>
  <si>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</si>
  <si>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</si>
  <si>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</si>
  <si>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</si>
  <si>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</si>
  <si>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</si>
  <si>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</si>
  <si>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</si>
  <si>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</si>
  <si>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</si>
  <si>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</si>
  <si>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</si>
  <si>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</si>
  <si>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</si>
  <si>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</si>
  <si>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</si>
  <si>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</si>
  <si>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</si>
  <si>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</si>
  <si>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</si>
  <si>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</si>
  <si>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</si>
  <si>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</si>
  <si>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</si>
  <si>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</si>
  <si>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</si>
  <si>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</si>
  <si>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</si>
  <si>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</si>
  <si>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</si>
  <si>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</si>
  <si>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</si>
  <si>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</si>
  <si>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</si>
  <si>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</si>
  <si>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</si>
  <si>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</si>
  <si>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</si>
  <si>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</si>
  <si>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</si>
  <si>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</si>
  <si>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</si>
  <si>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</si>
  <si>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</si>
  <si>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</si>
  <si>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</si>
  <si>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</si>
  <si>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</si>
  <si>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</si>
  <si>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</si>
  <si>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</si>
  <si>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</si>
  <si>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</si>
  <si>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</si>
  <si>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</si>
  <si>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</si>
  <si>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</si>
  <si>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</si>
  <si>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</si>
  <si>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</si>
  <si>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</si>
  <si>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</si>
  <si>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</si>
  <si>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</si>
  <si>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</si>
  <si>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</si>
  <si>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</si>
  <si>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</si>
  <si>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</si>
  <si>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</si>
  <si>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</si>
  <si>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</si>
  <si>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</si>
  <si>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</si>
  <si>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</si>
  <si>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</si>
  <si>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VH</t>
  </si>
  <si>
    <t>رادیویی</t>
  </si>
  <si>
    <t>120100002</t>
  </si>
  <si>
    <t>120100008</t>
  </si>
  <si>
    <t>YH</t>
  </si>
  <si>
    <t>خورشیدی</t>
  </si>
  <si>
    <t>اسپیلایس</t>
  </si>
  <si>
    <t>120100378</t>
  </si>
  <si>
    <t>120100019</t>
  </si>
  <si>
    <t>6/3چاکدار</t>
  </si>
  <si>
    <t>ترمینال مهره خور 4</t>
  </si>
  <si>
    <t>C60001-03PT</t>
  </si>
  <si>
    <t>120100323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</si>
  <si>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</si>
  <si>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</si>
  <si>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</si>
  <si>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</si>
  <si>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</si>
  <si>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</si>
  <si>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</si>
  <si>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</si>
  <si>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</si>
  <si>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</si>
  <si>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</si>
  <si>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</si>
  <si>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</si>
  <si>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</si>
  <si>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</si>
  <si>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</si>
  <si>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</si>
  <si>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</si>
  <si>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</si>
  <si>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</si>
  <si>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</si>
  <si>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</si>
  <si>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</si>
  <si>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</si>
  <si>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</si>
  <si>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</si>
  <si>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</si>
  <si>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</si>
  <si>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</si>
  <si>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</si>
  <si>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</si>
  <si>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</si>
  <si>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</si>
  <si>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</si>
  <si>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</si>
  <si>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</si>
  <si>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</si>
  <si>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</si>
  <si>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</si>
  <si>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</si>
  <si>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</si>
  <si>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</si>
  <si>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</si>
  <si>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</si>
  <si>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</si>
  <si>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</si>
  <si>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</si>
  <si>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</si>
  <si>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</si>
  <si>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</si>
  <si>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</si>
  <si>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</si>
  <si>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</si>
  <si>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</si>
  <si>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</si>
  <si>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</si>
  <si>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</si>
  <si>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</si>
  <si>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</si>
  <si>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</si>
  <si>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</si>
  <si>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</si>
  <si>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</si>
  <si>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</si>
  <si>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</si>
  <si>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</si>
  <si>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</si>
  <si>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</si>
  <si>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</si>
  <si>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</si>
  <si>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</si>
  <si>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</si>
  <si>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</si>
  <si>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</si>
  <si>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</si>
  <si>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</si>
  <si>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</si>
  <si>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</si>
  <si>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</si>
  <si>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</si>
  <si>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</si>
  <si>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</si>
  <si>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</si>
  <si>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</si>
  <si>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</si>
  <si>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</si>
  <si>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</si>
  <si>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</si>
  <si>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</si>
  <si>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</si>
  <si>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</si>
  <si>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</si>
  <si>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</si>
  <si>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</si>
  <si>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</si>
  <si>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</si>
  <si>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</si>
  <si>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</si>
  <si>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</si>
  <si>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</si>
  <si>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</si>
  <si>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</si>
  <si>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</si>
  <si>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</si>
  <si>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</si>
  <si>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</si>
  <si>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</si>
  <si>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</si>
  <si>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</si>
  <si>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</si>
  <si>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</si>
  <si>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</si>
  <si>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</si>
  <si>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</si>
  <si>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</si>
  <si>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</si>
  <si>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</si>
  <si>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</si>
  <si>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</si>
  <si>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</si>
  <si>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</si>
  <si>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</si>
  <si>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</si>
  <si>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</si>
  <si>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</si>
  <si>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</si>
  <si>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</si>
  <si>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</si>
  <si>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</si>
  <si>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</si>
  <si>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</si>
  <si>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</si>
  <si>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</si>
  <si>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</si>
  <si>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</si>
  <si>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</si>
  <si>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</si>
  <si>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</si>
  <si>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</si>
  <si>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</si>
  <si>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</si>
  <si>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</si>
  <si>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</si>
  <si>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</si>
  <si>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</si>
  <si>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</si>
  <si>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</si>
  <si>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</si>
  <si>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</si>
  <si>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</si>
  <si>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</si>
  <si>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</si>
  <si>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</si>
  <si>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</si>
  <si>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</si>
  <si>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</si>
  <si>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</si>
  <si>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</si>
  <si>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</si>
  <si>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</si>
  <si>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</si>
  <si>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</si>
  <si>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</si>
  <si>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</si>
  <si>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</si>
  <si>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</si>
  <si>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</si>
  <si>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</si>
  <si>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</si>
  <si>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</si>
  <si>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</si>
  <si>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</si>
  <si>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</si>
  <si>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</si>
  <si>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</si>
  <si>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</si>
  <si>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</si>
  <si>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</si>
  <si>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</si>
  <si>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</si>
  <si>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</si>
  <si>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</si>
  <si>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</si>
  <si>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</si>
  <si>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</si>
  <si>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</si>
  <si>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</si>
  <si>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</si>
  <si>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</si>
  <si>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</si>
  <si>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</si>
  <si>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</si>
  <si>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</si>
  <si>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</si>
  <si>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</si>
  <si>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</si>
  <si>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</si>
  <si>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</si>
  <si>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</si>
  <si>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</si>
  <si>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</si>
  <si>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</si>
  <si>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mold_id</t>
  </si>
  <si>
    <t>product_id</t>
  </si>
  <si>
    <t>tags</t>
  </si>
  <si>
    <t>-</t>
  </si>
  <si>
    <t>molex.pack</t>
  </si>
  <si>
    <t>nar.p.kh</t>
  </si>
  <si>
    <t>nar.c4200</t>
  </si>
  <si>
    <t>RFB</t>
  </si>
  <si>
    <t>4.8flag@</t>
  </si>
  <si>
    <t>C60001</t>
  </si>
  <si>
    <t>ket.st730460</t>
  </si>
  <si>
    <t>فریت سبز</t>
  </si>
  <si>
    <t>فریت مشکی ریز</t>
  </si>
  <si>
    <t>فریت مشکی</t>
  </si>
  <si>
    <t>فریت مشکی گلدیران</t>
  </si>
  <si>
    <t>quantity</t>
  </si>
  <si>
    <t>notification_date</t>
  </si>
  <si>
    <t>seen</t>
  </si>
  <si>
    <t>status</t>
  </si>
  <si>
    <t>2f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</si>
  <si>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</si>
  <si>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</si>
  <si>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</si>
  <si>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</si>
  <si>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</si>
  <si>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</si>
  <si>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</si>
  <si>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</si>
  <si>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</si>
  <si>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</si>
  <si>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</si>
  <si>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</si>
  <si>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</si>
  <si>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</si>
  <si>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</si>
  <si>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</si>
  <si>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</si>
  <si>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</si>
  <si>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</si>
  <si>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</si>
  <si>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</si>
  <si>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</si>
  <si>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</si>
  <si>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</si>
  <si>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</si>
  <si>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</si>
  <si>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</si>
  <si>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</si>
  <si>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</si>
  <si>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</si>
  <si>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</si>
  <si>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</si>
  <si>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</si>
  <si>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</si>
  <si>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</si>
  <si>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</si>
  <si>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</si>
  <si>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</si>
  <si>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</si>
  <si>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</si>
  <si>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</si>
  <si>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</si>
  <si>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</si>
  <si>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</si>
  <si>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</si>
  <si>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</si>
  <si>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</si>
  <si>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</si>
  <si>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</si>
  <si>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</si>
  <si>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</si>
  <si>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</si>
  <si>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</si>
  <si>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</si>
  <si>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</si>
  <si>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</si>
  <si>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</si>
  <si>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</si>
  <si>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</si>
  <si>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</si>
  <si>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</si>
  <si>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</si>
  <si>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</si>
  <si>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</si>
  <si>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</si>
  <si>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</si>
  <si>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</si>
  <si>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</si>
  <si>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</si>
  <si>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</si>
  <si>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</si>
  <si>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</si>
  <si>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</si>
  <si>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</si>
  <si>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</si>
  <si>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</si>
  <si>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</si>
  <si>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</si>
  <si>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</si>
  <si>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</si>
  <si>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</si>
  <si>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</si>
  <si>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</si>
  <si>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</si>
  <si>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</si>
  <si>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</si>
  <si>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</si>
  <si>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</si>
  <si>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</si>
  <si>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idd</t>
  </si>
  <si>
    <t>activity_id</t>
  </si>
  <si>
    <t>maximum_batch_size</t>
  </si>
  <si>
    <t>printing_date</t>
  </si>
  <si>
    <t>cutting_date</t>
  </si>
  <si>
    <t>date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</si>
  <si>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</si>
  <si>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</si>
  <si>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</si>
  <si>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</si>
  <si>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</si>
  <si>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</si>
  <si>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</si>
  <si>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</si>
  <si>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</si>
  <si>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</si>
  <si>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</si>
  <si>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</si>
  <si>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cut_id</t>
  </si>
  <si>
    <t>size</t>
  </si>
  <si>
    <t>plan</t>
  </si>
  <si>
    <t>qnt</t>
  </si>
  <si>
    <t>plan2</t>
  </si>
  <si>
    <t>qnt2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</si>
  <si>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</si>
  <si>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</si>
  <si>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</si>
  <si>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</si>
  <si>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</si>
  <si>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</si>
  <si>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</si>
  <si>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</si>
  <si>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</si>
  <si>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</si>
  <si>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</si>
  <si>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</si>
  <si>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</si>
  <si>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</si>
  <si>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</si>
  <si>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</si>
  <si>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production_id</t>
  </si>
  <si>
    <t>work_type</t>
  </si>
  <si>
    <t>stanndard_time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</si>
  <si>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</si>
  <si>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</si>
  <si>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</si>
  <si>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</si>
  <si>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</si>
  <si>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</si>
  <si>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</si>
  <si>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</si>
  <si>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equipment_id</t>
  </si>
  <si>
    <t>کابل دوشاخه 3.75</t>
  </si>
  <si>
    <t>کابل دوشاخه  220  سانتی طوسی</t>
  </si>
  <si>
    <t>کابل دو شاخه مخصوص کمپرسور اینورتر</t>
  </si>
  <si>
    <t>کابل دو شاخه تی وی 1.60 سانتیمتری</t>
  </si>
  <si>
    <t>کابل دو شاخه تی وی 1.92 سانتیمتری</t>
  </si>
  <si>
    <t>کابل دو شاخه تی وی 1.63 سانتیمتری</t>
  </si>
  <si>
    <t>کابل دوشاخه فریزر صندوقی</t>
  </si>
  <si>
    <t>کابل TV50FCU</t>
  </si>
  <si>
    <t>43gfslu3jfs</t>
  </si>
  <si>
    <t>58GfuDuB Hm58fs کدمقصد : 700060009</t>
  </si>
  <si>
    <t>55GFU 9632</t>
  </si>
  <si>
    <t>کابل دو شاخه 220 سانتی طوسی</t>
  </si>
  <si>
    <t>سیم دوشاخه برق کلیه محصولات  N-DW-  987 -01</t>
  </si>
  <si>
    <t>سیم دوشاخه برق  NT595MD   N-DW-912-02</t>
  </si>
  <si>
    <t>کابل دو شاخه 224 سانتی</t>
  </si>
  <si>
    <t>کابل دوشاخه  224  سانتی طوسی</t>
  </si>
  <si>
    <t>کابل دو شاخه سفید 257  سانتی</t>
  </si>
  <si>
    <t>كابل دوشاخه دار( power cord) طوسي كد مقصد: 20012187</t>
  </si>
  <si>
    <t>كابل تغذيه 393-BRT130-10092</t>
  </si>
  <si>
    <t>کابل دوشاخه دار (combi ref power cord)</t>
  </si>
  <si>
    <t>کابل دوشاخه ارت دار یخچال فریزر</t>
  </si>
  <si>
    <t>کابل دوشاخه ارت دار یخچال فریزر صندوقی</t>
  </si>
  <si>
    <t>کابل دوشاخه</t>
  </si>
  <si>
    <t>کابل دوشاخه ظرفشویی 1/8 ارت دار 1*3 طوسی 30032050</t>
  </si>
  <si>
    <t>کابل دوشاخه لباسشویی ارت دار 1*3 طوسی 30014542</t>
  </si>
  <si>
    <t>کابل برق ظرفشویی کدمقصد 30026387</t>
  </si>
  <si>
    <t>کابل دوشاخه طوسی سه در یک ونیم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</si>
  <si>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</si>
  <si>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</si>
  <si>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</si>
  <si>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</si>
  <si>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</si>
  <si>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power suppiy cord sap code</t>
  </si>
  <si>
    <t>کابل دو شاخه 2 متری (سفید)</t>
  </si>
  <si>
    <t>کابل دوشاخه سفید 0.75*3</t>
  </si>
  <si>
    <t>کابل برق دوشاخه دوقلو(9/6)</t>
  </si>
  <si>
    <t>كابل دو شاخه جارو برقی مشکی 9 متری</t>
  </si>
  <si>
    <t>کابل دو شاخه ظرفشویی 1*3</t>
  </si>
  <si>
    <t>کابل دو شاخه هسته فریتی</t>
  </si>
  <si>
    <t>POWER CORD    کدفنی :1210070064</t>
  </si>
  <si>
    <t>کابل دوشاخه ظرفشویی 1×3 (طول سیم ارت بلندتر)</t>
  </si>
  <si>
    <t>کابل دوشاخه سفید 224 سانتی</t>
  </si>
  <si>
    <t>کابل دوشاخه محصولات تاچ</t>
  </si>
  <si>
    <t>PLUG FOR SIDE BY SIDE  کدمقصد: 11120000010</t>
  </si>
  <si>
    <t>مجموعه كابل دو شاخه محصولات تاچ</t>
  </si>
  <si>
    <t>کابل دوشاخه 2/35 متری ارت دار</t>
  </si>
  <si>
    <t>کابل برد به کمپرسور</t>
  </si>
  <si>
    <t>کابل فن و لامپ</t>
  </si>
  <si>
    <t>کابل برد فریزر نوفراست 1700</t>
  </si>
  <si>
    <t>کابل برد کمپرسور فریزر نوفراست 1700</t>
  </si>
  <si>
    <t>کابل سویچ برد دیجیتال فریزر</t>
  </si>
  <si>
    <t>کابل هولدر لامپ برد دیجیتال</t>
  </si>
  <si>
    <t>کابل دو شاخه 0.75*3</t>
  </si>
  <si>
    <t>کابل دو شاخه دو در هفتادو پنج مدل 43 اینچ</t>
  </si>
  <si>
    <t>کابل دوشاخه دو در هفتادو وپنج مدل 49 اینچ</t>
  </si>
  <si>
    <t>کابل دوشاخه دو در هفتادو وپنج مدل 32 اینچ</t>
  </si>
  <si>
    <t>کابل دو شاخه دو در هفتادو پنج مدل 50-55 اینچ</t>
  </si>
  <si>
    <t>کابل دو شاخه 0.75*2 مدل 75 اینچ</t>
  </si>
  <si>
    <t>کابل دو شاخه 0.75*2 مدل 65 اینچ</t>
  </si>
  <si>
    <t>کابل برق جدا شونده سری 180 درجه تلویزیون</t>
  </si>
  <si>
    <t>کابل دوشاخه 3*1 فریتدار</t>
  </si>
  <si>
    <t>کابل  1*3 oven</t>
  </si>
  <si>
    <t>کابل  1.5*3 oven</t>
  </si>
  <si>
    <t>کابل 1.5*3 ماکرو ویو</t>
  </si>
  <si>
    <t>کابل 3.1 ماکرو ویو</t>
  </si>
  <si>
    <t>power cord کد مقصد : 850270446</t>
  </si>
  <si>
    <t>power cord  کد مقصد : 950032159</t>
  </si>
  <si>
    <t>power cord  کد مقصد : 950045920</t>
  </si>
  <si>
    <t>POWER CORD     کد مقصد : 17476000007384</t>
  </si>
  <si>
    <t xml:space="preserve"> power cord کد مقصد : 950091525</t>
  </si>
  <si>
    <t>کابل دو شاخه 75*3</t>
  </si>
  <si>
    <t>کابل دو شاخه Power cord کد مقصد 3904000794</t>
  </si>
  <si>
    <t>کابل دو شاخه 1.5*3 لباسشویی</t>
  </si>
  <si>
    <t>POWER CORD - AT (001015-3903)</t>
  </si>
  <si>
    <t>کابل دوشاخه مشکی  110 سانتی</t>
  </si>
  <si>
    <t>کابل برق هود</t>
  </si>
  <si>
    <t>کابل دو شاخه 2/2 متری ارت دار0.75*3</t>
  </si>
  <si>
    <t xml:space="preserve"> ELECTRICAL WIRING ADDITIONAL POWER SUPPLY1,5METER</t>
  </si>
  <si>
    <t>كابل دوشاخه</t>
  </si>
  <si>
    <t>Grill Power Supphy Cord کد مقصد : 30036574</t>
  </si>
  <si>
    <t>کابل دوشاخه بطول 1/5 متری</t>
  </si>
  <si>
    <t>دوشاخه لباسشویی با سر سیم</t>
  </si>
  <si>
    <t>دوشاخه لباسشویی</t>
  </si>
  <si>
    <t>کابل دوشاخه لباسشویی دو قلو طوسی روشن</t>
  </si>
  <si>
    <t>کابل دوشاخه تک شو 3.75</t>
  </si>
  <si>
    <t>کابل دوشاخه سه در هفتادوپنچ مشکی</t>
  </si>
  <si>
    <t>کابل دوشاخه سه در هفتادوپنج مشکی</t>
  </si>
  <si>
    <t>کابل دوشاخه Model-004195</t>
  </si>
  <si>
    <t>power cord for cooker 3*1</t>
  </si>
  <si>
    <t>کابل دوشاخه دو در هفتادوپنج لوازم خانگی کوچک</t>
  </si>
  <si>
    <t>کابل مشکی هوا پز</t>
  </si>
  <si>
    <t>کابل دو شاخه لباسشویی 0.75*3</t>
  </si>
  <si>
    <t>کابل دو شاخه کولر 0.75*3</t>
  </si>
  <si>
    <t>کابل دوشاخه (showcase)PTS01-01-00-00-005-Cb</t>
  </si>
  <si>
    <t>کابل دوشاخه (NoFfrost) PTN01-20-00-000-000-Cb</t>
  </si>
  <si>
    <t>کابل دوشاخه الکتروپیک</t>
  </si>
  <si>
    <t>سیم و دوشاخه آبمیوه گیری</t>
  </si>
  <si>
    <t>کابل دوشاخه مشکی خرد کن و مخلوط کن</t>
  </si>
  <si>
    <t>کابل دو شاخه آبمیوه گیری</t>
  </si>
  <si>
    <t>کابل برق هیتر1×2</t>
  </si>
  <si>
    <t>کابل دو شاخه 0.75*2 مدل 50-55 اینچ</t>
  </si>
  <si>
    <t>کابل دوشاخه ظرفشویی 1/8 ارت دار 1*3</t>
  </si>
  <si>
    <t>کابل دوشاخه 1*3 لباسشویی طوسی</t>
  </si>
  <si>
    <t>کابل دوشاخه یخچال و فریزر دوقلو کمبی-طرح2  COM-0304-01-00 کد فنی : 1210070101</t>
  </si>
  <si>
    <t>Electrical Power Cord - BCD 746 (DC-06-031)</t>
  </si>
  <si>
    <t>Power cord  assemblyشماره فنی : 8502400445L</t>
  </si>
  <si>
    <t>کابل برق دو شاخه دار یخچال فریزر 482  کد مقصد :  1210070081</t>
  </si>
  <si>
    <t>کابل برق دو شاخه دار یخچال فریزر 650  کد مقصد : 1210070082</t>
  </si>
  <si>
    <t>Power cord-TRF-520 کد مقصد12010201025000</t>
  </si>
  <si>
    <t>پاورکورد لباسشویی  شماره فنی :12020102016650</t>
  </si>
  <si>
    <t>کابل دوشاخه برق شستشو و خشک کن   کدفنی :1210070106</t>
  </si>
  <si>
    <t>Power cord-TRF-650 کد مقصد : 12010201021750</t>
  </si>
  <si>
    <t>سیم دوشاخ هواپز</t>
  </si>
  <si>
    <t>INTEGER</t>
  </si>
  <si>
    <t>VARCHAR(255)</t>
  </si>
  <si>
    <t>SMALLINT</t>
  </si>
  <si>
    <t>DECIMAL(4,1)</t>
  </si>
  <si>
    <t>TINYINT</t>
  </si>
  <si>
    <t>TEXT</t>
  </si>
  <si>
    <t>BOOLEAN</t>
  </si>
  <si>
    <t>JSON</t>
  </si>
  <si>
    <t>DATETIME</t>
  </si>
  <si>
    <t>data-type</t>
  </si>
  <si>
    <t>INTEGER AUTO_INCREMENT</t>
  </si>
  <si>
    <t>image_path</t>
  </si>
  <si>
    <t>thumbnail_path</t>
  </si>
  <si>
    <t>ترمینال مادگی 6/3 پشت چاكدار</t>
  </si>
  <si>
    <t>ترمینال مادگی 6/3 پشت صاف</t>
  </si>
  <si>
    <t>ترمینال مادگی 6/3 آبكاری شده</t>
  </si>
  <si>
    <t>ترمینال مادگی 4/8 آبكاری شده</t>
  </si>
  <si>
    <t>ترمینال مهره خور 5</t>
  </si>
  <si>
    <t>ترمینال كلمپ متوسط (اسپیلایس) MT560320</t>
  </si>
  <si>
    <t>ترمینال مهره خور 4 آبكاری شده</t>
  </si>
  <si>
    <t>ترمینال مادگی 6/3 آبكاری شده كلید دار</t>
  </si>
  <si>
    <t>ترمینال مادگی 4/8 کلید دار</t>
  </si>
  <si>
    <t>ترمینال مادگی KET  ST730649-3</t>
  </si>
  <si>
    <t>ترمینال مادگی 6/3 کلید دار</t>
  </si>
  <si>
    <t>ترمینال 98715ps-0</t>
  </si>
  <si>
    <t>ترمینال VHT كد A3963</t>
  </si>
  <si>
    <t>ترمینال مكعبی بدون خار كد YT396B-RT</t>
  </si>
  <si>
    <t>ترمینال KET  ST740465-3</t>
  </si>
  <si>
    <t>ترمینال KET  ST710489-3</t>
  </si>
  <si>
    <t>ترمینال KET  ST730461-3</t>
  </si>
  <si>
    <t>ترمینال پرچمی 4/8 آبکاری شده پایه خاص (دهنه 0.8)</t>
  </si>
  <si>
    <t>technical_id</t>
  </si>
  <si>
    <t>MESA:MT2111.80 RP    MT:MT 530057-1  HATKO: 0100104434     KET:ST730057-1</t>
  </si>
  <si>
    <t>MET:MT530268-1         KET:ST730268-1</t>
  </si>
  <si>
    <t>KET:730057-3 &amp; SF1D(6.3)     TKS: TK1201.1</t>
  </si>
  <si>
    <t>HCB:TP1871-0135   KET: ST730245-2</t>
  </si>
  <si>
    <t>KET :ST710127_1    HATKO: 0100107108</t>
  </si>
  <si>
    <t>MESA: TD2135.50 RP</t>
  </si>
  <si>
    <t>HCB: C60001-03RT</t>
  </si>
  <si>
    <t>ترمینال وایرشو  1</t>
  </si>
  <si>
    <t>ترمینال مادگی طلایی  پشت خاردار پایه بلند</t>
  </si>
  <si>
    <t>ترمینال B580004-4(SCS-004)</t>
  </si>
  <si>
    <t>ترمینال دوشاخ سایز 4 (SV2-4)</t>
  </si>
  <si>
    <t>ترمینال XHDHX25080-PT</t>
  </si>
  <si>
    <t>ترمینال نری پشت خاردار</t>
  </si>
  <si>
    <t>ترمینال مهره خور قطر 8 سایز 11</t>
  </si>
  <si>
    <t>ترمینال وایرشو1.5</t>
  </si>
  <si>
    <t>ترمینال مادگی MQS</t>
  </si>
  <si>
    <t>"ترمینال نری پایه کوتاه MIC IV" به درخواست واحد خودرویی غیر فعال شد</t>
  </si>
  <si>
    <t>ترمینال مادگی 6/3 پشت صاف پایه بلند</t>
  </si>
  <si>
    <t>ترمینال مادگی پشت خاردار (3-5)  ST730374-3</t>
  </si>
  <si>
    <t>ترمینال مادگی 250WP   ST730412-1</t>
  </si>
  <si>
    <t>ترمینال مادگی پایه کوتاه 118PA  ST730383-3</t>
  </si>
  <si>
    <t>ترمینال نری ساده (0.3-0.5)</t>
  </si>
  <si>
    <t>ترمینال اسپلایس بزرگ</t>
  </si>
  <si>
    <t>ترمینال مادگی 6/3 کلیددار آبکاری خاردار</t>
  </si>
  <si>
    <t>ترمینال پرچمی 4/8 آبکاری شده (دهنه 0.5)</t>
  </si>
  <si>
    <t>ترمینال مهره خور 4 آبکاری شده پایه بلند</t>
  </si>
  <si>
    <t>ترمینال مهره خور 6 آبکاری شده</t>
  </si>
  <si>
    <t>ترمینال مادگی 1-1376476</t>
  </si>
  <si>
    <t>HCB : C25001-01PT(1376476-1)     -   FAF: B250031-4(1376476-1)</t>
  </si>
  <si>
    <t>ترمینال مادگی 2/8 تلفنی آبکاری شده پشت صاف</t>
  </si>
  <si>
    <t>ترمینال مادگی PHD</t>
  </si>
  <si>
    <t>LHE:A2006-TP2  YEONHO: YST200-C</t>
  </si>
  <si>
    <t>170340-3 ترمینال نری</t>
  </si>
  <si>
    <t>964201-1 ترمینال مادگی</t>
  </si>
  <si>
    <t>ترمینال فیوز پیوسته 2تایی پایه بلند</t>
  </si>
  <si>
    <t>ترمینال فیوز پایه کوتاه</t>
  </si>
  <si>
    <t>ترمینال فیوز پایه بلند</t>
  </si>
  <si>
    <t>ترمینال مادگی پشت صاف کوچک  پایه کوتاه</t>
  </si>
  <si>
    <t>ترمینال مادگی پشت صاف کوچک  پایه بلند</t>
  </si>
  <si>
    <t>ترمینال نری تخت  بدون خار  پایه متوسط</t>
  </si>
  <si>
    <t>ترمینال نری تخت  بدون خار  پایه بلند</t>
  </si>
  <si>
    <t>ترمینال مادگی پشت صاف پایه کوتاه</t>
  </si>
  <si>
    <t>ترمینال مادگی پشت صاف پایه متوسط</t>
  </si>
  <si>
    <t>ترمینال مادگ پشت صاف پاه بلند</t>
  </si>
  <si>
    <t>ترمینال مادگی سری 9.5</t>
  </si>
  <si>
    <t>ترمینال مادگی   2/8 كلید دارآبکاری</t>
  </si>
  <si>
    <t>YEONHO: YRT110-05(S)E        LHE: D280K-TB255</t>
  </si>
  <si>
    <t>ترمینال مادگی A1501</t>
  </si>
  <si>
    <t>ترمینال مادگی C2506-TP2</t>
  </si>
  <si>
    <t>ترمینال مادگی C25008-01PT</t>
  </si>
  <si>
    <t>C58001-12PT ترمینال مادگی</t>
  </si>
  <si>
    <t>ترمینال مادگی 1-1217264</t>
  </si>
  <si>
    <t>ترمینال پرچمی آبکاری  TP2504-0038</t>
  </si>
  <si>
    <t>C25003-01RT(35053-9002) ترمینال نری</t>
  </si>
  <si>
    <t>ترمینال ST730993-3</t>
  </si>
  <si>
    <t>ترمینال TS1002-0102</t>
  </si>
  <si>
    <t>TP1872-7035 ترمینال مادگی</t>
  </si>
  <si>
    <t>TP1872-7025 ترمینال مادگی</t>
  </si>
  <si>
    <t>TP2502-0028 ترمینال مادگی</t>
  </si>
  <si>
    <t>TP2502-7038 ترمینال مادگی</t>
  </si>
  <si>
    <t>HCBTP2502-7038-LX: LX6H25T028-03(170328-1)</t>
  </si>
  <si>
    <t>ترمینال مادگی LX6N800002-01(2031)</t>
  </si>
  <si>
    <t>LX: LX6N800002-01(2031)</t>
  </si>
  <si>
    <t>C2507-TP2 ترمینال نری</t>
  </si>
  <si>
    <t>ترمینال مادگی   WB20L-61209</t>
  </si>
  <si>
    <t>731329-3   ترمینال</t>
  </si>
  <si>
    <t>ترمینال پرچمی ابکاری 4/8</t>
  </si>
  <si>
    <t>ترمینال مهره خور حفره 6 سایز 6</t>
  </si>
  <si>
    <t>ترمینال نری خاردار 6/3 پایه کوتاه</t>
  </si>
  <si>
    <t>ترمینال لول نری</t>
  </si>
  <si>
    <t>روکش پایه ترمینال  لول نری</t>
  </si>
  <si>
    <t>ترمینال  مهره خور 6(سایز 9)</t>
  </si>
  <si>
    <t>ترمینال کولری مادگی چاکدار سایز 1.5</t>
  </si>
  <si>
    <t>ترمینال نری ساده (0.75-2)</t>
  </si>
  <si>
    <t>ترمینال مادگی چاکدار سایز(0.3-0.5) ابکاری</t>
  </si>
  <si>
    <t>KET: ST730173-2</t>
  </si>
  <si>
    <t>ترمینال نری C20003-01RT(SPNI-001T-P0.5)</t>
  </si>
  <si>
    <t>ZUCH: TR2001J-3(A)-C20003-01RT(SPNI-001T-P0.5)</t>
  </si>
  <si>
    <t>ترمینال مادگی C20003-01PT(SPND-001T-C0.5)</t>
  </si>
  <si>
    <t>HCB: C20003-01PT(SPND-001T-C0.5) -  JST: SPND-001T-C0.5-   ZUCH: TP2001J-3(A)</t>
  </si>
  <si>
    <t>ترمینال خاردار 2.8 آبکاری TP1101-2115(2.8X0.5)</t>
  </si>
  <si>
    <t>ترمینال مادگی C42002-02PT(RV42-PT)</t>
  </si>
  <si>
    <t>ZUCH: TP4202J-3(B)-C42002-02PT(RV42-PT)</t>
  </si>
  <si>
    <t>ترمینال نری پرایدی 6/3 پایه متوسط</t>
  </si>
  <si>
    <t>ترمینال ST 730141-1</t>
  </si>
  <si>
    <t>ترمینال كلمپ درشت TEK-2853(اسپیلایس)</t>
  </si>
  <si>
    <t>ترمینال کلمپ درشت (اسپیلایس) 2854</t>
  </si>
  <si>
    <t>ترمینال مادگی PHBA2003-TP2</t>
  </si>
  <si>
    <t>ترمینال مادگی A1251-TP2</t>
  </si>
  <si>
    <t>ترمینال مادگی GHA1256-TP2</t>
  </si>
  <si>
    <t>ترمینال مادگی PHA2001</t>
  </si>
  <si>
    <t>ترمینال اینورتر (DEP1-00105)</t>
  </si>
  <si>
    <t>ترمینال مادگی 2.8</t>
  </si>
  <si>
    <t>ترمینال مادگی A2005-TP2</t>
  </si>
  <si>
    <t>ترمینال مادگی YST025</t>
  </si>
  <si>
    <t>ترمینال پرچمی آبكاری شده (دهنه 0.7)</t>
  </si>
  <si>
    <t>ترمینال پرچمی 7/7</t>
  </si>
  <si>
    <t>ترمینال دهنه ماهی پایه کوتاه</t>
  </si>
  <si>
    <t>ترمینال نری پایه متوسط    MIC IV</t>
  </si>
  <si>
    <t>ترمینال مادگی 6/3 پشت چاکدار پایه کوتاه</t>
  </si>
  <si>
    <t>MET:MT530173-1   KET:ST730173-1</t>
  </si>
  <si>
    <t>ترمینال YEONHO 15001TS</t>
  </si>
  <si>
    <t>ترمینال نری خاردار 6/3 پایه متوسط</t>
  </si>
  <si>
    <t>ترمینال نری پایه بلند ATX (5558T-39000040)</t>
  </si>
  <si>
    <t>ترمینال A2505-TP</t>
  </si>
  <si>
    <t>ترمینال مادگی YRT110-SL</t>
  </si>
  <si>
    <t>ترمینال 6/3 پشت نری آبکاری شده</t>
  </si>
  <si>
    <t>ترمینال كلمپ (اسپیلایس) کد 1-560145</t>
  </si>
  <si>
    <t>ترمینال كلمپ (اسپیلایس) کد UFM146</t>
  </si>
  <si>
    <t>ترمینال كلمپ (اسپیلایس) کد UFM178</t>
  </si>
  <si>
    <t>ترمینال مادگی پایه کوتاه</t>
  </si>
  <si>
    <t>ترمینال مادگی پایه کوتاه سوکت PR-82-M</t>
  </si>
  <si>
    <t>ترمینال مادگی پایه بلند سوکت PR-82-M</t>
  </si>
  <si>
    <t>ترمینال مادگی  پایه بلند 2-1.5</t>
  </si>
  <si>
    <t>ترمینال مادگی پایه کوتاه کانکتور جعبه فیوز ST780377-3</t>
  </si>
  <si>
    <t>ترمینال مادگی پایه بلند کانکتور جعبه فیوز ST780378-3</t>
  </si>
  <si>
    <t>ترمینال مادگی 6/3 پشت صاف پایه کوتاه آبکاری ST730267-3</t>
  </si>
  <si>
    <t>KET: ST730267-3  AHI:  629-6.3A</t>
  </si>
  <si>
    <t>ترمینال مادگی 6/3 پشت صاف پایه بلند آبکاری</t>
  </si>
  <si>
    <t>KET:730269-3</t>
  </si>
  <si>
    <t>ترمینال مادگی کانکتور نری دو خانه L شکل ST730026-3</t>
  </si>
  <si>
    <t>ترمینال مادگی</t>
  </si>
  <si>
    <t>ترمینال مادگی کانکتورهجده خانه با کد:1379100-2</t>
  </si>
  <si>
    <t>ترمینال مادگی پایه کوتاه مستطیلی</t>
  </si>
  <si>
    <t>ترمینال مادگی پایه متوسط</t>
  </si>
  <si>
    <t>ترمینال نری پایه کوتاه کانکتور دو خانه فنر خور سیل دار 185026-1</t>
  </si>
  <si>
    <t>ترمینال مهره خور 8</t>
  </si>
  <si>
    <t>ترمینال مادگی پایه بلند کانکتور نری 10 خانه تایکو 171630-1</t>
  </si>
  <si>
    <t>ترمینال مادگی کانکتور دو خانه ردیفی 142686-1</t>
  </si>
  <si>
    <t>ترمینال مادگی پایه بلند مستطیلی</t>
  </si>
  <si>
    <t>ترمینال مادگی کانکتور تک خانه نری سوتی مشکی ST730057-2</t>
  </si>
  <si>
    <t>ترمینال لول مادگی</t>
  </si>
  <si>
    <t>ترمینال مادگی کانکتور تک خانه نری ماشینی ST730380-3</t>
  </si>
  <si>
    <t>ترمینال اسپلایس ST760149-2</t>
  </si>
  <si>
    <t>ترمینال اسپلایس ST760146-2</t>
  </si>
  <si>
    <t>ترمینال اسپلایس ST760145-2</t>
  </si>
  <si>
    <t>ترمینال اسپلایس ST760344-2</t>
  </si>
  <si>
    <t>ترمینال مادگی پایه کوتاه کانکتور دو خانه نری استوانه ای MG640165</t>
  </si>
  <si>
    <t>ترمینال نری پایه کوتاه کانکتورفیوز اصلی پراید ST740109-3</t>
  </si>
  <si>
    <t>ترمینال نری پایه بلند کانکتورفیوز اصلی پراید ST740110-3</t>
  </si>
  <si>
    <t>ترمینال مهره خور ST710246-2</t>
  </si>
  <si>
    <t>ترمینال مادگی پایه بلند</t>
  </si>
  <si>
    <t>ترمینال مادگی کانکتور نری  تک خانه ST730902-3</t>
  </si>
  <si>
    <t>ترمینال مادگی کانکتور 2 خانه نری ST730411-3</t>
  </si>
  <si>
    <t>ترمینال نری 0.3 تا 0.5</t>
  </si>
  <si>
    <t>KET : ST740672-3   AHI : AH616-2.2*0.6A</t>
  </si>
  <si>
    <t>ترمینال نری 0.85 تا 1.25</t>
  </si>
  <si>
    <t>KET : ST740673-3   AHI : AH616-2.2*0.6B</t>
  </si>
  <si>
    <t>ترمینال نری کانکتور مادگی 16 خانه 2-368050-3</t>
  </si>
  <si>
    <t>ترمینال مهره خورST710447-2</t>
  </si>
  <si>
    <t>ترمینال نری پایه کوتاه کانکتورهفت خانه مادگی ST740260-3</t>
  </si>
  <si>
    <t>ترمینال نری پایه بلند کانکتورهفت خانه مادگی ST740261-3</t>
  </si>
  <si>
    <t>ترمینال مادگی کانکتور پنج خانه نری ST730259-3</t>
  </si>
  <si>
    <t>ترمینال مادگی کانکتور دو خانه ST730898-3</t>
  </si>
  <si>
    <t>ترمینال مادگی کانکتور دو خانه ST730351-2</t>
  </si>
  <si>
    <t>ترمینال نری پایه کوتاه  کانکتورهفت خانه مادگی ST 740260-3</t>
  </si>
  <si>
    <t>ترمینال نری پایه بلند  کانکتورهفت خانه مادگی ST 740261-3</t>
  </si>
  <si>
    <t>ترمینال نری 3تایی کانکتور فیوز اصلی پراید</t>
  </si>
  <si>
    <t>ترمینال نری خاردار 6/3 پایه بلند</t>
  </si>
  <si>
    <t>ترمینال 6/3  پشت چاکدار پایه بلند TD 2112</t>
  </si>
  <si>
    <t>ترمینال مادگی 917684.1</t>
  </si>
  <si>
    <t>ترمینال مادگی مکعبی 1744201.1</t>
  </si>
  <si>
    <t>ترمینال نری  پرایدی 6/3 آبکاری پایه بلند</t>
  </si>
  <si>
    <t>ترمینال مادگی پایه کوتاه ST730641-3</t>
  </si>
  <si>
    <t>ترمینال مهره خور کوچک</t>
  </si>
  <si>
    <t>ترمینال نری پایه کوتاه ST741084-3</t>
  </si>
  <si>
    <t>ترمینال مهره خور  ST710236-3</t>
  </si>
  <si>
    <t>ترمینال مادگی 35068.9802</t>
  </si>
  <si>
    <t>ترمینال مادگی پایه بلند ST730638-3</t>
  </si>
  <si>
    <t>HXH: HX62003-PT(730638-3)    KET: ST730638-3</t>
  </si>
  <si>
    <t>ترمینال مادگی 65001TS</t>
  </si>
  <si>
    <t>ترمینال مادگی 35021.1001</t>
  </si>
  <si>
    <t>ترمینال مادگی 170063.2</t>
  </si>
  <si>
    <t>ترمینال مادگی 03507209802</t>
  </si>
  <si>
    <t>ترمینال مادگی ST731081-3</t>
  </si>
  <si>
    <t>ترمینال پرچمی قفلدار 175057.1</t>
  </si>
  <si>
    <t>ترمینال مادگی 4/8 آبكاری شده كلید دار</t>
  </si>
  <si>
    <t>ترمینال نری نك پك (357450110)</t>
  </si>
  <si>
    <t>ترمینال نری نك پم (357450210)</t>
  </si>
  <si>
    <t>ترمینال مادگی نك پم (357460210)</t>
  </si>
  <si>
    <t>ترمینال نری نك پب (357450310)</t>
  </si>
  <si>
    <t>ترمینال مادگی نك پب (357460310)</t>
  </si>
  <si>
    <t>ترمینال نری پك (357470110)</t>
  </si>
  <si>
    <t>ترمینال نری پب (357470310)</t>
  </si>
  <si>
    <t>ترمینال مادگی پب (357480310)</t>
  </si>
  <si>
    <t>ترمینال نری پم (357470210)</t>
  </si>
  <si>
    <t>ترمینال مادگی پم (357480210)</t>
  </si>
  <si>
    <t>ترمینال مادگی 6/3 پایه بلند پشت چاكدار</t>
  </si>
  <si>
    <t>ترمینال مادگی 6/3 خاردار</t>
  </si>
  <si>
    <t>MESA: TD 2114.80 RP</t>
  </si>
  <si>
    <t>ترمینال مادگی 4/8</t>
  </si>
  <si>
    <t>ترمینال نری خاردار 4/8</t>
  </si>
  <si>
    <t>ترمینال مهره خور 6</t>
  </si>
  <si>
    <t>ترمینال پرچمی</t>
  </si>
  <si>
    <t>ترمینال پشت نری</t>
  </si>
  <si>
    <t>ترمینال كلمپ ریز (اسپیلایس)</t>
  </si>
  <si>
    <t>ترمینال كلمپ درشت MT560149-1 (اسپیلایس)</t>
  </si>
  <si>
    <t>ترمینال نری تلفنی خاردار</t>
  </si>
  <si>
    <t>ترمینال مادگی تلفنی (ST730099-1)</t>
  </si>
  <si>
    <t>ترمینال مادگی لول 3/5</t>
  </si>
  <si>
    <t>ترمینال دهانه ماهی escubido  8441.01</t>
  </si>
  <si>
    <t>ترمینال مادگی 6/3 escubido  4831.01</t>
  </si>
  <si>
    <t>ترمینال پرچمی آبكاری شده</t>
  </si>
  <si>
    <t>KET:730119-2  &amp; HATKO:101104012       MESA: TB2203.80 RPK</t>
  </si>
  <si>
    <t>ترمینال مادگی 6/3 آبكاری شده پایه بلند( 357254610)</t>
  </si>
  <si>
    <t>ترمینال مادگی 6/3 آبكاری شده پایه كوتاه (357254510)</t>
  </si>
  <si>
    <t>ترمینال پرچمی 6/3 خاص (357252610)</t>
  </si>
  <si>
    <t>ترمینال مهره خور 4  SKN1-04RP</t>
  </si>
  <si>
    <t>ترمینال پرچمی ST730619-3</t>
  </si>
  <si>
    <t>ترمینال مهره خور 4 خورشیدی آبكاری شده  TS 2434  RPK</t>
  </si>
  <si>
    <t>ترمینال پرچمی ST730220-5</t>
  </si>
  <si>
    <t>ترمینال پرچمی ST731017-6</t>
  </si>
  <si>
    <t>ترمینال نری KET  ST740466-3</t>
  </si>
  <si>
    <t>ترمینال نری KET  ST741176-3</t>
  </si>
  <si>
    <t>ترمینال نری KET  ST740834-3</t>
  </si>
  <si>
    <t>ترمینال دهنه ماهی YEONHO YTT500</t>
  </si>
  <si>
    <t>ترمینال مادگی  SYF-41T-P0.5</t>
  </si>
  <si>
    <t>ترمینال نری  SYM-41T-P0.5 A</t>
  </si>
  <si>
    <t>ترمینال مادگی مولکس (350979812)</t>
  </si>
  <si>
    <t>ترمینال نری خاردار 6/3 آبکاری</t>
  </si>
  <si>
    <t>ترمینال نری L6-2</t>
  </si>
  <si>
    <t>ترمینال مادگی L6-2</t>
  </si>
  <si>
    <t>C6201-TP2</t>
  </si>
  <si>
    <t>ترمینال نری AMP  177916-1</t>
  </si>
  <si>
    <t>ترمینال مادگی KET  ST731016-3</t>
  </si>
  <si>
    <t>ترمینال نری KET  ST741175-3</t>
  </si>
  <si>
    <t>ترمینال نری KET  ST741304-3</t>
  </si>
  <si>
    <t>ترمینال مادگی KET  ST731171-3</t>
  </si>
  <si>
    <t>ترمینال نری KET  ST740819-3</t>
  </si>
  <si>
    <t>ترمینال نری KET  ST740833-3</t>
  </si>
  <si>
    <t>ترمینال نری KET  ST740832-3</t>
  </si>
  <si>
    <t>ترمینال نری KET  ST740813-3</t>
  </si>
  <si>
    <t>ترمینال مادگی KET  ST730826-3</t>
  </si>
  <si>
    <t>ترمینال مهره خور  KET  ST710286-3</t>
  </si>
  <si>
    <t>ترمینال پرچمی  KET  ST731079-3</t>
  </si>
  <si>
    <t>HCB:TP1873-6035</t>
  </si>
  <si>
    <t>ترمینال مادگی  KET  ST730222-3</t>
  </si>
  <si>
    <t>ترمینال مادگی  KET  ST730571-3</t>
  </si>
  <si>
    <t>ترمینال نری پرایدی 6/3 آبکاری</t>
  </si>
  <si>
    <t>ترمینال نری  ST741130</t>
  </si>
  <si>
    <t>ترمینال کابلشو ته گرد مسی فیوز (ته گرد)</t>
  </si>
  <si>
    <t>ترمینال مادگی  SYF-01T-P0.5</t>
  </si>
  <si>
    <t>ترمینال مادگی تلفنی آبکاری شده (ST730099-3)</t>
  </si>
  <si>
    <t>ترمینال مادگی 6/3 پشت صاف ابکاری 730268ST</t>
  </si>
  <si>
    <t>ترمینال نری پرایدی  6/3 آبکاری    KET: ST740254-3</t>
  </si>
  <si>
    <t>ترمینال KET  ST731082-3</t>
  </si>
  <si>
    <t>ترمینال مادگی KET  ST730569-3</t>
  </si>
  <si>
    <t>ترمینال XH كد A2501</t>
  </si>
  <si>
    <t>ترمینال نری SM كد C2501-TP2</t>
  </si>
  <si>
    <t>KET: ST740334-3</t>
  </si>
  <si>
    <t>ترمینال مادگی SM كد C2502-TP2</t>
  </si>
  <si>
    <t>KET: ST730335-3</t>
  </si>
  <si>
    <t>ترمینال نری SL پایه کوتاه كد SSM-01T-P1.4</t>
  </si>
  <si>
    <t>ترمینال مادگی SL كد SSF-01T-P1.4</t>
  </si>
  <si>
    <t>ترمینال نری XM كد SXM-001T-P0.6</t>
  </si>
  <si>
    <t>ترمینال مادگی XM كد SXA-001T-P0.6</t>
  </si>
  <si>
    <t>ترمینال نری ATX</t>
  </si>
  <si>
    <t>ترمینال مادگی ATX      5556T2(39000046)</t>
  </si>
  <si>
    <t>ترمینال نری لول خاص tye 2705</t>
  </si>
  <si>
    <t>AMP:350218-1  -LX: LX6N635001-02(350218-1)</t>
  </si>
  <si>
    <t>ترمینال مادگی لول خاص</t>
  </si>
  <si>
    <t>ترمینال نری لول خاص كره ای</t>
  </si>
  <si>
    <t>ترمینال BLDC كد HM2010001</t>
  </si>
  <si>
    <t>ترمینال مدار فرمان (شاتر) كد YST025L</t>
  </si>
  <si>
    <t>ترمینال پین پاور مادگی el</t>
  </si>
  <si>
    <t>ترمینال پین پاورهارد ماده DPF</t>
  </si>
  <si>
    <t>ترمینال پین پاورهارد نری DPM</t>
  </si>
  <si>
    <t>ترمینال وایر شو (E0508)</t>
  </si>
  <si>
    <t>ترمینال wst كد I25019PS-2</t>
  </si>
  <si>
    <t>ترمینال مكعبی بدون خار مولكس (502179001)</t>
  </si>
  <si>
    <t>ترمینال مهره خور 10- سوراخ 8  آبكاری شده</t>
  </si>
  <si>
    <t>ترمینال مهره خور 10- سوراخ 8</t>
  </si>
  <si>
    <t>ترمینال نری ساژم</t>
  </si>
  <si>
    <t>ترمینال مادگی ساژم</t>
  </si>
  <si>
    <t>ترمینال دوشاخ 6 ×2 آبی</t>
  </si>
  <si>
    <t>ترمینال گرد 6-5 * 25 قرمز</t>
  </si>
  <si>
    <t>ترمینال گرد 5*5/5 زرد</t>
  </si>
  <si>
    <t>ترمینال گرد 6 * 5/5 زرد</t>
  </si>
  <si>
    <t>ترمینال نری زیمنس</t>
  </si>
  <si>
    <t>ترمینال مادگی زیمنس</t>
  </si>
  <si>
    <t>ترمینال مادگی hl پایه متوسط كد SSF-21T-P1.4</t>
  </si>
  <si>
    <t>ترمینال نری   sym-01t-p0.5a   yl</t>
  </si>
  <si>
    <t>ترمینال نری EL</t>
  </si>
  <si>
    <t>LHE: C4502-TP2     HXH: HX45003-21RT</t>
  </si>
  <si>
    <t>ترمینال دوشاخ 4*1.25 قرمز</t>
  </si>
  <si>
    <t>ترمینال گرد قرمز4 RV 1/25-4S</t>
  </si>
  <si>
    <t>ترمینال كولری قرمز</t>
  </si>
  <si>
    <t>ترمینال گرد قرمز 6</t>
  </si>
  <si>
    <t>ترمینال گرد قرمز5 RV 1/25-5S</t>
  </si>
  <si>
    <t>ترمینال گرد آبی 3 Rv 2-3.2</t>
  </si>
  <si>
    <t>ترمینال گرد آبی4 RV 2-4s</t>
  </si>
  <si>
    <t>ترمینال مادگی پایه بلند ATX (5556T-39000038)</t>
  </si>
  <si>
    <t>ترمینال MOLEX  0190020021</t>
  </si>
  <si>
    <t>ترمینال ادگی 6/3 ابکاری</t>
  </si>
  <si>
    <t>ترمینال CT 1140</t>
  </si>
  <si>
    <t>ترمینال KET  ST730459-3</t>
  </si>
  <si>
    <t>ترمینال نری KET  ST730948-3 (50008-21)</t>
  </si>
  <si>
    <t>ترمینال مادگی KET  ST730869-3</t>
  </si>
  <si>
    <t>ترمینال MOLEX  (0039000160) 5263PBT</t>
  </si>
  <si>
    <t>ترمینال KET  ST730460-3</t>
  </si>
  <si>
    <t>ترمینال KET  ST740464-3</t>
  </si>
  <si>
    <t>ترمینال 8000-50212(EH-PT)</t>
  </si>
  <si>
    <t>ترمینال MOLEX  50539-8000 VHT</t>
  </si>
  <si>
    <t>ترمینال KET  ST760322-2</t>
  </si>
  <si>
    <t>ترمینال KET  ST741266-3</t>
  </si>
  <si>
    <t>ترمینال NRF-28090019</t>
  </si>
  <si>
    <t>ترمینال YEONHO 25045TS</t>
  </si>
  <si>
    <t>FAF:SX003-T1</t>
  </si>
  <si>
    <t>ترمینال KET  ST781321-1</t>
  </si>
  <si>
    <t>ترمینال گرد قرمز 8</t>
  </si>
  <si>
    <t>ترمینال گرد قرمز 3</t>
  </si>
  <si>
    <t>ترمینال نری  PBT  5263</t>
  </si>
  <si>
    <t>ترمینال نری ZUCH  TP25095M-3 (945291203)</t>
  </si>
  <si>
    <t>ترمینال نری YTT500 (50008-01)</t>
  </si>
  <si>
    <t>ترمینال دو راهی قرمز</t>
  </si>
  <si>
    <t>ترمینال نری لول 3/5</t>
  </si>
  <si>
    <t>ترمینال مادگی KET ST730838-3</t>
  </si>
  <si>
    <t>ترمینال نری YEONHO 25045TP</t>
  </si>
  <si>
    <t>ترمینال مكعبی خاردار كد YEONHO YT396(J)</t>
  </si>
  <si>
    <t>ترمینال KET ST731262-3</t>
  </si>
  <si>
    <t>ترمینال مادگی KET ST731172-3</t>
  </si>
  <si>
    <t>ترمینال نری SL پایه متوسط كد SSM-21T-P1.4</t>
  </si>
  <si>
    <t>ترمینال وایر شو (E7508)</t>
  </si>
  <si>
    <t>ترمینال نری *</t>
  </si>
  <si>
    <t>ترمینال نری KET ST740691-3</t>
  </si>
  <si>
    <t>ترمینال مادگی 5-170063-2 AMP</t>
  </si>
  <si>
    <t>ترمینال مادگی 5-170063-3 AMP</t>
  </si>
  <si>
    <t>ترمینال نری 1-173681</t>
  </si>
  <si>
    <t>AHI:AH6210-1.2S       AMP: 173681-1</t>
  </si>
  <si>
    <t>ترمینال نری 1-1674742</t>
  </si>
  <si>
    <t>ترمینال نری پایه کوتاه 1-142754</t>
  </si>
  <si>
    <t>ترمینال مادگی 1-144969</t>
  </si>
  <si>
    <t>AHI: AH628-0.7A</t>
  </si>
  <si>
    <t>ترمینال دهنه ماهی 3-927768</t>
  </si>
  <si>
    <t>ترمینال مادگی 6/3 پشت صاف پایه کوتاه ST730267-1</t>
  </si>
  <si>
    <t>MET:MT530267-1     KET:ST730267-1</t>
  </si>
  <si>
    <t>ترمینال مادگی 986581211</t>
  </si>
  <si>
    <t>ترمینال نری پایه کوتاه پژویی</t>
  </si>
  <si>
    <t>ترمینال نری 6/3 پشت صاف خاردار</t>
  </si>
  <si>
    <t>ترمینال KET  ST750207-3</t>
  </si>
  <si>
    <t>ترمینال KET  ST730205-3</t>
  </si>
  <si>
    <t>ترمینال KET  ST730306-3</t>
  </si>
  <si>
    <t>ترمینال KET  ST780242-2</t>
  </si>
  <si>
    <t>ترمینال نری SMT025</t>
  </si>
  <si>
    <t>ترمینال مادگی KET ST730822-3</t>
  </si>
  <si>
    <t>ترمینال نری KET ST740144-1</t>
  </si>
  <si>
    <t>ترمینال مادگی SCS-PT1</t>
  </si>
  <si>
    <t>ترمینال مادگی TJC2--PT</t>
  </si>
  <si>
    <t>HXH:75003-PTHCB: C50008-01PT</t>
  </si>
  <si>
    <t>ترمینال مادگی U</t>
  </si>
  <si>
    <t>ترمینال پاور معمولی</t>
  </si>
  <si>
    <t>ترمینال مهره خور  SRA-51T-4  JST</t>
  </si>
  <si>
    <t>ترمینال مادگی AMP 1742198-1</t>
  </si>
  <si>
    <t>ترمینال مادگی HC624-6/3 B</t>
  </si>
  <si>
    <t>ترمینال مادگی KET ST730568-3</t>
  </si>
  <si>
    <t>ترمینال مادگی HC621-6/3 C</t>
  </si>
  <si>
    <t>ترمینال مادگی  HC629-2/8 B</t>
  </si>
  <si>
    <t>ترمینال مادگی HC623-6/3 C-C</t>
  </si>
  <si>
    <t>ترمینال دهانه ماهی افقی پایه بلند</t>
  </si>
  <si>
    <t>LX: LX6H500010-03(927865-1)  HCB: C50003-03PT</t>
  </si>
  <si>
    <t>ترمینال دهانه ماهی عمودی پایه کوتاه</t>
  </si>
  <si>
    <t>LX: LX6N500009-01(927831-1)   HCB: C50003-13PT</t>
  </si>
  <si>
    <t>ترمینال دهانه ماهی پایه کوتاه HCB 7.731.376-2</t>
  </si>
  <si>
    <t>ترمینال دهانه ماهی پایه کوتاه HCB 7.731.376-3</t>
  </si>
  <si>
    <t>ترمینال نری HC211-2/1 A</t>
  </si>
  <si>
    <t>ترمینال پرچمی HC631-6/3</t>
  </si>
  <si>
    <t>ترمینال مادگی KET ST730567-3</t>
  </si>
  <si>
    <t>ترمینال مادگی KET ST731394-3M</t>
  </si>
  <si>
    <t>ترمینال YST200</t>
  </si>
  <si>
    <t>ترمینال مادگی تلفنی خاردار</t>
  </si>
  <si>
    <t>ترمینال پرچمی 6/3 کلیددار TB2218</t>
  </si>
  <si>
    <t>ترمینال DS1104-1</t>
  </si>
  <si>
    <t>ترمینال DS1106-1</t>
  </si>
  <si>
    <t>ترمینال DS1107-1</t>
  </si>
  <si>
    <t>ترمینال MOLEX 35760-7100</t>
  </si>
  <si>
    <t>ترمینال مادگی  SCS-RT (PT2) امانی</t>
  </si>
  <si>
    <t>ترمینال مادگی TJC2-PT امانی</t>
  </si>
  <si>
    <t>ترمینال KET  ST730058-2</t>
  </si>
  <si>
    <t>ترمینال نری 5558T2 (0039000048)</t>
  </si>
  <si>
    <t>ترمینال نری ژاپنی</t>
  </si>
  <si>
    <t>ترمینال مادگی ژاپنی</t>
  </si>
  <si>
    <t>ترمینال پین پاورنری el</t>
  </si>
  <si>
    <t>ترمینال مادگی  SCS-RT(PT2)</t>
  </si>
  <si>
    <t>ترمینال 6/3 پشت نری آبکاری شده کلیددار</t>
  </si>
  <si>
    <t>ترمینال 4/8 پشت نری آبکاری شده</t>
  </si>
  <si>
    <t>ترمینال نری</t>
  </si>
  <si>
    <t>ترمینال مادگی ?TYPE90</t>
  </si>
  <si>
    <t>"ترمینال نری پایه بلندMIC IV"   به درخواست خودرویی غیر فعال شد.</t>
  </si>
  <si>
    <t>"ترمینال نری (0.85-0.5)MIC-M/1  "</t>
  </si>
  <si>
    <t>"ترمینال نری (2-1.25)MIC-M/2"</t>
  </si>
  <si>
    <t>ترمینال فیوز پیوسته 2تایی پایه کوتاه</t>
  </si>
  <si>
    <t>ترمینال مادگی پایه بلند  atx( 39000077)</t>
  </si>
  <si>
    <t>ترمینال مادگی پاور کامپیوتر XY-B-014</t>
  </si>
  <si>
    <t>ترمینال مادگی پاور کامپیوتر XY-B-015</t>
  </si>
  <si>
    <t>ترمینال نری پایه بلند MIC IV</t>
  </si>
  <si>
    <t>ترمینال پرچمی 4.8 آبکاری شده پایه خاص(دهنه 0.5)</t>
  </si>
  <si>
    <t>HCB:TP1873-0035     KET: ST730220-2</t>
  </si>
  <si>
    <t>ترمینال پشت چاکدار خاردار نکدار پایه بلند</t>
  </si>
  <si>
    <t>ترمینال میله ای نری</t>
  </si>
  <si>
    <t>ترمینال دو شاخ SVS 2-5</t>
  </si>
  <si>
    <t>ترمینال دو شاخ SVS 1.25-4</t>
  </si>
  <si>
    <t>ترمینال دو شاخ SVS 2-4</t>
  </si>
  <si>
    <t>ترمینال مادگی سایز 5-3</t>
  </si>
  <si>
    <t>ترمینال آبکاری  tks 1316</t>
  </si>
  <si>
    <t>ترمینال مادگی پایه متوسط 1.3-0.8</t>
  </si>
  <si>
    <t>FCI:211CC2S4160   LHE : 6215021054</t>
  </si>
  <si>
    <t>ترمینال مادگی پایه کوتاه TH/.025</t>
  </si>
  <si>
    <t>ترمینال مادگی پایه کوتاه CPM4</t>
  </si>
  <si>
    <t>ترمینال مادگی  پایه متوسط CPM4</t>
  </si>
  <si>
    <t>AMP:144181-1     AHI:AH624-2.8×0.8D</t>
  </si>
  <si>
    <t>ترمینال مادگی پایه پایه بلند CPM4</t>
  </si>
  <si>
    <t>ترمینال نری پایه کوتاه 0.5-0.3</t>
  </si>
  <si>
    <t>ترمینال نری پایه متوسط 1-0.85</t>
  </si>
  <si>
    <t>ترمینال نری پایه بلند 2.5-2</t>
  </si>
  <si>
    <t>AMP:368086-1 LHE : 6123023113</t>
  </si>
  <si>
    <t>ترمینال شانه ای JPT سایز 2.00-1.25</t>
  </si>
  <si>
    <t>ترمینال شانه ای MT II سایز 0.2-0.5</t>
  </si>
  <si>
    <t>ترمینال مادگی TLC</t>
  </si>
  <si>
    <t>ترمینال مادگی پشت خاردار</t>
  </si>
  <si>
    <t>ترمینال مهره خور 8 سایز 8-4.8</t>
  </si>
  <si>
    <t>ترمینال مهره خور 8 سایز 3-1.25</t>
  </si>
  <si>
    <t>ترمینال مهره خور 6 پایه بلند آبکاری</t>
  </si>
  <si>
    <t>ترمینال مادگی بزرگ پایه کوتاه</t>
  </si>
  <si>
    <t>ترمینال مادگی سوکت ایربگ</t>
  </si>
  <si>
    <t>ترمینال سوکت ایربگ(راست)</t>
  </si>
  <si>
    <t>ترمینال سوکت ایربگ(چپ)</t>
  </si>
  <si>
    <t>ترمینال مادگی TJC25014B</t>
  </si>
  <si>
    <t>ترمینال مادگی  کلیددار آبکاری ST731261-3</t>
  </si>
  <si>
    <t>KET: ST731261-3</t>
  </si>
  <si>
    <t>ترمینال TP3962M-3(4018)</t>
  </si>
  <si>
    <t>ZUCH: TP3962M-3(4018)</t>
  </si>
  <si>
    <t>ترمینال مادگی کلید دار HX4.8GS-21T</t>
  </si>
  <si>
    <t>HXH: HX4.8GS-21T</t>
  </si>
  <si>
    <t>ترمینال نری پهن پایه بلند</t>
  </si>
  <si>
    <t>AH617-2.8X0.8D       211CL3S3120</t>
  </si>
  <si>
    <t>AH625-0.7A     M34S75C4F2</t>
  </si>
  <si>
    <t>ترمینال مادگی شانه ای دو لبه پایه  متوسط (1-3)</t>
  </si>
  <si>
    <t>AH629-E6.3C2    144617-1</t>
  </si>
  <si>
    <t>ترمینال نری پایه کوتاه</t>
  </si>
  <si>
    <t>173682    DJ612C-1X0.6A</t>
  </si>
  <si>
    <t>ترمینال YT250</t>
  </si>
  <si>
    <t>YEONHO: YT250</t>
  </si>
  <si>
    <t>ترمینال مهره خور 5 آبکاری</t>
  </si>
  <si>
    <t>KET: ST710197-2     -    FAF: C530002-4</t>
  </si>
  <si>
    <t>ترمینال مادگی SC41202-005A</t>
  </si>
  <si>
    <t>sh: SC41202-005A</t>
  </si>
  <si>
    <t>ترمینال نری SC42205-005A</t>
  </si>
  <si>
    <t>sh: SC42205-005A</t>
  </si>
  <si>
    <t>ترمینال مادگی پایه بلند ST731083-3</t>
  </si>
  <si>
    <t>KET: ST731083-3</t>
  </si>
  <si>
    <t>ترمینال  TKS 1327</t>
  </si>
  <si>
    <t>ترمینال  ST780802-3</t>
  </si>
  <si>
    <t>KET:ST780802-3</t>
  </si>
  <si>
    <t>ترمینال    ST780803-3</t>
  </si>
  <si>
    <t>KET:ST780803-3</t>
  </si>
  <si>
    <t>ترمینال   ST780801-3</t>
  </si>
  <si>
    <t>KET:ST780801-3</t>
  </si>
  <si>
    <t>ترمینال   3- 927831</t>
  </si>
  <si>
    <t>AMP: 927831-3</t>
  </si>
  <si>
    <t>ترمینال مادگی 6/3 آبکاری پایه کوتاه TP2501-1028</t>
  </si>
  <si>
    <t>HCB: TP2501-1028</t>
  </si>
  <si>
    <t>ترمینال كلمپ متوسط اسپیلایس آبکاری(ST760320-2)</t>
  </si>
  <si>
    <t>MESA: ST760320-2</t>
  </si>
  <si>
    <t>280708-2  ترمینال مادگی</t>
  </si>
  <si>
    <t>AMP: 280708-2    LHE: A2543TP-TPE</t>
  </si>
  <si>
    <t>282618-1 ترمینال نری</t>
  </si>
  <si>
    <t>AMP: 282618-1       LHE: A2543TMA-PM</t>
  </si>
  <si>
    <t>ترمینال مادگی شانه ای دولبه</t>
  </si>
  <si>
    <t>AHI: AH629-E6.3B2</t>
  </si>
  <si>
    <t>ترمینال نری پرایدی  6/3 آبکاری پایه کوتاه</t>
  </si>
  <si>
    <t>KET: ST740253-3</t>
  </si>
  <si>
    <t>ترمینال مادگی ST730625-3</t>
  </si>
  <si>
    <t>KET: ST730625-3</t>
  </si>
  <si>
    <t>ترمینال مادگی ST730371-1</t>
  </si>
  <si>
    <t>KET: ST730371-1</t>
  </si>
  <si>
    <t>430310001 ترمینال نری</t>
  </si>
  <si>
    <t>MOLEX: 430310001</t>
  </si>
  <si>
    <t>430300001  ترمینال مادگی</t>
  </si>
  <si>
    <t>MOLEX: 430300001</t>
  </si>
  <si>
    <t>ترمینال مادگی 1-917683</t>
  </si>
  <si>
    <t>AMP: 917683-1</t>
  </si>
  <si>
    <t>ترمینال نری 1-917765</t>
  </si>
  <si>
    <t>AMP: 917765-1    LX: LX6N250001-01      HCB : C25002-01RT</t>
  </si>
  <si>
    <t>ترمینال  نری کوتاه 6/3</t>
  </si>
  <si>
    <t>TE2307-R   برند MESA</t>
  </si>
  <si>
    <t>ترمینال نری L6.2 (C6202-TP2)</t>
  </si>
  <si>
    <t>ترمینال مادگی آبکاری  ST730901-3</t>
  </si>
  <si>
    <t>THB: 0100312  KET: ST730901-3</t>
  </si>
  <si>
    <t>ترمینال نری خاردار ST740386-3</t>
  </si>
  <si>
    <t>KET: ST740386-3</t>
  </si>
  <si>
    <t>ترمینال مادگی 183035-1</t>
  </si>
  <si>
    <t>AMP: 183035-1</t>
  </si>
  <si>
    <t>ترمینال پایه متوسط DJ629-6.3×0.8b</t>
  </si>
  <si>
    <t>ZJZ: DJ629-6.3×0.8b</t>
  </si>
  <si>
    <t>ترمینال پایه بلند DJ629-6.3×0.8c</t>
  </si>
  <si>
    <t>ZJZ:DJ629-6.3×0.8c</t>
  </si>
  <si>
    <t>ترمینال مادگی فیوزی سایز (3-2)</t>
  </si>
  <si>
    <t>KET: ST780418-3</t>
  </si>
  <si>
    <t>ترمینال مادگی فیوزی سایز (1.25-2)</t>
  </si>
  <si>
    <t>KET: ST780419-3</t>
  </si>
  <si>
    <t>ترمینال فیوزی سایز (1.25-2)</t>
  </si>
  <si>
    <t>KET: ST780416-3</t>
  </si>
  <si>
    <t>ترمینال مادگی فیوزی سایز (3-5)</t>
  </si>
  <si>
    <t>KET: ST780417-3</t>
  </si>
  <si>
    <t>ترمینال نری خاردار ST740385-3</t>
  </si>
  <si>
    <t>KET: ST740385-3</t>
  </si>
  <si>
    <t>ترمینال جعبه فیوز نیسان</t>
  </si>
  <si>
    <t>ترمینال مادگی 4/8 زرد (TB2205.50 DP)</t>
  </si>
  <si>
    <t>MESA : TB2205.50 DP</t>
  </si>
  <si>
    <t>ترمینال مادگی ST780666-3</t>
  </si>
  <si>
    <t>KET: ST780666-3</t>
  </si>
  <si>
    <t>ترمینال مهره خور 5 آبکاری کوتاه (ST710155-3)</t>
  </si>
  <si>
    <t>KET: ST710155-3</t>
  </si>
  <si>
    <t>ترمینال مادگی TKS 1239</t>
  </si>
  <si>
    <t>TKS 1239</t>
  </si>
  <si>
    <t>ترمینال مادگی YT500-CL</t>
  </si>
  <si>
    <t>YEONHO: YT500-CL</t>
  </si>
  <si>
    <t>ترمینالDJ627A-2.8A</t>
  </si>
  <si>
    <t>ترمینال نری  پایه کوتاه کوچک 211CL2S1160</t>
  </si>
  <si>
    <t>FCI: 211CL2S1160 AHI:AH617-1.5X0.8A LHE: 6115021055</t>
  </si>
  <si>
    <t>ترمینال مادگی 2-927824</t>
  </si>
  <si>
    <t>AMP: 927824-2 AHI: AH629-E6.3D3</t>
  </si>
  <si>
    <t>ترمینال مادگی پایه کوتاه 4912-8240</t>
  </si>
  <si>
    <t>SUMITOMO: 8240-4912 AHI: AH629-4.8×0.8A</t>
  </si>
  <si>
    <t>ترمینال مادگی پایه بلند 4932-8240</t>
  </si>
  <si>
    <t>SUMITOMO: 8240-4932 AHI: AH629-4.8×0.8C</t>
  </si>
  <si>
    <t>ترمینال نری ST740830-3</t>
  </si>
  <si>
    <t>ترمینال نری ST740817-3</t>
  </si>
  <si>
    <t>ترمینال دهانه ماهی عمودی پایه بلند</t>
  </si>
  <si>
    <t>"LX: LX6N500009-02(927833-1) HCB: C50003-14PT"</t>
  </si>
  <si>
    <t>ترمینال مهره خور 8 سایز 10</t>
  </si>
  <si>
    <t>ترمینال با خم 90 درجه دینام</t>
  </si>
  <si>
    <t>KB092-67-071  -   FATH: MT-93</t>
  </si>
  <si>
    <t>ترمینال مهره خور خم 135 درجه</t>
  </si>
  <si>
    <t>FATH: MT-99</t>
  </si>
  <si>
    <t>ترمینال سیگمایی سایز 1.25 تا 2.5</t>
  </si>
  <si>
    <t>FCI: 211CC3S2160     LHE: 6228022360</t>
  </si>
  <si>
    <t>ترمینال مادگی سایز 0.85 تا 1.25</t>
  </si>
  <si>
    <t>TE: 368084-1     LHE: 6623022109</t>
  </si>
  <si>
    <t>ترمینال مادگی سایز 0.3 تا 0.5</t>
  </si>
  <si>
    <t>TE: 316836-1     LHE: 6210020016</t>
  </si>
  <si>
    <t>ترمینال سیگمایی نری سایز0.75 تا 1</t>
  </si>
  <si>
    <t>FCI: 211CL2S2160     LHE: 6115022056</t>
  </si>
  <si>
    <t>ترمینال مادگی سایز 0.3 تا 0.5 C2201-YT11</t>
  </si>
  <si>
    <t>LHE: 620642006</t>
  </si>
  <si>
    <t>ترمینال مادگی SVF-42T-P2.0</t>
  </si>
  <si>
    <t>JST: SVF-42T-P2.0</t>
  </si>
  <si>
    <t>ترمینال مادگی SVM-42T-P2.0</t>
  </si>
  <si>
    <t>JST: SVM-42T-P2.0</t>
  </si>
  <si>
    <t>ترمینال نری SXAM-01T-P0.6</t>
  </si>
  <si>
    <t>JST: SXAM-01T-P0.6</t>
  </si>
  <si>
    <t>ترمینال مادگی TP2507J-3</t>
  </si>
  <si>
    <t>ZUCH: TP2507J-3</t>
  </si>
  <si>
    <t>ترمینال مادگی TP3970J-3</t>
  </si>
  <si>
    <t>ZUCH: TP3970J-3</t>
  </si>
  <si>
    <t>ترمینال مادگی TP2503J-3</t>
  </si>
  <si>
    <t>ZUCH: TP2503J-3</t>
  </si>
  <si>
    <t>ترمینال دهنه ماهی 2-927831</t>
  </si>
  <si>
    <t>927831-2</t>
  </si>
  <si>
    <t>ترمینال دهنه ماهی 2-927833</t>
  </si>
  <si>
    <t>927833-2</t>
  </si>
  <si>
    <t>ترمینال دهنه ماهی 2-927829</t>
  </si>
  <si>
    <t>927829-2</t>
  </si>
  <si>
    <t>ترمینال نری KET  ST740816-3</t>
  </si>
  <si>
    <t>ترمینال نری KET  ST740812-3</t>
  </si>
  <si>
    <t>ترمینال مادگی سیل خور CJPTسایز 0.5 تا 1</t>
  </si>
  <si>
    <t>TE : 929939-3   LHE : 6228011140</t>
  </si>
  <si>
    <t>ترمینال دهانه ماهی افقی پایه متوسط</t>
  </si>
  <si>
    <t>HCB: C50003-01PT</t>
  </si>
  <si>
    <t>ترمینال دهانه ماهی افقی پایه کوتاه</t>
  </si>
  <si>
    <t>HCB: C50003-02PT</t>
  </si>
  <si>
    <t>ترمینال  نری سوکت CAMERA</t>
  </si>
  <si>
    <t>HL : 6619503BSS   AHI : AH611-0.8S</t>
  </si>
  <si>
    <t>ترمینال نری 2 تا 2.5</t>
  </si>
  <si>
    <t>KET : ST740674-3   AHI : AH616-2.2*0.6C</t>
  </si>
  <si>
    <t>ST760320-1</t>
  </si>
  <si>
    <t>KET:ST710095-3</t>
  </si>
  <si>
    <t>HCB : TP2503-6038(ST730649-3)   KET : ST730649-3</t>
  </si>
  <si>
    <t>0100104035(SF23DK (6.3) RP)</t>
  </si>
  <si>
    <t>HCB : C60001-03PT(ST730461-3)KET : ST730461-3</t>
  </si>
  <si>
    <t>HCB : TP1873-0038</t>
  </si>
  <si>
    <t>TD 2118.80RP   ST730142-1</t>
  </si>
  <si>
    <t>FAF:B580004-4(SCS-004)</t>
  </si>
  <si>
    <t>"DJ621-0.7A6762012PSS"</t>
  </si>
  <si>
    <t>"DJ614-2.8×0.8AAMP: 142754-1"</t>
  </si>
  <si>
    <t>KET:ST730269-1</t>
  </si>
  <si>
    <t>KET:ST730374-3</t>
  </si>
  <si>
    <t>ST730412-1</t>
  </si>
  <si>
    <t>ST730383-3</t>
  </si>
  <si>
    <t>KET: ST740253-1</t>
  </si>
  <si>
    <t>ST760146-1</t>
  </si>
  <si>
    <t>HCB : TP2501-7038</t>
  </si>
  <si>
    <t>HCB : TP1874-0135</t>
  </si>
  <si>
    <t>HCB : TO4200-0504</t>
  </si>
  <si>
    <t>TO6400-0103</t>
  </si>
  <si>
    <t>HCB : TP1101-0048</t>
  </si>
  <si>
    <t>AMP:170340-3</t>
  </si>
  <si>
    <t>AMP:964201-1</t>
  </si>
  <si>
    <t>AH6211-2.8B    THB:PP0131902</t>
  </si>
  <si>
    <t>AH6210-2.8A       THB:PP0132001</t>
  </si>
  <si>
    <t>AH6210-2.8B       THB:PP0132002</t>
  </si>
  <si>
    <t>AH622-4.8A     THB:PP0130905</t>
  </si>
  <si>
    <t>AH623-W4.8D</t>
  </si>
  <si>
    <t>AH613-6.3X0.8B     THB:PP0136901</t>
  </si>
  <si>
    <t>AH613-6.3X0.8E     THB:PP0136902</t>
  </si>
  <si>
    <t>AH621-6.3A    THB:PP0108611</t>
  </si>
  <si>
    <t>AH621-6.3B      THB:PP0108612</t>
  </si>
  <si>
    <t>AH621-6.3C     THB:PP0108613</t>
  </si>
  <si>
    <t>AH621-9.5D   THB:PP0105802</t>
  </si>
  <si>
    <t>LHE:A1501-TP2</t>
  </si>
  <si>
    <t>LHE:C2506-TP2</t>
  </si>
  <si>
    <t>HCB:C25008-01PT</t>
  </si>
  <si>
    <t>HCB:C58001-12PT(SCS1-PT)</t>
  </si>
  <si>
    <t>AMP:1217264-1</t>
  </si>
  <si>
    <t>HCB:TP2504-0038</t>
  </si>
  <si>
    <t>HCB: C25003-01RT   (35053-9002)</t>
  </si>
  <si>
    <t>ST730993-3</t>
  </si>
  <si>
    <t>HCB:TS1002-0102</t>
  </si>
  <si>
    <t>HCB:TP1872-7035</t>
  </si>
  <si>
    <t>HCB:TP1872-7025</t>
  </si>
  <si>
    <t>HCB:TP2502-0028</t>
  </si>
  <si>
    <t>C2507-TP2</t>
  </si>
  <si>
    <t>WB20L-61209</t>
  </si>
  <si>
    <t>TB2223.80</t>
  </si>
  <si>
    <t>SF1EU1KM(6.3) RP 0100101193</t>
  </si>
  <si>
    <t>TKS1801</t>
  </si>
  <si>
    <t>MT530057-1</t>
  </si>
  <si>
    <t>KET:ST740255-1</t>
  </si>
  <si>
    <t>TP1101-2115(2.8X0.5)</t>
  </si>
  <si>
    <t>AMP: 5-170063-2</t>
  </si>
  <si>
    <t>6228021152(8240-4092)</t>
  </si>
  <si>
    <t>0101104122(SF1D EGRI (B) (6.3) RPK)</t>
  </si>
  <si>
    <t>0100104025(SF2.5D EGRI TIR (7.7) RP)</t>
  </si>
  <si>
    <t>0101106008(SF29DK-V RPK)</t>
  </si>
  <si>
    <t>DJ614-2.8×0.8B      AMP: 142755-1</t>
  </si>
  <si>
    <t>SF1EU1K (6.3) RP(0100101015)</t>
  </si>
  <si>
    <t>faf: B420001-3(5557-A)</t>
  </si>
  <si>
    <t>MESA: TD-2124    HCB: TP2501-3028</t>
  </si>
  <si>
    <t>FCI:211CC2S1160   LHE:6215020053  AHI:AH627-A1.5*0.8A</t>
  </si>
  <si>
    <t>FCI:211CC2S2160</t>
  </si>
  <si>
    <t>ST730852-3</t>
  </si>
  <si>
    <t>967542-1</t>
  </si>
  <si>
    <t>ST730624-3</t>
  </si>
  <si>
    <t>ST710285-2</t>
  </si>
  <si>
    <t>7116-3703-02</t>
  </si>
  <si>
    <t>7116-4142-02</t>
  </si>
  <si>
    <t>SF40D RFK</t>
  </si>
  <si>
    <t>KET:ST730689-3   Sumitomo:8100-0460</t>
  </si>
  <si>
    <t>967543-1</t>
  </si>
  <si>
    <t>ST730317-3</t>
  </si>
  <si>
    <t>ST730380-3</t>
  </si>
  <si>
    <t>ST730381-3</t>
  </si>
  <si>
    <t>KET:ST730259-3</t>
  </si>
  <si>
    <t>Mesa:TE2308 DP      HATKO:0100101003</t>
  </si>
  <si>
    <t>ST740255-3</t>
  </si>
  <si>
    <t>FAF:B450003-3-I</t>
  </si>
  <si>
    <t>FAF:B450003-3-II</t>
  </si>
  <si>
    <t>0100104014(SF1D MINI (A) (4.8) RP)</t>
  </si>
  <si>
    <t>KET:ST710236-1</t>
  </si>
  <si>
    <t>TB2203.80</t>
  </si>
  <si>
    <t>0100104403(SF1DE TEK ZIM-90 (6.3) RP)</t>
  </si>
  <si>
    <t>KET:760149-1</t>
  </si>
  <si>
    <t>FAF:YL-Y1     FAF: B450002-4A    JST: syF-41t-p0.5</t>
  </si>
  <si>
    <t>FAF:YL-A1   FAF: B450002-3A     JST: sym-41t-p0.5a</t>
  </si>
  <si>
    <t>ST740050-3</t>
  </si>
  <si>
    <t>FAF:B396010-3-II</t>
  </si>
  <si>
    <t>0101104578(SF21DKM (6.3) RPK)</t>
  </si>
  <si>
    <t>KET:ST730571-3</t>
  </si>
  <si>
    <t>FAF:YL-Y2  FAF: B450002-4B    JST: syF-01t-p0.5</t>
  </si>
  <si>
    <t>KET  ST730268-3</t>
  </si>
  <si>
    <t>KET  ST740254-3</t>
  </si>
  <si>
    <t>FAF:SL-A</t>
  </si>
  <si>
    <t>FAF:SL-Y-B</t>
  </si>
  <si>
    <t>FAF:XM-A</t>
  </si>
  <si>
    <t>5556-T2</t>
  </si>
  <si>
    <t>FAF:SL-Y</t>
  </si>
  <si>
    <t>FAF:YL-A2  FAF: B450002-3B   HCB: C45002-01RT   JST: sym-01t-p0.5a</t>
  </si>
  <si>
    <t>FAF:SL-A-G</t>
  </si>
  <si>
    <t>AHI: DJ614B-1S    Tyco:1674742-1</t>
  </si>
  <si>
    <t>DJ614-2.8*0.8A</t>
  </si>
  <si>
    <t>HCB: TP2502-3028</t>
  </si>
  <si>
    <t>HCB: TP1871-3025</t>
  </si>
  <si>
    <t>"MT530365-3ST730365-3"</t>
  </si>
  <si>
    <t>"DJ614-2.8×0.8BAMP: 142755-1"</t>
  </si>
  <si>
    <t>172779-1</t>
  </si>
  <si>
    <t>172777-1</t>
  </si>
  <si>
    <t>PP0131901</t>
  </si>
  <si>
    <t>5556-T3</t>
  </si>
  <si>
    <t>XY-B-014</t>
  </si>
  <si>
    <t>XY-B-015</t>
  </si>
  <si>
    <t>AHI: AH614-2.8*0.8D</t>
  </si>
  <si>
    <t>TKS1226</t>
  </si>
  <si>
    <t>FCI:211CC3S3120    AHI:AH627-2.8*0.8D</t>
  </si>
  <si>
    <t>AMP:173630-1   LHE:6218021078</t>
  </si>
  <si>
    <t>BOSCH:1928498056   LHE:6228011134</t>
  </si>
  <si>
    <t>AMP:1123343-1   LHE:6206420006</t>
  </si>
  <si>
    <t>144180-1   AH624-2.8*0.8A</t>
  </si>
  <si>
    <t>142753-2</t>
  </si>
  <si>
    <t>AMP:368088-1   LHE:6123020111</t>
  </si>
  <si>
    <t>AMP:368087-1   LHE:6123022112</t>
  </si>
  <si>
    <t>0-927766-3</t>
  </si>
  <si>
    <t>0-962876-1   6215011057</t>
  </si>
  <si>
    <t>5-962885-1</t>
  </si>
  <si>
    <t>6619228BSS</t>
  </si>
  <si>
    <t>42100-2</t>
  </si>
  <si>
    <t>ST710263-2</t>
  </si>
  <si>
    <t>ST710448-2</t>
  </si>
  <si>
    <t>ST710546-2</t>
  </si>
  <si>
    <t>211CC3S1160</t>
  </si>
  <si>
    <t>1411576-1</t>
  </si>
  <si>
    <t>SSQSK-A03GJ-P-R</t>
  </si>
  <si>
    <t>SSQSK-A03GJ-P-L</t>
  </si>
  <si>
    <t>CWB:TJC25014B</t>
  </si>
  <si>
    <t>000000000</t>
  </si>
  <si>
    <t>nothing</t>
  </si>
  <si>
    <t>قلع کاری سرسیم</t>
  </si>
  <si>
    <t>FLOAT</t>
  </si>
  <si>
    <t>moldable_type2</t>
  </si>
  <si>
    <t>VARCHAR(32)</t>
  </si>
  <si>
    <t>YEAR</t>
  </si>
  <si>
    <t>DATE</t>
  </si>
  <si>
    <t>MEDIUMINT UNSIGNED</t>
  </si>
  <si>
    <t>INTEGER UNSIGNED</t>
  </si>
  <si>
    <t>SMALLINT UNSIGNED</t>
  </si>
  <si>
    <t>TINYINT UNSIGNED</t>
  </si>
  <si>
    <t>MEDIUMINT</t>
  </si>
  <si>
    <t>2025/03/06</t>
  </si>
  <si>
    <t>2025/02/03</t>
  </si>
  <si>
    <t>2025/02/02</t>
  </si>
  <si>
    <t>2025/04/05</t>
  </si>
  <si>
    <t>2025/04/07</t>
  </si>
  <si>
    <t>2025/04/08</t>
  </si>
  <si>
    <t>2025/04/13</t>
  </si>
  <si>
    <t>2025/04/14</t>
  </si>
  <si>
    <t>2025/04/15</t>
  </si>
  <si>
    <t>2025/04/16</t>
  </si>
  <si>
    <t>2025/04/20</t>
  </si>
  <si>
    <t>2025/04/21</t>
  </si>
  <si>
    <t>2025/04/22</t>
  </si>
  <si>
    <t>2025/04/23</t>
  </si>
  <si>
    <t>2025/04/26</t>
  </si>
  <si>
    <t>2025/04/27</t>
  </si>
  <si>
    <t>2025/04/28</t>
  </si>
  <si>
    <t>2025/04/29</t>
  </si>
  <si>
    <t>2025/05/05</t>
  </si>
  <si>
    <t>2025/05/06</t>
  </si>
  <si>
    <t>2025/05/07</t>
  </si>
  <si>
    <t>2025/05/10</t>
  </si>
  <si>
    <t>2025/05/11</t>
  </si>
  <si>
    <t>2025/05/12</t>
  </si>
  <si>
    <t>2025/05/13</t>
  </si>
  <si>
    <t>2025/05/14</t>
  </si>
  <si>
    <t>2025/05/18</t>
  </si>
  <si>
    <t>2025/05/15</t>
  </si>
  <si>
    <t>2025/05/17</t>
  </si>
  <si>
    <t>2025/05/20</t>
  </si>
  <si>
    <t>2025/05/21</t>
  </si>
  <si>
    <t>2025/05/22</t>
  </si>
  <si>
    <t>2025/05/23</t>
  </si>
  <si>
    <t>2025/05/24</t>
  </si>
  <si>
    <t>2025/05/25</t>
  </si>
  <si>
    <t>2025/05/26</t>
  </si>
  <si>
    <t>2025/05/27</t>
  </si>
  <si>
    <t>2025/05/28</t>
  </si>
  <si>
    <t>2025/05/31</t>
  </si>
  <si>
    <t>2025/06/01</t>
  </si>
  <si>
    <t>2025/06/02</t>
  </si>
  <si>
    <t>2025/06/10</t>
  </si>
  <si>
    <t>2025/06/08</t>
  </si>
  <si>
    <t>2025/06/22</t>
  </si>
  <si>
    <t>2025/06/23</t>
  </si>
  <si>
    <t>2025/06/24</t>
  </si>
  <si>
    <t>2025/06/25</t>
  </si>
  <si>
    <t>2025/06/28</t>
  </si>
  <si>
    <t>2025/06/29</t>
  </si>
  <si>
    <t>2025/06/30</t>
  </si>
  <si>
    <t>2025/07/02</t>
  </si>
  <si>
    <t>2025/07/08</t>
  </si>
  <si>
    <t>2025/07/09</t>
  </si>
  <si>
    <t>2025/07/12</t>
  </si>
  <si>
    <t>2025/07/14</t>
  </si>
  <si>
    <t>2025/07/15</t>
  </si>
  <si>
    <t>2025/07/19</t>
  </si>
  <si>
    <t>2025/07/20</t>
  </si>
  <si>
    <t>2025/07/22</t>
  </si>
  <si>
    <t>2025/07/26</t>
  </si>
  <si>
    <t>2025/07/28</t>
  </si>
  <si>
    <t>2025/07/29</t>
  </si>
  <si>
    <t>2025/07/30</t>
  </si>
  <si>
    <t>2025/08/02</t>
  </si>
  <si>
    <t>2025/08/03</t>
  </si>
  <si>
    <t>2025/08/04</t>
  </si>
  <si>
    <t>2025/08/05</t>
  </si>
  <si>
    <t>2025/08/06</t>
  </si>
  <si>
    <t>2025/08/09</t>
  </si>
  <si>
    <t>2025/08/10</t>
  </si>
  <si>
    <t>2025/08/13</t>
  </si>
  <si>
    <t>2025/08/16</t>
  </si>
  <si>
    <t>2025/08/17</t>
  </si>
  <si>
    <t>2025/08/18</t>
  </si>
  <si>
    <t>2025/08/19</t>
  </si>
  <si>
    <t>2025/08/23</t>
  </si>
  <si>
    <t>2025/08/25</t>
  </si>
  <si>
    <t>2025/08/26</t>
  </si>
  <si>
    <t>2025/08/30</t>
  </si>
  <si>
    <t>2025/09/02</t>
  </si>
  <si>
    <t>2024/10/09</t>
  </si>
  <si>
    <t>2024/12/20</t>
  </si>
  <si>
    <t>2025/02/01</t>
  </si>
  <si>
    <t>2025/04/12</t>
  </si>
  <si>
    <t>2025/04/24</t>
  </si>
  <si>
    <t>2025/06/11</t>
  </si>
  <si>
    <t>2025/07/01</t>
  </si>
  <si>
    <t>2025/08/11</t>
  </si>
  <si>
    <t>2025/02/11</t>
  </si>
  <si>
    <t>2025/05/01</t>
  </si>
  <si>
    <t>2025/04/25</t>
  </si>
  <si>
    <t>2025/05/02</t>
  </si>
  <si>
    <t>2025/04/30</t>
  </si>
  <si>
    <t>2025/05/04</t>
  </si>
  <si>
    <t>2025/06/07</t>
  </si>
  <si>
    <t>2025/05/16</t>
  </si>
  <si>
    <t>2025/05/29</t>
  </si>
  <si>
    <t>2025/06/03</t>
  </si>
  <si>
    <t>2025/05/30</t>
  </si>
  <si>
    <t>2025/06/05</t>
  </si>
  <si>
    <t>2025/06/12</t>
  </si>
  <si>
    <t>2025/06/15</t>
  </si>
  <si>
    <t>2025/06/21</t>
  </si>
  <si>
    <t>2025/06/14</t>
  </si>
  <si>
    <t>2025/06/20</t>
  </si>
  <si>
    <t>2025/07/11</t>
  </si>
  <si>
    <t>2025/07/05</t>
  </si>
  <si>
    <t>2025/06/27</t>
  </si>
  <si>
    <t>2025/07/18</t>
  </si>
  <si>
    <t>2025/07/16</t>
  </si>
  <si>
    <t>2025/07/31</t>
  </si>
  <si>
    <t>2025/06/18</t>
  </si>
  <si>
    <t>2025/09/17</t>
  </si>
  <si>
    <t>2025/08/27</t>
  </si>
  <si>
    <t>2025/09/13</t>
  </si>
  <si>
    <t>2025/09/03</t>
  </si>
  <si>
    <t>2025/09/06</t>
  </si>
  <si>
    <t>2025/09/11</t>
  </si>
  <si>
    <t>2025/08/31</t>
  </si>
  <si>
    <t>2025/04/06</t>
  </si>
  <si>
    <t>2025/04/19</t>
  </si>
  <si>
    <t>2025/07/07</t>
  </si>
  <si>
    <t>2025/07/13</t>
  </si>
  <si>
    <t>2025/03/09</t>
  </si>
  <si>
    <t>2025/03/10</t>
  </si>
  <si>
    <t>2025/03/11</t>
  </si>
  <si>
    <t>2025/02/04</t>
  </si>
  <si>
    <t>2025/02/12</t>
  </si>
  <si>
    <t>2025/02/15</t>
  </si>
  <si>
    <t>2025/04/09</t>
  </si>
  <si>
    <t>2025/05/03</t>
  </si>
  <si>
    <t>2025/05/19</t>
  </si>
  <si>
    <t>2025/06/09</t>
  </si>
  <si>
    <t>2025/07/21</t>
  </si>
  <si>
    <t>2025/07/23</t>
  </si>
  <si>
    <t>2025/07/27</t>
  </si>
  <si>
    <t>2025/08/12</t>
  </si>
  <si>
    <t>2025/08/20</t>
  </si>
  <si>
    <t>order_idd</t>
  </si>
  <si>
    <t>1403/-140550019</t>
  </si>
  <si>
    <t>1403/12-140010117</t>
  </si>
  <si>
    <t>1403/12-140010230</t>
  </si>
  <si>
    <t>1403/12-140020181</t>
  </si>
  <si>
    <t>1403/12-140090143</t>
  </si>
  <si>
    <t>1403/12-140310017</t>
  </si>
  <si>
    <t>1403/12-140220012</t>
  </si>
  <si>
    <t>1404/01-140030039</t>
  </si>
  <si>
    <t>1403/12-140310007</t>
  </si>
  <si>
    <t>1403/12-140310031</t>
  </si>
  <si>
    <t>1404/01-140010117</t>
  </si>
  <si>
    <t>1404/01-140010230</t>
  </si>
  <si>
    <t>1404/01-140010255</t>
  </si>
  <si>
    <t>1403/12-140310016</t>
  </si>
  <si>
    <t>1404/01-140010295</t>
  </si>
  <si>
    <t>1404/01-140010279</t>
  </si>
  <si>
    <t>1404/01-140010280</t>
  </si>
  <si>
    <t>1404/01-140010298</t>
  </si>
  <si>
    <t>1403/-140550022</t>
  </si>
  <si>
    <t>1403/-140550088</t>
  </si>
  <si>
    <t>Column2</t>
  </si>
  <si>
    <t>2024/12/21</t>
  </si>
  <si>
    <t>2024/12/22</t>
  </si>
  <si>
    <t>2024/12/23</t>
  </si>
  <si>
    <t>140530004</t>
  </si>
  <si>
    <t>press1</t>
  </si>
  <si>
    <t>برش</t>
  </si>
  <si>
    <t>بادگیری</t>
  </si>
  <si>
    <t>روکش فاز نول</t>
  </si>
  <si>
    <t>روکش مغزی</t>
  </si>
  <si>
    <t>پرس فار نول</t>
  </si>
  <si>
    <t>پرس مغزی اتومات</t>
  </si>
  <si>
    <t>پرس مغزی دستی</t>
  </si>
  <si>
    <t>سوکت فاز نول</t>
  </si>
  <si>
    <t>H.V. دو نفره</t>
  </si>
  <si>
    <t>لیبل</t>
  </si>
  <si>
    <t>تاباندن</t>
  </si>
  <si>
    <t>دسته کردن</t>
  </si>
  <si>
    <t>بسته بندی</t>
  </si>
  <si>
    <t>تزریق کلگی</t>
  </si>
  <si>
    <t>تزریق مهاربند</t>
  </si>
  <si>
    <t>cut</t>
  </si>
  <si>
    <t>غلاف دستگاه</t>
  </si>
  <si>
    <t>glf</t>
  </si>
  <si>
    <t>غلاف دستی</t>
  </si>
  <si>
    <t>glf!</t>
  </si>
  <si>
    <t>w</t>
  </si>
  <si>
    <t>غلاف و باد</t>
  </si>
  <si>
    <t>g-w</t>
  </si>
  <si>
    <t>قیچی</t>
  </si>
  <si>
    <t>y</t>
  </si>
  <si>
    <t>روکش ارت</t>
  </si>
  <si>
    <t>re</t>
  </si>
  <si>
    <t>rfn</t>
  </si>
  <si>
    <t>روکش سه تایی</t>
  </si>
  <si>
    <t>rfne</t>
  </si>
  <si>
    <t>rm</t>
  </si>
  <si>
    <t>پرس ارت</t>
  </si>
  <si>
    <t>pe</t>
  </si>
  <si>
    <t>pfn</t>
  </si>
  <si>
    <t>پرس سه گانه</t>
  </si>
  <si>
    <t>pfne</t>
  </si>
  <si>
    <t>پرس دوبل</t>
  </si>
  <si>
    <t>pd</t>
  </si>
  <si>
    <t>پرس اسپیلایس</t>
  </si>
  <si>
    <t>ps</t>
  </si>
  <si>
    <t>pm</t>
  </si>
  <si>
    <t>pm!</t>
  </si>
  <si>
    <t>سوکت ارت</t>
  </si>
  <si>
    <t>se</t>
  </si>
  <si>
    <t>sfn</t>
  </si>
  <si>
    <t>سوکت سه تایی</t>
  </si>
  <si>
    <t>sfne</t>
  </si>
  <si>
    <t>چسب</t>
  </si>
  <si>
    <t>ch</t>
  </si>
  <si>
    <t>اسفنج</t>
  </si>
  <si>
    <t>j</t>
  </si>
  <si>
    <t>فریت</t>
  </si>
  <si>
    <t>f</t>
  </si>
  <si>
    <t>فریت و سوکت</t>
  </si>
  <si>
    <t>f-s</t>
  </si>
  <si>
    <t>مونتاژ وارنیش</t>
  </si>
  <si>
    <t>v-m</t>
  </si>
  <si>
    <t>سشوار وارنیش</t>
  </si>
  <si>
    <t>v-s</t>
  </si>
  <si>
    <t>بست کمربندی</t>
  </si>
  <si>
    <t>bst</t>
  </si>
  <si>
    <t>تست تک نفره</t>
  </si>
  <si>
    <t>t1</t>
  </si>
  <si>
    <t>تست دو نفره</t>
  </si>
  <si>
    <t>t2</t>
  </si>
  <si>
    <t>تست چهار نفره</t>
  </si>
  <si>
    <t>t3</t>
  </si>
  <si>
    <t>H.V. تک نفره</t>
  </si>
  <si>
    <t>hv1</t>
  </si>
  <si>
    <t>hv2</t>
  </si>
  <si>
    <t>lbl</t>
  </si>
  <si>
    <t>tbn</t>
  </si>
  <si>
    <t>کش انداختن</t>
  </si>
  <si>
    <t>ksh</t>
  </si>
  <si>
    <t>dst</t>
  </si>
  <si>
    <t>pck</t>
  </si>
  <si>
    <t>TINYINT AUTO_INCREMENT</t>
  </si>
  <si>
    <t>press2</t>
  </si>
  <si>
    <t>injection</t>
  </si>
  <si>
    <t>montage</t>
  </si>
  <si>
    <t>QC</t>
  </si>
  <si>
    <t>packing</t>
  </si>
  <si>
    <t>productId</t>
  </si>
  <si>
    <t>type</t>
  </si>
  <si>
    <t>total</t>
  </si>
  <si>
    <t>filter</t>
  </si>
  <si>
    <t>واحد</t>
  </si>
  <si>
    <t>TV</t>
  </si>
  <si>
    <t>141320031</t>
  </si>
  <si>
    <t>141320032</t>
  </si>
  <si>
    <t>Ref</t>
  </si>
  <si>
    <t>?</t>
  </si>
  <si>
    <t>❌</t>
  </si>
  <si>
    <t>common_standard_tv_time</t>
  </si>
  <si>
    <t>common_standard_ref_time</t>
  </si>
  <si>
    <t>prepress</t>
  </si>
  <si>
    <t>press</t>
  </si>
  <si>
    <t>ENUM('Batched','nonBatched','Extra','noWork','Vacation')</t>
  </si>
  <si>
    <t>TIME</t>
  </si>
  <si>
    <t>performance</t>
  </si>
  <si>
    <t>equipment_table_name</t>
  </si>
  <si>
    <t>QwErTyUiPaSdFgHjKzXcVbNm</t>
  </si>
  <si>
    <t>email_verified_at</t>
  </si>
  <si>
    <t>password</t>
  </si>
  <si>
    <t>email</t>
  </si>
  <si>
    <t>last_name</t>
  </si>
  <si>
    <t>first_name</t>
  </si>
  <si>
    <t>gender</t>
  </si>
  <si>
    <t>admin</t>
  </si>
  <si>
    <t>viewer</t>
  </si>
  <si>
    <t>hire_date</t>
  </si>
  <si>
    <t>employee_number</t>
  </si>
  <si>
    <t>subdepartment_id</t>
  </si>
  <si>
    <t>user_id</t>
  </si>
  <si>
    <t>assigned_at</t>
  </si>
  <si>
    <t>assigned_by</t>
  </si>
  <si>
    <t>role_id</t>
  </si>
  <si>
    <t>assignments</t>
  </si>
  <si>
    <t>phone</t>
  </si>
  <si>
    <t>تزریق</t>
  </si>
  <si>
    <t>انبار</t>
  </si>
  <si>
    <t>مهندسی صنایع</t>
  </si>
  <si>
    <t>برنامه ریزی</t>
  </si>
  <si>
    <t>فروش</t>
  </si>
  <si>
    <t>مالی</t>
  </si>
  <si>
    <t>مدیریت عامل</t>
  </si>
  <si>
    <t>مواد اولیه</t>
  </si>
  <si>
    <t>محصول</t>
  </si>
  <si>
    <t>مرکزی</t>
  </si>
  <si>
    <t>اداری</t>
  </si>
  <si>
    <t>کنترل کیفی</t>
  </si>
  <si>
    <t>مونتاژ</t>
  </si>
  <si>
    <t>پرس</t>
  </si>
  <si>
    <t>department_id</t>
  </si>
  <si>
    <t>avatar_path</t>
  </si>
  <si>
    <t xml:space="preserve">حسن </t>
  </si>
  <si>
    <t>فرهاد</t>
  </si>
  <si>
    <t>مجتبی</t>
  </si>
  <si>
    <t>محمد</t>
  </si>
  <si>
    <t>همایون</t>
  </si>
  <si>
    <t>محمدمهدی</t>
  </si>
  <si>
    <t>رضا</t>
  </si>
  <si>
    <t>میلاد</t>
  </si>
  <si>
    <t>علی</t>
  </si>
  <si>
    <t>مینا</t>
  </si>
  <si>
    <t>فاطمه</t>
  </si>
  <si>
    <t>احسان</t>
  </si>
  <si>
    <t>حمید</t>
  </si>
  <si>
    <t xml:space="preserve">حمید </t>
  </si>
  <si>
    <t>سید علیرضا</t>
  </si>
  <si>
    <t>کوروش</t>
  </si>
  <si>
    <t>یونس</t>
  </si>
  <si>
    <t>احمد رضا</t>
  </si>
  <si>
    <t>رحیم</t>
  </si>
  <si>
    <t>احمد</t>
  </si>
  <si>
    <t>محمدرضا</t>
  </si>
  <si>
    <t xml:space="preserve">بهزاد </t>
  </si>
  <si>
    <t>محمد حسین</t>
  </si>
  <si>
    <t>عباس</t>
  </si>
  <si>
    <t>علیرضا</t>
  </si>
  <si>
    <t>کبیر</t>
  </si>
  <si>
    <t xml:space="preserve">محمد </t>
  </si>
  <si>
    <t>حمیدرضا</t>
  </si>
  <si>
    <t>حدیثه</t>
  </si>
  <si>
    <t>لیلا</t>
  </si>
  <si>
    <t>الهام</t>
  </si>
  <si>
    <t xml:space="preserve">فرزانه </t>
  </si>
  <si>
    <t>کریمی</t>
  </si>
  <si>
    <t>جعفری</t>
  </si>
  <si>
    <t>امینی</t>
  </si>
  <si>
    <t>نجفی</t>
  </si>
  <si>
    <t>شجاعی نسب</t>
  </si>
  <si>
    <t>وادی خیل</t>
  </si>
  <si>
    <t>خدری</t>
  </si>
  <si>
    <t xml:space="preserve">رمضانی </t>
  </si>
  <si>
    <t>حسن زاده</t>
  </si>
  <si>
    <t>محمدی</t>
  </si>
  <si>
    <t>حبیب زاده</t>
  </si>
  <si>
    <t>بیک پور</t>
  </si>
  <si>
    <t>اکبری</t>
  </si>
  <si>
    <t>اینانلو</t>
  </si>
  <si>
    <t>شکر خدایی</t>
  </si>
  <si>
    <t>مهدوی</t>
  </si>
  <si>
    <t>رستمی</t>
  </si>
  <si>
    <t>سالمی</t>
  </si>
  <si>
    <t>سر زارع</t>
  </si>
  <si>
    <t>بهزادی</t>
  </si>
  <si>
    <t>گوهرنیا</t>
  </si>
  <si>
    <t>فرخی</t>
  </si>
  <si>
    <t>موذن زاده</t>
  </si>
  <si>
    <t>بختیاری</t>
  </si>
  <si>
    <t>صفی لو</t>
  </si>
  <si>
    <t>دشتگرد</t>
  </si>
  <si>
    <t>مجیدی پور</t>
  </si>
  <si>
    <t>احمدپور</t>
  </si>
  <si>
    <t>سلمانی</t>
  </si>
  <si>
    <t>یکه فلاح</t>
  </si>
  <si>
    <t>عرب زاده اسماعیلی</t>
  </si>
  <si>
    <t>جاهد</t>
  </si>
  <si>
    <t>تک زارع</t>
  </si>
  <si>
    <t>پیش پرس</t>
  </si>
  <si>
    <t>ali313</t>
  </si>
  <si>
    <t>email1@email.com</t>
  </si>
  <si>
    <t>email2@email.com</t>
  </si>
  <si>
    <t>email3@email.com</t>
  </si>
  <si>
    <t>email4@email.com</t>
  </si>
  <si>
    <t>email5@email.com</t>
  </si>
  <si>
    <t>email6@email.com</t>
  </si>
  <si>
    <t>email7@email.com</t>
  </si>
  <si>
    <t>email8@email.com</t>
  </si>
  <si>
    <t>email9@email.com</t>
  </si>
  <si>
    <t>email10@email.com</t>
  </si>
  <si>
    <t>email11@email.com</t>
  </si>
  <si>
    <t>email12@email.com</t>
  </si>
  <si>
    <t>email13@email.com</t>
  </si>
  <si>
    <t>email14@email.com</t>
  </si>
  <si>
    <t>email15@email.com</t>
  </si>
  <si>
    <t>email16@email.com</t>
  </si>
  <si>
    <t>email17@email.com</t>
  </si>
  <si>
    <t>email18@email.com</t>
  </si>
  <si>
    <t>email19@email.com</t>
  </si>
  <si>
    <t>email20@email.com</t>
  </si>
  <si>
    <t>email21@email.com</t>
  </si>
  <si>
    <t>email22@email.com</t>
  </si>
  <si>
    <t>email23@email.com</t>
  </si>
  <si>
    <t>email24@email.com</t>
  </si>
  <si>
    <t>email25@email.com</t>
  </si>
  <si>
    <t>email26@email.com</t>
  </si>
  <si>
    <t>email27@email.com</t>
  </si>
  <si>
    <t>email28@email.com</t>
  </si>
  <si>
    <t>email29@email.com</t>
  </si>
  <si>
    <t>email30@email.com</t>
  </si>
  <si>
    <t>email31@email.com</t>
  </si>
  <si>
    <t>email32@email.com</t>
  </si>
  <si>
    <t>email33@email.com</t>
  </si>
  <si>
    <t>email34@email.com</t>
  </si>
  <si>
    <t>email35@email.com</t>
  </si>
  <si>
    <t>email36@email.com</t>
  </si>
  <si>
    <t>email37@email.com</t>
  </si>
  <si>
    <t>یارکه</t>
  </si>
  <si>
    <t>Male</t>
  </si>
  <si>
    <t>مومن کیایی</t>
  </si>
  <si>
    <t>مهندس</t>
  </si>
  <si>
    <t>دلاوری</t>
  </si>
  <si>
    <t>Female</t>
  </si>
  <si>
    <t>email38@email.com</t>
  </si>
  <si>
    <t>email39@email.com</t>
  </si>
  <si>
    <t>email40@email.com</t>
  </si>
  <si>
    <t>email41@email.com</t>
  </si>
  <si>
    <t>industerial engineer</t>
  </si>
  <si>
    <t>guest</t>
  </si>
  <si>
    <t>editor</t>
  </si>
  <si>
    <t>worker</t>
  </si>
  <si>
    <t>اباالفضل</t>
  </si>
  <si>
    <t>کیایی</t>
  </si>
  <si>
    <t>email42@email.com</t>
  </si>
  <si>
    <t>warehouse manager</t>
  </si>
  <si>
    <t>planning manager</t>
  </si>
  <si>
    <t>CEO</t>
  </si>
  <si>
    <t>sales manager</t>
  </si>
  <si>
    <t xml:space="preserve">tazrigh-injection foreman </t>
  </si>
  <si>
    <t>tazrigh-press foreman</t>
  </si>
  <si>
    <t>tazrigh-QC foreman</t>
  </si>
  <si>
    <t>صدیقی</t>
  </si>
  <si>
    <t>حسین</t>
  </si>
  <si>
    <t>مرتضوی</t>
  </si>
  <si>
    <t>سجاد</t>
  </si>
  <si>
    <t>email43@email.com</t>
  </si>
  <si>
    <t>email44@email.com</t>
  </si>
  <si>
    <t>email45@email.com</t>
  </si>
  <si>
    <t>department</t>
  </si>
  <si>
    <t>2025/10/21</t>
  </si>
  <si>
    <t>برش دو نفره</t>
  </si>
  <si>
    <t>برش تک نفره</t>
  </si>
  <si>
    <t>Table Name</t>
  </si>
  <si>
    <t>Field Name</t>
  </si>
  <si>
    <t>Data Type</t>
  </si>
  <si>
    <t>products</t>
  </si>
  <si>
    <t>customers</t>
  </si>
  <si>
    <t>cables</t>
  </si>
  <si>
    <t>plugs</t>
  </si>
  <si>
    <t>cords</t>
  </si>
  <si>
    <t>terminals</t>
  </si>
  <si>
    <t>applicators</t>
  </si>
  <si>
    <t>molds</t>
  </si>
  <si>
    <t>mold_product</t>
  </si>
  <si>
    <t>ferrites</t>
  </si>
  <si>
    <t>orders</t>
  </si>
  <si>
    <t>deadlines</t>
  </si>
  <si>
    <t>months</t>
  </si>
  <si>
    <t>cuts</t>
  </si>
  <si>
    <t>converts</t>
  </si>
  <si>
    <t>nonordered_cuts</t>
  </si>
  <si>
    <t>batches</t>
  </si>
  <si>
    <t>nonordered_productions</t>
  </si>
  <si>
    <t>order_production</t>
  </si>
  <si>
    <t>carrieds</t>
  </si>
  <si>
    <t>activities</t>
  </si>
  <si>
    <t>works</t>
  </si>
  <si>
    <t>batched_works</t>
  </si>
  <si>
    <t>nonbatched_works</t>
  </si>
  <si>
    <t>extra_works</t>
  </si>
  <si>
    <t>performances</t>
  </si>
  <si>
    <t>equipment_runtimes</t>
  </si>
  <si>
    <t>users</t>
  </si>
  <si>
    <t>roles</t>
  </si>
  <si>
    <t>employees</t>
  </si>
  <si>
    <t>role_user</t>
  </si>
  <si>
    <t>phones</t>
  </si>
  <si>
    <t>departments</t>
  </si>
  <si>
    <t>subdepartments</t>
  </si>
  <si>
    <t>active</t>
  </si>
  <si>
    <t>month_id</t>
  </si>
  <si>
    <t>product_standard_times</t>
  </si>
  <si>
    <t>قاب 8 کویته هیمالیا</t>
  </si>
  <si>
    <t>1404/07/26</t>
  </si>
  <si>
    <t>1404/07/27</t>
  </si>
  <si>
    <t>1404/07/28</t>
  </si>
  <si>
    <t>Batched</t>
  </si>
  <si>
    <t>تست های ولتاژ یخچالی</t>
  </si>
  <si>
    <t>مهاربند 4 کویته هیمالیا و مدیا پاکشوما</t>
  </si>
  <si>
    <t>چسب نقطه ای کلیه محصولات</t>
  </si>
  <si>
    <t>سوکت فاز - سوکت نول - سوکت ارت (سه سوکت جدا)</t>
  </si>
  <si>
    <t>چسب حرارتی 310083</t>
  </si>
  <si>
    <t>پرس فاز و نول یخچالی</t>
  </si>
  <si>
    <t>روکش مغزی یخچالی</t>
  </si>
  <si>
    <t>مغزی دستی</t>
  </si>
  <si>
    <t>روکش فاز و نول یخچالی</t>
  </si>
  <si>
    <t>کوتاه کردن سیم</t>
  </si>
  <si>
    <t>روکش فاز و نول و ارت با هم</t>
  </si>
  <si>
    <t>سوکت فاز و نول 140310071</t>
  </si>
  <si>
    <t>پرس فاز و نول و ارت با هم</t>
  </si>
  <si>
    <t>فقط بادگیری</t>
  </si>
  <si>
    <t>غلاف برداری دستگاه</t>
  </si>
  <si>
    <t>هم غلاف کشی دستی و هم بادگیری</t>
  </si>
  <si>
    <t>مغزی اتومات یخچالی</t>
  </si>
  <si>
    <t>فقط غلاف کشی دستی</t>
  </si>
  <si>
    <t>مهارنبد 8 کویته هیمالیا</t>
  </si>
  <si>
    <t>پرس دوبل ارت</t>
  </si>
  <si>
    <t>سوکت ارت اکثر محصولات</t>
  </si>
  <si>
    <t>سوکت فاز و نول 140010117 و 140220012 و 140550019</t>
  </si>
  <si>
    <t>سوکت فاز و نول و ارت با هم گلسان</t>
  </si>
  <si>
    <t>سوکت فاز و نول گلسان، 140640035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</si>
</sst>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yyyy/mm/dd\ hh:mm:ss"/>
    <numFmt numFmtId="165" formatCode="0.0"/>
    <numFmt numFmtId="166" formatCode="#\ \ن\ف\ر"/>
    <numFmt numFmtId="167" formatCode="#\ \ث\ا\ن\ی\ه"/>
  </numFmts>
  <fonts count="39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Arial Narrow"/>
      <family val="2"/>
    </font>
    <font>
      <b/>
      <sz val="9"/>
      <color indexed="81"/>
      <name val="Tahoma"/>
      <family val="2"/>
    </font>
    <font>
      <sz val="11"/>
      <color theme="1"/>
      <name val="Aptos Display"/>
      <family val="2"/>
      <scheme val="major"/>
    </font>
    <font>
      <sz val="12"/>
      <color theme="1"/>
      <name val="Arial Narrow"/>
      <family val="2"/>
    </font>
    <font>
      <sz val="12"/>
      <color theme="1"/>
      <name val="Aptos Display"/>
      <family val="2"/>
      <scheme val="major"/>
    </font>
    <font>
      <b/>
      <sz val="12"/>
      <name val="Aptos Display"/>
      <family val="2"/>
      <scheme val="major"/>
    </font>
    <font>
      <b/>
      <sz val="1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name val="B Nazanin"/>
      <charset val="178"/>
    </font>
    <font>
      <b/>
      <sz val="11"/>
      <color rgb="FF000000"/>
      <name val="Calibri"/>
      <family val="2"/>
    </font>
    <font>
      <b/>
      <sz val="11"/>
      <name val="Aptos Display"/>
      <family val="2"/>
      <scheme val="major"/>
    </font>
    <font>
      <sz val="11"/>
      <color rgb="FFFFFFFF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</cellStyleXfs>
  <cellXfs count="93">
    <xf numFmtId="0" fontId="0" fillId="0" borderId="0" xfId="0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2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right" vertical="center" readingOrder="2"/>
    </xf>
    <xf numFmtId="0" fontId="0" fillId="0" borderId="0" xfId="0" quotePrefix="1" applyAlignment="1">
      <alignment horizontal="center"/>
    </xf>
    <xf numFmtId="0" fontId="2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33" borderId="10" xfId="0" applyFont="1" applyFill="1" applyBorder="1" applyAlignment="1">
      <alignment horizontal="center" vertical="center"/>
    </xf>
    <xf numFmtId="0" fontId="4" fillId="33" borderId="11" xfId="0" applyFont="1" applyFill="1" applyBorder="1" applyAlignment="1">
      <alignment horizontal="center" vertical="center"/>
    </xf>
    <xf numFmtId="0" fontId="4" fillId="33" borderId="1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64" fontId="2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34" borderId="25" xfId="0" applyFont="1" applyFill="1" applyBorder="1" applyAlignment="1">
      <alignment horizontal="center" vertical="center"/>
    </xf>
    <xf numFmtId="0" fontId="30" fillId="34" borderId="26" xfId="0" applyFont="1" applyFill="1" applyBorder="1" applyAlignment="1">
      <alignment horizontal="center" vertical="center"/>
    </xf>
    <xf numFmtId="165" fontId="33" fillId="0" borderId="24" xfId="0" applyNumberFormat="1" applyFont="1" applyBorder="1" applyAlignment="1">
      <alignment horizontal="center" vertical="center"/>
    </xf>
    <xf numFmtId="165" fontId="33" fillId="35" borderId="24" xfId="0" applyNumberFormat="1" applyFont="1" applyFill="1" applyBorder="1" applyAlignment="1">
      <alignment horizontal="center" vertical="center"/>
    </xf>
    <xf numFmtId="167" fontId="32" fillId="34" borderId="16" xfId="0" applyNumberFormat="1" applyFont="1" applyFill="1" applyBorder="1" applyAlignment="1">
      <alignment horizontal="center" vertical="center" textRotation="90" wrapText="1" readingOrder="2"/>
    </xf>
    <xf numFmtId="0" fontId="35" fillId="0" borderId="18" xfId="0" applyFont="1" applyBorder="1" applyAlignment="1">
      <alignment horizontal="center" vertical="top" textRotation="90" readingOrder="2"/>
    </xf>
    <xf numFmtId="0" fontId="35" fillId="35" borderId="18" xfId="0" applyFont="1" applyFill="1" applyBorder="1" applyAlignment="1">
      <alignment horizontal="center" vertical="top" textRotation="90" readingOrder="2"/>
    </xf>
    <xf numFmtId="0" fontId="31" fillId="35" borderId="18" xfId="0" applyFont="1" applyFill="1" applyBorder="1" applyAlignment="1">
      <alignment horizontal="center" vertical="top" textRotation="90" readingOrder="2"/>
    </xf>
    <xf numFmtId="165" fontId="29" fillId="0" borderId="23" xfId="0" applyNumberFormat="1" applyFont="1" applyBorder="1" applyAlignment="1">
      <alignment horizontal="center" vertical="center"/>
    </xf>
    <xf numFmtId="165" fontId="29" fillId="35" borderId="23" xfId="0" applyNumberFormat="1" applyFont="1" applyFill="1" applyBorder="1" applyAlignment="1">
      <alignment horizontal="center" vertical="center"/>
    </xf>
    <xf numFmtId="165" fontId="29" fillId="34" borderId="19" xfId="0" applyNumberFormat="1" applyFont="1" applyFill="1" applyBorder="1" applyAlignment="1">
      <alignment horizontal="center" vertical="center"/>
    </xf>
    <xf numFmtId="0" fontId="0" fillId="34" borderId="19" xfId="0" applyFill="1" applyBorder="1"/>
    <xf numFmtId="0" fontId="0" fillId="34" borderId="27" xfId="0" applyFill="1" applyBorder="1"/>
    <xf numFmtId="9" fontId="29" fillId="34" borderId="25" xfId="0" applyNumberFormat="1" applyFont="1" applyFill="1" applyBorder="1" applyAlignment="1">
      <alignment horizontal="center" vertical="center"/>
    </xf>
    <xf numFmtId="166" fontId="30" fillId="34" borderId="16" xfId="0" applyNumberFormat="1" applyFont="1" applyFill="1" applyBorder="1" applyAlignment="1">
      <alignment horizontal="center" vertical="center" textRotation="90" readingOrder="2"/>
    </xf>
    <xf numFmtId="165" fontId="29" fillId="34" borderId="22" xfId="0" applyNumberFormat="1" applyFont="1" applyFill="1" applyBorder="1" applyAlignment="1">
      <alignment horizontal="center" vertical="center"/>
    </xf>
    <xf numFmtId="0" fontId="26" fillId="34" borderId="19" xfId="0" applyFont="1" applyFill="1" applyBorder="1" applyAlignment="1">
      <alignment horizontal="center" vertical="center"/>
    </xf>
    <xf numFmtId="0" fontId="26" fillId="34" borderId="22" xfId="0" applyFont="1" applyFill="1" applyBorder="1" applyAlignment="1">
      <alignment horizontal="center" vertical="center"/>
    </xf>
    <xf numFmtId="0" fontId="26" fillId="34" borderId="16" xfId="0" applyFont="1" applyFill="1" applyBorder="1" applyAlignment="1">
      <alignment horizontal="center" vertical="center"/>
    </xf>
    <xf numFmtId="0" fontId="26" fillId="34" borderId="15" xfId="0" applyFont="1" applyFill="1" applyBorder="1" applyAlignment="1">
      <alignment horizontal="center" vertical="center"/>
    </xf>
    <xf numFmtId="2" fontId="26" fillId="34" borderId="16" xfId="0" applyNumberFormat="1" applyFont="1" applyFill="1" applyBorder="1" applyAlignment="1">
      <alignment horizontal="center" vertical="center"/>
    </xf>
    <xf numFmtId="2" fontId="26" fillId="34" borderId="19" xfId="0" applyNumberFormat="1" applyFont="1" applyFill="1" applyBorder="1" applyAlignment="1">
      <alignment horizontal="center" vertical="center"/>
    </xf>
    <xf numFmtId="0" fontId="26" fillId="34" borderId="26" xfId="0" applyFont="1" applyFill="1" applyBorder="1" applyAlignment="1">
      <alignment horizontal="center" vertical="center"/>
    </xf>
    <xf numFmtId="0" fontId="26" fillId="34" borderId="28" xfId="0" applyFont="1" applyFill="1" applyBorder="1" applyAlignment="1">
      <alignment horizontal="center" vertical="center"/>
    </xf>
    <xf numFmtId="0" fontId="26" fillId="34" borderId="29" xfId="0" applyFont="1" applyFill="1" applyBorder="1" applyAlignment="1">
      <alignment horizontal="center" vertical="center"/>
    </xf>
    <xf numFmtId="2" fontId="26" fillId="34" borderId="28" xfId="0" applyNumberFormat="1" applyFont="1" applyFill="1" applyBorder="1" applyAlignment="1">
      <alignment horizontal="center" vertical="center"/>
    </xf>
    <xf numFmtId="0" fontId="26" fillId="34" borderId="17" xfId="0" applyFont="1" applyFill="1" applyBorder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2" fontId="26" fillId="34" borderId="17" xfId="0" applyNumberFormat="1" applyFont="1" applyFill="1" applyBorder="1" applyAlignment="1">
      <alignment horizontal="center" vertical="center"/>
    </xf>
    <xf numFmtId="0" fontId="26" fillId="34" borderId="25" xfId="0" applyFont="1" applyFill="1" applyBorder="1" applyAlignment="1">
      <alignment horizontal="center" vertical="center"/>
    </xf>
    <xf numFmtId="2" fontId="26" fillId="34" borderId="25" xfId="0" applyNumberFormat="1" applyFont="1" applyFill="1" applyBorder="1" applyAlignment="1">
      <alignment horizontal="center" vertical="center"/>
    </xf>
    <xf numFmtId="0" fontId="26" fillId="34" borderId="31" xfId="0" applyFont="1" applyFill="1" applyBorder="1" applyAlignment="1">
      <alignment horizontal="center" vertical="center"/>
    </xf>
    <xf numFmtId="0" fontId="26" fillId="34" borderId="32" xfId="0" applyFont="1" applyFill="1" applyBorder="1" applyAlignment="1">
      <alignment horizontal="center" vertical="center"/>
    </xf>
    <xf numFmtId="2" fontId="26" fillId="34" borderId="31" xfId="0" applyNumberFormat="1" applyFont="1" applyFill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2" fontId="33" fillId="35" borderId="30" xfId="0" applyNumberFormat="1" applyFont="1" applyFill="1" applyBorder="1" applyAlignment="1">
      <alignment horizontal="center" vertical="center"/>
    </xf>
    <xf numFmtId="2" fontId="33" fillId="0" borderId="18" xfId="0" applyNumberFormat="1" applyFont="1" applyBorder="1" applyAlignment="1">
      <alignment horizontal="center" vertical="center"/>
    </xf>
    <xf numFmtId="2" fontId="33" fillId="35" borderId="18" xfId="0" applyNumberFormat="1" applyFont="1" applyFill="1" applyBorder="1" applyAlignment="1">
      <alignment horizontal="center" vertical="center"/>
    </xf>
    <xf numFmtId="2" fontId="33" fillId="0" borderId="20" xfId="0" applyNumberFormat="1" applyFont="1" applyBorder="1" applyAlignment="1">
      <alignment horizontal="center" vertical="center"/>
    </xf>
    <xf numFmtId="2" fontId="33" fillId="35" borderId="20" xfId="0" applyNumberFormat="1" applyFont="1" applyFill="1" applyBorder="1" applyAlignment="1">
      <alignment horizontal="center" vertical="center"/>
    </xf>
    <xf numFmtId="2" fontId="33" fillId="0" borderId="23" xfId="0" applyNumberFormat="1" applyFont="1" applyBorder="1" applyAlignment="1">
      <alignment horizontal="center" vertical="center"/>
    </xf>
    <xf numFmtId="2" fontId="33" fillId="35" borderId="23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2" fontId="33" fillId="35" borderId="24" xfId="0" applyNumberFormat="1" applyFont="1" applyFill="1" applyBorder="1" applyAlignment="1">
      <alignment horizontal="center" vertical="center"/>
    </xf>
    <xf numFmtId="2" fontId="33" fillId="0" borderId="33" xfId="0" applyNumberFormat="1" applyFont="1" applyBorder="1" applyAlignment="1">
      <alignment horizontal="center" vertical="center"/>
    </xf>
    <xf numFmtId="2" fontId="33" fillId="35" borderId="33" xfId="0" applyNumberFormat="1" applyFont="1" applyFill="1" applyBorder="1" applyAlignment="1">
      <alignment horizontal="center" vertical="center"/>
    </xf>
    <xf numFmtId="3" fontId="32" fillId="34" borderId="15" xfId="0" applyNumberFormat="1" applyFont="1" applyFill="1" applyBorder="1" applyAlignment="1">
      <alignment horizontal="center" vertical="center" textRotation="90" wrapText="1"/>
    </xf>
    <xf numFmtId="0" fontId="29" fillId="34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6" fillId="0" borderId="14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 readingOrder="2"/>
    </xf>
    <xf numFmtId="0" fontId="3" fillId="33" borderId="13" xfId="0" applyFont="1" applyFill="1" applyBorder="1" applyAlignment="1">
      <alignment horizontal="center" vertical="center"/>
    </xf>
    <xf numFmtId="0" fontId="3" fillId="33" borderId="14" xfId="0" applyFont="1" applyFill="1" applyBorder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2" fontId="33" fillId="36" borderId="33" xfId="0" applyNumberFormat="1" applyFont="1" applyFill="1" applyBorder="1" applyAlignment="1">
      <alignment horizontal="center" vertical="center"/>
    </xf>
    <xf numFmtId="2" fontId="33" fillId="36" borderId="23" xfId="0" applyNumberFormat="1" applyFont="1" applyFill="1" applyBorder="1" applyAlignment="1">
      <alignment horizontal="center" vertical="center"/>
    </xf>
    <xf numFmtId="0" fontId="18" fillId="37" borderId="0" xfId="0" applyFont="1" applyFill="1"/>
    <xf numFmtId="0" fontId="22" fillId="37" borderId="0" xfId="0" applyFont="1" applyFill="1"/>
    <xf numFmtId="0" fontId="2" fillId="0" borderId="0" xfId="0" applyFont="1" applyAlignment="1">
      <alignment horizontal="center" vertical="center"/>
    </xf>
    <xf numFmtId="0" fontId="22" fillId="38" borderId="0" xfId="0" applyFont="1" applyFill="1"/>
    <xf numFmtId="0" fontId="38" fillId="39" borderId="0" xfId="0" applyFont="1" applyFill="1"/>
    <xf numFmtId="2" fontId="33" fillId="40" borderId="23" xfId="0" applyNumberFormat="1" applyFont="1" applyFill="1" applyBorder="1" applyAlignment="1">
      <alignment horizontal="center" vertical="center"/>
    </xf>
    <xf numFmtId="0" fontId="26" fillId="40" borderId="16" xfId="0" applyFont="1" applyFill="1" applyBorder="1" applyAlignment="1">
      <alignment horizontal="center" vertical="center"/>
    </xf>
    <xf numFmtId="2" fontId="33" fillId="40" borderId="33" xfId="0" applyNumberFormat="1" applyFont="1" applyFill="1" applyBorder="1" applyAlignment="1">
      <alignment horizontal="center" vertical="center"/>
    </xf>
    <xf numFmtId="2" fontId="33" fillId="40" borderId="30" xfId="0" applyNumberFormat="1" applyFont="1" applyFill="1" applyBorder="1" applyAlignment="1">
      <alignment horizontal="center" vertical="center"/>
    </xf>
    <xf numFmtId="2" fontId="33" fillId="40" borderId="18" xfId="0" applyNumberFormat="1" applyFont="1" applyFill="1" applyBorder="1" applyAlignment="1">
      <alignment horizontal="center" vertical="center"/>
    </xf>
    <xf numFmtId="2" fontId="33" fillId="40" borderId="20" xfId="0" applyNumberFormat="1" applyFont="1" applyFill="1" applyBorder="1" applyAlignment="1">
      <alignment horizontal="center" vertical="center"/>
    </xf>
    <xf numFmtId="2" fontId="33" fillId="40" borderId="2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4"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C6D5BDA9-6643-4926-9FDA-F2CF488F89C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deghi\timings\tim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or2\Desktop\&#1576;&#1585;&#1711;%20&#1570;&#1605;&#1575;&#1585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mailed\plan1404.07.xlsm" TargetMode="External"/><Relationship Id="rId1" Type="http://schemas.openxmlformats.org/officeDocument/2006/relationships/externalLinkPath" Target="/xampp/htdocs/z-laravel/NES/prj/zz-database/emailed/plan1404.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ycleTime"/>
      <sheetName val="CT80"/>
      <sheetName val="injection"/>
      <sheetName val="ستونی"/>
      <sheetName val="daily80%"/>
      <sheetName val="regali80%"/>
      <sheetName val="regalFlow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برش</v>
          </cell>
          <cell r="D1" t="str">
            <v>غلاف برداری کابل</v>
          </cell>
          <cell r="E1" t="str">
            <v>غلاف کشی</v>
          </cell>
          <cell r="F1" t="str">
            <v>بادگیری</v>
          </cell>
          <cell r="G1" t="str">
            <v>غلاف کشی و بادگیری</v>
          </cell>
          <cell r="H1" t="str">
            <v>کوتاه کردن سیم</v>
          </cell>
          <cell r="J1" t="str">
            <v>روکش برداری ارت</v>
          </cell>
          <cell r="K1" t="str">
            <v>روکش برداری فار و نول</v>
          </cell>
          <cell r="L1" t="str">
            <v>روکش برداری فاز و نول و ارت</v>
          </cell>
          <cell r="M1" t="str">
            <v>روکش برداری سمت مغزی</v>
          </cell>
          <cell r="N1" t="str">
            <v>پرس ارت</v>
          </cell>
          <cell r="O1" t="str">
            <v>پرس فار و نول</v>
          </cell>
          <cell r="P1" t="str">
            <v>پرس فاز و نول و ارت</v>
          </cell>
          <cell r="Q1" t="str">
            <v>پرس دوبل ارت</v>
          </cell>
          <cell r="R1" t="str">
            <v>پرس اسپیلایس ارت</v>
          </cell>
          <cell r="S1" t="str">
            <v>پرس مغزی اتومات</v>
          </cell>
          <cell r="T1" t="str">
            <v>پرس مغزی دستی</v>
          </cell>
          <cell r="V1" t="str">
            <v>اتصال سوکت ارت</v>
          </cell>
          <cell r="W1" t="str">
            <v>اتصال سوکت فاز و نول</v>
          </cell>
          <cell r="X1" t="str">
            <v>اتصال سوکت فاز و نول و ارت</v>
          </cell>
          <cell r="Y1" t="str">
            <v>چسب زدن</v>
          </cell>
          <cell r="Z1" t="str">
            <v>اسفنج زدن</v>
          </cell>
          <cell r="AA1" t="str">
            <v>فریت پیچی</v>
          </cell>
          <cell r="AB1" t="str">
            <v>فریت و سوکت همزمان</v>
          </cell>
          <cell r="AC1" t="str">
            <v>مونتاژ وارنیش</v>
          </cell>
          <cell r="AD1" t="str">
            <v>سشوار وارنیش</v>
          </cell>
          <cell r="AF1" t="str">
            <v>تست تک نفره</v>
          </cell>
          <cell r="AG1" t="str">
            <v>تست 2 نفره</v>
          </cell>
          <cell r="AH1" t="str">
            <v>تست 4 نفره</v>
          </cell>
          <cell r="AI1" t="str">
            <v>تست High-Voltage</v>
          </cell>
          <cell r="AJ1" t="str">
            <v>لیبل زدن</v>
          </cell>
          <cell r="AK1" t="str">
            <v>تاباندن با دستگاه</v>
          </cell>
          <cell r="AL1" t="str">
            <v>جمع کردن (کش)</v>
          </cell>
          <cell r="AM1" t="str">
            <v>دسته کردن</v>
          </cell>
          <cell r="AN1" t="str">
            <v>بسته بندی کردن</v>
          </cell>
        </row>
        <row r="3">
          <cell r="C3" t="e">
            <v>#REF!</v>
          </cell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V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F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</row>
        <row r="4">
          <cell r="C4" t="e">
            <v>#REF!</v>
          </cell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V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F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</row>
        <row r="5">
          <cell r="C5" t="e">
            <v>#REF!</v>
          </cell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V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F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</row>
        <row r="6">
          <cell r="C6" t="e">
            <v>#REF!</v>
          </cell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F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</row>
        <row r="7"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F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</row>
        <row r="8"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F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</row>
        <row r="10"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F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</row>
        <row r="11"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F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</row>
        <row r="12"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F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</row>
        <row r="13"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F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</row>
        <row r="14"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F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</row>
        <row r="15"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F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</row>
        <row r="16"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F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</row>
        <row r="17"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F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</row>
        <row r="18"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F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</row>
        <row r="19"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F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</row>
        <row r="20"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F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</row>
        <row r="21"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V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F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</row>
        <row r="22"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V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F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</row>
      </sheetData>
      <sheetData sheetId="5">
        <row r="1">
          <cell r="D1" t="str">
            <v>برش</v>
          </cell>
          <cell r="E1" t="str">
            <v>غلاف برداری کابل</v>
          </cell>
          <cell r="F1" t="str">
            <v>غلاف کشی</v>
          </cell>
          <cell r="G1" t="str">
            <v>بادگیری</v>
          </cell>
          <cell r="H1" t="str">
            <v>غلاف کشی و بادگیری</v>
          </cell>
          <cell r="I1" t="str">
            <v>کوتاه کردن سیم</v>
          </cell>
          <cell r="K1" t="str">
            <v>روکش برداری ارت</v>
          </cell>
          <cell r="L1" t="str">
            <v>روکش برداری فار و نول</v>
          </cell>
          <cell r="M1" t="str">
            <v>روکش برداری فاز و نول و ارت</v>
          </cell>
          <cell r="N1" t="str">
            <v>روکش برداری سمت مغزی</v>
          </cell>
          <cell r="O1" t="str">
            <v>پرس ارت</v>
          </cell>
          <cell r="P1" t="str">
            <v>پرس فار و نول</v>
          </cell>
          <cell r="Q1" t="str">
            <v>پرس فاز و نول و ارت</v>
          </cell>
          <cell r="R1" t="str">
            <v>پرس دوبل ارت</v>
          </cell>
          <cell r="S1" t="str">
            <v>پرس اسپیلایس ارت</v>
          </cell>
          <cell r="T1" t="str">
            <v>پرس مغزی اتومات</v>
          </cell>
          <cell r="U1" t="str">
            <v>پرس مغزی دستی</v>
          </cell>
          <cell r="W1" t="str">
            <v>اتصال سوکت ارت</v>
          </cell>
          <cell r="X1" t="str">
            <v>اتصال سوکت فاز و نول</v>
          </cell>
          <cell r="Y1" t="str">
            <v>اتصال سوکت فاز و نول و ارت</v>
          </cell>
          <cell r="Z1" t="str">
            <v>چسب زدن</v>
          </cell>
          <cell r="AA1" t="str">
            <v>اسفنج زدن</v>
          </cell>
          <cell r="AB1" t="str">
            <v>فریت پیچی</v>
          </cell>
          <cell r="AC1" t="str">
            <v>فریت و سوکت همزمان</v>
          </cell>
          <cell r="AD1" t="str">
            <v>مونتاژ وارنیش</v>
          </cell>
          <cell r="AE1" t="str">
            <v>سشوار وارنیش</v>
          </cell>
          <cell r="AG1" t="str">
            <v>تست تک نفره</v>
          </cell>
          <cell r="AH1" t="str">
            <v>تست 2 نفره</v>
          </cell>
          <cell r="AI1" t="str">
            <v>تست 4 نفره</v>
          </cell>
          <cell r="AJ1" t="str">
            <v>تست High-Voltage</v>
          </cell>
          <cell r="AK1" t="str">
            <v>لیبل زدن</v>
          </cell>
          <cell r="AL1" t="str">
            <v>تاباندن با دستگاه</v>
          </cell>
          <cell r="AM1" t="str">
            <v>جمع کردن (کش)</v>
          </cell>
          <cell r="AN1" t="str">
            <v>دسته کردن</v>
          </cell>
          <cell r="AO1" t="str">
            <v>بسته بندی کردن</v>
          </cell>
        </row>
        <row r="3"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I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U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E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  <cell r="AO3" t="e">
            <v>#REF!</v>
          </cell>
        </row>
        <row r="4"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I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E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  <cell r="AO4" t="e">
            <v>#REF!</v>
          </cell>
        </row>
        <row r="5"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E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  <cell r="AO5" t="e">
            <v>#REF!</v>
          </cell>
        </row>
        <row r="6"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E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  <cell r="AO6" t="e">
            <v>#REF!</v>
          </cell>
        </row>
        <row r="7"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E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  <cell r="AO7" t="e">
            <v>#REF!</v>
          </cell>
        </row>
        <row r="8"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E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  <cell r="AO8" t="e">
            <v>#REF!</v>
          </cell>
        </row>
        <row r="10"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E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  <cell r="AO10" t="e">
            <v>#REF!</v>
          </cell>
        </row>
        <row r="11"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E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  <cell r="AO11" t="e">
            <v>#REF!</v>
          </cell>
        </row>
        <row r="12"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</row>
        <row r="13"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</row>
        <row r="14"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</row>
        <row r="15"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E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  <cell r="AO15" t="e">
            <v>#REF!</v>
          </cell>
        </row>
        <row r="16"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E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  <cell r="AO16" t="e">
            <v>#REF!</v>
          </cell>
        </row>
        <row r="17"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E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  <cell r="AO17" t="e">
            <v>#REF!</v>
          </cell>
        </row>
        <row r="18"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E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  <cell r="AO18" t="e">
            <v>#REF!</v>
          </cell>
        </row>
        <row r="19"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E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  <cell r="AO19" t="e">
            <v>#REF!</v>
          </cell>
        </row>
        <row r="20"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U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E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  <cell r="AO20" t="e">
            <v>#REF!</v>
          </cell>
        </row>
        <row r="21"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U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E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  <cell r="AO21" t="e">
            <v>#REF!</v>
          </cell>
        </row>
        <row r="22"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E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  <cell r="AO22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ثبت تولید"/>
      <sheetName val="ثبت برش"/>
      <sheetName val="فعالیتها"/>
      <sheetName val="آقای نجفی"/>
      <sheetName val="آقای مرتضوی"/>
      <sheetName val="آقای بازیار"/>
      <sheetName val="آقای صدیق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برش</v>
          </cell>
          <cell r="F2" t="str">
            <v>غلاف برداری دستگاه</v>
          </cell>
        </row>
        <row r="5">
          <cell r="B5" t="str">
            <v>غلاف برداری دستی</v>
          </cell>
          <cell r="F5" t="str">
            <v>باد گرفتن کابل ها</v>
          </cell>
        </row>
        <row r="8">
          <cell r="B8" t="str">
            <v>غلاف برداری دستی و باد</v>
          </cell>
          <cell r="F8" t="str">
            <v>کوتاه کردن سیم</v>
          </cell>
        </row>
        <row r="11">
          <cell r="B11" t="str">
            <v>روکش برداری سمت سر سیم TV</v>
          </cell>
          <cell r="F11" t="str">
            <v>روکش برداری فاز و نول و ارت</v>
          </cell>
        </row>
        <row r="14">
          <cell r="B14" t="str">
            <v>روکش برداری فاز و نول</v>
          </cell>
          <cell r="F14" t="str">
            <v>روکش برداری ارت</v>
          </cell>
        </row>
        <row r="17">
          <cell r="B17" t="str">
            <v>پرس سرسیم فاز و نول و ارت</v>
          </cell>
          <cell r="F17" t="str">
            <v>پرس سرسیم فاز و نول</v>
          </cell>
        </row>
        <row r="20">
          <cell r="B20" t="str">
            <v>پرس سرسیم ارت</v>
          </cell>
          <cell r="F20" t="str">
            <v>پرس دوبل ارت</v>
          </cell>
        </row>
        <row r="23">
          <cell r="B23" t="str">
            <v>پرس اسپیلایس ارت</v>
          </cell>
          <cell r="F23" t="str">
            <v>پرس سر سیم TV</v>
          </cell>
        </row>
        <row r="26">
          <cell r="B26" t="str">
            <v>پرس مغزی دستی</v>
          </cell>
          <cell r="F26" t="str">
            <v>پرس مغزی نیمه اتومات</v>
          </cell>
        </row>
        <row r="29">
          <cell r="B29" t="str">
            <v>پرس مغزی اتومات TV</v>
          </cell>
          <cell r="F29" t="str">
            <v>پرس مغزی نیمه اتومات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"/>
      <sheetName val="plans"/>
      <sheetName val="cutts"/>
      <sheetName val="packes"/>
      <sheetName val="progress"/>
      <sheetName val="report"/>
      <sheetName val="III"/>
      <sheetName val="CT"/>
      <sheetName val="prgssPivot"/>
      <sheetName val="applicatorsUse"/>
      <sheetName val="inputPlan"/>
      <sheetName val="plansPivot"/>
      <sheetName val="cuttsPivot"/>
      <sheetName val="packesPivot"/>
      <sheetName val="reportPivot"/>
      <sheetName val="data"/>
      <sheetName val="paperA5"/>
      <sheetName val="paper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B3">
            <v>96.15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267E1B6-9341-4BF8-9EBC-10552F44AE0C}" name="mySQL" displayName="mySQL" ref="A1:A20" totalsRowShown="0">
  <autoFilter ref="A1:A20" xr:uid="{2267E1B6-9341-4BF8-9EBC-10552F44AE0C}"/>
  <tableColumns count="1">
    <tableColumn id="1" xr3:uid="{8D69881D-AA48-400D-B42C-27FE6F16EBC8}" name="data-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C127" totalsRowShown="0" headerRowDxfId="503" dataDxfId="502">
  <autoFilter ref="A1:AC127" xr:uid="{35D8DA73-7251-4435-84B1-2A1A1D18EC1B}"/>
  <tableColumns count="29">
    <tableColumn id="1" xr3:uid="{F5BC09E2-63EF-493A-8595-525660296E1D}" name="id" dataDxfId="501"/>
    <tableColumn id="2" xr3:uid="{A851CEDC-C61C-48B9-8A7C-4E1E3351405E}" name="customer_id" dataDxfId="500"/>
    <tableColumn id="3" xr3:uid="{B8779FB7-3142-431B-B88E-482A35B906A3}" name="name" dataDxfId="499"/>
    <tableColumn id="4" xr3:uid="{31534261-51CF-4DC0-A080-CDEE52D54491}" name="cable_id" dataDxfId="498"/>
    <tableColumn id="5" xr3:uid="{43448675-2E1B-4D0C-8341-AA833A0CA32C}" name="cutting_length" dataDxfId="497"/>
    <tableColumn id="6" xr3:uid="{A91488B7-CBE4-488E-9C1F-A3C60B9B7C18}" name="tall_jacket_length" dataDxfId="496"/>
    <tableColumn id="7" xr3:uid="{9F50EA14-4F61-4C81-89C2-CE4041898164}" name="short_jacket_length" dataDxfId="495"/>
    <tableColumn id="24" xr3:uid="{506CFC9A-9474-434B-A12C-016829D99ED9}" name="remaining_blue" dataDxfId="494"/>
    <tableColumn id="25" xr3:uid="{576695F9-3F17-47EA-ABF1-F8E804AD2970}" name="remaining_brown" dataDxfId="493"/>
    <tableColumn id="26" xr3:uid="{279738A2-F279-4D32-B4A8-36A421AB6457}" name="remaining_yellow" dataDxfId="492"/>
    <tableColumn id="8" xr3:uid="{A3E7D354-ECDB-4816-A538-45E78B13724F}" name="blue_insulation_length" dataDxfId="491"/>
    <tableColumn id="9" xr3:uid="{62EA45A9-DDAF-4AD6-BCFD-21C861C1E514}" name="brown_insulation_length" dataDxfId="490"/>
    <tableColumn id="10" xr3:uid="{4974BF96-1BC1-4FE9-ADCA-21AD4F0714A1}" name="yellow_insulation_length" dataDxfId="489"/>
    <tableColumn id="11" xr3:uid="{21A6DF5F-BFF3-433A-9971-42E8EDEB8084}" name="blue_terminal_id" dataDxfId="488"/>
    <tableColumn id="12" xr3:uid="{1AE84358-3EE8-491D-82D9-481CCAB7F924}" name="brown_terminal_id" dataDxfId="487"/>
    <tableColumn id="13" xr3:uid="{E5B773BE-D66C-4F80-8004-8BC2FBB0D905}" name="yellow_terminal_id" dataDxfId="486"/>
    <tableColumn id="14" xr3:uid="{0EA1086E-54F9-4DA7-B275-0F7E8D6F77FD}" name="double_terminal_id" dataDxfId="485"/>
    <tableColumn id="15" xr3:uid="{46A142D6-0CC5-46FA-891E-0F84BF4FB7CB}" name="plug_id" dataDxfId="484"/>
    <tableColumn id="16" xr3:uid="{79356ABF-6EC0-4C0D-B96A-B49A3058E863}" name="cord_id" dataDxfId="483"/>
    <tableColumn id="17" xr3:uid="{42B7A669-A936-4385-AC8C-99E2C2FB320A}" name="extra_earth_length" dataDxfId="482"/>
    <tableColumn id="18" xr3:uid="{60A168B1-30D8-4E27-AB03-BB054381AA08}" name="cord_length" dataDxfId="481"/>
    <tableColumn id="30" xr3:uid="{32F4E454-B2F3-4F66-861E-332AD49D79D4}" name="ferrit_id" dataDxfId="480"/>
    <tableColumn id="19" xr3:uid="{DFAB12F1-5757-4225-B0CA-AAE999EEFA8C}" name="description" dataDxfId="479"/>
    <tableColumn id="28" xr3:uid="{715851B3-CD76-482A-8B58-7BAB3F8DB82B}" name="status" dataDxfId="478"/>
    <tableColumn id="27" xr3:uid="{A8078C9C-D77A-4AB0-87D6-D1C9658DF934}" name="tags" dataDxfId="477"/>
    <tableColumn id="20" xr3:uid="{0D8D4371-D0FF-4DB2-AF59-6F8E580AB925}" name="created_by" dataDxfId="476"/>
    <tableColumn id="21" xr3:uid="{DC466C1A-02AB-4AA2-BEA9-5B42F84C3375}" name="created_at" dataDxfId="475"/>
    <tableColumn id="22" xr3:uid="{7E10CB45-DB29-491A-B974-5090D1B9F443}" name="updated_at" dataDxfId="474"/>
    <tableColumn id="23" xr3:uid="{185F5E55-1C77-4013-B96D-F3BCF6561D18}" name="deleted_at" dataDxfId="4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I42" totalsRowShown="0" headerRowDxfId="472" dataDxfId="471">
  <autoFilter ref="A1:I42" xr:uid="{631903B8-19F2-4FEE-A2C0-CF040D572B39}"/>
  <tableColumns count="9">
    <tableColumn id="1" xr3:uid="{0B3D1F60-C0C6-4910-B0F0-D1F65A9D25DE}" name="id" dataDxfId="470"/>
    <tableColumn id="2" xr3:uid="{3139AAD8-16B8-4F51-94DB-819F93080983}" name="name" dataDxfId="469"/>
    <tableColumn id="3" xr3:uid="{ACD597A9-E4C8-4A61-B2EC-001955E568E7}" name="description" dataDxfId="468"/>
    <tableColumn id="4" xr3:uid="{6B828245-BC98-4046-99AC-D8B6FBF07231}" name="status" dataDxfId="467"/>
    <tableColumn id="5" xr3:uid="{A822029A-5978-4B96-A35C-B889F1B0AFB3}" name="tags" dataDxfId="466"/>
    <tableColumn id="6" xr3:uid="{7376CFAA-9ED4-4569-82A6-66BA2B3BD94D}" name="created_by" dataDxfId="465"/>
    <tableColumn id="7" xr3:uid="{6E4A8FC0-932C-423A-9389-B24BD8133644}" name="created_at" dataDxfId="464"/>
    <tableColumn id="8" xr3:uid="{EEC7BB96-4312-4664-88D9-468C9ED7032B}" name="updated_at" dataDxfId="463"/>
    <tableColumn id="9" xr3:uid="{39F1D105-34D3-49D5-B942-5CFEAFDC6C65}" name="deleted_at" dataDxfId="4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M30" totalsRowShown="0" headerRowDxfId="461" dataDxfId="460">
  <autoFilter ref="A1:M30" xr:uid="{76BC8010-2100-4028-A884-9C5FF09016C3}"/>
  <tableColumns count="13">
    <tableColumn id="1" xr3:uid="{4268FC73-0CC8-4316-9788-B086A9BB8C05}" name="id" dataDxfId="459"/>
    <tableColumn id="2" xr3:uid="{543C8643-6100-4B73-B608-A2AEFBD43F03}" name="color" dataDxfId="458">
      <calculatedColumnFormula>_xlfn.XLOOKUP(Table1[[#This Row],[id]],Table3[cable_id],#REF!)</calculatedColumnFormula>
    </tableColumn>
    <tableColumn id="3" xr3:uid="{661E7D73-72B3-4B91-A5F2-12B58C5A79A9}" name="cores" dataDxfId="457"/>
    <tableColumn id="4" xr3:uid="{402535C8-2286-4205-9D92-3B9F7B937861}" name="wire_size" dataDxfId="456"/>
    <tableColumn id="5" xr3:uid="{8A8BBD01-433D-4FB1-B6A7-A2731D2BF444}" name="print" dataDxfId="455"/>
    <tableColumn id="7" xr3:uid="{65253E3B-C729-416E-8EE9-03B7E400B9F1}" name="section_shape" dataDxfId="454"/>
    <tableColumn id="6" xr3:uid="{66BC49FE-388F-4538-9BCA-FF1BA87D052A}" name="description" dataDxfId="453"/>
    <tableColumn id="8" xr3:uid="{31DC6A97-AABE-4739-AC2B-CB5FF257CCE3}" name="status" dataDxfId="452"/>
    <tableColumn id="9" xr3:uid="{A7062E29-1713-4B69-8ABF-E23E2A9260DC}" name="tags" dataDxfId="451"/>
    <tableColumn id="10" xr3:uid="{8DCB03E7-9F9E-4EDE-83CE-33C066E8CBCB}" name="created_by" dataDxfId="450"/>
    <tableColumn id="11" xr3:uid="{DDB8FD14-F40C-4F0B-ACDA-D9E0F13DD251}" name="created_at" dataDxfId="449"/>
    <tableColumn id="12" xr3:uid="{3D3C8F9D-3B9B-4BF2-BF64-838319287A65}" name="updated_at" dataDxfId="448"/>
    <tableColumn id="13" xr3:uid="{ACE22865-6420-4789-838B-2B56C51651D8}" name="deleted_at" dataDxfId="4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L8" totalsRowShown="0" headerRowDxfId="446" dataDxfId="445">
  <autoFilter ref="A1:L8" xr:uid="{76BC8010-2100-4028-A884-9C5FF09016C3}"/>
  <sortState xmlns:xlrd2="http://schemas.microsoft.com/office/spreadsheetml/2017/richdata2" ref="A2:B7">
    <sortCondition ref="B1:B7"/>
  </sortState>
  <tableColumns count="12">
    <tableColumn id="1" xr3:uid="{207A7D15-1076-4101-944A-D982E73D4A3D}" name="id" dataDxfId="444"/>
    <tableColumn id="2" xr3:uid="{10CF6ABE-F1FD-45D6-92C6-FBBF928899C8}" name="type_name" dataDxfId="443"/>
    <tableColumn id="3" xr3:uid="{00F75AD6-DEC6-43CB-98F1-66E1871BCA79}" name="category" dataDxfId="442"/>
    <tableColumn id="4" xr3:uid="{EEE009B0-880F-4389-A26C-14F7F0E81A4B}" name="image_path" dataDxfId="441"/>
    <tableColumn id="12" xr3:uid="{03E40338-7D36-440B-9506-D3E4A9740113}" name="thumbnail_path" dataDxfId="440"/>
    <tableColumn id="5" xr3:uid="{FA7EF17D-33F7-4990-B05A-B789ED78030D}" name="description" dataDxfId="439"/>
    <tableColumn id="6" xr3:uid="{31498651-953B-4813-9708-369F908E317A}" name="status" dataDxfId="438"/>
    <tableColumn id="7" xr3:uid="{8E9D9FDD-B94A-4A78-AB8C-91FB143EECE9}" name="tags" dataDxfId="437"/>
    <tableColumn id="8" xr3:uid="{6398A505-25D1-4E70-B9CD-C82245DC7F86}" name="created_by" dataDxfId="436"/>
    <tableColumn id="9" xr3:uid="{FF7F33F4-AFBF-44A7-801E-BC306AFD5613}" name="created_at" dataDxfId="435"/>
    <tableColumn id="10" xr3:uid="{AF6E28CC-1184-41AA-95F1-0FAB30891691}" name="updated_at" dataDxfId="434"/>
    <tableColumn id="11" xr3:uid="{4410A964-A1D1-48F8-B1FC-E6A3CF1669D3}" name="deleted_at" dataDxfId="4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K12" totalsRowShown="0" headerRowDxfId="432" dataDxfId="431">
  <autoFilter ref="A1:K12" xr:uid="{76BC8010-2100-4028-A884-9C5FF09016C3}"/>
  <sortState xmlns:xlrd2="http://schemas.microsoft.com/office/spreadsheetml/2017/richdata2" ref="A2:B12">
    <sortCondition ref="B1:B12"/>
  </sortState>
  <tableColumns count="11">
    <tableColumn id="1" xr3:uid="{D66BA179-A72F-459E-9847-9AD5245BAC47}" name="id" dataDxfId="430"/>
    <tableColumn id="2" xr3:uid="{808E297F-7615-4431-A319-7C560B80863A}" name="name" dataDxfId="429"/>
    <tableColumn id="4" xr3:uid="{15638E80-D480-4E22-9FA3-51AB7807EB89}" name="image_path" dataDxfId="428"/>
    <tableColumn id="5" xr3:uid="{A878B8C8-FDB9-4D3C-88F1-FADB488B1463}" name="thumbnail_path" dataDxfId="427"/>
    <tableColumn id="6" xr3:uid="{CD5BFC0D-13D0-4E5D-AB52-719233677491}" name="description" dataDxfId="426"/>
    <tableColumn id="7" xr3:uid="{362F5B1B-AF05-4755-B467-E35DD6FC647C}" name="status" dataDxfId="425"/>
    <tableColumn id="8" xr3:uid="{C863DF0A-FDEE-4246-A86D-7B8A7405EFDF}" name="tags" dataDxfId="424"/>
    <tableColumn id="9" xr3:uid="{3C33914E-CE8D-4BC0-AC76-91A1769C7511}" name="created_by" dataDxfId="423"/>
    <tableColumn id="10" xr3:uid="{F36B75E0-12CE-45FE-A6C1-0863847B83ED}" name="created_at" dataDxfId="422"/>
    <tableColumn id="11" xr3:uid="{F65837F5-4D7E-4FC5-91A8-7A1C74448183}" name="updated_at" dataDxfId="421"/>
    <tableColumn id="12" xr3:uid="{EA1F2D17-563E-4093-9AE7-7ADD2C9A8630}" name="deleted_at" dataDxfId="4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K501" totalsRowShown="0" headerRowDxfId="419" dataDxfId="418">
  <autoFilter ref="A1:K501" xr:uid="{76BC8010-2100-4028-A884-9C5FF09016C3}"/>
  <sortState xmlns:xlrd2="http://schemas.microsoft.com/office/spreadsheetml/2017/richdata2" ref="A2:D29">
    <sortCondition ref="A1:A29"/>
  </sortState>
  <tableColumns count="11">
    <tableColumn id="5" xr3:uid="{3FDEC455-A5CC-4BF6-AF85-739A96580EED}" name="id" dataDxfId="417"/>
    <tableColumn id="4" xr3:uid="{966EA4DB-3973-441E-98C3-5955042C8D27}" name="alias" dataDxfId="416"/>
    <tableColumn id="2" xr3:uid="{33FE8B62-A76A-4509-B66C-36A00B1A0777}" name="name" dataDxfId="415"/>
    <tableColumn id="3" xr3:uid="{2B0B04DF-EACE-4918-8EB8-E7250BE0E77D}" name="technical_id" dataDxfId="414"/>
    <tableColumn id="1" xr3:uid="{A785A2FD-1FFC-49A7-9331-C7EEE00DD1FF}" name="description" dataDxfId="413"/>
    <tableColumn id="6" xr3:uid="{EBD2F7F5-3535-4025-A2E3-CC2277839F14}" name="status" dataDxfId="412"/>
    <tableColumn id="7" xr3:uid="{520358F1-9024-473E-8AA1-041F22F7F651}" name="tags" dataDxfId="411"/>
    <tableColumn id="8" xr3:uid="{40C12F04-3A96-4FB0-9993-B10310DCC964}" name="created_by" dataDxfId="410"/>
    <tableColumn id="9" xr3:uid="{C1D1A20F-BF5B-427F-B74C-66EA1F98C472}" name="created_at" dataDxfId="409"/>
    <tableColumn id="10" xr3:uid="{68550504-C690-496C-B4B9-A255047F2649}" name="updated_at" dataDxfId="408"/>
    <tableColumn id="11" xr3:uid="{48275DC2-83F8-4684-8F30-E79A651E1EBC}" name="deleted_at" dataDxfId="40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L17" totalsRowShown="0" headerRowDxfId="406" dataDxfId="405">
  <autoFilter ref="A1:L17" xr:uid="{76BC8010-2100-4028-A884-9C5FF09016C3}"/>
  <tableColumns count="12">
    <tableColumn id="1" xr3:uid="{36EEF68D-0446-4ABB-A2A0-695E44D2C920}" name="id" dataDxfId="404"/>
    <tableColumn id="2" xr3:uid="{CBA80575-90B5-462E-89D1-07A0AA7B0290}" name="name" dataDxfId="403"/>
    <tableColumn id="7" xr3:uid="{4C4DC2D9-C3C5-4200-A96D-B282174C7783}" name="id2" dataDxfId="402"/>
    <tableColumn id="6" xr3:uid="{94C15780-E208-4C61-B7A3-29D4D6766DEE}" name="terminal_alias" dataDxfId="401"/>
    <tableColumn id="3" xr3:uid="{D4D7F55C-D315-4472-A0C1-BFE7CB966768}" name="terminal_id" dataDxfId="400"/>
    <tableColumn id="5" xr3:uid="{4B56CAE7-9A70-48F6-967C-9FE222AE1377}" name="description" dataDxfId="399"/>
    <tableColumn id="4" xr3:uid="{66F54AF1-56C7-4898-B00F-382F2F9CB38B}" name="status" dataDxfId="398"/>
    <tableColumn id="8" xr3:uid="{B46E67C6-7A70-406D-AC60-9AD9D0391ABF}" name="tags" dataDxfId="397"/>
    <tableColumn id="9" xr3:uid="{F51E4839-6D83-4BD2-8D2D-3532BCB1F9A5}" name="created_by" dataDxfId="396"/>
    <tableColumn id="10" xr3:uid="{F58A6E7A-7715-4C65-AC68-EF92EF220979}" name="created_at" dataDxfId="395"/>
    <tableColumn id="11" xr3:uid="{B7D31C34-1B44-426E-A352-1B2B65605476}" name="updated_at" dataDxfId="394"/>
    <tableColumn id="12" xr3:uid="{156372FB-9626-4591-BB12-5C153A9328C3}" name="deleted_at" dataDxfId="39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N65" totalsRowShown="0" headerRowDxfId="392" dataDxfId="391">
  <autoFilter ref="A1:N65" xr:uid="{76BC8010-2100-4028-A884-9C5FF09016C3}"/>
  <sortState xmlns:xlrd2="http://schemas.microsoft.com/office/spreadsheetml/2017/richdata2" ref="A2:G65">
    <sortCondition ref="A1:A65"/>
  </sortState>
  <tableColumns count="14">
    <tableColumn id="1" xr3:uid="{5E215B49-4C80-4CD5-B7CA-8FD325CD4190}" name="id" dataDxfId="390"/>
    <tableColumn id="2" xr3:uid="{29FE4DC3-53C0-457C-8444-8B0BD4E31C23}" name="moldable_type" dataDxfId="389"/>
    <tableColumn id="3" xr3:uid="{3301757B-6404-4E15-BB21-BA5D2E50A308}" name="moldable_id" dataDxfId="388"/>
    <tableColumn id="4" xr3:uid="{6CDD99A6-EB6A-47BB-A115-F7A053CE13A2}" name="name" dataDxfId="387"/>
    <tableColumn id="5" xr3:uid="{00714CF0-7487-4111-9E76-06AAEBD0A0A1}" name="cavities" dataDxfId="386"/>
    <tableColumn id="6" xr3:uid="{EB8B7A93-F144-4077-8478-FC910763305C}" name="image_path" dataDxfId="385"/>
    <tableColumn id="8" xr3:uid="{3FD6BE58-AD87-4481-82F8-FBD0C4E24B64}" name="cycle_time" dataDxfId="384"/>
    <tableColumn id="7" xr3:uid="{DF3F9CF2-EBA1-4FF4-A913-85FD90238DEF}" name="description" dataDxfId="383"/>
    <tableColumn id="9" xr3:uid="{58EB47CE-6138-4F14-9CA5-704293A06DD7}" name="status" dataDxfId="382"/>
    <tableColumn id="10" xr3:uid="{00680DFC-8FC5-4E7F-A147-33420A305A9E}" name="tags" dataDxfId="381"/>
    <tableColumn id="11" xr3:uid="{CEFD0518-CDCE-40BB-90E9-AD7941E5383F}" name="created_by" dataDxfId="380"/>
    <tableColumn id="12" xr3:uid="{62E92618-F809-45E0-AA57-FF4C9B2C9665}" name="created_at" dataDxfId="379"/>
    <tableColumn id="13" xr3:uid="{3FD31D94-8617-4602-A7C3-380AAE4AE1A3}" name="updated_at" dataDxfId="378"/>
    <tableColumn id="14" xr3:uid="{9E61C4E4-6011-46D4-9C9F-B6EBBFD72F1F}" name="deleted_at" dataDxfId="37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L92" totalsRowShown="0" headerRowDxfId="376" dataDxfId="375">
  <autoFilter ref="A1:L92" xr:uid="{76BC8010-2100-4028-A884-9C5FF09016C3}"/>
  <tableColumns count="12">
    <tableColumn id="1" xr3:uid="{5332E993-3DFF-4DCF-A8FF-403F60B728AE}" name="id" dataDxfId="374"/>
    <tableColumn id="2" xr3:uid="{3AD15177-B4DA-4F7E-9729-2A0B00BEDD41}" name="product_id" dataDxfId="373"/>
    <tableColumn id="3" xr3:uid="{77155D6F-DCF5-42DF-BF6B-1E4E3B949D27}" name="mold_id" dataDxfId="372"/>
    <tableColumn id="4" xr3:uid="{BC4475A9-ECAE-41C7-923C-3C8E42A9999C}" name="moldable_type" dataDxfId="371"/>
    <tableColumn id="5" xr3:uid="{18D5E6FF-5AC8-432F-968C-268D773603F9}" name="moldable_type2" dataDxfId="370"/>
    <tableColumn id="6" xr3:uid="{292D810A-0F14-49DB-B9DA-556CB886FC8A}" name="description" dataDxfId="369"/>
    <tableColumn id="7" xr3:uid="{49A73F7D-AAF1-4635-9D5A-CC7293F6EDDD}" name="status" dataDxfId="368"/>
    <tableColumn id="8" xr3:uid="{E3A75CD4-249A-4A30-978F-A01AB33AE865}" name="tags" dataDxfId="367"/>
    <tableColumn id="9" xr3:uid="{5A71FE3A-6B7A-4666-B80F-3E4C77194EF2}" name="created_by" dataDxfId="366"/>
    <tableColumn id="10" xr3:uid="{6D91D643-AF2B-4197-9A2C-40914AD8D3AF}" name="created_at" dataDxfId="365"/>
    <tableColumn id="11" xr3:uid="{69ED0178-B2E1-455C-A40E-BD403E345B10}" name="updated_at" dataDxfId="364"/>
    <tableColumn id="12" xr3:uid="{3D914A17-85B5-4DBB-8D14-C8E20A0FA4E8}" name="deleted_at" dataDxfId="36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I8" totalsRowShown="0" headerRowDxfId="362" dataDxfId="361">
  <autoFilter ref="A1:I8" xr:uid="{76BC8010-2100-4028-A884-9C5FF09016C3}"/>
  <tableColumns count="9">
    <tableColumn id="1" xr3:uid="{FA672106-8109-4BDF-B149-8E1B63D9AD83}" name="id" dataDxfId="360"/>
    <tableColumn id="2" xr3:uid="{36CFCD3B-17FF-47D7-92B3-BFD2C867DF43}" name="name" dataDxfId="359"/>
    <tableColumn id="3" xr3:uid="{9AFD3AD9-5768-4864-A883-319E875EEAFF}" name="description" dataDxfId="358"/>
    <tableColumn id="4" xr3:uid="{8D90CF23-6CC2-4D9A-BBB0-4E619E2D6406}" name="status" dataDxfId="357"/>
    <tableColumn id="5" xr3:uid="{A9CBB5A6-8B05-499A-9E73-4A905A4588F0}" name="tags" dataDxfId="356"/>
    <tableColumn id="6" xr3:uid="{F1D00484-27DE-46EB-95B7-AAE44CAE4C4C}" name="created_by" dataDxfId="355"/>
    <tableColumn id="7" xr3:uid="{E3ACB4D9-CCB1-4BF9-9A76-911A52B6279E}" name="created_at" dataDxfId="354"/>
    <tableColumn id="8" xr3:uid="{F39D3244-6A8F-4C5F-996D-56208A304161}" name="updated_at" dataDxfId="353"/>
    <tableColumn id="9" xr3:uid="{1979F4DC-ADD0-449E-B6A8-739F6198FB15}" name="deleted_at" dataDxfId="3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orders" displayName="orders" ref="A1:P54" totalsRowShown="0" headerRowDxfId="351" dataDxfId="350">
  <autoFilter ref="A1:P54" xr:uid="{76BC8010-2100-4028-A884-9C5FF09016C3}"/>
  <sortState xmlns:xlrd2="http://schemas.microsoft.com/office/spreadsheetml/2017/richdata2" ref="A2:P54">
    <sortCondition ref="D1:D54"/>
  </sortState>
  <tableColumns count="16">
    <tableColumn id="1" xr3:uid="{9A80AF87-66D8-48BB-92E3-D2DC12FD0E6F}" name="id" dataDxfId="349"/>
    <tableColumn id="2" xr3:uid="{F9D99BF3-C3A7-408A-94C7-DDE7A2E11C9B}" name="product_id" dataDxfId="348"/>
    <tableColumn id="16" xr3:uid="{AB4411BE-BF0B-48C3-8B65-6649B9BD9FBE}" name="carried_id" dataDxfId="347"/>
    <tableColumn id="3" xr3:uid="{DD497D2D-E74D-437E-9D96-9AB1667A4B94}" name="idd" dataDxfId="346"/>
    <tableColumn id="4" xr3:uid="{3FC9E1BF-7EEF-474A-A262-1BAFC1C927EE}" name="month_id" dataDxfId="345"/>
    <tableColumn id="5" xr3:uid="{2F823D95-550A-4719-A21F-8121B8C2CAC3}" name="quantity" dataDxfId="344"/>
    <tableColumn id="6" xr3:uid="{18DDA801-9921-4900-9433-27808E3E2039}" name="notification_date" dataDxfId="343"/>
    <tableColumn id="7" xr3:uid="{5A0FF945-73E7-49F9-93EB-7AE6D9920640}" name="seen" dataDxfId="342"/>
    <tableColumn id="8" xr3:uid="{FDBA9DCC-E479-4E55-BA18-7036D6991656}" name="status" dataDxfId="341"/>
    <tableColumn id="14" xr3:uid="{A1F8F69D-C672-4235-AD1E-8B3F9E9DAC7B}" name="tags" dataDxfId="340"/>
    <tableColumn id="9" xr3:uid="{CF4ADB1A-8F2A-4F7A-A66C-81E828EE6AF9}" name="description" dataDxfId="339"/>
    <tableColumn id="15" xr3:uid="{805B38C5-A2EB-4622-83CD-0A35FD53C765}" name="fiscal_year" dataDxfId="338"/>
    <tableColumn id="10" xr3:uid="{19230521-C278-4CFD-976D-DED4C6210536}" name="created_by" dataDxfId="337"/>
    <tableColumn id="11" xr3:uid="{8392DFAE-69A2-4127-95B1-6F0ABC669126}" name="created_at" dataDxfId="336"/>
    <tableColumn id="12" xr3:uid="{E484A3FF-E88C-4665-885A-C7D63A731491}" name="updated_at" dataDxfId="335"/>
    <tableColumn id="13" xr3:uid="{86F7382A-C4DC-4AC4-9768-9D82835359DD}" name="deleted_at" dataDxfId="3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9" totalsRowShown="0" headerRowDxfId="333" dataDxfId="332">
  <autoFilter ref="A1:K139" xr:uid="{76BC8010-2100-4028-A884-9C5FF09016C3}"/>
  <tableColumns count="11">
    <tableColumn id="1" xr3:uid="{70E1FAAC-6350-4077-B661-3F3BA03A0B07}" name="id" dataDxfId="331"/>
    <tableColumn id="2" xr3:uid="{1B9C0D3E-EC91-4645-9726-6A07D465BA18}" name="order_id" dataDxfId="330"/>
    <tableColumn id="3" xr3:uid="{764AC627-6C1B-4AA4-ACF4-F159801D46C3}" name="promised_date" dataDxfId="329"/>
    <tableColumn id="4" xr3:uid="{9B27879D-8BBA-4BE7-AB6F-0FF3398D3E6F}" name="promised_quantity" dataDxfId="328"/>
    <tableColumn id="5" xr3:uid="{3038C9BF-8028-4F65-9C1F-5B5730BB1506}" name="status" dataDxfId="327"/>
    <tableColumn id="6" xr3:uid="{2947CB0C-00CD-4364-AC2C-EE253B200AEF}" name="tags" dataDxfId="326"/>
    <tableColumn id="7" xr3:uid="{8C5AA034-BFD2-49AD-B3EB-D1C075921F7B}" name="description" dataDxfId="325"/>
    <tableColumn id="8" xr3:uid="{DD226A67-40CB-414F-90BB-AF80E2E4647E}" name="created_by" dataDxfId="324"/>
    <tableColumn id="9" xr3:uid="{0B11C03F-212E-4E2E-BDFA-0D01F6FFBF8E}" name="created_at" dataDxfId="323"/>
    <tableColumn id="10" xr3:uid="{C1446FA7-A7BE-401F-AD2E-455F3259DBD2}" name="updated_at" dataDxfId="322"/>
    <tableColumn id="11" xr3:uid="{8E166F1D-FB77-4B99-A0F4-7B32CCA1A8D3}" name="deleted_at" dataDxfId="3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I14" totalsRowShown="0" headerRowDxfId="320" dataDxfId="319">
  <autoFilter ref="A1:I14" xr:uid="{76BC8010-2100-4028-A884-9C5FF09016C3}"/>
  <sortState xmlns:xlrd2="http://schemas.microsoft.com/office/spreadsheetml/2017/richdata2" ref="A2:B14">
    <sortCondition ref="A1:A14"/>
  </sortState>
  <tableColumns count="9">
    <tableColumn id="1" xr3:uid="{87B9DC61-5763-4A86-BA15-474BE5914464}" name="id" dataDxfId="318"/>
    <tableColumn id="2" xr3:uid="{2CC0164A-7651-4810-B1A7-B9E72D8C5511}" name="name" dataDxfId="317"/>
    <tableColumn id="3" xr3:uid="{75ECFBB7-AB1D-4421-A240-07DCE2FAE0C6}" name="description" dataDxfId="316"/>
    <tableColumn id="4" xr3:uid="{072AF8C8-C792-4450-ACB8-60F866C36B11}" name="status" dataDxfId="315"/>
    <tableColumn id="5" xr3:uid="{F4A4BD07-2FBE-419F-A94E-3A73050AC058}" name="tags" dataDxfId="314"/>
    <tableColumn id="6" xr3:uid="{7509D692-DFCC-4566-923D-B3ACD738592A}" name="created_by" dataDxfId="313"/>
    <tableColumn id="7" xr3:uid="{D739DE1F-C910-4E16-BD08-664FD46DB07D}" name="created_at" dataDxfId="312"/>
    <tableColumn id="8" xr3:uid="{266A13A5-97EE-4B38-96E8-DD06812AA20A}" name="updated_at" dataDxfId="311"/>
    <tableColumn id="9" xr3:uid="{906BF318-B764-4CE1-B26C-E0E361D05A36}" name="deleted_at" dataDxfId="3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N191" totalsRowShown="0" headerRowDxfId="309" dataDxfId="308">
  <autoFilter ref="A1:N191" xr:uid="{76BC8010-2100-4028-A884-9C5FF09016C3}"/>
  <sortState xmlns:xlrd2="http://schemas.microsoft.com/office/spreadsheetml/2017/richdata2" ref="A2:N191">
    <sortCondition ref="A1:A191"/>
  </sortState>
  <tableColumns count="14">
    <tableColumn id="1" xr3:uid="{1FD3EDA7-D62C-4601-96B3-5794AB23700B}" name="id" dataDxfId="307"/>
    <tableColumn id="15" xr3:uid="{4520A452-2185-4297-AA7D-9A0EE3355C31}" name="idd" dataDxfId="306"/>
    <tableColumn id="2" xr3:uid="{B72529D6-7B13-419E-8746-46C9C034D915}" name="order_id" dataDxfId="305"/>
    <tableColumn id="3" xr3:uid="{82177E9E-E4BE-4A00-82A8-500FE7FA5D9C}" name="quantity" dataDxfId="304"/>
    <tableColumn id="4" xr3:uid="{2ECB6FD7-18E5-47AC-AAD4-42E4832B0C66}" name="maximum_batch_size" dataDxfId="303"/>
    <tableColumn id="5" xr3:uid="{29E11301-59C2-432F-A517-06891A376329}" name="printing_date" dataDxfId="302"/>
    <tableColumn id="6" xr3:uid="{B1D78840-8B0D-42AE-9575-AE873D2E621B}" name="cutting_date" dataDxfId="301"/>
    <tableColumn id="8" xr3:uid="{F2F243C9-E165-4032-BE1C-C397B910E8CC}" name="status" dataDxfId="300"/>
    <tableColumn id="9" xr3:uid="{053879D0-AA57-4F48-9FDE-A5B4DA79B7B7}" name="tags" dataDxfId="299"/>
    <tableColumn id="10" xr3:uid="{AB3DEDF6-4D0C-45BB-9A41-0AA68793DEB4}" name="description" dataDxfId="298"/>
    <tableColumn id="11" xr3:uid="{B239A116-D906-48EA-A277-7CB42019D312}" name="created_by" dataDxfId="297"/>
    <tableColumn id="12" xr3:uid="{4A87D426-490F-4E15-98EC-98184BC485A8}" name="created_at" dataDxfId="296"/>
    <tableColumn id="13" xr3:uid="{D663C4A7-AEFB-4CED-8198-35D8488BB2A0}" name="updated_at" dataDxfId="295"/>
    <tableColumn id="14" xr3:uid="{401282FD-ABB5-43E6-9052-0C5CFAA682C3}" name="deleted_at" dataDxfId="29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7" totalsRowShown="0" headerRowDxfId="293" dataDxfId="292">
  <autoFilter ref="A1:N7" xr:uid="{76BC8010-2100-4028-A884-9C5FF09016C3}"/>
  <sortState xmlns:xlrd2="http://schemas.microsoft.com/office/spreadsheetml/2017/richdata2" ref="A2:N7">
    <sortCondition ref="J1:J7"/>
  </sortState>
  <tableColumns count="14">
    <tableColumn id="1" xr3:uid="{84D2B892-49A4-44D7-A7CF-5F0E34F9655B}" name="id" dataDxfId="291"/>
    <tableColumn id="15" xr3:uid="{35CD9F86-A30D-4C9C-8690-31A090E337FD}" name="idd" dataDxfId="290"/>
    <tableColumn id="2" xr3:uid="{658E1744-0FD6-4F6B-B659-98D1E6233ACC}" name="order_id" dataDxfId="289"/>
    <tableColumn id="3" xr3:uid="{9BEE2A2B-D9E4-4C1B-AAD6-07DA79A38059}" name="quantity" dataDxfId="288"/>
    <tableColumn id="4" xr3:uid="{62ECBE57-E786-406E-AF00-18C15932CB24}" name="maximum_batch_size" dataDxfId="287"/>
    <tableColumn id="5" xr3:uid="{E50B97B2-60F7-429B-8F48-914B4B6D0B30}" name="printing_date" dataDxfId="286"/>
    <tableColumn id="6" xr3:uid="{20D95B21-30E9-4896-BFF1-05689085C182}" name="cutting_date" dataDxfId="285"/>
    <tableColumn id="8" xr3:uid="{9AED1E26-E714-4751-8851-40CEF50CDF30}" name="status" dataDxfId="284"/>
    <tableColumn id="9" xr3:uid="{DB6DDCB6-1CD7-43A6-A218-366958689706}" name="tags" dataDxfId="283"/>
    <tableColumn id="10" xr3:uid="{8F00F8D5-0EC7-4D59-80ED-454AFDABCCB7}" name="description" dataDxfId="282"/>
    <tableColumn id="11" xr3:uid="{1E241D76-D717-420F-B716-4A23CC13BBEF}" name="created_by" dataDxfId="281"/>
    <tableColumn id="12" xr3:uid="{6F608452-D6D0-4CF0-BA80-6F5794408059}" name="created_at" dataDxfId="280"/>
    <tableColumn id="13" xr3:uid="{C370383F-6E10-497D-A023-6BEBB1395827}" name="updated_at" dataDxfId="279"/>
    <tableColumn id="14" xr3:uid="{E0684FAE-861C-4BC4-A82E-CFA54E26FCA2}" name="deleted_at" dataDxfId="2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7" totalsRowShown="0" headerRowDxfId="277" dataDxfId="276">
  <autoFilter ref="A1:M27" xr:uid="{76BC8010-2100-4028-A884-9C5FF09016C3}"/>
  <sortState xmlns:xlrd2="http://schemas.microsoft.com/office/spreadsheetml/2017/richdata2" ref="A2:M27">
    <sortCondition ref="A1:A27"/>
  </sortState>
  <tableColumns count="13">
    <tableColumn id="1" xr3:uid="{B81A62AF-0D58-43A2-B605-54673542B1C2}" name="id" dataDxfId="275"/>
    <tableColumn id="15" xr3:uid="{CC5B2A80-D784-4884-93A4-8583C6799241}" name="idd" dataDxfId="274"/>
    <tableColumn id="2" xr3:uid="{2E24F94E-0D55-41CD-BA5C-F3F165AACC3C}" name="product_id" dataDxfId="273"/>
    <tableColumn id="3" xr3:uid="{8E327830-CCFC-46CD-9CC8-0DD83198BDF4}" name="quantity" dataDxfId="272"/>
    <tableColumn id="4" xr3:uid="{788D770E-F535-4FDF-822C-F24061323FE9}" name="maximum_batch_size" dataDxfId="271"/>
    <tableColumn id="6" xr3:uid="{4F94435D-2447-49F7-B664-969EB6B4B017}" name="cutting_date" dataDxfId="270"/>
    <tableColumn id="8" xr3:uid="{3C853DC2-DE37-416F-BB82-37FD5C22B628}" name="status" dataDxfId="269"/>
    <tableColumn id="9" xr3:uid="{552179FE-8060-46F3-9B9F-2EE500468430}" name="tags" dataDxfId="268"/>
    <tableColumn id="10" xr3:uid="{8F912149-0558-4CB2-8621-3350186B3AF7}" name="description" dataDxfId="267"/>
    <tableColumn id="11" xr3:uid="{4992D4EF-B43D-4468-ADA3-485369D7DFFF}" name="created_by" dataDxfId="266"/>
    <tableColumn id="12" xr3:uid="{063D514E-8819-48A5-A0CE-10B40C6EB85A}" name="created_at" dataDxfId="265"/>
    <tableColumn id="13" xr3:uid="{377A4A34-628F-49B9-9FFA-747F0D20C80F}" name="updated_at" dataDxfId="264"/>
    <tableColumn id="14" xr3:uid="{8B8800C4-09FB-489D-B641-E35EBC0C29A9}" name="deleted_at" dataDxfId="26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J1354" totalsRowShown="0" headerRowDxfId="262" dataDxfId="261">
  <autoFilter ref="A1:J1354" xr:uid="{76BC8010-2100-4028-A884-9C5FF09016C3}"/>
  <sortState xmlns:xlrd2="http://schemas.microsoft.com/office/spreadsheetml/2017/richdata2" ref="A2:C1354">
    <sortCondition ref="A1:A1354"/>
  </sortState>
  <tableColumns count="10">
    <tableColumn id="1" xr3:uid="{8AE3D5CE-5041-4552-B0C0-DCF8FB7686FB}" name="id" dataDxfId="260"/>
    <tableColumn id="2" xr3:uid="{1D8C87F9-FDF0-4E5B-99D2-ED535D56E105}" name="cut_id" dataDxfId="259"/>
    <tableColumn id="3" xr3:uid="{A0D0D89C-DD34-4C0B-9A89-547E2AC23DD5}" name="size" dataDxfId="258"/>
    <tableColumn id="4" xr3:uid="{51412C83-C4EE-4571-8A09-B0386EE67F11}" name="description" dataDxfId="257"/>
    <tableColumn id="5" xr3:uid="{699AC0CA-AA2E-4BB6-967A-851075D8EC1F}" name="status" dataDxfId="256"/>
    <tableColumn id="6" xr3:uid="{791958D8-0B95-4776-82B5-238D1FD7AE31}" name="tags" dataDxfId="255"/>
    <tableColumn id="7" xr3:uid="{DEACDB0A-3E1A-4194-9B31-F8E599174300}" name="created_by" dataDxfId="254"/>
    <tableColumn id="8" xr3:uid="{FD82E0C2-3262-4524-A4B8-B82A3F7AF6D8}" name="created_at" dataDxfId="253"/>
    <tableColumn id="9" xr3:uid="{3B50EC31-9F66-4F9F-847B-EBEDCC6F66EB}" name="updated_at" dataDxfId="252"/>
    <tableColumn id="10" xr3:uid="{81690F4F-EFC8-4A22-B410-14ECF567DC6F}" name="deleted_at" dataDxfId="2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K431" totalsRowShown="0" headerRowDxfId="250" dataDxfId="249">
  <autoFilter ref="A1:K431" xr:uid="{76BC8010-2100-4028-A884-9C5FF09016C3}"/>
  <sortState xmlns:xlrd2="http://schemas.microsoft.com/office/spreadsheetml/2017/richdata2" ref="A2:D431">
    <sortCondition ref="A1:A431"/>
  </sortState>
  <tableColumns count="11">
    <tableColumn id="1" xr3:uid="{2768D404-F227-4857-AA47-FB7D910B28CF}" name="id" dataDxfId="248"/>
    <tableColumn id="2" xr3:uid="{7B7F85F8-D003-4EAF-8EDA-080AB7642CB0}" name="date" dataDxfId="247"/>
    <tableColumn id="4" xr3:uid="{54AD533F-3705-4D2A-96C8-97C17AC545F4}" name="product_id" dataDxfId="246"/>
    <tableColumn id="3" xr3:uid="{42365F03-B105-4261-A125-055A9BCD5AB3}" name="quantity" dataDxfId="245"/>
    <tableColumn id="5" xr3:uid="{5C503BE0-ADDB-4BE4-9A24-4EECC1582FB6}" name="description" dataDxfId="244"/>
    <tableColumn id="7" xr3:uid="{9CF663C8-CD86-4497-AF2A-389BB3214424}" name="status" dataDxfId="243"/>
    <tableColumn id="9" xr3:uid="{42844E3C-4D89-4E3C-9DC5-600F028AC87C}" name="tags" dataDxfId="242"/>
    <tableColumn id="10" xr3:uid="{F88C125D-5940-44DA-A783-EA566FE57642}" name="created_by" dataDxfId="241"/>
    <tableColumn id="11" xr3:uid="{8B61981E-76C1-48FE-94A3-15B6039FA110}" name="created_at" dataDxfId="240"/>
    <tableColumn id="12" xr3:uid="{24808977-FB50-41EC-B749-E47FDAFD680F}" name="updated_at" dataDxfId="239"/>
    <tableColumn id="16" xr3:uid="{F87C7382-8E8D-423A-9C48-3F399B04A700}" name="deleted_at" dataDxfId="23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Q70" totalsRowShown="0" headerRowDxfId="237" dataDxfId="236">
  <autoFilter ref="A1:Q70" xr:uid="{76BC8010-2100-4028-A884-9C5FF09016C3}"/>
  <tableColumns count="17">
    <tableColumn id="1" xr3:uid="{BE95CAE4-F61A-40BF-A6D5-8964A9A5ABED}" name="id" dataDxfId="235"/>
    <tableColumn id="12" xr3:uid="{D8F27C0C-A005-4F5F-BB56-906C11C34785}" name="order_idd" dataDxfId="234"/>
    <tableColumn id="13" xr3:uid="{2B7D6AA2-FDD5-4463-B609-3D2F520C5F0A}" name="order_id" dataDxfId="233">
      <calculatedColumnFormula>_xlfn.XLOOKUP(Table15678910111216182021222329[[#This Row],[order_idd]],orders[idd],orders[id])</calculatedColumnFormula>
    </tableColumn>
    <tableColumn id="2" xr3:uid="{6A8A6848-C700-4E7F-8715-AF9F143E658E}" name="date" dataDxfId="232"/>
    <tableColumn id="4" xr3:uid="{80DBA04C-170B-4880-925A-FA23FD080D05}" name="product_id" dataDxfId="231"/>
    <tableColumn id="3" xr3:uid="{B0D3DDCA-8937-4A6F-AB0C-C28224293C2B}" name="quantity" dataDxfId="230"/>
    <tableColumn id="5" xr3:uid="{1A3E1162-4CBA-4AA8-98F5-8B90030A002C}" name="plan" dataDxfId="229"/>
    <tableColumn id="6" xr3:uid="{64CEA8CF-0036-4CAF-8852-F78EFEF3EEF0}" name="qnt" dataDxfId="228"/>
    <tableColumn id="7" xr3:uid="{6B9F4D39-60F1-4470-86AB-2DE5E350A786}" name="plan2" dataDxfId="227"/>
    <tableColumn id="8" xr3:uid="{B75632C6-586A-4CF7-982B-BD8F1496E216}" name="qnt2" dataDxfId="226"/>
    <tableColumn id="9" xr3:uid="{BE91011E-6A5E-4F17-B553-B55C66AD025B}" name="description" dataDxfId="225"/>
    <tableColumn id="10" xr3:uid="{8C4C17D4-C051-4008-BB51-AA1182D7CC6D}" name="status" dataDxfId="224"/>
    <tableColumn id="11" xr3:uid="{8985AAC6-B989-47F5-9D87-1E7F9E1AB7A5}" name="tags" dataDxfId="223"/>
    <tableColumn id="14" xr3:uid="{B21B33B8-7C14-4849-8F23-80ECA964A6D3}" name="created_by" dataDxfId="222"/>
    <tableColumn id="15" xr3:uid="{EF8F7A96-E679-4905-BA1D-0A32DBB76CD8}" name="created_at" dataDxfId="221"/>
    <tableColumn id="16" xr3:uid="{1338731E-39D8-4846-90A6-891606BAF754}" name="updated_at" dataDxfId="220"/>
    <tableColumn id="17" xr3:uid="{EAD99486-661D-4640-88DF-A78979FAFF57}" name="deleted_at" dataDxfId="21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1561" totalsRowShown="0" headerRowDxfId="218" dataDxfId="217">
  <autoFilter ref="A1:D1561" xr:uid="{76BC8010-2100-4028-A884-9C5FF09016C3}"/>
  <tableColumns count="4">
    <tableColumn id="1" xr3:uid="{3E9C3145-1699-49C6-874A-719346877FE9}" name="id" dataDxfId="216"/>
    <tableColumn id="2" xr3:uid="{C0E1312F-30AB-4C58-8422-9132A97AFC69}" name="production_id" dataDxfId="215"/>
    <tableColumn id="3" xr3:uid="{88FD808D-2842-4DD2-B5A5-2EE99DB6DBCC}" name="quantity" dataDxfId="214"/>
    <tableColumn id="4" xr3:uid="{02589859-6093-4224-9A8A-2245BACE3336}" name="order_id" dataDxfId="21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M3" totalsRowShown="0" headerRowDxfId="212" dataDxfId="211">
  <autoFilter ref="A1:M3" xr:uid="{76BC8010-2100-4028-A884-9C5FF09016C3}"/>
  <tableColumns count="13">
    <tableColumn id="1" xr3:uid="{E1C8FBE2-B032-4418-B5B1-E7B1B6B6C440}" name="id" dataDxfId="210"/>
    <tableColumn id="2" xr3:uid="{75B62297-4688-440A-99B3-D044890B0186}" name="target_model" dataDxfId="209"/>
    <tableColumn id="4" xr3:uid="{32D60E2B-D52C-4C12-994C-A5BE8AF8A64B}" name="target_field" dataDxfId="208"/>
    <tableColumn id="3" xr3:uid="{C0878462-B75B-49AA-9AB3-90F9098C3590}" name="target_id" dataDxfId="207"/>
    <tableColumn id="6" xr3:uid="{FE6EDBEA-8645-4E8B-96FF-3A02D431251B}" name="from" dataDxfId="206"/>
    <tableColumn id="7" xr3:uid="{926C89D5-5C37-477D-B3F8-CC282E895B27}" name="to" dataDxfId="205"/>
    <tableColumn id="5" xr3:uid="{4B2F0225-558B-4119-9B4D-30962B114E89}" name="description" dataDxfId="204"/>
    <tableColumn id="8" xr3:uid="{1778DAF4-33E0-47E0-86DC-0D07DC77D955}" name="status" dataDxfId="203"/>
    <tableColumn id="9" xr3:uid="{D5F528B5-9251-43BA-9AE0-6DC5B254B40F}" name="tags" dataDxfId="202"/>
    <tableColumn id="10" xr3:uid="{D07890CA-A9E1-4EF3-B79D-1CAD3CBAD72B}" name="created_by" dataDxfId="201"/>
    <tableColumn id="11" xr3:uid="{671DFFEF-7FCE-420A-A176-DA9D40D17511}" name="created_at" dataDxfId="200"/>
    <tableColumn id="12" xr3:uid="{F1C1C4C3-5008-4C9A-A0B8-DA3934D49FDE}" name="updated_at" dataDxfId="199"/>
    <tableColumn id="13" xr3:uid="{66180CF6-17B4-4522-B664-0ACBFA1020EE}" name="deleted_at" dataDxfId="19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94A7A9B-E9EA-46C2-8077-86C07229CE54}" name="Table14" displayName="Table14" ref="A1:N41" totalsRowShown="0" headerRowDxfId="197">
  <autoFilter ref="A1:N41" xr:uid="{594A7A9B-E9EA-46C2-8077-86C07229CE54}"/>
  <tableColumns count="14">
    <tableColumn id="1" xr3:uid="{B26EDCBE-D08D-4CE6-BF13-A55E53FEC873}" name="id" dataDxfId="2"/>
    <tableColumn id="2" xr3:uid="{2E76915A-D31A-4116-A424-62CB0D2FF021}" name="name" dataDxfId="1"/>
    <tableColumn id="3" xr3:uid="{9B0308D8-A486-450B-8FAC-8657FA67113A}" name="alias"/>
    <tableColumn id="4" xr3:uid="{C3C70BB0-CD49-4FFE-B4E6-546CFF0AF3B4}" name="zone"/>
    <tableColumn id="5" xr3:uid="{78FD5B37-235F-484F-A431-D80588544DD5}" name="common_standard_tv_time" dataDxfId="196">
      <calculatedColumnFormula array="1">TRANSPOSE(_CT!C2:AP2)</calculatedColumnFormula>
    </tableColumn>
    <tableColumn id="6" xr3:uid="{9BDFBD02-44C4-40F7-9F3A-6130715A18CB}" name="common_standard_ref_time"/>
    <tableColumn id="7" xr3:uid="{96FB1432-6CA4-44BC-B148-10CAC8769261}" name="interchangeable-bundle"/>
    <tableColumn id="8" xr3:uid="{A9276E92-4309-4F84-A3F7-B5D419ADD298}" name="description"/>
    <tableColumn id="9" xr3:uid="{ED5FB490-EF34-4921-ACEA-8F2F8A462323}" name="status"/>
    <tableColumn id="10" xr3:uid="{44C1AAD5-03A5-4E7B-B716-BFE29C18B61D}" name="tags"/>
    <tableColumn id="11" xr3:uid="{312CD01F-CF3B-4630-811B-3118D0D484BD}" name="created_by"/>
    <tableColumn id="12" xr3:uid="{49E051AA-C315-4652-9E4C-6426BBB6271A}" name="created_at"/>
    <tableColumn id="13" xr3:uid="{792DAA4E-6549-431F-B805-CB56F6597DF2}" name="updated_at"/>
    <tableColumn id="14" xr3:uid="{2BCA42D1-8719-4D9C-B467-724D39F0C8F3}" name="deleted_at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cycletimes" displayName="cycletimes" ref="A1:K557" totalsRowShown="0" headerRowDxfId="195" dataDxfId="194">
  <autoFilter ref="A1:K557" xr:uid="{76BC8010-2100-4028-A884-9C5FF09016C3}"/>
  <tableColumns count="11">
    <tableColumn id="1" xr3:uid="{F5B65586-057A-48B9-8393-27A1BDDC0F20}" name="id" dataDxfId="193"/>
    <tableColumn id="2" xr3:uid="{8837D74F-BD1E-47A7-A86C-1EF9EC721D7B}" name="product_id" dataDxfId="192"/>
    <tableColumn id="14" xr3:uid="{2D22A6E6-3AFB-44F7-82B5-21A43E959B27}" name="activity_id" dataDxfId="191"/>
    <tableColumn id="4" xr3:uid="{7F654960-AD57-4D01-8A37-14BBDD070E12}" name="stanndard_time" dataDxfId="190"/>
    <tableColumn id="7" xr3:uid="{50B0BED0-4417-4F51-B3B8-A350B697FA0E}" name="description" dataDxfId="189"/>
    <tableColumn id="8" xr3:uid="{600D1B4E-BD93-435A-8DA5-88F40337727D}" name="status" dataDxfId="188"/>
    <tableColumn id="9" xr3:uid="{459FF18F-63BA-4E05-BBA5-75AC175412FC}" name="tags" dataDxfId="187"/>
    <tableColumn id="10" xr3:uid="{4DF12C52-AF1A-4E55-9E48-37E0AD7901DF}" name="created_by" dataDxfId="186"/>
    <tableColumn id="11" xr3:uid="{1BEA4489-89AE-412B-960D-884E62297D33}" name="created_at" dataDxfId="185"/>
    <tableColumn id="12" xr3:uid="{8399491D-FD35-4CE1-B739-DD4284D3B66F}" name="updated_at" dataDxfId="184"/>
    <tableColumn id="13" xr3:uid="{28129BF5-8C9F-4558-8145-3089CD1D15E6}" name="deleted_at" dataDxfId="18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K757" totalsRowShown="0" headerRowDxfId="19" dataDxfId="18">
  <autoFilter ref="A1:K757" xr:uid="{76BC8010-2100-4028-A884-9C5FF09016C3}"/>
  <tableColumns count="11">
    <tableColumn id="1" xr3:uid="{4FE75DC8-CB66-4568-8A86-D9A8CEC8F2FB}" name="id" dataDxfId="17"/>
    <tableColumn id="3" xr3:uid="{9C7BB6A2-E6F1-4418-A62A-9E45CDB09D26}" name="date" dataDxfId="16"/>
    <tableColumn id="4" xr3:uid="{70713655-FF06-4D4F-9531-CC2469450509}" name="employee_id" dataDxfId="15"/>
    <tableColumn id="8" xr3:uid="{6348CF70-21DB-4D87-84EC-2581A1646709}" name="work_type" dataDxfId="14"/>
    <tableColumn id="2" xr3:uid="{EF36BEBB-9A8B-4727-9F49-88CF910ED661}" name="description" dataDxfId="13"/>
    <tableColumn id="5" xr3:uid="{D4FCF1D4-0BA4-4540-8A67-E8D6931B6487}" name="status" dataDxfId="12"/>
    <tableColumn id="6" xr3:uid="{86EEFD65-747D-4624-9745-6B948FC5B579}" name="tags" dataDxfId="11"/>
    <tableColumn id="7" xr3:uid="{3F225498-1112-43A0-8D22-AA7F255C550E}" name="created_by" dataDxfId="10"/>
    <tableColumn id="9" xr3:uid="{B9A6C4FC-CB9F-4692-BC54-947A8FA12EC0}" name="created_at" dataDxfId="9"/>
    <tableColumn id="10" xr3:uid="{B55BCBBB-D70A-42D6-A04B-424A4848856F}" name="updated_at" dataDxfId="8"/>
    <tableColumn id="11" xr3:uid="{8D081920-0868-4522-A819-B9B2B760B4A8}" name="deleted_at" dataDxfId="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095BCBD-EFA2-4DEE-B476-75061C039DDA}" name="batch_works35" displayName="batch_works35" ref="A1:K757" totalsRowShown="0" headerRowDxfId="182" dataDxfId="181">
  <autoFilter ref="A1:K757" xr:uid="{6FD90FA7-95BA-43D6-A73D-DC51A2652B76}"/>
  <tableColumns count="11">
    <tableColumn id="1" xr3:uid="{1773166F-9911-4D36-B1FE-91CD213D74E3}" name="id" dataDxfId="180"/>
    <tableColumn id="2" xr3:uid="{3A9BC878-36F1-4C9E-94C0-856DBCED0D26}" name="work_id" dataDxfId="179"/>
    <tableColumn id="4" xr3:uid="{FB7F8E25-7176-4FBB-AE9E-68ECFFE23F12}" name="activity_id" dataDxfId="178"/>
    <tableColumn id="3" xr3:uid="{A0152DFD-1A22-4A09-B311-FC6B20ED6A0C}" name="batch_id" dataDxfId="177"/>
    <tableColumn id="5" xr3:uid="{A4526C3C-40BF-426E-BC3E-6A0AEAE1936F}" name="description" dataDxfId="176"/>
    <tableColumn id="6" xr3:uid="{862CA065-4804-4DD2-B157-44453CD202A1}" name="status" dataDxfId="175"/>
    <tableColumn id="7" xr3:uid="{144B1BE6-E065-4A69-908F-AF07BD2D7762}" name="tags" dataDxfId="174"/>
    <tableColumn id="8" xr3:uid="{7B7EEE4E-DE78-4418-99BD-3635E16E302C}" name="created_by" dataDxfId="173"/>
    <tableColumn id="9" xr3:uid="{76FFCE8E-5441-47C8-BF0A-8B18BBF94E15}" name="created_at" dataDxfId="172"/>
    <tableColumn id="10" xr3:uid="{A0EFA9E8-D407-4332-8FBF-B1F8503549CE}" name="updated_at" dataDxfId="171"/>
    <tableColumn id="11" xr3:uid="{A2550769-38F5-49AA-80E0-FFA386351A6D}" name="deleted_at" dataDxfId="17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71B174C-5208-4E1E-9105-55E17783F1E6}" name="nonbatch_works3644" displayName="nonbatch_works3644" ref="A1:K2" totalsRowShown="0" headerRowDxfId="169" dataDxfId="168">
  <autoFilter ref="A1:K2" xr:uid="{5A2DE7EE-F8E8-4362-AB86-9A2D75423D09}"/>
  <tableColumns count="11">
    <tableColumn id="1" xr3:uid="{A4B2200E-65E2-4AF9-8167-9115896F1D86}" name="id" dataDxfId="167"/>
    <tableColumn id="2" xr3:uid="{F80FA3D2-F22F-41A0-8318-2FDD9643E383}" name="work_id" dataDxfId="166"/>
    <tableColumn id="3" xr3:uid="{34A94822-588F-4301-BED0-25A4AF1BC5CD}" name="product_id" dataDxfId="165"/>
    <tableColumn id="4" xr3:uid="{DD4CD2EE-82C8-45C6-A56B-F0BEC995F373}" name="activity_id" dataDxfId="164"/>
    <tableColumn id="5" xr3:uid="{5D919B52-1747-42A4-B7EA-BA2ACDE35EDB}" name="description" dataDxfId="163"/>
    <tableColumn id="6" xr3:uid="{5F364A4B-7554-41DA-9D45-5AE43564F566}" name="status" dataDxfId="162"/>
    <tableColumn id="7" xr3:uid="{2DCCADFF-9A95-4014-BCC2-4544840670D6}" name="tags" dataDxfId="161"/>
    <tableColumn id="8" xr3:uid="{A10E9C60-0988-4236-A4FD-2E4C383949ED}" name="created_by" dataDxfId="160"/>
    <tableColumn id="9" xr3:uid="{D424A978-85D8-45F0-95BF-8EC5E976588A}" name="created_at" dataDxfId="159"/>
    <tableColumn id="10" xr3:uid="{68097061-C464-4F9E-B699-DEF914708DDA}" name="updated_at" dataDxfId="158"/>
    <tableColumn id="11" xr3:uid="{F205889B-B940-486F-8120-48C5FEDD5B10}" name="deleted_at" dataDxfId="15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91EABC1-9E0D-4517-9AE7-530811703F25}" name="extra_works3741" displayName="extra_works3741" ref="A1:L2" totalsRowShown="0" headerRowDxfId="156" dataDxfId="155">
  <autoFilter ref="A1:L2" xr:uid="{4270F7C2-68A1-4EB7-AD3F-AC7043E37DEC}"/>
  <tableColumns count="12">
    <tableColumn id="1" xr3:uid="{B431E14F-86B4-443D-9626-3E03B820BE30}" name="id" dataDxfId="154"/>
    <tableColumn id="2" xr3:uid="{20DE1BA5-0B59-4CA1-B564-5C5AA904B6EA}" name="work_id" dataDxfId="153"/>
    <tableColumn id="3" xr3:uid="{B530A7B7-1848-41FF-8168-EC6D6BC52EC3}" name="title" dataDxfId="152"/>
    <tableColumn id="4" xr3:uid="{21558565-4BF8-4164-BB5B-DCA946303195}" name="start" dataDxfId="151"/>
    <tableColumn id="5" xr3:uid="{9EA0A86D-FEF4-4CBC-B62E-1A31E12262CD}" name="end" dataDxfId="150"/>
    <tableColumn id="6" xr3:uid="{187F4740-118E-4311-B227-34AE4800C168}" name="description" dataDxfId="149"/>
    <tableColumn id="7" xr3:uid="{12CF3883-CD4E-415C-A45F-26ED319DF502}" name="status" dataDxfId="148"/>
    <tableColumn id="8" xr3:uid="{11591B2B-93A6-4A4B-9F6D-A8E4600FC17F}" name="tags" dataDxfId="147"/>
    <tableColumn id="9" xr3:uid="{39E2F346-22D1-48E2-8A63-2DCCFAD37280}" name="created_by" dataDxfId="146"/>
    <tableColumn id="10" xr3:uid="{AB52B667-B9D7-4A57-ABDF-345BE0C0E3C4}" name="created_at" dataDxfId="145"/>
    <tableColumn id="11" xr3:uid="{EF8BA52B-176B-4BF1-9B0F-0CCC7564DA46}" name="updated_at" dataDxfId="144"/>
    <tableColumn id="12" xr3:uid="{E1A289DB-ECB3-4DD0-829B-CC020D8F9215}" name="deleted_at" dataDxfId="14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K2" totalsRowShown="0" headerRowDxfId="142" dataDxfId="141">
  <autoFilter ref="A1:K2" xr:uid="{76BC8010-2100-4028-A884-9C5FF09016C3}"/>
  <tableColumns count="11">
    <tableColumn id="1" xr3:uid="{14287CC1-C863-44C9-AC39-23CB8C38FA58}" name="id" dataDxfId="140"/>
    <tableColumn id="2" xr3:uid="{D0374140-98FA-4206-9498-0EF0AB34520E}" name="date" dataDxfId="139"/>
    <tableColumn id="3" xr3:uid="{A29462C5-09A8-4571-8A67-974EC22F25DC}" name="employee_id" dataDxfId="138"/>
    <tableColumn id="4" xr3:uid="{BA471D68-54CC-4276-9250-7C422D300A18}" name="performance" dataDxfId="137"/>
    <tableColumn id="5" xr3:uid="{5D2EC796-BC6C-4775-9993-48F0B51B9200}" name="description" dataDxfId="136"/>
    <tableColumn id="6" xr3:uid="{5DB08AD1-0938-44FA-8775-2749B6643545}" name="status" dataDxfId="135"/>
    <tableColumn id="7" xr3:uid="{F800B1FE-9310-490B-95DA-7120E6F35777}" name="tags" dataDxfId="134"/>
    <tableColumn id="8" xr3:uid="{52FC6E3A-8ACA-4D09-AC4C-EFC4CDDA0AD3}" name="created_by" dataDxfId="133"/>
    <tableColumn id="9" xr3:uid="{5CEC0F3E-045A-40C1-A077-7C82B546DFBD}" name="created_at" dataDxfId="132"/>
    <tableColumn id="10" xr3:uid="{95E24074-5177-40A5-A399-7C2E528E9588}" name="updated_at" dataDxfId="131"/>
    <tableColumn id="11" xr3:uid="{A612AA7D-BEB0-45EA-BD18-892A7B64D5A8}" name="deleted_at" dataDxfId="13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K2" totalsRowShown="0" headerRowDxfId="129" dataDxfId="128">
  <autoFilter ref="A1:K2" xr:uid="{76BC8010-2100-4028-A884-9C5FF09016C3}"/>
  <tableColumns count="11">
    <tableColumn id="1" xr3:uid="{12BE0C38-79C4-4E03-9EF5-50883A4098D6}" name="id" dataDxfId="127"/>
    <tableColumn id="2" xr3:uid="{CA0641FD-6EA4-47FA-9A9A-82202FA9E038}" name="work_id" dataDxfId="126"/>
    <tableColumn id="3" xr3:uid="{DD84639D-D705-4331-9C18-001935B08DA4}" name="equipment_table_name" dataDxfId="125"/>
    <tableColumn id="4" xr3:uid="{B9DD7EAB-E5D5-4F27-91F5-452380BBFA86}" name="equipment_id" dataDxfId="124"/>
    <tableColumn id="5" xr3:uid="{DCF12A58-94A7-4AAD-85E7-55949310E718}" name="description" dataDxfId="123"/>
    <tableColumn id="6" xr3:uid="{9F08D2A3-3B9F-487E-9910-C7E9CA32C8B0}" name="status" dataDxfId="122"/>
    <tableColumn id="7" xr3:uid="{8991BB31-2921-49D8-BAD6-C918B1F8BBDB}" name="tags" dataDxfId="121"/>
    <tableColumn id="8" xr3:uid="{53843E5A-20B5-4D23-A3A7-1DFBB0656694}" name="created_by" dataDxfId="120"/>
    <tableColumn id="9" xr3:uid="{0FA980A0-AF22-4014-BB8D-E8564C850B54}" name="created_at" dataDxfId="119"/>
    <tableColumn id="10" xr3:uid="{F0692BCD-BD0D-4599-AD77-8F3DD2C9E080}" name="updated_at" dataDxfId="118"/>
    <tableColumn id="11" xr3:uid="{465190F5-149F-426F-9D0F-4ABFFCE34DCF}" name="deleted_at" dataDxfId="11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83D17E0-1D24-4E2C-B559-76DA708C3151}" name="Table156789101112161820212223272830132631" displayName="Table156789101112161820212223272830132631" ref="A1:P47" totalsRowShown="0" headerRowDxfId="116" dataDxfId="115">
  <autoFilter ref="A1:P47" xr:uid="{76BC8010-2100-4028-A884-9C5FF09016C3}"/>
  <tableColumns count="16">
    <tableColumn id="1" xr3:uid="{D6F490CA-EB2D-48E1-8A33-4FF3E3B98DD1}" name="id" dataDxfId="114"/>
    <tableColumn id="2" xr3:uid="{E6776BE7-38BE-46DC-8E0B-F2BDC81FDCF1}" name="gender" dataDxfId="113"/>
    <tableColumn id="3" xr3:uid="{72AE630F-97DD-426D-B81A-D44507B62114}" name="first_name" dataDxfId="112"/>
    <tableColumn id="4" xr3:uid="{9CA4F717-4168-4A07-BEDD-808E3F103658}" name="last_name" dataDxfId="111"/>
    <tableColumn id="5" xr3:uid="{D7E433B3-DF57-4C84-8B63-29B08C299621}" name="email" dataDxfId="110"/>
    <tableColumn id="6" xr3:uid="{4CD71AC3-085C-44C6-BF8C-7BA8DF44E333}" name="password" dataDxfId="109"/>
    <tableColumn id="7" xr3:uid="{ABD35288-41FC-4F59-9D6F-FE0C0C3F74EC}" name="email_verified_at" dataDxfId="108"/>
    <tableColumn id="8" xr3:uid="{3C75C802-AB24-42B1-BF06-3794EA0C1D67}" name="image_path" dataDxfId="107"/>
    <tableColumn id="9" xr3:uid="{98A927F4-F996-419C-B8B0-35B7ABB8DDC7}" name="avatar_path" dataDxfId="106"/>
    <tableColumn id="10" xr3:uid="{05D0701A-C3ED-4C86-A7A2-29034112B8FC}" name="status" dataDxfId="105"/>
    <tableColumn id="11" xr3:uid="{B7C66D42-65D4-4C33-955D-349A98C374FF}" name="description" dataDxfId="104"/>
    <tableColumn id="12" xr3:uid="{34F6F374-45D7-4E66-BB01-3FA42AD965DD}" name="tags" dataDxfId="103"/>
    <tableColumn id="13" xr3:uid="{3FAC126B-8331-431C-8690-224D2E0B86F2}" name="created_by" dataDxfId="102"/>
    <tableColumn id="14" xr3:uid="{CF01A669-F746-4025-B8EF-AE84C9CF2718}" name="created_at" dataDxfId="101"/>
    <tableColumn id="15" xr3:uid="{D7A26EC9-0F54-4760-B10C-33BB4F8DBA94}" name="updated_at" dataDxfId="100"/>
    <tableColumn id="16" xr3:uid="{62A6AA1D-B41E-4AF9-BD84-4CBAFBA87A5C}" name="deleted_at" dataDxfId="9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A2DD4183-AE96-4FE8-B0F5-A5E2EB35DE70}" name="Table15678910111216182021222327283013263134" displayName="Table15678910111216182021222327283013263134" ref="A1:I15" totalsRowShown="0" headerRowDxfId="98" dataDxfId="97">
  <autoFilter ref="A1:I15" xr:uid="{76BC8010-2100-4028-A884-9C5FF09016C3}"/>
  <tableColumns count="9">
    <tableColumn id="1" xr3:uid="{DBCE4C59-FDDE-4002-96C1-930C7AC987E8}" name="id" dataDxfId="96"/>
    <tableColumn id="11" xr3:uid="{EAABEA19-C492-40C1-AA14-515D8418446B}" name="name" dataDxfId="95"/>
    <tableColumn id="2" xr3:uid="{256DAD24-614C-4667-B8DF-1EC83696816F}" name="status" dataDxfId="94"/>
    <tableColumn id="18" xr3:uid="{B9DD6623-7DFC-4139-85B1-243FD825DFA0}" name="tags" dataDxfId="93"/>
    <tableColumn id="12" xr3:uid="{16A6FA6A-A8DE-4C17-BD1F-DA4FE8D11299}" name="description" dataDxfId="92"/>
    <tableColumn id="13" xr3:uid="{E657734F-A3E6-4CA9-A24F-00CBC83A1C9E}" name="created_by" dataDxfId="91"/>
    <tableColumn id="14" xr3:uid="{DF618F4D-53DC-4F63-80FE-D3A5CDCBF936}" name="created_at" dataDxfId="90"/>
    <tableColumn id="15" xr3:uid="{9E4E2B7E-8CB0-4DAB-B70B-E3AC1771F155}" name="updated_at" dataDxfId="89"/>
    <tableColumn id="16" xr3:uid="{8ABF28A7-044D-455D-9ED6-B59F7D8E1EA8}" name="deleted_at" dataDxfId="8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1B546D7-C00E-4BA7-904E-F3778473C446}" name="Table1567891011121618202122232728301326313456" displayName="Table1567891011121618202122232728301326313456" ref="A1:M47" totalsRowShown="0" headerRowDxfId="87" dataDxfId="86">
  <autoFilter ref="A1:M47" xr:uid="{76BC8010-2100-4028-A884-9C5FF09016C3}"/>
  <tableColumns count="13">
    <tableColumn id="1" xr3:uid="{7DF6EDDA-37C3-4EB8-8373-C75E7E6DBF8D}" name="id" dataDxfId="85"/>
    <tableColumn id="11" xr3:uid="{7892FE00-BFF6-485D-BAF0-14BA85FC0436}" name="user_id" dataDxfId="84"/>
    <tableColumn id="2" xr3:uid="{4839BF2D-2B1A-45FD-B415-863844F0CE2B}" name="department" dataDxfId="83"/>
    <tableColumn id="12" xr3:uid="{7975644B-21B9-417A-9629-CDE50B91CAA4}" name="subdepartment_id" dataDxfId="82"/>
    <tableColumn id="13" xr3:uid="{D8781E62-CBB8-4E2D-841B-9373B3C8E353}" name="employee_number" dataDxfId="81"/>
    <tableColumn id="14" xr3:uid="{FC6FD607-61CE-4D37-B0B4-8B33A9FF5782}" name="hire_date" dataDxfId="80"/>
    <tableColumn id="3" xr3:uid="{207BEFCA-C5A2-4F3D-B5BB-6C817A0CAFB4}" name="description" dataDxfId="79"/>
    <tableColumn id="4" xr3:uid="{6A33970E-32F3-4BB7-A638-610789FCD0E8}" name="status" dataDxfId="78"/>
    <tableColumn id="5" xr3:uid="{323533CA-82A0-433D-8D26-BC93B76AF6C6}" name="tags" dataDxfId="77"/>
    <tableColumn id="6" xr3:uid="{6109CF6B-4086-4C83-A551-E45A525429F2}" name="created_by" dataDxfId="76"/>
    <tableColumn id="7" xr3:uid="{5260B3A5-244F-4A13-8047-34D2506784BA}" name="created_at" dataDxfId="75"/>
    <tableColumn id="8" xr3:uid="{B9577734-5B75-49A7-8BC6-EC404BD93668}" name="updated_at" dataDxfId="74"/>
    <tableColumn id="9" xr3:uid="{A808A333-6AEF-41B5-8A77-32D94F2EC393}" name="deleted_at" dataDxfId="7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8304DA-F114-4DE7-9D5A-54B76AFD55F5}" name="Table1567891011121618202122232728301326313" displayName="Table1567891011121618202122232728301326313" ref="A1:L47" totalsRowShown="0" headerRowDxfId="72" dataDxfId="71">
  <autoFilter ref="A1:L47" xr:uid="{76BC8010-2100-4028-A884-9C5FF09016C3}"/>
  <tableColumns count="12">
    <tableColumn id="1" xr3:uid="{21E13E19-F149-4E1A-8D09-FFDD0EEA5321}" name="id" dataDxfId="70"/>
    <tableColumn id="11" xr3:uid="{0EB2A302-D689-4609-91D4-467BDDC3D91E}" name="user_id" dataDxfId="69"/>
    <tableColumn id="12" xr3:uid="{00F1C669-0C96-4A91-B27F-018971E2C9E5}" name="role_id" dataDxfId="68"/>
    <tableColumn id="13" xr3:uid="{108A6D27-B7A3-497D-821E-6985B1A6B468}" name="assigned_by" dataDxfId="67"/>
    <tableColumn id="14" xr3:uid="{0BFD5E79-1A00-4858-B44B-A1EB791B16F9}" name="assigned_at" dataDxfId="66"/>
    <tableColumn id="2" xr3:uid="{6C65A125-8C9B-47DD-B13C-6EA834FB0010}" name="description" dataDxfId="65"/>
    <tableColumn id="3" xr3:uid="{71A90745-9AC7-4C0D-A96E-E4AC9679DAB9}" name="status" dataDxfId="64"/>
    <tableColumn id="4" xr3:uid="{9A330B70-E5D5-42C4-9616-97881B4F4617}" name="tags" dataDxfId="63"/>
    <tableColumn id="5" xr3:uid="{04BEFBF5-5438-4ACE-89D7-D596CC77A166}" name="created_by" dataDxfId="62"/>
    <tableColumn id="6" xr3:uid="{2B0FB00F-0006-4611-A293-DFA9397C8786}" name="created_at" dataDxfId="61"/>
    <tableColumn id="7" xr3:uid="{3237E712-213E-4A3D-A3D2-754C8EE5DF38}" name="updated_at" dataDxfId="60"/>
    <tableColumn id="8" xr3:uid="{F8C45DEC-3FEC-4321-A642-5C2FFBE9ECFF}" name="deleted_at" dataDxfId="5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36C1D63-FD27-44ED-B5FA-491887EE4E89}" name="Table156789101112161820212223272830132631345" displayName="Table156789101112161820212223272830132631345" ref="A1:K7" totalsRowShown="0" headerRowDxfId="58" dataDxfId="57">
  <autoFilter ref="A1:K7" xr:uid="{76BC8010-2100-4028-A884-9C5FF09016C3}"/>
  <tableColumns count="11">
    <tableColumn id="1" xr3:uid="{DFF1B644-1C6F-4F51-B0B6-938F860268C1}" name="id" dataDxfId="56"/>
    <tableColumn id="11" xr3:uid="{1861A0C5-A35F-4637-A898-847E34BBF8B2}" name="user_id" dataDxfId="55"/>
    <tableColumn id="12" xr3:uid="{C2332C1B-300A-4D76-A021-F4F1F6D56812}" name="phone" dataDxfId="54"/>
    <tableColumn id="13" xr3:uid="{1AC56D0E-57B9-4BE0-85C9-82F34D3A0CBC}" name="assignments" dataDxfId="53"/>
    <tableColumn id="2" xr3:uid="{9615776F-99C7-4CA4-9E93-C7033142BD32}" name="description" dataDxfId="52"/>
    <tableColumn id="3" xr3:uid="{3AA7A72C-0473-4D53-BF1C-E8A24542515F}" name="status" dataDxfId="51"/>
    <tableColumn id="4" xr3:uid="{905BC515-2818-45FB-BB98-295B264E4F2E}" name="tags" dataDxfId="50"/>
    <tableColumn id="5" xr3:uid="{D8B786A6-6EBD-4757-99CD-42D0F6B2AED0}" name="created_by" dataDxfId="49"/>
    <tableColumn id="6" xr3:uid="{C05256E7-86EA-47F2-BE9F-93B0A2B92B72}" name="created_at" dataDxfId="48"/>
    <tableColumn id="7" xr3:uid="{DF73696C-EAD7-4BC5-8E69-48EA760B7102}" name="updated_at" dataDxfId="47"/>
    <tableColumn id="8" xr3:uid="{354E78B6-CD94-4B73-873D-FCC3C1DB7DA0}" name="deleted_at" dataDxfId="46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24C6CB3-890B-4EDE-B566-6A788B40D528}" name="Table15678910111216182021222327283013263134567" displayName="Table15678910111216182021222327283013263134567" ref="A1:I9" totalsRowShown="0" headerRowDxfId="45" dataDxfId="44">
  <autoFilter ref="A1:I9" xr:uid="{76BC8010-2100-4028-A884-9C5FF09016C3}"/>
  <tableColumns count="9">
    <tableColumn id="1" xr3:uid="{6DDA5DFE-D0B3-4917-9252-1D1FA97FE681}" name="id" dataDxfId="43"/>
    <tableColumn id="11" xr3:uid="{B57F9469-8705-400A-B11C-22EE07F370D6}" name="name" dataDxfId="42"/>
    <tableColumn id="2" xr3:uid="{EC4416D5-9974-46D8-845A-8B407F5F7ECC}" name="description" dataDxfId="41"/>
    <tableColumn id="3" xr3:uid="{FA4F51AD-888E-415E-954C-2C32EE7FD4E1}" name="status" dataDxfId="40"/>
    <tableColumn id="4" xr3:uid="{37431813-2824-44E9-9A35-F5870A0DE3F7}" name="tags" dataDxfId="39"/>
    <tableColumn id="5" xr3:uid="{AE266CAF-448C-4779-8C7B-670E4C318FD9}" name="created_by" dataDxfId="38"/>
    <tableColumn id="6" xr3:uid="{013DC0B0-4E08-4F3D-A9E9-C113B2B5DE5E}" name="created_at" dataDxfId="37"/>
    <tableColumn id="7" xr3:uid="{5E9B0BA2-FED1-48F5-83F2-AB10EA0C17BA}" name="updated_at" dataDxfId="36"/>
    <tableColumn id="8" xr3:uid="{0BE5BB4A-D3D0-4120-ABF4-DF8BCA5121D5}" name="deleted_at" dataDxfId="3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2A8CF89-4A73-4C75-924E-4F171791C186}" name="Table156789101112161820212223272830132631345678" displayName="Table156789101112161820212223272830132631345678" ref="A1:J13" totalsRowShown="0" headerRowDxfId="34" dataDxfId="33">
  <autoFilter ref="A1:J13" xr:uid="{76BC8010-2100-4028-A884-9C5FF09016C3}"/>
  <tableColumns count="10">
    <tableColumn id="1" xr3:uid="{29BEE7D6-6B6F-4249-8528-A175D8503562}" name="id" dataDxfId="32"/>
    <tableColumn id="12" xr3:uid="{51DC003A-7F70-4D55-8AED-ADAE347103DD}" name="department_id" dataDxfId="31"/>
    <tableColumn id="13" xr3:uid="{5981375C-D5AC-4772-BBB6-46C92DBDD60B}" name="name" dataDxfId="30"/>
    <tableColumn id="2" xr3:uid="{77D62C86-5F39-4DF0-9B36-B0115AA83625}" name="description" dataDxfId="29"/>
    <tableColumn id="3" xr3:uid="{745E6AE1-55D9-446C-9618-6622E7FD6400}" name="status" dataDxfId="28"/>
    <tableColumn id="4" xr3:uid="{CD1E143B-3A7F-4ABC-8EA2-4D0E04D05B90}" name="tags" dataDxfId="27"/>
    <tableColumn id="5" xr3:uid="{971B1BF3-8B60-46C0-8363-0204CA0175B9}" name="created_by" dataDxfId="26"/>
    <tableColumn id="6" xr3:uid="{2F93FA95-7187-4D37-A95F-A7335194CEAD}" name="created_at" dataDxfId="25"/>
    <tableColumn id="7" xr3:uid="{C7C9AE8C-CE5A-486B-ACD9-2BCC6EE677C1}" name="updated_at" dataDxfId="24"/>
    <tableColumn id="8" xr3:uid="{994310F5-79DB-4EC3-8968-9B2F8EDDA756}" name="deleted_at" dataDxfId="2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22" dataDxfId="21">
  <autoFilter ref="A1:A2" xr:uid="{76BC8010-2100-4028-A884-9C5FF09016C3}"/>
  <tableColumns count="1">
    <tableColumn id="1" xr3:uid="{8B7E544C-ECA1-43F4-A635-D2142D74687C}" name="Column1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C42E-B669-4DFE-8F49-90A80039625A}">
  <sheetPr codeName="Sheet13"/>
  <dimension ref="A1:A20"/>
  <sheetViews>
    <sheetView workbookViewId="0">
      <selection activeCell="A20" sqref="A20"/>
    </sheetView>
  </sheetViews>
  <sheetFormatPr defaultRowHeight="15"/>
  <cols>
    <col min="1" max="1" width="25.28515625" bestFit="1" customWidth="1"/>
  </cols>
  <sheetData>
    <row r="1" spans="1:1">
      <c r="A1" t="s">
        <v>586</v>
      </c>
    </row>
    <row r="2" spans="1:1">
      <c r="A2" t="s">
        <v>581</v>
      </c>
    </row>
    <row r="3" spans="1:1">
      <c r="A3" t="s">
        <v>579</v>
      </c>
    </row>
    <row r="4" spans="1:1">
      <c r="A4" t="s">
        <v>1334</v>
      </c>
    </row>
    <row r="5" spans="1:1">
      <c r="A5" t="s">
        <v>577</v>
      </c>
    </row>
    <row r="6" spans="1:1">
      <c r="A6" t="s">
        <v>580</v>
      </c>
    </row>
    <row r="7" spans="1:1">
      <c r="A7" t="s">
        <v>578</v>
      </c>
    </row>
    <row r="8" spans="1:1">
      <c r="A8" t="s">
        <v>1327</v>
      </c>
    </row>
    <row r="9" spans="1:1">
      <c r="A9" t="s">
        <v>582</v>
      </c>
    </row>
    <row r="10" spans="1:1">
      <c r="A10" t="s">
        <v>583</v>
      </c>
    </row>
    <row r="11" spans="1:1">
      <c r="A11" t="s">
        <v>1598</v>
      </c>
    </row>
    <row r="12" spans="1:1">
      <c r="A12" t="s">
        <v>1329</v>
      </c>
    </row>
    <row r="13" spans="1:1">
      <c r="A13" t="s">
        <v>585</v>
      </c>
    </row>
    <row r="14" spans="1:1">
      <c r="A14" t="s">
        <v>584</v>
      </c>
    </row>
    <row r="15" spans="1:1">
      <c r="A15" t="s">
        <v>587</v>
      </c>
    </row>
    <row r="16" spans="1:1">
      <c r="A16" t="s">
        <v>1325</v>
      </c>
    </row>
    <row r="17" spans="1:1">
      <c r="A17" t="s">
        <v>1330</v>
      </c>
    </row>
    <row r="18" spans="1:1">
      <c r="A18" t="s">
        <v>1331</v>
      </c>
    </row>
    <row r="19" spans="1:1">
      <c r="A19" t="s">
        <v>1332</v>
      </c>
    </row>
    <row r="20" spans="1:1">
      <c r="A20" t="s">
        <v>1333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C127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W1" sqref="W1:AC2"/>
    </sheetView>
  </sheetViews>
  <sheetFormatPr defaultRowHeight="1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0.85546875" style="1" bestFit="1" customWidth="1"/>
    <col min="25" max="25" width="9.140625" style="1" bestFit="1" customWidth="1"/>
    <col min="26" max="26" width="15.42578125" style="1" bestFit="1" customWidth="1"/>
    <col min="27" max="27" width="15" style="1" bestFit="1" customWidth="1"/>
    <col min="28" max="28" width="13.140625" style="1" customWidth="1"/>
    <col min="29" max="29" width="12.7109375" style="1" customWidth="1"/>
    <col min="30" max="16384" width="9.140625" style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302</v>
      </c>
      <c r="W1" s="1" t="s">
        <v>13</v>
      </c>
      <c r="X1" s="13" t="s">
        <v>321</v>
      </c>
      <c r="Y1" s="13" t="s">
        <v>305</v>
      </c>
      <c r="Z1" s="1" t="s">
        <v>14</v>
      </c>
      <c r="AA1" s="1" t="s">
        <v>15</v>
      </c>
      <c r="AB1" s="1" t="s">
        <v>16</v>
      </c>
      <c r="AC1" s="1" t="s">
        <v>17</v>
      </c>
    </row>
    <row r="2" spans="1:29" s="13" customFormat="1">
      <c r="A2" s="10" t="s">
        <v>577</v>
      </c>
      <c r="B2" s="11" t="s">
        <v>577</v>
      </c>
      <c r="C2" s="11" t="s">
        <v>578</v>
      </c>
      <c r="D2" s="11" t="s">
        <v>577</v>
      </c>
      <c r="E2" s="11" t="s">
        <v>579</v>
      </c>
      <c r="F2" s="11" t="s">
        <v>580</v>
      </c>
      <c r="G2" s="11" t="s">
        <v>580</v>
      </c>
      <c r="H2" s="11" t="s">
        <v>580</v>
      </c>
      <c r="I2" s="11" t="s">
        <v>580</v>
      </c>
      <c r="J2" s="11" t="s">
        <v>580</v>
      </c>
      <c r="K2" s="11" t="s">
        <v>580</v>
      </c>
      <c r="L2" s="11" t="s">
        <v>580</v>
      </c>
      <c r="M2" s="11" t="s">
        <v>580</v>
      </c>
      <c r="N2" s="11" t="s">
        <v>577</v>
      </c>
      <c r="O2" s="11" t="s">
        <v>577</v>
      </c>
      <c r="P2" s="11" t="s">
        <v>577</v>
      </c>
      <c r="Q2" s="11" t="s">
        <v>577</v>
      </c>
      <c r="R2" s="11" t="s">
        <v>581</v>
      </c>
      <c r="S2" s="11" t="s">
        <v>581</v>
      </c>
      <c r="T2" s="11" t="s">
        <v>580</v>
      </c>
      <c r="U2" s="11" t="s">
        <v>580</v>
      </c>
      <c r="V2" s="11" t="s">
        <v>581</v>
      </c>
      <c r="W2" s="11" t="s">
        <v>582</v>
      </c>
      <c r="X2" s="11" t="s">
        <v>583</v>
      </c>
      <c r="Y2" s="11" t="s">
        <v>584</v>
      </c>
      <c r="Z2" s="11" t="s">
        <v>577</v>
      </c>
      <c r="AA2" s="11" t="s">
        <v>585</v>
      </c>
      <c r="AB2" s="11" t="s">
        <v>585</v>
      </c>
      <c r="AC2" s="12" t="s">
        <v>585</v>
      </c>
    </row>
    <row r="3" spans="1:29">
      <c r="A3" s="1">
        <v>140000006</v>
      </c>
      <c r="B3" s="1">
        <v>30</v>
      </c>
      <c r="C3" s="2" t="s">
        <v>464</v>
      </c>
      <c r="D3" s="1">
        <v>120030006</v>
      </c>
      <c r="E3" s="1">
        <v>200</v>
      </c>
      <c r="F3" s="1">
        <v>10</v>
      </c>
      <c r="G3" s="1">
        <v>2.5</v>
      </c>
      <c r="H3" s="1" t="s">
        <v>71</v>
      </c>
      <c r="I3" s="1" t="s">
        <v>71</v>
      </c>
      <c r="J3" s="1" t="s">
        <v>72</v>
      </c>
      <c r="K3" s="1">
        <v>10</v>
      </c>
      <c r="L3" s="1">
        <v>10</v>
      </c>
      <c r="M3" s="1">
        <v>10</v>
      </c>
      <c r="N3" s="1">
        <v>120110001</v>
      </c>
      <c r="O3" s="1">
        <v>120110001</v>
      </c>
      <c r="P3" s="1">
        <v>120100023</v>
      </c>
      <c r="R3" s="1">
        <v>4</v>
      </c>
      <c r="U3" s="1">
        <v>2</v>
      </c>
    </row>
    <row r="4" spans="1:29">
      <c r="A4" s="1">
        <v>140010092</v>
      </c>
      <c r="B4" s="1">
        <v>39</v>
      </c>
      <c r="C4" s="2" t="s">
        <v>465</v>
      </c>
      <c r="D4" s="1">
        <v>120030009</v>
      </c>
      <c r="E4" s="1">
        <v>220</v>
      </c>
      <c r="F4" s="1">
        <v>10</v>
      </c>
      <c r="G4" s="1">
        <v>2.5</v>
      </c>
      <c r="H4" s="1" t="s">
        <v>72</v>
      </c>
      <c r="I4" s="1" t="s">
        <v>72</v>
      </c>
      <c r="J4" s="1" t="s">
        <v>72</v>
      </c>
      <c r="N4" s="1">
        <v>120100018</v>
      </c>
      <c r="O4" s="1">
        <v>120100018</v>
      </c>
      <c r="P4" s="1">
        <v>120100018</v>
      </c>
      <c r="R4" s="1">
        <v>4</v>
      </c>
      <c r="U4" s="1">
        <v>12</v>
      </c>
    </row>
    <row r="5" spans="1:29">
      <c r="A5" s="1">
        <v>140010117</v>
      </c>
      <c r="B5" s="1">
        <v>39</v>
      </c>
      <c r="C5" s="2" t="s">
        <v>465</v>
      </c>
      <c r="D5" s="1">
        <v>120030094</v>
      </c>
      <c r="E5" s="1">
        <v>220</v>
      </c>
      <c r="F5" s="1">
        <v>10</v>
      </c>
      <c r="G5" s="1">
        <v>2.5</v>
      </c>
      <c r="H5" s="1" t="s">
        <v>72</v>
      </c>
      <c r="I5" s="1" t="s">
        <v>72</v>
      </c>
      <c r="J5" s="1" t="s">
        <v>72</v>
      </c>
      <c r="N5" s="1">
        <v>120100018</v>
      </c>
      <c r="O5" s="1">
        <v>120100018</v>
      </c>
      <c r="Q5" s="1">
        <v>120100018</v>
      </c>
      <c r="R5" s="1">
        <v>4</v>
      </c>
      <c r="T5" s="1">
        <v>20</v>
      </c>
      <c r="U5" s="1">
        <v>12</v>
      </c>
    </row>
    <row r="6" spans="1:29">
      <c r="A6" s="1">
        <v>140010230</v>
      </c>
      <c r="B6" s="1">
        <v>39</v>
      </c>
      <c r="C6" s="2" t="s">
        <v>466</v>
      </c>
      <c r="D6" s="1">
        <v>120030094</v>
      </c>
      <c r="E6" s="1">
        <v>215</v>
      </c>
      <c r="F6" s="1">
        <v>16</v>
      </c>
      <c r="G6" s="1">
        <v>2.5</v>
      </c>
      <c r="H6" s="1" t="s">
        <v>72</v>
      </c>
      <c r="I6" s="1" t="s">
        <v>72</v>
      </c>
      <c r="J6" s="1" t="s">
        <v>72</v>
      </c>
      <c r="K6" s="1">
        <v>16</v>
      </c>
      <c r="L6" s="1">
        <v>16</v>
      </c>
      <c r="M6" s="1">
        <v>5.5</v>
      </c>
      <c r="N6" s="1">
        <v>120100018</v>
      </c>
      <c r="O6" s="1">
        <v>120100018</v>
      </c>
      <c r="Q6" s="1">
        <v>120100018</v>
      </c>
      <c r="R6" s="1">
        <v>4</v>
      </c>
      <c r="T6" s="1">
        <v>18</v>
      </c>
      <c r="U6" s="1">
        <v>1</v>
      </c>
    </row>
    <row r="7" spans="1:29">
      <c r="A7" s="1">
        <v>140010235</v>
      </c>
      <c r="B7" s="1">
        <v>39</v>
      </c>
      <c r="C7" s="2" t="s">
        <v>467</v>
      </c>
      <c r="D7" s="1">
        <v>120030039</v>
      </c>
      <c r="E7" s="1">
        <v>160</v>
      </c>
      <c r="F7" s="1">
        <v>2</v>
      </c>
      <c r="G7" s="1">
        <v>2</v>
      </c>
      <c r="H7" s="1" t="s">
        <v>71</v>
      </c>
      <c r="I7" s="1" t="s">
        <v>71</v>
      </c>
      <c r="J7" s="1" t="s">
        <v>73</v>
      </c>
      <c r="N7" s="1">
        <v>120110001</v>
      </c>
      <c r="O7" s="1">
        <v>120110001</v>
      </c>
      <c r="R7" s="1">
        <v>3</v>
      </c>
      <c r="U7" s="1">
        <v>7.5</v>
      </c>
    </row>
    <row r="8" spans="1:29">
      <c r="A8" s="1">
        <v>140010236</v>
      </c>
      <c r="B8" s="1">
        <v>39</v>
      </c>
      <c r="C8" s="2" t="s">
        <v>468</v>
      </c>
      <c r="D8" s="1">
        <v>120030039</v>
      </c>
      <c r="E8" s="1">
        <v>192</v>
      </c>
      <c r="F8" s="1">
        <v>2</v>
      </c>
      <c r="G8" s="1">
        <v>2</v>
      </c>
      <c r="H8" s="1" t="s">
        <v>71</v>
      </c>
      <c r="I8" s="1" t="s">
        <v>71</v>
      </c>
      <c r="J8" s="1" t="s">
        <v>73</v>
      </c>
      <c r="N8" s="1">
        <v>120110001</v>
      </c>
      <c r="O8" s="1">
        <v>120110001</v>
      </c>
      <c r="R8" s="1">
        <v>3</v>
      </c>
      <c r="U8" s="1">
        <v>40</v>
      </c>
    </row>
    <row r="9" spans="1:29">
      <c r="A9" s="1">
        <v>140010237</v>
      </c>
      <c r="B9" s="1">
        <v>39</v>
      </c>
      <c r="C9" s="2" t="s">
        <v>469</v>
      </c>
      <c r="D9" s="1">
        <v>120030039</v>
      </c>
      <c r="E9" s="1">
        <v>163</v>
      </c>
      <c r="F9" s="1">
        <v>2</v>
      </c>
      <c r="G9" s="1">
        <v>2</v>
      </c>
      <c r="H9" s="1" t="s">
        <v>71</v>
      </c>
      <c r="I9" s="1" t="s">
        <v>71</v>
      </c>
      <c r="J9" s="1" t="s">
        <v>73</v>
      </c>
      <c r="N9" s="1">
        <v>120110001</v>
      </c>
      <c r="O9" s="1">
        <v>120110001</v>
      </c>
      <c r="R9" s="1">
        <v>3</v>
      </c>
      <c r="U9" s="1">
        <v>11</v>
      </c>
    </row>
    <row r="10" spans="1:29">
      <c r="A10" s="1">
        <v>140010255</v>
      </c>
      <c r="B10" s="1">
        <v>39</v>
      </c>
      <c r="C10" s="2" t="s">
        <v>470</v>
      </c>
      <c r="D10" s="1">
        <v>120030094</v>
      </c>
      <c r="E10" s="1">
        <v>220</v>
      </c>
      <c r="F10" s="1">
        <v>10</v>
      </c>
      <c r="G10" s="1">
        <v>2.5</v>
      </c>
      <c r="H10" s="1" t="s">
        <v>74</v>
      </c>
      <c r="I10" s="1" t="s">
        <v>74</v>
      </c>
      <c r="J10" s="1" t="s">
        <v>72</v>
      </c>
      <c r="Q10" s="1">
        <v>120100015</v>
      </c>
      <c r="R10" s="1">
        <v>4</v>
      </c>
      <c r="T10" s="1">
        <v>20</v>
      </c>
      <c r="U10" s="1">
        <v>12</v>
      </c>
    </row>
    <row r="11" spans="1:29">
      <c r="A11" s="1">
        <v>140010260</v>
      </c>
      <c r="B11" s="1">
        <v>39</v>
      </c>
      <c r="C11" s="2" t="s">
        <v>471</v>
      </c>
      <c r="D11" s="1">
        <v>120030039</v>
      </c>
      <c r="E11" s="1">
        <v>212</v>
      </c>
      <c r="F11" s="1">
        <v>20</v>
      </c>
      <c r="G11" s="1">
        <v>20</v>
      </c>
      <c r="H11" s="1" t="s">
        <v>71</v>
      </c>
      <c r="I11" s="1" t="s">
        <v>71</v>
      </c>
      <c r="J11" s="1" t="s">
        <v>73</v>
      </c>
      <c r="N11" s="1">
        <v>120110001</v>
      </c>
      <c r="O11" s="1">
        <v>120110001</v>
      </c>
      <c r="R11" s="1">
        <v>3</v>
      </c>
      <c r="U11" s="1">
        <v>60</v>
      </c>
    </row>
    <row r="12" spans="1:29">
      <c r="A12" s="1">
        <v>140010279</v>
      </c>
      <c r="B12" s="1">
        <v>39</v>
      </c>
      <c r="C12" s="2" t="s">
        <v>472</v>
      </c>
      <c r="D12" s="1">
        <v>120030039</v>
      </c>
      <c r="E12" s="1">
        <v>177</v>
      </c>
      <c r="F12" s="1">
        <v>2.5</v>
      </c>
      <c r="G12" s="1">
        <v>2</v>
      </c>
      <c r="H12" s="1" t="s">
        <v>75</v>
      </c>
      <c r="I12" s="1" t="s">
        <v>75</v>
      </c>
      <c r="J12" s="1" t="s">
        <v>73</v>
      </c>
      <c r="N12" s="1">
        <v>120110001</v>
      </c>
      <c r="O12" s="1">
        <v>120110001</v>
      </c>
      <c r="R12" s="1">
        <v>3</v>
      </c>
      <c r="U12" s="1">
        <v>25</v>
      </c>
    </row>
    <row r="13" spans="1:29">
      <c r="A13" s="1">
        <v>140010280</v>
      </c>
      <c r="B13" s="1">
        <v>39</v>
      </c>
      <c r="C13" s="2" t="s">
        <v>473</v>
      </c>
      <c r="D13" s="1">
        <v>120030039</v>
      </c>
      <c r="E13" s="1">
        <v>192</v>
      </c>
      <c r="F13" s="1">
        <v>2</v>
      </c>
      <c r="G13" s="1">
        <v>2</v>
      </c>
      <c r="H13" s="1" t="s">
        <v>71</v>
      </c>
      <c r="I13" s="1" t="s">
        <v>71</v>
      </c>
      <c r="J13" s="1" t="s">
        <v>73</v>
      </c>
      <c r="N13" s="1">
        <v>120110001</v>
      </c>
      <c r="O13" s="1">
        <v>120110001</v>
      </c>
      <c r="R13" s="1">
        <v>3</v>
      </c>
      <c r="U13" s="1">
        <v>40</v>
      </c>
    </row>
    <row r="14" spans="1:29">
      <c r="A14" s="1">
        <v>140010281</v>
      </c>
      <c r="B14" s="1">
        <v>39</v>
      </c>
      <c r="C14" s="2" t="s">
        <v>471</v>
      </c>
      <c r="D14" s="1">
        <v>120030039</v>
      </c>
      <c r="E14" s="1">
        <v>212</v>
      </c>
      <c r="F14" s="1">
        <v>20</v>
      </c>
      <c r="G14" s="1">
        <v>20</v>
      </c>
      <c r="H14" s="1" t="s">
        <v>71</v>
      </c>
      <c r="I14" s="1" t="s">
        <v>71</v>
      </c>
      <c r="J14" s="1" t="s">
        <v>73</v>
      </c>
      <c r="N14" s="1">
        <v>120110001</v>
      </c>
      <c r="O14" s="1">
        <v>120110001</v>
      </c>
      <c r="R14" s="1">
        <v>3</v>
      </c>
      <c r="U14" s="1">
        <v>60</v>
      </c>
    </row>
    <row r="15" spans="1:29">
      <c r="A15" s="1">
        <v>140010282</v>
      </c>
      <c r="B15" s="1">
        <v>39</v>
      </c>
      <c r="C15" s="2" t="s">
        <v>469</v>
      </c>
      <c r="D15" s="1">
        <v>120030039</v>
      </c>
      <c r="E15" s="1">
        <v>163</v>
      </c>
      <c r="F15" s="1">
        <v>2.5</v>
      </c>
      <c r="G15" s="1">
        <v>2</v>
      </c>
      <c r="H15" s="1" t="s">
        <v>71</v>
      </c>
      <c r="I15" s="1" t="s">
        <v>71</v>
      </c>
      <c r="J15" s="1" t="s">
        <v>73</v>
      </c>
      <c r="N15" s="1">
        <v>120110001</v>
      </c>
      <c r="O15" s="1">
        <v>120110001</v>
      </c>
      <c r="R15" s="1">
        <v>3</v>
      </c>
      <c r="U15" s="1">
        <v>11</v>
      </c>
    </row>
    <row r="16" spans="1:29">
      <c r="A16" s="1">
        <v>140010295</v>
      </c>
      <c r="B16" s="1">
        <v>39</v>
      </c>
      <c r="C16" s="2" t="s">
        <v>474</v>
      </c>
      <c r="D16" s="1">
        <v>120030039</v>
      </c>
      <c r="E16" s="1">
        <v>150</v>
      </c>
      <c r="F16" s="1">
        <v>2.5</v>
      </c>
      <c r="G16" s="1">
        <v>1.4</v>
      </c>
      <c r="H16" s="1" t="s">
        <v>76</v>
      </c>
      <c r="I16" s="1" t="s">
        <v>76</v>
      </c>
      <c r="J16" s="1" t="s">
        <v>73</v>
      </c>
      <c r="N16" s="1">
        <v>120100223</v>
      </c>
      <c r="O16" s="1">
        <v>120100223</v>
      </c>
      <c r="R16" s="1">
        <v>3</v>
      </c>
      <c r="U16" s="1">
        <v>0</v>
      </c>
    </row>
    <row r="17" spans="1:21">
      <c r="A17" s="1">
        <v>140020007</v>
      </c>
      <c r="B17" s="1">
        <v>37</v>
      </c>
      <c r="C17" s="2" t="s">
        <v>475</v>
      </c>
      <c r="D17" s="1">
        <v>120030094</v>
      </c>
      <c r="E17" s="1">
        <v>220</v>
      </c>
      <c r="F17" s="1">
        <v>15</v>
      </c>
      <c r="G17" s="1">
        <v>2.5</v>
      </c>
      <c r="H17" s="1" t="s">
        <v>75</v>
      </c>
      <c r="I17" s="1" t="s">
        <v>75</v>
      </c>
      <c r="J17" s="1" t="s">
        <v>72</v>
      </c>
      <c r="N17" s="1">
        <v>120110001</v>
      </c>
      <c r="O17" s="1">
        <v>120110001</v>
      </c>
      <c r="P17" s="1">
        <v>120100023</v>
      </c>
      <c r="R17" s="1">
        <v>4</v>
      </c>
      <c r="U17" s="1">
        <v>8</v>
      </c>
    </row>
    <row r="18" spans="1:21">
      <c r="A18" s="1">
        <v>140020091</v>
      </c>
      <c r="B18" s="1">
        <v>37</v>
      </c>
      <c r="C18" s="2" t="s">
        <v>475</v>
      </c>
      <c r="D18" s="1">
        <v>120030009</v>
      </c>
      <c r="E18" s="1">
        <v>220</v>
      </c>
      <c r="F18" s="1">
        <v>10</v>
      </c>
      <c r="G18" s="1">
        <v>2.5</v>
      </c>
      <c r="H18" s="1" t="s">
        <v>77</v>
      </c>
      <c r="I18" s="1" t="s">
        <v>77</v>
      </c>
      <c r="J18" s="1" t="s">
        <v>72</v>
      </c>
      <c r="N18" s="1" t="s">
        <v>90</v>
      </c>
      <c r="O18" s="1" t="s">
        <v>91</v>
      </c>
      <c r="P18" s="1">
        <v>120100023</v>
      </c>
      <c r="R18" s="1">
        <v>4</v>
      </c>
      <c r="U18" s="1">
        <v>12</v>
      </c>
    </row>
    <row r="19" spans="1:21">
      <c r="A19" s="1">
        <v>140020181</v>
      </c>
      <c r="B19" s="1">
        <v>37</v>
      </c>
      <c r="C19" s="2" t="s">
        <v>476</v>
      </c>
      <c r="D19" s="1">
        <v>120030094</v>
      </c>
      <c r="E19" s="1">
        <v>223</v>
      </c>
      <c r="F19" s="1">
        <v>17</v>
      </c>
      <c r="G19" s="1">
        <v>2.5</v>
      </c>
      <c r="H19" s="1" t="s">
        <v>71</v>
      </c>
      <c r="I19" s="1" t="s">
        <v>71</v>
      </c>
      <c r="J19" s="1" t="s">
        <v>72</v>
      </c>
      <c r="K19" s="1">
        <v>14.5</v>
      </c>
      <c r="L19" s="1">
        <v>14.5</v>
      </c>
      <c r="M19" s="1">
        <v>17</v>
      </c>
      <c r="N19" s="1">
        <v>120110001</v>
      </c>
      <c r="O19" s="1">
        <v>120110001</v>
      </c>
      <c r="P19" s="1">
        <v>120100023</v>
      </c>
      <c r="R19" s="1">
        <v>4</v>
      </c>
      <c r="U19" s="1">
        <v>8</v>
      </c>
    </row>
    <row r="20" spans="1:21">
      <c r="A20" s="1">
        <v>140020196</v>
      </c>
      <c r="B20" s="1">
        <v>37</v>
      </c>
      <c r="C20" s="2" t="s">
        <v>477</v>
      </c>
      <c r="D20" s="1">
        <v>120030094</v>
      </c>
      <c r="E20" s="1">
        <v>223</v>
      </c>
      <c r="F20" s="1">
        <v>15</v>
      </c>
      <c r="G20" s="1">
        <v>2.5</v>
      </c>
      <c r="H20" s="1" t="s">
        <v>77</v>
      </c>
      <c r="I20" s="1" t="s">
        <v>77</v>
      </c>
      <c r="J20" s="1" t="s">
        <v>72</v>
      </c>
      <c r="K20" s="1">
        <v>13</v>
      </c>
      <c r="L20" s="1">
        <v>13</v>
      </c>
      <c r="M20" s="1">
        <v>15</v>
      </c>
      <c r="N20" s="1" t="s">
        <v>91</v>
      </c>
      <c r="O20" s="1" t="s">
        <v>90</v>
      </c>
      <c r="P20" s="1">
        <v>120100023</v>
      </c>
      <c r="R20" s="1">
        <v>4</v>
      </c>
      <c r="U20" s="1">
        <v>10</v>
      </c>
    </row>
    <row r="21" spans="1:21">
      <c r="A21" s="1">
        <v>140030039</v>
      </c>
      <c r="B21" s="1">
        <v>32</v>
      </c>
      <c r="C21" s="2" t="s">
        <v>478</v>
      </c>
      <c r="D21" s="1">
        <v>120030094</v>
      </c>
      <c r="E21" s="1">
        <v>224</v>
      </c>
      <c r="F21" s="1">
        <v>12</v>
      </c>
      <c r="G21" s="1">
        <v>2.5</v>
      </c>
      <c r="H21" s="1" t="s">
        <v>75</v>
      </c>
      <c r="I21" s="1" t="s">
        <v>75</v>
      </c>
      <c r="J21" s="1" t="s">
        <v>72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>
      <c r="A22" s="1">
        <v>140030040</v>
      </c>
      <c r="B22" s="1">
        <v>32</v>
      </c>
      <c r="C22" s="2" t="s">
        <v>479</v>
      </c>
      <c r="D22" s="1">
        <v>120030094</v>
      </c>
      <c r="E22" s="1">
        <v>224</v>
      </c>
      <c r="F22" s="1">
        <v>12</v>
      </c>
      <c r="G22" s="1">
        <v>2.5</v>
      </c>
      <c r="H22" s="1" t="s">
        <v>75</v>
      </c>
      <c r="I22" s="1" t="s">
        <v>75</v>
      </c>
      <c r="J22" s="1" t="s">
        <v>72</v>
      </c>
      <c r="K22" s="1">
        <v>8</v>
      </c>
      <c r="L22" s="1">
        <v>8</v>
      </c>
      <c r="M22" s="1">
        <v>12</v>
      </c>
      <c r="N22" s="1">
        <v>120110015</v>
      </c>
      <c r="O22" s="1">
        <v>120110015</v>
      </c>
      <c r="P22" s="1">
        <v>120110052</v>
      </c>
      <c r="R22" s="1">
        <v>4</v>
      </c>
      <c r="U22" s="1">
        <v>12</v>
      </c>
    </row>
    <row r="23" spans="1:21">
      <c r="A23" s="1">
        <v>140090014</v>
      </c>
      <c r="B23" s="1">
        <v>22</v>
      </c>
      <c r="C23" s="2" t="s">
        <v>480</v>
      </c>
      <c r="D23" s="1">
        <v>120030006</v>
      </c>
      <c r="E23" s="1">
        <v>257</v>
      </c>
      <c r="F23" s="1">
        <v>50</v>
      </c>
      <c r="G23" s="1">
        <v>2.5</v>
      </c>
      <c r="H23" s="1" t="s">
        <v>77</v>
      </c>
      <c r="I23" s="1" t="s">
        <v>77</v>
      </c>
      <c r="J23" s="1" t="s">
        <v>72</v>
      </c>
      <c r="K23" s="1">
        <v>15</v>
      </c>
      <c r="L23" s="1">
        <v>15</v>
      </c>
      <c r="M23" s="1">
        <v>50</v>
      </c>
      <c r="N23" s="1" t="s">
        <v>90</v>
      </c>
      <c r="O23" s="1" t="s">
        <v>90</v>
      </c>
      <c r="P23" s="1">
        <v>120110052</v>
      </c>
      <c r="R23" s="1">
        <v>5</v>
      </c>
      <c r="U23" s="1">
        <v>10</v>
      </c>
    </row>
    <row r="24" spans="1:21">
      <c r="A24" s="1">
        <v>140090037</v>
      </c>
      <c r="B24" s="1">
        <v>22</v>
      </c>
      <c r="C24" s="2" t="s">
        <v>481</v>
      </c>
      <c r="D24" s="1">
        <v>120030042</v>
      </c>
      <c r="E24" s="1">
        <v>227</v>
      </c>
      <c r="F24" s="1">
        <v>23</v>
      </c>
      <c r="G24" s="1">
        <v>2.5</v>
      </c>
      <c r="H24" s="1" t="s">
        <v>77</v>
      </c>
      <c r="I24" s="1" t="s">
        <v>77</v>
      </c>
      <c r="J24" s="1" t="s">
        <v>72</v>
      </c>
      <c r="K24" s="1">
        <v>23</v>
      </c>
      <c r="L24" s="1">
        <v>23</v>
      </c>
      <c r="M24" s="1">
        <v>23</v>
      </c>
      <c r="N24" s="1" t="s">
        <v>90</v>
      </c>
      <c r="O24" s="1" t="s">
        <v>90</v>
      </c>
      <c r="P24" s="1">
        <v>120100029</v>
      </c>
      <c r="R24" s="1">
        <v>5</v>
      </c>
      <c r="U24" s="1">
        <v>2</v>
      </c>
    </row>
    <row r="25" spans="1:21">
      <c r="A25" s="1">
        <v>140090075</v>
      </c>
      <c r="B25" s="1">
        <v>22</v>
      </c>
      <c r="C25" s="2" t="s">
        <v>480</v>
      </c>
      <c r="D25" s="1">
        <v>120030006</v>
      </c>
      <c r="E25" s="1">
        <v>257</v>
      </c>
      <c r="F25" s="1">
        <v>50</v>
      </c>
      <c r="G25" s="1">
        <v>2.5</v>
      </c>
      <c r="H25" s="1" t="s">
        <v>77</v>
      </c>
      <c r="I25" s="1" t="s">
        <v>77</v>
      </c>
      <c r="J25" s="1" t="s">
        <v>72</v>
      </c>
      <c r="K25" s="1">
        <v>9.5</v>
      </c>
      <c r="L25" s="1">
        <v>9.5</v>
      </c>
      <c r="M25" s="1">
        <v>50</v>
      </c>
      <c r="N25" s="1" t="s">
        <v>90</v>
      </c>
      <c r="O25" s="1" t="s">
        <v>90</v>
      </c>
      <c r="P25" s="1">
        <v>120110052</v>
      </c>
      <c r="R25" s="1">
        <v>5</v>
      </c>
      <c r="U25" s="1">
        <v>5</v>
      </c>
    </row>
    <row r="26" spans="1:21">
      <c r="A26" s="1">
        <v>140090098</v>
      </c>
      <c r="B26" s="1">
        <v>22</v>
      </c>
      <c r="C26" s="2" t="s">
        <v>482</v>
      </c>
      <c r="D26" s="1">
        <v>120030006</v>
      </c>
      <c r="E26" s="1">
        <v>187</v>
      </c>
      <c r="F26" s="1">
        <v>20</v>
      </c>
      <c r="G26" s="1">
        <v>2.5</v>
      </c>
      <c r="H26" s="1" t="s">
        <v>77</v>
      </c>
      <c r="I26" s="1" t="s">
        <v>77</v>
      </c>
      <c r="J26" s="1" t="s">
        <v>72</v>
      </c>
      <c r="N26" s="1" t="s">
        <v>90</v>
      </c>
      <c r="O26" s="1" t="s">
        <v>90</v>
      </c>
      <c r="P26" s="1">
        <v>120110052</v>
      </c>
      <c r="R26" s="1">
        <v>4</v>
      </c>
      <c r="U26" s="1">
        <v>10</v>
      </c>
    </row>
    <row r="27" spans="1:21">
      <c r="A27" s="1">
        <v>140090143</v>
      </c>
      <c r="B27" s="1">
        <v>22</v>
      </c>
      <c r="C27" s="2" t="s">
        <v>483</v>
      </c>
      <c r="D27" s="1">
        <v>120030094</v>
      </c>
      <c r="E27" s="1">
        <v>227</v>
      </c>
      <c r="F27" s="1">
        <v>23</v>
      </c>
      <c r="G27" s="1">
        <v>2.5</v>
      </c>
      <c r="H27" s="1" t="s">
        <v>77</v>
      </c>
      <c r="I27" s="1" t="s">
        <v>77</v>
      </c>
      <c r="J27" s="1" t="s">
        <v>72</v>
      </c>
      <c r="N27" s="1" t="s">
        <v>90</v>
      </c>
      <c r="O27" s="1" t="s">
        <v>90</v>
      </c>
      <c r="Q27" s="1">
        <v>120100029</v>
      </c>
      <c r="R27" s="1">
        <v>5</v>
      </c>
      <c r="T27" s="1">
        <v>61</v>
      </c>
      <c r="U27" s="1">
        <v>2</v>
      </c>
    </row>
    <row r="28" spans="1:21">
      <c r="A28" s="1">
        <v>140120021</v>
      </c>
      <c r="B28" s="1">
        <v>13</v>
      </c>
      <c r="C28" s="2" t="s">
        <v>484</v>
      </c>
      <c r="D28" s="1">
        <v>120030009</v>
      </c>
      <c r="E28" s="1">
        <v>223</v>
      </c>
      <c r="F28" s="1">
        <v>15</v>
      </c>
      <c r="G28" s="1">
        <v>2.5</v>
      </c>
      <c r="H28" s="1" t="s">
        <v>74</v>
      </c>
      <c r="I28" s="1" t="s">
        <v>74</v>
      </c>
      <c r="J28" s="1" t="s">
        <v>72</v>
      </c>
      <c r="K28" s="1">
        <v>15</v>
      </c>
      <c r="L28" s="1">
        <v>15</v>
      </c>
      <c r="M28" s="1">
        <v>15</v>
      </c>
      <c r="P28" s="1">
        <v>120100024</v>
      </c>
      <c r="R28" s="1">
        <v>5</v>
      </c>
      <c r="U28" s="1">
        <v>0</v>
      </c>
    </row>
    <row r="29" spans="1:21">
      <c r="A29" s="1">
        <v>140120058</v>
      </c>
      <c r="B29" s="1">
        <v>13</v>
      </c>
      <c r="C29" s="2" t="s">
        <v>485</v>
      </c>
      <c r="D29" s="1">
        <v>120030009</v>
      </c>
      <c r="E29" s="1">
        <v>223</v>
      </c>
      <c r="F29" s="1">
        <v>15</v>
      </c>
      <c r="G29" s="1">
        <v>2.5</v>
      </c>
      <c r="H29" s="1" t="s">
        <v>74</v>
      </c>
      <c r="I29" s="1" t="s">
        <v>74</v>
      </c>
      <c r="J29" s="1" t="s">
        <v>74</v>
      </c>
      <c r="K29" s="1">
        <v>15</v>
      </c>
      <c r="L29" s="1">
        <v>15</v>
      </c>
      <c r="M29" s="1">
        <v>15</v>
      </c>
      <c r="R29" s="1">
        <v>5</v>
      </c>
      <c r="U29" s="1">
        <v>0</v>
      </c>
    </row>
    <row r="30" spans="1:21">
      <c r="A30" s="1">
        <v>140160010</v>
      </c>
      <c r="B30" s="1">
        <v>8</v>
      </c>
      <c r="C30" s="2" t="s">
        <v>486</v>
      </c>
      <c r="D30" s="1">
        <v>120030010</v>
      </c>
      <c r="E30" s="1">
        <v>167</v>
      </c>
      <c r="F30" s="1">
        <v>13.5</v>
      </c>
      <c r="G30" s="1">
        <v>2.5</v>
      </c>
      <c r="H30" s="1" t="s">
        <v>72</v>
      </c>
      <c r="I30" s="1" t="s">
        <v>72</v>
      </c>
      <c r="J30" s="1" t="s">
        <v>72</v>
      </c>
      <c r="K30" s="1">
        <v>12.5</v>
      </c>
      <c r="L30" s="1">
        <v>12.5</v>
      </c>
      <c r="M30" s="1">
        <v>13.5</v>
      </c>
      <c r="N30" s="1">
        <v>120100014</v>
      </c>
      <c r="O30" s="1">
        <v>120100014</v>
      </c>
      <c r="P30" s="1">
        <v>120100014</v>
      </c>
      <c r="R30" s="1">
        <v>5</v>
      </c>
      <c r="U30" s="1">
        <v>2.5</v>
      </c>
    </row>
    <row r="31" spans="1:21">
      <c r="A31" s="1">
        <v>140220011</v>
      </c>
      <c r="B31" s="1">
        <v>25</v>
      </c>
      <c r="C31" s="2" t="s">
        <v>487</v>
      </c>
      <c r="D31" s="1">
        <v>120030107</v>
      </c>
      <c r="E31" s="1">
        <v>183</v>
      </c>
      <c r="F31" s="1">
        <v>12</v>
      </c>
      <c r="G31" s="1">
        <v>2.5</v>
      </c>
      <c r="H31" s="1" t="s">
        <v>78</v>
      </c>
      <c r="I31" s="1" t="s">
        <v>78</v>
      </c>
      <c r="J31" s="1" t="s">
        <v>78</v>
      </c>
      <c r="K31" s="1">
        <v>9</v>
      </c>
      <c r="L31" s="1">
        <v>9</v>
      </c>
      <c r="M31" s="1">
        <v>12</v>
      </c>
      <c r="N31" s="1">
        <v>120100047</v>
      </c>
      <c r="O31" s="1">
        <v>120100047</v>
      </c>
      <c r="P31" s="1">
        <v>120100083</v>
      </c>
      <c r="R31" s="1">
        <v>5</v>
      </c>
      <c r="U31" s="1">
        <v>0</v>
      </c>
    </row>
    <row r="32" spans="1:21">
      <c r="A32" s="1">
        <v>140220012</v>
      </c>
      <c r="B32" s="1">
        <v>25</v>
      </c>
      <c r="C32" s="2" t="s">
        <v>488</v>
      </c>
      <c r="D32" s="1">
        <v>120030107</v>
      </c>
      <c r="E32" s="1">
        <v>192</v>
      </c>
      <c r="F32" s="1">
        <v>36</v>
      </c>
      <c r="G32" s="1">
        <v>2.5</v>
      </c>
      <c r="H32" s="1" t="s">
        <v>78</v>
      </c>
      <c r="I32" s="1" t="s">
        <v>78</v>
      </c>
      <c r="J32" s="1" t="s">
        <v>72</v>
      </c>
      <c r="K32" s="1">
        <v>15</v>
      </c>
      <c r="L32" s="1">
        <v>15</v>
      </c>
      <c r="M32" s="1">
        <v>36</v>
      </c>
      <c r="N32" s="1">
        <v>120100083</v>
      </c>
      <c r="O32" s="1">
        <v>120100083</v>
      </c>
      <c r="P32" s="1">
        <v>120110052</v>
      </c>
      <c r="R32" s="1">
        <v>5</v>
      </c>
      <c r="U32" s="1">
        <v>1.5</v>
      </c>
    </row>
    <row r="33" spans="1:21">
      <c r="A33" s="1">
        <v>140220018</v>
      </c>
      <c r="B33" s="1">
        <v>25</v>
      </c>
      <c r="C33" s="2" t="s">
        <v>489</v>
      </c>
      <c r="D33" s="1">
        <v>120030107</v>
      </c>
      <c r="E33" s="1">
        <v>170</v>
      </c>
      <c r="F33" s="1">
        <v>14.5</v>
      </c>
      <c r="G33" s="1">
        <v>2.5</v>
      </c>
      <c r="H33" s="1" t="s">
        <v>72</v>
      </c>
      <c r="I33" s="1" t="s">
        <v>72</v>
      </c>
      <c r="J33" s="1" t="s">
        <v>72</v>
      </c>
      <c r="K33" s="1">
        <v>9</v>
      </c>
      <c r="L33" s="1">
        <v>9</v>
      </c>
      <c r="M33" s="1">
        <v>14.5</v>
      </c>
      <c r="N33" s="1">
        <v>120100016</v>
      </c>
      <c r="O33" s="1">
        <v>120100016</v>
      </c>
      <c r="P33" s="1">
        <v>120100016</v>
      </c>
      <c r="R33" s="1">
        <v>5</v>
      </c>
      <c r="U33" s="1">
        <v>1.5</v>
      </c>
    </row>
    <row r="34" spans="1:21">
      <c r="A34" s="1">
        <v>140230010</v>
      </c>
      <c r="B34" s="1">
        <v>2</v>
      </c>
      <c r="C34" s="2" t="s">
        <v>490</v>
      </c>
      <c r="D34" s="1">
        <v>120030028</v>
      </c>
      <c r="E34" s="1">
        <v>200</v>
      </c>
      <c r="F34" s="1">
        <v>8.6999999999999993</v>
      </c>
      <c r="G34" s="1">
        <v>2.5</v>
      </c>
      <c r="H34" s="1" t="s">
        <v>77</v>
      </c>
      <c r="I34" s="1" t="s">
        <v>77</v>
      </c>
      <c r="J34" s="1" t="s">
        <v>77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>
      <c r="A35" s="1">
        <v>140230023</v>
      </c>
      <c r="B35" s="1">
        <v>2</v>
      </c>
      <c r="C35" s="2" t="s">
        <v>491</v>
      </c>
      <c r="D35" s="1">
        <v>120030010</v>
      </c>
      <c r="E35" s="1">
        <v>145</v>
      </c>
      <c r="F35" s="1">
        <v>8.6999999999999993</v>
      </c>
      <c r="G35" s="1">
        <v>2.5</v>
      </c>
      <c r="H35" s="1" t="s">
        <v>77</v>
      </c>
      <c r="I35" s="1" t="s">
        <v>77</v>
      </c>
      <c r="J35" s="1" t="s">
        <v>77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>
      <c r="A36" s="1">
        <v>140230061</v>
      </c>
      <c r="B36" s="1">
        <v>2</v>
      </c>
      <c r="C36" s="2" t="s">
        <v>492</v>
      </c>
      <c r="D36" s="1">
        <v>120030044</v>
      </c>
      <c r="E36" s="1">
        <v>145</v>
      </c>
      <c r="F36" s="1">
        <v>8.6999999999999993</v>
      </c>
      <c r="G36" s="1">
        <v>2.5</v>
      </c>
      <c r="H36" s="1" t="s">
        <v>77</v>
      </c>
      <c r="I36" s="1" t="s">
        <v>77</v>
      </c>
      <c r="J36" s="1" t="s">
        <v>77</v>
      </c>
      <c r="N36" s="1">
        <v>120110051</v>
      </c>
      <c r="O36" s="1">
        <v>120110051</v>
      </c>
      <c r="P36" s="1">
        <v>120110051</v>
      </c>
      <c r="R36" s="1">
        <v>5</v>
      </c>
      <c r="U36" s="1">
        <v>3</v>
      </c>
    </row>
    <row r="37" spans="1:21">
      <c r="A37" s="1">
        <v>140230078</v>
      </c>
      <c r="B37" s="1">
        <v>2</v>
      </c>
      <c r="C37" s="2" t="s">
        <v>493</v>
      </c>
      <c r="D37" s="1">
        <v>111111111</v>
      </c>
      <c r="E37" s="1">
        <v>134</v>
      </c>
      <c r="F37" s="1">
        <v>8.6999999999999993</v>
      </c>
      <c r="G37" s="1">
        <v>2.5</v>
      </c>
      <c r="H37" s="1" t="s">
        <v>77</v>
      </c>
      <c r="I37" s="1" t="s">
        <v>77</v>
      </c>
      <c r="J37" s="1" t="s">
        <v>77</v>
      </c>
      <c r="R37" s="1">
        <v>5</v>
      </c>
      <c r="U37" s="1">
        <v>0</v>
      </c>
    </row>
    <row r="38" spans="1:21">
      <c r="A38" s="1">
        <v>140230080</v>
      </c>
      <c r="B38" s="1">
        <v>19</v>
      </c>
      <c r="C38" s="2" t="s">
        <v>494</v>
      </c>
      <c r="D38" s="1">
        <v>120030008</v>
      </c>
      <c r="E38" s="1">
        <v>110</v>
      </c>
      <c r="F38" s="1">
        <v>5</v>
      </c>
      <c r="G38" s="1">
        <v>2.5</v>
      </c>
      <c r="H38" s="1" t="s">
        <v>72</v>
      </c>
      <c r="I38" s="1" t="s">
        <v>72</v>
      </c>
      <c r="J38" s="1" t="s">
        <v>72</v>
      </c>
      <c r="N38" s="1">
        <v>120110052</v>
      </c>
      <c r="O38" s="1">
        <v>120110052</v>
      </c>
      <c r="P38" s="1">
        <v>120110052</v>
      </c>
      <c r="R38" s="1">
        <v>5</v>
      </c>
      <c r="U38" s="1">
        <v>0</v>
      </c>
    </row>
    <row r="39" spans="1:21">
      <c r="A39" s="1">
        <v>140230082</v>
      </c>
      <c r="B39" s="1">
        <v>2</v>
      </c>
      <c r="C39" s="2" t="s">
        <v>495</v>
      </c>
      <c r="D39" s="1">
        <v>120030074</v>
      </c>
      <c r="E39" s="1">
        <v>203</v>
      </c>
      <c r="F39" s="1">
        <v>9</v>
      </c>
      <c r="G39" s="1">
        <v>8.4</v>
      </c>
      <c r="H39" s="1" t="s">
        <v>77</v>
      </c>
      <c r="I39" s="1" t="s">
        <v>77</v>
      </c>
      <c r="J39" s="1" t="s">
        <v>77</v>
      </c>
      <c r="K39" s="1">
        <v>6.2</v>
      </c>
      <c r="L39" s="1">
        <v>8.4</v>
      </c>
      <c r="M39" s="1">
        <v>5.8</v>
      </c>
      <c r="N39" s="1">
        <v>120110051</v>
      </c>
      <c r="O39" s="1">
        <v>120110051</v>
      </c>
      <c r="P39" s="1">
        <v>120110051</v>
      </c>
      <c r="R39" s="1">
        <v>1</v>
      </c>
      <c r="U39" s="1">
        <v>3</v>
      </c>
    </row>
    <row r="40" spans="1:21">
      <c r="A40" s="1">
        <v>140230089</v>
      </c>
      <c r="B40" s="1">
        <v>2</v>
      </c>
      <c r="C40" s="2" t="s">
        <v>496</v>
      </c>
      <c r="D40" s="1">
        <v>120030095</v>
      </c>
      <c r="E40" s="1">
        <v>200</v>
      </c>
      <c r="F40" s="1">
        <v>8.6999999999999993</v>
      </c>
      <c r="G40" s="1">
        <v>2.5</v>
      </c>
      <c r="H40" s="1" t="s">
        <v>77</v>
      </c>
      <c r="I40" s="1" t="s">
        <v>77</v>
      </c>
      <c r="J40" s="1" t="s">
        <v>77</v>
      </c>
      <c r="N40" s="1">
        <v>120110051</v>
      </c>
      <c r="O40" s="1">
        <v>120110051</v>
      </c>
      <c r="P40" s="1">
        <v>120110051</v>
      </c>
      <c r="R40" s="1">
        <v>5</v>
      </c>
      <c r="U40" s="1">
        <v>3</v>
      </c>
    </row>
    <row r="41" spans="1:21">
      <c r="A41" s="1">
        <v>140240004</v>
      </c>
      <c r="B41" s="1">
        <v>14</v>
      </c>
      <c r="C41" s="2" t="s">
        <v>497</v>
      </c>
      <c r="D41" s="1">
        <v>120030006</v>
      </c>
      <c r="E41" s="1">
        <v>200</v>
      </c>
      <c r="F41" s="1">
        <v>20</v>
      </c>
      <c r="G41" s="1">
        <v>2.5</v>
      </c>
      <c r="H41" s="1" t="s">
        <v>79</v>
      </c>
      <c r="I41" s="1" t="s">
        <v>71</v>
      </c>
      <c r="J41" s="1" t="s">
        <v>72</v>
      </c>
      <c r="K41" s="1">
        <v>20</v>
      </c>
      <c r="L41" s="1">
        <v>20</v>
      </c>
      <c r="M41" s="1">
        <v>20</v>
      </c>
      <c r="N41" s="1" t="s">
        <v>127</v>
      </c>
      <c r="O41" s="1">
        <v>120110001</v>
      </c>
      <c r="P41" s="1">
        <v>120100023</v>
      </c>
      <c r="R41" s="1">
        <v>4</v>
      </c>
      <c r="U41" s="1">
        <v>0</v>
      </c>
    </row>
    <row r="42" spans="1:21">
      <c r="A42" s="1">
        <v>140280032</v>
      </c>
      <c r="B42" s="1">
        <v>40</v>
      </c>
      <c r="C42" s="2" t="s">
        <v>498</v>
      </c>
      <c r="D42" s="1">
        <v>120030006</v>
      </c>
      <c r="E42" s="1">
        <v>237</v>
      </c>
      <c r="F42" s="1">
        <v>24</v>
      </c>
      <c r="G42" s="1">
        <v>2.5</v>
      </c>
      <c r="H42" s="1" t="s">
        <v>77</v>
      </c>
      <c r="I42" s="1" t="s">
        <v>77</v>
      </c>
      <c r="J42" s="1" t="s">
        <v>72</v>
      </c>
      <c r="K42" s="1">
        <v>12</v>
      </c>
      <c r="L42" s="1">
        <v>12</v>
      </c>
      <c r="M42" s="1">
        <v>24</v>
      </c>
      <c r="N42" s="1" t="s">
        <v>90</v>
      </c>
      <c r="O42" s="1" t="s">
        <v>90</v>
      </c>
      <c r="P42" s="1">
        <v>120100023</v>
      </c>
      <c r="R42" s="1">
        <v>4</v>
      </c>
      <c r="U42" s="1">
        <v>10</v>
      </c>
    </row>
    <row r="43" spans="1:21">
      <c r="A43" s="1">
        <v>140310007</v>
      </c>
      <c r="B43" s="1">
        <v>16</v>
      </c>
      <c r="C43" s="2" t="s">
        <v>499</v>
      </c>
      <c r="D43" s="1">
        <v>120030094</v>
      </c>
      <c r="E43" s="1">
        <v>215</v>
      </c>
      <c r="F43" s="1">
        <v>31</v>
      </c>
      <c r="G43" s="1">
        <v>2.5</v>
      </c>
      <c r="H43" s="1" t="s">
        <v>80</v>
      </c>
      <c r="I43" s="1" t="s">
        <v>80</v>
      </c>
      <c r="J43" s="1" t="s">
        <v>72</v>
      </c>
      <c r="K43" s="1">
        <v>24</v>
      </c>
      <c r="L43" s="1">
        <v>24</v>
      </c>
      <c r="M43" s="1">
        <v>31</v>
      </c>
      <c r="P43" s="1">
        <v>120100023</v>
      </c>
      <c r="R43" s="1">
        <v>4</v>
      </c>
      <c r="U43" s="1">
        <v>9.5</v>
      </c>
    </row>
    <row r="44" spans="1:21">
      <c r="A44" s="1">
        <v>140310012</v>
      </c>
      <c r="B44" s="1">
        <v>16</v>
      </c>
      <c r="C44" s="2" t="s">
        <v>500</v>
      </c>
      <c r="D44" s="1">
        <v>120040048</v>
      </c>
      <c r="E44" s="1">
        <v>900</v>
      </c>
      <c r="F44" s="1">
        <v>5</v>
      </c>
      <c r="G44" s="1">
        <v>2</v>
      </c>
      <c r="H44" s="1" t="s">
        <v>78</v>
      </c>
      <c r="I44" s="1" t="s">
        <v>78</v>
      </c>
      <c r="J44" s="1" t="s">
        <v>73</v>
      </c>
      <c r="K44" s="1">
        <v>5</v>
      </c>
      <c r="L44" s="1">
        <v>5</v>
      </c>
      <c r="M44" s="1">
        <v>0</v>
      </c>
      <c r="N44" s="1">
        <v>120100080</v>
      </c>
      <c r="O44" s="1">
        <v>120100080</v>
      </c>
      <c r="R44" s="1">
        <v>2</v>
      </c>
      <c r="U44" s="1">
        <v>0</v>
      </c>
    </row>
    <row r="45" spans="1:21">
      <c r="A45" s="1">
        <v>140310028</v>
      </c>
      <c r="B45" s="1">
        <v>16</v>
      </c>
      <c r="C45" s="2" t="s">
        <v>501</v>
      </c>
      <c r="D45" s="1">
        <v>120030107</v>
      </c>
      <c r="E45" s="1">
        <v>178</v>
      </c>
      <c r="F45" s="1">
        <v>16.5</v>
      </c>
      <c r="G45" s="1">
        <v>2.5</v>
      </c>
      <c r="H45" s="1" t="s">
        <v>80</v>
      </c>
      <c r="I45" s="1" t="s">
        <v>80</v>
      </c>
      <c r="J45" s="1" t="s">
        <v>80</v>
      </c>
      <c r="K45" s="1">
        <v>9</v>
      </c>
      <c r="L45" s="1">
        <v>9</v>
      </c>
      <c r="M45" s="1">
        <v>16.5</v>
      </c>
      <c r="R45" s="1">
        <v>5</v>
      </c>
      <c r="U45" s="1">
        <v>0</v>
      </c>
    </row>
    <row r="46" spans="1:21">
      <c r="A46" s="1">
        <v>140310058</v>
      </c>
      <c r="B46" s="1">
        <v>16</v>
      </c>
      <c r="C46" s="2" t="s">
        <v>502</v>
      </c>
      <c r="D46" s="1">
        <v>120030009</v>
      </c>
      <c r="E46" s="1">
        <v>215</v>
      </c>
      <c r="F46" s="1">
        <v>16</v>
      </c>
      <c r="G46" s="1">
        <v>2.5</v>
      </c>
      <c r="H46" s="1" t="s">
        <v>72</v>
      </c>
      <c r="I46" s="1" t="s">
        <v>72</v>
      </c>
      <c r="J46" s="1" t="s">
        <v>72</v>
      </c>
      <c r="K46" s="1">
        <v>16</v>
      </c>
      <c r="L46" s="1">
        <v>16</v>
      </c>
      <c r="M46" s="1">
        <v>5.5</v>
      </c>
      <c r="N46" s="1">
        <v>120100018</v>
      </c>
      <c r="O46" s="1">
        <v>120100018</v>
      </c>
      <c r="Q46" s="1">
        <v>120100018</v>
      </c>
      <c r="R46" s="1">
        <v>4</v>
      </c>
      <c r="T46" s="1">
        <v>18</v>
      </c>
      <c r="U46" s="1">
        <v>1</v>
      </c>
    </row>
    <row r="47" spans="1:21">
      <c r="A47" s="1">
        <v>140310071</v>
      </c>
      <c r="B47" s="1">
        <v>16</v>
      </c>
      <c r="C47" s="2" t="s">
        <v>503</v>
      </c>
      <c r="D47" s="1">
        <v>120030107</v>
      </c>
      <c r="E47" s="1">
        <v>183</v>
      </c>
      <c r="F47" s="1">
        <v>24</v>
      </c>
      <c r="G47" s="1">
        <v>2.5</v>
      </c>
      <c r="H47" s="1" t="s">
        <v>72</v>
      </c>
      <c r="I47" s="1" t="s">
        <v>72</v>
      </c>
      <c r="J47" s="1" t="s">
        <v>72</v>
      </c>
      <c r="K47" s="1">
        <v>19.5</v>
      </c>
      <c r="L47" s="1">
        <v>19.5</v>
      </c>
      <c r="M47" s="1">
        <v>24</v>
      </c>
      <c r="N47" s="1">
        <v>120100016</v>
      </c>
      <c r="O47" s="1">
        <v>120100016</v>
      </c>
      <c r="P47" s="1">
        <v>120100047</v>
      </c>
      <c r="R47" s="1">
        <v>5</v>
      </c>
      <c r="U47" s="1">
        <v>1</v>
      </c>
    </row>
    <row r="48" spans="1:21">
      <c r="A48" s="1">
        <v>140310083</v>
      </c>
      <c r="B48" s="1">
        <v>16</v>
      </c>
      <c r="C48" s="2" t="s">
        <v>504</v>
      </c>
      <c r="D48" s="1">
        <v>120030107</v>
      </c>
      <c r="E48" s="1">
        <v>185</v>
      </c>
      <c r="F48" s="1">
        <v>23.5</v>
      </c>
      <c r="G48" s="1">
        <v>2.5</v>
      </c>
      <c r="H48" s="1" t="s">
        <v>72</v>
      </c>
      <c r="I48" s="1" t="s">
        <v>72</v>
      </c>
      <c r="J48" s="1" t="s">
        <v>72</v>
      </c>
      <c r="K48" s="1">
        <v>9</v>
      </c>
      <c r="L48" s="1">
        <v>9</v>
      </c>
      <c r="M48" s="1">
        <v>23.5</v>
      </c>
      <c r="N48" s="1">
        <v>120100015</v>
      </c>
      <c r="O48" s="1">
        <v>120100015</v>
      </c>
      <c r="P48" s="1">
        <v>120100015</v>
      </c>
      <c r="R48" s="1">
        <v>5</v>
      </c>
      <c r="U48" s="1">
        <v>0</v>
      </c>
    </row>
    <row r="49" spans="1:23">
      <c r="A49" s="1">
        <v>140350045</v>
      </c>
      <c r="B49" s="1">
        <v>4</v>
      </c>
      <c r="C49" s="2" t="s">
        <v>505</v>
      </c>
      <c r="D49" s="1">
        <v>120030006</v>
      </c>
      <c r="E49" s="1">
        <v>224</v>
      </c>
      <c r="F49" s="1">
        <v>4</v>
      </c>
      <c r="G49" s="1">
        <v>2.5</v>
      </c>
      <c r="H49" s="1" t="s">
        <v>72</v>
      </c>
      <c r="I49" s="1" t="s">
        <v>80</v>
      </c>
      <c r="J49" s="1" t="s">
        <v>81</v>
      </c>
      <c r="K49" s="1">
        <v>4</v>
      </c>
      <c r="L49" s="1">
        <v>4</v>
      </c>
      <c r="M49" s="1">
        <v>4</v>
      </c>
      <c r="N49" s="1">
        <v>120100132</v>
      </c>
      <c r="P49" s="1">
        <v>120100029</v>
      </c>
      <c r="R49" s="1">
        <v>5</v>
      </c>
      <c r="U49" s="1">
        <v>0</v>
      </c>
    </row>
    <row r="50" spans="1:23">
      <c r="A50" s="1">
        <v>140350046</v>
      </c>
      <c r="B50" s="1">
        <v>4</v>
      </c>
      <c r="C50" s="2" t="s">
        <v>506</v>
      </c>
      <c r="D50" s="1">
        <v>120030006</v>
      </c>
      <c r="E50" s="1">
        <v>227</v>
      </c>
      <c r="F50" s="1">
        <v>22.6</v>
      </c>
      <c r="G50" s="1">
        <v>2.5</v>
      </c>
      <c r="H50" s="1" t="s">
        <v>77</v>
      </c>
      <c r="I50" s="1" t="s">
        <v>77</v>
      </c>
      <c r="J50" s="1" t="s">
        <v>72</v>
      </c>
      <c r="K50" s="1">
        <v>10.5</v>
      </c>
      <c r="L50" s="1">
        <v>10.5</v>
      </c>
      <c r="M50" s="1">
        <v>22.6</v>
      </c>
      <c r="N50" s="1" t="s">
        <v>90</v>
      </c>
      <c r="O50" s="1" t="s">
        <v>90</v>
      </c>
      <c r="P50" s="1">
        <v>120100015</v>
      </c>
      <c r="R50" s="1">
        <v>4</v>
      </c>
      <c r="U50" s="1">
        <v>3</v>
      </c>
    </row>
    <row r="51" spans="1:23">
      <c r="A51" s="1">
        <v>140350080</v>
      </c>
      <c r="B51" s="1">
        <v>4</v>
      </c>
      <c r="C51" s="2" t="s">
        <v>507</v>
      </c>
      <c r="D51" s="1">
        <v>120030006</v>
      </c>
      <c r="E51" s="1">
        <v>247</v>
      </c>
      <c r="F51" s="1">
        <v>35</v>
      </c>
      <c r="G51" s="1">
        <v>2.5</v>
      </c>
      <c r="H51" s="1" t="s">
        <v>77</v>
      </c>
      <c r="I51" s="1" t="s">
        <v>77</v>
      </c>
      <c r="J51" s="1" t="s">
        <v>72</v>
      </c>
      <c r="K51" s="1">
        <v>35</v>
      </c>
      <c r="L51" s="1">
        <v>35</v>
      </c>
      <c r="M51" s="1">
        <v>15.6</v>
      </c>
      <c r="N51" s="1">
        <v>120110051</v>
      </c>
      <c r="O51" s="1">
        <v>120110051</v>
      </c>
      <c r="P51" s="1">
        <v>120100023</v>
      </c>
      <c r="R51" s="1">
        <v>5</v>
      </c>
      <c r="U51" s="1">
        <v>4</v>
      </c>
      <c r="W51" s="1" t="s">
        <v>18</v>
      </c>
    </row>
    <row r="52" spans="1:23">
      <c r="A52" s="1">
        <v>140350081</v>
      </c>
      <c r="B52" s="1">
        <v>4</v>
      </c>
      <c r="C52" s="2" t="s">
        <v>508</v>
      </c>
      <c r="D52" s="1">
        <v>120030006</v>
      </c>
      <c r="E52" s="1">
        <v>229</v>
      </c>
      <c r="F52" s="1">
        <v>22</v>
      </c>
      <c r="G52" s="1">
        <v>2.5</v>
      </c>
      <c r="H52" s="1" t="s">
        <v>77</v>
      </c>
      <c r="I52" s="1" t="s">
        <v>77</v>
      </c>
      <c r="J52" s="1" t="s">
        <v>72</v>
      </c>
      <c r="K52" s="1">
        <v>10</v>
      </c>
      <c r="L52" s="1">
        <v>10</v>
      </c>
      <c r="M52" s="1">
        <v>22</v>
      </c>
      <c r="N52" s="1" t="s">
        <v>90</v>
      </c>
      <c r="O52" s="1" t="s">
        <v>90</v>
      </c>
      <c r="P52" s="1">
        <v>120110052</v>
      </c>
      <c r="R52" s="1">
        <v>5</v>
      </c>
      <c r="U52" s="1">
        <v>0</v>
      </c>
      <c r="W52" s="1" t="s">
        <v>19</v>
      </c>
    </row>
    <row r="53" spans="1:23">
      <c r="A53" s="1">
        <v>140490001</v>
      </c>
      <c r="B53" s="1">
        <v>15</v>
      </c>
      <c r="C53" s="2" t="s">
        <v>509</v>
      </c>
      <c r="D53" s="1">
        <v>120030006</v>
      </c>
      <c r="E53" s="1">
        <v>235</v>
      </c>
      <c r="F53" s="1">
        <v>20</v>
      </c>
      <c r="G53" s="1">
        <v>2.5</v>
      </c>
      <c r="H53" s="1" t="s">
        <v>72</v>
      </c>
      <c r="I53" s="1" t="s">
        <v>72</v>
      </c>
      <c r="J53" s="1" t="s">
        <v>72</v>
      </c>
      <c r="R53" s="1">
        <v>4</v>
      </c>
      <c r="U53" s="1">
        <v>0</v>
      </c>
    </row>
    <row r="54" spans="1:23">
      <c r="A54" s="1">
        <v>140490003</v>
      </c>
      <c r="B54" s="1">
        <v>15</v>
      </c>
      <c r="C54" s="2" t="s">
        <v>510</v>
      </c>
      <c r="D54" s="1">
        <v>120030006</v>
      </c>
      <c r="E54" s="1">
        <v>255</v>
      </c>
      <c r="F54" s="1">
        <v>200</v>
      </c>
      <c r="G54" s="1">
        <v>60</v>
      </c>
      <c r="H54" s="1" t="s">
        <v>73</v>
      </c>
      <c r="I54" s="1" t="s">
        <v>73</v>
      </c>
      <c r="J54" s="1" t="s">
        <v>73</v>
      </c>
      <c r="R54" s="1">
        <v>1</v>
      </c>
      <c r="U54" s="1">
        <v>0</v>
      </c>
    </row>
    <row r="55" spans="1:23">
      <c r="A55" s="1">
        <v>140490005</v>
      </c>
      <c r="B55" s="1">
        <v>15</v>
      </c>
      <c r="C55" s="2" t="s">
        <v>511</v>
      </c>
      <c r="D55" s="1">
        <v>120030006</v>
      </c>
      <c r="E55" s="1">
        <v>120</v>
      </c>
      <c r="F55" s="1">
        <v>24</v>
      </c>
      <c r="G55" s="1">
        <v>19</v>
      </c>
      <c r="H55" s="1" t="s">
        <v>73</v>
      </c>
      <c r="I55" s="1" t="s">
        <v>82</v>
      </c>
      <c r="J55" s="1" t="s">
        <v>73</v>
      </c>
      <c r="R55" s="1">
        <v>1</v>
      </c>
      <c r="U55" s="1">
        <v>0</v>
      </c>
    </row>
    <row r="56" spans="1:23">
      <c r="A56" s="1">
        <v>140490006</v>
      </c>
      <c r="B56" s="1">
        <v>15</v>
      </c>
      <c r="C56" s="2" t="s">
        <v>512</v>
      </c>
      <c r="D56" s="1">
        <v>120030006</v>
      </c>
      <c r="E56" s="1">
        <v>122</v>
      </c>
      <c r="F56" s="1">
        <v>10</v>
      </c>
      <c r="G56" s="1">
        <v>10</v>
      </c>
      <c r="H56" s="1" t="s">
        <v>71</v>
      </c>
      <c r="I56" s="1" t="s">
        <v>71</v>
      </c>
      <c r="J56" s="1" t="s">
        <v>71</v>
      </c>
      <c r="R56" s="1">
        <v>1</v>
      </c>
      <c r="U56" s="1">
        <v>0</v>
      </c>
    </row>
    <row r="57" spans="1:23">
      <c r="A57" s="1">
        <v>140490007</v>
      </c>
      <c r="B57" s="1">
        <v>15</v>
      </c>
      <c r="C57" s="2" t="s">
        <v>513</v>
      </c>
      <c r="D57" s="1">
        <v>120030006</v>
      </c>
      <c r="E57" s="1">
        <v>192</v>
      </c>
      <c r="F57" s="1">
        <v>6</v>
      </c>
      <c r="G57" s="1">
        <v>6</v>
      </c>
      <c r="H57" s="1" t="s">
        <v>73</v>
      </c>
      <c r="I57" s="1" t="s">
        <v>73</v>
      </c>
      <c r="J57" s="1" t="s">
        <v>73</v>
      </c>
      <c r="R57" s="1">
        <v>1</v>
      </c>
      <c r="U57" s="1">
        <v>0</v>
      </c>
    </row>
    <row r="58" spans="1:23">
      <c r="A58" s="1">
        <v>140490008</v>
      </c>
      <c r="B58" s="1">
        <v>15</v>
      </c>
      <c r="C58" s="2" t="s">
        <v>514</v>
      </c>
      <c r="D58" s="1">
        <v>120030006</v>
      </c>
      <c r="E58" s="1">
        <v>30</v>
      </c>
      <c r="F58" s="1">
        <v>7</v>
      </c>
      <c r="G58" s="1">
        <v>5</v>
      </c>
      <c r="H58" s="1" t="s">
        <v>71</v>
      </c>
      <c r="I58" s="1" t="s">
        <v>71</v>
      </c>
      <c r="J58" s="1" t="s">
        <v>73</v>
      </c>
      <c r="R58" s="1">
        <v>1</v>
      </c>
      <c r="U58" s="1">
        <v>0</v>
      </c>
    </row>
    <row r="59" spans="1:23">
      <c r="A59" s="1">
        <v>140490009</v>
      </c>
      <c r="B59" s="1">
        <v>15</v>
      </c>
      <c r="C59" s="2" t="s">
        <v>515</v>
      </c>
      <c r="D59" s="1">
        <v>120030006</v>
      </c>
      <c r="E59" s="1">
        <v>30</v>
      </c>
      <c r="F59" s="1">
        <v>7</v>
      </c>
      <c r="G59" s="1">
        <v>5</v>
      </c>
      <c r="H59" s="1" t="s">
        <v>71</v>
      </c>
      <c r="I59" s="1" t="s">
        <v>71</v>
      </c>
      <c r="J59" s="1" t="s">
        <v>73</v>
      </c>
      <c r="R59" s="1">
        <v>1</v>
      </c>
      <c r="U59" s="1">
        <v>0</v>
      </c>
    </row>
    <row r="60" spans="1:23">
      <c r="A60" s="1">
        <v>140500010</v>
      </c>
      <c r="B60" s="1">
        <v>1</v>
      </c>
      <c r="C60" s="2" t="s">
        <v>516</v>
      </c>
      <c r="D60" s="1">
        <v>120030009</v>
      </c>
      <c r="E60" s="1">
        <v>200</v>
      </c>
      <c r="F60" s="1">
        <v>15</v>
      </c>
      <c r="G60" s="1">
        <v>2.5</v>
      </c>
      <c r="H60" s="1" t="s">
        <v>74</v>
      </c>
      <c r="I60" s="1" t="s">
        <v>74</v>
      </c>
      <c r="J60" s="1" t="s">
        <v>74</v>
      </c>
      <c r="R60" s="1">
        <v>4</v>
      </c>
      <c r="U60" s="1">
        <v>0</v>
      </c>
    </row>
    <row r="61" spans="1:23">
      <c r="A61" s="1">
        <v>140530001</v>
      </c>
      <c r="B61" s="1">
        <v>36</v>
      </c>
      <c r="C61" s="2" t="s">
        <v>517</v>
      </c>
      <c r="D61" s="1">
        <v>120030039</v>
      </c>
      <c r="E61" s="1">
        <v>221</v>
      </c>
      <c r="F61" s="1">
        <v>2.5</v>
      </c>
      <c r="G61" s="1">
        <v>2</v>
      </c>
      <c r="H61" s="1" t="s">
        <v>71</v>
      </c>
      <c r="I61" s="1" t="s">
        <v>71</v>
      </c>
      <c r="J61" s="1" t="s">
        <v>73</v>
      </c>
      <c r="N61" s="1">
        <v>120110001</v>
      </c>
      <c r="O61" s="1">
        <v>120110001</v>
      </c>
      <c r="R61" s="1">
        <v>3</v>
      </c>
      <c r="U61" s="1">
        <v>40</v>
      </c>
    </row>
    <row r="62" spans="1:23">
      <c r="A62" s="1">
        <v>140530002</v>
      </c>
      <c r="B62" s="1">
        <v>36</v>
      </c>
      <c r="C62" s="2" t="s">
        <v>518</v>
      </c>
      <c r="D62" s="1">
        <v>120030039</v>
      </c>
      <c r="E62" s="1">
        <v>189</v>
      </c>
      <c r="F62" s="1">
        <v>2.5</v>
      </c>
      <c r="G62" s="1">
        <v>2</v>
      </c>
      <c r="H62" s="1" t="s">
        <v>71</v>
      </c>
      <c r="I62" s="1" t="s">
        <v>71</v>
      </c>
      <c r="J62" s="1" t="s">
        <v>73</v>
      </c>
      <c r="N62" s="1">
        <v>120110001</v>
      </c>
      <c r="O62" s="1">
        <v>120110001</v>
      </c>
      <c r="R62" s="1">
        <v>3</v>
      </c>
      <c r="U62" s="1">
        <v>8</v>
      </c>
    </row>
    <row r="63" spans="1:23">
      <c r="A63" s="1">
        <v>140530003</v>
      </c>
      <c r="B63" s="1">
        <v>36</v>
      </c>
      <c r="C63" s="2" t="s">
        <v>519</v>
      </c>
      <c r="D63" s="1">
        <v>120030039</v>
      </c>
      <c r="E63" s="1">
        <v>185</v>
      </c>
      <c r="F63" s="1">
        <v>2.5</v>
      </c>
      <c r="G63" s="1">
        <v>2</v>
      </c>
      <c r="H63" s="1" t="s">
        <v>71</v>
      </c>
      <c r="I63" s="1" t="s">
        <v>71</v>
      </c>
      <c r="J63" s="1" t="s">
        <v>73</v>
      </c>
      <c r="N63" s="1">
        <v>120110001</v>
      </c>
      <c r="O63" s="1">
        <v>120110001</v>
      </c>
      <c r="R63" s="1">
        <v>3</v>
      </c>
      <c r="U63" s="1">
        <v>4</v>
      </c>
    </row>
    <row r="64" spans="1:23">
      <c r="A64" s="1">
        <v>140530004</v>
      </c>
      <c r="B64" s="1">
        <v>36</v>
      </c>
      <c r="C64" s="2" t="s">
        <v>520</v>
      </c>
      <c r="D64" s="1">
        <v>120030039</v>
      </c>
      <c r="E64" s="1">
        <v>192</v>
      </c>
      <c r="F64" s="1">
        <v>2.5</v>
      </c>
      <c r="G64" s="1">
        <v>2</v>
      </c>
      <c r="H64" s="1" t="s">
        <v>71</v>
      </c>
      <c r="I64" s="1" t="s">
        <v>71</v>
      </c>
      <c r="J64" s="1" t="s">
        <v>73</v>
      </c>
      <c r="N64" s="1">
        <v>120110001</v>
      </c>
      <c r="O64" s="1">
        <v>120110001</v>
      </c>
      <c r="R64" s="1">
        <v>3</v>
      </c>
      <c r="U64" s="1">
        <v>11</v>
      </c>
    </row>
    <row r="65" spans="1:21">
      <c r="A65" s="1">
        <v>140530005</v>
      </c>
      <c r="B65" s="1">
        <v>36</v>
      </c>
      <c r="C65" s="2" t="s">
        <v>521</v>
      </c>
      <c r="D65" s="1">
        <v>120030039</v>
      </c>
      <c r="E65" s="1">
        <v>221</v>
      </c>
      <c r="F65" s="1">
        <v>2.5</v>
      </c>
      <c r="G65" s="1">
        <v>2</v>
      </c>
      <c r="H65" s="1" t="s">
        <v>71</v>
      </c>
      <c r="I65" s="1" t="s">
        <v>71</v>
      </c>
      <c r="J65" s="1" t="s">
        <v>73</v>
      </c>
      <c r="N65" s="1">
        <v>120110001</v>
      </c>
      <c r="O65" s="1">
        <v>120110001</v>
      </c>
      <c r="R65" s="1">
        <v>3</v>
      </c>
      <c r="U65" s="1">
        <v>20</v>
      </c>
    </row>
    <row r="66" spans="1:21">
      <c r="A66" s="1">
        <v>140530006</v>
      </c>
      <c r="B66" s="1">
        <v>36</v>
      </c>
      <c r="C66" s="2" t="s">
        <v>522</v>
      </c>
      <c r="D66" s="1">
        <v>120030039</v>
      </c>
      <c r="E66" s="1">
        <v>212</v>
      </c>
      <c r="F66" s="1">
        <v>2.5</v>
      </c>
      <c r="G66" s="1">
        <v>2</v>
      </c>
      <c r="H66" s="1" t="s">
        <v>71</v>
      </c>
      <c r="I66" s="1" t="s">
        <v>71</v>
      </c>
      <c r="J66" s="1" t="s">
        <v>73</v>
      </c>
      <c r="N66" s="1">
        <v>120110001</v>
      </c>
      <c r="O66" s="1">
        <v>120110001</v>
      </c>
      <c r="R66" s="1">
        <v>3</v>
      </c>
      <c r="U66" s="1">
        <v>11</v>
      </c>
    </row>
    <row r="67" spans="1:21">
      <c r="A67" s="1">
        <v>140530039</v>
      </c>
      <c r="B67" s="1">
        <v>36</v>
      </c>
      <c r="C67" s="2" t="s">
        <v>523</v>
      </c>
      <c r="D67" s="1">
        <v>120030039</v>
      </c>
      <c r="E67" s="1">
        <v>180</v>
      </c>
      <c r="F67" s="1">
        <v>2.5</v>
      </c>
      <c r="G67" s="1">
        <v>1.4</v>
      </c>
      <c r="H67" s="1" t="s">
        <v>76</v>
      </c>
      <c r="I67" s="1" t="s">
        <v>76</v>
      </c>
      <c r="J67" s="1" t="s">
        <v>76</v>
      </c>
      <c r="N67" s="1">
        <v>120100223</v>
      </c>
      <c r="O67" s="1">
        <v>120100223</v>
      </c>
      <c r="R67" s="1">
        <v>3</v>
      </c>
      <c r="U67" s="1">
        <v>0</v>
      </c>
    </row>
    <row r="68" spans="1:21">
      <c r="A68" s="1">
        <v>140550019</v>
      </c>
      <c r="B68" s="1">
        <v>31</v>
      </c>
      <c r="C68" s="2" t="s">
        <v>524</v>
      </c>
      <c r="D68" s="1">
        <v>120030073</v>
      </c>
      <c r="E68" s="1">
        <v>196</v>
      </c>
      <c r="F68" s="1">
        <v>30</v>
      </c>
      <c r="G68" s="1">
        <v>2.5</v>
      </c>
      <c r="H68" s="1" t="s">
        <v>72</v>
      </c>
      <c r="I68" s="1" t="s">
        <v>72</v>
      </c>
      <c r="J68" s="1" t="s">
        <v>72</v>
      </c>
      <c r="K68" s="1">
        <v>18</v>
      </c>
      <c r="L68" s="1">
        <v>18</v>
      </c>
      <c r="M68" s="1">
        <v>30</v>
      </c>
      <c r="N68" s="1">
        <v>120100016</v>
      </c>
      <c r="O68" s="1">
        <v>120100016</v>
      </c>
      <c r="P68" s="1">
        <v>120100045</v>
      </c>
      <c r="R68" s="1">
        <v>5</v>
      </c>
      <c r="U68" s="1">
        <v>3</v>
      </c>
    </row>
    <row r="69" spans="1:21">
      <c r="A69" s="1">
        <v>140550038</v>
      </c>
      <c r="B69" s="1">
        <v>31</v>
      </c>
      <c r="C69" s="2" t="s">
        <v>525</v>
      </c>
      <c r="D69" s="1">
        <v>210300185</v>
      </c>
      <c r="E69" s="1">
        <v>0</v>
      </c>
      <c r="F69" s="1">
        <v>0</v>
      </c>
      <c r="G69" s="1">
        <v>2.5</v>
      </c>
      <c r="H69" s="1" t="s">
        <v>73</v>
      </c>
      <c r="I69" s="1" t="s">
        <v>73</v>
      </c>
      <c r="J69" s="1" t="s">
        <v>73</v>
      </c>
      <c r="R69" s="1">
        <v>5</v>
      </c>
      <c r="U69" s="1">
        <v>0</v>
      </c>
    </row>
    <row r="70" spans="1:21">
      <c r="A70" s="1">
        <v>140550039</v>
      </c>
      <c r="B70" s="1">
        <v>31</v>
      </c>
      <c r="C70" s="2" t="s">
        <v>526</v>
      </c>
      <c r="D70" s="1">
        <v>210300187</v>
      </c>
      <c r="E70" s="1">
        <v>0</v>
      </c>
      <c r="F70" s="1">
        <v>0</v>
      </c>
      <c r="G70" s="1">
        <v>2.5</v>
      </c>
      <c r="H70" s="1" t="s">
        <v>73</v>
      </c>
      <c r="I70" s="1" t="s">
        <v>73</v>
      </c>
      <c r="J70" s="1" t="s">
        <v>73</v>
      </c>
      <c r="R70" s="1">
        <v>5</v>
      </c>
      <c r="U70" s="1">
        <v>0</v>
      </c>
    </row>
    <row r="71" spans="1:21">
      <c r="A71" s="1">
        <v>140550042</v>
      </c>
      <c r="B71" s="1">
        <v>31</v>
      </c>
      <c r="C71" s="2" t="s">
        <v>527</v>
      </c>
      <c r="D71" s="1">
        <v>120030118</v>
      </c>
      <c r="E71" s="1">
        <v>128</v>
      </c>
      <c r="F71" s="1">
        <v>15</v>
      </c>
      <c r="G71" s="1">
        <v>2.5</v>
      </c>
      <c r="H71" s="1" t="s">
        <v>78</v>
      </c>
      <c r="I71" s="1" t="s">
        <v>78</v>
      </c>
      <c r="J71" s="1" t="s">
        <v>72</v>
      </c>
      <c r="K71" s="1">
        <v>10</v>
      </c>
      <c r="L71" s="1">
        <v>10</v>
      </c>
      <c r="M71" s="1">
        <v>15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>
      <c r="A72" s="1">
        <v>140550043</v>
      </c>
      <c r="B72" s="1">
        <v>31</v>
      </c>
      <c r="C72" s="2" t="s">
        <v>528</v>
      </c>
      <c r="D72" s="1">
        <v>120030119</v>
      </c>
      <c r="E72" s="1">
        <v>126</v>
      </c>
      <c r="F72" s="1">
        <v>13</v>
      </c>
      <c r="G72" s="1">
        <v>2.5</v>
      </c>
      <c r="H72" s="1" t="s">
        <v>78</v>
      </c>
      <c r="I72" s="1" t="s">
        <v>78</v>
      </c>
      <c r="J72" s="1" t="s">
        <v>72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>
      <c r="A73" s="1">
        <v>140550049</v>
      </c>
      <c r="B73" s="1">
        <v>31</v>
      </c>
      <c r="C73" s="2" t="s">
        <v>527</v>
      </c>
      <c r="D73" s="1">
        <v>120030118</v>
      </c>
      <c r="E73" s="1">
        <v>126</v>
      </c>
      <c r="F73" s="1">
        <v>13</v>
      </c>
      <c r="G73" s="1">
        <v>2.5</v>
      </c>
      <c r="H73" s="1" t="s">
        <v>78</v>
      </c>
      <c r="I73" s="1" t="s">
        <v>78</v>
      </c>
      <c r="J73" s="1" t="s">
        <v>72</v>
      </c>
      <c r="K73" s="1">
        <v>8</v>
      </c>
      <c r="L73" s="1">
        <v>8</v>
      </c>
      <c r="M73" s="1">
        <v>13</v>
      </c>
      <c r="N73" s="1">
        <v>120100021</v>
      </c>
      <c r="O73" s="1">
        <v>120100021</v>
      </c>
      <c r="P73" s="1">
        <v>120100045</v>
      </c>
      <c r="R73" s="1">
        <v>5</v>
      </c>
      <c r="U73" s="1">
        <v>2</v>
      </c>
    </row>
    <row r="74" spans="1:21">
      <c r="A74" s="1">
        <v>140550060</v>
      </c>
      <c r="B74" s="1">
        <v>31</v>
      </c>
      <c r="C74" s="2" t="s">
        <v>529</v>
      </c>
      <c r="D74" s="1">
        <v>120030116</v>
      </c>
      <c r="E74" s="1">
        <v>161</v>
      </c>
      <c r="F74" s="1">
        <v>1.4</v>
      </c>
      <c r="G74" s="1">
        <v>2</v>
      </c>
      <c r="H74" s="1" t="s">
        <v>76</v>
      </c>
      <c r="I74" s="1" t="s">
        <v>76</v>
      </c>
      <c r="J74" s="1" t="s">
        <v>83</v>
      </c>
      <c r="N74" s="1">
        <v>120100223</v>
      </c>
      <c r="O74" s="1">
        <v>120100223</v>
      </c>
      <c r="R74" s="1">
        <v>2</v>
      </c>
      <c r="U74" s="1">
        <v>0</v>
      </c>
    </row>
    <row r="75" spans="1:21">
      <c r="A75" s="1">
        <v>140550062</v>
      </c>
      <c r="B75" s="1">
        <v>31</v>
      </c>
      <c r="C75" s="2" t="s">
        <v>530</v>
      </c>
      <c r="D75" s="1">
        <v>120040072</v>
      </c>
      <c r="E75" s="1">
        <v>190</v>
      </c>
      <c r="F75" s="1">
        <v>2</v>
      </c>
      <c r="G75" s="1">
        <v>2</v>
      </c>
      <c r="H75" s="1" t="s">
        <v>71</v>
      </c>
      <c r="I75" s="1" t="s">
        <v>71</v>
      </c>
      <c r="J75" s="1" t="s">
        <v>83</v>
      </c>
      <c r="N75" s="1">
        <v>120110001</v>
      </c>
      <c r="O75" s="1">
        <v>120110001</v>
      </c>
      <c r="R75" s="1">
        <v>2</v>
      </c>
      <c r="U75" s="1">
        <v>0</v>
      </c>
    </row>
    <row r="76" spans="1:21">
      <c r="A76" s="1">
        <v>140550063</v>
      </c>
      <c r="B76" s="1">
        <v>31</v>
      </c>
      <c r="C76" s="2" t="s">
        <v>531</v>
      </c>
      <c r="D76" s="1">
        <v>120040072</v>
      </c>
      <c r="E76" s="1">
        <v>229</v>
      </c>
      <c r="F76" s="1">
        <v>2.5</v>
      </c>
      <c r="G76" s="1">
        <v>2</v>
      </c>
      <c r="H76" s="1" t="s">
        <v>71</v>
      </c>
      <c r="I76" s="1" t="s">
        <v>71</v>
      </c>
      <c r="J76" s="1" t="s">
        <v>83</v>
      </c>
      <c r="N76" s="1">
        <v>120110001</v>
      </c>
      <c r="O76" s="1">
        <v>120110001</v>
      </c>
      <c r="R76" s="1">
        <v>2</v>
      </c>
      <c r="U76" s="1">
        <v>0</v>
      </c>
    </row>
    <row r="77" spans="1:21">
      <c r="A77" s="1">
        <v>140550064</v>
      </c>
      <c r="B77" s="1">
        <v>31</v>
      </c>
      <c r="C77" s="2" t="s">
        <v>532</v>
      </c>
      <c r="D77" s="1">
        <v>120030010</v>
      </c>
      <c r="E77" s="1">
        <v>172</v>
      </c>
      <c r="F77" s="1">
        <v>15.5</v>
      </c>
      <c r="G77" s="1">
        <v>2.5</v>
      </c>
      <c r="H77" s="1" t="s">
        <v>80</v>
      </c>
      <c r="I77" s="1" t="s">
        <v>80</v>
      </c>
      <c r="J77" s="1" t="s">
        <v>80</v>
      </c>
      <c r="K77" s="1">
        <v>10.5</v>
      </c>
      <c r="L77" s="1">
        <v>10.5</v>
      </c>
      <c r="M77" s="1">
        <v>15.5</v>
      </c>
      <c r="R77" s="1">
        <v>5</v>
      </c>
      <c r="U77" s="1">
        <v>0</v>
      </c>
    </row>
    <row r="78" spans="1:21">
      <c r="A78" s="1">
        <v>140550079</v>
      </c>
      <c r="B78" s="1">
        <v>31</v>
      </c>
      <c r="C78" s="2" t="s">
        <v>533</v>
      </c>
      <c r="D78" s="1">
        <v>120040072</v>
      </c>
      <c r="E78" s="1">
        <v>259</v>
      </c>
      <c r="F78" s="1">
        <v>2</v>
      </c>
      <c r="G78" s="1">
        <v>2</v>
      </c>
      <c r="H78" s="1" t="s">
        <v>71</v>
      </c>
      <c r="I78" s="1" t="s">
        <v>71</v>
      </c>
      <c r="J78" s="1" t="s">
        <v>83</v>
      </c>
      <c r="N78" s="1">
        <v>120110001</v>
      </c>
      <c r="O78" s="1">
        <v>120110001</v>
      </c>
      <c r="R78" s="1">
        <v>2</v>
      </c>
      <c r="U78" s="1">
        <v>0</v>
      </c>
    </row>
    <row r="79" spans="1:21">
      <c r="A79" s="1">
        <v>140590009</v>
      </c>
      <c r="B79" s="1">
        <v>12</v>
      </c>
      <c r="C79" s="2" t="s">
        <v>534</v>
      </c>
      <c r="D79" s="1">
        <v>120030006</v>
      </c>
      <c r="E79" s="1">
        <v>199</v>
      </c>
      <c r="F79" s="1">
        <v>9</v>
      </c>
      <c r="G79" s="1">
        <v>2.5</v>
      </c>
      <c r="H79" s="1" t="s">
        <v>71</v>
      </c>
      <c r="I79" s="1" t="s">
        <v>71</v>
      </c>
      <c r="J79" s="1" t="s">
        <v>72</v>
      </c>
      <c r="K79" s="1">
        <v>9</v>
      </c>
      <c r="L79" s="1">
        <v>9</v>
      </c>
      <c r="M79" s="1">
        <v>9</v>
      </c>
      <c r="N79" s="1">
        <v>120110001</v>
      </c>
      <c r="O79" s="1">
        <v>120110001</v>
      </c>
      <c r="P79" s="1">
        <v>120100023</v>
      </c>
      <c r="R79" s="1">
        <v>4</v>
      </c>
      <c r="U79" s="1">
        <v>0</v>
      </c>
    </row>
    <row r="80" spans="1:21">
      <c r="A80" s="1">
        <v>140640007</v>
      </c>
      <c r="B80" s="1">
        <v>20</v>
      </c>
      <c r="C80" s="2" t="s">
        <v>535</v>
      </c>
      <c r="D80" s="1">
        <v>120030008</v>
      </c>
      <c r="E80" s="1">
        <v>248</v>
      </c>
      <c r="F80" s="1">
        <v>40</v>
      </c>
      <c r="G80" s="1">
        <v>2.5</v>
      </c>
      <c r="H80" s="1" t="s">
        <v>77</v>
      </c>
      <c r="I80" s="1" t="s">
        <v>77</v>
      </c>
      <c r="J80" s="1" t="s">
        <v>72</v>
      </c>
      <c r="K80" s="1">
        <v>11</v>
      </c>
      <c r="L80" s="1">
        <v>11</v>
      </c>
      <c r="M80" s="1">
        <v>40</v>
      </c>
      <c r="N80" s="1" t="s">
        <v>90</v>
      </c>
      <c r="O80" s="1" t="s">
        <v>90</v>
      </c>
      <c r="P80" s="1">
        <v>120110052</v>
      </c>
      <c r="R80" s="1">
        <v>5</v>
      </c>
      <c r="U80" s="1">
        <v>2.5</v>
      </c>
    </row>
    <row r="81" spans="1:21">
      <c r="A81" s="1">
        <v>140640026</v>
      </c>
      <c r="B81" s="1">
        <v>20</v>
      </c>
      <c r="C81" s="2" t="s">
        <v>536</v>
      </c>
      <c r="D81" s="1">
        <v>120030050</v>
      </c>
      <c r="E81" s="1">
        <v>188</v>
      </c>
      <c r="F81" s="1">
        <v>40</v>
      </c>
      <c r="G81" s="1">
        <v>2.5</v>
      </c>
      <c r="H81" s="1" t="s">
        <v>72</v>
      </c>
      <c r="I81" s="1" t="s">
        <v>72</v>
      </c>
      <c r="J81" s="1" t="s">
        <v>72</v>
      </c>
      <c r="K81" s="1">
        <v>20</v>
      </c>
      <c r="L81" s="1">
        <v>20</v>
      </c>
      <c r="M81" s="1">
        <v>40</v>
      </c>
      <c r="N81" s="1" t="s">
        <v>90</v>
      </c>
      <c r="O81" s="1" t="s">
        <v>90</v>
      </c>
      <c r="P81" s="1">
        <v>120110052</v>
      </c>
      <c r="R81" s="1">
        <v>5</v>
      </c>
      <c r="U81" s="1">
        <v>3</v>
      </c>
    </row>
    <row r="82" spans="1:21">
      <c r="A82" s="1">
        <v>140640035</v>
      </c>
      <c r="B82" s="1">
        <v>20</v>
      </c>
      <c r="C82" s="2" t="s">
        <v>537</v>
      </c>
      <c r="D82" s="1">
        <v>120030008</v>
      </c>
      <c r="E82" s="1">
        <v>248</v>
      </c>
      <c r="F82" s="1">
        <v>37</v>
      </c>
      <c r="G82" s="1">
        <v>2.5</v>
      </c>
      <c r="H82" s="1" t="s">
        <v>77</v>
      </c>
      <c r="I82" s="1" t="s">
        <v>77</v>
      </c>
      <c r="J82" s="1" t="s">
        <v>72</v>
      </c>
      <c r="K82" s="1">
        <v>9</v>
      </c>
      <c r="L82" s="1">
        <v>9</v>
      </c>
      <c r="M82" s="1">
        <v>37</v>
      </c>
      <c r="N82" s="1" t="s">
        <v>90</v>
      </c>
      <c r="O82" s="1" t="s">
        <v>90</v>
      </c>
      <c r="P82" s="1">
        <v>120110052</v>
      </c>
      <c r="R82" s="1">
        <v>5</v>
      </c>
      <c r="U82" s="1">
        <v>2.5</v>
      </c>
    </row>
    <row r="83" spans="1:21">
      <c r="A83" s="1">
        <v>140670001</v>
      </c>
      <c r="B83" s="1">
        <v>24</v>
      </c>
      <c r="C83" s="2" t="s">
        <v>538</v>
      </c>
      <c r="D83" s="1">
        <v>120030047</v>
      </c>
      <c r="E83" s="1">
        <v>110</v>
      </c>
      <c r="F83" s="1">
        <v>4</v>
      </c>
      <c r="G83" s="1">
        <v>2.5</v>
      </c>
      <c r="H83" s="1" t="s">
        <v>72</v>
      </c>
      <c r="I83" s="1" t="s">
        <v>72</v>
      </c>
      <c r="J83" s="1" t="s">
        <v>72</v>
      </c>
      <c r="N83" s="1">
        <v>120100023</v>
      </c>
      <c r="O83" s="1">
        <v>120100023</v>
      </c>
      <c r="P83" s="1">
        <v>120100023</v>
      </c>
      <c r="R83" s="1">
        <v>5</v>
      </c>
      <c r="U83" s="1">
        <v>0</v>
      </c>
    </row>
    <row r="84" spans="1:21">
      <c r="A84" s="1">
        <v>140670004</v>
      </c>
      <c r="B84" s="1">
        <v>34</v>
      </c>
      <c r="C84" s="2" t="s">
        <v>539</v>
      </c>
      <c r="D84" s="1">
        <v>120030008</v>
      </c>
      <c r="E84" s="1">
        <v>180</v>
      </c>
      <c r="F84" s="1">
        <v>7</v>
      </c>
      <c r="G84" s="1">
        <v>5</v>
      </c>
      <c r="H84" s="1" t="s">
        <v>71</v>
      </c>
      <c r="I84" s="1" t="s">
        <v>71</v>
      </c>
      <c r="J84" s="1" t="s">
        <v>72</v>
      </c>
      <c r="P84" s="1">
        <v>120100023</v>
      </c>
      <c r="R84" s="1">
        <v>1</v>
      </c>
      <c r="U84" s="1">
        <v>0</v>
      </c>
    </row>
    <row r="85" spans="1:21">
      <c r="A85" s="1">
        <v>140670007</v>
      </c>
      <c r="B85" s="1">
        <v>34</v>
      </c>
      <c r="C85" s="2" t="s">
        <v>538</v>
      </c>
      <c r="D85" s="1">
        <v>120030008</v>
      </c>
      <c r="E85" s="1">
        <v>110</v>
      </c>
      <c r="F85" s="1">
        <v>4</v>
      </c>
      <c r="G85" s="1">
        <v>2.5</v>
      </c>
      <c r="H85" s="1" t="s">
        <v>72</v>
      </c>
      <c r="I85" s="1" t="s">
        <v>72</v>
      </c>
      <c r="J85" s="1" t="s">
        <v>72</v>
      </c>
      <c r="N85" s="1">
        <v>120100023</v>
      </c>
      <c r="O85" s="1">
        <v>120100023</v>
      </c>
      <c r="P85" s="1">
        <v>120100023</v>
      </c>
      <c r="R85" s="1">
        <v>5</v>
      </c>
      <c r="U85" s="1">
        <v>0</v>
      </c>
    </row>
    <row r="86" spans="1:21">
      <c r="A86" s="1">
        <v>140680007</v>
      </c>
      <c r="B86" s="1">
        <v>18</v>
      </c>
      <c r="C86" s="2" t="s">
        <v>540</v>
      </c>
      <c r="D86" s="1">
        <v>120030009</v>
      </c>
      <c r="E86" s="1">
        <v>225</v>
      </c>
      <c r="F86" s="1">
        <v>15</v>
      </c>
      <c r="G86" s="1">
        <v>2.5</v>
      </c>
      <c r="H86" s="1" t="s">
        <v>72</v>
      </c>
      <c r="I86" s="1" t="s">
        <v>72</v>
      </c>
      <c r="J86" s="1" t="s">
        <v>72</v>
      </c>
      <c r="K86" s="1">
        <v>10</v>
      </c>
      <c r="L86" s="1">
        <v>10</v>
      </c>
      <c r="M86" s="1">
        <v>15</v>
      </c>
      <c r="N86" s="1">
        <v>120100018</v>
      </c>
      <c r="O86" s="1">
        <v>120100018</v>
      </c>
      <c r="Q86" s="1">
        <v>120100018</v>
      </c>
      <c r="R86" s="1">
        <v>4</v>
      </c>
      <c r="T86" s="1">
        <v>20</v>
      </c>
      <c r="U86" s="1">
        <v>12</v>
      </c>
    </row>
    <row r="87" spans="1:21">
      <c r="A87" s="1">
        <v>140760004</v>
      </c>
      <c r="B87" s="1">
        <v>7</v>
      </c>
      <c r="C87" s="2" t="s">
        <v>541</v>
      </c>
      <c r="D87" s="1">
        <v>120030121</v>
      </c>
      <c r="E87" s="1">
        <v>152</v>
      </c>
      <c r="F87" s="1">
        <v>8</v>
      </c>
      <c r="G87" s="1">
        <v>2.5</v>
      </c>
      <c r="H87" s="1" t="s">
        <v>77</v>
      </c>
      <c r="I87" s="1" t="s">
        <v>77</v>
      </c>
      <c r="J87" s="1" t="s">
        <v>84</v>
      </c>
      <c r="K87" s="1">
        <v>6</v>
      </c>
      <c r="L87" s="1">
        <v>6</v>
      </c>
      <c r="M87" s="1">
        <v>8</v>
      </c>
      <c r="N87" s="1" t="s">
        <v>95</v>
      </c>
      <c r="O87" s="1" t="s">
        <v>95</v>
      </c>
      <c r="P87" s="1">
        <v>120110164</v>
      </c>
      <c r="R87" s="1">
        <v>5</v>
      </c>
      <c r="U87" s="1">
        <v>0</v>
      </c>
    </row>
    <row r="88" spans="1:21">
      <c r="A88" s="1">
        <v>140830001</v>
      </c>
      <c r="B88" s="1">
        <v>5</v>
      </c>
      <c r="C88" s="2" t="s">
        <v>542</v>
      </c>
      <c r="D88" s="1">
        <v>120030006</v>
      </c>
      <c r="E88" s="1">
        <v>257</v>
      </c>
      <c r="F88" s="1">
        <v>70</v>
      </c>
      <c r="G88" s="1">
        <v>2.5</v>
      </c>
      <c r="H88" s="1" t="s">
        <v>78</v>
      </c>
      <c r="I88" s="1" t="s">
        <v>78</v>
      </c>
      <c r="J88" s="1" t="s">
        <v>78</v>
      </c>
      <c r="N88" s="1" t="s">
        <v>151</v>
      </c>
      <c r="O88" s="1" t="s">
        <v>151</v>
      </c>
      <c r="P88" s="1">
        <v>120100023</v>
      </c>
      <c r="R88" s="1">
        <v>4</v>
      </c>
      <c r="U88" s="1">
        <v>0</v>
      </c>
    </row>
    <row r="89" spans="1:21">
      <c r="A89" s="1">
        <v>140850002</v>
      </c>
      <c r="B89" s="1">
        <v>24</v>
      </c>
      <c r="C89" s="2" t="s">
        <v>543</v>
      </c>
      <c r="D89" s="1">
        <v>120030011</v>
      </c>
      <c r="E89" s="1">
        <v>153</v>
      </c>
      <c r="F89" s="1">
        <v>6</v>
      </c>
      <c r="G89" s="1">
        <v>2.5</v>
      </c>
      <c r="H89" s="1" t="s">
        <v>78</v>
      </c>
      <c r="I89" s="1" t="s">
        <v>78</v>
      </c>
      <c r="J89" s="1" t="s">
        <v>78</v>
      </c>
      <c r="K89" s="1">
        <v>4</v>
      </c>
      <c r="L89" s="1">
        <v>4</v>
      </c>
      <c r="M89" s="1">
        <v>6</v>
      </c>
      <c r="N89" s="1">
        <v>120100047</v>
      </c>
      <c r="O89" s="1">
        <v>120100047</v>
      </c>
      <c r="P89" s="1">
        <v>120100047</v>
      </c>
      <c r="R89" s="1">
        <v>5</v>
      </c>
      <c r="U89" s="1">
        <v>0</v>
      </c>
    </row>
    <row r="90" spans="1:21">
      <c r="A90" s="1">
        <v>140860001</v>
      </c>
      <c r="B90" s="1">
        <v>9</v>
      </c>
      <c r="C90" s="2" t="s">
        <v>544</v>
      </c>
      <c r="D90" s="1">
        <v>120030105</v>
      </c>
      <c r="E90" s="1">
        <v>150</v>
      </c>
      <c r="F90" s="1">
        <v>5</v>
      </c>
      <c r="G90" s="1">
        <v>2.5</v>
      </c>
      <c r="H90" s="1" t="s">
        <v>72</v>
      </c>
      <c r="I90" s="1" t="s">
        <v>72</v>
      </c>
      <c r="J90" s="1" t="s">
        <v>72</v>
      </c>
      <c r="N90" s="1">
        <v>120100014</v>
      </c>
      <c r="O90" s="1" t="s">
        <v>96</v>
      </c>
      <c r="P90" s="1">
        <v>120100023</v>
      </c>
      <c r="R90" s="1">
        <v>5</v>
      </c>
      <c r="U90" s="1">
        <v>15</v>
      </c>
    </row>
    <row r="91" spans="1:21">
      <c r="A91" s="1">
        <v>140890002</v>
      </c>
      <c r="B91" s="1">
        <v>28</v>
      </c>
      <c r="C91" s="2" t="s">
        <v>545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85</v>
      </c>
      <c r="I91" s="1" t="s">
        <v>85</v>
      </c>
      <c r="J91" s="1" t="s">
        <v>72</v>
      </c>
      <c r="P91" s="1">
        <v>120100023</v>
      </c>
      <c r="R91" s="1">
        <v>4</v>
      </c>
      <c r="U91" s="1">
        <v>14</v>
      </c>
    </row>
    <row r="92" spans="1:21">
      <c r="A92" s="1">
        <v>140890003</v>
      </c>
      <c r="B92" s="1">
        <v>28</v>
      </c>
      <c r="C92" s="2" t="s">
        <v>546</v>
      </c>
      <c r="D92" s="1">
        <v>120030006</v>
      </c>
      <c r="E92" s="1">
        <v>200</v>
      </c>
      <c r="F92" s="1">
        <v>21.4</v>
      </c>
      <c r="G92" s="1">
        <v>2.5</v>
      </c>
      <c r="H92" s="1" t="s">
        <v>86</v>
      </c>
      <c r="I92" s="1" t="s">
        <v>86</v>
      </c>
      <c r="J92" s="1" t="s">
        <v>86</v>
      </c>
      <c r="R92" s="1">
        <v>4</v>
      </c>
      <c r="U92" s="1">
        <v>14</v>
      </c>
    </row>
    <row r="93" spans="1:21">
      <c r="A93" s="1">
        <v>140890004</v>
      </c>
      <c r="B93" s="1">
        <v>28</v>
      </c>
      <c r="C93" s="2" t="s">
        <v>547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86</v>
      </c>
      <c r="R93" s="1">
        <v>4</v>
      </c>
      <c r="U93" s="1">
        <v>14</v>
      </c>
    </row>
    <row r="94" spans="1:21">
      <c r="A94" s="1">
        <v>140890005</v>
      </c>
      <c r="B94" s="1">
        <v>28</v>
      </c>
      <c r="C94" s="2" t="s">
        <v>548</v>
      </c>
      <c r="D94" s="1">
        <v>120030094</v>
      </c>
      <c r="E94" s="1">
        <v>200</v>
      </c>
      <c r="F94" s="1">
        <v>21.4</v>
      </c>
      <c r="G94" s="1">
        <v>2.5</v>
      </c>
      <c r="H94" s="1" t="s">
        <v>85</v>
      </c>
      <c r="I94" s="1" t="s">
        <v>85</v>
      </c>
      <c r="J94" s="1" t="s">
        <v>72</v>
      </c>
      <c r="P94" s="1">
        <v>120100023</v>
      </c>
      <c r="R94" s="1">
        <v>4</v>
      </c>
      <c r="U94" s="1">
        <v>14</v>
      </c>
    </row>
    <row r="95" spans="1:21">
      <c r="A95" s="1">
        <v>141000006</v>
      </c>
      <c r="B95" s="1">
        <v>30</v>
      </c>
      <c r="C95" s="2" t="s">
        <v>464</v>
      </c>
      <c r="D95" s="1">
        <v>120030006</v>
      </c>
      <c r="E95" s="1">
        <v>200</v>
      </c>
      <c r="F95" s="1">
        <v>10</v>
      </c>
      <c r="G95" s="1">
        <v>2.5</v>
      </c>
      <c r="H95" s="1" t="s">
        <v>71</v>
      </c>
      <c r="I95" s="1" t="s">
        <v>71</v>
      </c>
      <c r="J95" s="1" t="s">
        <v>72</v>
      </c>
      <c r="K95" s="1">
        <v>10</v>
      </c>
      <c r="L95" s="1">
        <v>10</v>
      </c>
      <c r="M95" s="1">
        <v>10</v>
      </c>
      <c r="N95" s="1">
        <v>120110001</v>
      </c>
      <c r="O95" s="1">
        <v>120110001</v>
      </c>
      <c r="P95" s="1">
        <v>120100023</v>
      </c>
      <c r="R95" s="1">
        <v>4</v>
      </c>
      <c r="U95" s="1">
        <v>2</v>
      </c>
    </row>
    <row r="96" spans="1:21">
      <c r="A96" s="1">
        <v>141030001</v>
      </c>
      <c r="B96" s="1">
        <v>26</v>
      </c>
      <c r="C96" s="2" t="s">
        <v>549</v>
      </c>
      <c r="D96" s="1">
        <v>120030008</v>
      </c>
      <c r="E96" s="1">
        <v>195</v>
      </c>
      <c r="F96" s="1">
        <v>7</v>
      </c>
      <c r="G96" s="1">
        <v>2.5</v>
      </c>
      <c r="H96" s="1" t="s">
        <v>72</v>
      </c>
      <c r="I96" s="1" t="s">
        <v>72</v>
      </c>
      <c r="J96" s="1" t="s">
        <v>72</v>
      </c>
      <c r="R96" s="1">
        <v>5</v>
      </c>
      <c r="U96" s="1">
        <v>0</v>
      </c>
    </row>
    <row r="97" spans="1:21">
      <c r="A97" s="1">
        <v>141030003</v>
      </c>
      <c r="B97" s="1">
        <v>26</v>
      </c>
      <c r="C97" s="2" t="s">
        <v>550</v>
      </c>
      <c r="D97" s="1">
        <v>120030008</v>
      </c>
      <c r="E97" s="1">
        <v>160</v>
      </c>
      <c r="F97" s="1">
        <v>8.6999999999999993</v>
      </c>
      <c r="G97" s="1">
        <v>2.5</v>
      </c>
      <c r="H97" s="1" t="s">
        <v>72</v>
      </c>
      <c r="I97" s="1" t="s">
        <v>72</v>
      </c>
      <c r="J97" s="1" t="s">
        <v>72</v>
      </c>
      <c r="R97" s="1">
        <v>5</v>
      </c>
      <c r="U97" s="1">
        <v>0</v>
      </c>
    </row>
    <row r="98" spans="1:21">
      <c r="A98" s="1">
        <v>141030028</v>
      </c>
      <c r="B98" s="1">
        <v>26</v>
      </c>
      <c r="C98" s="2" t="s">
        <v>551</v>
      </c>
      <c r="D98" s="1">
        <v>120030008</v>
      </c>
      <c r="E98" s="1">
        <v>195</v>
      </c>
      <c r="F98" s="1">
        <v>8.6999999999999993</v>
      </c>
      <c r="G98" s="1">
        <v>2.5</v>
      </c>
      <c r="H98" s="1" t="s">
        <v>72</v>
      </c>
      <c r="I98" s="1" t="s">
        <v>72</v>
      </c>
      <c r="J98" s="1" t="s">
        <v>72</v>
      </c>
      <c r="R98" s="1">
        <v>5</v>
      </c>
      <c r="U98" s="1">
        <v>0</v>
      </c>
    </row>
    <row r="99" spans="1:21">
      <c r="A99" s="1">
        <v>141030029</v>
      </c>
      <c r="B99" s="1">
        <v>21</v>
      </c>
      <c r="C99" s="2" t="s">
        <v>552</v>
      </c>
      <c r="D99" s="1">
        <v>0</v>
      </c>
      <c r="E99" s="1">
        <v>195</v>
      </c>
      <c r="F99" s="1">
        <v>7</v>
      </c>
      <c r="G99" s="1">
        <v>2.5</v>
      </c>
      <c r="H99" s="1" t="s">
        <v>72</v>
      </c>
      <c r="I99" s="1" t="s">
        <v>72</v>
      </c>
      <c r="J99" s="1" t="s">
        <v>72</v>
      </c>
      <c r="R99" s="1">
        <v>5</v>
      </c>
      <c r="U99" s="1">
        <v>0</v>
      </c>
    </row>
    <row r="100" spans="1:21">
      <c r="A100" s="1">
        <v>141060001</v>
      </c>
      <c r="B100" s="1">
        <v>35</v>
      </c>
      <c r="C100" s="2" t="s">
        <v>553</v>
      </c>
      <c r="D100" s="1">
        <v>120030039</v>
      </c>
      <c r="E100" s="1">
        <v>155</v>
      </c>
      <c r="F100" s="1">
        <v>24</v>
      </c>
      <c r="G100" s="1">
        <v>2.5</v>
      </c>
      <c r="H100" s="1" t="s">
        <v>84</v>
      </c>
      <c r="I100" s="1" t="s">
        <v>74</v>
      </c>
      <c r="J100" s="1" t="s">
        <v>73</v>
      </c>
      <c r="N100" s="1">
        <v>120110001</v>
      </c>
      <c r="O100" s="1">
        <v>120110001</v>
      </c>
      <c r="R100" s="1">
        <v>3</v>
      </c>
      <c r="U100" s="1">
        <v>2.5</v>
      </c>
    </row>
    <row r="101" spans="1:21">
      <c r="A101" s="1">
        <v>141060005</v>
      </c>
      <c r="B101" s="1">
        <v>35</v>
      </c>
      <c r="C101" s="2" t="s">
        <v>554</v>
      </c>
      <c r="D101" s="1">
        <v>120030008</v>
      </c>
      <c r="E101" s="1">
        <v>112</v>
      </c>
      <c r="F101" s="1">
        <v>5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5</v>
      </c>
      <c r="U101" s="1">
        <v>0</v>
      </c>
    </row>
    <row r="102" spans="1:21">
      <c r="A102" s="1">
        <v>141130001</v>
      </c>
      <c r="B102" s="1">
        <v>23</v>
      </c>
      <c r="C102" s="2" t="s">
        <v>555</v>
      </c>
      <c r="D102" s="1">
        <v>120030006</v>
      </c>
      <c r="E102" s="1">
        <v>175</v>
      </c>
      <c r="F102" s="1">
        <v>10</v>
      </c>
      <c r="G102" s="1">
        <v>2.5</v>
      </c>
      <c r="H102" s="1" t="s">
        <v>73</v>
      </c>
      <c r="I102" s="1" t="s">
        <v>73</v>
      </c>
      <c r="J102" s="1" t="s">
        <v>73</v>
      </c>
      <c r="R102" s="1">
        <v>4</v>
      </c>
      <c r="U102" s="1">
        <v>20</v>
      </c>
    </row>
    <row r="103" spans="1:21">
      <c r="A103" s="1">
        <v>141130002</v>
      </c>
      <c r="B103" s="1">
        <v>23</v>
      </c>
      <c r="C103" s="2" t="s">
        <v>556</v>
      </c>
      <c r="D103" s="1">
        <v>120030006</v>
      </c>
      <c r="E103" s="1">
        <v>220</v>
      </c>
      <c r="F103" s="1">
        <v>10</v>
      </c>
      <c r="G103" s="1">
        <v>2.5</v>
      </c>
      <c r="H103" s="1" t="s">
        <v>80</v>
      </c>
      <c r="I103" s="1" t="s">
        <v>80</v>
      </c>
      <c r="J103" s="1" t="s">
        <v>80</v>
      </c>
      <c r="R103" s="1">
        <v>4</v>
      </c>
      <c r="U103" s="1">
        <v>0</v>
      </c>
    </row>
    <row r="104" spans="1:21">
      <c r="A104" s="1">
        <v>141170010</v>
      </c>
      <c r="B104" s="1">
        <v>11</v>
      </c>
      <c r="C104" s="2" t="s">
        <v>557</v>
      </c>
      <c r="D104" s="1">
        <v>0</v>
      </c>
      <c r="E104" s="1">
        <v>208</v>
      </c>
      <c r="F104" s="1">
        <v>18</v>
      </c>
      <c r="G104" s="1">
        <v>2.5</v>
      </c>
      <c r="H104" s="1" t="s">
        <v>77</v>
      </c>
      <c r="I104" s="1" t="s">
        <v>77</v>
      </c>
      <c r="J104" s="1" t="s">
        <v>72</v>
      </c>
      <c r="R104" s="1">
        <v>5</v>
      </c>
      <c r="U104" s="1">
        <v>21</v>
      </c>
    </row>
    <row r="105" spans="1:21">
      <c r="A105" s="1">
        <v>141170016</v>
      </c>
      <c r="B105" s="1">
        <v>11</v>
      </c>
      <c r="C105" s="2" t="s">
        <v>558</v>
      </c>
      <c r="D105" s="1">
        <v>120030094</v>
      </c>
      <c r="E105" s="1">
        <v>220</v>
      </c>
      <c r="F105" s="1">
        <v>130</v>
      </c>
      <c r="G105" s="1">
        <v>2.5</v>
      </c>
      <c r="H105" s="1" t="s">
        <v>77</v>
      </c>
      <c r="I105" s="1" t="s">
        <v>77</v>
      </c>
      <c r="J105" s="1" t="s">
        <v>72</v>
      </c>
      <c r="R105" s="1">
        <v>5</v>
      </c>
      <c r="U105" s="1">
        <v>2</v>
      </c>
    </row>
    <row r="106" spans="1:21">
      <c r="A106" s="1">
        <v>141200050</v>
      </c>
      <c r="B106" s="1">
        <v>3</v>
      </c>
      <c r="C106" s="2" t="s">
        <v>559</v>
      </c>
      <c r="D106" s="1">
        <v>120030039</v>
      </c>
      <c r="E106" s="1">
        <v>100</v>
      </c>
      <c r="F106" s="1">
        <v>1.4</v>
      </c>
      <c r="G106" s="1">
        <v>2</v>
      </c>
      <c r="H106" s="1" t="s">
        <v>76</v>
      </c>
      <c r="I106" s="1" t="s">
        <v>76</v>
      </c>
      <c r="J106" s="1" t="s">
        <v>73</v>
      </c>
      <c r="N106" s="1">
        <v>120100223</v>
      </c>
      <c r="O106" s="1">
        <v>120100223</v>
      </c>
      <c r="R106" s="1">
        <v>3</v>
      </c>
      <c r="U106" s="1">
        <v>0</v>
      </c>
    </row>
    <row r="107" spans="1:21">
      <c r="A107" s="1">
        <v>141270007</v>
      </c>
      <c r="B107" s="1">
        <v>6</v>
      </c>
      <c r="C107" s="2" t="s">
        <v>560</v>
      </c>
      <c r="D107" s="1">
        <v>120030039</v>
      </c>
      <c r="E107" s="1">
        <v>116</v>
      </c>
      <c r="F107" s="1">
        <v>20.8</v>
      </c>
      <c r="G107" s="1">
        <v>2</v>
      </c>
      <c r="H107" s="1" t="s">
        <v>87</v>
      </c>
      <c r="I107" s="1" t="s">
        <v>87</v>
      </c>
      <c r="J107" s="1" t="s">
        <v>73</v>
      </c>
      <c r="O107" s="1" t="s">
        <v>151</v>
      </c>
      <c r="R107" s="1">
        <v>3</v>
      </c>
      <c r="U107" s="1">
        <v>4.5</v>
      </c>
    </row>
    <row r="108" spans="1:21">
      <c r="A108" s="1">
        <v>141300004</v>
      </c>
      <c r="B108" s="1">
        <v>38</v>
      </c>
      <c r="C108" s="2" t="s">
        <v>561</v>
      </c>
      <c r="D108" s="1">
        <v>120040072</v>
      </c>
      <c r="E108" s="1">
        <v>130</v>
      </c>
      <c r="F108" s="1">
        <v>4</v>
      </c>
      <c r="G108" s="1">
        <v>2.5</v>
      </c>
      <c r="H108" s="1" t="s">
        <v>74</v>
      </c>
      <c r="I108" s="1" t="s">
        <v>74</v>
      </c>
      <c r="J108" s="1">
        <v>0</v>
      </c>
      <c r="N108" s="1" t="s">
        <v>127</v>
      </c>
      <c r="O108" s="1" t="s">
        <v>127</v>
      </c>
      <c r="P108" s="1" t="s">
        <v>127</v>
      </c>
      <c r="R108" s="1">
        <v>3</v>
      </c>
      <c r="U108" s="1">
        <v>0</v>
      </c>
    </row>
    <row r="109" spans="1:21">
      <c r="A109" s="1">
        <v>141300014</v>
      </c>
      <c r="B109" s="1">
        <v>38</v>
      </c>
      <c r="C109" s="2" t="s">
        <v>562</v>
      </c>
      <c r="D109" s="1">
        <v>120040072</v>
      </c>
      <c r="E109" s="1">
        <v>150</v>
      </c>
      <c r="F109" s="1">
        <v>15</v>
      </c>
      <c r="G109" s="1">
        <v>2.5</v>
      </c>
      <c r="H109" s="1" t="s">
        <v>74</v>
      </c>
      <c r="I109" s="1" t="s">
        <v>74</v>
      </c>
      <c r="J109" s="1" t="s">
        <v>73</v>
      </c>
      <c r="R109" s="1">
        <v>3</v>
      </c>
      <c r="U109" s="1">
        <v>15</v>
      </c>
    </row>
    <row r="110" spans="1:21">
      <c r="A110" s="1">
        <v>141300015</v>
      </c>
      <c r="B110" s="1">
        <v>38</v>
      </c>
      <c r="C110" s="2" t="s">
        <v>563</v>
      </c>
      <c r="D110" s="1">
        <v>120040049</v>
      </c>
      <c r="E110" s="1">
        <v>150</v>
      </c>
      <c r="F110" s="1">
        <v>5</v>
      </c>
      <c r="G110" s="1">
        <v>2.5</v>
      </c>
      <c r="H110" s="1" t="s">
        <v>80</v>
      </c>
      <c r="I110" s="1" t="s">
        <v>72</v>
      </c>
      <c r="J110" s="1" t="s">
        <v>73</v>
      </c>
      <c r="K110" s="1">
        <v>5</v>
      </c>
      <c r="L110" s="1">
        <v>5</v>
      </c>
      <c r="M110" s="1">
        <v>0</v>
      </c>
      <c r="N110" s="1">
        <v>120100014</v>
      </c>
      <c r="R110" s="1">
        <v>2</v>
      </c>
      <c r="U110" s="1">
        <v>0</v>
      </c>
    </row>
    <row r="111" spans="1:21">
      <c r="A111" s="1">
        <v>141320031</v>
      </c>
      <c r="B111" s="1">
        <v>29</v>
      </c>
      <c r="C111" s="2" t="s">
        <v>564</v>
      </c>
      <c r="D111" s="1">
        <v>120030039</v>
      </c>
      <c r="E111" s="1">
        <v>192</v>
      </c>
      <c r="F111" s="1">
        <v>2.5</v>
      </c>
      <c r="G111" s="1">
        <v>2</v>
      </c>
      <c r="H111" s="1" t="s">
        <v>71</v>
      </c>
      <c r="I111" s="1" t="s">
        <v>71</v>
      </c>
      <c r="J111" s="1" t="s">
        <v>73</v>
      </c>
      <c r="N111" s="1">
        <v>120110001</v>
      </c>
      <c r="O111" s="1">
        <v>120110001</v>
      </c>
      <c r="R111" s="1">
        <v>3</v>
      </c>
      <c r="U111" s="1">
        <v>11</v>
      </c>
    </row>
    <row r="112" spans="1:21">
      <c r="A112" s="1">
        <v>141320032</v>
      </c>
      <c r="B112" s="1">
        <v>29</v>
      </c>
      <c r="C112" s="2" t="s">
        <v>521</v>
      </c>
      <c r="D112" s="1">
        <v>120030039</v>
      </c>
      <c r="E112" s="1">
        <v>221</v>
      </c>
      <c r="F112" s="1">
        <v>2.5</v>
      </c>
      <c r="G112" s="1">
        <v>2</v>
      </c>
      <c r="H112" s="1" t="s">
        <v>71</v>
      </c>
      <c r="I112" s="1" t="s">
        <v>71</v>
      </c>
      <c r="J112" s="1" t="s">
        <v>73</v>
      </c>
      <c r="N112" s="1">
        <v>120110001</v>
      </c>
      <c r="O112" s="1">
        <v>120110001</v>
      </c>
      <c r="R112" s="1">
        <v>3</v>
      </c>
      <c r="U112" s="1">
        <v>20</v>
      </c>
    </row>
    <row r="113" spans="1:21">
      <c r="A113" s="1">
        <v>141320033</v>
      </c>
      <c r="B113" s="1">
        <v>29</v>
      </c>
      <c r="C113" s="2" t="s">
        <v>522</v>
      </c>
      <c r="D113" s="1">
        <v>120030039</v>
      </c>
      <c r="E113" s="1">
        <v>212</v>
      </c>
      <c r="F113" s="1">
        <v>2.5</v>
      </c>
      <c r="G113" s="1">
        <v>2</v>
      </c>
      <c r="H113" s="1" t="s">
        <v>71</v>
      </c>
      <c r="I113" s="1" t="s">
        <v>71</v>
      </c>
      <c r="J113" s="1" t="s">
        <v>73</v>
      </c>
      <c r="N113" s="1">
        <v>120110001</v>
      </c>
      <c r="O113" s="1">
        <v>120110001</v>
      </c>
      <c r="R113" s="1">
        <v>3</v>
      </c>
      <c r="U113" s="1">
        <v>11</v>
      </c>
    </row>
    <row r="114" spans="1:21">
      <c r="A114" s="1">
        <v>141320055</v>
      </c>
      <c r="B114" s="1">
        <v>29</v>
      </c>
      <c r="C114" s="2" t="s">
        <v>523</v>
      </c>
      <c r="D114" s="1">
        <v>120030039</v>
      </c>
      <c r="E114" s="1">
        <v>180</v>
      </c>
      <c r="F114" s="1">
        <v>2.5</v>
      </c>
      <c r="G114" s="1">
        <v>1.4</v>
      </c>
      <c r="H114" s="1" t="s">
        <v>76</v>
      </c>
      <c r="I114" s="1" t="s">
        <v>76</v>
      </c>
      <c r="J114" s="1" t="s">
        <v>76</v>
      </c>
      <c r="N114" s="1">
        <v>120100223</v>
      </c>
      <c r="O114" s="1">
        <v>120100223</v>
      </c>
      <c r="R114" s="1">
        <v>3</v>
      </c>
      <c r="U114" s="1">
        <v>0</v>
      </c>
    </row>
    <row r="115" spans="1:21">
      <c r="A115" s="1">
        <v>141650001</v>
      </c>
      <c r="B115" s="1">
        <v>10</v>
      </c>
      <c r="C115" s="2" t="s">
        <v>565</v>
      </c>
      <c r="D115" s="1">
        <v>120030107</v>
      </c>
      <c r="E115" s="1">
        <v>183</v>
      </c>
      <c r="F115" s="1">
        <v>12</v>
      </c>
      <c r="G115" s="1">
        <v>2.5</v>
      </c>
      <c r="H115" s="1" t="s">
        <v>78</v>
      </c>
      <c r="I115" s="1" t="s">
        <v>78</v>
      </c>
      <c r="J115" s="1" t="s">
        <v>78</v>
      </c>
      <c r="K115" s="1">
        <v>9</v>
      </c>
      <c r="L115" s="1">
        <v>9</v>
      </c>
      <c r="M115" s="1">
        <v>12</v>
      </c>
      <c r="N115" s="1">
        <v>120100047</v>
      </c>
      <c r="O115" s="1">
        <v>120100047</v>
      </c>
      <c r="P115" s="1">
        <v>120100083</v>
      </c>
      <c r="R115" s="1">
        <v>5</v>
      </c>
      <c r="U115" s="1">
        <v>0</v>
      </c>
    </row>
    <row r="116" spans="1:21">
      <c r="A116" s="1">
        <v>141670001</v>
      </c>
      <c r="B116" s="1">
        <v>17</v>
      </c>
      <c r="C116" s="2" t="s">
        <v>566</v>
      </c>
      <c r="D116" s="1">
        <v>120030107</v>
      </c>
      <c r="E116" s="1">
        <v>192</v>
      </c>
      <c r="F116" s="1">
        <v>30.5</v>
      </c>
      <c r="G116" s="1">
        <v>2.5</v>
      </c>
      <c r="H116" s="1" t="s">
        <v>72</v>
      </c>
      <c r="I116" s="1" t="s">
        <v>72</v>
      </c>
      <c r="J116" s="1" t="s">
        <v>72</v>
      </c>
      <c r="K116" s="1">
        <v>26.5</v>
      </c>
      <c r="L116" s="1">
        <v>26.5</v>
      </c>
      <c r="M116" s="1">
        <v>30.5</v>
      </c>
      <c r="N116" s="1">
        <v>120100016</v>
      </c>
      <c r="O116" s="1">
        <v>120100016</v>
      </c>
      <c r="P116" s="1">
        <v>120100045</v>
      </c>
      <c r="R116" s="1">
        <v>5</v>
      </c>
      <c r="U116" s="1">
        <v>3.5</v>
      </c>
    </row>
    <row r="117" spans="1:21">
      <c r="A117" s="1">
        <v>140310075</v>
      </c>
      <c r="B117" s="1">
        <v>16</v>
      </c>
      <c r="C117" s="2" t="s">
        <v>567</v>
      </c>
      <c r="D117" s="1">
        <v>120030094</v>
      </c>
      <c r="E117" s="1">
        <v>219</v>
      </c>
      <c r="F117" s="1">
        <v>20</v>
      </c>
      <c r="G117" s="1">
        <v>2.5</v>
      </c>
      <c r="H117" s="1" t="s">
        <v>77</v>
      </c>
      <c r="I117" s="1" t="s">
        <v>77</v>
      </c>
      <c r="J117" s="1" t="s">
        <v>72</v>
      </c>
      <c r="K117" s="1">
        <v>20</v>
      </c>
      <c r="L117" s="1">
        <v>20</v>
      </c>
      <c r="M117" s="1">
        <v>15.5</v>
      </c>
      <c r="N117" s="1" t="s">
        <v>90</v>
      </c>
      <c r="O117" s="1" t="s">
        <v>90</v>
      </c>
      <c r="P117" s="1">
        <v>120100023</v>
      </c>
      <c r="R117" s="1">
        <v>5</v>
      </c>
      <c r="U117" s="1">
        <v>1</v>
      </c>
    </row>
    <row r="118" spans="1:21">
      <c r="A118" s="1">
        <v>140310031</v>
      </c>
      <c r="B118" s="1">
        <v>16</v>
      </c>
      <c r="C118" s="2" t="s">
        <v>568</v>
      </c>
      <c r="D118" s="1">
        <v>120030008</v>
      </c>
      <c r="E118" s="1">
        <v>203</v>
      </c>
      <c r="F118" s="1">
        <v>3</v>
      </c>
      <c r="G118" s="1">
        <v>2</v>
      </c>
      <c r="H118" s="1" t="s">
        <v>77</v>
      </c>
      <c r="I118" s="1" t="s">
        <v>77</v>
      </c>
      <c r="J118" s="1" t="s">
        <v>81</v>
      </c>
      <c r="K118" s="1">
        <v>3</v>
      </c>
      <c r="L118" s="1">
        <v>3</v>
      </c>
      <c r="M118" s="1">
        <v>30</v>
      </c>
      <c r="N118" s="1">
        <v>120110061</v>
      </c>
      <c r="O118" s="1">
        <v>120110061</v>
      </c>
      <c r="P118" s="1">
        <v>120100045</v>
      </c>
      <c r="R118" s="1">
        <v>5</v>
      </c>
      <c r="U118" s="1">
        <v>15</v>
      </c>
    </row>
    <row r="119" spans="1:21">
      <c r="A119" s="1">
        <v>140550084</v>
      </c>
      <c r="B119" s="1">
        <v>31</v>
      </c>
      <c r="C119" s="2" t="s">
        <v>569</v>
      </c>
      <c r="D119" s="1">
        <v>120030116</v>
      </c>
      <c r="E119" s="1">
        <v>190</v>
      </c>
      <c r="F119" s="1">
        <v>2</v>
      </c>
      <c r="G119" s="1">
        <v>2</v>
      </c>
      <c r="H119" s="1" t="s">
        <v>71</v>
      </c>
      <c r="I119" s="1" t="s">
        <v>71</v>
      </c>
      <c r="J119" s="1" t="s">
        <v>83</v>
      </c>
      <c r="N119" s="1">
        <v>120110001</v>
      </c>
      <c r="O119" s="1">
        <v>120110001</v>
      </c>
      <c r="R119" s="1">
        <v>2</v>
      </c>
      <c r="U119" s="1">
        <v>0</v>
      </c>
    </row>
    <row r="120" spans="1:21">
      <c r="A120" s="1">
        <v>140310016</v>
      </c>
      <c r="B120" s="1">
        <v>16</v>
      </c>
      <c r="C120" s="2" t="s">
        <v>570</v>
      </c>
      <c r="D120" s="1">
        <v>120030008</v>
      </c>
      <c r="E120" s="1">
        <v>2185</v>
      </c>
      <c r="F120" s="1">
        <v>26.5</v>
      </c>
      <c r="G120" s="1">
        <v>2.5</v>
      </c>
      <c r="H120" s="1" t="s">
        <v>77</v>
      </c>
      <c r="I120" s="1" t="s">
        <v>77</v>
      </c>
      <c r="J120" s="1" t="s">
        <v>72</v>
      </c>
      <c r="K120" s="1">
        <v>3</v>
      </c>
      <c r="L120" s="1">
        <v>3</v>
      </c>
      <c r="M120" s="1">
        <v>26.5</v>
      </c>
      <c r="N120" s="1">
        <v>120110061</v>
      </c>
      <c r="O120" s="1">
        <v>120110061</v>
      </c>
      <c r="P120" s="1">
        <v>120110052</v>
      </c>
      <c r="R120" s="1">
        <v>5</v>
      </c>
      <c r="U120" s="1">
        <v>15</v>
      </c>
    </row>
    <row r="121" spans="1:21">
      <c r="A121" s="1">
        <v>140310017</v>
      </c>
      <c r="B121" s="1">
        <v>16</v>
      </c>
      <c r="C121" s="2" t="s">
        <v>571</v>
      </c>
      <c r="D121" s="1">
        <v>120030008</v>
      </c>
      <c r="E121" s="1">
        <v>245</v>
      </c>
      <c r="F121" s="1">
        <v>44</v>
      </c>
      <c r="G121" s="1">
        <v>2.5</v>
      </c>
      <c r="H121" s="1" t="s">
        <v>72</v>
      </c>
      <c r="I121" s="1" t="s">
        <v>71</v>
      </c>
      <c r="J121" s="1" t="s">
        <v>72</v>
      </c>
      <c r="K121" s="1">
        <v>44</v>
      </c>
      <c r="L121" s="1">
        <v>6.5</v>
      </c>
      <c r="M121" s="1">
        <v>34</v>
      </c>
      <c r="N121" s="1">
        <v>120100016</v>
      </c>
      <c r="O121" s="1">
        <v>120110001</v>
      </c>
      <c r="P121" s="1">
        <v>120110052</v>
      </c>
      <c r="R121" s="1">
        <v>5</v>
      </c>
      <c r="U121" s="1">
        <v>24</v>
      </c>
    </row>
    <row r="122" spans="1:21">
      <c r="A122" s="1">
        <v>140450027</v>
      </c>
      <c r="B122" s="1">
        <v>33</v>
      </c>
      <c r="C122" s="2" t="s">
        <v>572</v>
      </c>
      <c r="D122" s="1">
        <v>120030094</v>
      </c>
      <c r="E122" s="1">
        <v>219</v>
      </c>
      <c r="F122" s="1">
        <v>23</v>
      </c>
      <c r="G122" s="1">
        <v>2</v>
      </c>
      <c r="H122" s="1" t="s">
        <v>71</v>
      </c>
      <c r="I122" s="1" t="s">
        <v>71</v>
      </c>
      <c r="J122" s="1" t="s">
        <v>72</v>
      </c>
      <c r="K122" s="1">
        <v>15.5</v>
      </c>
      <c r="L122" s="1">
        <v>15.5</v>
      </c>
      <c r="M122" s="1">
        <v>23</v>
      </c>
      <c r="N122" s="1">
        <v>120110001</v>
      </c>
      <c r="O122" s="1">
        <v>120110001</v>
      </c>
      <c r="P122" s="1">
        <v>120100045</v>
      </c>
      <c r="R122" s="1">
        <v>5</v>
      </c>
      <c r="U122" s="1">
        <v>1</v>
      </c>
    </row>
    <row r="123" spans="1:21">
      <c r="A123" s="1">
        <v>140450039</v>
      </c>
      <c r="B123" s="1">
        <v>33</v>
      </c>
      <c r="C123" s="2" t="s">
        <v>573</v>
      </c>
      <c r="D123" s="1">
        <v>120030107</v>
      </c>
      <c r="E123" s="1">
        <v>176</v>
      </c>
      <c r="F123" s="1">
        <v>12</v>
      </c>
      <c r="G123" s="1">
        <v>2</v>
      </c>
      <c r="H123" s="1" t="s">
        <v>72</v>
      </c>
      <c r="I123" s="1" t="s">
        <v>72</v>
      </c>
      <c r="J123" s="1" t="s">
        <v>72</v>
      </c>
      <c r="K123" s="1">
        <v>9</v>
      </c>
      <c r="L123" s="1">
        <v>9</v>
      </c>
      <c r="M123" s="1">
        <v>12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3</v>
      </c>
    </row>
    <row r="124" spans="1:21">
      <c r="A124" s="1">
        <v>140310096</v>
      </c>
      <c r="B124" s="1">
        <v>16</v>
      </c>
      <c r="C124" s="2" t="s">
        <v>574</v>
      </c>
      <c r="D124" s="1">
        <v>120030107</v>
      </c>
      <c r="E124" s="1">
        <v>192</v>
      </c>
      <c r="F124" s="1">
        <v>33</v>
      </c>
      <c r="G124" s="1">
        <v>2</v>
      </c>
      <c r="H124" s="1" t="s">
        <v>72</v>
      </c>
      <c r="I124" s="1" t="s">
        <v>72</v>
      </c>
      <c r="J124" s="1" t="s">
        <v>72</v>
      </c>
      <c r="K124" s="1">
        <v>19.5</v>
      </c>
      <c r="L124" s="1">
        <v>19.5</v>
      </c>
      <c r="M124" s="1">
        <v>33</v>
      </c>
      <c r="N124" s="1">
        <v>120100016</v>
      </c>
      <c r="O124" s="1">
        <v>120100016</v>
      </c>
      <c r="P124" s="1">
        <v>120100047</v>
      </c>
      <c r="R124" s="1">
        <v>5</v>
      </c>
      <c r="U124" s="1">
        <v>0.85</v>
      </c>
    </row>
    <row r="125" spans="1:21">
      <c r="A125" s="1">
        <v>140450035</v>
      </c>
      <c r="B125" s="1">
        <v>33</v>
      </c>
      <c r="C125" s="2" t="s">
        <v>575</v>
      </c>
      <c r="D125" s="1">
        <v>120030094</v>
      </c>
      <c r="E125" s="1">
        <v>225</v>
      </c>
      <c r="F125" s="1">
        <v>27</v>
      </c>
      <c r="G125" s="1">
        <v>2</v>
      </c>
      <c r="H125" s="1" t="s">
        <v>84</v>
      </c>
      <c r="I125" s="1" t="s">
        <v>84</v>
      </c>
      <c r="J125" s="1" t="s">
        <v>72</v>
      </c>
      <c r="K125" s="1">
        <v>27</v>
      </c>
      <c r="L125" s="1">
        <v>27</v>
      </c>
      <c r="M125" s="1">
        <v>21</v>
      </c>
      <c r="N125" s="1" t="s">
        <v>100</v>
      </c>
      <c r="O125" s="1" t="s">
        <v>100</v>
      </c>
      <c r="P125" s="1">
        <v>120100045</v>
      </c>
      <c r="R125" s="1">
        <v>5</v>
      </c>
      <c r="U125" s="1">
        <v>1</v>
      </c>
    </row>
    <row r="126" spans="1:21">
      <c r="A126" s="1">
        <v>140010298</v>
      </c>
      <c r="B126" s="1">
        <v>39</v>
      </c>
      <c r="C126" s="2"/>
      <c r="H126" s="1">
        <v>0</v>
      </c>
      <c r="I126" s="1">
        <v>0</v>
      </c>
      <c r="J126" s="1">
        <v>0</v>
      </c>
      <c r="N126" s="1">
        <v>0</v>
      </c>
      <c r="O126" s="1">
        <v>0</v>
      </c>
      <c r="P126" s="1">
        <v>0</v>
      </c>
      <c r="R126" s="1">
        <v>3</v>
      </c>
      <c r="U126" s="1">
        <v>15</v>
      </c>
    </row>
    <row r="127" spans="1:21">
      <c r="A127" s="1">
        <v>140450047</v>
      </c>
      <c r="B127" s="1">
        <v>33</v>
      </c>
      <c r="C127" s="2" t="s">
        <v>576</v>
      </c>
      <c r="D127" s="1">
        <v>120030011</v>
      </c>
      <c r="E127" s="1">
        <v>140</v>
      </c>
      <c r="F127" s="1">
        <v>6</v>
      </c>
      <c r="G127" s="1">
        <v>2.5</v>
      </c>
      <c r="H127" s="1">
        <v>12</v>
      </c>
      <c r="I127" s="1">
        <v>12</v>
      </c>
      <c r="J127" s="1">
        <v>12</v>
      </c>
      <c r="K127" s="1">
        <v>5</v>
      </c>
      <c r="L127" s="1">
        <v>5</v>
      </c>
      <c r="M127" s="1">
        <v>6</v>
      </c>
      <c r="N127" s="1">
        <v>0</v>
      </c>
      <c r="O127" s="1">
        <v>0</v>
      </c>
      <c r="P127" s="1">
        <v>0</v>
      </c>
      <c r="R127" s="1">
        <v>5</v>
      </c>
      <c r="U127" s="1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I42"/>
  <sheetViews>
    <sheetView topLeftCell="A21" workbookViewId="0">
      <selection activeCell="B40" sqref="B40"/>
    </sheetView>
  </sheetViews>
  <sheetFormatPr defaultRowHeight="15"/>
  <cols>
    <col min="1" max="1" width="25.85546875" style="1" bestFit="1" customWidth="1"/>
    <col min="2" max="2" width="28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587</v>
      </c>
      <c r="B2" s="1" t="s">
        <v>578</v>
      </c>
      <c r="C2" s="1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2" t="s">
        <v>36</v>
      </c>
      <c r="D3" s="13"/>
      <c r="E3" s="13"/>
      <c r="F3" s="13"/>
      <c r="G3" s="13"/>
      <c r="H3" s="13"/>
      <c r="I3" s="13"/>
    </row>
    <row r="4" spans="1:9">
      <c r="A4" s="1">
        <v>2</v>
      </c>
      <c r="B4" s="2" t="s">
        <v>30</v>
      </c>
      <c r="D4" s="13"/>
      <c r="E4" s="13"/>
      <c r="F4" s="13"/>
      <c r="G4" s="13"/>
      <c r="H4" s="13"/>
      <c r="I4" s="13"/>
    </row>
    <row r="5" spans="1:9">
      <c r="A5" s="1">
        <v>3</v>
      </c>
      <c r="B5" s="2" t="s">
        <v>53</v>
      </c>
      <c r="D5" s="13"/>
      <c r="E5" s="13"/>
      <c r="F5" s="13"/>
      <c r="G5" s="13"/>
      <c r="H5" s="13"/>
      <c r="I5" s="13"/>
    </row>
    <row r="6" spans="1:9">
      <c r="A6" s="1">
        <v>4</v>
      </c>
      <c r="B6" s="2" t="s">
        <v>34</v>
      </c>
      <c r="D6" s="13"/>
      <c r="E6" s="13"/>
      <c r="F6" s="13"/>
      <c r="G6" s="13"/>
      <c r="H6" s="13"/>
      <c r="I6" s="13"/>
    </row>
    <row r="7" spans="1:9">
      <c r="A7" s="1">
        <v>5</v>
      </c>
      <c r="B7" s="2" t="s">
        <v>45</v>
      </c>
      <c r="D7" s="13"/>
      <c r="E7" s="13"/>
      <c r="F7" s="13"/>
      <c r="G7" s="13"/>
      <c r="H7" s="13"/>
      <c r="I7" s="13"/>
    </row>
    <row r="8" spans="1:9">
      <c r="A8" s="1">
        <v>6</v>
      </c>
      <c r="B8" s="2" t="s">
        <v>54</v>
      </c>
      <c r="D8" s="13"/>
      <c r="E8" s="13"/>
      <c r="F8" s="13"/>
      <c r="G8" s="13"/>
      <c r="H8" s="13"/>
      <c r="I8" s="13"/>
    </row>
    <row r="9" spans="1:9">
      <c r="A9" s="1">
        <v>7</v>
      </c>
      <c r="B9" s="2" t="s">
        <v>44</v>
      </c>
      <c r="D9" s="13"/>
      <c r="E9" s="13"/>
      <c r="F9" s="13"/>
      <c r="G9" s="13"/>
      <c r="H9" s="13"/>
      <c r="I9" s="13"/>
    </row>
    <row r="10" spans="1:9">
      <c r="A10" s="1">
        <v>8</v>
      </c>
      <c r="B10" s="2" t="s">
        <v>28</v>
      </c>
      <c r="D10" s="13"/>
      <c r="E10" s="13"/>
      <c r="F10" s="13"/>
      <c r="G10" s="13"/>
      <c r="H10" s="13"/>
      <c r="I10" s="13"/>
    </row>
    <row r="11" spans="1:9">
      <c r="A11" s="1">
        <v>9</v>
      </c>
      <c r="B11" s="2" t="s">
        <v>46</v>
      </c>
      <c r="D11" s="13"/>
      <c r="E11" s="13"/>
      <c r="F11" s="13"/>
      <c r="G11" s="13"/>
      <c r="H11" s="13"/>
      <c r="I11" s="13"/>
    </row>
    <row r="12" spans="1:9">
      <c r="A12" s="1">
        <v>10</v>
      </c>
      <c r="B12" s="2" t="s">
        <v>56</v>
      </c>
      <c r="D12" s="13"/>
      <c r="E12" s="13"/>
      <c r="F12" s="13"/>
      <c r="G12" s="13"/>
      <c r="H12" s="13"/>
      <c r="I12" s="13"/>
    </row>
    <row r="13" spans="1:9">
      <c r="A13" s="1">
        <v>11</v>
      </c>
      <c r="B13" s="2" t="s">
        <v>52</v>
      </c>
      <c r="D13" s="13"/>
      <c r="E13" s="13"/>
      <c r="F13" s="13"/>
      <c r="G13" s="13"/>
      <c r="H13" s="13"/>
      <c r="I13" s="13"/>
    </row>
    <row r="14" spans="1:9">
      <c r="A14" s="1">
        <v>12</v>
      </c>
      <c r="B14" s="2" t="s">
        <v>39</v>
      </c>
      <c r="D14" s="13"/>
      <c r="E14" s="13"/>
      <c r="F14" s="13"/>
      <c r="G14" s="13"/>
      <c r="H14" s="13"/>
      <c r="I14" s="13"/>
    </row>
    <row r="15" spans="1:9">
      <c r="A15" s="1">
        <v>13</v>
      </c>
      <c r="B15" s="2" t="s">
        <v>27</v>
      </c>
      <c r="D15" s="13"/>
      <c r="E15" s="13"/>
      <c r="F15" s="13"/>
      <c r="G15" s="13"/>
      <c r="H15" s="13"/>
      <c r="I15" s="13"/>
    </row>
    <row r="16" spans="1:9">
      <c r="A16" s="1">
        <v>14</v>
      </c>
      <c r="B16" s="2" t="s">
        <v>31</v>
      </c>
      <c r="D16" s="13"/>
      <c r="E16" s="13"/>
      <c r="F16" s="13"/>
      <c r="G16" s="13"/>
      <c r="H16" s="13"/>
      <c r="I16" s="13"/>
    </row>
    <row r="17" spans="1:9">
      <c r="A17" s="1">
        <v>15</v>
      </c>
      <c r="B17" s="2" t="s">
        <v>35</v>
      </c>
      <c r="D17" s="13"/>
      <c r="E17" s="13"/>
      <c r="F17" s="13"/>
      <c r="G17" s="13"/>
      <c r="H17" s="13"/>
      <c r="I17" s="13"/>
    </row>
    <row r="18" spans="1:9">
      <c r="A18" s="1">
        <v>16</v>
      </c>
      <c r="B18" s="2" t="s">
        <v>33</v>
      </c>
      <c r="D18" s="13"/>
      <c r="E18" s="13"/>
      <c r="F18" s="13"/>
      <c r="G18" s="13"/>
      <c r="H18" s="13"/>
      <c r="I18" s="13"/>
    </row>
    <row r="19" spans="1:9">
      <c r="A19" s="1">
        <v>17</v>
      </c>
      <c r="B19" s="2" t="s">
        <v>57</v>
      </c>
      <c r="D19" s="13"/>
      <c r="E19" s="13"/>
      <c r="F19" s="13"/>
      <c r="G19" s="13"/>
      <c r="H19" s="13"/>
      <c r="I19" s="13"/>
    </row>
    <row r="20" spans="1:9">
      <c r="A20" s="1">
        <v>18</v>
      </c>
      <c r="B20" s="2" t="s">
        <v>43</v>
      </c>
      <c r="D20" s="13"/>
      <c r="E20" s="13"/>
      <c r="F20" s="13"/>
      <c r="G20" s="13"/>
      <c r="H20" s="13"/>
      <c r="I20" s="13"/>
    </row>
    <row r="21" spans="1:9">
      <c r="A21" s="1">
        <v>19</v>
      </c>
      <c r="B21" s="2" t="s">
        <v>59</v>
      </c>
      <c r="D21" s="13"/>
      <c r="E21" s="13"/>
      <c r="F21" s="13"/>
      <c r="G21" s="13"/>
      <c r="H21" s="13"/>
      <c r="I21" s="13"/>
    </row>
    <row r="22" spans="1:9">
      <c r="A22" s="1">
        <v>20</v>
      </c>
      <c r="B22" s="2" t="s">
        <v>40</v>
      </c>
      <c r="C22" s="1" t="s">
        <v>62</v>
      </c>
      <c r="D22" s="13"/>
      <c r="E22" s="13"/>
      <c r="F22" s="13"/>
      <c r="G22" s="13"/>
      <c r="H22" s="13"/>
      <c r="I22" s="13"/>
    </row>
    <row r="23" spans="1:9">
      <c r="A23" s="1">
        <v>21</v>
      </c>
      <c r="B23" s="2" t="s">
        <v>49</v>
      </c>
      <c r="D23" s="13"/>
      <c r="E23" s="13"/>
      <c r="F23" s="13"/>
      <c r="G23" s="13"/>
      <c r="H23" s="13"/>
      <c r="I23" s="13"/>
    </row>
    <row r="24" spans="1:9">
      <c r="A24" s="1">
        <v>22</v>
      </c>
      <c r="B24" s="2" t="s">
        <v>26</v>
      </c>
      <c r="D24" s="13"/>
      <c r="E24" s="13"/>
      <c r="F24" s="13"/>
      <c r="G24" s="13"/>
      <c r="H24" s="13"/>
      <c r="I24" s="13"/>
    </row>
    <row r="25" spans="1:9">
      <c r="A25" s="1">
        <v>23</v>
      </c>
      <c r="B25" s="2" t="s">
        <v>51</v>
      </c>
      <c r="D25" s="13"/>
      <c r="E25" s="13"/>
      <c r="F25" s="13"/>
      <c r="G25" s="13"/>
      <c r="H25" s="13"/>
      <c r="I25" s="13"/>
    </row>
    <row r="26" spans="1:9">
      <c r="A26" s="1">
        <v>24</v>
      </c>
      <c r="B26" s="2" t="s">
        <v>41</v>
      </c>
      <c r="D26" s="13"/>
      <c r="E26" s="13"/>
      <c r="F26" s="13"/>
      <c r="G26" s="13"/>
      <c r="H26" s="13"/>
      <c r="I26" s="13"/>
    </row>
    <row r="27" spans="1:9">
      <c r="A27" s="1">
        <v>25</v>
      </c>
      <c r="B27" s="2" t="s">
        <v>29</v>
      </c>
      <c r="D27" s="13"/>
      <c r="E27" s="13"/>
      <c r="F27" s="13"/>
      <c r="G27" s="13"/>
      <c r="H27" s="13"/>
      <c r="I27" s="13"/>
    </row>
    <row r="28" spans="1:9">
      <c r="A28" s="1">
        <v>26</v>
      </c>
      <c r="B28" s="2" t="s">
        <v>48</v>
      </c>
      <c r="D28" s="13"/>
      <c r="E28" s="13"/>
      <c r="F28" s="13"/>
      <c r="G28" s="13"/>
      <c r="H28" s="13"/>
      <c r="I28" s="13"/>
    </row>
    <row r="29" spans="1:9">
      <c r="A29" s="1">
        <v>27</v>
      </c>
      <c r="B29" s="2" t="s">
        <v>25</v>
      </c>
      <c r="D29" s="13"/>
      <c r="E29" s="13"/>
      <c r="F29" s="13"/>
      <c r="G29" s="13"/>
      <c r="H29" s="13"/>
      <c r="I29" s="13"/>
    </row>
    <row r="30" spans="1:9">
      <c r="A30" s="1">
        <v>28</v>
      </c>
      <c r="B30" s="2" t="s">
        <v>47</v>
      </c>
      <c r="D30" s="13"/>
      <c r="E30" s="13"/>
      <c r="F30" s="13"/>
      <c r="G30" s="13"/>
      <c r="H30" s="13"/>
      <c r="I30" s="13"/>
    </row>
    <row r="31" spans="1:9">
      <c r="A31" s="1">
        <v>29</v>
      </c>
      <c r="B31" s="2" t="s">
        <v>60</v>
      </c>
      <c r="D31" s="13"/>
      <c r="E31" s="13"/>
      <c r="F31" s="13"/>
      <c r="G31" s="13"/>
      <c r="H31" s="13"/>
      <c r="I31" s="13"/>
    </row>
    <row r="32" spans="1:9">
      <c r="A32" s="1">
        <v>30</v>
      </c>
      <c r="B32" s="2" t="s">
        <v>22</v>
      </c>
      <c r="D32" s="13"/>
      <c r="E32" s="13"/>
      <c r="F32" s="13"/>
      <c r="G32" s="13"/>
      <c r="H32" s="13"/>
      <c r="I32" s="13"/>
    </row>
    <row r="33" spans="1:9">
      <c r="A33" s="1">
        <v>31</v>
      </c>
      <c r="B33" s="2" t="s">
        <v>38</v>
      </c>
      <c r="D33" s="13"/>
      <c r="E33" s="13"/>
      <c r="F33" s="13"/>
      <c r="G33" s="13"/>
      <c r="H33" s="13"/>
      <c r="I33" s="13"/>
    </row>
    <row r="34" spans="1:9">
      <c r="A34" s="1">
        <v>32</v>
      </c>
      <c r="B34" s="2" t="s">
        <v>61</v>
      </c>
      <c r="D34" s="13"/>
      <c r="E34" s="13"/>
      <c r="F34" s="13"/>
      <c r="G34" s="13"/>
      <c r="H34" s="13"/>
      <c r="I34" s="13"/>
    </row>
    <row r="35" spans="1:9">
      <c r="A35" s="1">
        <v>33</v>
      </c>
      <c r="B35" s="2" t="s">
        <v>58</v>
      </c>
      <c r="D35" s="13"/>
      <c r="E35" s="13"/>
      <c r="F35" s="13"/>
      <c r="G35" s="13"/>
      <c r="H35" s="13"/>
      <c r="I35" s="13"/>
    </row>
    <row r="36" spans="1:9">
      <c r="A36" s="1">
        <v>34</v>
      </c>
      <c r="B36" s="2" t="s">
        <v>42</v>
      </c>
      <c r="D36" s="13"/>
      <c r="E36" s="13"/>
      <c r="F36" s="13"/>
      <c r="G36" s="13"/>
      <c r="H36" s="13"/>
      <c r="I36" s="13"/>
    </row>
    <row r="37" spans="1:9">
      <c r="A37" s="1">
        <v>35</v>
      </c>
      <c r="B37" s="2" t="s">
        <v>50</v>
      </c>
      <c r="D37" s="13"/>
      <c r="E37" s="13"/>
      <c r="F37" s="13"/>
      <c r="G37" s="13"/>
      <c r="H37" s="13"/>
      <c r="I37" s="13"/>
    </row>
    <row r="38" spans="1:9">
      <c r="A38" s="1">
        <v>36</v>
      </c>
      <c r="B38" s="2" t="s">
        <v>37</v>
      </c>
      <c r="D38" s="13"/>
      <c r="E38" s="13"/>
      <c r="F38" s="13"/>
      <c r="G38" s="13"/>
      <c r="H38" s="13"/>
      <c r="I38" s="13"/>
    </row>
    <row r="39" spans="1:9">
      <c r="A39" s="1">
        <v>37</v>
      </c>
      <c r="B39" s="2" t="s">
        <v>24</v>
      </c>
      <c r="D39" s="13"/>
      <c r="E39" s="13"/>
      <c r="F39" s="13"/>
      <c r="G39" s="13"/>
      <c r="H39" s="13"/>
      <c r="I39" s="13"/>
    </row>
    <row r="40" spans="1:9">
      <c r="A40" s="1">
        <v>38</v>
      </c>
      <c r="B40" s="2" t="s">
        <v>55</v>
      </c>
      <c r="D40" s="13"/>
      <c r="E40" s="13"/>
      <c r="F40" s="13"/>
      <c r="G40" s="13"/>
      <c r="H40" s="13"/>
      <c r="I40" s="13"/>
    </row>
    <row r="41" spans="1:9">
      <c r="A41" s="1">
        <v>39</v>
      </c>
      <c r="B41" s="2" t="s">
        <v>23</v>
      </c>
      <c r="D41" s="13"/>
      <c r="E41" s="13"/>
      <c r="F41" s="13"/>
      <c r="G41" s="13"/>
      <c r="H41" s="13"/>
      <c r="I41" s="13"/>
    </row>
    <row r="42" spans="1:9">
      <c r="A42" s="1">
        <v>40</v>
      </c>
      <c r="B42" s="2" t="s">
        <v>32</v>
      </c>
      <c r="D42" s="13"/>
      <c r="E42" s="13"/>
      <c r="F42" s="13"/>
      <c r="G42" s="13"/>
      <c r="H42" s="13"/>
      <c r="I42" s="13"/>
    </row>
  </sheetData>
  <sortState xmlns:xlrd2="http://schemas.microsoft.com/office/spreadsheetml/2017/richdata2" ref="C1:C42">
    <sortCondition ref="C1:C42"/>
  </sortState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13F2F7-6345-46FD-AF87-94A02238AB15}">
          <x14:formula1>
            <xm:f>_mySQL!$A$2:$A$15</xm:f>
          </x14:formula1>
          <xm:sqref>A2:C2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M30"/>
  <sheetViews>
    <sheetView workbookViewId="0">
      <selection activeCell="I5" sqref="I5"/>
    </sheetView>
  </sheetViews>
  <sheetFormatPr defaultRowHeight="1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13">
      <c r="A1" s="1" t="s">
        <v>0</v>
      </c>
      <c r="B1" s="1" t="s">
        <v>113</v>
      </c>
      <c r="C1" s="1" t="s">
        <v>114</v>
      </c>
      <c r="D1" s="1" t="s">
        <v>115</v>
      </c>
      <c r="E1" s="1" t="s">
        <v>116</v>
      </c>
      <c r="F1" s="1" t="s">
        <v>122</v>
      </c>
      <c r="G1" s="1" t="s">
        <v>13</v>
      </c>
      <c r="H1" s="13" t="s">
        <v>321</v>
      </c>
      <c r="I1" s="13" t="s">
        <v>305</v>
      </c>
      <c r="J1" s="13" t="s">
        <v>14</v>
      </c>
      <c r="K1" s="13" t="s">
        <v>15</v>
      </c>
      <c r="L1" s="13" t="s">
        <v>16</v>
      </c>
      <c r="M1" s="13" t="s">
        <v>17</v>
      </c>
    </row>
    <row r="2" spans="1:13">
      <c r="A2" s="1" t="s">
        <v>577</v>
      </c>
      <c r="B2" s="1" t="s">
        <v>578</v>
      </c>
      <c r="C2" s="1" t="s">
        <v>581</v>
      </c>
      <c r="D2" s="1" t="s">
        <v>580</v>
      </c>
      <c r="E2" s="1" t="s">
        <v>578</v>
      </c>
      <c r="F2" s="1" t="s">
        <v>578</v>
      </c>
      <c r="G2" s="1" t="s">
        <v>582</v>
      </c>
      <c r="H2" s="13" t="s">
        <v>583</v>
      </c>
      <c r="I2" s="13" t="s">
        <v>584</v>
      </c>
      <c r="J2" s="13" t="s">
        <v>577</v>
      </c>
      <c r="K2" s="13" t="s">
        <v>585</v>
      </c>
      <c r="L2" s="13" t="s">
        <v>585</v>
      </c>
      <c r="M2" s="13" t="s">
        <v>585</v>
      </c>
    </row>
    <row r="3" spans="1:13">
      <c r="A3" s="1">
        <v>111111111</v>
      </c>
      <c r="B3" s="1" t="s">
        <v>20</v>
      </c>
      <c r="C3" s="1">
        <v>3</v>
      </c>
      <c r="D3" s="3">
        <v>0.75</v>
      </c>
      <c r="G3" s="1" t="s">
        <v>117</v>
      </c>
      <c r="H3" s="13"/>
      <c r="I3" s="13"/>
      <c r="J3" s="13"/>
      <c r="K3" s="13"/>
      <c r="L3" s="13"/>
      <c r="M3" s="13"/>
    </row>
    <row r="4" spans="1:13">
      <c r="A4" s="1">
        <v>120030006</v>
      </c>
      <c r="B4" s="1" t="s">
        <v>123</v>
      </c>
      <c r="D4" s="3"/>
      <c r="E4" s="1" t="s">
        <v>118</v>
      </c>
      <c r="H4" s="13"/>
      <c r="I4" s="13"/>
      <c r="J4" s="13"/>
      <c r="K4" s="13"/>
      <c r="L4" s="13"/>
      <c r="M4" s="13"/>
    </row>
    <row r="5" spans="1:13">
      <c r="A5" s="1">
        <v>120030009</v>
      </c>
      <c r="B5" s="1" t="s">
        <v>124</v>
      </c>
      <c r="D5" s="3"/>
      <c r="E5" s="1" t="s">
        <v>118</v>
      </c>
      <c r="H5" s="13"/>
      <c r="I5" s="13"/>
      <c r="J5" s="13"/>
      <c r="K5" s="13"/>
      <c r="L5" s="13"/>
      <c r="M5" s="13"/>
    </row>
    <row r="6" spans="1:13">
      <c r="A6" s="1">
        <v>120030094</v>
      </c>
      <c r="B6" s="1" t="s">
        <v>124</v>
      </c>
      <c r="D6" s="3"/>
      <c r="H6" s="13"/>
      <c r="I6" s="13"/>
      <c r="J6" s="13"/>
      <c r="K6" s="13"/>
      <c r="L6" s="13"/>
      <c r="M6" s="13"/>
    </row>
    <row r="7" spans="1:13">
      <c r="A7" s="1">
        <v>120030039</v>
      </c>
      <c r="B7" s="1" t="s">
        <v>125</v>
      </c>
      <c r="D7" s="3"/>
      <c r="H7" s="13"/>
      <c r="I7" s="13"/>
      <c r="J7" s="13"/>
      <c r="K7" s="13"/>
      <c r="L7" s="13"/>
      <c r="M7" s="13"/>
    </row>
    <row r="8" spans="1:13">
      <c r="A8" s="1">
        <v>120030042</v>
      </c>
      <c r="B8" s="1" t="s">
        <v>124</v>
      </c>
      <c r="C8" s="1">
        <v>2</v>
      </c>
      <c r="D8" s="3">
        <v>0.75</v>
      </c>
      <c r="E8" s="1" t="s">
        <v>120</v>
      </c>
      <c r="H8" s="13"/>
      <c r="I8" s="13"/>
      <c r="J8" s="13"/>
      <c r="K8" s="13"/>
      <c r="L8" s="13"/>
      <c r="M8" s="13"/>
    </row>
    <row r="9" spans="1:13">
      <c r="A9" s="1">
        <v>120030010</v>
      </c>
      <c r="B9" s="1" t="s">
        <v>123</v>
      </c>
      <c r="C9" s="1">
        <v>3</v>
      </c>
      <c r="D9" s="3">
        <v>0.75</v>
      </c>
      <c r="H9" s="13"/>
      <c r="I9" s="13"/>
      <c r="J9" s="13"/>
      <c r="K9" s="13"/>
      <c r="L9" s="13"/>
      <c r="M9" s="13"/>
    </row>
    <row r="10" spans="1:13">
      <c r="A10" s="1">
        <v>120030107</v>
      </c>
      <c r="B10" s="1" t="s">
        <v>124</v>
      </c>
      <c r="C10" s="1">
        <v>3</v>
      </c>
      <c r="D10" s="3">
        <v>0.75</v>
      </c>
      <c r="H10" s="13"/>
      <c r="I10" s="13"/>
      <c r="J10" s="13"/>
      <c r="K10" s="13"/>
      <c r="L10" s="13"/>
      <c r="M10" s="13"/>
    </row>
    <row r="11" spans="1:13">
      <c r="A11" s="1">
        <v>120030028</v>
      </c>
      <c r="B11" s="1" t="s">
        <v>124</v>
      </c>
      <c r="C11" s="1">
        <v>3</v>
      </c>
      <c r="D11" s="3">
        <v>0.75</v>
      </c>
      <c r="E11" s="1" t="s">
        <v>121</v>
      </c>
      <c r="H11" s="13"/>
      <c r="I11" s="13"/>
      <c r="J11" s="13"/>
      <c r="K11" s="13"/>
      <c r="L11" s="13"/>
      <c r="M11" s="13"/>
    </row>
    <row r="12" spans="1:13">
      <c r="A12" s="1">
        <v>120030044</v>
      </c>
      <c r="B12" s="1" t="s">
        <v>125</v>
      </c>
      <c r="C12" s="1">
        <v>3</v>
      </c>
      <c r="D12" s="3">
        <v>0.75</v>
      </c>
      <c r="E12" s="1" t="s">
        <v>121</v>
      </c>
      <c r="H12" s="13"/>
      <c r="I12" s="13"/>
      <c r="J12" s="13"/>
      <c r="K12" s="13"/>
      <c r="L12" s="13"/>
      <c r="M12" s="13"/>
    </row>
    <row r="13" spans="1:13">
      <c r="A13" s="1">
        <v>120030008</v>
      </c>
      <c r="B13" s="1" t="s">
        <v>125</v>
      </c>
      <c r="C13" s="1">
        <v>3</v>
      </c>
      <c r="D13" s="3">
        <v>0.75</v>
      </c>
      <c r="E13" s="1" t="s">
        <v>118</v>
      </c>
      <c r="H13" s="13"/>
      <c r="I13" s="13"/>
      <c r="J13" s="13"/>
      <c r="K13" s="13"/>
      <c r="L13" s="13"/>
      <c r="M13" s="13"/>
    </row>
    <row r="14" spans="1:13">
      <c r="A14" s="1">
        <v>120030074</v>
      </c>
      <c r="B14" s="1" t="s">
        <v>124</v>
      </c>
      <c r="C14" s="1">
        <v>3</v>
      </c>
      <c r="D14" s="3">
        <v>0.75</v>
      </c>
      <c r="E14" s="1" t="s">
        <v>120</v>
      </c>
      <c r="H14" s="13"/>
      <c r="I14" s="13"/>
      <c r="J14" s="13"/>
      <c r="K14" s="13"/>
      <c r="L14" s="13"/>
      <c r="M14" s="13"/>
    </row>
    <row r="15" spans="1:13">
      <c r="A15" s="1">
        <v>120030095</v>
      </c>
      <c r="B15" s="1" t="s">
        <v>123</v>
      </c>
      <c r="C15" s="1">
        <v>3</v>
      </c>
      <c r="D15" s="3">
        <v>0.75</v>
      </c>
      <c r="E15" s="1" t="s">
        <v>118</v>
      </c>
      <c r="H15" s="13"/>
      <c r="I15" s="13"/>
      <c r="J15" s="13"/>
      <c r="K15" s="13"/>
      <c r="L15" s="13"/>
      <c r="M15" s="13"/>
    </row>
    <row r="16" spans="1:13">
      <c r="A16" s="1">
        <v>120040048</v>
      </c>
      <c r="B16" s="1" t="s">
        <v>125</v>
      </c>
      <c r="C16" s="1">
        <v>3</v>
      </c>
      <c r="D16" s="3">
        <v>1</v>
      </c>
      <c r="H16" s="13"/>
      <c r="I16" s="13"/>
      <c r="J16" s="13"/>
      <c r="K16" s="13"/>
      <c r="L16" s="13"/>
      <c r="M16" s="13"/>
    </row>
    <row r="17" spans="1:13">
      <c r="A17" s="1">
        <v>120030073</v>
      </c>
      <c r="B17" s="1" t="s">
        <v>123</v>
      </c>
      <c r="C17" s="1">
        <v>3</v>
      </c>
      <c r="D17" s="3">
        <v>0.75</v>
      </c>
      <c r="E17" s="1" t="s">
        <v>38</v>
      </c>
      <c r="H17" s="13"/>
      <c r="I17" s="13"/>
      <c r="J17" s="13"/>
      <c r="K17" s="13"/>
      <c r="L17" s="13"/>
      <c r="M17" s="13"/>
    </row>
    <row r="18" spans="1:13">
      <c r="A18" s="1">
        <v>210300185</v>
      </c>
      <c r="B18" s="1" t="s">
        <v>125</v>
      </c>
      <c r="C18" s="1">
        <v>3</v>
      </c>
      <c r="D18" s="3">
        <v>0.75</v>
      </c>
      <c r="H18" s="13"/>
      <c r="I18" s="13"/>
      <c r="J18" s="13"/>
      <c r="K18" s="13"/>
      <c r="L18" s="13"/>
      <c r="M18" s="13"/>
    </row>
    <row r="19" spans="1:13">
      <c r="A19" s="1">
        <v>210300187</v>
      </c>
      <c r="B19" s="1" t="s">
        <v>125</v>
      </c>
      <c r="C19" s="1">
        <v>4</v>
      </c>
      <c r="D19" s="3">
        <v>0.75</v>
      </c>
      <c r="H19" s="13"/>
      <c r="I19" s="13"/>
      <c r="J19" s="13"/>
      <c r="K19" s="13"/>
      <c r="L19" s="13"/>
      <c r="M19" s="13"/>
    </row>
    <row r="20" spans="1:13">
      <c r="A20" s="1">
        <v>120030118</v>
      </c>
      <c r="B20" s="1" t="s">
        <v>125</v>
      </c>
      <c r="C20" s="1">
        <v>3</v>
      </c>
      <c r="D20" s="3">
        <v>0.75</v>
      </c>
      <c r="H20" s="13"/>
      <c r="I20" s="13"/>
      <c r="J20" s="13"/>
      <c r="K20" s="13"/>
      <c r="L20" s="13"/>
      <c r="M20" s="13"/>
    </row>
    <row r="21" spans="1:13">
      <c r="A21" s="1">
        <v>120030119</v>
      </c>
      <c r="B21" s="1" t="s">
        <v>125</v>
      </c>
      <c r="C21" s="1">
        <v>2</v>
      </c>
      <c r="D21" s="3">
        <v>0.75</v>
      </c>
      <c r="H21" s="13"/>
      <c r="I21" s="13"/>
      <c r="J21" s="13"/>
      <c r="K21" s="13"/>
      <c r="L21" s="13"/>
      <c r="M21" s="13"/>
    </row>
    <row r="22" spans="1:13">
      <c r="A22" s="1">
        <v>120030116</v>
      </c>
      <c r="B22" s="1" t="s">
        <v>125</v>
      </c>
      <c r="C22" s="1">
        <v>3</v>
      </c>
      <c r="D22" s="3">
        <v>0.75</v>
      </c>
      <c r="F22" s="1" t="s">
        <v>119</v>
      </c>
      <c r="H22" s="13"/>
      <c r="I22" s="13"/>
      <c r="J22" s="13"/>
      <c r="K22" s="13"/>
      <c r="L22" s="13"/>
      <c r="M22" s="13"/>
    </row>
    <row r="23" spans="1:13">
      <c r="A23" s="1">
        <v>120040072</v>
      </c>
      <c r="B23" s="1" t="s">
        <v>125</v>
      </c>
      <c r="C23" s="1">
        <v>2</v>
      </c>
      <c r="D23" s="3">
        <v>0.75</v>
      </c>
      <c r="F23" s="1" t="s">
        <v>119</v>
      </c>
      <c r="H23" s="13"/>
      <c r="I23" s="13"/>
      <c r="J23" s="13"/>
      <c r="K23" s="13"/>
      <c r="L23" s="13"/>
      <c r="M23" s="13"/>
    </row>
    <row r="24" spans="1:13">
      <c r="A24" s="1">
        <v>120030050</v>
      </c>
      <c r="B24" s="1" t="s">
        <v>124</v>
      </c>
      <c r="C24" s="1">
        <v>2</v>
      </c>
      <c r="D24" s="3">
        <v>0.75</v>
      </c>
      <c r="H24" s="13"/>
      <c r="I24" s="13"/>
      <c r="J24" s="13"/>
      <c r="K24" s="13"/>
      <c r="L24" s="13"/>
      <c r="M24" s="13"/>
    </row>
    <row r="25" spans="1:13">
      <c r="A25" s="1">
        <v>120030047</v>
      </c>
      <c r="B25" s="1" t="s">
        <v>125</v>
      </c>
      <c r="C25" s="1">
        <v>3</v>
      </c>
      <c r="D25" s="3">
        <v>1</v>
      </c>
      <c r="E25" s="1" t="s">
        <v>121</v>
      </c>
      <c r="H25" s="13"/>
      <c r="I25" s="13"/>
      <c r="J25" s="13"/>
      <c r="K25" s="13"/>
      <c r="L25" s="13"/>
      <c r="M25" s="13"/>
    </row>
    <row r="26" spans="1:13">
      <c r="A26" s="1">
        <v>120030121</v>
      </c>
      <c r="B26" s="1" t="s">
        <v>123</v>
      </c>
      <c r="C26" s="1">
        <v>3</v>
      </c>
      <c r="D26" s="3">
        <v>1.5</v>
      </c>
      <c r="H26" s="13"/>
      <c r="I26" s="13"/>
      <c r="J26" s="13"/>
      <c r="K26" s="13"/>
      <c r="L26" s="13"/>
      <c r="M26" s="13"/>
    </row>
    <row r="27" spans="1:13">
      <c r="A27" s="1">
        <v>120030011</v>
      </c>
      <c r="B27" s="1" t="s">
        <v>125</v>
      </c>
      <c r="C27" s="1">
        <v>2</v>
      </c>
      <c r="D27" s="3">
        <v>0.75</v>
      </c>
      <c r="H27" s="13"/>
      <c r="I27" s="13"/>
      <c r="J27" s="13"/>
      <c r="K27" s="13"/>
      <c r="L27" s="13"/>
      <c r="M27" s="13"/>
    </row>
    <row r="28" spans="1:13">
      <c r="A28" s="1">
        <v>120030105</v>
      </c>
      <c r="B28" s="1" t="s">
        <v>125</v>
      </c>
      <c r="C28" s="1">
        <v>2</v>
      </c>
      <c r="D28" s="3">
        <v>0.75</v>
      </c>
      <c r="E28" s="1" t="s">
        <v>118</v>
      </c>
      <c r="H28" s="13"/>
      <c r="I28" s="13"/>
      <c r="J28" s="13"/>
      <c r="K28" s="13"/>
      <c r="L28" s="13"/>
      <c r="M28" s="13"/>
    </row>
    <row r="29" spans="1:13">
      <c r="A29" s="1">
        <v>120040049</v>
      </c>
      <c r="B29" s="1" t="s">
        <v>123</v>
      </c>
      <c r="C29" s="1">
        <v>2</v>
      </c>
      <c r="D29" s="3">
        <v>0.75</v>
      </c>
      <c r="H29" s="13"/>
      <c r="I29" s="13"/>
      <c r="J29" s="13"/>
      <c r="K29" s="13"/>
      <c r="L29" s="13"/>
      <c r="M29" s="13"/>
    </row>
    <row r="30" spans="1:13">
      <c r="A30" s="1">
        <v>120030011</v>
      </c>
      <c r="B30" s="1" t="s">
        <v>125</v>
      </c>
      <c r="C30" s="1">
        <v>2</v>
      </c>
      <c r="D30" s="3">
        <v>0.75</v>
      </c>
      <c r="H30" s="13"/>
      <c r="I30" s="13"/>
      <c r="J30" s="13"/>
      <c r="K30" s="13"/>
      <c r="L30" s="13"/>
      <c r="M30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9B74F0-2799-4A7F-B05D-690107E0B2A7}">
          <x14:formula1>
            <xm:f>_mySQL!$A$2:$A$15</xm:f>
          </x14:formula1>
          <xm:sqref>A2:M2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L8"/>
  <sheetViews>
    <sheetView workbookViewId="0">
      <selection activeCell="D1" sqref="D1:L2"/>
    </sheetView>
  </sheetViews>
  <sheetFormatPr defaultRowHeight="15"/>
  <cols>
    <col min="1" max="1" width="11.28515625" style="1" customWidth="1"/>
    <col min="2" max="2" width="20.28515625" style="1" bestFit="1" customWidth="1"/>
    <col min="3" max="3" width="14.140625" style="1" bestFit="1" customWidth="1"/>
    <col min="4" max="4" width="16" style="1" bestFit="1" customWidth="1"/>
    <col min="5" max="5" width="19.85546875" style="1" bestFit="1" customWidth="1"/>
    <col min="6" max="6" width="15.570312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101</v>
      </c>
      <c r="C1" s="1" t="s">
        <v>126</v>
      </c>
      <c r="D1" s="13" t="s">
        <v>588</v>
      </c>
      <c r="E1" s="13" t="s">
        <v>589</v>
      </c>
      <c r="F1" s="13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587</v>
      </c>
      <c r="B2" s="1" t="s">
        <v>578</v>
      </c>
      <c r="C2" s="1" t="s">
        <v>578</v>
      </c>
      <c r="D2" s="1" t="s">
        <v>578</v>
      </c>
      <c r="E2" s="1" t="s">
        <v>578</v>
      </c>
      <c r="F2" s="13" t="s">
        <v>582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2" t="s">
        <v>103</v>
      </c>
      <c r="C3" s="1" t="s">
        <v>127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2" t="s">
        <v>105</v>
      </c>
      <c r="C4" s="1" t="s">
        <v>128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2" t="s">
        <v>106</v>
      </c>
      <c r="C5" s="1" t="s">
        <v>128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2" t="s">
        <v>107</v>
      </c>
      <c r="C6" s="1" t="s">
        <v>129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2" t="s">
        <v>102</v>
      </c>
      <c r="C7" s="1" t="s">
        <v>129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2" t="s">
        <v>104</v>
      </c>
      <c r="C8" s="1" t="s">
        <v>130</v>
      </c>
      <c r="F8" s="13"/>
      <c r="G8" s="13"/>
      <c r="H8" s="13"/>
      <c r="I8" s="13"/>
      <c r="J8" s="13"/>
      <c r="K8" s="13"/>
      <c r="L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97FBD-6E42-4ADE-9D97-2ACC72C26449}">
          <x14:formula1>
            <xm:f>_mySQL!$A$2:$A$15</xm:f>
          </x14:formula1>
          <xm:sqref>A2:E2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K12"/>
  <sheetViews>
    <sheetView workbookViewId="0">
      <selection activeCell="C5" sqref="C5"/>
    </sheetView>
  </sheetViews>
  <sheetFormatPr defaultRowHeight="15"/>
  <cols>
    <col min="1" max="1" width="7.28515625" style="1" bestFit="1" customWidth="1"/>
    <col min="2" max="2" width="14.140625" style="1" bestFit="1" customWidth="1"/>
    <col min="3" max="3" width="16" style="1" bestFit="1" customWidth="1"/>
    <col min="4" max="4" width="19.855468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2</v>
      </c>
      <c r="C1" s="13" t="s">
        <v>588</v>
      </c>
      <c r="D1" s="13" t="s">
        <v>589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587</v>
      </c>
      <c r="B2" s="1" t="s">
        <v>578</v>
      </c>
      <c r="C2" s="13" t="s">
        <v>578</v>
      </c>
      <c r="D2" s="13" t="s">
        <v>578</v>
      </c>
      <c r="E2" s="13" t="s">
        <v>582</v>
      </c>
      <c r="F2" s="13" t="s">
        <v>583</v>
      </c>
      <c r="G2" s="13" t="s">
        <v>584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">
        <v>1</v>
      </c>
      <c r="B3" s="2" t="s">
        <v>30</v>
      </c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1">
        <v>2</v>
      </c>
      <c r="B4" s="2" t="s">
        <v>34</v>
      </c>
      <c r="C4" s="13"/>
      <c r="D4" s="13"/>
      <c r="E4" s="13"/>
      <c r="F4" s="13"/>
      <c r="G4" s="13"/>
      <c r="H4" s="13"/>
      <c r="I4" s="13"/>
      <c r="J4" s="13"/>
      <c r="K4" s="13"/>
    </row>
    <row r="5" spans="1:11">
      <c r="A5" s="1">
        <v>3</v>
      </c>
      <c r="B5" s="2" t="s">
        <v>110</v>
      </c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">
        <v>4</v>
      </c>
      <c r="B6" s="2" t="s">
        <v>33</v>
      </c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">
        <v>5</v>
      </c>
      <c r="B7" s="2" t="s">
        <v>112</v>
      </c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">
        <v>6</v>
      </c>
      <c r="B8" s="2" t="s">
        <v>109</v>
      </c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">
        <v>7</v>
      </c>
      <c r="B9" s="2" t="s">
        <v>22</v>
      </c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">
        <v>8</v>
      </c>
      <c r="B10" s="2" t="s">
        <v>38</v>
      </c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">
        <v>9</v>
      </c>
      <c r="B11" s="2" t="s">
        <v>111</v>
      </c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">
        <v>10</v>
      </c>
      <c r="B12" s="2" t="s">
        <v>108</v>
      </c>
      <c r="C12" s="13"/>
      <c r="D12" s="13"/>
      <c r="E12" s="13"/>
      <c r="F12" s="13"/>
      <c r="G12" s="13"/>
      <c r="H12" s="13"/>
      <c r="I12" s="13"/>
      <c r="J12" s="13"/>
      <c r="K12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00EC90-897E-4DAC-A2CF-E15245A83531}">
          <x14:formula1>
            <xm:f>_mySQL!$A$2:$A$15</xm:f>
          </x14:formula1>
          <xm:sqref>A2:D2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K501"/>
  <sheetViews>
    <sheetView zoomScale="115" zoomScaleNormal="115" workbookViewId="0">
      <selection activeCell="E26" sqref="E26"/>
    </sheetView>
  </sheetViews>
  <sheetFormatPr defaultRowHeight="15"/>
  <cols>
    <col min="1" max="2" width="14.140625" style="1" bestFit="1" customWidth="1"/>
    <col min="3" max="3" width="55.140625" style="1" bestFit="1" customWidth="1"/>
    <col min="4" max="4" width="74.71093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3" t="s">
        <v>0</v>
      </c>
      <c r="B1" s="1" t="s">
        <v>131</v>
      </c>
      <c r="C1" s="1" t="s">
        <v>2</v>
      </c>
      <c r="D1" s="13" t="s">
        <v>608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578</v>
      </c>
      <c r="B2" s="1" t="s">
        <v>578</v>
      </c>
      <c r="C2" s="1" t="s">
        <v>578</v>
      </c>
      <c r="D2" s="1" t="s">
        <v>578</v>
      </c>
      <c r="E2" s="13" t="s">
        <v>582</v>
      </c>
      <c r="F2" s="13" t="s">
        <v>583</v>
      </c>
      <c r="G2" s="13" t="s">
        <v>584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5" t="s">
        <v>1322</v>
      </c>
      <c r="B3" s="15" t="s">
        <v>1323</v>
      </c>
      <c r="C3" s="15" t="s">
        <v>1323</v>
      </c>
      <c r="D3" s="8"/>
      <c r="E3" s="13"/>
      <c r="F3" s="13">
        <v>1</v>
      </c>
      <c r="G3" s="13"/>
      <c r="H3" s="13"/>
      <c r="I3" s="13"/>
      <c r="J3" s="13"/>
      <c r="K3" s="13"/>
    </row>
    <row r="4" spans="1:11">
      <c r="A4" s="1" t="s">
        <v>151</v>
      </c>
      <c r="B4" s="4" t="s">
        <v>151</v>
      </c>
      <c r="C4" s="14" t="s">
        <v>1324</v>
      </c>
      <c r="D4" s="8"/>
      <c r="E4" s="13"/>
      <c r="F4" s="13">
        <v>1</v>
      </c>
      <c r="G4" s="13"/>
      <c r="H4" s="13"/>
      <c r="I4" s="13"/>
      <c r="J4" s="13"/>
      <c r="K4" s="13"/>
    </row>
    <row r="5" spans="1:11">
      <c r="A5" s="1">
        <v>120100014</v>
      </c>
      <c r="B5" s="4" t="s">
        <v>133</v>
      </c>
      <c r="C5" s="2" t="s">
        <v>590</v>
      </c>
      <c r="D5" s="8" t="s">
        <v>609</v>
      </c>
      <c r="E5" s="13"/>
      <c r="F5" s="13">
        <v>1</v>
      </c>
      <c r="G5" s="13"/>
      <c r="H5" s="13"/>
      <c r="I5" s="13"/>
      <c r="J5" s="13"/>
      <c r="K5" s="13"/>
    </row>
    <row r="6" spans="1:11">
      <c r="A6" s="1">
        <v>120100015</v>
      </c>
      <c r="B6" s="4" t="s">
        <v>136</v>
      </c>
      <c r="C6" s="2" t="s">
        <v>591</v>
      </c>
      <c r="D6" s="8" t="s">
        <v>610</v>
      </c>
      <c r="E6" s="13"/>
      <c r="F6" s="13">
        <v>1</v>
      </c>
      <c r="G6" s="13"/>
      <c r="H6" s="13"/>
      <c r="I6" s="13"/>
      <c r="J6" s="13"/>
      <c r="K6" s="13"/>
    </row>
    <row r="7" spans="1:11">
      <c r="A7" s="1">
        <v>120100016</v>
      </c>
      <c r="B7" s="5" t="s">
        <v>140</v>
      </c>
      <c r="C7" s="2" t="s">
        <v>592</v>
      </c>
      <c r="D7" s="8" t="s">
        <v>611</v>
      </c>
      <c r="E7" s="13"/>
      <c r="F7" s="13">
        <v>1</v>
      </c>
      <c r="G7" s="13"/>
      <c r="H7" s="13"/>
      <c r="I7" s="13"/>
      <c r="J7" s="13"/>
      <c r="K7" s="13"/>
    </row>
    <row r="8" spans="1:11">
      <c r="A8" s="1">
        <v>120100018</v>
      </c>
      <c r="B8" s="4" t="s">
        <v>157</v>
      </c>
      <c r="C8" s="2" t="e">
        <v>#N/A</v>
      </c>
      <c r="D8" s="8"/>
      <c r="E8" s="13"/>
      <c r="F8" s="13">
        <v>1</v>
      </c>
      <c r="G8" s="13"/>
      <c r="H8" s="13"/>
      <c r="I8" s="13"/>
      <c r="J8" s="13"/>
      <c r="K8" s="13"/>
    </row>
    <row r="9" spans="1:11">
      <c r="A9" s="1">
        <v>120100021</v>
      </c>
      <c r="B9" s="5" t="s">
        <v>152</v>
      </c>
      <c r="C9" s="2" t="s">
        <v>593</v>
      </c>
      <c r="D9" s="8" t="s">
        <v>612</v>
      </c>
      <c r="E9" s="13"/>
      <c r="F9" s="13">
        <v>1</v>
      </c>
      <c r="G9" s="13"/>
      <c r="H9" s="13"/>
      <c r="I9" s="13"/>
      <c r="J9" s="13"/>
      <c r="K9" s="13"/>
    </row>
    <row r="10" spans="1:11">
      <c r="A10" s="1">
        <v>120100023</v>
      </c>
      <c r="B10" s="4" t="s">
        <v>139</v>
      </c>
      <c r="C10" s="2" t="s">
        <v>98</v>
      </c>
      <c r="D10" s="8" t="s">
        <v>613</v>
      </c>
      <c r="E10" s="13"/>
      <c r="F10" s="13">
        <v>1</v>
      </c>
      <c r="G10" s="13"/>
      <c r="H10" s="13"/>
      <c r="I10" s="13"/>
      <c r="J10" s="13"/>
      <c r="K10" s="13"/>
    </row>
    <row r="11" spans="1:11">
      <c r="A11" s="1">
        <v>120100024</v>
      </c>
      <c r="B11" s="4" t="s">
        <v>150</v>
      </c>
      <c r="C11" s="2" t="s">
        <v>594</v>
      </c>
      <c r="D11" s="8"/>
      <c r="E11" s="13"/>
      <c r="F11" s="13">
        <v>1</v>
      </c>
      <c r="G11" s="13"/>
      <c r="H11" s="13"/>
      <c r="I11" s="13"/>
      <c r="J11" s="13"/>
      <c r="K11" s="13"/>
    </row>
    <row r="12" spans="1:11">
      <c r="A12" s="1">
        <v>120100029</v>
      </c>
      <c r="B12" s="4" t="s">
        <v>138</v>
      </c>
      <c r="C12" s="2" t="s">
        <v>595</v>
      </c>
      <c r="D12" s="8" t="s">
        <v>1184</v>
      </c>
      <c r="E12" s="13"/>
      <c r="F12" s="13">
        <v>1</v>
      </c>
      <c r="G12" s="13"/>
      <c r="H12" s="13"/>
      <c r="I12" s="13"/>
      <c r="J12" s="13"/>
      <c r="K12" s="13"/>
    </row>
    <row r="13" spans="1:11">
      <c r="A13" s="1">
        <v>120100045</v>
      </c>
      <c r="B13" s="5" t="s">
        <v>142</v>
      </c>
      <c r="C13" s="2" t="s">
        <v>596</v>
      </c>
      <c r="D13" s="8" t="s">
        <v>1185</v>
      </c>
      <c r="E13" s="13"/>
      <c r="F13" s="13">
        <v>1</v>
      </c>
      <c r="G13" s="13"/>
      <c r="H13" s="13"/>
      <c r="I13" s="13"/>
      <c r="J13" s="13"/>
      <c r="K13" s="13"/>
    </row>
    <row r="14" spans="1:11">
      <c r="A14" s="1">
        <v>120100047</v>
      </c>
      <c r="B14" s="5" t="s">
        <v>141</v>
      </c>
      <c r="C14" s="2" t="s">
        <v>597</v>
      </c>
      <c r="D14" s="8"/>
      <c r="E14" s="13"/>
      <c r="F14" s="13">
        <v>1</v>
      </c>
      <c r="G14" s="13"/>
      <c r="H14" s="13"/>
      <c r="I14" s="13"/>
      <c r="J14" s="13"/>
      <c r="K14" s="13"/>
    </row>
    <row r="15" spans="1:11">
      <c r="A15" s="1">
        <v>120100080</v>
      </c>
      <c r="B15" s="4" t="s">
        <v>132</v>
      </c>
      <c r="C15" s="2" t="s">
        <v>598</v>
      </c>
      <c r="D15" s="8" t="s">
        <v>614</v>
      </c>
      <c r="E15" s="13"/>
      <c r="F15" s="13">
        <v>1</v>
      </c>
      <c r="G15" s="13"/>
      <c r="H15" s="13"/>
      <c r="I15" s="13"/>
      <c r="J15" s="13"/>
      <c r="K15" s="13"/>
    </row>
    <row r="16" spans="1:11">
      <c r="A16" s="1">
        <v>120100083</v>
      </c>
      <c r="B16" s="4" t="s">
        <v>174</v>
      </c>
      <c r="C16" s="2" t="s">
        <v>599</v>
      </c>
      <c r="D16" s="8" t="s">
        <v>1186</v>
      </c>
      <c r="E16" s="13"/>
      <c r="F16" s="13">
        <v>1</v>
      </c>
      <c r="G16" s="13"/>
      <c r="H16" s="13"/>
      <c r="I16" s="13"/>
      <c r="J16" s="13"/>
      <c r="K16" s="13"/>
    </row>
    <row r="17" spans="1:11">
      <c r="A17" s="1">
        <v>120100132</v>
      </c>
      <c r="B17" s="4" t="s">
        <v>134</v>
      </c>
      <c r="C17" s="2" t="s">
        <v>600</v>
      </c>
      <c r="D17" s="8" t="s">
        <v>1187</v>
      </c>
      <c r="E17" s="13"/>
      <c r="F17" s="13">
        <v>1</v>
      </c>
      <c r="G17" s="13"/>
      <c r="H17" s="13"/>
      <c r="I17" s="13"/>
      <c r="J17" s="13"/>
      <c r="K17" s="13"/>
    </row>
    <row r="18" spans="1:11">
      <c r="A18" s="1">
        <v>120100223</v>
      </c>
      <c r="B18" s="4" t="s">
        <v>135</v>
      </c>
      <c r="C18" s="2" t="s">
        <v>601</v>
      </c>
      <c r="D18" s="8"/>
      <c r="E18" s="13"/>
      <c r="F18" s="13">
        <v>1</v>
      </c>
      <c r="G18" s="13"/>
      <c r="H18" s="13"/>
      <c r="I18" s="13"/>
      <c r="J18" s="13"/>
      <c r="K18" s="13"/>
    </row>
    <row r="19" spans="1:11">
      <c r="A19" s="1">
        <v>120110001</v>
      </c>
      <c r="B19" s="4" t="s">
        <v>88</v>
      </c>
      <c r="C19" s="2" t="s">
        <v>602</v>
      </c>
      <c r="D19" s="8"/>
      <c r="E19" s="13"/>
      <c r="F19" s="13">
        <v>1</v>
      </c>
      <c r="G19" s="13"/>
      <c r="H19" s="13"/>
      <c r="I19" s="13"/>
      <c r="J19" s="13"/>
      <c r="K19" s="13"/>
    </row>
    <row r="20" spans="1:11">
      <c r="A20" s="1">
        <v>120110015</v>
      </c>
      <c r="B20" s="4" t="s">
        <v>92</v>
      </c>
      <c r="C20" s="2" t="s">
        <v>603</v>
      </c>
      <c r="D20" s="8"/>
      <c r="E20" s="13"/>
      <c r="F20" s="13">
        <v>1</v>
      </c>
      <c r="G20" s="13"/>
      <c r="H20" s="13"/>
      <c r="I20" s="13"/>
      <c r="J20" s="13"/>
      <c r="K20" s="13"/>
    </row>
    <row r="21" spans="1:11">
      <c r="A21" s="1">
        <v>120110051</v>
      </c>
      <c r="B21" s="4" t="s">
        <v>313</v>
      </c>
      <c r="C21" s="2" t="s">
        <v>604</v>
      </c>
      <c r="D21" s="8" t="s">
        <v>615</v>
      </c>
      <c r="E21" s="13"/>
      <c r="F21" s="13">
        <v>1</v>
      </c>
      <c r="G21" s="13"/>
      <c r="H21" s="13"/>
      <c r="I21" s="13"/>
      <c r="J21" s="13"/>
      <c r="K21" s="13"/>
    </row>
    <row r="22" spans="1:11">
      <c r="A22" s="1">
        <v>120110052</v>
      </c>
      <c r="B22" s="4" t="s">
        <v>143</v>
      </c>
      <c r="C22" s="2" t="s">
        <v>605</v>
      </c>
      <c r="D22" s="8"/>
      <c r="E22" s="13"/>
      <c r="F22" s="13">
        <v>1</v>
      </c>
      <c r="G22" s="13"/>
      <c r="H22" s="13"/>
      <c r="I22" s="13"/>
      <c r="J22" s="13"/>
      <c r="K22" s="13"/>
    </row>
    <row r="23" spans="1:11">
      <c r="A23" s="1">
        <v>120110061</v>
      </c>
      <c r="B23" s="4" t="s">
        <v>312</v>
      </c>
      <c r="C23" s="2" t="s">
        <v>606</v>
      </c>
      <c r="D23" s="8" t="s">
        <v>1188</v>
      </c>
      <c r="E23" s="13"/>
      <c r="F23" s="13">
        <v>1</v>
      </c>
      <c r="G23" s="13"/>
      <c r="H23" s="13"/>
      <c r="I23" s="13"/>
      <c r="J23" s="13"/>
      <c r="K23" s="13"/>
    </row>
    <row r="24" spans="1:11">
      <c r="A24" s="1">
        <v>120110164</v>
      </c>
      <c r="B24" s="5" t="s">
        <v>311</v>
      </c>
      <c r="C24" s="2" t="s">
        <v>607</v>
      </c>
      <c r="D24" s="8" t="s">
        <v>1189</v>
      </c>
      <c r="E24" s="13"/>
      <c r="F24" s="13">
        <v>1</v>
      </c>
      <c r="G24" s="13"/>
      <c r="H24" s="13"/>
      <c r="I24" s="13"/>
      <c r="J24" s="13"/>
      <c r="K24" s="13"/>
    </row>
    <row r="25" spans="1:11">
      <c r="A25" s="1">
        <v>120100002</v>
      </c>
      <c r="B25" s="4" t="s">
        <v>137</v>
      </c>
      <c r="C25" s="2" t="e">
        <v>#N/A</v>
      </c>
      <c r="D25" s="8"/>
      <c r="E25" s="13"/>
      <c r="F25" s="13">
        <v>1</v>
      </c>
      <c r="G25" s="13"/>
      <c r="H25" s="13"/>
      <c r="I25" s="13"/>
      <c r="J25" s="13"/>
      <c r="K25" s="13"/>
    </row>
    <row r="26" spans="1:11">
      <c r="A26" s="1">
        <v>120100008</v>
      </c>
      <c r="B26" s="4" t="s">
        <v>307</v>
      </c>
      <c r="C26" s="2" t="e">
        <v>#N/A</v>
      </c>
      <c r="D26" s="8"/>
      <c r="E26" s="13"/>
      <c r="F26" s="13">
        <v>1</v>
      </c>
      <c r="G26" s="13"/>
      <c r="H26" s="13"/>
      <c r="I26" s="13"/>
      <c r="J26" s="13"/>
      <c r="K26" s="13"/>
    </row>
    <row r="27" spans="1:11">
      <c r="A27" s="1">
        <v>120100019</v>
      </c>
      <c r="B27" s="4" t="s">
        <v>308</v>
      </c>
      <c r="C27" s="2" t="e">
        <v>#N/A</v>
      </c>
      <c r="D27" s="8"/>
      <c r="E27" s="13"/>
      <c r="F27" s="13">
        <v>1</v>
      </c>
      <c r="G27" s="13"/>
      <c r="H27" s="13"/>
      <c r="I27" s="13"/>
      <c r="J27" s="13"/>
      <c r="K27" s="13"/>
    </row>
    <row r="28" spans="1:11">
      <c r="A28" s="1">
        <v>120100323</v>
      </c>
      <c r="B28" s="4" t="s">
        <v>309</v>
      </c>
      <c r="C28" s="2" t="e">
        <v>#N/A</v>
      </c>
      <c r="D28" s="8"/>
      <c r="E28" s="13"/>
      <c r="F28" s="13">
        <v>1</v>
      </c>
      <c r="G28" s="13"/>
      <c r="H28" s="13"/>
      <c r="I28" s="13"/>
      <c r="J28" s="13"/>
      <c r="K28" s="13"/>
    </row>
    <row r="29" spans="1:11">
      <c r="A29" s="1">
        <v>120100378</v>
      </c>
      <c r="B29" s="4" t="s">
        <v>310</v>
      </c>
      <c r="C29" s="2" t="e">
        <v>#N/A</v>
      </c>
      <c r="D29" s="8"/>
      <c r="E29" s="13"/>
      <c r="F29" s="13">
        <v>1</v>
      </c>
      <c r="G29" s="13"/>
      <c r="H29" s="13"/>
      <c r="I29" s="13"/>
      <c r="J29" s="13"/>
      <c r="K29" s="13"/>
    </row>
    <row r="30" spans="1:11">
      <c r="A30" s="13">
        <v>120110180</v>
      </c>
      <c r="B30" s="15"/>
      <c r="C30" s="14" t="s">
        <v>616</v>
      </c>
      <c r="D30" s="16"/>
      <c r="E30" s="13"/>
      <c r="F30" s="13">
        <v>0</v>
      </c>
      <c r="G30" s="13"/>
      <c r="H30" s="13"/>
      <c r="I30" s="13"/>
      <c r="J30" s="13"/>
      <c r="K30" s="13"/>
    </row>
    <row r="31" spans="1:11">
      <c r="A31" s="13">
        <v>120110181</v>
      </c>
      <c r="B31" s="15"/>
      <c r="C31" s="14" t="s">
        <v>617</v>
      </c>
      <c r="D31" s="16" t="s">
        <v>1190</v>
      </c>
      <c r="E31" s="13"/>
      <c r="F31" s="13">
        <v>0</v>
      </c>
      <c r="G31" s="13"/>
      <c r="H31" s="13"/>
      <c r="I31" s="13"/>
      <c r="J31" s="13"/>
      <c r="K31" s="13"/>
    </row>
    <row r="32" spans="1:11">
      <c r="A32" s="13">
        <v>120100258</v>
      </c>
      <c r="B32" s="15"/>
      <c r="C32" s="14" t="s">
        <v>618</v>
      </c>
      <c r="D32" s="16" t="s">
        <v>1191</v>
      </c>
      <c r="E32" s="13"/>
      <c r="F32" s="13">
        <v>0</v>
      </c>
      <c r="G32" s="13"/>
      <c r="H32" s="13"/>
      <c r="I32" s="13"/>
      <c r="J32" s="13"/>
      <c r="K32" s="13"/>
    </row>
    <row r="33" spans="1:11">
      <c r="A33" s="13">
        <v>120110172</v>
      </c>
      <c r="B33" s="15"/>
      <c r="C33" s="14" t="s">
        <v>619</v>
      </c>
      <c r="D33" s="16"/>
      <c r="E33" s="13"/>
      <c r="F33" s="13">
        <v>0</v>
      </c>
      <c r="G33" s="13"/>
      <c r="H33" s="13"/>
      <c r="I33" s="13"/>
      <c r="J33" s="13"/>
      <c r="K33" s="13"/>
    </row>
    <row r="34" spans="1:11">
      <c r="A34" s="13">
        <v>120100225</v>
      </c>
      <c r="B34" s="15"/>
      <c r="C34" s="14" t="s">
        <v>620</v>
      </c>
      <c r="D34" s="16"/>
      <c r="E34" s="13"/>
      <c r="F34" s="13">
        <v>0</v>
      </c>
      <c r="G34" s="13"/>
      <c r="H34" s="13"/>
      <c r="I34" s="13"/>
      <c r="J34" s="13"/>
      <c r="K34" s="13"/>
    </row>
    <row r="35" spans="1:11">
      <c r="A35" s="13">
        <v>120110146</v>
      </c>
      <c r="B35" s="15"/>
      <c r="C35" s="14" t="s">
        <v>621</v>
      </c>
      <c r="D35" s="16"/>
      <c r="E35" s="13"/>
      <c r="F35" s="13">
        <v>0</v>
      </c>
      <c r="G35" s="13"/>
      <c r="H35" s="13"/>
      <c r="I35" s="13"/>
      <c r="J35" s="13"/>
      <c r="K35" s="13"/>
    </row>
    <row r="36" spans="1:11">
      <c r="A36" s="13">
        <v>120110147</v>
      </c>
      <c r="B36" s="15"/>
      <c r="C36" s="14" t="s">
        <v>622</v>
      </c>
      <c r="D36" s="16"/>
      <c r="E36" s="13"/>
      <c r="F36" s="13">
        <v>0</v>
      </c>
      <c r="G36" s="13"/>
      <c r="H36" s="13"/>
      <c r="I36" s="13"/>
      <c r="J36" s="13"/>
      <c r="K36" s="13"/>
    </row>
    <row r="37" spans="1:11">
      <c r="A37" s="13">
        <v>120110148</v>
      </c>
      <c r="B37" s="15"/>
      <c r="C37" s="14" t="s">
        <v>623</v>
      </c>
      <c r="D37" s="16"/>
      <c r="E37" s="13"/>
      <c r="F37" s="13">
        <v>0</v>
      </c>
      <c r="G37" s="13"/>
      <c r="H37" s="13"/>
      <c r="I37" s="13"/>
      <c r="J37" s="13"/>
      <c r="K37" s="13"/>
    </row>
    <row r="38" spans="1:11">
      <c r="A38" s="13">
        <v>120100226</v>
      </c>
      <c r="B38" s="15"/>
      <c r="C38" s="14" t="s">
        <v>624</v>
      </c>
      <c r="D38" s="16" t="s">
        <v>1192</v>
      </c>
      <c r="E38" s="13"/>
      <c r="F38" s="13">
        <v>0</v>
      </c>
      <c r="G38" s="13"/>
      <c r="H38" s="13"/>
      <c r="I38" s="13"/>
      <c r="J38" s="13"/>
      <c r="K38" s="13"/>
    </row>
    <row r="39" spans="1:11">
      <c r="A39" s="13">
        <v>120100228</v>
      </c>
      <c r="B39" s="15"/>
      <c r="C39" s="14" t="s">
        <v>625</v>
      </c>
      <c r="D39" s="16" t="s">
        <v>1193</v>
      </c>
      <c r="E39" s="13"/>
      <c r="F39" s="13">
        <v>0</v>
      </c>
      <c r="G39" s="13"/>
      <c r="H39" s="13"/>
      <c r="I39" s="13"/>
      <c r="J39" s="13"/>
      <c r="K39" s="13"/>
    </row>
    <row r="40" spans="1:11">
      <c r="A40" s="13">
        <v>120100230</v>
      </c>
      <c r="B40" s="15"/>
      <c r="C40" s="14" t="s">
        <v>626</v>
      </c>
      <c r="D40" s="16" t="s">
        <v>1194</v>
      </c>
      <c r="E40" s="13"/>
      <c r="F40" s="13">
        <v>0</v>
      </c>
      <c r="G40" s="13"/>
      <c r="H40" s="13"/>
      <c r="I40" s="13"/>
      <c r="J40" s="13"/>
      <c r="K40" s="13"/>
    </row>
    <row r="41" spans="1:11">
      <c r="A41" s="13">
        <v>120110156</v>
      </c>
      <c r="B41" s="15"/>
      <c r="C41" s="14" t="s">
        <v>627</v>
      </c>
      <c r="D41" s="16" t="s">
        <v>1195</v>
      </c>
      <c r="E41" s="13"/>
      <c r="F41" s="13">
        <v>0</v>
      </c>
      <c r="G41" s="13"/>
      <c r="H41" s="13"/>
      <c r="I41" s="13"/>
      <c r="J41" s="13"/>
      <c r="K41" s="13"/>
    </row>
    <row r="42" spans="1:11">
      <c r="A42" s="13">
        <v>120110157</v>
      </c>
      <c r="B42" s="15"/>
      <c r="C42" s="14" t="s">
        <v>628</v>
      </c>
      <c r="D42" s="16" t="s">
        <v>1196</v>
      </c>
      <c r="E42" s="13"/>
      <c r="F42" s="13">
        <v>0</v>
      </c>
      <c r="G42" s="13"/>
      <c r="H42" s="13"/>
      <c r="I42" s="13"/>
      <c r="J42" s="13"/>
      <c r="K42" s="13"/>
    </row>
    <row r="43" spans="1:11">
      <c r="A43" s="13">
        <v>120110158</v>
      </c>
      <c r="B43" s="15"/>
      <c r="C43" s="14" t="s">
        <v>629</v>
      </c>
      <c r="D43" s="16" t="s">
        <v>1197</v>
      </c>
      <c r="E43" s="13"/>
      <c r="F43" s="13">
        <v>0</v>
      </c>
      <c r="G43" s="13"/>
      <c r="H43" s="13"/>
      <c r="I43" s="13"/>
      <c r="J43" s="13"/>
      <c r="K43" s="13"/>
    </row>
    <row r="44" spans="1:11">
      <c r="A44" s="13">
        <v>120110161</v>
      </c>
      <c r="B44" s="15"/>
      <c r="C44" s="14" t="s">
        <v>630</v>
      </c>
      <c r="D44" s="16" t="s">
        <v>1198</v>
      </c>
      <c r="E44" s="13"/>
      <c r="F44" s="13">
        <v>0</v>
      </c>
      <c r="G44" s="13"/>
      <c r="H44" s="13"/>
      <c r="I44" s="13"/>
      <c r="J44" s="13"/>
      <c r="K44" s="13"/>
    </row>
    <row r="45" spans="1:11">
      <c r="A45" s="13">
        <v>120110162</v>
      </c>
      <c r="B45" s="15"/>
      <c r="C45" s="14" t="s">
        <v>631</v>
      </c>
      <c r="D45" s="16" t="s">
        <v>1199</v>
      </c>
      <c r="E45" s="13"/>
      <c r="F45" s="13">
        <v>0</v>
      </c>
      <c r="G45" s="13"/>
      <c r="H45" s="13"/>
      <c r="I45" s="13"/>
      <c r="J45" s="13"/>
      <c r="K45" s="13"/>
    </row>
    <row r="46" spans="1:11">
      <c r="A46" s="13">
        <v>120110163</v>
      </c>
      <c r="B46" s="15"/>
      <c r="C46" s="14" t="s">
        <v>632</v>
      </c>
      <c r="D46" s="16" t="s">
        <v>1200</v>
      </c>
      <c r="E46" s="13"/>
      <c r="F46" s="13">
        <v>0</v>
      </c>
      <c r="G46" s="13"/>
      <c r="H46" s="13"/>
      <c r="I46" s="13"/>
      <c r="J46" s="13"/>
      <c r="K46" s="13"/>
    </row>
    <row r="47" spans="1:11">
      <c r="A47" s="13">
        <v>120110165</v>
      </c>
      <c r="B47" s="15"/>
      <c r="C47" s="14" t="s">
        <v>633</v>
      </c>
      <c r="D47" s="16" t="s">
        <v>1201</v>
      </c>
      <c r="E47" s="13"/>
      <c r="F47" s="13">
        <v>0</v>
      </c>
      <c r="G47" s="13"/>
      <c r="H47" s="13"/>
      <c r="I47" s="13"/>
      <c r="J47" s="13"/>
      <c r="K47" s="13"/>
    </row>
    <row r="48" spans="1:11">
      <c r="A48" s="13">
        <v>120110166</v>
      </c>
      <c r="B48" s="15"/>
      <c r="C48" s="14" t="s">
        <v>634</v>
      </c>
      <c r="D48" s="16" t="s">
        <v>1202</v>
      </c>
      <c r="E48" s="13"/>
      <c r="F48" s="13">
        <v>0</v>
      </c>
      <c r="G48" s="13"/>
      <c r="H48" s="13"/>
      <c r="I48" s="13"/>
      <c r="J48" s="13"/>
      <c r="K48" s="13"/>
    </row>
    <row r="49" spans="1:11">
      <c r="A49" s="13">
        <v>120110167</v>
      </c>
      <c r="B49" s="15"/>
      <c r="C49" s="14" t="s">
        <v>635</v>
      </c>
      <c r="D49" s="16" t="s">
        <v>1203</v>
      </c>
      <c r="E49" s="13"/>
      <c r="F49" s="13">
        <v>0</v>
      </c>
      <c r="G49" s="13"/>
      <c r="H49" s="13"/>
      <c r="I49" s="13"/>
      <c r="J49" s="13"/>
      <c r="K49" s="13"/>
    </row>
    <row r="50" spans="1:11">
      <c r="A50" s="13">
        <v>120110168</v>
      </c>
      <c r="B50" s="15"/>
      <c r="C50" s="14" t="s">
        <v>636</v>
      </c>
      <c r="D50" s="16" t="s">
        <v>637</v>
      </c>
      <c r="E50" s="13"/>
      <c r="F50" s="13">
        <v>0</v>
      </c>
      <c r="G50" s="13"/>
      <c r="H50" s="13"/>
      <c r="I50" s="13"/>
      <c r="J50" s="13"/>
      <c r="K50" s="13"/>
    </row>
    <row r="51" spans="1:11">
      <c r="A51" s="13">
        <v>120110169</v>
      </c>
      <c r="B51" s="15"/>
      <c r="C51" s="14" t="s">
        <v>638</v>
      </c>
      <c r="D51" s="16" t="s">
        <v>1204</v>
      </c>
      <c r="E51" s="13"/>
      <c r="F51" s="13">
        <v>0</v>
      </c>
      <c r="G51" s="13"/>
      <c r="H51" s="13"/>
      <c r="I51" s="13"/>
      <c r="J51" s="13"/>
      <c r="K51" s="13"/>
    </row>
    <row r="52" spans="1:11">
      <c r="A52" s="13">
        <v>120100270</v>
      </c>
      <c r="B52" s="15"/>
      <c r="C52" s="14" t="s">
        <v>639</v>
      </c>
      <c r="D52" s="16" t="s">
        <v>640</v>
      </c>
      <c r="E52" s="13"/>
      <c r="F52" s="13">
        <v>0</v>
      </c>
      <c r="G52" s="13"/>
      <c r="H52" s="13"/>
      <c r="I52" s="13"/>
      <c r="J52" s="13"/>
      <c r="K52" s="13"/>
    </row>
    <row r="53" spans="1:11">
      <c r="A53" s="13">
        <v>120100272</v>
      </c>
      <c r="B53" s="15"/>
      <c r="C53" s="14" t="s">
        <v>641</v>
      </c>
      <c r="D53" s="16" t="s">
        <v>1205</v>
      </c>
      <c r="E53" s="13"/>
      <c r="F53" s="13">
        <v>0</v>
      </c>
      <c r="G53" s="13"/>
      <c r="H53" s="13"/>
      <c r="I53" s="13"/>
      <c r="J53" s="13"/>
      <c r="K53" s="13"/>
    </row>
    <row r="54" spans="1:11">
      <c r="A54" s="13">
        <v>120100273</v>
      </c>
      <c r="B54" s="15"/>
      <c r="C54" s="14" t="s">
        <v>642</v>
      </c>
      <c r="D54" s="16" t="s">
        <v>1206</v>
      </c>
      <c r="E54" s="13"/>
      <c r="F54" s="13">
        <v>0</v>
      </c>
      <c r="G54" s="13"/>
      <c r="H54" s="13"/>
      <c r="I54" s="13"/>
      <c r="J54" s="13"/>
      <c r="K54" s="13"/>
    </row>
    <row r="55" spans="1:11">
      <c r="A55" s="13">
        <v>120100274</v>
      </c>
      <c r="B55" s="15"/>
      <c r="C55" s="14" t="s">
        <v>643</v>
      </c>
      <c r="D55" s="16" t="s">
        <v>1207</v>
      </c>
      <c r="E55" s="13"/>
      <c r="F55" s="13">
        <v>0</v>
      </c>
      <c r="G55" s="13"/>
      <c r="H55" s="13"/>
      <c r="I55" s="13"/>
      <c r="J55" s="13"/>
      <c r="K55" s="13"/>
    </row>
    <row r="56" spans="1:11">
      <c r="A56" s="13">
        <v>120100275</v>
      </c>
      <c r="B56" s="15"/>
      <c r="C56" s="14" t="s">
        <v>644</v>
      </c>
      <c r="D56" s="16" t="s">
        <v>1208</v>
      </c>
      <c r="E56" s="13"/>
      <c r="F56" s="13">
        <v>0</v>
      </c>
      <c r="G56" s="13"/>
      <c r="H56" s="13"/>
      <c r="I56" s="13"/>
      <c r="J56" s="13"/>
      <c r="K56" s="13"/>
    </row>
    <row r="57" spans="1:11">
      <c r="A57" s="13">
        <v>120100276</v>
      </c>
      <c r="B57" s="15"/>
      <c r="C57" s="14" t="s">
        <v>645</v>
      </c>
      <c r="D57" s="16" t="s">
        <v>1209</v>
      </c>
      <c r="E57" s="13"/>
      <c r="F57" s="13">
        <v>0</v>
      </c>
      <c r="G57" s="13"/>
      <c r="H57" s="13"/>
      <c r="I57" s="13"/>
      <c r="J57" s="13"/>
      <c r="K57" s="13"/>
    </row>
    <row r="58" spans="1:11">
      <c r="A58" s="13">
        <v>120100277</v>
      </c>
      <c r="B58" s="15"/>
      <c r="C58" s="14" t="s">
        <v>646</v>
      </c>
      <c r="D58" s="16" t="s">
        <v>1210</v>
      </c>
      <c r="E58" s="13"/>
      <c r="F58" s="13">
        <v>0</v>
      </c>
      <c r="G58" s="13"/>
      <c r="H58" s="13"/>
      <c r="I58" s="13"/>
      <c r="J58" s="13"/>
      <c r="K58" s="13"/>
    </row>
    <row r="59" spans="1:11">
      <c r="A59" s="13">
        <v>120100278</v>
      </c>
      <c r="B59" s="15"/>
      <c r="C59" s="14" t="s">
        <v>647</v>
      </c>
      <c r="D59" s="16" t="s">
        <v>1211</v>
      </c>
      <c r="E59" s="13"/>
      <c r="F59" s="13">
        <v>0</v>
      </c>
      <c r="G59" s="13"/>
      <c r="H59" s="13"/>
      <c r="I59" s="13"/>
      <c r="J59" s="13"/>
      <c r="K59" s="13"/>
    </row>
    <row r="60" spans="1:11">
      <c r="A60" s="13">
        <v>120100279</v>
      </c>
      <c r="B60" s="15"/>
      <c r="C60" s="14" t="s">
        <v>648</v>
      </c>
      <c r="D60" s="16" t="s">
        <v>1212</v>
      </c>
      <c r="E60" s="13"/>
      <c r="F60" s="13">
        <v>0</v>
      </c>
      <c r="G60" s="13"/>
      <c r="H60" s="13"/>
      <c r="I60" s="13"/>
      <c r="J60" s="13"/>
      <c r="K60" s="13"/>
    </row>
    <row r="61" spans="1:11">
      <c r="A61" s="13">
        <v>120100280</v>
      </c>
      <c r="B61" s="15"/>
      <c r="C61" s="14" t="s">
        <v>649</v>
      </c>
      <c r="D61" s="16" t="s">
        <v>1213</v>
      </c>
      <c r="E61" s="13"/>
      <c r="F61" s="13">
        <v>0</v>
      </c>
      <c r="G61" s="13"/>
      <c r="H61" s="13"/>
      <c r="I61" s="13"/>
      <c r="J61" s="13"/>
      <c r="K61" s="13"/>
    </row>
    <row r="62" spans="1:11">
      <c r="A62" s="13">
        <v>120100281</v>
      </c>
      <c r="B62" s="15"/>
      <c r="C62" s="14" t="s">
        <v>650</v>
      </c>
      <c r="D62" s="16" t="s">
        <v>1214</v>
      </c>
      <c r="E62" s="13"/>
      <c r="F62" s="13">
        <v>0</v>
      </c>
      <c r="G62" s="13"/>
      <c r="H62" s="13"/>
      <c r="I62" s="13"/>
      <c r="J62" s="13"/>
      <c r="K62" s="13"/>
    </row>
    <row r="63" spans="1:11">
      <c r="A63" s="13">
        <v>120100282</v>
      </c>
      <c r="B63" s="15"/>
      <c r="C63" s="14" t="s">
        <v>651</v>
      </c>
      <c r="D63" s="16" t="s">
        <v>1215</v>
      </c>
      <c r="E63" s="13"/>
      <c r="F63" s="13">
        <v>0</v>
      </c>
      <c r="G63" s="13"/>
      <c r="H63" s="13"/>
      <c r="I63" s="13"/>
      <c r="J63" s="13"/>
      <c r="K63" s="13"/>
    </row>
    <row r="64" spans="1:11">
      <c r="A64" s="13">
        <v>120100283</v>
      </c>
      <c r="B64" s="15"/>
      <c r="C64" s="14" t="s">
        <v>652</v>
      </c>
      <c r="D64" s="16" t="s">
        <v>1216</v>
      </c>
      <c r="E64" s="13"/>
      <c r="F64" s="13">
        <v>0</v>
      </c>
      <c r="G64" s="13"/>
      <c r="H64" s="13"/>
      <c r="I64" s="13"/>
      <c r="J64" s="13"/>
      <c r="K64" s="13"/>
    </row>
    <row r="65" spans="1:11">
      <c r="A65" s="13">
        <v>120100284</v>
      </c>
      <c r="B65" s="15"/>
      <c r="C65" s="14" t="s">
        <v>653</v>
      </c>
      <c r="D65" s="16" t="s">
        <v>1217</v>
      </c>
      <c r="E65" s="13"/>
      <c r="F65" s="13">
        <v>0</v>
      </c>
      <c r="G65" s="13"/>
      <c r="H65" s="13"/>
      <c r="I65" s="13"/>
      <c r="J65" s="13"/>
      <c r="K65" s="13"/>
    </row>
    <row r="66" spans="1:11">
      <c r="A66" s="13">
        <v>120110183</v>
      </c>
      <c r="B66" s="15"/>
      <c r="C66" s="14" t="s">
        <v>654</v>
      </c>
      <c r="D66" s="16" t="s">
        <v>655</v>
      </c>
      <c r="E66" s="13"/>
      <c r="F66" s="13">
        <v>0</v>
      </c>
      <c r="G66" s="13"/>
      <c r="H66" s="13"/>
      <c r="I66" s="13"/>
      <c r="J66" s="13"/>
      <c r="K66" s="13"/>
    </row>
    <row r="67" spans="1:11">
      <c r="A67" s="13">
        <v>120100260</v>
      </c>
      <c r="B67" s="15"/>
      <c r="C67" s="14" t="s">
        <v>656</v>
      </c>
      <c r="D67" s="16" t="s">
        <v>1218</v>
      </c>
      <c r="E67" s="13"/>
      <c r="F67" s="13">
        <v>0</v>
      </c>
      <c r="G67" s="13"/>
      <c r="H67" s="13"/>
      <c r="I67" s="13"/>
      <c r="J67" s="13"/>
      <c r="K67" s="13"/>
    </row>
    <row r="68" spans="1:11">
      <c r="A68" s="13">
        <v>120100261</v>
      </c>
      <c r="B68" s="15"/>
      <c r="C68" s="14" t="s">
        <v>657</v>
      </c>
      <c r="D68" s="16" t="s">
        <v>1219</v>
      </c>
      <c r="E68" s="13"/>
      <c r="F68" s="13">
        <v>0</v>
      </c>
      <c r="G68" s="13"/>
      <c r="H68" s="13"/>
      <c r="I68" s="13"/>
      <c r="J68" s="13"/>
      <c r="K68" s="13"/>
    </row>
    <row r="69" spans="1:11">
      <c r="A69" s="13">
        <v>120100262</v>
      </c>
      <c r="B69" s="15"/>
      <c r="C69" s="14" t="s">
        <v>658</v>
      </c>
      <c r="D69" s="16" t="s">
        <v>1220</v>
      </c>
      <c r="E69" s="13"/>
      <c r="F69" s="13">
        <v>0</v>
      </c>
      <c r="G69" s="13"/>
      <c r="H69" s="13"/>
      <c r="I69" s="13"/>
      <c r="J69" s="13"/>
      <c r="K69" s="13"/>
    </row>
    <row r="70" spans="1:11">
      <c r="A70" s="13">
        <v>120100264</v>
      </c>
      <c r="B70" s="15"/>
      <c r="C70" s="14" t="s">
        <v>659</v>
      </c>
      <c r="D70" s="16" t="s">
        <v>1221</v>
      </c>
      <c r="E70" s="13"/>
      <c r="F70" s="13">
        <v>0</v>
      </c>
      <c r="G70" s="13"/>
      <c r="H70" s="13"/>
      <c r="I70" s="13"/>
      <c r="J70" s="13"/>
      <c r="K70" s="13"/>
    </row>
    <row r="71" spans="1:11">
      <c r="A71" s="13">
        <v>120100265</v>
      </c>
      <c r="B71" s="15"/>
      <c r="C71" s="14" t="s">
        <v>660</v>
      </c>
      <c r="D71" s="16" t="s">
        <v>1222</v>
      </c>
      <c r="E71" s="13"/>
      <c r="F71" s="13">
        <v>0</v>
      </c>
      <c r="G71" s="13"/>
      <c r="H71" s="13"/>
      <c r="I71" s="13"/>
      <c r="J71" s="13"/>
      <c r="K71" s="13"/>
    </row>
    <row r="72" spans="1:11">
      <c r="A72" s="13">
        <v>120100234</v>
      </c>
      <c r="B72" s="15"/>
      <c r="C72" s="14" t="s">
        <v>661</v>
      </c>
      <c r="D72" s="16" t="s">
        <v>1223</v>
      </c>
      <c r="E72" s="13"/>
      <c r="F72" s="13">
        <v>0</v>
      </c>
      <c r="G72" s="13"/>
      <c r="H72" s="13"/>
      <c r="I72" s="13"/>
      <c r="J72" s="13"/>
      <c r="K72" s="13"/>
    </row>
    <row r="73" spans="1:11">
      <c r="A73" s="13">
        <v>120100235</v>
      </c>
      <c r="B73" s="15"/>
      <c r="C73" s="14" t="s">
        <v>662</v>
      </c>
      <c r="D73" s="16" t="s">
        <v>1224</v>
      </c>
      <c r="E73" s="13"/>
      <c r="F73" s="13">
        <v>0</v>
      </c>
      <c r="G73" s="13"/>
      <c r="H73" s="13"/>
      <c r="I73" s="13"/>
      <c r="J73" s="13"/>
      <c r="K73" s="13"/>
    </row>
    <row r="74" spans="1:11">
      <c r="A74" s="13">
        <v>120100239</v>
      </c>
      <c r="B74" s="15"/>
      <c r="C74" s="14" t="s">
        <v>663</v>
      </c>
      <c r="D74" s="16" t="s">
        <v>1225</v>
      </c>
      <c r="E74" s="13"/>
      <c r="F74" s="13">
        <v>0</v>
      </c>
      <c r="G74" s="13"/>
      <c r="H74" s="13"/>
      <c r="I74" s="13"/>
      <c r="J74" s="13"/>
      <c r="K74" s="13"/>
    </row>
    <row r="75" spans="1:11">
      <c r="A75" s="13">
        <v>120100242</v>
      </c>
      <c r="B75" s="15"/>
      <c r="C75" s="14" t="s">
        <v>664</v>
      </c>
      <c r="D75" s="16" t="s">
        <v>1226</v>
      </c>
      <c r="E75" s="13"/>
      <c r="F75" s="13">
        <v>0</v>
      </c>
      <c r="G75" s="13"/>
      <c r="H75" s="13"/>
      <c r="I75" s="13"/>
      <c r="J75" s="13"/>
      <c r="K75" s="13"/>
    </row>
    <row r="76" spans="1:11">
      <c r="A76" s="13">
        <v>120100236</v>
      </c>
      <c r="B76" s="15"/>
      <c r="C76" s="14" t="s">
        <v>665</v>
      </c>
      <c r="D76" s="16" t="s">
        <v>1227</v>
      </c>
      <c r="E76" s="13"/>
      <c r="F76" s="13">
        <v>0</v>
      </c>
      <c r="G76" s="13"/>
      <c r="H76" s="13"/>
      <c r="I76" s="13"/>
      <c r="J76" s="13"/>
      <c r="K76" s="13"/>
    </row>
    <row r="77" spans="1:11">
      <c r="A77" s="13">
        <v>120100243</v>
      </c>
      <c r="B77" s="15"/>
      <c r="C77" s="14" t="s">
        <v>666</v>
      </c>
      <c r="D77" s="16" t="s">
        <v>1228</v>
      </c>
      <c r="E77" s="13"/>
      <c r="F77" s="13">
        <v>0</v>
      </c>
      <c r="G77" s="13"/>
      <c r="H77" s="13"/>
      <c r="I77" s="13"/>
      <c r="J77" s="13"/>
      <c r="K77" s="13"/>
    </row>
    <row r="78" spans="1:11">
      <c r="A78" s="13">
        <v>120100244</v>
      </c>
      <c r="B78" s="15"/>
      <c r="C78" s="14" t="s">
        <v>667</v>
      </c>
      <c r="D78" s="16" t="s">
        <v>1229</v>
      </c>
      <c r="E78" s="13"/>
      <c r="F78" s="13">
        <v>0</v>
      </c>
      <c r="G78" s="13"/>
      <c r="H78" s="13"/>
      <c r="I78" s="13"/>
      <c r="J78" s="13"/>
      <c r="K78" s="13"/>
    </row>
    <row r="79" spans="1:11">
      <c r="A79" s="13">
        <v>120100241</v>
      </c>
      <c r="B79" s="15"/>
      <c r="C79" s="14" t="s">
        <v>668</v>
      </c>
      <c r="D79" s="16" t="s">
        <v>669</v>
      </c>
      <c r="E79" s="13"/>
      <c r="F79" s="13">
        <v>0</v>
      </c>
      <c r="G79" s="13"/>
      <c r="H79" s="13"/>
      <c r="I79" s="13"/>
      <c r="J79" s="13"/>
      <c r="K79" s="13"/>
    </row>
    <row r="80" spans="1:11">
      <c r="A80" s="13">
        <v>120100240</v>
      </c>
      <c r="B80" s="15"/>
      <c r="C80" s="14" t="s">
        <v>670</v>
      </c>
      <c r="D80" s="16" t="s">
        <v>671</v>
      </c>
      <c r="E80" s="13"/>
      <c r="F80" s="13">
        <v>0</v>
      </c>
      <c r="G80" s="13"/>
      <c r="H80" s="13"/>
      <c r="I80" s="13"/>
      <c r="J80" s="13"/>
      <c r="K80" s="13"/>
    </row>
    <row r="81" spans="1:11">
      <c r="A81" s="13">
        <v>120100238</v>
      </c>
      <c r="B81" s="15"/>
      <c r="C81" s="14" t="s">
        <v>672</v>
      </c>
      <c r="D81" s="16" t="s">
        <v>1230</v>
      </c>
      <c r="E81" s="13"/>
      <c r="F81" s="13">
        <v>0</v>
      </c>
      <c r="G81" s="13"/>
      <c r="H81" s="13"/>
      <c r="I81" s="13"/>
      <c r="J81" s="13"/>
      <c r="K81" s="13"/>
    </row>
    <row r="82" spans="1:11">
      <c r="A82" s="13">
        <v>120100245</v>
      </c>
      <c r="B82" s="15"/>
      <c r="C82" s="14" t="s">
        <v>673</v>
      </c>
      <c r="D82" s="16" t="s">
        <v>1231</v>
      </c>
      <c r="E82" s="13"/>
      <c r="F82" s="13">
        <v>0</v>
      </c>
      <c r="G82" s="13"/>
      <c r="H82" s="13"/>
      <c r="I82" s="13"/>
      <c r="J82" s="13"/>
      <c r="K82" s="13"/>
    </row>
    <row r="83" spans="1:11">
      <c r="A83" s="13">
        <v>120110182</v>
      </c>
      <c r="B83" s="15"/>
      <c r="C83" s="14" t="s">
        <v>674</v>
      </c>
      <c r="D83" s="16"/>
      <c r="E83" s="13"/>
      <c r="F83" s="13">
        <v>0</v>
      </c>
      <c r="G83" s="13"/>
      <c r="H83" s="13"/>
      <c r="I83" s="13"/>
      <c r="J83" s="13"/>
      <c r="K83" s="13"/>
    </row>
    <row r="84" spans="1:11">
      <c r="A84" s="13">
        <v>120100247</v>
      </c>
      <c r="B84" s="15"/>
      <c r="C84" s="14" t="s">
        <v>675</v>
      </c>
      <c r="D84" s="16" t="s">
        <v>1232</v>
      </c>
      <c r="E84" s="13"/>
      <c r="F84" s="13">
        <v>0</v>
      </c>
      <c r="G84" s="13"/>
      <c r="H84" s="13"/>
      <c r="I84" s="13"/>
      <c r="J84" s="13"/>
      <c r="K84" s="13"/>
    </row>
    <row r="85" spans="1:11">
      <c r="A85" s="13">
        <v>120100248</v>
      </c>
      <c r="B85" s="15"/>
      <c r="C85" s="14" t="s">
        <v>676</v>
      </c>
      <c r="D85" s="16"/>
      <c r="E85" s="13"/>
      <c r="F85" s="13">
        <v>0</v>
      </c>
      <c r="G85" s="13"/>
      <c r="H85" s="13"/>
      <c r="I85" s="13"/>
      <c r="J85" s="13"/>
      <c r="K85" s="13"/>
    </row>
    <row r="86" spans="1:11">
      <c r="A86" s="13">
        <v>120100249</v>
      </c>
      <c r="B86" s="15"/>
      <c r="C86" s="14" t="s">
        <v>677</v>
      </c>
      <c r="D86" s="16" t="s">
        <v>1233</v>
      </c>
      <c r="E86" s="13"/>
      <c r="F86" s="13">
        <v>0</v>
      </c>
      <c r="G86" s="13"/>
      <c r="H86" s="13"/>
      <c r="I86" s="13"/>
      <c r="J86" s="13"/>
      <c r="K86" s="13"/>
    </row>
    <row r="87" spans="1:11">
      <c r="A87" s="13">
        <v>120110174</v>
      </c>
      <c r="B87" s="15"/>
      <c r="C87" s="14" t="s">
        <v>678</v>
      </c>
      <c r="D87" s="16" t="s">
        <v>1234</v>
      </c>
      <c r="E87" s="13"/>
      <c r="F87" s="13">
        <v>0</v>
      </c>
      <c r="G87" s="13"/>
      <c r="H87" s="13"/>
      <c r="I87" s="13"/>
      <c r="J87" s="13"/>
      <c r="K87" s="13"/>
    </row>
    <row r="88" spans="1:11">
      <c r="A88" s="13">
        <v>120140166</v>
      </c>
      <c r="B88" s="15"/>
      <c r="C88" s="14" t="s">
        <v>679</v>
      </c>
      <c r="D88" s="16"/>
      <c r="E88" s="13"/>
      <c r="F88" s="13">
        <v>0</v>
      </c>
      <c r="G88" s="13"/>
      <c r="H88" s="13"/>
      <c r="I88" s="13"/>
      <c r="J88" s="13"/>
      <c r="K88" s="13"/>
    </row>
    <row r="89" spans="1:11">
      <c r="A89" s="13">
        <v>120110175</v>
      </c>
      <c r="B89" s="15"/>
      <c r="C89" s="14" t="s">
        <v>680</v>
      </c>
      <c r="D89" s="16"/>
      <c r="E89" s="13"/>
      <c r="F89" s="13">
        <v>0</v>
      </c>
      <c r="G89" s="13"/>
      <c r="H89" s="13"/>
      <c r="I89" s="13"/>
      <c r="J89" s="13"/>
      <c r="K89" s="13"/>
    </row>
    <row r="90" spans="1:11">
      <c r="A90" s="13">
        <v>120110176</v>
      </c>
      <c r="B90" s="15"/>
      <c r="C90" s="14" t="s">
        <v>681</v>
      </c>
      <c r="D90" s="16" t="s">
        <v>1235</v>
      </c>
      <c r="E90" s="13"/>
      <c r="F90" s="13">
        <v>0</v>
      </c>
      <c r="G90" s="13"/>
      <c r="H90" s="13"/>
      <c r="I90" s="13"/>
      <c r="J90" s="13"/>
      <c r="K90" s="13"/>
    </row>
    <row r="91" spans="1:11">
      <c r="A91" s="13">
        <v>120110178</v>
      </c>
      <c r="B91" s="15"/>
      <c r="C91" s="14" t="s">
        <v>682</v>
      </c>
      <c r="D91" s="16" t="s">
        <v>1236</v>
      </c>
      <c r="E91" s="13"/>
      <c r="F91" s="13">
        <v>0</v>
      </c>
      <c r="G91" s="13"/>
      <c r="H91" s="13"/>
      <c r="I91" s="13"/>
      <c r="J91" s="13"/>
      <c r="K91" s="13"/>
    </row>
    <row r="92" spans="1:11">
      <c r="A92" s="13">
        <v>120110179</v>
      </c>
      <c r="B92" s="15"/>
      <c r="C92" s="14" t="s">
        <v>683</v>
      </c>
      <c r="D92" s="16" t="s">
        <v>684</v>
      </c>
      <c r="E92" s="13"/>
      <c r="F92" s="13">
        <v>0</v>
      </c>
      <c r="G92" s="13"/>
      <c r="H92" s="13"/>
      <c r="I92" s="13"/>
      <c r="J92" s="13"/>
      <c r="K92" s="13"/>
    </row>
    <row r="93" spans="1:11">
      <c r="A93" s="13">
        <v>120100218</v>
      </c>
      <c r="B93" s="15"/>
      <c r="C93" s="14" t="s">
        <v>685</v>
      </c>
      <c r="D93" s="16" t="s">
        <v>686</v>
      </c>
      <c r="E93" s="13"/>
      <c r="F93" s="13">
        <v>0</v>
      </c>
      <c r="G93" s="13"/>
      <c r="H93" s="13"/>
      <c r="I93" s="13"/>
      <c r="J93" s="13"/>
      <c r="K93" s="13"/>
    </row>
    <row r="94" spans="1:11">
      <c r="A94" s="13">
        <v>120100219</v>
      </c>
      <c r="B94" s="15"/>
      <c r="C94" s="14" t="s">
        <v>687</v>
      </c>
      <c r="D94" s="16" t="s">
        <v>688</v>
      </c>
      <c r="E94" s="13"/>
      <c r="F94" s="13">
        <v>0</v>
      </c>
      <c r="G94" s="13"/>
      <c r="H94" s="13"/>
      <c r="I94" s="13"/>
      <c r="J94" s="13"/>
      <c r="K94" s="13"/>
    </row>
    <row r="95" spans="1:11">
      <c r="A95" s="13">
        <v>120100220</v>
      </c>
      <c r="B95" s="15"/>
      <c r="C95" s="14" t="s">
        <v>689</v>
      </c>
      <c r="D95" s="16" t="s">
        <v>1237</v>
      </c>
      <c r="E95" s="13"/>
      <c r="F95" s="13">
        <v>0</v>
      </c>
      <c r="G95" s="13"/>
      <c r="H95" s="13"/>
      <c r="I95" s="13"/>
      <c r="J95" s="13"/>
      <c r="K95" s="13"/>
    </row>
    <row r="96" spans="1:11">
      <c r="A96" s="13">
        <v>120100221</v>
      </c>
      <c r="B96" s="15"/>
      <c r="C96" s="14" t="s">
        <v>690</v>
      </c>
      <c r="D96" s="16" t="s">
        <v>691</v>
      </c>
      <c r="E96" s="13"/>
      <c r="F96" s="13">
        <v>0</v>
      </c>
      <c r="G96" s="13"/>
      <c r="H96" s="13"/>
      <c r="I96" s="13"/>
      <c r="J96" s="13"/>
      <c r="K96" s="13"/>
    </row>
    <row r="97" spans="1:11">
      <c r="A97" s="13">
        <v>120110154</v>
      </c>
      <c r="B97" s="15"/>
      <c r="C97" s="14" t="s">
        <v>692</v>
      </c>
      <c r="D97" s="16"/>
      <c r="E97" s="13"/>
      <c r="F97" s="13">
        <v>0</v>
      </c>
      <c r="G97" s="13"/>
      <c r="H97" s="13"/>
      <c r="I97" s="13"/>
      <c r="J97" s="13"/>
      <c r="K97" s="13"/>
    </row>
    <row r="98" spans="1:11">
      <c r="A98" s="13">
        <v>120100224</v>
      </c>
      <c r="B98" s="15"/>
      <c r="C98" s="14" t="s">
        <v>693</v>
      </c>
      <c r="D98" s="16"/>
      <c r="E98" s="13"/>
      <c r="F98" s="13">
        <v>0</v>
      </c>
      <c r="G98" s="13"/>
      <c r="H98" s="13"/>
      <c r="I98" s="13"/>
      <c r="J98" s="13"/>
      <c r="K98" s="13"/>
    </row>
    <row r="99" spans="1:11">
      <c r="A99" s="13">
        <v>120110153</v>
      </c>
      <c r="B99" s="15"/>
      <c r="C99" s="14" t="s">
        <v>694</v>
      </c>
      <c r="D99" s="16"/>
      <c r="E99" s="13"/>
      <c r="F99" s="13">
        <v>0</v>
      </c>
      <c r="G99" s="13"/>
      <c r="H99" s="13"/>
      <c r="I99" s="13"/>
      <c r="J99" s="13"/>
      <c r="K99" s="13"/>
    </row>
    <row r="100" spans="1:11">
      <c r="A100" s="13">
        <v>120100216</v>
      </c>
      <c r="B100" s="15"/>
      <c r="C100" s="14" t="s">
        <v>695</v>
      </c>
      <c r="D100" s="16"/>
      <c r="E100" s="13"/>
      <c r="F100" s="13">
        <v>0</v>
      </c>
      <c r="G100" s="13"/>
      <c r="H100" s="13"/>
      <c r="I100" s="13"/>
      <c r="J100" s="13"/>
      <c r="K100" s="13"/>
    </row>
    <row r="101" spans="1:11">
      <c r="A101" s="13">
        <v>120110133</v>
      </c>
      <c r="B101" s="15"/>
      <c r="C101" s="14" t="s">
        <v>696</v>
      </c>
      <c r="D101" s="16"/>
      <c r="E101" s="13"/>
      <c r="F101" s="13">
        <v>0</v>
      </c>
      <c r="G101" s="13"/>
      <c r="H101" s="13"/>
      <c r="I101" s="13"/>
      <c r="J101" s="13"/>
      <c r="K101" s="13"/>
    </row>
    <row r="102" spans="1:11">
      <c r="A102" s="13">
        <v>120110130</v>
      </c>
      <c r="B102" s="15"/>
      <c r="C102" s="14" t="s">
        <v>697</v>
      </c>
      <c r="D102" s="16"/>
      <c r="E102" s="13"/>
      <c r="F102" s="13">
        <v>0</v>
      </c>
      <c r="G102" s="13"/>
      <c r="H102" s="13"/>
      <c r="I102" s="13"/>
      <c r="J102" s="13"/>
      <c r="K102" s="13"/>
    </row>
    <row r="103" spans="1:11">
      <c r="A103" s="13">
        <v>120110131</v>
      </c>
      <c r="B103" s="15"/>
      <c r="C103" s="14" t="s">
        <v>698</v>
      </c>
      <c r="D103" s="16"/>
      <c r="E103" s="13"/>
      <c r="F103" s="13">
        <v>0</v>
      </c>
      <c r="G103" s="13"/>
      <c r="H103" s="13"/>
      <c r="I103" s="13"/>
      <c r="J103" s="13"/>
      <c r="K103" s="13"/>
    </row>
    <row r="104" spans="1:11">
      <c r="A104" s="13">
        <v>120110132</v>
      </c>
      <c r="B104" s="15"/>
      <c r="C104" s="14" t="s">
        <v>699</v>
      </c>
      <c r="D104" s="16"/>
      <c r="E104" s="13"/>
      <c r="F104" s="13">
        <v>0</v>
      </c>
      <c r="G104" s="13"/>
      <c r="H104" s="13"/>
      <c r="I104" s="13"/>
      <c r="J104" s="13"/>
      <c r="K104" s="13"/>
    </row>
    <row r="105" spans="1:11">
      <c r="A105" s="13">
        <v>120110136</v>
      </c>
      <c r="B105" s="15"/>
      <c r="C105" s="14" t="s">
        <v>700</v>
      </c>
      <c r="D105" s="16" t="s">
        <v>1238</v>
      </c>
      <c r="E105" s="13"/>
      <c r="F105" s="13">
        <v>0</v>
      </c>
      <c r="G105" s="13"/>
      <c r="H105" s="13"/>
      <c r="I105" s="13"/>
      <c r="J105" s="13"/>
      <c r="K105" s="13"/>
    </row>
    <row r="106" spans="1:11">
      <c r="A106" s="13">
        <v>120110137</v>
      </c>
      <c r="B106" s="15"/>
      <c r="C106" s="14" t="s">
        <v>701</v>
      </c>
      <c r="D106" s="16" t="s">
        <v>1239</v>
      </c>
      <c r="E106" s="13"/>
      <c r="F106" s="13">
        <v>0</v>
      </c>
      <c r="G106" s="13"/>
      <c r="H106" s="13"/>
      <c r="I106" s="13"/>
      <c r="J106" s="13"/>
      <c r="K106" s="13"/>
    </row>
    <row r="107" spans="1:11">
      <c r="A107" s="13">
        <v>120110134</v>
      </c>
      <c r="B107" s="15"/>
      <c r="C107" s="14" t="s">
        <v>702</v>
      </c>
      <c r="D107" s="16"/>
      <c r="E107" s="13"/>
      <c r="F107" s="13">
        <v>0</v>
      </c>
      <c r="G107" s="13"/>
      <c r="H107" s="13"/>
      <c r="I107" s="13"/>
      <c r="J107" s="13"/>
      <c r="K107" s="13"/>
    </row>
    <row r="108" spans="1:11">
      <c r="A108" s="13">
        <v>120110129</v>
      </c>
      <c r="B108" s="15"/>
      <c r="C108" s="14" t="s">
        <v>703</v>
      </c>
      <c r="D108" s="16"/>
      <c r="E108" s="13"/>
      <c r="F108" s="13">
        <v>0</v>
      </c>
      <c r="G108" s="13"/>
      <c r="H108" s="13"/>
      <c r="I108" s="13"/>
      <c r="J108" s="13"/>
      <c r="K108" s="13"/>
    </row>
    <row r="109" spans="1:11">
      <c r="A109" s="13">
        <v>120100211</v>
      </c>
      <c r="B109" s="15"/>
      <c r="C109" s="14" t="s">
        <v>704</v>
      </c>
      <c r="D109" s="16" t="s">
        <v>1240</v>
      </c>
      <c r="E109" s="13"/>
      <c r="F109" s="13">
        <v>0</v>
      </c>
      <c r="G109" s="13"/>
      <c r="H109" s="13"/>
      <c r="I109" s="13"/>
      <c r="J109" s="13"/>
      <c r="K109" s="13"/>
    </row>
    <row r="110" spans="1:11">
      <c r="A110" s="13">
        <v>120100212</v>
      </c>
      <c r="B110" s="15"/>
      <c r="C110" s="14" t="s">
        <v>705</v>
      </c>
      <c r="D110" s="16" t="s">
        <v>1241</v>
      </c>
      <c r="E110" s="13"/>
      <c r="F110" s="13">
        <v>0</v>
      </c>
      <c r="G110" s="13"/>
      <c r="H110" s="13"/>
      <c r="I110" s="13"/>
      <c r="J110" s="13"/>
      <c r="K110" s="13"/>
    </row>
    <row r="111" spans="1:11">
      <c r="A111" s="13">
        <v>120100213</v>
      </c>
      <c r="B111" s="15"/>
      <c r="C111" s="14" t="s">
        <v>706</v>
      </c>
      <c r="D111" s="16" t="s">
        <v>1242</v>
      </c>
      <c r="E111" s="13"/>
      <c r="F111" s="13">
        <v>0</v>
      </c>
      <c r="G111" s="13"/>
      <c r="H111" s="13"/>
      <c r="I111" s="13"/>
      <c r="J111" s="13"/>
      <c r="K111" s="13"/>
    </row>
    <row r="112" spans="1:11">
      <c r="A112" s="13">
        <v>120100210</v>
      </c>
      <c r="B112" s="15"/>
      <c r="C112" s="14" t="s">
        <v>707</v>
      </c>
      <c r="D112" s="16" t="s">
        <v>1243</v>
      </c>
      <c r="E112" s="13"/>
      <c r="F112" s="13">
        <v>0</v>
      </c>
      <c r="G112" s="13"/>
      <c r="H112" s="13"/>
      <c r="I112" s="13"/>
      <c r="J112" s="13"/>
      <c r="K112" s="13"/>
    </row>
    <row r="113" spans="1:11">
      <c r="A113" s="13">
        <v>120110125</v>
      </c>
      <c r="B113" s="15"/>
      <c r="C113" s="14" t="s">
        <v>708</v>
      </c>
      <c r="D113" s="16" t="s">
        <v>709</v>
      </c>
      <c r="E113" s="13"/>
      <c r="F113" s="13">
        <v>0</v>
      </c>
      <c r="G113" s="13"/>
      <c r="H113" s="13"/>
      <c r="I113" s="13"/>
      <c r="J113" s="13"/>
      <c r="K113" s="13"/>
    </row>
    <row r="114" spans="1:11">
      <c r="A114" s="13">
        <v>120110103</v>
      </c>
      <c r="B114" s="15"/>
      <c r="C114" s="14" t="s">
        <v>710</v>
      </c>
      <c r="D114" s="16"/>
      <c r="E114" s="13"/>
      <c r="F114" s="13">
        <v>0</v>
      </c>
      <c r="G114" s="13"/>
      <c r="H114" s="13"/>
      <c r="I114" s="13"/>
      <c r="J114" s="13"/>
      <c r="K114" s="13"/>
    </row>
    <row r="115" spans="1:11">
      <c r="A115" s="13">
        <v>120110106</v>
      </c>
      <c r="B115" s="15"/>
      <c r="C115" s="14" t="s">
        <v>711</v>
      </c>
      <c r="D115" s="16" t="s">
        <v>1244</v>
      </c>
      <c r="E115" s="13"/>
      <c r="F115" s="13">
        <v>0</v>
      </c>
      <c r="G115" s="13"/>
      <c r="H115" s="13"/>
      <c r="I115" s="13"/>
      <c r="J115" s="13"/>
      <c r="K115" s="13"/>
    </row>
    <row r="116" spans="1:11">
      <c r="A116" s="13">
        <v>120110105</v>
      </c>
      <c r="B116" s="15"/>
      <c r="C116" s="14" t="s">
        <v>712</v>
      </c>
      <c r="D116" s="16" t="s">
        <v>1245</v>
      </c>
      <c r="E116" s="13"/>
      <c r="F116" s="13">
        <v>0</v>
      </c>
      <c r="G116" s="13"/>
      <c r="H116" s="13"/>
      <c r="I116" s="13"/>
      <c r="J116" s="13"/>
      <c r="K116" s="13"/>
    </row>
    <row r="117" spans="1:11">
      <c r="A117" s="13">
        <v>120100134</v>
      </c>
      <c r="B117" s="15"/>
      <c r="C117" s="14" t="s">
        <v>713</v>
      </c>
      <c r="D117" s="16"/>
      <c r="E117" s="13"/>
      <c r="F117" s="13">
        <v>0</v>
      </c>
      <c r="G117" s="13"/>
      <c r="H117" s="13"/>
      <c r="I117" s="13"/>
      <c r="J117" s="13"/>
      <c r="K117" s="13"/>
    </row>
    <row r="118" spans="1:11">
      <c r="A118" s="13">
        <v>120100133</v>
      </c>
      <c r="B118" s="15"/>
      <c r="C118" s="14" t="s">
        <v>714</v>
      </c>
      <c r="D118" s="16"/>
      <c r="E118" s="13"/>
      <c r="F118" s="13">
        <v>0</v>
      </c>
      <c r="G118" s="13"/>
      <c r="H118" s="13"/>
      <c r="I118" s="13"/>
      <c r="J118" s="13"/>
      <c r="K118" s="13"/>
    </row>
    <row r="119" spans="1:11">
      <c r="A119" s="13">
        <v>120100135</v>
      </c>
      <c r="B119" s="15"/>
      <c r="C119" s="14" t="s">
        <v>715</v>
      </c>
      <c r="D119" s="16" t="s">
        <v>1246</v>
      </c>
      <c r="E119" s="13"/>
      <c r="F119" s="13">
        <v>0</v>
      </c>
      <c r="G119" s="13"/>
      <c r="H119" s="13"/>
      <c r="I119" s="13"/>
      <c r="J119" s="13"/>
      <c r="K119" s="13"/>
    </row>
    <row r="120" spans="1:11">
      <c r="A120" s="13">
        <v>120100136</v>
      </c>
      <c r="B120" s="15"/>
      <c r="C120" s="14" t="s">
        <v>716</v>
      </c>
      <c r="D120" s="16"/>
      <c r="E120" s="13"/>
      <c r="F120" s="13">
        <v>0</v>
      </c>
      <c r="G120" s="13"/>
      <c r="H120" s="13"/>
      <c r="I120" s="13"/>
      <c r="J120" s="13"/>
      <c r="K120" s="13"/>
    </row>
    <row r="121" spans="1:11">
      <c r="A121" s="13">
        <v>120100137</v>
      </c>
      <c r="B121" s="15"/>
      <c r="C121" s="14" t="s">
        <v>717</v>
      </c>
      <c r="D121" s="16"/>
      <c r="E121" s="13"/>
      <c r="F121" s="13">
        <v>0</v>
      </c>
      <c r="G121" s="13"/>
      <c r="H121" s="13"/>
      <c r="I121" s="13"/>
      <c r="J121" s="13"/>
      <c r="K121" s="13"/>
    </row>
    <row r="122" spans="1:11">
      <c r="A122" s="13">
        <v>120100138</v>
      </c>
      <c r="B122" s="15"/>
      <c r="C122" s="14" t="s">
        <v>718</v>
      </c>
      <c r="D122" s="16"/>
      <c r="E122" s="13"/>
      <c r="F122" s="13">
        <v>0</v>
      </c>
      <c r="G122" s="13"/>
      <c r="H122" s="13"/>
      <c r="I122" s="13"/>
      <c r="J122" s="13"/>
      <c r="K122" s="13"/>
    </row>
    <row r="123" spans="1:11">
      <c r="A123" s="13">
        <v>120100139</v>
      </c>
      <c r="B123" s="15"/>
      <c r="C123" s="14" t="s">
        <v>719</v>
      </c>
      <c r="D123" s="16" t="s">
        <v>1247</v>
      </c>
      <c r="E123" s="13"/>
      <c r="F123" s="13">
        <v>0</v>
      </c>
      <c r="G123" s="13"/>
      <c r="H123" s="13"/>
      <c r="I123" s="13"/>
      <c r="J123" s="13"/>
      <c r="K123" s="13"/>
    </row>
    <row r="124" spans="1:11">
      <c r="A124" s="13">
        <v>120100146</v>
      </c>
      <c r="B124" s="15"/>
      <c r="C124" s="14" t="s">
        <v>720</v>
      </c>
      <c r="D124" s="16"/>
      <c r="E124" s="13"/>
      <c r="F124" s="13">
        <v>0</v>
      </c>
      <c r="G124" s="13"/>
      <c r="H124" s="13"/>
      <c r="I124" s="13"/>
      <c r="J124" s="13"/>
      <c r="K124" s="13"/>
    </row>
    <row r="125" spans="1:11">
      <c r="A125" s="13">
        <v>120100147</v>
      </c>
      <c r="B125" s="15"/>
      <c r="C125" s="14" t="s">
        <v>721</v>
      </c>
      <c r="D125" s="16"/>
      <c r="E125" s="13"/>
      <c r="F125" s="13">
        <v>0</v>
      </c>
      <c r="G125" s="13"/>
      <c r="H125" s="13"/>
      <c r="I125" s="13"/>
      <c r="J125" s="13"/>
      <c r="K125" s="13"/>
    </row>
    <row r="126" spans="1:11">
      <c r="A126" s="13">
        <v>120100148</v>
      </c>
      <c r="B126" s="15"/>
      <c r="C126" s="14" t="s">
        <v>722</v>
      </c>
      <c r="D126" s="16" t="s">
        <v>1248</v>
      </c>
      <c r="E126" s="13"/>
      <c r="F126" s="13">
        <v>0</v>
      </c>
      <c r="G126" s="13"/>
      <c r="H126" s="13"/>
      <c r="I126" s="13"/>
      <c r="J126" s="13"/>
      <c r="K126" s="13"/>
    </row>
    <row r="127" spans="1:11">
      <c r="A127" s="13">
        <v>120100149</v>
      </c>
      <c r="B127" s="15"/>
      <c r="C127" s="14" t="s">
        <v>723</v>
      </c>
      <c r="D127" s="16"/>
      <c r="E127" s="13"/>
      <c r="F127" s="13">
        <v>0</v>
      </c>
      <c r="G127" s="13"/>
      <c r="H127" s="13"/>
      <c r="I127" s="13"/>
      <c r="J127" s="13"/>
      <c r="K127" s="13"/>
    </row>
    <row r="128" spans="1:11">
      <c r="A128" s="13">
        <v>120100150</v>
      </c>
      <c r="B128" s="15"/>
      <c r="C128" s="14" t="s">
        <v>724</v>
      </c>
      <c r="D128" s="16"/>
      <c r="E128" s="13"/>
      <c r="F128" s="13">
        <v>0</v>
      </c>
      <c r="G128" s="13"/>
      <c r="H128" s="13"/>
      <c r="I128" s="13"/>
      <c r="J128" s="13"/>
      <c r="K128" s="13"/>
    </row>
    <row r="129" spans="1:11">
      <c r="A129" s="13">
        <v>120100151</v>
      </c>
      <c r="B129" s="15"/>
      <c r="C129" s="14" t="s">
        <v>725</v>
      </c>
      <c r="D129" s="16" t="s">
        <v>726</v>
      </c>
      <c r="E129" s="13"/>
      <c r="F129" s="13">
        <v>0</v>
      </c>
      <c r="G129" s="13"/>
      <c r="H129" s="13"/>
      <c r="I129" s="13"/>
      <c r="J129" s="13"/>
      <c r="K129" s="13"/>
    </row>
    <row r="130" spans="1:11">
      <c r="A130" s="13">
        <v>120100152</v>
      </c>
      <c r="B130" s="15"/>
      <c r="C130" s="14" t="s">
        <v>727</v>
      </c>
      <c r="D130" s="16" t="s">
        <v>728</v>
      </c>
      <c r="E130" s="13"/>
      <c r="F130" s="13">
        <v>0</v>
      </c>
      <c r="G130" s="13"/>
      <c r="H130" s="13"/>
      <c r="I130" s="13"/>
      <c r="J130" s="13"/>
      <c r="K130" s="13"/>
    </row>
    <row r="131" spans="1:11">
      <c r="A131" s="13">
        <v>120100153</v>
      </c>
      <c r="B131" s="15"/>
      <c r="C131" s="14" t="s">
        <v>729</v>
      </c>
      <c r="D131" s="16"/>
      <c r="E131" s="13"/>
      <c r="F131" s="13">
        <v>0</v>
      </c>
      <c r="G131" s="13"/>
      <c r="H131" s="13"/>
      <c r="I131" s="13"/>
      <c r="J131" s="13"/>
      <c r="K131" s="13"/>
    </row>
    <row r="132" spans="1:11">
      <c r="A132" s="13">
        <v>120100154</v>
      </c>
      <c r="B132" s="15"/>
      <c r="C132" s="14" t="s">
        <v>730</v>
      </c>
      <c r="D132" s="16" t="s">
        <v>1249</v>
      </c>
      <c r="E132" s="13"/>
      <c r="F132" s="13">
        <v>0</v>
      </c>
      <c r="G132" s="13"/>
      <c r="H132" s="13"/>
      <c r="I132" s="13"/>
      <c r="J132" s="13"/>
      <c r="K132" s="13"/>
    </row>
    <row r="133" spans="1:11">
      <c r="A133" s="13">
        <v>120100157</v>
      </c>
      <c r="B133" s="15"/>
      <c r="C133" s="14" t="s">
        <v>731</v>
      </c>
      <c r="D133" s="16"/>
      <c r="E133" s="13"/>
      <c r="F133" s="13">
        <v>0</v>
      </c>
      <c r="G133" s="13"/>
      <c r="H133" s="13"/>
      <c r="I133" s="13"/>
      <c r="J133" s="13"/>
      <c r="K133" s="13"/>
    </row>
    <row r="134" spans="1:11">
      <c r="A134" s="13">
        <v>120100158</v>
      </c>
      <c r="B134" s="15"/>
      <c r="C134" s="14" t="s">
        <v>732</v>
      </c>
      <c r="D134" s="16" t="s">
        <v>1250</v>
      </c>
      <c r="E134" s="13"/>
      <c r="F134" s="13">
        <v>0</v>
      </c>
      <c r="G134" s="13"/>
      <c r="H134" s="13"/>
      <c r="I134" s="13"/>
      <c r="J134" s="13"/>
      <c r="K134" s="13"/>
    </row>
    <row r="135" spans="1:11">
      <c r="A135" s="13">
        <v>120100159</v>
      </c>
      <c r="B135" s="15"/>
      <c r="C135" s="14" t="s">
        <v>733</v>
      </c>
      <c r="D135" s="16" t="s">
        <v>1251</v>
      </c>
      <c r="E135" s="13"/>
      <c r="F135" s="13">
        <v>0</v>
      </c>
      <c r="G135" s="13"/>
      <c r="H135" s="13"/>
      <c r="I135" s="13"/>
      <c r="J135" s="13"/>
      <c r="K135" s="13"/>
    </row>
    <row r="136" spans="1:11">
      <c r="A136" s="13">
        <v>120100160</v>
      </c>
      <c r="B136" s="15"/>
      <c r="C136" s="14" t="s">
        <v>734</v>
      </c>
      <c r="D136" s="16"/>
      <c r="E136" s="13"/>
      <c r="F136" s="13">
        <v>0</v>
      </c>
      <c r="G136" s="13"/>
      <c r="H136" s="13"/>
      <c r="I136" s="13"/>
      <c r="J136" s="13"/>
      <c r="K136" s="13"/>
    </row>
    <row r="137" spans="1:11">
      <c r="A137" s="13">
        <v>120100162</v>
      </c>
      <c r="B137" s="15"/>
      <c r="C137" s="14" t="s">
        <v>735</v>
      </c>
      <c r="D137" s="16" t="s">
        <v>1252</v>
      </c>
      <c r="E137" s="13"/>
      <c r="F137" s="13">
        <v>0</v>
      </c>
      <c r="G137" s="13"/>
      <c r="H137" s="13"/>
      <c r="I137" s="13"/>
      <c r="J137" s="13"/>
      <c r="K137" s="13"/>
    </row>
    <row r="138" spans="1:11">
      <c r="A138" s="13">
        <v>120100163</v>
      </c>
      <c r="B138" s="15"/>
      <c r="C138" s="14" t="s">
        <v>730</v>
      </c>
      <c r="D138" s="16" t="s">
        <v>1253</v>
      </c>
      <c r="E138" s="13"/>
      <c r="F138" s="13">
        <v>0</v>
      </c>
      <c r="G138" s="13"/>
      <c r="H138" s="13"/>
      <c r="I138" s="13"/>
      <c r="J138" s="13"/>
      <c r="K138" s="13"/>
    </row>
    <row r="139" spans="1:11">
      <c r="A139" s="13">
        <v>120100164</v>
      </c>
      <c r="B139" s="15"/>
      <c r="C139" s="14" t="s">
        <v>730</v>
      </c>
      <c r="D139" s="16">
        <v>15304720</v>
      </c>
      <c r="E139" s="13"/>
      <c r="F139" s="13">
        <v>0</v>
      </c>
      <c r="G139" s="13"/>
      <c r="H139" s="13"/>
      <c r="I139" s="13"/>
      <c r="J139" s="13"/>
      <c r="K139" s="13"/>
    </row>
    <row r="140" spans="1:11">
      <c r="A140" s="13">
        <v>120100165</v>
      </c>
      <c r="B140" s="15"/>
      <c r="C140" s="14" t="s">
        <v>730</v>
      </c>
      <c r="D140" s="16" t="s">
        <v>1254</v>
      </c>
      <c r="E140" s="13"/>
      <c r="F140" s="13">
        <v>0</v>
      </c>
      <c r="G140" s="13"/>
      <c r="H140" s="13"/>
      <c r="I140" s="13"/>
      <c r="J140" s="13"/>
      <c r="K140" s="13"/>
    </row>
    <row r="141" spans="1:11">
      <c r="A141" s="13">
        <v>120100166</v>
      </c>
      <c r="B141" s="15"/>
      <c r="C141" s="14" t="s">
        <v>736</v>
      </c>
      <c r="D141" s="16"/>
      <c r="E141" s="13"/>
      <c r="F141" s="13">
        <v>0</v>
      </c>
      <c r="G141" s="13"/>
      <c r="H141" s="13"/>
      <c r="I141" s="13"/>
      <c r="J141" s="13"/>
      <c r="K141" s="13"/>
    </row>
    <row r="142" spans="1:11">
      <c r="A142" s="13">
        <v>120100169</v>
      </c>
      <c r="B142" s="15"/>
      <c r="C142" s="14" t="s">
        <v>737</v>
      </c>
      <c r="D142" s="16" t="s">
        <v>1255</v>
      </c>
      <c r="E142" s="13"/>
      <c r="F142" s="13">
        <v>0</v>
      </c>
      <c r="G142" s="13"/>
      <c r="H142" s="13"/>
      <c r="I142" s="13"/>
      <c r="J142" s="13"/>
      <c r="K142" s="13"/>
    </row>
    <row r="143" spans="1:11">
      <c r="A143" s="13">
        <v>120100170</v>
      </c>
      <c r="B143" s="15"/>
      <c r="C143" s="14" t="s">
        <v>730</v>
      </c>
      <c r="D143" s="16" t="s">
        <v>1256</v>
      </c>
      <c r="E143" s="13"/>
      <c r="F143" s="13">
        <v>0</v>
      </c>
      <c r="G143" s="13"/>
      <c r="H143" s="13"/>
      <c r="I143" s="13"/>
      <c r="J143" s="13"/>
      <c r="K143" s="13"/>
    </row>
    <row r="144" spans="1:11">
      <c r="A144" s="13">
        <v>120100171</v>
      </c>
      <c r="B144" s="15"/>
      <c r="C144" s="14" t="s">
        <v>738</v>
      </c>
      <c r="D144" s="16" t="s">
        <v>1257</v>
      </c>
      <c r="E144" s="13"/>
      <c r="F144" s="13">
        <v>0</v>
      </c>
      <c r="G144" s="13"/>
      <c r="H144" s="13"/>
      <c r="I144" s="13"/>
      <c r="J144" s="13"/>
      <c r="K144" s="13"/>
    </row>
    <row r="145" spans="1:11">
      <c r="A145" s="13">
        <v>120100173</v>
      </c>
      <c r="B145" s="15"/>
      <c r="C145" s="14" t="s">
        <v>739</v>
      </c>
      <c r="D145" s="16"/>
      <c r="E145" s="13"/>
      <c r="F145" s="13">
        <v>0</v>
      </c>
      <c r="G145" s="13"/>
      <c r="H145" s="13"/>
      <c r="I145" s="13"/>
      <c r="J145" s="13"/>
      <c r="K145" s="13"/>
    </row>
    <row r="146" spans="1:11">
      <c r="A146" s="13">
        <v>120100174</v>
      </c>
      <c r="B146" s="15"/>
      <c r="C146" s="14" t="s">
        <v>740</v>
      </c>
      <c r="D146" s="16" t="s">
        <v>1258</v>
      </c>
      <c r="E146" s="13"/>
      <c r="F146" s="13">
        <v>0</v>
      </c>
      <c r="G146" s="13"/>
      <c r="H146" s="13"/>
      <c r="I146" s="13"/>
      <c r="J146" s="13"/>
      <c r="K146" s="13"/>
    </row>
    <row r="147" spans="1:11">
      <c r="A147" s="13">
        <v>120100175</v>
      </c>
      <c r="B147" s="15"/>
      <c r="C147" s="14" t="s">
        <v>741</v>
      </c>
      <c r="D147" s="16" t="s">
        <v>1259</v>
      </c>
      <c r="E147" s="13"/>
      <c r="F147" s="13">
        <v>0</v>
      </c>
      <c r="G147" s="13"/>
      <c r="H147" s="13"/>
      <c r="I147" s="13"/>
      <c r="J147" s="13"/>
      <c r="K147" s="13"/>
    </row>
    <row r="148" spans="1:11">
      <c r="A148" s="13">
        <v>120100178</v>
      </c>
      <c r="B148" s="15"/>
      <c r="C148" s="14" t="s">
        <v>742</v>
      </c>
      <c r="D148" s="16"/>
      <c r="E148" s="13"/>
      <c r="F148" s="13">
        <v>0</v>
      </c>
      <c r="G148" s="13"/>
      <c r="H148" s="13"/>
      <c r="I148" s="13"/>
      <c r="J148" s="13"/>
      <c r="K148" s="13"/>
    </row>
    <row r="149" spans="1:11">
      <c r="A149" s="13">
        <v>120100179</v>
      </c>
      <c r="B149" s="15"/>
      <c r="C149" s="14" t="s">
        <v>743</v>
      </c>
      <c r="D149" s="16"/>
      <c r="E149" s="13"/>
      <c r="F149" s="13">
        <v>0</v>
      </c>
      <c r="G149" s="13"/>
      <c r="H149" s="13"/>
      <c r="I149" s="13"/>
      <c r="J149" s="13"/>
      <c r="K149" s="13"/>
    </row>
    <row r="150" spans="1:11">
      <c r="A150" s="13">
        <v>120100180</v>
      </c>
      <c r="B150" s="15"/>
      <c r="C150" s="14" t="s">
        <v>744</v>
      </c>
      <c r="D150" s="16"/>
      <c r="E150" s="13"/>
      <c r="F150" s="13">
        <v>0</v>
      </c>
      <c r="G150" s="13"/>
      <c r="H150" s="13"/>
      <c r="I150" s="13"/>
      <c r="J150" s="13"/>
      <c r="K150" s="13"/>
    </row>
    <row r="151" spans="1:11">
      <c r="A151" s="13">
        <v>120100181</v>
      </c>
      <c r="B151" s="15"/>
      <c r="C151" s="14" t="s">
        <v>745</v>
      </c>
      <c r="D151" s="16"/>
      <c r="E151" s="13"/>
      <c r="F151" s="13">
        <v>0</v>
      </c>
      <c r="G151" s="13"/>
      <c r="H151" s="13"/>
      <c r="I151" s="13"/>
      <c r="J151" s="13"/>
      <c r="K151" s="13"/>
    </row>
    <row r="152" spans="1:11">
      <c r="A152" s="13">
        <v>120100182</v>
      </c>
      <c r="B152" s="15"/>
      <c r="C152" s="14" t="s">
        <v>746</v>
      </c>
      <c r="D152" s="16"/>
      <c r="E152" s="13"/>
      <c r="F152" s="13">
        <v>0</v>
      </c>
      <c r="G152" s="13"/>
      <c r="H152" s="13"/>
      <c r="I152" s="13"/>
      <c r="J152" s="13"/>
      <c r="K152" s="13"/>
    </row>
    <row r="153" spans="1:11">
      <c r="A153" s="13">
        <v>120100185</v>
      </c>
      <c r="B153" s="15"/>
      <c r="C153" s="14" t="s">
        <v>747</v>
      </c>
      <c r="D153" s="16"/>
      <c r="E153" s="13"/>
      <c r="F153" s="13">
        <v>0</v>
      </c>
      <c r="G153" s="13"/>
      <c r="H153" s="13"/>
      <c r="I153" s="13"/>
      <c r="J153" s="13"/>
      <c r="K153" s="13"/>
    </row>
    <row r="154" spans="1:11">
      <c r="A154" s="13">
        <v>120100186</v>
      </c>
      <c r="B154" s="15"/>
      <c r="C154" s="14" t="s">
        <v>748</v>
      </c>
      <c r="D154" s="16"/>
      <c r="E154" s="13"/>
      <c r="F154" s="13">
        <v>0</v>
      </c>
      <c r="G154" s="13"/>
      <c r="H154" s="13"/>
      <c r="I154" s="13"/>
      <c r="J154" s="13"/>
      <c r="K154" s="13"/>
    </row>
    <row r="155" spans="1:11">
      <c r="A155" s="13">
        <v>120100187</v>
      </c>
      <c r="B155" s="15"/>
      <c r="C155" s="14" t="s">
        <v>749</v>
      </c>
      <c r="D155" s="16"/>
      <c r="E155" s="13"/>
      <c r="F155" s="13">
        <v>0</v>
      </c>
      <c r="G155" s="13"/>
      <c r="H155" s="13"/>
      <c r="I155" s="13"/>
      <c r="J155" s="13"/>
      <c r="K155" s="13"/>
    </row>
    <row r="156" spans="1:11">
      <c r="A156" s="13">
        <v>120100192</v>
      </c>
      <c r="B156" s="15"/>
      <c r="C156" s="14" t="s">
        <v>750</v>
      </c>
      <c r="D156" s="16" t="s">
        <v>1260</v>
      </c>
      <c r="E156" s="13"/>
      <c r="F156" s="13">
        <v>0</v>
      </c>
      <c r="G156" s="13"/>
      <c r="H156" s="13"/>
      <c r="I156" s="13"/>
      <c r="J156" s="13"/>
      <c r="K156" s="13"/>
    </row>
    <row r="157" spans="1:11">
      <c r="A157" s="13">
        <v>120100194</v>
      </c>
      <c r="B157" s="15"/>
      <c r="C157" s="14" t="s">
        <v>751</v>
      </c>
      <c r="D157" s="16"/>
      <c r="E157" s="13"/>
      <c r="F157" s="13">
        <v>0</v>
      </c>
      <c r="G157" s="13"/>
      <c r="H157" s="13"/>
      <c r="I157" s="13"/>
      <c r="J157" s="13"/>
      <c r="K157" s="13"/>
    </row>
    <row r="158" spans="1:11">
      <c r="A158" s="13">
        <v>120100195</v>
      </c>
      <c r="B158" s="15"/>
      <c r="C158" s="14" t="s">
        <v>752</v>
      </c>
      <c r="D158" s="16"/>
      <c r="E158" s="13"/>
      <c r="F158" s="13">
        <v>0</v>
      </c>
      <c r="G158" s="13"/>
      <c r="H158" s="13"/>
      <c r="I158" s="13"/>
      <c r="J158" s="13"/>
      <c r="K158" s="13"/>
    </row>
    <row r="159" spans="1:11">
      <c r="A159" s="13">
        <v>120100196</v>
      </c>
      <c r="B159" s="15"/>
      <c r="C159" s="14" t="s">
        <v>753</v>
      </c>
      <c r="D159" s="16" t="s">
        <v>754</v>
      </c>
      <c r="E159" s="13"/>
      <c r="F159" s="13">
        <v>0</v>
      </c>
      <c r="G159" s="13"/>
      <c r="H159" s="13"/>
      <c r="I159" s="13"/>
      <c r="J159" s="13"/>
      <c r="K159" s="13"/>
    </row>
    <row r="160" spans="1:11">
      <c r="A160" s="13">
        <v>120100197</v>
      </c>
      <c r="B160" s="15"/>
      <c r="C160" s="14" t="s">
        <v>755</v>
      </c>
      <c r="D160" s="16" t="s">
        <v>756</v>
      </c>
      <c r="E160" s="13"/>
      <c r="F160" s="13">
        <v>0</v>
      </c>
      <c r="G160" s="13"/>
      <c r="H160" s="13"/>
      <c r="I160" s="13"/>
      <c r="J160" s="13"/>
      <c r="K160" s="13"/>
    </row>
    <row r="161" spans="1:11">
      <c r="A161" s="13">
        <v>120100198</v>
      </c>
      <c r="B161" s="15"/>
      <c r="C161" s="14" t="s">
        <v>757</v>
      </c>
      <c r="D161" s="16"/>
      <c r="E161" s="13"/>
      <c r="F161" s="13">
        <v>0</v>
      </c>
      <c r="G161" s="13"/>
      <c r="H161" s="13"/>
      <c r="I161" s="13"/>
      <c r="J161" s="13"/>
      <c r="K161" s="13"/>
    </row>
    <row r="162" spans="1:11">
      <c r="A162" s="13">
        <v>120100199</v>
      </c>
      <c r="B162" s="15"/>
      <c r="C162" s="14" t="s">
        <v>758</v>
      </c>
      <c r="D162" s="16"/>
      <c r="E162" s="13"/>
      <c r="F162" s="13">
        <v>0</v>
      </c>
      <c r="G162" s="13"/>
      <c r="H162" s="13"/>
      <c r="I162" s="13"/>
      <c r="J162" s="13"/>
      <c r="K162" s="13"/>
    </row>
    <row r="163" spans="1:11">
      <c r="A163" s="13">
        <v>120100200</v>
      </c>
      <c r="B163" s="15"/>
      <c r="C163" s="14" t="s">
        <v>759</v>
      </c>
      <c r="D163" s="16"/>
      <c r="E163" s="13"/>
      <c r="F163" s="13">
        <v>0</v>
      </c>
      <c r="G163" s="13"/>
      <c r="H163" s="13"/>
      <c r="I163" s="13"/>
      <c r="J163" s="13"/>
      <c r="K163" s="13"/>
    </row>
    <row r="164" spans="1:11">
      <c r="A164" s="13">
        <v>120100201</v>
      </c>
      <c r="B164" s="15"/>
      <c r="C164" s="14" t="s">
        <v>760</v>
      </c>
      <c r="D164" s="16"/>
      <c r="E164" s="13"/>
      <c r="F164" s="13">
        <v>0</v>
      </c>
      <c r="G164" s="13"/>
      <c r="H164" s="13"/>
      <c r="I164" s="13"/>
      <c r="J164" s="13"/>
      <c r="K164" s="13"/>
    </row>
    <row r="165" spans="1:11">
      <c r="A165" s="13">
        <v>120100202</v>
      </c>
      <c r="B165" s="15"/>
      <c r="C165" s="14" t="s">
        <v>761</v>
      </c>
      <c r="D165" s="16" t="s">
        <v>1261</v>
      </c>
      <c r="E165" s="13"/>
      <c r="F165" s="13">
        <v>0</v>
      </c>
      <c r="G165" s="13"/>
      <c r="H165" s="13"/>
      <c r="I165" s="13"/>
      <c r="J165" s="13"/>
      <c r="K165" s="13"/>
    </row>
    <row r="166" spans="1:11">
      <c r="A166" s="13">
        <v>120100203</v>
      </c>
      <c r="B166" s="15"/>
      <c r="C166" s="14" t="s">
        <v>762</v>
      </c>
      <c r="D166" s="16"/>
      <c r="E166" s="13"/>
      <c r="F166" s="13">
        <v>0</v>
      </c>
      <c r="G166" s="13"/>
      <c r="H166" s="13"/>
      <c r="I166" s="13"/>
      <c r="J166" s="13"/>
      <c r="K166" s="13"/>
    </row>
    <row r="167" spans="1:11">
      <c r="A167" s="13">
        <v>120100204</v>
      </c>
      <c r="B167" s="15"/>
      <c r="C167" s="14" t="s">
        <v>763</v>
      </c>
      <c r="D167" s="16"/>
      <c r="E167" s="13"/>
      <c r="F167" s="13">
        <v>0</v>
      </c>
      <c r="G167" s="13"/>
      <c r="H167" s="13"/>
      <c r="I167" s="13"/>
      <c r="J167" s="13"/>
      <c r="K167" s="13"/>
    </row>
    <row r="168" spans="1:11">
      <c r="A168" s="13">
        <v>120100205</v>
      </c>
      <c r="B168" s="15"/>
      <c r="C168" s="14" t="s">
        <v>764</v>
      </c>
      <c r="D168" s="16"/>
      <c r="E168" s="13"/>
      <c r="F168" s="13">
        <v>0</v>
      </c>
      <c r="G168" s="13"/>
      <c r="H168" s="13"/>
      <c r="I168" s="13"/>
      <c r="J168" s="13"/>
      <c r="K168" s="13"/>
    </row>
    <row r="169" spans="1:11">
      <c r="A169" s="13">
        <v>120100206</v>
      </c>
      <c r="B169" s="15"/>
      <c r="C169" s="14" t="s">
        <v>765</v>
      </c>
      <c r="D169" s="16"/>
      <c r="E169" s="13"/>
      <c r="F169" s="13">
        <v>0</v>
      </c>
      <c r="G169" s="13"/>
      <c r="H169" s="13"/>
      <c r="I169" s="13"/>
      <c r="J169" s="13"/>
      <c r="K169" s="13"/>
    </row>
    <row r="170" spans="1:11">
      <c r="A170" s="13">
        <v>120100207</v>
      </c>
      <c r="B170" s="15"/>
      <c r="C170" s="14" t="s">
        <v>766</v>
      </c>
      <c r="D170" s="16"/>
      <c r="E170" s="13"/>
      <c r="F170" s="13">
        <v>0</v>
      </c>
      <c r="G170" s="13"/>
      <c r="H170" s="13"/>
      <c r="I170" s="13"/>
      <c r="J170" s="13"/>
      <c r="K170" s="13"/>
    </row>
    <row r="171" spans="1:11">
      <c r="A171" s="13">
        <v>120110107</v>
      </c>
      <c r="B171" s="15"/>
      <c r="C171" s="14" t="s">
        <v>767</v>
      </c>
      <c r="D171" s="16" t="s">
        <v>1262</v>
      </c>
      <c r="E171" s="13"/>
      <c r="F171" s="13">
        <v>0</v>
      </c>
      <c r="G171" s="13"/>
      <c r="H171" s="13"/>
      <c r="I171" s="13"/>
      <c r="J171" s="13"/>
      <c r="K171" s="13"/>
    </row>
    <row r="172" spans="1:11">
      <c r="A172" s="13">
        <v>120110108</v>
      </c>
      <c r="B172" s="15"/>
      <c r="C172" s="14" t="s">
        <v>768</v>
      </c>
      <c r="D172" s="16"/>
      <c r="E172" s="13"/>
      <c r="F172" s="13">
        <v>0</v>
      </c>
      <c r="G172" s="13"/>
      <c r="H172" s="13"/>
      <c r="I172" s="13"/>
      <c r="J172" s="13"/>
      <c r="K172" s="13"/>
    </row>
    <row r="173" spans="1:11">
      <c r="A173" s="13">
        <v>120110109</v>
      </c>
      <c r="B173" s="15"/>
      <c r="C173" s="14" t="s">
        <v>769</v>
      </c>
      <c r="D173" s="16"/>
      <c r="E173" s="13"/>
      <c r="F173" s="13">
        <v>0</v>
      </c>
      <c r="G173" s="13"/>
      <c r="H173" s="13"/>
      <c r="I173" s="13"/>
      <c r="J173" s="13"/>
      <c r="K173" s="13"/>
    </row>
    <row r="174" spans="1:11">
      <c r="A174" s="13">
        <v>120110110</v>
      </c>
      <c r="B174" s="15"/>
      <c r="C174" s="14" t="s">
        <v>770</v>
      </c>
      <c r="D174" s="16"/>
      <c r="E174" s="13"/>
      <c r="F174" s="13">
        <v>0</v>
      </c>
      <c r="G174" s="13"/>
      <c r="H174" s="13"/>
      <c r="I174" s="13"/>
      <c r="J174" s="13"/>
      <c r="K174" s="13"/>
    </row>
    <row r="175" spans="1:11">
      <c r="A175" s="13">
        <v>120110111</v>
      </c>
      <c r="B175" s="15"/>
      <c r="C175" s="14" t="s">
        <v>771</v>
      </c>
      <c r="D175" s="16" t="s">
        <v>1263</v>
      </c>
      <c r="E175" s="13"/>
      <c r="F175" s="13">
        <v>0</v>
      </c>
      <c r="G175" s="13"/>
      <c r="H175" s="13"/>
      <c r="I175" s="13"/>
      <c r="J175" s="13"/>
      <c r="K175" s="13"/>
    </row>
    <row r="176" spans="1:11">
      <c r="A176" s="13">
        <v>120110112</v>
      </c>
      <c r="B176" s="15"/>
      <c r="C176" s="14" t="s">
        <v>772</v>
      </c>
      <c r="D176" s="16"/>
      <c r="E176" s="13"/>
      <c r="F176" s="13">
        <v>0</v>
      </c>
      <c r="G176" s="13"/>
      <c r="H176" s="13"/>
      <c r="I176" s="13"/>
      <c r="J176" s="13"/>
      <c r="K176" s="13"/>
    </row>
    <row r="177" spans="1:11">
      <c r="A177" s="13">
        <v>120110113</v>
      </c>
      <c r="B177" s="15"/>
      <c r="C177" s="14" t="s">
        <v>773</v>
      </c>
      <c r="D177" s="16"/>
      <c r="E177" s="13"/>
      <c r="F177" s="13">
        <v>0</v>
      </c>
      <c r="G177" s="13"/>
      <c r="H177" s="13"/>
      <c r="I177" s="13"/>
      <c r="J177" s="13"/>
      <c r="K177" s="13"/>
    </row>
    <row r="178" spans="1:11">
      <c r="A178" s="13">
        <v>120110114</v>
      </c>
      <c r="B178" s="15"/>
      <c r="C178" s="14" t="s">
        <v>774</v>
      </c>
      <c r="D178" s="16"/>
      <c r="E178" s="13"/>
      <c r="F178" s="13">
        <v>0</v>
      </c>
      <c r="G178" s="13"/>
      <c r="H178" s="13"/>
      <c r="I178" s="13"/>
      <c r="J178" s="13"/>
      <c r="K178" s="13"/>
    </row>
    <row r="179" spans="1:11">
      <c r="A179" s="13">
        <v>120110115</v>
      </c>
      <c r="B179" s="15"/>
      <c r="C179" s="14" t="s">
        <v>775</v>
      </c>
      <c r="D179" s="16"/>
      <c r="E179" s="13"/>
      <c r="F179" s="13">
        <v>0</v>
      </c>
      <c r="G179" s="13"/>
      <c r="H179" s="13"/>
      <c r="I179" s="13"/>
      <c r="J179" s="13"/>
      <c r="K179" s="13"/>
    </row>
    <row r="180" spans="1:11">
      <c r="A180" s="13">
        <v>120110116</v>
      </c>
      <c r="B180" s="15"/>
      <c r="C180" s="14" t="s">
        <v>776</v>
      </c>
      <c r="D180" s="16"/>
      <c r="E180" s="13"/>
      <c r="F180" s="13">
        <v>0</v>
      </c>
      <c r="G180" s="13"/>
      <c r="H180" s="13"/>
      <c r="I180" s="13"/>
      <c r="J180" s="13"/>
      <c r="K180" s="13"/>
    </row>
    <row r="181" spans="1:11">
      <c r="A181" s="13">
        <v>120110117</v>
      </c>
      <c r="B181" s="15"/>
      <c r="C181" s="14" t="s">
        <v>777</v>
      </c>
      <c r="D181" s="16" t="s">
        <v>778</v>
      </c>
      <c r="E181" s="13"/>
      <c r="F181" s="13">
        <v>0</v>
      </c>
      <c r="G181" s="13"/>
      <c r="H181" s="13"/>
      <c r="I181" s="13"/>
      <c r="J181" s="13"/>
      <c r="K181" s="13"/>
    </row>
    <row r="182" spans="1:11">
      <c r="A182" s="13">
        <v>120110119</v>
      </c>
      <c r="B182" s="15"/>
      <c r="C182" s="14" t="s">
        <v>779</v>
      </c>
      <c r="D182" s="16"/>
      <c r="E182" s="13"/>
      <c r="F182" s="13">
        <v>0</v>
      </c>
      <c r="G182" s="13"/>
      <c r="H182" s="13"/>
      <c r="I182" s="13"/>
      <c r="J182" s="13"/>
      <c r="K182" s="13"/>
    </row>
    <row r="183" spans="1:11">
      <c r="A183" s="13">
        <v>120110120</v>
      </c>
      <c r="B183" s="15"/>
      <c r="C183" s="14" t="s">
        <v>780</v>
      </c>
      <c r="D183" s="16"/>
      <c r="E183" s="13"/>
      <c r="F183" s="13">
        <v>0</v>
      </c>
      <c r="G183" s="13"/>
      <c r="H183" s="13"/>
      <c r="I183" s="13"/>
      <c r="J183" s="13"/>
      <c r="K183" s="13"/>
    </row>
    <row r="184" spans="1:11">
      <c r="A184" s="13">
        <v>120110121</v>
      </c>
      <c r="B184" s="15"/>
      <c r="C184" s="14" t="s">
        <v>781</v>
      </c>
      <c r="D184" s="16"/>
      <c r="E184" s="13"/>
      <c r="F184" s="13">
        <v>0</v>
      </c>
      <c r="G184" s="13"/>
      <c r="H184" s="13"/>
      <c r="I184" s="13"/>
      <c r="J184" s="13"/>
      <c r="K184" s="13"/>
    </row>
    <row r="185" spans="1:11">
      <c r="A185" s="13">
        <v>120110122</v>
      </c>
      <c r="B185" s="15"/>
      <c r="C185" s="14" t="s">
        <v>782</v>
      </c>
      <c r="D185" s="16"/>
      <c r="E185" s="13"/>
      <c r="F185" s="13">
        <v>0</v>
      </c>
      <c r="G185" s="13"/>
      <c r="H185" s="13"/>
      <c r="I185" s="13"/>
      <c r="J185" s="13"/>
      <c r="K185" s="13"/>
    </row>
    <row r="186" spans="1:11">
      <c r="A186" s="13">
        <v>120110123</v>
      </c>
      <c r="B186" s="15"/>
      <c r="C186" s="14" t="s">
        <v>783</v>
      </c>
      <c r="D186" s="16"/>
      <c r="E186" s="13"/>
      <c r="F186" s="13">
        <v>0</v>
      </c>
      <c r="G186" s="13"/>
      <c r="H186" s="13"/>
      <c r="I186" s="13"/>
      <c r="J186" s="13"/>
      <c r="K186" s="13"/>
    </row>
    <row r="187" spans="1:11">
      <c r="A187" s="13">
        <v>120110124</v>
      </c>
      <c r="B187" s="15"/>
      <c r="C187" s="14" t="s">
        <v>784</v>
      </c>
      <c r="D187" s="16"/>
      <c r="E187" s="13"/>
      <c r="F187" s="13">
        <v>0</v>
      </c>
      <c r="G187" s="13"/>
      <c r="H187" s="13"/>
      <c r="I187" s="13"/>
      <c r="J187" s="13"/>
      <c r="K187" s="13"/>
    </row>
    <row r="188" spans="1:11">
      <c r="A188" s="13">
        <v>120100209</v>
      </c>
      <c r="B188" s="15"/>
      <c r="C188" s="14" t="s">
        <v>785</v>
      </c>
      <c r="D188" s="16"/>
      <c r="E188" s="13"/>
      <c r="F188" s="13">
        <v>0</v>
      </c>
      <c r="G188" s="13"/>
      <c r="H188" s="13"/>
      <c r="I188" s="13"/>
      <c r="J188" s="13"/>
      <c r="K188" s="13"/>
    </row>
    <row r="189" spans="1:11">
      <c r="A189" s="13">
        <v>120100001</v>
      </c>
      <c r="B189" s="15"/>
      <c r="C189" s="14" t="s">
        <v>786</v>
      </c>
      <c r="D189" s="16" t="s">
        <v>1264</v>
      </c>
      <c r="E189" s="13"/>
      <c r="F189" s="13">
        <v>0</v>
      </c>
      <c r="G189" s="13"/>
      <c r="H189" s="13"/>
      <c r="I189" s="13"/>
      <c r="J189" s="13"/>
      <c r="K189" s="13"/>
    </row>
    <row r="190" spans="1:11">
      <c r="A190" s="13">
        <v>120100003</v>
      </c>
      <c r="B190" s="15"/>
      <c r="C190" s="14" t="s">
        <v>787</v>
      </c>
      <c r="D190" s="16"/>
      <c r="E190" s="13"/>
      <c r="F190" s="13">
        <v>0</v>
      </c>
      <c r="G190" s="13"/>
      <c r="H190" s="13"/>
      <c r="I190" s="13"/>
      <c r="J190" s="13"/>
      <c r="K190" s="13"/>
    </row>
    <row r="191" spans="1:11">
      <c r="A191" s="13">
        <v>120100004</v>
      </c>
      <c r="B191" s="15"/>
      <c r="C191" s="14" t="s">
        <v>788</v>
      </c>
      <c r="D191" s="16"/>
      <c r="E191" s="13"/>
      <c r="F191" s="13">
        <v>0</v>
      </c>
      <c r="G191" s="13"/>
      <c r="H191" s="13"/>
      <c r="I191" s="13"/>
      <c r="J191" s="13"/>
      <c r="K191" s="13"/>
    </row>
    <row r="192" spans="1:11">
      <c r="A192" s="13">
        <v>120100005</v>
      </c>
      <c r="B192" s="15"/>
      <c r="C192" s="14" t="s">
        <v>789</v>
      </c>
      <c r="D192" s="16"/>
      <c r="E192" s="13"/>
      <c r="F192" s="13">
        <v>0</v>
      </c>
      <c r="G192" s="13"/>
      <c r="H192" s="13"/>
      <c r="I192" s="13"/>
      <c r="J192" s="13"/>
      <c r="K192" s="13"/>
    </row>
    <row r="193" spans="1:11">
      <c r="A193" s="13">
        <v>120100006</v>
      </c>
      <c r="B193" s="15"/>
      <c r="C193" s="14" t="s">
        <v>790</v>
      </c>
      <c r="D193" s="16"/>
      <c r="E193" s="13"/>
      <c r="F193" s="13">
        <v>0</v>
      </c>
      <c r="G193" s="13"/>
      <c r="H193" s="13"/>
      <c r="I193" s="13"/>
      <c r="J193" s="13"/>
      <c r="K193" s="13"/>
    </row>
    <row r="194" spans="1:11">
      <c r="A194" s="13">
        <v>120100007</v>
      </c>
      <c r="B194" s="15"/>
      <c r="C194" s="14" t="s">
        <v>791</v>
      </c>
      <c r="D194" s="16" t="s">
        <v>1265</v>
      </c>
      <c r="E194" s="13"/>
      <c r="F194" s="13">
        <v>0</v>
      </c>
      <c r="G194" s="13"/>
      <c r="H194" s="13"/>
      <c r="I194" s="13"/>
      <c r="J194" s="13"/>
      <c r="K194" s="13"/>
    </row>
    <row r="195" spans="1:11">
      <c r="A195" s="13">
        <v>120100009</v>
      </c>
      <c r="B195" s="15"/>
      <c r="C195" s="14" t="s">
        <v>792</v>
      </c>
      <c r="D195" s="16"/>
      <c r="E195" s="13"/>
      <c r="F195" s="13">
        <v>0</v>
      </c>
      <c r="G195" s="13"/>
      <c r="H195" s="13"/>
      <c r="I195" s="13"/>
      <c r="J195" s="13"/>
      <c r="K195" s="13"/>
    </row>
    <row r="196" spans="1:11">
      <c r="A196" s="13">
        <v>120100010</v>
      </c>
      <c r="B196" s="15"/>
      <c r="C196" s="14" t="s">
        <v>793</v>
      </c>
      <c r="D196" s="16"/>
      <c r="E196" s="13"/>
      <c r="F196" s="13">
        <v>0</v>
      </c>
      <c r="G196" s="13"/>
      <c r="H196" s="13"/>
      <c r="I196" s="13"/>
      <c r="J196" s="13"/>
      <c r="K196" s="13"/>
    </row>
    <row r="197" spans="1:11">
      <c r="A197" s="13">
        <v>120100011</v>
      </c>
      <c r="B197" s="15"/>
      <c r="C197" s="14" t="s">
        <v>794</v>
      </c>
      <c r="D197" s="16"/>
      <c r="E197" s="13"/>
      <c r="F197" s="13">
        <v>0</v>
      </c>
      <c r="G197" s="13"/>
      <c r="H197" s="13"/>
      <c r="I197" s="13"/>
      <c r="J197" s="13"/>
      <c r="K197" s="13"/>
    </row>
    <row r="198" spans="1:11">
      <c r="A198" s="13">
        <v>120100012</v>
      </c>
      <c r="B198" s="15"/>
      <c r="C198" s="14" t="s">
        <v>795</v>
      </c>
      <c r="D198" s="16"/>
      <c r="E198" s="13"/>
      <c r="F198" s="13">
        <v>0</v>
      </c>
      <c r="G198" s="13"/>
      <c r="H198" s="13"/>
      <c r="I198" s="13"/>
      <c r="J198" s="13"/>
      <c r="K198" s="13"/>
    </row>
    <row r="199" spans="1:11">
      <c r="A199" s="13">
        <v>120100013</v>
      </c>
      <c r="B199" s="15"/>
      <c r="C199" s="14" t="s">
        <v>796</v>
      </c>
      <c r="D199" s="16"/>
      <c r="E199" s="13"/>
      <c r="F199" s="13">
        <v>0</v>
      </c>
      <c r="G199" s="13"/>
      <c r="H199" s="13"/>
      <c r="I199" s="13"/>
      <c r="J199" s="13"/>
      <c r="K199" s="13"/>
    </row>
    <row r="200" spans="1:11">
      <c r="A200" s="13">
        <v>120100017</v>
      </c>
      <c r="B200" s="15"/>
      <c r="C200" s="14" t="s">
        <v>797</v>
      </c>
      <c r="D200" s="16" t="s">
        <v>798</v>
      </c>
      <c r="E200" s="13"/>
      <c r="F200" s="13">
        <v>0</v>
      </c>
      <c r="G200" s="13"/>
      <c r="H200" s="13"/>
      <c r="I200" s="13"/>
      <c r="J200" s="13"/>
      <c r="K200" s="13"/>
    </row>
    <row r="201" spans="1:11">
      <c r="A201" s="13">
        <v>120100020</v>
      </c>
      <c r="B201" s="15"/>
      <c r="C201" s="14" t="s">
        <v>799</v>
      </c>
      <c r="D201" s="16" t="s">
        <v>1266</v>
      </c>
      <c r="E201" s="13"/>
      <c r="F201" s="13">
        <v>0</v>
      </c>
      <c r="G201" s="13"/>
      <c r="H201" s="13"/>
      <c r="I201" s="13"/>
      <c r="J201" s="13"/>
      <c r="K201" s="13"/>
    </row>
    <row r="202" spans="1:11">
      <c r="A202" s="13">
        <v>120100022</v>
      </c>
      <c r="B202" s="15"/>
      <c r="C202" s="14" t="s">
        <v>800</v>
      </c>
      <c r="D202" s="16"/>
      <c r="E202" s="13"/>
      <c r="F202" s="13">
        <v>0</v>
      </c>
      <c r="G202" s="13"/>
      <c r="H202" s="13"/>
      <c r="I202" s="13"/>
      <c r="J202" s="13"/>
      <c r="K202" s="13"/>
    </row>
    <row r="203" spans="1:11">
      <c r="A203" s="13">
        <v>120100025</v>
      </c>
      <c r="B203" s="15"/>
      <c r="C203" s="14" t="s">
        <v>801</v>
      </c>
      <c r="D203" s="16" t="s">
        <v>1267</v>
      </c>
      <c r="E203" s="13"/>
      <c r="F203" s="13">
        <v>0</v>
      </c>
      <c r="G203" s="13"/>
      <c r="H203" s="13"/>
      <c r="I203" s="13"/>
      <c r="J203" s="13"/>
      <c r="K203" s="13"/>
    </row>
    <row r="204" spans="1:11">
      <c r="A204" s="13">
        <v>120100026</v>
      </c>
      <c r="B204" s="15"/>
      <c r="C204" s="14" t="s">
        <v>802</v>
      </c>
      <c r="D204" s="16" t="s">
        <v>1268</v>
      </c>
      <c r="E204" s="13"/>
      <c r="F204" s="13">
        <v>0</v>
      </c>
      <c r="G204" s="13"/>
      <c r="H204" s="13"/>
      <c r="I204" s="13"/>
      <c r="J204" s="13"/>
      <c r="K204" s="13"/>
    </row>
    <row r="205" spans="1:11">
      <c r="A205" s="13">
        <v>120100027</v>
      </c>
      <c r="B205" s="15"/>
      <c r="C205" s="14" t="s">
        <v>803</v>
      </c>
      <c r="D205" s="16" t="s">
        <v>1269</v>
      </c>
      <c r="E205" s="13"/>
      <c r="F205" s="13">
        <v>0</v>
      </c>
      <c r="G205" s="13"/>
      <c r="H205" s="13"/>
      <c r="I205" s="13"/>
      <c r="J205" s="13"/>
      <c r="K205" s="13"/>
    </row>
    <row r="206" spans="1:11">
      <c r="A206" s="13">
        <v>120100028</v>
      </c>
      <c r="B206" s="15"/>
      <c r="C206" s="14" t="s">
        <v>804</v>
      </c>
      <c r="D206" s="16"/>
      <c r="E206" s="13"/>
      <c r="F206" s="13">
        <v>0</v>
      </c>
      <c r="G206" s="13"/>
      <c r="H206" s="13"/>
      <c r="I206" s="13"/>
      <c r="J206" s="13"/>
      <c r="K206" s="13"/>
    </row>
    <row r="207" spans="1:11">
      <c r="A207" s="13">
        <v>120100030</v>
      </c>
      <c r="B207" s="15"/>
      <c r="C207" s="14" t="s">
        <v>805</v>
      </c>
      <c r="D207" s="16" t="s">
        <v>1270</v>
      </c>
      <c r="E207" s="13"/>
      <c r="F207" s="13">
        <v>0</v>
      </c>
      <c r="G207" s="13"/>
      <c r="H207" s="13"/>
      <c r="I207" s="13"/>
      <c r="J207" s="13"/>
      <c r="K207" s="13"/>
    </row>
    <row r="208" spans="1:11">
      <c r="A208" s="13">
        <v>120100031</v>
      </c>
      <c r="B208" s="15"/>
      <c r="C208" s="14" t="s">
        <v>806</v>
      </c>
      <c r="D208" s="16"/>
      <c r="E208" s="13"/>
      <c r="F208" s="13">
        <v>0</v>
      </c>
      <c r="G208" s="13"/>
      <c r="H208" s="13"/>
      <c r="I208" s="13"/>
      <c r="J208" s="13"/>
      <c r="K208" s="13"/>
    </row>
    <row r="209" spans="1:11">
      <c r="A209" s="13">
        <v>120100032</v>
      </c>
      <c r="B209" s="15"/>
      <c r="C209" s="14" t="s">
        <v>807</v>
      </c>
      <c r="D209" s="16"/>
      <c r="E209" s="13"/>
      <c r="F209" s="13">
        <v>0</v>
      </c>
      <c r="G209" s="13"/>
      <c r="H209" s="13"/>
      <c r="I209" s="13"/>
      <c r="J209" s="13"/>
      <c r="K209" s="13"/>
    </row>
    <row r="210" spans="1:11">
      <c r="A210" s="13">
        <v>120100033</v>
      </c>
      <c r="B210" s="15"/>
      <c r="C210" s="14" t="s">
        <v>808</v>
      </c>
      <c r="D210" s="16"/>
      <c r="E210" s="13"/>
      <c r="F210" s="13">
        <v>0</v>
      </c>
      <c r="G210" s="13"/>
      <c r="H210" s="13"/>
      <c r="I210" s="13"/>
      <c r="J210" s="13"/>
      <c r="K210" s="13"/>
    </row>
    <row r="211" spans="1:11">
      <c r="A211" s="13">
        <v>120100034</v>
      </c>
      <c r="B211" s="15"/>
      <c r="C211" s="14" t="s">
        <v>809</v>
      </c>
      <c r="D211" s="16"/>
      <c r="E211" s="13"/>
      <c r="F211" s="13">
        <v>0</v>
      </c>
      <c r="G211" s="13"/>
      <c r="H211" s="13"/>
      <c r="I211" s="13"/>
      <c r="J211" s="13"/>
      <c r="K211" s="13"/>
    </row>
    <row r="212" spans="1:11">
      <c r="A212" s="13">
        <v>120100035</v>
      </c>
      <c r="B212" s="15"/>
      <c r="C212" s="14" t="s">
        <v>810</v>
      </c>
      <c r="D212" s="16"/>
      <c r="E212" s="13"/>
      <c r="F212" s="13">
        <v>0</v>
      </c>
      <c r="G212" s="13"/>
      <c r="H212" s="13"/>
      <c r="I212" s="13"/>
      <c r="J212" s="13"/>
      <c r="K212" s="13"/>
    </row>
    <row r="213" spans="1:11">
      <c r="A213" s="13">
        <v>120100038</v>
      </c>
      <c r="B213" s="15"/>
      <c r="C213" s="14" t="s">
        <v>811</v>
      </c>
      <c r="D213" s="16" t="s">
        <v>812</v>
      </c>
      <c r="E213" s="13"/>
      <c r="F213" s="13">
        <v>0</v>
      </c>
      <c r="G213" s="13"/>
      <c r="H213" s="13"/>
      <c r="I213" s="13"/>
      <c r="J213" s="13"/>
      <c r="K213" s="13"/>
    </row>
    <row r="214" spans="1:11">
      <c r="A214" s="13">
        <v>120100039</v>
      </c>
      <c r="B214" s="15"/>
      <c r="C214" s="14" t="s">
        <v>813</v>
      </c>
      <c r="D214" s="16"/>
      <c r="E214" s="13"/>
      <c r="F214" s="13">
        <v>0</v>
      </c>
      <c r="G214" s="13"/>
      <c r="H214" s="13"/>
      <c r="I214" s="13"/>
      <c r="J214" s="13"/>
      <c r="K214" s="13"/>
    </row>
    <row r="215" spans="1:11">
      <c r="A215" s="13">
        <v>120100040</v>
      </c>
      <c r="B215" s="15"/>
      <c r="C215" s="14" t="s">
        <v>814</v>
      </c>
      <c r="D215" s="16"/>
      <c r="E215" s="13"/>
      <c r="F215" s="13">
        <v>0</v>
      </c>
      <c r="G215" s="13"/>
      <c r="H215" s="13"/>
      <c r="I215" s="13"/>
      <c r="J215" s="13"/>
      <c r="K215" s="13"/>
    </row>
    <row r="216" spans="1:11">
      <c r="A216" s="13">
        <v>120100041</v>
      </c>
      <c r="B216" s="15"/>
      <c r="C216" s="14" t="s">
        <v>815</v>
      </c>
      <c r="D216" s="16"/>
      <c r="E216" s="13"/>
      <c r="F216" s="13">
        <v>0</v>
      </c>
      <c r="G216" s="13"/>
      <c r="H216" s="13"/>
      <c r="I216" s="13"/>
      <c r="J216" s="13"/>
      <c r="K216" s="13"/>
    </row>
    <row r="217" spans="1:11">
      <c r="A217" s="13">
        <v>120100044</v>
      </c>
      <c r="B217" s="15"/>
      <c r="C217" s="14" t="s">
        <v>816</v>
      </c>
      <c r="D217" s="16"/>
      <c r="E217" s="13"/>
      <c r="F217" s="13">
        <v>0</v>
      </c>
      <c r="G217" s="13"/>
      <c r="H217" s="13"/>
      <c r="I217" s="13"/>
      <c r="J217" s="13"/>
      <c r="K217" s="13"/>
    </row>
    <row r="218" spans="1:11">
      <c r="A218" s="13">
        <v>120100046</v>
      </c>
      <c r="B218" s="15"/>
      <c r="C218" s="14" t="s">
        <v>817</v>
      </c>
      <c r="D218" s="16"/>
      <c r="E218" s="13"/>
      <c r="F218" s="13">
        <v>0</v>
      </c>
      <c r="G218" s="13"/>
      <c r="H218" s="13"/>
      <c r="I218" s="13"/>
      <c r="J218" s="13"/>
      <c r="K218" s="13"/>
    </row>
    <row r="219" spans="1:11">
      <c r="A219" s="13">
        <v>120100048</v>
      </c>
      <c r="B219" s="15"/>
      <c r="C219" s="14" t="s">
        <v>818</v>
      </c>
      <c r="D219" s="16"/>
      <c r="E219" s="13"/>
      <c r="F219" s="13">
        <v>0</v>
      </c>
      <c r="G219" s="13"/>
      <c r="H219" s="13"/>
      <c r="I219" s="13"/>
      <c r="J219" s="13"/>
      <c r="K219" s="13"/>
    </row>
    <row r="220" spans="1:11">
      <c r="A220" s="13">
        <v>120100049</v>
      </c>
      <c r="B220" s="15"/>
      <c r="C220" s="14" t="s">
        <v>819</v>
      </c>
      <c r="D220" s="16"/>
      <c r="E220" s="13"/>
      <c r="F220" s="13">
        <v>0</v>
      </c>
      <c r="G220" s="13"/>
      <c r="H220" s="13"/>
      <c r="I220" s="13"/>
      <c r="J220" s="13"/>
      <c r="K220" s="13"/>
    </row>
    <row r="221" spans="1:11">
      <c r="A221" s="13">
        <v>120100050</v>
      </c>
      <c r="B221" s="15"/>
      <c r="C221" s="14" t="s">
        <v>820</v>
      </c>
      <c r="D221" s="16"/>
      <c r="E221" s="13"/>
      <c r="F221" s="13">
        <v>0</v>
      </c>
      <c r="G221" s="13"/>
      <c r="H221" s="13"/>
      <c r="I221" s="13"/>
      <c r="J221" s="13"/>
      <c r="K221" s="13"/>
    </row>
    <row r="222" spans="1:11">
      <c r="A222" s="13">
        <v>120100051</v>
      </c>
      <c r="B222" s="15"/>
      <c r="C222" s="14" t="s">
        <v>821</v>
      </c>
      <c r="D222" s="16"/>
      <c r="E222" s="13"/>
      <c r="F222" s="13">
        <v>0</v>
      </c>
      <c r="G222" s="13"/>
      <c r="H222" s="13"/>
      <c r="I222" s="13"/>
      <c r="J222" s="13"/>
      <c r="K222" s="13"/>
    </row>
    <row r="223" spans="1:11">
      <c r="A223" s="13">
        <v>120100052</v>
      </c>
      <c r="B223" s="15"/>
      <c r="C223" s="14" t="s">
        <v>822</v>
      </c>
      <c r="D223" s="16"/>
      <c r="E223" s="13"/>
      <c r="F223" s="13">
        <v>0</v>
      </c>
      <c r="G223" s="13"/>
      <c r="H223" s="13"/>
      <c r="I223" s="13"/>
      <c r="J223" s="13"/>
      <c r="K223" s="13"/>
    </row>
    <row r="224" spans="1:11">
      <c r="A224" s="13">
        <v>120100053</v>
      </c>
      <c r="B224" s="15"/>
      <c r="C224" s="14" t="s">
        <v>823</v>
      </c>
      <c r="D224" s="16"/>
      <c r="E224" s="13"/>
      <c r="F224" s="13">
        <v>0</v>
      </c>
      <c r="G224" s="13"/>
      <c r="H224" s="13"/>
      <c r="I224" s="13"/>
      <c r="J224" s="13"/>
      <c r="K224" s="13"/>
    </row>
    <row r="225" spans="1:11">
      <c r="A225" s="13">
        <v>120100054</v>
      </c>
      <c r="B225" s="15"/>
      <c r="C225" s="14" t="s">
        <v>824</v>
      </c>
      <c r="D225" s="16"/>
      <c r="E225" s="13"/>
      <c r="F225" s="13">
        <v>0</v>
      </c>
      <c r="G225" s="13"/>
      <c r="H225" s="13"/>
      <c r="I225" s="13"/>
      <c r="J225" s="13"/>
      <c r="K225" s="13"/>
    </row>
    <row r="226" spans="1:11">
      <c r="A226" s="13">
        <v>120100055</v>
      </c>
      <c r="B226" s="15"/>
      <c r="C226" s="14" t="s">
        <v>825</v>
      </c>
      <c r="D226" s="16" t="s">
        <v>1271</v>
      </c>
      <c r="E226" s="13"/>
      <c r="F226" s="13">
        <v>0</v>
      </c>
      <c r="G226" s="13"/>
      <c r="H226" s="13"/>
      <c r="I226" s="13"/>
      <c r="J226" s="13"/>
      <c r="K226" s="13"/>
    </row>
    <row r="227" spans="1:11">
      <c r="A227" s="13">
        <v>120100056</v>
      </c>
      <c r="B227" s="15"/>
      <c r="C227" s="14" t="s">
        <v>826</v>
      </c>
      <c r="D227" s="16" t="s">
        <v>1272</v>
      </c>
      <c r="E227" s="13"/>
      <c r="F227" s="13">
        <v>0</v>
      </c>
      <c r="G227" s="13"/>
      <c r="H227" s="13"/>
      <c r="I227" s="13"/>
      <c r="J227" s="13"/>
      <c r="K227" s="13"/>
    </row>
    <row r="228" spans="1:11">
      <c r="A228" s="13">
        <v>120100057</v>
      </c>
      <c r="B228" s="15"/>
      <c r="C228" s="14" t="s">
        <v>827</v>
      </c>
      <c r="D228" s="16"/>
      <c r="E228" s="13"/>
      <c r="F228" s="13">
        <v>0</v>
      </c>
      <c r="G228" s="13"/>
      <c r="H228" s="13"/>
      <c r="I228" s="13"/>
      <c r="J228" s="13"/>
      <c r="K228" s="13"/>
    </row>
    <row r="229" spans="1:11">
      <c r="A229" s="13">
        <v>120100058</v>
      </c>
      <c r="B229" s="15"/>
      <c r="C229" s="14" t="s">
        <v>828</v>
      </c>
      <c r="D229" s="16" t="s">
        <v>1273</v>
      </c>
      <c r="E229" s="13"/>
      <c r="F229" s="13">
        <v>0</v>
      </c>
      <c r="G229" s="13"/>
      <c r="H229" s="13"/>
      <c r="I229" s="13"/>
      <c r="J229" s="13"/>
      <c r="K229" s="13"/>
    </row>
    <row r="230" spans="1:11">
      <c r="A230" s="13">
        <v>120100059</v>
      </c>
      <c r="B230" s="15"/>
      <c r="C230" s="14" t="s">
        <v>829</v>
      </c>
      <c r="D230" s="16"/>
      <c r="E230" s="13"/>
      <c r="F230" s="13">
        <v>0</v>
      </c>
      <c r="G230" s="13"/>
      <c r="H230" s="13"/>
      <c r="I230" s="13"/>
      <c r="J230" s="13"/>
      <c r="K230" s="13"/>
    </row>
    <row r="231" spans="1:11">
      <c r="A231" s="13">
        <v>120100060</v>
      </c>
      <c r="B231" s="15"/>
      <c r="C231" s="14" t="s">
        <v>830</v>
      </c>
      <c r="D231" s="16" t="s">
        <v>831</v>
      </c>
      <c r="E231" s="13"/>
      <c r="F231" s="13">
        <v>0</v>
      </c>
      <c r="G231" s="13"/>
      <c r="H231" s="13"/>
      <c r="I231" s="13"/>
      <c r="J231" s="13"/>
      <c r="K231" s="13"/>
    </row>
    <row r="232" spans="1:11">
      <c r="A232" s="13">
        <v>120100061</v>
      </c>
      <c r="B232" s="15"/>
      <c r="C232" s="14" t="s">
        <v>832</v>
      </c>
      <c r="D232" s="16" t="s">
        <v>1274</v>
      </c>
      <c r="E232" s="13"/>
      <c r="F232" s="13">
        <v>0</v>
      </c>
      <c r="G232" s="13"/>
      <c r="H232" s="13"/>
      <c r="I232" s="13"/>
      <c r="J232" s="13"/>
      <c r="K232" s="13"/>
    </row>
    <row r="233" spans="1:11">
      <c r="A233" s="13">
        <v>120100062</v>
      </c>
      <c r="B233" s="15"/>
      <c r="C233" s="14" t="s">
        <v>833</v>
      </c>
      <c r="D233" s="16"/>
      <c r="E233" s="13"/>
      <c r="F233" s="13">
        <v>0</v>
      </c>
      <c r="G233" s="13"/>
      <c r="H233" s="13"/>
      <c r="I233" s="13"/>
      <c r="J233" s="13"/>
      <c r="K233" s="13"/>
    </row>
    <row r="234" spans="1:11">
      <c r="A234" s="13">
        <v>120100063</v>
      </c>
      <c r="B234" s="15"/>
      <c r="C234" s="14" t="s">
        <v>834</v>
      </c>
      <c r="D234" s="16"/>
      <c r="E234" s="13"/>
      <c r="F234" s="13">
        <v>0</v>
      </c>
      <c r="G234" s="13"/>
      <c r="H234" s="13"/>
      <c r="I234" s="13"/>
      <c r="J234" s="13"/>
      <c r="K234" s="13"/>
    </row>
    <row r="235" spans="1:11">
      <c r="A235" s="13">
        <v>120100064</v>
      </c>
      <c r="B235" s="15"/>
      <c r="C235" s="14" t="s">
        <v>835</v>
      </c>
      <c r="D235" s="16"/>
      <c r="E235" s="13"/>
      <c r="F235" s="13">
        <v>0</v>
      </c>
      <c r="G235" s="13"/>
      <c r="H235" s="13"/>
      <c r="I235" s="13"/>
      <c r="J235" s="13"/>
      <c r="K235" s="13"/>
    </row>
    <row r="236" spans="1:11">
      <c r="A236" s="13">
        <v>120100065</v>
      </c>
      <c r="B236" s="15"/>
      <c r="C236" s="14" t="s">
        <v>836</v>
      </c>
      <c r="D236" s="16"/>
      <c r="E236" s="13"/>
      <c r="F236" s="13">
        <v>0</v>
      </c>
      <c r="G236" s="13"/>
      <c r="H236" s="13"/>
      <c r="I236" s="13"/>
      <c r="J236" s="13"/>
      <c r="K236" s="13"/>
    </row>
    <row r="237" spans="1:11">
      <c r="A237" s="13">
        <v>120100066</v>
      </c>
      <c r="B237" s="15"/>
      <c r="C237" s="14" t="s">
        <v>837</v>
      </c>
      <c r="D237" s="16"/>
      <c r="E237" s="13"/>
      <c r="F237" s="13">
        <v>0</v>
      </c>
      <c r="G237" s="13"/>
      <c r="H237" s="13"/>
      <c r="I237" s="13"/>
      <c r="J237" s="13"/>
      <c r="K237" s="13"/>
    </row>
    <row r="238" spans="1:11">
      <c r="A238" s="13">
        <v>120100067</v>
      </c>
      <c r="B238" s="15"/>
      <c r="C238" s="14" t="s">
        <v>838</v>
      </c>
      <c r="D238" s="16"/>
      <c r="E238" s="13"/>
      <c r="F238" s="13">
        <v>0</v>
      </c>
      <c r="G238" s="13"/>
      <c r="H238" s="13"/>
      <c r="I238" s="13"/>
      <c r="J238" s="13"/>
      <c r="K238" s="13"/>
    </row>
    <row r="239" spans="1:11">
      <c r="A239" s="13">
        <v>120100068</v>
      </c>
      <c r="B239" s="15"/>
      <c r="C239" s="14" t="s">
        <v>839</v>
      </c>
      <c r="D239" s="16"/>
      <c r="E239" s="13"/>
      <c r="F239" s="13">
        <v>0</v>
      </c>
      <c r="G239" s="13"/>
      <c r="H239" s="13"/>
      <c r="I239" s="13"/>
      <c r="J239" s="13"/>
      <c r="K239" s="13"/>
    </row>
    <row r="240" spans="1:11">
      <c r="A240" s="13">
        <v>120100069</v>
      </c>
      <c r="B240" s="15"/>
      <c r="C240" s="14" t="s">
        <v>840</v>
      </c>
      <c r="D240" s="16"/>
      <c r="E240" s="13"/>
      <c r="F240" s="13">
        <v>0</v>
      </c>
      <c r="G240" s="13"/>
      <c r="H240" s="13"/>
      <c r="I240" s="13"/>
      <c r="J240" s="13"/>
      <c r="K240" s="13"/>
    </row>
    <row r="241" spans="1:11">
      <c r="A241" s="13">
        <v>120100070</v>
      </c>
      <c r="B241" s="15"/>
      <c r="C241" s="14" t="s">
        <v>841</v>
      </c>
      <c r="D241" s="16"/>
      <c r="E241" s="13"/>
      <c r="F241" s="13">
        <v>0</v>
      </c>
      <c r="G241" s="13"/>
      <c r="H241" s="13"/>
      <c r="I241" s="13"/>
      <c r="J241" s="13"/>
      <c r="K241" s="13"/>
    </row>
    <row r="242" spans="1:11">
      <c r="A242" s="13">
        <v>120100073</v>
      </c>
      <c r="B242" s="15"/>
      <c r="C242" s="14" t="s">
        <v>842</v>
      </c>
      <c r="D242" s="16"/>
      <c r="E242" s="13"/>
      <c r="F242" s="13">
        <v>0</v>
      </c>
      <c r="G242" s="13"/>
      <c r="H242" s="13"/>
      <c r="I242" s="13"/>
      <c r="J242" s="13"/>
      <c r="K242" s="13"/>
    </row>
    <row r="243" spans="1:11">
      <c r="A243" s="13">
        <v>120100074</v>
      </c>
      <c r="B243" s="15"/>
      <c r="C243" s="14" t="s">
        <v>843</v>
      </c>
      <c r="D243" s="16" t="s">
        <v>844</v>
      </c>
      <c r="E243" s="13"/>
      <c r="F243" s="13">
        <v>0</v>
      </c>
      <c r="G243" s="13"/>
      <c r="H243" s="13"/>
      <c r="I243" s="13"/>
      <c r="J243" s="13"/>
      <c r="K243" s="13"/>
    </row>
    <row r="244" spans="1:11">
      <c r="A244" s="13">
        <v>120100075</v>
      </c>
      <c r="B244" s="15"/>
      <c r="C244" s="14" t="s">
        <v>845</v>
      </c>
      <c r="D244" s="16" t="s">
        <v>1275</v>
      </c>
      <c r="E244" s="13"/>
      <c r="F244" s="13">
        <v>0</v>
      </c>
      <c r="G244" s="13"/>
      <c r="H244" s="13"/>
      <c r="I244" s="13"/>
      <c r="J244" s="13"/>
      <c r="K244" s="13"/>
    </row>
    <row r="245" spans="1:11">
      <c r="A245" s="13">
        <v>120100076</v>
      </c>
      <c r="B245" s="15"/>
      <c r="C245" s="14" t="s">
        <v>846</v>
      </c>
      <c r="D245" s="16" t="s">
        <v>1276</v>
      </c>
      <c r="E245" s="13"/>
      <c r="F245" s="13">
        <v>0</v>
      </c>
      <c r="G245" s="13"/>
      <c r="H245" s="13"/>
      <c r="I245" s="13"/>
      <c r="J245" s="13"/>
      <c r="K245" s="13"/>
    </row>
    <row r="246" spans="1:11">
      <c r="A246" s="13">
        <v>120100077</v>
      </c>
      <c r="B246" s="15"/>
      <c r="C246" s="14" t="s">
        <v>847</v>
      </c>
      <c r="D246" s="16"/>
      <c r="E246" s="13"/>
      <c r="F246" s="13">
        <v>0</v>
      </c>
      <c r="G246" s="13"/>
      <c r="H246" s="13"/>
      <c r="I246" s="13"/>
      <c r="J246" s="13"/>
      <c r="K246" s="13"/>
    </row>
    <row r="247" spans="1:11">
      <c r="A247" s="13">
        <v>120100078</v>
      </c>
      <c r="B247" s="15"/>
      <c r="C247" s="14" t="s">
        <v>848</v>
      </c>
      <c r="D247" s="16"/>
      <c r="E247" s="13"/>
      <c r="F247" s="13">
        <v>0</v>
      </c>
      <c r="G247" s="13"/>
      <c r="H247" s="13"/>
      <c r="I247" s="13"/>
      <c r="J247" s="13"/>
      <c r="K247" s="13"/>
    </row>
    <row r="248" spans="1:11">
      <c r="A248" s="13">
        <v>120100079</v>
      </c>
      <c r="B248" s="15"/>
      <c r="C248" s="14" t="s">
        <v>849</v>
      </c>
      <c r="D248" s="16"/>
      <c r="E248" s="13"/>
      <c r="F248" s="13">
        <v>0</v>
      </c>
      <c r="G248" s="13"/>
      <c r="H248" s="13"/>
      <c r="I248" s="13"/>
      <c r="J248" s="13"/>
      <c r="K248" s="13"/>
    </row>
    <row r="249" spans="1:11">
      <c r="A249" s="13">
        <v>120100081</v>
      </c>
      <c r="B249" s="15"/>
      <c r="C249" s="14" t="s">
        <v>850</v>
      </c>
      <c r="D249" s="16" t="s">
        <v>1277</v>
      </c>
      <c r="E249" s="13"/>
      <c r="F249" s="13">
        <v>0</v>
      </c>
      <c r="G249" s="13"/>
      <c r="H249" s="13"/>
      <c r="I249" s="13"/>
      <c r="J249" s="13"/>
      <c r="K249" s="13"/>
    </row>
    <row r="250" spans="1:11">
      <c r="A250" s="13">
        <v>120100082</v>
      </c>
      <c r="B250" s="15"/>
      <c r="C250" s="14" t="s">
        <v>851</v>
      </c>
      <c r="D250" s="16"/>
      <c r="E250" s="13"/>
      <c r="F250" s="13">
        <v>0</v>
      </c>
      <c r="G250" s="13"/>
      <c r="H250" s="13"/>
      <c r="I250" s="13"/>
      <c r="J250" s="13"/>
      <c r="K250" s="13"/>
    </row>
    <row r="251" spans="1:11">
      <c r="A251" s="13">
        <v>120100084</v>
      </c>
      <c r="B251" s="15"/>
      <c r="C251" s="14" t="s">
        <v>852</v>
      </c>
      <c r="D251" s="16" t="s">
        <v>1278</v>
      </c>
      <c r="E251" s="13"/>
      <c r="F251" s="13">
        <v>0</v>
      </c>
      <c r="G251" s="13"/>
      <c r="H251" s="13"/>
      <c r="I251" s="13"/>
      <c r="J251" s="13"/>
      <c r="K251" s="13"/>
    </row>
    <row r="252" spans="1:11">
      <c r="A252" s="13">
        <v>120100085</v>
      </c>
      <c r="B252" s="15"/>
      <c r="C252" s="14" t="s">
        <v>853</v>
      </c>
      <c r="D252" s="16" t="s">
        <v>1279</v>
      </c>
      <c r="E252" s="13"/>
      <c r="F252" s="13">
        <v>0</v>
      </c>
      <c r="G252" s="13"/>
      <c r="H252" s="13"/>
      <c r="I252" s="13"/>
      <c r="J252" s="13"/>
      <c r="K252" s="13"/>
    </row>
    <row r="253" spans="1:11">
      <c r="A253" s="13">
        <v>120100087</v>
      </c>
      <c r="B253" s="15"/>
      <c r="C253" s="14" t="s">
        <v>854</v>
      </c>
      <c r="D253" s="16"/>
      <c r="E253" s="13"/>
      <c r="F253" s="13">
        <v>0</v>
      </c>
      <c r="G253" s="13"/>
      <c r="H253" s="13"/>
      <c r="I253" s="13"/>
      <c r="J253" s="13"/>
      <c r="K253" s="13"/>
    </row>
    <row r="254" spans="1:11">
      <c r="A254" s="13">
        <v>120100088</v>
      </c>
      <c r="B254" s="15"/>
      <c r="C254" s="14" t="s">
        <v>855</v>
      </c>
      <c r="D254" s="16"/>
      <c r="E254" s="13"/>
      <c r="F254" s="13">
        <v>0</v>
      </c>
      <c r="G254" s="13"/>
      <c r="H254" s="13"/>
      <c r="I254" s="13"/>
      <c r="J254" s="13"/>
      <c r="K254" s="13"/>
    </row>
    <row r="255" spans="1:11">
      <c r="A255" s="13">
        <v>120110002</v>
      </c>
      <c r="B255" s="15"/>
      <c r="C255" s="14" t="s">
        <v>856</v>
      </c>
      <c r="D255" s="16"/>
      <c r="E255" s="13"/>
      <c r="F255" s="13">
        <v>0</v>
      </c>
      <c r="G255" s="13"/>
      <c r="H255" s="13"/>
      <c r="I255" s="13"/>
      <c r="J255" s="13"/>
      <c r="K255" s="13"/>
    </row>
    <row r="256" spans="1:11">
      <c r="A256" s="13">
        <v>120110003</v>
      </c>
      <c r="B256" s="15"/>
      <c r="C256" s="14" t="s">
        <v>857</v>
      </c>
      <c r="D256" s="16" t="s">
        <v>858</v>
      </c>
      <c r="E256" s="13"/>
      <c r="F256" s="13">
        <v>0</v>
      </c>
      <c r="G256" s="13"/>
      <c r="H256" s="13"/>
      <c r="I256" s="13"/>
      <c r="J256" s="13"/>
      <c r="K256" s="13"/>
    </row>
    <row r="257" spans="1:11">
      <c r="A257" s="13">
        <v>120110004</v>
      </c>
      <c r="B257" s="15"/>
      <c r="C257" s="14" t="s">
        <v>859</v>
      </c>
      <c r="D257" s="16" t="s">
        <v>860</v>
      </c>
      <c r="E257" s="13"/>
      <c r="F257" s="13">
        <v>0</v>
      </c>
      <c r="G257" s="13"/>
      <c r="H257" s="13"/>
      <c r="I257" s="13"/>
      <c r="J257" s="13"/>
      <c r="K257" s="13"/>
    </row>
    <row r="258" spans="1:11">
      <c r="A258" s="13">
        <v>120110005</v>
      </c>
      <c r="B258" s="15"/>
      <c r="C258" s="14" t="s">
        <v>861</v>
      </c>
      <c r="D258" s="16" t="s">
        <v>1280</v>
      </c>
      <c r="E258" s="13"/>
      <c r="F258" s="13">
        <v>0</v>
      </c>
      <c r="G258" s="13"/>
      <c r="H258" s="13"/>
      <c r="I258" s="13"/>
      <c r="J258" s="13"/>
      <c r="K258" s="13"/>
    </row>
    <row r="259" spans="1:11">
      <c r="A259" s="13">
        <v>120110006</v>
      </c>
      <c r="B259" s="15"/>
      <c r="C259" s="14" t="s">
        <v>862</v>
      </c>
      <c r="D259" s="16" t="s">
        <v>1281</v>
      </c>
      <c r="E259" s="13"/>
      <c r="F259" s="13">
        <v>0</v>
      </c>
      <c r="G259" s="13"/>
      <c r="H259" s="13"/>
      <c r="I259" s="13"/>
      <c r="J259" s="13"/>
      <c r="K259" s="13"/>
    </row>
    <row r="260" spans="1:11">
      <c r="A260" s="13">
        <v>120110007</v>
      </c>
      <c r="B260" s="15"/>
      <c r="C260" s="14" t="s">
        <v>863</v>
      </c>
      <c r="D260" s="16" t="s">
        <v>1282</v>
      </c>
      <c r="E260" s="13"/>
      <c r="F260" s="13">
        <v>0</v>
      </c>
      <c r="G260" s="13"/>
      <c r="H260" s="13"/>
      <c r="I260" s="13"/>
      <c r="J260" s="13"/>
      <c r="K260" s="13"/>
    </row>
    <row r="261" spans="1:11">
      <c r="A261" s="13">
        <v>120110008</v>
      </c>
      <c r="B261" s="15"/>
      <c r="C261" s="14" t="s">
        <v>864</v>
      </c>
      <c r="D261" s="16"/>
      <c r="E261" s="13"/>
      <c r="F261" s="13">
        <v>0</v>
      </c>
      <c r="G261" s="13"/>
      <c r="H261" s="13"/>
      <c r="I261" s="13"/>
      <c r="J261" s="13"/>
      <c r="K261" s="13"/>
    </row>
    <row r="262" spans="1:11">
      <c r="A262" s="13">
        <v>120110009</v>
      </c>
      <c r="B262" s="15"/>
      <c r="C262" s="14" t="s">
        <v>865</v>
      </c>
      <c r="D262" s="16"/>
      <c r="E262" s="13"/>
      <c r="F262" s="13">
        <v>0</v>
      </c>
      <c r="G262" s="13"/>
      <c r="H262" s="13"/>
      <c r="I262" s="13"/>
      <c r="J262" s="13"/>
      <c r="K262" s="13"/>
    </row>
    <row r="263" spans="1:11">
      <c r="A263" s="13">
        <v>120110010</v>
      </c>
      <c r="B263" s="15"/>
      <c r="C263" s="14" t="s">
        <v>866</v>
      </c>
      <c r="D263" s="16" t="s">
        <v>1283</v>
      </c>
      <c r="E263" s="13"/>
      <c r="F263" s="13">
        <v>0</v>
      </c>
      <c r="G263" s="13"/>
      <c r="H263" s="13"/>
      <c r="I263" s="13"/>
      <c r="J263" s="13"/>
      <c r="K263" s="13"/>
    </row>
    <row r="264" spans="1:11">
      <c r="A264" s="13">
        <v>120110011</v>
      </c>
      <c r="B264" s="15"/>
      <c r="C264" s="14" t="s">
        <v>867</v>
      </c>
      <c r="D264" s="16" t="s">
        <v>868</v>
      </c>
      <c r="E264" s="13"/>
      <c r="F264" s="13">
        <v>0</v>
      </c>
      <c r="G264" s="13"/>
      <c r="H264" s="13"/>
      <c r="I264" s="13"/>
      <c r="J264" s="13"/>
      <c r="K264" s="13"/>
    </row>
    <row r="265" spans="1:11">
      <c r="A265" s="13">
        <v>120110012</v>
      </c>
      <c r="B265" s="15"/>
      <c r="C265" s="14" t="s">
        <v>869</v>
      </c>
      <c r="D265" s="16"/>
      <c r="E265" s="13"/>
      <c r="F265" s="13">
        <v>0</v>
      </c>
      <c r="G265" s="13"/>
      <c r="H265" s="13"/>
      <c r="I265" s="13"/>
      <c r="J265" s="13"/>
      <c r="K265" s="13"/>
    </row>
    <row r="266" spans="1:11">
      <c r="A266" s="13">
        <v>120110013</v>
      </c>
      <c r="B266" s="15"/>
      <c r="C266" s="14" t="s">
        <v>870</v>
      </c>
      <c r="D266" s="16"/>
      <c r="E266" s="13"/>
      <c r="F266" s="13">
        <v>0</v>
      </c>
      <c r="G266" s="13"/>
      <c r="H266" s="13"/>
      <c r="I266" s="13"/>
      <c r="J266" s="13"/>
      <c r="K266" s="13"/>
    </row>
    <row r="267" spans="1:11">
      <c r="A267" s="13">
        <v>120110014</v>
      </c>
      <c r="B267" s="15"/>
      <c r="C267" s="14" t="s">
        <v>871</v>
      </c>
      <c r="D267" s="16"/>
      <c r="E267" s="13"/>
      <c r="F267" s="13">
        <v>0</v>
      </c>
      <c r="G267" s="13"/>
      <c r="H267" s="13"/>
      <c r="I267" s="13"/>
      <c r="J267" s="13"/>
      <c r="K267" s="13"/>
    </row>
    <row r="268" spans="1:11">
      <c r="A268" s="13">
        <v>120110016</v>
      </c>
      <c r="B268" s="15"/>
      <c r="C268" s="14" t="s">
        <v>872</v>
      </c>
      <c r="D268" s="16"/>
      <c r="E268" s="13"/>
      <c r="F268" s="13">
        <v>0</v>
      </c>
      <c r="G268" s="13"/>
      <c r="H268" s="13"/>
      <c r="I268" s="13"/>
      <c r="J268" s="13"/>
      <c r="K268" s="13"/>
    </row>
    <row r="269" spans="1:11">
      <c r="A269" s="13">
        <v>120110017</v>
      </c>
      <c r="B269" s="15"/>
      <c r="C269" s="14" t="s">
        <v>873</v>
      </c>
      <c r="D269" s="16"/>
      <c r="E269" s="13"/>
      <c r="F269" s="13">
        <v>0</v>
      </c>
      <c r="G269" s="13"/>
      <c r="H269" s="13"/>
      <c r="I269" s="13"/>
      <c r="J269" s="13"/>
      <c r="K269" s="13"/>
    </row>
    <row r="270" spans="1:11">
      <c r="A270" s="13">
        <v>120110018</v>
      </c>
      <c r="B270" s="15"/>
      <c r="C270" s="14" t="s">
        <v>874</v>
      </c>
      <c r="D270" s="16"/>
      <c r="E270" s="13"/>
      <c r="F270" s="13">
        <v>0</v>
      </c>
      <c r="G270" s="13"/>
      <c r="H270" s="13"/>
      <c r="I270" s="13"/>
      <c r="J270" s="13"/>
      <c r="K270" s="13"/>
    </row>
    <row r="271" spans="1:11">
      <c r="A271" s="13">
        <v>120110019</v>
      </c>
      <c r="B271" s="15"/>
      <c r="C271" s="14" t="s">
        <v>875</v>
      </c>
      <c r="D271" s="16"/>
      <c r="E271" s="13"/>
      <c r="F271" s="13">
        <v>0</v>
      </c>
      <c r="G271" s="13"/>
      <c r="H271" s="13"/>
      <c r="I271" s="13"/>
      <c r="J271" s="13"/>
      <c r="K271" s="13"/>
    </row>
    <row r="272" spans="1:11">
      <c r="A272" s="13">
        <v>120110020</v>
      </c>
      <c r="B272" s="15"/>
      <c r="C272" s="14" t="s">
        <v>876</v>
      </c>
      <c r="D272" s="16"/>
      <c r="E272" s="13"/>
      <c r="F272" s="13">
        <v>0</v>
      </c>
      <c r="G272" s="13"/>
      <c r="H272" s="13"/>
      <c r="I272" s="13"/>
      <c r="J272" s="13"/>
      <c r="K272" s="13"/>
    </row>
    <row r="273" spans="1:11">
      <c r="A273" s="13">
        <v>120110021</v>
      </c>
      <c r="B273" s="15"/>
      <c r="C273" s="14" t="s">
        <v>877</v>
      </c>
      <c r="D273" s="16"/>
      <c r="E273" s="13"/>
      <c r="F273" s="13">
        <v>0</v>
      </c>
      <c r="G273" s="13"/>
      <c r="H273" s="13"/>
      <c r="I273" s="13"/>
      <c r="J273" s="13"/>
      <c r="K273" s="13"/>
    </row>
    <row r="274" spans="1:11">
      <c r="A274" s="13">
        <v>120110022</v>
      </c>
      <c r="B274" s="15"/>
      <c r="C274" s="14" t="s">
        <v>878</v>
      </c>
      <c r="D274" s="16"/>
      <c r="E274" s="13"/>
      <c r="F274" s="13">
        <v>0</v>
      </c>
      <c r="G274" s="13"/>
      <c r="H274" s="13"/>
      <c r="I274" s="13"/>
      <c r="J274" s="13"/>
      <c r="K274" s="13"/>
    </row>
    <row r="275" spans="1:11">
      <c r="A275" s="13">
        <v>120110024</v>
      </c>
      <c r="B275" s="15"/>
      <c r="C275" s="14" t="s">
        <v>879</v>
      </c>
      <c r="D275" s="16"/>
      <c r="E275" s="13"/>
      <c r="F275" s="13">
        <v>0</v>
      </c>
      <c r="G275" s="13"/>
      <c r="H275" s="13"/>
      <c r="I275" s="13"/>
      <c r="J275" s="13"/>
      <c r="K275" s="13"/>
    </row>
    <row r="276" spans="1:11">
      <c r="A276" s="13">
        <v>120110025</v>
      </c>
      <c r="B276" s="15"/>
      <c r="C276" s="14" t="s">
        <v>880</v>
      </c>
      <c r="D276" s="16"/>
      <c r="E276" s="13"/>
      <c r="F276" s="13">
        <v>0</v>
      </c>
      <c r="G276" s="13"/>
      <c r="H276" s="13"/>
      <c r="I276" s="13"/>
      <c r="J276" s="13"/>
      <c r="K276" s="13"/>
    </row>
    <row r="277" spans="1:11">
      <c r="A277" s="13">
        <v>120110026</v>
      </c>
      <c r="B277" s="15"/>
      <c r="C277" s="14" t="s">
        <v>881</v>
      </c>
      <c r="D277" s="16"/>
      <c r="E277" s="13"/>
      <c r="F277" s="13">
        <v>0</v>
      </c>
      <c r="G277" s="13"/>
      <c r="H277" s="13"/>
      <c r="I277" s="13"/>
      <c r="J277" s="13"/>
      <c r="K277" s="13"/>
    </row>
    <row r="278" spans="1:11">
      <c r="A278" s="13">
        <v>120110027</v>
      </c>
      <c r="B278" s="15"/>
      <c r="C278" s="14" t="s">
        <v>882</v>
      </c>
      <c r="D278" s="16"/>
      <c r="E278" s="13"/>
      <c r="F278" s="13">
        <v>0</v>
      </c>
      <c r="G278" s="13"/>
      <c r="H278" s="13"/>
      <c r="I278" s="13"/>
      <c r="J278" s="13"/>
      <c r="K278" s="13"/>
    </row>
    <row r="279" spans="1:11">
      <c r="A279" s="13">
        <v>120110028</v>
      </c>
      <c r="B279" s="15"/>
      <c r="C279" s="14" t="s">
        <v>883</v>
      </c>
      <c r="D279" s="16"/>
      <c r="E279" s="13"/>
      <c r="F279" s="13">
        <v>0</v>
      </c>
      <c r="G279" s="13"/>
      <c r="H279" s="13"/>
      <c r="I279" s="13"/>
      <c r="J279" s="13"/>
      <c r="K279" s="13"/>
    </row>
    <row r="280" spans="1:11">
      <c r="A280" s="13">
        <v>120110029</v>
      </c>
      <c r="B280" s="15"/>
      <c r="C280" s="14" t="s">
        <v>884</v>
      </c>
      <c r="D280" s="16"/>
      <c r="E280" s="13"/>
      <c r="F280" s="13">
        <v>0</v>
      </c>
      <c r="G280" s="13"/>
      <c r="H280" s="13"/>
      <c r="I280" s="13"/>
      <c r="J280" s="13"/>
      <c r="K280" s="13"/>
    </row>
    <row r="281" spans="1:11">
      <c r="A281" s="13">
        <v>120110030</v>
      </c>
      <c r="B281" s="15"/>
      <c r="C281" s="14" t="s">
        <v>885</v>
      </c>
      <c r="D281" s="16"/>
      <c r="E281" s="13"/>
      <c r="F281" s="13">
        <v>0</v>
      </c>
      <c r="G281" s="13"/>
      <c r="H281" s="13"/>
      <c r="I281" s="13"/>
      <c r="J281" s="13"/>
      <c r="K281" s="13"/>
    </row>
    <row r="282" spans="1:11">
      <c r="A282" s="13">
        <v>120110031</v>
      </c>
      <c r="B282" s="15"/>
      <c r="C282" s="14" t="s">
        <v>886</v>
      </c>
      <c r="D282" s="16"/>
      <c r="E282" s="13"/>
      <c r="F282" s="13">
        <v>0</v>
      </c>
      <c r="G282" s="13"/>
      <c r="H282" s="13"/>
      <c r="I282" s="13"/>
      <c r="J282" s="13"/>
      <c r="K282" s="13"/>
    </row>
    <row r="283" spans="1:11">
      <c r="A283" s="13">
        <v>120110032</v>
      </c>
      <c r="B283" s="15"/>
      <c r="C283" s="14" t="s">
        <v>887</v>
      </c>
      <c r="D283" s="16"/>
      <c r="E283" s="13"/>
      <c r="F283" s="13">
        <v>0</v>
      </c>
      <c r="G283" s="13"/>
      <c r="H283" s="13"/>
      <c r="I283" s="13"/>
      <c r="J283" s="13"/>
      <c r="K283" s="13"/>
    </row>
    <row r="284" spans="1:11">
      <c r="A284" s="13">
        <v>120110033</v>
      </c>
      <c r="B284" s="15"/>
      <c r="C284" s="14" t="s">
        <v>888</v>
      </c>
      <c r="D284" s="16"/>
      <c r="E284" s="13"/>
      <c r="F284" s="13">
        <v>0</v>
      </c>
      <c r="G284" s="13"/>
      <c r="H284" s="13"/>
      <c r="I284" s="13"/>
      <c r="J284" s="13"/>
      <c r="K284" s="13"/>
    </row>
    <row r="285" spans="1:11">
      <c r="A285" s="13">
        <v>120110034</v>
      </c>
      <c r="B285" s="15"/>
      <c r="C285" s="14" t="s">
        <v>889</v>
      </c>
      <c r="D285" s="16" t="s">
        <v>1284</v>
      </c>
      <c r="E285" s="13"/>
      <c r="F285" s="13">
        <v>0</v>
      </c>
      <c r="G285" s="13"/>
      <c r="H285" s="13"/>
      <c r="I285" s="13"/>
      <c r="J285" s="13"/>
      <c r="K285" s="13"/>
    </row>
    <row r="286" spans="1:11">
      <c r="A286" s="13">
        <v>120110035</v>
      </c>
      <c r="B286" s="15"/>
      <c r="C286" s="14" t="s">
        <v>890</v>
      </c>
      <c r="D286" s="16" t="s">
        <v>1285</v>
      </c>
      <c r="E286" s="13"/>
      <c r="F286" s="13">
        <v>0</v>
      </c>
      <c r="G286" s="13"/>
      <c r="H286" s="13"/>
      <c r="I286" s="13"/>
      <c r="J286" s="13"/>
      <c r="K286" s="13"/>
    </row>
    <row r="287" spans="1:11">
      <c r="A287" s="13">
        <v>120110038</v>
      </c>
      <c r="B287" s="15"/>
      <c r="C287" s="14" t="s">
        <v>891</v>
      </c>
      <c r="D287" s="16" t="s">
        <v>892</v>
      </c>
      <c r="E287" s="13"/>
      <c r="F287" s="13">
        <v>0</v>
      </c>
      <c r="G287" s="13"/>
      <c r="H287" s="13"/>
      <c r="I287" s="13"/>
      <c r="J287" s="13"/>
      <c r="K287" s="13"/>
    </row>
    <row r="288" spans="1:11">
      <c r="A288" s="13">
        <v>120110040</v>
      </c>
      <c r="B288" s="15"/>
      <c r="C288" s="14" t="s">
        <v>893</v>
      </c>
      <c r="D288" s="16"/>
      <c r="E288" s="13"/>
      <c r="F288" s="13">
        <v>0</v>
      </c>
      <c r="G288" s="13"/>
      <c r="H288" s="13"/>
      <c r="I288" s="13"/>
      <c r="J288" s="13"/>
      <c r="K288" s="13"/>
    </row>
    <row r="289" spans="1:11">
      <c r="A289" s="13">
        <v>120110041</v>
      </c>
      <c r="B289" s="15"/>
      <c r="C289" s="14" t="s">
        <v>894</v>
      </c>
      <c r="D289" s="16"/>
      <c r="E289" s="13"/>
      <c r="F289" s="13">
        <v>0</v>
      </c>
      <c r="G289" s="13"/>
      <c r="H289" s="13"/>
      <c r="I289" s="13"/>
      <c r="J289" s="13"/>
      <c r="K289" s="13"/>
    </row>
    <row r="290" spans="1:11">
      <c r="A290" s="13">
        <v>120110044</v>
      </c>
      <c r="B290" s="15"/>
      <c r="C290" s="14" t="s">
        <v>895</v>
      </c>
      <c r="D290" s="16"/>
      <c r="E290" s="13"/>
      <c r="F290" s="13">
        <v>0</v>
      </c>
      <c r="G290" s="13"/>
      <c r="H290" s="13"/>
      <c r="I290" s="13"/>
      <c r="J290" s="13"/>
      <c r="K290" s="13"/>
    </row>
    <row r="291" spans="1:11">
      <c r="A291" s="13">
        <v>120110045</v>
      </c>
      <c r="B291" s="15"/>
      <c r="C291" s="14" t="s">
        <v>896</v>
      </c>
      <c r="D291" s="16"/>
      <c r="E291" s="13"/>
      <c r="F291" s="13">
        <v>0</v>
      </c>
      <c r="G291" s="13"/>
      <c r="H291" s="13"/>
      <c r="I291" s="13"/>
      <c r="J291" s="13"/>
      <c r="K291" s="13"/>
    </row>
    <row r="292" spans="1:11">
      <c r="A292" s="13">
        <v>120110047</v>
      </c>
      <c r="B292" s="15"/>
      <c r="C292" s="14" t="s">
        <v>897</v>
      </c>
      <c r="D292" s="16"/>
      <c r="E292" s="13"/>
      <c r="F292" s="13">
        <v>0</v>
      </c>
      <c r="G292" s="13"/>
      <c r="H292" s="13"/>
      <c r="I292" s="13"/>
      <c r="J292" s="13"/>
      <c r="K292" s="13"/>
    </row>
    <row r="293" spans="1:11">
      <c r="A293" s="13">
        <v>120110048</v>
      </c>
      <c r="B293" s="15"/>
      <c r="C293" s="14" t="s">
        <v>898</v>
      </c>
      <c r="D293" s="16"/>
      <c r="E293" s="13"/>
      <c r="F293" s="13">
        <v>0</v>
      </c>
      <c r="G293" s="13"/>
      <c r="H293" s="13"/>
      <c r="I293" s="13"/>
      <c r="J293" s="13"/>
      <c r="K293" s="13"/>
    </row>
    <row r="294" spans="1:11">
      <c r="A294" s="13">
        <v>120110049</v>
      </c>
      <c r="B294" s="15"/>
      <c r="C294" s="14" t="s">
        <v>899</v>
      </c>
      <c r="D294" s="16"/>
      <c r="E294" s="13"/>
      <c r="F294" s="13">
        <v>0</v>
      </c>
      <c r="G294" s="13"/>
      <c r="H294" s="13"/>
      <c r="I294" s="13"/>
      <c r="J294" s="13"/>
      <c r="K294" s="13"/>
    </row>
    <row r="295" spans="1:11">
      <c r="A295" s="13">
        <v>120110050</v>
      </c>
      <c r="B295" s="15"/>
      <c r="C295" s="14" t="s">
        <v>900</v>
      </c>
      <c r="D295" s="16"/>
      <c r="E295" s="13"/>
      <c r="F295" s="13">
        <v>0</v>
      </c>
      <c r="G295" s="13"/>
      <c r="H295" s="13"/>
      <c r="I295" s="13"/>
      <c r="J295" s="13"/>
      <c r="K295" s="13"/>
    </row>
    <row r="296" spans="1:11">
      <c r="A296" s="13">
        <v>120110053</v>
      </c>
      <c r="B296" s="15"/>
      <c r="C296" s="14" t="s">
        <v>901</v>
      </c>
      <c r="D296" s="16"/>
      <c r="E296" s="13"/>
      <c r="F296" s="13">
        <v>0</v>
      </c>
      <c r="G296" s="13"/>
      <c r="H296" s="13"/>
      <c r="I296" s="13"/>
      <c r="J296" s="13"/>
      <c r="K296" s="13"/>
    </row>
    <row r="297" spans="1:11">
      <c r="A297" s="13">
        <v>120110054</v>
      </c>
      <c r="B297" s="15"/>
      <c r="C297" s="14" t="s">
        <v>902</v>
      </c>
      <c r="D297" s="16"/>
      <c r="E297" s="13"/>
      <c r="F297" s="13">
        <v>0</v>
      </c>
      <c r="G297" s="13"/>
      <c r="H297" s="13"/>
      <c r="I297" s="13"/>
      <c r="J297" s="13"/>
      <c r="K297" s="13"/>
    </row>
    <row r="298" spans="1:11">
      <c r="A298" s="13">
        <v>120110055</v>
      </c>
      <c r="B298" s="15"/>
      <c r="C298" s="14" t="s">
        <v>903</v>
      </c>
      <c r="D298" s="16"/>
      <c r="E298" s="13"/>
      <c r="F298" s="13">
        <v>0</v>
      </c>
      <c r="G298" s="13"/>
      <c r="H298" s="13"/>
      <c r="I298" s="13"/>
      <c r="J298" s="13"/>
      <c r="K298" s="13"/>
    </row>
    <row r="299" spans="1:11">
      <c r="A299" s="13">
        <v>120110056</v>
      </c>
      <c r="B299" s="15"/>
      <c r="C299" s="14" t="s">
        <v>904</v>
      </c>
      <c r="D299" s="16"/>
      <c r="E299" s="13"/>
      <c r="F299" s="13">
        <v>0</v>
      </c>
      <c r="G299" s="13"/>
      <c r="H299" s="13"/>
      <c r="I299" s="13"/>
      <c r="J299" s="13"/>
      <c r="K299" s="13"/>
    </row>
    <row r="300" spans="1:11">
      <c r="A300" s="13">
        <v>120110057</v>
      </c>
      <c r="B300" s="15"/>
      <c r="C300" s="14" t="s">
        <v>905</v>
      </c>
      <c r="D300" s="16"/>
      <c r="E300" s="13"/>
      <c r="F300" s="13">
        <v>0</v>
      </c>
      <c r="G300" s="13"/>
      <c r="H300" s="13"/>
      <c r="I300" s="13"/>
      <c r="J300" s="13"/>
      <c r="K300" s="13"/>
    </row>
    <row r="301" spans="1:11">
      <c r="A301" s="13">
        <v>120110058</v>
      </c>
      <c r="B301" s="15"/>
      <c r="C301" s="14" t="s">
        <v>906</v>
      </c>
      <c r="D301" s="16"/>
      <c r="E301" s="13"/>
      <c r="F301" s="13">
        <v>0</v>
      </c>
      <c r="G301" s="13"/>
      <c r="H301" s="13"/>
      <c r="I301" s="13"/>
      <c r="J301" s="13"/>
      <c r="K301" s="13"/>
    </row>
    <row r="302" spans="1:11">
      <c r="A302" s="13">
        <v>120110059</v>
      </c>
      <c r="B302" s="15"/>
      <c r="C302" s="14" t="s">
        <v>907</v>
      </c>
      <c r="D302" s="16"/>
      <c r="E302" s="13"/>
      <c r="F302" s="13">
        <v>0</v>
      </c>
      <c r="G302" s="13"/>
      <c r="H302" s="13"/>
      <c r="I302" s="13"/>
      <c r="J302" s="13"/>
      <c r="K302" s="13"/>
    </row>
    <row r="303" spans="1:11">
      <c r="A303" s="13">
        <v>120110060</v>
      </c>
      <c r="B303" s="15"/>
      <c r="C303" s="14" t="s">
        <v>908</v>
      </c>
      <c r="D303" s="16"/>
      <c r="E303" s="13"/>
      <c r="F303" s="13">
        <v>0</v>
      </c>
      <c r="G303" s="13"/>
      <c r="H303" s="13"/>
      <c r="I303" s="13"/>
      <c r="J303" s="13"/>
      <c r="K303" s="13"/>
    </row>
    <row r="304" spans="1:11">
      <c r="A304" s="13">
        <v>120110062</v>
      </c>
      <c r="B304" s="15"/>
      <c r="C304" s="14" t="s">
        <v>909</v>
      </c>
      <c r="D304" s="16"/>
      <c r="E304" s="13"/>
      <c r="F304" s="13">
        <v>0</v>
      </c>
      <c r="G304" s="13"/>
      <c r="H304" s="13"/>
      <c r="I304" s="13"/>
      <c r="J304" s="13"/>
      <c r="K304" s="13"/>
    </row>
    <row r="305" spans="1:11">
      <c r="A305" s="13">
        <v>120110063</v>
      </c>
      <c r="B305" s="15"/>
      <c r="C305" s="14" t="s">
        <v>910</v>
      </c>
      <c r="D305" s="16"/>
      <c r="E305" s="13"/>
      <c r="F305" s="13">
        <v>0</v>
      </c>
      <c r="G305" s="13"/>
      <c r="H305" s="13"/>
      <c r="I305" s="13"/>
      <c r="J305" s="13"/>
      <c r="K305" s="13"/>
    </row>
    <row r="306" spans="1:11">
      <c r="A306" s="13">
        <v>120110064</v>
      </c>
      <c r="B306" s="15"/>
      <c r="C306" s="14" t="s">
        <v>911</v>
      </c>
      <c r="D306" s="16"/>
      <c r="E306" s="13"/>
      <c r="F306" s="13">
        <v>0</v>
      </c>
      <c r="G306" s="13"/>
      <c r="H306" s="13"/>
      <c r="I306" s="13"/>
      <c r="J306" s="13"/>
      <c r="K306" s="13"/>
    </row>
    <row r="307" spans="1:11">
      <c r="A307" s="13">
        <v>120110065</v>
      </c>
      <c r="B307" s="15"/>
      <c r="C307" s="14" t="s">
        <v>912</v>
      </c>
      <c r="D307" s="16"/>
      <c r="E307" s="13"/>
      <c r="F307" s="13">
        <v>0</v>
      </c>
      <c r="G307" s="13"/>
      <c r="H307" s="13"/>
      <c r="I307" s="13"/>
      <c r="J307" s="13"/>
      <c r="K307" s="13"/>
    </row>
    <row r="308" spans="1:11">
      <c r="A308" s="13">
        <v>120110066</v>
      </c>
      <c r="B308" s="15"/>
      <c r="C308" s="14" t="s">
        <v>913</v>
      </c>
      <c r="D308" s="16"/>
      <c r="E308" s="13"/>
      <c r="F308" s="13">
        <v>0</v>
      </c>
      <c r="G308" s="13"/>
      <c r="H308" s="13"/>
      <c r="I308" s="13"/>
      <c r="J308" s="13"/>
      <c r="K308" s="13"/>
    </row>
    <row r="309" spans="1:11">
      <c r="A309" s="13">
        <v>120110067</v>
      </c>
      <c r="B309" s="15"/>
      <c r="C309" s="14" t="s">
        <v>914</v>
      </c>
      <c r="D309" s="16"/>
      <c r="E309" s="13"/>
      <c r="F309" s="13">
        <v>0</v>
      </c>
      <c r="G309" s="13"/>
      <c r="H309" s="13"/>
      <c r="I309" s="13"/>
      <c r="J309" s="13"/>
      <c r="K309" s="13"/>
    </row>
    <row r="310" spans="1:11">
      <c r="A310" s="13">
        <v>120110069</v>
      </c>
      <c r="B310" s="15"/>
      <c r="C310" s="14" t="s">
        <v>915</v>
      </c>
      <c r="D310" s="16" t="s">
        <v>916</v>
      </c>
      <c r="E310" s="13"/>
      <c r="F310" s="13">
        <v>0</v>
      </c>
      <c r="G310" s="13"/>
      <c r="H310" s="13"/>
      <c r="I310" s="13"/>
      <c r="J310" s="13"/>
      <c r="K310" s="13"/>
    </row>
    <row r="311" spans="1:11">
      <c r="A311" s="13">
        <v>120110070</v>
      </c>
      <c r="B311" s="15"/>
      <c r="C311" s="14" t="s">
        <v>917</v>
      </c>
      <c r="D311" s="16"/>
      <c r="E311" s="13"/>
      <c r="F311" s="13">
        <v>0</v>
      </c>
      <c r="G311" s="13"/>
      <c r="H311" s="13"/>
      <c r="I311" s="13"/>
      <c r="J311" s="13"/>
      <c r="K311" s="13"/>
    </row>
    <row r="312" spans="1:11">
      <c r="A312" s="13">
        <v>120110071</v>
      </c>
      <c r="B312" s="15"/>
      <c r="C312" s="14" t="s">
        <v>918</v>
      </c>
      <c r="D312" s="16"/>
      <c r="E312" s="13"/>
      <c r="F312" s="13">
        <v>0</v>
      </c>
      <c r="G312" s="13"/>
      <c r="H312" s="13"/>
      <c r="I312" s="13"/>
      <c r="J312" s="13"/>
      <c r="K312" s="13"/>
    </row>
    <row r="313" spans="1:11">
      <c r="A313" s="13">
        <v>120110072</v>
      </c>
      <c r="B313" s="15"/>
      <c r="C313" s="14" t="s">
        <v>919</v>
      </c>
      <c r="D313" s="16"/>
      <c r="E313" s="13"/>
      <c r="F313" s="13">
        <v>0</v>
      </c>
      <c r="G313" s="13"/>
      <c r="H313" s="13"/>
      <c r="I313" s="13"/>
      <c r="J313" s="13"/>
      <c r="K313" s="13"/>
    </row>
    <row r="314" spans="1:11">
      <c r="A314" s="13">
        <v>120110073</v>
      </c>
      <c r="B314" s="15"/>
      <c r="C314" s="14" t="s">
        <v>920</v>
      </c>
      <c r="D314" s="16"/>
      <c r="E314" s="13"/>
      <c r="F314" s="13">
        <v>0</v>
      </c>
      <c r="G314" s="13"/>
      <c r="H314" s="13"/>
      <c r="I314" s="13"/>
      <c r="J314" s="13"/>
      <c r="K314" s="13"/>
    </row>
    <row r="315" spans="1:11">
      <c r="A315" s="13">
        <v>120110074</v>
      </c>
      <c r="B315" s="15"/>
      <c r="C315" s="14" t="s">
        <v>921</v>
      </c>
      <c r="D315" s="16"/>
      <c r="E315" s="13"/>
      <c r="F315" s="13">
        <v>0</v>
      </c>
      <c r="G315" s="13"/>
      <c r="H315" s="13"/>
      <c r="I315" s="13"/>
      <c r="J315" s="13"/>
      <c r="K315" s="13"/>
    </row>
    <row r="316" spans="1:11">
      <c r="A316" s="13">
        <v>120110076</v>
      </c>
      <c r="B316" s="15"/>
      <c r="C316" s="14" t="s">
        <v>922</v>
      </c>
      <c r="D316" s="16"/>
      <c r="E316" s="13"/>
      <c r="F316" s="13">
        <v>0</v>
      </c>
      <c r="G316" s="13"/>
      <c r="H316" s="13"/>
      <c r="I316" s="13"/>
      <c r="J316" s="13"/>
      <c r="K316" s="13"/>
    </row>
    <row r="317" spans="1:11">
      <c r="A317" s="13">
        <v>120110078</v>
      </c>
      <c r="B317" s="15"/>
      <c r="C317" s="14" t="s">
        <v>923</v>
      </c>
      <c r="D317" s="16"/>
      <c r="E317" s="13"/>
      <c r="F317" s="13">
        <v>0</v>
      </c>
      <c r="G317" s="13"/>
      <c r="H317" s="13"/>
      <c r="I317" s="13"/>
      <c r="J317" s="13"/>
      <c r="K317" s="13"/>
    </row>
    <row r="318" spans="1:11">
      <c r="A318" s="13">
        <v>120110080</v>
      </c>
      <c r="B318" s="15"/>
      <c r="C318" s="14" t="s">
        <v>924</v>
      </c>
      <c r="D318" s="16"/>
      <c r="E318" s="13"/>
      <c r="F318" s="13">
        <v>0</v>
      </c>
      <c r="G318" s="13"/>
      <c r="H318" s="13"/>
      <c r="I318" s="13"/>
      <c r="J318" s="13"/>
      <c r="K318" s="13"/>
    </row>
    <row r="319" spans="1:11">
      <c r="A319" s="13">
        <v>120110082</v>
      </c>
      <c r="B319" s="15"/>
      <c r="C319" s="14" t="s">
        <v>925</v>
      </c>
      <c r="D319" s="16"/>
      <c r="E319" s="13"/>
      <c r="F319" s="13">
        <v>0</v>
      </c>
      <c r="G319" s="13"/>
      <c r="H319" s="13"/>
      <c r="I319" s="13"/>
      <c r="J319" s="13"/>
      <c r="K319" s="13"/>
    </row>
    <row r="320" spans="1:11">
      <c r="A320" s="13">
        <v>120110083</v>
      </c>
      <c r="B320" s="15"/>
      <c r="C320" s="14" t="s">
        <v>926</v>
      </c>
      <c r="D320" s="16"/>
      <c r="E320" s="13"/>
      <c r="F320" s="13">
        <v>0</v>
      </c>
      <c r="G320" s="13"/>
      <c r="H320" s="13"/>
      <c r="I320" s="13"/>
      <c r="J320" s="13"/>
      <c r="K320" s="13"/>
    </row>
    <row r="321" spans="1:11">
      <c r="A321" s="13">
        <v>120110084</v>
      </c>
      <c r="B321" s="15"/>
      <c r="C321" s="14" t="s">
        <v>927</v>
      </c>
      <c r="D321" s="16"/>
      <c r="E321" s="13"/>
      <c r="F321" s="13">
        <v>0</v>
      </c>
      <c r="G321" s="13"/>
      <c r="H321" s="13"/>
      <c r="I321" s="13"/>
      <c r="J321" s="13"/>
      <c r="K321" s="13"/>
    </row>
    <row r="322" spans="1:11">
      <c r="A322" s="13">
        <v>120110085</v>
      </c>
      <c r="B322" s="15"/>
      <c r="C322" s="14" t="s">
        <v>928</v>
      </c>
      <c r="D322" s="16"/>
      <c r="E322" s="13"/>
      <c r="F322" s="13">
        <v>0</v>
      </c>
      <c r="G322" s="13"/>
      <c r="H322" s="13"/>
      <c r="I322" s="13"/>
      <c r="J322" s="13"/>
      <c r="K322" s="13"/>
    </row>
    <row r="323" spans="1:11">
      <c r="A323" s="13">
        <v>120110086</v>
      </c>
      <c r="B323" s="15"/>
      <c r="C323" s="14" t="s">
        <v>929</v>
      </c>
      <c r="D323" s="16"/>
      <c r="E323" s="13"/>
      <c r="F323" s="13">
        <v>0</v>
      </c>
      <c r="G323" s="13"/>
      <c r="H323" s="13"/>
      <c r="I323" s="13"/>
      <c r="J323" s="13"/>
      <c r="K323" s="13"/>
    </row>
    <row r="324" spans="1:11">
      <c r="A324" s="13">
        <v>120110087</v>
      </c>
      <c r="B324" s="15"/>
      <c r="C324" s="14" t="s">
        <v>930</v>
      </c>
      <c r="D324" s="16" t="s">
        <v>1286</v>
      </c>
      <c r="E324" s="13"/>
      <c r="F324" s="13">
        <v>0</v>
      </c>
      <c r="G324" s="13"/>
      <c r="H324" s="13"/>
      <c r="I324" s="13"/>
      <c r="J324" s="13"/>
      <c r="K324" s="13"/>
    </row>
    <row r="325" spans="1:11">
      <c r="A325" s="13">
        <v>120110088</v>
      </c>
      <c r="B325" s="15"/>
      <c r="C325" s="14" t="s">
        <v>931</v>
      </c>
      <c r="D325" s="16"/>
      <c r="E325" s="13"/>
      <c r="F325" s="13">
        <v>0</v>
      </c>
      <c r="G325" s="13"/>
      <c r="H325" s="13"/>
      <c r="I325" s="13"/>
      <c r="J325" s="13"/>
      <c r="K325" s="13"/>
    </row>
    <row r="326" spans="1:11">
      <c r="A326" s="13">
        <v>120110089</v>
      </c>
      <c r="B326" s="15"/>
      <c r="C326" s="14" t="s">
        <v>932</v>
      </c>
      <c r="D326" s="16"/>
      <c r="E326" s="13"/>
      <c r="F326" s="13">
        <v>0</v>
      </c>
      <c r="G326" s="13"/>
      <c r="H326" s="13"/>
      <c r="I326" s="13"/>
      <c r="J326" s="13"/>
      <c r="K326" s="13"/>
    </row>
    <row r="327" spans="1:11">
      <c r="A327" s="13">
        <v>120100119</v>
      </c>
      <c r="B327" s="15"/>
      <c r="C327" s="14" t="s">
        <v>933</v>
      </c>
      <c r="D327" s="16"/>
      <c r="E327" s="13"/>
      <c r="F327" s="13">
        <v>0</v>
      </c>
      <c r="G327" s="13"/>
      <c r="H327" s="13"/>
      <c r="I327" s="13"/>
      <c r="J327" s="13"/>
      <c r="K327" s="13"/>
    </row>
    <row r="328" spans="1:11">
      <c r="A328" s="13">
        <v>120100120</v>
      </c>
      <c r="B328" s="15"/>
      <c r="C328" s="14" t="s">
        <v>934</v>
      </c>
      <c r="D328" s="16"/>
      <c r="E328" s="13"/>
      <c r="F328" s="13">
        <v>0</v>
      </c>
      <c r="G328" s="13"/>
      <c r="H328" s="13"/>
      <c r="I328" s="13"/>
      <c r="J328" s="13"/>
      <c r="K328" s="13"/>
    </row>
    <row r="329" spans="1:11">
      <c r="A329" s="13">
        <v>120100121</v>
      </c>
      <c r="B329" s="15"/>
      <c r="C329" s="14" t="s">
        <v>935</v>
      </c>
      <c r="D329" s="16"/>
      <c r="E329" s="13"/>
      <c r="F329" s="13">
        <v>0</v>
      </c>
      <c r="G329" s="13"/>
      <c r="H329" s="13"/>
      <c r="I329" s="13"/>
      <c r="J329" s="13"/>
      <c r="K329" s="13"/>
    </row>
    <row r="330" spans="1:11">
      <c r="A330" s="13">
        <v>120100122</v>
      </c>
      <c r="B330" s="15"/>
      <c r="C330" s="14" t="s">
        <v>936</v>
      </c>
      <c r="D330" s="16" t="s">
        <v>937</v>
      </c>
      <c r="E330" s="13"/>
      <c r="F330" s="13">
        <v>0</v>
      </c>
      <c r="G330" s="13"/>
      <c r="H330" s="13"/>
      <c r="I330" s="13"/>
      <c r="J330" s="13"/>
      <c r="K330" s="13"/>
    </row>
    <row r="331" spans="1:11">
      <c r="A331" s="13">
        <v>120100123</v>
      </c>
      <c r="B331" s="15"/>
      <c r="C331" s="14" t="s">
        <v>938</v>
      </c>
      <c r="D331" s="16" t="s">
        <v>1287</v>
      </c>
      <c r="E331" s="13"/>
      <c r="F331" s="13">
        <v>0</v>
      </c>
      <c r="G331" s="13"/>
      <c r="H331" s="13"/>
      <c r="I331" s="13"/>
      <c r="J331" s="13"/>
      <c r="K331" s="13"/>
    </row>
    <row r="332" spans="1:11">
      <c r="A332" s="13">
        <v>120100124</v>
      </c>
      <c r="B332" s="15"/>
      <c r="C332" s="14" t="s">
        <v>939</v>
      </c>
      <c r="D332" s="16" t="s">
        <v>1288</v>
      </c>
      <c r="E332" s="13"/>
      <c r="F332" s="13">
        <v>0</v>
      </c>
      <c r="G332" s="13"/>
      <c r="H332" s="13"/>
      <c r="I332" s="13"/>
      <c r="J332" s="13"/>
      <c r="K332" s="13"/>
    </row>
    <row r="333" spans="1:11">
      <c r="A333" s="13">
        <v>120100125</v>
      </c>
      <c r="B333" s="15"/>
      <c r="C333" s="14" t="s">
        <v>940</v>
      </c>
      <c r="D333" s="16" t="s">
        <v>941</v>
      </c>
      <c r="E333" s="13"/>
      <c r="F333" s="13">
        <v>0</v>
      </c>
      <c r="G333" s="13"/>
      <c r="H333" s="13"/>
      <c r="I333" s="13"/>
      <c r="J333" s="13"/>
      <c r="K333" s="13"/>
    </row>
    <row r="334" spans="1:11">
      <c r="A334" s="13">
        <v>120100126</v>
      </c>
      <c r="B334" s="15"/>
      <c r="C334" s="14" t="s">
        <v>942</v>
      </c>
      <c r="D334" s="16"/>
      <c r="E334" s="13"/>
      <c r="F334" s="13">
        <v>0</v>
      </c>
      <c r="G334" s="13"/>
      <c r="H334" s="13"/>
      <c r="I334" s="13"/>
      <c r="J334" s="13"/>
      <c r="K334" s="13"/>
    </row>
    <row r="335" spans="1:11">
      <c r="A335" s="13">
        <v>120100128</v>
      </c>
      <c r="B335" s="15"/>
      <c r="C335" s="14" t="s">
        <v>943</v>
      </c>
      <c r="D335" s="16" t="s">
        <v>944</v>
      </c>
      <c r="E335" s="13"/>
      <c r="F335" s="13">
        <v>0</v>
      </c>
      <c r="G335" s="13"/>
      <c r="H335" s="13"/>
      <c r="I335" s="13"/>
      <c r="J335" s="13"/>
      <c r="K335" s="13"/>
    </row>
    <row r="336" spans="1:11">
      <c r="A336" s="13">
        <v>120100129</v>
      </c>
      <c r="B336" s="15"/>
      <c r="C336" s="14" t="s">
        <v>945</v>
      </c>
      <c r="D336" s="16"/>
      <c r="E336" s="13"/>
      <c r="F336" s="13">
        <v>0</v>
      </c>
      <c r="G336" s="13"/>
      <c r="H336" s="13"/>
      <c r="I336" s="13"/>
      <c r="J336" s="13"/>
      <c r="K336" s="13"/>
    </row>
    <row r="337" spans="1:11">
      <c r="A337" s="13">
        <v>120100130</v>
      </c>
      <c r="B337" s="15"/>
      <c r="C337" s="14" t="s">
        <v>946</v>
      </c>
      <c r="D337" s="16"/>
      <c r="E337" s="13"/>
      <c r="F337" s="13">
        <v>0</v>
      </c>
      <c r="G337" s="13"/>
      <c r="H337" s="13"/>
      <c r="I337" s="13"/>
      <c r="J337" s="13"/>
      <c r="K337" s="13"/>
    </row>
    <row r="338" spans="1:11">
      <c r="A338" s="13">
        <v>120100131</v>
      </c>
      <c r="B338" s="15"/>
      <c r="C338" s="14" t="s">
        <v>947</v>
      </c>
      <c r="D338" s="16"/>
      <c r="E338" s="13"/>
      <c r="F338" s="13">
        <v>0</v>
      </c>
      <c r="G338" s="13"/>
      <c r="H338" s="13"/>
      <c r="I338" s="13"/>
      <c r="J338" s="13"/>
      <c r="K338" s="13"/>
    </row>
    <row r="339" spans="1:11">
      <c r="A339" s="13">
        <v>120110098</v>
      </c>
      <c r="B339" s="15"/>
      <c r="C339" s="14" t="s">
        <v>948</v>
      </c>
      <c r="D339" s="16"/>
      <c r="E339" s="13"/>
      <c r="F339" s="13">
        <v>0</v>
      </c>
      <c r="G339" s="13"/>
      <c r="H339" s="13"/>
      <c r="I339" s="13"/>
      <c r="J339" s="13"/>
      <c r="K339" s="13"/>
    </row>
    <row r="340" spans="1:11">
      <c r="A340" s="13">
        <v>120110099</v>
      </c>
      <c r="B340" s="15"/>
      <c r="C340" s="14" t="s">
        <v>949</v>
      </c>
      <c r="D340" s="16"/>
      <c r="E340" s="13"/>
      <c r="F340" s="13">
        <v>0</v>
      </c>
      <c r="G340" s="13"/>
      <c r="H340" s="13"/>
      <c r="I340" s="13"/>
      <c r="J340" s="13"/>
      <c r="K340" s="13"/>
    </row>
    <row r="341" spans="1:11">
      <c r="A341" s="13">
        <v>120110100</v>
      </c>
      <c r="B341" s="15"/>
      <c r="C341" s="14" t="s">
        <v>950</v>
      </c>
      <c r="D341" s="16"/>
      <c r="E341" s="13"/>
      <c r="F341" s="13">
        <v>0</v>
      </c>
      <c r="G341" s="13"/>
      <c r="H341" s="13"/>
      <c r="I341" s="13"/>
      <c r="J341" s="13"/>
      <c r="K341" s="13"/>
    </row>
    <row r="342" spans="1:11">
      <c r="A342" s="13">
        <v>120100116</v>
      </c>
      <c r="B342" s="15"/>
      <c r="C342" s="14" t="s">
        <v>951</v>
      </c>
      <c r="D342" s="16"/>
      <c r="E342" s="13"/>
      <c r="F342" s="13">
        <v>0</v>
      </c>
      <c r="G342" s="13"/>
      <c r="H342" s="13"/>
      <c r="I342" s="13"/>
      <c r="J342" s="13"/>
      <c r="K342" s="13"/>
    </row>
    <row r="343" spans="1:11">
      <c r="A343" s="13">
        <v>120110097</v>
      </c>
      <c r="B343" s="15"/>
      <c r="C343" s="14" t="s">
        <v>952</v>
      </c>
      <c r="D343" s="16"/>
      <c r="E343" s="13"/>
      <c r="F343" s="13">
        <v>0</v>
      </c>
      <c r="G343" s="13"/>
      <c r="H343" s="13"/>
      <c r="I343" s="13"/>
      <c r="J343" s="13"/>
      <c r="K343" s="13"/>
    </row>
    <row r="344" spans="1:11">
      <c r="A344" s="13">
        <v>120100117</v>
      </c>
      <c r="B344" s="15"/>
      <c r="C344" s="14" t="s">
        <v>953</v>
      </c>
      <c r="D344" s="16"/>
      <c r="E344" s="13"/>
      <c r="F344" s="13">
        <v>0</v>
      </c>
      <c r="G344" s="13"/>
      <c r="H344" s="13"/>
      <c r="I344" s="13"/>
      <c r="J344" s="13"/>
      <c r="K344" s="13"/>
    </row>
    <row r="345" spans="1:11">
      <c r="A345" s="13">
        <v>120100118</v>
      </c>
      <c r="B345" s="15"/>
      <c r="C345" s="14" t="s">
        <v>954</v>
      </c>
      <c r="D345" s="16"/>
      <c r="E345" s="13"/>
      <c r="F345" s="13">
        <v>0</v>
      </c>
      <c r="G345" s="13"/>
      <c r="H345" s="13"/>
      <c r="I345" s="13"/>
      <c r="J345" s="13"/>
      <c r="K345" s="13"/>
    </row>
    <row r="346" spans="1:11">
      <c r="A346" s="13">
        <v>120100089</v>
      </c>
      <c r="B346" s="15"/>
      <c r="C346" s="14" t="s">
        <v>955</v>
      </c>
      <c r="D346" s="16"/>
      <c r="E346" s="13"/>
      <c r="F346" s="13">
        <v>0</v>
      </c>
      <c r="G346" s="13"/>
      <c r="H346" s="13"/>
      <c r="I346" s="13"/>
      <c r="J346" s="13"/>
      <c r="K346" s="13"/>
    </row>
    <row r="347" spans="1:11">
      <c r="A347" s="13">
        <v>120100090</v>
      </c>
      <c r="B347" s="15"/>
      <c r="C347" s="14" t="s">
        <v>956</v>
      </c>
      <c r="D347" s="16" t="s">
        <v>957</v>
      </c>
      <c r="E347" s="13"/>
      <c r="F347" s="13">
        <v>0</v>
      </c>
      <c r="G347" s="13"/>
      <c r="H347" s="13"/>
      <c r="I347" s="13"/>
      <c r="J347" s="13"/>
      <c r="K347" s="13"/>
    </row>
    <row r="348" spans="1:11">
      <c r="A348" s="13">
        <v>120100091</v>
      </c>
      <c r="B348" s="15"/>
      <c r="C348" s="14" t="s">
        <v>958</v>
      </c>
      <c r="D348" s="16"/>
      <c r="E348" s="13"/>
      <c r="F348" s="13">
        <v>0</v>
      </c>
      <c r="G348" s="13"/>
      <c r="H348" s="13"/>
      <c r="I348" s="13"/>
      <c r="J348" s="13"/>
      <c r="K348" s="13"/>
    </row>
    <row r="349" spans="1:11">
      <c r="A349" s="13">
        <v>120110095</v>
      </c>
      <c r="B349" s="15"/>
      <c r="C349" s="14" t="s">
        <v>959</v>
      </c>
      <c r="D349" s="16"/>
      <c r="E349" s="13"/>
      <c r="F349" s="13">
        <v>0</v>
      </c>
      <c r="G349" s="13"/>
      <c r="H349" s="13"/>
      <c r="I349" s="13"/>
      <c r="J349" s="13"/>
      <c r="K349" s="13"/>
    </row>
    <row r="350" spans="1:11">
      <c r="A350" s="13">
        <v>120100093</v>
      </c>
      <c r="B350" s="15"/>
      <c r="C350" s="14" t="s">
        <v>960</v>
      </c>
      <c r="D350" s="16"/>
      <c r="E350" s="13"/>
      <c r="F350" s="13">
        <v>0</v>
      </c>
      <c r="G350" s="13"/>
      <c r="H350" s="13"/>
      <c r="I350" s="13"/>
      <c r="J350" s="13"/>
      <c r="K350" s="13"/>
    </row>
    <row r="351" spans="1:11">
      <c r="A351" s="13">
        <v>120100094</v>
      </c>
      <c r="B351" s="15"/>
      <c r="C351" s="14" t="s">
        <v>961</v>
      </c>
      <c r="D351" s="16"/>
      <c r="E351" s="13"/>
      <c r="F351" s="13">
        <v>0</v>
      </c>
      <c r="G351" s="13"/>
      <c r="H351" s="13"/>
      <c r="I351" s="13"/>
      <c r="J351" s="13"/>
      <c r="K351" s="13"/>
    </row>
    <row r="352" spans="1:11">
      <c r="A352" s="13">
        <v>120100095</v>
      </c>
      <c r="B352" s="15"/>
      <c r="C352" s="14" t="s">
        <v>962</v>
      </c>
      <c r="D352" s="16"/>
      <c r="E352" s="13"/>
      <c r="F352" s="13">
        <v>0</v>
      </c>
      <c r="G352" s="13"/>
      <c r="H352" s="13"/>
      <c r="I352" s="13"/>
      <c r="J352" s="13"/>
      <c r="K352" s="13"/>
    </row>
    <row r="353" spans="1:11">
      <c r="A353" s="13">
        <v>120100105</v>
      </c>
      <c r="B353" s="15"/>
      <c r="C353" s="14" t="s">
        <v>963</v>
      </c>
      <c r="D353" s="16"/>
      <c r="E353" s="13"/>
      <c r="F353" s="13">
        <v>0</v>
      </c>
      <c r="G353" s="13"/>
      <c r="H353" s="13"/>
      <c r="I353" s="13"/>
      <c r="J353" s="13"/>
      <c r="K353" s="13"/>
    </row>
    <row r="354" spans="1:11">
      <c r="A354" s="13">
        <v>120100096</v>
      </c>
      <c r="B354" s="15"/>
      <c r="C354" s="14" t="s">
        <v>964</v>
      </c>
      <c r="D354" s="16"/>
      <c r="E354" s="13"/>
      <c r="F354" s="13">
        <v>0</v>
      </c>
      <c r="G354" s="13"/>
      <c r="H354" s="13"/>
      <c r="I354" s="13"/>
      <c r="J354" s="13"/>
      <c r="K354" s="13"/>
    </row>
    <row r="355" spans="1:11">
      <c r="A355" s="13">
        <v>120100097</v>
      </c>
      <c r="B355" s="15"/>
      <c r="C355" s="14" t="s">
        <v>965</v>
      </c>
      <c r="D355" s="16"/>
      <c r="E355" s="13"/>
      <c r="F355" s="13">
        <v>0</v>
      </c>
      <c r="G355" s="13"/>
      <c r="H355" s="13"/>
      <c r="I355" s="13"/>
      <c r="J355" s="13"/>
      <c r="K355" s="13"/>
    </row>
    <row r="356" spans="1:11">
      <c r="A356" s="13">
        <v>120100098</v>
      </c>
      <c r="B356" s="15"/>
      <c r="C356" s="14" t="s">
        <v>966</v>
      </c>
      <c r="D356" s="16"/>
      <c r="E356" s="13"/>
      <c r="F356" s="13">
        <v>0</v>
      </c>
      <c r="G356" s="13"/>
      <c r="H356" s="13"/>
      <c r="I356" s="13"/>
      <c r="J356" s="13"/>
      <c r="K356" s="13"/>
    </row>
    <row r="357" spans="1:11">
      <c r="A357" s="13">
        <v>120100099</v>
      </c>
      <c r="B357" s="15"/>
      <c r="C357" s="14" t="s">
        <v>967</v>
      </c>
      <c r="D357" s="16" t="s">
        <v>968</v>
      </c>
      <c r="E357" s="13"/>
      <c r="F357" s="13">
        <v>0</v>
      </c>
      <c r="G357" s="13"/>
      <c r="H357" s="13"/>
      <c r="I357" s="13"/>
      <c r="J357" s="13"/>
      <c r="K357" s="13"/>
    </row>
    <row r="358" spans="1:11">
      <c r="A358" s="13">
        <v>120100100</v>
      </c>
      <c r="B358" s="15"/>
      <c r="C358" s="14" t="s">
        <v>969</v>
      </c>
      <c r="D358" s="16" t="s">
        <v>970</v>
      </c>
      <c r="E358" s="13"/>
      <c r="F358" s="13">
        <v>0</v>
      </c>
      <c r="G358" s="13"/>
      <c r="H358" s="13"/>
      <c r="I358" s="13"/>
      <c r="J358" s="13"/>
      <c r="K358" s="13"/>
    </row>
    <row r="359" spans="1:11">
      <c r="A359" s="13">
        <v>120100101</v>
      </c>
      <c r="B359" s="15"/>
      <c r="C359" s="14" t="s">
        <v>971</v>
      </c>
      <c r="D359" s="16"/>
      <c r="E359" s="13"/>
      <c r="F359" s="13">
        <v>0</v>
      </c>
      <c r="G359" s="13"/>
      <c r="H359" s="13"/>
      <c r="I359" s="13"/>
      <c r="J359" s="13"/>
      <c r="K359" s="13"/>
    </row>
    <row r="360" spans="1:11">
      <c r="A360" s="13">
        <v>120100102</v>
      </c>
      <c r="B360" s="15"/>
      <c r="C360" s="14" t="s">
        <v>972</v>
      </c>
      <c r="D360" s="16"/>
      <c r="E360" s="13"/>
      <c r="F360" s="13">
        <v>0</v>
      </c>
      <c r="G360" s="13"/>
      <c r="H360" s="13"/>
      <c r="I360" s="13"/>
      <c r="J360" s="13"/>
      <c r="K360" s="13"/>
    </row>
    <row r="361" spans="1:11">
      <c r="A361" s="13">
        <v>120100103</v>
      </c>
      <c r="B361" s="15"/>
      <c r="C361" s="14" t="s">
        <v>973</v>
      </c>
      <c r="D361" s="16"/>
      <c r="E361" s="13"/>
      <c r="F361" s="13">
        <v>0</v>
      </c>
      <c r="G361" s="13"/>
      <c r="H361" s="13"/>
      <c r="I361" s="13"/>
      <c r="J361" s="13"/>
      <c r="K361" s="13"/>
    </row>
    <row r="362" spans="1:11">
      <c r="A362" s="13">
        <v>120100104</v>
      </c>
      <c r="B362" s="15"/>
      <c r="C362" s="14" t="s">
        <v>974</v>
      </c>
      <c r="D362" s="16"/>
      <c r="E362" s="13"/>
      <c r="F362" s="13">
        <v>0</v>
      </c>
      <c r="G362" s="13"/>
      <c r="H362" s="13"/>
      <c r="I362" s="13"/>
      <c r="J362" s="13"/>
      <c r="K362" s="13"/>
    </row>
    <row r="363" spans="1:11">
      <c r="A363" s="13">
        <v>120100106</v>
      </c>
      <c r="B363" s="15"/>
      <c r="C363" s="14" t="s">
        <v>975</v>
      </c>
      <c r="D363" s="16"/>
      <c r="E363" s="13"/>
      <c r="F363" s="13">
        <v>0</v>
      </c>
      <c r="G363" s="13"/>
      <c r="H363" s="13"/>
      <c r="I363" s="13"/>
      <c r="J363" s="13"/>
      <c r="K363" s="13"/>
    </row>
    <row r="364" spans="1:11">
      <c r="A364" s="13">
        <v>120100107</v>
      </c>
      <c r="B364" s="15"/>
      <c r="C364" s="14" t="s">
        <v>976</v>
      </c>
      <c r="D364" s="16"/>
      <c r="E364" s="13"/>
      <c r="F364" s="13">
        <v>0</v>
      </c>
      <c r="G364" s="13"/>
      <c r="H364" s="13"/>
      <c r="I364" s="13"/>
      <c r="J364" s="13"/>
      <c r="K364" s="13"/>
    </row>
    <row r="365" spans="1:11">
      <c r="A365" s="13">
        <v>120110096</v>
      </c>
      <c r="B365" s="15"/>
      <c r="C365" s="14" t="s">
        <v>977</v>
      </c>
      <c r="D365" s="16"/>
      <c r="E365" s="13"/>
      <c r="F365" s="13">
        <v>0</v>
      </c>
      <c r="G365" s="13"/>
      <c r="H365" s="13"/>
      <c r="I365" s="13"/>
      <c r="J365" s="13"/>
      <c r="K365" s="13"/>
    </row>
    <row r="366" spans="1:11">
      <c r="A366" s="13">
        <v>120100108</v>
      </c>
      <c r="B366" s="15"/>
      <c r="C366" s="14" t="s">
        <v>978</v>
      </c>
      <c r="D366" s="16"/>
      <c r="E366" s="13"/>
      <c r="F366" s="13">
        <v>0</v>
      </c>
      <c r="G366" s="13"/>
      <c r="H366" s="13"/>
      <c r="I366" s="13"/>
      <c r="J366" s="13"/>
      <c r="K366" s="13"/>
    </row>
    <row r="367" spans="1:11">
      <c r="A367" s="13">
        <v>120100115</v>
      </c>
      <c r="B367" s="15"/>
      <c r="C367" s="14" t="s">
        <v>979</v>
      </c>
      <c r="D367" s="16"/>
      <c r="E367" s="13"/>
      <c r="F367" s="13">
        <v>0</v>
      </c>
      <c r="G367" s="13"/>
      <c r="H367" s="13"/>
      <c r="I367" s="13"/>
      <c r="J367" s="13"/>
      <c r="K367" s="13"/>
    </row>
    <row r="368" spans="1:11">
      <c r="A368" s="13">
        <v>120100109</v>
      </c>
      <c r="B368" s="15"/>
      <c r="C368" s="14" t="s">
        <v>980</v>
      </c>
      <c r="D368" s="16"/>
      <c r="E368" s="13"/>
      <c r="F368" s="13">
        <v>0</v>
      </c>
      <c r="G368" s="13"/>
      <c r="H368" s="13"/>
      <c r="I368" s="13"/>
      <c r="J368" s="13"/>
      <c r="K368" s="13"/>
    </row>
    <row r="369" spans="1:11">
      <c r="A369" s="13">
        <v>120100110</v>
      </c>
      <c r="B369" s="15"/>
      <c r="C369" s="14" t="s">
        <v>981</v>
      </c>
      <c r="D369" s="16"/>
      <c r="E369" s="13"/>
      <c r="F369" s="13">
        <v>0</v>
      </c>
      <c r="G369" s="13"/>
      <c r="H369" s="13"/>
      <c r="I369" s="13"/>
      <c r="J369" s="13"/>
      <c r="K369" s="13"/>
    </row>
    <row r="370" spans="1:11">
      <c r="A370" s="13">
        <v>120100111</v>
      </c>
      <c r="B370" s="15"/>
      <c r="C370" s="14" t="s">
        <v>982</v>
      </c>
      <c r="D370" s="16"/>
      <c r="E370" s="13"/>
      <c r="F370" s="13">
        <v>0</v>
      </c>
      <c r="G370" s="13"/>
      <c r="H370" s="13"/>
      <c r="I370" s="13"/>
      <c r="J370" s="13"/>
      <c r="K370" s="13"/>
    </row>
    <row r="371" spans="1:11">
      <c r="A371" s="13">
        <v>120100112</v>
      </c>
      <c r="B371" s="15"/>
      <c r="C371" s="14" t="s">
        <v>983</v>
      </c>
      <c r="D371" s="16"/>
      <c r="E371" s="13"/>
      <c r="F371" s="13">
        <v>0</v>
      </c>
      <c r="G371" s="13"/>
      <c r="H371" s="13"/>
      <c r="I371" s="13"/>
      <c r="J371" s="13"/>
      <c r="K371" s="13"/>
    </row>
    <row r="372" spans="1:11">
      <c r="A372" s="13">
        <v>120100113</v>
      </c>
      <c r="B372" s="15"/>
      <c r="C372" s="14" t="s">
        <v>984</v>
      </c>
      <c r="D372" s="16"/>
      <c r="E372" s="13"/>
      <c r="F372" s="13">
        <v>0</v>
      </c>
      <c r="G372" s="13"/>
      <c r="H372" s="13"/>
      <c r="I372" s="13"/>
      <c r="J372" s="13"/>
      <c r="K372" s="13"/>
    </row>
    <row r="373" spans="1:11">
      <c r="A373" s="13">
        <v>120100114</v>
      </c>
      <c r="B373" s="15"/>
      <c r="C373" s="14" t="s">
        <v>985</v>
      </c>
      <c r="D373" s="16"/>
      <c r="E373" s="13"/>
      <c r="F373" s="13">
        <v>0</v>
      </c>
      <c r="G373" s="13"/>
      <c r="H373" s="13"/>
      <c r="I373" s="13"/>
      <c r="J373" s="13"/>
      <c r="K373" s="13"/>
    </row>
    <row r="374" spans="1:11">
      <c r="A374" s="13">
        <v>120110090</v>
      </c>
      <c r="B374" s="15"/>
      <c r="C374" s="14" t="s">
        <v>986</v>
      </c>
      <c r="D374" s="16"/>
      <c r="E374" s="13"/>
      <c r="F374" s="13">
        <v>0</v>
      </c>
      <c r="G374" s="13"/>
      <c r="H374" s="13"/>
      <c r="I374" s="13"/>
      <c r="J374" s="13"/>
      <c r="K374" s="13"/>
    </row>
    <row r="375" spans="1:11">
      <c r="A375" s="13">
        <v>120110091</v>
      </c>
      <c r="B375" s="15"/>
      <c r="C375" s="14" t="s">
        <v>987</v>
      </c>
      <c r="D375" s="16"/>
      <c r="E375" s="13"/>
      <c r="F375" s="13">
        <v>0</v>
      </c>
      <c r="G375" s="13"/>
      <c r="H375" s="13"/>
      <c r="I375" s="13"/>
      <c r="J375" s="13"/>
      <c r="K375" s="13"/>
    </row>
    <row r="376" spans="1:11">
      <c r="A376" s="13">
        <v>120110093</v>
      </c>
      <c r="B376" s="15"/>
      <c r="C376" s="14" t="s">
        <v>988</v>
      </c>
      <c r="D376" s="16"/>
      <c r="E376" s="13"/>
      <c r="F376" s="13">
        <v>0</v>
      </c>
      <c r="G376" s="13"/>
      <c r="H376" s="13"/>
      <c r="I376" s="13"/>
      <c r="J376" s="13"/>
      <c r="K376" s="13"/>
    </row>
    <row r="377" spans="1:11">
      <c r="A377" s="13">
        <v>120110094</v>
      </c>
      <c r="B377" s="15"/>
      <c r="C377" s="14" t="s">
        <v>989</v>
      </c>
      <c r="D377" s="16"/>
      <c r="E377" s="13"/>
      <c r="F377" s="13">
        <v>0</v>
      </c>
      <c r="G377" s="13"/>
      <c r="H377" s="13"/>
      <c r="I377" s="13"/>
      <c r="J377" s="13"/>
      <c r="K377" s="13"/>
    </row>
    <row r="378" spans="1:11">
      <c r="A378" s="13">
        <v>120110092</v>
      </c>
      <c r="B378" s="15"/>
      <c r="C378" s="14" t="s">
        <v>990</v>
      </c>
      <c r="D378" s="16"/>
      <c r="E378" s="13"/>
      <c r="F378" s="13">
        <v>0</v>
      </c>
      <c r="G378" s="13"/>
      <c r="H378" s="13"/>
      <c r="I378" s="13"/>
      <c r="J378" s="13"/>
      <c r="K378" s="13"/>
    </row>
    <row r="379" spans="1:11">
      <c r="A379" s="13">
        <v>120100092</v>
      </c>
      <c r="B379" s="15"/>
      <c r="C379" s="14" t="s">
        <v>991</v>
      </c>
      <c r="D379" s="16"/>
      <c r="E379" s="13"/>
      <c r="F379" s="13">
        <v>0</v>
      </c>
      <c r="G379" s="13"/>
      <c r="H379" s="13"/>
      <c r="I379" s="13"/>
      <c r="J379" s="13"/>
      <c r="K379" s="13"/>
    </row>
    <row r="380" spans="1:11">
      <c r="A380" s="13">
        <v>120110207</v>
      </c>
      <c r="B380" s="15"/>
      <c r="C380" s="14" t="s">
        <v>992</v>
      </c>
      <c r="D380" s="16" t="s">
        <v>1289</v>
      </c>
      <c r="E380" s="13"/>
      <c r="F380" s="13">
        <v>0</v>
      </c>
      <c r="G380" s="13"/>
      <c r="H380" s="13"/>
      <c r="I380" s="13"/>
      <c r="J380" s="13"/>
      <c r="K380" s="13"/>
    </row>
    <row r="381" spans="1:11">
      <c r="A381" s="13">
        <v>120110208</v>
      </c>
      <c r="B381" s="15"/>
      <c r="C381" s="14" t="s">
        <v>993</v>
      </c>
      <c r="D381" s="16" t="s">
        <v>1290</v>
      </c>
      <c r="E381" s="13"/>
      <c r="F381" s="13">
        <v>0</v>
      </c>
      <c r="G381" s="13"/>
      <c r="H381" s="13"/>
      <c r="I381" s="13"/>
      <c r="J381" s="13"/>
      <c r="K381" s="13"/>
    </row>
    <row r="382" spans="1:11">
      <c r="A382" s="13">
        <v>120100086</v>
      </c>
      <c r="B382" s="15"/>
      <c r="C382" s="14" t="s">
        <v>994</v>
      </c>
      <c r="D382" s="16"/>
      <c r="E382" s="13"/>
      <c r="F382" s="13">
        <v>0</v>
      </c>
      <c r="G382" s="13"/>
      <c r="H382" s="13"/>
      <c r="I382" s="13"/>
      <c r="J382" s="13"/>
      <c r="K382" s="13"/>
    </row>
    <row r="383" spans="1:11">
      <c r="A383" s="13">
        <v>120100227</v>
      </c>
      <c r="B383" s="15"/>
      <c r="C383" s="14" t="s">
        <v>995</v>
      </c>
      <c r="D383" s="16" t="s">
        <v>1291</v>
      </c>
      <c r="E383" s="13"/>
      <c r="F383" s="13">
        <v>0</v>
      </c>
      <c r="G383" s="13"/>
      <c r="H383" s="13"/>
      <c r="I383" s="13"/>
      <c r="J383" s="13"/>
      <c r="K383" s="13"/>
    </row>
    <row r="384" spans="1:11">
      <c r="A384" s="13">
        <v>120100229</v>
      </c>
      <c r="B384" s="15"/>
      <c r="C384" s="14" t="s">
        <v>996</v>
      </c>
      <c r="D384" s="16" t="s">
        <v>1292</v>
      </c>
      <c r="E384" s="13"/>
      <c r="F384" s="13">
        <v>0</v>
      </c>
      <c r="G384" s="13"/>
      <c r="H384" s="13"/>
      <c r="I384" s="13"/>
      <c r="J384" s="13"/>
      <c r="K384" s="13"/>
    </row>
    <row r="385" spans="1:11">
      <c r="A385" s="13">
        <v>120100312</v>
      </c>
      <c r="B385" s="15"/>
      <c r="C385" s="14" t="s">
        <v>997</v>
      </c>
      <c r="D385" s="16" t="s">
        <v>1293</v>
      </c>
      <c r="E385" s="13"/>
      <c r="F385" s="13">
        <v>0</v>
      </c>
      <c r="G385" s="13"/>
      <c r="H385" s="13"/>
      <c r="I385" s="13"/>
      <c r="J385" s="13"/>
      <c r="K385" s="13"/>
    </row>
    <row r="386" spans="1:11">
      <c r="A386" s="13">
        <v>120100313</v>
      </c>
      <c r="B386" s="15"/>
      <c r="C386" s="14" t="s">
        <v>998</v>
      </c>
      <c r="D386" s="16" t="s">
        <v>1294</v>
      </c>
      <c r="E386" s="13"/>
      <c r="F386" s="13">
        <v>0</v>
      </c>
      <c r="G386" s="13"/>
      <c r="H386" s="13"/>
      <c r="I386" s="13"/>
      <c r="J386" s="13"/>
      <c r="K386" s="13"/>
    </row>
    <row r="387" spans="1:11">
      <c r="A387" s="13">
        <v>120100317</v>
      </c>
      <c r="B387" s="15"/>
      <c r="C387" s="14" t="s">
        <v>999</v>
      </c>
      <c r="D387" s="16" t="s">
        <v>1295</v>
      </c>
      <c r="E387" s="13"/>
      <c r="F387" s="13">
        <v>0</v>
      </c>
      <c r="G387" s="13"/>
      <c r="H387" s="13"/>
      <c r="I387" s="13"/>
      <c r="J387" s="13"/>
      <c r="K387" s="13"/>
    </row>
    <row r="388" spans="1:11">
      <c r="A388" s="13">
        <v>120100322</v>
      </c>
      <c r="B388" s="15"/>
      <c r="C388" s="14" t="s">
        <v>1000</v>
      </c>
      <c r="D388" s="16" t="s">
        <v>1296</v>
      </c>
      <c r="E388" s="13"/>
      <c r="F388" s="13">
        <v>0</v>
      </c>
      <c r="G388" s="13"/>
      <c r="H388" s="13"/>
      <c r="I388" s="13"/>
      <c r="J388" s="13"/>
      <c r="K388" s="13"/>
    </row>
    <row r="389" spans="1:11">
      <c r="A389" s="13">
        <v>120110191</v>
      </c>
      <c r="B389" s="15"/>
      <c r="C389" s="14" t="s">
        <v>1001</v>
      </c>
      <c r="D389" s="16" t="s">
        <v>1297</v>
      </c>
      <c r="E389" s="13"/>
      <c r="F389" s="13">
        <v>0</v>
      </c>
      <c r="G389" s="13"/>
      <c r="H389" s="13"/>
      <c r="I389" s="13"/>
      <c r="J389" s="13"/>
      <c r="K389" s="13"/>
    </row>
    <row r="390" spans="1:11">
      <c r="A390" s="13">
        <v>120110192</v>
      </c>
      <c r="B390" s="15"/>
      <c r="C390" s="14" t="s">
        <v>1002</v>
      </c>
      <c r="D390" s="16" t="s">
        <v>1298</v>
      </c>
      <c r="E390" s="13"/>
      <c r="F390" s="13">
        <v>0</v>
      </c>
      <c r="G390" s="13"/>
      <c r="H390" s="13"/>
      <c r="I390" s="13"/>
      <c r="J390" s="13"/>
      <c r="K390" s="13"/>
    </row>
    <row r="391" spans="1:11">
      <c r="A391" s="13">
        <v>120100303</v>
      </c>
      <c r="B391" s="15"/>
      <c r="C391" s="14" t="s">
        <v>1003</v>
      </c>
      <c r="D391" s="16" t="s">
        <v>1299</v>
      </c>
      <c r="E391" s="13"/>
      <c r="F391" s="13">
        <v>0</v>
      </c>
      <c r="G391" s="13"/>
      <c r="H391" s="13"/>
      <c r="I391" s="13"/>
      <c r="J391" s="13"/>
      <c r="K391" s="13"/>
    </row>
    <row r="392" spans="1:11">
      <c r="A392" s="13">
        <v>120110200</v>
      </c>
      <c r="B392" s="15"/>
      <c r="C392" s="14" t="s">
        <v>1004</v>
      </c>
      <c r="D392" s="16" t="s">
        <v>1005</v>
      </c>
      <c r="E392" s="13"/>
      <c r="F392" s="13">
        <v>0</v>
      </c>
      <c r="G392" s="13"/>
      <c r="H392" s="13"/>
      <c r="I392" s="13"/>
      <c r="J392" s="13"/>
      <c r="K392" s="13"/>
    </row>
    <row r="393" spans="1:11">
      <c r="A393" s="13">
        <v>120110201</v>
      </c>
      <c r="B393" s="15"/>
      <c r="C393" s="14" t="s">
        <v>1006</v>
      </c>
      <c r="D393" s="16" t="s">
        <v>1300</v>
      </c>
      <c r="E393" s="13"/>
      <c r="F393" s="13">
        <v>0</v>
      </c>
      <c r="G393" s="13"/>
      <c r="H393" s="13"/>
      <c r="I393" s="13"/>
      <c r="J393" s="13"/>
      <c r="K393" s="13"/>
    </row>
    <row r="394" spans="1:11">
      <c r="A394" s="13">
        <v>120110202</v>
      </c>
      <c r="B394" s="15"/>
      <c r="C394" s="14" t="s">
        <v>1007</v>
      </c>
      <c r="D394" s="16"/>
      <c r="E394" s="13"/>
      <c r="F394" s="13">
        <v>0</v>
      </c>
      <c r="G394" s="13"/>
      <c r="H394" s="13"/>
      <c r="I394" s="13"/>
      <c r="J394" s="13"/>
      <c r="K394" s="13"/>
    </row>
    <row r="395" spans="1:11">
      <c r="A395" s="13">
        <v>120110203</v>
      </c>
      <c r="B395" s="15"/>
      <c r="C395" s="14" t="s">
        <v>1008</v>
      </c>
      <c r="D395" s="16"/>
      <c r="E395" s="13"/>
      <c r="F395" s="13">
        <v>0</v>
      </c>
      <c r="G395" s="13"/>
      <c r="H395" s="13"/>
      <c r="I395" s="13"/>
      <c r="J395" s="13"/>
      <c r="K395" s="13"/>
    </row>
    <row r="396" spans="1:11">
      <c r="A396" s="13">
        <v>120110204</v>
      </c>
      <c r="B396" s="15"/>
      <c r="C396" s="14" t="s">
        <v>1009</v>
      </c>
      <c r="D396" s="16"/>
      <c r="E396" s="13"/>
      <c r="F396" s="13">
        <v>0</v>
      </c>
      <c r="G396" s="13"/>
      <c r="H396" s="13"/>
      <c r="I396" s="13"/>
      <c r="J396" s="13"/>
      <c r="K396" s="13"/>
    </row>
    <row r="397" spans="1:11">
      <c r="A397" s="13">
        <v>120110205</v>
      </c>
      <c r="B397" s="15"/>
      <c r="C397" s="14" t="s">
        <v>1010</v>
      </c>
      <c r="D397" s="16"/>
      <c r="E397" s="13"/>
      <c r="F397" s="13">
        <v>0</v>
      </c>
      <c r="G397" s="13"/>
      <c r="H397" s="13"/>
      <c r="I397" s="13"/>
      <c r="J397" s="13"/>
      <c r="K397" s="13"/>
    </row>
    <row r="398" spans="1:11">
      <c r="A398" s="13">
        <v>120100325</v>
      </c>
      <c r="B398" s="15"/>
      <c r="C398" s="14" t="s">
        <v>1011</v>
      </c>
      <c r="D398" s="16" t="s">
        <v>1301</v>
      </c>
      <c r="E398" s="13"/>
      <c r="F398" s="13">
        <v>0</v>
      </c>
      <c r="G398" s="13"/>
      <c r="H398" s="13"/>
      <c r="I398" s="13"/>
      <c r="J398" s="13"/>
      <c r="K398" s="13"/>
    </row>
    <row r="399" spans="1:11">
      <c r="A399" s="13">
        <v>120100326</v>
      </c>
      <c r="B399" s="15"/>
      <c r="C399" s="14" t="s">
        <v>1011</v>
      </c>
      <c r="D399" s="16" t="s">
        <v>1302</v>
      </c>
      <c r="E399" s="13"/>
      <c r="F399" s="13">
        <v>0</v>
      </c>
      <c r="G399" s="13"/>
      <c r="H399" s="13"/>
      <c r="I399" s="13"/>
      <c r="J399" s="13"/>
      <c r="K399" s="13"/>
    </row>
    <row r="400" spans="1:11">
      <c r="A400" s="13">
        <v>120100327</v>
      </c>
      <c r="B400" s="15"/>
      <c r="C400" s="14" t="s">
        <v>730</v>
      </c>
      <c r="D400" s="16" t="s">
        <v>1303</v>
      </c>
      <c r="E400" s="13"/>
      <c r="F400" s="13">
        <v>0</v>
      </c>
      <c r="G400" s="13"/>
      <c r="H400" s="13"/>
      <c r="I400" s="13"/>
      <c r="J400" s="13"/>
      <c r="K400" s="13"/>
    </row>
    <row r="401" spans="1:11">
      <c r="A401" s="13">
        <v>120100328</v>
      </c>
      <c r="B401" s="15"/>
      <c r="C401" s="14" t="s">
        <v>1012</v>
      </c>
      <c r="D401" s="16"/>
      <c r="E401" s="13"/>
      <c r="F401" s="13">
        <v>0</v>
      </c>
      <c r="G401" s="13"/>
      <c r="H401" s="13"/>
      <c r="I401" s="13"/>
      <c r="J401" s="13"/>
      <c r="K401" s="13"/>
    </row>
    <row r="402" spans="1:11">
      <c r="A402" s="13">
        <v>120100329</v>
      </c>
      <c r="B402" s="15"/>
      <c r="C402" s="14" t="s">
        <v>1013</v>
      </c>
      <c r="D402" s="16" t="s">
        <v>1014</v>
      </c>
      <c r="E402" s="13"/>
      <c r="F402" s="13">
        <v>0</v>
      </c>
      <c r="G402" s="13"/>
      <c r="H402" s="13"/>
      <c r="I402" s="13"/>
      <c r="J402" s="13"/>
      <c r="K402" s="13"/>
    </row>
    <row r="403" spans="1:11">
      <c r="A403" s="13">
        <v>120100330</v>
      </c>
      <c r="B403" s="15"/>
      <c r="C403" s="14" t="s">
        <v>1015</v>
      </c>
      <c r="D403" s="16" t="s">
        <v>1304</v>
      </c>
      <c r="E403" s="13"/>
      <c r="F403" s="13">
        <v>0</v>
      </c>
      <c r="G403" s="13"/>
      <c r="H403" s="13"/>
      <c r="I403" s="13"/>
      <c r="J403" s="13"/>
      <c r="K403" s="13"/>
    </row>
    <row r="404" spans="1:11">
      <c r="A404" s="13">
        <v>120100331</v>
      </c>
      <c r="B404" s="15"/>
      <c r="C404" s="14" t="s">
        <v>1016</v>
      </c>
      <c r="D404" s="16" t="s">
        <v>1305</v>
      </c>
      <c r="E404" s="13"/>
      <c r="F404" s="13">
        <v>0</v>
      </c>
      <c r="G404" s="13"/>
      <c r="H404" s="13"/>
      <c r="I404" s="13"/>
      <c r="J404" s="13"/>
      <c r="K404" s="13"/>
    </row>
    <row r="405" spans="1:11">
      <c r="A405" s="13">
        <v>120100332</v>
      </c>
      <c r="B405" s="15"/>
      <c r="C405" s="14" t="s">
        <v>1017</v>
      </c>
      <c r="D405" s="16" t="s">
        <v>1018</v>
      </c>
      <c r="E405" s="13"/>
      <c r="F405" s="13">
        <v>0</v>
      </c>
      <c r="G405" s="13"/>
      <c r="H405" s="13"/>
      <c r="I405" s="13"/>
      <c r="J405" s="13"/>
      <c r="K405" s="13"/>
    </row>
    <row r="406" spans="1:11">
      <c r="A406" s="13">
        <v>120100333</v>
      </c>
      <c r="B406" s="15"/>
      <c r="C406" s="14" t="s">
        <v>1019</v>
      </c>
      <c r="D406" s="16" t="s">
        <v>1306</v>
      </c>
      <c r="E406" s="13"/>
      <c r="F406" s="13">
        <v>0</v>
      </c>
      <c r="G406" s="13"/>
      <c r="H406" s="13"/>
      <c r="I406" s="13"/>
      <c r="J406" s="13"/>
      <c r="K406" s="13"/>
    </row>
    <row r="407" spans="1:11">
      <c r="A407" s="13">
        <v>120100334</v>
      </c>
      <c r="B407" s="15"/>
      <c r="C407" s="14" t="s">
        <v>1020</v>
      </c>
      <c r="D407" s="16" t="s">
        <v>1307</v>
      </c>
      <c r="E407" s="13"/>
      <c r="F407" s="13">
        <v>0</v>
      </c>
      <c r="G407" s="13"/>
      <c r="H407" s="13"/>
      <c r="I407" s="13"/>
      <c r="J407" s="13"/>
      <c r="K407" s="13"/>
    </row>
    <row r="408" spans="1:11">
      <c r="A408" s="13">
        <v>120100335</v>
      </c>
      <c r="B408" s="15"/>
      <c r="C408" s="14" t="s">
        <v>1021</v>
      </c>
      <c r="D408" s="16" t="s">
        <v>1308</v>
      </c>
      <c r="E408" s="13"/>
      <c r="F408" s="13">
        <v>0</v>
      </c>
      <c r="G408" s="13"/>
      <c r="H408" s="13"/>
      <c r="I408" s="13"/>
      <c r="J408" s="13"/>
      <c r="K408" s="13"/>
    </row>
    <row r="409" spans="1:11">
      <c r="A409" s="13">
        <v>120100336</v>
      </c>
      <c r="B409" s="15"/>
      <c r="C409" s="14" t="s">
        <v>1022</v>
      </c>
      <c r="D409" s="16" t="s">
        <v>1023</v>
      </c>
      <c r="E409" s="13"/>
      <c r="F409" s="13">
        <v>0</v>
      </c>
      <c r="G409" s="13"/>
      <c r="H409" s="13"/>
      <c r="I409" s="13"/>
      <c r="J409" s="13"/>
      <c r="K409" s="13"/>
    </row>
    <row r="410" spans="1:11">
      <c r="A410" s="13">
        <v>120100337</v>
      </c>
      <c r="B410" s="15"/>
      <c r="C410" s="14" t="s">
        <v>1024</v>
      </c>
      <c r="D410" s="16" t="s">
        <v>1309</v>
      </c>
      <c r="E410" s="13"/>
      <c r="F410" s="13">
        <v>0</v>
      </c>
      <c r="G410" s="13"/>
      <c r="H410" s="13"/>
      <c r="I410" s="13"/>
      <c r="J410" s="13"/>
      <c r="K410" s="13"/>
    </row>
    <row r="411" spans="1:11">
      <c r="A411" s="13">
        <v>120100338</v>
      </c>
      <c r="B411" s="15"/>
      <c r="C411" s="14" t="s">
        <v>1025</v>
      </c>
      <c r="D411" s="16" t="s">
        <v>1310</v>
      </c>
      <c r="E411" s="13"/>
      <c r="F411" s="13">
        <v>0</v>
      </c>
      <c r="G411" s="13"/>
      <c r="H411" s="13"/>
      <c r="I411" s="13"/>
      <c r="J411" s="13"/>
      <c r="K411" s="13"/>
    </row>
    <row r="412" spans="1:11">
      <c r="A412" s="13">
        <v>120100339</v>
      </c>
      <c r="B412" s="15"/>
      <c r="C412" s="14" t="s">
        <v>730</v>
      </c>
      <c r="D412" s="16" t="s">
        <v>1311</v>
      </c>
      <c r="E412" s="13"/>
      <c r="F412" s="13">
        <v>0</v>
      </c>
      <c r="G412" s="13"/>
      <c r="H412" s="13"/>
      <c r="I412" s="13"/>
      <c r="J412" s="13"/>
      <c r="K412" s="13"/>
    </row>
    <row r="413" spans="1:11">
      <c r="A413" s="13">
        <v>120100340</v>
      </c>
      <c r="B413" s="15"/>
      <c r="C413" s="14" t="s">
        <v>1026</v>
      </c>
      <c r="D413" s="16" t="s">
        <v>1312</v>
      </c>
      <c r="E413" s="13"/>
      <c r="F413" s="13">
        <v>0</v>
      </c>
      <c r="G413" s="13"/>
      <c r="H413" s="13"/>
      <c r="I413" s="13"/>
      <c r="J413" s="13"/>
      <c r="K413" s="13"/>
    </row>
    <row r="414" spans="1:11">
      <c r="A414" s="13">
        <v>120100344</v>
      </c>
      <c r="B414" s="15"/>
      <c r="C414" s="14" t="s">
        <v>1027</v>
      </c>
      <c r="D414" s="16" t="s">
        <v>1313</v>
      </c>
      <c r="E414" s="13"/>
      <c r="F414" s="13">
        <v>0</v>
      </c>
      <c r="G414" s="13"/>
      <c r="H414" s="13"/>
      <c r="I414" s="13"/>
      <c r="J414" s="13"/>
      <c r="K414" s="13"/>
    </row>
    <row r="415" spans="1:11">
      <c r="A415" s="13">
        <v>120100345</v>
      </c>
      <c r="B415" s="15"/>
      <c r="C415" s="14" t="s">
        <v>1028</v>
      </c>
      <c r="D415" s="16" t="s">
        <v>1314</v>
      </c>
      <c r="E415" s="13"/>
      <c r="F415" s="13">
        <v>0</v>
      </c>
      <c r="G415" s="13"/>
      <c r="H415" s="13"/>
      <c r="I415" s="13"/>
      <c r="J415" s="13"/>
      <c r="K415" s="13"/>
    </row>
    <row r="416" spans="1:11">
      <c r="A416" s="13">
        <v>120100346</v>
      </c>
      <c r="B416" s="15"/>
      <c r="C416" s="14" t="s">
        <v>1029</v>
      </c>
      <c r="D416" s="16" t="s">
        <v>1315</v>
      </c>
      <c r="E416" s="13"/>
      <c r="F416" s="13">
        <v>0</v>
      </c>
      <c r="G416" s="13"/>
      <c r="H416" s="13"/>
      <c r="I416" s="13"/>
      <c r="J416" s="13"/>
      <c r="K416" s="13"/>
    </row>
    <row r="417" spans="1:11">
      <c r="A417" s="13">
        <v>120110206</v>
      </c>
      <c r="B417" s="15"/>
      <c r="C417" s="14" t="s">
        <v>1030</v>
      </c>
      <c r="D417" s="16" t="s">
        <v>1316</v>
      </c>
      <c r="E417" s="13"/>
      <c r="F417" s="13">
        <v>0</v>
      </c>
      <c r="G417" s="13"/>
      <c r="H417" s="13"/>
      <c r="I417" s="13"/>
      <c r="J417" s="13"/>
      <c r="K417" s="13"/>
    </row>
    <row r="418" spans="1:11">
      <c r="A418" s="13">
        <v>120100350</v>
      </c>
      <c r="B418" s="15"/>
      <c r="C418" s="14" t="s">
        <v>1031</v>
      </c>
      <c r="D418" s="16" t="s">
        <v>1317</v>
      </c>
      <c r="E418" s="13"/>
      <c r="F418" s="13">
        <v>0</v>
      </c>
      <c r="G418" s="13"/>
      <c r="H418" s="13"/>
      <c r="I418" s="13"/>
      <c r="J418" s="13"/>
      <c r="K418" s="13"/>
    </row>
    <row r="419" spans="1:11">
      <c r="A419" s="13">
        <v>120100353</v>
      </c>
      <c r="B419" s="15"/>
      <c r="C419" s="14" t="s">
        <v>1032</v>
      </c>
      <c r="D419" s="16" t="s">
        <v>1318</v>
      </c>
      <c r="E419" s="13"/>
      <c r="F419" s="13">
        <v>0</v>
      </c>
      <c r="G419" s="13"/>
      <c r="H419" s="13"/>
      <c r="I419" s="13"/>
      <c r="J419" s="13"/>
      <c r="K419" s="13"/>
    </row>
    <row r="420" spans="1:11">
      <c r="A420" s="13">
        <v>120100356</v>
      </c>
      <c r="B420" s="15"/>
      <c r="C420" s="14" t="s">
        <v>1033</v>
      </c>
      <c r="D420" s="16" t="s">
        <v>1319</v>
      </c>
      <c r="E420" s="13"/>
      <c r="F420" s="13">
        <v>0</v>
      </c>
      <c r="G420" s="13"/>
      <c r="H420" s="13"/>
      <c r="I420" s="13"/>
      <c r="J420" s="13"/>
      <c r="K420" s="13"/>
    </row>
    <row r="421" spans="1:11">
      <c r="A421" s="13">
        <v>120100357</v>
      </c>
      <c r="B421" s="15"/>
      <c r="C421" s="14" t="s">
        <v>1034</v>
      </c>
      <c r="D421" s="16" t="s">
        <v>1320</v>
      </c>
      <c r="E421" s="13"/>
      <c r="F421" s="13">
        <v>0</v>
      </c>
      <c r="G421" s="13"/>
      <c r="H421" s="13"/>
      <c r="I421" s="13"/>
      <c r="J421" s="13"/>
      <c r="K421" s="13"/>
    </row>
    <row r="422" spans="1:11">
      <c r="A422" s="13">
        <v>120100358</v>
      </c>
      <c r="B422" s="15"/>
      <c r="C422" s="14" t="s">
        <v>1035</v>
      </c>
      <c r="D422" s="16" t="s">
        <v>1321</v>
      </c>
      <c r="E422" s="13"/>
      <c r="F422" s="13">
        <v>0</v>
      </c>
      <c r="G422" s="13"/>
      <c r="H422" s="13"/>
      <c r="I422" s="13"/>
      <c r="J422" s="13"/>
      <c r="K422" s="13"/>
    </row>
    <row r="423" spans="1:11">
      <c r="A423" s="13">
        <v>120100359</v>
      </c>
      <c r="B423" s="15"/>
      <c r="C423" s="14" t="s">
        <v>1036</v>
      </c>
      <c r="D423" s="16" t="s">
        <v>1037</v>
      </c>
      <c r="E423" s="13"/>
      <c r="F423" s="13">
        <v>0</v>
      </c>
      <c r="G423" s="13"/>
      <c r="H423" s="13"/>
      <c r="I423" s="13"/>
      <c r="J423" s="13"/>
      <c r="K423" s="13"/>
    </row>
    <row r="424" spans="1:11">
      <c r="A424" s="13">
        <v>120100360</v>
      </c>
      <c r="B424" s="15"/>
      <c r="C424" s="14" t="s">
        <v>1038</v>
      </c>
      <c r="D424" s="16" t="s">
        <v>1039</v>
      </c>
      <c r="E424" s="13"/>
      <c r="F424" s="13">
        <v>0</v>
      </c>
      <c r="G424" s="13"/>
      <c r="H424" s="13"/>
      <c r="I424" s="13"/>
      <c r="J424" s="13"/>
      <c r="K424" s="13"/>
    </row>
    <row r="425" spans="1:11">
      <c r="A425" s="13">
        <v>120100361</v>
      </c>
      <c r="B425" s="15"/>
      <c r="C425" s="14" t="s">
        <v>1040</v>
      </c>
      <c r="D425" s="16" t="s">
        <v>1041</v>
      </c>
      <c r="E425" s="13"/>
      <c r="F425" s="13">
        <v>0</v>
      </c>
      <c r="G425" s="13"/>
      <c r="H425" s="13"/>
      <c r="I425" s="13"/>
      <c r="J425" s="13"/>
      <c r="K425" s="13"/>
    </row>
    <row r="426" spans="1:11">
      <c r="A426" s="13">
        <v>120100362</v>
      </c>
      <c r="B426" s="15"/>
      <c r="C426" s="14" t="s">
        <v>1042</v>
      </c>
      <c r="D426" s="16" t="s">
        <v>1043</v>
      </c>
      <c r="E426" s="13"/>
      <c r="F426" s="13">
        <v>0</v>
      </c>
      <c r="G426" s="13"/>
      <c r="H426" s="13"/>
      <c r="I426" s="13"/>
      <c r="J426" s="13"/>
      <c r="K426" s="13"/>
    </row>
    <row r="427" spans="1:11">
      <c r="A427" s="13">
        <v>120100363</v>
      </c>
      <c r="B427" s="15"/>
      <c r="C427" s="14" t="s">
        <v>719</v>
      </c>
      <c r="D427" s="16" t="s">
        <v>1044</v>
      </c>
      <c r="E427" s="13"/>
      <c r="F427" s="13">
        <v>0</v>
      </c>
      <c r="G427" s="13"/>
      <c r="H427" s="13"/>
      <c r="I427" s="13"/>
      <c r="J427" s="13"/>
      <c r="K427" s="13"/>
    </row>
    <row r="428" spans="1:11">
      <c r="A428" s="13">
        <v>120100364</v>
      </c>
      <c r="B428" s="15"/>
      <c r="C428" s="14" t="s">
        <v>1045</v>
      </c>
      <c r="D428" s="16" t="s">
        <v>1046</v>
      </c>
      <c r="E428" s="13"/>
      <c r="F428" s="13">
        <v>0</v>
      </c>
      <c r="G428" s="13"/>
      <c r="H428" s="13"/>
      <c r="I428" s="13"/>
      <c r="J428" s="13"/>
      <c r="K428" s="13"/>
    </row>
    <row r="429" spans="1:11">
      <c r="A429" s="13">
        <v>120100365</v>
      </c>
      <c r="B429" s="15"/>
      <c r="C429" s="14" t="s">
        <v>1047</v>
      </c>
      <c r="D429" s="16" t="s">
        <v>1048</v>
      </c>
      <c r="E429" s="13"/>
      <c r="F429" s="13">
        <v>0</v>
      </c>
      <c r="G429" s="13"/>
      <c r="H429" s="13"/>
      <c r="I429" s="13"/>
      <c r="J429" s="13"/>
      <c r="K429" s="13"/>
    </row>
    <row r="430" spans="1:11">
      <c r="A430" s="13">
        <v>120110209</v>
      </c>
      <c r="B430" s="15"/>
      <c r="C430" s="14" t="s">
        <v>1049</v>
      </c>
      <c r="D430" s="16" t="s">
        <v>1050</v>
      </c>
      <c r="E430" s="13"/>
      <c r="F430" s="13">
        <v>0</v>
      </c>
      <c r="G430" s="13"/>
      <c r="H430" s="13"/>
      <c r="I430" s="13"/>
      <c r="J430" s="13"/>
      <c r="K430" s="13"/>
    </row>
    <row r="431" spans="1:11">
      <c r="A431" s="13">
        <v>120100366</v>
      </c>
      <c r="B431" s="15"/>
      <c r="C431" s="14" t="s">
        <v>1051</v>
      </c>
      <c r="D431" s="16" t="s">
        <v>1052</v>
      </c>
      <c r="E431" s="13"/>
      <c r="F431" s="13">
        <v>0</v>
      </c>
      <c r="G431" s="13"/>
      <c r="H431" s="13"/>
      <c r="I431" s="13"/>
      <c r="J431" s="13"/>
      <c r="K431" s="13"/>
    </row>
    <row r="432" spans="1:11">
      <c r="A432" s="13">
        <v>120100367</v>
      </c>
      <c r="B432" s="15"/>
      <c r="C432" s="14" t="s">
        <v>1053</v>
      </c>
      <c r="D432" s="16" t="s">
        <v>1054</v>
      </c>
      <c r="E432" s="13"/>
      <c r="F432" s="13">
        <v>0</v>
      </c>
      <c r="G432" s="13"/>
      <c r="H432" s="13"/>
      <c r="I432" s="13"/>
      <c r="J432" s="13"/>
      <c r="K432" s="13"/>
    </row>
    <row r="433" spans="1:11">
      <c r="A433" s="13">
        <v>120100368</v>
      </c>
      <c r="B433" s="15"/>
      <c r="C433" s="14" t="s">
        <v>1055</v>
      </c>
      <c r="D433" s="16" t="s">
        <v>1056</v>
      </c>
      <c r="E433" s="13"/>
      <c r="F433" s="13">
        <v>0</v>
      </c>
      <c r="G433" s="13"/>
      <c r="H433" s="13"/>
      <c r="I433" s="13"/>
      <c r="J433" s="13"/>
      <c r="K433" s="13"/>
    </row>
    <row r="434" spans="1:11">
      <c r="A434" s="13">
        <v>120100371</v>
      </c>
      <c r="B434" s="15"/>
      <c r="C434" s="14" t="s">
        <v>1057</v>
      </c>
      <c r="D434" s="16" t="s">
        <v>1058</v>
      </c>
      <c r="E434" s="13"/>
      <c r="F434" s="13">
        <v>0</v>
      </c>
      <c r="G434" s="13"/>
      <c r="H434" s="13"/>
      <c r="I434" s="13"/>
      <c r="J434" s="13"/>
      <c r="K434" s="13"/>
    </row>
    <row r="435" spans="1:11">
      <c r="A435" s="13">
        <v>120100372</v>
      </c>
      <c r="B435" s="15"/>
      <c r="C435" s="14" t="s">
        <v>1059</v>
      </c>
      <c r="D435" s="16"/>
      <c r="E435" s="13"/>
      <c r="F435" s="13">
        <v>0</v>
      </c>
      <c r="G435" s="13"/>
      <c r="H435" s="13"/>
      <c r="I435" s="13"/>
      <c r="J435" s="13"/>
      <c r="K435" s="13"/>
    </row>
    <row r="436" spans="1:11">
      <c r="A436" s="13">
        <v>120100373</v>
      </c>
      <c r="B436" s="15"/>
      <c r="C436" s="14" t="s">
        <v>1060</v>
      </c>
      <c r="D436" s="16" t="s">
        <v>1061</v>
      </c>
      <c r="E436" s="13"/>
      <c r="F436" s="13">
        <v>0</v>
      </c>
      <c r="G436" s="13"/>
      <c r="H436" s="13"/>
      <c r="I436" s="13"/>
      <c r="J436" s="13"/>
      <c r="K436" s="13"/>
    </row>
    <row r="437" spans="1:11">
      <c r="A437" s="13">
        <v>120100374</v>
      </c>
      <c r="B437" s="15"/>
      <c r="C437" s="14" t="s">
        <v>1062</v>
      </c>
      <c r="D437" s="16" t="s">
        <v>1063</v>
      </c>
      <c r="E437" s="13"/>
      <c r="F437" s="13">
        <v>0</v>
      </c>
      <c r="G437" s="13"/>
      <c r="H437" s="13"/>
      <c r="I437" s="13"/>
      <c r="J437" s="13"/>
      <c r="K437" s="13"/>
    </row>
    <row r="438" spans="1:11">
      <c r="A438" s="13">
        <v>120100375</v>
      </c>
      <c r="B438" s="15"/>
      <c r="C438" s="14" t="s">
        <v>1064</v>
      </c>
      <c r="D438" s="16" t="s">
        <v>1065</v>
      </c>
      <c r="E438" s="13"/>
      <c r="F438" s="13">
        <v>0</v>
      </c>
      <c r="G438" s="13"/>
      <c r="H438" s="13"/>
      <c r="I438" s="13"/>
      <c r="J438" s="13"/>
      <c r="K438" s="13"/>
    </row>
    <row r="439" spans="1:11">
      <c r="A439" s="13">
        <v>120100376</v>
      </c>
      <c r="B439" s="15"/>
      <c r="C439" s="14" t="s">
        <v>1066</v>
      </c>
      <c r="D439" s="16" t="s">
        <v>1067</v>
      </c>
      <c r="E439" s="13"/>
      <c r="F439" s="13">
        <v>0</v>
      </c>
      <c r="G439" s="13"/>
      <c r="H439" s="13"/>
      <c r="I439" s="13"/>
      <c r="J439" s="13"/>
      <c r="K439" s="13"/>
    </row>
    <row r="440" spans="1:11">
      <c r="A440" s="13">
        <v>120100377</v>
      </c>
      <c r="B440" s="15"/>
      <c r="C440" s="14" t="s">
        <v>1068</v>
      </c>
      <c r="D440" s="16" t="s">
        <v>1069</v>
      </c>
      <c r="E440" s="13"/>
      <c r="F440" s="13">
        <v>0</v>
      </c>
      <c r="G440" s="13"/>
      <c r="H440" s="13"/>
      <c r="I440" s="13"/>
      <c r="J440" s="13"/>
      <c r="K440" s="13"/>
    </row>
    <row r="441" spans="1:11">
      <c r="A441" s="13">
        <v>120100380</v>
      </c>
      <c r="B441" s="15"/>
      <c r="C441" s="14" t="s">
        <v>1070</v>
      </c>
      <c r="D441" s="16" t="s">
        <v>1071</v>
      </c>
      <c r="E441" s="13"/>
      <c r="F441" s="13">
        <v>0</v>
      </c>
      <c r="G441" s="13"/>
      <c r="H441" s="13"/>
      <c r="I441" s="13"/>
      <c r="J441" s="13"/>
      <c r="K441" s="13"/>
    </row>
    <row r="442" spans="1:11">
      <c r="A442" s="13">
        <v>120100381</v>
      </c>
      <c r="B442" s="15"/>
      <c r="C442" s="14" t="s">
        <v>1072</v>
      </c>
      <c r="D442" s="16" t="s">
        <v>1073</v>
      </c>
      <c r="E442" s="13"/>
      <c r="F442" s="13">
        <v>0</v>
      </c>
      <c r="G442" s="13"/>
      <c r="H442" s="13"/>
      <c r="I442" s="13"/>
      <c r="J442" s="13"/>
      <c r="K442" s="13"/>
    </row>
    <row r="443" spans="1:11">
      <c r="A443" s="13">
        <v>120100382</v>
      </c>
      <c r="B443" s="15"/>
      <c r="C443" s="14" t="s">
        <v>1074</v>
      </c>
      <c r="D443" s="16" t="s">
        <v>1075</v>
      </c>
      <c r="E443" s="13"/>
      <c r="F443" s="13">
        <v>0</v>
      </c>
      <c r="G443" s="13"/>
      <c r="H443" s="13"/>
      <c r="I443" s="13"/>
      <c r="J443" s="13"/>
      <c r="K443" s="13"/>
    </row>
    <row r="444" spans="1:11">
      <c r="A444" s="13">
        <v>120100383</v>
      </c>
      <c r="B444" s="15"/>
      <c r="C444" s="14" t="s">
        <v>1076</v>
      </c>
      <c r="D444" s="16" t="s">
        <v>1077</v>
      </c>
      <c r="E444" s="13"/>
      <c r="F444" s="13">
        <v>0</v>
      </c>
      <c r="G444" s="13"/>
      <c r="H444" s="13"/>
      <c r="I444" s="13"/>
      <c r="J444" s="13"/>
      <c r="K444" s="13"/>
    </row>
    <row r="445" spans="1:11">
      <c r="A445" s="13">
        <v>120100385</v>
      </c>
      <c r="B445" s="15"/>
      <c r="C445" s="14" t="s">
        <v>1078</v>
      </c>
      <c r="D445" s="16" t="s">
        <v>1079</v>
      </c>
      <c r="E445" s="13"/>
      <c r="F445" s="13">
        <v>0</v>
      </c>
      <c r="G445" s="13"/>
      <c r="H445" s="13"/>
      <c r="I445" s="13"/>
      <c r="J445" s="13"/>
      <c r="K445" s="13"/>
    </row>
    <row r="446" spans="1:11">
      <c r="A446" s="13">
        <v>120100387</v>
      </c>
      <c r="B446" s="15"/>
      <c r="C446" s="14" t="s">
        <v>1080</v>
      </c>
      <c r="D446" s="16" t="s">
        <v>1081</v>
      </c>
      <c r="E446" s="13"/>
      <c r="F446" s="13">
        <v>0</v>
      </c>
      <c r="G446" s="13"/>
      <c r="H446" s="13"/>
      <c r="I446" s="13"/>
      <c r="J446" s="13"/>
      <c r="K446" s="13"/>
    </row>
    <row r="447" spans="1:11">
      <c r="A447" s="13">
        <v>120100388</v>
      </c>
      <c r="B447" s="15"/>
      <c r="C447" s="14" t="s">
        <v>1082</v>
      </c>
      <c r="D447" s="16" t="s">
        <v>1083</v>
      </c>
      <c r="E447" s="13"/>
      <c r="F447" s="13">
        <v>0</v>
      </c>
      <c r="G447" s="13"/>
      <c r="H447" s="13"/>
      <c r="I447" s="13"/>
      <c r="J447" s="13"/>
      <c r="K447" s="13"/>
    </row>
    <row r="448" spans="1:11">
      <c r="A448" s="13">
        <v>120100389</v>
      </c>
      <c r="B448" s="15"/>
      <c r="C448" s="14" t="s">
        <v>1084</v>
      </c>
      <c r="D448" s="16" t="s">
        <v>1085</v>
      </c>
      <c r="E448" s="13"/>
      <c r="F448" s="13">
        <v>0</v>
      </c>
      <c r="G448" s="13"/>
      <c r="H448" s="13"/>
      <c r="I448" s="13"/>
      <c r="J448" s="13"/>
      <c r="K448" s="13"/>
    </row>
    <row r="449" spans="1:11">
      <c r="A449" s="13">
        <v>120100390</v>
      </c>
      <c r="B449" s="15"/>
      <c r="C449" s="14" t="s">
        <v>1086</v>
      </c>
      <c r="D449" s="16" t="s">
        <v>1087</v>
      </c>
      <c r="E449" s="13"/>
      <c r="F449" s="13">
        <v>0</v>
      </c>
      <c r="G449" s="13"/>
      <c r="H449" s="13"/>
      <c r="I449" s="13"/>
      <c r="J449" s="13"/>
      <c r="K449" s="13"/>
    </row>
    <row r="450" spans="1:11">
      <c r="A450" s="13">
        <v>120100394</v>
      </c>
      <c r="B450" s="15"/>
      <c r="C450" s="14" t="s">
        <v>1088</v>
      </c>
      <c r="D450" s="16" t="s">
        <v>1089</v>
      </c>
      <c r="E450" s="13"/>
      <c r="F450" s="13">
        <v>0</v>
      </c>
      <c r="G450" s="13"/>
      <c r="H450" s="13"/>
      <c r="I450" s="13"/>
      <c r="J450" s="13"/>
      <c r="K450" s="13"/>
    </row>
    <row r="451" spans="1:11">
      <c r="A451" s="13">
        <v>120100395</v>
      </c>
      <c r="B451" s="15"/>
      <c r="C451" s="14" t="s">
        <v>1090</v>
      </c>
      <c r="D451" s="16" t="s">
        <v>1091</v>
      </c>
      <c r="E451" s="13"/>
      <c r="F451" s="13">
        <v>0</v>
      </c>
      <c r="G451" s="13"/>
      <c r="H451" s="13"/>
      <c r="I451" s="13"/>
      <c r="J451" s="13"/>
      <c r="K451" s="13"/>
    </row>
    <row r="452" spans="1:11">
      <c r="A452" s="13">
        <v>120110210</v>
      </c>
      <c r="B452" s="15"/>
      <c r="C452" s="14" t="s">
        <v>1092</v>
      </c>
      <c r="D452" s="16" t="s">
        <v>1093</v>
      </c>
      <c r="E452" s="13"/>
      <c r="F452" s="13">
        <v>0</v>
      </c>
      <c r="G452" s="13"/>
      <c r="H452" s="13"/>
      <c r="I452" s="13"/>
      <c r="J452" s="13"/>
      <c r="K452" s="13"/>
    </row>
    <row r="453" spans="1:11">
      <c r="A453" s="13">
        <v>120100398</v>
      </c>
      <c r="B453" s="15"/>
      <c r="C453" s="14" t="s">
        <v>1094</v>
      </c>
      <c r="D453" s="16"/>
      <c r="E453" s="13"/>
      <c r="F453" s="13">
        <v>0</v>
      </c>
      <c r="G453" s="13"/>
      <c r="H453" s="13"/>
      <c r="I453" s="13"/>
      <c r="J453" s="13"/>
      <c r="K453" s="13"/>
    </row>
    <row r="454" spans="1:11">
      <c r="A454" s="13">
        <v>120100399</v>
      </c>
      <c r="B454" s="15"/>
      <c r="C454" s="14" t="s">
        <v>1095</v>
      </c>
      <c r="D454" s="16" t="s">
        <v>1096</v>
      </c>
      <c r="E454" s="13"/>
      <c r="F454" s="13">
        <v>0</v>
      </c>
      <c r="G454" s="13"/>
      <c r="H454" s="13"/>
      <c r="I454" s="13"/>
      <c r="J454" s="13"/>
      <c r="K454" s="13"/>
    </row>
    <row r="455" spans="1:11">
      <c r="A455" s="13">
        <v>120100401</v>
      </c>
      <c r="B455" s="15"/>
      <c r="C455" s="14" t="s">
        <v>1097</v>
      </c>
      <c r="D455" s="16" t="s">
        <v>1098</v>
      </c>
      <c r="E455" s="13"/>
      <c r="F455" s="13">
        <v>0</v>
      </c>
      <c r="G455" s="13"/>
      <c r="H455" s="13"/>
      <c r="I455" s="13"/>
      <c r="J455" s="13"/>
      <c r="K455" s="13"/>
    </row>
    <row r="456" spans="1:11">
      <c r="A456" s="13">
        <v>120100402</v>
      </c>
      <c r="B456" s="15"/>
      <c r="C456" s="14" t="s">
        <v>1099</v>
      </c>
      <c r="D456" s="16" t="s">
        <v>1100</v>
      </c>
      <c r="E456" s="13"/>
      <c r="F456" s="13">
        <v>0</v>
      </c>
      <c r="G456" s="13"/>
      <c r="H456" s="13"/>
      <c r="I456" s="13"/>
      <c r="J456" s="13"/>
      <c r="K456" s="13"/>
    </row>
    <row r="457" spans="1:11">
      <c r="A457" s="13">
        <v>120100405</v>
      </c>
      <c r="B457" s="15"/>
      <c r="C457" s="14" t="s">
        <v>1101</v>
      </c>
      <c r="D457" s="16" t="s">
        <v>1102</v>
      </c>
      <c r="E457" s="13"/>
      <c r="F457" s="13">
        <v>0</v>
      </c>
      <c r="G457" s="13"/>
      <c r="H457" s="13"/>
      <c r="I457" s="13"/>
      <c r="J457" s="13"/>
      <c r="K457" s="13"/>
    </row>
    <row r="458" spans="1:11">
      <c r="A458" s="13">
        <v>120100406</v>
      </c>
      <c r="B458" s="15"/>
      <c r="C458" s="14" t="s">
        <v>1103</v>
      </c>
      <c r="D458" s="16" t="s">
        <v>1104</v>
      </c>
      <c r="E458" s="13"/>
      <c r="F458" s="13">
        <v>0</v>
      </c>
      <c r="G458" s="13"/>
      <c r="H458" s="13"/>
      <c r="I458" s="13"/>
      <c r="J458" s="13"/>
      <c r="K458" s="13"/>
    </row>
    <row r="459" spans="1:11">
      <c r="A459" s="13">
        <v>120100407</v>
      </c>
      <c r="B459" s="15"/>
      <c r="C459" s="14" t="s">
        <v>1105</v>
      </c>
      <c r="D459" s="16" t="s">
        <v>1106</v>
      </c>
      <c r="E459" s="13"/>
      <c r="F459" s="13">
        <v>0</v>
      </c>
      <c r="G459" s="13"/>
      <c r="H459" s="13"/>
      <c r="I459" s="13"/>
      <c r="J459" s="13"/>
      <c r="K459" s="13"/>
    </row>
    <row r="460" spans="1:11">
      <c r="A460" s="13">
        <v>120100408</v>
      </c>
      <c r="B460" s="15"/>
      <c r="C460" s="14" t="s">
        <v>1107</v>
      </c>
      <c r="D460" s="16" t="s">
        <v>1108</v>
      </c>
      <c r="E460" s="13"/>
      <c r="F460" s="13">
        <v>0</v>
      </c>
      <c r="G460" s="13"/>
      <c r="H460" s="13"/>
      <c r="I460" s="13"/>
      <c r="J460" s="13"/>
      <c r="K460" s="13"/>
    </row>
    <row r="461" spans="1:11">
      <c r="A461" s="13">
        <v>120100409</v>
      </c>
      <c r="B461" s="15"/>
      <c r="C461" s="14" t="s">
        <v>1109</v>
      </c>
      <c r="D461" s="16" t="s">
        <v>1110</v>
      </c>
      <c r="E461" s="13"/>
      <c r="F461" s="13">
        <v>0</v>
      </c>
      <c r="G461" s="13"/>
      <c r="H461" s="13"/>
      <c r="I461" s="13"/>
      <c r="J461" s="13"/>
      <c r="K461" s="13"/>
    </row>
    <row r="462" spans="1:11">
      <c r="A462" s="13">
        <v>120100410</v>
      </c>
      <c r="B462" s="15"/>
      <c r="C462" s="14" t="s">
        <v>1111</v>
      </c>
      <c r="D462" s="16" t="s">
        <v>1112</v>
      </c>
      <c r="E462" s="13"/>
      <c r="F462" s="13">
        <v>0</v>
      </c>
      <c r="G462" s="13"/>
      <c r="H462" s="13"/>
      <c r="I462" s="13"/>
      <c r="J462" s="13"/>
      <c r="K462" s="13"/>
    </row>
    <row r="463" spans="1:11">
      <c r="A463" s="13">
        <v>120100411</v>
      </c>
      <c r="B463" s="15"/>
      <c r="C463" s="14" t="s">
        <v>1113</v>
      </c>
      <c r="D463" s="16" t="s">
        <v>1114</v>
      </c>
      <c r="E463" s="13"/>
      <c r="F463" s="13">
        <v>0</v>
      </c>
      <c r="G463" s="13"/>
      <c r="H463" s="13"/>
      <c r="I463" s="13"/>
      <c r="J463" s="13"/>
      <c r="K463" s="13"/>
    </row>
    <row r="464" spans="1:11">
      <c r="A464" s="13">
        <v>120100412</v>
      </c>
      <c r="B464" s="15"/>
      <c r="C464" s="14" t="s">
        <v>1115</v>
      </c>
      <c r="D464" s="16"/>
      <c r="E464" s="13"/>
      <c r="F464" s="13">
        <v>0</v>
      </c>
      <c r="G464" s="13"/>
      <c r="H464" s="13"/>
      <c r="I464" s="13"/>
      <c r="J464" s="13"/>
      <c r="K464" s="13"/>
    </row>
    <row r="465" spans="1:11">
      <c r="A465" s="13">
        <v>120100414</v>
      </c>
      <c r="B465" s="15"/>
      <c r="C465" s="14" t="s">
        <v>1116</v>
      </c>
      <c r="D465" s="16" t="s">
        <v>1117</v>
      </c>
      <c r="E465" s="13"/>
      <c r="F465" s="13">
        <v>0</v>
      </c>
      <c r="G465" s="13"/>
      <c r="H465" s="13"/>
      <c r="I465" s="13"/>
      <c r="J465" s="13"/>
      <c r="K465" s="13"/>
    </row>
    <row r="466" spans="1:11">
      <c r="A466" s="13">
        <v>120100415</v>
      </c>
      <c r="B466" s="15"/>
      <c r="C466" s="14" t="s">
        <v>1118</v>
      </c>
      <c r="D466" s="16" t="s">
        <v>1119</v>
      </c>
      <c r="E466" s="13"/>
      <c r="F466" s="13">
        <v>0</v>
      </c>
      <c r="G466" s="13"/>
      <c r="H466" s="13"/>
      <c r="I466" s="13"/>
      <c r="J466" s="13"/>
      <c r="K466" s="13"/>
    </row>
    <row r="467" spans="1:11">
      <c r="A467" s="13">
        <v>120100416</v>
      </c>
      <c r="B467" s="15"/>
      <c r="C467" s="14" t="s">
        <v>1120</v>
      </c>
      <c r="D467" s="16" t="s">
        <v>1121</v>
      </c>
      <c r="E467" s="13"/>
      <c r="F467" s="13">
        <v>0</v>
      </c>
      <c r="G467" s="13"/>
      <c r="H467" s="13"/>
      <c r="I467" s="13"/>
      <c r="J467" s="13"/>
      <c r="K467" s="13"/>
    </row>
    <row r="468" spans="1:11">
      <c r="A468" s="13">
        <v>120100417</v>
      </c>
      <c r="B468" s="15"/>
      <c r="C468" s="14" t="s">
        <v>1122</v>
      </c>
      <c r="D468" s="16" t="s">
        <v>1123</v>
      </c>
      <c r="E468" s="13"/>
      <c r="F468" s="13">
        <v>0</v>
      </c>
      <c r="G468" s="13"/>
      <c r="H468" s="13"/>
      <c r="I468" s="13"/>
      <c r="J468" s="13"/>
      <c r="K468" s="13"/>
    </row>
    <row r="469" spans="1:11">
      <c r="A469" s="13">
        <v>120100418</v>
      </c>
      <c r="B469" s="15"/>
      <c r="C469" s="14" t="s">
        <v>1124</v>
      </c>
      <c r="D469" s="16" t="s">
        <v>1125</v>
      </c>
      <c r="E469" s="13"/>
      <c r="F469" s="13">
        <v>0</v>
      </c>
      <c r="G469" s="13"/>
      <c r="H469" s="13"/>
      <c r="I469" s="13"/>
      <c r="J469" s="13"/>
      <c r="K469" s="13"/>
    </row>
    <row r="470" spans="1:11">
      <c r="A470" s="13">
        <v>120120499</v>
      </c>
      <c r="B470" s="15"/>
      <c r="C470" s="14" t="s">
        <v>1126</v>
      </c>
      <c r="D470" s="16"/>
      <c r="E470" s="13"/>
      <c r="F470" s="13">
        <v>0</v>
      </c>
      <c r="G470" s="13"/>
      <c r="H470" s="13"/>
      <c r="I470" s="13"/>
      <c r="J470" s="13"/>
      <c r="K470" s="13"/>
    </row>
    <row r="471" spans="1:11">
      <c r="A471" s="13">
        <v>120100419</v>
      </c>
      <c r="B471" s="15"/>
      <c r="C471" s="14" t="s">
        <v>1127</v>
      </c>
      <c r="D471" s="16" t="s">
        <v>1128</v>
      </c>
      <c r="E471" s="13"/>
      <c r="F471" s="13">
        <v>0</v>
      </c>
      <c r="G471" s="13"/>
      <c r="H471" s="13"/>
      <c r="I471" s="13"/>
      <c r="J471" s="13"/>
      <c r="K471" s="13"/>
    </row>
    <row r="472" spans="1:11">
      <c r="A472" s="13">
        <v>120100420</v>
      </c>
      <c r="B472" s="15"/>
      <c r="C472" s="14" t="s">
        <v>1129</v>
      </c>
      <c r="D472" s="16" t="s">
        <v>1130</v>
      </c>
      <c r="E472" s="13"/>
      <c r="F472" s="13">
        <v>0</v>
      </c>
      <c r="G472" s="13"/>
      <c r="H472" s="13"/>
      <c r="I472" s="13"/>
      <c r="J472" s="13"/>
      <c r="K472" s="13"/>
    </row>
    <row r="473" spans="1:11">
      <c r="A473" s="13">
        <v>120100421</v>
      </c>
      <c r="B473" s="15"/>
      <c r="C473" s="14" t="s">
        <v>1131</v>
      </c>
      <c r="D473" s="16" t="s">
        <v>1132</v>
      </c>
      <c r="E473" s="13"/>
      <c r="F473" s="13">
        <v>0</v>
      </c>
      <c r="G473" s="13"/>
      <c r="H473" s="13"/>
      <c r="I473" s="13"/>
      <c r="J473" s="13"/>
      <c r="K473" s="13"/>
    </row>
    <row r="474" spans="1:11">
      <c r="A474" s="13">
        <v>120100422</v>
      </c>
      <c r="B474" s="15"/>
      <c r="C474" s="14" t="s">
        <v>1133</v>
      </c>
      <c r="D474" s="16" t="s">
        <v>1134</v>
      </c>
      <c r="E474" s="13"/>
      <c r="F474" s="13">
        <v>0</v>
      </c>
      <c r="G474" s="13"/>
      <c r="H474" s="13"/>
      <c r="I474" s="13"/>
      <c r="J474" s="13"/>
      <c r="K474" s="13"/>
    </row>
    <row r="475" spans="1:11">
      <c r="A475" s="13">
        <v>120100424</v>
      </c>
      <c r="B475" s="15"/>
      <c r="C475" s="14" t="s">
        <v>1135</v>
      </c>
      <c r="D475" s="16"/>
      <c r="E475" s="13"/>
      <c r="F475" s="13">
        <v>0</v>
      </c>
      <c r="G475" s="13"/>
      <c r="H475" s="13"/>
      <c r="I475" s="13"/>
      <c r="J475" s="13"/>
      <c r="K475" s="13"/>
    </row>
    <row r="476" spans="1:11">
      <c r="A476" s="13">
        <v>120100425</v>
      </c>
      <c r="B476" s="15"/>
      <c r="C476" s="14" t="s">
        <v>1136</v>
      </c>
      <c r="D476" s="16"/>
      <c r="E476" s="13"/>
      <c r="F476" s="13">
        <v>0</v>
      </c>
      <c r="G476" s="13"/>
      <c r="H476" s="13"/>
      <c r="I476" s="13"/>
      <c r="J476" s="13"/>
      <c r="K476" s="13"/>
    </row>
    <row r="477" spans="1:11">
      <c r="A477" s="13">
        <v>120100426</v>
      </c>
      <c r="B477" s="15"/>
      <c r="C477" s="14" t="s">
        <v>1137</v>
      </c>
      <c r="D477" s="16" t="s">
        <v>1138</v>
      </c>
      <c r="E477" s="13"/>
      <c r="F477" s="13">
        <v>0</v>
      </c>
      <c r="G477" s="13"/>
      <c r="H477" s="13"/>
      <c r="I477" s="13"/>
      <c r="J477" s="13"/>
      <c r="K477" s="13"/>
    </row>
    <row r="478" spans="1:11">
      <c r="A478" s="13">
        <v>120100434</v>
      </c>
      <c r="B478" s="15"/>
      <c r="C478" s="14" t="s">
        <v>1139</v>
      </c>
      <c r="D478" s="16"/>
      <c r="E478" s="13"/>
      <c r="F478" s="13">
        <v>0</v>
      </c>
      <c r="G478" s="13"/>
      <c r="H478" s="13"/>
      <c r="I478" s="13"/>
      <c r="J478" s="13"/>
      <c r="K478" s="13"/>
    </row>
    <row r="479" spans="1:11">
      <c r="A479" s="13">
        <v>120100435</v>
      </c>
      <c r="B479" s="15"/>
      <c r="C479" s="14" t="s">
        <v>1140</v>
      </c>
      <c r="D479" s="16" t="s">
        <v>1141</v>
      </c>
      <c r="E479" s="13"/>
      <c r="F479" s="13">
        <v>0</v>
      </c>
      <c r="G479" s="13"/>
      <c r="H479" s="13"/>
      <c r="I479" s="13"/>
      <c r="J479" s="13"/>
      <c r="K479" s="13"/>
    </row>
    <row r="480" spans="1:11">
      <c r="A480" s="13">
        <v>120100436</v>
      </c>
      <c r="B480" s="15"/>
      <c r="C480" s="14" t="s">
        <v>1142</v>
      </c>
      <c r="D480" s="16" t="s">
        <v>1143</v>
      </c>
      <c r="E480" s="13"/>
      <c r="F480" s="13">
        <v>0</v>
      </c>
      <c r="G480" s="13"/>
      <c r="H480" s="13"/>
      <c r="I480" s="13"/>
      <c r="J480" s="13"/>
      <c r="K480" s="13"/>
    </row>
    <row r="481" spans="1:11">
      <c r="A481" s="13">
        <v>120100437</v>
      </c>
      <c r="B481" s="15"/>
      <c r="C481" s="14" t="s">
        <v>1144</v>
      </c>
      <c r="D481" s="16" t="s">
        <v>1145</v>
      </c>
      <c r="E481" s="13"/>
      <c r="F481" s="13">
        <v>0</v>
      </c>
      <c r="G481" s="13"/>
      <c r="H481" s="13"/>
      <c r="I481" s="13"/>
      <c r="J481" s="13"/>
      <c r="K481" s="13"/>
    </row>
    <row r="482" spans="1:11">
      <c r="A482" s="13">
        <v>120100438</v>
      </c>
      <c r="B482" s="15"/>
      <c r="C482" s="14" t="s">
        <v>1146</v>
      </c>
      <c r="D482" s="16" t="s">
        <v>1147</v>
      </c>
      <c r="E482" s="13"/>
      <c r="F482" s="13">
        <v>0</v>
      </c>
      <c r="G482" s="13"/>
      <c r="H482" s="13"/>
      <c r="I482" s="13"/>
      <c r="J482" s="13"/>
      <c r="K482" s="13"/>
    </row>
    <row r="483" spans="1:11">
      <c r="A483" s="13">
        <v>120100439</v>
      </c>
      <c r="B483" s="15"/>
      <c r="C483" s="14" t="s">
        <v>1148</v>
      </c>
      <c r="D483" s="16" t="s">
        <v>1149</v>
      </c>
      <c r="E483" s="13"/>
      <c r="F483" s="13">
        <v>0</v>
      </c>
      <c r="G483" s="13"/>
      <c r="H483" s="13"/>
      <c r="I483" s="13"/>
      <c r="J483" s="13"/>
      <c r="K483" s="13"/>
    </row>
    <row r="484" spans="1:11">
      <c r="A484" s="13">
        <v>120100440</v>
      </c>
      <c r="B484" s="15"/>
      <c r="C484" s="14" t="s">
        <v>1150</v>
      </c>
      <c r="D484" s="16" t="s">
        <v>1151</v>
      </c>
      <c r="E484" s="13"/>
      <c r="F484" s="13">
        <v>0</v>
      </c>
      <c r="G484" s="13"/>
      <c r="H484" s="13"/>
      <c r="I484" s="13"/>
      <c r="J484" s="13"/>
      <c r="K484" s="13"/>
    </row>
    <row r="485" spans="1:11">
      <c r="A485" s="13">
        <v>120100441</v>
      </c>
      <c r="B485" s="15"/>
      <c r="C485" s="14" t="s">
        <v>1152</v>
      </c>
      <c r="D485" s="16" t="s">
        <v>1153</v>
      </c>
      <c r="E485" s="13"/>
      <c r="F485" s="13">
        <v>0</v>
      </c>
      <c r="G485" s="13"/>
      <c r="H485" s="13"/>
      <c r="I485" s="13"/>
      <c r="J485" s="13"/>
      <c r="K485" s="13"/>
    </row>
    <row r="486" spans="1:11">
      <c r="A486" s="13">
        <v>120100443</v>
      </c>
      <c r="B486" s="15"/>
      <c r="C486" s="14" t="s">
        <v>1154</v>
      </c>
      <c r="D486" s="16" t="s">
        <v>1155</v>
      </c>
      <c r="E486" s="13"/>
      <c r="F486" s="13">
        <v>0</v>
      </c>
      <c r="G486" s="13"/>
      <c r="H486" s="13"/>
      <c r="I486" s="13"/>
      <c r="J486" s="13"/>
      <c r="K486" s="13"/>
    </row>
    <row r="487" spans="1:11">
      <c r="A487" s="13">
        <v>120100444</v>
      </c>
      <c r="B487" s="15"/>
      <c r="C487" s="14" t="s">
        <v>1156</v>
      </c>
      <c r="D487" s="16" t="s">
        <v>1157</v>
      </c>
      <c r="E487" s="13"/>
      <c r="F487" s="13">
        <v>0</v>
      </c>
      <c r="G487" s="13"/>
      <c r="H487" s="13"/>
      <c r="I487" s="13"/>
      <c r="J487" s="13"/>
      <c r="K487" s="13"/>
    </row>
    <row r="488" spans="1:11">
      <c r="A488" s="13">
        <v>120100445</v>
      </c>
      <c r="B488" s="15"/>
      <c r="C488" s="14" t="s">
        <v>1158</v>
      </c>
      <c r="D488" s="16" t="s">
        <v>1159</v>
      </c>
      <c r="E488" s="13"/>
      <c r="F488" s="13">
        <v>0</v>
      </c>
      <c r="G488" s="13"/>
      <c r="H488" s="13"/>
      <c r="I488" s="13"/>
      <c r="J488" s="13"/>
      <c r="K488" s="13"/>
    </row>
    <row r="489" spans="1:11">
      <c r="A489" s="13">
        <v>120100446</v>
      </c>
      <c r="B489" s="15"/>
      <c r="C489" s="14" t="s">
        <v>1160</v>
      </c>
      <c r="D489" s="16" t="s">
        <v>1161</v>
      </c>
      <c r="E489" s="13"/>
      <c r="F489" s="13">
        <v>0</v>
      </c>
      <c r="G489" s="13"/>
      <c r="H489" s="13"/>
      <c r="I489" s="13"/>
      <c r="J489" s="13"/>
      <c r="K489" s="13"/>
    </row>
    <row r="490" spans="1:11">
      <c r="A490" s="13">
        <v>120100447</v>
      </c>
      <c r="B490" s="15"/>
      <c r="C490" s="14" t="s">
        <v>1162</v>
      </c>
      <c r="D490" s="16" t="s">
        <v>1163</v>
      </c>
      <c r="E490" s="13"/>
      <c r="F490" s="13">
        <v>0</v>
      </c>
      <c r="G490" s="13"/>
      <c r="H490" s="13"/>
      <c r="I490" s="13"/>
      <c r="J490" s="13"/>
      <c r="K490" s="13"/>
    </row>
    <row r="491" spans="1:11">
      <c r="A491" s="13">
        <v>120100448</v>
      </c>
      <c r="B491" s="15"/>
      <c r="C491" s="14" t="s">
        <v>1164</v>
      </c>
      <c r="D491" s="16" t="s">
        <v>1165</v>
      </c>
      <c r="E491" s="13"/>
      <c r="F491" s="13">
        <v>0</v>
      </c>
      <c r="G491" s="13"/>
      <c r="H491" s="13"/>
      <c r="I491" s="13"/>
      <c r="J491" s="13"/>
      <c r="K491" s="13"/>
    </row>
    <row r="492" spans="1:11">
      <c r="A492" s="13">
        <v>120100449</v>
      </c>
      <c r="B492" s="15"/>
      <c r="C492" s="14" t="s">
        <v>1166</v>
      </c>
      <c r="D492" s="16" t="s">
        <v>1167</v>
      </c>
      <c r="E492" s="13"/>
      <c r="F492" s="13">
        <v>0</v>
      </c>
      <c r="G492" s="13"/>
      <c r="H492" s="13"/>
      <c r="I492" s="13"/>
      <c r="J492" s="13"/>
      <c r="K492" s="13"/>
    </row>
    <row r="493" spans="1:11">
      <c r="A493" s="13">
        <v>120100450</v>
      </c>
      <c r="B493" s="15"/>
      <c r="C493" s="14" t="s">
        <v>1168</v>
      </c>
      <c r="D493" s="16" t="s">
        <v>1169</v>
      </c>
      <c r="E493" s="13"/>
      <c r="F493" s="13">
        <v>0</v>
      </c>
      <c r="G493" s="13"/>
      <c r="H493" s="13"/>
      <c r="I493" s="13"/>
      <c r="J493" s="13"/>
      <c r="K493" s="13"/>
    </row>
    <row r="494" spans="1:11">
      <c r="A494" s="13">
        <v>120100451</v>
      </c>
      <c r="B494" s="15"/>
      <c r="C494" s="14" t="s">
        <v>1170</v>
      </c>
      <c r="D494" s="16" t="s">
        <v>1171</v>
      </c>
      <c r="E494" s="13"/>
      <c r="F494" s="13">
        <v>0</v>
      </c>
      <c r="G494" s="13"/>
      <c r="H494" s="13"/>
      <c r="I494" s="13"/>
      <c r="J494" s="13"/>
      <c r="K494" s="13"/>
    </row>
    <row r="495" spans="1:11">
      <c r="A495" s="13">
        <v>120100454</v>
      </c>
      <c r="B495" s="15"/>
      <c r="C495" s="14" t="s">
        <v>1172</v>
      </c>
      <c r="D495" s="16"/>
      <c r="E495" s="13"/>
      <c r="F495" s="13">
        <v>0</v>
      </c>
      <c r="G495" s="13"/>
      <c r="H495" s="13"/>
      <c r="I495" s="13"/>
      <c r="J495" s="13"/>
      <c r="K495" s="13"/>
    </row>
    <row r="496" spans="1:11">
      <c r="A496" s="13">
        <v>120100455</v>
      </c>
      <c r="B496" s="15"/>
      <c r="C496" s="14" t="s">
        <v>1173</v>
      </c>
      <c r="D496" s="16"/>
      <c r="E496" s="13"/>
      <c r="F496" s="13">
        <v>0</v>
      </c>
      <c r="G496" s="13"/>
      <c r="H496" s="13"/>
      <c r="I496" s="13"/>
      <c r="J496" s="13"/>
      <c r="K496" s="13"/>
    </row>
    <row r="497" spans="1:11">
      <c r="A497" s="13">
        <v>120110211</v>
      </c>
      <c r="B497" s="15"/>
      <c r="C497" s="14" t="s">
        <v>1174</v>
      </c>
      <c r="D497" s="16" t="s">
        <v>1175</v>
      </c>
      <c r="E497" s="13"/>
      <c r="F497" s="13">
        <v>0</v>
      </c>
      <c r="G497" s="13"/>
      <c r="H497" s="13"/>
      <c r="I497" s="13"/>
      <c r="J497" s="13"/>
      <c r="K497" s="13"/>
    </row>
    <row r="498" spans="1:11">
      <c r="A498" s="13">
        <v>120100456</v>
      </c>
      <c r="B498" s="15"/>
      <c r="C498" s="14" t="s">
        <v>1176</v>
      </c>
      <c r="D498" s="16" t="s">
        <v>1177</v>
      </c>
      <c r="E498" s="13"/>
      <c r="F498" s="13">
        <v>0</v>
      </c>
      <c r="G498" s="13"/>
      <c r="H498" s="13"/>
      <c r="I498" s="13"/>
      <c r="J498" s="13"/>
      <c r="K498" s="13"/>
    </row>
    <row r="499" spans="1:11">
      <c r="A499" s="13">
        <v>120100459</v>
      </c>
      <c r="B499" s="15"/>
      <c r="C499" s="14" t="s">
        <v>1178</v>
      </c>
      <c r="D499" s="16" t="s">
        <v>1179</v>
      </c>
      <c r="E499" s="13"/>
      <c r="F499" s="13">
        <v>0</v>
      </c>
      <c r="G499" s="13"/>
      <c r="H499" s="13"/>
      <c r="I499" s="13"/>
      <c r="J499" s="13"/>
      <c r="K499" s="13"/>
    </row>
    <row r="500" spans="1:11">
      <c r="A500" s="13">
        <v>120100461</v>
      </c>
      <c r="B500" s="15"/>
      <c r="C500" s="14" t="s">
        <v>1180</v>
      </c>
      <c r="D500" s="16" t="s">
        <v>1181</v>
      </c>
      <c r="E500" s="13"/>
      <c r="F500" s="13">
        <v>0</v>
      </c>
      <c r="G500" s="13"/>
      <c r="H500" s="13"/>
      <c r="I500" s="13"/>
      <c r="J500" s="13"/>
      <c r="K500" s="13"/>
    </row>
    <row r="501" spans="1:11">
      <c r="A501" s="13">
        <v>120100462</v>
      </c>
      <c r="B501" s="15"/>
      <c r="C501" s="14" t="s">
        <v>1182</v>
      </c>
      <c r="D501" s="16" t="s">
        <v>1183</v>
      </c>
      <c r="E501" s="13"/>
      <c r="F501" s="13">
        <v>0</v>
      </c>
      <c r="G501" s="13"/>
      <c r="H501" s="13"/>
      <c r="I501" s="13"/>
      <c r="J501" s="13"/>
      <c r="K501" s="13"/>
    </row>
  </sheetData>
  <conditionalFormatting sqref="A2:A501">
    <cfRule type="duplicateValues" dxfId="6" priority="2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62B3B0-ED3D-44AF-9A5E-9082FF1A7AC1}">
          <x14:formula1>
            <xm:f>_mySQL!$A$2:$A$15</xm:f>
          </x14:formula1>
          <xm:sqref>A2:B4 C2:D2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L17"/>
  <sheetViews>
    <sheetView workbookViewId="0">
      <selection activeCell="E2" sqref="E2"/>
    </sheetView>
  </sheetViews>
  <sheetFormatPr defaultRowHeight="15"/>
  <cols>
    <col min="1" max="1" width="7.28515625" style="1" bestFit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2</v>
      </c>
      <c r="C1" s="1" t="s">
        <v>184</v>
      </c>
      <c r="D1" s="1" t="s">
        <v>183</v>
      </c>
      <c r="E1" s="1" t="s">
        <v>144</v>
      </c>
      <c r="F1" s="1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578</v>
      </c>
      <c r="B2" s="1" t="s">
        <v>578</v>
      </c>
      <c r="C2" s="1" t="s">
        <v>578</v>
      </c>
      <c r="D2" s="1" t="s">
        <v>578</v>
      </c>
      <c r="E2" s="1" t="s">
        <v>577</v>
      </c>
      <c r="F2" s="1" t="s">
        <v>578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6" t="s">
        <v>154</v>
      </c>
      <c r="C3" s="1" t="s">
        <v>153</v>
      </c>
      <c r="D3" s="1" t="s">
        <v>92</v>
      </c>
      <c r="E3" s="1">
        <v>120110015</v>
      </c>
      <c r="F3" s="6" t="s">
        <v>154</v>
      </c>
      <c r="G3" s="13"/>
      <c r="H3" s="13"/>
      <c r="I3" s="13"/>
      <c r="J3" s="13"/>
      <c r="K3" s="13"/>
      <c r="L3" s="13"/>
    </row>
    <row r="4" spans="1:12">
      <c r="A4" s="1">
        <v>2</v>
      </c>
      <c r="B4" s="6" t="s">
        <v>93</v>
      </c>
      <c r="C4" s="1" t="s">
        <v>155</v>
      </c>
      <c r="D4" s="1" t="s">
        <v>143</v>
      </c>
      <c r="E4" s="1">
        <v>120110052</v>
      </c>
      <c r="F4" s="6" t="s">
        <v>93</v>
      </c>
      <c r="G4" s="13"/>
      <c r="H4" s="13"/>
      <c r="I4" s="13"/>
      <c r="J4" s="13"/>
      <c r="K4" s="13"/>
      <c r="L4" s="13"/>
    </row>
    <row r="5" spans="1:12">
      <c r="A5" s="1">
        <v>3</v>
      </c>
      <c r="B5" s="6" t="s">
        <v>158</v>
      </c>
      <c r="C5" s="1" t="s">
        <v>156</v>
      </c>
      <c r="D5" s="1" t="s">
        <v>157</v>
      </c>
      <c r="E5" s="1">
        <v>120100018</v>
      </c>
      <c r="F5" s="6" t="s">
        <v>158</v>
      </c>
      <c r="G5" s="13"/>
      <c r="H5" s="13"/>
      <c r="I5" s="13"/>
      <c r="J5" s="13"/>
      <c r="K5" s="13"/>
      <c r="L5" s="13"/>
    </row>
    <row r="6" spans="1:12">
      <c r="A6" s="1">
        <v>4</v>
      </c>
      <c r="B6" s="6" t="s">
        <v>89</v>
      </c>
      <c r="C6" s="1" t="s">
        <v>159</v>
      </c>
      <c r="D6" s="1" t="s">
        <v>135</v>
      </c>
      <c r="E6" s="1">
        <v>120100223</v>
      </c>
      <c r="F6" s="6" t="s">
        <v>89</v>
      </c>
      <c r="G6" s="13"/>
      <c r="H6" s="13"/>
      <c r="I6" s="13"/>
      <c r="J6" s="13"/>
      <c r="K6" s="13"/>
      <c r="L6" s="13"/>
    </row>
    <row r="7" spans="1:12">
      <c r="A7" s="1">
        <v>5</v>
      </c>
      <c r="B7" s="6" t="s">
        <v>161</v>
      </c>
      <c r="C7" s="1" t="s">
        <v>160</v>
      </c>
      <c r="D7" s="1" t="s">
        <v>139</v>
      </c>
      <c r="E7" s="1">
        <v>120100023</v>
      </c>
      <c r="F7" s="6" t="s">
        <v>161</v>
      </c>
      <c r="G7" s="13"/>
      <c r="H7" s="13"/>
      <c r="I7" s="13"/>
      <c r="J7" s="13"/>
      <c r="K7" s="13"/>
      <c r="L7" s="13"/>
    </row>
    <row r="8" spans="1:12">
      <c r="A8" s="1">
        <v>6</v>
      </c>
      <c r="B8" s="6" t="s">
        <v>97</v>
      </c>
      <c r="C8" s="1" t="s">
        <v>162</v>
      </c>
      <c r="D8" s="1" t="s">
        <v>133</v>
      </c>
      <c r="E8" s="1">
        <v>120100016</v>
      </c>
      <c r="F8" s="6" t="s">
        <v>97</v>
      </c>
      <c r="G8" s="13"/>
      <c r="H8" s="13"/>
      <c r="I8" s="13"/>
      <c r="J8" s="13"/>
      <c r="K8" s="13"/>
      <c r="L8" s="13"/>
    </row>
    <row r="9" spans="1:12">
      <c r="A9" s="1">
        <v>7</v>
      </c>
      <c r="B9" s="6" t="s">
        <v>164</v>
      </c>
      <c r="C9" s="1" t="s">
        <v>163</v>
      </c>
      <c r="D9" s="1" t="s">
        <v>134</v>
      </c>
      <c r="E9" s="1">
        <v>120100047</v>
      </c>
      <c r="F9" s="6" t="s">
        <v>164</v>
      </c>
      <c r="G9" s="13"/>
      <c r="H9" s="13"/>
      <c r="I9" s="13"/>
      <c r="J9" s="13"/>
      <c r="K9" s="13"/>
      <c r="L9" s="13"/>
    </row>
    <row r="10" spans="1:12">
      <c r="A10" s="1">
        <v>8</v>
      </c>
      <c r="B10" s="6" t="s">
        <v>166</v>
      </c>
      <c r="C10" s="1" t="s">
        <v>165</v>
      </c>
      <c r="D10" s="1" t="s">
        <v>136</v>
      </c>
      <c r="E10" s="1">
        <v>120100045</v>
      </c>
      <c r="F10" s="6" t="s">
        <v>166</v>
      </c>
      <c r="G10" s="13"/>
      <c r="H10" s="13"/>
      <c r="I10" s="13"/>
      <c r="J10" s="13"/>
      <c r="K10" s="13"/>
      <c r="L10" s="13"/>
    </row>
    <row r="11" spans="1:12">
      <c r="A11" s="1">
        <v>9</v>
      </c>
      <c r="B11" s="6" t="s">
        <v>168</v>
      </c>
      <c r="C11" s="1" t="s">
        <v>167</v>
      </c>
      <c r="D11" s="1" t="s">
        <v>137</v>
      </c>
      <c r="E11" s="1">
        <v>120100002</v>
      </c>
      <c r="F11" s="6" t="s">
        <v>168</v>
      </c>
      <c r="G11" s="13"/>
      <c r="H11" s="13"/>
      <c r="I11" s="13"/>
      <c r="J11" s="13"/>
      <c r="K11" s="13"/>
      <c r="L11" s="13"/>
    </row>
    <row r="12" spans="1:12">
      <c r="A12" s="1">
        <v>10</v>
      </c>
      <c r="B12" s="6" t="s">
        <v>94</v>
      </c>
      <c r="C12" s="1" t="s">
        <v>169</v>
      </c>
      <c r="D12" s="1" t="s">
        <v>138</v>
      </c>
      <c r="E12" s="1">
        <v>120100029</v>
      </c>
      <c r="F12" s="6" t="s">
        <v>94</v>
      </c>
      <c r="G12" s="13"/>
      <c r="H12" s="13"/>
      <c r="I12" s="13"/>
      <c r="J12" s="13"/>
      <c r="K12" s="13"/>
      <c r="L12" s="13"/>
    </row>
    <row r="13" spans="1:12">
      <c r="A13" s="1">
        <v>11</v>
      </c>
      <c r="B13" s="6" t="s">
        <v>172</v>
      </c>
      <c r="C13" s="1" t="s">
        <v>170</v>
      </c>
      <c r="D13" s="1" t="s">
        <v>171</v>
      </c>
      <c r="E13" s="1">
        <v>120100021</v>
      </c>
      <c r="F13" s="6" t="s">
        <v>172</v>
      </c>
      <c r="G13" s="13"/>
      <c r="H13" s="13"/>
      <c r="I13" s="13"/>
      <c r="J13" s="13"/>
      <c r="K13" s="13"/>
      <c r="L13" s="13"/>
    </row>
    <row r="14" spans="1:12">
      <c r="A14" s="1">
        <v>12</v>
      </c>
      <c r="B14" s="6" t="s">
        <v>175</v>
      </c>
      <c r="C14" s="1" t="s">
        <v>173</v>
      </c>
      <c r="D14" s="1" t="s">
        <v>174</v>
      </c>
      <c r="E14" s="1">
        <v>120100083</v>
      </c>
      <c r="F14" s="6" t="s">
        <v>175</v>
      </c>
      <c r="G14" s="13"/>
      <c r="H14" s="13"/>
      <c r="I14" s="13"/>
      <c r="J14" s="13"/>
      <c r="K14" s="13"/>
      <c r="L14" s="13"/>
    </row>
    <row r="15" spans="1:12">
      <c r="A15" s="1">
        <v>13</v>
      </c>
      <c r="B15" s="6" t="s">
        <v>99</v>
      </c>
      <c r="C15" s="1" t="s">
        <v>176</v>
      </c>
      <c r="D15" s="1" t="s">
        <v>177</v>
      </c>
      <c r="E15" s="1">
        <v>120110061</v>
      </c>
      <c r="F15" s="6" t="s">
        <v>99</v>
      </c>
      <c r="G15" s="13"/>
      <c r="H15" s="13"/>
      <c r="I15" s="13"/>
      <c r="J15" s="13"/>
      <c r="K15" s="13"/>
      <c r="L15" s="13"/>
    </row>
    <row r="16" spans="1:12">
      <c r="A16" s="1">
        <v>14</v>
      </c>
      <c r="B16" s="6" t="s">
        <v>179</v>
      </c>
      <c r="C16" s="1" t="s">
        <v>178</v>
      </c>
      <c r="D16" s="1" t="s">
        <v>88</v>
      </c>
      <c r="E16" s="1">
        <v>120110001</v>
      </c>
      <c r="F16" s="6" t="s">
        <v>179</v>
      </c>
      <c r="G16" s="13"/>
      <c r="H16" s="13"/>
      <c r="I16" s="13"/>
      <c r="J16" s="13"/>
      <c r="K16" s="13"/>
      <c r="L16" s="13"/>
    </row>
    <row r="17" spans="1:12">
      <c r="A17" s="1">
        <v>15</v>
      </c>
      <c r="B17" s="6" t="s">
        <v>182</v>
      </c>
      <c r="C17" s="1" t="s">
        <v>180</v>
      </c>
      <c r="D17" s="1" t="s">
        <v>181</v>
      </c>
      <c r="E17" s="1">
        <v>120100323</v>
      </c>
      <c r="F17" s="6" t="s">
        <v>182</v>
      </c>
      <c r="G17" s="13"/>
      <c r="H17" s="13"/>
      <c r="I17" s="13"/>
      <c r="J17" s="13"/>
      <c r="K17" s="13"/>
      <c r="L17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123C3-BA38-406A-8445-9E2E46354247}">
          <x14:formula1>
            <xm:f>_mySQL!$A$2:$A$15</xm:f>
          </x14:formula1>
          <xm:sqref>A2:F2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N65"/>
  <sheetViews>
    <sheetView workbookViewId="0">
      <selection activeCell="G2" sqref="G2"/>
    </sheetView>
  </sheetViews>
  <sheetFormatPr defaultRowHeight="1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6" style="1" bestFit="1" customWidth="1"/>
    <col min="7" max="7" width="15.140625" style="1" bestFit="1" customWidth="1"/>
    <col min="8" max="16384" width="9.140625" style="1"/>
  </cols>
  <sheetData>
    <row r="1" spans="1:14">
      <c r="A1" s="1" t="s">
        <v>0</v>
      </c>
      <c r="B1" s="1" t="s">
        <v>145</v>
      </c>
      <c r="C1" s="1" t="s">
        <v>146</v>
      </c>
      <c r="D1" s="1" t="s">
        <v>2</v>
      </c>
      <c r="E1" s="1" t="s">
        <v>147</v>
      </c>
      <c r="F1" s="13" t="s">
        <v>588</v>
      </c>
      <c r="G1" s="1" t="s">
        <v>301</v>
      </c>
      <c r="H1" s="13" t="s">
        <v>13</v>
      </c>
      <c r="I1" s="13" t="s">
        <v>321</v>
      </c>
      <c r="J1" s="13" t="s">
        <v>305</v>
      </c>
      <c r="K1" s="13" t="s">
        <v>14</v>
      </c>
      <c r="L1" s="13" t="s">
        <v>15</v>
      </c>
      <c r="M1" s="13" t="s">
        <v>16</v>
      </c>
      <c r="N1" s="13" t="s">
        <v>17</v>
      </c>
    </row>
    <row r="2" spans="1:14">
      <c r="A2" s="1" t="s">
        <v>578</v>
      </c>
      <c r="B2" s="1" t="s">
        <v>578</v>
      </c>
      <c r="C2" s="1" t="s">
        <v>578</v>
      </c>
      <c r="D2" s="1" t="s">
        <v>578</v>
      </c>
      <c r="E2" s="1" t="s">
        <v>581</v>
      </c>
      <c r="F2" s="1" t="s">
        <v>578</v>
      </c>
      <c r="G2" s="1" t="s">
        <v>1325</v>
      </c>
      <c r="H2" s="13" t="s">
        <v>582</v>
      </c>
      <c r="I2" s="13" t="s">
        <v>583</v>
      </c>
      <c r="J2" s="13" t="s">
        <v>584</v>
      </c>
      <c r="K2" s="13" t="s">
        <v>577</v>
      </c>
      <c r="L2" s="13" t="s">
        <v>585</v>
      </c>
      <c r="M2" s="13" t="s">
        <v>585</v>
      </c>
      <c r="N2" s="13" t="s">
        <v>585</v>
      </c>
    </row>
    <row r="3" spans="1:14">
      <c r="A3" s="1" t="s">
        <v>202</v>
      </c>
      <c r="B3" s="1" t="s">
        <v>149</v>
      </c>
      <c r="D3" s="2" t="s">
        <v>253</v>
      </c>
      <c r="G3" s="1">
        <v>12.96</v>
      </c>
      <c r="H3" s="13"/>
      <c r="I3" s="13"/>
      <c r="J3" s="13"/>
      <c r="K3" s="13"/>
      <c r="L3" s="13"/>
      <c r="M3" s="13"/>
      <c r="N3" s="13"/>
    </row>
    <row r="4" spans="1:14">
      <c r="A4" s="1" t="s">
        <v>203</v>
      </c>
      <c r="B4" s="1" t="s">
        <v>149</v>
      </c>
      <c r="D4" s="2" t="s">
        <v>254</v>
      </c>
      <c r="G4" s="1">
        <v>6.9</v>
      </c>
      <c r="H4" s="13"/>
      <c r="I4" s="13"/>
      <c r="J4" s="13"/>
      <c r="K4" s="13"/>
      <c r="L4" s="13"/>
      <c r="M4" s="13"/>
      <c r="N4" s="13"/>
    </row>
    <row r="5" spans="1:14">
      <c r="A5" s="1" t="s">
        <v>233</v>
      </c>
      <c r="B5" s="1" t="s">
        <v>149</v>
      </c>
      <c r="D5" s="2" t="s">
        <v>283</v>
      </c>
      <c r="H5" s="13"/>
      <c r="I5" s="13"/>
      <c r="J5" s="13"/>
      <c r="K5" s="13"/>
      <c r="L5" s="13"/>
      <c r="M5" s="13"/>
      <c r="N5" s="13"/>
    </row>
    <row r="6" spans="1:14">
      <c r="A6" s="1" t="s">
        <v>233</v>
      </c>
      <c r="B6" s="1" t="s">
        <v>288</v>
      </c>
      <c r="D6" s="2" t="s">
        <v>287</v>
      </c>
      <c r="G6" s="1">
        <v>6.9</v>
      </c>
      <c r="H6" s="13"/>
      <c r="I6" s="13"/>
      <c r="J6" s="13"/>
      <c r="K6" s="13"/>
      <c r="L6" s="13"/>
      <c r="M6" s="13"/>
      <c r="N6" s="13"/>
    </row>
    <row r="7" spans="1:14">
      <c r="A7" s="1" t="s">
        <v>206</v>
      </c>
      <c r="B7" s="1" t="s">
        <v>149</v>
      </c>
      <c r="D7" s="2" t="s">
        <v>257</v>
      </c>
      <c r="H7" s="13"/>
      <c r="I7" s="13"/>
      <c r="J7" s="13"/>
      <c r="K7" s="13"/>
      <c r="L7" s="13"/>
      <c r="M7" s="13"/>
      <c r="N7" s="13"/>
    </row>
    <row r="8" spans="1:14">
      <c r="A8" s="1" t="s">
        <v>206</v>
      </c>
      <c r="B8" s="1" t="s">
        <v>149</v>
      </c>
      <c r="D8" s="2" t="s">
        <v>298</v>
      </c>
      <c r="H8" s="13"/>
      <c r="I8" s="13"/>
      <c r="J8" s="13"/>
      <c r="K8" s="13"/>
      <c r="L8" s="13"/>
      <c r="M8" s="13"/>
      <c r="N8" s="13"/>
    </row>
    <row r="9" spans="1:14">
      <c r="A9" s="1" t="s">
        <v>189</v>
      </c>
      <c r="B9" s="1" t="s">
        <v>148</v>
      </c>
      <c r="D9" s="2" t="s">
        <v>242</v>
      </c>
      <c r="G9" s="1">
        <v>7.29</v>
      </c>
      <c r="H9" s="13"/>
      <c r="I9" s="13"/>
      <c r="J9" s="13"/>
      <c r="K9" s="13"/>
      <c r="L9" s="13"/>
      <c r="M9" s="13"/>
      <c r="N9" s="13"/>
    </row>
    <row r="10" spans="1:14">
      <c r="A10" s="1" t="s">
        <v>222</v>
      </c>
      <c r="B10" s="1" t="s">
        <v>149</v>
      </c>
      <c r="D10" s="2" t="s">
        <v>271</v>
      </c>
      <c r="G10" s="1">
        <v>6.89</v>
      </c>
      <c r="H10" s="13"/>
      <c r="I10" s="13"/>
      <c r="J10" s="13"/>
      <c r="K10" s="13"/>
      <c r="L10" s="13"/>
      <c r="M10" s="13"/>
      <c r="N10" s="13"/>
    </row>
    <row r="11" spans="1:14">
      <c r="A11" s="1" t="s">
        <v>205</v>
      </c>
      <c r="B11" s="1" t="s">
        <v>149</v>
      </c>
      <c r="D11" s="2" t="s">
        <v>256</v>
      </c>
      <c r="G11" s="1">
        <v>12.78</v>
      </c>
      <c r="H11" s="13"/>
      <c r="I11" s="13"/>
      <c r="J11" s="13"/>
      <c r="K11" s="13"/>
      <c r="L11" s="13"/>
      <c r="M11" s="13"/>
      <c r="N11" s="13"/>
    </row>
    <row r="12" spans="1:14">
      <c r="A12" s="1" t="s">
        <v>205</v>
      </c>
      <c r="B12" s="1" t="s">
        <v>149</v>
      </c>
      <c r="D12" s="2" t="s">
        <v>256</v>
      </c>
      <c r="G12" s="1">
        <v>12.78</v>
      </c>
      <c r="H12" s="13"/>
      <c r="I12" s="13"/>
      <c r="J12" s="13"/>
      <c r="K12" s="13"/>
      <c r="L12" s="13"/>
      <c r="M12" s="13"/>
      <c r="N12" s="13"/>
    </row>
    <row r="13" spans="1:14">
      <c r="A13" s="1" t="s">
        <v>186</v>
      </c>
      <c r="B13" s="1" t="s">
        <v>148</v>
      </c>
      <c r="D13" s="2" t="s">
        <v>239</v>
      </c>
      <c r="G13" s="1">
        <v>14</v>
      </c>
      <c r="H13" s="13"/>
      <c r="I13" s="13"/>
      <c r="J13" s="13"/>
      <c r="K13" s="13"/>
      <c r="L13" s="13"/>
      <c r="M13" s="13"/>
      <c r="N13" s="13"/>
    </row>
    <row r="14" spans="1:14">
      <c r="A14" s="1" t="s">
        <v>191</v>
      </c>
      <c r="B14" s="1" t="s">
        <v>148</v>
      </c>
      <c r="D14" s="2" t="s">
        <v>244</v>
      </c>
      <c r="H14" s="13"/>
      <c r="I14" s="13"/>
      <c r="J14" s="13"/>
      <c r="K14" s="13"/>
      <c r="L14" s="13"/>
      <c r="M14" s="13"/>
      <c r="N14" s="13"/>
    </row>
    <row r="15" spans="1:14">
      <c r="A15" s="1" t="s">
        <v>201</v>
      </c>
      <c r="B15" s="1" t="s">
        <v>149</v>
      </c>
      <c r="D15" s="2" t="s">
        <v>252</v>
      </c>
      <c r="H15" s="13"/>
      <c r="I15" s="13"/>
      <c r="J15" s="13"/>
      <c r="K15" s="13"/>
      <c r="L15" s="13"/>
      <c r="M15" s="13"/>
      <c r="N15" s="13"/>
    </row>
    <row r="16" spans="1:14">
      <c r="A16" s="1" t="s">
        <v>200</v>
      </c>
      <c r="B16" s="1" t="s">
        <v>149</v>
      </c>
      <c r="D16" s="2" t="s">
        <v>290</v>
      </c>
      <c r="H16" s="13"/>
      <c r="I16" s="13"/>
      <c r="J16" s="13"/>
      <c r="K16" s="13"/>
      <c r="L16" s="13"/>
      <c r="M16" s="13"/>
      <c r="N16" s="13"/>
    </row>
    <row r="17" spans="1:14">
      <c r="A17" s="1" t="s">
        <v>200</v>
      </c>
      <c r="B17" s="1" t="s">
        <v>149</v>
      </c>
      <c r="D17" s="2" t="s">
        <v>300</v>
      </c>
      <c r="H17" s="13"/>
      <c r="I17" s="13"/>
      <c r="J17" s="13"/>
      <c r="K17" s="13"/>
      <c r="L17" s="13"/>
      <c r="M17" s="13"/>
      <c r="N17" s="13"/>
    </row>
    <row r="18" spans="1:14">
      <c r="A18" s="1" t="s">
        <v>199</v>
      </c>
      <c r="B18" s="1" t="s">
        <v>149</v>
      </c>
      <c r="D18" s="2" t="s">
        <v>251</v>
      </c>
      <c r="G18" s="1">
        <v>14.45</v>
      </c>
      <c r="H18" s="13"/>
      <c r="I18" s="13"/>
      <c r="J18" s="13"/>
      <c r="K18" s="13"/>
      <c r="L18" s="13"/>
      <c r="M18" s="13"/>
      <c r="N18" s="13"/>
    </row>
    <row r="19" spans="1:14">
      <c r="A19" s="1" t="s">
        <v>230</v>
      </c>
      <c r="B19" s="1" t="s">
        <v>289</v>
      </c>
      <c r="D19" s="2" t="s">
        <v>280</v>
      </c>
      <c r="G19" s="1">
        <v>12.96</v>
      </c>
      <c r="H19" s="13"/>
      <c r="I19" s="13"/>
      <c r="J19" s="13"/>
      <c r="K19" s="13"/>
      <c r="L19" s="13"/>
      <c r="M19" s="13"/>
      <c r="N19" s="13"/>
    </row>
    <row r="20" spans="1:14">
      <c r="A20" s="1" t="s">
        <v>230</v>
      </c>
      <c r="B20" s="1" t="s">
        <v>149</v>
      </c>
      <c r="D20" s="2" t="s">
        <v>284</v>
      </c>
      <c r="G20" s="1">
        <v>12.96</v>
      </c>
      <c r="H20" s="13"/>
      <c r="I20" s="13"/>
      <c r="J20" s="13"/>
      <c r="K20" s="13"/>
      <c r="L20" s="13"/>
      <c r="M20" s="13"/>
      <c r="N20" s="13"/>
    </row>
    <row r="21" spans="1:14">
      <c r="A21" s="1" t="s">
        <v>196</v>
      </c>
      <c r="B21" s="1" t="s">
        <v>149</v>
      </c>
      <c r="D21" s="2" t="s">
        <v>248</v>
      </c>
      <c r="H21" s="13"/>
      <c r="I21" s="13"/>
      <c r="J21" s="13"/>
      <c r="K21" s="13"/>
      <c r="L21" s="13"/>
      <c r="M21" s="13"/>
      <c r="N21" s="13"/>
    </row>
    <row r="22" spans="1:14">
      <c r="A22" s="1" t="s">
        <v>192</v>
      </c>
      <c r="B22" s="1" t="s">
        <v>149</v>
      </c>
      <c r="D22" s="2" t="s">
        <v>291</v>
      </c>
      <c r="H22" s="13"/>
      <c r="I22" s="13"/>
      <c r="J22" s="13"/>
      <c r="K22" s="13"/>
      <c r="L22" s="13"/>
      <c r="M22" s="13"/>
      <c r="N22" s="13"/>
    </row>
    <row r="23" spans="1:14">
      <c r="A23" s="1" t="s">
        <v>185</v>
      </c>
      <c r="B23" s="1" t="s">
        <v>148</v>
      </c>
      <c r="D23" s="2" t="s">
        <v>238</v>
      </c>
      <c r="H23" s="13"/>
      <c r="I23" s="13"/>
      <c r="J23" s="13"/>
      <c r="K23" s="13"/>
      <c r="L23" s="13"/>
      <c r="M23" s="13"/>
      <c r="N23" s="13"/>
    </row>
    <row r="24" spans="1:14">
      <c r="A24" s="1" t="s">
        <v>187</v>
      </c>
      <c r="B24" s="1" t="s">
        <v>148</v>
      </c>
      <c r="D24" s="2" t="s">
        <v>240</v>
      </c>
      <c r="G24" s="1">
        <v>6.93</v>
      </c>
      <c r="H24" s="13"/>
      <c r="I24" s="13"/>
      <c r="J24" s="13"/>
      <c r="K24" s="13"/>
      <c r="L24" s="13"/>
      <c r="M24" s="13"/>
      <c r="N24" s="13"/>
    </row>
    <row r="25" spans="1:14">
      <c r="A25" s="1" t="s">
        <v>234</v>
      </c>
      <c r="B25" s="1" t="s">
        <v>148</v>
      </c>
      <c r="D25" s="2" t="s">
        <v>239</v>
      </c>
      <c r="H25" s="13"/>
      <c r="I25" s="13"/>
      <c r="J25" s="13"/>
      <c r="K25" s="13"/>
      <c r="L25" s="13"/>
      <c r="M25" s="13"/>
      <c r="N25" s="13"/>
    </row>
    <row r="26" spans="1:14">
      <c r="A26" s="1" t="s">
        <v>231</v>
      </c>
      <c r="B26" s="1" t="s">
        <v>149</v>
      </c>
      <c r="D26" s="2" t="s">
        <v>281</v>
      </c>
      <c r="G26" s="1">
        <v>6.9</v>
      </c>
      <c r="H26" s="13"/>
      <c r="I26" s="13"/>
      <c r="J26" s="13"/>
      <c r="K26" s="13"/>
      <c r="L26" s="13"/>
      <c r="M26" s="13"/>
      <c r="N26" s="13"/>
    </row>
    <row r="27" spans="1:14">
      <c r="A27" s="1" t="s">
        <v>193</v>
      </c>
      <c r="B27" s="1" t="s">
        <v>148</v>
      </c>
      <c r="D27" s="2" t="s">
        <v>245</v>
      </c>
      <c r="G27" s="1">
        <v>6.89</v>
      </c>
      <c r="H27" s="13"/>
      <c r="I27" s="13"/>
      <c r="J27" s="13"/>
      <c r="K27" s="13"/>
      <c r="L27" s="13"/>
      <c r="M27" s="13"/>
      <c r="N27" s="13"/>
    </row>
    <row r="28" spans="1:14">
      <c r="A28" s="1" t="s">
        <v>237</v>
      </c>
      <c r="B28" s="1" t="s">
        <v>289</v>
      </c>
      <c r="D28" s="2" t="s">
        <v>286</v>
      </c>
      <c r="G28" s="1">
        <v>14</v>
      </c>
      <c r="H28" s="13"/>
      <c r="I28" s="13"/>
      <c r="J28" s="13"/>
      <c r="K28" s="13"/>
      <c r="L28" s="13"/>
      <c r="M28" s="13"/>
      <c r="N28" s="13"/>
    </row>
    <row r="29" spans="1:14">
      <c r="A29" s="1" t="s">
        <v>228</v>
      </c>
      <c r="B29" s="1" t="s">
        <v>289</v>
      </c>
      <c r="D29" s="2" t="s">
        <v>277</v>
      </c>
      <c r="H29" s="13"/>
      <c r="I29" s="13"/>
      <c r="J29" s="13"/>
      <c r="K29" s="13"/>
      <c r="L29" s="13"/>
      <c r="M29" s="13"/>
      <c r="N29" s="13"/>
    </row>
    <row r="30" spans="1:14">
      <c r="A30" s="1" t="s">
        <v>211</v>
      </c>
      <c r="B30" s="1" t="s">
        <v>288</v>
      </c>
      <c r="D30" s="2" t="s">
        <v>262</v>
      </c>
      <c r="H30" s="13"/>
      <c r="I30" s="13"/>
      <c r="J30" s="13"/>
      <c r="K30" s="13"/>
      <c r="L30" s="13"/>
      <c r="M30" s="13"/>
      <c r="N30" s="13"/>
    </row>
    <row r="31" spans="1:14">
      <c r="A31" s="1" t="s">
        <v>212</v>
      </c>
      <c r="B31" s="1" t="s">
        <v>288</v>
      </c>
      <c r="D31" s="2" t="s">
        <v>263</v>
      </c>
      <c r="H31" s="13"/>
      <c r="I31" s="13"/>
      <c r="J31" s="13"/>
      <c r="K31" s="13"/>
      <c r="L31" s="13"/>
      <c r="M31" s="13"/>
      <c r="N31" s="13"/>
    </row>
    <row r="32" spans="1:14">
      <c r="A32" s="1" t="s">
        <v>212</v>
      </c>
      <c r="B32" s="1" t="s">
        <v>289</v>
      </c>
      <c r="D32" s="2" t="s">
        <v>278</v>
      </c>
      <c r="H32" s="13"/>
      <c r="I32" s="13"/>
      <c r="J32" s="13"/>
      <c r="K32" s="13"/>
      <c r="L32" s="13"/>
      <c r="M32" s="13"/>
      <c r="N32" s="13"/>
    </row>
    <row r="33" spans="1:14">
      <c r="A33" s="1" t="s">
        <v>224</v>
      </c>
      <c r="B33" s="1" t="s">
        <v>289</v>
      </c>
      <c r="D33" s="2" t="s">
        <v>295</v>
      </c>
      <c r="G33" s="1">
        <v>14.45</v>
      </c>
      <c r="H33" s="13"/>
      <c r="I33" s="13"/>
      <c r="J33" s="13"/>
      <c r="K33" s="13"/>
      <c r="L33" s="13"/>
      <c r="M33" s="13"/>
      <c r="N33" s="13"/>
    </row>
    <row r="34" spans="1:14">
      <c r="A34" s="1" t="s">
        <v>225</v>
      </c>
      <c r="B34" s="1" t="s">
        <v>289</v>
      </c>
      <c r="D34" s="2" t="s">
        <v>273</v>
      </c>
      <c r="G34" s="1">
        <v>12.96</v>
      </c>
      <c r="H34" s="13"/>
      <c r="I34" s="13"/>
      <c r="J34" s="13"/>
      <c r="K34" s="13"/>
      <c r="L34" s="13"/>
      <c r="M34" s="13"/>
      <c r="N34" s="13"/>
    </row>
    <row r="35" spans="1:14">
      <c r="A35" s="1" t="s">
        <v>229</v>
      </c>
      <c r="B35" s="1" t="s">
        <v>289</v>
      </c>
      <c r="D35" s="2" t="s">
        <v>279</v>
      </c>
      <c r="H35" s="13"/>
      <c r="I35" s="13"/>
      <c r="J35" s="13"/>
      <c r="K35" s="13"/>
      <c r="L35" s="13"/>
      <c r="M35" s="13"/>
      <c r="N35" s="13"/>
    </row>
    <row r="36" spans="1:14">
      <c r="A36" s="1" t="s">
        <v>218</v>
      </c>
      <c r="B36" s="1" t="s">
        <v>288</v>
      </c>
      <c r="D36" s="2" t="s">
        <v>267</v>
      </c>
      <c r="H36" s="13"/>
      <c r="I36" s="13"/>
      <c r="J36" s="13"/>
      <c r="K36" s="13"/>
      <c r="L36" s="13"/>
      <c r="M36" s="13"/>
      <c r="N36" s="13"/>
    </row>
    <row r="37" spans="1:14">
      <c r="A37" s="1" t="s">
        <v>218</v>
      </c>
      <c r="B37" s="1" t="s">
        <v>289</v>
      </c>
      <c r="D37" s="2" t="s">
        <v>274</v>
      </c>
      <c r="H37" s="13"/>
      <c r="I37" s="13"/>
      <c r="J37" s="13"/>
      <c r="K37" s="13"/>
      <c r="L37" s="13"/>
      <c r="M37" s="13"/>
      <c r="N37" s="13"/>
    </row>
    <row r="38" spans="1:14">
      <c r="A38" s="1" t="s">
        <v>218</v>
      </c>
      <c r="B38" s="1" t="s">
        <v>289</v>
      </c>
      <c r="D38" s="2" t="s">
        <v>275</v>
      </c>
      <c r="H38" s="13"/>
      <c r="I38" s="13"/>
      <c r="J38" s="13"/>
      <c r="K38" s="13"/>
      <c r="L38" s="13"/>
      <c r="M38" s="13"/>
      <c r="N38" s="13"/>
    </row>
    <row r="39" spans="1:14">
      <c r="A39" s="1" t="s">
        <v>216</v>
      </c>
      <c r="B39" s="1" t="s">
        <v>289</v>
      </c>
      <c r="D39" s="2" t="s">
        <v>265</v>
      </c>
      <c r="H39" s="13"/>
      <c r="I39" s="13"/>
      <c r="J39" s="13"/>
      <c r="K39" s="13"/>
      <c r="L39" s="13"/>
      <c r="M39" s="13"/>
      <c r="N39" s="13"/>
    </row>
    <row r="40" spans="1:14">
      <c r="A40" s="1" t="s">
        <v>217</v>
      </c>
      <c r="B40" s="1" t="s">
        <v>289</v>
      </c>
      <c r="D40" s="2" t="s">
        <v>266</v>
      </c>
      <c r="H40" s="13"/>
      <c r="I40" s="13"/>
      <c r="J40" s="13"/>
      <c r="K40" s="13"/>
      <c r="L40" s="13"/>
      <c r="M40" s="13"/>
      <c r="N40" s="13"/>
    </row>
    <row r="41" spans="1:14">
      <c r="A41" s="1" t="s">
        <v>226</v>
      </c>
      <c r="B41" s="1" t="s">
        <v>289</v>
      </c>
      <c r="D41" s="2" t="s">
        <v>296</v>
      </c>
      <c r="H41" s="13"/>
      <c r="I41" s="13"/>
      <c r="J41" s="13"/>
      <c r="K41" s="13"/>
      <c r="L41" s="13"/>
      <c r="M41" s="13"/>
      <c r="N41" s="13"/>
    </row>
    <row r="42" spans="1:14">
      <c r="A42" s="1" t="s">
        <v>219</v>
      </c>
      <c r="B42" s="1" t="s">
        <v>289</v>
      </c>
      <c r="D42" s="2" t="s">
        <v>269</v>
      </c>
      <c r="H42" s="13"/>
      <c r="I42" s="13"/>
      <c r="J42" s="13"/>
      <c r="K42" s="13"/>
      <c r="L42" s="13"/>
      <c r="M42" s="13"/>
      <c r="N42" s="13"/>
    </row>
    <row r="43" spans="1:14">
      <c r="A43" s="1" t="s">
        <v>220</v>
      </c>
      <c r="B43" s="1" t="s">
        <v>289</v>
      </c>
      <c r="D43" s="2" t="s">
        <v>294</v>
      </c>
      <c r="H43" s="13"/>
      <c r="I43" s="13"/>
      <c r="J43" s="13"/>
      <c r="K43" s="13"/>
      <c r="L43" s="13"/>
      <c r="M43" s="13"/>
      <c r="N43" s="13"/>
    </row>
    <row r="44" spans="1:14">
      <c r="A44" s="1" t="s">
        <v>223</v>
      </c>
      <c r="B44" s="1" t="s">
        <v>289</v>
      </c>
      <c r="D44" s="2" t="s">
        <v>272</v>
      </c>
      <c r="H44" s="13"/>
      <c r="I44" s="13"/>
      <c r="J44" s="13"/>
      <c r="K44" s="13"/>
      <c r="L44" s="13"/>
      <c r="M44" s="13"/>
      <c r="N44" s="13"/>
    </row>
    <row r="45" spans="1:14">
      <c r="A45" s="1" t="s">
        <v>209</v>
      </c>
      <c r="B45" s="1" t="s">
        <v>288</v>
      </c>
      <c r="D45" s="2" t="s">
        <v>260</v>
      </c>
      <c r="H45" s="13"/>
      <c r="I45" s="13"/>
      <c r="J45" s="13"/>
      <c r="K45" s="13"/>
      <c r="L45" s="13"/>
      <c r="M45" s="13"/>
      <c r="N45" s="13"/>
    </row>
    <row r="46" spans="1:14">
      <c r="A46" s="1" t="s">
        <v>210</v>
      </c>
      <c r="B46" s="1" t="s">
        <v>288</v>
      </c>
      <c r="D46" s="2" t="s">
        <v>261</v>
      </c>
      <c r="H46" s="13"/>
      <c r="I46" s="13"/>
      <c r="J46" s="13"/>
      <c r="K46" s="13"/>
      <c r="L46" s="13"/>
      <c r="M46" s="13"/>
      <c r="N46" s="13"/>
    </row>
    <row r="47" spans="1:14">
      <c r="A47" s="1" t="s">
        <v>188</v>
      </c>
      <c r="B47" s="1" t="s">
        <v>148</v>
      </c>
      <c r="D47" s="2" t="s">
        <v>241</v>
      </c>
      <c r="H47" s="13"/>
      <c r="I47" s="13"/>
      <c r="J47" s="13"/>
      <c r="K47" s="13"/>
      <c r="L47" s="13"/>
      <c r="M47" s="13"/>
      <c r="N47" s="13"/>
    </row>
    <row r="48" spans="1:14">
      <c r="A48" s="1" t="s">
        <v>194</v>
      </c>
      <c r="B48" s="1" t="s">
        <v>148</v>
      </c>
      <c r="D48" s="2" t="s">
        <v>246</v>
      </c>
      <c r="H48" s="13"/>
      <c r="I48" s="13"/>
      <c r="J48" s="13"/>
      <c r="K48" s="13"/>
      <c r="L48" s="13"/>
      <c r="M48" s="13"/>
      <c r="N48" s="13"/>
    </row>
    <row r="49" spans="1:14">
      <c r="A49" s="1" t="s">
        <v>190</v>
      </c>
      <c r="B49" s="1" t="s">
        <v>148</v>
      </c>
      <c r="D49" s="2" t="s">
        <v>243</v>
      </c>
      <c r="H49" s="13"/>
      <c r="I49" s="13"/>
      <c r="J49" s="13"/>
      <c r="K49" s="13"/>
      <c r="L49" s="13"/>
      <c r="M49" s="13"/>
      <c r="N49" s="13"/>
    </row>
    <row r="50" spans="1:14">
      <c r="A50" s="1" t="s">
        <v>198</v>
      </c>
      <c r="B50" s="1" t="s">
        <v>149</v>
      </c>
      <c r="D50" s="2" t="s">
        <v>250</v>
      </c>
      <c r="H50" s="13"/>
      <c r="I50" s="13"/>
      <c r="J50" s="13"/>
      <c r="K50" s="13"/>
      <c r="L50" s="13"/>
      <c r="M50" s="13"/>
      <c r="N50" s="13"/>
    </row>
    <row r="51" spans="1:14">
      <c r="A51" s="1" t="s">
        <v>198</v>
      </c>
      <c r="B51" s="1" t="s">
        <v>288</v>
      </c>
      <c r="D51" s="2" t="s">
        <v>268</v>
      </c>
      <c r="H51" s="13"/>
      <c r="I51" s="13"/>
      <c r="J51" s="13"/>
      <c r="K51" s="13"/>
      <c r="L51" s="13"/>
      <c r="M51" s="13"/>
      <c r="N51" s="13"/>
    </row>
    <row r="52" spans="1:14">
      <c r="A52" s="1" t="s">
        <v>195</v>
      </c>
      <c r="B52" s="1" t="s">
        <v>149</v>
      </c>
      <c r="D52" s="2" t="s">
        <v>247</v>
      </c>
      <c r="H52" s="13"/>
      <c r="I52" s="13"/>
      <c r="J52" s="13"/>
      <c r="K52" s="13"/>
      <c r="L52" s="13"/>
      <c r="M52" s="13"/>
      <c r="N52" s="13"/>
    </row>
    <row r="53" spans="1:14">
      <c r="A53" s="1" t="s">
        <v>232</v>
      </c>
      <c r="B53" s="1" t="s">
        <v>149</v>
      </c>
      <c r="D53" s="2" t="s">
        <v>282</v>
      </c>
      <c r="H53" s="13"/>
      <c r="I53" s="13"/>
      <c r="J53" s="13"/>
      <c r="K53" s="13"/>
      <c r="L53" s="13"/>
      <c r="M53" s="13"/>
      <c r="N53" s="13"/>
    </row>
    <row r="54" spans="1:14">
      <c r="A54" s="1" t="s">
        <v>204</v>
      </c>
      <c r="B54" s="1" t="s">
        <v>149</v>
      </c>
      <c r="D54" s="2" t="s">
        <v>255</v>
      </c>
      <c r="H54" s="13"/>
      <c r="I54" s="13"/>
      <c r="J54" s="13"/>
      <c r="K54" s="13"/>
      <c r="L54" s="13"/>
      <c r="M54" s="13"/>
      <c r="N54" s="13"/>
    </row>
    <row r="55" spans="1:14">
      <c r="A55" s="1" t="s">
        <v>197</v>
      </c>
      <c r="B55" s="1" t="s">
        <v>149</v>
      </c>
      <c r="D55" s="2" t="s">
        <v>249</v>
      </c>
      <c r="H55" s="13"/>
      <c r="I55" s="13"/>
      <c r="J55" s="13"/>
      <c r="K55" s="13"/>
      <c r="L55" s="13"/>
      <c r="M55" s="13"/>
      <c r="N55" s="13"/>
    </row>
    <row r="56" spans="1:14">
      <c r="A56" s="1" t="s">
        <v>235</v>
      </c>
      <c r="B56" s="1" t="s">
        <v>289</v>
      </c>
      <c r="D56" s="2" t="s">
        <v>299</v>
      </c>
      <c r="H56" s="13"/>
      <c r="I56" s="13"/>
      <c r="J56" s="13"/>
      <c r="K56" s="13"/>
      <c r="L56" s="13"/>
      <c r="M56" s="13"/>
      <c r="N56" s="13"/>
    </row>
    <row r="57" spans="1:14">
      <c r="A57" s="1" t="s">
        <v>236</v>
      </c>
      <c r="B57" s="1" t="s">
        <v>288</v>
      </c>
      <c r="D57" s="2" t="s">
        <v>285</v>
      </c>
      <c r="H57" s="13"/>
      <c r="I57" s="13"/>
      <c r="J57" s="13"/>
      <c r="K57" s="13"/>
      <c r="L57" s="13"/>
      <c r="M57" s="13"/>
      <c r="N57" s="13"/>
    </row>
    <row r="58" spans="1:14">
      <c r="A58" s="1" t="s">
        <v>213</v>
      </c>
      <c r="B58" s="1" t="s">
        <v>289</v>
      </c>
      <c r="D58" s="2" t="s">
        <v>264</v>
      </c>
      <c r="H58" s="13"/>
      <c r="I58" s="13"/>
      <c r="J58" s="13"/>
      <c r="K58" s="13"/>
      <c r="L58" s="13"/>
      <c r="M58" s="13"/>
      <c r="N58" s="13"/>
    </row>
    <row r="59" spans="1:14">
      <c r="A59" s="1" t="s">
        <v>214</v>
      </c>
      <c r="B59" s="1" t="s">
        <v>289</v>
      </c>
      <c r="D59" s="2" t="s">
        <v>292</v>
      </c>
      <c r="H59" s="13"/>
      <c r="I59" s="13"/>
      <c r="J59" s="13"/>
      <c r="K59" s="13"/>
      <c r="L59" s="13"/>
      <c r="M59" s="13"/>
      <c r="N59" s="13"/>
    </row>
    <row r="60" spans="1:14">
      <c r="A60" s="1" t="s">
        <v>215</v>
      </c>
      <c r="B60" s="1" t="s">
        <v>289</v>
      </c>
      <c r="D60" s="2" t="s">
        <v>293</v>
      </c>
      <c r="H60" s="13"/>
      <c r="I60" s="13"/>
      <c r="J60" s="13"/>
      <c r="K60" s="13"/>
      <c r="L60" s="13"/>
      <c r="M60" s="13"/>
      <c r="N60" s="13"/>
    </row>
    <row r="61" spans="1:14">
      <c r="A61" s="1" t="s">
        <v>221</v>
      </c>
      <c r="B61" s="1" t="s">
        <v>289</v>
      </c>
      <c r="D61" s="2" t="s">
        <v>270</v>
      </c>
      <c r="H61" s="13"/>
      <c r="I61" s="13"/>
      <c r="J61" s="13"/>
      <c r="K61" s="13"/>
      <c r="L61" s="13"/>
      <c r="M61" s="13"/>
      <c r="N61" s="13"/>
    </row>
    <row r="62" spans="1:14">
      <c r="A62" s="1" t="s">
        <v>227</v>
      </c>
      <c r="B62" s="1" t="s">
        <v>289</v>
      </c>
      <c r="D62" s="2" t="s">
        <v>276</v>
      </c>
      <c r="H62" s="13"/>
      <c r="I62" s="13"/>
      <c r="J62" s="13"/>
      <c r="K62" s="13"/>
      <c r="L62" s="13"/>
      <c r="M62" s="13"/>
      <c r="N62" s="13"/>
    </row>
    <row r="63" spans="1:14">
      <c r="A63" s="1" t="s">
        <v>207</v>
      </c>
      <c r="B63" s="1" t="s">
        <v>149</v>
      </c>
      <c r="D63" s="2" t="s">
        <v>258</v>
      </c>
      <c r="H63" s="13"/>
      <c r="I63" s="13"/>
      <c r="J63" s="13"/>
      <c r="K63" s="13"/>
      <c r="L63" s="13"/>
      <c r="M63" s="13"/>
      <c r="N63" s="13"/>
    </row>
    <row r="64" spans="1:14">
      <c r="A64" s="1" t="s">
        <v>208</v>
      </c>
      <c r="B64" s="1" t="s">
        <v>149</v>
      </c>
      <c r="D64" s="2" t="s">
        <v>259</v>
      </c>
      <c r="H64" s="13"/>
      <c r="I64" s="13"/>
      <c r="J64" s="13"/>
      <c r="K64" s="13"/>
      <c r="L64" s="13"/>
      <c r="M64" s="13"/>
      <c r="N64" s="13"/>
    </row>
    <row r="65" spans="1:14">
      <c r="A65" s="1" t="s">
        <v>208</v>
      </c>
      <c r="B65" s="1" t="s">
        <v>289</v>
      </c>
      <c r="D65" s="2" t="s">
        <v>297</v>
      </c>
      <c r="H65" s="13"/>
      <c r="I65" s="13"/>
      <c r="J65" s="13"/>
      <c r="K65" s="13"/>
      <c r="L65" s="13"/>
      <c r="M65" s="13"/>
      <c r="N6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1912B9-0F83-4134-8048-A1075CE16F56}">
          <x14:formula1>
            <xm:f>_mySQL!$A$2:$A$15</xm:f>
          </x14:formula1>
          <xm:sqref>A2:F2</xm:sqref>
        </x14:dataValidation>
        <x14:dataValidation type="list" allowBlank="1" showInputMessage="1" showErrorMessage="1" xr:uid="{52E1D9F0-6C03-461C-85A8-57FFE8DF9936}">
          <x14:formula1>
            <xm:f>_mySQL!$A$2:$A$114</xm:f>
          </x14:formula1>
          <xm:sqref>G2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L92"/>
  <sheetViews>
    <sheetView workbookViewId="0">
      <selection activeCell="D5" sqref="D5"/>
    </sheetView>
  </sheetViews>
  <sheetFormatPr defaultRowHeight="15"/>
  <cols>
    <col min="1" max="1" width="25.85546875" style="1" bestFit="1" customWidth="1"/>
    <col min="2" max="2" width="15.140625" style="1" bestFit="1" customWidth="1"/>
    <col min="3" max="3" width="14.140625" style="1" bestFit="1" customWidth="1"/>
    <col min="4" max="4" width="19.140625" style="1" bestFit="1" customWidth="1"/>
    <col min="5" max="5" width="20.140625" style="1" bestFit="1" customWidth="1"/>
    <col min="6" max="6" width="15.5703125" style="1" bestFit="1" customWidth="1"/>
    <col min="7" max="7" width="10.85546875" style="1" bestFit="1" customWidth="1"/>
    <col min="8" max="8" width="9.140625" style="1" bestFit="1" customWidth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304</v>
      </c>
      <c r="C1" s="1" t="s">
        <v>303</v>
      </c>
      <c r="D1" s="13" t="s">
        <v>145</v>
      </c>
      <c r="E1" s="13" t="s">
        <v>1326</v>
      </c>
      <c r="F1" s="13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587</v>
      </c>
      <c r="B2" s="1" t="s">
        <v>577</v>
      </c>
      <c r="C2" s="1" t="s">
        <v>1327</v>
      </c>
      <c r="D2" s="1" t="s">
        <v>1327</v>
      </c>
      <c r="E2" s="1" t="s">
        <v>1327</v>
      </c>
      <c r="F2" s="13" t="s">
        <v>582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1">
        <v>141650001</v>
      </c>
      <c r="C3" s="1" t="s">
        <v>203</v>
      </c>
      <c r="D3" s="1" t="s">
        <v>148</v>
      </c>
      <c r="E3" s="1" t="s">
        <v>149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1">
        <v>141650001</v>
      </c>
      <c r="C4" s="1" t="s">
        <v>231</v>
      </c>
      <c r="D4" s="1" t="s">
        <v>148</v>
      </c>
      <c r="E4" s="1" t="s">
        <v>149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1">
        <v>141650001</v>
      </c>
      <c r="C5" s="1" t="s">
        <v>233</v>
      </c>
      <c r="D5" s="1" t="s">
        <v>148</v>
      </c>
      <c r="E5" s="1" t="s">
        <v>149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1">
        <v>140310075</v>
      </c>
      <c r="C6" s="1" t="s">
        <v>194</v>
      </c>
      <c r="D6" s="1" t="s">
        <v>148</v>
      </c>
      <c r="E6" s="1" t="s">
        <v>148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1">
        <v>140310075</v>
      </c>
      <c r="C7" s="1" t="s">
        <v>190</v>
      </c>
      <c r="D7" s="1" t="s">
        <v>148</v>
      </c>
      <c r="E7" s="1" t="s">
        <v>148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1">
        <v>140310031</v>
      </c>
      <c r="C8" s="1" t="s">
        <v>194</v>
      </c>
      <c r="D8" s="1" t="s">
        <v>148</v>
      </c>
      <c r="E8" s="1" t="s">
        <v>148</v>
      </c>
      <c r="F8" s="13"/>
      <c r="G8" s="13"/>
      <c r="H8" s="13"/>
      <c r="I8" s="13"/>
      <c r="J8" s="13"/>
      <c r="K8" s="13"/>
      <c r="L8" s="13"/>
    </row>
    <row r="9" spans="1:12">
      <c r="A9" s="1">
        <v>7</v>
      </c>
      <c r="B9" s="1">
        <v>140310031</v>
      </c>
      <c r="C9" s="1" t="s">
        <v>190</v>
      </c>
      <c r="D9" s="1" t="s">
        <v>148</v>
      </c>
      <c r="E9" s="1" t="s">
        <v>148</v>
      </c>
      <c r="F9" s="13"/>
      <c r="G9" s="13"/>
      <c r="H9" s="13"/>
      <c r="I9" s="13"/>
      <c r="J9" s="13"/>
      <c r="K9" s="13"/>
      <c r="L9" s="13"/>
    </row>
    <row r="10" spans="1:12">
      <c r="A10" s="1">
        <v>8</v>
      </c>
      <c r="B10" s="1">
        <v>140680007</v>
      </c>
      <c r="C10" s="1" t="s">
        <v>231</v>
      </c>
      <c r="D10" s="1" t="s">
        <v>148</v>
      </c>
      <c r="E10" s="1" t="s">
        <v>149</v>
      </c>
      <c r="F10" s="13"/>
      <c r="G10" s="13"/>
      <c r="H10" s="13"/>
      <c r="I10" s="13"/>
      <c r="J10" s="13"/>
      <c r="K10" s="13"/>
      <c r="L10" s="13"/>
    </row>
    <row r="11" spans="1:12">
      <c r="A11" s="1">
        <v>9</v>
      </c>
      <c r="B11" s="1">
        <v>140680007</v>
      </c>
      <c r="C11" s="1" t="s">
        <v>233</v>
      </c>
      <c r="D11" s="1" t="s">
        <v>148</v>
      </c>
      <c r="E11" s="1" t="s">
        <v>149</v>
      </c>
      <c r="F11" s="13"/>
      <c r="G11" s="13"/>
      <c r="H11" s="13"/>
      <c r="I11" s="13"/>
      <c r="J11" s="13"/>
      <c r="K11" s="13"/>
      <c r="L11" s="13"/>
    </row>
    <row r="12" spans="1:12">
      <c r="A12" s="1">
        <v>10</v>
      </c>
      <c r="B12" s="1">
        <v>140550063</v>
      </c>
      <c r="C12" s="1" t="s">
        <v>234</v>
      </c>
      <c r="D12" s="1" t="s">
        <v>148</v>
      </c>
      <c r="E12" s="1" t="s">
        <v>148</v>
      </c>
      <c r="F12" s="13"/>
      <c r="G12" s="13"/>
      <c r="H12" s="13"/>
      <c r="I12" s="13"/>
      <c r="J12" s="13"/>
      <c r="K12" s="13"/>
      <c r="L12" s="13"/>
    </row>
    <row r="13" spans="1:12">
      <c r="A13" s="1">
        <v>11</v>
      </c>
      <c r="B13" s="1">
        <v>140550060</v>
      </c>
      <c r="C13" s="1" t="s">
        <v>206</v>
      </c>
      <c r="D13" s="1" t="s">
        <v>148</v>
      </c>
      <c r="E13" s="1" t="s">
        <v>149</v>
      </c>
      <c r="F13" s="13"/>
      <c r="G13" s="13"/>
      <c r="H13" s="13"/>
      <c r="I13" s="13"/>
      <c r="J13" s="13"/>
      <c r="K13" s="13"/>
      <c r="L13" s="13"/>
    </row>
    <row r="14" spans="1:12">
      <c r="A14" s="1">
        <v>12</v>
      </c>
      <c r="B14" s="1">
        <v>140530039</v>
      </c>
      <c r="C14" s="1" t="s">
        <v>189</v>
      </c>
      <c r="D14" s="1" t="s">
        <v>148</v>
      </c>
      <c r="E14" s="1" t="s">
        <v>148</v>
      </c>
      <c r="F14" s="13"/>
      <c r="G14" s="13"/>
      <c r="H14" s="13"/>
      <c r="I14" s="13"/>
      <c r="J14" s="13"/>
      <c r="K14" s="13"/>
      <c r="L14" s="13"/>
    </row>
    <row r="15" spans="1:12">
      <c r="A15" s="1">
        <v>13</v>
      </c>
      <c r="B15" s="1">
        <v>140550019</v>
      </c>
      <c r="C15" s="1" t="s">
        <v>190</v>
      </c>
      <c r="D15" s="1" t="s">
        <v>148</v>
      </c>
      <c r="E15" s="1" t="s">
        <v>148</v>
      </c>
      <c r="F15" s="13"/>
      <c r="G15" s="13"/>
      <c r="H15" s="13"/>
      <c r="I15" s="13"/>
      <c r="J15" s="13"/>
      <c r="K15" s="13"/>
      <c r="L15" s="13"/>
    </row>
    <row r="16" spans="1:12">
      <c r="A16" s="1">
        <v>14</v>
      </c>
      <c r="B16" s="1">
        <v>140550019</v>
      </c>
      <c r="C16" s="1" t="s">
        <v>188</v>
      </c>
      <c r="D16" s="1" t="s">
        <v>148</v>
      </c>
      <c r="E16" s="1" t="s">
        <v>148</v>
      </c>
      <c r="F16" s="13"/>
      <c r="G16" s="13"/>
      <c r="H16" s="13"/>
      <c r="I16" s="13"/>
      <c r="J16" s="13"/>
      <c r="K16" s="13"/>
      <c r="L16" s="13"/>
    </row>
    <row r="17" spans="1:12">
      <c r="A17" s="1">
        <v>15</v>
      </c>
      <c r="B17" s="1">
        <v>140530004</v>
      </c>
      <c r="C17" s="1" t="s">
        <v>189</v>
      </c>
      <c r="D17" s="1" t="s">
        <v>148</v>
      </c>
      <c r="E17" s="1" t="s">
        <v>148</v>
      </c>
      <c r="F17" s="13"/>
      <c r="G17" s="13"/>
      <c r="H17" s="13"/>
      <c r="I17" s="13"/>
      <c r="J17" s="13"/>
      <c r="K17" s="13"/>
      <c r="L17" s="13"/>
    </row>
    <row r="18" spans="1:12">
      <c r="A18" s="1">
        <v>16</v>
      </c>
      <c r="B18" s="1">
        <v>140090143</v>
      </c>
      <c r="C18" s="1" t="s">
        <v>203</v>
      </c>
      <c r="D18" s="1" t="s">
        <v>148</v>
      </c>
      <c r="E18" s="1" t="s">
        <v>149</v>
      </c>
      <c r="F18" s="13"/>
      <c r="G18" s="13"/>
      <c r="H18" s="13"/>
      <c r="I18" s="13"/>
      <c r="J18" s="13"/>
      <c r="K18" s="13"/>
      <c r="L18" s="13"/>
    </row>
    <row r="19" spans="1:12">
      <c r="A19" s="1">
        <v>17</v>
      </c>
      <c r="B19" s="1">
        <v>140090143</v>
      </c>
      <c r="C19" s="1" t="s">
        <v>231</v>
      </c>
      <c r="D19" s="1" t="s">
        <v>148</v>
      </c>
      <c r="E19" s="1" t="s">
        <v>149</v>
      </c>
      <c r="F19" s="13"/>
      <c r="G19" s="13"/>
      <c r="H19" s="13"/>
      <c r="I19" s="13"/>
      <c r="J19" s="13"/>
      <c r="K19" s="13"/>
      <c r="L19" s="13"/>
    </row>
    <row r="20" spans="1:12">
      <c r="A20" s="1">
        <v>18</v>
      </c>
      <c r="B20" s="1">
        <v>140090143</v>
      </c>
      <c r="C20" s="1" t="s">
        <v>233</v>
      </c>
      <c r="D20" s="1" t="s">
        <v>148</v>
      </c>
      <c r="E20" s="1" t="s">
        <v>149</v>
      </c>
      <c r="F20" s="13"/>
      <c r="G20" s="13"/>
      <c r="H20" s="13"/>
      <c r="I20" s="13"/>
      <c r="J20" s="13"/>
      <c r="K20" s="13"/>
      <c r="L20" s="13"/>
    </row>
    <row r="21" spans="1:12">
      <c r="A21" s="1">
        <v>19</v>
      </c>
      <c r="B21" s="1">
        <v>140220012</v>
      </c>
      <c r="C21" s="1" t="s">
        <v>203</v>
      </c>
      <c r="D21" s="1" t="s">
        <v>148</v>
      </c>
      <c r="E21" s="1" t="s">
        <v>149</v>
      </c>
      <c r="F21" s="13"/>
      <c r="G21" s="13"/>
      <c r="H21" s="13"/>
      <c r="I21" s="13"/>
      <c r="J21" s="13"/>
      <c r="K21" s="13"/>
      <c r="L21" s="13"/>
    </row>
    <row r="22" spans="1:12">
      <c r="A22" s="1">
        <v>20</v>
      </c>
      <c r="B22" s="1">
        <v>140220012</v>
      </c>
      <c r="C22" s="1" t="s">
        <v>231</v>
      </c>
      <c r="D22" s="1" t="s">
        <v>148</v>
      </c>
      <c r="E22" s="1" t="s">
        <v>149</v>
      </c>
      <c r="F22" s="13"/>
      <c r="G22" s="13"/>
      <c r="H22" s="13"/>
      <c r="I22" s="13"/>
      <c r="J22" s="13"/>
      <c r="K22" s="13"/>
      <c r="L22" s="13"/>
    </row>
    <row r="23" spans="1:12">
      <c r="A23" s="1">
        <v>21</v>
      </c>
      <c r="B23" s="1">
        <v>140220012</v>
      </c>
      <c r="C23" s="1" t="s">
        <v>233</v>
      </c>
      <c r="D23" s="1" t="s">
        <v>148</v>
      </c>
      <c r="E23" s="1" t="s">
        <v>149</v>
      </c>
      <c r="F23" s="13"/>
      <c r="G23" s="13"/>
      <c r="H23" s="13"/>
      <c r="I23" s="13"/>
      <c r="J23" s="13"/>
      <c r="K23" s="13"/>
      <c r="L23" s="13"/>
    </row>
    <row r="24" spans="1:12">
      <c r="A24" s="1">
        <v>22</v>
      </c>
      <c r="B24" s="1">
        <v>140310058</v>
      </c>
      <c r="C24" s="1" t="s">
        <v>203</v>
      </c>
      <c r="D24" s="1" t="s">
        <v>148</v>
      </c>
      <c r="E24" s="1" t="s">
        <v>149</v>
      </c>
      <c r="F24" s="13"/>
      <c r="G24" s="13"/>
      <c r="H24" s="13"/>
      <c r="I24" s="13"/>
      <c r="J24" s="13"/>
      <c r="K24" s="13"/>
      <c r="L24" s="13"/>
    </row>
    <row r="25" spans="1:12">
      <c r="A25" s="1">
        <v>23</v>
      </c>
      <c r="B25" s="1">
        <v>140310058</v>
      </c>
      <c r="C25" s="1" t="s">
        <v>231</v>
      </c>
      <c r="D25" s="1" t="s">
        <v>148</v>
      </c>
      <c r="E25" s="1" t="s">
        <v>149</v>
      </c>
      <c r="F25" s="13"/>
      <c r="G25" s="13"/>
      <c r="H25" s="13"/>
      <c r="I25" s="13"/>
      <c r="J25" s="13"/>
      <c r="K25" s="13"/>
      <c r="L25" s="13"/>
    </row>
    <row r="26" spans="1:12">
      <c r="A26" s="1">
        <v>24</v>
      </c>
      <c r="B26" s="1">
        <v>140310058</v>
      </c>
      <c r="C26" s="1" t="s">
        <v>233</v>
      </c>
      <c r="D26" s="1" t="s">
        <v>148</v>
      </c>
      <c r="E26" s="1" t="s">
        <v>149</v>
      </c>
      <c r="F26" s="13"/>
      <c r="G26" s="13"/>
      <c r="H26" s="13"/>
      <c r="I26" s="13"/>
      <c r="J26" s="13"/>
      <c r="K26" s="13"/>
      <c r="L26" s="13"/>
    </row>
    <row r="27" spans="1:12">
      <c r="A27" s="1">
        <v>25</v>
      </c>
      <c r="B27" s="1">
        <v>140310071</v>
      </c>
      <c r="C27" s="1" t="s">
        <v>203</v>
      </c>
      <c r="D27" s="1" t="s">
        <v>148</v>
      </c>
      <c r="E27" s="1" t="s">
        <v>149</v>
      </c>
      <c r="F27" s="13"/>
      <c r="G27" s="13"/>
      <c r="H27" s="13"/>
      <c r="I27" s="13"/>
      <c r="J27" s="13"/>
      <c r="K27" s="13"/>
      <c r="L27" s="13"/>
    </row>
    <row r="28" spans="1:12">
      <c r="A28" s="1">
        <v>26</v>
      </c>
      <c r="B28" s="1">
        <v>140310071</v>
      </c>
      <c r="C28" s="1" t="s">
        <v>231</v>
      </c>
      <c r="D28" s="1" t="s">
        <v>148</v>
      </c>
      <c r="E28" s="1" t="s">
        <v>149</v>
      </c>
      <c r="F28" s="13"/>
      <c r="G28" s="13"/>
      <c r="H28" s="13"/>
      <c r="I28" s="13"/>
      <c r="J28" s="13"/>
      <c r="K28" s="13"/>
      <c r="L28" s="13"/>
    </row>
    <row r="29" spans="1:12">
      <c r="A29" s="1">
        <v>27</v>
      </c>
      <c r="B29" s="1">
        <v>140310071</v>
      </c>
      <c r="C29" s="1" t="s">
        <v>233</v>
      </c>
      <c r="D29" s="1" t="s">
        <v>148</v>
      </c>
      <c r="E29" s="1" t="s">
        <v>149</v>
      </c>
      <c r="F29" s="13"/>
      <c r="G29" s="13"/>
      <c r="H29" s="13"/>
      <c r="I29" s="13"/>
      <c r="J29" s="13"/>
      <c r="K29" s="13"/>
      <c r="L29" s="13"/>
    </row>
    <row r="30" spans="1:12">
      <c r="A30" s="1">
        <v>28</v>
      </c>
      <c r="B30" s="1">
        <v>140310012</v>
      </c>
      <c r="C30" s="1" t="s">
        <v>206</v>
      </c>
      <c r="D30" s="1" t="s">
        <v>148</v>
      </c>
      <c r="E30" s="1" t="s">
        <v>149</v>
      </c>
      <c r="F30" s="13"/>
      <c r="G30" s="13"/>
      <c r="H30" s="13"/>
      <c r="I30" s="13"/>
      <c r="J30" s="13"/>
      <c r="K30" s="13"/>
      <c r="L30" s="13"/>
    </row>
    <row r="31" spans="1:12">
      <c r="A31" s="1">
        <v>29</v>
      </c>
      <c r="B31" s="1">
        <v>140010295</v>
      </c>
      <c r="C31" s="1" t="s">
        <v>189</v>
      </c>
      <c r="D31" s="1" t="s">
        <v>148</v>
      </c>
      <c r="E31" s="1" t="s">
        <v>148</v>
      </c>
      <c r="F31" s="13"/>
      <c r="G31" s="13"/>
      <c r="H31" s="13"/>
      <c r="I31" s="13"/>
      <c r="J31" s="13"/>
      <c r="K31" s="13"/>
      <c r="L31" s="13"/>
    </row>
    <row r="32" spans="1:12">
      <c r="A32" s="1">
        <v>30</v>
      </c>
      <c r="B32" s="1">
        <v>140010117</v>
      </c>
      <c r="C32" s="1" t="s">
        <v>231</v>
      </c>
      <c r="D32" s="1" t="s">
        <v>148</v>
      </c>
      <c r="E32" s="1" t="s">
        <v>149</v>
      </c>
      <c r="F32" s="13"/>
      <c r="G32" s="13"/>
      <c r="H32" s="13"/>
      <c r="I32" s="13"/>
      <c r="J32" s="13"/>
      <c r="K32" s="13"/>
      <c r="L32" s="13"/>
    </row>
    <row r="33" spans="1:12">
      <c r="A33" s="1">
        <v>31</v>
      </c>
      <c r="B33" s="1">
        <v>140010117</v>
      </c>
      <c r="C33" s="1" t="s">
        <v>233</v>
      </c>
      <c r="D33" s="1" t="s">
        <v>148</v>
      </c>
      <c r="E33" s="1" t="s">
        <v>149</v>
      </c>
      <c r="F33" s="13"/>
      <c r="G33" s="13"/>
      <c r="H33" s="13"/>
      <c r="I33" s="13"/>
      <c r="J33" s="13"/>
      <c r="K33" s="13"/>
      <c r="L33" s="13"/>
    </row>
    <row r="34" spans="1:12">
      <c r="A34" s="1">
        <v>32</v>
      </c>
      <c r="B34" s="1">
        <v>140010230</v>
      </c>
      <c r="C34" s="1" t="s">
        <v>231</v>
      </c>
      <c r="D34" s="1" t="s">
        <v>148</v>
      </c>
      <c r="E34" s="1" t="s">
        <v>149</v>
      </c>
      <c r="F34" s="13"/>
      <c r="G34" s="13"/>
      <c r="H34" s="13"/>
      <c r="I34" s="13"/>
      <c r="J34" s="13"/>
      <c r="K34" s="13"/>
      <c r="L34" s="13"/>
    </row>
    <row r="35" spans="1:12">
      <c r="A35" s="1">
        <v>33</v>
      </c>
      <c r="B35" s="1">
        <v>140010230</v>
      </c>
      <c r="C35" s="1" t="s">
        <v>233</v>
      </c>
      <c r="D35" s="1" t="s">
        <v>148</v>
      </c>
      <c r="E35" s="1" t="s">
        <v>149</v>
      </c>
      <c r="F35" s="13"/>
      <c r="G35" s="13"/>
      <c r="H35" s="13"/>
      <c r="I35" s="13"/>
      <c r="J35" s="13"/>
      <c r="K35" s="13"/>
      <c r="L35" s="13"/>
    </row>
    <row r="36" spans="1:12">
      <c r="A36" s="1">
        <v>34</v>
      </c>
      <c r="B36" s="1">
        <v>140010255</v>
      </c>
      <c r="C36" s="1" t="s">
        <v>231</v>
      </c>
      <c r="D36" s="1" t="s">
        <v>148</v>
      </c>
      <c r="E36" s="1" t="s">
        <v>149</v>
      </c>
      <c r="F36" s="13"/>
      <c r="G36" s="13"/>
      <c r="H36" s="13"/>
      <c r="I36" s="13"/>
      <c r="J36" s="13"/>
      <c r="K36" s="13"/>
      <c r="L36" s="13"/>
    </row>
    <row r="37" spans="1:12">
      <c r="A37" s="1">
        <v>35</v>
      </c>
      <c r="B37" s="1">
        <v>140010255</v>
      </c>
      <c r="C37" s="1" t="s">
        <v>233</v>
      </c>
      <c r="D37" s="1" t="s">
        <v>148</v>
      </c>
      <c r="E37" s="1" t="s">
        <v>149</v>
      </c>
      <c r="F37" s="13"/>
      <c r="G37" s="13"/>
      <c r="H37" s="13"/>
      <c r="I37" s="13"/>
      <c r="J37" s="13"/>
      <c r="K37" s="13"/>
      <c r="L37" s="13"/>
    </row>
    <row r="38" spans="1:12">
      <c r="A38" s="1">
        <v>36</v>
      </c>
      <c r="B38" s="1">
        <v>140020181</v>
      </c>
      <c r="C38" s="1" t="s">
        <v>231</v>
      </c>
      <c r="D38" s="1" t="s">
        <v>148</v>
      </c>
      <c r="E38" s="1" t="s">
        <v>149</v>
      </c>
      <c r="F38" s="13"/>
      <c r="G38" s="13"/>
      <c r="H38" s="13"/>
      <c r="I38" s="13"/>
      <c r="J38" s="13"/>
      <c r="K38" s="13"/>
      <c r="L38" s="13"/>
    </row>
    <row r="39" spans="1:12">
      <c r="A39" s="1">
        <v>37</v>
      </c>
      <c r="B39" s="1">
        <v>140020181</v>
      </c>
      <c r="C39" s="1" t="s">
        <v>233</v>
      </c>
      <c r="D39" s="1" t="s">
        <v>148</v>
      </c>
      <c r="E39" s="1" t="s">
        <v>149</v>
      </c>
      <c r="F39" s="13"/>
      <c r="G39" s="13"/>
      <c r="H39" s="13"/>
      <c r="I39" s="13"/>
      <c r="J39" s="13"/>
      <c r="K39" s="13"/>
      <c r="L39" s="13"/>
    </row>
    <row r="40" spans="1:12">
      <c r="A40" s="1">
        <v>38</v>
      </c>
      <c r="B40" s="1">
        <v>140020196</v>
      </c>
      <c r="C40" s="1" t="s">
        <v>231</v>
      </c>
      <c r="D40" s="1" t="s">
        <v>148</v>
      </c>
      <c r="E40" s="1" t="s">
        <v>149</v>
      </c>
      <c r="F40" s="13"/>
      <c r="G40" s="13"/>
      <c r="H40" s="13"/>
      <c r="I40" s="13"/>
      <c r="J40" s="13"/>
      <c r="K40" s="13"/>
      <c r="L40" s="13"/>
    </row>
    <row r="41" spans="1:12">
      <c r="A41" s="1">
        <v>39</v>
      </c>
      <c r="B41" s="1">
        <v>140020196</v>
      </c>
      <c r="C41" s="1" t="s">
        <v>233</v>
      </c>
      <c r="D41" s="1" t="s">
        <v>148</v>
      </c>
      <c r="E41" s="1" t="s">
        <v>149</v>
      </c>
      <c r="F41" s="13"/>
      <c r="G41" s="13"/>
      <c r="H41" s="13"/>
      <c r="I41" s="13"/>
      <c r="J41" s="13"/>
      <c r="K41" s="13"/>
      <c r="L41" s="13"/>
    </row>
    <row r="42" spans="1:12">
      <c r="A42" s="1">
        <v>40</v>
      </c>
      <c r="B42" s="1">
        <v>140030039</v>
      </c>
      <c r="C42" s="1" t="s">
        <v>231</v>
      </c>
      <c r="D42" s="1" t="s">
        <v>148</v>
      </c>
      <c r="E42" s="1" t="s">
        <v>149</v>
      </c>
      <c r="F42" s="13"/>
      <c r="G42" s="13"/>
      <c r="H42" s="13"/>
      <c r="I42" s="13"/>
      <c r="J42" s="13"/>
      <c r="K42" s="13"/>
      <c r="L42" s="13"/>
    </row>
    <row r="43" spans="1:12">
      <c r="A43" s="1">
        <v>41</v>
      </c>
      <c r="B43" s="1">
        <v>140030039</v>
      </c>
      <c r="C43" s="1" t="s">
        <v>233</v>
      </c>
      <c r="D43" s="1" t="s">
        <v>148</v>
      </c>
      <c r="E43" s="1" t="s">
        <v>149</v>
      </c>
      <c r="F43" s="13"/>
      <c r="G43" s="13"/>
      <c r="H43" s="13"/>
      <c r="I43" s="13"/>
      <c r="J43" s="13"/>
      <c r="K43" s="13"/>
      <c r="L43" s="13"/>
    </row>
    <row r="44" spans="1:12">
      <c r="A44" s="1">
        <v>42</v>
      </c>
      <c r="B44" s="1">
        <v>140030040</v>
      </c>
      <c r="C44" s="1" t="s">
        <v>231</v>
      </c>
      <c r="D44" s="1" t="s">
        <v>148</v>
      </c>
      <c r="E44" s="1" t="s">
        <v>149</v>
      </c>
      <c r="F44" s="13"/>
      <c r="G44" s="13"/>
      <c r="H44" s="13"/>
      <c r="I44" s="13"/>
      <c r="J44" s="13"/>
      <c r="K44" s="13"/>
      <c r="L44" s="13"/>
    </row>
    <row r="45" spans="1:12">
      <c r="A45" s="1">
        <v>43</v>
      </c>
      <c r="B45" s="1">
        <v>140030040</v>
      </c>
      <c r="C45" s="1" t="s">
        <v>233</v>
      </c>
      <c r="D45" s="1" t="s">
        <v>148</v>
      </c>
      <c r="E45" s="1" t="s">
        <v>149</v>
      </c>
      <c r="F45" s="13"/>
      <c r="G45" s="13"/>
      <c r="H45" s="13"/>
      <c r="I45" s="13"/>
      <c r="J45" s="13"/>
      <c r="K45" s="13"/>
      <c r="L45" s="13"/>
    </row>
    <row r="46" spans="1:12">
      <c r="A46" s="1">
        <v>44</v>
      </c>
      <c r="B46" s="1">
        <v>140240004</v>
      </c>
      <c r="C46" s="1" t="s">
        <v>231</v>
      </c>
      <c r="D46" s="1" t="s">
        <v>148</v>
      </c>
      <c r="E46" s="1" t="s">
        <v>149</v>
      </c>
      <c r="F46" s="13"/>
      <c r="G46" s="13"/>
      <c r="H46" s="13"/>
      <c r="I46" s="13"/>
      <c r="J46" s="13"/>
      <c r="K46" s="13"/>
      <c r="L46" s="13"/>
    </row>
    <row r="47" spans="1:12">
      <c r="A47" s="1">
        <v>45</v>
      </c>
      <c r="B47" s="1">
        <v>140240004</v>
      </c>
      <c r="C47" s="1" t="s">
        <v>233</v>
      </c>
      <c r="D47" s="1" t="s">
        <v>148</v>
      </c>
      <c r="E47" s="1" t="s">
        <v>149</v>
      </c>
      <c r="F47" s="13"/>
      <c r="G47" s="13"/>
      <c r="H47" s="13"/>
      <c r="I47" s="13"/>
      <c r="J47" s="13"/>
      <c r="K47" s="13"/>
      <c r="L47" s="13"/>
    </row>
    <row r="48" spans="1:12">
      <c r="A48" s="1">
        <v>46</v>
      </c>
      <c r="B48" s="1">
        <v>140310007</v>
      </c>
      <c r="C48" s="1" t="s">
        <v>231</v>
      </c>
      <c r="D48" s="1" t="s">
        <v>148</v>
      </c>
      <c r="E48" s="1" t="s">
        <v>149</v>
      </c>
      <c r="F48" s="13"/>
      <c r="G48" s="13"/>
      <c r="H48" s="13"/>
      <c r="I48" s="13"/>
      <c r="J48" s="13"/>
      <c r="K48" s="13"/>
      <c r="L48" s="13"/>
    </row>
    <row r="49" spans="1:12">
      <c r="A49" s="1">
        <v>47</v>
      </c>
      <c r="B49" s="1">
        <v>140310007</v>
      </c>
      <c r="C49" s="1" t="s">
        <v>233</v>
      </c>
      <c r="D49" s="1" t="s">
        <v>148</v>
      </c>
      <c r="E49" s="1" t="s">
        <v>149</v>
      </c>
      <c r="F49" s="13"/>
      <c r="G49" s="13"/>
      <c r="H49" s="13"/>
      <c r="I49" s="13"/>
      <c r="J49" s="13"/>
      <c r="K49" s="13"/>
      <c r="L49" s="13"/>
    </row>
    <row r="50" spans="1:12">
      <c r="A50" s="1">
        <v>48</v>
      </c>
      <c r="B50" s="1">
        <v>140310083</v>
      </c>
      <c r="C50" s="1" t="s">
        <v>188</v>
      </c>
      <c r="D50" s="1" t="s">
        <v>148</v>
      </c>
      <c r="E50" s="1" t="s">
        <v>148</v>
      </c>
      <c r="F50" s="13"/>
      <c r="G50" s="13"/>
      <c r="H50" s="13"/>
      <c r="I50" s="13"/>
      <c r="J50" s="13"/>
      <c r="K50" s="13"/>
      <c r="L50" s="13"/>
    </row>
    <row r="51" spans="1:12">
      <c r="A51" s="1">
        <v>49</v>
      </c>
      <c r="B51" s="1">
        <v>140310083</v>
      </c>
      <c r="C51" s="1" t="s">
        <v>190</v>
      </c>
      <c r="D51" s="1" t="s">
        <v>148</v>
      </c>
      <c r="E51" s="1" t="s">
        <v>148</v>
      </c>
      <c r="F51" s="13"/>
      <c r="G51" s="13"/>
      <c r="H51" s="13"/>
      <c r="I51" s="13"/>
      <c r="J51" s="13"/>
      <c r="K51" s="13"/>
      <c r="L51" s="13"/>
    </row>
    <row r="52" spans="1:12">
      <c r="A52" s="1">
        <v>50</v>
      </c>
      <c r="B52" s="1">
        <v>140010117</v>
      </c>
      <c r="C52" s="1" t="s">
        <v>202</v>
      </c>
      <c r="D52" s="1" t="s">
        <v>149</v>
      </c>
      <c r="E52" s="1" t="s">
        <v>149</v>
      </c>
      <c r="F52" s="13"/>
      <c r="G52" s="13"/>
      <c r="H52" s="13"/>
      <c r="I52" s="13"/>
      <c r="J52" s="13"/>
      <c r="K52" s="13"/>
      <c r="L52" s="13"/>
    </row>
    <row r="53" spans="1:12">
      <c r="A53" s="1">
        <v>51</v>
      </c>
      <c r="B53" s="1">
        <v>140010117</v>
      </c>
      <c r="C53" s="1" t="s">
        <v>230</v>
      </c>
      <c r="D53" s="1" t="s">
        <v>149</v>
      </c>
      <c r="E53" s="1" t="s">
        <v>289</v>
      </c>
      <c r="F53" s="13"/>
      <c r="G53" s="13"/>
      <c r="H53" s="13"/>
      <c r="I53" s="13"/>
      <c r="J53" s="13"/>
      <c r="K53" s="13"/>
      <c r="L53" s="13"/>
    </row>
    <row r="54" spans="1:12">
      <c r="A54" s="1">
        <v>52</v>
      </c>
      <c r="B54" s="1">
        <v>140010117</v>
      </c>
      <c r="C54" s="1" t="s">
        <v>225</v>
      </c>
      <c r="D54" s="1" t="s">
        <v>149</v>
      </c>
      <c r="E54" s="1" t="s">
        <v>289</v>
      </c>
      <c r="F54" s="13"/>
      <c r="G54" s="13"/>
      <c r="H54" s="13"/>
      <c r="I54" s="13"/>
      <c r="J54" s="13"/>
      <c r="K54" s="13"/>
      <c r="L54" s="13"/>
    </row>
    <row r="55" spans="1:12">
      <c r="A55" s="1">
        <v>53</v>
      </c>
      <c r="B55" s="1">
        <v>140010230</v>
      </c>
      <c r="C55" s="1" t="s">
        <v>202</v>
      </c>
      <c r="D55" s="1" t="s">
        <v>149</v>
      </c>
      <c r="E55" s="1" t="s">
        <v>149</v>
      </c>
      <c r="F55" s="13"/>
      <c r="G55" s="13"/>
      <c r="H55" s="13"/>
      <c r="I55" s="13"/>
      <c r="J55" s="13"/>
      <c r="K55" s="13"/>
      <c r="L55" s="13"/>
    </row>
    <row r="56" spans="1:12">
      <c r="A56" s="1">
        <v>54</v>
      </c>
      <c r="B56" s="1">
        <v>140010230</v>
      </c>
      <c r="C56" s="1" t="s">
        <v>225</v>
      </c>
      <c r="D56" s="1" t="s">
        <v>149</v>
      </c>
      <c r="E56" s="1" t="s">
        <v>289</v>
      </c>
      <c r="F56" s="13"/>
      <c r="G56" s="13"/>
      <c r="H56" s="13"/>
      <c r="I56" s="13"/>
      <c r="J56" s="13"/>
      <c r="K56" s="13"/>
      <c r="L56" s="13"/>
    </row>
    <row r="57" spans="1:12">
      <c r="A57" s="1">
        <v>55</v>
      </c>
      <c r="B57" s="1">
        <v>140010255</v>
      </c>
      <c r="C57" s="1" t="s">
        <v>202</v>
      </c>
      <c r="D57" s="1" t="s">
        <v>149</v>
      </c>
      <c r="E57" s="1" t="s">
        <v>149</v>
      </c>
      <c r="F57" s="13"/>
      <c r="G57" s="13"/>
      <c r="H57" s="13"/>
      <c r="I57" s="13"/>
      <c r="J57" s="13"/>
      <c r="K57" s="13"/>
      <c r="L57" s="13"/>
    </row>
    <row r="58" spans="1:12">
      <c r="A58" s="1">
        <v>56</v>
      </c>
      <c r="B58" s="1">
        <v>140010255</v>
      </c>
      <c r="C58" s="1" t="s">
        <v>230</v>
      </c>
      <c r="D58" s="1" t="s">
        <v>149</v>
      </c>
      <c r="E58" s="1" t="s">
        <v>289</v>
      </c>
      <c r="F58" s="13"/>
      <c r="G58" s="13"/>
      <c r="H58" s="13"/>
      <c r="I58" s="13"/>
      <c r="J58" s="13"/>
      <c r="K58" s="13"/>
      <c r="L58" s="13"/>
    </row>
    <row r="59" spans="1:12">
      <c r="A59" s="1">
        <v>57</v>
      </c>
      <c r="B59" s="1">
        <v>140010255</v>
      </c>
      <c r="C59" s="1" t="s">
        <v>225</v>
      </c>
      <c r="D59" s="1" t="s">
        <v>149</v>
      </c>
      <c r="E59" s="1" t="s">
        <v>289</v>
      </c>
      <c r="F59" s="13"/>
      <c r="G59" s="13"/>
      <c r="H59" s="13"/>
      <c r="I59" s="13"/>
      <c r="J59" s="13"/>
      <c r="K59" s="13"/>
      <c r="L59" s="13"/>
    </row>
    <row r="60" spans="1:12">
      <c r="A60" s="1">
        <v>58</v>
      </c>
      <c r="B60" s="1">
        <v>140020181</v>
      </c>
      <c r="C60" s="1" t="s">
        <v>202</v>
      </c>
      <c r="D60" s="1" t="s">
        <v>149</v>
      </c>
      <c r="E60" s="1" t="s">
        <v>149</v>
      </c>
      <c r="F60" s="13"/>
      <c r="G60" s="13"/>
      <c r="H60" s="13"/>
      <c r="I60" s="13"/>
      <c r="J60" s="13"/>
      <c r="K60" s="13"/>
      <c r="L60" s="13"/>
    </row>
    <row r="61" spans="1:12">
      <c r="A61" s="1">
        <v>59</v>
      </c>
      <c r="B61" s="1">
        <v>140020181</v>
      </c>
      <c r="C61" s="1" t="s">
        <v>230</v>
      </c>
      <c r="D61" s="1" t="s">
        <v>149</v>
      </c>
      <c r="E61" s="1" t="s">
        <v>289</v>
      </c>
      <c r="F61" s="13"/>
      <c r="G61" s="13"/>
      <c r="H61" s="13"/>
      <c r="I61" s="13"/>
      <c r="J61" s="13"/>
      <c r="K61" s="13"/>
      <c r="L61" s="13"/>
    </row>
    <row r="62" spans="1:12">
      <c r="A62" s="1">
        <v>60</v>
      </c>
      <c r="B62" s="1">
        <v>140020196</v>
      </c>
      <c r="C62" s="1" t="s">
        <v>202</v>
      </c>
      <c r="D62" s="1" t="s">
        <v>149</v>
      </c>
      <c r="E62" s="1" t="s">
        <v>149</v>
      </c>
      <c r="F62" s="13"/>
      <c r="G62" s="13"/>
      <c r="H62" s="13"/>
      <c r="I62" s="13"/>
      <c r="J62" s="13"/>
      <c r="K62" s="13"/>
      <c r="L62" s="13"/>
    </row>
    <row r="63" spans="1:12">
      <c r="A63" s="1">
        <v>61</v>
      </c>
      <c r="B63" s="1">
        <v>140020196</v>
      </c>
      <c r="C63" s="1" t="s">
        <v>230</v>
      </c>
      <c r="D63" s="1" t="s">
        <v>149</v>
      </c>
      <c r="E63" s="1" t="s">
        <v>289</v>
      </c>
      <c r="F63" s="13"/>
      <c r="G63" s="13"/>
      <c r="H63" s="13"/>
      <c r="I63" s="13"/>
      <c r="J63" s="13"/>
      <c r="K63" s="13"/>
      <c r="L63" s="13"/>
    </row>
    <row r="64" spans="1:12">
      <c r="A64" s="1">
        <v>62</v>
      </c>
      <c r="B64" s="1">
        <v>140030039</v>
      </c>
      <c r="C64" s="1" t="s">
        <v>202</v>
      </c>
      <c r="D64" s="1" t="s">
        <v>149</v>
      </c>
      <c r="E64" s="1" t="s">
        <v>149</v>
      </c>
      <c r="F64" s="13"/>
      <c r="G64" s="13"/>
      <c r="H64" s="13"/>
      <c r="I64" s="13"/>
      <c r="J64" s="13"/>
      <c r="K64" s="13"/>
      <c r="L64" s="13"/>
    </row>
    <row r="65" spans="1:12">
      <c r="A65" s="1">
        <v>63</v>
      </c>
      <c r="B65" s="1">
        <v>140030039</v>
      </c>
      <c r="C65" s="1" t="s">
        <v>230</v>
      </c>
      <c r="D65" s="1" t="s">
        <v>149</v>
      </c>
      <c r="E65" s="1" t="s">
        <v>289</v>
      </c>
      <c r="F65" s="13"/>
      <c r="G65" s="13"/>
      <c r="H65" s="13"/>
      <c r="I65" s="13"/>
      <c r="J65" s="13"/>
      <c r="K65" s="13"/>
      <c r="L65" s="13"/>
    </row>
    <row r="66" spans="1:12">
      <c r="A66" s="1">
        <v>64</v>
      </c>
      <c r="B66" s="1">
        <v>140030039</v>
      </c>
      <c r="C66" s="1" t="s">
        <v>225</v>
      </c>
      <c r="D66" s="1" t="s">
        <v>149</v>
      </c>
      <c r="E66" s="1" t="s">
        <v>289</v>
      </c>
      <c r="F66" s="13"/>
      <c r="G66" s="13"/>
      <c r="H66" s="13"/>
      <c r="I66" s="13"/>
      <c r="J66" s="13"/>
      <c r="K66" s="13"/>
      <c r="L66" s="13"/>
    </row>
    <row r="67" spans="1:12">
      <c r="A67" s="1">
        <v>65</v>
      </c>
      <c r="B67" s="1">
        <v>140030040</v>
      </c>
      <c r="C67" s="1" t="s">
        <v>202</v>
      </c>
      <c r="D67" s="1" t="s">
        <v>149</v>
      </c>
      <c r="E67" s="1" t="s">
        <v>149</v>
      </c>
      <c r="F67" s="13"/>
      <c r="G67" s="13"/>
      <c r="H67" s="13"/>
      <c r="I67" s="13"/>
      <c r="J67" s="13"/>
      <c r="K67" s="13"/>
      <c r="L67" s="13"/>
    </row>
    <row r="68" spans="1:12">
      <c r="A68" s="1">
        <v>66</v>
      </c>
      <c r="B68" s="1">
        <v>140030040</v>
      </c>
      <c r="C68" s="1" t="s">
        <v>230</v>
      </c>
      <c r="D68" s="1" t="s">
        <v>149</v>
      </c>
      <c r="E68" s="1" t="s">
        <v>289</v>
      </c>
      <c r="F68" s="13"/>
      <c r="G68" s="13"/>
      <c r="H68" s="13"/>
      <c r="I68" s="13"/>
      <c r="J68" s="13"/>
      <c r="K68" s="13"/>
      <c r="L68" s="13"/>
    </row>
    <row r="69" spans="1:12">
      <c r="A69" s="1">
        <v>67</v>
      </c>
      <c r="B69" s="1">
        <v>140030040</v>
      </c>
      <c r="C69" s="1" t="s">
        <v>225</v>
      </c>
      <c r="D69" s="1" t="s">
        <v>149</v>
      </c>
      <c r="E69" s="1" t="s">
        <v>289</v>
      </c>
      <c r="F69" s="13"/>
      <c r="G69" s="13"/>
      <c r="H69" s="13"/>
      <c r="I69" s="13"/>
      <c r="J69" s="13"/>
      <c r="K69" s="13"/>
      <c r="L69" s="13"/>
    </row>
    <row r="70" spans="1:12">
      <c r="A70" s="1">
        <v>68</v>
      </c>
      <c r="B70" s="1">
        <v>140090143</v>
      </c>
      <c r="C70" s="1" t="s">
        <v>202</v>
      </c>
      <c r="D70" s="1" t="s">
        <v>149</v>
      </c>
      <c r="E70" s="1" t="s">
        <v>149</v>
      </c>
      <c r="F70" s="13"/>
      <c r="G70" s="13"/>
      <c r="H70" s="13"/>
      <c r="I70" s="13"/>
      <c r="J70" s="13"/>
      <c r="K70" s="13"/>
      <c r="L70" s="13"/>
    </row>
    <row r="71" spans="1:12">
      <c r="A71" s="1">
        <v>69</v>
      </c>
      <c r="B71" s="1">
        <v>140090143</v>
      </c>
      <c r="C71" s="1" t="s">
        <v>230</v>
      </c>
      <c r="D71" s="1" t="s">
        <v>149</v>
      </c>
      <c r="E71" s="1" t="s">
        <v>289</v>
      </c>
      <c r="F71" s="13"/>
      <c r="G71" s="13"/>
      <c r="H71" s="13"/>
      <c r="I71" s="13"/>
      <c r="J71" s="13"/>
      <c r="K71" s="13"/>
      <c r="L71" s="13"/>
    </row>
    <row r="72" spans="1:12">
      <c r="A72" s="1">
        <v>70</v>
      </c>
      <c r="B72" s="1">
        <v>140090143</v>
      </c>
      <c r="C72" s="1" t="s">
        <v>225</v>
      </c>
      <c r="D72" s="1" t="s">
        <v>149</v>
      </c>
      <c r="E72" s="1" t="s">
        <v>289</v>
      </c>
      <c r="F72" s="13"/>
      <c r="G72" s="13"/>
      <c r="H72" s="13"/>
      <c r="I72" s="13"/>
      <c r="J72" s="13"/>
      <c r="K72" s="13"/>
      <c r="L72" s="13"/>
    </row>
    <row r="73" spans="1:12">
      <c r="A73" s="1">
        <v>71</v>
      </c>
      <c r="B73" s="1">
        <v>140310058</v>
      </c>
      <c r="C73" s="1" t="s">
        <v>202</v>
      </c>
      <c r="D73" s="1" t="s">
        <v>149</v>
      </c>
      <c r="E73" s="1" t="s">
        <v>149</v>
      </c>
      <c r="F73" s="13"/>
      <c r="G73" s="13"/>
      <c r="H73" s="13"/>
      <c r="I73" s="13"/>
      <c r="J73" s="13"/>
      <c r="K73" s="13"/>
      <c r="L73" s="13"/>
    </row>
    <row r="74" spans="1:12">
      <c r="A74" s="1">
        <v>72</v>
      </c>
      <c r="B74" s="1">
        <v>140310058</v>
      </c>
      <c r="C74" s="1" t="s">
        <v>225</v>
      </c>
      <c r="D74" s="1" t="s">
        <v>149</v>
      </c>
      <c r="E74" s="1" t="s">
        <v>289</v>
      </c>
      <c r="F74" s="13"/>
      <c r="G74" s="13"/>
      <c r="H74" s="13"/>
      <c r="I74" s="13"/>
      <c r="J74" s="13"/>
      <c r="K74" s="13"/>
      <c r="L74" s="13"/>
    </row>
    <row r="75" spans="1:12">
      <c r="A75" s="1">
        <v>73</v>
      </c>
      <c r="B75" s="1">
        <v>140550019</v>
      </c>
      <c r="C75" s="1" t="s">
        <v>202</v>
      </c>
      <c r="D75" s="1" t="s">
        <v>149</v>
      </c>
      <c r="E75" s="1" t="s">
        <v>149</v>
      </c>
      <c r="F75" s="13"/>
      <c r="G75" s="13"/>
      <c r="H75" s="13"/>
      <c r="I75" s="13"/>
      <c r="J75" s="13"/>
      <c r="K75" s="13"/>
      <c r="L75" s="13"/>
    </row>
    <row r="76" spans="1:12">
      <c r="A76" s="1">
        <v>74</v>
      </c>
      <c r="B76" s="1">
        <v>140680007</v>
      </c>
      <c r="C76" s="1" t="s">
        <v>202</v>
      </c>
      <c r="D76" s="1" t="s">
        <v>149</v>
      </c>
      <c r="E76" s="1" t="s">
        <v>149</v>
      </c>
      <c r="F76" s="13"/>
      <c r="G76" s="13"/>
      <c r="H76" s="13"/>
      <c r="I76" s="13"/>
      <c r="J76" s="13"/>
      <c r="K76" s="13"/>
      <c r="L76" s="13"/>
    </row>
    <row r="77" spans="1:12">
      <c r="A77" s="1">
        <v>75</v>
      </c>
      <c r="B77" s="1">
        <v>140680007</v>
      </c>
      <c r="C77" s="1" t="s">
        <v>230</v>
      </c>
      <c r="D77" s="1" t="s">
        <v>149</v>
      </c>
      <c r="E77" s="1" t="s">
        <v>289</v>
      </c>
      <c r="F77" s="13"/>
      <c r="G77" s="13"/>
      <c r="H77" s="13"/>
      <c r="I77" s="13"/>
      <c r="J77" s="13"/>
      <c r="K77" s="13"/>
      <c r="L77" s="13"/>
    </row>
    <row r="78" spans="1:12">
      <c r="A78" s="1">
        <v>76</v>
      </c>
      <c r="B78" s="1">
        <v>140680007</v>
      </c>
      <c r="C78" s="1" t="s">
        <v>225</v>
      </c>
      <c r="D78" s="1" t="s">
        <v>149</v>
      </c>
      <c r="E78" s="1" t="s">
        <v>289</v>
      </c>
      <c r="F78" s="13"/>
      <c r="G78" s="13"/>
      <c r="H78" s="13"/>
      <c r="I78" s="13"/>
      <c r="J78" s="13"/>
      <c r="K78" s="13"/>
      <c r="L78" s="13"/>
    </row>
    <row r="79" spans="1:12">
      <c r="A79" s="1">
        <v>77</v>
      </c>
      <c r="B79" s="1">
        <v>140310071</v>
      </c>
      <c r="C79" s="1" t="s">
        <v>205</v>
      </c>
      <c r="D79" s="1" t="s">
        <v>149</v>
      </c>
      <c r="E79" s="1" t="s">
        <v>149</v>
      </c>
      <c r="F79" s="13"/>
      <c r="G79" s="13"/>
      <c r="H79" s="13"/>
      <c r="I79" s="13"/>
      <c r="J79" s="13"/>
      <c r="K79" s="13"/>
      <c r="L79" s="13"/>
    </row>
    <row r="80" spans="1:12">
      <c r="A80" s="1">
        <v>78</v>
      </c>
      <c r="B80" s="1">
        <v>140310007</v>
      </c>
      <c r="C80" s="1" t="s">
        <v>186</v>
      </c>
      <c r="D80" s="1" t="s">
        <v>149</v>
      </c>
      <c r="E80" s="1" t="s">
        <v>148</v>
      </c>
      <c r="F80" s="13"/>
      <c r="G80" s="13"/>
      <c r="H80" s="13"/>
      <c r="I80" s="13"/>
      <c r="J80" s="13"/>
      <c r="K80" s="13"/>
      <c r="L80" s="13"/>
    </row>
    <row r="81" spans="1:12">
      <c r="A81" s="1">
        <v>79</v>
      </c>
      <c r="B81" s="1">
        <v>140310007</v>
      </c>
      <c r="C81" s="1" t="s">
        <v>237</v>
      </c>
      <c r="D81" s="1" t="s">
        <v>149</v>
      </c>
      <c r="E81" s="1" t="s">
        <v>289</v>
      </c>
      <c r="F81" s="13"/>
      <c r="G81" s="13"/>
      <c r="H81" s="13"/>
      <c r="I81" s="13"/>
      <c r="J81" s="13"/>
      <c r="K81" s="13"/>
      <c r="L81" s="13"/>
    </row>
    <row r="82" spans="1:12">
      <c r="A82" s="1">
        <v>80</v>
      </c>
      <c r="B82" s="1">
        <v>140220012</v>
      </c>
      <c r="C82" s="1" t="s">
        <v>199</v>
      </c>
      <c r="D82" s="1" t="s">
        <v>149</v>
      </c>
      <c r="E82" s="1" t="s">
        <v>149</v>
      </c>
      <c r="F82" s="13"/>
      <c r="G82" s="13"/>
      <c r="H82" s="13"/>
      <c r="I82" s="13"/>
      <c r="J82" s="13"/>
      <c r="K82" s="13"/>
      <c r="L82" s="13"/>
    </row>
    <row r="83" spans="1:12">
      <c r="A83" s="1">
        <v>81</v>
      </c>
      <c r="B83" s="1">
        <v>140220012</v>
      </c>
      <c r="C83" s="1" t="s">
        <v>224</v>
      </c>
      <c r="D83" s="1" t="s">
        <v>149</v>
      </c>
      <c r="E83" s="1" t="s">
        <v>289</v>
      </c>
      <c r="F83" s="13"/>
      <c r="G83" s="13"/>
      <c r="H83" s="13"/>
      <c r="I83" s="13"/>
      <c r="J83" s="13"/>
      <c r="K83" s="13"/>
      <c r="L83" s="13"/>
    </row>
    <row r="84" spans="1:12">
      <c r="A84" s="1">
        <v>82</v>
      </c>
      <c r="B84" s="1">
        <v>140310031</v>
      </c>
      <c r="C84" s="1" t="s">
        <v>230</v>
      </c>
      <c r="D84" s="1" t="s">
        <v>149</v>
      </c>
      <c r="E84" s="1" t="s">
        <v>289</v>
      </c>
      <c r="F84" s="13"/>
      <c r="G84" s="13"/>
      <c r="H84" s="13"/>
      <c r="I84" s="13"/>
      <c r="J84" s="13"/>
      <c r="K84" s="13"/>
      <c r="L84" s="13"/>
    </row>
    <row r="85" spans="1:12">
      <c r="A85" s="1">
        <v>83</v>
      </c>
      <c r="B85" s="1">
        <v>140550060</v>
      </c>
      <c r="C85" s="1" t="s">
        <v>192</v>
      </c>
      <c r="D85" s="1" t="s">
        <v>149</v>
      </c>
      <c r="E85" s="1" t="s">
        <v>149</v>
      </c>
      <c r="F85" s="13"/>
      <c r="G85" s="13"/>
      <c r="H85" s="13"/>
      <c r="I85" s="13"/>
      <c r="J85" s="13"/>
      <c r="K85" s="13"/>
      <c r="L85" s="13"/>
    </row>
    <row r="86" spans="1:12">
      <c r="A86" s="1">
        <v>84</v>
      </c>
      <c r="B86" s="1">
        <v>140010295</v>
      </c>
      <c r="C86" s="1" t="s">
        <v>187</v>
      </c>
      <c r="D86" s="1" t="s">
        <v>149</v>
      </c>
      <c r="E86" s="1" t="s">
        <v>148</v>
      </c>
      <c r="F86" s="13"/>
      <c r="G86" s="13"/>
      <c r="H86" s="13"/>
      <c r="I86" s="13"/>
      <c r="J86" s="13"/>
      <c r="K86" s="13"/>
      <c r="L86" s="13"/>
    </row>
    <row r="87" spans="1:12">
      <c r="A87" s="1">
        <v>85</v>
      </c>
      <c r="B87" s="1">
        <v>140530039</v>
      </c>
      <c r="C87" s="1" t="s">
        <v>187</v>
      </c>
      <c r="D87" s="1" t="s">
        <v>149</v>
      </c>
      <c r="E87" s="1" t="s">
        <v>148</v>
      </c>
      <c r="F87" s="13"/>
      <c r="G87" s="13"/>
      <c r="H87" s="13"/>
      <c r="I87" s="13"/>
      <c r="J87" s="13"/>
      <c r="K87" s="13"/>
      <c r="L87" s="13"/>
    </row>
    <row r="88" spans="1:12">
      <c r="A88" s="1">
        <v>86</v>
      </c>
      <c r="B88" s="1">
        <v>140530004</v>
      </c>
      <c r="C88" s="1" t="s">
        <v>193</v>
      </c>
      <c r="D88" s="1" t="s">
        <v>149</v>
      </c>
      <c r="E88" s="1" t="s">
        <v>148</v>
      </c>
      <c r="F88" s="13"/>
      <c r="G88" s="13"/>
      <c r="H88" s="13"/>
      <c r="I88" s="13"/>
      <c r="J88" s="13"/>
      <c r="K88" s="13"/>
      <c r="L88" s="13"/>
    </row>
    <row r="89" spans="1:12">
      <c r="A89" s="1">
        <v>87</v>
      </c>
      <c r="B89" s="1">
        <v>140530004</v>
      </c>
      <c r="C89" s="1" t="s">
        <v>222</v>
      </c>
      <c r="D89" s="1" t="s">
        <v>149</v>
      </c>
      <c r="E89" s="1" t="s">
        <v>149</v>
      </c>
      <c r="F89" s="13"/>
      <c r="G89" s="13"/>
      <c r="H89" s="13"/>
      <c r="I89" s="13"/>
      <c r="J89" s="13"/>
      <c r="K89" s="13"/>
      <c r="L89" s="13"/>
    </row>
    <row r="90" spans="1:12">
      <c r="A90" s="1">
        <v>88</v>
      </c>
      <c r="B90" s="1">
        <v>140310075</v>
      </c>
      <c r="C90" s="1" t="s">
        <v>195</v>
      </c>
      <c r="D90" s="1" t="s">
        <v>149</v>
      </c>
      <c r="E90" s="1" t="s">
        <v>149</v>
      </c>
      <c r="F90" s="13"/>
      <c r="G90" s="13"/>
      <c r="H90" s="13"/>
      <c r="I90" s="13"/>
      <c r="J90" s="13"/>
      <c r="K90" s="13"/>
      <c r="L90" s="13"/>
    </row>
    <row r="91" spans="1:12">
      <c r="A91" s="1">
        <v>89</v>
      </c>
      <c r="B91" s="1">
        <v>140310075</v>
      </c>
      <c r="C91" s="1" t="s">
        <v>233</v>
      </c>
      <c r="D91" s="1" t="s">
        <v>149</v>
      </c>
      <c r="E91" s="1" t="s">
        <v>149</v>
      </c>
      <c r="F91" s="13"/>
      <c r="G91" s="13"/>
      <c r="H91" s="13"/>
      <c r="I91" s="13"/>
      <c r="J91" s="13"/>
      <c r="K91" s="13"/>
      <c r="L91" s="13"/>
    </row>
    <row r="92" spans="1:12">
      <c r="A92" s="1">
        <v>90</v>
      </c>
      <c r="B92" s="1">
        <v>140310075</v>
      </c>
      <c r="C92" s="1" t="s">
        <v>197</v>
      </c>
      <c r="D92" s="1" t="s">
        <v>149</v>
      </c>
      <c r="E92" s="1" t="s">
        <v>149</v>
      </c>
      <c r="F92" s="13"/>
      <c r="G92" s="13"/>
      <c r="H92" s="13"/>
      <c r="I92" s="13"/>
      <c r="J92" s="13"/>
      <c r="K92" s="13"/>
      <c r="L92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5F4CE7-A05D-452D-A5F1-1D827653B4DD}">
          <x14:formula1>
            <xm:f>_mySQL!$A$2:$A$54</xm:f>
          </x14:formula1>
          <xm:sqref>A2:E2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I8"/>
  <sheetViews>
    <sheetView workbookViewId="0">
      <selection activeCell="I2" sqref="C2:I2"/>
    </sheetView>
  </sheetViews>
  <sheetFormatPr defaultRowHeight="15"/>
  <cols>
    <col min="1" max="1" width="13.140625" style="1" bestFit="1" customWidth="1"/>
    <col min="2" max="2" width="14.8554687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1327</v>
      </c>
      <c r="B2" s="1" t="s">
        <v>578</v>
      </c>
      <c r="C2" s="13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1" t="s">
        <v>127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20</v>
      </c>
      <c r="C4" s="13"/>
      <c r="D4" s="13"/>
      <c r="E4" s="13"/>
      <c r="F4" s="13"/>
      <c r="G4" s="13"/>
      <c r="H4" s="13"/>
      <c r="I4" s="13"/>
    </row>
    <row r="5" spans="1:9">
      <c r="A5" s="1">
        <v>120300056</v>
      </c>
      <c r="B5" s="1" t="s">
        <v>314</v>
      </c>
      <c r="C5" s="13"/>
      <c r="D5" s="13"/>
      <c r="E5" s="13"/>
      <c r="F5" s="13"/>
      <c r="G5" s="13"/>
      <c r="H5" s="13"/>
      <c r="I5" s="13"/>
    </row>
    <row r="6" spans="1:9">
      <c r="A6" s="1">
        <v>123000067</v>
      </c>
      <c r="B6" s="1" t="s">
        <v>315</v>
      </c>
      <c r="C6" s="13"/>
      <c r="D6" s="13"/>
      <c r="E6" s="13"/>
      <c r="F6" s="13"/>
      <c r="G6" s="13"/>
      <c r="H6" s="13"/>
      <c r="I6" s="13"/>
    </row>
    <row r="7" spans="1:9">
      <c r="A7" s="1">
        <v>120300086</v>
      </c>
      <c r="B7" s="1" t="s">
        <v>316</v>
      </c>
      <c r="C7" s="13"/>
      <c r="D7" s="13"/>
      <c r="E7" s="13"/>
      <c r="F7" s="13"/>
      <c r="G7" s="13"/>
      <c r="H7" s="13"/>
      <c r="I7" s="13"/>
    </row>
    <row r="8" spans="1:9">
      <c r="A8" s="1">
        <v>120300052</v>
      </c>
      <c r="B8" s="1" t="s">
        <v>317</v>
      </c>
      <c r="C8" s="13"/>
      <c r="D8" s="13"/>
      <c r="E8" s="13"/>
      <c r="F8" s="13"/>
      <c r="G8" s="13"/>
      <c r="H8" s="13"/>
      <c r="I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15AE28-C7E7-459A-A5F1-4F3193747333}">
          <x14:formula1>
            <xm:f>_mySQL!$A$2:$A$53</xm:f>
          </x14:formula1>
          <xm:sqref>A2:B2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4"/>
  <sheetViews>
    <sheetView workbookViewId="0">
      <selection activeCell="D7" sqref="D7"/>
    </sheetView>
  </sheetViews>
  <sheetFormatPr defaultRowHeight="15"/>
  <cols>
    <col min="1" max="1" width="25.85546875" style="1" bestFit="1" customWidth="1"/>
    <col min="2" max="2" width="18.42578125" style="1" bestFit="1" customWidth="1"/>
    <col min="3" max="3" width="19.7109375" style="1" bestFit="1" customWidth="1"/>
    <col min="4" max="4" width="19" style="1" bestFit="1" customWidth="1"/>
    <col min="5" max="5" width="19.7109375" style="1" bestFit="1" customWidth="1"/>
    <col min="6" max="6" width="21.7109375" style="1" bestFit="1" customWidth="1"/>
    <col min="7" max="7" width="21" style="1" bestFit="1" customWidth="1"/>
    <col min="8" max="8" width="9.85546875" style="1" bestFit="1" customWidth="1"/>
    <col min="9" max="9" width="13.140625" style="1" bestFit="1" customWidth="1"/>
    <col min="10" max="10" width="9.140625" style="1" bestFit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>
      <c r="A1" s="1" t="s">
        <v>0</v>
      </c>
      <c r="B1" s="1" t="s">
        <v>304</v>
      </c>
      <c r="C1" s="1" t="s">
        <v>445</v>
      </c>
      <c r="D1" s="1" t="s">
        <v>412</v>
      </c>
      <c r="E1" s="81" t="s">
        <v>1812</v>
      </c>
      <c r="F1" s="1" t="s">
        <v>318</v>
      </c>
      <c r="G1" s="1" t="s">
        <v>319</v>
      </c>
      <c r="H1" s="1" t="s">
        <v>320</v>
      </c>
      <c r="I1" s="1" t="s">
        <v>321</v>
      </c>
      <c r="J1" s="1" t="s">
        <v>305</v>
      </c>
      <c r="K1" s="1" t="s">
        <v>13</v>
      </c>
      <c r="L1" s="1" t="s">
        <v>446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>
      <c r="A2" s="13" t="s">
        <v>587</v>
      </c>
      <c r="B2" s="13" t="s">
        <v>1331</v>
      </c>
      <c r="C2" s="13" t="s">
        <v>1332</v>
      </c>
      <c r="D2" s="13" t="s">
        <v>1327</v>
      </c>
      <c r="E2" s="13" t="s">
        <v>1332</v>
      </c>
      <c r="F2" s="13" t="s">
        <v>1330</v>
      </c>
      <c r="G2" s="81" t="s">
        <v>1329</v>
      </c>
      <c r="H2" s="13" t="s">
        <v>583</v>
      </c>
      <c r="I2" s="13" t="s">
        <v>1327</v>
      </c>
      <c r="J2" s="13" t="s">
        <v>584</v>
      </c>
      <c r="K2" s="13" t="s">
        <v>582</v>
      </c>
      <c r="L2" s="13" t="s">
        <v>1328</v>
      </c>
      <c r="M2" s="13" t="s">
        <v>577</v>
      </c>
      <c r="N2" s="13" t="s">
        <v>585</v>
      </c>
      <c r="O2" s="13" t="s">
        <v>585</v>
      </c>
      <c r="P2" s="13" t="s">
        <v>585</v>
      </c>
    </row>
    <row r="3" spans="1:16">
      <c r="A3" s="1">
        <v>1</v>
      </c>
      <c r="B3" s="1" t="s">
        <v>390</v>
      </c>
      <c r="D3" s="1" t="s">
        <v>330</v>
      </c>
      <c r="E3" s="1">
        <v>1</v>
      </c>
      <c r="F3" s="1">
        <v>8200</v>
      </c>
      <c r="G3" s="1" t="s">
        <v>1415</v>
      </c>
      <c r="H3" s="1">
        <v>1</v>
      </c>
      <c r="I3" s="81" t="s">
        <v>1811</v>
      </c>
      <c r="K3" s="2"/>
      <c r="L3" s="2"/>
      <c r="M3" s="1">
        <v>37</v>
      </c>
      <c r="N3" s="4"/>
    </row>
    <row r="4" spans="1:16">
      <c r="A4" s="1">
        <v>2</v>
      </c>
      <c r="B4" s="1" t="s">
        <v>390</v>
      </c>
      <c r="D4" s="1" t="s">
        <v>331</v>
      </c>
      <c r="E4" s="1">
        <v>2</v>
      </c>
      <c r="F4" s="1">
        <v>6240</v>
      </c>
      <c r="H4" s="1">
        <v>1</v>
      </c>
      <c r="I4" s="81" t="s">
        <v>1811</v>
      </c>
      <c r="K4" s="2"/>
      <c r="L4" s="2"/>
      <c r="M4" s="1">
        <v>37</v>
      </c>
    </row>
    <row r="5" spans="1:16">
      <c r="A5" s="1">
        <v>3</v>
      </c>
      <c r="B5" s="1" t="s">
        <v>390</v>
      </c>
      <c r="D5" s="1" t="s">
        <v>332</v>
      </c>
      <c r="E5" s="1">
        <v>3</v>
      </c>
      <c r="F5" s="1">
        <v>10800</v>
      </c>
      <c r="H5" s="1">
        <v>1</v>
      </c>
      <c r="I5" s="81" t="s">
        <v>1811</v>
      </c>
      <c r="K5" s="2"/>
      <c r="L5" s="2"/>
      <c r="M5" s="1">
        <v>37</v>
      </c>
      <c r="N5" s="4"/>
    </row>
    <row r="6" spans="1:16">
      <c r="A6" s="1">
        <v>4</v>
      </c>
      <c r="B6" s="1" t="s">
        <v>391</v>
      </c>
      <c r="D6" s="1" t="s">
        <v>333</v>
      </c>
      <c r="E6" s="1">
        <v>3</v>
      </c>
      <c r="F6" s="1">
        <v>8864</v>
      </c>
      <c r="G6" s="1" t="s">
        <v>1416</v>
      </c>
      <c r="H6" s="1">
        <v>1</v>
      </c>
      <c r="I6" s="81" t="s">
        <v>1811</v>
      </c>
      <c r="K6" s="2"/>
      <c r="L6" s="2"/>
      <c r="M6" s="1">
        <v>37</v>
      </c>
    </row>
    <row r="7" spans="1:16">
      <c r="A7" s="1">
        <v>5</v>
      </c>
      <c r="B7" s="1" t="s">
        <v>392</v>
      </c>
      <c r="D7" s="1" t="s">
        <v>334</v>
      </c>
      <c r="E7" s="1">
        <v>4</v>
      </c>
      <c r="F7" s="1">
        <v>6400</v>
      </c>
      <c r="G7" s="1" t="s">
        <v>1417</v>
      </c>
      <c r="H7" s="1">
        <v>1</v>
      </c>
      <c r="I7" s="81" t="s">
        <v>1811</v>
      </c>
      <c r="K7" s="2" t="s">
        <v>58</v>
      </c>
      <c r="L7" s="2"/>
      <c r="M7" s="1">
        <v>37</v>
      </c>
    </row>
    <row r="8" spans="1:16">
      <c r="A8" s="1">
        <v>6</v>
      </c>
      <c r="B8" s="1" t="s">
        <v>393</v>
      </c>
      <c r="D8" s="1" t="s">
        <v>335</v>
      </c>
      <c r="E8" s="1">
        <v>4</v>
      </c>
      <c r="F8" s="1">
        <v>2800</v>
      </c>
      <c r="G8" s="1" t="s">
        <v>1417</v>
      </c>
      <c r="H8" s="1">
        <v>1</v>
      </c>
      <c r="I8" s="81" t="s">
        <v>1811</v>
      </c>
      <c r="K8" s="2" t="s">
        <v>58</v>
      </c>
      <c r="L8" s="2"/>
      <c r="M8" s="1">
        <v>37</v>
      </c>
    </row>
    <row r="9" spans="1:16">
      <c r="A9" s="1">
        <v>7</v>
      </c>
      <c r="B9" s="1" t="s">
        <v>390</v>
      </c>
      <c r="D9" s="1" t="s">
        <v>344</v>
      </c>
      <c r="E9" s="1">
        <v>5</v>
      </c>
      <c r="F9" s="1">
        <v>600</v>
      </c>
      <c r="H9" s="1">
        <v>1</v>
      </c>
      <c r="I9" s="81" t="s">
        <v>1811</v>
      </c>
      <c r="K9" s="2"/>
      <c r="L9" s="2"/>
      <c r="M9" s="1">
        <v>37</v>
      </c>
    </row>
    <row r="10" spans="1:16">
      <c r="A10" s="1">
        <v>8</v>
      </c>
      <c r="B10" s="1" t="s">
        <v>394</v>
      </c>
      <c r="D10" s="1" t="s">
        <v>351</v>
      </c>
      <c r="E10" s="1">
        <v>7</v>
      </c>
      <c r="F10" s="1">
        <v>7000</v>
      </c>
      <c r="G10" s="1" t="s">
        <v>1418</v>
      </c>
      <c r="H10" s="1">
        <v>1</v>
      </c>
      <c r="I10" s="81" t="s">
        <v>1811</v>
      </c>
      <c r="K10" s="2"/>
      <c r="L10" s="2"/>
      <c r="M10" s="1">
        <v>37</v>
      </c>
    </row>
    <row r="11" spans="1:16">
      <c r="A11" s="1">
        <v>9</v>
      </c>
      <c r="B11" s="1" t="s">
        <v>395</v>
      </c>
      <c r="D11" s="1" t="s">
        <v>352</v>
      </c>
      <c r="E11" s="1">
        <v>7</v>
      </c>
      <c r="F11" s="1">
        <v>22000</v>
      </c>
      <c r="G11" s="1" t="s">
        <v>1418</v>
      </c>
      <c r="H11" s="1">
        <v>1</v>
      </c>
      <c r="I11" s="81" t="s">
        <v>1811</v>
      </c>
      <c r="K11" s="2"/>
      <c r="L11" s="2"/>
      <c r="M11" s="1">
        <v>37</v>
      </c>
    </row>
    <row r="12" spans="1:16">
      <c r="A12" s="1">
        <v>10</v>
      </c>
      <c r="B12" s="1" t="s">
        <v>396</v>
      </c>
      <c r="D12" s="1" t="s">
        <v>353</v>
      </c>
      <c r="E12" s="1">
        <v>7</v>
      </c>
      <c r="F12" s="1">
        <v>1000</v>
      </c>
      <c r="G12" s="1" t="s">
        <v>1418</v>
      </c>
      <c r="H12" s="1">
        <v>1</v>
      </c>
      <c r="I12" s="81" t="s">
        <v>1811</v>
      </c>
      <c r="K12" s="2"/>
      <c r="L12" s="2"/>
      <c r="M12" s="1">
        <v>37</v>
      </c>
    </row>
    <row r="13" spans="1:16">
      <c r="A13" s="1">
        <v>11</v>
      </c>
      <c r="B13" s="1" t="s">
        <v>397</v>
      </c>
      <c r="D13" s="1" t="s">
        <v>350</v>
      </c>
      <c r="E13" s="1">
        <v>7</v>
      </c>
      <c r="F13" s="1">
        <v>8100</v>
      </c>
      <c r="G13" s="1" t="s">
        <v>1418</v>
      </c>
      <c r="H13" s="1">
        <v>1</v>
      </c>
      <c r="I13" s="81" t="s">
        <v>1811</v>
      </c>
      <c r="K13" s="2" t="s">
        <v>323</v>
      </c>
      <c r="L13" s="2"/>
      <c r="M13" s="1">
        <v>37</v>
      </c>
    </row>
    <row r="14" spans="1:16">
      <c r="A14" s="1">
        <v>12</v>
      </c>
      <c r="B14" s="1" t="s">
        <v>398</v>
      </c>
      <c r="D14" s="1" t="s">
        <v>348</v>
      </c>
      <c r="E14" s="1">
        <v>7</v>
      </c>
      <c r="F14" s="1">
        <v>8000</v>
      </c>
      <c r="G14" s="1" t="s">
        <v>1418</v>
      </c>
      <c r="H14" s="1">
        <v>1</v>
      </c>
      <c r="I14" s="81" t="s">
        <v>1811</v>
      </c>
      <c r="K14" s="2"/>
      <c r="L14" s="2"/>
      <c r="M14" s="1">
        <v>37</v>
      </c>
    </row>
    <row r="15" spans="1:16">
      <c r="A15" s="1">
        <v>13</v>
      </c>
      <c r="B15" s="1" t="s">
        <v>390</v>
      </c>
      <c r="D15" s="1" t="s">
        <v>349</v>
      </c>
      <c r="E15" s="1">
        <v>7</v>
      </c>
      <c r="F15" s="1">
        <v>8000</v>
      </c>
      <c r="G15" s="1" t="s">
        <v>1418</v>
      </c>
      <c r="H15" s="1">
        <v>1</v>
      </c>
      <c r="I15" s="81" t="s">
        <v>1811</v>
      </c>
      <c r="K15" s="2"/>
      <c r="L15" s="2"/>
      <c r="M15" s="1">
        <v>37</v>
      </c>
    </row>
    <row r="16" spans="1:16">
      <c r="A16" s="1">
        <v>14</v>
      </c>
      <c r="B16" s="1" t="s">
        <v>399</v>
      </c>
      <c r="D16" s="1" t="s">
        <v>360</v>
      </c>
      <c r="E16" s="1">
        <v>7</v>
      </c>
      <c r="F16" s="1">
        <v>500</v>
      </c>
      <c r="G16" s="1" t="s">
        <v>1419</v>
      </c>
      <c r="H16" s="1">
        <v>1</v>
      </c>
      <c r="I16" s="81" t="s">
        <v>1811</v>
      </c>
      <c r="K16" s="2" t="s">
        <v>325</v>
      </c>
      <c r="L16" s="2"/>
      <c r="M16" s="1">
        <v>37</v>
      </c>
    </row>
    <row r="17" spans="1:13">
      <c r="A17" s="1">
        <v>15</v>
      </c>
      <c r="B17" s="1" t="s">
        <v>400</v>
      </c>
      <c r="D17" s="1" t="s">
        <v>355</v>
      </c>
      <c r="E17" s="1">
        <v>7</v>
      </c>
      <c r="F17" s="1">
        <v>6000</v>
      </c>
      <c r="G17" s="1" t="s">
        <v>1348</v>
      </c>
      <c r="H17" s="1">
        <v>1</v>
      </c>
      <c r="I17" s="81" t="s">
        <v>1811</v>
      </c>
      <c r="K17" s="2" t="s">
        <v>324</v>
      </c>
      <c r="L17" s="2"/>
      <c r="M17" s="1">
        <v>37</v>
      </c>
    </row>
    <row r="18" spans="1:13">
      <c r="A18" s="1">
        <v>16</v>
      </c>
      <c r="B18" s="1" t="s">
        <v>401</v>
      </c>
      <c r="D18" s="1" t="s">
        <v>354</v>
      </c>
      <c r="E18" s="1">
        <v>7</v>
      </c>
      <c r="F18" s="1">
        <v>3000</v>
      </c>
      <c r="G18" s="1" t="s">
        <v>1347</v>
      </c>
      <c r="H18" s="1">
        <v>1</v>
      </c>
      <c r="I18" s="81" t="s">
        <v>1811</v>
      </c>
      <c r="K18" s="2"/>
      <c r="L18" s="2"/>
      <c r="M18" s="1">
        <v>37</v>
      </c>
    </row>
    <row r="19" spans="1:13">
      <c r="A19" s="1">
        <v>17</v>
      </c>
      <c r="B19" s="1" t="s">
        <v>402</v>
      </c>
      <c r="D19" s="1" t="s">
        <v>362</v>
      </c>
      <c r="E19" s="1">
        <v>7</v>
      </c>
      <c r="F19" s="1">
        <v>15000</v>
      </c>
      <c r="H19" s="1">
        <v>1</v>
      </c>
      <c r="I19" s="81" t="s">
        <v>1811</v>
      </c>
      <c r="K19" s="2"/>
      <c r="L19" s="2"/>
      <c r="M19" s="1">
        <v>37</v>
      </c>
    </row>
    <row r="20" spans="1:13">
      <c r="A20" s="1">
        <v>18</v>
      </c>
      <c r="B20" s="1" t="s">
        <v>403</v>
      </c>
      <c r="D20" s="1" t="s">
        <v>356</v>
      </c>
      <c r="E20" s="1">
        <v>7</v>
      </c>
      <c r="F20" s="1">
        <v>45000</v>
      </c>
      <c r="G20" s="1" t="s">
        <v>1419</v>
      </c>
      <c r="H20" s="1">
        <v>1</v>
      </c>
      <c r="I20" s="81" t="s">
        <v>1811</v>
      </c>
      <c r="K20" s="2"/>
      <c r="L20" s="2"/>
      <c r="M20" s="1">
        <v>37</v>
      </c>
    </row>
    <row r="21" spans="1:13">
      <c r="A21" s="1">
        <v>19</v>
      </c>
      <c r="B21" s="1" t="s">
        <v>394</v>
      </c>
      <c r="D21" s="1" t="s">
        <v>347</v>
      </c>
      <c r="E21" s="1">
        <v>6</v>
      </c>
      <c r="F21" s="1">
        <v>3000</v>
      </c>
      <c r="G21" s="1" t="s">
        <v>1340</v>
      </c>
      <c r="H21" s="1">
        <v>1</v>
      </c>
      <c r="I21" s="81" t="s">
        <v>1811</v>
      </c>
      <c r="K21" s="2"/>
      <c r="L21" s="2"/>
      <c r="M21" s="1">
        <v>37</v>
      </c>
    </row>
    <row r="22" spans="1:13">
      <c r="A22" s="1">
        <v>20</v>
      </c>
      <c r="B22" s="1" t="s">
        <v>398</v>
      </c>
      <c r="D22" s="1" t="s">
        <v>346</v>
      </c>
      <c r="E22" s="1">
        <v>6</v>
      </c>
      <c r="F22" s="1">
        <v>3000</v>
      </c>
      <c r="G22" s="1" t="s">
        <v>1340</v>
      </c>
      <c r="H22" s="1">
        <v>1</v>
      </c>
      <c r="I22" s="81" t="s">
        <v>1811</v>
      </c>
      <c r="K22" s="2"/>
      <c r="L22" s="2"/>
      <c r="M22" s="1">
        <v>37</v>
      </c>
    </row>
    <row r="23" spans="1:13">
      <c r="A23" s="1">
        <v>21</v>
      </c>
      <c r="B23" s="1" t="s">
        <v>390</v>
      </c>
      <c r="D23" s="1" t="s">
        <v>345</v>
      </c>
      <c r="E23" s="1">
        <v>6</v>
      </c>
      <c r="F23" s="1">
        <v>3000</v>
      </c>
      <c r="G23" s="1" t="s">
        <v>1340</v>
      </c>
      <c r="H23" s="1">
        <v>1</v>
      </c>
      <c r="I23" s="81" t="s">
        <v>1811</v>
      </c>
      <c r="K23" s="2"/>
      <c r="L23" s="2"/>
      <c r="M23" s="1">
        <v>37</v>
      </c>
    </row>
    <row r="24" spans="1:13">
      <c r="A24" s="1">
        <v>22</v>
      </c>
      <c r="B24" s="1" t="s">
        <v>394</v>
      </c>
      <c r="D24" s="1" t="s">
        <v>368</v>
      </c>
      <c r="E24" s="1">
        <v>9</v>
      </c>
      <c r="F24" s="1">
        <v>12000</v>
      </c>
      <c r="G24" s="1" t="s">
        <v>1360</v>
      </c>
      <c r="H24" s="1">
        <v>1</v>
      </c>
      <c r="I24" s="81" t="s">
        <v>1811</v>
      </c>
      <c r="K24" s="2"/>
      <c r="L24" s="2"/>
      <c r="M24" s="1">
        <v>37</v>
      </c>
    </row>
    <row r="25" spans="1:13">
      <c r="A25" s="1">
        <v>23</v>
      </c>
      <c r="B25" s="1" t="s">
        <v>395</v>
      </c>
      <c r="D25" s="1" t="s">
        <v>369</v>
      </c>
      <c r="E25" s="1">
        <v>9</v>
      </c>
      <c r="F25" s="1">
        <v>3000</v>
      </c>
      <c r="G25" s="1" t="s">
        <v>1360</v>
      </c>
      <c r="H25" s="1">
        <v>1</v>
      </c>
      <c r="I25" s="81" t="s">
        <v>1811</v>
      </c>
      <c r="K25" s="2"/>
      <c r="L25" s="2"/>
      <c r="M25" s="1">
        <v>37</v>
      </c>
    </row>
    <row r="26" spans="1:13">
      <c r="A26" s="1">
        <v>24</v>
      </c>
      <c r="B26" s="1" t="s">
        <v>396</v>
      </c>
      <c r="D26" s="1" t="s">
        <v>370</v>
      </c>
      <c r="E26" s="1">
        <v>9</v>
      </c>
      <c r="F26" s="1">
        <v>500</v>
      </c>
      <c r="G26" s="1" t="s">
        <v>1360</v>
      </c>
      <c r="H26" s="1">
        <v>1</v>
      </c>
      <c r="I26" s="81" t="s">
        <v>1811</v>
      </c>
      <c r="K26" s="2"/>
      <c r="L26" s="2"/>
      <c r="M26" s="1">
        <v>37</v>
      </c>
    </row>
    <row r="27" spans="1:13">
      <c r="A27" s="1">
        <v>25</v>
      </c>
      <c r="B27" s="1" t="s">
        <v>397</v>
      </c>
      <c r="D27" s="1" t="s">
        <v>361</v>
      </c>
      <c r="E27" s="1">
        <v>9</v>
      </c>
      <c r="F27" s="1">
        <v>10000</v>
      </c>
      <c r="G27" s="1" t="s">
        <v>1353</v>
      </c>
      <c r="H27" s="1">
        <v>1</v>
      </c>
      <c r="I27" s="81" t="s">
        <v>1811</v>
      </c>
      <c r="K27" s="2"/>
      <c r="L27" s="2"/>
      <c r="M27" s="1">
        <v>37</v>
      </c>
    </row>
    <row r="28" spans="1:13">
      <c r="A28" s="1">
        <v>26</v>
      </c>
      <c r="B28" s="1" t="s">
        <v>398</v>
      </c>
      <c r="D28" s="1" t="s">
        <v>371</v>
      </c>
      <c r="E28" s="1">
        <v>9</v>
      </c>
      <c r="F28" s="1">
        <v>8300</v>
      </c>
      <c r="G28" s="1" t="s">
        <v>1360</v>
      </c>
      <c r="H28" s="1">
        <v>1</v>
      </c>
      <c r="I28" s="81" t="s">
        <v>1811</v>
      </c>
      <c r="K28" s="2"/>
      <c r="L28" s="2"/>
      <c r="M28" s="1">
        <v>37</v>
      </c>
    </row>
    <row r="29" spans="1:13">
      <c r="A29" s="1">
        <v>27</v>
      </c>
      <c r="B29" s="1" t="s">
        <v>390</v>
      </c>
      <c r="D29" s="1" t="s">
        <v>372</v>
      </c>
      <c r="E29" s="1">
        <v>9</v>
      </c>
      <c r="F29" s="1">
        <v>4400</v>
      </c>
      <c r="G29" s="1" t="s">
        <v>1360</v>
      </c>
      <c r="H29" s="1">
        <v>1</v>
      </c>
      <c r="I29" s="81" t="s">
        <v>1811</v>
      </c>
      <c r="K29" s="2"/>
      <c r="L29" s="2"/>
      <c r="M29" s="1">
        <v>37</v>
      </c>
    </row>
    <row r="30" spans="1:13">
      <c r="A30" s="1">
        <v>28</v>
      </c>
      <c r="B30" s="1" t="s">
        <v>404</v>
      </c>
      <c r="D30" s="1" t="s">
        <v>363</v>
      </c>
      <c r="E30" s="1">
        <v>9</v>
      </c>
      <c r="F30" s="1">
        <v>10000</v>
      </c>
      <c r="G30" s="1" t="s">
        <v>1357</v>
      </c>
      <c r="H30" s="1">
        <v>1</v>
      </c>
      <c r="I30" s="81" t="s">
        <v>1811</v>
      </c>
      <c r="K30" s="2"/>
      <c r="L30" s="2"/>
      <c r="M30" s="1">
        <v>37</v>
      </c>
    </row>
    <row r="31" spans="1:13">
      <c r="A31" s="1">
        <v>29</v>
      </c>
      <c r="B31" s="1" t="s">
        <v>400</v>
      </c>
      <c r="D31" s="1" t="s">
        <v>366</v>
      </c>
      <c r="E31" s="1">
        <v>9</v>
      </c>
      <c r="F31" s="1">
        <v>4000</v>
      </c>
      <c r="G31" s="1" t="s">
        <v>1357</v>
      </c>
      <c r="H31" s="1">
        <v>1</v>
      </c>
      <c r="I31" s="81" t="s">
        <v>1811</v>
      </c>
      <c r="K31" s="2"/>
      <c r="L31" s="2"/>
      <c r="M31" s="1">
        <v>37</v>
      </c>
    </row>
    <row r="32" spans="1:13">
      <c r="A32" s="1">
        <v>30</v>
      </c>
      <c r="B32" s="1" t="s">
        <v>405</v>
      </c>
      <c r="D32" s="1" t="s">
        <v>364</v>
      </c>
      <c r="E32" s="1">
        <v>9</v>
      </c>
      <c r="F32" s="1">
        <v>70000</v>
      </c>
      <c r="G32" s="1" t="s">
        <v>1357</v>
      </c>
      <c r="H32" s="1">
        <v>1</v>
      </c>
      <c r="I32" s="81" t="s">
        <v>1811</v>
      </c>
      <c r="K32" s="2"/>
      <c r="L32" s="2"/>
      <c r="M32" s="1">
        <v>37</v>
      </c>
    </row>
    <row r="33" spans="1:13">
      <c r="A33" s="1">
        <v>31</v>
      </c>
      <c r="B33" s="1" t="s">
        <v>406</v>
      </c>
      <c r="D33" s="1" t="s">
        <v>365</v>
      </c>
      <c r="E33" s="1">
        <v>9</v>
      </c>
      <c r="F33" s="1">
        <v>30000</v>
      </c>
      <c r="G33" s="1" t="s">
        <v>1357</v>
      </c>
      <c r="H33" s="1">
        <v>1</v>
      </c>
      <c r="I33" s="81" t="s">
        <v>1811</v>
      </c>
      <c r="K33" s="2"/>
      <c r="L33" s="2"/>
      <c r="M33" s="1">
        <v>37</v>
      </c>
    </row>
    <row r="34" spans="1:13">
      <c r="A34" s="1">
        <v>32</v>
      </c>
      <c r="B34" s="1" t="s">
        <v>401</v>
      </c>
      <c r="D34" s="1" t="s">
        <v>367</v>
      </c>
      <c r="E34" s="1">
        <v>9</v>
      </c>
      <c r="F34" s="1">
        <v>4000</v>
      </c>
      <c r="G34" s="1" t="s">
        <v>1357</v>
      </c>
      <c r="H34" s="1">
        <v>1</v>
      </c>
      <c r="I34" s="81" t="s">
        <v>1811</v>
      </c>
      <c r="K34" s="2"/>
      <c r="L34" s="2"/>
      <c r="M34" s="1">
        <v>37</v>
      </c>
    </row>
    <row r="35" spans="1:13">
      <c r="A35" s="1">
        <v>33</v>
      </c>
      <c r="B35" s="1" t="s">
        <v>407</v>
      </c>
      <c r="D35" s="1" t="s">
        <v>374</v>
      </c>
      <c r="E35" s="1">
        <v>9</v>
      </c>
      <c r="F35" s="1">
        <v>20000</v>
      </c>
      <c r="G35" s="1" t="s">
        <v>1361</v>
      </c>
      <c r="H35" s="1">
        <v>1</v>
      </c>
      <c r="I35" s="81" t="s">
        <v>1811</v>
      </c>
      <c r="K35" s="2"/>
      <c r="L35" s="2"/>
      <c r="M35" s="1">
        <v>37</v>
      </c>
    </row>
    <row r="36" spans="1:13">
      <c r="A36" s="1">
        <v>34</v>
      </c>
      <c r="B36" s="1" t="s">
        <v>403</v>
      </c>
      <c r="D36" s="1" t="s">
        <v>373</v>
      </c>
      <c r="E36" s="1">
        <v>9</v>
      </c>
      <c r="F36" s="1">
        <v>15000</v>
      </c>
      <c r="G36" s="1" t="s">
        <v>1361</v>
      </c>
      <c r="H36" s="1">
        <v>1</v>
      </c>
      <c r="I36" s="81" t="s">
        <v>1811</v>
      </c>
      <c r="K36" s="2"/>
      <c r="L36" s="2"/>
      <c r="M36" s="1">
        <v>37</v>
      </c>
    </row>
    <row r="37" spans="1:13">
      <c r="A37" s="1">
        <v>35</v>
      </c>
      <c r="B37" s="1" t="s">
        <v>394</v>
      </c>
      <c r="D37" s="1" t="s">
        <v>359</v>
      </c>
      <c r="E37" s="1">
        <v>8</v>
      </c>
      <c r="F37" s="1">
        <v>3000</v>
      </c>
      <c r="G37" s="1" t="s">
        <v>1349</v>
      </c>
      <c r="H37" s="1">
        <v>1</v>
      </c>
      <c r="I37" s="81" t="s">
        <v>1811</v>
      </c>
      <c r="K37" s="2" t="s">
        <v>325</v>
      </c>
      <c r="L37" s="2"/>
      <c r="M37" s="1">
        <v>37</v>
      </c>
    </row>
    <row r="38" spans="1:13">
      <c r="A38" s="1">
        <v>36</v>
      </c>
      <c r="B38" s="1" t="s">
        <v>398</v>
      </c>
      <c r="D38" s="1" t="s">
        <v>357</v>
      </c>
      <c r="E38" s="1">
        <v>8</v>
      </c>
      <c r="F38" s="1">
        <v>3000</v>
      </c>
      <c r="G38" s="1" t="s">
        <v>1349</v>
      </c>
      <c r="H38" s="1">
        <v>1</v>
      </c>
      <c r="I38" s="81" t="s">
        <v>1811</v>
      </c>
      <c r="K38" s="2" t="s">
        <v>325</v>
      </c>
      <c r="L38" s="2"/>
      <c r="M38" s="1">
        <v>37</v>
      </c>
    </row>
    <row r="39" spans="1:13">
      <c r="A39" s="1">
        <v>37</v>
      </c>
      <c r="B39" s="1" t="s">
        <v>390</v>
      </c>
      <c r="D39" s="1" t="s">
        <v>358</v>
      </c>
      <c r="E39" s="1">
        <v>8</v>
      </c>
      <c r="F39" s="1">
        <v>3000</v>
      </c>
      <c r="G39" s="1" t="s">
        <v>1349</v>
      </c>
      <c r="H39" s="1">
        <v>1</v>
      </c>
      <c r="I39" s="81" t="s">
        <v>1811</v>
      </c>
      <c r="K39" s="2" t="s">
        <v>325</v>
      </c>
      <c r="L39" s="2"/>
      <c r="M39" s="1">
        <v>37</v>
      </c>
    </row>
    <row r="40" spans="1:13">
      <c r="A40" s="1">
        <v>38</v>
      </c>
      <c r="B40" s="1" t="s">
        <v>394</v>
      </c>
      <c r="D40" s="1" t="s">
        <v>375</v>
      </c>
      <c r="E40" s="1">
        <v>10</v>
      </c>
      <c r="F40" s="1">
        <v>2000</v>
      </c>
      <c r="G40" s="1" t="s">
        <v>1420</v>
      </c>
      <c r="H40" s="1">
        <v>1</v>
      </c>
      <c r="I40" s="81" t="s">
        <v>1811</v>
      </c>
      <c r="K40" s="2"/>
      <c r="L40" s="2"/>
      <c r="M40" s="1">
        <v>37</v>
      </c>
    </row>
    <row r="41" spans="1:13">
      <c r="A41" s="1">
        <v>39</v>
      </c>
      <c r="B41" s="1" t="s">
        <v>395</v>
      </c>
      <c r="D41" s="1" t="s">
        <v>376</v>
      </c>
      <c r="E41" s="1">
        <v>10</v>
      </c>
      <c r="F41" s="1">
        <v>9000</v>
      </c>
      <c r="G41" s="1" t="s">
        <v>1420</v>
      </c>
      <c r="H41" s="1">
        <v>1</v>
      </c>
      <c r="I41" s="81" t="s">
        <v>1811</v>
      </c>
      <c r="K41" s="2"/>
      <c r="L41" s="2"/>
      <c r="M41" s="1">
        <v>37</v>
      </c>
    </row>
    <row r="42" spans="1:13">
      <c r="A42" s="1">
        <v>40</v>
      </c>
      <c r="B42" s="1" t="s">
        <v>396</v>
      </c>
      <c r="D42" s="1" t="s">
        <v>377</v>
      </c>
      <c r="E42" s="1">
        <v>10</v>
      </c>
      <c r="F42" s="1">
        <v>500</v>
      </c>
      <c r="G42" s="1" t="s">
        <v>1420</v>
      </c>
      <c r="H42" s="1">
        <v>1</v>
      </c>
      <c r="I42" s="81" t="s">
        <v>1811</v>
      </c>
      <c r="K42" s="2"/>
      <c r="L42" s="2"/>
      <c r="M42" s="1">
        <v>37</v>
      </c>
    </row>
    <row r="43" spans="1:13">
      <c r="A43" s="1">
        <v>41</v>
      </c>
      <c r="B43" s="1" t="s">
        <v>398</v>
      </c>
      <c r="D43" s="1" t="s">
        <v>378</v>
      </c>
      <c r="E43" s="1">
        <v>10</v>
      </c>
      <c r="F43" s="1">
        <v>5200</v>
      </c>
      <c r="G43" s="1" t="s">
        <v>1420</v>
      </c>
      <c r="H43" s="1">
        <v>1</v>
      </c>
      <c r="I43" s="81" t="s">
        <v>1811</v>
      </c>
      <c r="K43" s="2"/>
      <c r="L43" s="2"/>
      <c r="M43" s="1">
        <v>37</v>
      </c>
    </row>
    <row r="44" spans="1:13">
      <c r="A44" s="1">
        <v>42</v>
      </c>
      <c r="B44" s="1" t="s">
        <v>390</v>
      </c>
      <c r="D44" s="1" t="s">
        <v>379</v>
      </c>
      <c r="E44" s="1">
        <v>10</v>
      </c>
      <c r="F44" s="1">
        <v>6300</v>
      </c>
      <c r="G44" s="1" t="s">
        <v>1420</v>
      </c>
      <c r="H44" s="1">
        <v>1</v>
      </c>
      <c r="I44" s="81" t="s">
        <v>1811</v>
      </c>
      <c r="K44" s="2"/>
      <c r="L44" s="2"/>
      <c r="M44" s="1">
        <v>37</v>
      </c>
    </row>
    <row r="45" spans="1:13">
      <c r="A45" s="1">
        <v>43</v>
      </c>
      <c r="B45" s="1" t="s">
        <v>404</v>
      </c>
      <c r="D45" s="1" t="s">
        <v>381</v>
      </c>
      <c r="E45" s="1">
        <v>10</v>
      </c>
      <c r="F45" s="1">
        <v>60000</v>
      </c>
      <c r="G45" s="1" t="s">
        <v>1421</v>
      </c>
      <c r="H45" s="1">
        <v>1</v>
      </c>
      <c r="I45" s="81" t="s">
        <v>1811</v>
      </c>
      <c r="K45" s="2"/>
      <c r="L45" s="2"/>
      <c r="M45" s="1">
        <v>37</v>
      </c>
    </row>
    <row r="46" spans="1:13">
      <c r="A46" s="1">
        <v>44</v>
      </c>
      <c r="B46" s="1" t="s">
        <v>399</v>
      </c>
      <c r="D46" s="1" t="s">
        <v>382</v>
      </c>
      <c r="E46" s="1">
        <v>10</v>
      </c>
      <c r="F46" s="1">
        <v>8500</v>
      </c>
      <c r="G46" s="1" t="s">
        <v>1388</v>
      </c>
      <c r="H46" s="1">
        <v>1</v>
      </c>
      <c r="I46" s="81" t="s">
        <v>1811</v>
      </c>
      <c r="K46" s="2"/>
      <c r="L46" s="2"/>
      <c r="M46" s="1">
        <v>37</v>
      </c>
    </row>
    <row r="47" spans="1:13">
      <c r="A47" s="1">
        <v>45</v>
      </c>
      <c r="B47" s="1" t="s">
        <v>408</v>
      </c>
      <c r="D47" s="1" t="s">
        <v>380</v>
      </c>
      <c r="E47" s="1">
        <v>10</v>
      </c>
      <c r="F47" s="1">
        <v>11000</v>
      </c>
      <c r="G47" s="1" t="s">
        <v>1420</v>
      </c>
      <c r="H47" s="1">
        <v>1</v>
      </c>
      <c r="I47" s="81" t="s">
        <v>1811</v>
      </c>
      <c r="K47" s="2"/>
      <c r="L47" s="2"/>
      <c r="M47" s="1">
        <v>37</v>
      </c>
    </row>
    <row r="48" spans="1:13">
      <c r="A48" s="1">
        <v>46</v>
      </c>
      <c r="B48" s="1" t="s">
        <v>395</v>
      </c>
      <c r="D48" s="1" t="s">
        <v>386</v>
      </c>
      <c r="E48" s="1">
        <v>11</v>
      </c>
      <c r="F48" s="1">
        <v>400</v>
      </c>
      <c r="G48" s="1" t="s">
        <v>1422</v>
      </c>
      <c r="H48" s="1">
        <v>1</v>
      </c>
      <c r="I48" s="81" t="s">
        <v>1811</v>
      </c>
      <c r="K48" s="2"/>
      <c r="L48" s="2"/>
      <c r="M48" s="1">
        <v>37</v>
      </c>
    </row>
    <row r="49" spans="1:13">
      <c r="A49" s="1">
        <v>47</v>
      </c>
      <c r="B49" s="1" t="s">
        <v>396</v>
      </c>
      <c r="D49" s="1" t="s">
        <v>387</v>
      </c>
      <c r="E49" s="1">
        <v>11</v>
      </c>
      <c r="F49" s="1">
        <v>700</v>
      </c>
      <c r="G49" s="1" t="s">
        <v>1422</v>
      </c>
      <c r="H49" s="1">
        <v>1</v>
      </c>
      <c r="I49" s="81" t="s">
        <v>1811</v>
      </c>
      <c r="K49" s="2"/>
      <c r="L49" s="2"/>
      <c r="M49" s="1">
        <v>37</v>
      </c>
    </row>
    <row r="50" spans="1:13">
      <c r="A50" s="1">
        <v>48</v>
      </c>
      <c r="B50" s="1" t="s">
        <v>394</v>
      </c>
      <c r="D50" s="1" t="s">
        <v>383</v>
      </c>
      <c r="E50" s="1">
        <v>12</v>
      </c>
      <c r="F50" s="1">
        <v>17000</v>
      </c>
      <c r="G50" s="1" t="s">
        <v>1407</v>
      </c>
      <c r="H50" s="1">
        <v>1</v>
      </c>
      <c r="I50" s="81" t="s">
        <v>1811</v>
      </c>
      <c r="K50" s="2"/>
      <c r="L50" s="2"/>
      <c r="M50" s="1">
        <v>37</v>
      </c>
    </row>
    <row r="51" spans="1:13">
      <c r="A51" s="1">
        <v>49</v>
      </c>
      <c r="B51" s="1" t="s">
        <v>395</v>
      </c>
      <c r="D51" s="1" t="s">
        <v>384</v>
      </c>
      <c r="E51" s="1">
        <v>12</v>
      </c>
      <c r="F51" s="1">
        <v>18000</v>
      </c>
      <c r="G51" s="1" t="s">
        <v>1407</v>
      </c>
      <c r="H51" s="1">
        <v>1</v>
      </c>
      <c r="I51" s="81" t="s">
        <v>1811</v>
      </c>
      <c r="K51" s="2"/>
      <c r="L51" s="2"/>
      <c r="M51" s="1">
        <v>37</v>
      </c>
    </row>
    <row r="52" spans="1:13">
      <c r="A52" s="1">
        <v>50</v>
      </c>
      <c r="B52" s="1" t="s">
        <v>396</v>
      </c>
      <c r="D52" s="1" t="s">
        <v>385</v>
      </c>
      <c r="E52" s="1">
        <v>12</v>
      </c>
      <c r="F52" s="1">
        <v>2800</v>
      </c>
      <c r="G52" s="1" t="s">
        <v>1407</v>
      </c>
      <c r="H52" s="1">
        <v>1</v>
      </c>
      <c r="I52" s="81" t="s">
        <v>1811</v>
      </c>
      <c r="K52" s="2"/>
      <c r="L52" s="2"/>
      <c r="M52" s="1">
        <v>37</v>
      </c>
    </row>
    <row r="53" spans="1:13">
      <c r="A53" s="1">
        <v>51</v>
      </c>
      <c r="B53" s="1" t="s">
        <v>398</v>
      </c>
      <c r="D53" s="1" t="s">
        <v>388</v>
      </c>
      <c r="E53" s="1">
        <v>12</v>
      </c>
      <c r="F53" s="1">
        <v>1800</v>
      </c>
      <c r="G53" s="1" t="s">
        <v>1409</v>
      </c>
      <c r="H53" s="1">
        <v>1</v>
      </c>
      <c r="I53" s="81" t="s">
        <v>1811</v>
      </c>
      <c r="K53" s="2"/>
      <c r="L53" s="2"/>
      <c r="M53" s="1">
        <v>37</v>
      </c>
    </row>
    <row r="54" spans="1:13">
      <c r="A54" s="1">
        <v>52</v>
      </c>
      <c r="B54" s="1" t="s">
        <v>401</v>
      </c>
      <c r="D54" s="1" t="s">
        <v>389</v>
      </c>
      <c r="E54" s="1">
        <v>12</v>
      </c>
      <c r="F54" s="1">
        <v>2500</v>
      </c>
      <c r="G54" s="1" t="s">
        <v>1410</v>
      </c>
      <c r="H54" s="1">
        <v>1</v>
      </c>
      <c r="I54" s="81" t="s">
        <v>1811</v>
      </c>
      <c r="K54" s="2"/>
      <c r="L54" s="2"/>
      <c r="M54" s="1">
        <v>37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CF53F2-96B8-4B6D-B515-2A1381E5A0AA}">
          <x14:formula1>
            <xm:f>_mySQL!$A$2:$A$53</xm:f>
          </x14:formula1>
          <xm:sqref>A2:F2 I2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9"/>
  <sheetViews>
    <sheetView workbookViewId="0">
      <selection activeCell="C2" sqref="C2"/>
    </sheetView>
  </sheetViews>
  <sheetFormatPr defaultRowHeight="1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409</v>
      </c>
      <c r="C1" s="1" t="s">
        <v>410</v>
      </c>
      <c r="D1" s="1" t="s">
        <v>411</v>
      </c>
      <c r="E1" s="1" t="s">
        <v>321</v>
      </c>
      <c r="F1" s="1" t="s">
        <v>305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>
      <c r="A2" s="1" t="s">
        <v>587</v>
      </c>
      <c r="B2" s="1" t="s">
        <v>1331</v>
      </c>
      <c r="C2" s="1" t="s">
        <v>1329</v>
      </c>
      <c r="D2" s="1" t="s">
        <v>1334</v>
      </c>
      <c r="E2" s="1" t="s">
        <v>583</v>
      </c>
      <c r="F2" s="1" t="s">
        <v>584</v>
      </c>
      <c r="G2" s="1" t="s">
        <v>582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">
        <v>1</v>
      </c>
      <c r="B3" s="5">
        <v>1</v>
      </c>
      <c r="C3" s="5"/>
      <c r="D3" s="5">
        <v>8200</v>
      </c>
    </row>
    <row r="4" spans="1:11">
      <c r="A4" s="1">
        <v>2</v>
      </c>
      <c r="B4" s="5">
        <v>2</v>
      </c>
      <c r="C4" s="5"/>
      <c r="D4" s="5">
        <v>6240</v>
      </c>
    </row>
    <row r="5" spans="1:11">
      <c r="A5" s="1">
        <v>3</v>
      </c>
      <c r="B5" s="5">
        <v>3</v>
      </c>
      <c r="C5" s="5"/>
      <c r="D5" s="5">
        <v>10800</v>
      </c>
    </row>
    <row r="6" spans="1:11">
      <c r="A6" s="1">
        <v>4</v>
      </c>
      <c r="B6" s="5">
        <v>4</v>
      </c>
      <c r="C6" s="5"/>
      <c r="D6" s="5">
        <v>8864</v>
      </c>
    </row>
    <row r="7" spans="1:11">
      <c r="A7" s="1">
        <v>5</v>
      </c>
      <c r="B7" s="5">
        <v>5</v>
      </c>
      <c r="C7" s="5" t="s">
        <v>1423</v>
      </c>
      <c r="D7" s="5">
        <v>6400</v>
      </c>
    </row>
    <row r="8" spans="1:11">
      <c r="A8" s="1">
        <v>6</v>
      </c>
      <c r="B8" s="5">
        <v>6</v>
      </c>
      <c r="C8" s="5"/>
      <c r="D8" s="5">
        <v>2800</v>
      </c>
    </row>
    <row r="9" spans="1:11">
      <c r="A9" s="1">
        <v>7</v>
      </c>
      <c r="B9" s="5">
        <v>7</v>
      </c>
      <c r="C9" s="5"/>
      <c r="D9" s="5">
        <v>600</v>
      </c>
    </row>
    <row r="10" spans="1:11">
      <c r="A10" s="1">
        <v>8</v>
      </c>
      <c r="B10" s="5">
        <v>8</v>
      </c>
      <c r="C10" s="5" t="s">
        <v>1349</v>
      </c>
      <c r="D10" s="5">
        <v>2500</v>
      </c>
    </row>
    <row r="11" spans="1:11">
      <c r="A11" s="1">
        <v>9</v>
      </c>
      <c r="B11" s="5">
        <v>8</v>
      </c>
      <c r="C11" s="5" t="s">
        <v>1424</v>
      </c>
      <c r="D11" s="5">
        <v>2500</v>
      </c>
    </row>
    <row r="12" spans="1:11">
      <c r="A12" s="1">
        <v>10</v>
      </c>
      <c r="B12" s="5">
        <v>8</v>
      </c>
      <c r="C12" s="5" t="s">
        <v>1355</v>
      </c>
      <c r="D12" s="5">
        <v>2000</v>
      </c>
    </row>
    <row r="13" spans="1:11">
      <c r="A13" s="1">
        <v>11</v>
      </c>
      <c r="B13" s="5">
        <v>9</v>
      </c>
      <c r="C13" s="5" t="s">
        <v>1349</v>
      </c>
      <c r="D13" s="5">
        <v>6000</v>
      </c>
    </row>
    <row r="14" spans="1:11">
      <c r="A14" s="1">
        <v>12</v>
      </c>
      <c r="B14" s="5">
        <v>9</v>
      </c>
      <c r="C14" s="5" t="s">
        <v>1424</v>
      </c>
      <c r="D14" s="5">
        <v>5000</v>
      </c>
    </row>
    <row r="15" spans="1:11">
      <c r="A15" s="1">
        <v>13</v>
      </c>
      <c r="B15" s="5">
        <v>9</v>
      </c>
      <c r="C15" s="5" t="s">
        <v>1355</v>
      </c>
      <c r="D15" s="5">
        <v>6000</v>
      </c>
    </row>
    <row r="16" spans="1:11">
      <c r="A16" s="1">
        <v>14</v>
      </c>
      <c r="B16" s="5">
        <v>9</v>
      </c>
      <c r="C16" s="5" t="s">
        <v>1357</v>
      </c>
      <c r="D16" s="5">
        <v>5000</v>
      </c>
    </row>
    <row r="17" spans="1:4">
      <c r="A17" s="1">
        <v>15</v>
      </c>
      <c r="B17" s="5">
        <v>10</v>
      </c>
      <c r="C17" s="5" t="s">
        <v>1349</v>
      </c>
      <c r="D17" s="5">
        <v>500</v>
      </c>
    </row>
    <row r="18" spans="1:4">
      <c r="A18" s="1">
        <v>16</v>
      </c>
      <c r="B18" s="5">
        <v>10</v>
      </c>
      <c r="C18" s="5" t="s">
        <v>1355</v>
      </c>
      <c r="D18" s="5">
        <v>500</v>
      </c>
    </row>
    <row r="19" spans="1:4">
      <c r="A19" s="1">
        <v>17</v>
      </c>
      <c r="B19" s="5">
        <v>11</v>
      </c>
      <c r="C19" s="5" t="s">
        <v>1347</v>
      </c>
      <c r="D19" s="5">
        <v>8000</v>
      </c>
    </row>
    <row r="20" spans="1:4">
      <c r="A20" s="1">
        <v>18</v>
      </c>
      <c r="B20" s="5">
        <v>11</v>
      </c>
      <c r="C20" s="5" t="s">
        <v>1352</v>
      </c>
      <c r="D20" s="5">
        <v>3000</v>
      </c>
    </row>
    <row r="21" spans="1:4">
      <c r="A21" s="1">
        <v>19</v>
      </c>
      <c r="B21" s="5">
        <v>11</v>
      </c>
      <c r="C21" s="5" t="s">
        <v>1354</v>
      </c>
      <c r="D21" s="5">
        <v>3000</v>
      </c>
    </row>
    <row r="22" spans="1:4">
      <c r="A22" s="1">
        <v>20</v>
      </c>
      <c r="B22" s="5">
        <v>11</v>
      </c>
      <c r="C22" s="5" t="s">
        <v>1358</v>
      </c>
      <c r="D22" s="5">
        <v>2000</v>
      </c>
    </row>
    <row r="23" spans="1:4">
      <c r="A23" s="1">
        <v>21</v>
      </c>
      <c r="B23" s="5">
        <v>11</v>
      </c>
      <c r="C23" s="5"/>
      <c r="D23" s="5">
        <v>-7900</v>
      </c>
    </row>
    <row r="24" spans="1:4">
      <c r="A24" s="1">
        <v>22</v>
      </c>
      <c r="B24" s="5">
        <v>12</v>
      </c>
      <c r="C24" s="5" t="s">
        <v>1345</v>
      </c>
      <c r="D24" s="5">
        <v>2000</v>
      </c>
    </row>
    <row r="25" spans="1:4">
      <c r="A25" s="1">
        <v>23</v>
      </c>
      <c r="B25" s="5">
        <v>12</v>
      </c>
      <c r="C25" s="5" t="s">
        <v>1425</v>
      </c>
      <c r="D25" s="5">
        <v>3000</v>
      </c>
    </row>
    <row r="26" spans="1:4">
      <c r="A26" s="1">
        <v>24</v>
      </c>
      <c r="B26" s="5">
        <v>12</v>
      </c>
      <c r="C26" s="5" t="s">
        <v>1426</v>
      </c>
      <c r="D26" s="5">
        <v>3000</v>
      </c>
    </row>
    <row r="27" spans="1:4">
      <c r="A27" s="1">
        <v>25</v>
      </c>
      <c r="B27" s="5">
        <v>13</v>
      </c>
      <c r="C27" s="5" t="s">
        <v>1345</v>
      </c>
      <c r="D27" s="5">
        <v>2000</v>
      </c>
    </row>
    <row r="28" spans="1:4">
      <c r="A28" s="1">
        <v>26</v>
      </c>
      <c r="B28" s="5">
        <v>13</v>
      </c>
      <c r="C28" s="5" t="s">
        <v>1425</v>
      </c>
      <c r="D28" s="5">
        <v>3000</v>
      </c>
    </row>
    <row r="29" spans="1:4">
      <c r="A29" s="1">
        <v>27</v>
      </c>
      <c r="B29" s="5">
        <v>13</v>
      </c>
      <c r="C29" s="5" t="s">
        <v>1426</v>
      </c>
      <c r="D29" s="5">
        <v>3000</v>
      </c>
    </row>
    <row r="30" spans="1:4">
      <c r="A30" s="1">
        <v>28</v>
      </c>
      <c r="B30" s="5">
        <v>14</v>
      </c>
      <c r="C30" s="5" t="s">
        <v>1353</v>
      </c>
      <c r="D30" s="5">
        <v>500</v>
      </c>
    </row>
    <row r="31" spans="1:4">
      <c r="A31" s="1">
        <v>29</v>
      </c>
      <c r="B31" s="5">
        <v>15</v>
      </c>
      <c r="C31" s="5" t="s">
        <v>1349</v>
      </c>
      <c r="D31" s="5">
        <v>2000</v>
      </c>
    </row>
    <row r="32" spans="1:4">
      <c r="A32" s="1">
        <v>30</v>
      </c>
      <c r="B32" s="5">
        <v>15</v>
      </c>
      <c r="C32" s="5" t="s">
        <v>1427</v>
      </c>
      <c r="D32" s="5">
        <v>2000</v>
      </c>
    </row>
    <row r="33" spans="1:4">
      <c r="A33" s="1">
        <v>31</v>
      </c>
      <c r="B33" s="5">
        <v>15</v>
      </c>
      <c r="C33" s="5" t="s">
        <v>1426</v>
      </c>
      <c r="D33" s="5">
        <v>2000</v>
      </c>
    </row>
    <row r="34" spans="1:4">
      <c r="A34" s="1">
        <v>32</v>
      </c>
      <c r="B34" s="5">
        <v>16</v>
      </c>
      <c r="C34" s="5" t="s">
        <v>1425</v>
      </c>
      <c r="D34" s="5">
        <v>3000</v>
      </c>
    </row>
    <row r="35" spans="1:4">
      <c r="A35" s="1">
        <v>33</v>
      </c>
      <c r="B35" s="5">
        <v>17</v>
      </c>
      <c r="C35" s="5"/>
      <c r="D35" s="5">
        <v>15000</v>
      </c>
    </row>
    <row r="36" spans="1:4">
      <c r="A36" s="1">
        <v>34</v>
      </c>
      <c r="B36" s="5">
        <v>18</v>
      </c>
      <c r="C36" s="5" t="s">
        <v>1428</v>
      </c>
      <c r="D36" s="5">
        <v>5000</v>
      </c>
    </row>
    <row r="37" spans="1:4">
      <c r="A37" s="1">
        <v>35</v>
      </c>
      <c r="B37" s="5">
        <v>18</v>
      </c>
      <c r="C37" s="5" t="s">
        <v>1356</v>
      </c>
      <c r="D37" s="5">
        <v>10000</v>
      </c>
    </row>
    <row r="38" spans="1:4">
      <c r="A38" s="1">
        <v>36</v>
      </c>
      <c r="B38" s="5">
        <v>18</v>
      </c>
      <c r="C38" s="5" t="s">
        <v>1362</v>
      </c>
      <c r="D38" s="5">
        <v>10000</v>
      </c>
    </row>
    <row r="39" spans="1:4">
      <c r="A39" s="1">
        <v>37</v>
      </c>
      <c r="B39" s="5">
        <v>18</v>
      </c>
      <c r="C39" s="5" t="s">
        <v>1365</v>
      </c>
      <c r="D39" s="5">
        <v>10000</v>
      </c>
    </row>
    <row r="40" spans="1:4">
      <c r="A40" s="1">
        <v>38</v>
      </c>
      <c r="B40" s="5">
        <v>18</v>
      </c>
      <c r="C40" s="5" t="s">
        <v>1370</v>
      </c>
      <c r="D40" s="5">
        <v>10000</v>
      </c>
    </row>
    <row r="41" spans="1:4">
      <c r="A41" s="1">
        <v>39</v>
      </c>
      <c r="B41" s="5">
        <v>19</v>
      </c>
      <c r="C41" s="5" t="s">
        <v>1425</v>
      </c>
      <c r="D41" s="5">
        <v>3000</v>
      </c>
    </row>
    <row r="42" spans="1:4">
      <c r="A42" s="1">
        <v>40</v>
      </c>
      <c r="B42" s="5">
        <v>20</v>
      </c>
      <c r="C42" s="5" t="s">
        <v>1425</v>
      </c>
      <c r="D42" s="5">
        <v>3000</v>
      </c>
    </row>
    <row r="43" spans="1:4">
      <c r="A43" s="1">
        <v>41</v>
      </c>
      <c r="B43" s="5">
        <v>21</v>
      </c>
      <c r="C43" s="5" t="s">
        <v>1425</v>
      </c>
      <c r="D43" s="5">
        <v>3000</v>
      </c>
    </row>
    <row r="44" spans="1:4">
      <c r="A44" s="1">
        <v>42</v>
      </c>
      <c r="B44" s="5">
        <v>22</v>
      </c>
      <c r="C44" s="5" t="s">
        <v>1366</v>
      </c>
      <c r="D44" s="5">
        <v>3000</v>
      </c>
    </row>
    <row r="45" spans="1:4">
      <c r="A45" s="1">
        <v>43</v>
      </c>
      <c r="B45" s="5">
        <v>22</v>
      </c>
      <c r="C45" s="5" t="s">
        <v>1370</v>
      </c>
      <c r="D45" s="5">
        <v>3000</v>
      </c>
    </row>
    <row r="46" spans="1:4">
      <c r="A46" s="1">
        <v>44</v>
      </c>
      <c r="B46" s="5">
        <v>22</v>
      </c>
      <c r="C46" s="5" t="s">
        <v>1373</v>
      </c>
      <c r="D46" s="5">
        <v>3000</v>
      </c>
    </row>
    <row r="47" spans="1:4">
      <c r="A47" s="1">
        <v>45</v>
      </c>
      <c r="B47" s="5">
        <v>22</v>
      </c>
      <c r="C47" s="5" t="s">
        <v>1429</v>
      </c>
      <c r="D47" s="5">
        <v>3000</v>
      </c>
    </row>
    <row r="48" spans="1:4">
      <c r="A48" s="1">
        <v>46</v>
      </c>
      <c r="B48" s="5">
        <v>23</v>
      </c>
      <c r="C48" s="5" t="s">
        <v>1429</v>
      </c>
      <c r="D48" s="5">
        <v>3000</v>
      </c>
    </row>
    <row r="49" spans="1:4">
      <c r="A49" s="1">
        <v>47</v>
      </c>
      <c r="B49" s="5">
        <v>24</v>
      </c>
      <c r="C49" s="5" t="s">
        <v>1429</v>
      </c>
      <c r="D49" s="5">
        <v>500</v>
      </c>
    </row>
    <row r="50" spans="1:4">
      <c r="A50" s="1">
        <v>48</v>
      </c>
      <c r="B50" s="5">
        <v>25</v>
      </c>
      <c r="C50" s="5" t="s">
        <v>1430</v>
      </c>
      <c r="D50" s="5">
        <v>2500</v>
      </c>
    </row>
    <row r="51" spans="1:4">
      <c r="A51" s="1">
        <v>49</v>
      </c>
      <c r="B51" s="5">
        <v>25</v>
      </c>
      <c r="C51" s="5" t="s">
        <v>1366</v>
      </c>
      <c r="D51" s="5">
        <v>2500</v>
      </c>
    </row>
    <row r="52" spans="1:4">
      <c r="A52" s="1">
        <v>50</v>
      </c>
      <c r="B52" s="5">
        <v>25</v>
      </c>
      <c r="C52" s="5" t="s">
        <v>1431</v>
      </c>
      <c r="D52" s="5">
        <v>2500</v>
      </c>
    </row>
    <row r="53" spans="1:4">
      <c r="A53" s="1">
        <v>51</v>
      </c>
      <c r="B53" s="5">
        <v>25</v>
      </c>
      <c r="C53" s="5" t="s">
        <v>1432</v>
      </c>
      <c r="D53" s="5">
        <v>2500</v>
      </c>
    </row>
    <row r="54" spans="1:4">
      <c r="A54" s="1">
        <v>52</v>
      </c>
      <c r="B54" s="5">
        <v>26</v>
      </c>
      <c r="C54" s="5" t="s">
        <v>1366</v>
      </c>
      <c r="D54" s="5">
        <v>900</v>
      </c>
    </row>
    <row r="55" spans="1:4">
      <c r="A55" s="1">
        <v>53</v>
      </c>
      <c r="B55" s="5">
        <v>26</v>
      </c>
      <c r="C55" s="5" t="s">
        <v>1433</v>
      </c>
      <c r="D55" s="5">
        <v>2800</v>
      </c>
    </row>
    <row r="56" spans="1:4">
      <c r="A56" s="1">
        <v>54</v>
      </c>
      <c r="B56" s="5">
        <v>26</v>
      </c>
      <c r="C56" s="5" t="s">
        <v>1434</v>
      </c>
      <c r="D56" s="5">
        <v>2200</v>
      </c>
    </row>
    <row r="57" spans="1:4">
      <c r="A57" s="1">
        <v>55</v>
      </c>
      <c r="B57" s="5">
        <v>26</v>
      </c>
      <c r="C57" s="5" t="s">
        <v>1435</v>
      </c>
      <c r="D57" s="5">
        <v>2400</v>
      </c>
    </row>
    <row r="58" spans="1:4">
      <c r="A58" s="1">
        <v>56</v>
      </c>
      <c r="B58" s="5">
        <v>27</v>
      </c>
      <c r="C58" s="5" t="s">
        <v>1366</v>
      </c>
      <c r="D58" s="5">
        <v>1200</v>
      </c>
    </row>
    <row r="59" spans="1:4">
      <c r="A59" s="1">
        <v>57</v>
      </c>
      <c r="B59" s="5">
        <v>27</v>
      </c>
      <c r="C59" s="5" t="s">
        <v>1433</v>
      </c>
      <c r="D59" s="5">
        <v>1900</v>
      </c>
    </row>
    <row r="60" spans="1:4">
      <c r="A60" s="1">
        <v>58</v>
      </c>
      <c r="B60" s="5">
        <v>27</v>
      </c>
      <c r="C60" s="5" t="s">
        <v>1434</v>
      </c>
      <c r="D60" s="5">
        <v>1300</v>
      </c>
    </row>
    <row r="61" spans="1:4">
      <c r="A61" s="1">
        <v>59</v>
      </c>
      <c r="B61" s="5">
        <v>28</v>
      </c>
      <c r="C61" s="5" t="s">
        <v>1363</v>
      </c>
      <c r="D61" s="5">
        <v>2000</v>
      </c>
    </row>
    <row r="62" spans="1:4">
      <c r="A62" s="1">
        <v>60</v>
      </c>
      <c r="B62" s="5">
        <v>28</v>
      </c>
      <c r="C62" s="5" t="s">
        <v>1366</v>
      </c>
      <c r="D62" s="5">
        <v>2000</v>
      </c>
    </row>
    <row r="63" spans="1:4">
      <c r="A63" s="1">
        <v>61</v>
      </c>
      <c r="B63" s="5">
        <v>28</v>
      </c>
      <c r="C63" s="5" t="s">
        <v>1371</v>
      </c>
      <c r="D63" s="5">
        <v>2000</v>
      </c>
    </row>
    <row r="64" spans="1:4">
      <c r="A64" s="1">
        <v>62</v>
      </c>
      <c r="B64" s="5">
        <v>28</v>
      </c>
      <c r="C64" s="5" t="s">
        <v>1375</v>
      </c>
      <c r="D64" s="5">
        <v>3000</v>
      </c>
    </row>
    <row r="65" spans="1:4">
      <c r="A65" s="1">
        <v>63</v>
      </c>
      <c r="B65" s="5">
        <v>28</v>
      </c>
      <c r="C65" s="5" t="s">
        <v>1377</v>
      </c>
      <c r="D65" s="5">
        <v>1000</v>
      </c>
    </row>
    <row r="66" spans="1:4">
      <c r="A66" s="1">
        <v>64</v>
      </c>
      <c r="B66" s="5">
        <v>29</v>
      </c>
      <c r="C66" s="5" t="s">
        <v>1363</v>
      </c>
      <c r="D66" s="5">
        <v>2000</v>
      </c>
    </row>
    <row r="67" spans="1:4">
      <c r="A67" s="1">
        <v>65</v>
      </c>
      <c r="B67" s="5">
        <v>29</v>
      </c>
      <c r="C67" s="5" t="s">
        <v>1370</v>
      </c>
      <c r="D67" s="5">
        <v>2000</v>
      </c>
    </row>
    <row r="68" spans="1:4">
      <c r="A68" s="1">
        <v>66</v>
      </c>
      <c r="B68" s="5">
        <v>30</v>
      </c>
      <c r="C68" s="5" t="s">
        <v>1363</v>
      </c>
      <c r="D68" s="5">
        <v>5000</v>
      </c>
    </row>
    <row r="69" spans="1:4">
      <c r="A69" s="1">
        <v>67</v>
      </c>
      <c r="B69" s="5">
        <v>30</v>
      </c>
      <c r="C69" s="5" t="s">
        <v>1366</v>
      </c>
      <c r="D69" s="5">
        <v>5000</v>
      </c>
    </row>
    <row r="70" spans="1:4">
      <c r="A70" s="1">
        <v>68</v>
      </c>
      <c r="B70" s="5">
        <v>30</v>
      </c>
      <c r="C70" s="5" t="s">
        <v>1371</v>
      </c>
      <c r="D70" s="5">
        <v>12000</v>
      </c>
    </row>
    <row r="71" spans="1:4">
      <c r="A71" s="1">
        <v>69</v>
      </c>
      <c r="B71" s="5">
        <v>30</v>
      </c>
      <c r="C71" s="5" t="s">
        <v>1375</v>
      </c>
      <c r="D71" s="5">
        <v>12000</v>
      </c>
    </row>
    <row r="72" spans="1:4">
      <c r="A72" s="1">
        <v>70</v>
      </c>
      <c r="B72" s="5">
        <v>30</v>
      </c>
      <c r="C72" s="5" t="s">
        <v>1377</v>
      </c>
      <c r="D72" s="5">
        <v>12000</v>
      </c>
    </row>
    <row r="73" spans="1:4">
      <c r="A73" s="1">
        <v>71</v>
      </c>
      <c r="B73" s="5">
        <v>30</v>
      </c>
      <c r="C73" s="5" t="s">
        <v>1436</v>
      </c>
      <c r="D73" s="5">
        <v>12000</v>
      </c>
    </row>
    <row r="74" spans="1:4">
      <c r="A74" s="1">
        <v>72</v>
      </c>
      <c r="B74" s="5">
        <v>30</v>
      </c>
      <c r="C74" s="5" t="s">
        <v>1437</v>
      </c>
      <c r="D74" s="5">
        <v>12000</v>
      </c>
    </row>
    <row r="75" spans="1:4">
      <c r="A75" s="1">
        <v>73</v>
      </c>
      <c r="B75" s="5">
        <v>31</v>
      </c>
      <c r="C75" s="5" t="s">
        <v>1363</v>
      </c>
      <c r="D75" s="5">
        <v>3000</v>
      </c>
    </row>
    <row r="76" spans="1:4">
      <c r="A76" s="1">
        <v>74</v>
      </c>
      <c r="B76" s="5">
        <v>31</v>
      </c>
      <c r="C76" s="5" t="s">
        <v>1366</v>
      </c>
      <c r="D76" s="5">
        <v>3000</v>
      </c>
    </row>
    <row r="77" spans="1:4">
      <c r="A77" s="1">
        <v>75</v>
      </c>
      <c r="B77" s="5">
        <v>31</v>
      </c>
      <c r="C77" s="5" t="s">
        <v>1371</v>
      </c>
      <c r="D77" s="5">
        <v>5000</v>
      </c>
    </row>
    <row r="78" spans="1:4">
      <c r="A78" s="1">
        <v>76</v>
      </c>
      <c r="B78" s="5">
        <v>31</v>
      </c>
      <c r="C78" s="5" t="s">
        <v>1375</v>
      </c>
      <c r="D78" s="5">
        <v>5000</v>
      </c>
    </row>
    <row r="79" spans="1:4">
      <c r="A79" s="1">
        <v>77</v>
      </c>
      <c r="B79" s="5">
        <v>31</v>
      </c>
      <c r="C79" s="5" t="s">
        <v>1377</v>
      </c>
      <c r="D79" s="5">
        <v>5000</v>
      </c>
    </row>
    <row r="80" spans="1:4">
      <c r="A80" s="1">
        <v>78</v>
      </c>
      <c r="B80" s="5">
        <v>31</v>
      </c>
      <c r="C80" s="5" t="s">
        <v>1436</v>
      </c>
      <c r="D80" s="5">
        <v>5000</v>
      </c>
    </row>
    <row r="81" spans="1:4">
      <c r="A81" s="1">
        <v>79</v>
      </c>
      <c r="B81" s="5">
        <v>31</v>
      </c>
      <c r="C81" s="5" t="s">
        <v>1437</v>
      </c>
      <c r="D81" s="5">
        <v>4000</v>
      </c>
    </row>
    <row r="82" spans="1:4">
      <c r="A82" s="1">
        <v>80</v>
      </c>
      <c r="B82" s="5">
        <v>32</v>
      </c>
      <c r="C82" s="5" t="s">
        <v>1363</v>
      </c>
      <c r="D82" s="5">
        <v>2000</v>
      </c>
    </row>
    <row r="83" spans="1:4">
      <c r="A83" s="1">
        <v>81</v>
      </c>
      <c r="B83" s="5">
        <v>32</v>
      </c>
      <c r="C83" s="5" t="s">
        <v>1366</v>
      </c>
      <c r="D83" s="5">
        <v>2000</v>
      </c>
    </row>
    <row r="84" spans="1:4">
      <c r="A84" s="1">
        <v>82</v>
      </c>
      <c r="B84" s="5">
        <v>33</v>
      </c>
      <c r="C84" s="5" t="s">
        <v>1374</v>
      </c>
      <c r="D84" s="5">
        <v>3000</v>
      </c>
    </row>
    <row r="85" spans="1:4">
      <c r="A85" s="1">
        <v>83</v>
      </c>
      <c r="B85" s="5">
        <v>33</v>
      </c>
      <c r="C85" s="5" t="s">
        <v>1438</v>
      </c>
      <c r="D85" s="5">
        <v>5000</v>
      </c>
    </row>
    <row r="86" spans="1:4">
      <c r="A86" s="1">
        <v>84</v>
      </c>
      <c r="B86" s="5">
        <v>33</v>
      </c>
      <c r="C86" s="5" t="s">
        <v>1439</v>
      </c>
      <c r="D86" s="5">
        <v>7000</v>
      </c>
    </row>
    <row r="87" spans="1:4">
      <c r="A87" s="1">
        <v>85</v>
      </c>
      <c r="B87" s="5">
        <v>33</v>
      </c>
      <c r="C87" s="5"/>
      <c r="D87" s="5">
        <v>5000</v>
      </c>
    </row>
    <row r="88" spans="1:4">
      <c r="A88" s="1">
        <v>86</v>
      </c>
      <c r="B88" s="5">
        <v>34</v>
      </c>
      <c r="C88" s="5" t="s">
        <v>1374</v>
      </c>
      <c r="D88" s="5">
        <v>3000</v>
      </c>
    </row>
    <row r="89" spans="1:4">
      <c r="A89" s="1">
        <v>87</v>
      </c>
      <c r="B89" s="5">
        <v>34</v>
      </c>
      <c r="C89" s="5" t="s">
        <v>1438</v>
      </c>
      <c r="D89" s="5">
        <v>4000</v>
      </c>
    </row>
    <row r="90" spans="1:4">
      <c r="A90" s="1">
        <v>88</v>
      </c>
      <c r="B90" s="5">
        <v>34</v>
      </c>
      <c r="C90" s="5" t="s">
        <v>1439</v>
      </c>
      <c r="D90" s="5">
        <v>4000</v>
      </c>
    </row>
    <row r="91" spans="1:4">
      <c r="A91" s="1">
        <v>89</v>
      </c>
      <c r="B91" s="5">
        <v>34</v>
      </c>
      <c r="C91" s="5"/>
      <c r="D91" s="5">
        <v>4000</v>
      </c>
    </row>
    <row r="92" spans="1:4">
      <c r="A92" s="1">
        <v>90</v>
      </c>
      <c r="B92" s="5">
        <v>35</v>
      </c>
      <c r="C92" s="5" t="s">
        <v>1365</v>
      </c>
      <c r="D92" s="5">
        <v>3000</v>
      </c>
    </row>
    <row r="93" spans="1:4">
      <c r="A93" s="1">
        <v>91</v>
      </c>
      <c r="B93" s="5">
        <v>36</v>
      </c>
      <c r="C93" s="5" t="s">
        <v>1365</v>
      </c>
      <c r="D93" s="5">
        <v>3000</v>
      </c>
    </row>
    <row r="94" spans="1:4">
      <c r="A94" s="1">
        <v>92</v>
      </c>
      <c r="B94" s="5">
        <v>37</v>
      </c>
      <c r="C94" s="5" t="s">
        <v>1365</v>
      </c>
      <c r="D94" s="5">
        <v>3000</v>
      </c>
    </row>
    <row r="95" spans="1:4">
      <c r="A95" s="1">
        <v>93</v>
      </c>
      <c r="B95" s="5">
        <v>38</v>
      </c>
      <c r="C95" s="5" t="s">
        <v>1440</v>
      </c>
      <c r="D95" s="5">
        <v>2000</v>
      </c>
    </row>
    <row r="96" spans="1:4">
      <c r="A96" s="1">
        <v>94</v>
      </c>
      <c r="B96" s="5">
        <v>39</v>
      </c>
      <c r="C96" s="5" t="s">
        <v>1441</v>
      </c>
      <c r="D96" s="5">
        <v>3000</v>
      </c>
    </row>
    <row r="97" spans="1:4">
      <c r="A97" s="1">
        <v>95</v>
      </c>
      <c r="B97" s="5">
        <v>39</v>
      </c>
      <c r="C97" s="5" t="s">
        <v>1440</v>
      </c>
      <c r="D97" s="5">
        <v>6000</v>
      </c>
    </row>
    <row r="98" spans="1:4">
      <c r="A98" s="1">
        <v>96</v>
      </c>
      <c r="B98" s="5">
        <v>40</v>
      </c>
      <c r="C98" s="5" t="s">
        <v>1441</v>
      </c>
      <c r="D98" s="5">
        <v>500</v>
      </c>
    </row>
    <row r="99" spans="1:4">
      <c r="A99" s="1">
        <v>97</v>
      </c>
      <c r="B99" s="5">
        <v>41</v>
      </c>
      <c r="C99" s="5" t="s">
        <v>1378</v>
      </c>
      <c r="D99" s="5">
        <v>1000</v>
      </c>
    </row>
    <row r="100" spans="1:4">
      <c r="A100" s="1">
        <v>98</v>
      </c>
      <c r="B100" s="5">
        <v>41</v>
      </c>
      <c r="C100" s="5" t="s">
        <v>1442</v>
      </c>
      <c r="D100" s="5">
        <v>700</v>
      </c>
    </row>
    <row r="101" spans="1:4">
      <c r="A101" s="1">
        <v>99</v>
      </c>
      <c r="B101" s="5">
        <v>41</v>
      </c>
      <c r="C101" s="5" t="s">
        <v>1440</v>
      </c>
      <c r="D101" s="5">
        <v>1700</v>
      </c>
    </row>
    <row r="102" spans="1:4">
      <c r="A102" s="1">
        <v>100</v>
      </c>
      <c r="B102" s="5">
        <v>41</v>
      </c>
      <c r="C102" s="5" t="s">
        <v>1443</v>
      </c>
      <c r="D102" s="5">
        <v>1800</v>
      </c>
    </row>
    <row r="103" spans="1:4">
      <c r="A103" s="1">
        <v>101</v>
      </c>
      <c r="B103" s="5">
        <v>42</v>
      </c>
      <c r="C103" s="5" t="s">
        <v>1378</v>
      </c>
      <c r="D103" s="5">
        <v>2000</v>
      </c>
    </row>
    <row r="104" spans="1:4">
      <c r="A104" s="1">
        <v>102</v>
      </c>
      <c r="B104" s="5">
        <v>42</v>
      </c>
      <c r="C104" s="5" t="s">
        <v>1442</v>
      </c>
      <c r="D104" s="5">
        <v>3600</v>
      </c>
    </row>
    <row r="105" spans="1:4">
      <c r="A105" s="1">
        <v>103</v>
      </c>
      <c r="B105" s="5">
        <v>42</v>
      </c>
      <c r="C105" s="5" t="s">
        <v>1440</v>
      </c>
      <c r="D105" s="5">
        <v>400</v>
      </c>
    </row>
    <row r="106" spans="1:4">
      <c r="A106" s="1">
        <v>104</v>
      </c>
      <c r="B106" s="5">
        <v>42</v>
      </c>
      <c r="C106" s="5" t="s">
        <v>1443</v>
      </c>
      <c r="D106" s="5">
        <v>300</v>
      </c>
    </row>
    <row r="107" spans="1:4">
      <c r="A107" s="1">
        <v>105</v>
      </c>
      <c r="B107" s="5">
        <v>43</v>
      </c>
      <c r="C107" s="5" t="s">
        <v>1388</v>
      </c>
      <c r="D107" s="5">
        <v>10000</v>
      </c>
    </row>
    <row r="108" spans="1:4">
      <c r="A108" s="1">
        <v>106</v>
      </c>
      <c r="B108" s="5">
        <v>43</v>
      </c>
      <c r="C108" s="5" t="s">
        <v>1444</v>
      </c>
      <c r="D108" s="5">
        <v>10000</v>
      </c>
    </row>
    <row r="109" spans="1:4">
      <c r="A109" s="1">
        <v>107</v>
      </c>
      <c r="B109" s="5">
        <v>43</v>
      </c>
      <c r="C109" s="5" t="s">
        <v>1393</v>
      </c>
      <c r="D109" s="5">
        <v>10000</v>
      </c>
    </row>
    <row r="110" spans="1:4">
      <c r="A110" s="1">
        <v>108</v>
      </c>
      <c r="B110" s="5">
        <v>43</v>
      </c>
      <c r="C110" s="5" t="s">
        <v>1445</v>
      </c>
      <c r="D110" s="5">
        <v>10000</v>
      </c>
    </row>
    <row r="111" spans="1:4">
      <c r="A111" s="1">
        <v>109</v>
      </c>
      <c r="B111" s="5">
        <v>43</v>
      </c>
      <c r="C111" s="5" t="s">
        <v>1403</v>
      </c>
      <c r="D111" s="5">
        <v>10000</v>
      </c>
    </row>
    <row r="112" spans="1:4">
      <c r="A112" s="1">
        <v>110</v>
      </c>
      <c r="B112" s="5">
        <v>43</v>
      </c>
      <c r="C112" s="5" t="s">
        <v>1408</v>
      </c>
      <c r="D112" s="5">
        <v>10000</v>
      </c>
    </row>
    <row r="113" spans="1:4">
      <c r="A113" s="1">
        <v>111</v>
      </c>
      <c r="B113" s="5">
        <v>44</v>
      </c>
      <c r="C113" s="5" t="s">
        <v>1397</v>
      </c>
      <c r="D113" s="5">
        <v>8500</v>
      </c>
    </row>
    <row r="114" spans="1:4">
      <c r="A114" s="1">
        <v>112</v>
      </c>
      <c r="B114" s="5">
        <v>45</v>
      </c>
      <c r="C114" s="5" t="s">
        <v>1446</v>
      </c>
      <c r="D114" s="5">
        <v>5000</v>
      </c>
    </row>
    <row r="115" spans="1:4">
      <c r="A115" s="1">
        <v>113</v>
      </c>
      <c r="B115" s="5">
        <v>45</v>
      </c>
      <c r="C115" s="5" t="s">
        <v>1437</v>
      </c>
      <c r="D115" s="5">
        <v>3000</v>
      </c>
    </row>
    <row r="116" spans="1:4">
      <c r="A116" s="1">
        <v>114</v>
      </c>
      <c r="B116" s="5">
        <v>45</v>
      </c>
      <c r="C116" s="5" t="s">
        <v>1380</v>
      </c>
      <c r="D116" s="5">
        <v>3000</v>
      </c>
    </row>
    <row r="117" spans="1:4">
      <c r="A117" s="1">
        <v>115</v>
      </c>
      <c r="B117" s="5">
        <v>46</v>
      </c>
      <c r="C117" s="5" t="s">
        <v>1447</v>
      </c>
      <c r="D117" s="5">
        <v>400</v>
      </c>
    </row>
    <row r="118" spans="1:4">
      <c r="A118" s="1">
        <v>116</v>
      </c>
      <c r="B118" s="5">
        <v>47</v>
      </c>
      <c r="C118" s="5" t="s">
        <v>1447</v>
      </c>
      <c r="D118" s="5">
        <v>700</v>
      </c>
    </row>
    <row r="119" spans="1:4">
      <c r="A119" s="1">
        <v>117</v>
      </c>
      <c r="B119" s="5">
        <v>48</v>
      </c>
      <c r="C119" s="5" t="s">
        <v>1410</v>
      </c>
      <c r="D119" s="5">
        <v>3400</v>
      </c>
    </row>
    <row r="120" spans="1:4">
      <c r="A120" s="1">
        <v>118</v>
      </c>
      <c r="B120" s="5">
        <v>48</v>
      </c>
      <c r="C120" s="5" t="s">
        <v>1448</v>
      </c>
      <c r="D120" s="5">
        <v>3400</v>
      </c>
    </row>
    <row r="121" spans="1:4">
      <c r="A121" s="1">
        <v>119</v>
      </c>
      <c r="B121" s="7">
        <v>48</v>
      </c>
      <c r="C121" s="5" t="s">
        <v>1414</v>
      </c>
      <c r="D121" s="5">
        <v>3400</v>
      </c>
    </row>
    <row r="122" spans="1:4">
      <c r="A122" s="1">
        <v>120</v>
      </c>
      <c r="B122" s="7">
        <v>48</v>
      </c>
      <c r="C122" s="5" t="s">
        <v>1449</v>
      </c>
      <c r="D122" s="5">
        <v>3400</v>
      </c>
    </row>
    <row r="123" spans="1:4">
      <c r="A123" s="1">
        <v>121</v>
      </c>
      <c r="B123" s="5">
        <v>48</v>
      </c>
      <c r="C123" s="5" t="s">
        <v>1447</v>
      </c>
      <c r="D123" s="5">
        <v>3400</v>
      </c>
    </row>
    <row r="124" spans="1:4">
      <c r="A124" s="1">
        <v>122</v>
      </c>
      <c r="B124" s="5">
        <v>49</v>
      </c>
      <c r="C124" s="5" t="s">
        <v>1410</v>
      </c>
      <c r="D124" s="5">
        <v>3600</v>
      </c>
    </row>
    <row r="125" spans="1:4">
      <c r="A125" s="1">
        <v>123</v>
      </c>
      <c r="B125" s="5">
        <v>49</v>
      </c>
      <c r="C125" s="5" t="s">
        <v>1448</v>
      </c>
      <c r="D125" s="5">
        <v>3600</v>
      </c>
    </row>
    <row r="126" spans="1:4">
      <c r="A126" s="1">
        <v>124</v>
      </c>
      <c r="B126" s="5">
        <v>49</v>
      </c>
      <c r="C126" s="5" t="s">
        <v>1414</v>
      </c>
      <c r="D126" s="5">
        <v>3600</v>
      </c>
    </row>
    <row r="127" spans="1:4">
      <c r="A127" s="1">
        <v>125</v>
      </c>
      <c r="B127" s="5">
        <v>49</v>
      </c>
      <c r="C127" s="5" t="s">
        <v>1449</v>
      </c>
      <c r="D127" s="5">
        <v>3600</v>
      </c>
    </row>
    <row r="128" spans="1:4">
      <c r="A128" s="1">
        <v>126</v>
      </c>
      <c r="B128" s="5">
        <v>49</v>
      </c>
      <c r="C128" s="5" t="s">
        <v>1447</v>
      </c>
      <c r="D128" s="5">
        <v>3600</v>
      </c>
    </row>
    <row r="129" spans="1:4">
      <c r="A129" s="1">
        <v>127</v>
      </c>
      <c r="B129" s="5">
        <v>50</v>
      </c>
      <c r="C129" s="5" t="s">
        <v>1410</v>
      </c>
      <c r="D129" s="5">
        <v>360</v>
      </c>
    </row>
    <row r="130" spans="1:4">
      <c r="A130" s="1">
        <v>128</v>
      </c>
      <c r="B130" s="5">
        <v>50</v>
      </c>
      <c r="C130" s="5" t="s">
        <v>1448</v>
      </c>
      <c r="D130" s="5">
        <v>360</v>
      </c>
    </row>
    <row r="131" spans="1:4">
      <c r="A131" s="1">
        <v>129</v>
      </c>
      <c r="B131" s="5">
        <v>50</v>
      </c>
      <c r="C131" s="5" t="s">
        <v>1413</v>
      </c>
      <c r="D131" s="5">
        <v>500</v>
      </c>
    </row>
    <row r="132" spans="1:4">
      <c r="A132" s="1">
        <v>130</v>
      </c>
      <c r="B132" s="5">
        <v>50</v>
      </c>
      <c r="C132" s="5" t="s">
        <v>1414</v>
      </c>
      <c r="D132" s="5">
        <v>360</v>
      </c>
    </row>
    <row r="133" spans="1:4">
      <c r="A133" s="1">
        <v>131</v>
      </c>
      <c r="B133" s="5">
        <v>50</v>
      </c>
      <c r="C133" s="5" t="s">
        <v>1450</v>
      </c>
      <c r="D133" s="5">
        <v>500</v>
      </c>
    </row>
    <row r="134" spans="1:4">
      <c r="A134" s="1">
        <v>132</v>
      </c>
      <c r="B134" s="5">
        <v>50</v>
      </c>
      <c r="C134" s="5" t="s">
        <v>1449</v>
      </c>
      <c r="D134" s="5">
        <v>360</v>
      </c>
    </row>
    <row r="135" spans="1:4">
      <c r="A135" s="1">
        <v>133</v>
      </c>
      <c r="B135" s="5">
        <v>50</v>
      </c>
      <c r="C135" s="5" t="s">
        <v>1447</v>
      </c>
      <c r="D135" s="5">
        <v>360</v>
      </c>
    </row>
    <row r="136" spans="1:4">
      <c r="A136" s="1">
        <v>134</v>
      </c>
      <c r="B136" s="5">
        <v>51</v>
      </c>
      <c r="C136" s="5" t="s">
        <v>1451</v>
      </c>
      <c r="D136" s="5">
        <v>1000</v>
      </c>
    </row>
    <row r="137" spans="1:4">
      <c r="A137" s="1">
        <v>135</v>
      </c>
      <c r="B137" s="5">
        <v>51</v>
      </c>
      <c r="C137" s="5" t="s">
        <v>1452</v>
      </c>
      <c r="D137" s="5">
        <v>800</v>
      </c>
    </row>
    <row r="138" spans="1:4">
      <c r="A138" s="1">
        <v>136</v>
      </c>
      <c r="B138" s="5">
        <v>52</v>
      </c>
      <c r="C138" s="5" t="s">
        <v>1448</v>
      </c>
      <c r="D138" s="5">
        <v>1500</v>
      </c>
    </row>
    <row r="139" spans="1:4">
      <c r="A139" s="1">
        <v>137</v>
      </c>
      <c r="B139" s="5">
        <v>52</v>
      </c>
      <c r="C139" s="5" t="s">
        <v>1453</v>
      </c>
      <c r="D139" s="5">
        <v>1000</v>
      </c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091E11-E47E-4B56-8295-FD85FC320902}">
          <x14:formula1>
            <xm:f>_mySQL!$A$2:$A$52</xm:f>
          </x14:formula1>
          <xm:sqref>A2:G2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I14"/>
  <sheetViews>
    <sheetView workbookViewId="0">
      <selection activeCell="A2" sqref="A2"/>
    </sheetView>
  </sheetViews>
  <sheetFormatPr defaultRowHeight="15"/>
  <cols>
    <col min="1" max="1" width="25.85546875" style="1" bestFit="1" customWidth="1"/>
    <col min="2" max="2" width="13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587</v>
      </c>
      <c r="B2" s="1" t="s">
        <v>1327</v>
      </c>
      <c r="C2" s="13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1" t="s">
        <v>326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327</v>
      </c>
      <c r="C4" s="13"/>
      <c r="D4" s="13"/>
      <c r="E4" s="13"/>
      <c r="F4" s="13"/>
      <c r="G4" s="13"/>
      <c r="H4" s="13"/>
      <c r="I4" s="13"/>
    </row>
    <row r="5" spans="1:9">
      <c r="A5" s="1">
        <v>3</v>
      </c>
      <c r="B5" s="1" t="s">
        <v>328</v>
      </c>
      <c r="C5" s="13"/>
      <c r="D5" s="13"/>
      <c r="E5" s="13"/>
      <c r="F5" s="13"/>
      <c r="G5" s="13"/>
      <c r="H5" s="13"/>
      <c r="I5" s="13"/>
    </row>
    <row r="6" spans="1:9">
      <c r="A6" s="1">
        <v>4</v>
      </c>
      <c r="B6" s="1" t="s">
        <v>329</v>
      </c>
      <c r="C6" s="13"/>
      <c r="D6" s="13"/>
      <c r="E6" s="13"/>
      <c r="F6" s="13"/>
      <c r="G6" s="13"/>
      <c r="H6" s="13"/>
      <c r="I6" s="13"/>
    </row>
    <row r="7" spans="1:9">
      <c r="A7" s="1">
        <v>5</v>
      </c>
      <c r="B7" s="1" t="s">
        <v>341</v>
      </c>
      <c r="C7" s="13"/>
      <c r="D7" s="13"/>
      <c r="E7" s="13"/>
      <c r="F7" s="13"/>
      <c r="G7" s="13"/>
      <c r="H7" s="13"/>
      <c r="I7" s="13"/>
    </row>
    <row r="8" spans="1:9">
      <c r="A8" s="1">
        <v>6</v>
      </c>
      <c r="B8" s="1" t="s">
        <v>336</v>
      </c>
      <c r="C8" s="13"/>
      <c r="D8" s="13"/>
      <c r="E8" s="13"/>
      <c r="F8" s="13"/>
      <c r="G8" s="13"/>
      <c r="H8" s="13"/>
      <c r="I8" s="13"/>
    </row>
    <row r="9" spans="1:9">
      <c r="A9" s="1">
        <v>7</v>
      </c>
      <c r="B9" s="1" t="s">
        <v>337</v>
      </c>
      <c r="C9" s="13"/>
      <c r="D9" s="13"/>
      <c r="E9" s="13"/>
      <c r="F9" s="13"/>
      <c r="G9" s="13"/>
      <c r="H9" s="13"/>
      <c r="I9" s="13"/>
    </row>
    <row r="10" spans="1:9">
      <c r="A10" s="1">
        <v>8</v>
      </c>
      <c r="B10" s="1" t="s">
        <v>338</v>
      </c>
      <c r="C10" s="13"/>
      <c r="D10" s="13"/>
      <c r="E10" s="13"/>
      <c r="F10" s="13"/>
      <c r="G10" s="13"/>
      <c r="H10" s="13"/>
      <c r="I10" s="13"/>
    </row>
    <row r="11" spans="1:9">
      <c r="A11" s="1">
        <v>9</v>
      </c>
      <c r="B11" s="1" t="s">
        <v>339</v>
      </c>
      <c r="C11" s="13"/>
      <c r="D11" s="13"/>
      <c r="E11" s="13"/>
      <c r="F11" s="13"/>
      <c r="G11" s="13"/>
      <c r="H11" s="13"/>
      <c r="I11" s="13"/>
    </row>
    <row r="12" spans="1:9">
      <c r="A12" s="1">
        <v>10</v>
      </c>
      <c r="B12" s="1" t="s">
        <v>340</v>
      </c>
      <c r="C12" s="13"/>
      <c r="D12" s="13"/>
      <c r="E12" s="13"/>
      <c r="F12" s="13"/>
      <c r="G12" s="13"/>
      <c r="H12" s="13"/>
      <c r="I12" s="13"/>
    </row>
    <row r="13" spans="1:9">
      <c r="A13" s="1">
        <v>11</v>
      </c>
      <c r="B13" s="1" t="s">
        <v>342</v>
      </c>
      <c r="C13" s="13"/>
      <c r="D13" s="13"/>
      <c r="E13" s="13"/>
      <c r="F13" s="13"/>
      <c r="G13" s="13"/>
      <c r="H13" s="13"/>
      <c r="I13" s="13"/>
    </row>
    <row r="14" spans="1:9">
      <c r="A14" s="1">
        <v>12</v>
      </c>
      <c r="B14" s="1" t="s">
        <v>343</v>
      </c>
      <c r="C14" s="13"/>
      <c r="D14" s="13"/>
      <c r="E14" s="13"/>
      <c r="F14" s="13"/>
      <c r="G14" s="13"/>
      <c r="H14" s="13"/>
      <c r="I1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00714-2F30-475C-BD2B-335EC3321E37}">
          <x14:formula1>
            <xm:f>_mySQL!$A$2:$A$51</xm:f>
          </x14:formula1>
          <xm:sqref>A2:B2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N191"/>
  <sheetViews>
    <sheetView workbookViewId="0">
      <selection activeCell="F23" sqref="F23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1" width="15.7109375" style="1" customWidth="1"/>
    <col min="12" max="12" width="18.5703125" style="1" bestFit="1" customWidth="1"/>
    <col min="13" max="14" width="15.7109375" style="1" customWidth="1"/>
    <col min="15" max="16384" width="15.7109375" style="1"/>
  </cols>
  <sheetData>
    <row r="1" spans="1:14">
      <c r="A1" s="1" t="s">
        <v>0</v>
      </c>
      <c r="B1" s="1" t="s">
        <v>412</v>
      </c>
      <c r="C1" s="1" t="s">
        <v>409</v>
      </c>
      <c r="D1" s="1" t="s">
        <v>318</v>
      </c>
      <c r="E1" s="1" t="s">
        <v>414</v>
      </c>
      <c r="F1" s="1" t="s">
        <v>415</v>
      </c>
      <c r="G1" s="1" t="s">
        <v>416</v>
      </c>
      <c r="H1" s="1" t="s">
        <v>321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587</v>
      </c>
      <c r="B2" s="1" t="s">
        <v>1331</v>
      </c>
      <c r="C2" s="1" t="s">
        <v>1331</v>
      </c>
      <c r="D2" s="1" t="s">
        <v>579</v>
      </c>
      <c r="E2" s="1" t="s">
        <v>579</v>
      </c>
      <c r="F2" s="1" t="s">
        <v>585</v>
      </c>
      <c r="G2" s="1" t="s">
        <v>1329</v>
      </c>
      <c r="H2" s="1" t="s">
        <v>583</v>
      </c>
      <c r="I2" s="1" t="s">
        <v>584</v>
      </c>
      <c r="J2" s="1" t="s">
        <v>582</v>
      </c>
      <c r="K2" s="1" t="s">
        <v>1331</v>
      </c>
      <c r="L2" s="1" t="s">
        <v>585</v>
      </c>
      <c r="M2" s="1" t="s">
        <v>585</v>
      </c>
      <c r="N2" s="1" t="s">
        <v>585</v>
      </c>
    </row>
    <row r="3" spans="1:14">
      <c r="A3" s="1">
        <v>1</v>
      </c>
      <c r="C3" s="1">
        <v>6</v>
      </c>
      <c r="D3" s="1">
        <v>2000</v>
      </c>
      <c r="E3" s="1">
        <v>300</v>
      </c>
      <c r="F3" s="17" t="s">
        <v>1335</v>
      </c>
      <c r="J3" s="2"/>
      <c r="L3" s="17">
        <v>45722</v>
      </c>
      <c r="M3" s="8"/>
      <c r="N3" s="8"/>
    </row>
    <row r="4" spans="1:14">
      <c r="A4" s="1">
        <v>2</v>
      </c>
      <c r="C4" s="1">
        <v>5</v>
      </c>
      <c r="D4" s="1">
        <v>3405</v>
      </c>
      <c r="E4" s="1">
        <v>300</v>
      </c>
      <c r="F4" s="17" t="s">
        <v>1336</v>
      </c>
      <c r="J4" s="2"/>
      <c r="L4" s="17">
        <v>45691.043090277781</v>
      </c>
      <c r="M4" s="8"/>
      <c r="N4" s="8"/>
    </row>
    <row r="5" spans="1:14">
      <c r="A5" s="1">
        <v>3</v>
      </c>
      <c r="C5" s="1">
        <v>5</v>
      </c>
      <c r="D5" s="1">
        <v>-3405</v>
      </c>
      <c r="E5" s="1">
        <v>300</v>
      </c>
      <c r="F5" s="17" t="s">
        <v>1336</v>
      </c>
      <c r="J5" s="2" t="s">
        <v>418</v>
      </c>
      <c r="L5" s="17">
        <v>45691.043090277781</v>
      </c>
      <c r="M5" s="8"/>
      <c r="N5" s="8"/>
    </row>
    <row r="6" spans="1:14">
      <c r="A6" s="1">
        <v>4</v>
      </c>
      <c r="C6" s="1">
        <v>5</v>
      </c>
      <c r="D6" s="1">
        <v>3000</v>
      </c>
      <c r="E6" s="1">
        <v>300</v>
      </c>
      <c r="F6" s="17" t="s">
        <v>1337</v>
      </c>
      <c r="J6" s="2"/>
      <c r="L6" s="17">
        <v>45690</v>
      </c>
      <c r="M6" s="8"/>
      <c r="N6" s="8"/>
    </row>
    <row r="7" spans="1:14">
      <c r="A7" s="1">
        <v>5</v>
      </c>
      <c r="C7" s="1">
        <v>9</v>
      </c>
      <c r="D7" s="1">
        <v>100</v>
      </c>
      <c r="E7" s="1">
        <v>300</v>
      </c>
      <c r="F7" s="17" t="s">
        <v>1338</v>
      </c>
      <c r="J7" s="2"/>
      <c r="L7" s="17">
        <v>45752</v>
      </c>
      <c r="M7" s="8"/>
      <c r="N7" s="8"/>
    </row>
    <row r="8" spans="1:14">
      <c r="A8" s="1">
        <v>6</v>
      </c>
      <c r="C8" s="1">
        <v>7</v>
      </c>
      <c r="D8" s="1">
        <v>600</v>
      </c>
      <c r="E8" s="1">
        <v>300</v>
      </c>
      <c r="F8" s="17" t="s">
        <v>1339</v>
      </c>
      <c r="J8" s="2"/>
      <c r="L8" s="17">
        <v>45754</v>
      </c>
      <c r="M8" s="8"/>
      <c r="N8" s="8"/>
    </row>
    <row r="9" spans="1:14">
      <c r="A9" s="1">
        <v>7</v>
      </c>
      <c r="C9" s="1">
        <v>21</v>
      </c>
      <c r="D9" s="1">
        <v>3000</v>
      </c>
      <c r="E9" s="1">
        <v>300</v>
      </c>
      <c r="F9" s="17" t="s">
        <v>1340</v>
      </c>
      <c r="J9" s="2"/>
      <c r="L9" s="17">
        <v>45755</v>
      </c>
      <c r="M9" s="8"/>
      <c r="N9" s="8"/>
    </row>
    <row r="10" spans="1:14">
      <c r="A10" s="1">
        <v>8</v>
      </c>
      <c r="C10" s="1">
        <v>20</v>
      </c>
      <c r="D10" s="1">
        <v>3000</v>
      </c>
      <c r="E10" s="1">
        <v>300</v>
      </c>
      <c r="F10" s="17" t="s">
        <v>1340</v>
      </c>
      <c r="J10" s="2"/>
      <c r="L10" s="17">
        <v>45755</v>
      </c>
      <c r="M10" s="8"/>
      <c r="N10" s="8"/>
    </row>
    <row r="11" spans="1:14">
      <c r="A11" s="1">
        <v>9</v>
      </c>
      <c r="C11" s="1">
        <v>19</v>
      </c>
      <c r="D11" s="1">
        <v>3000</v>
      </c>
      <c r="E11" s="1">
        <v>300</v>
      </c>
      <c r="F11" s="17" t="s">
        <v>1340</v>
      </c>
      <c r="J11" s="2"/>
      <c r="L11" s="17">
        <v>45755</v>
      </c>
      <c r="M11" s="8"/>
      <c r="N11" s="8"/>
    </row>
    <row r="12" spans="1:14">
      <c r="A12" s="1">
        <v>10</v>
      </c>
      <c r="C12" s="1">
        <v>12</v>
      </c>
      <c r="D12" s="1">
        <v>3000</v>
      </c>
      <c r="E12" s="1">
        <v>300</v>
      </c>
      <c r="F12" s="17" t="s">
        <v>1341</v>
      </c>
      <c r="J12" s="2" t="s">
        <v>419</v>
      </c>
      <c r="L12" s="17">
        <v>45760</v>
      </c>
      <c r="M12" s="8"/>
      <c r="N12" s="8"/>
    </row>
    <row r="13" spans="1:14">
      <c r="A13" s="1">
        <v>11</v>
      </c>
      <c r="C13" s="1">
        <v>11</v>
      </c>
      <c r="D13" s="1">
        <v>3000</v>
      </c>
      <c r="E13" s="1">
        <v>300</v>
      </c>
      <c r="F13" s="17" t="s">
        <v>1341</v>
      </c>
      <c r="J13" s="2"/>
      <c r="L13" s="17">
        <v>45760</v>
      </c>
      <c r="M13" s="8"/>
      <c r="N13" s="8"/>
    </row>
    <row r="14" spans="1:14">
      <c r="A14" s="1">
        <v>12</v>
      </c>
      <c r="C14" s="1">
        <v>13</v>
      </c>
      <c r="D14" s="1">
        <v>2100</v>
      </c>
      <c r="E14" s="1">
        <v>300</v>
      </c>
      <c r="F14" s="17" t="s">
        <v>1341</v>
      </c>
      <c r="J14" s="2"/>
      <c r="L14" s="17">
        <v>45760</v>
      </c>
      <c r="M14" s="8"/>
      <c r="N14" s="8"/>
    </row>
    <row r="15" spans="1:14">
      <c r="A15" s="1">
        <v>13</v>
      </c>
      <c r="C15" s="1">
        <v>11</v>
      </c>
      <c r="D15" s="1">
        <v>2100</v>
      </c>
      <c r="E15" s="1">
        <v>300</v>
      </c>
      <c r="F15" s="17" t="s">
        <v>1341</v>
      </c>
      <c r="J15" s="2"/>
      <c r="L15" s="17">
        <v>45760</v>
      </c>
      <c r="M15" s="8"/>
      <c r="N15" s="8"/>
    </row>
    <row r="16" spans="1:14">
      <c r="A16" s="1">
        <v>14</v>
      </c>
      <c r="C16" s="1">
        <v>11</v>
      </c>
      <c r="D16" s="1">
        <v>3000</v>
      </c>
      <c r="E16" s="1">
        <v>300</v>
      </c>
      <c r="F16" s="17" t="s">
        <v>1342</v>
      </c>
      <c r="J16" s="2"/>
      <c r="L16" s="17">
        <v>45761</v>
      </c>
      <c r="M16" s="8"/>
      <c r="N16" s="8"/>
    </row>
    <row r="17" spans="1:14">
      <c r="A17" s="1">
        <v>15</v>
      </c>
      <c r="C17" s="1">
        <v>12</v>
      </c>
      <c r="D17" s="1">
        <v>3000</v>
      </c>
      <c r="E17" s="1">
        <v>300</v>
      </c>
      <c r="F17" s="17" t="s">
        <v>1342</v>
      </c>
      <c r="J17" s="2"/>
      <c r="L17" s="17">
        <v>45761</v>
      </c>
      <c r="M17" s="8"/>
      <c r="N17" s="8"/>
    </row>
    <row r="18" spans="1:14">
      <c r="A18" s="1">
        <v>16</v>
      </c>
      <c r="C18" s="1">
        <v>13</v>
      </c>
      <c r="D18" s="1">
        <v>3000</v>
      </c>
      <c r="E18" s="1">
        <v>300</v>
      </c>
      <c r="F18" s="17" t="s">
        <v>1343</v>
      </c>
      <c r="J18" s="2"/>
      <c r="L18" s="17">
        <v>45762</v>
      </c>
      <c r="M18" s="8"/>
      <c r="N18" s="8"/>
    </row>
    <row r="19" spans="1:14">
      <c r="A19" s="1">
        <v>17</v>
      </c>
      <c r="C19" s="1">
        <v>12</v>
      </c>
      <c r="D19" s="1">
        <v>2000</v>
      </c>
      <c r="E19" s="1">
        <v>300</v>
      </c>
      <c r="F19" s="17" t="s">
        <v>1344</v>
      </c>
      <c r="J19" s="2"/>
      <c r="L19" s="17">
        <v>45763</v>
      </c>
      <c r="M19" s="8"/>
      <c r="N19" s="8"/>
    </row>
    <row r="20" spans="1:14">
      <c r="A20" s="1">
        <v>18</v>
      </c>
      <c r="C20" s="1">
        <v>13</v>
      </c>
      <c r="D20" s="1">
        <v>2900</v>
      </c>
      <c r="E20" s="1">
        <v>300</v>
      </c>
      <c r="F20" s="17" t="s">
        <v>1344</v>
      </c>
      <c r="J20" s="2"/>
      <c r="L20" s="17">
        <v>45763</v>
      </c>
      <c r="M20" s="8"/>
      <c r="N20" s="8"/>
    </row>
    <row r="21" spans="1:14">
      <c r="A21" s="1">
        <v>19</v>
      </c>
      <c r="C21" s="1">
        <v>8</v>
      </c>
      <c r="D21" s="1">
        <v>3000</v>
      </c>
      <c r="E21" s="1">
        <v>300</v>
      </c>
      <c r="F21" s="17" t="s">
        <v>1345</v>
      </c>
      <c r="J21" s="2"/>
      <c r="L21" s="17">
        <v>45767</v>
      </c>
      <c r="M21" s="8"/>
      <c r="N21" s="8"/>
    </row>
    <row r="22" spans="1:14">
      <c r="A22" s="1">
        <v>20</v>
      </c>
      <c r="C22" s="1">
        <v>9</v>
      </c>
      <c r="D22" s="1">
        <v>3000</v>
      </c>
      <c r="E22" s="1">
        <v>300</v>
      </c>
      <c r="F22" s="17" t="s">
        <v>1345</v>
      </c>
      <c r="J22" s="2"/>
      <c r="L22" s="17">
        <v>45767</v>
      </c>
      <c r="M22" s="8"/>
      <c r="N22" s="8"/>
    </row>
    <row r="23" spans="1:14">
      <c r="A23" s="1">
        <v>21</v>
      </c>
      <c r="C23" s="1">
        <v>8</v>
      </c>
      <c r="D23" s="1">
        <v>4000</v>
      </c>
      <c r="E23" s="1">
        <v>300</v>
      </c>
      <c r="F23" s="17" t="s">
        <v>1345</v>
      </c>
      <c r="J23" s="2"/>
      <c r="L23" s="17">
        <v>45767</v>
      </c>
      <c r="M23" s="8"/>
      <c r="N23" s="8"/>
    </row>
    <row r="24" spans="1:14">
      <c r="A24" s="1">
        <v>22</v>
      </c>
      <c r="C24" s="1">
        <v>9</v>
      </c>
      <c r="D24" s="1">
        <v>3000</v>
      </c>
      <c r="E24" s="1">
        <v>300</v>
      </c>
      <c r="F24" s="17" t="s">
        <v>1345</v>
      </c>
      <c r="J24" s="2"/>
      <c r="L24" s="17">
        <v>45767</v>
      </c>
      <c r="M24" s="8"/>
      <c r="N24" s="8"/>
    </row>
    <row r="25" spans="1:14">
      <c r="A25" s="1">
        <v>23</v>
      </c>
      <c r="B25" s="1">
        <v>33</v>
      </c>
      <c r="C25" s="1">
        <v>16</v>
      </c>
      <c r="D25" s="1">
        <v>3000</v>
      </c>
      <c r="E25" s="1">
        <v>300</v>
      </c>
      <c r="F25" s="17" t="s">
        <v>1346</v>
      </c>
      <c r="J25" s="2"/>
      <c r="L25" s="17">
        <v>45768</v>
      </c>
      <c r="M25" s="8"/>
      <c r="N25" s="8"/>
    </row>
    <row r="26" spans="1:14">
      <c r="A26" s="1">
        <v>24</v>
      </c>
      <c r="B26" s="1">
        <v>34</v>
      </c>
      <c r="C26" s="1">
        <v>10</v>
      </c>
      <c r="D26" s="1">
        <v>1000</v>
      </c>
      <c r="E26" s="1">
        <v>300</v>
      </c>
      <c r="F26" s="17" t="s">
        <v>1347</v>
      </c>
      <c r="J26" s="2"/>
      <c r="L26" s="17">
        <v>45769</v>
      </c>
      <c r="M26" s="8"/>
      <c r="N26" s="8"/>
    </row>
    <row r="27" spans="1:14">
      <c r="A27" s="1">
        <v>25</v>
      </c>
      <c r="B27" s="1">
        <v>35</v>
      </c>
      <c r="C27" s="1">
        <v>9</v>
      </c>
      <c r="D27" s="1">
        <v>3000</v>
      </c>
      <c r="E27" s="1">
        <v>300</v>
      </c>
      <c r="F27" s="17" t="s">
        <v>1347</v>
      </c>
      <c r="J27" s="2"/>
      <c r="L27" s="17">
        <v>45769</v>
      </c>
      <c r="M27" s="8"/>
      <c r="N27" s="8"/>
    </row>
    <row r="28" spans="1:14">
      <c r="A28" s="1">
        <v>26</v>
      </c>
      <c r="B28" s="1">
        <v>36</v>
      </c>
      <c r="C28" s="1">
        <v>9</v>
      </c>
      <c r="D28" s="1">
        <v>3000</v>
      </c>
      <c r="E28" s="1">
        <v>300</v>
      </c>
      <c r="F28" s="17" t="s">
        <v>1347</v>
      </c>
      <c r="J28" s="2"/>
      <c r="L28" s="17">
        <v>45769</v>
      </c>
      <c r="M28" s="8"/>
      <c r="N28" s="8"/>
    </row>
    <row r="29" spans="1:14">
      <c r="A29" s="1">
        <v>27</v>
      </c>
      <c r="B29" s="1">
        <v>37</v>
      </c>
      <c r="C29" s="1">
        <v>9</v>
      </c>
      <c r="D29" s="1">
        <v>3000</v>
      </c>
      <c r="E29" s="1">
        <v>300</v>
      </c>
      <c r="F29" s="17" t="s">
        <v>1347</v>
      </c>
      <c r="J29" s="2"/>
      <c r="L29" s="17">
        <v>45769</v>
      </c>
      <c r="M29" s="8"/>
      <c r="N29" s="8"/>
    </row>
    <row r="30" spans="1:14">
      <c r="A30" s="1">
        <v>28</v>
      </c>
      <c r="B30" s="1">
        <v>38</v>
      </c>
      <c r="C30" s="1">
        <v>9</v>
      </c>
      <c r="D30" s="1">
        <v>3000</v>
      </c>
      <c r="E30" s="1">
        <v>300</v>
      </c>
      <c r="F30" s="17" t="s">
        <v>1347</v>
      </c>
      <c r="J30" s="2"/>
      <c r="L30" s="17">
        <v>45769</v>
      </c>
      <c r="M30" s="8"/>
      <c r="N30" s="8"/>
    </row>
    <row r="31" spans="1:14">
      <c r="A31" s="1">
        <v>29</v>
      </c>
      <c r="B31" s="1">
        <v>40</v>
      </c>
      <c r="C31" s="1">
        <v>14</v>
      </c>
      <c r="D31" s="1">
        <v>513</v>
      </c>
      <c r="E31" s="1">
        <v>250</v>
      </c>
      <c r="F31" s="17" t="s">
        <v>1348</v>
      </c>
      <c r="J31" s="2"/>
      <c r="L31" s="17">
        <v>45770</v>
      </c>
      <c r="M31" s="8"/>
      <c r="N31" s="8"/>
    </row>
    <row r="32" spans="1:14">
      <c r="A32" s="1">
        <v>30</v>
      </c>
      <c r="B32" s="1">
        <v>41</v>
      </c>
      <c r="C32" s="1">
        <v>9</v>
      </c>
      <c r="D32" s="1">
        <v>3900</v>
      </c>
      <c r="E32" s="1">
        <v>300</v>
      </c>
      <c r="F32" s="17" t="s">
        <v>1348</v>
      </c>
      <c r="J32" s="2"/>
      <c r="L32" s="17">
        <v>45770</v>
      </c>
      <c r="M32" s="8"/>
      <c r="N32" s="8"/>
    </row>
    <row r="33" spans="1:14">
      <c r="A33" s="1">
        <v>31</v>
      </c>
      <c r="B33" s="1">
        <v>42</v>
      </c>
      <c r="C33" s="1">
        <v>15</v>
      </c>
      <c r="D33" s="1">
        <v>3000</v>
      </c>
      <c r="E33" s="1">
        <v>300</v>
      </c>
      <c r="F33" s="17" t="s">
        <v>1348</v>
      </c>
      <c r="J33" s="2"/>
      <c r="L33" s="17">
        <v>45770</v>
      </c>
      <c r="M33" s="8"/>
      <c r="N33" s="8"/>
    </row>
    <row r="34" spans="1:14">
      <c r="A34" s="1">
        <v>32</v>
      </c>
      <c r="B34" s="1">
        <v>43</v>
      </c>
      <c r="C34" s="1">
        <v>18</v>
      </c>
      <c r="D34" s="1">
        <v>3000</v>
      </c>
      <c r="E34" s="1">
        <v>500</v>
      </c>
      <c r="F34" s="17" t="s">
        <v>1349</v>
      </c>
      <c r="J34" s="2"/>
      <c r="L34" s="17">
        <v>45773</v>
      </c>
      <c r="M34" s="8"/>
      <c r="N34" s="8"/>
    </row>
    <row r="35" spans="1:14">
      <c r="A35" s="1">
        <v>33</v>
      </c>
      <c r="B35" s="1">
        <v>44</v>
      </c>
      <c r="C35" s="1">
        <v>18</v>
      </c>
      <c r="D35" s="1">
        <v>3000</v>
      </c>
      <c r="E35" s="1">
        <v>500</v>
      </c>
      <c r="F35" s="17" t="s">
        <v>1350</v>
      </c>
      <c r="J35" s="2"/>
      <c r="L35" s="17">
        <v>45774</v>
      </c>
      <c r="M35" s="8"/>
      <c r="N35" s="8"/>
    </row>
    <row r="36" spans="1:14">
      <c r="A36" s="1">
        <v>34</v>
      </c>
      <c r="B36" s="1">
        <v>45</v>
      </c>
      <c r="C36" s="1">
        <v>37</v>
      </c>
      <c r="D36" s="1">
        <v>3000</v>
      </c>
      <c r="E36" s="1">
        <v>300</v>
      </c>
      <c r="F36" s="17" t="s">
        <v>1350</v>
      </c>
      <c r="J36" s="2"/>
      <c r="L36" s="17">
        <v>45774</v>
      </c>
      <c r="M36" s="8"/>
      <c r="N36" s="8"/>
    </row>
    <row r="37" spans="1:14">
      <c r="A37" s="1">
        <v>35</v>
      </c>
      <c r="B37" s="1">
        <v>46</v>
      </c>
      <c r="C37" s="1">
        <v>36</v>
      </c>
      <c r="D37" s="1">
        <v>600</v>
      </c>
      <c r="E37" s="1">
        <v>300</v>
      </c>
      <c r="F37" s="17" t="s">
        <v>1350</v>
      </c>
      <c r="J37" s="2"/>
      <c r="L37" s="17">
        <v>45774</v>
      </c>
      <c r="M37" s="8"/>
      <c r="N37" s="8"/>
    </row>
    <row r="38" spans="1:14">
      <c r="A38" s="1">
        <v>36</v>
      </c>
      <c r="B38" s="1">
        <v>47</v>
      </c>
      <c r="C38" s="1">
        <v>36</v>
      </c>
      <c r="D38" s="1">
        <v>2400</v>
      </c>
      <c r="E38" s="1">
        <v>300</v>
      </c>
      <c r="F38" s="17" t="s">
        <v>1350</v>
      </c>
      <c r="J38" s="2"/>
      <c r="L38" s="17">
        <v>45774</v>
      </c>
      <c r="M38" s="8"/>
      <c r="N38" s="8"/>
    </row>
    <row r="39" spans="1:14">
      <c r="A39" s="1">
        <v>37</v>
      </c>
      <c r="B39" s="1">
        <v>48</v>
      </c>
      <c r="C39" s="1">
        <v>18</v>
      </c>
      <c r="D39" s="1">
        <v>347</v>
      </c>
      <c r="E39" s="1">
        <v>500</v>
      </c>
      <c r="F39" s="17" t="s">
        <v>1350</v>
      </c>
      <c r="J39" s="2"/>
      <c r="L39" s="17">
        <v>45774</v>
      </c>
      <c r="M39" s="8"/>
      <c r="N39" s="8"/>
    </row>
    <row r="40" spans="1:14">
      <c r="A40" s="1">
        <v>38</v>
      </c>
      <c r="B40" s="1">
        <v>49</v>
      </c>
      <c r="C40" s="1">
        <v>35</v>
      </c>
      <c r="D40" s="1">
        <v>3000</v>
      </c>
      <c r="E40" s="1">
        <v>300</v>
      </c>
      <c r="F40" s="17" t="s">
        <v>1351</v>
      </c>
      <c r="J40" s="2"/>
      <c r="L40" s="17">
        <v>45775</v>
      </c>
      <c r="M40" s="8"/>
      <c r="N40" s="8"/>
    </row>
    <row r="41" spans="1:14">
      <c r="A41" s="1">
        <v>39</v>
      </c>
      <c r="B41" s="1">
        <v>50</v>
      </c>
      <c r="C41" s="1">
        <v>15</v>
      </c>
      <c r="D41" s="1">
        <v>3000</v>
      </c>
      <c r="E41" s="1">
        <v>300</v>
      </c>
      <c r="F41" s="17" t="s">
        <v>1352</v>
      </c>
      <c r="J41" s="2"/>
      <c r="L41" s="17">
        <v>45776</v>
      </c>
      <c r="M41" s="8"/>
      <c r="N41" s="8"/>
    </row>
    <row r="42" spans="1:14">
      <c r="A42" s="1">
        <v>40</v>
      </c>
      <c r="B42" s="1">
        <v>51</v>
      </c>
      <c r="C42" s="1">
        <v>25</v>
      </c>
      <c r="D42" s="1">
        <v>3000</v>
      </c>
      <c r="E42" s="1">
        <v>300</v>
      </c>
      <c r="F42" s="17" t="s">
        <v>1353</v>
      </c>
      <c r="J42" s="2"/>
      <c r="L42" s="17">
        <v>45782</v>
      </c>
      <c r="M42" s="8"/>
      <c r="N42" s="8"/>
    </row>
    <row r="43" spans="1:14">
      <c r="A43" s="1">
        <v>41</v>
      </c>
      <c r="B43" s="1">
        <v>52</v>
      </c>
      <c r="C43" s="1">
        <v>25</v>
      </c>
      <c r="D43" s="1">
        <v>3000</v>
      </c>
      <c r="E43" s="1">
        <v>300</v>
      </c>
      <c r="F43" s="17" t="s">
        <v>1353</v>
      </c>
      <c r="J43" s="2"/>
      <c r="L43" s="17">
        <v>45782</v>
      </c>
      <c r="M43" s="8"/>
      <c r="N43" s="8"/>
    </row>
    <row r="44" spans="1:14">
      <c r="A44" s="1">
        <v>42</v>
      </c>
      <c r="B44" s="1">
        <v>53</v>
      </c>
      <c r="C44" s="1">
        <v>25</v>
      </c>
      <c r="D44" s="1">
        <v>3000</v>
      </c>
      <c r="E44" s="1">
        <v>300</v>
      </c>
      <c r="F44" s="17" t="s">
        <v>1354</v>
      </c>
      <c r="J44" s="2"/>
      <c r="L44" s="17">
        <v>45783</v>
      </c>
      <c r="M44" s="8"/>
      <c r="N44" s="8"/>
    </row>
    <row r="45" spans="1:14">
      <c r="A45" s="1">
        <v>43</v>
      </c>
      <c r="B45" s="1">
        <v>54</v>
      </c>
      <c r="C45" s="1">
        <v>25</v>
      </c>
      <c r="D45" s="1">
        <v>1000</v>
      </c>
      <c r="E45" s="1">
        <v>300</v>
      </c>
      <c r="F45" s="17" t="s">
        <v>1355</v>
      </c>
      <c r="J45" s="2"/>
      <c r="L45" s="17">
        <v>45784</v>
      </c>
      <c r="M45" s="8"/>
      <c r="N45" s="8"/>
    </row>
    <row r="46" spans="1:14">
      <c r="A46" s="1">
        <v>44</v>
      </c>
      <c r="B46" s="1">
        <v>55</v>
      </c>
      <c r="C46" s="1">
        <v>18</v>
      </c>
      <c r="D46" s="1">
        <v>3000</v>
      </c>
      <c r="E46" s="1">
        <v>500</v>
      </c>
      <c r="F46" s="17" t="s">
        <v>1356</v>
      </c>
      <c r="J46" s="2"/>
      <c r="L46" s="17">
        <v>45787</v>
      </c>
      <c r="M46" s="8"/>
      <c r="N46" s="8"/>
    </row>
    <row r="47" spans="1:14">
      <c r="A47" s="1">
        <v>45</v>
      </c>
      <c r="B47" s="1">
        <v>56</v>
      </c>
      <c r="C47" s="1">
        <v>18</v>
      </c>
      <c r="D47" s="1">
        <v>3000</v>
      </c>
      <c r="E47" s="1">
        <v>500</v>
      </c>
      <c r="F47" s="17" t="s">
        <v>1357</v>
      </c>
      <c r="J47" s="2"/>
      <c r="L47" s="17">
        <v>45788</v>
      </c>
      <c r="M47" s="8"/>
      <c r="N47" s="8"/>
    </row>
    <row r="48" spans="1:14">
      <c r="A48" s="1">
        <v>46</v>
      </c>
      <c r="B48" s="1">
        <v>57</v>
      </c>
      <c r="C48" s="1">
        <v>18</v>
      </c>
      <c r="D48" s="1">
        <v>3000</v>
      </c>
      <c r="E48" s="1">
        <v>500</v>
      </c>
      <c r="F48" s="17" t="s">
        <v>1358</v>
      </c>
      <c r="J48" s="2"/>
      <c r="L48" s="17">
        <v>45789</v>
      </c>
      <c r="M48" s="8"/>
      <c r="N48" s="8"/>
    </row>
    <row r="49" spans="1:14">
      <c r="A49" s="1">
        <v>47</v>
      </c>
      <c r="B49" s="1">
        <v>58</v>
      </c>
      <c r="C49" s="1">
        <v>30</v>
      </c>
      <c r="D49" s="1">
        <v>3000</v>
      </c>
      <c r="E49" s="1">
        <v>300</v>
      </c>
      <c r="F49" s="17" t="s">
        <v>1357</v>
      </c>
      <c r="J49" s="2"/>
      <c r="L49" s="17">
        <v>45788</v>
      </c>
      <c r="M49" s="8"/>
      <c r="N49" s="8"/>
    </row>
    <row r="50" spans="1:14">
      <c r="A50" s="1">
        <v>48</v>
      </c>
      <c r="B50" s="1">
        <v>59</v>
      </c>
      <c r="C50" s="1">
        <v>31</v>
      </c>
      <c r="D50" s="1">
        <v>3000</v>
      </c>
      <c r="E50" s="1">
        <v>300</v>
      </c>
      <c r="F50" s="17" t="s">
        <v>1358</v>
      </c>
      <c r="J50" s="2"/>
      <c r="L50" s="17">
        <v>45789</v>
      </c>
      <c r="M50" s="8"/>
      <c r="N50" s="8"/>
    </row>
    <row r="51" spans="1:14">
      <c r="A51" s="1">
        <v>49</v>
      </c>
      <c r="B51" s="1">
        <v>60</v>
      </c>
      <c r="C51" s="1">
        <v>29</v>
      </c>
      <c r="D51" s="1">
        <v>2000</v>
      </c>
      <c r="E51" s="1">
        <v>300</v>
      </c>
      <c r="F51" s="17" t="s">
        <v>1358</v>
      </c>
      <c r="J51" s="2"/>
      <c r="L51" s="17">
        <v>45789</v>
      </c>
      <c r="M51" s="8"/>
      <c r="N51" s="8"/>
    </row>
    <row r="52" spans="1:14">
      <c r="A52" s="1">
        <v>50</v>
      </c>
      <c r="B52" s="1">
        <v>61</v>
      </c>
      <c r="C52" s="1">
        <v>32</v>
      </c>
      <c r="D52" s="1">
        <v>2400</v>
      </c>
      <c r="E52" s="1">
        <v>300</v>
      </c>
      <c r="F52" s="17" t="s">
        <v>1357</v>
      </c>
      <c r="J52" s="2"/>
      <c r="L52" s="17">
        <v>45788</v>
      </c>
      <c r="M52" s="8"/>
      <c r="N52" s="8"/>
    </row>
    <row r="53" spans="1:14">
      <c r="A53" s="1">
        <v>51</v>
      </c>
      <c r="B53" s="1">
        <v>62</v>
      </c>
      <c r="C53" s="1">
        <v>28</v>
      </c>
      <c r="D53" s="1">
        <v>3000</v>
      </c>
      <c r="E53" s="1">
        <v>300</v>
      </c>
      <c r="F53" s="17" t="s">
        <v>1358</v>
      </c>
      <c r="J53" s="2"/>
      <c r="L53" s="17">
        <v>45789</v>
      </c>
      <c r="M53" s="8"/>
      <c r="N53" s="8"/>
    </row>
    <row r="54" spans="1:14">
      <c r="A54" s="1">
        <v>52</v>
      </c>
      <c r="B54" s="1">
        <v>63</v>
      </c>
      <c r="C54" s="1">
        <v>28</v>
      </c>
      <c r="D54" s="1">
        <v>3000</v>
      </c>
      <c r="E54" s="1">
        <v>300</v>
      </c>
      <c r="F54" s="17" t="s">
        <v>1359</v>
      </c>
      <c r="J54" s="2"/>
      <c r="L54" s="17">
        <v>45790</v>
      </c>
      <c r="M54" s="8"/>
      <c r="N54" s="8"/>
    </row>
    <row r="55" spans="1:14">
      <c r="A55" s="1">
        <v>53</v>
      </c>
      <c r="B55" s="1">
        <v>64</v>
      </c>
      <c r="C55" s="1">
        <v>30</v>
      </c>
      <c r="D55" s="1">
        <v>2400</v>
      </c>
      <c r="E55" s="1">
        <v>300</v>
      </c>
      <c r="F55" s="17" t="s">
        <v>1359</v>
      </c>
      <c r="J55" s="2"/>
      <c r="L55" s="17">
        <v>45790</v>
      </c>
      <c r="M55" s="8"/>
      <c r="N55" s="8"/>
    </row>
    <row r="56" spans="1:14">
      <c r="A56" s="1">
        <v>54</v>
      </c>
      <c r="B56" s="1">
        <v>65</v>
      </c>
      <c r="C56" s="1">
        <v>18</v>
      </c>
      <c r="D56" s="1">
        <v>2000</v>
      </c>
      <c r="E56" s="1">
        <v>500</v>
      </c>
      <c r="F56" s="17" t="s">
        <v>1359</v>
      </c>
      <c r="J56" s="2"/>
      <c r="L56" s="17">
        <v>45790</v>
      </c>
      <c r="M56" s="8"/>
      <c r="N56" s="8"/>
    </row>
    <row r="57" spans="1:14">
      <c r="A57" s="1">
        <v>55</v>
      </c>
      <c r="B57" s="1">
        <v>66</v>
      </c>
      <c r="C57" s="1">
        <v>18</v>
      </c>
      <c r="D57" s="1">
        <v>6000</v>
      </c>
      <c r="E57" s="1">
        <v>500</v>
      </c>
      <c r="F57" s="17" t="s">
        <v>1359</v>
      </c>
      <c r="J57" s="2"/>
      <c r="L57" s="17">
        <v>45790</v>
      </c>
      <c r="M57" s="8"/>
      <c r="N57" s="8"/>
    </row>
    <row r="58" spans="1:14">
      <c r="A58" s="1">
        <v>56</v>
      </c>
      <c r="B58" s="1">
        <v>67</v>
      </c>
      <c r="C58" s="1">
        <v>31</v>
      </c>
      <c r="D58" s="1">
        <v>1200</v>
      </c>
      <c r="E58" s="1">
        <v>300</v>
      </c>
      <c r="F58" s="17" t="s">
        <v>1360</v>
      </c>
      <c r="J58" s="2"/>
      <c r="L58" s="17">
        <v>45791</v>
      </c>
      <c r="M58" s="8"/>
      <c r="N58" s="8"/>
    </row>
    <row r="59" spans="1:14">
      <c r="A59" s="1">
        <v>57</v>
      </c>
      <c r="B59" s="1">
        <v>68</v>
      </c>
      <c r="C59" s="1">
        <v>29</v>
      </c>
      <c r="D59" s="1">
        <v>2000</v>
      </c>
      <c r="E59" s="1">
        <v>300</v>
      </c>
      <c r="F59" s="17" t="s">
        <v>1360</v>
      </c>
      <c r="J59" s="2"/>
      <c r="L59" s="17">
        <v>45791</v>
      </c>
      <c r="M59" s="8"/>
      <c r="N59" s="8"/>
    </row>
    <row r="60" spans="1:14">
      <c r="A60" s="1">
        <v>58</v>
      </c>
      <c r="B60" s="1">
        <v>69</v>
      </c>
      <c r="C60" s="1">
        <v>32</v>
      </c>
      <c r="D60" s="1">
        <v>1600</v>
      </c>
      <c r="E60" s="1">
        <v>300</v>
      </c>
      <c r="F60" s="17" t="s">
        <v>1361</v>
      </c>
      <c r="J60" s="2"/>
      <c r="L60" s="17">
        <v>45795</v>
      </c>
      <c r="M60" s="8"/>
      <c r="N60" s="8"/>
    </row>
    <row r="61" spans="1:14">
      <c r="A61" s="1">
        <v>59</v>
      </c>
      <c r="B61" s="1">
        <v>70</v>
      </c>
      <c r="C61" s="1">
        <v>18</v>
      </c>
      <c r="D61" s="1">
        <v>3000</v>
      </c>
      <c r="E61" s="1">
        <v>500</v>
      </c>
      <c r="F61" s="17" t="s">
        <v>1362</v>
      </c>
      <c r="J61" s="2"/>
      <c r="L61" s="17">
        <v>45792</v>
      </c>
      <c r="M61" s="8"/>
      <c r="N61" s="8"/>
    </row>
    <row r="62" spans="1:14">
      <c r="A62" s="1">
        <v>60</v>
      </c>
      <c r="B62" s="1">
        <v>71</v>
      </c>
      <c r="C62" s="1">
        <v>18</v>
      </c>
      <c r="D62" s="1">
        <v>3000</v>
      </c>
      <c r="E62" s="1">
        <v>500</v>
      </c>
      <c r="F62" s="17" t="s">
        <v>1362</v>
      </c>
      <c r="J62" s="2"/>
      <c r="L62" s="17">
        <v>45792</v>
      </c>
      <c r="M62" s="8"/>
      <c r="N62" s="8"/>
    </row>
    <row r="63" spans="1:14">
      <c r="A63" s="1">
        <v>61</v>
      </c>
      <c r="B63" s="1">
        <v>72</v>
      </c>
      <c r="C63" s="1">
        <v>30</v>
      </c>
      <c r="D63" s="1">
        <v>2700</v>
      </c>
      <c r="E63" s="1">
        <v>300</v>
      </c>
      <c r="F63" s="17" t="s">
        <v>1362</v>
      </c>
      <c r="J63" s="2"/>
      <c r="L63" s="17">
        <v>45792</v>
      </c>
      <c r="M63" s="8"/>
      <c r="N63" s="8"/>
    </row>
    <row r="64" spans="1:14">
      <c r="A64" s="1">
        <v>62</v>
      </c>
      <c r="B64" s="1">
        <v>73</v>
      </c>
      <c r="C64" s="1">
        <v>30</v>
      </c>
      <c r="D64" s="1">
        <v>2700</v>
      </c>
      <c r="E64" s="1">
        <v>300</v>
      </c>
      <c r="F64" s="17" t="s">
        <v>1362</v>
      </c>
      <c r="J64" s="2"/>
      <c r="L64" s="17">
        <v>45792</v>
      </c>
      <c r="M64" s="8"/>
      <c r="N64" s="8"/>
    </row>
    <row r="65" spans="1:14">
      <c r="A65" s="1">
        <v>63</v>
      </c>
      <c r="B65" s="1">
        <v>74</v>
      </c>
      <c r="C65" s="1">
        <v>30</v>
      </c>
      <c r="D65" s="1">
        <v>2700</v>
      </c>
      <c r="E65" s="1">
        <v>300</v>
      </c>
      <c r="F65" s="17" t="s">
        <v>1362</v>
      </c>
      <c r="J65" s="2"/>
      <c r="L65" s="17">
        <v>45792</v>
      </c>
      <c r="M65" s="8"/>
      <c r="N65" s="8"/>
    </row>
    <row r="66" spans="1:14">
      <c r="A66" s="1">
        <v>64</v>
      </c>
      <c r="B66" s="1">
        <v>75</v>
      </c>
      <c r="C66" s="1">
        <v>22</v>
      </c>
      <c r="D66" s="1">
        <v>2100</v>
      </c>
      <c r="E66" s="1">
        <v>300</v>
      </c>
      <c r="F66" s="17" t="s">
        <v>1363</v>
      </c>
      <c r="J66" s="2"/>
      <c r="L66" s="17">
        <v>45794</v>
      </c>
      <c r="M66" s="8"/>
      <c r="N66" s="8"/>
    </row>
    <row r="67" spans="1:14">
      <c r="A67" s="1">
        <v>65</v>
      </c>
      <c r="B67" s="1">
        <v>76</v>
      </c>
      <c r="C67" s="1">
        <v>31</v>
      </c>
      <c r="D67" s="1">
        <v>1800</v>
      </c>
      <c r="E67" s="1">
        <v>300</v>
      </c>
      <c r="F67" s="17" t="s">
        <v>1363</v>
      </c>
      <c r="J67" s="2"/>
      <c r="L67" s="17">
        <v>45794</v>
      </c>
      <c r="M67" s="8"/>
      <c r="N67" s="8"/>
    </row>
    <row r="68" spans="1:14">
      <c r="A68" s="1">
        <v>66</v>
      </c>
      <c r="B68" s="1">
        <v>77</v>
      </c>
      <c r="C68" s="1">
        <v>28</v>
      </c>
      <c r="D68" s="1">
        <v>4010</v>
      </c>
      <c r="E68" s="1">
        <v>300</v>
      </c>
      <c r="F68" s="17" t="s">
        <v>1363</v>
      </c>
      <c r="J68" s="2"/>
      <c r="L68" s="17">
        <v>45794</v>
      </c>
      <c r="M68" s="8"/>
      <c r="N68" s="8"/>
    </row>
    <row r="69" spans="1:14">
      <c r="A69" s="1">
        <v>67</v>
      </c>
      <c r="B69" s="1">
        <v>78</v>
      </c>
      <c r="C69" s="1">
        <v>26</v>
      </c>
      <c r="D69" s="1">
        <v>1500</v>
      </c>
      <c r="E69" s="1">
        <v>300</v>
      </c>
      <c r="F69" s="17" t="s">
        <v>1361</v>
      </c>
      <c r="J69" s="2"/>
      <c r="L69" s="17">
        <v>45795</v>
      </c>
      <c r="M69" s="8"/>
      <c r="N69" s="8"/>
    </row>
    <row r="70" spans="1:14">
      <c r="A70" s="1">
        <v>68</v>
      </c>
      <c r="B70" s="1">
        <v>79</v>
      </c>
      <c r="C70" s="1">
        <v>27</v>
      </c>
      <c r="D70" s="1">
        <v>1500</v>
      </c>
      <c r="E70" s="1">
        <v>300</v>
      </c>
      <c r="F70" s="17" t="s">
        <v>1361</v>
      </c>
      <c r="J70" s="2"/>
      <c r="L70" s="17">
        <v>45795</v>
      </c>
      <c r="M70" s="8"/>
      <c r="N70" s="8"/>
    </row>
    <row r="71" spans="1:14">
      <c r="A71" s="1">
        <v>69</v>
      </c>
      <c r="B71" s="1">
        <v>80</v>
      </c>
      <c r="C71" s="1">
        <v>31</v>
      </c>
      <c r="D71" s="1">
        <v>2400</v>
      </c>
      <c r="E71" s="1">
        <v>300</v>
      </c>
      <c r="F71" s="17" t="s">
        <v>1361</v>
      </c>
      <c r="J71" s="2"/>
      <c r="L71" s="17">
        <v>45795</v>
      </c>
      <c r="M71" s="8"/>
      <c r="N71" s="8"/>
    </row>
    <row r="72" spans="1:14">
      <c r="A72" s="1">
        <v>70</v>
      </c>
      <c r="B72" s="1">
        <v>81</v>
      </c>
      <c r="C72" s="1">
        <v>22</v>
      </c>
      <c r="D72" s="1">
        <v>1200</v>
      </c>
      <c r="E72" s="1">
        <v>300</v>
      </c>
      <c r="F72" s="17" t="s">
        <v>1361</v>
      </c>
      <c r="J72" s="2"/>
      <c r="L72" s="17">
        <v>45795</v>
      </c>
      <c r="M72" s="8"/>
      <c r="N72" s="8"/>
    </row>
    <row r="73" spans="1:14">
      <c r="A73" s="1">
        <v>71</v>
      </c>
      <c r="B73" s="1">
        <v>82</v>
      </c>
      <c r="C73" s="1">
        <v>30</v>
      </c>
      <c r="D73" s="1">
        <v>1500</v>
      </c>
      <c r="E73" s="1">
        <v>300</v>
      </c>
      <c r="F73" s="17" t="s">
        <v>1361</v>
      </c>
      <c r="J73" s="2"/>
      <c r="L73" s="17">
        <v>45795</v>
      </c>
      <c r="M73" s="8"/>
      <c r="N73" s="8"/>
    </row>
    <row r="74" spans="1:14">
      <c r="A74" s="1">
        <v>72</v>
      </c>
      <c r="B74" s="1">
        <v>83</v>
      </c>
      <c r="C74" s="1">
        <v>30</v>
      </c>
      <c r="D74" s="1">
        <v>3000</v>
      </c>
      <c r="E74" s="1">
        <v>300</v>
      </c>
      <c r="F74" s="17" t="s">
        <v>1364</v>
      </c>
      <c r="J74" s="2"/>
      <c r="L74" s="17">
        <v>45797</v>
      </c>
      <c r="M74" s="8"/>
      <c r="N74" s="8"/>
    </row>
    <row r="75" spans="1:14">
      <c r="A75" s="1">
        <v>73</v>
      </c>
      <c r="B75" s="1">
        <v>84</v>
      </c>
      <c r="C75" s="1">
        <v>22</v>
      </c>
      <c r="D75" s="1">
        <v>3000</v>
      </c>
      <c r="E75" s="1">
        <v>300</v>
      </c>
      <c r="F75" s="17" t="s">
        <v>1364</v>
      </c>
      <c r="J75" s="2"/>
      <c r="L75" s="17">
        <v>45797</v>
      </c>
      <c r="M75" s="8"/>
      <c r="N75" s="8"/>
    </row>
    <row r="76" spans="1:14">
      <c r="A76" s="1">
        <v>74</v>
      </c>
      <c r="B76" s="1">
        <v>85</v>
      </c>
      <c r="C76" s="1">
        <v>31</v>
      </c>
      <c r="D76" s="1">
        <v>2100</v>
      </c>
      <c r="E76" s="1">
        <v>300</v>
      </c>
      <c r="F76" s="17" t="s">
        <v>1365</v>
      </c>
      <c r="J76" s="2"/>
      <c r="L76" s="17">
        <v>45798</v>
      </c>
      <c r="M76" s="8"/>
      <c r="N76" s="8"/>
    </row>
    <row r="77" spans="1:14">
      <c r="A77" s="1">
        <v>75</v>
      </c>
      <c r="B77" s="1">
        <v>86</v>
      </c>
      <c r="C77" s="1">
        <v>26</v>
      </c>
      <c r="D77" s="1">
        <v>2100</v>
      </c>
      <c r="E77" s="1">
        <v>300</v>
      </c>
      <c r="F77" s="17" t="s">
        <v>1365</v>
      </c>
      <c r="J77" s="2"/>
      <c r="L77" s="17">
        <v>45798</v>
      </c>
      <c r="M77" s="8"/>
      <c r="N77" s="8"/>
    </row>
    <row r="78" spans="1:14">
      <c r="A78" s="1">
        <v>76</v>
      </c>
      <c r="B78" s="1">
        <v>87</v>
      </c>
      <c r="C78" s="1">
        <v>27</v>
      </c>
      <c r="D78" s="1">
        <v>2100</v>
      </c>
      <c r="E78" s="1">
        <v>300</v>
      </c>
      <c r="F78" s="17" t="s">
        <v>1365</v>
      </c>
      <c r="J78" s="2"/>
      <c r="L78" s="17">
        <v>45798</v>
      </c>
      <c r="M78" s="8"/>
      <c r="N78" s="8"/>
    </row>
    <row r="79" spans="1:14">
      <c r="A79" s="1">
        <v>77</v>
      </c>
      <c r="B79" s="1">
        <v>88</v>
      </c>
      <c r="C79" s="1">
        <v>5</v>
      </c>
      <c r="D79" s="1">
        <v>3410</v>
      </c>
      <c r="E79" s="1">
        <v>300</v>
      </c>
      <c r="F79" s="17" t="s">
        <v>1366</v>
      </c>
      <c r="J79" s="2"/>
      <c r="L79" s="17">
        <v>45799</v>
      </c>
      <c r="M79" s="8"/>
      <c r="N79" s="8"/>
    </row>
    <row r="80" spans="1:14">
      <c r="A80" s="1">
        <v>78</v>
      </c>
      <c r="B80" s="1">
        <v>89</v>
      </c>
      <c r="C80" s="1">
        <v>6</v>
      </c>
      <c r="D80" s="1">
        <v>808</v>
      </c>
      <c r="E80" s="1">
        <v>300</v>
      </c>
      <c r="F80" s="17" t="s">
        <v>1366</v>
      </c>
      <c r="J80" s="2"/>
      <c r="L80" s="17">
        <v>45799</v>
      </c>
      <c r="M80" s="8"/>
      <c r="N80" s="8"/>
    </row>
    <row r="81" spans="1:14">
      <c r="A81" s="1">
        <v>79</v>
      </c>
      <c r="B81" s="1">
        <v>90</v>
      </c>
      <c r="C81" s="1">
        <v>18</v>
      </c>
      <c r="D81" s="1">
        <v>8000</v>
      </c>
      <c r="E81" s="1">
        <v>500</v>
      </c>
      <c r="F81" s="17" t="s">
        <v>1367</v>
      </c>
      <c r="J81" s="2"/>
      <c r="L81" s="17">
        <v>45800</v>
      </c>
      <c r="M81" s="8"/>
      <c r="N81" s="8"/>
    </row>
    <row r="82" spans="1:14">
      <c r="A82" s="1">
        <v>80</v>
      </c>
      <c r="B82" s="1">
        <v>91</v>
      </c>
      <c r="C82" s="1">
        <v>17</v>
      </c>
      <c r="D82" s="1">
        <v>3000</v>
      </c>
      <c r="E82" s="1">
        <v>300</v>
      </c>
      <c r="F82" s="17" t="s">
        <v>1368</v>
      </c>
      <c r="J82" s="2"/>
      <c r="L82" s="17">
        <v>45801</v>
      </c>
      <c r="M82" s="8"/>
      <c r="N82" s="8"/>
    </row>
    <row r="83" spans="1:14">
      <c r="A83" s="1">
        <v>81</v>
      </c>
      <c r="B83" s="1">
        <v>92</v>
      </c>
      <c r="C83" s="1">
        <v>31</v>
      </c>
      <c r="D83" s="1">
        <v>3000</v>
      </c>
      <c r="E83" s="1">
        <v>300</v>
      </c>
      <c r="F83" s="17" t="s">
        <v>1368</v>
      </c>
      <c r="J83" s="2"/>
      <c r="L83" s="17">
        <v>45801</v>
      </c>
      <c r="M83" s="8"/>
      <c r="N83" s="8"/>
    </row>
    <row r="84" spans="1:14">
      <c r="A84" s="1">
        <v>82</v>
      </c>
      <c r="B84" s="1">
        <v>93</v>
      </c>
      <c r="C84" s="1">
        <v>27</v>
      </c>
      <c r="D84" s="1">
        <v>800</v>
      </c>
      <c r="E84" s="1">
        <v>300</v>
      </c>
      <c r="F84" s="17" t="s">
        <v>1368</v>
      </c>
      <c r="J84" s="2"/>
      <c r="L84" s="17">
        <v>45801</v>
      </c>
      <c r="M84" s="8"/>
      <c r="N84" s="8"/>
    </row>
    <row r="85" spans="1:14">
      <c r="A85" s="1">
        <v>83</v>
      </c>
      <c r="B85" s="1">
        <v>94</v>
      </c>
      <c r="C85" s="1">
        <v>26</v>
      </c>
      <c r="D85" s="1">
        <v>2700</v>
      </c>
      <c r="E85" s="1">
        <v>300</v>
      </c>
      <c r="F85" s="17" t="s">
        <v>1368</v>
      </c>
      <c r="J85" s="2"/>
      <c r="L85" s="17">
        <v>45801</v>
      </c>
      <c r="M85" s="8"/>
      <c r="N85" s="8"/>
    </row>
    <row r="86" spans="1:14">
      <c r="A86" s="1">
        <v>84</v>
      </c>
      <c r="B86" s="1">
        <v>95</v>
      </c>
      <c r="C86" s="1">
        <v>23</v>
      </c>
      <c r="D86" s="1">
        <v>1500</v>
      </c>
      <c r="E86" s="1">
        <v>300</v>
      </c>
      <c r="F86" s="17" t="s">
        <v>1369</v>
      </c>
      <c r="J86" s="2"/>
      <c r="L86" s="17">
        <v>45802</v>
      </c>
      <c r="M86" s="8"/>
      <c r="N86" s="8"/>
    </row>
    <row r="87" spans="1:14">
      <c r="A87" s="1">
        <v>85</v>
      </c>
      <c r="B87" s="1">
        <v>96</v>
      </c>
      <c r="C87" s="1">
        <v>24</v>
      </c>
      <c r="D87" s="1">
        <v>500</v>
      </c>
      <c r="E87" s="1">
        <v>300</v>
      </c>
      <c r="F87" s="17" t="s">
        <v>1369</v>
      </c>
      <c r="J87" s="2"/>
      <c r="L87" s="17">
        <v>45802</v>
      </c>
      <c r="M87" s="8"/>
      <c r="N87" s="8"/>
    </row>
    <row r="88" spans="1:14">
      <c r="A88" s="1">
        <v>86</v>
      </c>
      <c r="B88" s="1">
        <v>97</v>
      </c>
      <c r="C88" s="1">
        <v>26</v>
      </c>
      <c r="D88" s="1">
        <v>2010</v>
      </c>
      <c r="E88" s="1">
        <v>300</v>
      </c>
      <c r="F88" s="17" t="s">
        <v>1369</v>
      </c>
      <c r="J88" s="2">
        <v>6.7</v>
      </c>
      <c r="L88" s="17">
        <v>45802</v>
      </c>
      <c r="M88" s="8"/>
      <c r="N88" s="8"/>
    </row>
    <row r="89" spans="1:14">
      <c r="A89" s="1">
        <v>87</v>
      </c>
      <c r="B89" s="1">
        <v>98</v>
      </c>
      <c r="C89" s="1">
        <v>30</v>
      </c>
      <c r="D89" s="1">
        <v>3000</v>
      </c>
      <c r="E89" s="1">
        <v>300</v>
      </c>
      <c r="F89" s="17" t="s">
        <v>1369</v>
      </c>
      <c r="J89" s="2">
        <v>11</v>
      </c>
      <c r="L89" s="17">
        <v>45802</v>
      </c>
      <c r="M89" s="8"/>
      <c r="N89" s="8"/>
    </row>
    <row r="90" spans="1:14">
      <c r="A90" s="1">
        <v>88</v>
      </c>
      <c r="B90" s="1">
        <v>99</v>
      </c>
      <c r="C90" s="1">
        <v>31</v>
      </c>
      <c r="D90" s="1">
        <v>3000</v>
      </c>
      <c r="E90" s="1">
        <v>300</v>
      </c>
      <c r="F90" s="17" t="s">
        <v>1369</v>
      </c>
      <c r="J90" s="2">
        <v>11</v>
      </c>
      <c r="L90" s="17">
        <v>45802</v>
      </c>
      <c r="M90" s="8"/>
      <c r="N90" s="8"/>
    </row>
    <row r="91" spans="1:14">
      <c r="A91" s="1">
        <v>89</v>
      </c>
      <c r="B91" s="1">
        <v>100</v>
      </c>
      <c r="C91" s="1">
        <v>23</v>
      </c>
      <c r="D91" s="1">
        <v>1500</v>
      </c>
      <c r="E91" s="1">
        <v>300</v>
      </c>
      <c r="F91" s="17" t="s">
        <v>1369</v>
      </c>
      <c r="J91" s="2">
        <v>6</v>
      </c>
      <c r="L91" s="17">
        <v>45802</v>
      </c>
      <c r="M91" s="8"/>
      <c r="N91" s="8"/>
    </row>
    <row r="92" spans="1:14">
      <c r="A92" s="1">
        <v>90</v>
      </c>
      <c r="B92" s="1">
        <v>101</v>
      </c>
      <c r="C92" s="1">
        <v>18</v>
      </c>
      <c r="D92" s="1">
        <v>2653</v>
      </c>
      <c r="E92" s="1">
        <v>500</v>
      </c>
      <c r="F92" s="17" t="s">
        <v>1369</v>
      </c>
      <c r="J92" s="2">
        <v>6.306</v>
      </c>
      <c r="L92" s="17">
        <v>45802</v>
      </c>
      <c r="M92" s="8"/>
      <c r="N92" s="8"/>
    </row>
    <row r="93" spans="1:14">
      <c r="A93" s="1">
        <v>91</v>
      </c>
      <c r="B93" s="1">
        <v>102</v>
      </c>
      <c r="C93" s="1">
        <v>30</v>
      </c>
      <c r="D93" s="1">
        <v>3000</v>
      </c>
      <c r="E93" s="1">
        <v>300</v>
      </c>
      <c r="F93" s="17" t="s">
        <v>1370</v>
      </c>
      <c r="J93" s="2"/>
      <c r="L93" s="17">
        <v>45803</v>
      </c>
      <c r="M93" s="8"/>
      <c r="N93" s="8"/>
    </row>
    <row r="94" spans="1:14">
      <c r="A94" s="1">
        <v>92</v>
      </c>
      <c r="B94" s="1">
        <v>103</v>
      </c>
      <c r="C94" s="1">
        <v>31</v>
      </c>
      <c r="D94" s="1">
        <v>3000</v>
      </c>
      <c r="E94" s="1">
        <v>300</v>
      </c>
      <c r="F94" s="17" t="s">
        <v>1370</v>
      </c>
      <c r="J94" s="2"/>
      <c r="L94" s="17">
        <v>45803</v>
      </c>
      <c r="M94" s="8"/>
      <c r="N94" s="8"/>
    </row>
    <row r="95" spans="1:14">
      <c r="A95" s="1">
        <v>93</v>
      </c>
      <c r="B95" s="1">
        <v>104</v>
      </c>
      <c r="C95" s="1">
        <v>22</v>
      </c>
      <c r="D95" s="1">
        <v>2700</v>
      </c>
      <c r="E95" s="1">
        <v>300</v>
      </c>
      <c r="F95" s="17" t="s">
        <v>1371</v>
      </c>
      <c r="J95" s="2"/>
      <c r="L95" s="17">
        <v>45804</v>
      </c>
      <c r="M95" s="8"/>
      <c r="N95" s="8"/>
    </row>
    <row r="96" spans="1:14">
      <c r="A96" s="1">
        <v>94</v>
      </c>
      <c r="B96" s="1">
        <v>105</v>
      </c>
      <c r="C96" s="1">
        <v>22</v>
      </c>
      <c r="D96" s="1">
        <v>3000</v>
      </c>
      <c r="E96" s="1">
        <v>300</v>
      </c>
      <c r="F96" s="17" t="s">
        <v>1371</v>
      </c>
      <c r="J96" s="2"/>
      <c r="L96" s="17">
        <v>45804</v>
      </c>
      <c r="M96" s="8"/>
      <c r="N96" s="8"/>
    </row>
    <row r="97" spans="1:14">
      <c r="A97" s="1">
        <v>95</v>
      </c>
      <c r="B97" s="1">
        <v>106</v>
      </c>
      <c r="C97" s="1">
        <v>18</v>
      </c>
      <c r="D97" s="1">
        <v>5000</v>
      </c>
      <c r="E97" s="1">
        <v>500</v>
      </c>
      <c r="F97" s="17" t="s">
        <v>1372</v>
      </c>
      <c r="J97" s="2"/>
      <c r="L97" s="17">
        <v>45805</v>
      </c>
      <c r="M97" s="8"/>
      <c r="N97" s="8"/>
    </row>
    <row r="98" spans="1:14">
      <c r="A98" s="1">
        <v>96</v>
      </c>
      <c r="B98" s="1">
        <v>107</v>
      </c>
      <c r="C98" s="1">
        <v>31</v>
      </c>
      <c r="D98" s="1">
        <v>3000</v>
      </c>
      <c r="E98" s="1">
        <v>300</v>
      </c>
      <c r="F98" s="17" t="s">
        <v>1372</v>
      </c>
      <c r="J98" s="2"/>
      <c r="L98" s="17">
        <v>45805</v>
      </c>
      <c r="M98" s="8"/>
      <c r="N98" s="8"/>
    </row>
    <row r="99" spans="1:14">
      <c r="A99" s="1">
        <v>97</v>
      </c>
      <c r="B99" s="1">
        <v>108</v>
      </c>
      <c r="C99" s="1">
        <v>17</v>
      </c>
      <c r="D99" s="1">
        <v>1500</v>
      </c>
      <c r="E99" s="1">
        <v>300</v>
      </c>
      <c r="F99" s="17" t="s">
        <v>1372</v>
      </c>
      <c r="J99" s="2"/>
      <c r="L99" s="17">
        <v>45805</v>
      </c>
      <c r="M99" s="8"/>
      <c r="N99" s="8"/>
    </row>
    <row r="100" spans="1:14">
      <c r="A100" s="1">
        <v>98</v>
      </c>
      <c r="B100" s="1">
        <v>109</v>
      </c>
      <c r="C100" s="1">
        <v>30</v>
      </c>
      <c r="D100" s="1">
        <v>6000</v>
      </c>
      <c r="E100" s="1">
        <v>300</v>
      </c>
      <c r="F100" s="17" t="s">
        <v>1373</v>
      </c>
      <c r="J100" s="2"/>
      <c r="L100" s="17">
        <v>45808</v>
      </c>
      <c r="M100" s="8"/>
      <c r="N100" s="8"/>
    </row>
    <row r="101" spans="1:14">
      <c r="A101" s="1">
        <v>99</v>
      </c>
      <c r="B101" s="1">
        <v>110</v>
      </c>
      <c r="C101" s="1">
        <v>17</v>
      </c>
      <c r="D101" s="1">
        <v>1500</v>
      </c>
      <c r="E101" s="1">
        <v>300</v>
      </c>
      <c r="F101" s="17" t="s">
        <v>1373</v>
      </c>
      <c r="J101" s="2"/>
      <c r="L101" s="17">
        <v>45808</v>
      </c>
      <c r="M101" s="8"/>
      <c r="N101" s="8"/>
    </row>
    <row r="102" spans="1:14">
      <c r="A102" s="1">
        <v>100</v>
      </c>
      <c r="B102" s="1">
        <v>111</v>
      </c>
      <c r="C102" s="1">
        <v>30</v>
      </c>
      <c r="D102" s="1">
        <v>3000</v>
      </c>
      <c r="E102" s="1">
        <v>300</v>
      </c>
      <c r="F102" s="17" t="s">
        <v>1374</v>
      </c>
      <c r="J102" s="2"/>
      <c r="L102" s="17">
        <v>45809</v>
      </c>
      <c r="M102" s="8"/>
      <c r="N102" s="8"/>
    </row>
    <row r="103" spans="1:14">
      <c r="A103" s="1">
        <v>101</v>
      </c>
      <c r="B103" s="1">
        <v>112</v>
      </c>
      <c r="C103" s="1">
        <v>17</v>
      </c>
      <c r="D103" s="1">
        <v>1500</v>
      </c>
      <c r="E103" s="1">
        <v>300</v>
      </c>
      <c r="F103" s="17" t="s">
        <v>1375</v>
      </c>
      <c r="J103" s="2"/>
      <c r="L103" s="17">
        <v>45810</v>
      </c>
      <c r="M103" s="8"/>
      <c r="N103" s="8"/>
    </row>
    <row r="104" spans="1:14">
      <c r="A104" s="1">
        <v>102</v>
      </c>
      <c r="B104" s="1">
        <v>113</v>
      </c>
      <c r="C104" s="1">
        <v>18</v>
      </c>
      <c r="D104" s="1">
        <v>5000</v>
      </c>
      <c r="E104" s="1">
        <v>500</v>
      </c>
      <c r="F104" s="17" t="s">
        <v>1367</v>
      </c>
      <c r="J104" s="2"/>
      <c r="L104" s="17">
        <v>45800</v>
      </c>
      <c r="M104" s="8"/>
      <c r="N104" s="8"/>
    </row>
    <row r="105" spans="1:14">
      <c r="A105" s="1">
        <v>103</v>
      </c>
      <c r="B105" s="1">
        <v>114</v>
      </c>
      <c r="C105" s="1">
        <v>17</v>
      </c>
      <c r="D105" s="1">
        <v>1500</v>
      </c>
      <c r="E105" s="1">
        <v>300</v>
      </c>
      <c r="F105" s="17" t="s">
        <v>1375</v>
      </c>
      <c r="J105" s="2"/>
      <c r="L105" s="17">
        <v>45810</v>
      </c>
      <c r="M105" s="8"/>
      <c r="N105" s="8"/>
    </row>
    <row r="106" spans="1:14">
      <c r="A106" s="1">
        <v>104</v>
      </c>
      <c r="B106" s="1">
        <v>115</v>
      </c>
      <c r="C106" s="1">
        <v>18</v>
      </c>
      <c r="D106" s="1">
        <v>3000</v>
      </c>
      <c r="E106" s="1">
        <v>500</v>
      </c>
      <c r="F106" s="17" t="s">
        <v>1376</v>
      </c>
      <c r="J106" s="2"/>
      <c r="L106" s="17">
        <v>45818</v>
      </c>
      <c r="M106" s="8"/>
      <c r="N106" s="8"/>
    </row>
    <row r="107" spans="1:14">
      <c r="A107" s="1">
        <v>105</v>
      </c>
      <c r="B107" s="1">
        <v>116</v>
      </c>
      <c r="C107" s="1">
        <v>30</v>
      </c>
      <c r="D107" s="1">
        <v>6000</v>
      </c>
      <c r="E107" s="1">
        <v>300</v>
      </c>
      <c r="F107" s="17" t="s">
        <v>1377</v>
      </c>
      <c r="J107" s="2"/>
      <c r="L107" s="17">
        <v>45816</v>
      </c>
      <c r="M107" s="8"/>
      <c r="N107" s="8"/>
    </row>
    <row r="108" spans="1:14">
      <c r="A108" s="1">
        <v>106</v>
      </c>
      <c r="B108" s="1">
        <v>117</v>
      </c>
      <c r="C108" s="1">
        <v>38</v>
      </c>
      <c r="D108" s="1">
        <v>2000</v>
      </c>
      <c r="E108" s="1">
        <v>300</v>
      </c>
      <c r="F108" s="17" t="s">
        <v>1376</v>
      </c>
      <c r="J108" s="2"/>
      <c r="L108" s="17">
        <v>45818</v>
      </c>
      <c r="M108" s="8"/>
      <c r="N108" s="8"/>
    </row>
    <row r="109" spans="1:14">
      <c r="A109" s="1">
        <v>107</v>
      </c>
      <c r="B109" s="1">
        <v>119</v>
      </c>
      <c r="C109" s="1">
        <v>39</v>
      </c>
      <c r="D109" s="1">
        <v>300</v>
      </c>
      <c r="E109" s="1">
        <v>300</v>
      </c>
      <c r="F109" s="17" t="s">
        <v>1376</v>
      </c>
      <c r="J109" s="2"/>
      <c r="L109" s="17">
        <v>45818</v>
      </c>
      <c r="M109" s="8"/>
      <c r="N109" s="8"/>
    </row>
    <row r="110" spans="1:14">
      <c r="A110" s="1">
        <v>108</v>
      </c>
      <c r="B110" s="1">
        <v>120</v>
      </c>
      <c r="C110" s="1">
        <v>30</v>
      </c>
      <c r="D110" s="1">
        <v>6000</v>
      </c>
      <c r="E110" s="1">
        <v>300</v>
      </c>
      <c r="F110" s="17" t="s">
        <v>1376</v>
      </c>
      <c r="J110" s="2"/>
      <c r="L110" s="17">
        <v>45818</v>
      </c>
      <c r="M110" s="8"/>
      <c r="N110" s="8"/>
    </row>
    <row r="111" spans="1:14">
      <c r="A111" s="1">
        <v>109</v>
      </c>
      <c r="B111" s="1">
        <v>121</v>
      </c>
      <c r="C111" s="1">
        <v>39</v>
      </c>
      <c r="D111" s="1">
        <v>3000</v>
      </c>
      <c r="E111" s="1">
        <v>300</v>
      </c>
      <c r="F111" s="17" t="s">
        <v>1376</v>
      </c>
      <c r="J111" s="2"/>
      <c r="L111" s="17">
        <v>45818</v>
      </c>
      <c r="M111" s="8"/>
      <c r="N111" s="8"/>
    </row>
    <row r="112" spans="1:14">
      <c r="A112" s="1">
        <v>110</v>
      </c>
      <c r="B112" s="1">
        <v>122</v>
      </c>
      <c r="C112" s="1">
        <v>17</v>
      </c>
      <c r="D112" s="1">
        <v>3000</v>
      </c>
      <c r="E112" s="1">
        <v>300</v>
      </c>
      <c r="F112" s="17" t="s">
        <v>1376</v>
      </c>
      <c r="J112" s="2"/>
      <c r="L112" s="17">
        <v>45818</v>
      </c>
      <c r="M112" s="8"/>
      <c r="N112" s="8"/>
    </row>
    <row r="113" spans="1:14">
      <c r="A113" s="1">
        <v>111</v>
      </c>
      <c r="B113" s="1">
        <v>123</v>
      </c>
      <c r="C113" s="1">
        <v>41</v>
      </c>
      <c r="D113" s="1">
        <v>3000</v>
      </c>
      <c r="E113" s="1">
        <v>300</v>
      </c>
      <c r="F113" s="17" t="s">
        <v>1378</v>
      </c>
      <c r="J113" s="2"/>
      <c r="L113" s="17">
        <v>45830</v>
      </c>
      <c r="M113" s="8"/>
      <c r="N113" s="8"/>
    </row>
    <row r="114" spans="1:14">
      <c r="A114" s="1">
        <v>112</v>
      </c>
      <c r="B114" s="1">
        <v>124</v>
      </c>
      <c r="C114" s="1">
        <v>42</v>
      </c>
      <c r="D114" s="1">
        <v>3000</v>
      </c>
      <c r="E114" s="1">
        <v>300</v>
      </c>
      <c r="F114" s="17" t="s">
        <v>1378</v>
      </c>
      <c r="J114" s="2"/>
      <c r="L114" s="17">
        <v>45830</v>
      </c>
      <c r="M114" s="8"/>
      <c r="N114" s="8"/>
    </row>
    <row r="115" spans="1:14">
      <c r="A115" s="1">
        <v>113</v>
      </c>
      <c r="B115" s="1">
        <v>125</v>
      </c>
      <c r="C115" s="1">
        <v>4</v>
      </c>
      <c r="D115" s="1">
        <v>2000</v>
      </c>
      <c r="E115" s="1">
        <v>300</v>
      </c>
      <c r="F115" s="17" t="s">
        <v>1379</v>
      </c>
      <c r="J115" s="2"/>
      <c r="L115" s="17">
        <v>45831</v>
      </c>
      <c r="M115" s="8"/>
      <c r="N115" s="8"/>
    </row>
    <row r="116" spans="1:14">
      <c r="A116" s="1">
        <v>114</v>
      </c>
      <c r="B116" s="1">
        <v>126</v>
      </c>
      <c r="C116" s="1">
        <v>30</v>
      </c>
      <c r="D116" s="1">
        <v>5000</v>
      </c>
      <c r="E116" s="1">
        <v>300</v>
      </c>
      <c r="F116" s="17" t="s">
        <v>1379</v>
      </c>
      <c r="J116" s="2"/>
      <c r="L116" s="17">
        <v>45831</v>
      </c>
      <c r="M116" s="8"/>
      <c r="N116" s="8"/>
    </row>
    <row r="117" spans="1:14">
      <c r="A117" s="1">
        <v>115</v>
      </c>
      <c r="B117" s="1">
        <v>127</v>
      </c>
      <c r="C117" s="1">
        <v>42</v>
      </c>
      <c r="D117" s="1">
        <v>3300</v>
      </c>
      <c r="E117" s="1">
        <v>300</v>
      </c>
      <c r="F117" s="17" t="s">
        <v>1379</v>
      </c>
      <c r="J117" s="2"/>
      <c r="L117" s="17">
        <v>45831</v>
      </c>
      <c r="M117" s="8"/>
      <c r="N117" s="8"/>
    </row>
    <row r="118" spans="1:14">
      <c r="A118" s="1">
        <v>116</v>
      </c>
      <c r="B118" s="1">
        <v>128</v>
      </c>
      <c r="C118" s="1">
        <v>4</v>
      </c>
      <c r="D118" s="1">
        <v>6870</v>
      </c>
      <c r="E118" s="1">
        <v>300</v>
      </c>
      <c r="F118" s="17" t="s">
        <v>1380</v>
      </c>
      <c r="J118" s="2"/>
      <c r="L118" s="17">
        <v>45832</v>
      </c>
      <c r="M118" s="8"/>
      <c r="N118" s="8"/>
    </row>
    <row r="119" spans="1:14">
      <c r="A119" s="1">
        <v>117</v>
      </c>
      <c r="B119" s="1">
        <v>129</v>
      </c>
      <c r="C119" s="1">
        <v>34</v>
      </c>
      <c r="D119" s="1">
        <v>6000</v>
      </c>
      <c r="E119" s="1">
        <v>500</v>
      </c>
      <c r="F119" s="17" t="s">
        <v>1380</v>
      </c>
      <c r="J119" s="2"/>
      <c r="L119" s="17">
        <v>45832</v>
      </c>
      <c r="M119" s="8"/>
      <c r="N119" s="8"/>
    </row>
    <row r="120" spans="1:14">
      <c r="A120" s="1">
        <v>118</v>
      </c>
      <c r="B120" s="1">
        <v>129.5</v>
      </c>
      <c r="C120" s="1">
        <v>18</v>
      </c>
      <c r="D120" s="1">
        <v>2000</v>
      </c>
      <c r="E120" s="1">
        <v>500</v>
      </c>
      <c r="F120" s="17" t="s">
        <v>1380</v>
      </c>
      <c r="J120" s="2"/>
      <c r="L120" s="17">
        <v>45832</v>
      </c>
      <c r="M120" s="8"/>
      <c r="N120" s="8"/>
    </row>
    <row r="121" spans="1:14">
      <c r="A121" s="1">
        <v>119</v>
      </c>
      <c r="B121" s="1">
        <v>130</v>
      </c>
      <c r="C121" s="1">
        <v>17</v>
      </c>
      <c r="D121" s="1">
        <v>3005</v>
      </c>
      <c r="E121" s="1">
        <v>300</v>
      </c>
      <c r="F121" s="17" t="s">
        <v>1381</v>
      </c>
      <c r="J121" s="2"/>
      <c r="L121" s="17">
        <v>45833</v>
      </c>
      <c r="M121" s="8"/>
      <c r="N121" s="8"/>
    </row>
    <row r="122" spans="1:14">
      <c r="A122" s="1">
        <v>120</v>
      </c>
      <c r="B122" s="1">
        <v>131</v>
      </c>
      <c r="C122" s="1">
        <v>41</v>
      </c>
      <c r="D122" s="1">
        <v>2200</v>
      </c>
      <c r="E122" s="1">
        <v>300</v>
      </c>
      <c r="F122" s="17" t="s">
        <v>1381</v>
      </c>
      <c r="J122" s="2"/>
      <c r="L122" s="17">
        <v>45833</v>
      </c>
      <c r="M122" s="8"/>
      <c r="N122" s="8"/>
    </row>
    <row r="123" spans="1:14">
      <c r="A123" s="1">
        <v>121</v>
      </c>
      <c r="B123" s="1">
        <v>132</v>
      </c>
      <c r="C123" s="1">
        <v>31</v>
      </c>
      <c r="D123" s="1">
        <v>6000</v>
      </c>
      <c r="E123" s="1">
        <v>300</v>
      </c>
      <c r="F123" s="17" t="s">
        <v>1382</v>
      </c>
      <c r="J123" s="2"/>
      <c r="L123" s="17">
        <v>45836</v>
      </c>
      <c r="M123" s="8"/>
      <c r="N123" s="8"/>
    </row>
    <row r="124" spans="1:14">
      <c r="A124" s="1">
        <v>122</v>
      </c>
      <c r="B124" s="1">
        <v>133</v>
      </c>
      <c r="C124" s="1">
        <v>33</v>
      </c>
      <c r="D124" s="1">
        <v>3000</v>
      </c>
      <c r="E124" s="1">
        <v>500</v>
      </c>
      <c r="F124" s="17" t="s">
        <v>1382</v>
      </c>
      <c r="J124" s="2"/>
      <c r="L124" s="17">
        <v>45836</v>
      </c>
      <c r="M124" s="8"/>
      <c r="N124" s="8"/>
    </row>
    <row r="125" spans="1:14">
      <c r="A125" s="1">
        <v>123</v>
      </c>
      <c r="B125" s="1">
        <v>134</v>
      </c>
      <c r="C125" s="1">
        <v>45</v>
      </c>
      <c r="D125" s="1">
        <v>500</v>
      </c>
      <c r="E125" s="1">
        <v>500</v>
      </c>
      <c r="F125" s="17" t="s">
        <v>1382</v>
      </c>
      <c r="J125" s="2"/>
      <c r="L125" s="17">
        <v>45836</v>
      </c>
      <c r="M125" s="8"/>
      <c r="N125" s="8"/>
    </row>
    <row r="126" spans="1:14">
      <c r="A126" s="1">
        <v>124</v>
      </c>
      <c r="B126" s="1">
        <v>135</v>
      </c>
      <c r="C126" s="1">
        <v>31</v>
      </c>
      <c r="D126" s="1">
        <v>1500</v>
      </c>
      <c r="E126" s="1">
        <v>300</v>
      </c>
      <c r="F126" s="17" t="s">
        <v>1383</v>
      </c>
      <c r="J126" s="2"/>
      <c r="L126" s="17">
        <v>45837</v>
      </c>
      <c r="M126" s="8"/>
      <c r="N126" s="8"/>
    </row>
    <row r="127" spans="1:14">
      <c r="A127" s="1">
        <v>125</v>
      </c>
      <c r="B127" s="1">
        <v>136</v>
      </c>
      <c r="C127" s="1">
        <v>30</v>
      </c>
      <c r="D127" s="1">
        <v>6000</v>
      </c>
      <c r="E127" s="1">
        <v>300</v>
      </c>
      <c r="F127" s="17" t="s">
        <v>1384</v>
      </c>
      <c r="J127" s="2"/>
      <c r="L127" s="17">
        <v>45838</v>
      </c>
      <c r="M127" s="8"/>
      <c r="N127" s="8"/>
    </row>
    <row r="128" spans="1:14">
      <c r="A128" s="1">
        <v>126</v>
      </c>
      <c r="B128" s="1">
        <v>137</v>
      </c>
      <c r="C128" s="1">
        <v>34</v>
      </c>
      <c r="D128" s="1">
        <v>5000</v>
      </c>
      <c r="E128" s="1">
        <v>500</v>
      </c>
      <c r="F128" s="17" t="s">
        <v>1384</v>
      </c>
      <c r="J128" s="2"/>
      <c r="L128" s="17">
        <v>45838</v>
      </c>
      <c r="M128" s="8"/>
      <c r="N128" s="8"/>
    </row>
    <row r="129" spans="1:14">
      <c r="A129" s="1">
        <v>127</v>
      </c>
      <c r="B129" s="1">
        <v>139</v>
      </c>
      <c r="C129" s="1">
        <v>43</v>
      </c>
      <c r="D129" s="1">
        <v>3000</v>
      </c>
      <c r="E129" s="1">
        <v>300</v>
      </c>
      <c r="F129" s="17" t="s">
        <v>1385</v>
      </c>
      <c r="J129" s="2"/>
      <c r="L129" s="17">
        <v>45840</v>
      </c>
      <c r="M129" s="8"/>
      <c r="N129" s="8"/>
    </row>
    <row r="130" spans="1:14">
      <c r="A130" s="1">
        <v>128</v>
      </c>
      <c r="B130" s="1">
        <v>141</v>
      </c>
      <c r="C130" s="1">
        <v>34</v>
      </c>
      <c r="D130" s="1">
        <v>4000</v>
      </c>
      <c r="E130" s="1">
        <v>500</v>
      </c>
      <c r="F130" s="17" t="s">
        <v>1386</v>
      </c>
      <c r="J130" s="2"/>
      <c r="L130" s="17">
        <v>45846</v>
      </c>
      <c r="M130" s="8"/>
      <c r="N130" s="8"/>
    </row>
    <row r="131" spans="1:14">
      <c r="A131" s="1">
        <v>129</v>
      </c>
      <c r="B131" s="1">
        <v>142</v>
      </c>
      <c r="C131" s="1">
        <v>39</v>
      </c>
      <c r="D131" s="1">
        <v>5700</v>
      </c>
      <c r="E131" s="1">
        <v>300</v>
      </c>
      <c r="F131" s="17" t="s">
        <v>1386</v>
      </c>
      <c r="J131" s="2"/>
      <c r="L131" s="17">
        <v>45846</v>
      </c>
      <c r="M131" s="8"/>
      <c r="N131" s="8"/>
    </row>
    <row r="132" spans="1:14">
      <c r="A132" s="1">
        <v>130</v>
      </c>
      <c r="B132" s="1">
        <v>143</v>
      </c>
      <c r="C132" s="1">
        <v>43</v>
      </c>
      <c r="D132" s="1">
        <v>7000</v>
      </c>
      <c r="E132" s="1">
        <v>300</v>
      </c>
      <c r="F132" s="17" t="s">
        <v>1387</v>
      </c>
      <c r="J132" s="2"/>
      <c r="L132" s="17">
        <v>45847</v>
      </c>
      <c r="M132" s="8"/>
      <c r="N132" s="8"/>
    </row>
    <row r="133" spans="1:14">
      <c r="A133" s="1">
        <v>131</v>
      </c>
      <c r="B133" s="1">
        <v>144</v>
      </c>
      <c r="C133" s="1">
        <v>45</v>
      </c>
      <c r="D133" s="1">
        <v>50</v>
      </c>
      <c r="E133" s="1">
        <v>300</v>
      </c>
      <c r="F133" s="17" t="s">
        <v>1388</v>
      </c>
      <c r="J133" s="2"/>
      <c r="L133" s="17">
        <v>45850</v>
      </c>
      <c r="M133" s="8"/>
      <c r="N133" s="8"/>
    </row>
    <row r="134" spans="1:14">
      <c r="A134" s="1">
        <v>132</v>
      </c>
      <c r="B134" s="1">
        <v>145</v>
      </c>
      <c r="C134" s="1">
        <v>33</v>
      </c>
      <c r="D134" s="1">
        <v>7000</v>
      </c>
      <c r="E134" s="1">
        <v>500</v>
      </c>
      <c r="F134" s="17" t="s">
        <v>1388</v>
      </c>
      <c r="J134" s="2"/>
      <c r="L134" s="17">
        <v>45850</v>
      </c>
      <c r="M134" s="8"/>
      <c r="N134" s="8"/>
    </row>
    <row r="135" spans="1:14">
      <c r="A135" s="1">
        <v>133</v>
      </c>
      <c r="B135" s="1">
        <v>147</v>
      </c>
      <c r="C135" s="1">
        <v>44</v>
      </c>
      <c r="D135" s="1">
        <v>1500</v>
      </c>
      <c r="E135" s="1">
        <v>300</v>
      </c>
      <c r="F135" s="17" t="s">
        <v>1389</v>
      </c>
      <c r="J135" s="2"/>
      <c r="L135" s="17">
        <v>45852</v>
      </c>
      <c r="M135" s="8"/>
      <c r="N135" s="8"/>
    </row>
    <row r="136" spans="1:14">
      <c r="A136" s="1">
        <v>134</v>
      </c>
      <c r="B136" s="1">
        <v>148</v>
      </c>
      <c r="C136" s="1">
        <v>43</v>
      </c>
      <c r="D136" s="1">
        <v>6000</v>
      </c>
      <c r="E136" s="1">
        <v>300</v>
      </c>
      <c r="F136" s="17" t="s">
        <v>1390</v>
      </c>
      <c r="J136" s="2"/>
      <c r="L136" s="17">
        <v>45853</v>
      </c>
      <c r="M136" s="8"/>
      <c r="N136" s="8"/>
    </row>
    <row r="137" spans="1:14">
      <c r="A137" s="1">
        <v>135</v>
      </c>
      <c r="B137" s="1">
        <v>149</v>
      </c>
      <c r="C137" s="1">
        <v>45</v>
      </c>
      <c r="D137" s="1">
        <v>100</v>
      </c>
      <c r="E137" s="1">
        <v>100</v>
      </c>
      <c r="F137" s="17" t="s">
        <v>1390</v>
      </c>
      <c r="J137" s="2"/>
      <c r="L137" s="17">
        <v>45853</v>
      </c>
      <c r="M137" s="8"/>
      <c r="N137" s="8"/>
    </row>
    <row r="138" spans="1:14">
      <c r="A138" s="1">
        <v>136</v>
      </c>
      <c r="B138" s="1">
        <v>151</v>
      </c>
      <c r="C138" s="1">
        <v>43</v>
      </c>
      <c r="D138" s="1">
        <v>3000</v>
      </c>
      <c r="E138" s="1">
        <v>300</v>
      </c>
      <c r="F138" s="17" t="s">
        <v>1391</v>
      </c>
      <c r="J138" s="2"/>
      <c r="L138" s="17">
        <v>45857</v>
      </c>
      <c r="M138" s="8"/>
      <c r="N138" s="8"/>
    </row>
    <row r="139" spans="1:14">
      <c r="A139" s="1">
        <v>137</v>
      </c>
      <c r="B139" s="1">
        <v>152</v>
      </c>
      <c r="C139" s="1">
        <v>43</v>
      </c>
      <c r="D139" s="1">
        <v>3000</v>
      </c>
      <c r="E139" s="1">
        <v>300</v>
      </c>
      <c r="F139" s="17" t="s">
        <v>1392</v>
      </c>
      <c r="J139" s="2"/>
      <c r="L139" s="17">
        <v>45858</v>
      </c>
      <c r="M139" s="8"/>
      <c r="N139" s="8"/>
    </row>
    <row r="140" spans="1:14">
      <c r="A140" s="1">
        <v>138</v>
      </c>
      <c r="B140" s="1">
        <v>153</v>
      </c>
      <c r="C140" s="1">
        <v>30</v>
      </c>
      <c r="D140" s="1">
        <v>3000</v>
      </c>
      <c r="E140" s="1">
        <v>300</v>
      </c>
      <c r="F140" s="17" t="s">
        <v>1392</v>
      </c>
      <c r="J140" s="2"/>
      <c r="L140" s="17">
        <v>45858</v>
      </c>
      <c r="M140" s="8"/>
      <c r="N140" s="8"/>
    </row>
    <row r="141" spans="1:14">
      <c r="A141" s="1">
        <v>139</v>
      </c>
      <c r="B141" s="1">
        <v>154</v>
      </c>
      <c r="C141" s="1">
        <v>44</v>
      </c>
      <c r="D141" s="1">
        <v>7000</v>
      </c>
      <c r="E141" s="1">
        <v>300</v>
      </c>
      <c r="F141" s="17" t="s">
        <v>1393</v>
      </c>
      <c r="J141" s="2"/>
      <c r="L141" s="17">
        <v>45860</v>
      </c>
      <c r="M141" s="8"/>
      <c r="N141" s="8"/>
    </row>
    <row r="142" spans="1:14">
      <c r="A142" s="1">
        <v>140</v>
      </c>
      <c r="B142" s="1">
        <v>155</v>
      </c>
      <c r="C142" s="1">
        <v>45</v>
      </c>
      <c r="D142" s="1">
        <v>100</v>
      </c>
      <c r="E142" s="1">
        <v>300</v>
      </c>
      <c r="F142" s="17" t="s">
        <v>1394</v>
      </c>
      <c r="J142" s="2"/>
      <c r="L142" s="17">
        <v>45864</v>
      </c>
      <c r="M142" s="8"/>
      <c r="N142" s="8"/>
    </row>
    <row r="143" spans="1:14">
      <c r="A143" s="1">
        <v>141</v>
      </c>
      <c r="B143" s="1">
        <v>156</v>
      </c>
      <c r="C143" s="1">
        <v>45</v>
      </c>
      <c r="D143" s="1">
        <v>300</v>
      </c>
      <c r="E143" s="1">
        <v>300</v>
      </c>
      <c r="F143" s="17" t="s">
        <v>1394</v>
      </c>
      <c r="J143" s="2"/>
      <c r="L143" s="17">
        <v>45864</v>
      </c>
      <c r="M143" s="8"/>
      <c r="N143" s="8"/>
    </row>
    <row r="144" spans="1:14">
      <c r="A144" s="1">
        <v>142</v>
      </c>
      <c r="B144" s="1">
        <v>157</v>
      </c>
      <c r="C144" s="1">
        <v>43</v>
      </c>
      <c r="D144" s="1">
        <v>1500</v>
      </c>
      <c r="E144" s="1">
        <v>300</v>
      </c>
      <c r="F144" s="17" t="s">
        <v>1394</v>
      </c>
      <c r="J144" s="2"/>
      <c r="L144" s="17">
        <v>45864</v>
      </c>
      <c r="M144" s="8"/>
      <c r="N144" s="8"/>
    </row>
    <row r="145" spans="1:14">
      <c r="A145" s="1">
        <v>143</v>
      </c>
      <c r="B145" s="1">
        <v>158</v>
      </c>
      <c r="C145" s="1">
        <v>45</v>
      </c>
      <c r="D145" s="1">
        <v>500</v>
      </c>
      <c r="E145" s="1">
        <v>100</v>
      </c>
      <c r="F145" s="17" t="s">
        <v>1394</v>
      </c>
      <c r="J145" s="2"/>
      <c r="L145" s="17">
        <v>45864</v>
      </c>
      <c r="M145" s="8"/>
      <c r="N145" s="8"/>
    </row>
    <row r="146" spans="1:14">
      <c r="A146" s="1">
        <v>144</v>
      </c>
      <c r="B146" s="1">
        <v>159</v>
      </c>
      <c r="C146" s="1">
        <v>45</v>
      </c>
      <c r="D146" s="1">
        <v>1000</v>
      </c>
      <c r="E146" s="1">
        <v>300</v>
      </c>
      <c r="F146" s="17" t="s">
        <v>1395</v>
      </c>
      <c r="J146" s="2"/>
      <c r="L146" s="17">
        <v>45866</v>
      </c>
      <c r="M146" s="8"/>
      <c r="N146" s="8"/>
    </row>
    <row r="147" spans="1:14">
      <c r="A147" s="1">
        <v>145</v>
      </c>
      <c r="B147" s="1">
        <v>160</v>
      </c>
      <c r="C147" s="1">
        <v>30</v>
      </c>
      <c r="D147" s="1">
        <v>3000</v>
      </c>
      <c r="E147" s="1">
        <v>300</v>
      </c>
      <c r="F147" s="17" t="s">
        <v>1396</v>
      </c>
      <c r="J147" s="2"/>
      <c r="L147" s="17">
        <v>45867</v>
      </c>
      <c r="M147" s="8"/>
      <c r="N147" s="8"/>
    </row>
    <row r="148" spans="1:14">
      <c r="A148" s="1">
        <v>146</v>
      </c>
      <c r="B148" s="1">
        <v>161</v>
      </c>
      <c r="C148" s="1">
        <v>43</v>
      </c>
      <c r="D148" s="1">
        <v>1500</v>
      </c>
      <c r="E148" s="1">
        <v>300</v>
      </c>
      <c r="F148" s="17" t="s">
        <v>1396</v>
      </c>
      <c r="J148" s="2"/>
      <c r="L148" s="17">
        <v>45867</v>
      </c>
      <c r="M148" s="8"/>
      <c r="N148" s="8"/>
    </row>
    <row r="149" spans="1:14">
      <c r="A149" s="1">
        <v>147</v>
      </c>
      <c r="B149" s="1">
        <v>162</v>
      </c>
      <c r="C149" s="1">
        <v>30</v>
      </c>
      <c r="E149" s="1">
        <v>300</v>
      </c>
      <c r="F149" s="17" t="s">
        <v>1397</v>
      </c>
      <c r="J149" s="2" t="s">
        <v>425</v>
      </c>
      <c r="L149" s="17">
        <v>45868</v>
      </c>
      <c r="M149" s="8"/>
      <c r="N149" s="8"/>
    </row>
    <row r="150" spans="1:14">
      <c r="A150" s="1">
        <v>148</v>
      </c>
      <c r="B150" s="1">
        <v>163</v>
      </c>
      <c r="C150" s="1">
        <v>43</v>
      </c>
      <c r="D150" s="1">
        <v>3000</v>
      </c>
      <c r="E150" s="1">
        <v>300</v>
      </c>
      <c r="F150" s="17" t="s">
        <v>1397</v>
      </c>
      <c r="J150" s="2"/>
      <c r="L150" s="17">
        <v>45868</v>
      </c>
      <c r="M150" s="8"/>
      <c r="N150" s="8"/>
    </row>
    <row r="151" spans="1:14">
      <c r="A151" s="1">
        <v>149</v>
      </c>
      <c r="B151" s="1">
        <v>164</v>
      </c>
      <c r="C151" s="1">
        <v>33</v>
      </c>
      <c r="D151" s="1">
        <v>100</v>
      </c>
      <c r="E151" s="1">
        <v>500</v>
      </c>
      <c r="F151" s="17" t="s">
        <v>1397</v>
      </c>
      <c r="J151" s="2"/>
      <c r="L151" s="17">
        <v>45868</v>
      </c>
      <c r="M151" s="8"/>
      <c r="N151" s="8"/>
    </row>
    <row r="152" spans="1:14">
      <c r="A152" s="1">
        <v>150</v>
      </c>
      <c r="B152" s="1">
        <v>165</v>
      </c>
      <c r="C152" s="1">
        <v>4</v>
      </c>
      <c r="D152" s="1">
        <v>6</v>
      </c>
      <c r="E152" s="1">
        <v>300</v>
      </c>
      <c r="F152" s="17" t="s">
        <v>1397</v>
      </c>
      <c r="J152" s="2"/>
      <c r="L152" s="17">
        <v>45868</v>
      </c>
      <c r="M152" s="8"/>
      <c r="N152" s="8"/>
    </row>
    <row r="153" spans="1:14">
      <c r="A153" s="1">
        <v>151</v>
      </c>
      <c r="B153" s="1">
        <v>166</v>
      </c>
      <c r="C153" s="1">
        <v>45</v>
      </c>
      <c r="D153" s="1">
        <v>900</v>
      </c>
      <c r="E153" s="1">
        <v>300</v>
      </c>
      <c r="F153" s="17" t="s">
        <v>1397</v>
      </c>
      <c r="J153" s="2"/>
      <c r="L153" s="17">
        <v>45868</v>
      </c>
      <c r="M153" s="8"/>
      <c r="N153" s="8"/>
    </row>
    <row r="154" spans="1:14">
      <c r="A154" s="1">
        <v>152</v>
      </c>
      <c r="B154" s="1">
        <v>167</v>
      </c>
      <c r="C154" s="1">
        <v>45</v>
      </c>
      <c r="D154" s="1">
        <v>900</v>
      </c>
      <c r="E154" s="1">
        <v>300</v>
      </c>
      <c r="F154" s="17" t="s">
        <v>1398</v>
      </c>
      <c r="J154" s="2"/>
      <c r="L154" s="17">
        <v>45871</v>
      </c>
      <c r="M154" s="8"/>
      <c r="N154" s="8"/>
    </row>
    <row r="155" spans="1:14">
      <c r="A155" s="1">
        <v>153</v>
      </c>
      <c r="B155" s="1">
        <v>168</v>
      </c>
      <c r="C155" s="1">
        <v>30</v>
      </c>
      <c r="D155" s="1">
        <v>3000</v>
      </c>
      <c r="E155" s="1">
        <v>300</v>
      </c>
      <c r="F155" s="17" t="s">
        <v>1398</v>
      </c>
      <c r="J155" s="2"/>
      <c r="L155" s="17">
        <v>45871</v>
      </c>
      <c r="M155" s="8"/>
      <c r="N155" s="8"/>
    </row>
    <row r="156" spans="1:14">
      <c r="A156" s="1">
        <v>154</v>
      </c>
      <c r="B156" s="1">
        <v>169</v>
      </c>
      <c r="C156" s="1">
        <v>45</v>
      </c>
      <c r="D156" s="1">
        <v>900</v>
      </c>
      <c r="E156" s="1">
        <v>300</v>
      </c>
      <c r="F156" s="17" t="s">
        <v>1399</v>
      </c>
      <c r="J156" s="2"/>
      <c r="L156" s="17">
        <v>45872</v>
      </c>
      <c r="M156" s="8"/>
      <c r="N156" s="8"/>
    </row>
    <row r="157" spans="1:14">
      <c r="A157" s="1">
        <v>155</v>
      </c>
      <c r="B157" s="1">
        <v>170</v>
      </c>
      <c r="C157" s="1">
        <v>43</v>
      </c>
      <c r="D157" s="1">
        <v>3000</v>
      </c>
      <c r="E157" s="1">
        <v>300</v>
      </c>
      <c r="F157" s="17" t="s">
        <v>1399</v>
      </c>
      <c r="J157" s="2"/>
      <c r="L157" s="17">
        <v>45872</v>
      </c>
      <c r="M157" s="8"/>
      <c r="N157" s="8"/>
    </row>
    <row r="158" spans="1:14">
      <c r="A158" s="1">
        <v>156</v>
      </c>
      <c r="B158" s="1">
        <v>180</v>
      </c>
      <c r="C158" s="1">
        <v>4</v>
      </c>
      <c r="D158" s="1">
        <v>12</v>
      </c>
      <c r="E158" s="1">
        <v>300</v>
      </c>
      <c r="F158" s="17" t="s">
        <v>1399</v>
      </c>
      <c r="J158" s="2"/>
      <c r="L158" s="17">
        <v>45872</v>
      </c>
      <c r="M158" s="8"/>
      <c r="N158" s="8"/>
    </row>
    <row r="159" spans="1:14">
      <c r="A159" s="1">
        <v>157</v>
      </c>
      <c r="B159" s="1">
        <v>181</v>
      </c>
      <c r="C159" s="1">
        <v>30</v>
      </c>
      <c r="D159" s="1">
        <v>3000</v>
      </c>
      <c r="E159" s="1">
        <v>300</v>
      </c>
      <c r="F159" s="17" t="s">
        <v>1400</v>
      </c>
      <c r="J159" s="2"/>
      <c r="L159" s="17">
        <v>45873</v>
      </c>
      <c r="M159" s="8"/>
      <c r="N159" s="8"/>
    </row>
    <row r="160" spans="1:14">
      <c r="A160" s="1">
        <v>158</v>
      </c>
      <c r="B160" s="1">
        <v>182</v>
      </c>
      <c r="C160" s="1">
        <v>17</v>
      </c>
      <c r="D160" s="1">
        <v>65</v>
      </c>
      <c r="E160" s="1">
        <v>300</v>
      </c>
      <c r="F160" s="17" t="s">
        <v>1400</v>
      </c>
      <c r="J160" s="2"/>
      <c r="L160" s="17">
        <v>45873</v>
      </c>
      <c r="M160" s="8"/>
      <c r="N160" s="8"/>
    </row>
    <row r="161" spans="1:14">
      <c r="A161" s="1">
        <v>159</v>
      </c>
      <c r="B161" s="1">
        <v>183</v>
      </c>
      <c r="C161" s="1">
        <v>43</v>
      </c>
      <c r="D161" s="1">
        <v>3000</v>
      </c>
      <c r="E161" s="1">
        <v>300</v>
      </c>
      <c r="F161" s="17" t="s">
        <v>1401</v>
      </c>
      <c r="J161" s="2"/>
      <c r="L161" s="17">
        <v>45874</v>
      </c>
      <c r="M161" s="8"/>
      <c r="N161" s="8"/>
    </row>
    <row r="162" spans="1:14">
      <c r="A162" s="1">
        <v>160</v>
      </c>
      <c r="B162" s="1">
        <v>184</v>
      </c>
      <c r="C162" s="1">
        <v>45</v>
      </c>
      <c r="D162" s="1">
        <v>900</v>
      </c>
      <c r="E162" s="1">
        <v>300</v>
      </c>
      <c r="F162" s="17" t="s">
        <v>1401</v>
      </c>
      <c r="J162" s="2"/>
      <c r="L162" s="17">
        <v>45874</v>
      </c>
      <c r="M162" s="8"/>
      <c r="N162" s="8"/>
    </row>
    <row r="163" spans="1:14">
      <c r="A163" s="1">
        <v>161</v>
      </c>
      <c r="B163" s="1">
        <v>185</v>
      </c>
      <c r="C163" s="1">
        <v>46</v>
      </c>
      <c r="D163" s="1">
        <v>400</v>
      </c>
      <c r="E163" s="1">
        <v>300</v>
      </c>
      <c r="F163" s="17" t="s">
        <v>1402</v>
      </c>
      <c r="J163" s="2"/>
      <c r="L163" s="17">
        <v>45875</v>
      </c>
      <c r="M163" s="8"/>
      <c r="N163" s="8"/>
    </row>
    <row r="164" spans="1:14">
      <c r="A164" s="1">
        <v>162</v>
      </c>
      <c r="B164" s="1">
        <v>186</v>
      </c>
      <c r="C164" s="1">
        <v>47</v>
      </c>
      <c r="D164" s="1">
        <v>700</v>
      </c>
      <c r="E164" s="1">
        <v>300</v>
      </c>
      <c r="F164" s="17" t="s">
        <v>1402</v>
      </c>
      <c r="J164" s="2"/>
      <c r="L164" s="17">
        <v>45875</v>
      </c>
      <c r="M164" s="8"/>
      <c r="N164" s="8"/>
    </row>
    <row r="165" spans="1:14">
      <c r="A165" s="1">
        <v>163</v>
      </c>
      <c r="B165" s="1">
        <v>187</v>
      </c>
      <c r="C165" s="1">
        <v>45</v>
      </c>
      <c r="D165" s="1">
        <v>1500</v>
      </c>
      <c r="E165" s="1">
        <v>300</v>
      </c>
      <c r="F165" s="17" t="s">
        <v>1402</v>
      </c>
      <c r="J165" s="2"/>
      <c r="L165" s="17">
        <v>45875</v>
      </c>
      <c r="M165" s="8"/>
      <c r="N165" s="8"/>
    </row>
    <row r="166" spans="1:14">
      <c r="A166" s="1">
        <v>164</v>
      </c>
      <c r="B166" s="1">
        <v>188</v>
      </c>
      <c r="C166" s="1">
        <v>43</v>
      </c>
      <c r="D166" s="1">
        <v>1500</v>
      </c>
      <c r="E166" s="1">
        <v>300</v>
      </c>
      <c r="F166" s="17" t="s">
        <v>1403</v>
      </c>
      <c r="J166" s="2"/>
      <c r="L166" s="17">
        <v>45878</v>
      </c>
      <c r="M166" s="8"/>
      <c r="N166" s="8"/>
    </row>
    <row r="167" spans="1:14">
      <c r="A167" s="1">
        <v>165</v>
      </c>
      <c r="B167" s="1">
        <v>189</v>
      </c>
      <c r="C167" s="1">
        <v>30</v>
      </c>
      <c r="D167" s="1">
        <v>2000</v>
      </c>
      <c r="E167" s="1">
        <v>300</v>
      </c>
      <c r="F167" s="17" t="s">
        <v>1403</v>
      </c>
      <c r="J167" s="2"/>
      <c r="L167" s="17">
        <v>45878</v>
      </c>
      <c r="M167" s="8"/>
      <c r="N167" s="8"/>
    </row>
    <row r="168" spans="1:14">
      <c r="A168" s="1">
        <v>166</v>
      </c>
      <c r="B168" s="1">
        <v>191</v>
      </c>
      <c r="C168" s="1">
        <v>38</v>
      </c>
      <c r="D168" s="1">
        <v>75</v>
      </c>
      <c r="E168" s="1">
        <v>300</v>
      </c>
      <c r="F168" s="17" t="s">
        <v>1404</v>
      </c>
      <c r="J168" s="2" t="s">
        <v>427</v>
      </c>
      <c r="L168" s="17">
        <v>45879</v>
      </c>
      <c r="M168" s="8"/>
      <c r="N168" s="8"/>
    </row>
    <row r="169" spans="1:14">
      <c r="A169" s="1">
        <v>167</v>
      </c>
      <c r="B169" s="1">
        <v>192</v>
      </c>
      <c r="C169" s="1">
        <v>45</v>
      </c>
      <c r="D169" s="1">
        <v>1500</v>
      </c>
      <c r="E169" s="1">
        <v>300</v>
      </c>
      <c r="F169" s="17" t="s">
        <v>1404</v>
      </c>
      <c r="J169" s="2"/>
      <c r="L169" s="17">
        <v>45879</v>
      </c>
      <c r="M169" s="8"/>
      <c r="N169" s="8"/>
    </row>
    <row r="170" spans="1:14">
      <c r="A170" s="1">
        <v>168</v>
      </c>
      <c r="B170" s="1">
        <v>193</v>
      </c>
      <c r="C170" s="1">
        <v>43</v>
      </c>
      <c r="D170" s="1">
        <v>3000</v>
      </c>
      <c r="E170" s="1">
        <v>300</v>
      </c>
      <c r="F170" s="17" t="s">
        <v>1404</v>
      </c>
      <c r="J170" s="2"/>
      <c r="L170" s="17">
        <v>45879</v>
      </c>
      <c r="M170" s="8"/>
      <c r="N170" s="8"/>
    </row>
    <row r="171" spans="1:14">
      <c r="A171" s="1">
        <v>169</v>
      </c>
      <c r="B171" s="1">
        <v>194</v>
      </c>
      <c r="C171" s="1">
        <v>43</v>
      </c>
      <c r="D171" s="1">
        <v>3000</v>
      </c>
      <c r="E171" s="1">
        <v>300</v>
      </c>
      <c r="F171" s="17" t="s">
        <v>1405</v>
      </c>
      <c r="J171" s="2"/>
      <c r="L171" s="17">
        <v>45882</v>
      </c>
      <c r="M171" s="8"/>
      <c r="N171" s="8"/>
    </row>
    <row r="172" spans="1:14">
      <c r="A172" s="1">
        <v>170</v>
      </c>
      <c r="B172" s="1">
        <v>195</v>
      </c>
      <c r="C172" s="1">
        <v>43</v>
      </c>
      <c r="D172" s="1">
        <v>3000</v>
      </c>
      <c r="E172" s="1">
        <v>300</v>
      </c>
      <c r="F172" s="17" t="s">
        <v>1406</v>
      </c>
      <c r="J172" s="2"/>
      <c r="L172" s="17">
        <v>45885</v>
      </c>
      <c r="M172" s="8"/>
      <c r="N172" s="8"/>
    </row>
    <row r="173" spans="1:14">
      <c r="A173" s="1">
        <v>171</v>
      </c>
      <c r="B173" s="1">
        <v>196</v>
      </c>
      <c r="C173" s="1">
        <v>48</v>
      </c>
      <c r="D173" s="1">
        <v>3000</v>
      </c>
      <c r="E173" s="1">
        <v>300</v>
      </c>
      <c r="F173" s="17" t="s">
        <v>1407</v>
      </c>
      <c r="J173" s="2"/>
      <c r="L173" s="17">
        <v>45886</v>
      </c>
      <c r="M173" s="8"/>
      <c r="N173" s="8"/>
    </row>
    <row r="174" spans="1:14">
      <c r="A174" s="1">
        <v>172</v>
      </c>
      <c r="B174" s="1">
        <v>197</v>
      </c>
      <c r="C174" s="1">
        <v>50</v>
      </c>
      <c r="D174" s="1">
        <v>1800</v>
      </c>
      <c r="E174" s="1">
        <v>300</v>
      </c>
      <c r="F174" s="17" t="s">
        <v>1408</v>
      </c>
      <c r="J174" s="2"/>
      <c r="L174" s="17">
        <v>45887</v>
      </c>
      <c r="M174" s="8"/>
      <c r="N174" s="8"/>
    </row>
    <row r="175" spans="1:14">
      <c r="A175" s="1">
        <v>173</v>
      </c>
      <c r="B175" s="1">
        <v>198</v>
      </c>
      <c r="C175" s="1">
        <v>49</v>
      </c>
      <c r="D175" s="1">
        <v>3000</v>
      </c>
      <c r="E175" s="1">
        <v>300</v>
      </c>
      <c r="F175" s="17" t="s">
        <v>1408</v>
      </c>
      <c r="J175" s="2"/>
      <c r="L175" s="17">
        <v>45887</v>
      </c>
      <c r="M175" s="8"/>
      <c r="N175" s="8"/>
    </row>
    <row r="176" spans="1:14">
      <c r="A176" s="1">
        <v>174</v>
      </c>
      <c r="B176" s="1">
        <v>199</v>
      </c>
      <c r="C176" s="1">
        <v>46</v>
      </c>
      <c r="D176" s="1">
        <v>3</v>
      </c>
      <c r="E176" s="1">
        <v>300</v>
      </c>
      <c r="F176" s="17" t="s">
        <v>1407</v>
      </c>
      <c r="J176" s="2" t="s">
        <v>428</v>
      </c>
      <c r="L176" s="17">
        <v>45886</v>
      </c>
      <c r="M176" s="8"/>
      <c r="N176" s="8"/>
    </row>
    <row r="177" spans="1:14">
      <c r="A177" s="1">
        <v>175</v>
      </c>
      <c r="B177" s="1">
        <v>200</v>
      </c>
      <c r="C177" s="1">
        <v>45</v>
      </c>
      <c r="D177" s="1">
        <v>1850</v>
      </c>
      <c r="E177" s="1">
        <v>300</v>
      </c>
      <c r="F177" s="17" t="s">
        <v>1408</v>
      </c>
      <c r="J177" s="2"/>
      <c r="L177" s="17">
        <v>45887</v>
      </c>
      <c r="M177" s="8"/>
      <c r="N177" s="8"/>
    </row>
    <row r="178" spans="1:14">
      <c r="A178" s="1">
        <v>176</v>
      </c>
      <c r="B178" s="1">
        <v>201</v>
      </c>
      <c r="C178" s="1">
        <v>48</v>
      </c>
      <c r="D178" s="1">
        <v>3000</v>
      </c>
      <c r="E178" s="1">
        <v>300</v>
      </c>
      <c r="F178" s="17" t="s">
        <v>1408</v>
      </c>
      <c r="J178" s="2"/>
      <c r="L178" s="17">
        <v>45887</v>
      </c>
      <c r="M178" s="8"/>
      <c r="N178" s="8"/>
    </row>
    <row r="179" spans="1:14">
      <c r="A179" s="1">
        <v>177</v>
      </c>
      <c r="B179" s="1">
        <v>202</v>
      </c>
      <c r="C179" s="1">
        <v>49</v>
      </c>
      <c r="D179" s="1">
        <v>3000</v>
      </c>
      <c r="E179" s="1">
        <v>300</v>
      </c>
      <c r="F179" s="17" t="s">
        <v>1408</v>
      </c>
      <c r="J179" s="2"/>
      <c r="L179" s="17">
        <v>45887</v>
      </c>
      <c r="M179" s="8"/>
      <c r="N179" s="8"/>
    </row>
    <row r="180" spans="1:14">
      <c r="A180" s="1">
        <v>178</v>
      </c>
      <c r="B180" s="1">
        <v>203</v>
      </c>
      <c r="C180" s="1">
        <v>48</v>
      </c>
      <c r="D180" s="1">
        <v>3000</v>
      </c>
      <c r="E180" s="1">
        <v>300</v>
      </c>
      <c r="F180" s="17" t="s">
        <v>1409</v>
      </c>
      <c r="J180" s="2"/>
      <c r="L180" s="17">
        <v>45888</v>
      </c>
      <c r="M180" s="8"/>
      <c r="N180" s="8"/>
    </row>
    <row r="181" spans="1:14">
      <c r="A181" s="1">
        <v>179</v>
      </c>
      <c r="B181" s="1">
        <v>204</v>
      </c>
      <c r="C181" s="1">
        <v>49</v>
      </c>
      <c r="D181" s="1">
        <v>3000</v>
      </c>
      <c r="E181" s="1">
        <v>300</v>
      </c>
      <c r="F181" s="17" t="s">
        <v>1409</v>
      </c>
      <c r="J181" s="2"/>
      <c r="L181" s="17">
        <v>45888</v>
      </c>
      <c r="M181" s="8"/>
      <c r="N181" s="8"/>
    </row>
    <row r="182" spans="1:14">
      <c r="A182" s="1">
        <v>180</v>
      </c>
      <c r="B182" s="1">
        <v>208</v>
      </c>
      <c r="C182" s="1">
        <v>51</v>
      </c>
      <c r="D182" s="1">
        <v>1800</v>
      </c>
      <c r="E182" s="1">
        <v>300</v>
      </c>
      <c r="F182" s="17" t="s">
        <v>1410</v>
      </c>
      <c r="J182" s="2"/>
      <c r="L182" s="17">
        <v>45892</v>
      </c>
      <c r="M182" s="8"/>
      <c r="N182" s="8"/>
    </row>
    <row r="183" spans="1:14">
      <c r="A183" s="1">
        <v>181</v>
      </c>
      <c r="B183" s="1">
        <v>209</v>
      </c>
      <c r="C183" s="1">
        <v>52</v>
      </c>
      <c r="D183" s="1">
        <v>2500</v>
      </c>
      <c r="E183" s="1">
        <v>300</v>
      </c>
      <c r="F183" s="17" t="s">
        <v>1411</v>
      </c>
      <c r="J183" s="2"/>
      <c r="L183" s="17">
        <v>45894</v>
      </c>
      <c r="M183" s="8"/>
      <c r="N183" s="8"/>
    </row>
    <row r="184" spans="1:14">
      <c r="A184" s="1">
        <v>182</v>
      </c>
      <c r="B184" s="1">
        <v>210</v>
      </c>
      <c r="C184" s="1">
        <v>50</v>
      </c>
      <c r="D184" s="1">
        <v>1000</v>
      </c>
      <c r="E184" s="1">
        <v>300</v>
      </c>
      <c r="F184" s="17" t="s">
        <v>1411</v>
      </c>
      <c r="J184" s="2"/>
      <c r="L184" s="17">
        <v>45894</v>
      </c>
      <c r="M184" s="8"/>
      <c r="N184" s="8"/>
    </row>
    <row r="185" spans="1:14">
      <c r="A185" s="1">
        <v>183</v>
      </c>
      <c r="B185" s="1">
        <v>211</v>
      </c>
      <c r="C185" s="1">
        <v>44</v>
      </c>
      <c r="D185" s="1">
        <v>2</v>
      </c>
      <c r="E185" s="1">
        <v>2</v>
      </c>
      <c r="F185" s="17" t="s">
        <v>1412</v>
      </c>
      <c r="J185" s="2" t="s">
        <v>429</v>
      </c>
      <c r="L185" s="17">
        <v>45895</v>
      </c>
      <c r="M185" s="8"/>
      <c r="N185" s="8"/>
    </row>
    <row r="186" spans="1:14">
      <c r="A186" s="1">
        <v>184</v>
      </c>
      <c r="B186" s="1">
        <v>212</v>
      </c>
      <c r="C186" s="1">
        <v>48</v>
      </c>
      <c r="D186" s="1">
        <v>3000</v>
      </c>
      <c r="E186" s="1">
        <v>300</v>
      </c>
      <c r="F186" s="17" t="s">
        <v>1413</v>
      </c>
      <c r="J186" s="2"/>
      <c r="L186" s="17">
        <v>45899</v>
      </c>
      <c r="M186" s="8"/>
      <c r="N186" s="8"/>
    </row>
    <row r="187" spans="1:14">
      <c r="A187" s="1">
        <v>185</v>
      </c>
      <c r="B187" s="1">
        <v>213</v>
      </c>
      <c r="C187" s="1">
        <v>49</v>
      </c>
      <c r="D187" s="1">
        <v>3000</v>
      </c>
      <c r="E187" s="1">
        <v>300</v>
      </c>
      <c r="F187" s="17" t="s">
        <v>1413</v>
      </c>
      <c r="J187" s="2"/>
      <c r="L187" s="17">
        <v>45899</v>
      </c>
      <c r="M187" s="8"/>
      <c r="N187" s="8"/>
    </row>
    <row r="188" spans="1:14">
      <c r="A188" s="1">
        <v>186</v>
      </c>
      <c r="B188" s="1">
        <v>214</v>
      </c>
      <c r="C188" s="1">
        <v>43</v>
      </c>
      <c r="D188" s="1">
        <v>3000</v>
      </c>
      <c r="E188" s="1">
        <v>300</v>
      </c>
      <c r="F188" s="17" t="s">
        <v>1413</v>
      </c>
      <c r="J188" s="2"/>
      <c r="L188" s="17">
        <v>45899</v>
      </c>
      <c r="M188" s="8"/>
      <c r="N188" s="8"/>
    </row>
    <row r="189" spans="1:14">
      <c r="A189" s="1">
        <v>187</v>
      </c>
      <c r="B189" s="1">
        <v>215</v>
      </c>
      <c r="C189" s="1">
        <v>48</v>
      </c>
      <c r="D189" s="1">
        <v>3000</v>
      </c>
      <c r="E189" s="1">
        <v>300</v>
      </c>
      <c r="F189" s="17" t="s">
        <v>1414</v>
      </c>
      <c r="J189" s="2"/>
      <c r="L189" s="17">
        <v>45902</v>
      </c>
      <c r="M189" s="8"/>
      <c r="N189" s="8"/>
    </row>
    <row r="190" spans="1:14">
      <c r="A190" s="1">
        <v>188</v>
      </c>
      <c r="B190" s="1">
        <v>216</v>
      </c>
      <c r="C190" s="1">
        <v>49</v>
      </c>
      <c r="D190" s="1">
        <v>3000</v>
      </c>
      <c r="E190" s="1">
        <v>300</v>
      </c>
      <c r="F190" s="17" t="s">
        <v>1414</v>
      </c>
      <c r="J190" s="2"/>
      <c r="L190" s="17">
        <v>45902</v>
      </c>
      <c r="M190" s="8"/>
      <c r="N190" s="8"/>
    </row>
    <row r="191" spans="1:14">
      <c r="A191" s="1">
        <v>189</v>
      </c>
      <c r="B191" s="1">
        <v>217</v>
      </c>
      <c r="C191" s="1">
        <v>43</v>
      </c>
      <c r="D191" s="1">
        <v>3000</v>
      </c>
      <c r="E191" s="1">
        <v>300</v>
      </c>
      <c r="F191" s="17" t="s">
        <v>1414</v>
      </c>
      <c r="J191" s="2"/>
      <c r="L191" s="17">
        <v>45902</v>
      </c>
      <c r="M191" s="8"/>
      <c r="N191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3E9F6E-56CE-454D-9E45-1CAF4189E945}">
          <x14:formula1>
            <xm:f>_mySQL!$A$2:$A$51</xm:f>
          </x14:formula1>
          <xm:sqref>A2:N2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7"/>
  <sheetViews>
    <sheetView workbookViewId="0">
      <selection activeCell="G2" sqref="D2:G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>
      <c r="A1" s="1" t="s">
        <v>0</v>
      </c>
      <c r="B1" s="1" t="s">
        <v>412</v>
      </c>
      <c r="C1" s="1" t="s">
        <v>409</v>
      </c>
      <c r="D1" s="1" t="s">
        <v>318</v>
      </c>
      <c r="E1" s="1" t="s">
        <v>414</v>
      </c>
      <c r="F1" s="1" t="s">
        <v>415</v>
      </c>
      <c r="G1" s="1" t="s">
        <v>416</v>
      </c>
      <c r="H1" s="1" t="s">
        <v>321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587</v>
      </c>
      <c r="B2" s="1" t="s">
        <v>1327</v>
      </c>
      <c r="C2" s="1" t="s">
        <v>1331</v>
      </c>
      <c r="D2" s="1" t="s">
        <v>579</v>
      </c>
      <c r="E2" s="1" t="s">
        <v>1332</v>
      </c>
      <c r="F2" s="1" t="s">
        <v>585</v>
      </c>
      <c r="G2" s="1" t="s">
        <v>585</v>
      </c>
      <c r="H2" s="1" t="s">
        <v>583</v>
      </c>
      <c r="I2" s="1" t="s">
        <v>584</v>
      </c>
      <c r="J2" s="1" t="s">
        <v>582</v>
      </c>
      <c r="K2" s="1" t="s">
        <v>1331</v>
      </c>
      <c r="L2" s="1" t="s">
        <v>585</v>
      </c>
      <c r="M2" s="1" t="s">
        <v>585</v>
      </c>
      <c r="N2" s="1" t="s">
        <v>585</v>
      </c>
    </row>
    <row r="3" spans="1:14">
      <c r="A3" s="1">
        <v>125</v>
      </c>
      <c r="B3" s="1">
        <v>117.2</v>
      </c>
      <c r="C3" s="1">
        <v>33</v>
      </c>
      <c r="D3" s="1">
        <v>6900</v>
      </c>
      <c r="J3" s="2" t="s">
        <v>423</v>
      </c>
      <c r="L3" s="1" t="s">
        <v>1376</v>
      </c>
      <c r="M3" s="8"/>
      <c r="N3" s="8"/>
    </row>
    <row r="4" spans="1:14">
      <c r="A4" s="1">
        <v>132</v>
      </c>
      <c r="B4" s="1">
        <v>122.2</v>
      </c>
      <c r="C4" s="1">
        <v>33</v>
      </c>
      <c r="D4" s="1">
        <v>3100</v>
      </c>
      <c r="J4" s="2" t="s">
        <v>423</v>
      </c>
      <c r="L4" s="1" t="s">
        <v>1420</v>
      </c>
      <c r="M4" s="8"/>
      <c r="N4" s="8"/>
    </row>
    <row r="5" spans="1:14">
      <c r="A5" s="1">
        <v>124</v>
      </c>
      <c r="B5" s="1">
        <v>117.1</v>
      </c>
      <c r="C5" s="1">
        <v>18</v>
      </c>
      <c r="D5" s="1">
        <v>-6900</v>
      </c>
      <c r="J5" s="2" t="s">
        <v>422</v>
      </c>
      <c r="L5" s="1" t="s">
        <v>1376</v>
      </c>
      <c r="M5" s="8"/>
      <c r="N5" s="8"/>
    </row>
    <row r="6" spans="1:14">
      <c r="A6" s="1">
        <v>131</v>
      </c>
      <c r="B6" s="1">
        <v>122.1</v>
      </c>
      <c r="C6" s="1">
        <v>18</v>
      </c>
      <c r="D6" s="1">
        <v>-3100</v>
      </c>
      <c r="J6" s="2" t="s">
        <v>422</v>
      </c>
      <c r="L6" s="1" t="s">
        <v>1420</v>
      </c>
      <c r="M6" s="8"/>
      <c r="N6" s="8"/>
    </row>
    <row r="7" spans="1:14">
      <c r="A7" s="1">
        <v>201</v>
      </c>
      <c r="B7" s="1">
        <v>199</v>
      </c>
      <c r="C7" s="1">
        <v>46</v>
      </c>
      <c r="D7" s="1">
        <v>3</v>
      </c>
      <c r="E7" s="1">
        <v>300</v>
      </c>
      <c r="J7" s="2" t="s">
        <v>428</v>
      </c>
      <c r="L7" s="1" t="s">
        <v>1407</v>
      </c>
      <c r="M7" s="8"/>
      <c r="N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65146-2E3C-48D6-B33D-3BD8B0559D92}">
          <x14:formula1>
            <xm:f>_mySQL!$A$2:$A$51</xm:f>
          </x14:formula1>
          <xm:sqref>A2:N2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7"/>
  <sheetViews>
    <sheetView workbookViewId="0">
      <selection activeCell="F2" sqref="F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>
      <c r="A1" s="1" t="s">
        <v>0</v>
      </c>
      <c r="B1" s="1" t="s">
        <v>412</v>
      </c>
      <c r="C1" s="1" t="s">
        <v>304</v>
      </c>
      <c r="D1" s="1" t="s">
        <v>318</v>
      </c>
      <c r="E1" s="1" t="s">
        <v>414</v>
      </c>
      <c r="F1" s="1" t="s">
        <v>416</v>
      </c>
      <c r="G1" s="1" t="s">
        <v>321</v>
      </c>
      <c r="H1" s="1" t="s">
        <v>305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>
      <c r="A2" s="1" t="s">
        <v>587</v>
      </c>
      <c r="B2" s="1" t="s">
        <v>1327</v>
      </c>
      <c r="C2" s="1" t="s">
        <v>1331</v>
      </c>
      <c r="D2" s="1" t="s">
        <v>579</v>
      </c>
      <c r="E2" s="1" t="s">
        <v>579</v>
      </c>
      <c r="F2" s="1" t="s">
        <v>585</v>
      </c>
      <c r="G2" s="1" t="s">
        <v>583</v>
      </c>
      <c r="H2" s="1" t="s">
        <v>584</v>
      </c>
      <c r="I2" s="1" t="s">
        <v>582</v>
      </c>
      <c r="J2" s="1" t="s">
        <v>1331</v>
      </c>
      <c r="K2" s="1" t="s">
        <v>585</v>
      </c>
      <c r="L2" s="1" t="s">
        <v>585</v>
      </c>
      <c r="M2" s="1" t="s">
        <v>585</v>
      </c>
    </row>
    <row r="3" spans="1:13">
      <c r="A3" s="1">
        <v>1</v>
      </c>
      <c r="C3" s="1">
        <v>140010230</v>
      </c>
      <c r="D3" s="1">
        <v>2000</v>
      </c>
      <c r="E3" s="1">
        <v>300</v>
      </c>
      <c r="I3" s="2"/>
      <c r="K3" s="1" t="s">
        <v>1338</v>
      </c>
      <c r="L3" s="8"/>
      <c r="M3" s="8"/>
    </row>
    <row r="4" spans="1:13">
      <c r="A4" s="1">
        <v>2</v>
      </c>
      <c r="B4" s="1">
        <v>2</v>
      </c>
      <c r="C4" s="1">
        <v>140010255</v>
      </c>
      <c r="D4" s="1">
        <v>500</v>
      </c>
      <c r="E4" s="1">
        <v>300</v>
      </c>
      <c r="I4" s="2"/>
      <c r="K4" s="1" t="s">
        <v>1338</v>
      </c>
      <c r="L4" s="8"/>
      <c r="M4" s="8"/>
    </row>
    <row r="5" spans="1:13">
      <c r="A5" s="1">
        <v>3</v>
      </c>
      <c r="C5" s="1">
        <v>140010117</v>
      </c>
      <c r="D5" s="1">
        <v>2100</v>
      </c>
      <c r="E5" s="1">
        <v>300</v>
      </c>
      <c r="I5" s="2"/>
      <c r="K5" s="1" t="s">
        <v>1338</v>
      </c>
      <c r="L5" s="8"/>
      <c r="M5" s="8"/>
    </row>
    <row r="6" spans="1:13">
      <c r="A6" s="1">
        <v>4</v>
      </c>
      <c r="C6" s="1">
        <v>140010117</v>
      </c>
      <c r="D6" s="1">
        <v>3000</v>
      </c>
      <c r="E6" s="1">
        <v>300</v>
      </c>
      <c r="I6" s="2"/>
      <c r="K6" s="1" t="s">
        <v>1454</v>
      </c>
      <c r="L6" s="8"/>
      <c r="M6" s="8"/>
    </row>
    <row r="7" spans="1:13">
      <c r="A7" s="1">
        <v>5</v>
      </c>
      <c r="C7" s="1">
        <v>140010230</v>
      </c>
      <c r="D7" s="1">
        <v>3000</v>
      </c>
      <c r="E7" s="1">
        <v>300</v>
      </c>
      <c r="I7" s="2"/>
      <c r="K7" s="1" t="s">
        <v>1454</v>
      </c>
      <c r="L7" s="8"/>
      <c r="M7" s="8"/>
    </row>
    <row r="8" spans="1:13">
      <c r="A8" s="1">
        <v>6</v>
      </c>
      <c r="C8" s="1">
        <v>140010117</v>
      </c>
      <c r="D8" s="1">
        <v>4900</v>
      </c>
      <c r="E8" s="1">
        <v>300</v>
      </c>
      <c r="I8" s="2"/>
      <c r="K8" s="1" t="s">
        <v>1339</v>
      </c>
      <c r="L8" s="8"/>
      <c r="M8" s="8"/>
    </row>
    <row r="9" spans="1:13">
      <c r="A9" s="1">
        <v>7</v>
      </c>
      <c r="C9" s="1">
        <v>140010298</v>
      </c>
      <c r="D9" s="1">
        <v>630</v>
      </c>
      <c r="E9" s="1">
        <v>500</v>
      </c>
      <c r="I9" s="2"/>
      <c r="K9" s="1" t="s">
        <v>1340</v>
      </c>
      <c r="L9" s="8"/>
      <c r="M9" s="8"/>
    </row>
    <row r="10" spans="1:13">
      <c r="A10" s="1">
        <v>8</v>
      </c>
      <c r="C10" s="1">
        <v>140010279</v>
      </c>
      <c r="D10" s="1">
        <v>3000</v>
      </c>
      <c r="E10" s="1">
        <v>500</v>
      </c>
      <c r="I10" s="2"/>
      <c r="K10" s="1" t="s">
        <v>1340</v>
      </c>
      <c r="L10" s="8"/>
      <c r="M10" s="8"/>
    </row>
    <row r="11" spans="1:13">
      <c r="A11" s="1">
        <v>9</v>
      </c>
      <c r="C11" s="1">
        <v>140010295</v>
      </c>
      <c r="D11" s="1">
        <v>4300</v>
      </c>
      <c r="E11" s="1">
        <v>500</v>
      </c>
      <c r="I11" s="2"/>
      <c r="K11" s="1" t="s">
        <v>1340</v>
      </c>
      <c r="L11" s="8"/>
      <c r="M11" s="8"/>
    </row>
    <row r="12" spans="1:13">
      <c r="A12" s="1">
        <v>10</v>
      </c>
      <c r="C12" s="1">
        <v>140010280</v>
      </c>
      <c r="D12" s="1">
        <v>3000</v>
      </c>
      <c r="E12" s="1">
        <v>500</v>
      </c>
      <c r="I12" s="2"/>
      <c r="K12" s="1" t="s">
        <v>1341</v>
      </c>
      <c r="L12" s="8"/>
      <c r="M12" s="8"/>
    </row>
    <row r="13" spans="1:13">
      <c r="A13" s="1">
        <v>11</v>
      </c>
      <c r="C13" s="1">
        <v>140010280</v>
      </c>
      <c r="D13" s="1">
        <v>1495</v>
      </c>
      <c r="E13" s="1">
        <v>500</v>
      </c>
      <c r="I13" s="2"/>
      <c r="K13" s="1" t="s">
        <v>1341</v>
      </c>
      <c r="L13" s="8"/>
      <c r="M13" s="8"/>
    </row>
    <row r="14" spans="1:13">
      <c r="A14" s="1">
        <v>12</v>
      </c>
      <c r="C14" s="1">
        <v>140010280</v>
      </c>
      <c r="D14" s="1">
        <v>3610</v>
      </c>
      <c r="E14" s="1">
        <v>500</v>
      </c>
      <c r="I14" s="2"/>
      <c r="K14" s="1" t="s">
        <v>1343</v>
      </c>
      <c r="L14" s="8"/>
      <c r="M14" s="8"/>
    </row>
    <row r="15" spans="1:13">
      <c r="A15" s="1">
        <v>13</v>
      </c>
      <c r="C15" s="1">
        <v>140010279</v>
      </c>
      <c r="D15" s="1">
        <v>3000</v>
      </c>
      <c r="E15" s="1">
        <v>500</v>
      </c>
      <c r="I15" s="2"/>
      <c r="K15" s="1" t="s">
        <v>1343</v>
      </c>
      <c r="L15" s="8"/>
      <c r="M15" s="8"/>
    </row>
    <row r="16" spans="1:13">
      <c r="A16" s="1">
        <v>14</v>
      </c>
      <c r="C16" s="1">
        <v>140010279</v>
      </c>
      <c r="D16" s="1">
        <v>4300</v>
      </c>
      <c r="E16" s="1">
        <v>500</v>
      </c>
      <c r="I16" s="2"/>
      <c r="K16" s="1" t="s">
        <v>1344</v>
      </c>
      <c r="L16" s="8"/>
      <c r="M16" s="8"/>
    </row>
    <row r="17" spans="1:13">
      <c r="A17" s="1">
        <v>15</v>
      </c>
      <c r="C17" s="1">
        <v>140010295</v>
      </c>
      <c r="D17" s="1">
        <v>10</v>
      </c>
      <c r="E17" s="1">
        <v>500</v>
      </c>
      <c r="I17" s="2" t="s">
        <v>420</v>
      </c>
      <c r="K17" s="1" t="s">
        <v>1455</v>
      </c>
      <c r="L17" s="8"/>
      <c r="M17" s="8"/>
    </row>
    <row r="18" spans="1:13">
      <c r="A18" s="1">
        <v>16</v>
      </c>
      <c r="C18" s="1">
        <v>140010279</v>
      </c>
      <c r="D18" s="1">
        <v>-2</v>
      </c>
      <c r="E18" s="1">
        <v>500</v>
      </c>
      <c r="I18" s="2" t="s">
        <v>421</v>
      </c>
      <c r="K18" s="1" t="s">
        <v>1455</v>
      </c>
      <c r="L18" s="8"/>
      <c r="M18" s="8"/>
    </row>
    <row r="19" spans="1:13">
      <c r="A19" s="1">
        <v>17</v>
      </c>
      <c r="C19" s="1">
        <v>140010298</v>
      </c>
      <c r="D19" s="1">
        <v>2</v>
      </c>
      <c r="E19" s="1">
        <v>500</v>
      </c>
      <c r="I19" s="2" t="s">
        <v>421</v>
      </c>
      <c r="K19" s="1" t="s">
        <v>1455</v>
      </c>
      <c r="L19" s="8"/>
      <c r="M19" s="8"/>
    </row>
    <row r="20" spans="1:13">
      <c r="A20" s="1">
        <v>18</v>
      </c>
      <c r="B20" s="1">
        <v>138</v>
      </c>
      <c r="C20" s="1">
        <v>140550019</v>
      </c>
      <c r="E20" s="1">
        <v>300</v>
      </c>
      <c r="I20" s="2" t="s">
        <v>424</v>
      </c>
      <c r="K20" s="1" t="s">
        <v>1421</v>
      </c>
      <c r="L20" s="8"/>
      <c r="M20" s="8"/>
    </row>
    <row r="21" spans="1:13">
      <c r="A21" s="1">
        <v>19</v>
      </c>
      <c r="B21" s="1">
        <v>140</v>
      </c>
      <c r="C21" s="1">
        <v>140310071</v>
      </c>
      <c r="D21" s="1">
        <v>300</v>
      </c>
      <c r="E21" s="1">
        <v>300</v>
      </c>
      <c r="I21" s="2" t="s">
        <v>424</v>
      </c>
      <c r="K21" s="1" t="s">
        <v>1456</v>
      </c>
      <c r="L21" s="8"/>
      <c r="M21" s="8"/>
    </row>
    <row r="22" spans="1:13">
      <c r="A22" s="1">
        <v>20</v>
      </c>
      <c r="B22" s="1">
        <v>146</v>
      </c>
      <c r="C22" s="1">
        <v>140310071</v>
      </c>
      <c r="D22" s="1">
        <v>1200</v>
      </c>
      <c r="E22" s="1">
        <v>300</v>
      </c>
      <c r="I22" s="2" t="s">
        <v>424</v>
      </c>
      <c r="K22" s="1" t="s">
        <v>1457</v>
      </c>
      <c r="L22" s="8"/>
      <c r="M22" s="8"/>
    </row>
    <row r="23" spans="1:13">
      <c r="A23" s="1">
        <v>21</v>
      </c>
      <c r="B23" s="1">
        <v>150</v>
      </c>
      <c r="C23" s="1">
        <v>140310071</v>
      </c>
      <c r="D23" s="1">
        <v>1200</v>
      </c>
      <c r="E23" s="1">
        <v>300</v>
      </c>
      <c r="I23" s="2" t="s">
        <v>424</v>
      </c>
      <c r="K23" s="1" t="s">
        <v>1444</v>
      </c>
      <c r="L23" s="8"/>
      <c r="M23" s="8"/>
    </row>
    <row r="24" spans="1:13">
      <c r="A24" s="1">
        <v>22</v>
      </c>
      <c r="B24" s="1">
        <v>190</v>
      </c>
      <c r="C24" s="1">
        <v>140310071</v>
      </c>
      <c r="D24" s="1">
        <v>275</v>
      </c>
      <c r="E24" s="1">
        <v>275</v>
      </c>
      <c r="I24" s="2" t="s">
        <v>426</v>
      </c>
      <c r="K24" s="1" t="s">
        <v>1404</v>
      </c>
      <c r="L24" s="8"/>
      <c r="M24" s="8"/>
    </row>
    <row r="25" spans="1:13">
      <c r="A25" s="1">
        <v>23</v>
      </c>
      <c r="B25" s="1">
        <v>205</v>
      </c>
      <c r="C25" s="1">
        <v>140310031</v>
      </c>
      <c r="D25" s="1">
        <v>11</v>
      </c>
      <c r="E25" s="1">
        <v>300</v>
      </c>
      <c r="I25" s="2" t="s">
        <v>428</v>
      </c>
      <c r="K25" s="1" t="s">
        <v>1409</v>
      </c>
      <c r="L25" s="8"/>
      <c r="M25" s="8"/>
    </row>
    <row r="26" spans="1:13">
      <c r="A26" s="1">
        <v>24</v>
      </c>
      <c r="B26" s="1">
        <v>206</v>
      </c>
      <c r="C26" s="1">
        <v>140310071</v>
      </c>
      <c r="D26" s="1">
        <v>174</v>
      </c>
      <c r="E26" s="1">
        <v>174</v>
      </c>
      <c r="I26" s="2" t="s">
        <v>428</v>
      </c>
      <c r="K26" s="1" t="s">
        <v>1409</v>
      </c>
      <c r="L26" s="8"/>
      <c r="M26" s="8"/>
    </row>
    <row r="27" spans="1:13">
      <c r="A27" s="1">
        <v>25</v>
      </c>
      <c r="B27" s="1">
        <v>207</v>
      </c>
      <c r="C27" s="1">
        <v>140310083</v>
      </c>
      <c r="D27" s="1">
        <v>26</v>
      </c>
      <c r="E27" s="1">
        <v>26</v>
      </c>
      <c r="I27" s="2" t="s">
        <v>428</v>
      </c>
      <c r="K27" s="1" t="s">
        <v>1409</v>
      </c>
      <c r="L27" s="8"/>
      <c r="M2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D705B8-8478-4994-BC50-76A647FC7A69}">
          <x14:formula1>
            <xm:f>_mySQL!$A$2:$A$51</xm:f>
          </x14:formula1>
          <xm:sqref>A2:F2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J1354"/>
  <sheetViews>
    <sheetView workbookViewId="0">
      <pane ySplit="1" topLeftCell="A2" activePane="bottomLeft" state="frozen"/>
      <selection activeCell="C2" sqref="C2"/>
      <selection pane="bottomLeft" activeCell="A2" sqref="A2"/>
    </sheetView>
  </sheetViews>
  <sheetFormatPr defaultColWidth="15.7109375" defaultRowHeight="15"/>
  <cols>
    <col min="1" max="16384" width="15.7109375" style="1"/>
  </cols>
  <sheetData>
    <row r="1" spans="1:10">
      <c r="A1" s="1" t="s">
        <v>0</v>
      </c>
      <c r="B1" s="1" t="s">
        <v>430</v>
      </c>
      <c r="C1" s="1" t="s">
        <v>431</v>
      </c>
      <c r="D1" s="13" t="s">
        <v>13</v>
      </c>
      <c r="E1" s="13" t="s">
        <v>321</v>
      </c>
      <c r="F1" s="13" t="s">
        <v>305</v>
      </c>
      <c r="G1" s="13" t="s">
        <v>14</v>
      </c>
      <c r="H1" s="13" t="s">
        <v>15</v>
      </c>
      <c r="I1" s="13" t="s">
        <v>16</v>
      </c>
      <c r="J1" s="13" t="s">
        <v>17</v>
      </c>
    </row>
    <row r="2" spans="1:10">
      <c r="A2" s="1" t="s">
        <v>587</v>
      </c>
      <c r="B2" s="1" t="s">
        <v>1331</v>
      </c>
      <c r="C2" s="1" t="s">
        <v>579</v>
      </c>
      <c r="D2" s="13" t="s">
        <v>582</v>
      </c>
      <c r="E2" s="13" t="s">
        <v>583</v>
      </c>
      <c r="F2" s="13" t="s">
        <v>584</v>
      </c>
      <c r="G2" s="13" t="s">
        <v>1331</v>
      </c>
      <c r="H2" s="13" t="s">
        <v>585</v>
      </c>
      <c r="I2" s="13" t="s">
        <v>585</v>
      </c>
      <c r="J2" s="13" t="s">
        <v>585</v>
      </c>
    </row>
    <row r="3" spans="1:10">
      <c r="A3" s="1">
        <v>270</v>
      </c>
      <c r="B3" s="1">
        <v>23</v>
      </c>
      <c r="C3" s="1">
        <v>300</v>
      </c>
      <c r="D3" s="13"/>
      <c r="E3" s="13"/>
      <c r="F3" s="13"/>
      <c r="G3" s="13"/>
      <c r="H3" s="13"/>
      <c r="I3" s="13"/>
      <c r="J3" s="13"/>
    </row>
    <row r="4" spans="1:10">
      <c r="A4" s="1">
        <v>271</v>
      </c>
      <c r="B4" s="1">
        <v>23</v>
      </c>
      <c r="C4" s="1">
        <v>300</v>
      </c>
      <c r="D4" s="13"/>
      <c r="E4" s="13"/>
      <c r="F4" s="13"/>
      <c r="G4" s="13"/>
      <c r="H4" s="13"/>
      <c r="I4" s="13"/>
      <c r="J4" s="13"/>
    </row>
    <row r="5" spans="1:10">
      <c r="A5" s="1">
        <v>272</v>
      </c>
      <c r="B5" s="1">
        <v>23</v>
      </c>
      <c r="C5" s="1">
        <v>300</v>
      </c>
      <c r="D5" s="13"/>
      <c r="E5" s="13"/>
      <c r="F5" s="13"/>
      <c r="G5" s="13"/>
      <c r="H5" s="13"/>
      <c r="I5" s="13"/>
      <c r="J5" s="13"/>
    </row>
    <row r="6" spans="1:10">
      <c r="A6" s="1">
        <v>273</v>
      </c>
      <c r="B6" s="1">
        <v>23</v>
      </c>
      <c r="C6" s="1">
        <v>300</v>
      </c>
      <c r="D6" s="13"/>
      <c r="E6" s="13"/>
      <c r="F6" s="13"/>
      <c r="G6" s="13"/>
      <c r="H6" s="13"/>
      <c r="I6" s="13"/>
      <c r="J6" s="13"/>
    </row>
    <row r="7" spans="1:10">
      <c r="A7" s="1">
        <v>274</v>
      </c>
      <c r="B7" s="1">
        <v>23</v>
      </c>
      <c r="C7" s="1">
        <v>300</v>
      </c>
      <c r="D7" s="13"/>
      <c r="E7" s="13"/>
      <c r="F7" s="13"/>
      <c r="G7" s="13"/>
      <c r="H7" s="13"/>
      <c r="I7" s="13"/>
      <c r="J7" s="13"/>
    </row>
    <row r="8" spans="1:10">
      <c r="A8" s="1">
        <v>275</v>
      </c>
      <c r="B8" s="1">
        <v>23</v>
      </c>
      <c r="C8" s="1">
        <v>300</v>
      </c>
      <c r="D8" s="13"/>
      <c r="E8" s="13"/>
      <c r="F8" s="13"/>
      <c r="G8" s="13"/>
      <c r="H8" s="13"/>
      <c r="I8" s="13"/>
      <c r="J8" s="13"/>
    </row>
    <row r="9" spans="1:10">
      <c r="A9" s="1">
        <v>276</v>
      </c>
      <c r="B9" s="1">
        <v>23</v>
      </c>
      <c r="C9" s="1">
        <v>300</v>
      </c>
      <c r="D9" s="13"/>
      <c r="E9" s="13"/>
      <c r="F9" s="13"/>
      <c r="G9" s="13"/>
      <c r="H9" s="13"/>
      <c r="I9" s="13"/>
      <c r="J9" s="13"/>
    </row>
    <row r="10" spans="1:10">
      <c r="A10" s="1">
        <v>277</v>
      </c>
      <c r="B10" s="1">
        <v>23</v>
      </c>
      <c r="C10" s="1">
        <v>300</v>
      </c>
      <c r="D10" s="13"/>
      <c r="E10" s="13"/>
      <c r="F10" s="13"/>
      <c r="G10" s="13"/>
      <c r="H10" s="13"/>
      <c r="I10" s="13"/>
      <c r="J10" s="13"/>
    </row>
    <row r="11" spans="1:10">
      <c r="A11" s="1">
        <v>278</v>
      </c>
      <c r="B11" s="1">
        <v>23</v>
      </c>
      <c r="C11" s="1">
        <v>300</v>
      </c>
      <c r="D11" s="13"/>
      <c r="E11" s="13"/>
      <c r="F11" s="13"/>
      <c r="G11" s="13"/>
      <c r="H11" s="13"/>
      <c r="I11" s="13"/>
      <c r="J11" s="13"/>
    </row>
    <row r="12" spans="1:10">
      <c r="A12" s="1">
        <v>279</v>
      </c>
      <c r="B12" s="1">
        <v>23</v>
      </c>
      <c r="C12" s="1">
        <v>300</v>
      </c>
      <c r="D12" s="13"/>
      <c r="E12" s="13"/>
      <c r="F12" s="13"/>
      <c r="G12" s="13"/>
      <c r="H12" s="13"/>
      <c r="I12" s="13"/>
      <c r="J12" s="13"/>
    </row>
    <row r="13" spans="1:10">
      <c r="A13" s="1">
        <v>280</v>
      </c>
      <c r="B13" s="1">
        <v>24</v>
      </c>
      <c r="C13" s="1">
        <v>300</v>
      </c>
      <c r="D13" s="13"/>
      <c r="E13" s="13"/>
      <c r="F13" s="13"/>
      <c r="G13" s="13"/>
      <c r="H13" s="13"/>
      <c r="I13" s="13"/>
      <c r="J13" s="13"/>
    </row>
    <row r="14" spans="1:10">
      <c r="A14" s="1">
        <v>281</v>
      </c>
      <c r="B14" s="1">
        <v>24</v>
      </c>
      <c r="C14" s="1">
        <v>300</v>
      </c>
      <c r="D14" s="13"/>
      <c r="E14" s="13"/>
      <c r="F14" s="13"/>
      <c r="G14" s="13"/>
      <c r="H14" s="13"/>
      <c r="I14" s="13"/>
      <c r="J14" s="13"/>
    </row>
    <row r="15" spans="1:10">
      <c r="A15" s="1">
        <v>282</v>
      </c>
      <c r="B15" s="1">
        <v>24</v>
      </c>
      <c r="C15" s="1">
        <v>300</v>
      </c>
      <c r="D15" s="13"/>
      <c r="E15" s="13"/>
      <c r="F15" s="13"/>
      <c r="G15" s="13"/>
      <c r="H15" s="13"/>
      <c r="I15" s="13"/>
      <c r="J15" s="13"/>
    </row>
    <row r="16" spans="1:10">
      <c r="A16" s="1">
        <v>283</v>
      </c>
      <c r="B16" s="1">
        <v>24</v>
      </c>
      <c r="C16" s="1">
        <v>100</v>
      </c>
      <c r="D16" s="13"/>
      <c r="E16" s="13"/>
      <c r="F16" s="13"/>
      <c r="G16" s="13"/>
      <c r="H16" s="13"/>
      <c r="I16" s="13"/>
      <c r="J16" s="13"/>
    </row>
    <row r="17" spans="1:10">
      <c r="A17" s="1">
        <v>284</v>
      </c>
      <c r="B17" s="1">
        <v>25</v>
      </c>
      <c r="C17" s="1">
        <v>300</v>
      </c>
      <c r="D17" s="13"/>
      <c r="E17" s="13"/>
      <c r="F17" s="13"/>
      <c r="G17" s="13"/>
      <c r="H17" s="13"/>
      <c r="I17" s="13"/>
      <c r="J17" s="13"/>
    </row>
    <row r="18" spans="1:10">
      <c r="A18" s="1">
        <v>285</v>
      </c>
      <c r="B18" s="1">
        <v>25</v>
      </c>
      <c r="C18" s="1">
        <v>300</v>
      </c>
      <c r="D18" s="13"/>
      <c r="E18" s="13"/>
      <c r="F18" s="13"/>
      <c r="G18" s="13"/>
      <c r="H18" s="13"/>
      <c r="I18" s="13"/>
      <c r="J18" s="13"/>
    </row>
    <row r="19" spans="1:10">
      <c r="A19" s="1">
        <v>286</v>
      </c>
      <c r="B19" s="1">
        <v>25</v>
      </c>
      <c r="C19" s="1">
        <v>300</v>
      </c>
      <c r="D19" s="13"/>
      <c r="E19" s="13"/>
      <c r="F19" s="13"/>
      <c r="G19" s="13"/>
      <c r="H19" s="13"/>
      <c r="I19" s="13"/>
      <c r="J19" s="13"/>
    </row>
    <row r="20" spans="1:10">
      <c r="A20" s="1">
        <v>287</v>
      </c>
      <c r="B20" s="1">
        <v>25</v>
      </c>
      <c r="C20" s="1">
        <v>300</v>
      </c>
      <c r="D20" s="13"/>
      <c r="E20" s="13"/>
      <c r="F20" s="13"/>
      <c r="G20" s="13"/>
      <c r="H20" s="13"/>
      <c r="I20" s="13"/>
      <c r="J20" s="13"/>
    </row>
    <row r="21" spans="1:10">
      <c r="A21" s="1">
        <v>288</v>
      </c>
      <c r="B21" s="1">
        <v>25</v>
      </c>
      <c r="C21" s="1">
        <v>300</v>
      </c>
      <c r="D21" s="13"/>
      <c r="E21" s="13"/>
      <c r="F21" s="13"/>
      <c r="G21" s="13"/>
      <c r="H21" s="13"/>
      <c r="I21" s="13"/>
      <c r="J21" s="13"/>
    </row>
    <row r="22" spans="1:10">
      <c r="A22" s="1">
        <v>289</v>
      </c>
      <c r="B22" s="1">
        <v>25</v>
      </c>
      <c r="C22" s="1">
        <v>300</v>
      </c>
      <c r="D22" s="13"/>
      <c r="E22" s="13"/>
      <c r="F22" s="13"/>
      <c r="G22" s="13"/>
      <c r="H22" s="13"/>
      <c r="I22" s="13"/>
      <c r="J22" s="13"/>
    </row>
    <row r="23" spans="1:10">
      <c r="A23" s="1">
        <v>290</v>
      </c>
      <c r="B23" s="1">
        <v>25</v>
      </c>
      <c r="C23" s="1">
        <v>300</v>
      </c>
      <c r="D23" s="13"/>
      <c r="E23" s="13"/>
      <c r="F23" s="13"/>
      <c r="G23" s="13"/>
      <c r="H23" s="13"/>
      <c r="I23" s="13"/>
      <c r="J23" s="13"/>
    </row>
    <row r="24" spans="1:10">
      <c r="A24" s="1">
        <v>291</v>
      </c>
      <c r="B24" s="1">
        <v>25</v>
      </c>
      <c r="C24" s="1">
        <v>300</v>
      </c>
      <c r="D24" s="13"/>
      <c r="E24" s="13"/>
      <c r="F24" s="13"/>
      <c r="G24" s="13"/>
      <c r="H24" s="13"/>
      <c r="I24" s="13"/>
      <c r="J24" s="13"/>
    </row>
    <row r="25" spans="1:10">
      <c r="A25" s="1">
        <v>292</v>
      </c>
      <c r="B25" s="1">
        <v>25</v>
      </c>
      <c r="C25" s="1">
        <v>300</v>
      </c>
      <c r="D25" s="13"/>
      <c r="E25" s="13"/>
      <c r="F25" s="13"/>
      <c r="G25" s="13"/>
      <c r="H25" s="13"/>
      <c r="I25" s="13"/>
      <c r="J25" s="13"/>
    </row>
    <row r="26" spans="1:10">
      <c r="A26" s="1">
        <v>293</v>
      </c>
      <c r="B26" s="1">
        <v>25</v>
      </c>
      <c r="C26" s="1">
        <v>300</v>
      </c>
      <c r="D26" s="13"/>
      <c r="E26" s="13"/>
      <c r="F26" s="13"/>
      <c r="G26" s="13"/>
      <c r="H26" s="13"/>
      <c r="I26" s="13"/>
      <c r="J26" s="13"/>
    </row>
    <row r="27" spans="1:10">
      <c r="A27" s="1">
        <v>294</v>
      </c>
      <c r="B27" s="1">
        <v>26</v>
      </c>
      <c r="C27" s="1">
        <v>300</v>
      </c>
      <c r="D27" s="13"/>
      <c r="E27" s="13"/>
      <c r="F27" s="13"/>
      <c r="G27" s="13"/>
      <c r="H27" s="13"/>
      <c r="I27" s="13"/>
      <c r="J27" s="13"/>
    </row>
    <row r="28" spans="1:10">
      <c r="A28" s="1">
        <v>295</v>
      </c>
      <c r="B28" s="1">
        <v>26</v>
      </c>
      <c r="C28" s="1">
        <v>300</v>
      </c>
      <c r="D28" s="13"/>
      <c r="E28" s="13"/>
      <c r="F28" s="13"/>
      <c r="G28" s="13"/>
      <c r="H28" s="13"/>
      <c r="I28" s="13"/>
      <c r="J28" s="13"/>
    </row>
    <row r="29" spans="1:10">
      <c r="A29" s="1">
        <v>296</v>
      </c>
      <c r="B29" s="1">
        <v>26</v>
      </c>
      <c r="C29" s="1">
        <v>300</v>
      </c>
      <c r="D29" s="13"/>
      <c r="E29" s="13"/>
      <c r="F29" s="13"/>
      <c r="G29" s="13"/>
      <c r="H29" s="13"/>
      <c r="I29" s="13"/>
      <c r="J29" s="13"/>
    </row>
    <row r="30" spans="1:10">
      <c r="A30" s="1">
        <v>297</v>
      </c>
      <c r="B30" s="1">
        <v>26</v>
      </c>
      <c r="C30" s="1">
        <v>300</v>
      </c>
      <c r="D30" s="13"/>
      <c r="E30" s="13"/>
      <c r="F30" s="13"/>
      <c r="G30" s="13"/>
      <c r="H30" s="13"/>
      <c r="I30" s="13"/>
      <c r="J30" s="13"/>
    </row>
    <row r="31" spans="1:10">
      <c r="A31" s="1">
        <v>298</v>
      </c>
      <c r="B31" s="1">
        <v>26</v>
      </c>
      <c r="C31" s="1">
        <v>300</v>
      </c>
      <c r="D31" s="13"/>
      <c r="E31" s="13"/>
      <c r="F31" s="13"/>
      <c r="G31" s="13"/>
      <c r="H31" s="13"/>
      <c r="I31" s="13"/>
      <c r="J31" s="13"/>
    </row>
    <row r="32" spans="1:10">
      <c r="A32" s="1">
        <v>299</v>
      </c>
      <c r="B32" s="1">
        <v>26</v>
      </c>
      <c r="C32" s="1">
        <v>300</v>
      </c>
      <c r="D32" s="13"/>
      <c r="E32" s="13"/>
      <c r="F32" s="13"/>
      <c r="G32" s="13"/>
      <c r="H32" s="13"/>
      <c r="I32" s="13"/>
      <c r="J32" s="13"/>
    </row>
    <row r="33" spans="1:10">
      <c r="A33" s="1">
        <v>300</v>
      </c>
      <c r="B33" s="1">
        <v>26</v>
      </c>
      <c r="C33" s="1">
        <v>300</v>
      </c>
      <c r="D33" s="13"/>
      <c r="E33" s="13"/>
      <c r="F33" s="13"/>
      <c r="G33" s="13"/>
      <c r="H33" s="13"/>
      <c r="I33" s="13"/>
      <c r="J33" s="13"/>
    </row>
    <row r="34" spans="1:10">
      <c r="A34" s="1">
        <v>301</v>
      </c>
      <c r="B34" s="1">
        <v>26</v>
      </c>
      <c r="C34" s="1">
        <v>300</v>
      </c>
      <c r="D34" s="13"/>
      <c r="E34" s="13"/>
      <c r="F34" s="13"/>
      <c r="G34" s="13"/>
      <c r="H34" s="13"/>
      <c r="I34" s="13"/>
      <c r="J34" s="13"/>
    </row>
    <row r="35" spans="1:10">
      <c r="A35" s="1">
        <v>302</v>
      </c>
      <c r="B35" s="1">
        <v>26</v>
      </c>
      <c r="C35" s="1">
        <v>300</v>
      </c>
      <c r="D35" s="13"/>
      <c r="E35" s="13"/>
      <c r="F35" s="13"/>
      <c r="G35" s="13"/>
      <c r="H35" s="13"/>
      <c r="I35" s="13"/>
      <c r="J35" s="13"/>
    </row>
    <row r="36" spans="1:10">
      <c r="A36" s="1">
        <v>303</v>
      </c>
      <c r="B36" s="1">
        <v>26</v>
      </c>
      <c r="C36" s="1">
        <v>300</v>
      </c>
      <c r="D36" s="13"/>
      <c r="E36" s="13"/>
      <c r="F36" s="13"/>
      <c r="G36" s="13"/>
      <c r="H36" s="13"/>
      <c r="I36" s="13"/>
      <c r="J36" s="13"/>
    </row>
    <row r="37" spans="1:10">
      <c r="A37" s="1">
        <v>304</v>
      </c>
      <c r="B37" s="1">
        <v>27</v>
      </c>
      <c r="C37" s="1">
        <v>300</v>
      </c>
      <c r="D37" s="13"/>
      <c r="E37" s="13"/>
      <c r="F37" s="13"/>
      <c r="G37" s="13"/>
      <c r="H37" s="13"/>
      <c r="I37" s="13"/>
      <c r="J37" s="13"/>
    </row>
    <row r="38" spans="1:10">
      <c r="A38" s="1">
        <v>305</v>
      </c>
      <c r="B38" s="1">
        <v>27</v>
      </c>
      <c r="C38" s="1">
        <v>300</v>
      </c>
      <c r="D38" s="13"/>
      <c r="E38" s="13"/>
      <c r="F38" s="13"/>
      <c r="G38" s="13"/>
      <c r="H38" s="13"/>
      <c r="I38" s="13"/>
      <c r="J38" s="13"/>
    </row>
    <row r="39" spans="1:10">
      <c r="A39" s="1">
        <v>306</v>
      </c>
      <c r="B39" s="1">
        <v>27</v>
      </c>
      <c r="C39" s="1">
        <v>300</v>
      </c>
      <c r="D39" s="13"/>
      <c r="E39" s="13"/>
      <c r="F39" s="13"/>
      <c r="G39" s="13"/>
      <c r="H39" s="13"/>
      <c r="I39" s="13"/>
      <c r="J39" s="13"/>
    </row>
    <row r="40" spans="1:10">
      <c r="A40" s="1">
        <v>307</v>
      </c>
      <c r="B40" s="1">
        <v>27</v>
      </c>
      <c r="C40" s="1">
        <v>300</v>
      </c>
      <c r="D40" s="13"/>
      <c r="E40" s="13"/>
      <c r="F40" s="13"/>
      <c r="G40" s="13"/>
      <c r="H40" s="13"/>
      <c r="I40" s="13"/>
      <c r="J40" s="13"/>
    </row>
    <row r="41" spans="1:10">
      <c r="A41" s="1">
        <v>308</v>
      </c>
      <c r="B41" s="1">
        <v>27</v>
      </c>
      <c r="C41" s="1">
        <v>300</v>
      </c>
      <c r="D41" s="13"/>
      <c r="E41" s="13"/>
      <c r="F41" s="13"/>
      <c r="G41" s="13"/>
      <c r="H41" s="13"/>
      <c r="I41" s="13"/>
      <c r="J41" s="13"/>
    </row>
    <row r="42" spans="1:10">
      <c r="A42" s="1">
        <v>309</v>
      </c>
      <c r="B42" s="1">
        <v>27</v>
      </c>
      <c r="C42" s="1">
        <v>300</v>
      </c>
      <c r="D42" s="13"/>
      <c r="E42" s="13"/>
      <c r="F42" s="13"/>
      <c r="G42" s="13"/>
      <c r="H42" s="13"/>
      <c r="I42" s="13"/>
      <c r="J42" s="13"/>
    </row>
    <row r="43" spans="1:10">
      <c r="A43" s="1">
        <v>310</v>
      </c>
      <c r="B43" s="1">
        <v>27</v>
      </c>
      <c r="C43" s="1">
        <v>300</v>
      </c>
      <c r="D43" s="13"/>
      <c r="E43" s="13"/>
      <c r="F43" s="13"/>
      <c r="G43" s="13"/>
      <c r="H43" s="13"/>
      <c r="I43" s="13"/>
      <c r="J43" s="13"/>
    </row>
    <row r="44" spans="1:10">
      <c r="A44" s="1">
        <v>311</v>
      </c>
      <c r="B44" s="1">
        <v>27</v>
      </c>
      <c r="C44" s="1">
        <v>300</v>
      </c>
      <c r="D44" s="13"/>
      <c r="E44" s="13"/>
      <c r="F44" s="13"/>
      <c r="G44" s="13"/>
      <c r="H44" s="13"/>
      <c r="I44" s="13"/>
      <c r="J44" s="13"/>
    </row>
    <row r="45" spans="1:10">
      <c r="A45" s="1">
        <v>312</v>
      </c>
      <c r="B45" s="1">
        <v>27</v>
      </c>
      <c r="C45" s="1">
        <v>300</v>
      </c>
      <c r="D45" s="13"/>
      <c r="E45" s="13"/>
      <c r="F45" s="13"/>
      <c r="G45" s="13"/>
      <c r="H45" s="13"/>
      <c r="I45" s="13"/>
      <c r="J45" s="13"/>
    </row>
    <row r="46" spans="1:10">
      <c r="A46" s="1">
        <v>313</v>
      </c>
      <c r="B46" s="1">
        <v>27</v>
      </c>
      <c r="C46" s="1">
        <v>300</v>
      </c>
      <c r="D46" s="13"/>
      <c r="E46" s="13"/>
      <c r="F46" s="13"/>
      <c r="G46" s="13"/>
      <c r="H46" s="13"/>
      <c r="I46" s="13"/>
      <c r="J46" s="13"/>
    </row>
    <row r="47" spans="1:10">
      <c r="A47" s="1">
        <v>314</v>
      </c>
      <c r="B47" s="1">
        <v>28</v>
      </c>
      <c r="C47" s="1">
        <v>300</v>
      </c>
      <c r="D47" s="13"/>
      <c r="E47" s="13"/>
      <c r="F47" s="13"/>
      <c r="G47" s="13"/>
      <c r="H47" s="13"/>
      <c r="I47" s="13"/>
      <c r="J47" s="13"/>
    </row>
    <row r="48" spans="1:10">
      <c r="A48" s="1">
        <v>315</v>
      </c>
      <c r="B48" s="1">
        <v>28</v>
      </c>
      <c r="C48" s="1">
        <v>300</v>
      </c>
      <c r="D48" s="13"/>
      <c r="E48" s="13"/>
      <c r="F48" s="13"/>
      <c r="G48" s="13"/>
      <c r="H48" s="13"/>
      <c r="I48" s="13"/>
      <c r="J48" s="13"/>
    </row>
    <row r="49" spans="1:10">
      <c r="A49" s="1">
        <v>316</v>
      </c>
      <c r="B49" s="1">
        <v>28</v>
      </c>
      <c r="C49" s="1">
        <v>300</v>
      </c>
      <c r="D49" s="13"/>
      <c r="E49" s="13"/>
      <c r="F49" s="13"/>
      <c r="G49" s="13"/>
      <c r="H49" s="13"/>
      <c r="I49" s="13"/>
      <c r="J49" s="13"/>
    </row>
    <row r="50" spans="1:10">
      <c r="A50" s="1">
        <v>317</v>
      </c>
      <c r="B50" s="1">
        <v>28</v>
      </c>
      <c r="C50" s="1">
        <v>300</v>
      </c>
      <c r="D50" s="13"/>
      <c r="E50" s="13"/>
      <c r="F50" s="13"/>
      <c r="G50" s="13"/>
      <c r="H50" s="13"/>
      <c r="I50" s="13"/>
      <c r="J50" s="13"/>
    </row>
    <row r="51" spans="1:10">
      <c r="A51" s="1">
        <v>318</v>
      </c>
      <c r="B51" s="1">
        <v>28</v>
      </c>
      <c r="C51" s="1">
        <v>300</v>
      </c>
      <c r="D51" s="13"/>
      <c r="E51" s="13"/>
      <c r="F51" s="13"/>
      <c r="G51" s="13"/>
      <c r="H51" s="13"/>
      <c r="I51" s="13"/>
      <c r="J51" s="13"/>
    </row>
    <row r="52" spans="1:10">
      <c r="A52" s="1">
        <v>319</v>
      </c>
      <c r="B52" s="1">
        <v>28</v>
      </c>
      <c r="C52" s="1">
        <v>300</v>
      </c>
      <c r="D52" s="13"/>
      <c r="E52" s="13"/>
      <c r="F52" s="13"/>
      <c r="G52" s="13"/>
      <c r="H52" s="13"/>
      <c r="I52" s="13"/>
      <c r="J52" s="13"/>
    </row>
    <row r="53" spans="1:10">
      <c r="A53" s="1">
        <v>320</v>
      </c>
      <c r="B53" s="1">
        <v>28</v>
      </c>
      <c r="C53" s="1">
        <v>300</v>
      </c>
      <c r="D53" s="13"/>
      <c r="E53" s="13"/>
      <c r="F53" s="13"/>
      <c r="G53" s="13"/>
      <c r="H53" s="13"/>
      <c r="I53" s="13"/>
      <c r="J53" s="13"/>
    </row>
    <row r="54" spans="1:10">
      <c r="A54" s="1">
        <v>321</v>
      </c>
      <c r="B54" s="1">
        <v>28</v>
      </c>
      <c r="C54" s="1">
        <v>300</v>
      </c>
      <c r="D54" s="13"/>
      <c r="E54" s="13"/>
      <c r="F54" s="13"/>
      <c r="G54" s="13"/>
      <c r="H54" s="13"/>
      <c r="I54" s="13"/>
      <c r="J54" s="13"/>
    </row>
    <row r="55" spans="1:10">
      <c r="A55" s="1">
        <v>322</v>
      </c>
      <c r="B55" s="1">
        <v>28</v>
      </c>
      <c r="C55" s="1">
        <v>300</v>
      </c>
      <c r="D55" s="13"/>
      <c r="E55" s="13"/>
      <c r="F55" s="13"/>
      <c r="G55" s="13"/>
      <c r="H55" s="13"/>
      <c r="I55" s="13"/>
      <c r="J55" s="13"/>
    </row>
    <row r="56" spans="1:10">
      <c r="A56" s="1">
        <v>323</v>
      </c>
      <c r="B56" s="1">
        <v>28</v>
      </c>
      <c r="C56" s="1">
        <v>300</v>
      </c>
      <c r="D56" s="13"/>
      <c r="E56" s="13"/>
      <c r="F56" s="13"/>
      <c r="G56" s="13"/>
      <c r="H56" s="13"/>
      <c r="I56" s="13"/>
      <c r="J56" s="13"/>
    </row>
    <row r="57" spans="1:10">
      <c r="A57" s="1">
        <v>324</v>
      </c>
      <c r="B57" s="1">
        <v>29</v>
      </c>
      <c r="C57" s="1">
        <v>250</v>
      </c>
      <c r="D57" s="13"/>
      <c r="E57" s="13"/>
      <c r="F57" s="13"/>
      <c r="G57" s="13"/>
      <c r="H57" s="13"/>
      <c r="I57" s="13"/>
      <c r="J57" s="13"/>
    </row>
    <row r="58" spans="1:10">
      <c r="A58" s="1">
        <v>325</v>
      </c>
      <c r="B58" s="1">
        <v>29</v>
      </c>
      <c r="C58" s="1">
        <v>250</v>
      </c>
      <c r="D58" s="13"/>
      <c r="E58" s="13"/>
      <c r="F58" s="13"/>
      <c r="G58" s="13"/>
      <c r="H58" s="13"/>
      <c r="I58" s="13"/>
      <c r="J58" s="13"/>
    </row>
    <row r="59" spans="1:10">
      <c r="A59" s="1">
        <v>326</v>
      </c>
      <c r="B59" s="1">
        <v>30</v>
      </c>
      <c r="C59" s="1">
        <v>300</v>
      </c>
      <c r="D59" s="13"/>
      <c r="E59" s="13"/>
      <c r="F59" s="13"/>
      <c r="G59" s="13"/>
      <c r="H59" s="13"/>
      <c r="I59" s="13"/>
      <c r="J59" s="13"/>
    </row>
    <row r="60" spans="1:10">
      <c r="A60" s="1">
        <v>327</v>
      </c>
      <c r="B60" s="1">
        <v>30</v>
      </c>
      <c r="C60" s="1">
        <v>300</v>
      </c>
      <c r="D60" s="13"/>
      <c r="E60" s="13"/>
      <c r="F60" s="13"/>
      <c r="G60" s="13"/>
      <c r="H60" s="13"/>
      <c r="I60" s="13"/>
      <c r="J60" s="13"/>
    </row>
    <row r="61" spans="1:10">
      <c r="A61" s="1">
        <v>328</v>
      </c>
      <c r="B61" s="1">
        <v>30</v>
      </c>
      <c r="C61" s="1">
        <v>300</v>
      </c>
      <c r="D61" s="13"/>
      <c r="E61" s="13"/>
      <c r="F61" s="13"/>
      <c r="G61" s="13"/>
      <c r="H61" s="13"/>
      <c r="I61" s="13"/>
      <c r="J61" s="13"/>
    </row>
    <row r="62" spans="1:10">
      <c r="A62" s="1">
        <v>329</v>
      </c>
      <c r="B62" s="1">
        <v>30</v>
      </c>
      <c r="C62" s="1">
        <v>300</v>
      </c>
      <c r="D62" s="13"/>
      <c r="E62" s="13"/>
      <c r="F62" s="13"/>
      <c r="G62" s="13"/>
      <c r="H62" s="13"/>
      <c r="I62" s="13"/>
      <c r="J62" s="13"/>
    </row>
    <row r="63" spans="1:10">
      <c r="A63" s="1">
        <v>330</v>
      </c>
      <c r="B63" s="1">
        <v>30</v>
      </c>
      <c r="C63" s="1">
        <v>300</v>
      </c>
      <c r="D63" s="13"/>
      <c r="E63" s="13"/>
      <c r="F63" s="13"/>
      <c r="G63" s="13"/>
      <c r="H63" s="13"/>
      <c r="I63" s="13"/>
      <c r="J63" s="13"/>
    </row>
    <row r="64" spans="1:10">
      <c r="A64" s="1">
        <v>331</v>
      </c>
      <c r="B64" s="1">
        <v>30</v>
      </c>
      <c r="C64" s="1">
        <v>300</v>
      </c>
      <c r="D64" s="13"/>
      <c r="E64" s="13"/>
      <c r="F64" s="13"/>
      <c r="G64" s="13"/>
      <c r="H64" s="13"/>
      <c r="I64" s="13"/>
      <c r="J64" s="13"/>
    </row>
    <row r="65" spans="1:10">
      <c r="A65" s="1">
        <v>332</v>
      </c>
      <c r="B65" s="1">
        <v>30</v>
      </c>
      <c r="C65" s="1">
        <v>300</v>
      </c>
      <c r="D65" s="13"/>
      <c r="E65" s="13"/>
      <c r="F65" s="13"/>
      <c r="G65" s="13"/>
      <c r="H65" s="13"/>
      <c r="I65" s="13"/>
      <c r="J65" s="13"/>
    </row>
    <row r="66" spans="1:10">
      <c r="A66" s="1">
        <v>333</v>
      </c>
      <c r="B66" s="1">
        <v>30</v>
      </c>
      <c r="C66" s="1">
        <v>300</v>
      </c>
      <c r="D66" s="13"/>
      <c r="E66" s="13"/>
      <c r="F66" s="13"/>
      <c r="G66" s="13"/>
      <c r="H66" s="13"/>
      <c r="I66" s="13"/>
      <c r="J66" s="13"/>
    </row>
    <row r="67" spans="1:10">
      <c r="A67" s="1">
        <v>334</v>
      </c>
      <c r="B67" s="1">
        <v>30</v>
      </c>
      <c r="C67" s="1">
        <v>300</v>
      </c>
      <c r="D67" s="13"/>
      <c r="E67" s="13"/>
      <c r="F67" s="13"/>
      <c r="G67" s="13"/>
      <c r="H67" s="13"/>
      <c r="I67" s="13"/>
      <c r="J67" s="13"/>
    </row>
    <row r="68" spans="1:10">
      <c r="A68" s="1">
        <v>335</v>
      </c>
      <c r="B68" s="1">
        <v>30</v>
      </c>
      <c r="C68" s="1">
        <v>300</v>
      </c>
      <c r="D68" s="13"/>
      <c r="E68" s="13"/>
      <c r="F68" s="13"/>
      <c r="G68" s="13"/>
      <c r="H68" s="13"/>
      <c r="I68" s="13"/>
      <c r="J68" s="13"/>
    </row>
    <row r="69" spans="1:10">
      <c r="A69" s="1">
        <v>336</v>
      </c>
      <c r="B69" s="1">
        <v>30</v>
      </c>
      <c r="C69" s="1">
        <v>300</v>
      </c>
      <c r="D69" s="13"/>
      <c r="E69" s="13"/>
      <c r="F69" s="13"/>
      <c r="G69" s="13"/>
      <c r="H69" s="13"/>
      <c r="I69" s="13"/>
      <c r="J69" s="13"/>
    </row>
    <row r="70" spans="1:10">
      <c r="A70" s="1">
        <v>337</v>
      </c>
      <c r="B70" s="1">
        <v>30</v>
      </c>
      <c r="C70" s="1">
        <v>300</v>
      </c>
      <c r="D70" s="13"/>
      <c r="E70" s="13"/>
      <c r="F70" s="13"/>
      <c r="G70" s="13"/>
      <c r="H70" s="13"/>
      <c r="I70" s="13"/>
      <c r="J70" s="13"/>
    </row>
    <row r="71" spans="1:10">
      <c r="A71" s="1">
        <v>338</v>
      </c>
      <c r="B71" s="1">
        <v>30</v>
      </c>
      <c r="C71" s="1">
        <v>300</v>
      </c>
      <c r="D71" s="13"/>
      <c r="E71" s="13"/>
      <c r="F71" s="13"/>
      <c r="G71" s="13"/>
      <c r="H71" s="13"/>
      <c r="I71" s="13"/>
      <c r="J71" s="13"/>
    </row>
    <row r="72" spans="1:10">
      <c r="A72" s="1">
        <v>339</v>
      </c>
      <c r="B72" s="1">
        <v>31</v>
      </c>
      <c r="C72" s="1">
        <v>300</v>
      </c>
      <c r="D72" s="13"/>
      <c r="E72" s="13"/>
      <c r="F72" s="13"/>
      <c r="G72" s="13"/>
      <c r="H72" s="13"/>
      <c r="I72" s="13"/>
      <c r="J72" s="13"/>
    </row>
    <row r="73" spans="1:10">
      <c r="A73" s="1">
        <v>340</v>
      </c>
      <c r="B73" s="1">
        <v>31</v>
      </c>
      <c r="C73" s="1">
        <v>300</v>
      </c>
      <c r="D73" s="13"/>
      <c r="E73" s="13"/>
      <c r="F73" s="13"/>
      <c r="G73" s="13"/>
      <c r="H73" s="13"/>
      <c r="I73" s="13"/>
      <c r="J73" s="13"/>
    </row>
    <row r="74" spans="1:10">
      <c r="A74" s="1">
        <v>341</v>
      </c>
      <c r="B74" s="1">
        <v>31</v>
      </c>
      <c r="C74" s="1">
        <v>300</v>
      </c>
      <c r="D74" s="13"/>
      <c r="E74" s="13"/>
      <c r="F74" s="13"/>
      <c r="G74" s="13"/>
      <c r="H74" s="13"/>
      <c r="I74" s="13"/>
      <c r="J74" s="13"/>
    </row>
    <row r="75" spans="1:10">
      <c r="A75" s="1">
        <v>342</v>
      </c>
      <c r="B75" s="1">
        <v>31</v>
      </c>
      <c r="C75" s="1">
        <v>300</v>
      </c>
      <c r="D75" s="13"/>
      <c r="E75" s="13"/>
      <c r="F75" s="13"/>
      <c r="G75" s="13"/>
      <c r="H75" s="13"/>
      <c r="I75" s="13"/>
      <c r="J75" s="13"/>
    </row>
    <row r="76" spans="1:10">
      <c r="A76" s="1">
        <v>343</v>
      </c>
      <c r="B76" s="1">
        <v>31</v>
      </c>
      <c r="C76" s="1">
        <v>300</v>
      </c>
      <c r="D76" s="13"/>
      <c r="E76" s="13"/>
      <c r="F76" s="13"/>
      <c r="G76" s="13"/>
      <c r="H76" s="13"/>
      <c r="I76" s="13"/>
      <c r="J76" s="13"/>
    </row>
    <row r="77" spans="1:10">
      <c r="A77" s="1">
        <v>344</v>
      </c>
      <c r="B77" s="1">
        <v>31</v>
      </c>
      <c r="C77" s="1">
        <v>300</v>
      </c>
      <c r="D77" s="13"/>
      <c r="E77" s="13"/>
      <c r="F77" s="13"/>
      <c r="G77" s="13"/>
      <c r="H77" s="13"/>
      <c r="I77" s="13"/>
      <c r="J77" s="13"/>
    </row>
    <row r="78" spans="1:10">
      <c r="A78" s="1">
        <v>345</v>
      </c>
      <c r="B78" s="1">
        <v>31</v>
      </c>
      <c r="C78" s="1">
        <v>300</v>
      </c>
      <c r="D78" s="13"/>
      <c r="E78" s="13"/>
      <c r="F78" s="13"/>
      <c r="G78" s="13"/>
      <c r="H78" s="13"/>
      <c r="I78" s="13"/>
      <c r="J78" s="13"/>
    </row>
    <row r="79" spans="1:10">
      <c r="A79" s="1">
        <v>346</v>
      </c>
      <c r="B79" s="1">
        <v>31</v>
      </c>
      <c r="C79" s="1">
        <v>300</v>
      </c>
      <c r="D79" s="13"/>
      <c r="E79" s="13"/>
      <c r="F79" s="13"/>
      <c r="G79" s="13"/>
      <c r="H79" s="13"/>
      <c r="I79" s="13"/>
      <c r="J79" s="13"/>
    </row>
    <row r="80" spans="1:10">
      <c r="A80" s="1">
        <v>347</v>
      </c>
      <c r="B80" s="1">
        <v>31</v>
      </c>
      <c r="C80" s="1">
        <v>300</v>
      </c>
      <c r="D80" s="13"/>
      <c r="E80" s="13"/>
      <c r="F80" s="13"/>
      <c r="G80" s="13"/>
      <c r="H80" s="13"/>
      <c r="I80" s="13"/>
      <c r="J80" s="13"/>
    </row>
    <row r="81" spans="1:10">
      <c r="A81" s="1">
        <v>348</v>
      </c>
      <c r="B81" s="1">
        <v>31</v>
      </c>
      <c r="C81" s="1">
        <v>300</v>
      </c>
      <c r="D81" s="13"/>
      <c r="E81" s="13"/>
      <c r="F81" s="13"/>
      <c r="G81" s="13"/>
      <c r="H81" s="13"/>
      <c r="I81" s="13"/>
      <c r="J81" s="13"/>
    </row>
    <row r="82" spans="1:10">
      <c r="A82" s="1">
        <v>349</v>
      </c>
      <c r="B82" s="1">
        <v>32</v>
      </c>
      <c r="C82" s="1">
        <v>500</v>
      </c>
      <c r="D82" s="13"/>
      <c r="E82" s="13"/>
      <c r="F82" s="13"/>
      <c r="G82" s="13"/>
      <c r="H82" s="13"/>
      <c r="I82" s="13"/>
      <c r="J82" s="13"/>
    </row>
    <row r="83" spans="1:10">
      <c r="A83" s="1">
        <v>350</v>
      </c>
      <c r="B83" s="1">
        <v>32</v>
      </c>
      <c r="C83" s="1">
        <v>500</v>
      </c>
      <c r="D83" s="13"/>
      <c r="E83" s="13"/>
      <c r="F83" s="13"/>
      <c r="G83" s="13"/>
      <c r="H83" s="13"/>
      <c r="I83" s="13"/>
      <c r="J83" s="13"/>
    </row>
    <row r="84" spans="1:10">
      <c r="A84" s="1">
        <v>351</v>
      </c>
      <c r="B84" s="1">
        <v>32</v>
      </c>
      <c r="C84" s="1">
        <v>500</v>
      </c>
      <c r="D84" s="13"/>
      <c r="E84" s="13"/>
      <c r="F84" s="13"/>
      <c r="G84" s="13"/>
      <c r="H84" s="13"/>
      <c r="I84" s="13"/>
      <c r="J84" s="13"/>
    </row>
    <row r="85" spans="1:10">
      <c r="A85" s="1">
        <v>352</v>
      </c>
      <c r="B85" s="1">
        <v>32</v>
      </c>
      <c r="C85" s="1">
        <v>500</v>
      </c>
      <c r="D85" s="13"/>
      <c r="E85" s="13"/>
      <c r="F85" s="13"/>
      <c r="G85" s="13"/>
      <c r="H85" s="13"/>
      <c r="I85" s="13"/>
      <c r="J85" s="13"/>
    </row>
    <row r="86" spans="1:10">
      <c r="A86" s="1">
        <v>353</v>
      </c>
      <c r="B86" s="1">
        <v>32</v>
      </c>
      <c r="C86" s="1">
        <v>500</v>
      </c>
      <c r="D86" s="13"/>
      <c r="E86" s="13"/>
      <c r="F86" s="13"/>
      <c r="G86" s="13"/>
      <c r="H86" s="13"/>
      <c r="I86" s="13"/>
      <c r="J86" s="13"/>
    </row>
    <row r="87" spans="1:10">
      <c r="A87" s="1">
        <v>354</v>
      </c>
      <c r="B87" s="1">
        <v>32</v>
      </c>
      <c r="C87" s="1">
        <v>500</v>
      </c>
      <c r="D87" s="13"/>
      <c r="E87" s="13"/>
      <c r="F87" s="13"/>
      <c r="G87" s="13"/>
      <c r="H87" s="13"/>
      <c r="I87" s="13"/>
      <c r="J87" s="13"/>
    </row>
    <row r="88" spans="1:10">
      <c r="A88" s="1">
        <v>355</v>
      </c>
      <c r="B88" s="1">
        <v>33</v>
      </c>
      <c r="C88" s="1">
        <v>500</v>
      </c>
      <c r="D88" s="13"/>
      <c r="E88" s="13"/>
      <c r="F88" s="13"/>
      <c r="G88" s="13"/>
      <c r="H88" s="13"/>
      <c r="I88" s="13"/>
      <c r="J88" s="13"/>
    </row>
    <row r="89" spans="1:10">
      <c r="A89" s="1">
        <v>356</v>
      </c>
      <c r="B89" s="1">
        <v>33</v>
      </c>
      <c r="C89" s="1">
        <v>500</v>
      </c>
      <c r="D89" s="13"/>
      <c r="E89" s="13"/>
      <c r="F89" s="13"/>
      <c r="G89" s="13"/>
      <c r="H89" s="13"/>
      <c r="I89" s="13"/>
      <c r="J89" s="13"/>
    </row>
    <row r="90" spans="1:10">
      <c r="A90" s="1">
        <v>357</v>
      </c>
      <c r="B90" s="1">
        <v>33</v>
      </c>
      <c r="C90" s="1">
        <v>500</v>
      </c>
      <c r="D90" s="13"/>
      <c r="E90" s="13"/>
      <c r="F90" s="13"/>
      <c r="G90" s="13"/>
      <c r="H90" s="13"/>
      <c r="I90" s="13"/>
      <c r="J90" s="13"/>
    </row>
    <row r="91" spans="1:10">
      <c r="A91" s="1">
        <v>358</v>
      </c>
      <c r="B91" s="1">
        <v>33</v>
      </c>
      <c r="C91" s="1">
        <v>500</v>
      </c>
      <c r="D91" s="13"/>
      <c r="E91" s="13"/>
      <c r="F91" s="13"/>
      <c r="G91" s="13"/>
      <c r="H91" s="13"/>
      <c r="I91" s="13"/>
      <c r="J91" s="13"/>
    </row>
    <row r="92" spans="1:10">
      <c r="A92" s="1">
        <v>359</v>
      </c>
      <c r="B92" s="1">
        <v>33</v>
      </c>
      <c r="C92" s="1">
        <v>500</v>
      </c>
      <c r="D92" s="13"/>
      <c r="E92" s="13"/>
      <c r="F92" s="13"/>
      <c r="G92" s="13"/>
      <c r="H92" s="13"/>
      <c r="I92" s="13"/>
      <c r="J92" s="13"/>
    </row>
    <row r="93" spans="1:10">
      <c r="A93" s="1">
        <v>360</v>
      </c>
      <c r="B93" s="1">
        <v>33</v>
      </c>
      <c r="C93" s="1">
        <v>500</v>
      </c>
      <c r="D93" s="13"/>
      <c r="E93" s="13"/>
      <c r="F93" s="13"/>
      <c r="G93" s="13"/>
      <c r="H93" s="13"/>
      <c r="I93" s="13"/>
      <c r="J93" s="13"/>
    </row>
    <row r="94" spans="1:10">
      <c r="A94" s="1">
        <v>361</v>
      </c>
      <c r="B94" s="1">
        <v>34</v>
      </c>
      <c r="C94" s="1">
        <v>300</v>
      </c>
      <c r="D94" s="13"/>
      <c r="E94" s="13"/>
      <c r="F94" s="13"/>
      <c r="G94" s="13"/>
      <c r="H94" s="13"/>
      <c r="I94" s="13"/>
      <c r="J94" s="13"/>
    </row>
    <row r="95" spans="1:10">
      <c r="A95" s="1">
        <v>362</v>
      </c>
      <c r="B95" s="1">
        <v>34</v>
      </c>
      <c r="C95" s="1">
        <v>300</v>
      </c>
      <c r="D95" s="13"/>
      <c r="E95" s="13"/>
      <c r="F95" s="13"/>
      <c r="G95" s="13"/>
      <c r="H95" s="13"/>
      <c r="I95" s="13"/>
      <c r="J95" s="13"/>
    </row>
    <row r="96" spans="1:10">
      <c r="A96" s="1">
        <v>363</v>
      </c>
      <c r="B96" s="1">
        <v>34</v>
      </c>
      <c r="C96" s="1">
        <v>300</v>
      </c>
      <c r="D96" s="13"/>
      <c r="E96" s="13"/>
      <c r="F96" s="13"/>
      <c r="G96" s="13"/>
      <c r="H96" s="13"/>
      <c r="I96" s="13"/>
      <c r="J96" s="13"/>
    </row>
    <row r="97" spans="1:10">
      <c r="A97" s="1">
        <v>364</v>
      </c>
      <c r="B97" s="1">
        <v>34</v>
      </c>
      <c r="C97" s="1">
        <v>300</v>
      </c>
      <c r="D97" s="13"/>
      <c r="E97" s="13"/>
      <c r="F97" s="13"/>
      <c r="G97" s="13"/>
      <c r="H97" s="13"/>
      <c r="I97" s="13"/>
      <c r="J97" s="13"/>
    </row>
    <row r="98" spans="1:10">
      <c r="A98" s="1">
        <v>365</v>
      </c>
      <c r="B98" s="1">
        <v>34</v>
      </c>
      <c r="C98" s="1">
        <v>300</v>
      </c>
      <c r="D98" s="13"/>
      <c r="E98" s="13"/>
      <c r="F98" s="13"/>
      <c r="G98" s="13"/>
      <c r="H98" s="13"/>
      <c r="I98" s="13"/>
      <c r="J98" s="13"/>
    </row>
    <row r="99" spans="1:10">
      <c r="A99" s="1">
        <v>366</v>
      </c>
      <c r="B99" s="1">
        <v>34</v>
      </c>
      <c r="C99" s="1">
        <v>300</v>
      </c>
      <c r="D99" s="13"/>
      <c r="E99" s="13"/>
      <c r="F99" s="13"/>
      <c r="G99" s="13"/>
      <c r="H99" s="13"/>
      <c r="I99" s="13"/>
      <c r="J99" s="13"/>
    </row>
    <row r="100" spans="1:10">
      <c r="A100" s="1">
        <v>367</v>
      </c>
      <c r="B100" s="1">
        <v>34</v>
      </c>
      <c r="C100" s="1">
        <v>300</v>
      </c>
      <c r="D100" s="13"/>
      <c r="E100" s="13"/>
      <c r="F100" s="13"/>
      <c r="G100" s="13"/>
      <c r="H100" s="13"/>
      <c r="I100" s="13"/>
      <c r="J100" s="13"/>
    </row>
    <row r="101" spans="1:10">
      <c r="A101" s="1">
        <v>368</v>
      </c>
      <c r="B101" s="1">
        <v>34</v>
      </c>
      <c r="C101" s="1">
        <v>300</v>
      </c>
      <c r="D101" s="13"/>
      <c r="E101" s="13"/>
      <c r="F101" s="13"/>
      <c r="G101" s="13"/>
      <c r="H101" s="13"/>
      <c r="I101" s="13"/>
      <c r="J101" s="13"/>
    </row>
    <row r="102" spans="1:10">
      <c r="A102" s="1">
        <v>369</v>
      </c>
      <c r="B102" s="1">
        <v>34</v>
      </c>
      <c r="C102" s="1">
        <v>300</v>
      </c>
      <c r="D102" s="13"/>
      <c r="E102" s="13"/>
      <c r="F102" s="13"/>
      <c r="G102" s="13"/>
      <c r="H102" s="13"/>
      <c r="I102" s="13"/>
      <c r="J102" s="13"/>
    </row>
    <row r="103" spans="1:10">
      <c r="A103" s="1">
        <v>370</v>
      </c>
      <c r="B103" s="1">
        <v>34</v>
      </c>
      <c r="C103" s="1">
        <v>300</v>
      </c>
      <c r="D103" s="13"/>
      <c r="E103" s="13"/>
      <c r="F103" s="13"/>
      <c r="G103" s="13"/>
      <c r="H103" s="13"/>
      <c r="I103" s="13"/>
      <c r="J103" s="13"/>
    </row>
    <row r="104" spans="1:10">
      <c r="A104" s="1">
        <v>371</v>
      </c>
      <c r="B104" s="1">
        <v>35</v>
      </c>
      <c r="C104" s="1">
        <v>300</v>
      </c>
      <c r="D104" s="13"/>
      <c r="E104" s="13"/>
      <c r="F104" s="13"/>
      <c r="G104" s="13"/>
      <c r="H104" s="13"/>
      <c r="I104" s="13"/>
      <c r="J104" s="13"/>
    </row>
    <row r="105" spans="1:10">
      <c r="A105" s="1">
        <v>372</v>
      </c>
      <c r="B105" s="1">
        <v>35</v>
      </c>
      <c r="C105" s="1">
        <v>300</v>
      </c>
      <c r="D105" s="13"/>
      <c r="E105" s="13"/>
      <c r="F105" s="13"/>
      <c r="G105" s="13"/>
      <c r="H105" s="13"/>
      <c r="I105" s="13"/>
      <c r="J105" s="13"/>
    </row>
    <row r="106" spans="1:10">
      <c r="A106" s="1">
        <v>373</v>
      </c>
      <c r="B106" s="1">
        <v>36</v>
      </c>
      <c r="C106" s="1">
        <v>300</v>
      </c>
      <c r="D106" s="13"/>
      <c r="E106" s="13"/>
      <c r="F106" s="13"/>
      <c r="G106" s="13"/>
      <c r="H106" s="13"/>
      <c r="I106" s="13"/>
      <c r="J106" s="13"/>
    </row>
    <row r="107" spans="1:10">
      <c r="A107" s="1">
        <v>374</v>
      </c>
      <c r="B107" s="1">
        <v>36</v>
      </c>
      <c r="C107" s="1">
        <v>300</v>
      </c>
      <c r="D107" s="13"/>
      <c r="E107" s="13"/>
      <c r="F107" s="13"/>
      <c r="G107" s="13"/>
      <c r="H107" s="13"/>
      <c r="I107" s="13"/>
      <c r="J107" s="13"/>
    </row>
    <row r="108" spans="1:10">
      <c r="A108" s="1">
        <v>375</v>
      </c>
      <c r="B108" s="1">
        <v>36</v>
      </c>
      <c r="C108" s="1">
        <v>300</v>
      </c>
      <c r="D108" s="13"/>
      <c r="E108" s="13"/>
      <c r="F108" s="13"/>
      <c r="G108" s="13"/>
      <c r="H108" s="13"/>
      <c r="I108" s="13"/>
      <c r="J108" s="13"/>
    </row>
    <row r="109" spans="1:10">
      <c r="A109" s="1">
        <v>375</v>
      </c>
      <c r="B109" s="1">
        <v>37</v>
      </c>
      <c r="C109" s="1">
        <v>347</v>
      </c>
      <c r="D109" s="13"/>
      <c r="E109" s="13"/>
      <c r="F109" s="13"/>
      <c r="G109" s="13"/>
      <c r="H109" s="13"/>
      <c r="I109" s="13"/>
      <c r="J109" s="13"/>
    </row>
    <row r="110" spans="1:10">
      <c r="A110" s="1">
        <v>376</v>
      </c>
      <c r="B110" s="1">
        <v>36</v>
      </c>
      <c r="C110" s="1">
        <v>300</v>
      </c>
      <c r="D110" s="13"/>
      <c r="E110" s="13"/>
      <c r="F110" s="13"/>
      <c r="G110" s="13"/>
      <c r="H110" s="13"/>
      <c r="I110" s="13"/>
      <c r="J110" s="13"/>
    </row>
    <row r="111" spans="1:10">
      <c r="A111" s="1">
        <v>376</v>
      </c>
      <c r="B111" s="1">
        <v>38</v>
      </c>
      <c r="C111" s="1">
        <v>300</v>
      </c>
      <c r="D111" s="13"/>
      <c r="E111" s="13"/>
      <c r="F111" s="13"/>
      <c r="G111" s="13"/>
      <c r="H111" s="13"/>
      <c r="I111" s="13"/>
      <c r="J111" s="13"/>
    </row>
    <row r="112" spans="1:10">
      <c r="A112" s="1">
        <v>377</v>
      </c>
      <c r="B112" s="1">
        <v>36</v>
      </c>
      <c r="C112" s="1">
        <v>300</v>
      </c>
      <c r="D112" s="13"/>
      <c r="E112" s="13"/>
      <c r="F112" s="13"/>
      <c r="G112" s="13"/>
      <c r="H112" s="13"/>
      <c r="I112" s="13"/>
      <c r="J112" s="13"/>
    </row>
    <row r="113" spans="1:10">
      <c r="A113" s="1">
        <v>377</v>
      </c>
      <c r="B113" s="1">
        <v>38</v>
      </c>
      <c r="C113" s="1">
        <v>300</v>
      </c>
      <c r="D113" s="13"/>
      <c r="E113" s="13"/>
      <c r="F113" s="13"/>
      <c r="G113" s="13"/>
      <c r="H113" s="13"/>
      <c r="I113" s="13"/>
      <c r="J113" s="13"/>
    </row>
    <row r="114" spans="1:10">
      <c r="A114" s="1">
        <v>378</v>
      </c>
      <c r="B114" s="1">
        <v>36</v>
      </c>
      <c r="C114" s="1">
        <v>300</v>
      </c>
      <c r="D114" s="13"/>
      <c r="E114" s="13"/>
      <c r="F114" s="13"/>
      <c r="G114" s="13"/>
      <c r="H114" s="13"/>
      <c r="I114" s="13"/>
      <c r="J114" s="13"/>
    </row>
    <row r="115" spans="1:10">
      <c r="A115" s="1">
        <v>378</v>
      </c>
      <c r="B115" s="1">
        <v>38</v>
      </c>
      <c r="C115" s="1">
        <v>300</v>
      </c>
      <c r="D115" s="13"/>
      <c r="E115" s="13"/>
      <c r="F115" s="13"/>
      <c r="G115" s="13"/>
      <c r="H115" s="13"/>
      <c r="I115" s="13"/>
      <c r="J115" s="13"/>
    </row>
    <row r="116" spans="1:10">
      <c r="A116" s="1">
        <v>379</v>
      </c>
      <c r="B116" s="1">
        <v>36</v>
      </c>
      <c r="C116" s="1">
        <v>300</v>
      </c>
      <c r="D116" s="13"/>
      <c r="E116" s="13"/>
      <c r="F116" s="13"/>
      <c r="G116" s="13"/>
      <c r="H116" s="13"/>
      <c r="I116" s="13"/>
      <c r="J116" s="13"/>
    </row>
    <row r="117" spans="1:10">
      <c r="A117" s="1">
        <v>379</v>
      </c>
      <c r="B117" s="1">
        <v>38</v>
      </c>
      <c r="C117" s="1">
        <v>300</v>
      </c>
      <c r="D117" s="13"/>
      <c r="E117" s="13"/>
      <c r="F117" s="13"/>
      <c r="G117" s="13"/>
      <c r="H117" s="13"/>
      <c r="I117" s="13"/>
      <c r="J117" s="13"/>
    </row>
    <row r="118" spans="1:10">
      <c r="A118" s="1">
        <v>380</v>
      </c>
      <c r="B118" s="1">
        <v>36</v>
      </c>
      <c r="C118" s="1">
        <v>300</v>
      </c>
      <c r="D118" s="13"/>
      <c r="E118" s="13"/>
      <c r="F118" s="13"/>
      <c r="G118" s="13"/>
      <c r="H118" s="13"/>
      <c r="I118" s="13"/>
      <c r="J118" s="13"/>
    </row>
    <row r="119" spans="1:10">
      <c r="A119" s="1">
        <v>380</v>
      </c>
      <c r="B119" s="1">
        <v>38</v>
      </c>
      <c r="C119" s="1">
        <v>300</v>
      </c>
      <c r="D119" s="13"/>
      <c r="E119" s="13"/>
      <c r="F119" s="13"/>
      <c r="G119" s="13"/>
      <c r="H119" s="13"/>
      <c r="I119" s="13"/>
      <c r="J119" s="13"/>
    </row>
    <row r="120" spans="1:10">
      <c r="A120" s="1">
        <v>381</v>
      </c>
      <c r="B120" s="1">
        <v>38</v>
      </c>
      <c r="C120" s="1">
        <v>300</v>
      </c>
      <c r="D120" s="13"/>
      <c r="E120" s="13"/>
      <c r="F120" s="13"/>
      <c r="G120" s="13"/>
      <c r="H120" s="13"/>
      <c r="I120" s="13"/>
      <c r="J120" s="13"/>
    </row>
    <row r="121" spans="1:10">
      <c r="A121" s="1">
        <v>382</v>
      </c>
      <c r="B121" s="1">
        <v>38</v>
      </c>
      <c r="C121" s="1">
        <v>300</v>
      </c>
      <c r="D121" s="13"/>
      <c r="E121" s="13"/>
      <c r="F121" s="13"/>
      <c r="G121" s="13"/>
      <c r="H121" s="13"/>
      <c r="I121" s="13"/>
      <c r="J121" s="13"/>
    </row>
    <row r="122" spans="1:10">
      <c r="A122" s="1">
        <v>383</v>
      </c>
      <c r="B122" s="1">
        <v>38</v>
      </c>
      <c r="C122" s="1">
        <v>300</v>
      </c>
      <c r="D122" s="13"/>
      <c r="E122" s="13"/>
      <c r="F122" s="13"/>
      <c r="G122" s="13"/>
      <c r="H122" s="13"/>
      <c r="I122" s="13"/>
      <c r="J122" s="13"/>
    </row>
    <row r="123" spans="1:10">
      <c r="A123" s="1">
        <v>384</v>
      </c>
      <c r="B123" s="1">
        <v>38</v>
      </c>
      <c r="C123" s="1">
        <v>300</v>
      </c>
      <c r="D123" s="13"/>
      <c r="E123" s="13"/>
      <c r="F123" s="13"/>
      <c r="G123" s="13"/>
      <c r="H123" s="13"/>
      <c r="I123" s="13"/>
      <c r="J123" s="13"/>
    </row>
    <row r="124" spans="1:10">
      <c r="A124" s="1">
        <v>385</v>
      </c>
      <c r="B124" s="1">
        <v>38</v>
      </c>
      <c r="C124" s="1">
        <v>300</v>
      </c>
      <c r="D124" s="13"/>
      <c r="E124" s="13"/>
      <c r="F124" s="13"/>
      <c r="G124" s="13"/>
      <c r="H124" s="13"/>
      <c r="I124" s="13"/>
      <c r="J124" s="13"/>
    </row>
    <row r="125" spans="1:10">
      <c r="A125" s="1">
        <v>387</v>
      </c>
      <c r="B125" s="1">
        <v>39</v>
      </c>
      <c r="C125" s="1">
        <v>300</v>
      </c>
      <c r="D125" s="13"/>
      <c r="E125" s="13"/>
      <c r="F125" s="13"/>
      <c r="G125" s="13"/>
      <c r="H125" s="13"/>
      <c r="I125" s="13"/>
      <c r="J125" s="13"/>
    </row>
    <row r="126" spans="1:10">
      <c r="A126" s="1">
        <v>388</v>
      </c>
      <c r="B126" s="1">
        <v>39</v>
      </c>
      <c r="C126" s="1">
        <v>300</v>
      </c>
      <c r="D126" s="13"/>
      <c r="E126" s="13"/>
      <c r="F126" s="13"/>
      <c r="G126" s="13"/>
      <c r="H126" s="13"/>
      <c r="I126" s="13"/>
      <c r="J126" s="13"/>
    </row>
    <row r="127" spans="1:10">
      <c r="A127" s="1">
        <v>389</v>
      </c>
      <c r="B127" s="1">
        <v>39</v>
      </c>
      <c r="C127" s="1">
        <v>300</v>
      </c>
      <c r="D127" s="13"/>
      <c r="E127" s="13"/>
      <c r="F127" s="13"/>
      <c r="G127" s="13"/>
      <c r="H127" s="13"/>
      <c r="I127" s="13"/>
      <c r="J127" s="13"/>
    </row>
    <row r="128" spans="1:10">
      <c r="A128" s="1">
        <v>390</v>
      </c>
      <c r="B128" s="1">
        <v>39</v>
      </c>
      <c r="C128" s="1">
        <v>300</v>
      </c>
      <c r="D128" s="13"/>
      <c r="E128" s="13"/>
      <c r="F128" s="13"/>
      <c r="G128" s="13"/>
      <c r="H128" s="13"/>
      <c r="I128" s="13"/>
      <c r="J128" s="13"/>
    </row>
    <row r="129" spans="1:10">
      <c r="A129" s="1">
        <v>391</v>
      </c>
      <c r="B129" s="1">
        <v>39</v>
      </c>
      <c r="C129" s="1">
        <v>300</v>
      </c>
      <c r="D129" s="13"/>
      <c r="E129" s="13"/>
      <c r="F129" s="13"/>
      <c r="G129" s="13"/>
      <c r="H129" s="13"/>
      <c r="I129" s="13"/>
      <c r="J129" s="13"/>
    </row>
    <row r="130" spans="1:10">
      <c r="A130" s="1">
        <v>392</v>
      </c>
      <c r="B130" s="1">
        <v>39</v>
      </c>
      <c r="C130" s="1">
        <v>300</v>
      </c>
      <c r="D130" s="13"/>
      <c r="E130" s="13"/>
      <c r="F130" s="13"/>
      <c r="G130" s="13"/>
      <c r="H130" s="13"/>
      <c r="I130" s="13"/>
      <c r="J130" s="13"/>
    </row>
    <row r="131" spans="1:10">
      <c r="A131" s="1">
        <v>393</v>
      </c>
      <c r="B131" s="1">
        <v>39</v>
      </c>
      <c r="C131" s="1">
        <v>300</v>
      </c>
      <c r="D131" s="13"/>
      <c r="E131" s="13"/>
      <c r="F131" s="13"/>
      <c r="G131" s="13"/>
      <c r="H131" s="13"/>
      <c r="I131" s="13"/>
      <c r="J131" s="13"/>
    </row>
    <row r="132" spans="1:10">
      <c r="A132" s="1">
        <v>394</v>
      </c>
      <c r="B132" s="1">
        <v>39</v>
      </c>
      <c r="C132" s="1">
        <v>300</v>
      </c>
      <c r="D132" s="13"/>
      <c r="E132" s="13"/>
      <c r="F132" s="13"/>
      <c r="G132" s="13"/>
      <c r="H132" s="13"/>
      <c r="I132" s="13"/>
      <c r="J132" s="13"/>
    </row>
    <row r="133" spans="1:10">
      <c r="A133" s="1">
        <v>395</v>
      </c>
      <c r="B133" s="1">
        <v>39</v>
      </c>
      <c r="C133" s="1">
        <v>300</v>
      </c>
      <c r="D133" s="13"/>
      <c r="E133" s="13"/>
      <c r="F133" s="13"/>
      <c r="G133" s="13"/>
      <c r="H133" s="13"/>
      <c r="I133" s="13"/>
      <c r="J133" s="13"/>
    </row>
    <row r="134" spans="1:10">
      <c r="A134" s="1">
        <v>406</v>
      </c>
      <c r="B134" s="1">
        <v>40</v>
      </c>
      <c r="C134" s="1">
        <v>300</v>
      </c>
      <c r="D134" s="13"/>
      <c r="E134" s="13"/>
      <c r="F134" s="13"/>
      <c r="G134" s="13"/>
      <c r="H134" s="13"/>
      <c r="I134" s="13"/>
      <c r="J134" s="13"/>
    </row>
    <row r="135" spans="1:10">
      <c r="A135" s="1">
        <v>407</v>
      </c>
      <c r="B135" s="1">
        <v>40</v>
      </c>
      <c r="C135" s="1">
        <v>300</v>
      </c>
      <c r="D135" s="13"/>
      <c r="E135" s="13"/>
      <c r="F135" s="13"/>
      <c r="G135" s="13"/>
      <c r="H135" s="13"/>
      <c r="I135" s="13"/>
      <c r="J135" s="13"/>
    </row>
    <row r="136" spans="1:10">
      <c r="A136" s="1">
        <v>408</v>
      </c>
      <c r="B136" s="1">
        <v>40</v>
      </c>
      <c r="C136" s="1">
        <v>300</v>
      </c>
      <c r="D136" s="13"/>
      <c r="E136" s="13"/>
      <c r="F136" s="13"/>
      <c r="G136" s="13"/>
      <c r="H136" s="13"/>
      <c r="I136" s="13"/>
      <c r="J136" s="13"/>
    </row>
    <row r="137" spans="1:10">
      <c r="A137" s="1">
        <v>409</v>
      </c>
      <c r="B137" s="1">
        <v>40</v>
      </c>
      <c r="C137" s="1">
        <v>300</v>
      </c>
      <c r="D137" s="13"/>
      <c r="E137" s="13"/>
      <c r="F137" s="13"/>
      <c r="G137" s="13"/>
      <c r="H137" s="13"/>
      <c r="I137" s="13"/>
      <c r="J137" s="13"/>
    </row>
    <row r="138" spans="1:10">
      <c r="A138" s="1">
        <v>410</v>
      </c>
      <c r="B138" s="1">
        <v>40</v>
      </c>
      <c r="C138" s="1">
        <v>300</v>
      </c>
      <c r="D138" s="13"/>
      <c r="E138" s="13"/>
      <c r="F138" s="13"/>
      <c r="G138" s="13"/>
      <c r="H138" s="13"/>
      <c r="I138" s="13"/>
      <c r="J138" s="13"/>
    </row>
    <row r="139" spans="1:10">
      <c r="A139" s="1">
        <v>411</v>
      </c>
      <c r="B139" s="1">
        <v>40</v>
      </c>
      <c r="C139" s="1">
        <v>300</v>
      </c>
      <c r="D139" s="13"/>
      <c r="E139" s="13"/>
      <c r="F139" s="13"/>
      <c r="G139" s="13"/>
      <c r="H139" s="13"/>
      <c r="I139" s="13"/>
      <c r="J139" s="13"/>
    </row>
    <row r="140" spans="1:10">
      <c r="A140" s="1">
        <v>412</v>
      </c>
      <c r="B140" s="1">
        <v>40</v>
      </c>
      <c r="C140" s="1">
        <v>300</v>
      </c>
      <c r="D140" s="13"/>
      <c r="E140" s="13"/>
      <c r="F140" s="13"/>
      <c r="G140" s="13"/>
      <c r="H140" s="13"/>
      <c r="I140" s="13"/>
      <c r="J140" s="13"/>
    </row>
    <row r="141" spans="1:10">
      <c r="A141" s="1">
        <v>413</v>
      </c>
      <c r="B141" s="1">
        <v>40</v>
      </c>
      <c r="C141" s="1">
        <v>300</v>
      </c>
      <c r="D141" s="13"/>
      <c r="E141" s="13"/>
      <c r="F141" s="13"/>
      <c r="G141" s="13"/>
      <c r="H141" s="13"/>
      <c r="I141" s="13"/>
      <c r="J141" s="13"/>
    </row>
    <row r="142" spans="1:10">
      <c r="A142" s="1">
        <v>414</v>
      </c>
      <c r="B142" s="1">
        <v>40</v>
      </c>
      <c r="C142" s="1">
        <v>300</v>
      </c>
      <c r="D142" s="13"/>
      <c r="E142" s="13"/>
      <c r="F142" s="13"/>
      <c r="G142" s="13"/>
      <c r="H142" s="13"/>
      <c r="I142" s="13"/>
      <c r="J142" s="13"/>
    </row>
    <row r="143" spans="1:10">
      <c r="A143" s="1">
        <v>415</v>
      </c>
      <c r="B143" s="1">
        <v>40</v>
      </c>
      <c r="C143" s="1">
        <v>300</v>
      </c>
      <c r="D143" s="13"/>
      <c r="E143" s="13"/>
      <c r="F143" s="13"/>
      <c r="G143" s="13"/>
      <c r="H143" s="13"/>
      <c r="I143" s="13"/>
      <c r="J143" s="13"/>
    </row>
    <row r="144" spans="1:10">
      <c r="A144" s="1">
        <v>416</v>
      </c>
      <c r="B144" s="1">
        <v>41</v>
      </c>
      <c r="C144" s="1">
        <v>300</v>
      </c>
      <c r="D144" s="13"/>
      <c r="E144" s="13"/>
      <c r="F144" s="13"/>
      <c r="G144" s="13"/>
      <c r="H144" s="13"/>
      <c r="I144" s="13"/>
      <c r="J144" s="13"/>
    </row>
    <row r="145" spans="1:10">
      <c r="A145" s="1">
        <v>417</v>
      </c>
      <c r="B145" s="1">
        <v>41</v>
      </c>
      <c r="C145" s="1">
        <v>300</v>
      </c>
      <c r="D145" s="13"/>
      <c r="E145" s="13"/>
      <c r="F145" s="13"/>
      <c r="G145" s="13"/>
      <c r="H145" s="13"/>
      <c r="I145" s="13"/>
      <c r="J145" s="13"/>
    </row>
    <row r="146" spans="1:10">
      <c r="A146" s="1">
        <v>418</v>
      </c>
      <c r="B146" s="1">
        <v>41</v>
      </c>
      <c r="C146" s="1">
        <v>300</v>
      </c>
      <c r="D146" s="13"/>
      <c r="E146" s="13"/>
      <c r="F146" s="13"/>
      <c r="G146" s="13"/>
      <c r="H146" s="13"/>
      <c r="I146" s="13"/>
      <c r="J146" s="13"/>
    </row>
    <row r="147" spans="1:10">
      <c r="A147" s="1">
        <v>419</v>
      </c>
      <c r="B147" s="1">
        <v>41</v>
      </c>
      <c r="C147" s="1">
        <v>300</v>
      </c>
      <c r="D147" s="13"/>
      <c r="E147" s="13"/>
      <c r="F147" s="13"/>
      <c r="G147" s="13"/>
      <c r="H147" s="13"/>
      <c r="I147" s="13"/>
      <c r="J147" s="13"/>
    </row>
    <row r="148" spans="1:10">
      <c r="A148" s="1">
        <v>420</v>
      </c>
      <c r="B148" s="1">
        <v>41</v>
      </c>
      <c r="C148" s="1">
        <v>300</v>
      </c>
      <c r="D148" s="13"/>
      <c r="E148" s="13"/>
      <c r="F148" s="13"/>
      <c r="G148" s="13"/>
      <c r="H148" s="13"/>
      <c r="I148" s="13"/>
      <c r="J148" s="13"/>
    </row>
    <row r="149" spans="1:10">
      <c r="A149" s="1">
        <v>421</v>
      </c>
      <c r="B149" s="1">
        <v>41</v>
      </c>
      <c r="C149" s="1">
        <v>300</v>
      </c>
      <c r="D149" s="13"/>
      <c r="E149" s="13"/>
      <c r="F149" s="13"/>
      <c r="G149" s="13"/>
      <c r="H149" s="13"/>
      <c r="I149" s="13"/>
      <c r="J149" s="13"/>
    </row>
    <row r="150" spans="1:10">
      <c r="A150" s="1">
        <v>422</v>
      </c>
      <c r="B150" s="1">
        <v>41</v>
      </c>
      <c r="C150" s="1">
        <v>300</v>
      </c>
      <c r="D150" s="13"/>
      <c r="E150" s="13"/>
      <c r="F150" s="13"/>
      <c r="G150" s="13"/>
      <c r="H150" s="13"/>
      <c r="I150" s="13"/>
      <c r="J150" s="13"/>
    </row>
    <row r="151" spans="1:10">
      <c r="A151" s="1">
        <v>424</v>
      </c>
      <c r="B151" s="1">
        <v>41</v>
      </c>
      <c r="C151" s="1">
        <v>300</v>
      </c>
      <c r="D151" s="13"/>
      <c r="E151" s="13"/>
      <c r="F151" s="13"/>
      <c r="G151" s="13"/>
      <c r="H151" s="13"/>
      <c r="I151" s="13"/>
      <c r="J151" s="13"/>
    </row>
    <row r="152" spans="1:10">
      <c r="A152" s="1">
        <v>425</v>
      </c>
      <c r="B152" s="1">
        <v>41</v>
      </c>
      <c r="C152" s="1">
        <v>300</v>
      </c>
      <c r="D152" s="13"/>
      <c r="E152" s="13"/>
      <c r="F152" s="13"/>
      <c r="G152" s="13"/>
      <c r="H152" s="13"/>
      <c r="I152" s="13"/>
      <c r="J152" s="13"/>
    </row>
    <row r="153" spans="1:10">
      <c r="A153" s="1">
        <v>426</v>
      </c>
      <c r="B153" s="1">
        <v>42</v>
      </c>
      <c r="C153" s="1">
        <v>300</v>
      </c>
      <c r="D153" s="13"/>
      <c r="E153" s="13"/>
      <c r="F153" s="13"/>
      <c r="G153" s="13"/>
      <c r="H153" s="13"/>
      <c r="I153" s="13"/>
      <c r="J153" s="13"/>
    </row>
    <row r="154" spans="1:10">
      <c r="A154" s="1">
        <v>427</v>
      </c>
      <c r="B154" s="1">
        <v>42</v>
      </c>
      <c r="C154" s="1">
        <v>300</v>
      </c>
      <c r="D154" s="13"/>
      <c r="E154" s="13"/>
      <c r="F154" s="13"/>
      <c r="G154" s="13"/>
      <c r="H154" s="13"/>
      <c r="I154" s="13"/>
      <c r="J154" s="13"/>
    </row>
    <row r="155" spans="1:10">
      <c r="A155" s="1">
        <v>428</v>
      </c>
      <c r="B155" s="1">
        <v>42</v>
      </c>
      <c r="C155" s="1">
        <v>300</v>
      </c>
      <c r="D155" s="13"/>
      <c r="E155" s="13"/>
      <c r="F155" s="13"/>
      <c r="G155" s="13"/>
      <c r="H155" s="13"/>
      <c r="I155" s="13"/>
      <c r="J155" s="13"/>
    </row>
    <row r="156" spans="1:10">
      <c r="A156" s="1">
        <v>429</v>
      </c>
      <c r="B156" s="1">
        <v>42</v>
      </c>
      <c r="C156" s="1">
        <v>300</v>
      </c>
      <c r="D156" s="13"/>
      <c r="E156" s="13"/>
      <c r="F156" s="13"/>
      <c r="G156" s="13"/>
      <c r="H156" s="13"/>
      <c r="I156" s="13"/>
      <c r="J156" s="13"/>
    </row>
    <row r="157" spans="1:10">
      <c r="A157" s="1">
        <v>430</v>
      </c>
      <c r="B157" s="1">
        <v>42</v>
      </c>
      <c r="C157" s="1">
        <v>300</v>
      </c>
      <c r="D157" s="13"/>
      <c r="E157" s="13"/>
      <c r="F157" s="13"/>
      <c r="G157" s="13"/>
      <c r="H157" s="13"/>
      <c r="I157" s="13"/>
      <c r="J157" s="13"/>
    </row>
    <row r="158" spans="1:10">
      <c r="A158" s="1">
        <v>431</v>
      </c>
      <c r="B158" s="1">
        <v>42</v>
      </c>
      <c r="C158" s="1">
        <v>300</v>
      </c>
      <c r="D158" s="13"/>
      <c r="E158" s="13"/>
      <c r="F158" s="13"/>
      <c r="G158" s="13"/>
      <c r="H158" s="13"/>
      <c r="I158" s="13"/>
      <c r="J158" s="13"/>
    </row>
    <row r="159" spans="1:10">
      <c r="A159" s="1">
        <v>432</v>
      </c>
      <c r="B159" s="1">
        <v>42</v>
      </c>
      <c r="C159" s="1">
        <v>300</v>
      </c>
      <c r="D159" s="13"/>
      <c r="E159" s="13"/>
      <c r="F159" s="13"/>
      <c r="G159" s="13"/>
      <c r="H159" s="13"/>
      <c r="I159" s="13"/>
      <c r="J159" s="13"/>
    </row>
    <row r="160" spans="1:10">
      <c r="A160" s="1">
        <v>433</v>
      </c>
      <c r="B160" s="1">
        <v>42</v>
      </c>
      <c r="C160" s="1">
        <v>300</v>
      </c>
      <c r="D160" s="13"/>
      <c r="E160" s="13"/>
      <c r="F160" s="13"/>
      <c r="G160" s="13"/>
      <c r="H160" s="13"/>
      <c r="I160" s="13"/>
      <c r="J160" s="13"/>
    </row>
    <row r="161" spans="1:10">
      <c r="A161" s="1">
        <v>434</v>
      </c>
      <c r="B161" s="1">
        <v>42</v>
      </c>
      <c r="C161" s="1">
        <v>300</v>
      </c>
      <c r="D161" s="13"/>
      <c r="E161" s="13"/>
      <c r="F161" s="13"/>
      <c r="G161" s="13"/>
      <c r="H161" s="13"/>
      <c r="I161" s="13"/>
      <c r="J161" s="13"/>
    </row>
    <row r="162" spans="1:10">
      <c r="A162" s="1">
        <v>435</v>
      </c>
      <c r="B162" s="1">
        <v>42</v>
      </c>
      <c r="C162" s="1">
        <v>300</v>
      </c>
      <c r="D162" s="13"/>
      <c r="E162" s="13"/>
      <c r="F162" s="13"/>
      <c r="G162" s="13"/>
      <c r="H162" s="13"/>
      <c r="I162" s="13"/>
      <c r="J162" s="13"/>
    </row>
    <row r="163" spans="1:10">
      <c r="A163" s="1">
        <v>436</v>
      </c>
      <c r="B163" s="1">
        <v>43</v>
      </c>
      <c r="C163" s="1">
        <v>300</v>
      </c>
      <c r="D163" s="13"/>
      <c r="E163" s="13"/>
      <c r="F163" s="13"/>
      <c r="G163" s="13"/>
      <c r="H163" s="13"/>
      <c r="I163" s="13"/>
      <c r="J163" s="13"/>
    </row>
    <row r="164" spans="1:10">
      <c r="A164" s="1">
        <v>437</v>
      </c>
      <c r="B164" s="1">
        <v>43</v>
      </c>
      <c r="C164" s="1">
        <v>300</v>
      </c>
      <c r="D164" s="13"/>
      <c r="E164" s="13"/>
      <c r="F164" s="13"/>
      <c r="G164" s="13"/>
      <c r="H164" s="13"/>
      <c r="I164" s="13"/>
      <c r="J164" s="13"/>
    </row>
    <row r="165" spans="1:10">
      <c r="A165" s="1">
        <v>438</v>
      </c>
      <c r="B165" s="1">
        <v>43</v>
      </c>
      <c r="C165" s="1">
        <v>300</v>
      </c>
      <c r="D165" s="13"/>
      <c r="E165" s="13"/>
      <c r="F165" s="13"/>
      <c r="G165" s="13"/>
      <c r="H165" s="13"/>
      <c r="I165" s="13"/>
      <c r="J165" s="13"/>
    </row>
    <row r="166" spans="1:10">
      <c r="A166" s="1">
        <v>439</v>
      </c>
      <c r="B166" s="1">
        <v>43</v>
      </c>
      <c r="C166" s="1">
        <v>100</v>
      </c>
      <c r="D166" s="13"/>
      <c r="E166" s="13"/>
      <c r="F166" s="13"/>
      <c r="G166" s="13"/>
      <c r="H166" s="13"/>
      <c r="I166" s="13"/>
      <c r="J166" s="13"/>
    </row>
    <row r="167" spans="1:10">
      <c r="A167" s="1">
        <v>440</v>
      </c>
      <c r="B167" s="1">
        <v>44</v>
      </c>
      <c r="C167" s="1">
        <v>500</v>
      </c>
      <c r="D167" s="13"/>
      <c r="E167" s="13"/>
      <c r="F167" s="13"/>
      <c r="G167" s="13"/>
      <c r="H167" s="13"/>
      <c r="I167" s="13"/>
      <c r="J167" s="13"/>
    </row>
    <row r="168" spans="1:10">
      <c r="A168" s="1">
        <v>441</v>
      </c>
      <c r="B168" s="1">
        <v>44</v>
      </c>
      <c r="C168" s="1">
        <v>500</v>
      </c>
      <c r="D168" s="13"/>
      <c r="E168" s="13"/>
      <c r="F168" s="13"/>
      <c r="G168" s="13"/>
      <c r="H168" s="13"/>
      <c r="I168" s="13"/>
      <c r="J168" s="13"/>
    </row>
    <row r="169" spans="1:10">
      <c r="A169" s="1">
        <v>442</v>
      </c>
      <c r="B169" s="1">
        <v>44</v>
      </c>
      <c r="C169" s="1">
        <v>500</v>
      </c>
      <c r="D169" s="13"/>
      <c r="E169" s="13"/>
      <c r="F169" s="13"/>
      <c r="G169" s="13"/>
      <c r="H169" s="13"/>
      <c r="I169" s="13"/>
      <c r="J169" s="13"/>
    </row>
    <row r="170" spans="1:10">
      <c r="A170" s="1">
        <v>443</v>
      </c>
      <c r="B170" s="1">
        <v>44</v>
      </c>
      <c r="C170" s="1">
        <v>500</v>
      </c>
      <c r="D170" s="13"/>
      <c r="E170" s="13"/>
      <c r="F170" s="13"/>
      <c r="G170" s="13"/>
      <c r="H170" s="13"/>
      <c r="I170" s="13"/>
      <c r="J170" s="13"/>
    </row>
    <row r="171" spans="1:10">
      <c r="A171" s="1">
        <v>444</v>
      </c>
      <c r="B171" s="1">
        <v>44</v>
      </c>
      <c r="C171" s="1">
        <v>500</v>
      </c>
      <c r="D171" s="13"/>
      <c r="E171" s="13"/>
      <c r="F171" s="13"/>
      <c r="G171" s="13"/>
      <c r="H171" s="13"/>
      <c r="I171" s="13"/>
      <c r="J171" s="13"/>
    </row>
    <row r="172" spans="1:10">
      <c r="A172" s="1">
        <v>445</v>
      </c>
      <c r="B172" s="1">
        <v>44</v>
      </c>
      <c r="C172" s="1">
        <v>500</v>
      </c>
      <c r="D172" s="13"/>
      <c r="E172" s="13"/>
      <c r="F172" s="13"/>
      <c r="G172" s="13"/>
      <c r="H172" s="13"/>
      <c r="I172" s="13"/>
      <c r="J172" s="13"/>
    </row>
    <row r="173" spans="1:10">
      <c r="A173" s="1">
        <v>446</v>
      </c>
      <c r="B173" s="1">
        <v>45</v>
      </c>
      <c r="C173" s="1">
        <v>500</v>
      </c>
      <c r="D173" s="13"/>
      <c r="E173" s="13"/>
      <c r="F173" s="13"/>
      <c r="G173" s="13"/>
      <c r="H173" s="13"/>
      <c r="I173" s="13"/>
      <c r="J173" s="13"/>
    </row>
    <row r="174" spans="1:10">
      <c r="A174" s="1">
        <v>447</v>
      </c>
      <c r="B174" s="1">
        <v>45</v>
      </c>
      <c r="C174" s="1">
        <v>500</v>
      </c>
      <c r="D174" s="13"/>
      <c r="E174" s="13"/>
      <c r="F174" s="13"/>
      <c r="G174" s="13"/>
      <c r="H174" s="13"/>
      <c r="I174" s="13"/>
      <c r="J174" s="13"/>
    </row>
    <row r="175" spans="1:10">
      <c r="A175" s="1">
        <v>448</v>
      </c>
      <c r="B175" s="1">
        <v>45</v>
      </c>
      <c r="C175" s="1">
        <v>500</v>
      </c>
      <c r="D175" s="13"/>
      <c r="E175" s="13"/>
      <c r="F175" s="13"/>
      <c r="G175" s="13"/>
      <c r="H175" s="13"/>
      <c r="I175" s="13"/>
      <c r="J175" s="13"/>
    </row>
    <row r="176" spans="1:10">
      <c r="A176" s="1">
        <v>449</v>
      </c>
      <c r="B176" s="1">
        <v>45</v>
      </c>
      <c r="C176" s="1">
        <v>500</v>
      </c>
      <c r="D176" s="13"/>
      <c r="E176" s="13"/>
      <c r="F176" s="13"/>
      <c r="G176" s="13"/>
      <c r="H176" s="13"/>
      <c r="I176" s="13"/>
      <c r="J176" s="13"/>
    </row>
    <row r="177" spans="1:10">
      <c r="A177" s="1">
        <v>450</v>
      </c>
      <c r="B177" s="1">
        <v>45</v>
      </c>
      <c r="C177" s="1">
        <v>500</v>
      </c>
      <c r="D177" s="13"/>
      <c r="E177" s="13"/>
      <c r="F177" s="13"/>
      <c r="G177" s="13"/>
      <c r="H177" s="13"/>
      <c r="I177" s="13"/>
      <c r="J177" s="13"/>
    </row>
    <row r="178" spans="1:10">
      <c r="A178" s="1">
        <v>451</v>
      </c>
      <c r="B178" s="1">
        <v>45</v>
      </c>
      <c r="C178" s="1">
        <v>500</v>
      </c>
      <c r="D178" s="13"/>
      <c r="E178" s="13"/>
      <c r="F178" s="13"/>
      <c r="G178" s="13"/>
      <c r="H178" s="13"/>
      <c r="I178" s="13"/>
      <c r="J178" s="13"/>
    </row>
    <row r="179" spans="1:10">
      <c r="A179" s="1">
        <v>452</v>
      </c>
      <c r="B179" s="1">
        <v>46</v>
      </c>
      <c r="C179" s="1">
        <v>500</v>
      </c>
      <c r="D179" s="13"/>
      <c r="E179" s="13"/>
      <c r="F179" s="13"/>
      <c r="G179" s="13"/>
      <c r="H179" s="13"/>
      <c r="I179" s="13"/>
      <c r="J179" s="13"/>
    </row>
    <row r="180" spans="1:10">
      <c r="A180" s="1">
        <v>453</v>
      </c>
      <c r="B180" s="1">
        <v>46</v>
      </c>
      <c r="C180" s="1">
        <v>500</v>
      </c>
      <c r="D180" s="13"/>
      <c r="E180" s="13"/>
      <c r="F180" s="13"/>
      <c r="G180" s="13"/>
      <c r="H180" s="13"/>
      <c r="I180" s="13"/>
      <c r="J180" s="13"/>
    </row>
    <row r="181" spans="1:10">
      <c r="A181" s="1">
        <v>454</v>
      </c>
      <c r="B181" s="1">
        <v>46</v>
      </c>
      <c r="C181" s="1">
        <v>500</v>
      </c>
      <c r="D181" s="13"/>
      <c r="E181" s="13"/>
      <c r="F181" s="13"/>
      <c r="G181" s="13"/>
      <c r="H181" s="13"/>
      <c r="I181" s="13"/>
      <c r="J181" s="13"/>
    </row>
    <row r="182" spans="1:10">
      <c r="A182" s="1">
        <v>455</v>
      </c>
      <c r="B182" s="1">
        <v>46</v>
      </c>
      <c r="C182" s="1">
        <v>500</v>
      </c>
      <c r="D182" s="13"/>
      <c r="E182" s="13"/>
      <c r="F182" s="13"/>
      <c r="G182" s="13"/>
      <c r="H182" s="13"/>
      <c r="I182" s="13"/>
      <c r="J182" s="13"/>
    </row>
    <row r="183" spans="1:10">
      <c r="A183" s="1">
        <v>456</v>
      </c>
      <c r="B183" s="1">
        <v>46</v>
      </c>
      <c r="C183" s="1">
        <v>500</v>
      </c>
      <c r="D183" s="13"/>
      <c r="E183" s="13"/>
      <c r="F183" s="13"/>
      <c r="G183" s="13"/>
      <c r="H183" s="13"/>
      <c r="I183" s="13"/>
      <c r="J183" s="13"/>
    </row>
    <row r="184" spans="1:10">
      <c r="A184" s="1">
        <v>457</v>
      </c>
      <c r="B184" s="1">
        <v>46</v>
      </c>
      <c r="C184" s="1">
        <v>500</v>
      </c>
      <c r="D184" s="13"/>
      <c r="E184" s="13"/>
      <c r="F184" s="13"/>
      <c r="G184" s="13"/>
      <c r="H184" s="13"/>
      <c r="I184" s="13"/>
      <c r="J184" s="13"/>
    </row>
    <row r="185" spans="1:10">
      <c r="A185" s="1">
        <v>458</v>
      </c>
      <c r="B185" s="1">
        <v>47</v>
      </c>
      <c r="C185" s="1">
        <v>300</v>
      </c>
      <c r="D185" s="13"/>
      <c r="E185" s="13"/>
      <c r="F185" s="13"/>
      <c r="G185" s="13"/>
      <c r="H185" s="13"/>
      <c r="I185" s="13"/>
      <c r="J185" s="13"/>
    </row>
    <row r="186" spans="1:10">
      <c r="A186" s="1">
        <v>459</v>
      </c>
      <c r="B186" s="1">
        <v>47</v>
      </c>
      <c r="C186" s="1">
        <v>300</v>
      </c>
      <c r="D186" s="13"/>
      <c r="E186" s="13"/>
      <c r="F186" s="13"/>
      <c r="G186" s="13"/>
      <c r="H186" s="13"/>
      <c r="I186" s="13"/>
      <c r="J186" s="13"/>
    </row>
    <row r="187" spans="1:10">
      <c r="A187" s="1">
        <v>460</v>
      </c>
      <c r="B187" s="1">
        <v>47</v>
      </c>
      <c r="C187" s="1">
        <v>300</v>
      </c>
      <c r="D187" s="13"/>
      <c r="E187" s="13"/>
      <c r="F187" s="13"/>
      <c r="G187" s="13"/>
      <c r="H187" s="13"/>
      <c r="I187" s="13"/>
      <c r="J187" s="13"/>
    </row>
    <row r="188" spans="1:10">
      <c r="A188" s="1">
        <v>461</v>
      </c>
      <c r="B188" s="1">
        <v>47</v>
      </c>
      <c r="C188" s="1">
        <v>300</v>
      </c>
      <c r="D188" s="13"/>
      <c r="E188" s="13"/>
      <c r="F188" s="13"/>
      <c r="G188" s="13"/>
      <c r="H188" s="13"/>
      <c r="I188" s="13"/>
      <c r="J188" s="13"/>
    </row>
    <row r="189" spans="1:10">
      <c r="A189" s="1">
        <v>462</v>
      </c>
      <c r="B189" s="1">
        <v>47</v>
      </c>
      <c r="C189" s="1">
        <v>300</v>
      </c>
      <c r="D189" s="13"/>
      <c r="E189" s="13"/>
      <c r="F189" s="13"/>
      <c r="G189" s="13"/>
      <c r="H189" s="13"/>
      <c r="I189" s="13"/>
      <c r="J189" s="13"/>
    </row>
    <row r="190" spans="1:10">
      <c r="A190" s="1">
        <v>463</v>
      </c>
      <c r="B190" s="1">
        <v>47</v>
      </c>
      <c r="C190" s="1">
        <v>300</v>
      </c>
      <c r="D190" s="13"/>
      <c r="E190" s="13"/>
      <c r="F190" s="13"/>
      <c r="G190" s="13"/>
      <c r="H190" s="13"/>
      <c r="I190" s="13"/>
      <c r="J190" s="13"/>
    </row>
    <row r="191" spans="1:10">
      <c r="A191" s="1">
        <v>464</v>
      </c>
      <c r="B191" s="1">
        <v>47</v>
      </c>
      <c r="C191" s="1">
        <v>300</v>
      </c>
      <c r="D191" s="13"/>
      <c r="E191" s="13"/>
      <c r="F191" s="13"/>
      <c r="G191" s="13"/>
      <c r="H191" s="13"/>
      <c r="I191" s="13"/>
      <c r="J191" s="13"/>
    </row>
    <row r="192" spans="1:10">
      <c r="A192" s="1">
        <v>465</v>
      </c>
      <c r="B192" s="1">
        <v>47</v>
      </c>
      <c r="C192" s="1">
        <v>300</v>
      </c>
      <c r="D192" s="13"/>
      <c r="E192" s="13"/>
      <c r="F192" s="13"/>
      <c r="G192" s="13"/>
      <c r="H192" s="13"/>
      <c r="I192" s="13"/>
      <c r="J192" s="13"/>
    </row>
    <row r="193" spans="1:10">
      <c r="A193" s="1">
        <v>466</v>
      </c>
      <c r="B193" s="1">
        <v>47</v>
      </c>
      <c r="C193" s="1">
        <v>300</v>
      </c>
      <c r="D193" s="13"/>
      <c r="E193" s="13"/>
      <c r="F193" s="13"/>
      <c r="G193" s="13"/>
      <c r="H193" s="13"/>
      <c r="I193" s="13"/>
      <c r="J193" s="13"/>
    </row>
    <row r="194" spans="1:10">
      <c r="A194" s="1">
        <v>467</v>
      </c>
      <c r="B194" s="1">
        <v>47</v>
      </c>
      <c r="C194" s="1">
        <v>300</v>
      </c>
      <c r="D194" s="13"/>
      <c r="E194" s="13"/>
      <c r="F194" s="13"/>
      <c r="G194" s="13"/>
      <c r="H194" s="13"/>
      <c r="I194" s="13"/>
      <c r="J194" s="13"/>
    </row>
    <row r="195" spans="1:10">
      <c r="A195" s="1">
        <v>468</v>
      </c>
      <c r="B195" s="1">
        <v>48</v>
      </c>
      <c r="C195" s="1">
        <v>300</v>
      </c>
      <c r="D195" s="13"/>
      <c r="E195" s="13"/>
      <c r="F195" s="13"/>
      <c r="G195" s="13"/>
      <c r="H195" s="13"/>
      <c r="I195" s="13"/>
      <c r="J195" s="13"/>
    </row>
    <row r="196" spans="1:10">
      <c r="A196" s="1">
        <v>469</v>
      </c>
      <c r="B196" s="1">
        <v>48</v>
      </c>
      <c r="C196" s="1">
        <v>300</v>
      </c>
      <c r="D196" s="13"/>
      <c r="E196" s="13"/>
      <c r="F196" s="13"/>
      <c r="G196" s="13"/>
      <c r="H196" s="13"/>
      <c r="I196" s="13"/>
      <c r="J196" s="13"/>
    </row>
    <row r="197" spans="1:10">
      <c r="A197" s="1">
        <v>470</v>
      </c>
      <c r="B197" s="1">
        <v>48</v>
      </c>
      <c r="C197" s="1">
        <v>300</v>
      </c>
      <c r="D197" s="13"/>
      <c r="E197" s="13"/>
      <c r="F197" s="13"/>
      <c r="G197" s="13"/>
      <c r="H197" s="13"/>
      <c r="I197" s="13"/>
      <c r="J197" s="13"/>
    </row>
    <row r="198" spans="1:10">
      <c r="A198" s="1">
        <v>471</v>
      </c>
      <c r="B198" s="1">
        <v>48</v>
      </c>
      <c r="C198" s="1">
        <v>300</v>
      </c>
      <c r="D198" s="13"/>
      <c r="E198" s="13"/>
      <c r="F198" s="13"/>
      <c r="G198" s="13"/>
      <c r="H198" s="13"/>
      <c r="I198" s="13"/>
      <c r="J198" s="13"/>
    </row>
    <row r="199" spans="1:10">
      <c r="A199" s="1">
        <v>472</v>
      </c>
      <c r="B199" s="1">
        <v>48</v>
      </c>
      <c r="C199" s="1">
        <v>300</v>
      </c>
      <c r="D199" s="13"/>
      <c r="E199" s="13"/>
      <c r="F199" s="13"/>
      <c r="G199" s="13"/>
      <c r="H199" s="13"/>
      <c r="I199" s="13"/>
      <c r="J199" s="13"/>
    </row>
    <row r="200" spans="1:10">
      <c r="A200" s="1">
        <v>473</v>
      </c>
      <c r="B200" s="1">
        <v>48</v>
      </c>
      <c r="C200" s="1">
        <v>300</v>
      </c>
      <c r="D200" s="13"/>
      <c r="E200" s="13"/>
      <c r="F200" s="13"/>
      <c r="G200" s="13"/>
      <c r="H200" s="13"/>
      <c r="I200" s="13"/>
      <c r="J200" s="13"/>
    </row>
    <row r="201" spans="1:10">
      <c r="A201" s="1">
        <v>474</v>
      </c>
      <c r="B201" s="1">
        <v>48</v>
      </c>
      <c r="C201" s="1">
        <v>300</v>
      </c>
      <c r="D201" s="13"/>
      <c r="E201" s="13"/>
      <c r="F201" s="13"/>
      <c r="G201" s="13"/>
      <c r="H201" s="13"/>
      <c r="I201" s="13"/>
      <c r="J201" s="13"/>
    </row>
    <row r="202" spans="1:10">
      <c r="A202" s="1">
        <v>475</v>
      </c>
      <c r="B202" s="1">
        <v>48</v>
      </c>
      <c r="C202" s="1">
        <v>300</v>
      </c>
      <c r="D202" s="13"/>
      <c r="E202" s="13"/>
      <c r="F202" s="13"/>
      <c r="G202" s="13"/>
      <c r="H202" s="13"/>
      <c r="I202" s="13"/>
      <c r="J202" s="13"/>
    </row>
    <row r="203" spans="1:10">
      <c r="A203" s="1">
        <v>476</v>
      </c>
      <c r="B203" s="1">
        <v>48</v>
      </c>
      <c r="C203" s="1">
        <v>300</v>
      </c>
      <c r="D203" s="13"/>
      <c r="E203" s="13"/>
      <c r="F203" s="13"/>
      <c r="G203" s="13"/>
      <c r="H203" s="13"/>
      <c r="I203" s="13"/>
      <c r="J203" s="13"/>
    </row>
    <row r="204" spans="1:10">
      <c r="A204" s="1">
        <v>477</v>
      </c>
      <c r="B204" s="1">
        <v>48</v>
      </c>
      <c r="C204" s="1">
        <v>300</v>
      </c>
      <c r="D204" s="13"/>
      <c r="E204" s="13"/>
      <c r="F204" s="13"/>
      <c r="G204" s="13"/>
      <c r="H204" s="13"/>
      <c r="I204" s="13"/>
      <c r="J204" s="13"/>
    </row>
    <row r="205" spans="1:10">
      <c r="A205" s="1">
        <v>478</v>
      </c>
      <c r="B205" s="1">
        <v>49</v>
      </c>
      <c r="C205" s="1">
        <v>300</v>
      </c>
      <c r="D205" s="13"/>
      <c r="E205" s="13"/>
      <c r="F205" s="13"/>
      <c r="G205" s="13"/>
      <c r="H205" s="13"/>
      <c r="I205" s="13"/>
      <c r="J205" s="13"/>
    </row>
    <row r="206" spans="1:10">
      <c r="A206" s="1">
        <v>479</v>
      </c>
      <c r="B206" s="1">
        <v>49</v>
      </c>
      <c r="C206" s="1">
        <v>300</v>
      </c>
      <c r="D206" s="13"/>
      <c r="E206" s="13"/>
      <c r="F206" s="13"/>
      <c r="G206" s="13"/>
      <c r="H206" s="13"/>
      <c r="I206" s="13"/>
      <c r="J206" s="13"/>
    </row>
    <row r="207" spans="1:10">
      <c r="A207" s="1">
        <v>480</v>
      </c>
      <c r="B207" s="1">
        <v>49</v>
      </c>
      <c r="C207" s="1">
        <v>300</v>
      </c>
      <c r="D207" s="13"/>
      <c r="E207" s="13"/>
      <c r="F207" s="13"/>
      <c r="G207" s="13"/>
      <c r="H207" s="13"/>
      <c r="I207" s="13"/>
      <c r="J207" s="13"/>
    </row>
    <row r="208" spans="1:10">
      <c r="A208" s="1">
        <v>481</v>
      </c>
      <c r="B208" s="1">
        <v>49</v>
      </c>
      <c r="C208" s="1">
        <v>300</v>
      </c>
      <c r="D208" s="13"/>
      <c r="E208" s="13"/>
      <c r="F208" s="13"/>
      <c r="G208" s="13"/>
      <c r="H208" s="13"/>
      <c r="I208" s="13"/>
      <c r="J208" s="13"/>
    </row>
    <row r="209" spans="1:10">
      <c r="A209" s="1">
        <v>482</v>
      </c>
      <c r="B209" s="1">
        <v>49</v>
      </c>
      <c r="C209" s="1">
        <v>300</v>
      </c>
      <c r="D209" s="13"/>
      <c r="E209" s="13"/>
      <c r="F209" s="13"/>
      <c r="G209" s="13"/>
      <c r="H209" s="13"/>
      <c r="I209" s="13"/>
      <c r="J209" s="13"/>
    </row>
    <row r="210" spans="1:10">
      <c r="A210" s="1">
        <v>483</v>
      </c>
      <c r="B210" s="1">
        <v>49</v>
      </c>
      <c r="C210" s="1">
        <v>300</v>
      </c>
      <c r="D210" s="13"/>
      <c r="E210" s="13"/>
      <c r="F210" s="13"/>
      <c r="G210" s="13"/>
      <c r="H210" s="13"/>
      <c r="I210" s="13"/>
      <c r="J210" s="13"/>
    </row>
    <row r="211" spans="1:10">
      <c r="A211" s="1">
        <v>484</v>
      </c>
      <c r="B211" s="1">
        <v>49</v>
      </c>
      <c r="C211" s="1">
        <v>200</v>
      </c>
      <c r="D211" s="13"/>
      <c r="E211" s="13"/>
      <c r="F211" s="13"/>
      <c r="G211" s="13"/>
      <c r="H211" s="13"/>
      <c r="I211" s="13"/>
      <c r="J211" s="13"/>
    </row>
    <row r="212" spans="1:10">
      <c r="A212" s="1">
        <v>485</v>
      </c>
      <c r="B212" s="1">
        <v>50</v>
      </c>
      <c r="C212" s="1">
        <v>300</v>
      </c>
      <c r="D212" s="13"/>
      <c r="E212" s="13"/>
      <c r="F212" s="13"/>
      <c r="G212" s="13"/>
      <c r="H212" s="13"/>
      <c r="I212" s="13"/>
      <c r="J212" s="13"/>
    </row>
    <row r="213" spans="1:10">
      <c r="A213" s="1">
        <v>486</v>
      </c>
      <c r="B213" s="1">
        <v>50</v>
      </c>
      <c r="C213" s="1">
        <v>300</v>
      </c>
      <c r="D213" s="13"/>
      <c r="E213" s="13"/>
      <c r="F213" s="13"/>
      <c r="G213" s="13"/>
      <c r="H213" s="13"/>
      <c r="I213" s="13"/>
      <c r="J213" s="13"/>
    </row>
    <row r="214" spans="1:10">
      <c r="A214" s="1">
        <v>487</v>
      </c>
      <c r="B214" s="1">
        <v>50</v>
      </c>
      <c r="C214" s="1">
        <v>300</v>
      </c>
      <c r="D214" s="13"/>
      <c r="E214" s="13"/>
      <c r="F214" s="13"/>
      <c r="G214" s="13"/>
      <c r="H214" s="13"/>
      <c r="I214" s="13"/>
      <c r="J214" s="13"/>
    </row>
    <row r="215" spans="1:10">
      <c r="A215" s="1">
        <v>488</v>
      </c>
      <c r="B215" s="1">
        <v>50</v>
      </c>
      <c r="C215" s="1">
        <v>300</v>
      </c>
      <c r="D215" s="13"/>
      <c r="E215" s="13"/>
      <c r="F215" s="13"/>
      <c r="G215" s="13"/>
      <c r="H215" s="13"/>
      <c r="I215" s="13"/>
      <c r="J215" s="13"/>
    </row>
    <row r="216" spans="1:10">
      <c r="A216" s="1">
        <v>489</v>
      </c>
      <c r="B216" s="1">
        <v>50</v>
      </c>
      <c r="C216" s="1">
        <v>300</v>
      </c>
      <c r="D216" s="13"/>
      <c r="E216" s="13"/>
      <c r="F216" s="13"/>
      <c r="G216" s="13"/>
      <c r="H216" s="13"/>
      <c r="I216" s="13"/>
      <c r="J216" s="13"/>
    </row>
    <row r="217" spans="1:10">
      <c r="A217" s="1">
        <v>490</v>
      </c>
      <c r="B217" s="1">
        <v>50</v>
      </c>
      <c r="C217" s="1">
        <v>300</v>
      </c>
      <c r="D217" s="13"/>
      <c r="E217" s="13"/>
      <c r="F217" s="13"/>
      <c r="G217" s="13"/>
      <c r="H217" s="13"/>
      <c r="I217" s="13"/>
      <c r="J217" s="13"/>
    </row>
    <row r="218" spans="1:10">
      <c r="A218" s="1">
        <v>491</v>
      </c>
      <c r="B218" s="1">
        <v>50</v>
      </c>
      <c r="C218" s="1">
        <v>300</v>
      </c>
      <c r="D218" s="13"/>
      <c r="E218" s="13"/>
      <c r="F218" s="13"/>
      <c r="G218" s="13"/>
      <c r="H218" s="13"/>
      <c r="I218" s="13"/>
      <c r="J218" s="13"/>
    </row>
    <row r="219" spans="1:10">
      <c r="A219" s="1">
        <v>492</v>
      </c>
      <c r="B219" s="1">
        <v>50</v>
      </c>
      <c r="C219" s="1">
        <v>300</v>
      </c>
      <c r="D219" s="13"/>
      <c r="E219" s="13"/>
      <c r="F219" s="13"/>
      <c r="G219" s="13"/>
      <c r="H219" s="13"/>
      <c r="I219" s="13"/>
      <c r="J219" s="13"/>
    </row>
    <row r="220" spans="1:10">
      <c r="A220" s="1">
        <v>493</v>
      </c>
      <c r="B220" s="1">
        <v>51</v>
      </c>
      <c r="C220" s="1">
        <v>300</v>
      </c>
      <c r="D220" s="13"/>
      <c r="E220" s="13"/>
      <c r="F220" s="13"/>
      <c r="G220" s="13"/>
      <c r="H220" s="13"/>
      <c r="I220" s="13"/>
      <c r="J220" s="13"/>
    </row>
    <row r="221" spans="1:10">
      <c r="A221" s="1">
        <v>494</v>
      </c>
      <c r="B221" s="1">
        <v>51</v>
      </c>
      <c r="C221" s="1">
        <v>300</v>
      </c>
      <c r="D221" s="13"/>
      <c r="E221" s="13"/>
      <c r="F221" s="13"/>
      <c r="G221" s="13"/>
      <c r="H221" s="13"/>
      <c r="I221" s="13"/>
      <c r="J221" s="13"/>
    </row>
    <row r="222" spans="1:10">
      <c r="A222" s="1">
        <v>495</v>
      </c>
      <c r="B222" s="1">
        <v>51</v>
      </c>
      <c r="C222" s="1">
        <v>300</v>
      </c>
      <c r="D222" s="13"/>
      <c r="E222" s="13"/>
      <c r="F222" s="13"/>
      <c r="G222" s="13"/>
      <c r="H222" s="13"/>
      <c r="I222" s="13"/>
      <c r="J222" s="13"/>
    </row>
    <row r="223" spans="1:10">
      <c r="A223" s="1">
        <v>496</v>
      </c>
      <c r="B223" s="1">
        <v>51</v>
      </c>
      <c r="C223" s="1">
        <v>300</v>
      </c>
      <c r="D223" s="13"/>
      <c r="E223" s="13"/>
      <c r="F223" s="13"/>
      <c r="G223" s="13"/>
      <c r="H223" s="13"/>
      <c r="I223" s="13"/>
      <c r="J223" s="13"/>
    </row>
    <row r="224" spans="1:10">
      <c r="A224" s="1">
        <v>497</v>
      </c>
      <c r="B224" s="1">
        <v>51</v>
      </c>
      <c r="C224" s="1">
        <v>300</v>
      </c>
      <c r="D224" s="13"/>
      <c r="E224" s="13"/>
      <c r="F224" s="13"/>
      <c r="G224" s="13"/>
      <c r="H224" s="13"/>
      <c r="I224" s="13"/>
      <c r="J224" s="13"/>
    </row>
    <row r="225" spans="1:10">
      <c r="A225" s="1">
        <v>498</v>
      </c>
      <c r="B225" s="1">
        <v>51</v>
      </c>
      <c r="C225" s="1">
        <v>300</v>
      </c>
      <c r="D225" s="13"/>
      <c r="E225" s="13"/>
      <c r="F225" s="13"/>
      <c r="G225" s="13"/>
      <c r="H225" s="13"/>
      <c r="I225" s="13"/>
      <c r="J225" s="13"/>
    </row>
    <row r="226" spans="1:10">
      <c r="A226" s="1">
        <v>499</v>
      </c>
      <c r="B226" s="1">
        <v>51</v>
      </c>
      <c r="C226" s="1">
        <v>300</v>
      </c>
      <c r="D226" s="13"/>
      <c r="E226" s="13"/>
      <c r="F226" s="13"/>
      <c r="G226" s="13"/>
      <c r="H226" s="13"/>
      <c r="I226" s="13"/>
      <c r="J226" s="13"/>
    </row>
    <row r="227" spans="1:10">
      <c r="A227" s="1">
        <v>500</v>
      </c>
      <c r="B227" s="1">
        <v>51</v>
      </c>
      <c r="C227" s="1">
        <v>300</v>
      </c>
      <c r="D227" s="13"/>
      <c r="E227" s="13"/>
      <c r="F227" s="13"/>
      <c r="G227" s="13"/>
      <c r="H227" s="13"/>
      <c r="I227" s="13"/>
      <c r="J227" s="13"/>
    </row>
    <row r="228" spans="1:10">
      <c r="A228" s="1">
        <v>501</v>
      </c>
      <c r="B228" s="1">
        <v>51</v>
      </c>
      <c r="C228" s="1">
        <v>300</v>
      </c>
      <c r="D228" s="13"/>
      <c r="E228" s="13"/>
      <c r="F228" s="13"/>
      <c r="G228" s="13"/>
      <c r="H228" s="13"/>
      <c r="I228" s="13"/>
      <c r="J228" s="13"/>
    </row>
    <row r="229" spans="1:10">
      <c r="A229" s="1">
        <v>502</v>
      </c>
      <c r="B229" s="1">
        <v>51</v>
      </c>
      <c r="C229" s="1">
        <v>300</v>
      </c>
      <c r="D229" s="13"/>
      <c r="E229" s="13"/>
      <c r="F229" s="13"/>
      <c r="G229" s="13"/>
      <c r="H229" s="13"/>
      <c r="I229" s="13"/>
      <c r="J229" s="13"/>
    </row>
    <row r="230" spans="1:10">
      <c r="A230" s="1">
        <v>503</v>
      </c>
      <c r="B230" s="1">
        <v>52</v>
      </c>
      <c r="C230" s="1">
        <v>300</v>
      </c>
      <c r="D230" s="13"/>
      <c r="E230" s="13"/>
      <c r="F230" s="13"/>
      <c r="G230" s="13"/>
      <c r="H230" s="13"/>
      <c r="I230" s="13"/>
      <c r="J230" s="13"/>
    </row>
    <row r="231" spans="1:10">
      <c r="A231" s="1">
        <v>504</v>
      </c>
      <c r="B231" s="1">
        <v>52</v>
      </c>
      <c r="C231" s="1">
        <v>300</v>
      </c>
      <c r="D231" s="13"/>
      <c r="E231" s="13"/>
      <c r="F231" s="13"/>
      <c r="G231" s="13"/>
      <c r="H231" s="13"/>
      <c r="I231" s="13"/>
      <c r="J231" s="13"/>
    </row>
    <row r="232" spans="1:10">
      <c r="A232" s="1">
        <v>505</v>
      </c>
      <c r="B232" s="1">
        <v>52</v>
      </c>
      <c r="C232" s="1">
        <v>300</v>
      </c>
      <c r="D232" s="13"/>
      <c r="E232" s="13"/>
      <c r="F232" s="13"/>
      <c r="G232" s="13"/>
      <c r="H232" s="13"/>
      <c r="I232" s="13"/>
      <c r="J232" s="13"/>
    </row>
    <row r="233" spans="1:10">
      <c r="A233" s="1">
        <v>506</v>
      </c>
      <c r="B233" s="1">
        <v>52</v>
      </c>
      <c r="C233" s="1">
        <v>300</v>
      </c>
      <c r="D233" s="13"/>
      <c r="E233" s="13"/>
      <c r="F233" s="13"/>
      <c r="G233" s="13"/>
      <c r="H233" s="13"/>
      <c r="I233" s="13"/>
      <c r="J233" s="13"/>
    </row>
    <row r="234" spans="1:10">
      <c r="A234" s="1">
        <v>507</v>
      </c>
      <c r="B234" s="1">
        <v>52</v>
      </c>
      <c r="C234" s="1">
        <v>300</v>
      </c>
      <c r="D234" s="13"/>
      <c r="E234" s="13"/>
      <c r="F234" s="13"/>
      <c r="G234" s="13"/>
      <c r="H234" s="13"/>
      <c r="I234" s="13"/>
      <c r="J234" s="13"/>
    </row>
    <row r="235" spans="1:10">
      <c r="A235" s="1">
        <v>508</v>
      </c>
      <c r="B235" s="1">
        <v>52</v>
      </c>
      <c r="C235" s="1">
        <v>300</v>
      </c>
      <c r="D235" s="13"/>
      <c r="E235" s="13"/>
      <c r="F235" s="13"/>
      <c r="G235" s="13"/>
      <c r="H235" s="13"/>
      <c r="I235" s="13"/>
      <c r="J235" s="13"/>
    </row>
    <row r="236" spans="1:10">
      <c r="A236" s="1">
        <v>509</v>
      </c>
      <c r="B236" s="1">
        <v>52</v>
      </c>
      <c r="C236" s="1">
        <v>300</v>
      </c>
      <c r="D236" s="13"/>
      <c r="E236" s="13"/>
      <c r="F236" s="13"/>
      <c r="G236" s="13"/>
      <c r="H236" s="13"/>
      <c r="I236" s="13"/>
      <c r="J236" s="13"/>
    </row>
    <row r="237" spans="1:10">
      <c r="A237" s="1">
        <v>510</v>
      </c>
      <c r="B237" s="1">
        <v>52</v>
      </c>
      <c r="C237" s="1">
        <v>300</v>
      </c>
      <c r="D237" s="13"/>
      <c r="E237" s="13"/>
      <c r="F237" s="13"/>
      <c r="G237" s="13"/>
      <c r="H237" s="13"/>
      <c r="I237" s="13"/>
      <c r="J237" s="13"/>
    </row>
    <row r="238" spans="1:10">
      <c r="A238" s="1">
        <v>511</v>
      </c>
      <c r="B238" s="1">
        <v>52</v>
      </c>
      <c r="C238" s="1">
        <v>300</v>
      </c>
      <c r="D238" s="13"/>
      <c r="E238" s="13"/>
      <c r="F238" s="13"/>
      <c r="G238" s="13"/>
      <c r="H238" s="13"/>
      <c r="I238" s="13"/>
      <c r="J238" s="13"/>
    </row>
    <row r="239" spans="1:10">
      <c r="A239" s="1">
        <v>512</v>
      </c>
      <c r="B239" s="1">
        <v>52</v>
      </c>
      <c r="C239" s="1">
        <v>300</v>
      </c>
      <c r="D239" s="13"/>
      <c r="E239" s="13"/>
      <c r="F239" s="13"/>
      <c r="G239" s="13"/>
      <c r="H239" s="13"/>
      <c r="I239" s="13"/>
      <c r="J239" s="13"/>
    </row>
    <row r="240" spans="1:10">
      <c r="A240" s="1">
        <v>513</v>
      </c>
      <c r="B240" s="1">
        <v>53</v>
      </c>
      <c r="C240" s="1">
        <v>300</v>
      </c>
      <c r="D240" s="13"/>
      <c r="E240" s="13"/>
      <c r="F240" s="13"/>
      <c r="G240" s="13"/>
      <c r="H240" s="13"/>
      <c r="I240" s="13"/>
      <c r="J240" s="13"/>
    </row>
    <row r="241" spans="1:10">
      <c r="A241" s="1">
        <v>514</v>
      </c>
      <c r="B241" s="1">
        <v>53</v>
      </c>
      <c r="C241" s="1">
        <v>300</v>
      </c>
      <c r="D241" s="13"/>
      <c r="E241" s="13"/>
      <c r="F241" s="13"/>
      <c r="G241" s="13"/>
      <c r="H241" s="13"/>
      <c r="I241" s="13"/>
      <c r="J241" s="13"/>
    </row>
    <row r="242" spans="1:10">
      <c r="A242" s="1">
        <v>515</v>
      </c>
      <c r="B242" s="1">
        <v>53</v>
      </c>
      <c r="C242" s="1">
        <v>300</v>
      </c>
      <c r="D242" s="13"/>
      <c r="E242" s="13"/>
      <c r="F242" s="13"/>
      <c r="G242" s="13"/>
      <c r="H242" s="13"/>
      <c r="I242" s="13"/>
      <c r="J242" s="13"/>
    </row>
    <row r="243" spans="1:10">
      <c r="A243" s="1">
        <v>516</v>
      </c>
      <c r="B243" s="1">
        <v>53</v>
      </c>
      <c r="C243" s="1">
        <v>300</v>
      </c>
      <c r="D243" s="13"/>
      <c r="E243" s="13"/>
      <c r="F243" s="13"/>
      <c r="G243" s="13"/>
      <c r="H243" s="13"/>
      <c r="I243" s="13"/>
      <c r="J243" s="13"/>
    </row>
    <row r="244" spans="1:10">
      <c r="A244" s="1">
        <v>517</v>
      </c>
      <c r="B244" s="1">
        <v>53</v>
      </c>
      <c r="C244" s="1">
        <v>300</v>
      </c>
      <c r="D244" s="13"/>
      <c r="E244" s="13"/>
      <c r="F244" s="13"/>
      <c r="G244" s="13"/>
      <c r="H244" s="13"/>
      <c r="I244" s="13"/>
      <c r="J244" s="13"/>
    </row>
    <row r="245" spans="1:10">
      <c r="A245" s="1">
        <v>518</v>
      </c>
      <c r="B245" s="1">
        <v>53</v>
      </c>
      <c r="C245" s="1">
        <v>300</v>
      </c>
      <c r="D245" s="13"/>
      <c r="E245" s="13"/>
      <c r="F245" s="13"/>
      <c r="G245" s="13"/>
      <c r="H245" s="13"/>
      <c r="I245" s="13"/>
      <c r="J245" s="13"/>
    </row>
    <row r="246" spans="1:10">
      <c r="A246" s="1">
        <v>519</v>
      </c>
      <c r="B246" s="1">
        <v>53</v>
      </c>
      <c r="C246" s="1">
        <v>300</v>
      </c>
      <c r="D246" s="13"/>
      <c r="E246" s="13"/>
      <c r="F246" s="13"/>
      <c r="G246" s="13"/>
      <c r="H246" s="13"/>
      <c r="I246" s="13"/>
      <c r="J246" s="13"/>
    </row>
    <row r="247" spans="1:10">
      <c r="A247" s="1">
        <v>520</v>
      </c>
      <c r="B247" s="1">
        <v>53</v>
      </c>
      <c r="C247" s="1">
        <v>300</v>
      </c>
      <c r="D247" s="13"/>
      <c r="E247" s="13"/>
      <c r="F247" s="13"/>
      <c r="G247" s="13"/>
      <c r="H247" s="13"/>
      <c r="I247" s="13"/>
      <c r="J247" s="13"/>
    </row>
    <row r="248" spans="1:10">
      <c r="A248" s="1">
        <v>521</v>
      </c>
      <c r="B248" s="1">
        <v>54</v>
      </c>
      <c r="C248" s="1">
        <v>500</v>
      </c>
      <c r="D248" s="13"/>
      <c r="E248" s="13"/>
      <c r="F248" s="13"/>
      <c r="G248" s="13"/>
      <c r="H248" s="13"/>
      <c r="I248" s="13"/>
      <c r="J248" s="13"/>
    </row>
    <row r="249" spans="1:10">
      <c r="A249" s="1">
        <v>522</v>
      </c>
      <c r="B249" s="1">
        <v>54</v>
      </c>
      <c r="C249" s="1">
        <v>500</v>
      </c>
      <c r="D249" s="13"/>
      <c r="E249" s="13"/>
      <c r="F249" s="13"/>
      <c r="G249" s="13"/>
      <c r="H249" s="13"/>
      <c r="I249" s="13"/>
      <c r="J249" s="13"/>
    </row>
    <row r="250" spans="1:10">
      <c r="A250" s="1">
        <v>523</v>
      </c>
      <c r="B250" s="1">
        <v>54</v>
      </c>
      <c r="C250" s="1">
        <v>500</v>
      </c>
      <c r="D250" s="13"/>
      <c r="E250" s="13"/>
      <c r="F250" s="13"/>
      <c r="G250" s="13"/>
      <c r="H250" s="13"/>
      <c r="I250" s="13"/>
      <c r="J250" s="13"/>
    </row>
    <row r="251" spans="1:10">
      <c r="A251" s="1">
        <v>524</v>
      </c>
      <c r="B251" s="1">
        <v>54</v>
      </c>
      <c r="C251" s="1">
        <v>500</v>
      </c>
      <c r="D251" s="13"/>
      <c r="E251" s="13"/>
      <c r="F251" s="13"/>
      <c r="G251" s="13"/>
      <c r="H251" s="13"/>
      <c r="I251" s="13"/>
      <c r="J251" s="13"/>
    </row>
    <row r="252" spans="1:10">
      <c r="A252" s="1">
        <v>525</v>
      </c>
      <c r="B252" s="1">
        <v>55</v>
      </c>
      <c r="C252" s="1">
        <v>500</v>
      </c>
      <c r="D252" s="13"/>
      <c r="E252" s="13"/>
      <c r="F252" s="13"/>
      <c r="G252" s="13"/>
      <c r="H252" s="13"/>
      <c r="I252" s="13"/>
      <c r="J252" s="13"/>
    </row>
    <row r="253" spans="1:10">
      <c r="A253" s="1">
        <v>526</v>
      </c>
      <c r="B253" s="1">
        <v>55</v>
      </c>
      <c r="C253" s="1">
        <v>500</v>
      </c>
      <c r="D253" s="13"/>
      <c r="E253" s="13"/>
      <c r="F253" s="13"/>
      <c r="G253" s="13"/>
      <c r="H253" s="13"/>
      <c r="I253" s="13"/>
      <c r="J253" s="13"/>
    </row>
    <row r="254" spans="1:10">
      <c r="A254" s="1">
        <v>527</v>
      </c>
      <c r="B254" s="1">
        <v>55</v>
      </c>
      <c r="C254" s="1">
        <v>500</v>
      </c>
      <c r="D254" s="13"/>
      <c r="E254" s="13"/>
      <c r="F254" s="13"/>
      <c r="G254" s="13"/>
      <c r="H254" s="13"/>
      <c r="I254" s="13"/>
      <c r="J254" s="13"/>
    </row>
    <row r="255" spans="1:10">
      <c r="A255" s="1">
        <v>528</v>
      </c>
      <c r="B255" s="1">
        <v>55</v>
      </c>
      <c r="C255" s="1">
        <v>500</v>
      </c>
      <c r="D255" s="13"/>
      <c r="E255" s="13"/>
      <c r="F255" s="13"/>
      <c r="G255" s="13"/>
      <c r="H255" s="13"/>
      <c r="I255" s="13"/>
      <c r="J255" s="13"/>
    </row>
    <row r="256" spans="1:10">
      <c r="A256" s="1">
        <v>529</v>
      </c>
      <c r="B256" s="1">
        <v>55</v>
      </c>
      <c r="C256" s="1">
        <v>500</v>
      </c>
      <c r="D256" s="13"/>
      <c r="E256" s="13"/>
      <c r="F256" s="13"/>
      <c r="G256" s="13"/>
      <c r="H256" s="13"/>
      <c r="I256" s="13"/>
      <c r="J256" s="13"/>
    </row>
    <row r="257" spans="1:10">
      <c r="A257" s="1">
        <v>530</v>
      </c>
      <c r="B257" s="1">
        <v>55</v>
      </c>
      <c r="C257" s="1">
        <v>500</v>
      </c>
      <c r="D257" s="13"/>
      <c r="E257" s="13"/>
      <c r="F257" s="13"/>
      <c r="G257" s="13"/>
      <c r="H257" s="13"/>
      <c r="I257" s="13"/>
      <c r="J257" s="13"/>
    </row>
    <row r="258" spans="1:10">
      <c r="A258" s="1">
        <v>531</v>
      </c>
      <c r="B258" s="1">
        <v>55</v>
      </c>
      <c r="C258" s="1">
        <v>500</v>
      </c>
      <c r="D258" s="13"/>
      <c r="E258" s="13"/>
      <c r="F258" s="13"/>
      <c r="G258" s="13"/>
      <c r="H258" s="13"/>
      <c r="I258" s="13"/>
      <c r="J258" s="13"/>
    </row>
    <row r="259" spans="1:10">
      <c r="A259" s="1">
        <v>532</v>
      </c>
      <c r="B259" s="1">
        <v>55</v>
      </c>
      <c r="C259" s="1">
        <v>500</v>
      </c>
      <c r="D259" s="13"/>
      <c r="E259" s="13"/>
      <c r="F259" s="13"/>
      <c r="G259" s="13"/>
      <c r="H259" s="13"/>
      <c r="I259" s="13"/>
      <c r="J259" s="13"/>
    </row>
    <row r="260" spans="1:10">
      <c r="A260" s="1">
        <v>533</v>
      </c>
      <c r="B260" s="1">
        <v>55</v>
      </c>
      <c r="C260" s="1">
        <v>500</v>
      </c>
      <c r="D260" s="13"/>
      <c r="E260" s="13"/>
      <c r="F260" s="13"/>
      <c r="G260" s="13"/>
      <c r="H260" s="13"/>
      <c r="I260" s="13"/>
      <c r="J260" s="13"/>
    </row>
    <row r="261" spans="1:10">
      <c r="A261" s="1">
        <v>534</v>
      </c>
      <c r="B261" s="1">
        <v>55</v>
      </c>
      <c r="C261" s="1">
        <v>500</v>
      </c>
      <c r="D261" s="13"/>
      <c r="E261" s="13"/>
      <c r="F261" s="13"/>
      <c r="G261" s="13"/>
      <c r="H261" s="13"/>
      <c r="I261" s="13"/>
      <c r="J261" s="13"/>
    </row>
    <row r="262" spans="1:10">
      <c r="A262" s="1">
        <v>535</v>
      </c>
      <c r="B262" s="1">
        <v>55</v>
      </c>
      <c r="C262" s="1">
        <v>500</v>
      </c>
      <c r="D262" s="13"/>
      <c r="E262" s="13"/>
      <c r="F262" s="13"/>
      <c r="G262" s="13"/>
      <c r="H262" s="13"/>
      <c r="I262" s="13"/>
      <c r="J262" s="13"/>
    </row>
    <row r="263" spans="1:10">
      <c r="A263" s="1">
        <v>536</v>
      </c>
      <c r="B263" s="1">
        <v>55</v>
      </c>
      <c r="C263" s="1">
        <v>500</v>
      </c>
      <c r="D263" s="13"/>
      <c r="E263" s="13"/>
      <c r="F263" s="13"/>
      <c r="G263" s="13"/>
      <c r="H263" s="13"/>
      <c r="I263" s="13"/>
      <c r="J263" s="13"/>
    </row>
    <row r="264" spans="1:10">
      <c r="A264" s="1">
        <v>537</v>
      </c>
      <c r="B264" s="1">
        <v>56</v>
      </c>
      <c r="C264" s="1">
        <v>300</v>
      </c>
      <c r="D264" s="13"/>
      <c r="E264" s="13"/>
      <c r="F264" s="13"/>
      <c r="G264" s="13"/>
      <c r="H264" s="13"/>
      <c r="I264" s="13"/>
      <c r="J264" s="13"/>
    </row>
    <row r="265" spans="1:10">
      <c r="A265" s="1">
        <v>538</v>
      </c>
      <c r="B265" s="1">
        <v>56</v>
      </c>
      <c r="C265" s="1">
        <v>300</v>
      </c>
      <c r="D265" s="13"/>
      <c r="E265" s="13"/>
      <c r="F265" s="13"/>
      <c r="G265" s="13"/>
      <c r="H265" s="13"/>
      <c r="I265" s="13"/>
      <c r="J265" s="13"/>
    </row>
    <row r="266" spans="1:10">
      <c r="A266" s="1">
        <v>539</v>
      </c>
      <c r="B266" s="1">
        <v>56</v>
      </c>
      <c r="C266" s="1">
        <v>300</v>
      </c>
      <c r="D266" s="13"/>
      <c r="E266" s="13"/>
      <c r="F266" s="13"/>
      <c r="G266" s="13"/>
      <c r="H266" s="13"/>
      <c r="I266" s="13"/>
      <c r="J266" s="13"/>
    </row>
    <row r="267" spans="1:10">
      <c r="A267" s="1">
        <v>540</v>
      </c>
      <c r="B267" s="1">
        <v>56</v>
      </c>
      <c r="C267" s="1">
        <v>300</v>
      </c>
      <c r="D267" s="13"/>
      <c r="E267" s="13"/>
      <c r="F267" s="13"/>
      <c r="G267" s="13"/>
      <c r="H267" s="13"/>
      <c r="I267" s="13"/>
      <c r="J267" s="13"/>
    </row>
    <row r="268" spans="1:10">
      <c r="A268" s="1">
        <v>541</v>
      </c>
      <c r="B268" s="1">
        <v>57</v>
      </c>
      <c r="C268" s="1">
        <v>300</v>
      </c>
      <c r="D268" s="13"/>
      <c r="E268" s="13"/>
      <c r="F268" s="13"/>
      <c r="G268" s="13"/>
      <c r="H268" s="13"/>
      <c r="I268" s="13"/>
      <c r="J268" s="13"/>
    </row>
    <row r="269" spans="1:10">
      <c r="A269" s="1">
        <v>542</v>
      </c>
      <c r="B269" s="1">
        <v>57</v>
      </c>
      <c r="C269" s="1">
        <v>300</v>
      </c>
      <c r="D269" s="13"/>
      <c r="E269" s="13"/>
      <c r="F269" s="13"/>
      <c r="G269" s="13"/>
      <c r="H269" s="13"/>
      <c r="I269" s="13"/>
      <c r="J269" s="13"/>
    </row>
    <row r="270" spans="1:10">
      <c r="A270" s="1">
        <v>543</v>
      </c>
      <c r="B270" s="1">
        <v>57</v>
      </c>
      <c r="C270" s="1">
        <v>300</v>
      </c>
      <c r="D270" s="13"/>
      <c r="E270" s="13"/>
      <c r="F270" s="13"/>
      <c r="G270" s="13"/>
      <c r="H270" s="13"/>
      <c r="I270" s="13"/>
      <c r="J270" s="13"/>
    </row>
    <row r="271" spans="1:10">
      <c r="A271" s="1">
        <v>544</v>
      </c>
      <c r="B271" s="1">
        <v>57</v>
      </c>
      <c r="C271" s="1">
        <v>300</v>
      </c>
      <c r="D271" s="13"/>
      <c r="E271" s="13"/>
      <c r="F271" s="13"/>
      <c r="G271" s="13"/>
      <c r="H271" s="13"/>
      <c r="I271" s="13"/>
      <c r="J271" s="13"/>
    </row>
    <row r="272" spans="1:10">
      <c r="A272" s="1">
        <v>545</v>
      </c>
      <c r="B272" s="1">
        <v>57</v>
      </c>
      <c r="C272" s="1">
        <v>300</v>
      </c>
      <c r="D272" s="13"/>
      <c r="E272" s="13"/>
      <c r="F272" s="13"/>
      <c r="G272" s="13"/>
      <c r="H272" s="13"/>
      <c r="I272" s="13"/>
      <c r="J272" s="13"/>
    </row>
    <row r="273" spans="1:10">
      <c r="A273" s="1">
        <v>546</v>
      </c>
      <c r="B273" s="1">
        <v>57</v>
      </c>
      <c r="C273" s="1">
        <v>300</v>
      </c>
      <c r="D273" s="13"/>
      <c r="E273" s="13"/>
      <c r="F273" s="13"/>
      <c r="G273" s="13"/>
      <c r="H273" s="13"/>
      <c r="I273" s="13"/>
      <c r="J273" s="13"/>
    </row>
    <row r="274" spans="1:10">
      <c r="A274" s="1">
        <v>547</v>
      </c>
      <c r="B274" s="1">
        <v>57</v>
      </c>
      <c r="C274" s="1">
        <v>200</v>
      </c>
      <c r="D274" s="13"/>
      <c r="E274" s="13"/>
      <c r="F274" s="13"/>
      <c r="G274" s="13"/>
      <c r="H274" s="13"/>
      <c r="I274" s="13"/>
      <c r="J274" s="13"/>
    </row>
    <row r="275" spans="1:10">
      <c r="A275" s="1">
        <v>548</v>
      </c>
      <c r="B275" s="1">
        <v>58</v>
      </c>
      <c r="C275" s="1">
        <v>300</v>
      </c>
      <c r="D275" s="13"/>
      <c r="E275" s="13"/>
      <c r="F275" s="13"/>
      <c r="G275" s="13"/>
      <c r="H275" s="13"/>
      <c r="I275" s="13"/>
      <c r="J275" s="13"/>
    </row>
    <row r="276" spans="1:10">
      <c r="A276" s="1">
        <v>549</v>
      </c>
      <c r="B276" s="1">
        <v>58</v>
      </c>
      <c r="C276" s="1">
        <v>300</v>
      </c>
      <c r="D276" s="13"/>
      <c r="E276" s="13"/>
      <c r="F276" s="13"/>
      <c r="G276" s="13"/>
      <c r="H276" s="13"/>
      <c r="I276" s="13"/>
      <c r="J276" s="13"/>
    </row>
    <row r="277" spans="1:10">
      <c r="A277" s="1">
        <v>550</v>
      </c>
      <c r="B277" s="1">
        <v>58</v>
      </c>
      <c r="C277" s="1">
        <v>300</v>
      </c>
      <c r="D277" s="13"/>
      <c r="E277" s="13"/>
      <c r="F277" s="13"/>
      <c r="G277" s="13"/>
      <c r="H277" s="13"/>
      <c r="I277" s="13"/>
      <c r="J277" s="13"/>
    </row>
    <row r="278" spans="1:10">
      <c r="A278" s="1">
        <v>551</v>
      </c>
      <c r="B278" s="1">
        <v>58</v>
      </c>
      <c r="C278" s="1">
        <v>300</v>
      </c>
      <c r="D278" s="13"/>
      <c r="E278" s="13"/>
      <c r="F278" s="13"/>
      <c r="G278" s="13"/>
      <c r="H278" s="13"/>
      <c r="I278" s="13"/>
      <c r="J278" s="13"/>
    </row>
    <row r="279" spans="1:10">
      <c r="A279" s="1">
        <v>552</v>
      </c>
      <c r="B279" s="1">
        <v>58</v>
      </c>
      <c r="C279" s="1">
        <v>300</v>
      </c>
      <c r="D279" s="13"/>
      <c r="E279" s="13"/>
      <c r="F279" s="13"/>
      <c r="G279" s="13"/>
      <c r="H279" s="13"/>
      <c r="I279" s="13"/>
      <c r="J279" s="13"/>
    </row>
    <row r="280" spans="1:10">
      <c r="A280" s="1">
        <v>553</v>
      </c>
      <c r="B280" s="1">
        <v>58</v>
      </c>
      <c r="C280" s="1">
        <v>100</v>
      </c>
      <c r="D280" s="13"/>
      <c r="E280" s="13"/>
      <c r="F280" s="13"/>
      <c r="G280" s="13"/>
      <c r="H280" s="13"/>
      <c r="I280" s="13"/>
      <c r="J280" s="13"/>
    </row>
    <row r="281" spans="1:10">
      <c r="A281" s="1">
        <v>554</v>
      </c>
      <c r="B281" s="1">
        <v>59</v>
      </c>
      <c r="C281" s="1">
        <v>500</v>
      </c>
      <c r="D281" s="13"/>
      <c r="E281" s="13"/>
      <c r="F281" s="13"/>
      <c r="G281" s="13"/>
      <c r="H281" s="13"/>
      <c r="I281" s="13"/>
      <c r="J281" s="13"/>
    </row>
    <row r="282" spans="1:10">
      <c r="A282" s="1">
        <v>555</v>
      </c>
      <c r="B282" s="1">
        <v>59</v>
      </c>
      <c r="C282" s="1">
        <v>500</v>
      </c>
      <c r="D282" s="13"/>
      <c r="E282" s="13"/>
      <c r="F282" s="13"/>
      <c r="G282" s="13"/>
      <c r="H282" s="13"/>
      <c r="I282" s="13"/>
      <c r="J282" s="13"/>
    </row>
    <row r="283" spans="1:10">
      <c r="A283" s="1">
        <v>556</v>
      </c>
      <c r="B283" s="1">
        <v>59</v>
      </c>
      <c r="C283" s="1">
        <v>500</v>
      </c>
      <c r="D283" s="13"/>
      <c r="E283" s="13"/>
      <c r="F283" s="13"/>
      <c r="G283" s="13"/>
      <c r="H283" s="13"/>
      <c r="I283" s="13"/>
      <c r="J283" s="13"/>
    </row>
    <row r="284" spans="1:10">
      <c r="A284" s="1">
        <v>557</v>
      </c>
      <c r="B284" s="1">
        <v>59</v>
      </c>
      <c r="C284" s="1">
        <v>500</v>
      </c>
      <c r="D284" s="13"/>
      <c r="E284" s="13"/>
      <c r="F284" s="13"/>
      <c r="G284" s="13"/>
      <c r="H284" s="13"/>
      <c r="I284" s="13"/>
      <c r="J284" s="13"/>
    </row>
    <row r="285" spans="1:10">
      <c r="A285" s="1">
        <v>558</v>
      </c>
      <c r="B285" s="1">
        <v>59</v>
      </c>
      <c r="C285" s="1">
        <v>500</v>
      </c>
      <c r="D285" s="13"/>
      <c r="E285" s="13"/>
      <c r="F285" s="13"/>
      <c r="G285" s="13"/>
      <c r="H285" s="13"/>
      <c r="I285" s="13"/>
      <c r="J285" s="13"/>
    </row>
    <row r="286" spans="1:10">
      <c r="A286" s="1">
        <v>559</v>
      </c>
      <c r="B286" s="1">
        <v>59</v>
      </c>
      <c r="C286" s="1">
        <v>500</v>
      </c>
      <c r="D286" s="13"/>
      <c r="E286" s="13"/>
      <c r="F286" s="13"/>
      <c r="G286" s="13"/>
      <c r="H286" s="13"/>
      <c r="I286" s="13"/>
      <c r="J286" s="13"/>
    </row>
    <row r="287" spans="1:10">
      <c r="A287" s="1">
        <v>560</v>
      </c>
      <c r="B287" s="1">
        <v>60</v>
      </c>
      <c r="C287" s="1">
        <v>500</v>
      </c>
      <c r="D287" s="13"/>
      <c r="E287" s="13"/>
      <c r="F287" s="13"/>
      <c r="G287" s="13"/>
      <c r="H287" s="13"/>
      <c r="I287" s="13"/>
      <c r="J287" s="13"/>
    </row>
    <row r="288" spans="1:10">
      <c r="A288" s="1">
        <v>561</v>
      </c>
      <c r="B288" s="1">
        <v>60</v>
      </c>
      <c r="C288" s="1">
        <v>500</v>
      </c>
      <c r="D288" s="13"/>
      <c r="E288" s="13"/>
      <c r="F288" s="13"/>
      <c r="G288" s="13"/>
      <c r="H288" s="13"/>
      <c r="I288" s="13"/>
      <c r="J288" s="13"/>
    </row>
    <row r="289" spans="1:10">
      <c r="A289" s="1">
        <v>562</v>
      </c>
      <c r="B289" s="1">
        <v>60</v>
      </c>
      <c r="C289" s="1">
        <v>500</v>
      </c>
      <c r="D289" s="13"/>
      <c r="E289" s="13"/>
      <c r="F289" s="13"/>
      <c r="G289" s="13"/>
      <c r="H289" s="13"/>
      <c r="I289" s="13"/>
      <c r="J289" s="13"/>
    </row>
    <row r="290" spans="1:10">
      <c r="A290" s="1">
        <v>563</v>
      </c>
      <c r="B290" s="1">
        <v>60</v>
      </c>
      <c r="C290" s="1">
        <v>500</v>
      </c>
      <c r="D290" s="13"/>
      <c r="E290" s="13"/>
      <c r="F290" s="13"/>
      <c r="G290" s="13"/>
      <c r="H290" s="13"/>
      <c r="I290" s="13"/>
      <c r="J290" s="13"/>
    </row>
    <row r="291" spans="1:10">
      <c r="A291" s="1">
        <v>564</v>
      </c>
      <c r="B291" s="1">
        <v>60</v>
      </c>
      <c r="C291" s="1">
        <v>500</v>
      </c>
      <c r="D291" s="13"/>
      <c r="E291" s="13"/>
      <c r="F291" s="13"/>
      <c r="G291" s="13"/>
      <c r="H291" s="13"/>
      <c r="I291" s="13"/>
      <c r="J291" s="13"/>
    </row>
    <row r="292" spans="1:10">
      <c r="A292" s="1">
        <v>565</v>
      </c>
      <c r="B292" s="1">
        <v>60</v>
      </c>
      <c r="C292" s="1">
        <v>500</v>
      </c>
      <c r="D292" s="13"/>
      <c r="E292" s="13"/>
      <c r="F292" s="13"/>
      <c r="G292" s="13"/>
      <c r="H292" s="13"/>
      <c r="I292" s="13"/>
      <c r="J292" s="13"/>
    </row>
    <row r="293" spans="1:10">
      <c r="A293" s="1">
        <v>566</v>
      </c>
      <c r="B293" s="1">
        <v>61</v>
      </c>
      <c r="C293" s="1">
        <v>300</v>
      </c>
      <c r="D293" s="13"/>
      <c r="E293" s="13"/>
      <c r="F293" s="13"/>
      <c r="G293" s="13"/>
      <c r="H293" s="13"/>
      <c r="I293" s="13"/>
      <c r="J293" s="13"/>
    </row>
    <row r="294" spans="1:10">
      <c r="A294" s="1">
        <v>567</v>
      </c>
      <c r="B294" s="1">
        <v>61</v>
      </c>
      <c r="C294" s="1">
        <v>300</v>
      </c>
      <c r="D294" s="13"/>
      <c r="E294" s="13"/>
      <c r="F294" s="13"/>
      <c r="G294" s="13"/>
      <c r="H294" s="13"/>
      <c r="I294" s="13"/>
      <c r="J294" s="13"/>
    </row>
    <row r="295" spans="1:10">
      <c r="A295" s="1">
        <v>568</v>
      </c>
      <c r="B295" s="1">
        <v>61</v>
      </c>
      <c r="C295" s="1">
        <v>300</v>
      </c>
      <c r="D295" s="13"/>
      <c r="E295" s="13"/>
      <c r="F295" s="13"/>
      <c r="G295" s="13"/>
      <c r="H295" s="13"/>
      <c r="I295" s="13"/>
      <c r="J295" s="13"/>
    </row>
    <row r="296" spans="1:10">
      <c r="A296" s="1">
        <v>569</v>
      </c>
      <c r="B296" s="1">
        <v>61</v>
      </c>
      <c r="C296" s="1">
        <v>300</v>
      </c>
      <c r="D296" s="13"/>
      <c r="E296" s="13"/>
      <c r="F296" s="13"/>
      <c r="G296" s="13"/>
      <c r="H296" s="13"/>
      <c r="I296" s="13"/>
      <c r="J296" s="13"/>
    </row>
    <row r="297" spans="1:10">
      <c r="A297" s="1">
        <v>570</v>
      </c>
      <c r="B297" s="1">
        <v>61</v>
      </c>
      <c r="C297" s="1">
        <v>300</v>
      </c>
      <c r="D297" s="13"/>
      <c r="E297" s="13"/>
      <c r="F297" s="13"/>
      <c r="G297" s="13"/>
      <c r="H297" s="13"/>
      <c r="I297" s="13"/>
      <c r="J297" s="13"/>
    </row>
    <row r="298" spans="1:10">
      <c r="A298" s="1">
        <v>571</v>
      </c>
      <c r="B298" s="1">
        <v>61</v>
      </c>
      <c r="C298" s="1">
        <v>300</v>
      </c>
      <c r="D298" s="13"/>
      <c r="E298" s="13"/>
      <c r="F298" s="13"/>
      <c r="G298" s="13"/>
      <c r="H298" s="13"/>
      <c r="I298" s="13"/>
      <c r="J298" s="13"/>
    </row>
    <row r="299" spans="1:10">
      <c r="A299" s="1">
        <v>572</v>
      </c>
      <c r="B299" s="1">
        <v>61</v>
      </c>
      <c r="C299" s="1">
        <v>300</v>
      </c>
      <c r="D299" s="13"/>
      <c r="E299" s="13"/>
      <c r="F299" s="13"/>
      <c r="G299" s="13"/>
      <c r="H299" s="13"/>
      <c r="I299" s="13"/>
      <c r="J299" s="13"/>
    </row>
    <row r="300" spans="1:10">
      <c r="A300" s="1">
        <v>573</v>
      </c>
      <c r="B300" s="1">
        <v>61</v>
      </c>
      <c r="C300" s="1">
        <v>300</v>
      </c>
      <c r="D300" s="13"/>
      <c r="E300" s="13"/>
      <c r="F300" s="13"/>
      <c r="G300" s="13"/>
      <c r="H300" s="13"/>
      <c r="I300" s="13"/>
      <c r="J300" s="13"/>
    </row>
    <row r="301" spans="1:10">
      <c r="A301" s="1">
        <v>574</v>
      </c>
      <c r="B301" s="1">
        <v>61</v>
      </c>
      <c r="C301" s="1">
        <v>300</v>
      </c>
      <c r="D301" s="13"/>
      <c r="E301" s="13"/>
      <c r="F301" s="13"/>
      <c r="G301" s="13"/>
      <c r="H301" s="13"/>
      <c r="I301" s="13"/>
      <c r="J301" s="13"/>
    </row>
    <row r="302" spans="1:10">
      <c r="A302" s="1">
        <v>575</v>
      </c>
      <c r="B302" s="1">
        <v>62</v>
      </c>
      <c r="C302" s="1">
        <v>300</v>
      </c>
      <c r="D302" s="13"/>
      <c r="E302" s="13"/>
      <c r="F302" s="13"/>
      <c r="G302" s="13"/>
      <c r="H302" s="13"/>
      <c r="I302" s="13"/>
      <c r="J302" s="13"/>
    </row>
    <row r="303" spans="1:10">
      <c r="A303" s="1">
        <v>576</v>
      </c>
      <c r="B303" s="1">
        <v>62</v>
      </c>
      <c r="C303" s="1">
        <v>300</v>
      </c>
      <c r="D303" s="13"/>
      <c r="E303" s="13"/>
      <c r="F303" s="13"/>
      <c r="G303" s="13"/>
      <c r="H303" s="13"/>
      <c r="I303" s="13"/>
      <c r="J303" s="13"/>
    </row>
    <row r="304" spans="1:10">
      <c r="A304" s="1">
        <v>577</v>
      </c>
      <c r="B304" s="1">
        <v>62</v>
      </c>
      <c r="C304" s="1">
        <v>300</v>
      </c>
      <c r="D304" s="13"/>
      <c r="E304" s="13"/>
      <c r="F304" s="13"/>
      <c r="G304" s="13"/>
      <c r="H304" s="13"/>
      <c r="I304" s="13"/>
      <c r="J304" s="13"/>
    </row>
    <row r="305" spans="1:10">
      <c r="A305" s="1">
        <v>578</v>
      </c>
      <c r="B305" s="1">
        <v>62</v>
      </c>
      <c r="C305" s="1">
        <v>300</v>
      </c>
      <c r="D305" s="13"/>
      <c r="E305" s="13"/>
      <c r="F305" s="13"/>
      <c r="G305" s="13"/>
      <c r="H305" s="13"/>
      <c r="I305" s="13"/>
      <c r="J305" s="13"/>
    </row>
    <row r="306" spans="1:10">
      <c r="A306" s="1">
        <v>579</v>
      </c>
      <c r="B306" s="1">
        <v>62</v>
      </c>
      <c r="C306" s="1">
        <v>300</v>
      </c>
      <c r="D306" s="13"/>
      <c r="E306" s="13"/>
      <c r="F306" s="13"/>
      <c r="G306" s="13"/>
      <c r="H306" s="13"/>
      <c r="I306" s="13"/>
      <c r="J306" s="13"/>
    </row>
    <row r="307" spans="1:10">
      <c r="A307" s="1">
        <v>580</v>
      </c>
      <c r="B307" s="1">
        <v>62</v>
      </c>
      <c r="C307" s="1">
        <v>300</v>
      </c>
      <c r="D307" s="13"/>
      <c r="E307" s="13"/>
      <c r="F307" s="13"/>
      <c r="G307" s="13"/>
      <c r="H307" s="13"/>
      <c r="I307" s="13"/>
      <c r="J307" s="13"/>
    </row>
    <row r="308" spans="1:10">
      <c r="A308" s="1">
        <v>581</v>
      </c>
      <c r="B308" s="1">
        <v>62</v>
      </c>
      <c r="C308" s="1">
        <v>300</v>
      </c>
      <c r="D308" s="13"/>
      <c r="E308" s="13"/>
      <c r="F308" s="13"/>
      <c r="G308" s="13"/>
      <c r="H308" s="13"/>
      <c r="I308" s="13"/>
      <c r="J308" s="13"/>
    </row>
    <row r="309" spans="1:10">
      <c r="A309" s="1">
        <v>582</v>
      </c>
      <c r="B309" s="1">
        <v>62</v>
      </c>
      <c r="C309" s="1">
        <v>300</v>
      </c>
      <c r="D309" s="13"/>
      <c r="E309" s="13"/>
      <c r="F309" s="13"/>
      <c r="G309" s="13"/>
      <c r="H309" s="13"/>
      <c r="I309" s="13"/>
      <c r="J309" s="13"/>
    </row>
    <row r="310" spans="1:10">
      <c r="A310" s="1">
        <v>583</v>
      </c>
      <c r="B310" s="1">
        <v>62</v>
      </c>
      <c r="C310" s="1">
        <v>300</v>
      </c>
      <c r="D310" s="13"/>
      <c r="E310" s="13"/>
      <c r="F310" s="13"/>
      <c r="G310" s="13"/>
      <c r="H310" s="13"/>
      <c r="I310" s="13"/>
      <c r="J310" s="13"/>
    </row>
    <row r="311" spans="1:10">
      <c r="A311" s="1">
        <v>584</v>
      </c>
      <c r="B311" s="1">
        <v>63</v>
      </c>
      <c r="C311" s="1">
        <v>300</v>
      </c>
      <c r="D311" s="13"/>
      <c r="E311" s="13"/>
      <c r="F311" s="13"/>
      <c r="G311" s="13"/>
      <c r="H311" s="13"/>
      <c r="I311" s="13"/>
      <c r="J311" s="13"/>
    </row>
    <row r="312" spans="1:10">
      <c r="A312" s="1">
        <v>585</v>
      </c>
      <c r="B312" s="1">
        <v>63</v>
      </c>
      <c r="C312" s="1">
        <v>300</v>
      </c>
      <c r="D312" s="13"/>
      <c r="E312" s="13"/>
      <c r="F312" s="13"/>
      <c r="G312" s="13"/>
      <c r="H312" s="13"/>
      <c r="I312" s="13"/>
      <c r="J312" s="13"/>
    </row>
    <row r="313" spans="1:10">
      <c r="A313" s="1">
        <v>586</v>
      </c>
      <c r="B313" s="1">
        <v>63</v>
      </c>
      <c r="C313" s="1">
        <v>300</v>
      </c>
      <c r="D313" s="13"/>
      <c r="E313" s="13"/>
      <c r="F313" s="13"/>
      <c r="G313" s="13"/>
      <c r="H313" s="13"/>
      <c r="I313" s="13"/>
      <c r="J313" s="13"/>
    </row>
    <row r="314" spans="1:10">
      <c r="A314" s="1">
        <v>587</v>
      </c>
      <c r="B314" s="1">
        <v>63</v>
      </c>
      <c r="C314" s="1">
        <v>300</v>
      </c>
      <c r="D314" s="13"/>
      <c r="E314" s="13"/>
      <c r="F314" s="13"/>
      <c r="G314" s="13"/>
      <c r="H314" s="13"/>
      <c r="I314" s="13"/>
      <c r="J314" s="13"/>
    </row>
    <row r="315" spans="1:10">
      <c r="A315" s="1">
        <v>588</v>
      </c>
      <c r="B315" s="1">
        <v>63</v>
      </c>
      <c r="C315" s="1">
        <v>300</v>
      </c>
      <c r="D315" s="13"/>
      <c r="E315" s="13"/>
      <c r="F315" s="13"/>
      <c r="G315" s="13"/>
      <c r="H315" s="13"/>
      <c r="I315" s="13"/>
      <c r="J315" s="13"/>
    </row>
    <row r="316" spans="1:10">
      <c r="A316" s="1">
        <v>589</v>
      </c>
      <c r="B316" s="1">
        <v>63</v>
      </c>
      <c r="C316" s="1">
        <v>300</v>
      </c>
      <c r="D316" s="13"/>
      <c r="E316" s="13"/>
      <c r="F316" s="13"/>
      <c r="G316" s="13"/>
      <c r="H316" s="13"/>
      <c r="I316" s="13"/>
      <c r="J316" s="13"/>
    </row>
    <row r="317" spans="1:10">
      <c r="A317" s="1">
        <v>590</v>
      </c>
      <c r="B317" s="1">
        <v>63</v>
      </c>
      <c r="C317" s="1">
        <v>300</v>
      </c>
      <c r="D317" s="13"/>
      <c r="E317" s="13"/>
      <c r="F317" s="13"/>
      <c r="G317" s="13"/>
      <c r="H317" s="13"/>
      <c r="I317" s="13"/>
      <c r="J317" s="13"/>
    </row>
    <row r="318" spans="1:10">
      <c r="A318" s="1">
        <v>591</v>
      </c>
      <c r="B318" s="1">
        <v>63</v>
      </c>
      <c r="C318" s="1">
        <v>300</v>
      </c>
      <c r="D318" s="13"/>
      <c r="E318" s="13"/>
      <c r="F318" s="13"/>
      <c r="G318" s="13"/>
      <c r="H318" s="13"/>
      <c r="I318" s="13"/>
      <c r="J318" s="13"/>
    </row>
    <row r="319" spans="1:10">
      <c r="A319" s="1">
        <v>592</v>
      </c>
      <c r="B319" s="1">
        <v>63</v>
      </c>
      <c r="C319" s="1">
        <v>300</v>
      </c>
      <c r="D319" s="13"/>
      <c r="E319" s="13"/>
      <c r="F319" s="13"/>
      <c r="G319" s="13"/>
      <c r="H319" s="13"/>
      <c r="I319" s="13"/>
      <c r="J319" s="13"/>
    </row>
    <row r="320" spans="1:10">
      <c r="A320" s="1">
        <v>593</v>
      </c>
      <c r="B320" s="1">
        <v>64</v>
      </c>
      <c r="C320" s="1">
        <v>300</v>
      </c>
      <c r="D320" s="13"/>
      <c r="E320" s="13"/>
      <c r="F320" s="13"/>
      <c r="G320" s="13"/>
      <c r="H320" s="13"/>
      <c r="I320" s="13"/>
      <c r="J320" s="13"/>
    </row>
    <row r="321" spans="1:10">
      <c r="A321" s="1">
        <v>594</v>
      </c>
      <c r="B321" s="1">
        <v>64</v>
      </c>
      <c r="C321" s="1">
        <v>300</v>
      </c>
      <c r="D321" s="13"/>
      <c r="E321" s="13"/>
      <c r="F321" s="13"/>
      <c r="G321" s="13"/>
      <c r="H321" s="13"/>
      <c r="I321" s="13"/>
      <c r="J321" s="13"/>
    </row>
    <row r="322" spans="1:10">
      <c r="A322" s="1">
        <v>595</v>
      </c>
      <c r="B322" s="1">
        <v>64</v>
      </c>
      <c r="C322" s="1">
        <v>300</v>
      </c>
      <c r="D322" s="13"/>
      <c r="E322" s="13"/>
      <c r="F322" s="13"/>
      <c r="G322" s="13"/>
      <c r="H322" s="13"/>
      <c r="I322" s="13"/>
      <c r="J322" s="13"/>
    </row>
    <row r="323" spans="1:10">
      <c r="A323" s="1">
        <v>596</v>
      </c>
      <c r="B323" s="1">
        <v>64</v>
      </c>
      <c r="C323" s="1">
        <v>300</v>
      </c>
      <c r="D323" s="13"/>
      <c r="E323" s="13"/>
      <c r="F323" s="13"/>
      <c r="G323" s="13"/>
      <c r="H323" s="13"/>
      <c r="I323" s="13"/>
      <c r="J323" s="13"/>
    </row>
    <row r="324" spans="1:10">
      <c r="A324" s="1">
        <v>597</v>
      </c>
      <c r="B324" s="1">
        <v>64</v>
      </c>
      <c r="C324" s="1">
        <v>300</v>
      </c>
      <c r="D324" s="13"/>
      <c r="E324" s="13"/>
      <c r="F324" s="13"/>
      <c r="G324" s="13"/>
      <c r="H324" s="13"/>
      <c r="I324" s="13"/>
      <c r="J324" s="13"/>
    </row>
    <row r="325" spans="1:10">
      <c r="A325" s="1">
        <v>598</v>
      </c>
      <c r="B325" s="1">
        <v>64</v>
      </c>
      <c r="C325" s="1">
        <v>300</v>
      </c>
      <c r="D325" s="13"/>
      <c r="E325" s="13"/>
      <c r="F325" s="13"/>
      <c r="G325" s="13"/>
      <c r="H325" s="13"/>
      <c r="I325" s="13"/>
      <c r="J325" s="13"/>
    </row>
    <row r="326" spans="1:10">
      <c r="A326" s="1">
        <v>599</v>
      </c>
      <c r="B326" s="1">
        <v>64</v>
      </c>
      <c r="C326" s="1">
        <v>300</v>
      </c>
      <c r="D326" s="13"/>
      <c r="E326" s="13"/>
      <c r="F326" s="13"/>
      <c r="G326" s="13"/>
      <c r="H326" s="13"/>
      <c r="I326" s="13"/>
      <c r="J326" s="13"/>
    </row>
    <row r="327" spans="1:10">
      <c r="A327" s="1">
        <v>600</v>
      </c>
      <c r="B327" s="1">
        <v>65</v>
      </c>
      <c r="C327" s="1">
        <v>300</v>
      </c>
      <c r="D327" s="13"/>
      <c r="E327" s="13"/>
      <c r="F327" s="13"/>
      <c r="G327" s="13"/>
      <c r="H327" s="13"/>
      <c r="I327" s="13"/>
      <c r="J327" s="13"/>
    </row>
    <row r="328" spans="1:10">
      <c r="A328" s="1">
        <v>601</v>
      </c>
      <c r="B328" s="1">
        <v>65</v>
      </c>
      <c r="C328" s="1">
        <v>300</v>
      </c>
      <c r="D328" s="13"/>
      <c r="E328" s="13"/>
      <c r="F328" s="13"/>
      <c r="G328" s="13"/>
      <c r="H328" s="13"/>
      <c r="I328" s="13"/>
      <c r="J328" s="13"/>
    </row>
    <row r="329" spans="1:10">
      <c r="A329" s="1">
        <v>602</v>
      </c>
      <c r="B329" s="1">
        <v>65</v>
      </c>
      <c r="C329" s="1">
        <v>300</v>
      </c>
      <c r="D329" s="13"/>
      <c r="E329" s="13"/>
      <c r="F329" s="13"/>
      <c r="G329" s="13"/>
      <c r="H329" s="13"/>
      <c r="I329" s="13"/>
      <c r="J329" s="13"/>
    </row>
    <row r="330" spans="1:10">
      <c r="A330" s="1">
        <v>603</v>
      </c>
      <c r="B330" s="1">
        <v>65</v>
      </c>
      <c r="C330" s="1">
        <v>300</v>
      </c>
      <c r="D330" s="13"/>
      <c r="E330" s="13"/>
      <c r="F330" s="13"/>
      <c r="G330" s="13"/>
      <c r="H330" s="13"/>
      <c r="I330" s="13"/>
      <c r="J330" s="13"/>
    </row>
    <row r="331" spans="1:10">
      <c r="A331" s="1">
        <v>604</v>
      </c>
      <c r="B331" s="1">
        <v>65</v>
      </c>
      <c r="C331" s="1">
        <v>300</v>
      </c>
      <c r="D331" s="13"/>
      <c r="E331" s="13"/>
      <c r="F331" s="13"/>
      <c r="G331" s="13"/>
      <c r="H331" s="13"/>
      <c r="I331" s="13"/>
      <c r="J331" s="13"/>
    </row>
    <row r="332" spans="1:10">
      <c r="A332" s="1">
        <v>605</v>
      </c>
      <c r="B332" s="1">
        <v>65</v>
      </c>
      <c r="C332" s="1">
        <v>300</v>
      </c>
      <c r="D332" s="13"/>
      <c r="E332" s="13"/>
      <c r="F332" s="13"/>
      <c r="G332" s="13"/>
      <c r="H332" s="13"/>
      <c r="I332" s="13"/>
      <c r="J332" s="13"/>
    </row>
    <row r="333" spans="1:10">
      <c r="A333" s="1">
        <v>606</v>
      </c>
      <c r="B333" s="1">
        <v>66</v>
      </c>
      <c r="C333" s="1">
        <v>300</v>
      </c>
      <c r="D333" s="13"/>
      <c r="E333" s="13"/>
      <c r="F333" s="13"/>
      <c r="G333" s="13"/>
      <c r="H333" s="13"/>
      <c r="I333" s="13"/>
      <c r="J333" s="13"/>
    </row>
    <row r="334" spans="1:10">
      <c r="A334" s="1">
        <v>607</v>
      </c>
      <c r="B334" s="1">
        <v>66</v>
      </c>
      <c r="C334" s="1">
        <v>300</v>
      </c>
      <c r="D334" s="13"/>
      <c r="E334" s="13"/>
      <c r="F334" s="13"/>
      <c r="G334" s="13"/>
      <c r="H334" s="13"/>
      <c r="I334" s="13"/>
      <c r="J334" s="13"/>
    </row>
    <row r="335" spans="1:10">
      <c r="A335" s="1">
        <v>608</v>
      </c>
      <c r="B335" s="1">
        <v>66</v>
      </c>
      <c r="C335" s="1">
        <v>300</v>
      </c>
      <c r="D335" s="13"/>
      <c r="E335" s="13"/>
      <c r="F335" s="13"/>
      <c r="G335" s="13"/>
      <c r="H335" s="13"/>
      <c r="I335" s="13"/>
      <c r="J335" s="13"/>
    </row>
    <row r="336" spans="1:10">
      <c r="A336" s="1">
        <v>609</v>
      </c>
      <c r="B336" s="1">
        <v>66</v>
      </c>
      <c r="C336" s="1">
        <v>300</v>
      </c>
      <c r="D336" s="13"/>
      <c r="E336" s="13"/>
      <c r="F336" s="13"/>
      <c r="G336" s="13"/>
      <c r="H336" s="13"/>
      <c r="I336" s="13"/>
      <c r="J336" s="13"/>
    </row>
    <row r="337" spans="1:10">
      <c r="A337" s="1">
        <v>610</v>
      </c>
      <c r="B337" s="1">
        <v>66</v>
      </c>
      <c r="C337" s="1">
        <v>300</v>
      </c>
      <c r="D337" s="13"/>
      <c r="E337" s="13"/>
      <c r="F337" s="13"/>
      <c r="G337" s="13"/>
      <c r="H337" s="13"/>
      <c r="I337" s="13"/>
      <c r="J337" s="13"/>
    </row>
    <row r="338" spans="1:10">
      <c r="A338" s="1">
        <v>611</v>
      </c>
      <c r="B338" s="1">
        <v>66</v>
      </c>
      <c r="C338" s="1">
        <v>300</v>
      </c>
      <c r="D338" s="13"/>
      <c r="E338" s="13"/>
      <c r="F338" s="13"/>
      <c r="G338" s="13"/>
      <c r="H338" s="13"/>
      <c r="I338" s="13"/>
      <c r="J338" s="13"/>
    </row>
    <row r="339" spans="1:10">
      <c r="A339" s="1">
        <v>612</v>
      </c>
      <c r="B339" s="1">
        <v>66</v>
      </c>
      <c r="C339" s="1">
        <v>300</v>
      </c>
      <c r="D339" s="13"/>
      <c r="E339" s="13"/>
      <c r="F339" s="13"/>
      <c r="G339" s="13"/>
      <c r="H339" s="13"/>
      <c r="I339" s="13"/>
      <c r="J339" s="13"/>
    </row>
    <row r="340" spans="1:10">
      <c r="A340" s="1">
        <v>613</v>
      </c>
      <c r="B340" s="1">
        <v>66</v>
      </c>
      <c r="C340" s="1">
        <v>300</v>
      </c>
      <c r="D340" s="13"/>
      <c r="E340" s="13"/>
      <c r="F340" s="13"/>
      <c r="G340" s="13"/>
      <c r="H340" s="13"/>
      <c r="I340" s="13"/>
      <c r="J340" s="13"/>
    </row>
    <row r="341" spans="1:10">
      <c r="A341" s="1">
        <v>614</v>
      </c>
      <c r="B341" s="1">
        <v>66</v>
      </c>
      <c r="C341" s="1">
        <v>300</v>
      </c>
      <c r="D341" s="13"/>
      <c r="E341" s="13"/>
      <c r="F341" s="13"/>
      <c r="G341" s="13"/>
      <c r="H341" s="13"/>
      <c r="I341" s="13"/>
      <c r="J341" s="13"/>
    </row>
    <row r="342" spans="1:10">
      <c r="A342" s="1">
        <v>615</v>
      </c>
      <c r="B342" s="1">
        <v>66</v>
      </c>
      <c r="C342" s="1">
        <v>300</v>
      </c>
      <c r="D342" s="13"/>
      <c r="E342" s="13"/>
      <c r="F342" s="13"/>
      <c r="G342" s="13"/>
      <c r="H342" s="13"/>
      <c r="I342" s="13"/>
      <c r="J342" s="13"/>
    </row>
    <row r="343" spans="1:10">
      <c r="A343" s="1">
        <v>616</v>
      </c>
      <c r="B343" s="1">
        <v>66</v>
      </c>
      <c r="C343" s="1">
        <v>300</v>
      </c>
      <c r="D343" s="13"/>
      <c r="E343" s="13"/>
      <c r="F343" s="13"/>
      <c r="G343" s="13"/>
      <c r="H343" s="13"/>
      <c r="I343" s="13"/>
      <c r="J343" s="13"/>
    </row>
    <row r="344" spans="1:10">
      <c r="A344" s="1">
        <v>617</v>
      </c>
      <c r="B344" s="1">
        <v>66</v>
      </c>
      <c r="C344" s="1">
        <v>300</v>
      </c>
      <c r="D344" s="13"/>
      <c r="E344" s="13"/>
      <c r="F344" s="13"/>
      <c r="G344" s="13"/>
      <c r="H344" s="13"/>
      <c r="I344" s="13"/>
      <c r="J344" s="13"/>
    </row>
    <row r="345" spans="1:10">
      <c r="A345" s="1">
        <v>618</v>
      </c>
      <c r="B345" s="1">
        <v>66</v>
      </c>
      <c r="C345" s="1">
        <v>300</v>
      </c>
      <c r="D345" s="13"/>
      <c r="E345" s="13"/>
      <c r="F345" s="13"/>
      <c r="G345" s="13"/>
      <c r="H345" s="13"/>
      <c r="I345" s="13"/>
      <c r="J345" s="13"/>
    </row>
    <row r="346" spans="1:10">
      <c r="A346" s="1">
        <v>619</v>
      </c>
      <c r="B346" s="1">
        <v>66</v>
      </c>
      <c r="C346" s="1">
        <v>110</v>
      </c>
      <c r="D346" s="13"/>
      <c r="E346" s="13"/>
      <c r="F346" s="13"/>
      <c r="G346" s="13"/>
      <c r="H346" s="13"/>
      <c r="I346" s="13"/>
      <c r="J346" s="13"/>
    </row>
    <row r="347" spans="1:10">
      <c r="A347" s="1">
        <v>620</v>
      </c>
      <c r="B347" s="1">
        <v>67</v>
      </c>
      <c r="C347" s="1">
        <v>300</v>
      </c>
      <c r="D347" s="13"/>
      <c r="E347" s="13"/>
      <c r="F347" s="13"/>
      <c r="G347" s="13"/>
      <c r="H347" s="13"/>
      <c r="I347" s="13"/>
      <c r="J347" s="13"/>
    </row>
    <row r="348" spans="1:10">
      <c r="A348" s="1">
        <v>621</v>
      </c>
      <c r="B348" s="1">
        <v>67</v>
      </c>
      <c r="C348" s="1">
        <v>300</v>
      </c>
      <c r="D348" s="13"/>
      <c r="E348" s="13"/>
      <c r="F348" s="13"/>
      <c r="G348" s="13"/>
      <c r="H348" s="13"/>
      <c r="I348" s="13"/>
      <c r="J348" s="13"/>
    </row>
    <row r="349" spans="1:10">
      <c r="A349" s="1">
        <v>622</v>
      </c>
      <c r="B349" s="1">
        <v>67</v>
      </c>
      <c r="C349" s="1">
        <v>300</v>
      </c>
      <c r="D349" s="13"/>
      <c r="E349" s="13"/>
      <c r="F349" s="13"/>
      <c r="G349" s="13"/>
      <c r="H349" s="13"/>
      <c r="I349" s="13"/>
      <c r="J349" s="13"/>
    </row>
    <row r="350" spans="1:10">
      <c r="A350" s="1">
        <v>623</v>
      </c>
      <c r="B350" s="1">
        <v>67</v>
      </c>
      <c r="C350" s="1">
        <v>300</v>
      </c>
      <c r="D350" s="13"/>
      <c r="E350" s="13"/>
      <c r="F350" s="13"/>
      <c r="G350" s="13"/>
      <c r="H350" s="13"/>
      <c r="I350" s="13"/>
      <c r="J350" s="13"/>
    </row>
    <row r="351" spans="1:10">
      <c r="A351" s="1">
        <v>624</v>
      </c>
      <c r="B351" s="1">
        <v>67</v>
      </c>
      <c r="C351" s="1">
        <v>300</v>
      </c>
      <c r="D351" s="13"/>
      <c r="E351" s="13"/>
      <c r="F351" s="13"/>
      <c r="G351" s="13"/>
      <c r="H351" s="13"/>
      <c r="I351" s="13"/>
      <c r="J351" s="13"/>
    </row>
    <row r="352" spans="1:10">
      <c r="A352" s="1">
        <v>625</v>
      </c>
      <c r="B352" s="1">
        <v>68</v>
      </c>
      <c r="C352" s="1">
        <v>300</v>
      </c>
      <c r="D352" s="13"/>
      <c r="E352" s="13"/>
      <c r="F352" s="13"/>
      <c r="G352" s="13"/>
      <c r="H352" s="13"/>
      <c r="I352" s="13"/>
      <c r="J352" s="13"/>
    </row>
    <row r="353" spans="1:10">
      <c r="A353" s="1">
        <v>626</v>
      </c>
      <c r="B353" s="1">
        <v>68</v>
      </c>
      <c r="C353" s="1">
        <v>300</v>
      </c>
      <c r="D353" s="13"/>
      <c r="E353" s="13"/>
      <c r="F353" s="13"/>
      <c r="G353" s="13"/>
      <c r="H353" s="13"/>
      <c r="I353" s="13"/>
      <c r="J353" s="13"/>
    </row>
    <row r="354" spans="1:10">
      <c r="A354" s="1">
        <v>627</v>
      </c>
      <c r="B354" s="1">
        <v>68</v>
      </c>
      <c r="C354" s="1">
        <v>300</v>
      </c>
      <c r="D354" s="13"/>
      <c r="E354" s="13"/>
      <c r="F354" s="13"/>
      <c r="G354" s="13"/>
      <c r="H354" s="13"/>
      <c r="I354" s="13"/>
      <c r="J354" s="13"/>
    </row>
    <row r="355" spans="1:10">
      <c r="A355" s="1">
        <v>628</v>
      </c>
      <c r="B355" s="1">
        <v>68</v>
      </c>
      <c r="C355" s="1">
        <v>300</v>
      </c>
      <c r="D355" s="13"/>
      <c r="E355" s="13"/>
      <c r="F355" s="13"/>
      <c r="G355" s="13"/>
      <c r="H355" s="13"/>
      <c r="I355" s="13"/>
      <c r="J355" s="13"/>
    </row>
    <row r="356" spans="1:10">
      <c r="A356" s="1">
        <v>629</v>
      </c>
      <c r="B356" s="1">
        <v>68</v>
      </c>
      <c r="C356" s="1">
        <v>300</v>
      </c>
      <c r="D356" s="13"/>
      <c r="E356" s="13"/>
      <c r="F356" s="13"/>
      <c r="G356" s="13"/>
      <c r="H356" s="13"/>
      <c r="I356" s="13"/>
      <c r="J356" s="13"/>
    </row>
    <row r="357" spans="1:10">
      <c r="A357" s="1">
        <v>630</v>
      </c>
      <c r="B357" s="1">
        <v>69</v>
      </c>
      <c r="C357" s="1">
        <v>300</v>
      </c>
      <c r="D357" s="13"/>
      <c r="E357" s="13"/>
      <c r="F357" s="13"/>
      <c r="G357" s="13"/>
      <c r="H357" s="13"/>
      <c r="I357" s="13"/>
      <c r="J357" s="13"/>
    </row>
    <row r="358" spans="1:10">
      <c r="A358" s="1">
        <v>631</v>
      </c>
      <c r="B358" s="1">
        <v>69</v>
      </c>
      <c r="C358" s="1">
        <v>300</v>
      </c>
      <c r="D358" s="13"/>
      <c r="E358" s="13"/>
      <c r="F358" s="13"/>
      <c r="G358" s="13"/>
      <c r="H358" s="13"/>
      <c r="I358" s="13"/>
      <c r="J358" s="13"/>
    </row>
    <row r="359" spans="1:10">
      <c r="A359" s="1">
        <v>632</v>
      </c>
      <c r="B359" s="1">
        <v>69</v>
      </c>
      <c r="C359" s="1">
        <v>300</v>
      </c>
      <c r="D359" s="13"/>
      <c r="E359" s="13"/>
      <c r="F359" s="13"/>
      <c r="G359" s="13"/>
      <c r="H359" s="13"/>
      <c r="I359" s="13"/>
      <c r="J359" s="13"/>
    </row>
    <row r="360" spans="1:10">
      <c r="A360" s="1">
        <v>633</v>
      </c>
      <c r="B360" s="1">
        <v>69</v>
      </c>
      <c r="C360" s="1">
        <v>300</v>
      </c>
      <c r="D360" s="13"/>
      <c r="E360" s="13"/>
      <c r="F360" s="13"/>
      <c r="G360" s="13"/>
      <c r="H360" s="13"/>
      <c r="I360" s="13"/>
      <c r="J360" s="13"/>
    </row>
    <row r="361" spans="1:10">
      <c r="A361" s="1">
        <v>634</v>
      </c>
      <c r="B361" s="1">
        <v>69</v>
      </c>
      <c r="C361" s="1">
        <v>300</v>
      </c>
      <c r="D361" s="13"/>
      <c r="E361" s="13"/>
      <c r="F361" s="13"/>
      <c r="G361" s="13"/>
      <c r="H361" s="13"/>
      <c r="I361" s="13"/>
      <c r="J361" s="13"/>
    </row>
    <row r="362" spans="1:10">
      <c r="A362" s="1">
        <v>635</v>
      </c>
      <c r="B362" s="1">
        <v>69</v>
      </c>
      <c r="C362" s="1">
        <v>300</v>
      </c>
      <c r="D362" s="13"/>
      <c r="E362" s="13"/>
      <c r="F362" s="13"/>
      <c r="G362" s="13"/>
      <c r="H362" s="13"/>
      <c r="I362" s="13"/>
      <c r="J362" s="13"/>
    </row>
    <row r="363" spans="1:10">
      <c r="A363" s="1">
        <v>636</v>
      </c>
      <c r="B363" s="1">
        <v>69</v>
      </c>
      <c r="C363" s="1">
        <v>300</v>
      </c>
      <c r="D363" s="13"/>
      <c r="E363" s="13"/>
      <c r="F363" s="13"/>
      <c r="G363" s="13"/>
      <c r="H363" s="13"/>
      <c r="I363" s="13"/>
      <c r="J363" s="13"/>
    </row>
    <row r="364" spans="1:10">
      <c r="A364" s="1">
        <v>637</v>
      </c>
      <c r="B364" s="1">
        <v>69</v>
      </c>
      <c r="C364" s="1">
        <v>300</v>
      </c>
      <c r="D364" s="13"/>
      <c r="E364" s="13"/>
      <c r="F364" s="13"/>
      <c r="G364" s="13"/>
      <c r="H364" s="13"/>
      <c r="I364" s="13"/>
      <c r="J364" s="13"/>
    </row>
    <row r="365" spans="1:10">
      <c r="A365" s="1">
        <v>638</v>
      </c>
      <c r="B365" s="1">
        <v>70</v>
      </c>
      <c r="C365" s="1">
        <v>300</v>
      </c>
      <c r="D365" s="13"/>
      <c r="E365" s="13"/>
      <c r="F365" s="13"/>
      <c r="G365" s="13"/>
      <c r="H365" s="13"/>
      <c r="I365" s="13"/>
      <c r="J365" s="13"/>
    </row>
    <row r="366" spans="1:10">
      <c r="A366" s="1">
        <v>639</v>
      </c>
      <c r="B366" s="1">
        <v>70</v>
      </c>
      <c r="C366" s="1">
        <v>300</v>
      </c>
      <c r="D366" s="13"/>
      <c r="E366" s="13"/>
      <c r="F366" s="13"/>
      <c r="G366" s="13"/>
      <c r="H366" s="13"/>
      <c r="I366" s="13"/>
      <c r="J366" s="13"/>
    </row>
    <row r="367" spans="1:10">
      <c r="A367" s="1">
        <v>640</v>
      </c>
      <c r="B367" s="1">
        <v>70</v>
      </c>
      <c r="C367" s="1">
        <v>300</v>
      </c>
      <c r="D367" s="13"/>
      <c r="E367" s="13"/>
      <c r="F367" s="13"/>
      <c r="G367" s="13"/>
      <c r="H367" s="13"/>
      <c r="I367" s="13"/>
      <c r="J367" s="13"/>
    </row>
    <row r="368" spans="1:10">
      <c r="A368" s="1">
        <v>641</v>
      </c>
      <c r="B368" s="1">
        <v>70</v>
      </c>
      <c r="C368" s="1">
        <v>300</v>
      </c>
      <c r="D368" s="13"/>
      <c r="E368" s="13"/>
      <c r="F368" s="13"/>
      <c r="G368" s="13"/>
      <c r="H368" s="13"/>
      <c r="I368" s="13"/>
      <c r="J368" s="13"/>
    </row>
    <row r="369" spans="1:10">
      <c r="A369" s="1">
        <v>642</v>
      </c>
      <c r="B369" s="1">
        <v>71</v>
      </c>
      <c r="C369" s="1">
        <v>300</v>
      </c>
      <c r="D369" s="13"/>
      <c r="E369" s="13"/>
      <c r="F369" s="13"/>
      <c r="G369" s="13"/>
      <c r="H369" s="13"/>
      <c r="I369" s="13"/>
      <c r="J369" s="13"/>
    </row>
    <row r="370" spans="1:10">
      <c r="A370" s="1">
        <v>643</v>
      </c>
      <c r="B370" s="1">
        <v>71</v>
      </c>
      <c r="C370" s="1">
        <v>300</v>
      </c>
      <c r="D370" s="13"/>
      <c r="E370" s="13"/>
      <c r="F370" s="13"/>
      <c r="G370" s="13"/>
      <c r="H370" s="13"/>
      <c r="I370" s="13"/>
      <c r="J370" s="13"/>
    </row>
    <row r="371" spans="1:10">
      <c r="A371" s="1">
        <v>644</v>
      </c>
      <c r="B371" s="1">
        <v>71</v>
      </c>
      <c r="C371" s="1">
        <v>300</v>
      </c>
      <c r="D371" s="13"/>
      <c r="E371" s="13"/>
      <c r="F371" s="13"/>
      <c r="G371" s="13"/>
      <c r="H371" s="13"/>
      <c r="I371" s="13"/>
      <c r="J371" s="13"/>
    </row>
    <row r="372" spans="1:10">
      <c r="A372" s="1">
        <v>645</v>
      </c>
      <c r="B372" s="1">
        <v>71</v>
      </c>
      <c r="C372" s="1">
        <v>300</v>
      </c>
      <c r="D372" s="13"/>
      <c r="E372" s="13"/>
      <c r="F372" s="13"/>
      <c r="G372" s="13"/>
      <c r="H372" s="13"/>
      <c r="I372" s="13"/>
      <c r="J372" s="13"/>
    </row>
    <row r="373" spans="1:10">
      <c r="A373" s="1">
        <v>646</v>
      </c>
      <c r="B373" s="1">
        <v>71</v>
      </c>
      <c r="C373" s="1">
        <v>300</v>
      </c>
      <c r="D373" s="13"/>
      <c r="E373" s="13"/>
      <c r="F373" s="13"/>
      <c r="G373" s="13"/>
      <c r="H373" s="13"/>
      <c r="I373" s="13"/>
      <c r="J373" s="13"/>
    </row>
    <row r="374" spans="1:10">
      <c r="A374" s="1">
        <v>647</v>
      </c>
      <c r="B374" s="1">
        <v>72</v>
      </c>
      <c r="C374" s="1">
        <v>300</v>
      </c>
      <c r="D374" s="13"/>
      <c r="E374" s="13"/>
      <c r="F374" s="13"/>
      <c r="G374" s="13"/>
      <c r="H374" s="13"/>
      <c r="I374" s="13"/>
      <c r="J374" s="13"/>
    </row>
    <row r="375" spans="1:10">
      <c r="A375" s="1">
        <v>648</v>
      </c>
      <c r="B375" s="1">
        <v>72</v>
      </c>
      <c r="C375" s="1">
        <v>300</v>
      </c>
      <c r="D375" s="13"/>
      <c r="E375" s="13"/>
      <c r="F375" s="13"/>
      <c r="G375" s="13"/>
      <c r="H375" s="13"/>
      <c r="I375" s="13"/>
      <c r="J375" s="13"/>
    </row>
    <row r="376" spans="1:10">
      <c r="A376" s="1">
        <v>649</v>
      </c>
      <c r="B376" s="1">
        <v>72</v>
      </c>
      <c r="C376" s="1">
        <v>300</v>
      </c>
      <c r="D376" s="13"/>
      <c r="E376" s="13"/>
      <c r="F376" s="13"/>
      <c r="G376" s="13"/>
      <c r="H376" s="13"/>
      <c r="I376" s="13"/>
      <c r="J376" s="13"/>
    </row>
    <row r="377" spans="1:10">
      <c r="A377" s="1">
        <v>650</v>
      </c>
      <c r="B377" s="1">
        <v>72</v>
      </c>
      <c r="C377" s="1">
        <v>300</v>
      </c>
      <c r="D377" s="13"/>
      <c r="E377" s="13"/>
      <c r="F377" s="13"/>
      <c r="G377" s="13"/>
      <c r="H377" s="13"/>
      <c r="I377" s="13"/>
      <c r="J377" s="13"/>
    </row>
    <row r="378" spans="1:10">
      <c r="A378" s="1">
        <v>651</v>
      </c>
      <c r="B378" s="1">
        <v>72</v>
      </c>
      <c r="C378" s="1">
        <v>300</v>
      </c>
      <c r="D378" s="13"/>
      <c r="E378" s="13"/>
      <c r="F378" s="13"/>
      <c r="G378" s="13"/>
      <c r="H378" s="13"/>
      <c r="I378" s="13"/>
      <c r="J378" s="13"/>
    </row>
    <row r="379" spans="1:10">
      <c r="A379" s="1">
        <v>652</v>
      </c>
      <c r="B379" s="1">
        <v>72</v>
      </c>
      <c r="C379" s="1">
        <v>300</v>
      </c>
      <c r="D379" s="13"/>
      <c r="E379" s="13"/>
      <c r="F379" s="13"/>
      <c r="G379" s="13"/>
      <c r="H379" s="13"/>
      <c r="I379" s="13"/>
      <c r="J379" s="13"/>
    </row>
    <row r="380" spans="1:10">
      <c r="A380" s="1">
        <v>653</v>
      </c>
      <c r="B380" s="1">
        <v>72</v>
      </c>
      <c r="C380" s="1">
        <v>300</v>
      </c>
      <c r="D380" s="13"/>
      <c r="E380" s="13"/>
      <c r="F380" s="13"/>
      <c r="G380" s="13"/>
      <c r="H380" s="13"/>
      <c r="I380" s="13"/>
      <c r="J380" s="13"/>
    </row>
    <row r="381" spans="1:10">
      <c r="A381" s="1">
        <v>654</v>
      </c>
      <c r="B381" s="1">
        <v>72</v>
      </c>
      <c r="C381" s="1">
        <v>300</v>
      </c>
      <c r="D381" s="13"/>
      <c r="E381" s="13"/>
      <c r="F381" s="13"/>
      <c r="G381" s="13"/>
      <c r="H381" s="13"/>
      <c r="I381" s="13"/>
      <c r="J381" s="13"/>
    </row>
    <row r="382" spans="1:10">
      <c r="A382" s="1">
        <v>655</v>
      </c>
      <c r="B382" s="1">
        <v>72</v>
      </c>
      <c r="C382" s="1">
        <v>300</v>
      </c>
      <c r="D382" s="13"/>
      <c r="E382" s="13"/>
      <c r="F382" s="13"/>
      <c r="G382" s="13"/>
      <c r="H382" s="13"/>
      <c r="I382" s="13"/>
      <c r="J382" s="13"/>
    </row>
    <row r="383" spans="1:10">
      <c r="A383" s="1">
        <v>656</v>
      </c>
      <c r="B383" s="1">
        <v>72</v>
      </c>
      <c r="C383" s="1">
        <v>300</v>
      </c>
      <c r="D383" s="13"/>
      <c r="E383" s="13"/>
      <c r="F383" s="13"/>
      <c r="G383" s="13"/>
      <c r="H383" s="13"/>
      <c r="I383" s="13"/>
      <c r="J383" s="13"/>
    </row>
    <row r="384" spans="1:10">
      <c r="A384" s="1">
        <v>657</v>
      </c>
      <c r="B384" s="1">
        <v>73</v>
      </c>
      <c r="C384" s="1">
        <v>300</v>
      </c>
      <c r="D384" s="13"/>
      <c r="E384" s="13"/>
      <c r="F384" s="13"/>
      <c r="G384" s="13"/>
      <c r="H384" s="13"/>
      <c r="I384" s="13"/>
      <c r="J384" s="13"/>
    </row>
    <row r="385" spans="1:10">
      <c r="A385" s="1">
        <v>658</v>
      </c>
      <c r="B385" s="1">
        <v>73</v>
      </c>
      <c r="C385" s="1">
        <v>300</v>
      </c>
      <c r="D385" s="13"/>
      <c r="E385" s="13"/>
      <c r="F385" s="13"/>
      <c r="G385" s="13"/>
      <c r="H385" s="13"/>
      <c r="I385" s="13"/>
      <c r="J385" s="13"/>
    </row>
    <row r="386" spans="1:10">
      <c r="A386" s="1">
        <v>659</v>
      </c>
      <c r="B386" s="1">
        <v>73</v>
      </c>
      <c r="C386" s="1">
        <v>300</v>
      </c>
      <c r="D386" s="13"/>
      <c r="E386" s="13"/>
      <c r="F386" s="13"/>
      <c r="G386" s="13"/>
      <c r="H386" s="13"/>
      <c r="I386" s="13"/>
      <c r="J386" s="13"/>
    </row>
    <row r="387" spans="1:10">
      <c r="A387" s="1">
        <v>660</v>
      </c>
      <c r="B387" s="1">
        <v>73</v>
      </c>
      <c r="C387" s="1">
        <v>300</v>
      </c>
      <c r="D387" s="13"/>
      <c r="E387" s="13"/>
      <c r="F387" s="13"/>
      <c r="G387" s="13"/>
      <c r="H387" s="13"/>
      <c r="I387" s="13"/>
      <c r="J387" s="13"/>
    </row>
    <row r="388" spans="1:10">
      <c r="A388" s="1">
        <v>661</v>
      </c>
      <c r="B388" s="1">
        <v>73</v>
      </c>
      <c r="C388" s="1">
        <v>300</v>
      </c>
      <c r="D388" s="13"/>
      <c r="E388" s="13"/>
      <c r="F388" s="13"/>
      <c r="G388" s="13"/>
      <c r="H388" s="13"/>
      <c r="I388" s="13"/>
      <c r="J388" s="13"/>
    </row>
    <row r="389" spans="1:10">
      <c r="A389" s="1">
        <v>662</v>
      </c>
      <c r="B389" s="1">
        <v>73</v>
      </c>
      <c r="C389" s="1">
        <v>300</v>
      </c>
      <c r="D389" s="13"/>
      <c r="E389" s="13"/>
      <c r="F389" s="13"/>
      <c r="G389" s="13"/>
      <c r="H389" s="13"/>
      <c r="I389" s="13"/>
      <c r="J389" s="13"/>
    </row>
    <row r="390" spans="1:10">
      <c r="A390" s="1">
        <v>663</v>
      </c>
      <c r="B390" s="1">
        <v>73</v>
      </c>
      <c r="C390" s="1">
        <v>300</v>
      </c>
      <c r="D390" s="13"/>
      <c r="E390" s="13"/>
      <c r="F390" s="13"/>
      <c r="G390" s="13"/>
      <c r="H390" s="13"/>
      <c r="I390" s="13"/>
      <c r="J390" s="13"/>
    </row>
    <row r="391" spans="1:10">
      <c r="A391" s="1">
        <v>664</v>
      </c>
      <c r="B391" s="1">
        <v>73</v>
      </c>
      <c r="C391" s="1">
        <v>300</v>
      </c>
      <c r="D391" s="13"/>
      <c r="E391" s="13"/>
      <c r="F391" s="13"/>
      <c r="G391" s="13"/>
      <c r="H391" s="13"/>
      <c r="I391" s="13"/>
      <c r="J391" s="13"/>
    </row>
    <row r="392" spans="1:10">
      <c r="A392" s="1">
        <v>665</v>
      </c>
      <c r="B392" s="1">
        <v>73</v>
      </c>
      <c r="C392" s="1">
        <v>300</v>
      </c>
      <c r="D392" s="13"/>
      <c r="E392" s="13"/>
      <c r="F392" s="13"/>
      <c r="G392" s="13"/>
      <c r="H392" s="13"/>
      <c r="I392" s="13"/>
      <c r="J392" s="13"/>
    </row>
    <row r="393" spans="1:10">
      <c r="A393" s="1">
        <v>666</v>
      </c>
      <c r="B393" s="1">
        <v>73</v>
      </c>
      <c r="C393" s="1">
        <v>300</v>
      </c>
      <c r="D393" s="13"/>
      <c r="E393" s="13"/>
      <c r="F393" s="13"/>
      <c r="G393" s="13"/>
      <c r="H393" s="13"/>
      <c r="I393" s="13"/>
      <c r="J393" s="13"/>
    </row>
    <row r="394" spans="1:10">
      <c r="A394" s="1">
        <v>667</v>
      </c>
      <c r="B394" s="1">
        <v>74</v>
      </c>
      <c r="C394" s="1">
        <v>300</v>
      </c>
      <c r="D394" s="13"/>
      <c r="E394" s="13"/>
      <c r="F394" s="13"/>
      <c r="G394" s="13"/>
      <c r="H394" s="13"/>
      <c r="I394" s="13"/>
      <c r="J394" s="13"/>
    </row>
    <row r="395" spans="1:10">
      <c r="A395" s="1">
        <v>668</v>
      </c>
      <c r="B395" s="1">
        <v>74</v>
      </c>
      <c r="C395" s="1">
        <v>300</v>
      </c>
      <c r="D395" s="13"/>
      <c r="E395" s="13"/>
      <c r="F395" s="13"/>
      <c r="G395" s="13"/>
      <c r="H395" s="13"/>
      <c r="I395" s="13"/>
      <c r="J395" s="13"/>
    </row>
    <row r="396" spans="1:10">
      <c r="A396" s="1">
        <v>669</v>
      </c>
      <c r="B396" s="1">
        <v>74</v>
      </c>
      <c r="C396" s="1">
        <v>300</v>
      </c>
      <c r="D396" s="13"/>
      <c r="E396" s="13"/>
      <c r="F396" s="13"/>
      <c r="G396" s="13"/>
      <c r="H396" s="13"/>
      <c r="I396" s="13"/>
      <c r="J396" s="13"/>
    </row>
    <row r="397" spans="1:10">
      <c r="A397" s="1">
        <v>670</v>
      </c>
      <c r="B397" s="1">
        <v>74</v>
      </c>
      <c r="C397" s="1">
        <v>300</v>
      </c>
      <c r="D397" s="13"/>
      <c r="E397" s="13"/>
      <c r="F397" s="13"/>
      <c r="G397" s="13"/>
      <c r="H397" s="13"/>
      <c r="I397" s="13"/>
      <c r="J397" s="13"/>
    </row>
    <row r="398" spans="1:10">
      <c r="A398" s="1">
        <v>671</v>
      </c>
      <c r="B398" s="1">
        <v>74</v>
      </c>
      <c r="C398" s="1">
        <v>300</v>
      </c>
      <c r="D398" s="13"/>
      <c r="E398" s="13"/>
      <c r="F398" s="13"/>
      <c r="G398" s="13"/>
      <c r="H398" s="13"/>
      <c r="I398" s="13"/>
      <c r="J398" s="13"/>
    </row>
    <row r="399" spans="1:10">
      <c r="A399" s="1">
        <v>672</v>
      </c>
      <c r="B399" s="1">
        <v>74</v>
      </c>
      <c r="C399" s="1">
        <v>300</v>
      </c>
      <c r="D399" s="13"/>
      <c r="E399" s="13"/>
      <c r="F399" s="13"/>
      <c r="G399" s="13"/>
      <c r="H399" s="13"/>
      <c r="I399" s="13"/>
      <c r="J399" s="13"/>
    </row>
    <row r="400" spans="1:10">
      <c r="A400" s="1">
        <v>673</v>
      </c>
      <c r="B400" s="1">
        <v>74</v>
      </c>
      <c r="C400" s="1">
        <v>300</v>
      </c>
      <c r="D400" s="13"/>
      <c r="E400" s="13"/>
      <c r="F400" s="13"/>
      <c r="G400" s="13"/>
      <c r="H400" s="13"/>
      <c r="I400" s="13"/>
      <c r="J400" s="13"/>
    </row>
    <row r="401" spans="1:10">
      <c r="A401" s="1">
        <v>674</v>
      </c>
      <c r="B401" s="1">
        <v>75</v>
      </c>
      <c r="C401" s="1">
        <v>300</v>
      </c>
      <c r="D401" s="13"/>
      <c r="E401" s="13"/>
      <c r="F401" s="13"/>
      <c r="G401" s="13"/>
      <c r="H401" s="13"/>
      <c r="I401" s="13"/>
      <c r="J401" s="13"/>
    </row>
    <row r="402" spans="1:10">
      <c r="A402" s="1">
        <v>675</v>
      </c>
      <c r="B402" s="1">
        <v>75</v>
      </c>
      <c r="C402" s="1">
        <v>300</v>
      </c>
      <c r="D402" s="13"/>
      <c r="E402" s="13"/>
      <c r="F402" s="13"/>
      <c r="G402" s="13"/>
      <c r="H402" s="13"/>
      <c r="I402" s="13"/>
      <c r="J402" s="13"/>
    </row>
    <row r="403" spans="1:10">
      <c r="A403" s="1">
        <v>676</v>
      </c>
      <c r="B403" s="1">
        <v>75</v>
      </c>
      <c r="C403" s="1">
        <v>300</v>
      </c>
      <c r="D403" s="13"/>
      <c r="E403" s="13"/>
      <c r="F403" s="13"/>
      <c r="G403" s="13"/>
      <c r="H403" s="13"/>
      <c r="I403" s="13"/>
      <c r="J403" s="13"/>
    </row>
    <row r="404" spans="1:10">
      <c r="A404" s="1">
        <v>677</v>
      </c>
      <c r="B404" s="1">
        <v>75</v>
      </c>
      <c r="C404" s="1">
        <v>300</v>
      </c>
      <c r="D404" s="13"/>
      <c r="E404" s="13"/>
      <c r="F404" s="13"/>
      <c r="G404" s="13"/>
      <c r="H404" s="13"/>
      <c r="I404" s="13"/>
      <c r="J404" s="13"/>
    </row>
    <row r="405" spans="1:10">
      <c r="A405" s="1">
        <v>678</v>
      </c>
      <c r="B405" s="1">
        <v>75</v>
      </c>
      <c r="C405" s="1">
        <v>300</v>
      </c>
      <c r="D405" s="13"/>
      <c r="E405" s="13"/>
      <c r="F405" s="13"/>
      <c r="G405" s="13"/>
      <c r="H405" s="13"/>
      <c r="I405" s="13"/>
      <c r="J405" s="13"/>
    </row>
    <row r="406" spans="1:10">
      <c r="A406" s="1">
        <v>679</v>
      </c>
      <c r="B406" s="1">
        <v>75</v>
      </c>
      <c r="C406" s="1">
        <v>300</v>
      </c>
      <c r="D406" s="13"/>
      <c r="E406" s="13"/>
      <c r="F406" s="13"/>
      <c r="G406" s="13"/>
      <c r="H406" s="13"/>
      <c r="I406" s="13"/>
      <c r="J406" s="13"/>
    </row>
    <row r="407" spans="1:10">
      <c r="A407" s="1">
        <v>680</v>
      </c>
      <c r="B407" s="1">
        <v>75</v>
      </c>
      <c r="C407" s="1">
        <v>300</v>
      </c>
      <c r="D407" s="13"/>
      <c r="E407" s="13"/>
      <c r="F407" s="13"/>
      <c r="G407" s="13"/>
      <c r="H407" s="13"/>
      <c r="I407" s="13"/>
      <c r="J407" s="13"/>
    </row>
    <row r="408" spans="1:10">
      <c r="A408" s="1">
        <v>681</v>
      </c>
      <c r="B408" s="1">
        <v>76</v>
      </c>
      <c r="C408" s="1">
        <v>300</v>
      </c>
      <c r="D408" s="13"/>
      <c r="E408" s="13"/>
      <c r="F408" s="13"/>
      <c r="G408" s="13"/>
      <c r="H408" s="13"/>
      <c r="I408" s="13"/>
      <c r="J408" s="13"/>
    </row>
    <row r="409" spans="1:10">
      <c r="A409" s="1">
        <v>682</v>
      </c>
      <c r="B409" s="1">
        <v>76</v>
      </c>
      <c r="C409" s="1">
        <v>300</v>
      </c>
      <c r="D409" s="13"/>
      <c r="E409" s="13"/>
      <c r="F409" s="13"/>
      <c r="G409" s="13"/>
      <c r="H409" s="13"/>
      <c r="I409" s="13"/>
      <c r="J409" s="13"/>
    </row>
    <row r="410" spans="1:10">
      <c r="A410" s="1">
        <v>683</v>
      </c>
      <c r="B410" s="1">
        <v>76</v>
      </c>
      <c r="C410" s="1">
        <v>300</v>
      </c>
      <c r="D410" s="13"/>
      <c r="E410" s="13"/>
      <c r="F410" s="13"/>
      <c r="G410" s="13"/>
      <c r="H410" s="13"/>
      <c r="I410" s="13"/>
      <c r="J410" s="13"/>
    </row>
    <row r="411" spans="1:10">
      <c r="A411" s="1">
        <v>684</v>
      </c>
      <c r="B411" s="1">
        <v>76</v>
      </c>
      <c r="C411" s="1">
        <v>300</v>
      </c>
      <c r="D411" s="13"/>
      <c r="E411" s="13"/>
      <c r="F411" s="13"/>
      <c r="G411" s="13"/>
      <c r="H411" s="13"/>
      <c r="I411" s="13"/>
      <c r="J411" s="13"/>
    </row>
    <row r="412" spans="1:10">
      <c r="A412" s="1">
        <v>685</v>
      </c>
      <c r="B412" s="1">
        <v>76</v>
      </c>
      <c r="C412" s="1">
        <v>300</v>
      </c>
      <c r="D412" s="13"/>
      <c r="E412" s="13"/>
      <c r="F412" s="13"/>
      <c r="G412" s="13"/>
      <c r="H412" s="13"/>
      <c r="I412" s="13"/>
      <c r="J412" s="13"/>
    </row>
    <row r="413" spans="1:10">
      <c r="A413" s="1">
        <v>686</v>
      </c>
      <c r="B413" s="1">
        <v>76</v>
      </c>
      <c r="C413" s="1">
        <v>300</v>
      </c>
      <c r="D413" s="13"/>
      <c r="E413" s="13"/>
      <c r="F413" s="13"/>
      <c r="G413" s="13"/>
      <c r="H413" s="13"/>
      <c r="I413" s="13"/>
      <c r="J413" s="13"/>
    </row>
    <row r="414" spans="1:10">
      <c r="A414" s="1">
        <v>687</v>
      </c>
      <c r="B414" s="1">
        <v>76</v>
      </c>
      <c r="C414" s="1">
        <v>300</v>
      </c>
      <c r="D414" s="13"/>
      <c r="E414" s="13"/>
      <c r="F414" s="13"/>
      <c r="G414" s="13"/>
      <c r="H414" s="13"/>
      <c r="I414" s="13"/>
      <c r="J414" s="13"/>
    </row>
    <row r="415" spans="1:10">
      <c r="A415" s="1">
        <v>688</v>
      </c>
      <c r="B415" s="1">
        <v>77</v>
      </c>
      <c r="C415" s="1">
        <v>300</v>
      </c>
      <c r="D415" s="13"/>
      <c r="E415" s="13"/>
      <c r="F415" s="13"/>
      <c r="G415" s="13"/>
      <c r="H415" s="13"/>
      <c r="I415" s="13"/>
      <c r="J415" s="13"/>
    </row>
    <row r="416" spans="1:10">
      <c r="A416" s="1">
        <v>689</v>
      </c>
      <c r="B416" s="1">
        <v>77</v>
      </c>
      <c r="C416" s="1">
        <v>300</v>
      </c>
      <c r="D416" s="13"/>
      <c r="E416" s="13"/>
      <c r="F416" s="13"/>
      <c r="G416" s="13"/>
      <c r="H416" s="13"/>
      <c r="I416" s="13"/>
      <c r="J416" s="13"/>
    </row>
    <row r="417" spans="1:10">
      <c r="A417" s="1">
        <v>690</v>
      </c>
      <c r="B417" s="1">
        <v>77</v>
      </c>
      <c r="C417" s="1">
        <v>300</v>
      </c>
      <c r="D417" s="13"/>
      <c r="E417" s="13"/>
      <c r="F417" s="13"/>
      <c r="G417" s="13"/>
      <c r="H417" s="13"/>
      <c r="I417" s="13"/>
      <c r="J417" s="13"/>
    </row>
    <row r="418" spans="1:10">
      <c r="A418" s="1">
        <v>691</v>
      </c>
      <c r="B418" s="1">
        <v>77</v>
      </c>
      <c r="C418" s="1">
        <v>300</v>
      </c>
      <c r="D418" s="13"/>
      <c r="E418" s="13"/>
      <c r="F418" s="13"/>
      <c r="G418" s="13"/>
      <c r="H418" s="13"/>
      <c r="I418" s="13"/>
      <c r="J418" s="13"/>
    </row>
    <row r="419" spans="1:10">
      <c r="A419" s="1">
        <v>692</v>
      </c>
      <c r="B419" s="1">
        <v>77</v>
      </c>
      <c r="C419" s="1">
        <v>300</v>
      </c>
      <c r="D419" s="13"/>
      <c r="E419" s="13"/>
      <c r="F419" s="13"/>
      <c r="G419" s="13"/>
      <c r="H419" s="13"/>
      <c r="I419" s="13"/>
      <c r="J419" s="13"/>
    </row>
    <row r="420" spans="1:10">
      <c r="A420" s="1">
        <v>693</v>
      </c>
      <c r="B420" s="1">
        <v>77</v>
      </c>
      <c r="C420" s="1">
        <v>300</v>
      </c>
      <c r="D420" s="13"/>
      <c r="E420" s="13"/>
      <c r="F420" s="13"/>
      <c r="G420" s="13"/>
      <c r="H420" s="13"/>
      <c r="I420" s="13"/>
      <c r="J420" s="13"/>
    </row>
    <row r="421" spans="1:10">
      <c r="A421" s="1">
        <v>694</v>
      </c>
      <c r="B421" s="1">
        <v>77</v>
      </c>
      <c r="C421" s="1">
        <v>300</v>
      </c>
      <c r="D421" s="13"/>
      <c r="E421" s="13"/>
      <c r="F421" s="13"/>
      <c r="G421" s="13"/>
      <c r="H421" s="13"/>
      <c r="I421" s="13"/>
      <c r="J421" s="13"/>
    </row>
    <row r="422" spans="1:10">
      <c r="A422" s="1">
        <v>695</v>
      </c>
      <c r="B422" s="1">
        <v>77</v>
      </c>
      <c r="C422" s="1">
        <v>300</v>
      </c>
      <c r="D422" s="13"/>
      <c r="E422" s="13"/>
      <c r="F422" s="13"/>
      <c r="G422" s="13"/>
      <c r="H422" s="13"/>
      <c r="I422" s="13"/>
      <c r="J422" s="13"/>
    </row>
    <row r="423" spans="1:10">
      <c r="A423" s="1">
        <v>696</v>
      </c>
      <c r="B423" s="1">
        <v>77</v>
      </c>
      <c r="C423" s="1">
        <v>300</v>
      </c>
      <c r="D423" s="13"/>
      <c r="E423" s="13"/>
      <c r="F423" s="13"/>
      <c r="G423" s="13"/>
      <c r="H423" s="13"/>
      <c r="I423" s="13"/>
      <c r="J423" s="13"/>
    </row>
    <row r="424" spans="1:10">
      <c r="A424" s="1">
        <v>697</v>
      </c>
      <c r="B424" s="1">
        <v>77</v>
      </c>
      <c r="C424" s="1">
        <v>300</v>
      </c>
      <c r="D424" s="13"/>
      <c r="E424" s="13"/>
      <c r="F424" s="13"/>
      <c r="G424" s="13"/>
      <c r="H424" s="13"/>
      <c r="I424" s="13"/>
      <c r="J424" s="13"/>
    </row>
    <row r="425" spans="1:10">
      <c r="A425" s="1">
        <v>698</v>
      </c>
      <c r="B425" s="1">
        <v>77</v>
      </c>
      <c r="C425" s="1">
        <v>300</v>
      </c>
      <c r="D425" s="13"/>
      <c r="E425" s="13"/>
      <c r="F425" s="13"/>
      <c r="G425" s="13"/>
      <c r="H425" s="13"/>
      <c r="I425" s="13"/>
      <c r="J425" s="13"/>
    </row>
    <row r="426" spans="1:10">
      <c r="A426" s="1">
        <v>699</v>
      </c>
      <c r="B426" s="1">
        <v>77</v>
      </c>
      <c r="C426" s="1">
        <v>110</v>
      </c>
      <c r="D426" s="13"/>
      <c r="E426" s="13"/>
      <c r="F426" s="13"/>
      <c r="G426" s="13"/>
      <c r="H426" s="13"/>
      <c r="I426" s="13"/>
      <c r="J426" s="13"/>
    </row>
    <row r="427" spans="1:10">
      <c r="A427" s="1">
        <v>700</v>
      </c>
      <c r="B427" s="1">
        <v>78</v>
      </c>
      <c r="C427" s="1">
        <v>300</v>
      </c>
      <c r="D427" s="13"/>
      <c r="E427" s="13"/>
      <c r="F427" s="13"/>
      <c r="G427" s="13"/>
      <c r="H427" s="13"/>
      <c r="I427" s="13"/>
      <c r="J427" s="13"/>
    </row>
    <row r="428" spans="1:10">
      <c r="A428" s="1">
        <v>701</v>
      </c>
      <c r="B428" s="1">
        <v>78</v>
      </c>
      <c r="C428" s="1">
        <v>300</v>
      </c>
      <c r="D428" s="13"/>
      <c r="E428" s="13"/>
      <c r="F428" s="13"/>
      <c r="G428" s="13"/>
      <c r="H428" s="13"/>
      <c r="I428" s="13"/>
      <c r="J428" s="13"/>
    </row>
    <row r="429" spans="1:10">
      <c r="A429" s="1">
        <v>702</v>
      </c>
      <c r="B429" s="1">
        <v>78</v>
      </c>
      <c r="C429" s="1">
        <v>208</v>
      </c>
      <c r="D429" s="13"/>
      <c r="E429" s="13"/>
      <c r="F429" s="13"/>
      <c r="G429" s="13"/>
      <c r="H429" s="13"/>
      <c r="I429" s="13"/>
      <c r="J429" s="13"/>
    </row>
    <row r="430" spans="1:10">
      <c r="A430" s="1">
        <v>703</v>
      </c>
      <c r="B430" s="1">
        <v>79</v>
      </c>
      <c r="C430" s="1">
        <v>500</v>
      </c>
      <c r="D430" s="13"/>
      <c r="E430" s="13"/>
      <c r="F430" s="13"/>
      <c r="G430" s="13"/>
      <c r="H430" s="13"/>
      <c r="I430" s="13"/>
      <c r="J430" s="13"/>
    </row>
    <row r="431" spans="1:10">
      <c r="A431" s="1">
        <v>704</v>
      </c>
      <c r="B431" s="1">
        <v>79</v>
      </c>
      <c r="C431" s="1">
        <v>500</v>
      </c>
      <c r="D431" s="13"/>
      <c r="E431" s="13"/>
      <c r="F431" s="13"/>
      <c r="G431" s="13"/>
      <c r="H431" s="13"/>
      <c r="I431" s="13"/>
      <c r="J431" s="13"/>
    </row>
    <row r="432" spans="1:10">
      <c r="A432" s="1">
        <v>705</v>
      </c>
      <c r="B432" s="1">
        <v>79</v>
      </c>
      <c r="C432" s="1">
        <v>500</v>
      </c>
      <c r="D432" s="13"/>
      <c r="E432" s="13"/>
      <c r="F432" s="13"/>
      <c r="G432" s="13"/>
      <c r="H432" s="13"/>
      <c r="I432" s="13"/>
      <c r="J432" s="13"/>
    </row>
    <row r="433" spans="1:10">
      <c r="A433" s="1">
        <v>706</v>
      </c>
      <c r="B433" s="1">
        <v>79</v>
      </c>
      <c r="C433" s="1">
        <v>500</v>
      </c>
      <c r="D433" s="13"/>
      <c r="E433" s="13"/>
      <c r="F433" s="13"/>
      <c r="G433" s="13"/>
      <c r="H433" s="13"/>
      <c r="I433" s="13"/>
      <c r="J433" s="13"/>
    </row>
    <row r="434" spans="1:10">
      <c r="A434" s="1">
        <v>707</v>
      </c>
      <c r="B434" s="1">
        <v>79</v>
      </c>
      <c r="C434" s="1">
        <v>500</v>
      </c>
      <c r="D434" s="13"/>
      <c r="E434" s="13"/>
      <c r="F434" s="13"/>
      <c r="G434" s="13"/>
      <c r="H434" s="13"/>
      <c r="I434" s="13"/>
      <c r="J434" s="13"/>
    </row>
    <row r="435" spans="1:10">
      <c r="A435" s="1">
        <v>708</v>
      </c>
      <c r="B435" s="1">
        <v>79</v>
      </c>
      <c r="C435" s="1">
        <v>500</v>
      </c>
      <c r="D435" s="13"/>
      <c r="E435" s="13"/>
      <c r="F435" s="13"/>
      <c r="G435" s="13"/>
      <c r="H435" s="13"/>
      <c r="I435" s="13"/>
      <c r="J435" s="13"/>
    </row>
    <row r="436" spans="1:10">
      <c r="A436" s="1">
        <v>709</v>
      </c>
      <c r="B436" s="1">
        <v>79</v>
      </c>
      <c r="C436" s="1">
        <v>500</v>
      </c>
      <c r="D436" s="13"/>
      <c r="E436" s="13"/>
      <c r="F436" s="13"/>
      <c r="G436" s="13"/>
      <c r="H436" s="13"/>
      <c r="I436" s="13"/>
      <c r="J436" s="13"/>
    </row>
    <row r="437" spans="1:10">
      <c r="A437" s="1">
        <v>710</v>
      </c>
      <c r="B437" s="1">
        <v>79</v>
      </c>
      <c r="C437" s="1">
        <v>500</v>
      </c>
      <c r="D437" s="13"/>
      <c r="E437" s="13"/>
      <c r="F437" s="13"/>
      <c r="G437" s="13"/>
      <c r="H437" s="13"/>
      <c r="I437" s="13"/>
      <c r="J437" s="13"/>
    </row>
    <row r="438" spans="1:10">
      <c r="A438" s="1">
        <v>711</v>
      </c>
      <c r="B438" s="1">
        <v>79</v>
      </c>
      <c r="C438" s="1">
        <v>500</v>
      </c>
      <c r="D438" s="13"/>
      <c r="E438" s="13"/>
      <c r="F438" s="13"/>
      <c r="G438" s="13"/>
      <c r="H438" s="13"/>
      <c r="I438" s="13"/>
      <c r="J438" s="13"/>
    </row>
    <row r="439" spans="1:10">
      <c r="A439" s="1">
        <v>712</v>
      </c>
      <c r="B439" s="1">
        <v>79</v>
      </c>
      <c r="C439" s="1">
        <v>500</v>
      </c>
      <c r="D439" s="13"/>
      <c r="E439" s="13"/>
      <c r="F439" s="13"/>
      <c r="G439" s="13"/>
      <c r="H439" s="13"/>
      <c r="I439" s="13"/>
      <c r="J439" s="13"/>
    </row>
    <row r="440" spans="1:10">
      <c r="A440" s="1">
        <v>713</v>
      </c>
      <c r="B440" s="1">
        <v>79</v>
      </c>
      <c r="C440" s="1">
        <v>500</v>
      </c>
      <c r="D440" s="13"/>
      <c r="E440" s="13"/>
      <c r="F440" s="13"/>
      <c r="G440" s="13"/>
      <c r="H440" s="13"/>
      <c r="I440" s="13"/>
      <c r="J440" s="13"/>
    </row>
    <row r="441" spans="1:10">
      <c r="A441" s="1">
        <v>714</v>
      </c>
      <c r="B441" s="1">
        <v>79</v>
      </c>
      <c r="C441" s="1">
        <v>500</v>
      </c>
      <c r="D441" s="13"/>
      <c r="E441" s="13"/>
      <c r="F441" s="13"/>
      <c r="G441" s="13"/>
      <c r="H441" s="13"/>
      <c r="I441" s="13"/>
      <c r="J441" s="13"/>
    </row>
    <row r="442" spans="1:10">
      <c r="A442" s="1">
        <v>715</v>
      </c>
      <c r="B442" s="1">
        <v>79</v>
      </c>
      <c r="C442" s="1">
        <v>500</v>
      </c>
      <c r="D442" s="13"/>
      <c r="E442" s="13"/>
      <c r="F442" s="13"/>
      <c r="G442" s="13"/>
      <c r="H442" s="13"/>
      <c r="I442" s="13"/>
      <c r="J442" s="13"/>
    </row>
    <row r="443" spans="1:10">
      <c r="A443" s="1">
        <v>716</v>
      </c>
      <c r="B443" s="1">
        <v>79</v>
      </c>
      <c r="C443" s="1">
        <v>500</v>
      </c>
      <c r="D443" s="13"/>
      <c r="E443" s="13"/>
      <c r="F443" s="13"/>
      <c r="G443" s="13"/>
      <c r="H443" s="13"/>
      <c r="I443" s="13"/>
      <c r="J443" s="13"/>
    </row>
    <row r="444" spans="1:10">
      <c r="A444" s="1">
        <v>717</v>
      </c>
      <c r="B444" s="1">
        <v>79</v>
      </c>
      <c r="C444" s="1">
        <v>500</v>
      </c>
      <c r="D444" s="13"/>
      <c r="E444" s="13"/>
      <c r="F444" s="13"/>
      <c r="G444" s="13"/>
      <c r="H444" s="13"/>
      <c r="I444" s="13"/>
      <c r="J444" s="13"/>
    </row>
    <row r="445" spans="1:10">
      <c r="A445" s="1">
        <v>718</v>
      </c>
      <c r="B445" s="1">
        <v>79</v>
      </c>
      <c r="C445" s="1">
        <v>500</v>
      </c>
      <c r="D445" s="13"/>
      <c r="E445" s="13"/>
      <c r="F445" s="13"/>
      <c r="G445" s="13"/>
      <c r="H445" s="13"/>
      <c r="I445" s="13"/>
      <c r="J445" s="13"/>
    </row>
    <row r="446" spans="1:10">
      <c r="A446" s="1">
        <v>719</v>
      </c>
      <c r="B446" s="1">
        <v>80</v>
      </c>
      <c r="C446" s="1">
        <v>300</v>
      </c>
      <c r="D446" s="13"/>
      <c r="E446" s="13"/>
      <c r="F446" s="13"/>
      <c r="G446" s="13"/>
      <c r="H446" s="13"/>
      <c r="I446" s="13"/>
      <c r="J446" s="13"/>
    </row>
    <row r="447" spans="1:10">
      <c r="A447" s="1">
        <v>720</v>
      </c>
      <c r="B447" s="1">
        <v>80</v>
      </c>
      <c r="C447" s="1">
        <v>300</v>
      </c>
      <c r="D447" s="13"/>
      <c r="E447" s="13"/>
      <c r="F447" s="13"/>
      <c r="G447" s="13"/>
      <c r="H447" s="13"/>
      <c r="I447" s="13"/>
      <c r="J447" s="13"/>
    </row>
    <row r="448" spans="1:10">
      <c r="A448" s="1">
        <v>721</v>
      </c>
      <c r="B448" s="1">
        <v>80</v>
      </c>
      <c r="C448" s="1">
        <v>300</v>
      </c>
      <c r="D448" s="13"/>
      <c r="E448" s="13"/>
      <c r="F448" s="13"/>
      <c r="G448" s="13"/>
      <c r="H448" s="13"/>
      <c r="I448" s="13"/>
      <c r="J448" s="13"/>
    </row>
    <row r="449" spans="1:10">
      <c r="A449" s="1">
        <v>722</v>
      </c>
      <c r="B449" s="1">
        <v>80</v>
      </c>
      <c r="C449" s="1">
        <v>300</v>
      </c>
      <c r="D449" s="13"/>
      <c r="E449" s="13"/>
      <c r="F449" s="13"/>
      <c r="G449" s="13"/>
      <c r="H449" s="13"/>
      <c r="I449" s="13"/>
      <c r="J449" s="13"/>
    </row>
    <row r="450" spans="1:10">
      <c r="A450" s="1">
        <v>723</v>
      </c>
      <c r="B450" s="1">
        <v>80</v>
      </c>
      <c r="C450" s="1">
        <v>300</v>
      </c>
      <c r="D450" s="13"/>
      <c r="E450" s="13"/>
      <c r="F450" s="13"/>
      <c r="G450" s="13"/>
      <c r="H450" s="13"/>
      <c r="I450" s="13"/>
      <c r="J450" s="13"/>
    </row>
    <row r="451" spans="1:10">
      <c r="A451" s="1">
        <v>724</v>
      </c>
      <c r="B451" s="1">
        <v>80</v>
      </c>
      <c r="C451" s="1">
        <v>300</v>
      </c>
      <c r="D451" s="13"/>
      <c r="E451" s="13"/>
      <c r="F451" s="13"/>
      <c r="G451" s="13"/>
      <c r="H451" s="13"/>
      <c r="I451" s="13"/>
      <c r="J451" s="13"/>
    </row>
    <row r="452" spans="1:10">
      <c r="A452" s="1">
        <v>725</v>
      </c>
      <c r="B452" s="1">
        <v>80</v>
      </c>
      <c r="C452" s="1">
        <v>300</v>
      </c>
      <c r="D452" s="13"/>
      <c r="E452" s="13"/>
      <c r="F452" s="13"/>
      <c r="G452" s="13"/>
      <c r="H452" s="13"/>
      <c r="I452" s="13"/>
      <c r="J452" s="13"/>
    </row>
    <row r="453" spans="1:10">
      <c r="A453" s="1">
        <v>726</v>
      </c>
      <c r="B453" s="1">
        <v>80</v>
      </c>
      <c r="C453" s="1">
        <v>300</v>
      </c>
      <c r="D453" s="13"/>
      <c r="E453" s="13"/>
      <c r="F453" s="13"/>
      <c r="G453" s="13"/>
      <c r="H453" s="13"/>
      <c r="I453" s="13"/>
      <c r="J453" s="13"/>
    </row>
    <row r="454" spans="1:10">
      <c r="A454" s="1">
        <v>727</v>
      </c>
      <c r="B454" s="1">
        <v>80</v>
      </c>
      <c r="C454" s="1">
        <v>300</v>
      </c>
      <c r="D454" s="13"/>
      <c r="E454" s="13"/>
      <c r="F454" s="13"/>
      <c r="G454" s="13"/>
      <c r="H454" s="13"/>
      <c r="I454" s="13"/>
      <c r="J454" s="13"/>
    </row>
    <row r="455" spans="1:10">
      <c r="A455" s="1">
        <v>728</v>
      </c>
      <c r="B455" s="1">
        <v>80</v>
      </c>
      <c r="C455" s="1">
        <v>300</v>
      </c>
      <c r="D455" s="13"/>
      <c r="E455" s="13"/>
      <c r="F455" s="13"/>
      <c r="G455" s="13"/>
      <c r="H455" s="13"/>
      <c r="I455" s="13"/>
      <c r="J455" s="13"/>
    </row>
    <row r="456" spans="1:10">
      <c r="A456" s="1">
        <v>729</v>
      </c>
      <c r="B456" s="1">
        <v>81</v>
      </c>
      <c r="C456" s="1">
        <v>300</v>
      </c>
      <c r="D456" s="13"/>
      <c r="E456" s="13"/>
      <c r="F456" s="13"/>
      <c r="G456" s="13"/>
      <c r="H456" s="13"/>
      <c r="I456" s="13"/>
      <c r="J456" s="13"/>
    </row>
    <row r="457" spans="1:10">
      <c r="A457" s="1">
        <v>730</v>
      </c>
      <c r="B457" s="1">
        <v>81</v>
      </c>
      <c r="C457" s="1">
        <v>300</v>
      </c>
      <c r="D457" s="13"/>
      <c r="E457" s="13"/>
      <c r="F457" s="13"/>
      <c r="G457" s="13"/>
      <c r="H457" s="13"/>
      <c r="I457" s="13"/>
      <c r="J457" s="13"/>
    </row>
    <row r="458" spans="1:10">
      <c r="A458" s="1">
        <v>731</v>
      </c>
      <c r="B458" s="1">
        <v>81</v>
      </c>
      <c r="C458" s="1">
        <v>300</v>
      </c>
      <c r="D458" s="13"/>
      <c r="E458" s="13"/>
      <c r="F458" s="13"/>
      <c r="G458" s="13"/>
      <c r="H458" s="13"/>
      <c r="I458" s="13"/>
      <c r="J458" s="13"/>
    </row>
    <row r="459" spans="1:10">
      <c r="A459" s="1">
        <v>732</v>
      </c>
      <c r="B459" s="1">
        <v>81</v>
      </c>
      <c r="C459" s="1">
        <v>300</v>
      </c>
      <c r="D459" s="13"/>
      <c r="E459" s="13"/>
      <c r="F459" s="13"/>
      <c r="G459" s="13"/>
      <c r="H459" s="13"/>
      <c r="I459" s="13"/>
      <c r="J459" s="13"/>
    </row>
    <row r="460" spans="1:10">
      <c r="A460" s="1">
        <v>733</v>
      </c>
      <c r="B460" s="1">
        <v>81</v>
      </c>
      <c r="C460" s="1">
        <v>300</v>
      </c>
      <c r="D460" s="13"/>
      <c r="E460" s="13"/>
      <c r="F460" s="13"/>
      <c r="G460" s="13"/>
      <c r="H460" s="13"/>
      <c r="I460" s="13"/>
      <c r="J460" s="13"/>
    </row>
    <row r="461" spans="1:10">
      <c r="A461" s="1">
        <v>734</v>
      </c>
      <c r="B461" s="1">
        <v>81</v>
      </c>
      <c r="C461" s="1">
        <v>300</v>
      </c>
      <c r="D461" s="13"/>
      <c r="E461" s="13"/>
      <c r="F461" s="13"/>
      <c r="G461" s="13"/>
      <c r="H461" s="13"/>
      <c r="I461" s="13"/>
      <c r="J461" s="13"/>
    </row>
    <row r="462" spans="1:10">
      <c r="A462" s="1">
        <v>735</v>
      </c>
      <c r="B462" s="1">
        <v>81</v>
      </c>
      <c r="C462" s="1">
        <v>300</v>
      </c>
      <c r="D462" s="13"/>
      <c r="E462" s="13"/>
      <c r="F462" s="13"/>
      <c r="G462" s="13"/>
      <c r="H462" s="13"/>
      <c r="I462" s="13"/>
      <c r="J462" s="13"/>
    </row>
    <row r="463" spans="1:10">
      <c r="A463" s="1">
        <v>736</v>
      </c>
      <c r="B463" s="1">
        <v>81</v>
      </c>
      <c r="C463" s="1">
        <v>300</v>
      </c>
      <c r="D463" s="13"/>
      <c r="E463" s="13"/>
      <c r="F463" s="13"/>
      <c r="G463" s="13"/>
      <c r="H463" s="13"/>
      <c r="I463" s="13"/>
      <c r="J463" s="13"/>
    </row>
    <row r="464" spans="1:10">
      <c r="A464" s="1">
        <v>737</v>
      </c>
      <c r="B464" s="1">
        <v>81</v>
      </c>
      <c r="C464" s="1">
        <v>300</v>
      </c>
      <c r="D464" s="13"/>
      <c r="E464" s="13"/>
      <c r="F464" s="13"/>
      <c r="G464" s="13"/>
      <c r="H464" s="13"/>
      <c r="I464" s="13"/>
      <c r="J464" s="13"/>
    </row>
    <row r="465" spans="1:10">
      <c r="A465" s="1">
        <v>738</v>
      </c>
      <c r="B465" s="1">
        <v>81</v>
      </c>
      <c r="C465" s="1">
        <v>300</v>
      </c>
      <c r="D465" s="13"/>
      <c r="E465" s="13"/>
      <c r="F465" s="13"/>
      <c r="G465" s="13"/>
      <c r="H465" s="13"/>
      <c r="I465" s="13"/>
      <c r="J465" s="13"/>
    </row>
    <row r="466" spans="1:10">
      <c r="A466" s="1">
        <v>739</v>
      </c>
      <c r="B466" s="1">
        <v>82</v>
      </c>
      <c r="C466" s="1">
        <v>300</v>
      </c>
      <c r="D466" s="13"/>
      <c r="E466" s="13"/>
      <c r="F466" s="13"/>
      <c r="G466" s="13"/>
      <c r="H466" s="13"/>
      <c r="I466" s="13"/>
      <c r="J466" s="13"/>
    </row>
    <row r="467" spans="1:10">
      <c r="A467" s="1">
        <v>740</v>
      </c>
      <c r="B467" s="1">
        <v>82</v>
      </c>
      <c r="C467" s="1">
        <v>300</v>
      </c>
      <c r="D467" s="13"/>
      <c r="E467" s="13"/>
      <c r="F467" s="13"/>
      <c r="G467" s="13"/>
      <c r="H467" s="13"/>
      <c r="I467" s="13"/>
      <c r="J467" s="13"/>
    </row>
    <row r="468" spans="1:10">
      <c r="A468" s="1">
        <v>741</v>
      </c>
      <c r="B468" s="1">
        <v>82</v>
      </c>
      <c r="C468" s="1">
        <v>200</v>
      </c>
      <c r="D468" s="13"/>
      <c r="E468" s="13"/>
      <c r="F468" s="13"/>
      <c r="G468" s="13"/>
      <c r="H468" s="13"/>
      <c r="I468" s="13"/>
      <c r="J468" s="13"/>
    </row>
    <row r="469" spans="1:10">
      <c r="A469" s="1">
        <v>742</v>
      </c>
      <c r="B469" s="1">
        <v>83</v>
      </c>
      <c r="C469" s="1">
        <v>300</v>
      </c>
      <c r="D469" s="13"/>
      <c r="E469" s="13"/>
      <c r="F469" s="13"/>
      <c r="G469" s="13"/>
      <c r="H469" s="13"/>
      <c r="I469" s="13"/>
      <c r="J469" s="13"/>
    </row>
    <row r="470" spans="1:10">
      <c r="A470" s="1">
        <v>743</v>
      </c>
      <c r="B470" s="1">
        <v>83</v>
      </c>
      <c r="C470" s="1">
        <v>300</v>
      </c>
      <c r="D470" s="13"/>
      <c r="E470" s="13"/>
      <c r="F470" s="13"/>
      <c r="G470" s="13"/>
      <c r="H470" s="13"/>
      <c r="I470" s="13"/>
      <c r="J470" s="13"/>
    </row>
    <row r="471" spans="1:10">
      <c r="A471" s="1">
        <v>744</v>
      </c>
      <c r="B471" s="1">
        <v>83</v>
      </c>
      <c r="C471" s="1">
        <v>300</v>
      </c>
      <c r="D471" s="13"/>
      <c r="E471" s="13"/>
      <c r="F471" s="13"/>
      <c r="G471" s="13"/>
      <c r="H471" s="13"/>
      <c r="I471" s="13"/>
      <c r="J471" s="13"/>
    </row>
    <row r="472" spans="1:10">
      <c r="A472" s="1">
        <v>745</v>
      </c>
      <c r="B472" s="1">
        <v>83</v>
      </c>
      <c r="C472" s="1">
        <v>300</v>
      </c>
      <c r="D472" s="13"/>
      <c r="E472" s="13"/>
      <c r="F472" s="13"/>
      <c r="G472" s="13"/>
      <c r="H472" s="13"/>
      <c r="I472" s="13"/>
      <c r="J472" s="13"/>
    </row>
    <row r="473" spans="1:10">
      <c r="A473" s="1">
        <v>746</v>
      </c>
      <c r="B473" s="1">
        <v>83</v>
      </c>
      <c r="C473" s="1">
        <v>300</v>
      </c>
      <c r="D473" s="13"/>
      <c r="E473" s="13"/>
      <c r="F473" s="13"/>
      <c r="G473" s="13"/>
      <c r="H473" s="13"/>
      <c r="I473" s="13"/>
      <c r="J473" s="13"/>
    </row>
    <row r="474" spans="1:10">
      <c r="A474" s="1">
        <v>747</v>
      </c>
      <c r="B474" s="1">
        <v>83</v>
      </c>
      <c r="C474" s="1">
        <v>300</v>
      </c>
      <c r="D474" s="13"/>
      <c r="E474" s="13"/>
      <c r="F474" s="13"/>
      <c r="G474" s="13"/>
      <c r="H474" s="13"/>
      <c r="I474" s="13"/>
      <c r="J474" s="13"/>
    </row>
    <row r="475" spans="1:10">
      <c r="A475" s="1">
        <v>748</v>
      </c>
      <c r="B475" s="1">
        <v>83</v>
      </c>
      <c r="C475" s="1">
        <v>300</v>
      </c>
      <c r="D475" s="13"/>
      <c r="E475" s="13"/>
      <c r="F475" s="13"/>
      <c r="G475" s="13"/>
      <c r="H475" s="13"/>
      <c r="I475" s="13"/>
      <c r="J475" s="13"/>
    </row>
    <row r="476" spans="1:10">
      <c r="A476" s="1">
        <v>749</v>
      </c>
      <c r="B476" s="1">
        <v>83</v>
      </c>
      <c r="C476" s="1">
        <v>300</v>
      </c>
      <c r="D476" s="13"/>
      <c r="E476" s="13"/>
      <c r="F476" s="13"/>
      <c r="G476" s="13"/>
      <c r="H476" s="13"/>
      <c r="I476" s="13"/>
      <c r="J476" s="13"/>
    </row>
    <row r="477" spans="1:10">
      <c r="A477" s="1">
        <v>750</v>
      </c>
      <c r="B477" s="1">
        <v>83</v>
      </c>
      <c r="C477" s="1">
        <v>300</v>
      </c>
      <c r="D477" s="13"/>
      <c r="E477" s="13"/>
      <c r="F477" s="13"/>
      <c r="G477" s="13"/>
      <c r="H477" s="13"/>
      <c r="I477" s="13"/>
      <c r="J477" s="13"/>
    </row>
    <row r="478" spans="1:10">
      <c r="A478" s="1">
        <v>751</v>
      </c>
      <c r="B478" s="1">
        <v>84</v>
      </c>
      <c r="C478" s="1">
        <v>300</v>
      </c>
      <c r="D478" s="13"/>
      <c r="E478" s="13"/>
      <c r="F478" s="13"/>
      <c r="G478" s="13"/>
      <c r="H478" s="13"/>
      <c r="I478" s="13"/>
      <c r="J478" s="13"/>
    </row>
    <row r="479" spans="1:10">
      <c r="A479" s="1">
        <v>752</v>
      </c>
      <c r="B479" s="1">
        <v>84</v>
      </c>
      <c r="C479" s="1">
        <v>300</v>
      </c>
      <c r="D479" s="13"/>
      <c r="E479" s="13"/>
      <c r="F479" s="13"/>
      <c r="G479" s="13"/>
      <c r="H479" s="13"/>
      <c r="I479" s="13"/>
      <c r="J479" s="13"/>
    </row>
    <row r="480" spans="1:10">
      <c r="A480" s="1">
        <v>753</v>
      </c>
      <c r="B480" s="1">
        <v>84</v>
      </c>
      <c r="C480" s="1">
        <v>300</v>
      </c>
      <c r="D480" s="13"/>
      <c r="E480" s="13"/>
      <c r="F480" s="13"/>
      <c r="G480" s="13"/>
      <c r="H480" s="13"/>
      <c r="I480" s="13"/>
      <c r="J480" s="13"/>
    </row>
    <row r="481" spans="1:10">
      <c r="A481" s="1">
        <v>754</v>
      </c>
      <c r="B481" s="1">
        <v>84</v>
      </c>
      <c r="C481" s="1">
        <v>300</v>
      </c>
      <c r="D481" s="13"/>
      <c r="E481" s="13"/>
      <c r="F481" s="13"/>
      <c r="G481" s="13"/>
      <c r="H481" s="13"/>
      <c r="I481" s="13"/>
      <c r="J481" s="13"/>
    </row>
    <row r="482" spans="1:10">
      <c r="A482" s="1">
        <v>755</v>
      </c>
      <c r="B482" s="1">
        <v>84</v>
      </c>
      <c r="C482" s="1">
        <v>300</v>
      </c>
      <c r="D482" s="13"/>
      <c r="E482" s="13"/>
      <c r="F482" s="13"/>
      <c r="G482" s="13"/>
      <c r="H482" s="13"/>
      <c r="I482" s="13"/>
      <c r="J482" s="13"/>
    </row>
    <row r="483" spans="1:10">
      <c r="A483" s="1">
        <v>756</v>
      </c>
      <c r="B483" s="1">
        <v>85</v>
      </c>
      <c r="C483" s="1">
        <v>300</v>
      </c>
      <c r="D483" s="13"/>
      <c r="E483" s="13"/>
      <c r="F483" s="13"/>
      <c r="G483" s="13"/>
      <c r="H483" s="13"/>
      <c r="I483" s="13"/>
      <c r="J483" s="13"/>
    </row>
    <row r="484" spans="1:10">
      <c r="A484" s="1">
        <v>757</v>
      </c>
      <c r="B484" s="1">
        <v>85</v>
      </c>
      <c r="C484" s="1">
        <v>200</v>
      </c>
      <c r="D484" s="13"/>
      <c r="E484" s="13"/>
      <c r="F484" s="13"/>
      <c r="G484" s="13"/>
      <c r="H484" s="13"/>
      <c r="I484" s="13"/>
      <c r="J484" s="13"/>
    </row>
    <row r="485" spans="1:10">
      <c r="A485" s="1">
        <v>758</v>
      </c>
      <c r="B485" s="1">
        <v>86</v>
      </c>
      <c r="C485" s="1">
        <v>300</v>
      </c>
      <c r="D485" s="13"/>
      <c r="E485" s="13"/>
      <c r="F485" s="13"/>
      <c r="G485" s="13"/>
      <c r="H485" s="13"/>
      <c r="I485" s="13"/>
      <c r="J485" s="13"/>
    </row>
    <row r="486" spans="1:10">
      <c r="A486" s="1">
        <v>759</v>
      </c>
      <c r="B486" s="1">
        <v>86</v>
      </c>
      <c r="C486" s="1">
        <v>300</v>
      </c>
      <c r="D486" s="13"/>
      <c r="E486" s="13"/>
      <c r="F486" s="13"/>
      <c r="G486" s="13"/>
      <c r="H486" s="13"/>
      <c r="I486" s="13"/>
      <c r="J486" s="13"/>
    </row>
    <row r="487" spans="1:10">
      <c r="A487" s="1">
        <v>760</v>
      </c>
      <c r="B487" s="1">
        <v>86</v>
      </c>
      <c r="C487" s="1">
        <v>300</v>
      </c>
      <c r="D487" s="13"/>
      <c r="E487" s="13"/>
      <c r="F487" s="13"/>
      <c r="G487" s="13"/>
      <c r="H487" s="13"/>
      <c r="I487" s="13"/>
      <c r="J487" s="13"/>
    </row>
    <row r="488" spans="1:10">
      <c r="A488" s="1">
        <v>761</v>
      </c>
      <c r="B488" s="1">
        <v>86</v>
      </c>
      <c r="C488" s="1">
        <v>300</v>
      </c>
      <c r="D488" s="13"/>
      <c r="E488" s="13"/>
      <c r="F488" s="13"/>
      <c r="G488" s="13"/>
      <c r="H488" s="13"/>
      <c r="I488" s="13"/>
      <c r="J488" s="13"/>
    </row>
    <row r="489" spans="1:10">
      <c r="A489" s="1">
        <v>762</v>
      </c>
      <c r="B489" s="1">
        <v>86</v>
      </c>
      <c r="C489" s="1">
        <v>300</v>
      </c>
      <c r="D489" s="13"/>
      <c r="E489" s="13"/>
      <c r="F489" s="13"/>
      <c r="G489" s="13"/>
      <c r="H489" s="13"/>
      <c r="I489" s="13"/>
      <c r="J489" s="13"/>
    </row>
    <row r="490" spans="1:10">
      <c r="A490" s="1">
        <v>763</v>
      </c>
      <c r="B490" s="1">
        <v>86</v>
      </c>
      <c r="C490" s="1">
        <v>300</v>
      </c>
      <c r="D490" s="13"/>
      <c r="E490" s="13"/>
      <c r="F490" s="13"/>
      <c r="G490" s="13"/>
      <c r="H490" s="13"/>
      <c r="I490" s="13"/>
      <c r="J490" s="13"/>
    </row>
    <row r="491" spans="1:10">
      <c r="A491" s="1">
        <v>764</v>
      </c>
      <c r="B491" s="1">
        <v>86</v>
      </c>
      <c r="C491" s="1">
        <v>210</v>
      </c>
      <c r="D491" s="13"/>
      <c r="E491" s="13"/>
      <c r="F491" s="13"/>
      <c r="G491" s="13"/>
      <c r="H491" s="13"/>
      <c r="I491" s="13"/>
      <c r="J491" s="13"/>
    </row>
    <row r="492" spans="1:10">
      <c r="A492" s="1">
        <v>765</v>
      </c>
      <c r="B492" s="1">
        <v>87</v>
      </c>
      <c r="C492" s="1">
        <v>300</v>
      </c>
      <c r="D492" s="13"/>
      <c r="E492" s="13"/>
      <c r="F492" s="13"/>
      <c r="G492" s="13"/>
      <c r="H492" s="13"/>
      <c r="I492" s="13"/>
      <c r="J492" s="13"/>
    </row>
    <row r="493" spans="1:10">
      <c r="A493" s="1">
        <v>766</v>
      </c>
      <c r="B493" s="1">
        <v>87</v>
      </c>
      <c r="C493" s="1">
        <v>300</v>
      </c>
      <c r="D493" s="13"/>
      <c r="E493" s="13"/>
      <c r="F493" s="13"/>
      <c r="G493" s="13"/>
      <c r="H493" s="13"/>
      <c r="I493" s="13"/>
      <c r="J493" s="13"/>
    </row>
    <row r="494" spans="1:10">
      <c r="A494" s="1">
        <v>767</v>
      </c>
      <c r="B494" s="1">
        <v>87</v>
      </c>
      <c r="C494" s="1">
        <v>300</v>
      </c>
      <c r="D494" s="13"/>
      <c r="E494" s="13"/>
      <c r="F494" s="13"/>
      <c r="G494" s="13"/>
      <c r="H494" s="13"/>
      <c r="I494" s="13"/>
      <c r="J494" s="13"/>
    </row>
    <row r="495" spans="1:10">
      <c r="A495" s="1">
        <v>768</v>
      </c>
      <c r="B495" s="1">
        <v>87</v>
      </c>
      <c r="C495" s="1">
        <v>300</v>
      </c>
      <c r="D495" s="13"/>
      <c r="E495" s="13"/>
      <c r="F495" s="13"/>
      <c r="G495" s="13"/>
      <c r="H495" s="13"/>
      <c r="I495" s="13"/>
      <c r="J495" s="13"/>
    </row>
    <row r="496" spans="1:10">
      <c r="A496" s="1">
        <v>769</v>
      </c>
      <c r="B496" s="1">
        <v>87</v>
      </c>
      <c r="C496" s="1">
        <v>300</v>
      </c>
      <c r="D496" s="13"/>
      <c r="E496" s="13"/>
      <c r="F496" s="13"/>
      <c r="G496" s="13"/>
      <c r="H496" s="13"/>
      <c r="I496" s="13"/>
      <c r="J496" s="13"/>
    </row>
    <row r="497" spans="1:10">
      <c r="A497" s="1">
        <v>770</v>
      </c>
      <c r="B497" s="1">
        <v>87</v>
      </c>
      <c r="C497" s="1">
        <v>300</v>
      </c>
      <c r="D497" s="13"/>
      <c r="E497" s="13"/>
      <c r="F497" s="13"/>
      <c r="G497" s="13"/>
      <c r="H497" s="13"/>
      <c r="I497" s="13"/>
      <c r="J497" s="13"/>
    </row>
    <row r="498" spans="1:10">
      <c r="A498" s="1">
        <v>771</v>
      </c>
      <c r="B498" s="1">
        <v>87</v>
      </c>
      <c r="C498" s="1">
        <v>300</v>
      </c>
      <c r="D498" s="13"/>
      <c r="E498" s="13"/>
      <c r="F498" s="13"/>
      <c r="G498" s="13"/>
      <c r="H498" s="13"/>
      <c r="I498" s="13"/>
      <c r="J498" s="13"/>
    </row>
    <row r="499" spans="1:10">
      <c r="A499" s="1">
        <v>772</v>
      </c>
      <c r="B499" s="1">
        <v>87</v>
      </c>
      <c r="C499" s="1">
        <v>300</v>
      </c>
      <c r="D499" s="13"/>
      <c r="E499" s="13"/>
      <c r="F499" s="13"/>
      <c r="G499" s="13"/>
      <c r="H499" s="13"/>
      <c r="I499" s="13"/>
      <c r="J499" s="13"/>
    </row>
    <row r="500" spans="1:10">
      <c r="A500" s="1">
        <v>773</v>
      </c>
      <c r="B500" s="1">
        <v>87</v>
      </c>
      <c r="C500" s="1">
        <v>300</v>
      </c>
      <c r="D500" s="13"/>
      <c r="E500" s="13"/>
      <c r="F500" s="13"/>
      <c r="G500" s="13"/>
      <c r="H500" s="13"/>
      <c r="I500" s="13"/>
      <c r="J500" s="13"/>
    </row>
    <row r="501" spans="1:10">
      <c r="A501" s="1">
        <v>774</v>
      </c>
      <c r="B501" s="1">
        <v>87</v>
      </c>
      <c r="C501" s="1">
        <v>300</v>
      </c>
      <c r="D501" s="13"/>
      <c r="E501" s="13"/>
      <c r="F501" s="13"/>
      <c r="G501" s="13"/>
      <c r="H501" s="13"/>
      <c r="I501" s="13"/>
      <c r="J501" s="13"/>
    </row>
    <row r="502" spans="1:10">
      <c r="A502" s="1">
        <v>775</v>
      </c>
      <c r="B502" s="1">
        <v>88</v>
      </c>
      <c r="C502" s="1">
        <v>300</v>
      </c>
      <c r="D502" s="13"/>
      <c r="E502" s="13"/>
      <c r="F502" s="13"/>
      <c r="G502" s="13"/>
      <c r="H502" s="13"/>
      <c r="I502" s="13"/>
      <c r="J502" s="13"/>
    </row>
    <row r="503" spans="1:10">
      <c r="A503" s="1">
        <v>776</v>
      </c>
      <c r="B503" s="1">
        <v>88</v>
      </c>
      <c r="C503" s="1">
        <v>300</v>
      </c>
      <c r="D503" s="13"/>
      <c r="E503" s="13"/>
      <c r="F503" s="13"/>
      <c r="G503" s="13"/>
      <c r="H503" s="13"/>
      <c r="I503" s="13"/>
      <c r="J503" s="13"/>
    </row>
    <row r="504" spans="1:10">
      <c r="A504" s="1">
        <v>777</v>
      </c>
      <c r="B504" s="1">
        <v>88</v>
      </c>
      <c r="C504" s="1">
        <v>300</v>
      </c>
      <c r="D504" s="13"/>
      <c r="E504" s="13"/>
      <c r="F504" s="13"/>
      <c r="G504" s="13"/>
      <c r="H504" s="13"/>
      <c r="I504" s="13"/>
      <c r="J504" s="13"/>
    </row>
    <row r="505" spans="1:10">
      <c r="A505" s="1">
        <v>778</v>
      </c>
      <c r="B505" s="1">
        <v>88</v>
      </c>
      <c r="C505" s="1">
        <v>300</v>
      </c>
      <c r="D505" s="13"/>
      <c r="E505" s="13"/>
      <c r="F505" s="13"/>
      <c r="G505" s="13"/>
      <c r="H505" s="13"/>
      <c r="I505" s="13"/>
      <c r="J505" s="13"/>
    </row>
    <row r="506" spans="1:10">
      <c r="A506" s="1">
        <v>779</v>
      </c>
      <c r="B506" s="1">
        <v>88</v>
      </c>
      <c r="C506" s="1">
        <v>300</v>
      </c>
      <c r="D506" s="13"/>
      <c r="E506" s="13"/>
      <c r="F506" s="13"/>
      <c r="G506" s="13"/>
      <c r="H506" s="13"/>
      <c r="I506" s="13"/>
      <c r="J506" s="13"/>
    </row>
    <row r="507" spans="1:10">
      <c r="A507" s="1">
        <v>780</v>
      </c>
      <c r="B507" s="1">
        <v>88</v>
      </c>
      <c r="C507" s="1">
        <v>300</v>
      </c>
      <c r="D507" s="13"/>
      <c r="E507" s="13"/>
      <c r="F507" s="13"/>
      <c r="G507" s="13"/>
      <c r="H507" s="13"/>
      <c r="I507" s="13"/>
      <c r="J507" s="13"/>
    </row>
    <row r="508" spans="1:10">
      <c r="A508" s="1">
        <v>781</v>
      </c>
      <c r="B508" s="1">
        <v>88</v>
      </c>
      <c r="C508" s="1">
        <v>300</v>
      </c>
      <c r="D508" s="13"/>
      <c r="E508" s="13"/>
      <c r="F508" s="13"/>
      <c r="G508" s="13"/>
      <c r="H508" s="13"/>
      <c r="I508" s="13"/>
      <c r="J508" s="13"/>
    </row>
    <row r="509" spans="1:10">
      <c r="A509" s="1">
        <v>782</v>
      </c>
      <c r="B509" s="1">
        <v>88</v>
      </c>
      <c r="C509" s="1">
        <v>300</v>
      </c>
      <c r="D509" s="13"/>
      <c r="E509" s="13"/>
      <c r="F509" s="13"/>
      <c r="G509" s="13"/>
      <c r="H509" s="13"/>
      <c r="I509" s="13"/>
      <c r="J509" s="13"/>
    </row>
    <row r="510" spans="1:10">
      <c r="A510" s="1">
        <v>783</v>
      </c>
      <c r="B510" s="1">
        <v>88</v>
      </c>
      <c r="C510" s="1">
        <v>300</v>
      </c>
      <c r="D510" s="13"/>
      <c r="E510" s="13"/>
      <c r="F510" s="13"/>
      <c r="G510" s="13"/>
      <c r="H510" s="13"/>
      <c r="I510" s="13"/>
      <c r="J510" s="13"/>
    </row>
    <row r="511" spans="1:10">
      <c r="A511" s="1">
        <v>784</v>
      </c>
      <c r="B511" s="1">
        <v>88</v>
      </c>
      <c r="C511" s="1">
        <v>300</v>
      </c>
      <c r="D511" s="13"/>
      <c r="E511" s="13"/>
      <c r="F511" s="13"/>
      <c r="G511" s="13"/>
      <c r="H511" s="13"/>
      <c r="I511" s="13"/>
      <c r="J511" s="13"/>
    </row>
    <row r="512" spans="1:10">
      <c r="A512" s="1">
        <v>785</v>
      </c>
      <c r="B512" s="1">
        <v>89</v>
      </c>
      <c r="C512" s="1">
        <v>300</v>
      </c>
      <c r="D512" s="13"/>
      <c r="E512" s="13"/>
      <c r="F512" s="13"/>
      <c r="G512" s="13"/>
      <c r="H512" s="13"/>
      <c r="I512" s="13"/>
      <c r="J512" s="13"/>
    </row>
    <row r="513" spans="1:10">
      <c r="A513" s="1">
        <v>786</v>
      </c>
      <c r="B513" s="1">
        <v>89</v>
      </c>
      <c r="C513" s="1">
        <v>300</v>
      </c>
      <c r="D513" s="13"/>
      <c r="E513" s="13"/>
      <c r="F513" s="13"/>
      <c r="G513" s="13"/>
      <c r="H513" s="13"/>
      <c r="I513" s="13"/>
      <c r="J513" s="13"/>
    </row>
    <row r="514" spans="1:10">
      <c r="A514" s="1">
        <v>787</v>
      </c>
      <c r="B514" s="1">
        <v>89</v>
      </c>
      <c r="C514" s="1">
        <v>300</v>
      </c>
      <c r="D514" s="13"/>
      <c r="E514" s="13"/>
      <c r="F514" s="13"/>
      <c r="G514" s="13"/>
      <c r="H514" s="13"/>
      <c r="I514" s="13"/>
      <c r="J514" s="13"/>
    </row>
    <row r="515" spans="1:10">
      <c r="A515" s="1">
        <v>788</v>
      </c>
      <c r="B515" s="1">
        <v>89</v>
      </c>
      <c r="C515" s="1">
        <v>300</v>
      </c>
      <c r="D515" s="13"/>
      <c r="E515" s="13"/>
      <c r="F515" s="13"/>
      <c r="G515" s="13"/>
      <c r="H515" s="13"/>
      <c r="I515" s="13"/>
      <c r="J515" s="13"/>
    </row>
    <row r="516" spans="1:10">
      <c r="A516" s="1">
        <v>789</v>
      </c>
      <c r="B516" s="1">
        <v>89</v>
      </c>
      <c r="C516" s="1">
        <v>300</v>
      </c>
      <c r="D516" s="13"/>
      <c r="E516" s="13"/>
      <c r="F516" s="13"/>
      <c r="G516" s="13"/>
      <c r="H516" s="13"/>
      <c r="I516" s="13"/>
      <c r="J516" s="13"/>
    </row>
    <row r="517" spans="1:10">
      <c r="A517" s="1">
        <v>799</v>
      </c>
      <c r="B517" s="1">
        <v>90</v>
      </c>
      <c r="C517" s="1">
        <v>500</v>
      </c>
      <c r="D517" s="13"/>
      <c r="E517" s="13"/>
      <c r="F517" s="13"/>
      <c r="G517" s="13"/>
      <c r="H517" s="13"/>
      <c r="I517" s="13"/>
      <c r="J517" s="13"/>
    </row>
    <row r="518" spans="1:10">
      <c r="A518" s="1">
        <v>800</v>
      </c>
      <c r="B518" s="1">
        <v>90</v>
      </c>
      <c r="C518" s="1">
        <v>500</v>
      </c>
      <c r="D518" s="13"/>
      <c r="E518" s="13"/>
      <c r="F518" s="13"/>
      <c r="G518" s="13"/>
      <c r="H518" s="13"/>
      <c r="I518" s="13"/>
      <c r="J518" s="13"/>
    </row>
    <row r="519" spans="1:10">
      <c r="A519" s="1">
        <v>801</v>
      </c>
      <c r="B519" s="1">
        <v>90</v>
      </c>
      <c r="C519" s="1">
        <v>500</v>
      </c>
      <c r="D519" s="13"/>
      <c r="E519" s="13"/>
      <c r="F519" s="13"/>
      <c r="G519" s="13"/>
      <c r="H519" s="13"/>
      <c r="I519" s="13"/>
      <c r="J519" s="13"/>
    </row>
    <row r="520" spans="1:10">
      <c r="A520" s="1">
        <v>802</v>
      </c>
      <c r="B520" s="1">
        <v>90</v>
      </c>
      <c r="C520" s="1">
        <v>500</v>
      </c>
      <c r="D520" s="13"/>
      <c r="E520" s="13"/>
      <c r="F520" s="13"/>
      <c r="G520" s="13"/>
      <c r="H520" s="13"/>
      <c r="I520" s="13"/>
      <c r="J520" s="13"/>
    </row>
    <row r="521" spans="1:10">
      <c r="A521" s="1">
        <v>803</v>
      </c>
      <c r="B521" s="1">
        <v>90</v>
      </c>
      <c r="C521" s="1">
        <v>500</v>
      </c>
      <c r="D521" s="13"/>
      <c r="E521" s="13"/>
      <c r="F521" s="13"/>
      <c r="G521" s="13"/>
      <c r="H521" s="13"/>
      <c r="I521" s="13"/>
      <c r="J521" s="13"/>
    </row>
    <row r="522" spans="1:10">
      <c r="A522" s="1">
        <v>804</v>
      </c>
      <c r="B522" s="1">
        <v>90</v>
      </c>
      <c r="C522" s="1">
        <v>153</v>
      </c>
      <c r="D522" s="13"/>
      <c r="E522" s="13"/>
      <c r="F522" s="13"/>
      <c r="G522" s="13"/>
      <c r="H522" s="13"/>
      <c r="I522" s="13"/>
      <c r="J522" s="13"/>
    </row>
    <row r="523" spans="1:10">
      <c r="A523" s="1">
        <v>805</v>
      </c>
      <c r="B523" s="1">
        <v>91</v>
      </c>
      <c r="C523" s="1">
        <v>300</v>
      </c>
      <c r="D523" s="13"/>
      <c r="E523" s="13"/>
      <c r="F523" s="13"/>
      <c r="G523" s="13"/>
      <c r="H523" s="13"/>
      <c r="I523" s="13"/>
      <c r="J523" s="13"/>
    </row>
    <row r="524" spans="1:10">
      <c r="A524" s="1">
        <v>806</v>
      </c>
      <c r="B524" s="1">
        <v>91</v>
      </c>
      <c r="C524" s="1">
        <v>300</v>
      </c>
      <c r="D524" s="13"/>
      <c r="E524" s="13"/>
      <c r="F524" s="13"/>
      <c r="G524" s="13"/>
      <c r="H524" s="13"/>
      <c r="I524" s="13"/>
      <c r="J524" s="13"/>
    </row>
    <row r="525" spans="1:10">
      <c r="A525" s="1">
        <v>807</v>
      </c>
      <c r="B525" s="1">
        <v>91</v>
      </c>
      <c r="C525" s="1">
        <v>300</v>
      </c>
      <c r="D525" s="13"/>
      <c r="E525" s="13"/>
      <c r="F525" s="13"/>
      <c r="G525" s="13"/>
      <c r="H525" s="13"/>
      <c r="I525" s="13"/>
      <c r="J525" s="13"/>
    </row>
    <row r="526" spans="1:10">
      <c r="A526" s="1">
        <v>808</v>
      </c>
      <c r="B526" s="1">
        <v>91</v>
      </c>
      <c r="C526" s="1">
        <v>300</v>
      </c>
      <c r="D526" s="13"/>
      <c r="E526" s="13"/>
      <c r="F526" s="13"/>
      <c r="G526" s="13"/>
      <c r="H526" s="13"/>
      <c r="I526" s="13"/>
      <c r="J526" s="13"/>
    </row>
    <row r="527" spans="1:10">
      <c r="A527" s="1">
        <v>809</v>
      </c>
      <c r="B527" s="1">
        <v>91</v>
      </c>
      <c r="C527" s="1">
        <v>300</v>
      </c>
      <c r="D527" s="13"/>
      <c r="E527" s="13"/>
      <c r="F527" s="13"/>
      <c r="G527" s="13"/>
      <c r="H527" s="13"/>
      <c r="I527" s="13"/>
      <c r="J527" s="13"/>
    </row>
    <row r="528" spans="1:10">
      <c r="A528" s="1">
        <v>810</v>
      </c>
      <c r="B528" s="1">
        <v>91</v>
      </c>
      <c r="C528" s="1">
        <v>300</v>
      </c>
      <c r="D528" s="13"/>
      <c r="E528" s="13"/>
      <c r="F528" s="13"/>
      <c r="G528" s="13"/>
      <c r="H528" s="13"/>
      <c r="I528" s="13"/>
      <c r="J528" s="13"/>
    </row>
    <row r="529" spans="1:10">
      <c r="A529" s="1">
        <v>811</v>
      </c>
      <c r="B529" s="1">
        <v>91</v>
      </c>
      <c r="C529" s="1">
        <v>300</v>
      </c>
      <c r="D529" s="13"/>
      <c r="E529" s="13"/>
      <c r="F529" s="13"/>
      <c r="G529" s="13"/>
      <c r="H529" s="13"/>
      <c r="I529" s="13"/>
      <c r="J529" s="13"/>
    </row>
    <row r="530" spans="1:10">
      <c r="A530" s="1">
        <v>812</v>
      </c>
      <c r="B530" s="1">
        <v>91</v>
      </c>
      <c r="C530" s="1">
        <v>300</v>
      </c>
      <c r="D530" s="13"/>
      <c r="E530" s="13"/>
      <c r="F530" s="13"/>
      <c r="G530" s="13"/>
      <c r="H530" s="13"/>
      <c r="I530" s="13"/>
      <c r="J530" s="13"/>
    </row>
    <row r="531" spans="1:10">
      <c r="A531" s="1">
        <v>813</v>
      </c>
      <c r="B531" s="1">
        <v>91</v>
      </c>
      <c r="C531" s="1">
        <v>300</v>
      </c>
      <c r="D531" s="13"/>
      <c r="E531" s="13"/>
      <c r="F531" s="13"/>
      <c r="G531" s="13"/>
      <c r="H531" s="13"/>
      <c r="I531" s="13"/>
      <c r="J531" s="13"/>
    </row>
    <row r="532" spans="1:10">
      <c r="A532" s="1">
        <v>814</v>
      </c>
      <c r="B532" s="1">
        <v>91</v>
      </c>
      <c r="C532" s="1">
        <v>300</v>
      </c>
      <c r="D532" s="13"/>
      <c r="E532" s="13"/>
      <c r="F532" s="13"/>
      <c r="G532" s="13"/>
      <c r="H532" s="13"/>
      <c r="I532" s="13"/>
      <c r="J532" s="13"/>
    </row>
    <row r="533" spans="1:10">
      <c r="A533" s="1">
        <v>815</v>
      </c>
      <c r="B533" s="1">
        <v>92</v>
      </c>
      <c r="C533" s="1">
        <v>300</v>
      </c>
      <c r="D533" s="13"/>
      <c r="E533" s="13"/>
      <c r="F533" s="13"/>
      <c r="G533" s="13"/>
      <c r="H533" s="13"/>
      <c r="I533" s="13"/>
      <c r="J533" s="13"/>
    </row>
    <row r="534" spans="1:10">
      <c r="A534" s="1">
        <v>816</v>
      </c>
      <c r="B534" s="1">
        <v>92</v>
      </c>
      <c r="C534" s="1">
        <v>300</v>
      </c>
      <c r="D534" s="13"/>
      <c r="E534" s="13"/>
      <c r="F534" s="13"/>
      <c r="G534" s="13"/>
      <c r="H534" s="13"/>
      <c r="I534" s="13"/>
      <c r="J534" s="13"/>
    </row>
    <row r="535" spans="1:10">
      <c r="A535" s="1">
        <v>817</v>
      </c>
      <c r="B535" s="1">
        <v>92</v>
      </c>
      <c r="C535" s="1">
        <v>300</v>
      </c>
      <c r="D535" s="13"/>
      <c r="E535" s="13"/>
      <c r="F535" s="13"/>
      <c r="G535" s="13"/>
      <c r="H535" s="13"/>
      <c r="I535" s="13"/>
      <c r="J535" s="13"/>
    </row>
    <row r="536" spans="1:10">
      <c r="A536" s="1">
        <v>818</v>
      </c>
      <c r="B536" s="1">
        <v>92</v>
      </c>
      <c r="C536" s="1">
        <v>300</v>
      </c>
      <c r="D536" s="13"/>
      <c r="E536" s="13"/>
      <c r="F536" s="13"/>
      <c r="G536" s="13"/>
      <c r="H536" s="13"/>
      <c r="I536" s="13"/>
      <c r="J536" s="13"/>
    </row>
    <row r="537" spans="1:10">
      <c r="A537" s="1">
        <v>819</v>
      </c>
      <c r="B537" s="1">
        <v>92</v>
      </c>
      <c r="C537" s="1">
        <v>300</v>
      </c>
      <c r="D537" s="13"/>
      <c r="E537" s="13"/>
      <c r="F537" s="13"/>
      <c r="G537" s="13"/>
      <c r="H537" s="13"/>
      <c r="I537" s="13"/>
      <c r="J537" s="13"/>
    </row>
    <row r="538" spans="1:10">
      <c r="A538" s="1">
        <v>820</v>
      </c>
      <c r="B538" s="1">
        <v>92</v>
      </c>
      <c r="C538" s="1">
        <v>300</v>
      </c>
      <c r="D538" s="13"/>
      <c r="E538" s="13"/>
      <c r="F538" s="13"/>
      <c r="G538" s="13"/>
      <c r="H538" s="13"/>
      <c r="I538" s="13"/>
      <c r="J538" s="13"/>
    </row>
    <row r="539" spans="1:10">
      <c r="A539" s="1">
        <v>821</v>
      </c>
      <c r="B539" s="1">
        <v>92</v>
      </c>
      <c r="C539" s="1">
        <v>300</v>
      </c>
      <c r="D539" s="13"/>
      <c r="E539" s="13"/>
      <c r="F539" s="13"/>
      <c r="G539" s="13"/>
      <c r="H539" s="13"/>
      <c r="I539" s="13"/>
      <c r="J539" s="13"/>
    </row>
    <row r="540" spans="1:10">
      <c r="A540" s="1">
        <v>822</v>
      </c>
      <c r="B540" s="1">
        <v>92</v>
      </c>
      <c r="C540" s="1">
        <v>300</v>
      </c>
      <c r="D540" s="13"/>
      <c r="E540" s="13"/>
      <c r="F540" s="13"/>
      <c r="G540" s="13"/>
      <c r="H540" s="13"/>
      <c r="I540" s="13"/>
      <c r="J540" s="13"/>
    </row>
    <row r="541" spans="1:10">
      <c r="A541" s="1">
        <v>823</v>
      </c>
      <c r="B541" s="1">
        <v>92</v>
      </c>
      <c r="C541" s="1">
        <v>300</v>
      </c>
      <c r="D541" s="13"/>
      <c r="E541" s="13"/>
      <c r="F541" s="13"/>
      <c r="G541" s="13"/>
      <c r="H541" s="13"/>
      <c r="I541" s="13"/>
      <c r="J541" s="13"/>
    </row>
    <row r="542" spans="1:10">
      <c r="A542" s="1">
        <v>824</v>
      </c>
      <c r="B542" s="1">
        <v>92</v>
      </c>
      <c r="C542" s="1">
        <v>300</v>
      </c>
      <c r="D542" s="13"/>
      <c r="E542" s="13"/>
      <c r="F542" s="13"/>
      <c r="G542" s="13"/>
      <c r="H542" s="13"/>
      <c r="I542" s="13"/>
      <c r="J542" s="13"/>
    </row>
    <row r="543" spans="1:10">
      <c r="A543" s="1">
        <v>825</v>
      </c>
      <c r="B543" s="1">
        <v>93</v>
      </c>
      <c r="C543" s="1">
        <v>300</v>
      </c>
      <c r="D543" s="13"/>
      <c r="E543" s="13"/>
      <c r="F543" s="13"/>
      <c r="G543" s="13"/>
      <c r="H543" s="13"/>
      <c r="I543" s="13"/>
      <c r="J543" s="13"/>
    </row>
    <row r="544" spans="1:10">
      <c r="A544" s="1">
        <v>826</v>
      </c>
      <c r="B544" s="1">
        <v>93</v>
      </c>
      <c r="C544" s="1">
        <v>300</v>
      </c>
      <c r="D544" s="13"/>
      <c r="E544" s="13"/>
      <c r="F544" s="13"/>
      <c r="G544" s="13"/>
      <c r="H544" s="13"/>
      <c r="I544" s="13"/>
      <c r="J544" s="13"/>
    </row>
    <row r="545" spans="1:10">
      <c r="A545" s="1">
        <v>827</v>
      </c>
      <c r="B545" s="1">
        <v>93</v>
      </c>
      <c r="C545" s="1">
        <v>300</v>
      </c>
      <c r="D545" s="13"/>
      <c r="E545" s="13"/>
      <c r="F545" s="13"/>
      <c r="G545" s="13"/>
      <c r="H545" s="13"/>
      <c r="I545" s="13"/>
      <c r="J545" s="13"/>
    </row>
    <row r="546" spans="1:10">
      <c r="A546" s="1">
        <v>828</v>
      </c>
      <c r="B546" s="1">
        <v>93</v>
      </c>
      <c r="C546" s="1">
        <v>300</v>
      </c>
      <c r="D546" s="13"/>
      <c r="E546" s="13"/>
      <c r="F546" s="13"/>
      <c r="G546" s="13"/>
      <c r="H546" s="13"/>
      <c r="I546" s="13"/>
      <c r="J546" s="13"/>
    </row>
    <row r="547" spans="1:10">
      <c r="A547" s="1">
        <v>829</v>
      </c>
      <c r="B547" s="1">
        <v>93</v>
      </c>
      <c r="C547" s="1">
        <v>300</v>
      </c>
      <c r="D547" s="13"/>
      <c r="E547" s="13"/>
      <c r="F547" s="13"/>
      <c r="G547" s="13"/>
      <c r="H547" s="13"/>
      <c r="I547" s="13"/>
      <c r="J547" s="13"/>
    </row>
    <row r="548" spans="1:10">
      <c r="A548" s="1">
        <v>830</v>
      </c>
      <c r="B548" s="1">
        <v>93</v>
      </c>
      <c r="C548" s="1">
        <v>300</v>
      </c>
      <c r="D548" s="13"/>
      <c r="E548" s="13"/>
      <c r="F548" s="13"/>
      <c r="G548" s="13"/>
      <c r="H548" s="13"/>
      <c r="I548" s="13"/>
      <c r="J548" s="13"/>
    </row>
    <row r="549" spans="1:10">
      <c r="A549" s="1">
        <v>831</v>
      </c>
      <c r="B549" s="1">
        <v>93</v>
      </c>
      <c r="C549" s="1">
        <v>300</v>
      </c>
      <c r="D549" s="13"/>
      <c r="E549" s="13"/>
      <c r="F549" s="13"/>
      <c r="G549" s="13"/>
      <c r="H549" s="13"/>
      <c r="I549" s="13"/>
      <c r="J549" s="13"/>
    </row>
    <row r="550" spans="1:10">
      <c r="A550" s="1">
        <v>832</v>
      </c>
      <c r="B550" s="1">
        <v>93</v>
      </c>
      <c r="C550" s="1">
        <v>300</v>
      </c>
      <c r="D550" s="13"/>
      <c r="E550" s="13"/>
      <c r="F550" s="13"/>
      <c r="G550" s="13"/>
      <c r="H550" s="13"/>
      <c r="I550" s="13"/>
      <c r="J550" s="13"/>
    </row>
    <row r="551" spans="1:10">
      <c r="A551" s="1">
        <v>833</v>
      </c>
      <c r="B551" s="1">
        <v>93</v>
      </c>
      <c r="C551" s="1">
        <v>300</v>
      </c>
      <c r="D551" s="13"/>
      <c r="E551" s="13"/>
      <c r="F551" s="13"/>
      <c r="G551" s="13"/>
      <c r="H551" s="13"/>
      <c r="I551" s="13"/>
      <c r="J551" s="13"/>
    </row>
    <row r="552" spans="1:10">
      <c r="A552" s="1">
        <v>834</v>
      </c>
      <c r="B552" s="1">
        <v>94</v>
      </c>
      <c r="C552" s="1">
        <v>300</v>
      </c>
      <c r="D552" s="13"/>
      <c r="E552" s="13"/>
      <c r="F552" s="13"/>
      <c r="G552" s="13"/>
      <c r="H552" s="13"/>
      <c r="I552" s="13"/>
      <c r="J552" s="13"/>
    </row>
    <row r="553" spans="1:10">
      <c r="A553" s="1">
        <v>835</v>
      </c>
      <c r="B553" s="1">
        <v>94</v>
      </c>
      <c r="C553" s="1">
        <v>300</v>
      </c>
      <c r="D553" s="13"/>
      <c r="E553" s="13"/>
      <c r="F553" s="13"/>
      <c r="G553" s="13"/>
      <c r="H553" s="13"/>
      <c r="I553" s="13"/>
      <c r="J553" s="13"/>
    </row>
    <row r="554" spans="1:10">
      <c r="A554" s="1">
        <v>836</v>
      </c>
      <c r="B554" s="1">
        <v>94</v>
      </c>
      <c r="C554" s="1">
        <v>300</v>
      </c>
      <c r="D554" s="13"/>
      <c r="E554" s="13"/>
      <c r="F554" s="13"/>
      <c r="G554" s="13"/>
      <c r="H554" s="13"/>
      <c r="I554" s="13"/>
      <c r="J554" s="13"/>
    </row>
    <row r="555" spans="1:10">
      <c r="A555" s="1">
        <v>837</v>
      </c>
      <c r="B555" s="1">
        <v>94</v>
      </c>
      <c r="C555" s="1">
        <v>300</v>
      </c>
      <c r="D555" s="13"/>
      <c r="E555" s="13"/>
      <c r="F555" s="13"/>
      <c r="G555" s="13"/>
      <c r="H555" s="13"/>
      <c r="I555" s="13"/>
      <c r="J555" s="13"/>
    </row>
    <row r="556" spans="1:10">
      <c r="A556" s="1">
        <v>838</v>
      </c>
      <c r="B556" s="1">
        <v>94</v>
      </c>
      <c r="C556" s="1">
        <v>300</v>
      </c>
      <c r="D556" s="13"/>
      <c r="E556" s="13"/>
      <c r="F556" s="13"/>
      <c r="G556" s="13"/>
      <c r="H556" s="13"/>
      <c r="I556" s="13"/>
      <c r="J556" s="13"/>
    </row>
    <row r="557" spans="1:10">
      <c r="A557" s="1">
        <v>839</v>
      </c>
      <c r="B557" s="1">
        <v>94</v>
      </c>
      <c r="C557" s="1">
        <v>300</v>
      </c>
      <c r="D557" s="13"/>
      <c r="E557" s="13"/>
      <c r="F557" s="13"/>
      <c r="G557" s="13"/>
      <c r="H557" s="13"/>
      <c r="I557" s="13"/>
      <c r="J557" s="13"/>
    </row>
    <row r="558" spans="1:10">
      <c r="A558" s="1">
        <v>840</v>
      </c>
      <c r="B558" s="1">
        <v>94</v>
      </c>
      <c r="C558" s="1">
        <v>300</v>
      </c>
      <c r="D558" s="13"/>
      <c r="E558" s="13"/>
      <c r="F558" s="13"/>
      <c r="G558" s="13"/>
      <c r="H558" s="13"/>
      <c r="I558" s="13"/>
      <c r="J558" s="13"/>
    </row>
    <row r="559" spans="1:10">
      <c r="A559" s="1">
        <v>841</v>
      </c>
      <c r="B559" s="1">
        <v>94</v>
      </c>
      <c r="C559" s="1">
        <v>300</v>
      </c>
      <c r="D559" s="13"/>
      <c r="E559" s="13"/>
      <c r="F559" s="13"/>
      <c r="G559" s="13"/>
      <c r="H559" s="13"/>
      <c r="I559" s="13"/>
      <c r="J559" s="13"/>
    </row>
    <row r="560" spans="1:10">
      <c r="A560" s="1">
        <v>842</v>
      </c>
      <c r="B560" s="1">
        <v>94</v>
      </c>
      <c r="C560" s="1">
        <v>300</v>
      </c>
      <c r="D560" s="13"/>
      <c r="E560" s="13"/>
      <c r="F560" s="13"/>
      <c r="G560" s="13"/>
      <c r="H560" s="13"/>
      <c r="I560" s="13"/>
      <c r="J560" s="13"/>
    </row>
    <row r="561" spans="1:10">
      <c r="A561" s="1">
        <v>843</v>
      </c>
      <c r="B561" s="1">
        <v>94</v>
      </c>
      <c r="C561" s="1">
        <v>300</v>
      </c>
      <c r="D561" s="13"/>
      <c r="E561" s="13"/>
      <c r="F561" s="13"/>
      <c r="G561" s="13"/>
      <c r="H561" s="13"/>
      <c r="I561" s="13"/>
      <c r="J561" s="13"/>
    </row>
    <row r="562" spans="1:10">
      <c r="A562" s="1">
        <v>844</v>
      </c>
      <c r="B562" s="1">
        <v>95</v>
      </c>
      <c r="C562" s="1">
        <v>500</v>
      </c>
      <c r="D562" s="13"/>
      <c r="E562" s="13"/>
      <c r="F562" s="13"/>
      <c r="G562" s="13"/>
      <c r="H562" s="13"/>
      <c r="I562" s="13"/>
      <c r="J562" s="13"/>
    </row>
    <row r="563" spans="1:10">
      <c r="A563" s="1">
        <v>845</v>
      </c>
      <c r="B563" s="1">
        <v>95</v>
      </c>
      <c r="C563" s="1">
        <v>500</v>
      </c>
      <c r="D563" s="13"/>
      <c r="E563" s="13"/>
      <c r="F563" s="13"/>
      <c r="G563" s="13"/>
      <c r="H563" s="13"/>
      <c r="I563" s="13"/>
      <c r="J563" s="13"/>
    </row>
    <row r="564" spans="1:10">
      <c r="A564" s="1">
        <v>846</v>
      </c>
      <c r="B564" s="1">
        <v>95</v>
      </c>
      <c r="C564" s="1">
        <v>500</v>
      </c>
      <c r="D564" s="13"/>
      <c r="E564" s="13"/>
      <c r="F564" s="13"/>
      <c r="G564" s="13"/>
      <c r="H564" s="13"/>
      <c r="I564" s="13"/>
      <c r="J564" s="13"/>
    </row>
    <row r="565" spans="1:10">
      <c r="A565" s="1">
        <v>847</v>
      </c>
      <c r="B565" s="1">
        <v>95</v>
      </c>
      <c r="C565" s="1">
        <v>500</v>
      </c>
      <c r="D565" s="13"/>
      <c r="E565" s="13"/>
      <c r="F565" s="13"/>
      <c r="G565" s="13"/>
      <c r="H565" s="13"/>
      <c r="I565" s="13"/>
      <c r="J565" s="13"/>
    </row>
    <row r="566" spans="1:10">
      <c r="A566" s="1">
        <v>848</v>
      </c>
      <c r="B566" s="1">
        <v>95</v>
      </c>
      <c r="C566" s="1">
        <v>500</v>
      </c>
      <c r="D566" s="13"/>
      <c r="E566" s="13"/>
      <c r="F566" s="13"/>
      <c r="G566" s="13"/>
      <c r="H566" s="13"/>
      <c r="I566" s="13"/>
      <c r="J566" s="13"/>
    </row>
    <row r="567" spans="1:10">
      <c r="A567" s="1">
        <v>849</v>
      </c>
      <c r="B567" s="1">
        <v>95</v>
      </c>
      <c r="C567" s="1">
        <v>500</v>
      </c>
      <c r="D567" s="13"/>
      <c r="E567" s="13"/>
      <c r="F567" s="13"/>
      <c r="G567" s="13"/>
      <c r="H567" s="13"/>
      <c r="I567" s="13"/>
      <c r="J567" s="13"/>
    </row>
    <row r="568" spans="1:10">
      <c r="A568" s="1">
        <v>850</v>
      </c>
      <c r="B568" s="1">
        <v>95</v>
      </c>
      <c r="C568" s="1">
        <v>500</v>
      </c>
      <c r="D568" s="13"/>
      <c r="E568" s="13"/>
      <c r="F568" s="13"/>
      <c r="G568" s="13"/>
      <c r="H568" s="13"/>
      <c r="I568" s="13"/>
      <c r="J568" s="13"/>
    </row>
    <row r="569" spans="1:10">
      <c r="A569" s="1">
        <v>851</v>
      </c>
      <c r="B569" s="1">
        <v>95</v>
      </c>
      <c r="C569" s="1">
        <v>500</v>
      </c>
      <c r="D569" s="13"/>
      <c r="E569" s="13"/>
      <c r="F569" s="13"/>
      <c r="G569" s="13"/>
      <c r="H569" s="13"/>
      <c r="I569" s="13"/>
      <c r="J569" s="13"/>
    </row>
    <row r="570" spans="1:10">
      <c r="A570" s="1">
        <v>852</v>
      </c>
      <c r="B570" s="1">
        <v>95</v>
      </c>
      <c r="C570" s="1">
        <v>500</v>
      </c>
      <c r="D570" s="13"/>
      <c r="E570" s="13"/>
      <c r="F570" s="13"/>
      <c r="G570" s="13"/>
      <c r="H570" s="13"/>
      <c r="I570" s="13"/>
      <c r="J570" s="13"/>
    </row>
    <row r="571" spans="1:10">
      <c r="A571" s="1">
        <v>853</v>
      </c>
      <c r="B571" s="1">
        <v>95</v>
      </c>
      <c r="C571" s="1">
        <v>500</v>
      </c>
      <c r="D571" s="13"/>
      <c r="E571" s="13"/>
      <c r="F571" s="13"/>
      <c r="G571" s="13"/>
      <c r="H571" s="13"/>
      <c r="I571" s="13"/>
      <c r="J571" s="13"/>
    </row>
    <row r="572" spans="1:10">
      <c r="A572" s="1">
        <v>854</v>
      </c>
      <c r="B572" s="1">
        <v>96</v>
      </c>
      <c r="C572" s="1">
        <v>300</v>
      </c>
      <c r="D572" s="13"/>
      <c r="E572" s="13"/>
      <c r="F572" s="13"/>
      <c r="G572" s="13"/>
      <c r="H572" s="13"/>
      <c r="I572" s="13"/>
      <c r="J572" s="13"/>
    </row>
    <row r="573" spans="1:10">
      <c r="A573" s="1">
        <v>855</v>
      </c>
      <c r="B573" s="1">
        <v>96</v>
      </c>
      <c r="C573" s="1">
        <v>300</v>
      </c>
      <c r="D573" s="13"/>
      <c r="E573" s="13"/>
      <c r="F573" s="13"/>
      <c r="G573" s="13"/>
      <c r="H573" s="13"/>
      <c r="I573" s="13"/>
      <c r="J573" s="13"/>
    </row>
    <row r="574" spans="1:10">
      <c r="A574" s="1">
        <v>856</v>
      </c>
      <c r="B574" s="1">
        <v>96</v>
      </c>
      <c r="C574" s="1">
        <v>300</v>
      </c>
      <c r="D574" s="13"/>
      <c r="E574" s="13"/>
      <c r="F574" s="13"/>
      <c r="G574" s="13"/>
      <c r="H574" s="13"/>
      <c r="I574" s="13"/>
      <c r="J574" s="13"/>
    </row>
    <row r="575" spans="1:10">
      <c r="A575" s="1">
        <v>857</v>
      </c>
      <c r="B575" s="1">
        <v>96</v>
      </c>
      <c r="C575" s="1">
        <v>300</v>
      </c>
      <c r="D575" s="13"/>
      <c r="E575" s="13"/>
      <c r="F575" s="13"/>
      <c r="G575" s="13"/>
      <c r="H575" s="13"/>
      <c r="I575" s="13"/>
      <c r="J575" s="13"/>
    </row>
    <row r="576" spans="1:10">
      <c r="A576" s="1">
        <v>858</v>
      </c>
      <c r="B576" s="1">
        <v>96</v>
      </c>
      <c r="C576" s="1">
        <v>300</v>
      </c>
      <c r="D576" s="13"/>
      <c r="E576" s="13"/>
      <c r="F576" s="13"/>
      <c r="G576" s="13"/>
      <c r="H576" s="13"/>
      <c r="I576" s="13"/>
      <c r="J576" s="13"/>
    </row>
    <row r="577" spans="1:10">
      <c r="A577" s="1">
        <v>859</v>
      </c>
      <c r="B577" s="1">
        <v>96</v>
      </c>
      <c r="C577" s="1">
        <v>300</v>
      </c>
      <c r="D577" s="13"/>
      <c r="E577" s="13"/>
      <c r="F577" s="13"/>
      <c r="G577" s="13"/>
      <c r="H577" s="13"/>
      <c r="I577" s="13"/>
      <c r="J577" s="13"/>
    </row>
    <row r="578" spans="1:10">
      <c r="A578" s="1">
        <v>860</v>
      </c>
      <c r="B578" s="1">
        <v>96</v>
      </c>
      <c r="C578" s="1">
        <v>300</v>
      </c>
      <c r="D578" s="13"/>
      <c r="E578" s="13"/>
      <c r="F578" s="13"/>
      <c r="G578" s="13"/>
      <c r="H578" s="13"/>
      <c r="I578" s="13"/>
      <c r="J578" s="13"/>
    </row>
    <row r="579" spans="1:10">
      <c r="A579" s="1">
        <v>861</v>
      </c>
      <c r="B579" s="1">
        <v>96</v>
      </c>
      <c r="C579" s="1">
        <v>300</v>
      </c>
      <c r="D579" s="13"/>
      <c r="E579" s="13"/>
      <c r="F579" s="13"/>
      <c r="G579" s="13"/>
      <c r="H579" s="13"/>
      <c r="I579" s="13"/>
      <c r="J579" s="13"/>
    </row>
    <row r="580" spans="1:10">
      <c r="A580" s="1">
        <v>862</v>
      </c>
      <c r="B580" s="1">
        <v>96</v>
      </c>
      <c r="C580" s="1">
        <v>300</v>
      </c>
      <c r="D580" s="13"/>
      <c r="E580" s="13"/>
      <c r="F580" s="13"/>
      <c r="G580" s="13"/>
      <c r="H580" s="13"/>
      <c r="I580" s="13"/>
      <c r="J580" s="13"/>
    </row>
    <row r="581" spans="1:10">
      <c r="A581" s="1">
        <v>863</v>
      </c>
      <c r="B581" s="1">
        <v>96</v>
      </c>
      <c r="C581" s="1">
        <v>300</v>
      </c>
      <c r="D581" s="13"/>
      <c r="E581" s="13"/>
      <c r="F581" s="13"/>
      <c r="G581" s="13"/>
      <c r="H581" s="13"/>
      <c r="I581" s="13"/>
      <c r="J581" s="13"/>
    </row>
    <row r="582" spans="1:10">
      <c r="A582" s="1">
        <v>864</v>
      </c>
      <c r="B582" s="1">
        <v>97</v>
      </c>
      <c r="C582" s="1">
        <v>300</v>
      </c>
      <c r="D582" s="13"/>
      <c r="E582" s="13"/>
      <c r="F582" s="13"/>
      <c r="G582" s="13"/>
      <c r="H582" s="13"/>
      <c r="I582" s="13"/>
      <c r="J582" s="13"/>
    </row>
    <row r="583" spans="1:10">
      <c r="A583" s="1">
        <v>865</v>
      </c>
      <c r="B583" s="1">
        <v>97</v>
      </c>
      <c r="C583" s="1">
        <v>300</v>
      </c>
      <c r="D583" s="13"/>
      <c r="E583" s="13"/>
      <c r="F583" s="13"/>
      <c r="G583" s="13"/>
      <c r="H583" s="13"/>
      <c r="I583" s="13"/>
      <c r="J583" s="13"/>
    </row>
    <row r="584" spans="1:10">
      <c r="A584" s="1">
        <v>866</v>
      </c>
      <c r="B584" s="1">
        <v>97</v>
      </c>
      <c r="C584" s="1">
        <v>300</v>
      </c>
      <c r="D584" s="13"/>
      <c r="E584" s="13"/>
      <c r="F584" s="13"/>
      <c r="G584" s="13"/>
      <c r="H584" s="13"/>
      <c r="I584" s="13"/>
      <c r="J584" s="13"/>
    </row>
    <row r="585" spans="1:10">
      <c r="A585" s="1">
        <v>867</v>
      </c>
      <c r="B585" s="1">
        <v>97</v>
      </c>
      <c r="C585" s="1">
        <v>300</v>
      </c>
      <c r="D585" s="13"/>
      <c r="E585" s="13"/>
      <c r="F585" s="13"/>
      <c r="G585" s="13"/>
      <c r="H585" s="13"/>
      <c r="I585" s="13"/>
      <c r="J585" s="13"/>
    </row>
    <row r="586" spans="1:10">
      <c r="A586" s="1">
        <v>868</v>
      </c>
      <c r="B586" s="1">
        <v>97</v>
      </c>
      <c r="C586" s="1">
        <v>300</v>
      </c>
      <c r="D586" s="13"/>
      <c r="E586" s="13"/>
      <c r="F586" s="13"/>
      <c r="G586" s="13"/>
      <c r="H586" s="13"/>
      <c r="I586" s="13"/>
      <c r="J586" s="13"/>
    </row>
    <row r="587" spans="1:10">
      <c r="A587" s="1">
        <v>869</v>
      </c>
      <c r="B587" s="1">
        <v>98</v>
      </c>
      <c r="C587" s="1">
        <v>300</v>
      </c>
      <c r="D587" s="13"/>
      <c r="E587" s="13"/>
      <c r="F587" s="13"/>
      <c r="G587" s="13"/>
      <c r="H587" s="13"/>
      <c r="I587" s="13"/>
      <c r="J587" s="13"/>
    </row>
    <row r="588" spans="1:10">
      <c r="A588" s="1">
        <v>870</v>
      </c>
      <c r="B588" s="1">
        <v>98</v>
      </c>
      <c r="C588" s="1">
        <v>300</v>
      </c>
      <c r="D588" s="13"/>
      <c r="E588" s="13"/>
      <c r="F588" s="13"/>
      <c r="G588" s="13"/>
      <c r="H588" s="13"/>
      <c r="I588" s="13"/>
      <c r="J588" s="13"/>
    </row>
    <row r="589" spans="1:10">
      <c r="A589" s="1">
        <v>871</v>
      </c>
      <c r="B589" s="1">
        <v>98</v>
      </c>
      <c r="C589" s="1">
        <v>300</v>
      </c>
      <c r="D589" s="13"/>
      <c r="E589" s="13"/>
      <c r="F589" s="13"/>
      <c r="G589" s="13"/>
      <c r="H589" s="13"/>
      <c r="I589" s="13"/>
      <c r="J589" s="13"/>
    </row>
    <row r="590" spans="1:10">
      <c r="A590" s="1">
        <v>872</v>
      </c>
      <c r="B590" s="1">
        <v>98</v>
      </c>
      <c r="C590" s="1">
        <v>300</v>
      </c>
      <c r="D590" s="13"/>
      <c r="E590" s="13"/>
      <c r="F590" s="13"/>
      <c r="G590" s="13"/>
      <c r="H590" s="13"/>
      <c r="I590" s="13"/>
      <c r="J590" s="13"/>
    </row>
    <row r="591" spans="1:10">
      <c r="A591" s="1">
        <v>873</v>
      </c>
      <c r="B591" s="1">
        <v>98</v>
      </c>
      <c r="C591" s="1">
        <v>300</v>
      </c>
      <c r="D591" s="13"/>
      <c r="E591" s="13"/>
      <c r="F591" s="13"/>
      <c r="G591" s="13"/>
      <c r="H591" s="13"/>
      <c r="I591" s="13"/>
      <c r="J591" s="13"/>
    </row>
    <row r="592" spans="1:10">
      <c r="A592" s="1">
        <v>874</v>
      </c>
      <c r="B592" s="1">
        <v>98</v>
      </c>
      <c r="C592" s="1">
        <v>300</v>
      </c>
      <c r="D592" s="13"/>
      <c r="E592" s="13"/>
      <c r="F592" s="13"/>
      <c r="G592" s="13"/>
      <c r="H592" s="13"/>
      <c r="I592" s="13"/>
      <c r="J592" s="13"/>
    </row>
    <row r="593" spans="1:10">
      <c r="A593" s="1">
        <v>875</v>
      </c>
      <c r="B593" s="1">
        <v>98</v>
      </c>
      <c r="C593" s="1">
        <v>300</v>
      </c>
      <c r="D593" s="13"/>
      <c r="E593" s="13"/>
      <c r="F593" s="13"/>
      <c r="G593" s="13"/>
      <c r="H593" s="13"/>
      <c r="I593" s="13"/>
      <c r="J593" s="13"/>
    </row>
    <row r="594" spans="1:10">
      <c r="A594" s="1">
        <v>876</v>
      </c>
      <c r="B594" s="1">
        <v>98</v>
      </c>
      <c r="C594" s="1">
        <v>300</v>
      </c>
      <c r="D594" s="13"/>
      <c r="E594" s="13"/>
      <c r="F594" s="13"/>
      <c r="G594" s="13"/>
      <c r="H594" s="13"/>
      <c r="I594" s="13"/>
      <c r="J594" s="13"/>
    </row>
    <row r="595" spans="1:10">
      <c r="A595" s="1">
        <v>877</v>
      </c>
      <c r="B595" s="1">
        <v>98</v>
      </c>
      <c r="C595" s="1">
        <v>300</v>
      </c>
      <c r="D595" s="13"/>
      <c r="E595" s="13"/>
      <c r="F595" s="13"/>
      <c r="G595" s="13"/>
      <c r="H595" s="13"/>
      <c r="I595" s="13"/>
      <c r="J595" s="13"/>
    </row>
    <row r="596" spans="1:10">
      <c r="A596" s="1">
        <v>878</v>
      </c>
      <c r="B596" s="1">
        <v>98</v>
      </c>
      <c r="C596" s="1">
        <v>300</v>
      </c>
      <c r="D596" s="13"/>
      <c r="E596" s="13"/>
      <c r="F596" s="13"/>
      <c r="G596" s="13"/>
      <c r="H596" s="13"/>
      <c r="I596" s="13"/>
      <c r="J596" s="13"/>
    </row>
    <row r="597" spans="1:10">
      <c r="A597" s="1">
        <v>879</v>
      </c>
      <c r="B597" s="1">
        <v>98</v>
      </c>
      <c r="C597" s="1">
        <v>300</v>
      </c>
      <c r="D597" s="13"/>
      <c r="E597" s="13"/>
      <c r="F597" s="13"/>
      <c r="G597" s="13"/>
      <c r="H597" s="13"/>
      <c r="I597" s="13"/>
      <c r="J597" s="13"/>
    </row>
    <row r="598" spans="1:10">
      <c r="A598" s="1">
        <v>880</v>
      </c>
      <c r="B598" s="1">
        <v>98</v>
      </c>
      <c r="C598" s="1">
        <v>300</v>
      </c>
      <c r="D598" s="13"/>
      <c r="E598" s="13"/>
      <c r="F598" s="13"/>
      <c r="G598" s="13"/>
      <c r="H598" s="13"/>
      <c r="I598" s="13"/>
      <c r="J598" s="13"/>
    </row>
    <row r="599" spans="1:10">
      <c r="A599" s="1">
        <v>881</v>
      </c>
      <c r="B599" s="1">
        <v>98</v>
      </c>
      <c r="C599" s="1">
        <v>300</v>
      </c>
      <c r="D599" s="13"/>
      <c r="E599" s="13"/>
      <c r="F599" s="13"/>
      <c r="G599" s="13"/>
      <c r="H599" s="13"/>
      <c r="I599" s="13"/>
      <c r="J599" s="13"/>
    </row>
    <row r="600" spans="1:10">
      <c r="A600" s="1">
        <v>882</v>
      </c>
      <c r="B600" s="1">
        <v>98</v>
      </c>
      <c r="C600" s="1">
        <v>300</v>
      </c>
      <c r="D600" s="13"/>
      <c r="E600" s="13"/>
      <c r="F600" s="13"/>
      <c r="G600" s="13"/>
      <c r="H600" s="13"/>
      <c r="I600" s="13"/>
      <c r="J600" s="13"/>
    </row>
    <row r="601" spans="1:10">
      <c r="A601" s="1">
        <v>883</v>
      </c>
      <c r="B601" s="1">
        <v>98</v>
      </c>
      <c r="C601" s="1">
        <v>300</v>
      </c>
      <c r="D601" s="13"/>
      <c r="E601" s="13"/>
      <c r="F601" s="13"/>
      <c r="G601" s="13"/>
      <c r="H601" s="13"/>
      <c r="I601" s="13"/>
      <c r="J601" s="13"/>
    </row>
    <row r="602" spans="1:10">
      <c r="A602" s="1">
        <v>884</v>
      </c>
      <c r="B602" s="1">
        <v>98</v>
      </c>
      <c r="C602" s="1">
        <v>300</v>
      </c>
      <c r="D602" s="13"/>
      <c r="E602" s="13"/>
      <c r="F602" s="13"/>
      <c r="G602" s="13"/>
      <c r="H602" s="13"/>
      <c r="I602" s="13"/>
      <c r="J602" s="13"/>
    </row>
    <row r="603" spans="1:10">
      <c r="A603" s="1">
        <v>885</v>
      </c>
      <c r="B603" s="1">
        <v>98</v>
      </c>
      <c r="C603" s="1">
        <v>300</v>
      </c>
      <c r="D603" s="13"/>
      <c r="E603" s="13"/>
      <c r="F603" s="13"/>
      <c r="G603" s="13"/>
      <c r="H603" s="13"/>
      <c r="I603" s="13"/>
      <c r="J603" s="13"/>
    </row>
    <row r="604" spans="1:10">
      <c r="A604" s="1">
        <v>886</v>
      </c>
      <c r="B604" s="1">
        <v>98</v>
      </c>
      <c r="C604" s="1">
        <v>300</v>
      </c>
      <c r="D604" s="13"/>
      <c r="E604" s="13"/>
      <c r="F604" s="13"/>
      <c r="G604" s="13"/>
      <c r="H604" s="13"/>
      <c r="I604" s="13"/>
      <c r="J604" s="13"/>
    </row>
    <row r="605" spans="1:10">
      <c r="A605" s="1">
        <v>887</v>
      </c>
      <c r="B605" s="1">
        <v>98</v>
      </c>
      <c r="C605" s="1">
        <v>300</v>
      </c>
      <c r="D605" s="13"/>
      <c r="E605" s="13"/>
      <c r="F605" s="13"/>
      <c r="G605" s="13"/>
      <c r="H605" s="13"/>
      <c r="I605" s="13"/>
      <c r="J605" s="13"/>
    </row>
    <row r="606" spans="1:10">
      <c r="A606" s="1">
        <v>888</v>
      </c>
      <c r="B606" s="1">
        <v>98</v>
      </c>
      <c r="C606" s="1">
        <v>300</v>
      </c>
      <c r="D606" s="13"/>
      <c r="E606" s="13"/>
      <c r="F606" s="13"/>
      <c r="G606" s="13"/>
      <c r="H606" s="13"/>
      <c r="I606" s="13"/>
      <c r="J606" s="13"/>
    </row>
    <row r="607" spans="1:10">
      <c r="A607" s="1">
        <v>889</v>
      </c>
      <c r="B607" s="1">
        <v>99</v>
      </c>
      <c r="C607" s="1">
        <v>300</v>
      </c>
      <c r="D607" s="13"/>
      <c r="E607" s="13"/>
      <c r="F607" s="13"/>
      <c r="G607" s="13"/>
      <c r="H607" s="13"/>
      <c r="I607" s="13"/>
      <c r="J607" s="13"/>
    </row>
    <row r="608" spans="1:10">
      <c r="A608" s="1">
        <v>890</v>
      </c>
      <c r="B608" s="1">
        <v>99</v>
      </c>
      <c r="C608" s="1">
        <v>300</v>
      </c>
      <c r="D608" s="13"/>
      <c r="E608" s="13"/>
      <c r="F608" s="13"/>
      <c r="G608" s="13"/>
      <c r="H608" s="13"/>
      <c r="I608" s="13"/>
      <c r="J608" s="13"/>
    </row>
    <row r="609" spans="1:10">
      <c r="A609" s="1">
        <v>891</v>
      </c>
      <c r="B609" s="1">
        <v>99</v>
      </c>
      <c r="C609" s="1">
        <v>300</v>
      </c>
      <c r="D609" s="13"/>
      <c r="E609" s="13"/>
      <c r="F609" s="13"/>
      <c r="G609" s="13"/>
      <c r="H609" s="13"/>
      <c r="I609" s="13"/>
      <c r="J609" s="13"/>
    </row>
    <row r="610" spans="1:10">
      <c r="A610" s="1">
        <v>892</v>
      </c>
      <c r="B610" s="1">
        <v>99</v>
      </c>
      <c r="C610" s="1">
        <v>300</v>
      </c>
      <c r="D610" s="13"/>
      <c r="E610" s="13"/>
      <c r="F610" s="13"/>
      <c r="G610" s="13"/>
      <c r="H610" s="13"/>
      <c r="I610" s="13"/>
      <c r="J610" s="13"/>
    </row>
    <row r="611" spans="1:10">
      <c r="A611" s="1">
        <v>893</v>
      </c>
      <c r="B611" s="1">
        <v>99</v>
      </c>
      <c r="C611" s="1">
        <v>300</v>
      </c>
      <c r="D611" s="13"/>
      <c r="E611" s="13"/>
      <c r="F611" s="13"/>
      <c r="G611" s="13"/>
      <c r="H611" s="13"/>
      <c r="I611" s="13"/>
      <c r="J611" s="13"/>
    </row>
    <row r="612" spans="1:10">
      <c r="A612" s="1">
        <v>894</v>
      </c>
      <c r="B612" s="1">
        <v>100</v>
      </c>
      <c r="C612" s="1">
        <v>300</v>
      </c>
      <c r="D612" s="13"/>
      <c r="E612" s="13"/>
      <c r="F612" s="13"/>
      <c r="G612" s="13"/>
      <c r="H612" s="13"/>
      <c r="I612" s="13"/>
      <c r="J612" s="13"/>
    </row>
    <row r="613" spans="1:10">
      <c r="A613" s="1">
        <v>895</v>
      </c>
      <c r="B613" s="1">
        <v>100</v>
      </c>
      <c r="C613" s="1">
        <v>300</v>
      </c>
      <c r="D613" s="13"/>
      <c r="E613" s="13"/>
      <c r="F613" s="13"/>
      <c r="G613" s="13"/>
      <c r="H613" s="13"/>
      <c r="I613" s="13"/>
      <c r="J613" s="13"/>
    </row>
    <row r="614" spans="1:10">
      <c r="A614" s="1">
        <v>896</v>
      </c>
      <c r="B614" s="1">
        <v>100</v>
      </c>
      <c r="C614" s="1">
        <v>300</v>
      </c>
      <c r="D614" s="13"/>
      <c r="E614" s="13"/>
      <c r="F614" s="13"/>
      <c r="G614" s="13"/>
      <c r="H614" s="13"/>
      <c r="I614" s="13"/>
      <c r="J614" s="13"/>
    </row>
    <row r="615" spans="1:10">
      <c r="A615" s="1">
        <v>897</v>
      </c>
      <c r="B615" s="1">
        <v>100</v>
      </c>
      <c r="C615" s="1">
        <v>300</v>
      </c>
      <c r="D615" s="13"/>
      <c r="E615" s="13"/>
      <c r="F615" s="13"/>
      <c r="G615" s="13"/>
      <c r="H615" s="13"/>
      <c r="I615" s="13"/>
      <c r="J615" s="13"/>
    </row>
    <row r="616" spans="1:10">
      <c r="A616" s="1">
        <v>898</v>
      </c>
      <c r="B616" s="1">
        <v>100</v>
      </c>
      <c r="C616" s="1">
        <v>300</v>
      </c>
      <c r="D616" s="13"/>
      <c r="E616" s="13"/>
      <c r="F616" s="13"/>
      <c r="G616" s="13"/>
      <c r="H616" s="13"/>
      <c r="I616" s="13"/>
      <c r="J616" s="13"/>
    </row>
    <row r="617" spans="1:10">
      <c r="A617" s="1">
        <v>899</v>
      </c>
      <c r="B617" s="1">
        <v>100</v>
      </c>
      <c r="C617" s="1">
        <v>300</v>
      </c>
      <c r="D617" s="13"/>
      <c r="E617" s="13"/>
      <c r="F617" s="13"/>
      <c r="G617" s="13"/>
      <c r="H617" s="13"/>
      <c r="I617" s="13"/>
      <c r="J617" s="13"/>
    </row>
    <row r="618" spans="1:10">
      <c r="A618" s="1">
        <v>900</v>
      </c>
      <c r="B618" s="1">
        <v>100</v>
      </c>
      <c r="C618" s="1">
        <v>300</v>
      </c>
      <c r="D618" s="13"/>
      <c r="E618" s="13"/>
      <c r="F618" s="13"/>
      <c r="G618" s="13"/>
      <c r="H618" s="13"/>
      <c r="I618" s="13"/>
      <c r="J618" s="13"/>
    </row>
    <row r="619" spans="1:10">
      <c r="A619" s="1">
        <v>901</v>
      </c>
      <c r="B619" s="1">
        <v>100</v>
      </c>
      <c r="C619" s="1">
        <v>300</v>
      </c>
      <c r="D619" s="13"/>
      <c r="E619" s="13"/>
      <c r="F619" s="13"/>
      <c r="G619" s="13"/>
      <c r="H619" s="13"/>
      <c r="I619" s="13"/>
      <c r="J619" s="13"/>
    </row>
    <row r="620" spans="1:10">
      <c r="A620" s="1">
        <v>902</v>
      </c>
      <c r="B620" s="1">
        <v>100</v>
      </c>
      <c r="C620" s="1">
        <v>300</v>
      </c>
      <c r="D620" s="13"/>
      <c r="E620" s="13"/>
      <c r="F620" s="13"/>
      <c r="G620" s="13"/>
      <c r="H620" s="13"/>
      <c r="I620" s="13"/>
      <c r="J620" s="13"/>
    </row>
    <row r="621" spans="1:10">
      <c r="A621" s="1">
        <v>903</v>
      </c>
      <c r="B621" s="1">
        <v>100</v>
      </c>
      <c r="C621" s="1">
        <v>300</v>
      </c>
      <c r="D621" s="13"/>
      <c r="E621" s="13"/>
      <c r="F621" s="13"/>
      <c r="G621" s="13"/>
      <c r="H621" s="13"/>
      <c r="I621" s="13"/>
      <c r="J621" s="13"/>
    </row>
    <row r="622" spans="1:10">
      <c r="A622" s="1">
        <v>904</v>
      </c>
      <c r="B622" s="1">
        <v>101</v>
      </c>
      <c r="C622" s="1">
        <v>300</v>
      </c>
      <c r="D622" s="13"/>
      <c r="E622" s="13"/>
      <c r="F622" s="13"/>
      <c r="G622" s="13"/>
      <c r="H622" s="13"/>
      <c r="I622" s="13"/>
      <c r="J622" s="13"/>
    </row>
    <row r="623" spans="1:10">
      <c r="A623" s="1">
        <v>905</v>
      </c>
      <c r="B623" s="1">
        <v>101</v>
      </c>
      <c r="C623" s="1">
        <v>300</v>
      </c>
      <c r="D623" s="13"/>
      <c r="E623" s="13"/>
      <c r="F623" s="13"/>
      <c r="G623" s="13"/>
      <c r="H623" s="13"/>
      <c r="I623" s="13"/>
      <c r="J623" s="13"/>
    </row>
    <row r="624" spans="1:10">
      <c r="A624" s="1">
        <v>906</v>
      </c>
      <c r="B624" s="1">
        <v>101</v>
      </c>
      <c r="C624" s="1">
        <v>300</v>
      </c>
      <c r="D624" s="13"/>
      <c r="E624" s="13"/>
      <c r="F624" s="13"/>
      <c r="G624" s="13"/>
      <c r="H624" s="13"/>
      <c r="I624" s="13"/>
      <c r="J624" s="13"/>
    </row>
    <row r="625" spans="1:10">
      <c r="A625" s="1">
        <v>907</v>
      </c>
      <c r="B625" s="1">
        <v>101</v>
      </c>
      <c r="C625" s="1">
        <v>300</v>
      </c>
      <c r="D625" s="13"/>
      <c r="E625" s="13"/>
      <c r="F625" s="13"/>
      <c r="G625" s="13"/>
      <c r="H625" s="13"/>
      <c r="I625" s="13"/>
      <c r="J625" s="13"/>
    </row>
    <row r="626" spans="1:10">
      <c r="A626" s="1">
        <v>908</v>
      </c>
      <c r="B626" s="1">
        <v>101</v>
      </c>
      <c r="C626" s="1">
        <v>300</v>
      </c>
      <c r="D626" s="13"/>
      <c r="E626" s="13"/>
      <c r="F626" s="13"/>
      <c r="G626" s="13"/>
      <c r="H626" s="13"/>
      <c r="I626" s="13"/>
      <c r="J626" s="13"/>
    </row>
    <row r="627" spans="1:10">
      <c r="A627" s="1">
        <v>909</v>
      </c>
      <c r="B627" s="1">
        <v>102</v>
      </c>
      <c r="C627" s="1">
        <v>500</v>
      </c>
      <c r="D627" s="13"/>
      <c r="E627" s="13"/>
      <c r="F627" s="13"/>
      <c r="G627" s="13"/>
      <c r="H627" s="13"/>
      <c r="I627" s="13"/>
      <c r="J627" s="13"/>
    </row>
    <row r="628" spans="1:10">
      <c r="A628" s="1">
        <v>910</v>
      </c>
      <c r="B628" s="1">
        <v>102</v>
      </c>
      <c r="C628" s="1">
        <v>500</v>
      </c>
      <c r="D628" s="13"/>
      <c r="E628" s="13"/>
      <c r="F628" s="13"/>
      <c r="G628" s="13"/>
      <c r="H628" s="13"/>
      <c r="I628" s="13"/>
      <c r="J628" s="13"/>
    </row>
    <row r="629" spans="1:10">
      <c r="A629" s="1">
        <v>911</v>
      </c>
      <c r="B629" s="1">
        <v>102</v>
      </c>
      <c r="C629" s="1">
        <v>500</v>
      </c>
      <c r="D629" s="13"/>
      <c r="E629" s="13"/>
      <c r="F629" s="13"/>
      <c r="G629" s="13"/>
      <c r="H629" s="13"/>
      <c r="I629" s="13"/>
      <c r="J629" s="13"/>
    </row>
    <row r="630" spans="1:10">
      <c r="A630" s="1">
        <v>912</v>
      </c>
      <c r="B630" s="1">
        <v>102</v>
      </c>
      <c r="C630" s="1">
        <v>500</v>
      </c>
      <c r="D630" s="13"/>
      <c r="E630" s="13"/>
      <c r="F630" s="13"/>
      <c r="G630" s="13"/>
      <c r="H630" s="13"/>
      <c r="I630" s="13"/>
      <c r="J630" s="13"/>
    </row>
    <row r="631" spans="1:10">
      <c r="A631" s="1">
        <v>913</v>
      </c>
      <c r="B631" s="1">
        <v>102</v>
      </c>
      <c r="C631" s="1">
        <v>500</v>
      </c>
      <c r="D631" s="13"/>
      <c r="E631" s="13"/>
      <c r="F631" s="13"/>
      <c r="G631" s="13"/>
      <c r="H631" s="13"/>
      <c r="I631" s="13"/>
      <c r="J631" s="13"/>
    </row>
    <row r="632" spans="1:10">
      <c r="A632" s="1">
        <v>914</v>
      </c>
      <c r="B632" s="1">
        <v>102</v>
      </c>
      <c r="C632" s="1">
        <v>500</v>
      </c>
      <c r="D632" s="13"/>
      <c r="E632" s="13"/>
      <c r="F632" s="13"/>
      <c r="G632" s="13"/>
      <c r="H632" s="13"/>
      <c r="I632" s="13"/>
      <c r="J632" s="13"/>
    </row>
    <row r="633" spans="1:10">
      <c r="A633" s="1">
        <v>915</v>
      </c>
      <c r="B633" s="1">
        <v>102</v>
      </c>
      <c r="C633" s="1">
        <v>500</v>
      </c>
      <c r="D633" s="13"/>
      <c r="E633" s="13"/>
      <c r="F633" s="13"/>
      <c r="G633" s="13"/>
      <c r="H633" s="13"/>
      <c r="I633" s="13"/>
      <c r="J633" s="13"/>
    </row>
    <row r="634" spans="1:10">
      <c r="A634" s="1">
        <v>916</v>
      </c>
      <c r="B634" s="1">
        <v>102</v>
      </c>
      <c r="C634" s="1">
        <v>500</v>
      </c>
      <c r="D634" s="13"/>
      <c r="E634" s="13"/>
      <c r="F634" s="13"/>
      <c r="G634" s="13"/>
      <c r="H634" s="13"/>
      <c r="I634" s="13"/>
      <c r="J634" s="13"/>
    </row>
    <row r="635" spans="1:10">
      <c r="A635" s="1">
        <v>917</v>
      </c>
      <c r="B635" s="1">
        <v>102</v>
      </c>
      <c r="C635" s="1">
        <v>500</v>
      </c>
      <c r="D635" s="13"/>
      <c r="E635" s="13"/>
      <c r="F635" s="13"/>
      <c r="G635" s="13"/>
      <c r="H635" s="13"/>
      <c r="I635" s="13"/>
      <c r="J635" s="13"/>
    </row>
    <row r="636" spans="1:10">
      <c r="A636" s="1">
        <v>918</v>
      </c>
      <c r="B636" s="1">
        <v>102</v>
      </c>
      <c r="C636" s="1">
        <v>500</v>
      </c>
      <c r="D636" s="13"/>
      <c r="E636" s="13"/>
      <c r="F636" s="13"/>
      <c r="G636" s="13"/>
      <c r="H636" s="13"/>
      <c r="I636" s="13"/>
      <c r="J636" s="13"/>
    </row>
    <row r="637" spans="1:10">
      <c r="A637" s="1">
        <v>919</v>
      </c>
      <c r="B637" s="1">
        <v>103</v>
      </c>
      <c r="C637" s="1">
        <v>300</v>
      </c>
      <c r="D637" s="13"/>
      <c r="E637" s="13"/>
      <c r="F637" s="13"/>
      <c r="G637" s="13"/>
      <c r="H637" s="13"/>
      <c r="I637" s="13"/>
      <c r="J637" s="13"/>
    </row>
    <row r="638" spans="1:10">
      <c r="A638" s="1">
        <v>920</v>
      </c>
      <c r="B638" s="1">
        <v>103</v>
      </c>
      <c r="C638" s="1">
        <v>300</v>
      </c>
      <c r="D638" s="13"/>
      <c r="E638" s="13"/>
      <c r="F638" s="13"/>
      <c r="G638" s="13"/>
      <c r="H638" s="13"/>
      <c r="I638" s="13"/>
      <c r="J638" s="13"/>
    </row>
    <row r="639" spans="1:10">
      <c r="A639" s="1">
        <v>921</v>
      </c>
      <c r="B639" s="1">
        <v>103</v>
      </c>
      <c r="C639" s="1">
        <v>300</v>
      </c>
      <c r="D639" s="13"/>
      <c r="E639" s="13"/>
      <c r="F639" s="13"/>
      <c r="G639" s="13"/>
      <c r="H639" s="13"/>
      <c r="I639" s="13"/>
      <c r="J639" s="13"/>
    </row>
    <row r="640" spans="1:10">
      <c r="A640" s="1">
        <v>922</v>
      </c>
      <c r="B640" s="1">
        <v>103</v>
      </c>
      <c r="C640" s="1">
        <v>300</v>
      </c>
      <c r="D640" s="13"/>
      <c r="E640" s="13"/>
      <c r="F640" s="13"/>
      <c r="G640" s="13"/>
      <c r="H640" s="13"/>
      <c r="I640" s="13"/>
      <c r="J640" s="13"/>
    </row>
    <row r="641" spans="1:10">
      <c r="A641" s="1">
        <v>923</v>
      </c>
      <c r="B641" s="1">
        <v>103</v>
      </c>
      <c r="C641" s="1">
        <v>300</v>
      </c>
      <c r="D641" s="13"/>
      <c r="E641" s="13"/>
      <c r="F641" s="13"/>
      <c r="G641" s="13"/>
      <c r="H641" s="13"/>
      <c r="I641" s="13"/>
      <c r="J641" s="13"/>
    </row>
    <row r="642" spans="1:10">
      <c r="A642" s="1">
        <v>924</v>
      </c>
      <c r="B642" s="1">
        <v>105</v>
      </c>
      <c r="C642" s="1">
        <v>300</v>
      </c>
      <c r="D642" s="13"/>
      <c r="E642" s="13"/>
      <c r="F642" s="13"/>
      <c r="G642" s="13"/>
      <c r="H642" s="13"/>
      <c r="I642" s="13"/>
      <c r="J642" s="13"/>
    </row>
    <row r="643" spans="1:10">
      <c r="A643" s="1">
        <v>925</v>
      </c>
      <c r="B643" s="1">
        <v>105</v>
      </c>
      <c r="C643" s="1">
        <v>300</v>
      </c>
      <c r="D643" s="13"/>
      <c r="E643" s="13"/>
      <c r="F643" s="13"/>
      <c r="G643" s="13"/>
      <c r="H643" s="13"/>
      <c r="I643" s="13"/>
      <c r="J643" s="13"/>
    </row>
    <row r="644" spans="1:10">
      <c r="A644" s="1">
        <v>926</v>
      </c>
      <c r="B644" s="1">
        <v>105</v>
      </c>
      <c r="C644" s="1">
        <v>300</v>
      </c>
      <c r="D644" s="13"/>
      <c r="E644" s="13"/>
      <c r="F644" s="13"/>
      <c r="G644" s="13"/>
      <c r="H644" s="13"/>
      <c r="I644" s="13"/>
      <c r="J644" s="13"/>
    </row>
    <row r="645" spans="1:10">
      <c r="A645" s="1">
        <v>927</v>
      </c>
      <c r="B645" s="1">
        <v>105</v>
      </c>
      <c r="C645" s="1">
        <v>300</v>
      </c>
      <c r="D645" s="13"/>
      <c r="E645" s="13"/>
      <c r="F645" s="13"/>
      <c r="G645" s="13"/>
      <c r="H645" s="13"/>
      <c r="I645" s="13"/>
      <c r="J645" s="13"/>
    </row>
    <row r="646" spans="1:10">
      <c r="A646" s="1">
        <v>928</v>
      </c>
      <c r="B646" s="1">
        <v>105</v>
      </c>
      <c r="C646" s="1">
        <v>300</v>
      </c>
      <c r="D646" s="13"/>
      <c r="E646" s="13"/>
      <c r="F646" s="13"/>
      <c r="G646" s="13"/>
      <c r="H646" s="13"/>
      <c r="I646" s="13"/>
      <c r="J646" s="13"/>
    </row>
    <row r="647" spans="1:10">
      <c r="A647" s="1">
        <v>929</v>
      </c>
      <c r="B647" s="1">
        <v>105</v>
      </c>
      <c r="C647" s="1">
        <v>300</v>
      </c>
      <c r="D647" s="13"/>
      <c r="E647" s="13"/>
      <c r="F647" s="13"/>
      <c r="G647" s="13"/>
      <c r="H647" s="13"/>
      <c r="I647" s="13"/>
      <c r="J647" s="13"/>
    </row>
    <row r="648" spans="1:10">
      <c r="A648" s="1">
        <v>930</v>
      </c>
      <c r="B648" s="1">
        <v>105</v>
      </c>
      <c r="C648" s="1">
        <v>300</v>
      </c>
      <c r="D648" s="13"/>
      <c r="E648" s="13"/>
      <c r="F648" s="13"/>
      <c r="G648" s="13"/>
      <c r="H648" s="13"/>
      <c r="I648" s="13"/>
      <c r="J648" s="13"/>
    </row>
    <row r="649" spans="1:10">
      <c r="A649" s="1">
        <v>931</v>
      </c>
      <c r="B649" s="1">
        <v>105</v>
      </c>
      <c r="C649" s="1">
        <v>300</v>
      </c>
      <c r="D649" s="13"/>
      <c r="E649" s="13"/>
      <c r="F649" s="13"/>
      <c r="G649" s="13"/>
      <c r="H649" s="13"/>
      <c r="I649" s="13"/>
      <c r="J649" s="13"/>
    </row>
    <row r="650" spans="1:10">
      <c r="A650" s="1">
        <v>932</v>
      </c>
      <c r="B650" s="1">
        <v>105</v>
      </c>
      <c r="C650" s="1">
        <v>300</v>
      </c>
      <c r="D650" s="13"/>
      <c r="E650" s="13"/>
      <c r="F650" s="13"/>
      <c r="G650" s="13"/>
      <c r="H650" s="13"/>
      <c r="I650" s="13"/>
      <c r="J650" s="13"/>
    </row>
    <row r="651" spans="1:10">
      <c r="A651" s="1">
        <v>933</v>
      </c>
      <c r="B651" s="1">
        <v>105</v>
      </c>
      <c r="C651" s="1">
        <v>300</v>
      </c>
      <c r="D651" s="13"/>
      <c r="E651" s="13"/>
      <c r="F651" s="13"/>
      <c r="G651" s="13"/>
      <c r="H651" s="13"/>
      <c r="I651" s="13"/>
      <c r="J651" s="13"/>
    </row>
    <row r="652" spans="1:10">
      <c r="A652" s="1">
        <v>934</v>
      </c>
      <c r="B652" s="1">
        <v>105</v>
      </c>
      <c r="C652" s="1">
        <v>300</v>
      </c>
      <c r="D652" s="13"/>
      <c r="E652" s="13"/>
      <c r="F652" s="13"/>
      <c r="G652" s="13"/>
      <c r="H652" s="13"/>
      <c r="I652" s="13"/>
      <c r="J652" s="13"/>
    </row>
    <row r="653" spans="1:10">
      <c r="A653" s="1">
        <v>935</v>
      </c>
      <c r="B653" s="1">
        <v>105</v>
      </c>
      <c r="C653" s="1">
        <v>300</v>
      </c>
      <c r="D653" s="13"/>
      <c r="E653" s="13"/>
      <c r="F653" s="13"/>
      <c r="G653" s="13"/>
      <c r="H653" s="13"/>
      <c r="I653" s="13"/>
      <c r="J653" s="13"/>
    </row>
    <row r="654" spans="1:10">
      <c r="A654" s="1">
        <v>936</v>
      </c>
      <c r="B654" s="1">
        <v>105</v>
      </c>
      <c r="C654" s="1">
        <v>300</v>
      </c>
      <c r="D654" s="13"/>
      <c r="E654" s="13"/>
      <c r="F654" s="13"/>
      <c r="G654" s="13"/>
      <c r="H654" s="13"/>
      <c r="I654" s="13"/>
      <c r="J654" s="13"/>
    </row>
    <row r="655" spans="1:10">
      <c r="A655" s="1">
        <v>937</v>
      </c>
      <c r="B655" s="1">
        <v>105</v>
      </c>
      <c r="C655" s="1">
        <v>300</v>
      </c>
      <c r="D655" s="13"/>
      <c r="E655" s="13"/>
      <c r="F655" s="13"/>
      <c r="G655" s="13"/>
      <c r="H655" s="13"/>
      <c r="I655" s="13"/>
      <c r="J655" s="13"/>
    </row>
    <row r="656" spans="1:10">
      <c r="A656" s="1">
        <v>938</v>
      </c>
      <c r="B656" s="1">
        <v>105</v>
      </c>
      <c r="C656" s="1">
        <v>300</v>
      </c>
      <c r="D656" s="13"/>
      <c r="E656" s="13"/>
      <c r="F656" s="13"/>
      <c r="G656" s="13"/>
      <c r="H656" s="13"/>
      <c r="I656" s="13"/>
      <c r="J656" s="13"/>
    </row>
    <row r="657" spans="1:10">
      <c r="A657" s="1">
        <v>939</v>
      </c>
      <c r="B657" s="1">
        <v>105</v>
      </c>
      <c r="C657" s="1">
        <v>300</v>
      </c>
      <c r="D657" s="13"/>
      <c r="E657" s="13"/>
      <c r="F657" s="13"/>
      <c r="G657" s="13"/>
      <c r="H657" s="13"/>
      <c r="I657" s="13"/>
      <c r="J657" s="13"/>
    </row>
    <row r="658" spans="1:10">
      <c r="A658" s="1">
        <v>940</v>
      </c>
      <c r="B658" s="1">
        <v>105</v>
      </c>
      <c r="C658" s="1">
        <v>300</v>
      </c>
      <c r="D658" s="13"/>
      <c r="E658" s="13"/>
      <c r="F658" s="13"/>
      <c r="G658" s="13"/>
      <c r="H658" s="13"/>
      <c r="I658" s="13"/>
      <c r="J658" s="13"/>
    </row>
    <row r="659" spans="1:10">
      <c r="A659" s="1">
        <v>941</v>
      </c>
      <c r="B659" s="1">
        <v>105</v>
      </c>
      <c r="C659" s="1">
        <v>300</v>
      </c>
      <c r="D659" s="13"/>
      <c r="E659" s="13"/>
      <c r="F659" s="13"/>
      <c r="G659" s="13"/>
      <c r="H659" s="13"/>
      <c r="I659" s="13"/>
      <c r="J659" s="13"/>
    </row>
    <row r="660" spans="1:10">
      <c r="A660" s="1">
        <v>942</v>
      </c>
      <c r="B660" s="1">
        <v>105</v>
      </c>
      <c r="C660" s="1">
        <v>300</v>
      </c>
      <c r="D660" s="13"/>
      <c r="E660" s="13"/>
      <c r="F660" s="13"/>
      <c r="G660" s="13"/>
      <c r="H660" s="13"/>
      <c r="I660" s="13"/>
      <c r="J660" s="13"/>
    </row>
    <row r="661" spans="1:10">
      <c r="A661" s="1">
        <v>943</v>
      </c>
      <c r="B661" s="1">
        <v>105</v>
      </c>
      <c r="C661" s="1">
        <v>300</v>
      </c>
      <c r="D661" s="13"/>
      <c r="E661" s="13"/>
      <c r="F661" s="13"/>
      <c r="G661" s="13"/>
      <c r="H661" s="13"/>
      <c r="I661" s="13"/>
      <c r="J661" s="13"/>
    </row>
    <row r="662" spans="1:10">
      <c r="A662" s="1">
        <v>944</v>
      </c>
      <c r="B662" s="1">
        <v>104</v>
      </c>
      <c r="C662" s="1">
        <v>500</v>
      </c>
      <c r="D662" s="13"/>
      <c r="E662" s="13"/>
      <c r="F662" s="13"/>
      <c r="G662" s="13"/>
      <c r="H662" s="13"/>
      <c r="I662" s="13"/>
      <c r="J662" s="13"/>
    </row>
    <row r="663" spans="1:10">
      <c r="A663" s="1">
        <v>945</v>
      </c>
      <c r="B663" s="1">
        <v>104</v>
      </c>
      <c r="C663" s="1">
        <v>500</v>
      </c>
      <c r="D663" s="13"/>
      <c r="E663" s="13"/>
      <c r="F663" s="13"/>
      <c r="G663" s="13"/>
      <c r="H663" s="13"/>
      <c r="I663" s="13"/>
      <c r="J663" s="13"/>
    </row>
    <row r="664" spans="1:10">
      <c r="A664" s="1">
        <v>946</v>
      </c>
      <c r="B664" s="1">
        <v>104</v>
      </c>
      <c r="C664" s="1">
        <v>500</v>
      </c>
      <c r="D664" s="13"/>
      <c r="E664" s="13"/>
      <c r="F664" s="13"/>
      <c r="G664" s="13"/>
      <c r="H664" s="13"/>
      <c r="I664" s="13"/>
      <c r="J664" s="13"/>
    </row>
    <row r="665" spans="1:10">
      <c r="A665" s="1">
        <v>947</v>
      </c>
      <c r="B665" s="1">
        <v>104</v>
      </c>
      <c r="C665" s="1">
        <v>500</v>
      </c>
      <c r="D665" s="13"/>
      <c r="E665" s="13"/>
      <c r="F665" s="13"/>
      <c r="G665" s="13"/>
      <c r="H665" s="13"/>
      <c r="I665" s="13"/>
      <c r="J665" s="13"/>
    </row>
    <row r="666" spans="1:10">
      <c r="A666" s="1">
        <v>948</v>
      </c>
      <c r="B666" s="1">
        <v>104</v>
      </c>
      <c r="C666" s="1">
        <v>500</v>
      </c>
      <c r="D666" s="13"/>
      <c r="E666" s="13"/>
      <c r="F666" s="13"/>
      <c r="G666" s="13"/>
      <c r="H666" s="13"/>
      <c r="I666" s="13"/>
      <c r="J666" s="13"/>
    </row>
    <row r="667" spans="1:10">
      <c r="A667" s="1">
        <v>949</v>
      </c>
      <c r="B667" s="1">
        <v>104</v>
      </c>
      <c r="C667" s="1">
        <v>500</v>
      </c>
      <c r="D667" s="13"/>
      <c r="E667" s="13"/>
      <c r="F667" s="13"/>
      <c r="G667" s="13"/>
      <c r="H667" s="13"/>
      <c r="I667" s="13"/>
      <c r="J667" s="13"/>
    </row>
    <row r="668" spans="1:10">
      <c r="A668" s="1">
        <v>950</v>
      </c>
      <c r="B668" s="1">
        <v>106</v>
      </c>
      <c r="C668" s="1">
        <v>300</v>
      </c>
      <c r="D668" s="13"/>
      <c r="E668" s="13"/>
      <c r="F668" s="13"/>
      <c r="G668" s="13"/>
      <c r="H668" s="13"/>
      <c r="I668" s="13"/>
      <c r="J668" s="13"/>
    </row>
    <row r="669" spans="1:10">
      <c r="A669" s="1">
        <v>951</v>
      </c>
      <c r="B669" s="1">
        <v>106</v>
      </c>
      <c r="C669" s="1">
        <v>300</v>
      </c>
      <c r="D669" s="13"/>
      <c r="E669" s="13"/>
      <c r="F669" s="13"/>
      <c r="G669" s="13"/>
      <c r="H669" s="13"/>
      <c r="I669" s="13"/>
      <c r="J669" s="13"/>
    </row>
    <row r="670" spans="1:10">
      <c r="A670" s="1">
        <v>952</v>
      </c>
      <c r="B670" s="1">
        <v>106</v>
      </c>
      <c r="C670" s="1">
        <v>300</v>
      </c>
      <c r="D670" s="13"/>
      <c r="E670" s="13"/>
      <c r="F670" s="13"/>
      <c r="G670" s="13"/>
      <c r="H670" s="13"/>
      <c r="I670" s="13"/>
      <c r="J670" s="13"/>
    </row>
    <row r="671" spans="1:10">
      <c r="A671" s="1">
        <v>953</v>
      </c>
      <c r="B671" s="1">
        <v>106</v>
      </c>
      <c r="C671" s="1">
        <v>300</v>
      </c>
      <c r="D671" s="13"/>
      <c r="E671" s="13"/>
      <c r="F671" s="13"/>
      <c r="G671" s="13"/>
      <c r="H671" s="13"/>
      <c r="I671" s="13"/>
      <c r="J671" s="13"/>
    </row>
    <row r="672" spans="1:10">
      <c r="A672" s="1">
        <v>954</v>
      </c>
      <c r="B672" s="1">
        <v>106</v>
      </c>
      <c r="C672" s="1">
        <v>300</v>
      </c>
      <c r="D672" s="13"/>
      <c r="E672" s="13"/>
      <c r="F672" s="13"/>
      <c r="G672" s="13"/>
      <c r="H672" s="13"/>
      <c r="I672" s="13"/>
      <c r="J672" s="13"/>
    </row>
    <row r="673" spans="1:10">
      <c r="A673" s="1">
        <v>955</v>
      </c>
      <c r="B673" s="1">
        <v>106</v>
      </c>
      <c r="C673" s="1">
        <v>300</v>
      </c>
      <c r="D673" s="13"/>
      <c r="E673" s="13"/>
      <c r="F673" s="13"/>
      <c r="G673" s="13"/>
      <c r="H673" s="13"/>
      <c r="I673" s="13"/>
      <c r="J673" s="13"/>
    </row>
    <row r="674" spans="1:10">
      <c r="A674" s="1">
        <v>956</v>
      </c>
      <c r="B674" s="1">
        <v>106</v>
      </c>
      <c r="C674" s="1">
        <v>200</v>
      </c>
      <c r="D674" s="13"/>
      <c r="E674" s="13"/>
      <c r="F674" s="13"/>
      <c r="G674" s="13"/>
      <c r="H674" s="13"/>
      <c r="I674" s="13"/>
      <c r="J674" s="13"/>
    </row>
    <row r="675" spans="1:10">
      <c r="A675" s="1">
        <v>958</v>
      </c>
      <c r="B675" s="1">
        <v>107</v>
      </c>
      <c r="C675" s="1">
        <v>300</v>
      </c>
      <c r="D675" s="13"/>
      <c r="E675" s="13"/>
      <c r="F675" s="13"/>
      <c r="G675" s="13"/>
      <c r="H675" s="13"/>
      <c r="I675" s="13"/>
      <c r="J675" s="13"/>
    </row>
    <row r="676" spans="1:10">
      <c r="A676" s="1">
        <v>959</v>
      </c>
      <c r="B676" s="1">
        <v>108</v>
      </c>
      <c r="C676" s="1">
        <v>300</v>
      </c>
      <c r="D676" s="13"/>
      <c r="E676" s="13"/>
      <c r="F676" s="13"/>
      <c r="G676" s="13"/>
      <c r="H676" s="13"/>
      <c r="I676" s="13"/>
      <c r="J676" s="13"/>
    </row>
    <row r="677" spans="1:10">
      <c r="A677" s="1">
        <v>960</v>
      </c>
      <c r="B677" s="1">
        <v>108</v>
      </c>
      <c r="C677" s="1">
        <v>300</v>
      </c>
      <c r="D677" s="13"/>
      <c r="E677" s="13"/>
      <c r="F677" s="13"/>
      <c r="G677" s="13"/>
      <c r="H677" s="13"/>
      <c r="I677" s="13"/>
      <c r="J677" s="13"/>
    </row>
    <row r="678" spans="1:10">
      <c r="A678" s="1">
        <v>961</v>
      </c>
      <c r="B678" s="1">
        <v>108</v>
      </c>
      <c r="C678" s="1">
        <v>300</v>
      </c>
      <c r="D678" s="13"/>
      <c r="E678" s="13"/>
      <c r="F678" s="13"/>
      <c r="G678" s="13"/>
      <c r="H678" s="13"/>
      <c r="I678" s="13"/>
      <c r="J678" s="13"/>
    </row>
    <row r="679" spans="1:10">
      <c r="A679" s="1">
        <v>962</v>
      </c>
      <c r="B679" s="1">
        <v>108</v>
      </c>
      <c r="C679" s="1">
        <v>300</v>
      </c>
      <c r="D679" s="13"/>
      <c r="E679" s="13"/>
      <c r="F679" s="13"/>
      <c r="G679" s="13"/>
      <c r="H679" s="13"/>
      <c r="I679" s="13"/>
      <c r="J679" s="13"/>
    </row>
    <row r="680" spans="1:10">
      <c r="A680" s="1">
        <v>963</v>
      </c>
      <c r="B680" s="1">
        <v>108</v>
      </c>
      <c r="C680" s="1">
        <v>300</v>
      </c>
      <c r="D680" s="13"/>
      <c r="E680" s="13"/>
      <c r="F680" s="13"/>
      <c r="G680" s="13"/>
      <c r="H680" s="13"/>
      <c r="I680" s="13"/>
      <c r="J680" s="13"/>
    </row>
    <row r="681" spans="1:10">
      <c r="A681" s="1">
        <v>964</v>
      </c>
      <c r="B681" s="1">
        <v>108</v>
      </c>
      <c r="C681" s="1">
        <v>300</v>
      </c>
      <c r="D681" s="13"/>
      <c r="E681" s="13"/>
      <c r="F681" s="13"/>
      <c r="G681" s="13"/>
      <c r="H681" s="13"/>
      <c r="I681" s="13"/>
      <c r="J681" s="13"/>
    </row>
    <row r="682" spans="1:10">
      <c r="A682" s="1">
        <v>965</v>
      </c>
      <c r="B682" s="1">
        <v>108</v>
      </c>
      <c r="C682" s="1">
        <v>300</v>
      </c>
      <c r="D682" s="13"/>
      <c r="E682" s="13"/>
      <c r="F682" s="13"/>
      <c r="G682" s="13"/>
      <c r="H682" s="13"/>
      <c r="I682" s="13"/>
      <c r="J682" s="13"/>
    </row>
    <row r="683" spans="1:10">
      <c r="A683" s="1">
        <v>966</v>
      </c>
      <c r="B683" s="1">
        <v>108</v>
      </c>
      <c r="C683" s="1">
        <v>300</v>
      </c>
      <c r="D683" s="13"/>
      <c r="E683" s="13"/>
      <c r="F683" s="13"/>
      <c r="G683" s="13"/>
      <c r="H683" s="13"/>
      <c r="I683" s="13"/>
      <c r="J683" s="13"/>
    </row>
    <row r="684" spans="1:10">
      <c r="A684" s="1">
        <v>967</v>
      </c>
      <c r="B684" s="1">
        <v>108</v>
      </c>
      <c r="C684" s="1">
        <v>300</v>
      </c>
      <c r="D684" s="13"/>
      <c r="E684" s="13"/>
      <c r="F684" s="13"/>
      <c r="G684" s="13"/>
      <c r="H684" s="13"/>
      <c r="I684" s="13"/>
      <c r="J684" s="13"/>
    </row>
    <row r="685" spans="1:10">
      <c r="A685" s="1">
        <v>968</v>
      </c>
      <c r="B685" s="1">
        <v>108</v>
      </c>
      <c r="C685" s="1">
        <v>300</v>
      </c>
      <c r="D685" s="13"/>
      <c r="E685" s="13"/>
      <c r="F685" s="13"/>
      <c r="G685" s="13"/>
      <c r="H685" s="13"/>
      <c r="I685" s="13"/>
      <c r="J685" s="13"/>
    </row>
    <row r="686" spans="1:10">
      <c r="A686" s="1">
        <v>969</v>
      </c>
      <c r="B686" s="1">
        <v>108</v>
      </c>
      <c r="C686" s="1">
        <v>300</v>
      </c>
      <c r="D686" s="13"/>
      <c r="E686" s="13"/>
      <c r="F686" s="13"/>
      <c r="G686" s="13"/>
      <c r="H686" s="13"/>
      <c r="I686" s="13"/>
      <c r="J686" s="13"/>
    </row>
    <row r="687" spans="1:10">
      <c r="A687" s="1">
        <v>970</v>
      </c>
      <c r="B687" s="1">
        <v>108</v>
      </c>
      <c r="C687" s="1">
        <v>300</v>
      </c>
      <c r="D687" s="13"/>
      <c r="E687" s="13"/>
      <c r="F687" s="13"/>
      <c r="G687" s="13"/>
      <c r="H687" s="13"/>
      <c r="I687" s="13"/>
      <c r="J687" s="13"/>
    </row>
    <row r="688" spans="1:10">
      <c r="A688" s="1">
        <v>971</v>
      </c>
      <c r="B688" s="1">
        <v>108</v>
      </c>
      <c r="C688" s="1">
        <v>300</v>
      </c>
      <c r="D688" s="13"/>
      <c r="E688" s="13"/>
      <c r="F688" s="13"/>
      <c r="G688" s="13"/>
      <c r="H688" s="13"/>
      <c r="I688" s="13"/>
      <c r="J688" s="13"/>
    </row>
    <row r="689" spans="1:10">
      <c r="A689" s="1">
        <v>972</v>
      </c>
      <c r="B689" s="1">
        <v>108</v>
      </c>
      <c r="C689" s="1">
        <v>300</v>
      </c>
      <c r="D689" s="13"/>
      <c r="E689" s="13"/>
      <c r="F689" s="13"/>
      <c r="G689" s="13"/>
      <c r="H689" s="13"/>
      <c r="I689" s="13"/>
      <c r="J689" s="13"/>
    </row>
    <row r="690" spans="1:10">
      <c r="A690" s="1">
        <v>973</v>
      </c>
      <c r="B690" s="1">
        <v>108</v>
      </c>
      <c r="C690" s="1">
        <v>300</v>
      </c>
      <c r="D690" s="13"/>
      <c r="E690" s="13"/>
      <c r="F690" s="13"/>
      <c r="G690" s="13"/>
      <c r="H690" s="13"/>
      <c r="I690" s="13"/>
      <c r="J690" s="13"/>
    </row>
    <row r="691" spans="1:10">
      <c r="A691" s="1">
        <v>974</v>
      </c>
      <c r="B691" s="1">
        <v>108</v>
      </c>
      <c r="C691" s="1">
        <v>300</v>
      </c>
      <c r="D691" s="13"/>
      <c r="E691" s="13"/>
      <c r="F691" s="13"/>
      <c r="G691" s="13"/>
      <c r="H691" s="13"/>
      <c r="I691" s="13"/>
      <c r="J691" s="13"/>
    </row>
    <row r="692" spans="1:10">
      <c r="A692" s="1">
        <v>975</v>
      </c>
      <c r="B692" s="1">
        <v>108</v>
      </c>
      <c r="C692" s="1">
        <v>300</v>
      </c>
      <c r="D692" s="13"/>
      <c r="E692" s="13"/>
      <c r="F692" s="13"/>
      <c r="G692" s="13"/>
      <c r="H692" s="13"/>
      <c r="I692" s="13"/>
      <c r="J692" s="13"/>
    </row>
    <row r="693" spans="1:10">
      <c r="A693" s="1">
        <v>976</v>
      </c>
      <c r="B693" s="1">
        <v>108</v>
      </c>
      <c r="C693" s="1">
        <v>300</v>
      </c>
      <c r="D693" s="13"/>
      <c r="E693" s="13"/>
      <c r="F693" s="13"/>
      <c r="G693" s="13"/>
      <c r="H693" s="13"/>
      <c r="I693" s="13"/>
      <c r="J693" s="13"/>
    </row>
    <row r="694" spans="1:10">
      <c r="A694" s="1">
        <v>977</v>
      </c>
      <c r="B694" s="1">
        <v>108</v>
      </c>
      <c r="C694" s="1">
        <v>300</v>
      </c>
      <c r="D694" s="13"/>
      <c r="E694" s="13"/>
      <c r="F694" s="13"/>
      <c r="G694" s="13"/>
      <c r="H694" s="13"/>
      <c r="I694" s="13"/>
      <c r="J694" s="13"/>
    </row>
    <row r="695" spans="1:10">
      <c r="A695" s="1">
        <v>978</v>
      </c>
      <c r="B695" s="1">
        <v>108</v>
      </c>
      <c r="C695" s="1">
        <v>300</v>
      </c>
      <c r="D695" s="13"/>
      <c r="E695" s="13"/>
      <c r="F695" s="13"/>
      <c r="G695" s="13"/>
      <c r="H695" s="13"/>
      <c r="I695" s="13"/>
      <c r="J695" s="13"/>
    </row>
    <row r="696" spans="1:10">
      <c r="A696" s="1">
        <v>979</v>
      </c>
      <c r="B696" s="1">
        <v>109</v>
      </c>
      <c r="C696" s="1">
        <v>300</v>
      </c>
      <c r="D696" s="13"/>
      <c r="E696" s="13"/>
      <c r="F696" s="13"/>
      <c r="G696" s="13"/>
      <c r="H696" s="13"/>
      <c r="I696" s="13"/>
      <c r="J696" s="13"/>
    </row>
    <row r="697" spans="1:10">
      <c r="A697" s="1">
        <v>980</v>
      </c>
      <c r="B697" s="1">
        <v>109</v>
      </c>
      <c r="C697" s="1">
        <v>300</v>
      </c>
      <c r="D697" s="13"/>
      <c r="E697" s="13"/>
      <c r="F697" s="13"/>
      <c r="G697" s="13"/>
      <c r="H697" s="13"/>
      <c r="I697" s="13"/>
      <c r="J697" s="13"/>
    </row>
    <row r="698" spans="1:10">
      <c r="A698" s="1">
        <v>981</v>
      </c>
      <c r="B698" s="1">
        <v>109</v>
      </c>
      <c r="C698" s="1">
        <v>300</v>
      </c>
      <c r="D698" s="13"/>
      <c r="E698" s="13"/>
      <c r="F698" s="13"/>
      <c r="G698" s="13"/>
      <c r="H698" s="13"/>
      <c r="I698" s="13"/>
      <c r="J698" s="13"/>
    </row>
    <row r="699" spans="1:10">
      <c r="A699" s="1">
        <v>982</v>
      </c>
      <c r="B699" s="1">
        <v>109</v>
      </c>
      <c r="C699" s="1">
        <v>300</v>
      </c>
      <c r="D699" s="13"/>
      <c r="E699" s="13"/>
      <c r="F699" s="13"/>
      <c r="G699" s="13"/>
      <c r="H699" s="13"/>
      <c r="I699" s="13"/>
      <c r="J699" s="13"/>
    </row>
    <row r="700" spans="1:10">
      <c r="A700" s="1">
        <v>983</v>
      </c>
      <c r="B700" s="1">
        <v>109</v>
      </c>
      <c r="C700" s="1">
        <v>300</v>
      </c>
      <c r="D700" s="13"/>
      <c r="E700" s="13"/>
      <c r="F700" s="13"/>
      <c r="G700" s="13"/>
      <c r="H700" s="13"/>
      <c r="I700" s="13"/>
      <c r="J700" s="13"/>
    </row>
    <row r="701" spans="1:10">
      <c r="A701" s="1">
        <v>984</v>
      </c>
      <c r="B701" s="1">
        <v>109</v>
      </c>
      <c r="C701" s="1">
        <v>300</v>
      </c>
      <c r="D701" s="13"/>
      <c r="E701" s="13"/>
      <c r="F701" s="13"/>
      <c r="G701" s="13"/>
      <c r="H701" s="13"/>
      <c r="I701" s="13"/>
      <c r="J701" s="13"/>
    </row>
    <row r="702" spans="1:10">
      <c r="A702" s="1">
        <v>985</v>
      </c>
      <c r="B702" s="1">
        <v>109</v>
      </c>
      <c r="C702" s="1">
        <v>300</v>
      </c>
      <c r="D702" s="13"/>
      <c r="E702" s="13"/>
      <c r="F702" s="13"/>
      <c r="G702" s="13"/>
      <c r="H702" s="13"/>
      <c r="I702" s="13"/>
      <c r="J702" s="13"/>
    </row>
    <row r="703" spans="1:10">
      <c r="A703" s="1">
        <v>986</v>
      </c>
      <c r="B703" s="1">
        <v>109</v>
      </c>
      <c r="C703" s="1">
        <v>300</v>
      </c>
      <c r="D703" s="13"/>
      <c r="E703" s="13"/>
      <c r="F703" s="13"/>
      <c r="G703" s="13"/>
      <c r="H703" s="13"/>
      <c r="I703" s="13"/>
      <c r="J703" s="13"/>
    </row>
    <row r="704" spans="1:10">
      <c r="A704" s="1">
        <v>987</v>
      </c>
      <c r="B704" s="1">
        <v>109</v>
      </c>
      <c r="C704" s="1">
        <v>300</v>
      </c>
      <c r="D704" s="13"/>
      <c r="E704" s="13"/>
      <c r="F704" s="13"/>
      <c r="G704" s="13"/>
      <c r="H704" s="13"/>
      <c r="I704" s="13"/>
      <c r="J704" s="13"/>
    </row>
    <row r="705" spans="1:10">
      <c r="A705" s="1">
        <v>988</v>
      </c>
      <c r="B705" s="1">
        <v>109</v>
      </c>
      <c r="C705" s="1">
        <v>300</v>
      </c>
      <c r="D705" s="13"/>
      <c r="E705" s="13"/>
      <c r="F705" s="13"/>
      <c r="G705" s="13"/>
      <c r="H705" s="13"/>
      <c r="I705" s="13"/>
      <c r="J705" s="13"/>
    </row>
    <row r="706" spans="1:10">
      <c r="A706" s="1">
        <v>989</v>
      </c>
      <c r="B706" s="1">
        <v>110</v>
      </c>
      <c r="C706" s="1">
        <v>300</v>
      </c>
      <c r="D706" s="13"/>
      <c r="E706" s="13"/>
      <c r="F706" s="13"/>
      <c r="G706" s="13"/>
      <c r="H706" s="13"/>
      <c r="I706" s="13"/>
      <c r="J706" s="13"/>
    </row>
    <row r="707" spans="1:10">
      <c r="A707" s="1">
        <v>989</v>
      </c>
      <c r="B707" s="1">
        <v>111</v>
      </c>
      <c r="C707" s="1">
        <v>300</v>
      </c>
      <c r="D707" s="13"/>
      <c r="E707" s="13"/>
      <c r="F707" s="13"/>
      <c r="G707" s="13"/>
      <c r="H707" s="13"/>
      <c r="I707" s="13"/>
      <c r="J707" s="13"/>
    </row>
    <row r="708" spans="1:10">
      <c r="A708" s="1">
        <v>990</v>
      </c>
      <c r="B708" s="1">
        <v>110</v>
      </c>
      <c r="C708" s="1">
        <v>300</v>
      </c>
      <c r="D708" s="13"/>
      <c r="E708" s="13"/>
      <c r="F708" s="13"/>
      <c r="G708" s="13"/>
      <c r="H708" s="13"/>
      <c r="I708" s="13"/>
      <c r="J708" s="13"/>
    </row>
    <row r="709" spans="1:10">
      <c r="A709" s="1">
        <v>990</v>
      </c>
      <c r="B709" s="1">
        <v>111</v>
      </c>
      <c r="C709" s="1">
        <v>300</v>
      </c>
      <c r="D709" s="13"/>
      <c r="E709" s="13"/>
      <c r="F709" s="13"/>
      <c r="G709" s="13"/>
      <c r="H709" s="13"/>
      <c r="I709" s="13"/>
      <c r="J709" s="13"/>
    </row>
    <row r="710" spans="1:10">
      <c r="A710" s="1">
        <v>991</v>
      </c>
      <c r="B710" s="1">
        <v>110</v>
      </c>
      <c r="C710" s="1">
        <v>300</v>
      </c>
      <c r="D710" s="13"/>
      <c r="E710" s="13"/>
      <c r="F710" s="13"/>
      <c r="G710" s="13"/>
      <c r="H710" s="13"/>
      <c r="I710" s="13"/>
      <c r="J710" s="13"/>
    </row>
    <row r="711" spans="1:10">
      <c r="A711" s="1">
        <v>991</v>
      </c>
      <c r="B711" s="1">
        <v>111</v>
      </c>
      <c r="C711" s="1">
        <v>300</v>
      </c>
      <c r="D711" s="13"/>
      <c r="E711" s="13"/>
      <c r="F711" s="13"/>
      <c r="G711" s="13"/>
      <c r="H711" s="13"/>
      <c r="I711" s="13"/>
      <c r="J711" s="13"/>
    </row>
    <row r="712" spans="1:10">
      <c r="A712" s="1">
        <v>992</v>
      </c>
      <c r="B712" s="1">
        <v>110</v>
      </c>
      <c r="C712" s="1">
        <v>300</v>
      </c>
      <c r="D712" s="13"/>
      <c r="E712" s="13"/>
      <c r="F712" s="13"/>
      <c r="G712" s="13"/>
      <c r="H712" s="13"/>
      <c r="I712" s="13"/>
      <c r="J712" s="13"/>
    </row>
    <row r="713" spans="1:10">
      <c r="A713" s="1">
        <v>992</v>
      </c>
      <c r="B713" s="1">
        <v>111</v>
      </c>
      <c r="C713" s="1">
        <v>300</v>
      </c>
      <c r="D713" s="13"/>
      <c r="E713" s="13"/>
      <c r="F713" s="13"/>
      <c r="G713" s="13"/>
      <c r="H713" s="13"/>
      <c r="I713" s="13"/>
      <c r="J713" s="13"/>
    </row>
    <row r="714" spans="1:10">
      <c r="A714" s="1">
        <v>993</v>
      </c>
      <c r="B714" s="1">
        <v>110</v>
      </c>
      <c r="C714" s="1">
        <v>300</v>
      </c>
      <c r="D714" s="13"/>
      <c r="E714" s="13"/>
      <c r="F714" s="13"/>
      <c r="G714" s="13"/>
      <c r="H714" s="13"/>
      <c r="I714" s="13"/>
      <c r="J714" s="13"/>
    </row>
    <row r="715" spans="1:10">
      <c r="A715" s="1">
        <v>993</v>
      </c>
      <c r="B715" s="1">
        <v>111</v>
      </c>
      <c r="C715" s="1">
        <v>300</v>
      </c>
      <c r="D715" s="13"/>
      <c r="E715" s="13"/>
      <c r="F715" s="13"/>
      <c r="G715" s="13"/>
      <c r="H715" s="13"/>
      <c r="I715" s="13"/>
      <c r="J715" s="13"/>
    </row>
    <row r="716" spans="1:10">
      <c r="A716" s="1">
        <v>994</v>
      </c>
      <c r="B716" s="1">
        <v>110</v>
      </c>
      <c r="C716" s="1">
        <v>300</v>
      </c>
      <c r="D716" s="13"/>
      <c r="E716" s="13"/>
      <c r="F716" s="13"/>
      <c r="G716" s="13"/>
      <c r="H716" s="13"/>
      <c r="I716" s="13"/>
      <c r="J716" s="13"/>
    </row>
    <row r="717" spans="1:10">
      <c r="A717" s="1">
        <v>994</v>
      </c>
      <c r="B717" s="1">
        <v>111</v>
      </c>
      <c r="C717" s="1">
        <v>300</v>
      </c>
      <c r="D717" s="13"/>
      <c r="E717" s="13"/>
      <c r="F717" s="13"/>
      <c r="G717" s="13"/>
      <c r="H717" s="13"/>
      <c r="I717" s="13"/>
      <c r="J717" s="13"/>
    </row>
    <row r="718" spans="1:10">
      <c r="A718" s="1">
        <v>995</v>
      </c>
      <c r="B718" s="1">
        <v>110</v>
      </c>
      <c r="C718" s="1">
        <v>300</v>
      </c>
      <c r="D718" s="13"/>
      <c r="E718" s="13"/>
      <c r="F718" s="13"/>
      <c r="G718" s="13"/>
      <c r="H718" s="13"/>
      <c r="I718" s="13"/>
      <c r="J718" s="13"/>
    </row>
    <row r="719" spans="1:10">
      <c r="A719" s="1">
        <v>995</v>
      </c>
      <c r="B719" s="1">
        <v>111</v>
      </c>
      <c r="C719" s="1">
        <v>300</v>
      </c>
      <c r="D719" s="13"/>
      <c r="E719" s="13"/>
      <c r="F719" s="13"/>
      <c r="G719" s="13"/>
      <c r="H719" s="13"/>
      <c r="I719" s="13"/>
      <c r="J719" s="13"/>
    </row>
    <row r="720" spans="1:10">
      <c r="A720" s="1">
        <v>996</v>
      </c>
      <c r="B720" s="1">
        <v>110</v>
      </c>
      <c r="C720" s="1">
        <v>300</v>
      </c>
      <c r="D720" s="13"/>
      <c r="E720" s="13"/>
      <c r="F720" s="13"/>
      <c r="G720" s="13"/>
      <c r="H720" s="13"/>
      <c r="I720" s="13"/>
      <c r="J720" s="13"/>
    </row>
    <row r="721" spans="1:10">
      <c r="A721" s="1">
        <v>996</v>
      </c>
      <c r="B721" s="1">
        <v>111</v>
      </c>
      <c r="C721" s="1">
        <v>300</v>
      </c>
      <c r="D721" s="13"/>
      <c r="E721" s="13"/>
      <c r="F721" s="13"/>
      <c r="G721" s="13"/>
      <c r="H721" s="13"/>
      <c r="I721" s="13"/>
      <c r="J721" s="13"/>
    </row>
    <row r="722" spans="1:10">
      <c r="A722" s="1">
        <v>997</v>
      </c>
      <c r="B722" s="1">
        <v>110</v>
      </c>
      <c r="C722" s="1">
        <v>300</v>
      </c>
      <c r="D722" s="13"/>
      <c r="E722" s="13"/>
      <c r="F722" s="13"/>
      <c r="G722" s="13"/>
      <c r="H722" s="13"/>
      <c r="I722" s="13"/>
      <c r="J722" s="13"/>
    </row>
    <row r="723" spans="1:10">
      <c r="A723" s="1">
        <v>997</v>
      </c>
      <c r="B723" s="1">
        <v>111</v>
      </c>
      <c r="C723" s="1">
        <v>300</v>
      </c>
      <c r="D723" s="13"/>
      <c r="E723" s="13"/>
      <c r="F723" s="13"/>
      <c r="G723" s="13"/>
      <c r="H723" s="13"/>
      <c r="I723" s="13"/>
      <c r="J723" s="13"/>
    </row>
    <row r="724" spans="1:10">
      <c r="A724" s="1">
        <v>998</v>
      </c>
      <c r="B724" s="1">
        <v>110</v>
      </c>
      <c r="C724" s="1">
        <v>300</v>
      </c>
      <c r="D724" s="13"/>
      <c r="E724" s="13"/>
      <c r="F724" s="13"/>
      <c r="G724" s="13"/>
      <c r="H724" s="13"/>
      <c r="I724" s="13"/>
      <c r="J724" s="13"/>
    </row>
    <row r="725" spans="1:10">
      <c r="A725" s="1">
        <v>998</v>
      </c>
      <c r="B725" s="1">
        <v>111</v>
      </c>
      <c r="C725" s="1">
        <v>300</v>
      </c>
      <c r="D725" s="13"/>
      <c r="E725" s="13"/>
      <c r="F725" s="13"/>
      <c r="G725" s="13"/>
      <c r="H725" s="13"/>
      <c r="I725" s="13"/>
      <c r="J725" s="13"/>
    </row>
    <row r="726" spans="1:10">
      <c r="A726" s="1">
        <v>999</v>
      </c>
      <c r="B726" s="1">
        <v>112</v>
      </c>
      <c r="C726" s="1">
        <v>300</v>
      </c>
      <c r="D726" s="13"/>
      <c r="E726" s="13"/>
      <c r="F726" s="13"/>
      <c r="G726" s="13"/>
      <c r="H726" s="13"/>
      <c r="I726" s="13"/>
      <c r="J726" s="13"/>
    </row>
    <row r="727" spans="1:10">
      <c r="A727" s="1">
        <v>1000</v>
      </c>
      <c r="B727" s="1">
        <v>112</v>
      </c>
      <c r="C727" s="1">
        <v>300</v>
      </c>
      <c r="D727" s="13"/>
      <c r="E727" s="13"/>
      <c r="F727" s="13"/>
      <c r="G727" s="13"/>
      <c r="H727" s="13"/>
      <c r="I727" s="13"/>
      <c r="J727" s="13"/>
    </row>
    <row r="728" spans="1:10">
      <c r="A728" s="1">
        <v>1001</v>
      </c>
      <c r="B728" s="1">
        <v>112</v>
      </c>
      <c r="C728" s="1">
        <v>300</v>
      </c>
      <c r="D728" s="13"/>
      <c r="E728" s="13"/>
      <c r="F728" s="13"/>
      <c r="G728" s="13"/>
      <c r="H728" s="13"/>
      <c r="I728" s="13"/>
      <c r="J728" s="13"/>
    </row>
    <row r="729" spans="1:10">
      <c r="A729" s="1">
        <v>1002</v>
      </c>
      <c r="B729" s="1">
        <v>112</v>
      </c>
      <c r="C729" s="1">
        <v>300</v>
      </c>
      <c r="D729" s="13"/>
      <c r="E729" s="13"/>
      <c r="F729" s="13"/>
      <c r="G729" s="13"/>
      <c r="H729" s="13"/>
      <c r="I729" s="13"/>
      <c r="J729" s="13"/>
    </row>
    <row r="730" spans="1:10">
      <c r="A730" s="1">
        <v>1003</v>
      </c>
      <c r="B730" s="1">
        <v>112</v>
      </c>
      <c r="C730" s="1">
        <v>300</v>
      </c>
      <c r="D730" s="13"/>
      <c r="E730" s="13"/>
      <c r="F730" s="13"/>
      <c r="G730" s="13"/>
      <c r="H730" s="13"/>
      <c r="I730" s="13"/>
      <c r="J730" s="13"/>
    </row>
    <row r="731" spans="1:10">
      <c r="A731" s="1">
        <v>1004</v>
      </c>
      <c r="B731" s="1">
        <v>112</v>
      </c>
      <c r="C731" s="1">
        <v>300</v>
      </c>
      <c r="D731" s="13"/>
      <c r="E731" s="13"/>
      <c r="F731" s="13"/>
      <c r="G731" s="13"/>
      <c r="H731" s="13"/>
      <c r="I731" s="13"/>
      <c r="J731" s="13"/>
    </row>
    <row r="732" spans="1:10">
      <c r="A732" s="1">
        <v>1005</v>
      </c>
      <c r="B732" s="1">
        <v>112</v>
      </c>
      <c r="C732" s="1">
        <v>300</v>
      </c>
      <c r="D732" s="13"/>
      <c r="E732" s="13"/>
      <c r="F732" s="13"/>
      <c r="G732" s="13"/>
      <c r="H732" s="13"/>
      <c r="I732" s="13"/>
      <c r="J732" s="13"/>
    </row>
    <row r="733" spans="1:10">
      <c r="A733" s="1">
        <v>1006</v>
      </c>
      <c r="B733" s="1">
        <v>112</v>
      </c>
      <c r="C733" s="1">
        <v>300</v>
      </c>
      <c r="D733" s="13"/>
      <c r="E733" s="13"/>
      <c r="F733" s="13"/>
      <c r="G733" s="13"/>
      <c r="H733" s="13"/>
      <c r="I733" s="13"/>
      <c r="J733" s="13"/>
    </row>
    <row r="734" spans="1:10">
      <c r="A734" s="1">
        <v>1007</v>
      </c>
      <c r="B734" s="1">
        <v>112</v>
      </c>
      <c r="C734" s="1">
        <v>300</v>
      </c>
      <c r="D734" s="13"/>
      <c r="E734" s="13"/>
      <c r="F734" s="13"/>
      <c r="G734" s="13"/>
      <c r="H734" s="13"/>
      <c r="I734" s="13"/>
      <c r="J734" s="13"/>
    </row>
    <row r="735" spans="1:10">
      <c r="A735" s="1">
        <v>1008</v>
      </c>
      <c r="B735" s="1">
        <v>112</v>
      </c>
      <c r="C735" s="1">
        <v>300</v>
      </c>
      <c r="D735" s="13"/>
      <c r="E735" s="13"/>
      <c r="F735" s="13"/>
      <c r="G735" s="13"/>
      <c r="H735" s="13"/>
      <c r="I735" s="13"/>
      <c r="J735" s="13"/>
    </row>
    <row r="736" spans="1:10">
      <c r="A736" s="1">
        <v>1009</v>
      </c>
      <c r="B736" s="1">
        <v>113</v>
      </c>
      <c r="C736" s="1">
        <v>300</v>
      </c>
      <c r="D736" s="13"/>
      <c r="E736" s="13"/>
      <c r="F736" s="13"/>
      <c r="G736" s="13"/>
      <c r="H736" s="13"/>
      <c r="I736" s="13"/>
      <c r="J736" s="13"/>
    </row>
    <row r="737" spans="1:10">
      <c r="A737" s="1">
        <v>1010</v>
      </c>
      <c r="B737" s="1">
        <v>113</v>
      </c>
      <c r="C737" s="1">
        <v>300</v>
      </c>
      <c r="D737" s="13"/>
      <c r="E737" s="13"/>
      <c r="F737" s="13"/>
      <c r="G737" s="13"/>
      <c r="H737" s="13"/>
      <c r="I737" s="13"/>
      <c r="J737" s="13"/>
    </row>
    <row r="738" spans="1:10">
      <c r="A738" s="1">
        <v>1011</v>
      </c>
      <c r="B738" s="1">
        <v>113</v>
      </c>
      <c r="C738" s="1">
        <v>300</v>
      </c>
      <c r="D738" s="13"/>
      <c r="E738" s="13"/>
      <c r="F738" s="13"/>
      <c r="G738" s="13"/>
      <c r="H738" s="13"/>
      <c r="I738" s="13"/>
      <c r="J738" s="13"/>
    </row>
    <row r="739" spans="1:10">
      <c r="A739" s="1">
        <v>1012</v>
      </c>
      <c r="B739" s="1">
        <v>113</v>
      </c>
      <c r="C739" s="1">
        <v>300</v>
      </c>
      <c r="D739" s="13"/>
      <c r="E739" s="13"/>
      <c r="F739" s="13"/>
      <c r="G739" s="13"/>
      <c r="H739" s="13"/>
      <c r="I739" s="13"/>
      <c r="J739" s="13"/>
    </row>
    <row r="740" spans="1:10">
      <c r="A740" s="1">
        <v>1013</v>
      </c>
      <c r="B740" s="1">
        <v>113</v>
      </c>
      <c r="C740" s="1">
        <v>300</v>
      </c>
      <c r="D740" s="13"/>
      <c r="E740" s="13"/>
      <c r="F740" s="13"/>
      <c r="G740" s="13"/>
      <c r="H740" s="13"/>
      <c r="I740" s="13"/>
      <c r="J740" s="13"/>
    </row>
    <row r="741" spans="1:10">
      <c r="A741" s="1">
        <v>1014</v>
      </c>
      <c r="B741" s="1">
        <v>113</v>
      </c>
      <c r="C741" s="1">
        <v>300</v>
      </c>
      <c r="D741" s="13"/>
      <c r="E741" s="13"/>
      <c r="F741" s="13"/>
      <c r="G741" s="13"/>
      <c r="H741" s="13"/>
      <c r="I741" s="13"/>
      <c r="J741" s="13"/>
    </row>
    <row r="742" spans="1:10">
      <c r="A742" s="1">
        <v>1015</v>
      </c>
      <c r="B742" s="1">
        <v>113</v>
      </c>
      <c r="C742" s="1">
        <v>200</v>
      </c>
      <c r="D742" s="13"/>
      <c r="E742" s="13"/>
      <c r="F742" s="13"/>
      <c r="G742" s="13"/>
      <c r="H742" s="13"/>
      <c r="I742" s="13"/>
      <c r="J742" s="13"/>
    </row>
    <row r="743" spans="1:10">
      <c r="A743" s="1">
        <v>1016</v>
      </c>
      <c r="B743" s="1">
        <v>114</v>
      </c>
      <c r="C743" s="1">
        <v>300</v>
      </c>
      <c r="D743" s="13"/>
      <c r="E743" s="13"/>
      <c r="F743" s="13"/>
      <c r="G743" s="13"/>
      <c r="H743" s="13"/>
      <c r="I743" s="13"/>
      <c r="J743" s="13"/>
    </row>
    <row r="744" spans="1:10">
      <c r="A744" s="1">
        <v>1017</v>
      </c>
      <c r="B744" s="1">
        <v>114</v>
      </c>
      <c r="C744" s="1">
        <v>300</v>
      </c>
      <c r="D744" s="13"/>
      <c r="E744" s="13"/>
      <c r="F744" s="13"/>
      <c r="G744" s="13"/>
      <c r="H744" s="13"/>
      <c r="I744" s="13"/>
      <c r="J744" s="13"/>
    </row>
    <row r="745" spans="1:10">
      <c r="A745" s="1">
        <v>1018</v>
      </c>
      <c r="B745" s="1">
        <v>114</v>
      </c>
      <c r="C745" s="1">
        <v>300</v>
      </c>
      <c r="D745" s="13"/>
      <c r="E745" s="13"/>
      <c r="F745" s="13"/>
      <c r="G745" s="13"/>
      <c r="H745" s="13"/>
      <c r="I745" s="13"/>
      <c r="J745" s="13"/>
    </row>
    <row r="746" spans="1:10">
      <c r="A746" s="1">
        <v>1019</v>
      </c>
      <c r="B746" s="1">
        <v>114</v>
      </c>
      <c r="C746" s="1">
        <v>300</v>
      </c>
      <c r="D746" s="13"/>
      <c r="E746" s="13"/>
      <c r="F746" s="13"/>
      <c r="G746" s="13"/>
      <c r="H746" s="13"/>
      <c r="I746" s="13"/>
      <c r="J746" s="13"/>
    </row>
    <row r="747" spans="1:10">
      <c r="A747" s="1">
        <v>1020</v>
      </c>
      <c r="B747" s="1">
        <v>114</v>
      </c>
      <c r="C747" s="1">
        <v>300</v>
      </c>
      <c r="D747" s="13"/>
      <c r="E747" s="13"/>
      <c r="F747" s="13"/>
      <c r="G747" s="13"/>
      <c r="H747" s="13"/>
      <c r="I747" s="13"/>
      <c r="J747" s="13"/>
    </row>
    <row r="748" spans="1:10">
      <c r="A748" s="1">
        <v>1021</v>
      </c>
      <c r="B748" s="1">
        <v>114</v>
      </c>
      <c r="C748" s="1">
        <v>300</v>
      </c>
      <c r="D748" s="13"/>
      <c r="E748" s="13"/>
      <c r="F748" s="13"/>
      <c r="G748" s="13"/>
      <c r="H748" s="13"/>
      <c r="I748" s="13"/>
      <c r="J748" s="13"/>
    </row>
    <row r="749" spans="1:10">
      <c r="A749" s="1">
        <v>1022</v>
      </c>
      <c r="B749" s="1">
        <v>114</v>
      </c>
      <c r="C749" s="1">
        <v>300</v>
      </c>
      <c r="D749" s="13"/>
      <c r="E749" s="13"/>
      <c r="F749" s="13"/>
      <c r="G749" s="13"/>
      <c r="H749" s="13"/>
      <c r="I749" s="13"/>
      <c r="J749" s="13"/>
    </row>
    <row r="750" spans="1:10">
      <c r="A750" s="1">
        <v>1023</v>
      </c>
      <c r="B750" s="1">
        <v>114</v>
      </c>
      <c r="C750" s="1">
        <v>300</v>
      </c>
      <c r="D750" s="13"/>
      <c r="E750" s="13"/>
      <c r="F750" s="13"/>
      <c r="G750" s="13"/>
      <c r="H750" s="13"/>
      <c r="I750" s="13"/>
      <c r="J750" s="13"/>
    </row>
    <row r="751" spans="1:10">
      <c r="A751" s="1">
        <v>1024</v>
      </c>
      <c r="B751" s="1">
        <v>114</v>
      </c>
      <c r="C751" s="1">
        <v>300</v>
      </c>
      <c r="D751" s="13"/>
      <c r="E751" s="13"/>
      <c r="F751" s="13"/>
      <c r="G751" s="13"/>
      <c r="H751" s="13"/>
      <c r="I751" s="13"/>
      <c r="J751" s="13"/>
    </row>
    <row r="752" spans="1:10">
      <c r="A752" s="1">
        <v>1025</v>
      </c>
      <c r="B752" s="1">
        <v>114</v>
      </c>
      <c r="C752" s="1">
        <v>300</v>
      </c>
      <c r="D752" s="13"/>
      <c r="E752" s="13"/>
      <c r="F752" s="13"/>
      <c r="G752" s="13"/>
      <c r="H752" s="13"/>
      <c r="I752" s="13"/>
      <c r="J752" s="13"/>
    </row>
    <row r="753" spans="1:10">
      <c r="A753" s="1">
        <v>1026</v>
      </c>
      <c r="B753" s="1">
        <v>114</v>
      </c>
      <c r="C753" s="1">
        <v>300</v>
      </c>
      <c r="D753" s="13"/>
      <c r="E753" s="13"/>
      <c r="F753" s="13"/>
      <c r="G753" s="13"/>
      <c r="H753" s="13"/>
      <c r="I753" s="13"/>
      <c r="J753" s="13"/>
    </row>
    <row r="754" spans="1:10">
      <c r="A754" s="1">
        <v>1027</v>
      </c>
      <c r="B754" s="1">
        <v>114</v>
      </c>
      <c r="C754" s="1">
        <v>300</v>
      </c>
      <c r="D754" s="13"/>
      <c r="E754" s="13"/>
      <c r="F754" s="13"/>
      <c r="G754" s="13"/>
      <c r="H754" s="13"/>
      <c r="I754" s="13"/>
      <c r="J754" s="13"/>
    </row>
    <row r="755" spans="1:10">
      <c r="A755" s="1">
        <v>1028</v>
      </c>
      <c r="B755" s="1">
        <v>114</v>
      </c>
      <c r="C755" s="1">
        <v>300</v>
      </c>
      <c r="D755" s="13"/>
      <c r="E755" s="13"/>
      <c r="F755" s="13"/>
      <c r="G755" s="13"/>
      <c r="H755" s="13"/>
      <c r="I755" s="13"/>
      <c r="J755" s="13"/>
    </row>
    <row r="756" spans="1:10">
      <c r="A756" s="1">
        <v>1029</v>
      </c>
      <c r="B756" s="1">
        <v>114</v>
      </c>
      <c r="C756" s="1">
        <v>300</v>
      </c>
      <c r="D756" s="13"/>
      <c r="E756" s="13"/>
      <c r="F756" s="13"/>
      <c r="G756" s="13"/>
      <c r="H756" s="13"/>
      <c r="I756" s="13"/>
      <c r="J756" s="13"/>
    </row>
    <row r="757" spans="1:10">
      <c r="A757" s="1">
        <v>1030</v>
      </c>
      <c r="B757" s="1">
        <v>114</v>
      </c>
      <c r="C757" s="1">
        <v>300</v>
      </c>
      <c r="D757" s="13"/>
      <c r="E757" s="13"/>
      <c r="F757" s="13"/>
      <c r="G757" s="13"/>
      <c r="H757" s="13"/>
      <c r="I757" s="13"/>
      <c r="J757" s="13"/>
    </row>
    <row r="758" spans="1:10">
      <c r="A758" s="1">
        <v>1031</v>
      </c>
      <c r="B758" s="1">
        <v>114</v>
      </c>
      <c r="C758" s="1">
        <v>300</v>
      </c>
      <c r="D758" s="13"/>
      <c r="E758" s="13"/>
      <c r="F758" s="13"/>
      <c r="G758" s="13"/>
      <c r="H758" s="13"/>
      <c r="I758" s="13"/>
      <c r="J758" s="13"/>
    </row>
    <row r="759" spans="1:10">
      <c r="A759" s="1">
        <v>1032</v>
      </c>
      <c r="B759" s="1">
        <v>114</v>
      </c>
      <c r="C759" s="1">
        <v>200</v>
      </c>
      <c r="D759" s="13"/>
      <c r="E759" s="13"/>
      <c r="F759" s="13"/>
      <c r="G759" s="13"/>
      <c r="H759" s="13"/>
      <c r="I759" s="13"/>
      <c r="J759" s="13"/>
    </row>
    <row r="760" spans="1:10">
      <c r="A760" s="1">
        <v>1033</v>
      </c>
      <c r="B760" s="1">
        <v>115</v>
      </c>
      <c r="C760" s="1">
        <v>300</v>
      </c>
      <c r="D760" s="13"/>
      <c r="E760" s="13"/>
      <c r="F760" s="13"/>
      <c r="G760" s="13"/>
      <c r="H760" s="13"/>
      <c r="I760" s="13"/>
      <c r="J760" s="13"/>
    </row>
    <row r="761" spans="1:10">
      <c r="A761" s="1">
        <v>1034</v>
      </c>
      <c r="B761" s="1">
        <v>115</v>
      </c>
      <c r="C761" s="1">
        <v>300</v>
      </c>
      <c r="D761" s="13"/>
      <c r="E761" s="13"/>
      <c r="F761" s="13"/>
      <c r="G761" s="13"/>
      <c r="H761" s="13"/>
      <c r="I761" s="13"/>
      <c r="J761" s="13"/>
    </row>
    <row r="762" spans="1:10">
      <c r="A762" s="1">
        <v>1035</v>
      </c>
      <c r="B762" s="1">
        <v>115</v>
      </c>
      <c r="C762" s="1">
        <v>300</v>
      </c>
      <c r="D762" s="13"/>
      <c r="E762" s="13"/>
      <c r="F762" s="13"/>
      <c r="G762" s="13"/>
      <c r="H762" s="13"/>
      <c r="I762" s="13"/>
      <c r="J762" s="13"/>
    </row>
    <row r="763" spans="1:10">
      <c r="A763" s="1">
        <v>1036</v>
      </c>
      <c r="B763" s="1">
        <v>115</v>
      </c>
      <c r="C763" s="1">
        <v>300</v>
      </c>
      <c r="D763" s="13"/>
      <c r="E763" s="13"/>
      <c r="F763" s="13"/>
      <c r="G763" s="13"/>
      <c r="H763" s="13"/>
      <c r="I763" s="13"/>
      <c r="J763" s="13"/>
    </row>
    <row r="764" spans="1:10">
      <c r="A764" s="1">
        <v>1037</v>
      </c>
      <c r="B764" s="1">
        <v>115</v>
      </c>
      <c r="C764" s="1">
        <v>300</v>
      </c>
      <c r="D764" s="13"/>
      <c r="E764" s="13"/>
      <c r="F764" s="13"/>
      <c r="G764" s="13"/>
      <c r="H764" s="13"/>
      <c r="I764" s="13"/>
      <c r="J764" s="13"/>
    </row>
    <row r="765" spans="1:10">
      <c r="A765" s="1">
        <v>1038</v>
      </c>
      <c r="B765" s="1">
        <v>115</v>
      </c>
      <c r="C765" s="1">
        <v>300</v>
      </c>
      <c r="D765" s="13"/>
      <c r="E765" s="13"/>
      <c r="F765" s="13"/>
      <c r="G765" s="13"/>
      <c r="H765" s="13"/>
      <c r="I765" s="13"/>
      <c r="J765" s="13"/>
    </row>
    <row r="766" spans="1:10">
      <c r="A766" s="1">
        <v>1039</v>
      </c>
      <c r="B766" s="1">
        <v>115</v>
      </c>
      <c r="C766" s="1">
        <v>300</v>
      </c>
      <c r="D766" s="13"/>
      <c r="E766" s="13"/>
      <c r="F766" s="13"/>
      <c r="G766" s="13"/>
      <c r="H766" s="13"/>
      <c r="I766" s="13"/>
      <c r="J766" s="13"/>
    </row>
    <row r="767" spans="1:10">
      <c r="A767" s="1">
        <v>1040</v>
      </c>
      <c r="B767" s="1">
        <v>115</v>
      </c>
      <c r="C767" s="1">
        <v>300</v>
      </c>
      <c r="D767" s="13"/>
      <c r="E767" s="13"/>
      <c r="F767" s="13"/>
      <c r="G767" s="13"/>
      <c r="H767" s="13"/>
      <c r="I767" s="13"/>
      <c r="J767" s="13"/>
    </row>
    <row r="768" spans="1:10">
      <c r="A768" s="1">
        <v>1041</v>
      </c>
      <c r="B768" s="1">
        <v>115</v>
      </c>
      <c r="C768" s="1">
        <v>300</v>
      </c>
      <c r="D768" s="13"/>
      <c r="E768" s="13"/>
      <c r="F768" s="13"/>
      <c r="G768" s="13"/>
      <c r="H768" s="13"/>
      <c r="I768" s="13"/>
      <c r="J768" s="13"/>
    </row>
    <row r="769" spans="1:10">
      <c r="A769" s="1">
        <v>1042</v>
      </c>
      <c r="B769" s="1">
        <v>115</v>
      </c>
      <c r="C769" s="1">
        <v>300</v>
      </c>
      <c r="D769" s="13"/>
      <c r="E769" s="13"/>
      <c r="F769" s="13"/>
      <c r="G769" s="13"/>
      <c r="H769" s="13"/>
      <c r="I769" s="13"/>
      <c r="J769" s="13"/>
    </row>
    <row r="770" spans="1:10">
      <c r="A770" s="1">
        <v>1043</v>
      </c>
      <c r="B770" s="1">
        <v>115</v>
      </c>
      <c r="C770" s="1">
        <v>300</v>
      </c>
      <c r="D770" s="13"/>
      <c r="E770" s="13"/>
      <c r="F770" s="13"/>
      <c r="G770" s="13"/>
      <c r="H770" s="13"/>
      <c r="I770" s="13"/>
      <c r="J770" s="13"/>
    </row>
    <row r="771" spans="1:10">
      <c r="A771" s="1">
        <v>1044</v>
      </c>
      <c r="B771" s="1">
        <v>116</v>
      </c>
      <c r="C771" s="1">
        <v>300</v>
      </c>
      <c r="D771" s="13"/>
      <c r="E771" s="13"/>
      <c r="F771" s="13"/>
      <c r="G771" s="13"/>
      <c r="H771" s="13"/>
      <c r="I771" s="13"/>
      <c r="J771" s="13"/>
    </row>
    <row r="772" spans="1:10">
      <c r="A772" s="1">
        <v>1045</v>
      </c>
      <c r="B772" s="1">
        <v>116</v>
      </c>
      <c r="C772" s="1">
        <v>300</v>
      </c>
      <c r="D772" s="13"/>
      <c r="E772" s="13"/>
      <c r="F772" s="13"/>
      <c r="G772" s="13"/>
      <c r="H772" s="13"/>
      <c r="I772" s="13"/>
      <c r="J772" s="13"/>
    </row>
    <row r="773" spans="1:10">
      <c r="A773" s="1">
        <v>1046</v>
      </c>
      <c r="B773" s="1">
        <v>116</v>
      </c>
      <c r="C773" s="1">
        <v>300</v>
      </c>
      <c r="D773" s="13"/>
      <c r="E773" s="13"/>
      <c r="F773" s="13"/>
      <c r="G773" s="13"/>
      <c r="H773" s="13"/>
      <c r="I773" s="13"/>
      <c r="J773" s="13"/>
    </row>
    <row r="774" spans="1:10">
      <c r="A774" s="1">
        <v>1047</v>
      </c>
      <c r="B774" s="1">
        <v>116</v>
      </c>
      <c r="C774" s="1">
        <v>300</v>
      </c>
      <c r="D774" s="13"/>
      <c r="E774" s="13"/>
      <c r="F774" s="13"/>
      <c r="G774" s="13"/>
      <c r="H774" s="13"/>
      <c r="I774" s="13"/>
      <c r="J774" s="13"/>
    </row>
    <row r="775" spans="1:10">
      <c r="A775" s="1">
        <v>1048</v>
      </c>
      <c r="B775" s="1">
        <v>116</v>
      </c>
      <c r="C775" s="1">
        <v>300</v>
      </c>
      <c r="D775" s="13"/>
      <c r="E775" s="13"/>
      <c r="F775" s="13"/>
      <c r="G775" s="13"/>
      <c r="H775" s="13"/>
      <c r="I775" s="13"/>
      <c r="J775" s="13"/>
    </row>
    <row r="776" spans="1:10">
      <c r="A776" s="1">
        <v>1049</v>
      </c>
      <c r="B776" s="1">
        <v>116</v>
      </c>
      <c r="C776" s="1">
        <v>300</v>
      </c>
      <c r="D776" s="13"/>
      <c r="E776" s="13"/>
      <c r="F776" s="13"/>
      <c r="G776" s="13"/>
      <c r="H776" s="13"/>
      <c r="I776" s="13"/>
      <c r="J776" s="13"/>
    </row>
    <row r="777" spans="1:10">
      <c r="A777" s="1">
        <v>1050</v>
      </c>
      <c r="B777" s="1">
        <v>116</v>
      </c>
      <c r="C777" s="1">
        <v>300</v>
      </c>
      <c r="D777" s="13"/>
      <c r="E777" s="13"/>
      <c r="F777" s="13"/>
      <c r="G777" s="13"/>
      <c r="H777" s="13"/>
      <c r="I777" s="13"/>
      <c r="J777" s="13"/>
    </row>
    <row r="778" spans="1:10">
      <c r="A778" s="1">
        <v>1051</v>
      </c>
      <c r="B778" s="1">
        <v>116</v>
      </c>
      <c r="C778" s="1">
        <v>300</v>
      </c>
      <c r="D778" s="13"/>
      <c r="E778" s="13"/>
      <c r="F778" s="13"/>
      <c r="G778" s="13"/>
      <c r="H778" s="13"/>
      <c r="I778" s="13"/>
      <c r="J778" s="13"/>
    </row>
    <row r="779" spans="1:10">
      <c r="A779" s="1">
        <v>1052</v>
      </c>
      <c r="B779" s="1">
        <v>116</v>
      </c>
      <c r="C779" s="1">
        <v>300</v>
      </c>
      <c r="D779" s="13"/>
      <c r="E779" s="13"/>
      <c r="F779" s="13"/>
      <c r="G779" s="13"/>
      <c r="H779" s="13"/>
      <c r="I779" s="13"/>
      <c r="J779" s="13"/>
    </row>
    <row r="780" spans="1:10">
      <c r="A780" s="1">
        <v>1053</v>
      </c>
      <c r="B780" s="1">
        <v>116</v>
      </c>
      <c r="C780" s="1">
        <v>300</v>
      </c>
      <c r="D780" s="13"/>
      <c r="E780" s="13"/>
      <c r="F780" s="13"/>
      <c r="G780" s="13"/>
      <c r="H780" s="13"/>
      <c r="I780" s="13"/>
      <c r="J780" s="13"/>
    </row>
    <row r="781" spans="1:10">
      <c r="A781" s="1">
        <v>1054</v>
      </c>
      <c r="B781" s="1">
        <v>116</v>
      </c>
      <c r="C781" s="1">
        <v>300</v>
      </c>
      <c r="D781" s="13"/>
      <c r="E781" s="13"/>
      <c r="F781" s="13"/>
      <c r="G781" s="13"/>
      <c r="H781" s="13"/>
      <c r="I781" s="13"/>
      <c r="J781" s="13"/>
    </row>
    <row r="782" spans="1:10">
      <c r="A782" s="1">
        <v>1055</v>
      </c>
      <c r="B782" s="1">
        <v>116</v>
      </c>
      <c r="C782" s="1">
        <v>300</v>
      </c>
      <c r="D782" s="13"/>
      <c r="E782" s="13"/>
      <c r="F782" s="13"/>
      <c r="G782" s="13"/>
      <c r="H782" s="13"/>
      <c r="I782" s="13"/>
      <c r="J782" s="13"/>
    </row>
    <row r="783" spans="1:10">
      <c r="A783" s="1">
        <v>1056</v>
      </c>
      <c r="B783" s="1">
        <v>116</v>
      </c>
      <c r="C783" s="1">
        <v>300</v>
      </c>
      <c r="D783" s="13"/>
      <c r="E783" s="13"/>
      <c r="F783" s="13"/>
      <c r="G783" s="13"/>
      <c r="H783" s="13"/>
      <c r="I783" s="13"/>
      <c r="J783" s="13"/>
    </row>
    <row r="784" spans="1:10">
      <c r="A784" s="1">
        <v>1057</v>
      </c>
      <c r="B784" s="1">
        <v>116</v>
      </c>
      <c r="C784" s="1">
        <v>300</v>
      </c>
      <c r="D784" s="13"/>
      <c r="E784" s="13"/>
      <c r="F784" s="13"/>
      <c r="G784" s="13"/>
      <c r="H784" s="13"/>
      <c r="I784" s="13"/>
      <c r="J784" s="13"/>
    </row>
    <row r="785" spans="1:10">
      <c r="A785" s="1">
        <v>1058</v>
      </c>
      <c r="B785" s="1">
        <v>116</v>
      </c>
      <c r="C785" s="1">
        <v>300</v>
      </c>
      <c r="D785" s="13"/>
      <c r="E785" s="13"/>
      <c r="F785" s="13"/>
      <c r="G785" s="13"/>
      <c r="H785" s="13"/>
      <c r="I785" s="13"/>
      <c r="J785" s="13"/>
    </row>
    <row r="786" spans="1:10">
      <c r="A786" s="1">
        <v>1059</v>
      </c>
      <c r="B786" s="1">
        <v>116</v>
      </c>
      <c r="C786" s="1">
        <v>300</v>
      </c>
      <c r="D786" s="13"/>
      <c r="E786" s="13"/>
      <c r="F786" s="13"/>
      <c r="G786" s="13"/>
      <c r="H786" s="13"/>
      <c r="I786" s="13"/>
      <c r="J786" s="13"/>
    </row>
    <row r="787" spans="1:10">
      <c r="A787" s="1">
        <v>1060</v>
      </c>
      <c r="B787" s="1">
        <v>116</v>
      </c>
      <c r="C787" s="1">
        <v>300</v>
      </c>
      <c r="D787" s="13"/>
      <c r="E787" s="13"/>
      <c r="F787" s="13"/>
      <c r="G787" s="13"/>
      <c r="H787" s="13"/>
      <c r="I787" s="13"/>
      <c r="J787" s="13"/>
    </row>
    <row r="788" spans="1:10">
      <c r="A788" s="1">
        <v>1061</v>
      </c>
      <c r="B788" s="1">
        <v>116</v>
      </c>
      <c r="C788" s="1">
        <v>300</v>
      </c>
      <c r="D788" s="13"/>
      <c r="E788" s="13"/>
      <c r="F788" s="13"/>
      <c r="G788" s="13"/>
      <c r="H788" s="13"/>
      <c r="I788" s="13"/>
      <c r="J788" s="13"/>
    </row>
    <row r="789" spans="1:10">
      <c r="A789" s="1">
        <v>1062</v>
      </c>
      <c r="B789" s="1">
        <v>116</v>
      </c>
      <c r="C789" s="1">
        <v>300</v>
      </c>
      <c r="D789" s="13"/>
      <c r="E789" s="13"/>
      <c r="F789" s="13"/>
      <c r="G789" s="13"/>
      <c r="H789" s="13"/>
      <c r="I789" s="13"/>
      <c r="J789" s="13"/>
    </row>
    <row r="790" spans="1:10">
      <c r="A790" s="1">
        <v>1063</v>
      </c>
      <c r="B790" s="1">
        <v>116</v>
      </c>
      <c r="C790" s="1">
        <v>300</v>
      </c>
      <c r="D790" s="13"/>
      <c r="E790" s="13"/>
      <c r="F790" s="13"/>
      <c r="G790" s="13"/>
      <c r="H790" s="13"/>
      <c r="I790" s="13"/>
      <c r="J790" s="13"/>
    </row>
    <row r="791" spans="1:10">
      <c r="A791" s="1">
        <v>1064</v>
      </c>
      <c r="B791" s="1">
        <v>116</v>
      </c>
      <c r="C791" s="1">
        <v>300</v>
      </c>
      <c r="D791" s="13"/>
      <c r="E791" s="13"/>
      <c r="F791" s="13"/>
      <c r="G791" s="13"/>
      <c r="H791" s="13"/>
      <c r="I791" s="13"/>
      <c r="J791" s="13"/>
    </row>
    <row r="792" spans="1:10">
      <c r="A792" s="1">
        <v>1065</v>
      </c>
      <c r="B792" s="1">
        <v>116</v>
      </c>
      <c r="C792" s="1">
        <v>300</v>
      </c>
      <c r="D792" s="13"/>
      <c r="E792" s="13"/>
      <c r="F792" s="13"/>
      <c r="G792" s="13"/>
      <c r="H792" s="13"/>
      <c r="I792" s="13"/>
      <c r="J792" s="13"/>
    </row>
    <row r="793" spans="1:10">
      <c r="A793" s="1">
        <v>1066</v>
      </c>
      <c r="B793" s="1">
        <v>116</v>
      </c>
      <c r="C793" s="1">
        <v>270</v>
      </c>
      <c r="D793" s="13"/>
      <c r="E793" s="13"/>
      <c r="F793" s="13"/>
      <c r="G793" s="13"/>
      <c r="H793" s="13"/>
      <c r="I793" s="13"/>
      <c r="J793" s="13"/>
    </row>
    <row r="794" spans="1:10">
      <c r="A794" s="1">
        <v>1067</v>
      </c>
      <c r="B794" s="1">
        <v>117</v>
      </c>
      <c r="C794" s="1">
        <v>500</v>
      </c>
      <c r="D794" s="13"/>
      <c r="E794" s="13"/>
      <c r="F794" s="13"/>
      <c r="G794" s="13"/>
      <c r="H794" s="13"/>
      <c r="I794" s="13"/>
      <c r="J794" s="13"/>
    </row>
    <row r="795" spans="1:10">
      <c r="A795" s="1">
        <v>1068</v>
      </c>
      <c r="B795" s="1">
        <v>117</v>
      </c>
      <c r="C795" s="1">
        <v>500</v>
      </c>
      <c r="D795" s="13"/>
      <c r="E795" s="13"/>
      <c r="F795" s="13"/>
      <c r="G795" s="13"/>
      <c r="H795" s="13"/>
      <c r="I795" s="13"/>
      <c r="J795" s="13"/>
    </row>
    <row r="796" spans="1:10">
      <c r="A796" s="1">
        <v>1069</v>
      </c>
      <c r="B796" s="1">
        <v>117</v>
      </c>
      <c r="C796" s="1">
        <v>500</v>
      </c>
      <c r="D796" s="13"/>
      <c r="E796" s="13"/>
      <c r="F796" s="13"/>
      <c r="G796" s="13"/>
      <c r="H796" s="13"/>
      <c r="I796" s="13"/>
      <c r="J796" s="13"/>
    </row>
    <row r="797" spans="1:10">
      <c r="A797" s="1">
        <v>1070</v>
      </c>
      <c r="B797" s="1">
        <v>117</v>
      </c>
      <c r="C797" s="1">
        <v>500</v>
      </c>
      <c r="D797" s="13"/>
      <c r="E797" s="13"/>
      <c r="F797" s="13"/>
      <c r="G797" s="13"/>
      <c r="H797" s="13"/>
      <c r="I797" s="13"/>
      <c r="J797" s="13"/>
    </row>
    <row r="798" spans="1:10">
      <c r="A798" s="1">
        <v>1071</v>
      </c>
      <c r="B798" s="1">
        <v>117</v>
      </c>
      <c r="C798" s="1">
        <v>500</v>
      </c>
      <c r="D798" s="13"/>
      <c r="E798" s="13"/>
      <c r="F798" s="13"/>
      <c r="G798" s="13"/>
      <c r="H798" s="13"/>
      <c r="I798" s="13"/>
      <c r="J798" s="13"/>
    </row>
    <row r="799" spans="1:10">
      <c r="A799" s="1">
        <v>1072</v>
      </c>
      <c r="B799" s="1">
        <v>117</v>
      </c>
      <c r="C799" s="1">
        <v>500</v>
      </c>
      <c r="D799" s="13"/>
      <c r="E799" s="13"/>
      <c r="F799" s="13"/>
      <c r="G799" s="13"/>
      <c r="H799" s="13"/>
      <c r="I799" s="13"/>
      <c r="J799" s="13"/>
    </row>
    <row r="800" spans="1:10">
      <c r="A800" s="1">
        <v>1073</v>
      </c>
      <c r="B800" s="1">
        <v>117</v>
      </c>
      <c r="C800" s="1">
        <v>500</v>
      </c>
      <c r="D800" s="13"/>
      <c r="E800" s="13"/>
      <c r="F800" s="13"/>
      <c r="G800" s="13"/>
      <c r="H800" s="13"/>
      <c r="I800" s="13"/>
      <c r="J800" s="13"/>
    </row>
    <row r="801" spans="1:10">
      <c r="A801" s="1">
        <v>1074</v>
      </c>
      <c r="B801" s="1">
        <v>117</v>
      </c>
      <c r="C801" s="1">
        <v>500</v>
      </c>
      <c r="D801" s="13"/>
      <c r="E801" s="13"/>
      <c r="F801" s="13"/>
      <c r="G801" s="13"/>
      <c r="H801" s="13"/>
      <c r="I801" s="13"/>
      <c r="J801" s="13"/>
    </row>
    <row r="802" spans="1:10">
      <c r="A802" s="1">
        <v>1075</v>
      </c>
      <c r="B802" s="1">
        <v>117</v>
      </c>
      <c r="C802" s="1">
        <v>500</v>
      </c>
      <c r="D802" s="13"/>
      <c r="E802" s="13"/>
      <c r="F802" s="13"/>
      <c r="G802" s="13"/>
      <c r="H802" s="13"/>
      <c r="I802" s="13"/>
      <c r="J802" s="13"/>
    </row>
    <row r="803" spans="1:10">
      <c r="A803" s="1">
        <v>1076</v>
      </c>
      <c r="B803" s="1">
        <v>117</v>
      </c>
      <c r="C803" s="1">
        <v>500</v>
      </c>
      <c r="D803" s="13"/>
      <c r="E803" s="13"/>
      <c r="F803" s="13"/>
      <c r="G803" s="13"/>
      <c r="H803" s="13"/>
      <c r="I803" s="13"/>
      <c r="J803" s="13"/>
    </row>
    <row r="804" spans="1:10">
      <c r="A804" s="1">
        <v>1077</v>
      </c>
      <c r="B804" s="1">
        <v>117</v>
      </c>
      <c r="C804" s="1">
        <v>500</v>
      </c>
      <c r="D804" s="13"/>
      <c r="E804" s="13"/>
      <c r="F804" s="13"/>
      <c r="G804" s="13"/>
      <c r="H804" s="13"/>
      <c r="I804" s="13"/>
      <c r="J804" s="13"/>
    </row>
    <row r="805" spans="1:10">
      <c r="A805" s="1">
        <v>1078</v>
      </c>
      <c r="B805" s="1">
        <v>117</v>
      </c>
      <c r="C805" s="1">
        <v>500</v>
      </c>
      <c r="D805" s="13"/>
      <c r="E805" s="13"/>
      <c r="F805" s="13"/>
      <c r="G805" s="13"/>
      <c r="H805" s="13"/>
      <c r="I805" s="13"/>
      <c r="J805" s="13"/>
    </row>
    <row r="806" spans="1:10">
      <c r="A806" s="1">
        <v>1079</v>
      </c>
      <c r="B806" s="1">
        <v>118</v>
      </c>
      <c r="C806" s="1">
        <v>500</v>
      </c>
      <c r="D806" s="13"/>
      <c r="E806" s="13"/>
      <c r="F806" s="13"/>
      <c r="G806" s="13"/>
      <c r="H806" s="13"/>
      <c r="I806" s="13"/>
      <c r="J806" s="13"/>
    </row>
    <row r="807" spans="1:10">
      <c r="A807" s="1">
        <v>1080</v>
      </c>
      <c r="B807" s="1">
        <v>118</v>
      </c>
      <c r="C807" s="1">
        <v>500</v>
      </c>
      <c r="D807" s="13"/>
      <c r="E807" s="13"/>
      <c r="F807" s="13"/>
      <c r="G807" s="13"/>
      <c r="H807" s="13"/>
      <c r="I807" s="13"/>
      <c r="J807" s="13"/>
    </row>
    <row r="808" spans="1:10">
      <c r="A808" s="1">
        <v>1081</v>
      </c>
      <c r="B808" s="1">
        <v>118</v>
      </c>
      <c r="C808" s="1">
        <v>500</v>
      </c>
      <c r="D808" s="13"/>
      <c r="E808" s="13"/>
      <c r="F808" s="13"/>
      <c r="G808" s="13"/>
      <c r="H808" s="13"/>
      <c r="I808" s="13"/>
      <c r="J808" s="13"/>
    </row>
    <row r="809" spans="1:10">
      <c r="A809" s="1">
        <v>1082</v>
      </c>
      <c r="B809" s="1">
        <v>118</v>
      </c>
      <c r="C809" s="1">
        <v>500</v>
      </c>
      <c r="D809" s="13"/>
      <c r="E809" s="13"/>
      <c r="F809" s="13"/>
      <c r="G809" s="13"/>
      <c r="H809" s="13"/>
      <c r="I809" s="13"/>
      <c r="J809" s="13"/>
    </row>
    <row r="810" spans="1:10">
      <c r="A810" s="1">
        <v>1094</v>
      </c>
      <c r="B810" s="1">
        <v>119</v>
      </c>
      <c r="C810" s="1">
        <v>300</v>
      </c>
      <c r="D810" s="13"/>
      <c r="E810" s="13"/>
      <c r="F810" s="13"/>
      <c r="G810" s="13"/>
      <c r="H810" s="13"/>
      <c r="I810" s="13"/>
      <c r="J810" s="13"/>
    </row>
    <row r="811" spans="1:10">
      <c r="A811" s="1">
        <v>1095</v>
      </c>
      <c r="B811" s="1">
        <v>119</v>
      </c>
      <c r="C811" s="1">
        <v>300</v>
      </c>
      <c r="D811" s="13"/>
      <c r="E811" s="13"/>
      <c r="F811" s="13"/>
      <c r="G811" s="13"/>
      <c r="H811" s="13"/>
      <c r="I811" s="13"/>
      <c r="J811" s="13"/>
    </row>
    <row r="812" spans="1:10">
      <c r="A812" s="1">
        <v>1096</v>
      </c>
      <c r="B812" s="1">
        <v>119</v>
      </c>
      <c r="C812" s="1">
        <v>300</v>
      </c>
      <c r="D812" s="13"/>
      <c r="E812" s="13"/>
      <c r="F812" s="13"/>
      <c r="G812" s="13"/>
      <c r="H812" s="13"/>
      <c r="I812" s="13"/>
      <c r="J812" s="13"/>
    </row>
    <row r="813" spans="1:10">
      <c r="A813" s="1">
        <v>1097</v>
      </c>
      <c r="B813" s="1">
        <v>119</v>
      </c>
      <c r="C813" s="1">
        <v>300</v>
      </c>
      <c r="D813" s="13"/>
      <c r="E813" s="13"/>
      <c r="F813" s="13"/>
      <c r="G813" s="13"/>
      <c r="H813" s="13"/>
      <c r="I813" s="13"/>
      <c r="J813" s="13"/>
    </row>
    <row r="814" spans="1:10">
      <c r="A814" s="1">
        <v>1098</v>
      </c>
      <c r="B814" s="1">
        <v>119</v>
      </c>
      <c r="C814" s="1">
        <v>300</v>
      </c>
      <c r="D814" s="13"/>
      <c r="E814" s="13"/>
      <c r="F814" s="13"/>
      <c r="G814" s="13"/>
      <c r="H814" s="13"/>
      <c r="I814" s="13"/>
      <c r="J814" s="13"/>
    </row>
    <row r="815" spans="1:10">
      <c r="A815" s="1">
        <v>1099</v>
      </c>
      <c r="B815" s="1">
        <v>119</v>
      </c>
      <c r="C815" s="1">
        <v>300</v>
      </c>
      <c r="D815" s="13"/>
      <c r="E815" s="13"/>
      <c r="F815" s="13"/>
      <c r="G815" s="13"/>
      <c r="H815" s="13"/>
      <c r="I815" s="13"/>
      <c r="J815" s="13"/>
    </row>
    <row r="816" spans="1:10">
      <c r="A816" s="1">
        <v>1100</v>
      </c>
      <c r="B816" s="1">
        <v>119</v>
      </c>
      <c r="C816" s="1">
        <v>300</v>
      </c>
      <c r="D816" s="13"/>
      <c r="E816" s="13"/>
      <c r="F816" s="13"/>
      <c r="G816" s="13"/>
      <c r="H816" s="13"/>
      <c r="I816" s="13"/>
      <c r="J816" s="13"/>
    </row>
    <row r="817" spans="1:10">
      <c r="A817" s="1">
        <v>1101</v>
      </c>
      <c r="B817" s="1">
        <v>119</v>
      </c>
      <c r="C817" s="1">
        <v>300</v>
      </c>
      <c r="D817" s="13"/>
      <c r="E817" s="13"/>
      <c r="F817" s="13"/>
      <c r="G817" s="13"/>
      <c r="H817" s="13"/>
      <c r="I817" s="13"/>
      <c r="J817" s="13"/>
    </row>
    <row r="818" spans="1:10">
      <c r="A818" s="1">
        <v>1102</v>
      </c>
      <c r="B818" s="1">
        <v>119</v>
      </c>
      <c r="C818" s="1">
        <v>300</v>
      </c>
      <c r="D818" s="13"/>
      <c r="E818" s="13"/>
      <c r="F818" s="13"/>
      <c r="G818" s="13"/>
      <c r="H818" s="13"/>
      <c r="I818" s="13"/>
      <c r="J818" s="13"/>
    </row>
    <row r="819" spans="1:10">
      <c r="A819" s="1">
        <v>1103</v>
      </c>
      <c r="B819" s="1">
        <v>119</v>
      </c>
      <c r="C819" s="1">
        <v>300</v>
      </c>
      <c r="D819" s="13"/>
      <c r="E819" s="13"/>
      <c r="F819" s="13"/>
      <c r="G819" s="13"/>
      <c r="H819" s="13"/>
      <c r="I819" s="13"/>
      <c r="J819" s="13"/>
    </row>
    <row r="820" spans="1:10">
      <c r="A820" s="1">
        <v>1104</v>
      </c>
      <c r="B820" s="1">
        <v>119</v>
      </c>
      <c r="C820" s="1">
        <v>5</v>
      </c>
      <c r="D820" s="13"/>
      <c r="E820" s="13"/>
      <c r="F820" s="13"/>
      <c r="G820" s="13"/>
      <c r="H820" s="13"/>
      <c r="I820" s="13"/>
      <c r="J820" s="13"/>
    </row>
    <row r="821" spans="1:10">
      <c r="A821" s="1">
        <v>1105</v>
      </c>
      <c r="B821" s="1">
        <v>120</v>
      </c>
      <c r="C821" s="1">
        <v>300</v>
      </c>
      <c r="D821" s="13"/>
      <c r="E821" s="13"/>
      <c r="F821" s="13"/>
      <c r="G821" s="13"/>
      <c r="H821" s="13"/>
      <c r="I821" s="13"/>
      <c r="J821" s="13"/>
    </row>
    <row r="822" spans="1:10">
      <c r="A822" s="1">
        <v>1106</v>
      </c>
      <c r="B822" s="1">
        <v>120</v>
      </c>
      <c r="C822" s="1">
        <v>300</v>
      </c>
      <c r="D822" s="13"/>
      <c r="E822" s="13"/>
      <c r="F822" s="13"/>
      <c r="G822" s="13"/>
      <c r="H822" s="13"/>
      <c r="I822" s="13"/>
      <c r="J822" s="13"/>
    </row>
    <row r="823" spans="1:10">
      <c r="A823" s="1">
        <v>1107</v>
      </c>
      <c r="B823" s="1">
        <v>120</v>
      </c>
      <c r="C823" s="1">
        <v>300</v>
      </c>
      <c r="D823" s="13"/>
      <c r="E823" s="13"/>
      <c r="F823" s="13"/>
      <c r="G823" s="13"/>
      <c r="H823" s="13"/>
      <c r="I823" s="13"/>
      <c r="J823" s="13"/>
    </row>
    <row r="824" spans="1:10">
      <c r="A824" s="1">
        <v>1108</v>
      </c>
      <c r="B824" s="1">
        <v>120</v>
      </c>
      <c r="C824" s="1">
        <v>300</v>
      </c>
      <c r="D824" s="13"/>
      <c r="E824" s="13"/>
      <c r="F824" s="13"/>
      <c r="G824" s="13"/>
      <c r="H824" s="13"/>
      <c r="I824" s="13"/>
      <c r="J824" s="13"/>
    </row>
    <row r="825" spans="1:10">
      <c r="A825" s="1">
        <v>1109</v>
      </c>
      <c r="B825" s="1">
        <v>120</v>
      </c>
      <c r="C825" s="1">
        <v>300</v>
      </c>
      <c r="D825" s="13"/>
      <c r="E825" s="13"/>
      <c r="F825" s="13"/>
      <c r="G825" s="13"/>
      <c r="H825" s="13"/>
      <c r="I825" s="13"/>
      <c r="J825" s="13"/>
    </row>
    <row r="826" spans="1:10">
      <c r="A826" s="1">
        <v>1110</v>
      </c>
      <c r="B826" s="1">
        <v>120</v>
      </c>
      <c r="C826" s="1">
        <v>300</v>
      </c>
      <c r="D826" s="13"/>
      <c r="E826" s="13"/>
      <c r="F826" s="13"/>
      <c r="G826" s="13"/>
      <c r="H826" s="13"/>
      <c r="I826" s="13"/>
      <c r="J826" s="13"/>
    </row>
    <row r="827" spans="1:10">
      <c r="A827" s="1">
        <v>1111</v>
      </c>
      <c r="B827" s="1">
        <v>120</v>
      </c>
      <c r="C827" s="1">
        <v>300</v>
      </c>
      <c r="D827" s="13"/>
      <c r="E827" s="13"/>
      <c r="F827" s="13"/>
      <c r="G827" s="13"/>
      <c r="H827" s="13"/>
      <c r="I827" s="13"/>
      <c r="J827" s="13"/>
    </row>
    <row r="828" spans="1:10">
      <c r="A828" s="1">
        <v>1112</v>
      </c>
      <c r="B828" s="1">
        <v>120</v>
      </c>
      <c r="C828" s="1">
        <v>100</v>
      </c>
      <c r="D828" s="13"/>
      <c r="E828" s="13"/>
      <c r="F828" s="13"/>
      <c r="G828" s="13"/>
      <c r="H828" s="13"/>
      <c r="I828" s="13"/>
      <c r="J828" s="13"/>
    </row>
    <row r="829" spans="1:10">
      <c r="A829" s="1">
        <v>1113</v>
      </c>
      <c r="B829" s="1">
        <v>121</v>
      </c>
      <c r="C829" s="1">
        <v>300</v>
      </c>
      <c r="D829" s="13"/>
      <c r="E829" s="13"/>
      <c r="F829" s="13"/>
      <c r="G829" s="13"/>
      <c r="H829" s="13"/>
      <c r="I829" s="13"/>
      <c r="J829" s="13"/>
    </row>
    <row r="830" spans="1:10">
      <c r="A830" s="1">
        <v>1114</v>
      </c>
      <c r="B830" s="1">
        <v>121</v>
      </c>
      <c r="C830" s="1">
        <v>300</v>
      </c>
      <c r="D830" s="13"/>
      <c r="E830" s="13"/>
      <c r="F830" s="13"/>
      <c r="G830" s="13"/>
      <c r="H830" s="13"/>
      <c r="I830" s="13"/>
      <c r="J830" s="13"/>
    </row>
    <row r="831" spans="1:10">
      <c r="A831" s="1">
        <v>1115</v>
      </c>
      <c r="B831" s="1">
        <v>121</v>
      </c>
      <c r="C831" s="1">
        <v>300</v>
      </c>
      <c r="D831" s="13"/>
      <c r="E831" s="13"/>
      <c r="F831" s="13"/>
      <c r="G831" s="13"/>
      <c r="H831" s="13"/>
      <c r="I831" s="13"/>
      <c r="J831" s="13"/>
    </row>
    <row r="832" spans="1:10">
      <c r="A832" s="1">
        <v>1116</v>
      </c>
      <c r="B832" s="1">
        <v>121</v>
      </c>
      <c r="C832" s="1">
        <v>300</v>
      </c>
      <c r="D832" s="13"/>
      <c r="E832" s="13"/>
      <c r="F832" s="13"/>
      <c r="G832" s="13"/>
      <c r="H832" s="13"/>
      <c r="I832" s="13"/>
      <c r="J832" s="13"/>
    </row>
    <row r="833" spans="1:10">
      <c r="A833" s="1">
        <v>1117</v>
      </c>
      <c r="B833" s="1">
        <v>121</v>
      </c>
      <c r="C833" s="1">
        <v>300</v>
      </c>
      <c r="D833" s="13"/>
      <c r="E833" s="13"/>
      <c r="F833" s="13"/>
      <c r="G833" s="13"/>
      <c r="H833" s="13"/>
      <c r="I833" s="13"/>
      <c r="J833" s="13"/>
    </row>
    <row r="834" spans="1:10">
      <c r="A834" s="1">
        <v>1118</v>
      </c>
      <c r="B834" s="1">
        <v>121</v>
      </c>
      <c r="C834" s="1">
        <v>300</v>
      </c>
      <c r="D834" s="13"/>
      <c r="E834" s="13"/>
      <c r="F834" s="13"/>
      <c r="G834" s="13"/>
      <c r="H834" s="13"/>
      <c r="I834" s="13"/>
      <c r="J834" s="13"/>
    </row>
    <row r="835" spans="1:10">
      <c r="A835" s="1">
        <v>1119</v>
      </c>
      <c r="B835" s="1">
        <v>121</v>
      </c>
      <c r="C835" s="1">
        <v>300</v>
      </c>
      <c r="D835" s="13"/>
      <c r="E835" s="13"/>
      <c r="F835" s="13"/>
      <c r="G835" s="13"/>
      <c r="H835" s="13"/>
      <c r="I835" s="13"/>
      <c r="J835" s="13"/>
    </row>
    <row r="836" spans="1:10">
      <c r="A836" s="1">
        <v>1120</v>
      </c>
      <c r="B836" s="1">
        <v>121</v>
      </c>
      <c r="C836" s="1">
        <v>300</v>
      </c>
      <c r="D836" s="13"/>
      <c r="E836" s="13"/>
      <c r="F836" s="13"/>
      <c r="G836" s="13"/>
      <c r="H836" s="13"/>
      <c r="I836" s="13"/>
      <c r="J836" s="13"/>
    </row>
    <row r="837" spans="1:10">
      <c r="A837" s="1">
        <v>1121</v>
      </c>
      <c r="B837" s="1">
        <v>121</v>
      </c>
      <c r="C837" s="1">
        <v>300</v>
      </c>
      <c r="D837" s="13"/>
      <c r="E837" s="13"/>
      <c r="F837" s="13"/>
      <c r="G837" s="13"/>
      <c r="H837" s="13"/>
      <c r="I837" s="13"/>
      <c r="J837" s="13"/>
    </row>
    <row r="838" spans="1:10">
      <c r="A838" s="1">
        <v>1122</v>
      </c>
      <c r="B838" s="1">
        <v>121</v>
      </c>
      <c r="C838" s="1">
        <v>300</v>
      </c>
      <c r="D838" s="13"/>
      <c r="E838" s="13"/>
      <c r="F838" s="13"/>
      <c r="G838" s="13"/>
      <c r="H838" s="13"/>
      <c r="I838" s="13"/>
      <c r="J838" s="13"/>
    </row>
    <row r="839" spans="1:10">
      <c r="A839" s="1">
        <v>1123</v>
      </c>
      <c r="B839" s="1">
        <v>121</v>
      </c>
      <c r="C839" s="1">
        <v>300</v>
      </c>
      <c r="D839" s="13"/>
      <c r="E839" s="13"/>
      <c r="F839" s="13"/>
      <c r="G839" s="13"/>
      <c r="H839" s="13"/>
      <c r="I839" s="13"/>
      <c r="J839" s="13"/>
    </row>
    <row r="840" spans="1:10">
      <c r="A840" s="1">
        <v>1124</v>
      </c>
      <c r="B840" s="1">
        <v>121</v>
      </c>
      <c r="C840" s="1">
        <v>300</v>
      </c>
      <c r="D840" s="13"/>
      <c r="E840" s="13"/>
      <c r="F840" s="13"/>
      <c r="G840" s="13"/>
      <c r="H840" s="13"/>
      <c r="I840" s="13"/>
      <c r="J840" s="13"/>
    </row>
    <row r="841" spans="1:10">
      <c r="A841" s="1">
        <v>1125</v>
      </c>
      <c r="B841" s="1">
        <v>121</v>
      </c>
      <c r="C841" s="1">
        <v>300</v>
      </c>
      <c r="D841" s="13"/>
      <c r="E841" s="13"/>
      <c r="F841" s="13"/>
      <c r="G841" s="13"/>
      <c r="H841" s="13"/>
      <c r="I841" s="13"/>
      <c r="J841" s="13"/>
    </row>
    <row r="842" spans="1:10">
      <c r="A842" s="1">
        <v>1126</v>
      </c>
      <c r="B842" s="1">
        <v>121</v>
      </c>
      <c r="C842" s="1">
        <v>300</v>
      </c>
      <c r="D842" s="13"/>
      <c r="E842" s="13"/>
      <c r="F842" s="13"/>
      <c r="G842" s="13"/>
      <c r="H842" s="13"/>
      <c r="I842" s="13"/>
      <c r="J842" s="13"/>
    </row>
    <row r="843" spans="1:10">
      <c r="A843" s="1">
        <v>1127</v>
      </c>
      <c r="B843" s="1">
        <v>121</v>
      </c>
      <c r="C843" s="1">
        <v>300</v>
      </c>
      <c r="D843" s="13"/>
      <c r="E843" s="13"/>
      <c r="F843" s="13"/>
      <c r="G843" s="13"/>
      <c r="H843" s="13"/>
      <c r="I843" s="13"/>
      <c r="J843" s="13"/>
    </row>
    <row r="844" spans="1:10">
      <c r="A844" s="1">
        <v>1128</v>
      </c>
      <c r="B844" s="1">
        <v>121</v>
      </c>
      <c r="C844" s="1">
        <v>300</v>
      </c>
      <c r="D844" s="13"/>
      <c r="E844" s="13"/>
      <c r="F844" s="13"/>
      <c r="G844" s="13"/>
      <c r="H844" s="13"/>
      <c r="I844" s="13"/>
      <c r="J844" s="13"/>
    </row>
    <row r="845" spans="1:10">
      <c r="A845" s="1">
        <v>1129</v>
      </c>
      <c r="B845" s="1">
        <v>121</v>
      </c>
      <c r="C845" s="1">
        <v>300</v>
      </c>
      <c r="D845" s="13"/>
      <c r="E845" s="13"/>
      <c r="F845" s="13"/>
      <c r="G845" s="13"/>
      <c r="H845" s="13"/>
      <c r="I845" s="13"/>
      <c r="J845" s="13"/>
    </row>
    <row r="846" spans="1:10">
      <c r="A846" s="1">
        <v>1130</v>
      </c>
      <c r="B846" s="1">
        <v>121</v>
      </c>
      <c r="C846" s="1">
        <v>300</v>
      </c>
      <c r="D846" s="13"/>
      <c r="E846" s="13"/>
      <c r="F846" s="13"/>
      <c r="G846" s="13"/>
      <c r="H846" s="13"/>
      <c r="I846" s="13"/>
      <c r="J846" s="13"/>
    </row>
    <row r="847" spans="1:10">
      <c r="A847" s="1">
        <v>1131</v>
      </c>
      <c r="B847" s="1">
        <v>121</v>
      </c>
      <c r="C847" s="1">
        <v>300</v>
      </c>
      <c r="D847" s="13"/>
      <c r="E847" s="13"/>
      <c r="F847" s="13"/>
      <c r="G847" s="13"/>
      <c r="H847" s="13"/>
      <c r="I847" s="13"/>
      <c r="J847" s="13"/>
    </row>
    <row r="848" spans="1:10">
      <c r="A848" s="1">
        <v>1132</v>
      </c>
      <c r="B848" s="1">
        <v>121</v>
      </c>
      <c r="C848" s="1">
        <v>300</v>
      </c>
      <c r="D848" s="13"/>
      <c r="E848" s="13"/>
      <c r="F848" s="13"/>
      <c r="G848" s="13"/>
      <c r="H848" s="13"/>
      <c r="I848" s="13"/>
      <c r="J848" s="13"/>
    </row>
    <row r="849" spans="1:10">
      <c r="A849" s="1">
        <v>1133</v>
      </c>
      <c r="B849" s="1">
        <v>122</v>
      </c>
      <c r="C849" s="1">
        <v>500</v>
      </c>
      <c r="D849" s="13"/>
      <c r="E849" s="13"/>
      <c r="F849" s="13"/>
      <c r="G849" s="13"/>
      <c r="H849" s="13"/>
      <c r="I849" s="13"/>
      <c r="J849" s="13"/>
    </row>
    <row r="850" spans="1:10">
      <c r="A850" s="1">
        <v>1134</v>
      </c>
      <c r="B850" s="1">
        <v>122</v>
      </c>
      <c r="C850" s="1">
        <v>500</v>
      </c>
      <c r="D850" s="13"/>
      <c r="E850" s="13"/>
      <c r="F850" s="13"/>
      <c r="G850" s="13"/>
      <c r="H850" s="13"/>
      <c r="I850" s="13"/>
      <c r="J850" s="13"/>
    </row>
    <row r="851" spans="1:10">
      <c r="A851" s="1">
        <v>1135</v>
      </c>
      <c r="B851" s="1">
        <v>122</v>
      </c>
      <c r="C851" s="1">
        <v>500</v>
      </c>
      <c r="D851" s="13"/>
      <c r="E851" s="13"/>
      <c r="F851" s="13"/>
      <c r="G851" s="13"/>
      <c r="H851" s="13"/>
      <c r="I851" s="13"/>
      <c r="J851" s="13"/>
    </row>
    <row r="852" spans="1:10">
      <c r="A852" s="1">
        <v>1136</v>
      </c>
      <c r="B852" s="1">
        <v>122</v>
      </c>
      <c r="C852" s="1">
        <v>500</v>
      </c>
      <c r="D852" s="13"/>
      <c r="E852" s="13"/>
      <c r="F852" s="13"/>
      <c r="G852" s="13"/>
      <c r="H852" s="13"/>
      <c r="I852" s="13"/>
      <c r="J852" s="13"/>
    </row>
    <row r="853" spans="1:10">
      <c r="A853" s="1">
        <v>1137</v>
      </c>
      <c r="B853" s="1">
        <v>122</v>
      </c>
      <c r="C853" s="1">
        <v>500</v>
      </c>
      <c r="D853" s="13"/>
      <c r="E853" s="13"/>
      <c r="F853" s="13"/>
      <c r="G853" s="13"/>
      <c r="H853" s="13"/>
      <c r="I853" s="13"/>
      <c r="J853" s="13"/>
    </row>
    <row r="854" spans="1:10">
      <c r="A854" s="1">
        <v>1138</v>
      </c>
      <c r="B854" s="1">
        <v>122</v>
      </c>
      <c r="C854" s="1">
        <v>500</v>
      </c>
      <c r="D854" s="13"/>
      <c r="E854" s="13"/>
      <c r="F854" s="13"/>
      <c r="G854" s="13"/>
      <c r="H854" s="13"/>
      <c r="I854" s="13"/>
      <c r="J854" s="13"/>
    </row>
    <row r="855" spans="1:10">
      <c r="A855" s="1">
        <v>1139</v>
      </c>
      <c r="B855" s="1">
        <v>123</v>
      </c>
      <c r="C855" s="1">
        <v>500</v>
      </c>
      <c r="D855" s="13"/>
      <c r="E855" s="13"/>
      <c r="F855" s="13"/>
      <c r="G855" s="13"/>
      <c r="H855" s="13"/>
      <c r="I855" s="13"/>
      <c r="J855" s="13"/>
    </row>
    <row r="856" spans="1:10">
      <c r="A856" s="1">
        <v>1140</v>
      </c>
      <c r="B856" s="1">
        <v>124</v>
      </c>
      <c r="C856" s="1">
        <v>300</v>
      </c>
      <c r="D856" s="13"/>
      <c r="E856" s="13"/>
      <c r="F856" s="13"/>
      <c r="G856" s="13"/>
      <c r="H856" s="13"/>
      <c r="I856" s="13"/>
      <c r="J856" s="13"/>
    </row>
    <row r="857" spans="1:10">
      <c r="A857" s="1">
        <v>1141</v>
      </c>
      <c r="B857" s="1">
        <v>124</v>
      </c>
      <c r="C857" s="1">
        <v>300</v>
      </c>
      <c r="D857" s="13"/>
      <c r="E857" s="13"/>
      <c r="F857" s="13"/>
      <c r="G857" s="13"/>
      <c r="H857" s="13"/>
      <c r="I857" s="13"/>
      <c r="J857" s="13"/>
    </row>
    <row r="858" spans="1:10">
      <c r="A858" s="1">
        <v>1142</v>
      </c>
      <c r="B858" s="1">
        <v>124</v>
      </c>
      <c r="C858" s="1">
        <v>300</v>
      </c>
      <c r="D858" s="13"/>
      <c r="E858" s="13"/>
      <c r="F858" s="13"/>
      <c r="G858" s="13"/>
      <c r="H858" s="13"/>
      <c r="I858" s="13"/>
      <c r="J858" s="13"/>
    </row>
    <row r="859" spans="1:10">
      <c r="A859" s="1">
        <v>1143</v>
      </c>
      <c r="B859" s="1">
        <v>124</v>
      </c>
      <c r="C859" s="1">
        <v>300</v>
      </c>
      <c r="D859" s="13"/>
      <c r="E859" s="13"/>
      <c r="F859" s="13"/>
      <c r="G859" s="13"/>
      <c r="H859" s="13"/>
      <c r="I859" s="13"/>
      <c r="J859" s="13"/>
    </row>
    <row r="860" spans="1:10">
      <c r="A860" s="1">
        <v>1144</v>
      </c>
      <c r="B860" s="1">
        <v>124</v>
      </c>
      <c r="C860" s="1">
        <v>300</v>
      </c>
      <c r="D860" s="13"/>
      <c r="E860" s="13"/>
      <c r="F860" s="13"/>
      <c r="G860" s="13"/>
      <c r="H860" s="13"/>
      <c r="I860" s="13"/>
      <c r="J860" s="13"/>
    </row>
    <row r="861" spans="1:10">
      <c r="A861" s="1">
        <v>1145</v>
      </c>
      <c r="B861" s="1">
        <v>125</v>
      </c>
      <c r="C861" s="1">
        <v>300</v>
      </c>
      <c r="D861" s="13"/>
      <c r="E861" s="13"/>
      <c r="F861" s="13"/>
      <c r="G861" s="13"/>
      <c r="H861" s="13"/>
      <c r="I861" s="13"/>
      <c r="J861" s="13"/>
    </row>
    <row r="862" spans="1:10">
      <c r="A862" s="1">
        <v>1146</v>
      </c>
      <c r="B862" s="1">
        <v>125</v>
      </c>
      <c r="C862" s="1">
        <v>300</v>
      </c>
      <c r="D862" s="13"/>
      <c r="E862" s="13"/>
      <c r="F862" s="13"/>
      <c r="G862" s="13"/>
      <c r="H862" s="13"/>
      <c r="I862" s="13"/>
      <c r="J862" s="13"/>
    </row>
    <row r="863" spans="1:10">
      <c r="A863" s="1">
        <v>1147</v>
      </c>
      <c r="B863" s="1">
        <v>125</v>
      </c>
      <c r="C863" s="1">
        <v>300</v>
      </c>
      <c r="D863" s="13"/>
      <c r="E863" s="13"/>
      <c r="F863" s="13"/>
      <c r="G863" s="13"/>
      <c r="H863" s="13"/>
      <c r="I863" s="13"/>
      <c r="J863" s="13"/>
    </row>
    <row r="864" spans="1:10">
      <c r="A864" s="1">
        <v>1148</v>
      </c>
      <c r="B864" s="1">
        <v>125</v>
      </c>
      <c r="C864" s="1">
        <v>300</v>
      </c>
      <c r="D864" s="13"/>
      <c r="E864" s="13"/>
      <c r="F864" s="13"/>
      <c r="G864" s="13"/>
      <c r="H864" s="13"/>
      <c r="I864" s="13"/>
      <c r="J864" s="13"/>
    </row>
    <row r="865" spans="1:10">
      <c r="A865" s="1">
        <v>1149</v>
      </c>
      <c r="B865" s="1">
        <v>125</v>
      </c>
      <c r="C865" s="1">
        <v>300</v>
      </c>
      <c r="D865" s="13"/>
      <c r="E865" s="13"/>
      <c r="F865" s="13"/>
      <c r="G865" s="13"/>
      <c r="H865" s="13"/>
      <c r="I865" s="13"/>
      <c r="J865" s="13"/>
    </row>
    <row r="866" spans="1:10">
      <c r="A866" s="1">
        <v>1150</v>
      </c>
      <c r="B866" s="1">
        <v>125</v>
      </c>
      <c r="C866" s="1">
        <v>300</v>
      </c>
      <c r="D866" s="13"/>
      <c r="E866" s="13"/>
      <c r="F866" s="13"/>
      <c r="G866" s="13"/>
      <c r="H866" s="13"/>
      <c r="I866" s="13"/>
      <c r="J866" s="13"/>
    </row>
    <row r="867" spans="1:10">
      <c r="A867" s="1">
        <v>1151</v>
      </c>
      <c r="B867" s="1">
        <v>125</v>
      </c>
      <c r="C867" s="1">
        <v>300</v>
      </c>
      <c r="D867" s="13"/>
      <c r="E867" s="13"/>
      <c r="F867" s="13"/>
      <c r="G867" s="13"/>
      <c r="H867" s="13"/>
      <c r="I867" s="13"/>
      <c r="J867" s="13"/>
    </row>
    <row r="868" spans="1:10">
      <c r="A868" s="1">
        <v>1152</v>
      </c>
      <c r="B868" s="1">
        <v>125</v>
      </c>
      <c r="C868" s="1">
        <v>300</v>
      </c>
      <c r="D868" s="13"/>
      <c r="E868" s="13"/>
      <c r="F868" s="13"/>
      <c r="G868" s="13"/>
      <c r="H868" s="13"/>
      <c r="I868" s="13"/>
      <c r="J868" s="13"/>
    </row>
    <row r="869" spans="1:10">
      <c r="A869" s="1">
        <v>1153</v>
      </c>
      <c r="B869" s="1">
        <v>125</v>
      </c>
      <c r="C869" s="1">
        <v>300</v>
      </c>
      <c r="D869" s="13"/>
      <c r="E869" s="13"/>
      <c r="F869" s="13"/>
      <c r="G869" s="13"/>
      <c r="H869" s="13"/>
      <c r="I869" s="13"/>
      <c r="J869" s="13"/>
    </row>
    <row r="870" spans="1:10">
      <c r="A870" s="1">
        <v>1154</v>
      </c>
      <c r="B870" s="1">
        <v>125</v>
      </c>
      <c r="C870" s="1">
        <v>300</v>
      </c>
      <c r="D870" s="13"/>
      <c r="E870" s="13"/>
      <c r="F870" s="13"/>
      <c r="G870" s="13"/>
      <c r="H870" s="13"/>
      <c r="I870" s="13"/>
      <c r="J870" s="13"/>
    </row>
    <row r="871" spans="1:10">
      <c r="A871" s="1">
        <v>1155</v>
      </c>
      <c r="B871" s="1">
        <v>125</v>
      </c>
      <c r="C871" s="1">
        <v>300</v>
      </c>
      <c r="D871" s="13"/>
      <c r="E871" s="13"/>
      <c r="F871" s="13"/>
      <c r="G871" s="13"/>
      <c r="H871" s="13"/>
      <c r="I871" s="13"/>
      <c r="J871" s="13"/>
    </row>
    <row r="872" spans="1:10">
      <c r="A872" s="1">
        <v>1156</v>
      </c>
      <c r="B872" s="1">
        <v>125</v>
      </c>
      <c r="C872" s="1">
        <v>300</v>
      </c>
      <c r="D872" s="13"/>
      <c r="E872" s="13"/>
      <c r="F872" s="13"/>
      <c r="G872" s="13"/>
      <c r="H872" s="13"/>
      <c r="I872" s="13"/>
      <c r="J872" s="13"/>
    </row>
    <row r="873" spans="1:10">
      <c r="A873" s="1">
        <v>1157</v>
      </c>
      <c r="B873" s="1">
        <v>125</v>
      </c>
      <c r="C873" s="1">
        <v>300</v>
      </c>
      <c r="D873" s="13"/>
      <c r="E873" s="13"/>
      <c r="F873" s="13"/>
      <c r="G873" s="13"/>
      <c r="H873" s="13"/>
      <c r="I873" s="13"/>
      <c r="J873" s="13"/>
    </row>
    <row r="874" spans="1:10">
      <c r="A874" s="1">
        <v>1158</v>
      </c>
      <c r="B874" s="1">
        <v>125</v>
      </c>
      <c r="C874" s="1">
        <v>300</v>
      </c>
      <c r="D874" s="13"/>
      <c r="E874" s="13"/>
      <c r="F874" s="13"/>
      <c r="G874" s="13"/>
      <c r="H874" s="13"/>
      <c r="I874" s="13"/>
      <c r="J874" s="13"/>
    </row>
    <row r="875" spans="1:10">
      <c r="A875" s="1">
        <v>1159</v>
      </c>
      <c r="B875" s="1">
        <v>125</v>
      </c>
      <c r="C875" s="1">
        <v>300</v>
      </c>
      <c r="D875" s="13"/>
      <c r="E875" s="13"/>
      <c r="F875" s="13"/>
      <c r="G875" s="13"/>
      <c r="H875" s="13"/>
      <c r="I875" s="13"/>
      <c r="J875" s="13"/>
    </row>
    <row r="876" spans="1:10">
      <c r="A876" s="1">
        <v>1160</v>
      </c>
      <c r="B876" s="1">
        <v>125</v>
      </c>
      <c r="C876" s="1">
        <v>300</v>
      </c>
      <c r="D876" s="13"/>
      <c r="E876" s="13"/>
      <c r="F876" s="13"/>
      <c r="G876" s="13"/>
      <c r="H876" s="13"/>
      <c r="I876" s="13"/>
      <c r="J876" s="13"/>
    </row>
    <row r="877" spans="1:10">
      <c r="A877" s="1">
        <v>1161</v>
      </c>
      <c r="B877" s="1">
        <v>125</v>
      </c>
      <c r="C877" s="1">
        <v>300</v>
      </c>
      <c r="D877" s="13"/>
      <c r="E877" s="13"/>
      <c r="F877" s="13"/>
      <c r="G877" s="13"/>
      <c r="H877" s="13"/>
      <c r="I877" s="13"/>
      <c r="J877" s="13"/>
    </row>
    <row r="878" spans="1:10">
      <c r="A878" s="1">
        <v>1162</v>
      </c>
      <c r="B878" s="1">
        <v>125</v>
      </c>
      <c r="C878" s="1">
        <v>300</v>
      </c>
      <c r="D878" s="13"/>
      <c r="E878" s="13"/>
      <c r="F878" s="13"/>
      <c r="G878" s="13"/>
      <c r="H878" s="13"/>
      <c r="I878" s="13"/>
      <c r="J878" s="13"/>
    </row>
    <row r="879" spans="1:10">
      <c r="A879" s="1">
        <v>1163</v>
      </c>
      <c r="B879" s="1">
        <v>125</v>
      </c>
      <c r="C879" s="1">
        <v>300</v>
      </c>
      <c r="D879" s="13"/>
      <c r="E879" s="13"/>
      <c r="F879" s="13"/>
      <c r="G879" s="13"/>
      <c r="H879" s="13"/>
      <c r="I879" s="13"/>
      <c r="J879" s="13"/>
    </row>
    <row r="880" spans="1:10">
      <c r="A880" s="1">
        <v>1164</v>
      </c>
      <c r="B880" s="1">
        <v>125</v>
      </c>
      <c r="C880" s="1">
        <v>300</v>
      </c>
      <c r="D880" s="13"/>
      <c r="E880" s="13"/>
      <c r="F880" s="13"/>
      <c r="G880" s="13"/>
      <c r="H880" s="13"/>
      <c r="I880" s="13"/>
      <c r="J880" s="13"/>
    </row>
    <row r="881" spans="1:10">
      <c r="A881" s="1">
        <v>1165</v>
      </c>
      <c r="B881" s="1">
        <v>126</v>
      </c>
      <c r="C881" s="1">
        <v>500</v>
      </c>
      <c r="D881" s="13"/>
      <c r="E881" s="13"/>
      <c r="F881" s="13"/>
      <c r="G881" s="13"/>
      <c r="H881" s="13"/>
      <c r="I881" s="13"/>
      <c r="J881" s="13"/>
    </row>
    <row r="882" spans="1:10">
      <c r="A882" s="1">
        <v>1166</v>
      </c>
      <c r="B882" s="1">
        <v>126</v>
      </c>
      <c r="C882" s="1">
        <v>500</v>
      </c>
      <c r="D882" s="13"/>
      <c r="E882" s="13"/>
      <c r="F882" s="13"/>
      <c r="G882" s="13"/>
      <c r="H882" s="13"/>
      <c r="I882" s="13"/>
      <c r="J882" s="13"/>
    </row>
    <row r="883" spans="1:10">
      <c r="A883" s="1">
        <v>1167</v>
      </c>
      <c r="B883" s="1">
        <v>126</v>
      </c>
      <c r="C883" s="1">
        <v>500</v>
      </c>
      <c r="D883" s="13"/>
      <c r="E883" s="13"/>
      <c r="F883" s="13"/>
      <c r="G883" s="13"/>
      <c r="H883" s="13"/>
      <c r="I883" s="13"/>
      <c r="J883" s="13"/>
    </row>
    <row r="884" spans="1:10">
      <c r="A884" s="1">
        <v>1168</v>
      </c>
      <c r="B884" s="1">
        <v>126</v>
      </c>
      <c r="C884" s="1">
        <v>500</v>
      </c>
      <c r="D884" s="13"/>
      <c r="E884" s="13"/>
      <c r="F884" s="13"/>
      <c r="G884" s="13"/>
      <c r="H884" s="13"/>
      <c r="I884" s="13"/>
      <c r="J884" s="13"/>
    </row>
    <row r="885" spans="1:10">
      <c r="A885" s="1">
        <v>1169</v>
      </c>
      <c r="B885" s="1">
        <v>126</v>
      </c>
      <c r="C885" s="1">
        <v>500</v>
      </c>
      <c r="D885" s="13"/>
      <c r="E885" s="13"/>
      <c r="F885" s="13"/>
      <c r="G885" s="13"/>
      <c r="H885" s="13"/>
      <c r="I885" s="13"/>
      <c r="J885" s="13"/>
    </row>
    <row r="886" spans="1:10">
      <c r="A886" s="1">
        <v>1170</v>
      </c>
      <c r="B886" s="1">
        <v>126</v>
      </c>
      <c r="C886" s="1">
        <v>500</v>
      </c>
      <c r="D886" s="13"/>
      <c r="E886" s="13"/>
      <c r="F886" s="13"/>
      <c r="G886" s="13"/>
      <c r="H886" s="13"/>
      <c r="I886" s="13"/>
      <c r="J886" s="13"/>
    </row>
    <row r="887" spans="1:10">
      <c r="A887" s="1">
        <v>1171</v>
      </c>
      <c r="B887" s="1">
        <v>126</v>
      </c>
      <c r="C887" s="1">
        <v>500</v>
      </c>
      <c r="D887" s="13"/>
      <c r="E887" s="13"/>
      <c r="F887" s="13"/>
      <c r="G887" s="13"/>
      <c r="H887" s="13"/>
      <c r="I887" s="13"/>
      <c r="J887" s="13"/>
    </row>
    <row r="888" spans="1:10">
      <c r="A888" s="1">
        <v>1172</v>
      </c>
      <c r="B888" s="1">
        <v>126</v>
      </c>
      <c r="C888" s="1">
        <v>500</v>
      </c>
      <c r="D888" s="13"/>
      <c r="E888" s="13"/>
      <c r="F888" s="13"/>
      <c r="G888" s="13"/>
      <c r="H888" s="13"/>
      <c r="I888" s="13"/>
      <c r="J888" s="13"/>
    </row>
    <row r="889" spans="1:10">
      <c r="A889" s="1">
        <v>1173</v>
      </c>
      <c r="B889" s="1">
        <v>126</v>
      </c>
      <c r="C889" s="1">
        <v>500</v>
      </c>
      <c r="D889" s="13"/>
      <c r="E889" s="13"/>
      <c r="F889" s="13"/>
      <c r="G889" s="13"/>
      <c r="H889" s="13"/>
      <c r="I889" s="13"/>
      <c r="J889" s="13"/>
    </row>
    <row r="890" spans="1:10">
      <c r="A890" s="1">
        <v>1174</v>
      </c>
      <c r="B890" s="1">
        <v>126</v>
      </c>
      <c r="C890" s="1">
        <v>500</v>
      </c>
      <c r="D890" s="13"/>
      <c r="E890" s="13"/>
      <c r="F890" s="13"/>
      <c r="G890" s="13"/>
      <c r="H890" s="13"/>
      <c r="I890" s="13"/>
      <c r="J890" s="13"/>
    </row>
    <row r="891" spans="1:10">
      <c r="A891" s="1">
        <v>1176</v>
      </c>
      <c r="B891" s="1">
        <v>127</v>
      </c>
      <c r="C891" s="1">
        <v>300</v>
      </c>
      <c r="D891" s="13"/>
      <c r="E891" s="13"/>
      <c r="F891" s="13"/>
      <c r="G891" s="13"/>
      <c r="H891" s="13"/>
      <c r="I891" s="13"/>
      <c r="J891" s="13"/>
    </row>
    <row r="892" spans="1:10">
      <c r="A892" s="1">
        <v>1177</v>
      </c>
      <c r="B892" s="1">
        <v>127</v>
      </c>
      <c r="C892" s="1">
        <v>300</v>
      </c>
      <c r="D892" s="13"/>
      <c r="E892" s="13"/>
      <c r="F892" s="13"/>
      <c r="G892" s="13"/>
      <c r="H892" s="13"/>
      <c r="I892" s="13"/>
      <c r="J892" s="13"/>
    </row>
    <row r="893" spans="1:10">
      <c r="A893" s="1">
        <v>1178</v>
      </c>
      <c r="B893" s="1">
        <v>127</v>
      </c>
      <c r="C893" s="1">
        <v>300</v>
      </c>
      <c r="D893" s="13"/>
      <c r="E893" s="13"/>
      <c r="F893" s="13"/>
      <c r="G893" s="13"/>
      <c r="H893" s="13"/>
      <c r="I893" s="13"/>
      <c r="J893" s="13"/>
    </row>
    <row r="894" spans="1:10">
      <c r="A894" s="1">
        <v>1179</v>
      </c>
      <c r="B894" s="1">
        <v>127</v>
      </c>
      <c r="C894" s="1">
        <v>300</v>
      </c>
      <c r="D894" s="13"/>
      <c r="E894" s="13"/>
      <c r="F894" s="13"/>
      <c r="G894" s="13"/>
      <c r="H894" s="13"/>
      <c r="I894" s="13"/>
      <c r="J894" s="13"/>
    </row>
    <row r="895" spans="1:10">
      <c r="A895" s="1">
        <v>1180</v>
      </c>
      <c r="B895" s="1">
        <v>127</v>
      </c>
      <c r="C895" s="1">
        <v>300</v>
      </c>
      <c r="D895" s="13"/>
      <c r="E895" s="13"/>
      <c r="F895" s="13"/>
      <c r="G895" s="13"/>
      <c r="H895" s="13"/>
      <c r="I895" s="13"/>
      <c r="J895" s="13"/>
    </row>
    <row r="896" spans="1:10">
      <c r="A896" s="1">
        <v>1181</v>
      </c>
      <c r="B896" s="1">
        <v>127</v>
      </c>
      <c r="C896" s="1">
        <v>300</v>
      </c>
      <c r="D896" s="13"/>
      <c r="E896" s="13"/>
      <c r="F896" s="13"/>
      <c r="G896" s="13"/>
      <c r="H896" s="13"/>
      <c r="I896" s="13"/>
      <c r="J896" s="13"/>
    </row>
    <row r="897" spans="1:10">
      <c r="A897" s="1">
        <v>1182</v>
      </c>
      <c r="B897" s="1">
        <v>127</v>
      </c>
      <c r="C897" s="1">
        <v>300</v>
      </c>
      <c r="D897" s="13"/>
      <c r="E897" s="13"/>
      <c r="F897" s="13"/>
      <c r="G897" s="13"/>
      <c r="H897" s="13"/>
      <c r="I897" s="13"/>
      <c r="J897" s="13"/>
    </row>
    <row r="898" spans="1:10">
      <c r="A898" s="1">
        <v>1183</v>
      </c>
      <c r="B898" s="1">
        <v>127</v>
      </c>
      <c r="C898" s="1">
        <v>300</v>
      </c>
      <c r="D898" s="13"/>
      <c r="E898" s="13"/>
      <c r="F898" s="13"/>
      <c r="G898" s="13"/>
      <c r="H898" s="13"/>
      <c r="I898" s="13"/>
      <c r="J898" s="13"/>
    </row>
    <row r="899" spans="1:10">
      <c r="A899" s="1">
        <v>1184</v>
      </c>
      <c r="B899" s="1">
        <v>127</v>
      </c>
      <c r="C899" s="1">
        <v>300</v>
      </c>
      <c r="D899" s="13"/>
      <c r="E899" s="13"/>
      <c r="F899" s="13"/>
      <c r="G899" s="13"/>
      <c r="H899" s="13"/>
      <c r="I899" s="13"/>
      <c r="J899" s="13"/>
    </row>
    <row r="900" spans="1:10">
      <c r="A900" s="1">
        <v>1185</v>
      </c>
      <c r="B900" s="1">
        <v>127</v>
      </c>
      <c r="C900" s="1">
        <v>300</v>
      </c>
      <c r="D900" s="13"/>
      <c r="E900" s="13"/>
      <c r="F900" s="13"/>
      <c r="G900" s="13"/>
      <c r="H900" s="13"/>
      <c r="I900" s="13"/>
      <c r="J900" s="13"/>
    </row>
    <row r="901" spans="1:10">
      <c r="A901" s="1">
        <v>1187</v>
      </c>
      <c r="B901" s="1">
        <v>128</v>
      </c>
      <c r="C901" s="1">
        <v>500</v>
      </c>
      <c r="D901" s="13"/>
      <c r="E901" s="13"/>
      <c r="F901" s="13"/>
      <c r="G901" s="13"/>
      <c r="H901" s="13"/>
      <c r="I901" s="13"/>
      <c r="J901" s="13"/>
    </row>
    <row r="902" spans="1:10">
      <c r="A902" s="1">
        <v>1188</v>
      </c>
      <c r="B902" s="1">
        <v>128</v>
      </c>
      <c r="C902" s="1">
        <v>500</v>
      </c>
      <c r="D902" s="13"/>
      <c r="E902" s="13"/>
      <c r="F902" s="13"/>
      <c r="G902" s="13"/>
      <c r="H902" s="13"/>
      <c r="I902" s="13"/>
      <c r="J902" s="13"/>
    </row>
    <row r="903" spans="1:10">
      <c r="A903" s="1">
        <v>1189</v>
      </c>
      <c r="B903" s="1">
        <v>128</v>
      </c>
      <c r="C903" s="1">
        <v>500</v>
      </c>
      <c r="D903" s="13"/>
      <c r="E903" s="13"/>
      <c r="F903" s="13"/>
      <c r="G903" s="13"/>
      <c r="H903" s="13"/>
      <c r="I903" s="13"/>
      <c r="J903" s="13"/>
    </row>
    <row r="904" spans="1:10">
      <c r="A904" s="1">
        <v>1190</v>
      </c>
      <c r="B904" s="1">
        <v>128</v>
      </c>
      <c r="C904" s="1">
        <v>500</v>
      </c>
      <c r="D904" s="13"/>
      <c r="E904" s="13"/>
      <c r="F904" s="13"/>
      <c r="G904" s="13"/>
      <c r="H904" s="13"/>
      <c r="I904" s="13"/>
      <c r="J904" s="13"/>
    </row>
    <row r="905" spans="1:10">
      <c r="A905" s="1">
        <v>1191</v>
      </c>
      <c r="B905" s="1">
        <v>128</v>
      </c>
      <c r="C905" s="1">
        <v>500</v>
      </c>
      <c r="D905" s="13"/>
      <c r="E905" s="13"/>
      <c r="F905" s="13"/>
      <c r="G905" s="13"/>
      <c r="H905" s="13"/>
      <c r="I905" s="13"/>
      <c r="J905" s="13"/>
    </row>
    <row r="906" spans="1:10">
      <c r="A906" s="1">
        <v>1192</v>
      </c>
      <c r="B906" s="1">
        <v>128</v>
      </c>
      <c r="C906" s="1">
        <v>500</v>
      </c>
      <c r="D906" s="13"/>
      <c r="E906" s="13"/>
      <c r="F906" s="13"/>
      <c r="G906" s="13"/>
      <c r="H906" s="13"/>
      <c r="I906" s="13"/>
      <c r="J906" s="13"/>
    </row>
    <row r="907" spans="1:10">
      <c r="A907" s="1">
        <v>1193</v>
      </c>
      <c r="B907" s="1">
        <v>128</v>
      </c>
      <c r="C907" s="1">
        <v>500</v>
      </c>
      <c r="D907" s="13"/>
      <c r="E907" s="13"/>
      <c r="F907" s="13"/>
      <c r="G907" s="13"/>
      <c r="H907" s="13"/>
      <c r="I907" s="13"/>
      <c r="J907" s="13"/>
    </row>
    <row r="908" spans="1:10">
      <c r="A908" s="1">
        <v>1194</v>
      </c>
      <c r="B908" s="1">
        <v>128</v>
      </c>
      <c r="C908" s="1">
        <v>500</v>
      </c>
      <c r="D908" s="13"/>
      <c r="E908" s="13"/>
      <c r="F908" s="13"/>
      <c r="G908" s="13"/>
      <c r="H908" s="13"/>
      <c r="I908" s="13"/>
      <c r="J908" s="13"/>
    </row>
    <row r="909" spans="1:10">
      <c r="A909" s="1">
        <v>1195</v>
      </c>
      <c r="B909" s="1">
        <v>129</v>
      </c>
      <c r="C909" s="1">
        <v>300</v>
      </c>
      <c r="D909" s="13"/>
      <c r="E909" s="13"/>
      <c r="F909" s="13"/>
      <c r="G909" s="13"/>
      <c r="H909" s="13"/>
      <c r="I909" s="13"/>
      <c r="J909" s="13"/>
    </row>
    <row r="910" spans="1:10">
      <c r="A910" s="1">
        <v>1196</v>
      </c>
      <c r="B910" s="1">
        <v>129</v>
      </c>
      <c r="C910" s="1">
        <v>300</v>
      </c>
      <c r="D910" s="13"/>
      <c r="E910" s="13"/>
      <c r="F910" s="13"/>
      <c r="G910" s="13"/>
      <c r="H910" s="13"/>
      <c r="I910" s="13"/>
      <c r="J910" s="13"/>
    </row>
    <row r="911" spans="1:10">
      <c r="A911" s="1">
        <v>1197</v>
      </c>
      <c r="B911" s="1">
        <v>129</v>
      </c>
      <c r="C911" s="1">
        <v>300</v>
      </c>
      <c r="D911" s="13"/>
      <c r="E911" s="13"/>
      <c r="F911" s="13"/>
      <c r="G911" s="13"/>
      <c r="H911" s="13"/>
      <c r="I911" s="13"/>
      <c r="J911" s="13"/>
    </row>
    <row r="912" spans="1:10">
      <c r="A912" s="1">
        <v>1198</v>
      </c>
      <c r="B912" s="1">
        <v>129</v>
      </c>
      <c r="C912" s="1">
        <v>300</v>
      </c>
      <c r="D912" s="13"/>
      <c r="E912" s="13"/>
      <c r="F912" s="13"/>
      <c r="G912" s="13"/>
      <c r="H912" s="13"/>
      <c r="I912" s="13"/>
      <c r="J912" s="13"/>
    </row>
    <row r="913" spans="1:10">
      <c r="A913" s="1">
        <v>1199</v>
      </c>
      <c r="B913" s="1">
        <v>129</v>
      </c>
      <c r="C913" s="1">
        <v>300</v>
      </c>
      <c r="D913" s="13"/>
      <c r="E913" s="13"/>
      <c r="F913" s="13"/>
      <c r="G913" s="13"/>
      <c r="H913" s="13"/>
      <c r="I913" s="13"/>
      <c r="J913" s="13"/>
    </row>
    <row r="914" spans="1:10">
      <c r="A914" s="1">
        <v>1200</v>
      </c>
      <c r="B914" s="1">
        <v>129</v>
      </c>
      <c r="C914" s="1">
        <v>300</v>
      </c>
      <c r="D914" s="13"/>
      <c r="E914" s="13"/>
      <c r="F914" s="13"/>
      <c r="G914" s="13"/>
      <c r="H914" s="13"/>
      <c r="I914" s="13"/>
      <c r="J914" s="13"/>
    </row>
    <row r="915" spans="1:10">
      <c r="A915" s="1">
        <v>1201</v>
      </c>
      <c r="B915" s="1">
        <v>129</v>
      </c>
      <c r="C915" s="1">
        <v>300</v>
      </c>
      <c r="D915" s="13"/>
      <c r="E915" s="13"/>
      <c r="F915" s="13"/>
      <c r="G915" s="13"/>
      <c r="H915" s="13"/>
      <c r="I915" s="13"/>
      <c r="J915" s="13"/>
    </row>
    <row r="916" spans="1:10">
      <c r="A916" s="1">
        <v>1202</v>
      </c>
      <c r="B916" s="1">
        <v>129</v>
      </c>
      <c r="C916" s="1">
        <v>300</v>
      </c>
      <c r="D916" s="13"/>
      <c r="E916" s="13"/>
      <c r="F916" s="13"/>
      <c r="G916" s="13"/>
      <c r="H916" s="13"/>
      <c r="I916" s="13"/>
      <c r="J916" s="13"/>
    </row>
    <row r="917" spans="1:10">
      <c r="A917" s="1">
        <v>1203</v>
      </c>
      <c r="B917" s="1">
        <v>129</v>
      </c>
      <c r="C917" s="1">
        <v>300</v>
      </c>
      <c r="D917" s="13"/>
      <c r="E917" s="13"/>
      <c r="F917" s="13"/>
      <c r="G917" s="13"/>
      <c r="H917" s="13"/>
      <c r="I917" s="13"/>
      <c r="J917" s="13"/>
    </row>
    <row r="918" spans="1:10">
      <c r="A918" s="1">
        <v>1204</v>
      </c>
      <c r="B918" s="1">
        <v>129</v>
      </c>
      <c r="C918" s="1">
        <v>300</v>
      </c>
      <c r="D918" s="13"/>
      <c r="E918" s="13"/>
      <c r="F918" s="13"/>
      <c r="G918" s="13"/>
      <c r="H918" s="13"/>
      <c r="I918" s="13"/>
      <c r="J918" s="13"/>
    </row>
    <row r="919" spans="1:10">
      <c r="A919" s="1">
        <v>1205</v>
      </c>
      <c r="B919" s="1">
        <v>129</v>
      </c>
      <c r="C919" s="1">
        <v>300</v>
      </c>
      <c r="D919" s="13"/>
      <c r="E919" s="13"/>
      <c r="F919" s="13"/>
      <c r="G919" s="13"/>
      <c r="H919" s="13"/>
      <c r="I919" s="13"/>
      <c r="J919" s="13"/>
    </row>
    <row r="920" spans="1:10">
      <c r="A920" s="1">
        <v>1206</v>
      </c>
      <c r="B920" s="1">
        <v>129</v>
      </c>
      <c r="C920" s="1">
        <v>300</v>
      </c>
      <c r="D920" s="13"/>
      <c r="E920" s="13"/>
      <c r="F920" s="13"/>
      <c r="G920" s="13"/>
      <c r="H920" s="13"/>
      <c r="I920" s="13"/>
      <c r="J920" s="13"/>
    </row>
    <row r="921" spans="1:10">
      <c r="A921" s="1">
        <v>1207</v>
      </c>
      <c r="B921" s="1">
        <v>129</v>
      </c>
      <c r="C921" s="1">
        <v>300</v>
      </c>
      <c r="D921" s="13"/>
      <c r="E921" s="13"/>
      <c r="F921" s="13"/>
      <c r="G921" s="13"/>
      <c r="H921" s="13"/>
      <c r="I921" s="13"/>
      <c r="J921" s="13"/>
    </row>
    <row r="922" spans="1:10">
      <c r="A922" s="1">
        <v>1208</v>
      </c>
      <c r="B922" s="1">
        <v>129</v>
      </c>
      <c r="C922" s="1">
        <v>300</v>
      </c>
      <c r="D922" s="13"/>
      <c r="E922" s="13"/>
      <c r="F922" s="13"/>
      <c r="G922" s="13"/>
      <c r="H922" s="13"/>
      <c r="I922" s="13"/>
      <c r="J922" s="13"/>
    </row>
    <row r="923" spans="1:10">
      <c r="A923" s="1">
        <v>1209</v>
      </c>
      <c r="B923" s="1">
        <v>129</v>
      </c>
      <c r="C923" s="1">
        <v>300</v>
      </c>
      <c r="D923" s="13"/>
      <c r="E923" s="13"/>
      <c r="F923" s="13"/>
      <c r="G923" s="13"/>
      <c r="H923" s="13"/>
      <c r="I923" s="13"/>
      <c r="J923" s="13"/>
    </row>
    <row r="924" spans="1:10">
      <c r="A924" s="1">
        <v>1210</v>
      </c>
      <c r="B924" s="1">
        <v>129</v>
      </c>
      <c r="C924" s="1">
        <v>300</v>
      </c>
      <c r="D924" s="13"/>
      <c r="E924" s="13"/>
      <c r="F924" s="13"/>
      <c r="G924" s="13"/>
      <c r="H924" s="13"/>
      <c r="I924" s="13"/>
      <c r="J924" s="13"/>
    </row>
    <row r="925" spans="1:10">
      <c r="A925" s="1">
        <v>1211</v>
      </c>
      <c r="B925" s="1">
        <v>129</v>
      </c>
      <c r="C925" s="1">
        <v>300</v>
      </c>
      <c r="D925" s="13"/>
      <c r="E925" s="13"/>
      <c r="F925" s="13"/>
      <c r="G925" s="13"/>
      <c r="H925" s="13"/>
      <c r="I925" s="13"/>
      <c r="J925" s="13"/>
    </row>
    <row r="926" spans="1:10">
      <c r="A926" s="1">
        <v>1212</v>
      </c>
      <c r="B926" s="1">
        <v>129</v>
      </c>
      <c r="C926" s="1">
        <v>300</v>
      </c>
      <c r="D926" s="13"/>
      <c r="E926" s="13"/>
      <c r="F926" s="13"/>
      <c r="G926" s="13"/>
      <c r="H926" s="13"/>
      <c r="I926" s="13"/>
      <c r="J926" s="13"/>
    </row>
    <row r="927" spans="1:10">
      <c r="A927" s="1">
        <v>1213</v>
      </c>
      <c r="B927" s="1">
        <v>129</v>
      </c>
      <c r="C927" s="1">
        <v>300</v>
      </c>
      <c r="D927" s="13"/>
      <c r="E927" s="13"/>
      <c r="F927" s="13"/>
      <c r="G927" s="13"/>
      <c r="H927" s="13"/>
      <c r="I927" s="13"/>
      <c r="J927" s="13"/>
    </row>
    <row r="928" spans="1:10">
      <c r="A928" s="1">
        <v>1214</v>
      </c>
      <c r="B928" s="1">
        <v>130</v>
      </c>
      <c r="C928" s="1">
        <v>300</v>
      </c>
      <c r="D928" s="13"/>
      <c r="E928" s="13"/>
      <c r="F928" s="13"/>
      <c r="G928" s="13"/>
      <c r="H928" s="13"/>
      <c r="I928" s="13"/>
      <c r="J928" s="13"/>
    </row>
    <row r="929" spans="1:10">
      <c r="A929" s="1">
        <v>1215</v>
      </c>
      <c r="B929" s="1">
        <v>130</v>
      </c>
      <c r="C929" s="1">
        <v>300</v>
      </c>
      <c r="D929" s="13"/>
      <c r="E929" s="13"/>
      <c r="F929" s="13"/>
      <c r="G929" s="13"/>
      <c r="H929" s="13"/>
      <c r="I929" s="13"/>
      <c r="J929" s="13"/>
    </row>
    <row r="930" spans="1:10">
      <c r="A930" s="1">
        <v>1216</v>
      </c>
      <c r="B930" s="1">
        <v>130</v>
      </c>
      <c r="C930" s="1">
        <v>300</v>
      </c>
      <c r="D930" s="13"/>
      <c r="E930" s="13"/>
      <c r="F930" s="13"/>
      <c r="G930" s="13"/>
      <c r="H930" s="13"/>
      <c r="I930" s="13"/>
      <c r="J930" s="13"/>
    </row>
    <row r="931" spans="1:10">
      <c r="A931" s="1">
        <v>1217</v>
      </c>
      <c r="B931" s="1">
        <v>130</v>
      </c>
      <c r="C931" s="1">
        <v>300</v>
      </c>
      <c r="D931" s="13"/>
      <c r="E931" s="13"/>
      <c r="F931" s="13"/>
      <c r="G931" s="13"/>
      <c r="H931" s="13"/>
      <c r="I931" s="13"/>
      <c r="J931" s="13"/>
    </row>
    <row r="932" spans="1:10">
      <c r="A932" s="1">
        <v>1218</v>
      </c>
      <c r="B932" s="1">
        <v>130</v>
      </c>
      <c r="C932" s="1">
        <v>300</v>
      </c>
      <c r="D932" s="13"/>
      <c r="E932" s="13"/>
      <c r="F932" s="13"/>
      <c r="G932" s="13"/>
      <c r="H932" s="13"/>
      <c r="I932" s="13"/>
      <c r="J932" s="13"/>
    </row>
    <row r="933" spans="1:10">
      <c r="A933" s="1">
        <v>1219</v>
      </c>
      <c r="B933" s="1">
        <v>130</v>
      </c>
      <c r="C933" s="1">
        <v>300</v>
      </c>
      <c r="D933" s="13"/>
      <c r="E933" s="13"/>
      <c r="F933" s="13"/>
      <c r="G933" s="13"/>
      <c r="H933" s="13"/>
      <c r="I933" s="13"/>
      <c r="J933" s="13"/>
    </row>
    <row r="934" spans="1:10">
      <c r="A934" s="1">
        <v>1220</v>
      </c>
      <c r="B934" s="1">
        <v>130</v>
      </c>
      <c r="C934" s="1">
        <v>300</v>
      </c>
      <c r="D934" s="13"/>
      <c r="E934" s="13"/>
      <c r="F934" s="13"/>
      <c r="G934" s="13"/>
      <c r="H934" s="13"/>
      <c r="I934" s="13"/>
      <c r="J934" s="13"/>
    </row>
    <row r="935" spans="1:10">
      <c r="A935" s="1">
        <v>1221</v>
      </c>
      <c r="B935" s="1">
        <v>130</v>
      </c>
      <c r="C935" s="1">
        <v>300</v>
      </c>
      <c r="D935" s="13"/>
      <c r="E935" s="13"/>
      <c r="F935" s="13"/>
      <c r="G935" s="13"/>
      <c r="H935" s="13"/>
      <c r="I935" s="13"/>
      <c r="J935" s="13"/>
    </row>
    <row r="936" spans="1:10">
      <c r="A936" s="1">
        <v>1222</v>
      </c>
      <c r="B936" s="1">
        <v>130</v>
      </c>
      <c r="C936" s="1">
        <v>300</v>
      </c>
      <c r="D936" s="13"/>
      <c r="E936" s="13"/>
      <c r="F936" s="13"/>
      <c r="G936" s="13"/>
      <c r="H936" s="13"/>
      <c r="I936" s="13"/>
      <c r="J936" s="13"/>
    </row>
    <row r="937" spans="1:10">
      <c r="A937" s="1">
        <v>1223</v>
      </c>
      <c r="B937" s="1">
        <v>130</v>
      </c>
      <c r="C937" s="1">
        <v>300</v>
      </c>
      <c r="D937" s="13"/>
      <c r="E937" s="13"/>
      <c r="F937" s="13"/>
      <c r="G937" s="13"/>
      <c r="H937" s="13"/>
      <c r="I937" s="13"/>
      <c r="J937" s="13"/>
    </row>
    <row r="938" spans="1:10">
      <c r="A938" s="1">
        <v>1224</v>
      </c>
      <c r="B938" s="1">
        <v>130</v>
      </c>
      <c r="C938" s="1">
        <v>300</v>
      </c>
      <c r="D938" s="13"/>
      <c r="E938" s="13"/>
      <c r="F938" s="13"/>
      <c r="G938" s="13"/>
      <c r="H938" s="13"/>
      <c r="I938" s="13"/>
      <c r="J938" s="13"/>
    </row>
    <row r="939" spans="1:10">
      <c r="A939" s="1">
        <v>1225</v>
      </c>
      <c r="B939" s="1">
        <v>130</v>
      </c>
      <c r="C939" s="1">
        <v>300</v>
      </c>
      <c r="D939" s="13"/>
      <c r="E939" s="13"/>
      <c r="F939" s="13"/>
      <c r="G939" s="13"/>
      <c r="H939" s="13"/>
      <c r="I939" s="13"/>
      <c r="J939" s="13"/>
    </row>
    <row r="940" spans="1:10">
      <c r="A940" s="1">
        <v>1226</v>
      </c>
      <c r="B940" s="1">
        <v>130</v>
      </c>
      <c r="C940" s="1">
        <v>300</v>
      </c>
      <c r="D940" s="13"/>
      <c r="E940" s="13"/>
      <c r="F940" s="13"/>
      <c r="G940" s="13"/>
      <c r="H940" s="13"/>
      <c r="I940" s="13"/>
      <c r="J940" s="13"/>
    </row>
    <row r="941" spans="1:10">
      <c r="A941" s="1">
        <v>1227</v>
      </c>
      <c r="B941" s="1">
        <v>130</v>
      </c>
      <c r="C941" s="1">
        <v>300</v>
      </c>
      <c r="D941" s="13"/>
      <c r="E941" s="13"/>
      <c r="F941" s="13"/>
      <c r="G941" s="13"/>
      <c r="H941" s="13"/>
      <c r="I941" s="13"/>
      <c r="J941" s="13"/>
    </row>
    <row r="942" spans="1:10">
      <c r="A942" s="1">
        <v>1228</v>
      </c>
      <c r="B942" s="1">
        <v>130</v>
      </c>
      <c r="C942" s="1">
        <v>300</v>
      </c>
      <c r="D942" s="13"/>
      <c r="E942" s="13"/>
      <c r="F942" s="13"/>
      <c r="G942" s="13"/>
      <c r="H942" s="13"/>
      <c r="I942" s="13"/>
      <c r="J942" s="13"/>
    </row>
    <row r="943" spans="1:10">
      <c r="A943" s="1">
        <v>1229</v>
      </c>
      <c r="B943" s="1">
        <v>130</v>
      </c>
      <c r="C943" s="1">
        <v>300</v>
      </c>
      <c r="D943" s="13"/>
      <c r="E943" s="13"/>
      <c r="F943" s="13"/>
      <c r="G943" s="13"/>
      <c r="H943" s="13"/>
      <c r="I943" s="13"/>
      <c r="J943" s="13"/>
    </row>
    <row r="944" spans="1:10">
      <c r="A944" s="1">
        <v>1230</v>
      </c>
      <c r="B944" s="1">
        <v>130</v>
      </c>
      <c r="C944" s="1">
        <v>300</v>
      </c>
      <c r="D944" s="13"/>
      <c r="E944" s="13"/>
      <c r="F944" s="13"/>
      <c r="G944" s="13"/>
      <c r="H944" s="13"/>
      <c r="I944" s="13"/>
      <c r="J944" s="13"/>
    </row>
    <row r="945" spans="1:10">
      <c r="A945" s="1">
        <v>1231</v>
      </c>
      <c r="B945" s="1">
        <v>130</v>
      </c>
      <c r="C945" s="1">
        <v>300</v>
      </c>
      <c r="D945" s="13"/>
      <c r="E945" s="13"/>
      <c r="F945" s="13"/>
      <c r="G945" s="13"/>
      <c r="H945" s="13"/>
      <c r="I945" s="13"/>
      <c r="J945" s="13"/>
    </row>
    <row r="946" spans="1:10">
      <c r="A946" s="1">
        <v>1232</v>
      </c>
      <c r="B946" s="1">
        <v>130</v>
      </c>
      <c r="C946" s="1">
        <v>300</v>
      </c>
      <c r="D946" s="13"/>
      <c r="E946" s="13"/>
      <c r="F946" s="13"/>
      <c r="G946" s="13"/>
      <c r="H946" s="13"/>
      <c r="I946" s="13"/>
      <c r="J946" s="13"/>
    </row>
    <row r="947" spans="1:10">
      <c r="A947" s="1">
        <v>1233</v>
      </c>
      <c r="B947" s="1">
        <v>130</v>
      </c>
      <c r="C947" s="1">
        <v>300</v>
      </c>
      <c r="D947" s="13"/>
      <c r="E947" s="13"/>
      <c r="F947" s="13"/>
      <c r="G947" s="13"/>
      <c r="H947" s="13"/>
      <c r="I947" s="13"/>
      <c r="J947" s="13"/>
    </row>
    <row r="948" spans="1:10">
      <c r="A948" s="1">
        <v>1234</v>
      </c>
      <c r="B948" s="1">
        <v>130</v>
      </c>
      <c r="C948" s="1">
        <v>300</v>
      </c>
      <c r="D948" s="13"/>
      <c r="E948" s="13"/>
      <c r="F948" s="13"/>
      <c r="G948" s="13"/>
      <c r="H948" s="13"/>
      <c r="I948" s="13"/>
      <c r="J948" s="13"/>
    </row>
    <row r="949" spans="1:10">
      <c r="A949" s="1">
        <v>1235</v>
      </c>
      <c r="B949" s="1">
        <v>130</v>
      </c>
      <c r="C949" s="1">
        <v>300</v>
      </c>
      <c r="D949" s="13"/>
      <c r="E949" s="13"/>
      <c r="F949" s="13"/>
      <c r="G949" s="13"/>
      <c r="H949" s="13"/>
      <c r="I949" s="13"/>
      <c r="J949" s="13"/>
    </row>
    <row r="950" spans="1:10">
      <c r="A950" s="1">
        <v>1236</v>
      </c>
      <c r="B950" s="1">
        <v>130</v>
      </c>
      <c r="C950" s="1">
        <v>300</v>
      </c>
      <c r="D950" s="13"/>
      <c r="E950" s="13"/>
      <c r="F950" s="13"/>
      <c r="G950" s="13"/>
      <c r="H950" s="13"/>
      <c r="I950" s="13"/>
      <c r="J950" s="13"/>
    </row>
    <row r="951" spans="1:10">
      <c r="A951" s="1">
        <v>1237</v>
      </c>
      <c r="B951" s="1">
        <v>130</v>
      </c>
      <c r="C951" s="1">
        <v>100</v>
      </c>
      <c r="D951" s="13"/>
      <c r="E951" s="13"/>
      <c r="F951" s="13"/>
      <c r="G951" s="13"/>
      <c r="H951" s="13"/>
      <c r="I951" s="13"/>
      <c r="J951" s="13"/>
    </row>
    <row r="952" spans="1:10">
      <c r="A952" s="1">
        <v>1238</v>
      </c>
      <c r="B952" s="1">
        <v>131</v>
      </c>
      <c r="C952" s="1">
        <v>50</v>
      </c>
      <c r="D952" s="13"/>
      <c r="E952" s="13"/>
      <c r="F952" s="13"/>
      <c r="G952" s="13"/>
      <c r="H952" s="13"/>
      <c r="I952" s="13"/>
      <c r="J952" s="13"/>
    </row>
    <row r="953" spans="1:10">
      <c r="A953" s="1">
        <v>1240</v>
      </c>
      <c r="B953" s="1">
        <v>132</v>
      </c>
      <c r="C953" s="1">
        <v>500</v>
      </c>
      <c r="D953" s="13"/>
      <c r="E953" s="13"/>
      <c r="F953" s="13"/>
      <c r="G953" s="13"/>
      <c r="H953" s="13"/>
      <c r="I953" s="13"/>
      <c r="J953" s="13"/>
    </row>
    <row r="954" spans="1:10">
      <c r="A954" s="1">
        <v>1241</v>
      </c>
      <c r="B954" s="1">
        <v>132</v>
      </c>
      <c r="C954" s="1">
        <v>500</v>
      </c>
      <c r="D954" s="13"/>
      <c r="E954" s="13"/>
      <c r="F954" s="13"/>
      <c r="G954" s="13"/>
      <c r="H954" s="13"/>
      <c r="I954" s="13"/>
      <c r="J954" s="13"/>
    </row>
    <row r="955" spans="1:10">
      <c r="A955" s="1">
        <v>1242</v>
      </c>
      <c r="B955" s="1">
        <v>132</v>
      </c>
      <c r="C955" s="1">
        <v>500</v>
      </c>
      <c r="D955" s="13"/>
      <c r="E955" s="13"/>
      <c r="F955" s="13"/>
      <c r="G955" s="13"/>
      <c r="H955" s="13"/>
      <c r="I955" s="13"/>
      <c r="J955" s="13"/>
    </row>
    <row r="956" spans="1:10">
      <c r="A956" s="1">
        <v>1243</v>
      </c>
      <c r="B956" s="1">
        <v>132</v>
      </c>
      <c r="C956" s="1">
        <v>500</v>
      </c>
      <c r="D956" s="13"/>
      <c r="E956" s="13"/>
      <c r="F956" s="13"/>
      <c r="G956" s="13"/>
      <c r="H956" s="13"/>
      <c r="I956" s="13"/>
      <c r="J956" s="13"/>
    </row>
    <row r="957" spans="1:10">
      <c r="A957" s="1">
        <v>1244</v>
      </c>
      <c r="B957" s="1">
        <v>132</v>
      </c>
      <c r="C957" s="1">
        <v>500</v>
      </c>
      <c r="D957" s="13"/>
      <c r="E957" s="13"/>
      <c r="F957" s="13"/>
      <c r="G957" s="13"/>
      <c r="H957" s="13"/>
      <c r="I957" s="13"/>
      <c r="J957" s="13"/>
    </row>
    <row r="958" spans="1:10">
      <c r="A958" s="1">
        <v>1245</v>
      </c>
      <c r="B958" s="1">
        <v>132</v>
      </c>
      <c r="C958" s="1">
        <v>500</v>
      </c>
      <c r="D958" s="13"/>
      <c r="E958" s="13"/>
      <c r="F958" s="13"/>
      <c r="G958" s="13"/>
      <c r="H958" s="13"/>
      <c r="I958" s="13"/>
      <c r="J958" s="13"/>
    </row>
    <row r="959" spans="1:10">
      <c r="A959" s="1">
        <v>1246</v>
      </c>
      <c r="B959" s="1">
        <v>132</v>
      </c>
      <c r="C959" s="1">
        <v>500</v>
      </c>
      <c r="D959" s="13"/>
      <c r="E959" s="13"/>
      <c r="F959" s="13"/>
      <c r="G959" s="13"/>
      <c r="H959" s="13"/>
      <c r="I959" s="13"/>
      <c r="J959" s="13"/>
    </row>
    <row r="960" spans="1:10">
      <c r="A960" s="1">
        <v>1247</v>
      </c>
      <c r="B960" s="1">
        <v>132</v>
      </c>
      <c r="C960" s="1">
        <v>500</v>
      </c>
      <c r="D960" s="13"/>
      <c r="E960" s="13"/>
      <c r="F960" s="13"/>
      <c r="G960" s="13"/>
      <c r="H960" s="13"/>
      <c r="I960" s="13"/>
      <c r="J960" s="13"/>
    </row>
    <row r="961" spans="1:10">
      <c r="A961" s="1">
        <v>1248</v>
      </c>
      <c r="B961" s="1">
        <v>132</v>
      </c>
      <c r="C961" s="1">
        <v>500</v>
      </c>
      <c r="D961" s="13"/>
      <c r="E961" s="13"/>
      <c r="F961" s="13"/>
      <c r="G961" s="13"/>
      <c r="H961" s="13"/>
      <c r="I961" s="13"/>
      <c r="J961" s="13"/>
    </row>
    <row r="962" spans="1:10">
      <c r="A962" s="1">
        <v>1249</v>
      </c>
      <c r="B962" s="1">
        <v>132</v>
      </c>
      <c r="C962" s="1">
        <v>500</v>
      </c>
      <c r="D962" s="13"/>
      <c r="E962" s="13"/>
      <c r="F962" s="13"/>
      <c r="G962" s="13"/>
      <c r="H962" s="13"/>
      <c r="I962" s="13"/>
      <c r="J962" s="13"/>
    </row>
    <row r="963" spans="1:10">
      <c r="A963" s="1">
        <v>1250</v>
      </c>
      <c r="B963" s="1">
        <v>132</v>
      </c>
      <c r="C963" s="1">
        <v>500</v>
      </c>
      <c r="D963" s="13"/>
      <c r="E963" s="13"/>
      <c r="F963" s="13"/>
      <c r="G963" s="13"/>
      <c r="H963" s="13"/>
      <c r="I963" s="13"/>
      <c r="J963" s="13"/>
    </row>
    <row r="964" spans="1:10">
      <c r="A964" s="1">
        <v>1251</v>
      </c>
      <c r="B964" s="1">
        <v>132</v>
      </c>
      <c r="C964" s="1">
        <v>500</v>
      </c>
      <c r="D964" s="13"/>
      <c r="E964" s="13"/>
      <c r="F964" s="13"/>
      <c r="G964" s="13"/>
      <c r="H964" s="13"/>
      <c r="I964" s="13"/>
      <c r="J964" s="13"/>
    </row>
    <row r="965" spans="1:10">
      <c r="A965" s="1">
        <v>1252</v>
      </c>
      <c r="B965" s="1">
        <v>132</v>
      </c>
      <c r="C965" s="1">
        <v>500</v>
      </c>
      <c r="D965" s="13"/>
      <c r="E965" s="13"/>
      <c r="F965" s="13"/>
      <c r="G965" s="13"/>
      <c r="H965" s="13"/>
      <c r="I965" s="13"/>
      <c r="J965" s="13"/>
    </row>
    <row r="966" spans="1:10">
      <c r="A966" s="1">
        <v>1253</v>
      </c>
      <c r="B966" s="1">
        <v>132</v>
      </c>
      <c r="C966" s="1">
        <v>500</v>
      </c>
      <c r="D966" s="13"/>
      <c r="E966" s="13"/>
      <c r="F966" s="13"/>
      <c r="G966" s="13"/>
      <c r="H966" s="13"/>
      <c r="I966" s="13"/>
      <c r="J966" s="13"/>
    </row>
    <row r="967" spans="1:10">
      <c r="A967" s="1">
        <v>1254</v>
      </c>
      <c r="B967" s="1">
        <v>133</v>
      </c>
      <c r="C967" s="1">
        <v>300</v>
      </c>
      <c r="D967" s="13"/>
      <c r="E967" s="13"/>
      <c r="F967" s="13"/>
      <c r="G967" s="13"/>
      <c r="H967" s="13"/>
      <c r="I967" s="13"/>
      <c r="J967" s="13"/>
    </row>
    <row r="968" spans="1:10">
      <c r="A968" s="1">
        <v>1255</v>
      </c>
      <c r="B968" s="1">
        <v>133</v>
      </c>
      <c r="C968" s="1">
        <v>300</v>
      </c>
      <c r="D968" s="13"/>
      <c r="E968" s="13"/>
      <c r="F968" s="13"/>
      <c r="G968" s="13"/>
      <c r="H968" s="13"/>
      <c r="I968" s="13"/>
      <c r="J968" s="13"/>
    </row>
    <row r="969" spans="1:10">
      <c r="A969" s="1">
        <v>1256</v>
      </c>
      <c r="B969" s="1">
        <v>133</v>
      </c>
      <c r="C969" s="1">
        <v>300</v>
      </c>
      <c r="D969" s="13"/>
      <c r="E969" s="13"/>
      <c r="F969" s="13"/>
      <c r="G969" s="13"/>
      <c r="H969" s="13"/>
      <c r="I969" s="13"/>
      <c r="J969" s="13"/>
    </row>
    <row r="970" spans="1:10">
      <c r="A970" s="1">
        <v>1257</v>
      </c>
      <c r="B970" s="1">
        <v>133</v>
      </c>
      <c r="C970" s="1">
        <v>300</v>
      </c>
      <c r="D970" s="13"/>
      <c r="E970" s="13"/>
      <c r="F970" s="13"/>
      <c r="G970" s="13"/>
      <c r="H970" s="13"/>
      <c r="I970" s="13"/>
      <c r="J970" s="13"/>
    </row>
    <row r="971" spans="1:10">
      <c r="A971" s="1">
        <v>1258</v>
      </c>
      <c r="B971" s="1">
        <v>133</v>
      </c>
      <c r="C971" s="1">
        <v>300</v>
      </c>
      <c r="D971" s="13"/>
      <c r="E971" s="13"/>
      <c r="F971" s="13"/>
      <c r="G971" s="13"/>
      <c r="H971" s="13"/>
      <c r="I971" s="13"/>
      <c r="J971" s="13"/>
    </row>
    <row r="972" spans="1:10">
      <c r="A972" s="1">
        <v>1259</v>
      </c>
      <c r="B972" s="1">
        <v>134</v>
      </c>
      <c r="C972" s="1">
        <v>300</v>
      </c>
      <c r="D972" s="13"/>
      <c r="E972" s="13"/>
      <c r="F972" s="13"/>
      <c r="G972" s="13"/>
      <c r="H972" s="13"/>
      <c r="I972" s="13"/>
      <c r="J972" s="13"/>
    </row>
    <row r="973" spans="1:10">
      <c r="A973" s="1">
        <v>1260</v>
      </c>
      <c r="B973" s="1">
        <v>134</v>
      </c>
      <c r="C973" s="1">
        <v>300</v>
      </c>
      <c r="D973" s="13"/>
      <c r="E973" s="13"/>
      <c r="F973" s="13"/>
      <c r="G973" s="13"/>
      <c r="H973" s="13"/>
      <c r="I973" s="13"/>
      <c r="J973" s="13"/>
    </row>
    <row r="974" spans="1:10">
      <c r="A974" s="1">
        <v>1261</v>
      </c>
      <c r="B974" s="1">
        <v>134</v>
      </c>
      <c r="C974" s="1">
        <v>300</v>
      </c>
      <c r="D974" s="13"/>
      <c r="E974" s="13"/>
      <c r="F974" s="13"/>
      <c r="G974" s="13"/>
      <c r="H974" s="13"/>
      <c r="I974" s="13"/>
      <c r="J974" s="13"/>
    </row>
    <row r="975" spans="1:10">
      <c r="A975" s="1">
        <v>1262</v>
      </c>
      <c r="B975" s="1">
        <v>134</v>
      </c>
      <c r="C975" s="1">
        <v>300</v>
      </c>
      <c r="D975" s="13"/>
      <c r="E975" s="13"/>
      <c r="F975" s="13"/>
      <c r="G975" s="13"/>
      <c r="H975" s="13"/>
      <c r="I975" s="13"/>
      <c r="J975" s="13"/>
    </row>
    <row r="976" spans="1:10">
      <c r="A976" s="1">
        <v>1263</v>
      </c>
      <c r="B976" s="1">
        <v>134</v>
      </c>
      <c r="C976" s="1">
        <v>300</v>
      </c>
      <c r="D976" s="13"/>
      <c r="E976" s="13"/>
      <c r="F976" s="13"/>
      <c r="G976" s="13"/>
      <c r="H976" s="13"/>
      <c r="I976" s="13"/>
      <c r="J976" s="13"/>
    </row>
    <row r="977" spans="1:10">
      <c r="A977" s="1">
        <v>1264</v>
      </c>
      <c r="B977" s="1">
        <v>134</v>
      </c>
      <c r="C977" s="1">
        <v>300</v>
      </c>
      <c r="D977" s="13"/>
      <c r="E977" s="13"/>
      <c r="F977" s="13"/>
      <c r="G977" s="13"/>
      <c r="H977" s="13"/>
      <c r="I977" s="13"/>
      <c r="J977" s="13"/>
    </row>
    <row r="978" spans="1:10">
      <c r="A978" s="1">
        <v>1265</v>
      </c>
      <c r="B978" s="1">
        <v>134</v>
      </c>
      <c r="C978" s="1">
        <v>300</v>
      </c>
      <c r="D978" s="13"/>
      <c r="E978" s="13"/>
      <c r="F978" s="13"/>
      <c r="G978" s="13"/>
      <c r="H978" s="13"/>
      <c r="I978" s="13"/>
      <c r="J978" s="13"/>
    </row>
    <row r="979" spans="1:10">
      <c r="A979" s="1">
        <v>1266</v>
      </c>
      <c r="B979" s="1">
        <v>134</v>
      </c>
      <c r="C979" s="1">
        <v>300</v>
      </c>
      <c r="D979" s="13"/>
      <c r="E979" s="13"/>
      <c r="F979" s="13"/>
      <c r="G979" s="13"/>
      <c r="H979" s="13"/>
      <c r="I979" s="13"/>
      <c r="J979" s="13"/>
    </row>
    <row r="980" spans="1:10">
      <c r="A980" s="1">
        <v>1267</v>
      </c>
      <c r="B980" s="1">
        <v>134</v>
      </c>
      <c r="C980" s="1">
        <v>300</v>
      </c>
      <c r="D980" s="13"/>
      <c r="E980" s="13"/>
      <c r="F980" s="13"/>
      <c r="G980" s="13"/>
      <c r="H980" s="13"/>
      <c r="I980" s="13"/>
      <c r="J980" s="13"/>
    </row>
    <row r="981" spans="1:10">
      <c r="A981" s="1">
        <v>1268</v>
      </c>
      <c r="B981" s="1">
        <v>134</v>
      </c>
      <c r="C981" s="1">
        <v>300</v>
      </c>
      <c r="D981" s="13"/>
      <c r="E981" s="13"/>
      <c r="F981" s="13"/>
      <c r="G981" s="13"/>
      <c r="H981" s="13"/>
      <c r="I981" s="13"/>
      <c r="J981" s="13"/>
    </row>
    <row r="982" spans="1:10">
      <c r="A982" s="1">
        <v>1269</v>
      </c>
      <c r="B982" s="1">
        <v>134</v>
      </c>
      <c r="C982" s="1">
        <v>300</v>
      </c>
      <c r="D982" s="13"/>
      <c r="E982" s="13"/>
      <c r="F982" s="13"/>
      <c r="G982" s="13"/>
      <c r="H982" s="13"/>
      <c r="I982" s="13"/>
      <c r="J982" s="13"/>
    </row>
    <row r="983" spans="1:10">
      <c r="A983" s="1">
        <v>1270</v>
      </c>
      <c r="B983" s="1">
        <v>134</v>
      </c>
      <c r="C983" s="1">
        <v>300</v>
      </c>
      <c r="D983" s="13"/>
      <c r="E983" s="13"/>
      <c r="F983" s="13"/>
      <c r="G983" s="13"/>
      <c r="H983" s="13"/>
      <c r="I983" s="13"/>
      <c r="J983" s="13"/>
    </row>
    <row r="984" spans="1:10">
      <c r="A984" s="1">
        <v>1271</v>
      </c>
      <c r="B984" s="1">
        <v>134</v>
      </c>
      <c r="C984" s="1">
        <v>300</v>
      </c>
      <c r="D984" s="13"/>
      <c r="E984" s="13"/>
      <c r="F984" s="13"/>
      <c r="G984" s="13"/>
      <c r="H984" s="13"/>
      <c r="I984" s="13"/>
      <c r="J984" s="13"/>
    </row>
    <row r="985" spans="1:10">
      <c r="A985" s="1">
        <v>1272</v>
      </c>
      <c r="B985" s="1">
        <v>134</v>
      </c>
      <c r="C985" s="1">
        <v>300</v>
      </c>
      <c r="D985" s="13"/>
      <c r="E985" s="13"/>
      <c r="F985" s="13"/>
      <c r="G985" s="13"/>
      <c r="H985" s="13"/>
      <c r="I985" s="13"/>
      <c r="J985" s="13"/>
    </row>
    <row r="986" spans="1:10">
      <c r="A986" s="1">
        <v>1273</v>
      </c>
      <c r="B986" s="1">
        <v>134</v>
      </c>
      <c r="C986" s="1">
        <v>300</v>
      </c>
      <c r="D986" s="13"/>
      <c r="E986" s="13"/>
      <c r="F986" s="13"/>
      <c r="G986" s="13"/>
      <c r="H986" s="13"/>
      <c r="I986" s="13"/>
      <c r="J986" s="13"/>
    </row>
    <row r="987" spans="1:10">
      <c r="A987" s="1">
        <v>1274</v>
      </c>
      <c r="B987" s="1">
        <v>134</v>
      </c>
      <c r="C987" s="1">
        <v>300</v>
      </c>
      <c r="D987" s="13"/>
      <c r="E987" s="13"/>
      <c r="F987" s="13"/>
      <c r="G987" s="13"/>
      <c r="H987" s="13"/>
      <c r="I987" s="13"/>
      <c r="J987" s="13"/>
    </row>
    <row r="988" spans="1:10">
      <c r="A988" s="1">
        <v>1275</v>
      </c>
      <c r="B988" s="1">
        <v>134</v>
      </c>
      <c r="C988" s="1">
        <v>300</v>
      </c>
      <c r="D988" s="13"/>
      <c r="E988" s="13"/>
      <c r="F988" s="13"/>
      <c r="G988" s="13"/>
      <c r="H988" s="13"/>
      <c r="I988" s="13"/>
      <c r="J988" s="13"/>
    </row>
    <row r="989" spans="1:10">
      <c r="A989" s="1">
        <v>1276</v>
      </c>
      <c r="B989" s="1">
        <v>134</v>
      </c>
      <c r="C989" s="1">
        <v>300</v>
      </c>
      <c r="D989" s="13"/>
      <c r="E989" s="13"/>
      <c r="F989" s="13"/>
      <c r="G989" s="13"/>
      <c r="H989" s="13"/>
      <c r="I989" s="13"/>
      <c r="J989" s="13"/>
    </row>
    <row r="990" spans="1:10">
      <c r="A990" s="1">
        <v>1277</v>
      </c>
      <c r="B990" s="1">
        <v>134</v>
      </c>
      <c r="C990" s="1">
        <v>300</v>
      </c>
      <c r="D990" s="13"/>
      <c r="E990" s="13"/>
      <c r="F990" s="13"/>
      <c r="G990" s="13"/>
      <c r="H990" s="13"/>
      <c r="I990" s="13"/>
      <c r="J990" s="13"/>
    </row>
    <row r="991" spans="1:10">
      <c r="A991" s="1">
        <v>1278</v>
      </c>
      <c r="B991" s="1">
        <v>134</v>
      </c>
      <c r="C991" s="1">
        <v>300</v>
      </c>
      <c r="D991" s="13"/>
      <c r="E991" s="13"/>
      <c r="F991" s="13"/>
      <c r="G991" s="13"/>
      <c r="H991" s="13"/>
      <c r="I991" s="13"/>
      <c r="J991" s="13"/>
    </row>
    <row r="992" spans="1:10">
      <c r="A992" s="1">
        <v>1279</v>
      </c>
      <c r="B992" s="1">
        <v>135</v>
      </c>
      <c r="C992" s="1">
        <v>100</v>
      </c>
      <c r="D992" s="13"/>
      <c r="E992" s="13"/>
      <c r="F992" s="13"/>
      <c r="G992" s="13"/>
      <c r="H992" s="13"/>
      <c r="I992" s="13"/>
      <c r="J992" s="13"/>
    </row>
    <row r="993" spans="1:10">
      <c r="A993" s="1">
        <v>1284</v>
      </c>
      <c r="B993" s="1">
        <v>136</v>
      </c>
      <c r="C993" s="1">
        <v>300</v>
      </c>
      <c r="D993" s="13"/>
      <c r="E993" s="13"/>
      <c r="F993" s="13"/>
      <c r="G993" s="13"/>
      <c r="H993" s="13"/>
      <c r="I993" s="13"/>
      <c r="J993" s="13"/>
    </row>
    <row r="994" spans="1:10">
      <c r="A994" s="1">
        <v>1285</v>
      </c>
      <c r="B994" s="1">
        <v>136</v>
      </c>
      <c r="C994" s="1">
        <v>300</v>
      </c>
      <c r="D994" s="13"/>
      <c r="E994" s="13"/>
      <c r="F994" s="13"/>
      <c r="G994" s="13"/>
      <c r="H994" s="13"/>
      <c r="I994" s="13"/>
      <c r="J994" s="13"/>
    </row>
    <row r="995" spans="1:10">
      <c r="A995" s="1">
        <v>1286</v>
      </c>
      <c r="B995" s="1">
        <v>136</v>
      </c>
      <c r="C995" s="1">
        <v>300</v>
      </c>
      <c r="D995" s="13"/>
      <c r="E995" s="13"/>
      <c r="F995" s="13"/>
      <c r="G995" s="13"/>
      <c r="H995" s="13"/>
      <c r="I995" s="13"/>
      <c r="J995" s="13"/>
    </row>
    <row r="996" spans="1:10">
      <c r="A996" s="1">
        <v>1287</v>
      </c>
      <c r="B996" s="1">
        <v>136</v>
      </c>
      <c r="C996" s="1">
        <v>300</v>
      </c>
      <c r="D996" s="13"/>
      <c r="E996" s="13"/>
      <c r="F996" s="13"/>
      <c r="G996" s="13"/>
      <c r="H996" s="13"/>
      <c r="I996" s="13"/>
      <c r="J996" s="13"/>
    </row>
    <row r="997" spans="1:10">
      <c r="A997" s="1">
        <v>1288</v>
      </c>
      <c r="B997" s="1">
        <v>136</v>
      </c>
      <c r="C997" s="1">
        <v>300</v>
      </c>
      <c r="D997" s="13"/>
      <c r="E997" s="13"/>
      <c r="F997" s="13"/>
      <c r="G997" s="13"/>
      <c r="H997" s="13"/>
      <c r="I997" s="13"/>
      <c r="J997" s="13"/>
    </row>
    <row r="998" spans="1:10">
      <c r="A998" s="1">
        <v>1289</v>
      </c>
      <c r="B998" s="1">
        <v>136</v>
      </c>
      <c r="C998" s="1">
        <v>300</v>
      </c>
      <c r="D998" s="13"/>
      <c r="E998" s="13"/>
      <c r="F998" s="13"/>
      <c r="G998" s="13"/>
      <c r="H998" s="13"/>
      <c r="I998" s="13"/>
      <c r="J998" s="13"/>
    </row>
    <row r="999" spans="1:10">
      <c r="A999" s="1">
        <v>1290</v>
      </c>
      <c r="B999" s="1">
        <v>136</v>
      </c>
      <c r="C999" s="1">
        <v>300</v>
      </c>
      <c r="D999" s="13"/>
      <c r="E999" s="13"/>
      <c r="F999" s="13"/>
      <c r="G999" s="13"/>
      <c r="H999" s="13"/>
      <c r="I999" s="13"/>
      <c r="J999" s="13"/>
    </row>
    <row r="1000" spans="1:10">
      <c r="A1000" s="1">
        <v>1291</v>
      </c>
      <c r="B1000" s="1">
        <v>136</v>
      </c>
      <c r="C1000" s="1">
        <v>300</v>
      </c>
      <c r="D1000" s="13"/>
      <c r="E1000" s="13"/>
      <c r="F1000" s="13"/>
      <c r="G1000" s="13"/>
      <c r="H1000" s="13"/>
      <c r="I1000" s="13"/>
      <c r="J1000" s="13"/>
    </row>
    <row r="1001" spans="1:10">
      <c r="A1001" s="1">
        <v>1292</v>
      </c>
      <c r="B1001" s="1">
        <v>136</v>
      </c>
      <c r="C1001" s="1">
        <v>300</v>
      </c>
      <c r="D1001" s="13"/>
      <c r="E1001" s="13"/>
      <c r="F1001" s="13"/>
      <c r="G1001" s="13"/>
      <c r="H1001" s="13"/>
      <c r="I1001" s="13"/>
      <c r="J1001" s="13"/>
    </row>
    <row r="1002" spans="1:10">
      <c r="A1002" s="1">
        <v>1293</v>
      </c>
      <c r="B1002" s="1">
        <v>136</v>
      </c>
      <c r="C1002" s="1">
        <v>300</v>
      </c>
      <c r="D1002" s="13"/>
      <c r="E1002" s="13"/>
      <c r="F1002" s="13"/>
      <c r="G1002" s="13"/>
      <c r="H1002" s="13"/>
      <c r="I1002" s="13"/>
      <c r="J1002" s="13"/>
    </row>
    <row r="1003" spans="1:10">
      <c r="A1003" s="1">
        <v>1294</v>
      </c>
      <c r="B1003" s="1">
        <v>137</v>
      </c>
      <c r="C1003" s="1">
        <v>300</v>
      </c>
      <c r="D1003" s="13"/>
      <c r="E1003" s="13"/>
      <c r="F1003" s="13"/>
      <c r="G1003" s="13"/>
      <c r="H1003" s="13"/>
      <c r="I1003" s="13"/>
      <c r="J1003" s="13"/>
    </row>
    <row r="1004" spans="1:10">
      <c r="A1004" s="1">
        <v>1295</v>
      </c>
      <c r="B1004" s="1">
        <v>137</v>
      </c>
      <c r="C1004" s="1">
        <v>300</v>
      </c>
      <c r="D1004" s="13"/>
      <c r="E1004" s="13"/>
      <c r="F1004" s="13"/>
      <c r="G1004" s="13"/>
      <c r="H1004" s="13"/>
      <c r="I1004" s="13"/>
      <c r="J1004" s="13"/>
    </row>
    <row r="1005" spans="1:10">
      <c r="A1005" s="1">
        <v>1296</v>
      </c>
      <c r="B1005" s="1">
        <v>137</v>
      </c>
      <c r="C1005" s="1">
        <v>300</v>
      </c>
      <c r="D1005" s="13"/>
      <c r="E1005" s="13"/>
      <c r="F1005" s="13"/>
      <c r="G1005" s="13"/>
      <c r="H1005" s="13"/>
      <c r="I1005" s="13"/>
      <c r="J1005" s="13"/>
    </row>
    <row r="1006" spans="1:10">
      <c r="A1006" s="1">
        <v>1297</v>
      </c>
      <c r="B1006" s="1">
        <v>137</v>
      </c>
      <c r="C1006" s="1">
        <v>300</v>
      </c>
      <c r="D1006" s="13"/>
      <c r="E1006" s="13"/>
      <c r="F1006" s="13"/>
      <c r="G1006" s="13"/>
      <c r="H1006" s="13"/>
      <c r="I1006" s="13"/>
      <c r="J1006" s="13"/>
    </row>
    <row r="1007" spans="1:10">
      <c r="A1007" s="1">
        <v>1298</v>
      </c>
      <c r="B1007" s="1">
        <v>137</v>
      </c>
      <c r="C1007" s="1">
        <v>300</v>
      </c>
      <c r="D1007" s="13"/>
      <c r="E1007" s="13"/>
      <c r="F1007" s="13"/>
      <c r="G1007" s="13"/>
      <c r="H1007" s="13"/>
      <c r="I1007" s="13"/>
      <c r="J1007" s="13"/>
    </row>
    <row r="1008" spans="1:10">
      <c r="A1008" s="1">
        <v>1299</v>
      </c>
      <c r="B1008" s="1">
        <v>137</v>
      </c>
      <c r="C1008" s="1">
        <v>300</v>
      </c>
      <c r="D1008" s="13"/>
      <c r="E1008" s="13"/>
      <c r="F1008" s="13"/>
      <c r="G1008" s="13"/>
      <c r="H1008" s="13"/>
      <c r="I1008" s="13"/>
      <c r="J1008" s="13"/>
    </row>
    <row r="1009" spans="1:10">
      <c r="A1009" s="1">
        <v>1300</v>
      </c>
      <c r="B1009" s="1">
        <v>137</v>
      </c>
      <c r="C1009" s="1">
        <v>300</v>
      </c>
      <c r="D1009" s="13"/>
      <c r="E1009" s="13"/>
      <c r="F1009" s="13"/>
      <c r="G1009" s="13"/>
      <c r="H1009" s="13"/>
      <c r="I1009" s="13"/>
      <c r="J1009" s="13"/>
    </row>
    <row r="1010" spans="1:10">
      <c r="A1010" s="1">
        <v>1301</v>
      </c>
      <c r="B1010" s="1">
        <v>137</v>
      </c>
      <c r="C1010" s="1">
        <v>300</v>
      </c>
      <c r="D1010" s="13"/>
      <c r="E1010" s="13"/>
      <c r="F1010" s="13"/>
      <c r="G1010" s="13"/>
      <c r="H1010" s="13"/>
      <c r="I1010" s="13"/>
      <c r="J1010" s="13"/>
    </row>
    <row r="1011" spans="1:10">
      <c r="A1011" s="1">
        <v>1302</v>
      </c>
      <c r="B1011" s="1">
        <v>137</v>
      </c>
      <c r="C1011" s="1">
        <v>300</v>
      </c>
      <c r="D1011" s="13"/>
      <c r="E1011" s="13"/>
      <c r="F1011" s="13"/>
      <c r="G1011" s="13"/>
      <c r="H1011" s="13"/>
      <c r="I1011" s="13"/>
      <c r="J1011" s="13"/>
    </row>
    <row r="1012" spans="1:10">
      <c r="A1012" s="1">
        <v>1303</v>
      </c>
      <c r="B1012" s="1">
        <v>137</v>
      </c>
      <c r="C1012" s="1">
        <v>300</v>
      </c>
      <c r="D1012" s="13"/>
      <c r="E1012" s="13"/>
      <c r="F1012" s="13"/>
      <c r="G1012" s="13"/>
      <c r="H1012" s="13"/>
      <c r="I1012" s="13"/>
      <c r="J1012" s="13"/>
    </row>
    <row r="1013" spans="1:10">
      <c r="A1013" s="1">
        <v>1304</v>
      </c>
      <c r="B1013" s="1">
        <v>138</v>
      </c>
      <c r="C1013" s="1">
        <v>300</v>
      </c>
      <c r="D1013" s="13"/>
      <c r="E1013" s="13"/>
      <c r="F1013" s="13"/>
      <c r="G1013" s="13"/>
      <c r="H1013" s="13"/>
      <c r="I1013" s="13"/>
      <c r="J1013" s="13"/>
    </row>
    <row r="1014" spans="1:10">
      <c r="A1014" s="1">
        <v>1305</v>
      </c>
      <c r="B1014" s="1">
        <v>138</v>
      </c>
      <c r="C1014" s="1">
        <v>300</v>
      </c>
      <c r="D1014" s="13"/>
      <c r="E1014" s="13"/>
      <c r="F1014" s="13"/>
      <c r="G1014" s="13"/>
      <c r="H1014" s="13"/>
      <c r="I1014" s="13"/>
      <c r="J1014" s="13"/>
    </row>
    <row r="1015" spans="1:10">
      <c r="A1015" s="1">
        <v>1306</v>
      </c>
      <c r="B1015" s="1">
        <v>138</v>
      </c>
      <c r="C1015" s="1">
        <v>300</v>
      </c>
      <c r="D1015" s="13"/>
      <c r="E1015" s="13"/>
      <c r="F1015" s="13"/>
      <c r="G1015" s="13"/>
      <c r="H1015" s="13"/>
      <c r="I1015" s="13"/>
      <c r="J1015" s="13"/>
    </row>
    <row r="1016" spans="1:10">
      <c r="A1016" s="1">
        <v>1307</v>
      </c>
      <c r="B1016" s="1">
        <v>138</v>
      </c>
      <c r="C1016" s="1">
        <v>300</v>
      </c>
      <c r="D1016" s="13"/>
      <c r="E1016" s="13"/>
      <c r="F1016" s="13"/>
      <c r="G1016" s="13"/>
      <c r="H1016" s="13"/>
      <c r="I1016" s="13"/>
      <c r="J1016" s="13"/>
    </row>
    <row r="1017" spans="1:10">
      <c r="A1017" s="1">
        <v>1308</v>
      </c>
      <c r="B1017" s="1">
        <v>138</v>
      </c>
      <c r="C1017" s="1">
        <v>300</v>
      </c>
      <c r="D1017" s="13"/>
      <c r="E1017" s="13"/>
      <c r="F1017" s="13"/>
      <c r="G1017" s="13"/>
      <c r="H1017" s="13"/>
      <c r="I1017" s="13"/>
      <c r="J1017" s="13"/>
    </row>
    <row r="1018" spans="1:10">
      <c r="A1018" s="1">
        <v>1309</v>
      </c>
      <c r="B1018" s="1">
        <v>138</v>
      </c>
      <c r="C1018" s="1">
        <v>300</v>
      </c>
      <c r="D1018" s="13"/>
      <c r="E1018" s="13"/>
      <c r="F1018" s="13"/>
      <c r="G1018" s="13"/>
      <c r="H1018" s="13"/>
      <c r="I1018" s="13"/>
      <c r="J1018" s="13"/>
    </row>
    <row r="1019" spans="1:10">
      <c r="A1019" s="1">
        <v>1310</v>
      </c>
      <c r="B1019" s="1">
        <v>138</v>
      </c>
      <c r="C1019" s="1">
        <v>300</v>
      </c>
      <c r="D1019" s="13"/>
      <c r="E1019" s="13"/>
      <c r="F1019" s="13"/>
      <c r="G1019" s="13"/>
      <c r="H1019" s="13"/>
      <c r="I1019" s="13"/>
      <c r="J1019" s="13"/>
    </row>
    <row r="1020" spans="1:10">
      <c r="A1020" s="1">
        <v>1311</v>
      </c>
      <c r="B1020" s="1">
        <v>138</v>
      </c>
      <c r="C1020" s="1">
        <v>300</v>
      </c>
      <c r="D1020" s="13"/>
      <c r="E1020" s="13"/>
      <c r="F1020" s="13"/>
      <c r="G1020" s="13"/>
      <c r="H1020" s="13"/>
      <c r="I1020" s="13"/>
      <c r="J1020" s="13"/>
    </row>
    <row r="1021" spans="1:10">
      <c r="A1021" s="1">
        <v>1312</v>
      </c>
      <c r="B1021" s="1">
        <v>138</v>
      </c>
      <c r="C1021" s="1">
        <v>300</v>
      </c>
      <c r="D1021" s="13"/>
      <c r="E1021" s="13"/>
      <c r="F1021" s="13"/>
      <c r="G1021" s="13"/>
      <c r="H1021" s="13"/>
      <c r="I1021" s="13"/>
      <c r="J1021" s="13"/>
    </row>
    <row r="1022" spans="1:10">
      <c r="A1022" s="1">
        <v>1313</v>
      </c>
      <c r="B1022" s="1">
        <v>138</v>
      </c>
      <c r="C1022" s="1">
        <v>300</v>
      </c>
      <c r="D1022" s="13"/>
      <c r="E1022" s="13"/>
      <c r="F1022" s="13"/>
      <c r="G1022" s="13"/>
      <c r="H1022" s="13"/>
      <c r="I1022" s="13"/>
      <c r="J1022" s="13"/>
    </row>
    <row r="1023" spans="1:10">
      <c r="A1023" s="1">
        <v>1314</v>
      </c>
      <c r="B1023" s="1">
        <v>139</v>
      </c>
      <c r="C1023" s="1">
        <v>300</v>
      </c>
      <c r="D1023" s="13"/>
      <c r="E1023" s="13"/>
      <c r="F1023" s="13"/>
      <c r="G1023" s="13"/>
      <c r="H1023" s="13"/>
      <c r="I1023" s="13"/>
      <c r="J1023" s="13"/>
    </row>
    <row r="1024" spans="1:10">
      <c r="A1024" s="1">
        <v>1315</v>
      </c>
      <c r="B1024" s="1">
        <v>139</v>
      </c>
      <c r="C1024" s="1">
        <v>300</v>
      </c>
      <c r="D1024" s="13"/>
      <c r="E1024" s="13"/>
      <c r="F1024" s="13"/>
      <c r="G1024" s="13"/>
      <c r="H1024" s="13"/>
      <c r="I1024" s="13"/>
      <c r="J1024" s="13"/>
    </row>
    <row r="1025" spans="1:10">
      <c r="A1025" s="1">
        <v>1316</v>
      </c>
      <c r="B1025" s="1">
        <v>139</v>
      </c>
      <c r="C1025" s="1">
        <v>300</v>
      </c>
      <c r="D1025" s="13"/>
      <c r="E1025" s="13"/>
      <c r="F1025" s="13"/>
      <c r="G1025" s="13"/>
      <c r="H1025" s="13"/>
      <c r="I1025" s="13"/>
      <c r="J1025" s="13"/>
    </row>
    <row r="1026" spans="1:10">
      <c r="A1026" s="1">
        <v>1317</v>
      </c>
      <c r="B1026" s="1">
        <v>139</v>
      </c>
      <c r="C1026" s="1">
        <v>300</v>
      </c>
      <c r="D1026" s="13"/>
      <c r="E1026" s="13"/>
      <c r="F1026" s="13"/>
      <c r="G1026" s="13"/>
      <c r="H1026" s="13"/>
      <c r="I1026" s="13"/>
      <c r="J1026" s="13"/>
    </row>
    <row r="1027" spans="1:10">
      <c r="A1027" s="1">
        <v>1318</v>
      </c>
      <c r="B1027" s="1">
        <v>139</v>
      </c>
      <c r="C1027" s="1">
        <v>300</v>
      </c>
      <c r="D1027" s="13"/>
      <c r="E1027" s="13"/>
      <c r="F1027" s="13"/>
      <c r="G1027" s="13"/>
      <c r="H1027" s="13"/>
      <c r="I1027" s="13"/>
      <c r="J1027" s="13"/>
    </row>
    <row r="1028" spans="1:10">
      <c r="A1028" s="1">
        <v>1319</v>
      </c>
      <c r="B1028" s="1">
        <v>139</v>
      </c>
      <c r="C1028" s="1">
        <v>300</v>
      </c>
      <c r="D1028" s="13"/>
      <c r="E1028" s="13"/>
      <c r="F1028" s="13"/>
      <c r="G1028" s="13"/>
      <c r="H1028" s="13"/>
      <c r="I1028" s="13"/>
      <c r="J1028" s="13"/>
    </row>
    <row r="1029" spans="1:10">
      <c r="A1029" s="1">
        <v>1320</v>
      </c>
      <c r="B1029" s="1">
        <v>139</v>
      </c>
      <c r="C1029" s="1">
        <v>300</v>
      </c>
      <c r="D1029" s="13"/>
      <c r="E1029" s="13"/>
      <c r="F1029" s="13"/>
      <c r="G1029" s="13"/>
      <c r="H1029" s="13"/>
      <c r="I1029" s="13"/>
      <c r="J1029" s="13"/>
    </row>
    <row r="1030" spans="1:10">
      <c r="A1030" s="1">
        <v>1321</v>
      </c>
      <c r="B1030" s="1">
        <v>139</v>
      </c>
      <c r="C1030" s="1">
        <v>300</v>
      </c>
      <c r="D1030" s="13"/>
      <c r="E1030" s="13"/>
      <c r="F1030" s="13"/>
      <c r="G1030" s="13"/>
      <c r="H1030" s="13"/>
      <c r="I1030" s="13"/>
      <c r="J1030" s="13"/>
    </row>
    <row r="1031" spans="1:10">
      <c r="A1031" s="1">
        <v>1322</v>
      </c>
      <c r="B1031" s="1">
        <v>139</v>
      </c>
      <c r="C1031" s="1">
        <v>300</v>
      </c>
      <c r="D1031" s="13"/>
      <c r="E1031" s="13"/>
      <c r="F1031" s="13"/>
      <c r="G1031" s="13"/>
      <c r="H1031" s="13"/>
      <c r="I1031" s="13"/>
      <c r="J1031" s="13"/>
    </row>
    <row r="1032" spans="1:10">
      <c r="A1032" s="1">
        <v>1323</v>
      </c>
      <c r="B1032" s="1">
        <v>139</v>
      </c>
      <c r="C1032" s="1">
        <v>300</v>
      </c>
      <c r="D1032" s="13"/>
      <c r="E1032" s="13"/>
      <c r="F1032" s="13"/>
      <c r="G1032" s="13"/>
      <c r="H1032" s="13"/>
      <c r="I1032" s="13"/>
      <c r="J1032" s="13"/>
    </row>
    <row r="1033" spans="1:10">
      <c r="A1033" s="1">
        <v>1324</v>
      </c>
      <c r="B1033" s="1">
        <v>139</v>
      </c>
      <c r="C1033" s="1">
        <v>300</v>
      </c>
      <c r="D1033" s="13"/>
      <c r="E1033" s="13"/>
      <c r="F1033" s="13"/>
      <c r="G1033" s="13"/>
      <c r="H1033" s="13"/>
      <c r="I1033" s="13"/>
      <c r="J1033" s="13"/>
    </row>
    <row r="1034" spans="1:10">
      <c r="A1034" s="1">
        <v>1325</v>
      </c>
      <c r="B1034" s="1">
        <v>139</v>
      </c>
      <c r="C1034" s="1">
        <v>300</v>
      </c>
      <c r="D1034" s="13"/>
      <c r="E1034" s="13"/>
      <c r="F1034" s="13"/>
      <c r="G1034" s="13"/>
      <c r="H1034" s="13"/>
      <c r="I1034" s="13"/>
      <c r="J1034" s="13"/>
    </row>
    <row r="1035" spans="1:10">
      <c r="A1035" s="1">
        <v>1326</v>
      </c>
      <c r="B1035" s="1">
        <v>139</v>
      </c>
      <c r="C1035" s="1">
        <v>300</v>
      </c>
      <c r="D1035" s="13"/>
      <c r="E1035" s="13"/>
      <c r="F1035" s="13"/>
      <c r="G1035" s="13"/>
      <c r="H1035" s="13"/>
      <c r="I1035" s="13"/>
      <c r="J1035" s="13"/>
    </row>
    <row r="1036" spans="1:10">
      <c r="A1036" s="1">
        <v>1327</v>
      </c>
      <c r="B1036" s="1">
        <v>139</v>
      </c>
      <c r="C1036" s="1">
        <v>300</v>
      </c>
      <c r="D1036" s="13"/>
      <c r="E1036" s="13"/>
      <c r="F1036" s="13"/>
      <c r="G1036" s="13"/>
      <c r="H1036" s="13"/>
      <c r="I1036" s="13"/>
      <c r="J1036" s="13"/>
    </row>
    <row r="1037" spans="1:10">
      <c r="A1037" s="1">
        <v>1328</v>
      </c>
      <c r="B1037" s="1">
        <v>139</v>
      </c>
      <c r="C1037" s="1">
        <v>300</v>
      </c>
      <c r="D1037" s="13"/>
      <c r="E1037" s="13"/>
      <c r="F1037" s="13"/>
      <c r="G1037" s="13"/>
      <c r="H1037" s="13"/>
      <c r="I1037" s="13"/>
      <c r="J1037" s="13"/>
    </row>
    <row r="1038" spans="1:10">
      <c r="A1038" s="1">
        <v>1329</v>
      </c>
      <c r="B1038" s="1">
        <v>139</v>
      </c>
      <c r="C1038" s="1">
        <v>300</v>
      </c>
      <c r="D1038" s="13"/>
      <c r="E1038" s="13"/>
      <c r="F1038" s="13"/>
      <c r="G1038" s="13"/>
      <c r="H1038" s="13"/>
      <c r="I1038" s="13"/>
      <c r="J1038" s="13"/>
    </row>
    <row r="1039" spans="1:10">
      <c r="A1039" s="1">
        <v>1330</v>
      </c>
      <c r="B1039" s="1">
        <v>139</v>
      </c>
      <c r="C1039" s="1">
        <v>300</v>
      </c>
      <c r="D1039" s="13"/>
      <c r="E1039" s="13"/>
      <c r="F1039" s="13"/>
      <c r="G1039" s="13"/>
      <c r="H1039" s="13"/>
      <c r="I1039" s="13"/>
      <c r="J1039" s="13"/>
    </row>
    <row r="1040" spans="1:10">
      <c r="A1040" s="1">
        <v>1331</v>
      </c>
      <c r="B1040" s="1">
        <v>139</v>
      </c>
      <c r="C1040" s="1">
        <v>300</v>
      </c>
      <c r="D1040" s="13"/>
      <c r="E1040" s="13"/>
      <c r="F1040" s="13"/>
      <c r="G1040" s="13"/>
      <c r="H1040" s="13"/>
      <c r="I1040" s="13"/>
      <c r="J1040" s="13"/>
    </row>
    <row r="1041" spans="1:10">
      <c r="A1041" s="1">
        <v>1332</v>
      </c>
      <c r="B1041" s="1">
        <v>139</v>
      </c>
      <c r="C1041" s="1">
        <v>300</v>
      </c>
      <c r="D1041" s="13"/>
      <c r="E1041" s="13"/>
      <c r="F1041" s="13"/>
      <c r="G1041" s="13"/>
      <c r="H1041" s="13"/>
      <c r="I1041" s="13"/>
      <c r="J1041" s="13"/>
    </row>
    <row r="1042" spans="1:10">
      <c r="A1042" s="1">
        <v>1333</v>
      </c>
      <c r="B1042" s="1">
        <v>139</v>
      </c>
      <c r="C1042" s="1">
        <v>300</v>
      </c>
      <c r="D1042" s="13"/>
      <c r="E1042" s="13"/>
      <c r="F1042" s="13"/>
      <c r="G1042" s="13"/>
      <c r="H1042" s="13"/>
      <c r="I1042" s="13"/>
      <c r="J1042" s="13"/>
    </row>
    <row r="1043" spans="1:10">
      <c r="A1043" s="1">
        <v>1334</v>
      </c>
      <c r="B1043" s="1">
        <v>139</v>
      </c>
      <c r="C1043" s="1">
        <v>300</v>
      </c>
      <c r="D1043" s="13"/>
      <c r="E1043" s="13"/>
      <c r="F1043" s="13"/>
      <c r="G1043" s="13"/>
      <c r="H1043" s="13"/>
      <c r="I1043" s="13"/>
      <c r="J1043" s="13"/>
    </row>
    <row r="1044" spans="1:10">
      <c r="A1044" s="1">
        <v>1335</v>
      </c>
      <c r="B1044" s="1">
        <v>139</v>
      </c>
      <c r="C1044" s="1">
        <v>300</v>
      </c>
      <c r="D1044" s="13"/>
      <c r="E1044" s="13"/>
      <c r="F1044" s="13"/>
      <c r="G1044" s="13"/>
      <c r="H1044" s="13"/>
      <c r="I1044" s="13"/>
      <c r="J1044" s="13"/>
    </row>
    <row r="1045" spans="1:10">
      <c r="A1045" s="1">
        <v>1336</v>
      </c>
      <c r="B1045" s="1">
        <v>139</v>
      </c>
      <c r="C1045" s="1">
        <v>300</v>
      </c>
      <c r="D1045" s="13"/>
      <c r="E1045" s="13"/>
      <c r="F1045" s="13"/>
      <c r="G1045" s="13"/>
      <c r="H1045" s="13"/>
      <c r="I1045" s="13"/>
      <c r="J1045" s="13"/>
    </row>
    <row r="1046" spans="1:10">
      <c r="A1046" s="1">
        <v>1337</v>
      </c>
      <c r="B1046" s="1">
        <v>139</v>
      </c>
      <c r="C1046" s="1">
        <v>100</v>
      </c>
      <c r="D1046" s="13"/>
      <c r="E1046" s="13"/>
      <c r="F1046" s="13"/>
      <c r="G1046" s="13"/>
      <c r="H1046" s="13"/>
      <c r="I1046" s="13"/>
      <c r="J1046" s="13"/>
    </row>
    <row r="1047" spans="1:10">
      <c r="A1047" s="1">
        <v>1338</v>
      </c>
      <c r="B1047" s="1">
        <v>140</v>
      </c>
      <c r="C1047" s="1">
        <v>100</v>
      </c>
      <c r="D1047" s="13"/>
      <c r="E1047" s="13"/>
      <c r="F1047" s="13"/>
      <c r="G1047" s="13"/>
      <c r="H1047" s="13"/>
      <c r="I1047" s="13"/>
      <c r="J1047" s="13"/>
    </row>
    <row r="1048" spans="1:10">
      <c r="A1048" s="1">
        <v>1339</v>
      </c>
      <c r="B1048" s="1">
        <v>141</v>
      </c>
      <c r="C1048" s="1">
        <v>300</v>
      </c>
      <c r="D1048" s="13"/>
      <c r="E1048" s="13"/>
      <c r="F1048" s="13"/>
      <c r="G1048" s="13"/>
      <c r="H1048" s="13"/>
      <c r="I1048" s="13"/>
      <c r="J1048" s="13"/>
    </row>
    <row r="1049" spans="1:10">
      <c r="A1049" s="1">
        <v>1342</v>
      </c>
      <c r="B1049" s="1">
        <v>142</v>
      </c>
      <c r="C1049" s="1">
        <v>300</v>
      </c>
      <c r="D1049" s="13"/>
      <c r="E1049" s="13"/>
      <c r="F1049" s="13"/>
      <c r="G1049" s="13"/>
      <c r="H1049" s="13"/>
      <c r="I1049" s="13"/>
      <c r="J1049" s="13"/>
    </row>
    <row r="1050" spans="1:10">
      <c r="A1050" s="1">
        <v>1343</v>
      </c>
      <c r="B1050" s="1">
        <v>142</v>
      </c>
      <c r="C1050" s="1">
        <v>300</v>
      </c>
      <c r="D1050" s="13"/>
      <c r="E1050" s="13"/>
      <c r="F1050" s="13"/>
      <c r="G1050" s="13"/>
      <c r="H1050" s="13"/>
      <c r="I1050" s="13"/>
      <c r="J1050" s="13"/>
    </row>
    <row r="1051" spans="1:10">
      <c r="A1051" s="1">
        <v>1344</v>
      </c>
      <c r="B1051" s="1">
        <v>142</v>
      </c>
      <c r="C1051" s="1">
        <v>300</v>
      </c>
      <c r="D1051" s="13"/>
      <c r="E1051" s="13"/>
      <c r="F1051" s="13"/>
      <c r="G1051" s="13"/>
      <c r="H1051" s="13"/>
      <c r="I1051" s="13"/>
      <c r="J1051" s="13"/>
    </row>
    <row r="1052" spans="1:10">
      <c r="A1052" s="1">
        <v>1345</v>
      </c>
      <c r="B1052" s="1">
        <v>142</v>
      </c>
      <c r="C1052" s="1">
        <v>300</v>
      </c>
      <c r="D1052" s="13"/>
      <c r="E1052" s="13"/>
      <c r="F1052" s="13"/>
      <c r="G1052" s="13"/>
      <c r="H1052" s="13"/>
      <c r="I1052" s="13"/>
      <c r="J1052" s="13"/>
    </row>
    <row r="1053" spans="1:10">
      <c r="A1053" s="1">
        <v>1346</v>
      </c>
      <c r="B1053" s="1">
        <v>142</v>
      </c>
      <c r="C1053" s="1">
        <v>300</v>
      </c>
      <c r="D1053" s="13"/>
      <c r="E1053" s="13"/>
      <c r="F1053" s="13"/>
      <c r="G1053" s="13"/>
      <c r="H1053" s="13"/>
      <c r="I1053" s="13"/>
      <c r="J1053" s="13"/>
    </row>
    <row r="1054" spans="1:10">
      <c r="A1054" s="1">
        <v>1347</v>
      </c>
      <c r="B1054" s="1">
        <v>143</v>
      </c>
      <c r="C1054" s="1">
        <v>100</v>
      </c>
      <c r="D1054" s="13"/>
      <c r="E1054" s="13"/>
      <c r="F1054" s="13"/>
      <c r="G1054" s="13"/>
      <c r="H1054" s="13"/>
      <c r="I1054" s="13"/>
      <c r="J1054" s="13"/>
    </row>
    <row r="1055" spans="1:10">
      <c r="A1055" s="1">
        <v>1348</v>
      </c>
      <c r="B1055" s="1">
        <v>143</v>
      </c>
      <c r="C1055" s="1">
        <v>100</v>
      </c>
      <c r="D1055" s="13"/>
      <c r="E1055" s="13"/>
      <c r="F1055" s="13"/>
      <c r="G1055" s="13"/>
      <c r="H1055" s="13"/>
      <c r="I1055" s="13"/>
      <c r="J1055" s="13"/>
    </row>
    <row r="1056" spans="1:10">
      <c r="A1056" s="1">
        <v>1349</v>
      </c>
      <c r="B1056" s="1">
        <v>143</v>
      </c>
      <c r="C1056" s="1">
        <v>100</v>
      </c>
      <c r="D1056" s="13"/>
      <c r="E1056" s="13"/>
      <c r="F1056" s="13"/>
      <c r="G1056" s="13"/>
      <c r="H1056" s="13"/>
      <c r="I1056" s="13"/>
      <c r="J1056" s="13"/>
    </row>
    <row r="1057" spans="1:10">
      <c r="A1057" s="1">
        <v>1350</v>
      </c>
      <c r="B1057" s="1">
        <v>143</v>
      </c>
      <c r="C1057" s="1">
        <v>100</v>
      </c>
      <c r="D1057" s="13"/>
      <c r="E1057" s="13"/>
      <c r="F1057" s="13"/>
      <c r="G1057" s="13"/>
      <c r="H1057" s="13"/>
      <c r="I1057" s="13"/>
      <c r="J1057" s="13"/>
    </row>
    <row r="1058" spans="1:10">
      <c r="A1058" s="1">
        <v>1351</v>
      </c>
      <c r="B1058" s="1">
        <v>143</v>
      </c>
      <c r="C1058" s="1">
        <v>100</v>
      </c>
      <c r="D1058" s="13"/>
      <c r="E1058" s="13"/>
      <c r="F1058" s="13"/>
      <c r="G1058" s="13"/>
      <c r="H1058" s="13"/>
      <c r="I1058" s="13"/>
      <c r="J1058" s="13"/>
    </row>
    <row r="1059" spans="1:10">
      <c r="A1059" s="1">
        <v>1352</v>
      </c>
      <c r="B1059" s="1">
        <v>144</v>
      </c>
      <c r="C1059" s="1">
        <v>300</v>
      </c>
      <c r="D1059" s="13"/>
      <c r="E1059" s="13"/>
      <c r="F1059" s="13"/>
      <c r="G1059" s="13"/>
      <c r="H1059" s="13"/>
      <c r="I1059" s="13"/>
      <c r="J1059" s="13"/>
    </row>
    <row r="1060" spans="1:10">
      <c r="A1060" s="1">
        <v>1353</v>
      </c>
      <c r="B1060" s="1">
        <v>144</v>
      </c>
      <c r="C1060" s="1">
        <v>300</v>
      </c>
      <c r="D1060" s="13"/>
      <c r="E1060" s="13"/>
      <c r="F1060" s="13"/>
      <c r="G1060" s="13"/>
      <c r="H1060" s="13"/>
      <c r="I1060" s="13"/>
      <c r="J1060" s="13"/>
    </row>
    <row r="1061" spans="1:10">
      <c r="A1061" s="1">
        <v>1354</v>
      </c>
      <c r="B1061" s="1">
        <v>144</v>
      </c>
      <c r="C1061" s="1">
        <v>300</v>
      </c>
      <c r="D1061" s="13"/>
      <c r="E1061" s="13"/>
      <c r="F1061" s="13"/>
      <c r="G1061" s="13"/>
      <c r="H1061" s="13"/>
      <c r="I1061" s="13"/>
      <c r="J1061" s="13"/>
    </row>
    <row r="1062" spans="1:10">
      <c r="A1062" s="1">
        <v>1355</v>
      </c>
      <c r="B1062" s="1">
        <v>144</v>
      </c>
      <c r="C1062" s="1">
        <v>100</v>
      </c>
      <c r="D1062" s="13"/>
      <c r="E1062" s="13"/>
      <c r="F1062" s="13"/>
      <c r="G1062" s="13"/>
      <c r="H1062" s="13"/>
      <c r="I1062" s="13"/>
      <c r="J1062" s="13"/>
    </row>
    <row r="1063" spans="1:10">
      <c r="A1063" s="1">
        <v>1356</v>
      </c>
      <c r="B1063" s="1">
        <v>145</v>
      </c>
      <c r="C1063" s="1">
        <v>300</v>
      </c>
      <c r="D1063" s="13"/>
      <c r="E1063" s="13"/>
      <c r="F1063" s="13"/>
      <c r="G1063" s="13"/>
      <c r="H1063" s="13"/>
      <c r="I1063" s="13"/>
      <c r="J1063" s="13"/>
    </row>
    <row r="1064" spans="1:10">
      <c r="A1064" s="1">
        <v>1357</v>
      </c>
      <c r="B1064" s="1">
        <v>145</v>
      </c>
      <c r="C1064" s="1">
        <v>300</v>
      </c>
      <c r="D1064" s="13"/>
      <c r="E1064" s="13"/>
      <c r="F1064" s="13"/>
      <c r="G1064" s="13"/>
      <c r="H1064" s="13"/>
      <c r="I1064" s="13"/>
      <c r="J1064" s="13"/>
    </row>
    <row r="1065" spans="1:10">
      <c r="A1065" s="1">
        <v>1358</v>
      </c>
      <c r="B1065" s="1">
        <v>145</v>
      </c>
      <c r="C1065" s="1">
        <v>300</v>
      </c>
      <c r="D1065" s="13"/>
      <c r="E1065" s="13"/>
      <c r="F1065" s="13"/>
      <c r="G1065" s="13"/>
      <c r="H1065" s="13"/>
      <c r="I1065" s="13"/>
      <c r="J1065" s="13"/>
    </row>
    <row r="1066" spans="1:10">
      <c r="A1066" s="1">
        <v>1359</v>
      </c>
      <c r="B1066" s="1">
        <v>145</v>
      </c>
      <c r="C1066" s="1">
        <v>300</v>
      </c>
      <c r="D1066" s="13"/>
      <c r="E1066" s="13"/>
      <c r="F1066" s="13"/>
      <c r="G1066" s="13"/>
      <c r="H1066" s="13"/>
      <c r="I1066" s="13"/>
      <c r="J1066" s="13"/>
    </row>
    <row r="1067" spans="1:10">
      <c r="A1067" s="1">
        <v>1360</v>
      </c>
      <c r="B1067" s="1">
        <v>145</v>
      </c>
      <c r="C1067" s="1">
        <v>300</v>
      </c>
      <c r="D1067" s="13"/>
      <c r="E1067" s="13"/>
      <c r="F1067" s="13"/>
      <c r="G1067" s="13"/>
      <c r="H1067" s="13"/>
      <c r="I1067" s="13"/>
      <c r="J1067" s="13"/>
    </row>
    <row r="1068" spans="1:10">
      <c r="A1068" s="1">
        <v>1361</v>
      </c>
      <c r="B1068" s="1">
        <v>145</v>
      </c>
      <c r="C1068" s="1">
        <v>300</v>
      </c>
      <c r="D1068" s="13"/>
      <c r="E1068" s="13"/>
      <c r="F1068" s="13"/>
      <c r="G1068" s="13"/>
      <c r="H1068" s="13"/>
      <c r="I1068" s="13"/>
      <c r="J1068" s="13"/>
    </row>
    <row r="1069" spans="1:10">
      <c r="A1069" s="1">
        <v>1362</v>
      </c>
      <c r="B1069" s="1">
        <v>145</v>
      </c>
      <c r="C1069" s="1">
        <v>300</v>
      </c>
      <c r="D1069" s="13"/>
      <c r="E1069" s="13"/>
      <c r="F1069" s="13"/>
      <c r="G1069" s="13"/>
      <c r="H1069" s="13"/>
      <c r="I1069" s="13"/>
      <c r="J1069" s="13"/>
    </row>
    <row r="1070" spans="1:10">
      <c r="A1070" s="1">
        <v>1363</v>
      </c>
      <c r="B1070" s="1">
        <v>145</v>
      </c>
      <c r="C1070" s="1">
        <v>300</v>
      </c>
      <c r="D1070" s="13"/>
      <c r="E1070" s="13"/>
      <c r="F1070" s="13"/>
      <c r="G1070" s="13"/>
      <c r="H1070" s="13"/>
      <c r="I1070" s="13"/>
      <c r="J1070" s="13"/>
    </row>
    <row r="1071" spans="1:10">
      <c r="A1071" s="1">
        <v>1364</v>
      </c>
      <c r="B1071" s="1">
        <v>145</v>
      </c>
      <c r="C1071" s="1">
        <v>300</v>
      </c>
      <c r="D1071" s="13"/>
      <c r="E1071" s="13"/>
      <c r="F1071" s="13"/>
      <c r="G1071" s="13"/>
      <c r="H1071" s="13"/>
      <c r="I1071" s="13"/>
      <c r="J1071" s="13"/>
    </row>
    <row r="1072" spans="1:10">
      <c r="A1072" s="1">
        <v>1365</v>
      </c>
      <c r="B1072" s="1">
        <v>145</v>
      </c>
      <c r="C1072" s="1">
        <v>300</v>
      </c>
      <c r="D1072" s="13"/>
      <c r="E1072" s="13"/>
      <c r="F1072" s="13"/>
      <c r="G1072" s="13"/>
      <c r="H1072" s="13"/>
      <c r="I1072" s="13"/>
      <c r="J1072" s="13"/>
    </row>
    <row r="1073" spans="1:10">
      <c r="A1073" s="1">
        <v>1366</v>
      </c>
      <c r="B1073" s="1">
        <v>146</v>
      </c>
      <c r="C1073" s="1">
        <v>300</v>
      </c>
      <c r="D1073" s="13"/>
      <c r="E1073" s="13"/>
      <c r="F1073" s="13"/>
      <c r="G1073" s="13"/>
      <c r="H1073" s="13"/>
      <c r="I1073" s="13"/>
      <c r="J1073" s="13"/>
    </row>
    <row r="1074" spans="1:10">
      <c r="A1074" s="1">
        <v>1367</v>
      </c>
      <c r="B1074" s="1">
        <v>146</v>
      </c>
      <c r="C1074" s="1">
        <v>300</v>
      </c>
      <c r="D1074" s="13"/>
      <c r="E1074" s="13"/>
      <c r="F1074" s="13"/>
      <c r="G1074" s="13"/>
      <c r="H1074" s="13"/>
      <c r="I1074" s="13"/>
      <c r="J1074" s="13"/>
    </row>
    <row r="1075" spans="1:10">
      <c r="A1075" s="1">
        <v>1368</v>
      </c>
      <c r="B1075" s="1">
        <v>146</v>
      </c>
      <c r="C1075" s="1">
        <v>300</v>
      </c>
      <c r="D1075" s="13"/>
      <c r="E1075" s="13"/>
      <c r="F1075" s="13"/>
      <c r="G1075" s="13"/>
      <c r="H1075" s="13"/>
      <c r="I1075" s="13"/>
      <c r="J1075" s="13"/>
    </row>
    <row r="1076" spans="1:10">
      <c r="A1076" s="1">
        <v>1369</v>
      </c>
      <c r="B1076" s="1">
        <v>146</v>
      </c>
      <c r="C1076" s="1">
        <v>300</v>
      </c>
      <c r="D1076" s="13"/>
      <c r="E1076" s="13"/>
      <c r="F1076" s="13"/>
      <c r="G1076" s="13"/>
      <c r="H1076" s="13"/>
      <c r="I1076" s="13"/>
      <c r="J1076" s="13"/>
    </row>
    <row r="1077" spans="1:10">
      <c r="A1077" s="1">
        <v>1370</v>
      </c>
      <c r="B1077" s="1">
        <v>146</v>
      </c>
      <c r="C1077" s="1">
        <v>300</v>
      </c>
      <c r="D1077" s="13"/>
      <c r="E1077" s="13"/>
      <c r="F1077" s="13"/>
      <c r="G1077" s="13"/>
      <c r="H1077" s="13"/>
      <c r="I1077" s="13"/>
      <c r="J1077" s="13"/>
    </row>
    <row r="1078" spans="1:10">
      <c r="A1078" s="1">
        <v>1371</v>
      </c>
      <c r="B1078" s="1">
        <v>148</v>
      </c>
      <c r="C1078" s="1">
        <v>300</v>
      </c>
      <c r="D1078" s="13"/>
      <c r="E1078" s="13"/>
      <c r="F1078" s="13"/>
      <c r="G1078" s="13"/>
      <c r="H1078" s="13"/>
      <c r="I1078" s="13"/>
      <c r="J1078" s="13"/>
    </row>
    <row r="1079" spans="1:10">
      <c r="A1079" s="1">
        <v>1372</v>
      </c>
      <c r="B1079" s="1">
        <v>148</v>
      </c>
      <c r="C1079" s="1">
        <v>300</v>
      </c>
      <c r="D1079" s="13"/>
      <c r="E1079" s="13"/>
      <c r="F1079" s="13"/>
      <c r="G1079" s="13"/>
      <c r="H1079" s="13"/>
      <c r="I1079" s="13"/>
      <c r="J1079" s="13"/>
    </row>
    <row r="1080" spans="1:10">
      <c r="A1080" s="1">
        <v>1373</v>
      </c>
      <c r="B1080" s="1">
        <v>148</v>
      </c>
      <c r="C1080" s="1">
        <v>300</v>
      </c>
      <c r="D1080" s="13"/>
      <c r="E1080" s="13"/>
      <c r="F1080" s="13"/>
      <c r="G1080" s="13"/>
      <c r="H1080" s="13"/>
      <c r="I1080" s="13"/>
      <c r="J1080" s="13"/>
    </row>
    <row r="1081" spans="1:10">
      <c r="A1081" s="1">
        <v>1374</v>
      </c>
      <c r="B1081" s="1">
        <v>148</v>
      </c>
      <c r="C1081" s="1">
        <v>300</v>
      </c>
      <c r="D1081" s="13"/>
      <c r="E1081" s="13"/>
      <c r="F1081" s="13"/>
      <c r="G1081" s="13"/>
      <c r="H1081" s="13"/>
      <c r="I1081" s="13"/>
      <c r="J1081" s="13"/>
    </row>
    <row r="1082" spans="1:10">
      <c r="A1082" s="1">
        <v>1375</v>
      </c>
      <c r="B1082" s="1">
        <v>148</v>
      </c>
      <c r="C1082" s="1">
        <v>300</v>
      </c>
      <c r="D1082" s="13"/>
      <c r="E1082" s="13"/>
      <c r="F1082" s="13"/>
      <c r="G1082" s="13"/>
      <c r="H1082" s="13"/>
      <c r="I1082" s="13"/>
      <c r="J1082" s="13"/>
    </row>
    <row r="1083" spans="1:10">
      <c r="A1083" s="1">
        <v>1376</v>
      </c>
      <c r="B1083" s="1">
        <v>148</v>
      </c>
      <c r="C1083" s="1">
        <v>300</v>
      </c>
      <c r="D1083" s="13"/>
      <c r="E1083" s="13"/>
      <c r="F1083" s="13"/>
      <c r="G1083" s="13"/>
      <c r="H1083" s="13"/>
      <c r="I1083" s="13"/>
      <c r="J1083" s="13"/>
    </row>
    <row r="1084" spans="1:10">
      <c r="A1084" s="1">
        <v>1377</v>
      </c>
      <c r="B1084" s="1">
        <v>148</v>
      </c>
      <c r="C1084" s="1">
        <v>300</v>
      </c>
      <c r="D1084" s="13"/>
      <c r="E1084" s="13"/>
      <c r="F1084" s="13"/>
      <c r="G1084" s="13"/>
      <c r="H1084" s="13"/>
      <c r="I1084" s="13"/>
      <c r="J1084" s="13"/>
    </row>
    <row r="1085" spans="1:10">
      <c r="A1085" s="1">
        <v>1378</v>
      </c>
      <c r="B1085" s="1">
        <v>148</v>
      </c>
      <c r="C1085" s="1">
        <v>300</v>
      </c>
      <c r="D1085" s="13"/>
      <c r="E1085" s="13"/>
      <c r="F1085" s="13"/>
      <c r="G1085" s="13"/>
      <c r="H1085" s="13"/>
      <c r="I1085" s="13"/>
      <c r="J1085" s="13"/>
    </row>
    <row r="1086" spans="1:10">
      <c r="A1086" s="1">
        <v>1379</v>
      </c>
      <c r="B1086" s="1">
        <v>148</v>
      </c>
      <c r="C1086" s="1">
        <v>300</v>
      </c>
      <c r="D1086" s="13"/>
      <c r="E1086" s="13"/>
      <c r="F1086" s="13"/>
      <c r="G1086" s="13"/>
      <c r="H1086" s="13"/>
      <c r="I1086" s="13"/>
      <c r="J1086" s="13"/>
    </row>
    <row r="1087" spans="1:10">
      <c r="A1087" s="1">
        <v>1380</v>
      </c>
      <c r="B1087" s="1">
        <v>148</v>
      </c>
      <c r="C1087" s="1">
        <v>300</v>
      </c>
      <c r="D1087" s="13"/>
      <c r="E1087" s="13"/>
      <c r="F1087" s="13"/>
      <c r="G1087" s="13"/>
      <c r="H1087" s="13"/>
      <c r="I1087" s="13"/>
      <c r="J1087" s="13"/>
    </row>
    <row r="1088" spans="1:10">
      <c r="A1088" s="1">
        <v>1381</v>
      </c>
      <c r="B1088" s="1">
        <v>149</v>
      </c>
      <c r="C1088" s="1">
        <v>100</v>
      </c>
      <c r="D1088" s="13"/>
      <c r="E1088" s="13"/>
      <c r="F1088" s="13"/>
      <c r="G1088" s="13"/>
      <c r="H1088" s="13"/>
      <c r="I1088" s="13"/>
      <c r="J1088" s="13"/>
    </row>
    <row r="1089" spans="1:10">
      <c r="A1089" s="1">
        <v>1382</v>
      </c>
      <c r="B1089" s="1">
        <v>150</v>
      </c>
      <c r="C1089" s="1">
        <v>6</v>
      </c>
      <c r="D1089" s="13"/>
      <c r="E1089" s="13"/>
      <c r="F1089" s="13"/>
      <c r="G1089" s="13"/>
      <c r="H1089" s="13"/>
      <c r="I1089" s="13"/>
      <c r="J1089" s="13"/>
    </row>
    <row r="1090" spans="1:10">
      <c r="A1090" s="1">
        <v>1383</v>
      </c>
      <c r="B1090" s="1">
        <v>151</v>
      </c>
      <c r="C1090" s="1">
        <v>300</v>
      </c>
      <c r="D1090" s="13"/>
      <c r="E1090" s="13"/>
      <c r="F1090" s="13"/>
      <c r="G1090" s="13"/>
      <c r="H1090" s="13"/>
      <c r="I1090" s="13"/>
      <c r="J1090" s="13"/>
    </row>
    <row r="1091" spans="1:10">
      <c r="A1091" s="1">
        <v>1384</v>
      </c>
      <c r="B1091" s="1">
        <v>151</v>
      </c>
      <c r="C1091" s="1">
        <v>300</v>
      </c>
      <c r="D1091" s="13"/>
      <c r="E1091" s="13"/>
      <c r="F1091" s="13"/>
      <c r="G1091" s="13"/>
      <c r="H1091" s="13"/>
      <c r="I1091" s="13"/>
      <c r="J1091" s="13"/>
    </row>
    <row r="1092" spans="1:10">
      <c r="A1092" s="1">
        <v>1385</v>
      </c>
      <c r="B1092" s="1">
        <v>151</v>
      </c>
      <c r="C1092" s="1">
        <v>300</v>
      </c>
      <c r="D1092" s="13"/>
      <c r="E1092" s="13"/>
      <c r="F1092" s="13"/>
      <c r="G1092" s="13"/>
      <c r="H1092" s="13"/>
      <c r="I1092" s="13"/>
      <c r="J1092" s="13"/>
    </row>
    <row r="1093" spans="1:10">
      <c r="A1093" s="1">
        <v>1386</v>
      </c>
      <c r="B1093" s="1">
        <v>152</v>
      </c>
      <c r="C1093" s="1">
        <v>300</v>
      </c>
      <c r="D1093" s="13"/>
      <c r="E1093" s="13"/>
      <c r="F1093" s="13"/>
      <c r="G1093" s="13"/>
      <c r="H1093" s="13"/>
      <c r="I1093" s="13"/>
      <c r="J1093" s="13"/>
    </row>
    <row r="1094" spans="1:10">
      <c r="A1094" s="1">
        <v>1387</v>
      </c>
      <c r="B1094" s="1">
        <v>152</v>
      </c>
      <c r="C1094" s="1">
        <v>300</v>
      </c>
      <c r="D1094" s="13"/>
      <c r="E1094" s="13"/>
      <c r="F1094" s="13"/>
      <c r="G1094" s="13"/>
      <c r="H1094" s="13"/>
      <c r="I1094" s="13"/>
      <c r="J1094" s="13"/>
    </row>
    <row r="1095" spans="1:10">
      <c r="A1095" s="1">
        <v>1388</v>
      </c>
      <c r="B1095" s="1">
        <v>152</v>
      </c>
      <c r="C1095" s="1">
        <v>300</v>
      </c>
      <c r="D1095" s="13"/>
      <c r="E1095" s="13"/>
      <c r="F1095" s="13"/>
      <c r="G1095" s="13"/>
      <c r="H1095" s="13"/>
      <c r="I1095" s="13"/>
      <c r="J1095" s="13"/>
    </row>
    <row r="1096" spans="1:10">
      <c r="A1096" s="1">
        <v>1389</v>
      </c>
      <c r="B1096" s="1">
        <v>153</v>
      </c>
      <c r="C1096" s="1">
        <v>300</v>
      </c>
      <c r="D1096" s="13"/>
      <c r="E1096" s="13"/>
      <c r="F1096" s="13"/>
      <c r="G1096" s="13"/>
      <c r="H1096" s="13"/>
      <c r="I1096" s="13"/>
      <c r="J1096" s="13"/>
    </row>
    <row r="1097" spans="1:10">
      <c r="A1097" s="1">
        <v>1390</v>
      </c>
      <c r="B1097" s="1">
        <v>153</v>
      </c>
      <c r="C1097" s="1">
        <v>300</v>
      </c>
      <c r="D1097" s="13"/>
      <c r="E1097" s="13"/>
      <c r="F1097" s="13"/>
      <c r="G1097" s="13"/>
      <c r="H1097" s="13"/>
      <c r="I1097" s="13"/>
      <c r="J1097" s="13"/>
    </row>
    <row r="1098" spans="1:10">
      <c r="A1098" s="1">
        <v>1391</v>
      </c>
      <c r="B1098" s="1">
        <v>153</v>
      </c>
      <c r="C1098" s="1">
        <v>300</v>
      </c>
      <c r="D1098" s="13"/>
      <c r="E1098" s="13"/>
      <c r="F1098" s="13"/>
      <c r="G1098" s="13"/>
      <c r="H1098" s="13"/>
      <c r="I1098" s="13"/>
      <c r="J1098" s="13"/>
    </row>
    <row r="1099" spans="1:10">
      <c r="A1099" s="1">
        <v>1392</v>
      </c>
      <c r="B1099" s="1">
        <v>153</v>
      </c>
      <c r="C1099" s="1">
        <v>300</v>
      </c>
      <c r="D1099" s="13"/>
      <c r="E1099" s="13"/>
      <c r="F1099" s="13"/>
      <c r="G1099" s="13"/>
      <c r="H1099" s="13"/>
      <c r="I1099" s="13"/>
      <c r="J1099" s="13"/>
    </row>
    <row r="1100" spans="1:10">
      <c r="A1100" s="1">
        <v>1393</v>
      </c>
      <c r="B1100" s="1">
        <v>153</v>
      </c>
      <c r="C1100" s="1">
        <v>300</v>
      </c>
      <c r="D1100" s="13"/>
      <c r="E1100" s="13"/>
      <c r="F1100" s="13"/>
      <c r="G1100" s="13"/>
      <c r="H1100" s="13"/>
      <c r="I1100" s="13"/>
      <c r="J1100" s="13"/>
    </row>
    <row r="1101" spans="1:10">
      <c r="A1101" s="1">
        <v>1394</v>
      </c>
      <c r="B1101" s="1">
        <v>153</v>
      </c>
      <c r="C1101" s="1">
        <v>300</v>
      </c>
      <c r="D1101" s="13"/>
      <c r="E1101" s="13"/>
      <c r="F1101" s="13"/>
      <c r="G1101" s="13"/>
      <c r="H1101" s="13"/>
      <c r="I1101" s="13"/>
      <c r="J1101" s="13"/>
    </row>
    <row r="1102" spans="1:10">
      <c r="A1102" s="1">
        <v>1395</v>
      </c>
      <c r="B1102" s="1">
        <v>153</v>
      </c>
      <c r="C1102" s="1">
        <v>300</v>
      </c>
      <c r="D1102" s="13"/>
      <c r="E1102" s="13"/>
      <c r="F1102" s="13"/>
      <c r="G1102" s="13"/>
      <c r="H1102" s="13"/>
      <c r="I1102" s="13"/>
      <c r="J1102" s="13"/>
    </row>
    <row r="1103" spans="1:10">
      <c r="A1103" s="1">
        <v>1396</v>
      </c>
      <c r="B1103" s="1">
        <v>153</v>
      </c>
      <c r="C1103" s="1">
        <v>300</v>
      </c>
      <c r="D1103" s="13"/>
      <c r="E1103" s="13"/>
      <c r="F1103" s="13"/>
      <c r="G1103" s="13"/>
      <c r="H1103" s="13"/>
      <c r="I1103" s="13"/>
      <c r="J1103" s="13"/>
    </row>
    <row r="1104" spans="1:10">
      <c r="A1104" s="1">
        <v>1397</v>
      </c>
      <c r="B1104" s="1">
        <v>153</v>
      </c>
      <c r="C1104" s="1">
        <v>300</v>
      </c>
      <c r="D1104" s="13"/>
      <c r="E1104" s="13"/>
      <c r="F1104" s="13"/>
      <c r="G1104" s="13"/>
      <c r="H1104" s="13"/>
      <c r="I1104" s="13"/>
      <c r="J1104" s="13"/>
    </row>
    <row r="1105" spans="1:10">
      <c r="A1105" s="1">
        <v>1398</v>
      </c>
      <c r="B1105" s="1">
        <v>153</v>
      </c>
      <c r="C1105" s="1">
        <v>300</v>
      </c>
      <c r="D1105" s="13"/>
      <c r="E1105" s="13"/>
      <c r="F1105" s="13"/>
      <c r="G1105" s="13"/>
      <c r="H1105" s="13"/>
      <c r="I1105" s="13"/>
      <c r="J1105" s="13"/>
    </row>
    <row r="1106" spans="1:10">
      <c r="A1106" s="1">
        <v>1399</v>
      </c>
      <c r="B1106" s="1">
        <v>154</v>
      </c>
      <c r="C1106" s="1">
        <v>300</v>
      </c>
      <c r="D1106" s="13"/>
      <c r="E1106" s="13"/>
      <c r="F1106" s="13"/>
      <c r="G1106" s="13"/>
      <c r="H1106" s="13"/>
      <c r="I1106" s="13"/>
      <c r="J1106" s="13"/>
    </row>
    <row r="1107" spans="1:10">
      <c r="A1107" s="1">
        <v>1400</v>
      </c>
      <c r="B1107" s="1">
        <v>154</v>
      </c>
      <c r="C1107" s="1">
        <v>300</v>
      </c>
      <c r="D1107" s="13"/>
      <c r="E1107" s="13"/>
      <c r="F1107" s="13"/>
      <c r="G1107" s="13"/>
      <c r="H1107" s="13"/>
      <c r="I1107" s="13"/>
      <c r="J1107" s="13"/>
    </row>
    <row r="1108" spans="1:10">
      <c r="A1108" s="1">
        <v>1401</v>
      </c>
      <c r="B1108" s="1">
        <v>154</v>
      </c>
      <c r="C1108" s="1">
        <v>300</v>
      </c>
      <c r="D1108" s="13"/>
      <c r="E1108" s="13"/>
      <c r="F1108" s="13"/>
      <c r="G1108" s="13"/>
      <c r="H1108" s="13"/>
      <c r="I1108" s="13"/>
      <c r="J1108" s="13"/>
    </row>
    <row r="1109" spans="1:10">
      <c r="A1109" s="1">
        <v>1402</v>
      </c>
      <c r="B1109" s="1">
        <v>155</v>
      </c>
      <c r="C1109" s="1">
        <v>300</v>
      </c>
      <c r="D1109" s="13"/>
      <c r="E1109" s="13"/>
      <c r="F1109" s="13"/>
      <c r="G1109" s="13"/>
      <c r="H1109" s="13"/>
      <c r="I1109" s="13"/>
      <c r="J1109" s="13"/>
    </row>
    <row r="1110" spans="1:10">
      <c r="A1110" s="1">
        <v>1403</v>
      </c>
      <c r="B1110" s="1">
        <v>155</v>
      </c>
      <c r="C1110" s="1">
        <v>300</v>
      </c>
      <c r="D1110" s="13"/>
      <c r="E1110" s="13"/>
      <c r="F1110" s="13"/>
      <c r="G1110" s="13"/>
      <c r="H1110" s="13"/>
      <c r="I1110" s="13"/>
      <c r="J1110" s="13"/>
    </row>
    <row r="1111" spans="1:10">
      <c r="A1111" s="1">
        <v>1404</v>
      </c>
      <c r="B1111" s="1">
        <v>155</v>
      </c>
      <c r="C1111" s="1">
        <v>300</v>
      </c>
      <c r="D1111" s="13"/>
      <c r="E1111" s="13"/>
      <c r="F1111" s="13"/>
      <c r="G1111" s="13"/>
      <c r="H1111" s="13"/>
      <c r="I1111" s="13"/>
      <c r="J1111" s="13"/>
    </row>
    <row r="1112" spans="1:10">
      <c r="A1112" s="1">
        <v>1405</v>
      </c>
      <c r="B1112" s="1">
        <v>155</v>
      </c>
      <c r="C1112" s="1">
        <v>300</v>
      </c>
      <c r="D1112" s="13"/>
      <c r="E1112" s="13"/>
      <c r="F1112" s="13"/>
      <c r="G1112" s="13"/>
      <c r="H1112" s="13"/>
      <c r="I1112" s="13"/>
      <c r="J1112" s="13"/>
    </row>
    <row r="1113" spans="1:10">
      <c r="A1113" s="1">
        <v>1406</v>
      </c>
      <c r="B1113" s="1">
        <v>155</v>
      </c>
      <c r="C1113" s="1">
        <v>300</v>
      </c>
      <c r="D1113" s="13"/>
      <c r="E1113" s="13"/>
      <c r="F1113" s="13"/>
      <c r="G1113" s="13"/>
      <c r="H1113" s="13"/>
      <c r="I1113" s="13"/>
      <c r="J1113" s="13"/>
    </row>
    <row r="1114" spans="1:10">
      <c r="A1114" s="1">
        <v>1407</v>
      </c>
      <c r="B1114" s="1">
        <v>155</v>
      </c>
      <c r="C1114" s="1">
        <v>300</v>
      </c>
      <c r="D1114" s="13"/>
      <c r="E1114" s="13"/>
      <c r="F1114" s="13"/>
      <c r="G1114" s="13"/>
      <c r="H1114" s="13"/>
      <c r="I1114" s="13"/>
      <c r="J1114" s="13"/>
    </row>
    <row r="1115" spans="1:10">
      <c r="A1115" s="1">
        <v>1408</v>
      </c>
      <c r="B1115" s="1">
        <v>155</v>
      </c>
      <c r="C1115" s="1">
        <v>300</v>
      </c>
      <c r="D1115" s="13"/>
      <c r="E1115" s="13"/>
      <c r="F1115" s="13"/>
      <c r="G1115" s="13"/>
      <c r="H1115" s="13"/>
      <c r="I1115" s="13"/>
      <c r="J1115" s="13"/>
    </row>
    <row r="1116" spans="1:10">
      <c r="A1116" s="1">
        <v>1409</v>
      </c>
      <c r="B1116" s="1">
        <v>155</v>
      </c>
      <c r="C1116" s="1">
        <v>300</v>
      </c>
      <c r="D1116" s="13"/>
      <c r="E1116" s="13"/>
      <c r="F1116" s="13"/>
      <c r="G1116" s="13"/>
      <c r="H1116" s="13"/>
      <c r="I1116" s="13"/>
      <c r="J1116" s="13"/>
    </row>
    <row r="1117" spans="1:10">
      <c r="A1117" s="1">
        <v>1410</v>
      </c>
      <c r="B1117" s="1">
        <v>155</v>
      </c>
      <c r="C1117" s="1">
        <v>300</v>
      </c>
      <c r="D1117" s="13"/>
      <c r="E1117" s="13"/>
      <c r="F1117" s="13"/>
      <c r="G1117" s="13"/>
      <c r="H1117" s="13"/>
      <c r="I1117" s="13"/>
      <c r="J1117" s="13"/>
    </row>
    <row r="1118" spans="1:10">
      <c r="A1118" s="1">
        <v>1411</v>
      </c>
      <c r="B1118" s="1">
        <v>155</v>
      </c>
      <c r="C1118" s="1">
        <v>300</v>
      </c>
      <c r="D1118" s="13"/>
      <c r="E1118" s="13"/>
      <c r="F1118" s="13"/>
      <c r="G1118" s="13"/>
      <c r="H1118" s="13"/>
      <c r="I1118" s="13"/>
      <c r="J1118" s="13"/>
    </row>
    <row r="1119" spans="1:10">
      <c r="A1119" s="1">
        <v>1412</v>
      </c>
      <c r="B1119" s="1">
        <v>156</v>
      </c>
      <c r="C1119" s="1">
        <v>300</v>
      </c>
      <c r="D1119" s="13"/>
      <c r="E1119" s="13"/>
      <c r="F1119" s="13"/>
      <c r="G1119" s="13"/>
      <c r="H1119" s="13"/>
      <c r="I1119" s="13"/>
      <c r="J1119" s="13"/>
    </row>
    <row r="1120" spans="1:10">
      <c r="A1120" s="1">
        <v>1413</v>
      </c>
      <c r="B1120" s="1">
        <v>157</v>
      </c>
      <c r="C1120" s="1">
        <v>300</v>
      </c>
      <c r="D1120" s="13"/>
      <c r="E1120" s="13"/>
      <c r="F1120" s="13"/>
      <c r="G1120" s="13"/>
      <c r="H1120" s="13"/>
      <c r="I1120" s="13"/>
      <c r="J1120" s="13"/>
    </row>
    <row r="1121" spans="1:10">
      <c r="A1121" s="1">
        <v>1414</v>
      </c>
      <c r="B1121" s="1">
        <v>157</v>
      </c>
      <c r="C1121" s="1">
        <v>300</v>
      </c>
      <c r="D1121" s="13"/>
      <c r="E1121" s="13"/>
      <c r="F1121" s="13"/>
      <c r="G1121" s="13"/>
      <c r="H1121" s="13"/>
      <c r="I1121" s="13"/>
      <c r="J1121" s="13"/>
    </row>
    <row r="1122" spans="1:10">
      <c r="A1122" s="1">
        <v>1415</v>
      </c>
      <c r="B1122" s="1">
        <v>157</v>
      </c>
      <c r="C1122" s="1">
        <v>300</v>
      </c>
      <c r="D1122" s="13"/>
      <c r="E1122" s="13"/>
      <c r="F1122" s="13"/>
      <c r="G1122" s="13"/>
      <c r="H1122" s="13"/>
      <c r="I1122" s="13"/>
      <c r="J1122" s="13"/>
    </row>
    <row r="1123" spans="1:10">
      <c r="A1123" s="1">
        <v>1416</v>
      </c>
      <c r="B1123" s="1">
        <v>157</v>
      </c>
      <c r="C1123" s="1">
        <v>300</v>
      </c>
      <c r="D1123" s="13"/>
      <c r="E1123" s="13"/>
      <c r="F1123" s="13"/>
      <c r="G1123" s="13"/>
      <c r="H1123" s="13"/>
      <c r="I1123" s="13"/>
      <c r="J1123" s="13"/>
    </row>
    <row r="1124" spans="1:10">
      <c r="A1124" s="1">
        <v>1417</v>
      </c>
      <c r="B1124" s="1">
        <v>157</v>
      </c>
      <c r="C1124" s="1">
        <v>300</v>
      </c>
      <c r="D1124" s="13"/>
      <c r="E1124" s="13"/>
      <c r="F1124" s="13"/>
      <c r="G1124" s="13"/>
      <c r="H1124" s="13"/>
      <c r="I1124" s="13"/>
      <c r="J1124" s="13"/>
    </row>
    <row r="1125" spans="1:10">
      <c r="A1125" s="1">
        <v>1418</v>
      </c>
      <c r="B1125" s="1">
        <v>157</v>
      </c>
      <c r="C1125" s="1">
        <v>300</v>
      </c>
      <c r="D1125" s="13"/>
      <c r="E1125" s="13"/>
      <c r="F1125" s="13"/>
      <c r="G1125" s="13"/>
      <c r="H1125" s="13"/>
      <c r="I1125" s="13"/>
      <c r="J1125" s="13"/>
    </row>
    <row r="1126" spans="1:10">
      <c r="A1126" s="1">
        <v>1419</v>
      </c>
      <c r="B1126" s="1">
        <v>157</v>
      </c>
      <c r="C1126" s="1">
        <v>300</v>
      </c>
      <c r="D1126" s="13"/>
      <c r="E1126" s="13"/>
      <c r="F1126" s="13"/>
      <c r="G1126" s="13"/>
      <c r="H1126" s="13"/>
      <c r="I1126" s="13"/>
      <c r="J1126" s="13"/>
    </row>
    <row r="1127" spans="1:10">
      <c r="A1127" s="1">
        <v>1420</v>
      </c>
      <c r="B1127" s="1">
        <v>157</v>
      </c>
      <c r="C1127" s="1">
        <v>300</v>
      </c>
      <c r="D1127" s="13"/>
      <c r="E1127" s="13"/>
      <c r="F1127" s="13"/>
      <c r="G1127" s="13"/>
      <c r="H1127" s="13"/>
      <c r="I1127" s="13"/>
      <c r="J1127" s="13"/>
    </row>
    <row r="1128" spans="1:10">
      <c r="A1128" s="1">
        <v>1421</v>
      </c>
      <c r="B1128" s="1">
        <v>157</v>
      </c>
      <c r="C1128" s="1">
        <v>300</v>
      </c>
      <c r="D1128" s="13"/>
      <c r="E1128" s="13"/>
      <c r="F1128" s="13"/>
      <c r="G1128" s="13"/>
      <c r="H1128" s="13"/>
      <c r="I1128" s="13"/>
      <c r="J1128" s="13"/>
    </row>
    <row r="1129" spans="1:10">
      <c r="A1129" s="1">
        <v>1422</v>
      </c>
      <c r="B1129" s="1">
        <v>157</v>
      </c>
      <c r="C1129" s="1">
        <v>300</v>
      </c>
      <c r="D1129" s="13"/>
      <c r="E1129" s="13"/>
      <c r="F1129" s="13"/>
      <c r="G1129" s="13"/>
      <c r="H1129" s="13"/>
      <c r="I1129" s="13"/>
      <c r="J1129" s="13"/>
    </row>
    <row r="1130" spans="1:10">
      <c r="A1130" s="1">
        <v>1424</v>
      </c>
      <c r="B1130" s="1">
        <v>158</v>
      </c>
      <c r="C1130" s="1">
        <v>65</v>
      </c>
      <c r="D1130" s="13"/>
      <c r="E1130" s="13"/>
      <c r="F1130" s="13"/>
      <c r="G1130" s="13"/>
      <c r="H1130" s="13"/>
      <c r="I1130" s="13"/>
      <c r="J1130" s="13"/>
    </row>
    <row r="1131" spans="1:10">
      <c r="A1131" s="1">
        <v>1425</v>
      </c>
      <c r="B1131" s="1">
        <v>159</v>
      </c>
      <c r="C1131" s="1">
        <v>300</v>
      </c>
      <c r="D1131" s="13"/>
      <c r="E1131" s="13"/>
      <c r="F1131" s="13"/>
      <c r="G1131" s="13"/>
      <c r="H1131" s="13"/>
      <c r="I1131" s="13"/>
      <c r="J1131" s="13"/>
    </row>
    <row r="1132" spans="1:10">
      <c r="A1132" s="1">
        <v>1426</v>
      </c>
      <c r="B1132" s="1">
        <v>159</v>
      </c>
      <c r="C1132" s="1">
        <v>300</v>
      </c>
      <c r="D1132" s="13"/>
      <c r="E1132" s="13"/>
      <c r="F1132" s="13"/>
      <c r="G1132" s="13"/>
      <c r="H1132" s="13"/>
      <c r="I1132" s="13"/>
      <c r="J1132" s="13"/>
    </row>
    <row r="1133" spans="1:10">
      <c r="A1133" s="1">
        <v>1427</v>
      </c>
      <c r="B1133" s="1">
        <v>159</v>
      </c>
      <c r="C1133" s="1">
        <v>300</v>
      </c>
      <c r="D1133" s="13"/>
      <c r="E1133" s="13"/>
      <c r="F1133" s="13"/>
      <c r="G1133" s="13"/>
      <c r="H1133" s="13"/>
      <c r="I1133" s="13"/>
      <c r="J1133" s="13"/>
    </row>
    <row r="1134" spans="1:10">
      <c r="A1134" s="1">
        <v>1428</v>
      </c>
      <c r="B1134" s="1">
        <v>159</v>
      </c>
      <c r="C1134" s="1">
        <v>300</v>
      </c>
      <c r="D1134" s="13"/>
      <c r="E1134" s="13"/>
      <c r="F1134" s="13"/>
      <c r="G1134" s="13"/>
      <c r="H1134" s="13"/>
      <c r="I1134" s="13"/>
      <c r="J1134" s="13"/>
    </row>
    <row r="1135" spans="1:10">
      <c r="A1135" s="1">
        <v>1429</v>
      </c>
      <c r="B1135" s="1">
        <v>159</v>
      </c>
      <c r="C1135" s="1">
        <v>300</v>
      </c>
      <c r="D1135" s="13"/>
      <c r="E1135" s="13"/>
      <c r="F1135" s="13"/>
      <c r="G1135" s="13"/>
      <c r="H1135" s="13"/>
      <c r="I1135" s="13"/>
      <c r="J1135" s="13"/>
    </row>
    <row r="1136" spans="1:10">
      <c r="A1136" s="1">
        <v>1430</v>
      </c>
      <c r="B1136" s="1">
        <v>159</v>
      </c>
      <c r="C1136" s="1">
        <v>300</v>
      </c>
      <c r="D1136" s="13"/>
      <c r="E1136" s="13"/>
      <c r="F1136" s="13"/>
      <c r="G1136" s="13"/>
      <c r="H1136" s="13"/>
      <c r="I1136" s="13"/>
      <c r="J1136" s="13"/>
    </row>
    <row r="1137" spans="1:10">
      <c r="A1137" s="1">
        <v>1431</v>
      </c>
      <c r="B1137" s="1">
        <v>159</v>
      </c>
      <c r="C1137" s="1">
        <v>300</v>
      </c>
      <c r="D1137" s="13"/>
      <c r="E1137" s="13"/>
      <c r="F1137" s="13"/>
      <c r="G1137" s="13"/>
      <c r="H1137" s="13"/>
      <c r="I1137" s="13"/>
      <c r="J1137" s="13"/>
    </row>
    <row r="1138" spans="1:10">
      <c r="A1138" s="1">
        <v>1432</v>
      </c>
      <c r="B1138" s="1">
        <v>159</v>
      </c>
      <c r="C1138" s="1">
        <v>300</v>
      </c>
      <c r="D1138" s="13"/>
      <c r="E1138" s="13"/>
      <c r="F1138" s="13"/>
      <c r="G1138" s="13"/>
      <c r="H1138" s="13"/>
      <c r="I1138" s="13"/>
      <c r="J1138" s="13"/>
    </row>
    <row r="1139" spans="1:10">
      <c r="A1139" s="1">
        <v>1433</v>
      </c>
      <c r="B1139" s="1">
        <v>159</v>
      </c>
      <c r="C1139" s="1">
        <v>300</v>
      </c>
      <c r="D1139" s="13"/>
      <c r="E1139" s="13"/>
      <c r="F1139" s="13"/>
      <c r="G1139" s="13"/>
      <c r="H1139" s="13"/>
      <c r="I1139" s="13"/>
      <c r="J1139" s="13"/>
    </row>
    <row r="1140" spans="1:10">
      <c r="A1140" s="1">
        <v>1434</v>
      </c>
      <c r="B1140" s="1">
        <v>159</v>
      </c>
      <c r="C1140" s="1">
        <v>300</v>
      </c>
      <c r="D1140" s="13"/>
      <c r="E1140" s="13"/>
      <c r="F1140" s="13"/>
      <c r="G1140" s="13"/>
      <c r="H1140" s="13"/>
      <c r="I1140" s="13"/>
      <c r="J1140" s="13"/>
    </row>
    <row r="1141" spans="1:10">
      <c r="A1141" s="1">
        <v>1435</v>
      </c>
      <c r="B1141" s="1">
        <v>160</v>
      </c>
      <c r="C1141" s="1">
        <v>300</v>
      </c>
      <c r="D1141" s="13"/>
      <c r="E1141" s="13"/>
      <c r="F1141" s="13"/>
      <c r="G1141" s="13"/>
      <c r="H1141" s="13"/>
      <c r="I1141" s="13"/>
      <c r="J1141" s="13"/>
    </row>
    <row r="1142" spans="1:10">
      <c r="A1142" s="1">
        <v>1436</v>
      </c>
      <c r="B1142" s="1">
        <v>160</v>
      </c>
      <c r="C1142" s="1">
        <v>300</v>
      </c>
      <c r="D1142" s="13"/>
      <c r="E1142" s="13"/>
      <c r="F1142" s="13"/>
      <c r="G1142" s="13"/>
      <c r="H1142" s="13"/>
      <c r="I1142" s="13"/>
      <c r="J1142" s="13"/>
    </row>
    <row r="1143" spans="1:10">
      <c r="A1143" s="1">
        <v>1437</v>
      </c>
      <c r="B1143" s="1">
        <v>160</v>
      </c>
      <c r="C1143" s="1">
        <v>300</v>
      </c>
      <c r="D1143" s="13"/>
      <c r="E1143" s="13"/>
      <c r="F1143" s="13"/>
      <c r="G1143" s="13"/>
      <c r="H1143" s="13"/>
      <c r="I1143" s="13"/>
      <c r="J1143" s="13"/>
    </row>
    <row r="1144" spans="1:10">
      <c r="A1144" s="1">
        <v>1438</v>
      </c>
      <c r="B1144" s="1">
        <v>161</v>
      </c>
      <c r="C1144" s="1">
        <v>300</v>
      </c>
      <c r="D1144" s="13"/>
      <c r="E1144" s="13"/>
      <c r="F1144" s="13"/>
      <c r="G1144" s="13"/>
      <c r="H1144" s="13"/>
      <c r="I1144" s="13"/>
      <c r="J1144" s="13"/>
    </row>
    <row r="1145" spans="1:10">
      <c r="A1145" s="1">
        <v>1439</v>
      </c>
      <c r="B1145" s="1">
        <v>161</v>
      </c>
      <c r="C1145" s="1">
        <v>100</v>
      </c>
      <c r="D1145" s="13"/>
      <c r="E1145" s="13"/>
      <c r="F1145" s="13"/>
      <c r="G1145" s="13"/>
      <c r="H1145" s="13"/>
      <c r="I1145" s="13"/>
      <c r="J1145" s="13"/>
    </row>
    <row r="1146" spans="1:10">
      <c r="A1146" s="1">
        <v>1440</v>
      </c>
      <c r="B1146" s="1">
        <v>162</v>
      </c>
      <c r="C1146" s="1">
        <v>300</v>
      </c>
      <c r="D1146" s="13"/>
      <c r="E1146" s="13"/>
      <c r="F1146" s="13"/>
      <c r="G1146" s="13"/>
      <c r="H1146" s="13"/>
      <c r="I1146" s="13"/>
      <c r="J1146" s="13"/>
    </row>
    <row r="1147" spans="1:10">
      <c r="A1147" s="1">
        <v>1441</v>
      </c>
      <c r="B1147" s="1">
        <v>162</v>
      </c>
      <c r="C1147" s="1">
        <v>300</v>
      </c>
      <c r="D1147" s="13"/>
      <c r="E1147" s="13"/>
      <c r="F1147" s="13"/>
      <c r="G1147" s="13"/>
      <c r="H1147" s="13"/>
      <c r="I1147" s="13"/>
      <c r="J1147" s="13"/>
    </row>
    <row r="1148" spans="1:10">
      <c r="A1148" s="1">
        <v>1442</v>
      </c>
      <c r="B1148" s="1">
        <v>162</v>
      </c>
      <c r="C1148" s="1">
        <v>100</v>
      </c>
      <c r="D1148" s="13"/>
      <c r="E1148" s="13"/>
      <c r="F1148" s="13"/>
      <c r="G1148" s="13"/>
      <c r="H1148" s="13"/>
      <c r="I1148" s="13"/>
      <c r="J1148" s="13"/>
    </row>
    <row r="1149" spans="1:10">
      <c r="A1149" s="1">
        <v>1443</v>
      </c>
      <c r="B1149" s="1">
        <v>163</v>
      </c>
      <c r="C1149" s="1">
        <v>300</v>
      </c>
      <c r="D1149" s="13"/>
      <c r="E1149" s="13"/>
      <c r="F1149" s="13"/>
      <c r="G1149" s="13"/>
      <c r="H1149" s="13"/>
      <c r="I1149" s="13"/>
      <c r="J1149" s="13"/>
    </row>
    <row r="1150" spans="1:10">
      <c r="A1150" s="1">
        <v>1444</v>
      </c>
      <c r="B1150" s="1">
        <v>163</v>
      </c>
      <c r="C1150" s="1">
        <v>300</v>
      </c>
      <c r="D1150" s="13"/>
      <c r="E1150" s="13"/>
      <c r="F1150" s="13"/>
      <c r="G1150" s="13"/>
      <c r="H1150" s="13"/>
      <c r="I1150" s="13"/>
      <c r="J1150" s="13"/>
    </row>
    <row r="1151" spans="1:10">
      <c r="A1151" s="1">
        <v>1445</v>
      </c>
      <c r="B1151" s="1">
        <v>163</v>
      </c>
      <c r="C1151" s="1">
        <v>300</v>
      </c>
      <c r="D1151" s="13"/>
      <c r="E1151" s="13"/>
      <c r="F1151" s="13"/>
      <c r="G1151" s="13"/>
      <c r="H1151" s="13"/>
      <c r="I1151" s="13"/>
      <c r="J1151" s="13"/>
    </row>
    <row r="1152" spans="1:10">
      <c r="A1152" s="1">
        <v>1446</v>
      </c>
      <c r="B1152" s="1">
        <v>163</v>
      </c>
      <c r="C1152" s="1">
        <v>300</v>
      </c>
      <c r="D1152" s="13"/>
      <c r="E1152" s="13"/>
      <c r="F1152" s="13"/>
      <c r="G1152" s="13"/>
      <c r="H1152" s="13"/>
      <c r="I1152" s="13"/>
      <c r="J1152" s="13"/>
    </row>
    <row r="1153" spans="1:10">
      <c r="A1153" s="1">
        <v>1447</v>
      </c>
      <c r="B1153" s="1">
        <v>163</v>
      </c>
      <c r="C1153" s="1">
        <v>300</v>
      </c>
      <c r="D1153" s="13"/>
      <c r="E1153" s="13"/>
      <c r="F1153" s="13"/>
      <c r="G1153" s="13"/>
      <c r="H1153" s="13"/>
      <c r="I1153" s="13"/>
      <c r="J1153" s="13"/>
    </row>
    <row r="1154" spans="1:10">
      <c r="A1154" s="1">
        <v>1448</v>
      </c>
      <c r="B1154" s="1">
        <v>164</v>
      </c>
      <c r="C1154" s="1">
        <v>300</v>
      </c>
      <c r="D1154" s="13"/>
      <c r="E1154" s="13"/>
      <c r="F1154" s="13"/>
      <c r="G1154" s="13"/>
      <c r="H1154" s="13"/>
      <c r="I1154" s="13"/>
      <c r="J1154" s="13"/>
    </row>
    <row r="1155" spans="1:10">
      <c r="A1155" s="1">
        <v>1449</v>
      </c>
      <c r="B1155" s="1">
        <v>164</v>
      </c>
      <c r="C1155" s="1">
        <v>300</v>
      </c>
      <c r="D1155" s="13"/>
      <c r="E1155" s="13"/>
      <c r="F1155" s="13"/>
      <c r="G1155" s="13"/>
      <c r="H1155" s="13"/>
      <c r="I1155" s="13"/>
      <c r="J1155" s="13"/>
    </row>
    <row r="1156" spans="1:10">
      <c r="A1156" s="1">
        <v>1450</v>
      </c>
      <c r="B1156" s="1">
        <v>164</v>
      </c>
      <c r="C1156" s="1">
        <v>300</v>
      </c>
      <c r="D1156" s="13"/>
      <c r="E1156" s="13"/>
      <c r="F1156" s="13"/>
      <c r="G1156" s="13"/>
      <c r="H1156" s="13"/>
      <c r="I1156" s="13"/>
      <c r="J1156" s="13"/>
    </row>
    <row r="1157" spans="1:10">
      <c r="A1157" s="1">
        <v>1451</v>
      </c>
      <c r="B1157" s="1">
        <v>164</v>
      </c>
      <c r="C1157" s="1">
        <v>300</v>
      </c>
      <c r="D1157" s="13"/>
      <c r="E1157" s="13"/>
      <c r="F1157" s="13"/>
      <c r="G1157" s="13"/>
      <c r="H1157" s="13"/>
      <c r="I1157" s="13"/>
      <c r="J1157" s="13"/>
    </row>
    <row r="1158" spans="1:10">
      <c r="A1158" s="1">
        <v>1452</v>
      </c>
      <c r="B1158" s="1">
        <v>164</v>
      </c>
      <c r="C1158" s="1">
        <v>300</v>
      </c>
      <c r="D1158" s="13"/>
      <c r="E1158" s="13"/>
      <c r="F1158" s="13"/>
      <c r="G1158" s="13"/>
      <c r="H1158" s="13"/>
      <c r="I1158" s="13"/>
      <c r="J1158" s="13"/>
    </row>
    <row r="1159" spans="1:10">
      <c r="A1159" s="1">
        <v>1453</v>
      </c>
      <c r="B1159" s="1">
        <v>165</v>
      </c>
      <c r="C1159" s="1">
        <v>300</v>
      </c>
      <c r="D1159" s="13"/>
      <c r="E1159" s="13"/>
      <c r="F1159" s="13"/>
      <c r="G1159" s="13"/>
      <c r="H1159" s="13"/>
      <c r="I1159" s="13"/>
      <c r="J1159" s="13"/>
    </row>
    <row r="1160" spans="1:10">
      <c r="A1160" s="1">
        <v>1454</v>
      </c>
      <c r="B1160" s="1">
        <v>165</v>
      </c>
      <c r="C1160" s="1">
        <v>300</v>
      </c>
      <c r="D1160" s="13"/>
      <c r="E1160" s="13"/>
      <c r="F1160" s="13"/>
      <c r="G1160" s="13"/>
      <c r="H1160" s="13"/>
      <c r="I1160" s="13"/>
      <c r="J1160" s="13"/>
    </row>
    <row r="1161" spans="1:10">
      <c r="A1161" s="1">
        <v>1455</v>
      </c>
      <c r="B1161" s="1">
        <v>165</v>
      </c>
      <c r="C1161" s="1">
        <v>300</v>
      </c>
      <c r="D1161" s="13"/>
      <c r="E1161" s="13"/>
      <c r="F1161" s="13"/>
      <c r="G1161" s="13"/>
      <c r="H1161" s="13"/>
      <c r="I1161" s="13"/>
      <c r="J1161" s="13"/>
    </row>
    <row r="1162" spans="1:10">
      <c r="A1162" s="1">
        <v>1456</v>
      </c>
      <c r="B1162" s="1">
        <v>165</v>
      </c>
      <c r="C1162" s="1">
        <v>300</v>
      </c>
      <c r="D1162" s="13"/>
      <c r="E1162" s="13"/>
      <c r="F1162" s="13"/>
      <c r="G1162" s="13"/>
      <c r="H1162" s="13"/>
      <c r="I1162" s="13"/>
      <c r="J1162" s="13"/>
    </row>
    <row r="1163" spans="1:10">
      <c r="A1163" s="1">
        <v>1457</v>
      </c>
      <c r="B1163" s="1">
        <v>165</v>
      </c>
      <c r="C1163" s="1">
        <v>300</v>
      </c>
      <c r="D1163" s="13"/>
      <c r="E1163" s="13"/>
      <c r="F1163" s="13"/>
      <c r="G1163" s="13"/>
      <c r="H1163" s="13"/>
      <c r="I1163" s="13"/>
      <c r="J1163" s="13"/>
    </row>
    <row r="1164" spans="1:10">
      <c r="A1164" s="1">
        <v>1458</v>
      </c>
      <c r="B1164" s="1">
        <v>165</v>
      </c>
      <c r="C1164" s="1">
        <v>300</v>
      </c>
      <c r="D1164" s="13"/>
      <c r="E1164" s="13"/>
      <c r="F1164" s="13"/>
      <c r="G1164" s="13"/>
      <c r="H1164" s="13"/>
      <c r="I1164" s="13"/>
      <c r="J1164" s="13"/>
    </row>
    <row r="1165" spans="1:10">
      <c r="A1165" s="1">
        <v>1459</v>
      </c>
      <c r="B1165" s="1">
        <v>165</v>
      </c>
      <c r="C1165" s="1">
        <v>200</v>
      </c>
      <c r="D1165" s="13"/>
      <c r="E1165" s="13"/>
      <c r="F1165" s="13"/>
      <c r="G1165" s="13"/>
      <c r="H1165" s="13"/>
      <c r="I1165" s="13"/>
      <c r="J1165" s="13"/>
    </row>
    <row r="1166" spans="1:10">
      <c r="A1166" s="1">
        <v>1461</v>
      </c>
      <c r="B1166" s="1">
        <v>166</v>
      </c>
      <c r="C1166" s="1">
        <v>75</v>
      </c>
      <c r="D1166" s="13"/>
      <c r="E1166" s="13"/>
      <c r="F1166" s="13"/>
      <c r="G1166" s="13"/>
      <c r="H1166" s="13"/>
      <c r="I1166" s="13"/>
      <c r="J1166" s="13"/>
    </row>
    <row r="1167" spans="1:10">
      <c r="A1167" s="1">
        <v>1462</v>
      </c>
      <c r="B1167" s="1">
        <v>167</v>
      </c>
      <c r="C1167" s="1">
        <v>300</v>
      </c>
      <c r="D1167" s="13"/>
      <c r="E1167" s="13"/>
      <c r="F1167" s="13"/>
      <c r="G1167" s="13"/>
      <c r="H1167" s="13"/>
      <c r="I1167" s="13"/>
      <c r="J1167" s="13"/>
    </row>
    <row r="1168" spans="1:10">
      <c r="A1168" s="1">
        <v>1463</v>
      </c>
      <c r="B1168" s="1">
        <v>167</v>
      </c>
      <c r="C1168" s="1">
        <v>300</v>
      </c>
      <c r="D1168" s="13"/>
      <c r="E1168" s="13"/>
      <c r="F1168" s="13"/>
      <c r="G1168" s="13"/>
      <c r="H1168" s="13"/>
      <c r="I1168" s="13"/>
      <c r="J1168" s="13"/>
    </row>
    <row r="1169" spans="1:10">
      <c r="A1169" s="1">
        <v>1464</v>
      </c>
      <c r="B1169" s="1">
        <v>167</v>
      </c>
      <c r="C1169" s="1">
        <v>300</v>
      </c>
      <c r="D1169" s="13"/>
      <c r="E1169" s="13"/>
      <c r="F1169" s="13"/>
      <c r="G1169" s="13"/>
      <c r="H1169" s="13"/>
      <c r="I1169" s="13"/>
      <c r="J1169" s="13"/>
    </row>
    <row r="1170" spans="1:10">
      <c r="A1170" s="1">
        <v>1465</v>
      </c>
      <c r="B1170" s="1">
        <v>167</v>
      </c>
      <c r="C1170" s="1">
        <v>300</v>
      </c>
      <c r="D1170" s="13"/>
      <c r="E1170" s="13"/>
      <c r="F1170" s="13"/>
      <c r="G1170" s="13"/>
      <c r="H1170" s="13"/>
      <c r="I1170" s="13"/>
      <c r="J1170" s="13"/>
    </row>
    <row r="1171" spans="1:10">
      <c r="A1171" s="1">
        <v>1466</v>
      </c>
      <c r="B1171" s="1">
        <v>167</v>
      </c>
      <c r="C1171" s="1">
        <v>300</v>
      </c>
      <c r="D1171" s="13"/>
      <c r="E1171" s="13"/>
      <c r="F1171" s="13"/>
      <c r="G1171" s="13"/>
      <c r="H1171" s="13"/>
      <c r="I1171" s="13"/>
      <c r="J1171" s="13"/>
    </row>
    <row r="1172" spans="1:10">
      <c r="A1172" s="1">
        <v>1467</v>
      </c>
      <c r="B1172" s="1">
        <v>168</v>
      </c>
      <c r="C1172" s="1">
        <v>300</v>
      </c>
      <c r="D1172" s="13"/>
      <c r="E1172" s="13"/>
      <c r="F1172" s="13"/>
      <c r="G1172" s="13"/>
      <c r="H1172" s="13"/>
      <c r="I1172" s="13"/>
      <c r="J1172" s="13"/>
    </row>
    <row r="1173" spans="1:10">
      <c r="A1173" s="1">
        <v>1468</v>
      </c>
      <c r="B1173" s="1">
        <v>168</v>
      </c>
      <c r="C1173" s="1">
        <v>300</v>
      </c>
      <c r="D1173" s="13"/>
      <c r="E1173" s="13"/>
      <c r="F1173" s="13"/>
      <c r="G1173" s="13"/>
      <c r="H1173" s="13"/>
      <c r="I1173" s="13"/>
      <c r="J1173" s="13"/>
    </row>
    <row r="1174" spans="1:10">
      <c r="A1174" s="1">
        <v>1469</v>
      </c>
      <c r="B1174" s="1">
        <v>168</v>
      </c>
      <c r="C1174" s="1">
        <v>300</v>
      </c>
      <c r="D1174" s="13"/>
      <c r="E1174" s="13"/>
      <c r="F1174" s="13"/>
      <c r="G1174" s="13"/>
      <c r="H1174" s="13"/>
      <c r="I1174" s="13"/>
      <c r="J1174" s="13"/>
    </row>
    <row r="1175" spans="1:10">
      <c r="A1175" s="1">
        <v>1470</v>
      </c>
      <c r="B1175" s="1">
        <v>168</v>
      </c>
      <c r="C1175" s="1">
        <v>300</v>
      </c>
      <c r="D1175" s="13"/>
      <c r="E1175" s="13"/>
      <c r="F1175" s="13"/>
      <c r="G1175" s="13"/>
      <c r="H1175" s="13"/>
      <c r="I1175" s="13"/>
      <c r="J1175" s="13"/>
    </row>
    <row r="1176" spans="1:10">
      <c r="A1176" s="1">
        <v>1471</v>
      </c>
      <c r="B1176" s="1">
        <v>168</v>
      </c>
      <c r="C1176" s="1">
        <v>300</v>
      </c>
      <c r="D1176" s="13"/>
      <c r="E1176" s="13"/>
      <c r="F1176" s="13"/>
      <c r="G1176" s="13"/>
      <c r="H1176" s="13"/>
      <c r="I1176" s="13"/>
      <c r="J1176" s="13"/>
    </row>
    <row r="1177" spans="1:10">
      <c r="A1177" s="1">
        <v>1472</v>
      </c>
      <c r="B1177" s="1">
        <v>168</v>
      </c>
      <c r="C1177" s="1">
        <v>300</v>
      </c>
      <c r="D1177" s="13"/>
      <c r="E1177" s="13"/>
      <c r="F1177" s="13"/>
      <c r="G1177" s="13"/>
      <c r="H1177" s="13"/>
      <c r="I1177" s="13"/>
      <c r="J1177" s="13"/>
    </row>
    <row r="1178" spans="1:10">
      <c r="A1178" s="1">
        <v>1473</v>
      </c>
      <c r="B1178" s="1">
        <v>168</v>
      </c>
      <c r="C1178" s="1">
        <v>300</v>
      </c>
      <c r="D1178" s="13"/>
      <c r="E1178" s="13"/>
      <c r="F1178" s="13"/>
      <c r="G1178" s="13"/>
      <c r="H1178" s="13"/>
      <c r="I1178" s="13"/>
      <c r="J1178" s="13"/>
    </row>
    <row r="1179" spans="1:10">
      <c r="A1179" s="1">
        <v>1474</v>
      </c>
      <c r="B1179" s="1">
        <v>168</v>
      </c>
      <c r="C1179" s="1">
        <v>300</v>
      </c>
      <c r="D1179" s="13"/>
      <c r="E1179" s="13"/>
      <c r="F1179" s="13"/>
      <c r="G1179" s="13"/>
      <c r="H1179" s="13"/>
      <c r="I1179" s="13"/>
      <c r="J1179" s="13"/>
    </row>
    <row r="1180" spans="1:10">
      <c r="A1180" s="1">
        <v>1475</v>
      </c>
      <c r="B1180" s="1">
        <v>168</v>
      </c>
      <c r="C1180" s="1">
        <v>300</v>
      </c>
      <c r="D1180" s="13"/>
      <c r="E1180" s="13"/>
      <c r="F1180" s="13"/>
      <c r="G1180" s="13"/>
      <c r="H1180" s="13"/>
      <c r="I1180" s="13"/>
      <c r="J1180" s="13"/>
    </row>
    <row r="1181" spans="1:10">
      <c r="A1181" s="1">
        <v>1476</v>
      </c>
      <c r="B1181" s="1">
        <v>168</v>
      </c>
      <c r="C1181" s="1">
        <v>300</v>
      </c>
      <c r="D1181" s="13"/>
      <c r="E1181" s="13"/>
      <c r="F1181" s="13"/>
      <c r="G1181" s="13"/>
      <c r="H1181" s="13"/>
      <c r="I1181" s="13"/>
      <c r="J1181" s="13"/>
    </row>
    <row r="1182" spans="1:10">
      <c r="A1182" s="1">
        <v>1477</v>
      </c>
      <c r="B1182" s="1">
        <v>169</v>
      </c>
      <c r="C1182" s="1">
        <v>300</v>
      </c>
      <c r="D1182" s="13"/>
      <c r="E1182" s="13"/>
      <c r="F1182" s="13"/>
      <c r="G1182" s="13"/>
      <c r="H1182" s="13"/>
      <c r="I1182" s="13"/>
      <c r="J1182" s="13"/>
    </row>
    <row r="1183" spans="1:10">
      <c r="A1183" s="1">
        <v>1478</v>
      </c>
      <c r="B1183" s="1">
        <v>169</v>
      </c>
      <c r="C1183" s="1">
        <v>300</v>
      </c>
      <c r="D1183" s="13"/>
      <c r="E1183" s="13"/>
      <c r="F1183" s="13"/>
      <c r="G1183" s="13"/>
      <c r="H1183" s="13"/>
      <c r="I1183" s="13"/>
      <c r="J1183" s="13"/>
    </row>
    <row r="1184" spans="1:10">
      <c r="A1184" s="1">
        <v>1479</v>
      </c>
      <c r="B1184" s="1">
        <v>169</v>
      </c>
      <c r="C1184" s="1">
        <v>300</v>
      </c>
      <c r="D1184" s="13"/>
      <c r="E1184" s="13"/>
      <c r="F1184" s="13"/>
      <c r="G1184" s="13"/>
      <c r="H1184" s="13"/>
      <c r="I1184" s="13"/>
      <c r="J1184" s="13"/>
    </row>
    <row r="1185" spans="1:10">
      <c r="A1185" s="1">
        <v>1480</v>
      </c>
      <c r="B1185" s="1">
        <v>169</v>
      </c>
      <c r="C1185" s="1">
        <v>300</v>
      </c>
      <c r="D1185" s="13"/>
      <c r="E1185" s="13"/>
      <c r="F1185" s="13"/>
      <c r="G1185" s="13"/>
      <c r="H1185" s="13"/>
      <c r="I1185" s="13"/>
      <c r="J1185" s="13"/>
    </row>
    <row r="1186" spans="1:10">
      <c r="A1186" s="1">
        <v>1481</v>
      </c>
      <c r="B1186" s="1">
        <v>169</v>
      </c>
      <c r="C1186" s="1">
        <v>300</v>
      </c>
      <c r="D1186" s="13"/>
      <c r="E1186" s="13"/>
      <c r="F1186" s="13"/>
      <c r="G1186" s="13"/>
      <c r="H1186" s="13"/>
      <c r="I1186" s="13"/>
      <c r="J1186" s="13"/>
    </row>
    <row r="1187" spans="1:10">
      <c r="A1187" s="1">
        <v>1482</v>
      </c>
      <c r="B1187" s="1">
        <v>169</v>
      </c>
      <c r="C1187" s="1">
        <v>300</v>
      </c>
      <c r="D1187" s="13"/>
      <c r="E1187" s="13"/>
      <c r="F1187" s="13"/>
      <c r="G1187" s="13"/>
      <c r="H1187" s="13"/>
      <c r="I1187" s="13"/>
      <c r="J1187" s="13"/>
    </row>
    <row r="1188" spans="1:10">
      <c r="A1188" s="1">
        <v>1483</v>
      </c>
      <c r="B1188" s="1">
        <v>169</v>
      </c>
      <c r="C1188" s="1">
        <v>300</v>
      </c>
      <c r="D1188" s="13"/>
      <c r="E1188" s="13"/>
      <c r="F1188" s="13"/>
      <c r="G1188" s="13"/>
      <c r="H1188" s="13"/>
      <c r="I1188" s="13"/>
      <c r="J1188" s="13"/>
    </row>
    <row r="1189" spans="1:10">
      <c r="A1189" s="1">
        <v>1484</v>
      </c>
      <c r="B1189" s="1">
        <v>169</v>
      </c>
      <c r="C1189" s="1">
        <v>300</v>
      </c>
      <c r="D1189" s="13"/>
      <c r="E1189" s="13"/>
      <c r="F1189" s="13"/>
      <c r="G1189" s="13"/>
      <c r="H1189" s="13"/>
      <c r="I1189" s="13"/>
      <c r="J1189" s="13"/>
    </row>
    <row r="1190" spans="1:10">
      <c r="A1190" s="1">
        <v>1485</v>
      </c>
      <c r="B1190" s="1">
        <v>169</v>
      </c>
      <c r="C1190" s="1">
        <v>300</v>
      </c>
      <c r="D1190" s="13"/>
      <c r="E1190" s="13"/>
      <c r="F1190" s="13"/>
      <c r="G1190" s="13"/>
      <c r="H1190" s="13"/>
      <c r="I1190" s="13"/>
      <c r="J1190" s="13"/>
    </row>
    <row r="1191" spans="1:10">
      <c r="A1191" s="1">
        <v>1486</v>
      </c>
      <c r="B1191" s="1">
        <v>169</v>
      </c>
      <c r="C1191" s="1">
        <v>300</v>
      </c>
      <c r="D1191" s="13"/>
      <c r="E1191" s="13"/>
      <c r="F1191" s="13"/>
      <c r="G1191" s="13"/>
      <c r="H1191" s="13"/>
      <c r="I1191" s="13"/>
      <c r="J1191" s="13"/>
    </row>
    <row r="1192" spans="1:10">
      <c r="A1192" s="1">
        <v>1487</v>
      </c>
      <c r="B1192" s="1">
        <v>170</v>
      </c>
      <c r="C1192" s="1">
        <v>300</v>
      </c>
      <c r="D1192" s="13"/>
      <c r="E1192" s="13"/>
      <c r="F1192" s="13"/>
      <c r="G1192" s="13"/>
      <c r="H1192" s="13"/>
      <c r="I1192" s="13"/>
      <c r="J1192" s="13"/>
    </row>
    <row r="1193" spans="1:10">
      <c r="A1193" s="1">
        <v>1488</v>
      </c>
      <c r="B1193" s="1">
        <v>170</v>
      </c>
      <c r="C1193" s="1">
        <v>300</v>
      </c>
      <c r="D1193" s="13"/>
      <c r="E1193" s="13"/>
      <c r="F1193" s="13"/>
      <c r="G1193" s="13"/>
      <c r="H1193" s="13"/>
      <c r="I1193" s="13"/>
      <c r="J1193" s="13"/>
    </row>
    <row r="1194" spans="1:10">
      <c r="A1194" s="1">
        <v>1489</v>
      </c>
      <c r="B1194" s="1">
        <v>170</v>
      </c>
      <c r="C1194" s="1">
        <v>300</v>
      </c>
      <c r="D1194" s="13"/>
      <c r="E1194" s="13"/>
      <c r="F1194" s="13"/>
      <c r="G1194" s="13"/>
      <c r="H1194" s="13"/>
      <c r="I1194" s="13"/>
      <c r="J1194" s="13"/>
    </row>
    <row r="1195" spans="1:10">
      <c r="A1195" s="1">
        <v>1490</v>
      </c>
      <c r="B1195" s="1">
        <v>170</v>
      </c>
      <c r="C1195" s="1">
        <v>300</v>
      </c>
      <c r="D1195" s="13"/>
      <c r="E1195" s="13"/>
      <c r="F1195" s="13"/>
      <c r="G1195" s="13"/>
      <c r="H1195" s="13"/>
      <c r="I1195" s="13"/>
      <c r="J1195" s="13"/>
    </row>
    <row r="1196" spans="1:10">
      <c r="A1196" s="1">
        <v>1491</v>
      </c>
      <c r="B1196" s="1">
        <v>170</v>
      </c>
      <c r="C1196" s="1">
        <v>300</v>
      </c>
      <c r="D1196" s="13"/>
      <c r="E1196" s="13"/>
      <c r="F1196" s="13"/>
      <c r="G1196" s="13"/>
      <c r="H1196" s="13"/>
      <c r="I1196" s="13"/>
      <c r="J1196" s="13"/>
    </row>
    <row r="1197" spans="1:10">
      <c r="A1197" s="1">
        <v>1492</v>
      </c>
      <c r="B1197" s="1">
        <v>170</v>
      </c>
      <c r="C1197" s="1">
        <v>300</v>
      </c>
      <c r="D1197" s="13"/>
      <c r="E1197" s="13"/>
      <c r="F1197" s="13"/>
      <c r="G1197" s="13"/>
      <c r="H1197" s="13"/>
      <c r="I1197" s="13"/>
      <c r="J1197" s="13"/>
    </row>
    <row r="1198" spans="1:10">
      <c r="A1198" s="1">
        <v>1493</v>
      </c>
      <c r="B1198" s="1">
        <v>170</v>
      </c>
      <c r="C1198" s="1">
        <v>300</v>
      </c>
      <c r="D1198" s="13"/>
      <c r="E1198" s="13"/>
      <c r="F1198" s="13"/>
      <c r="G1198" s="13"/>
      <c r="H1198" s="13"/>
      <c r="I1198" s="13"/>
      <c r="J1198" s="13"/>
    </row>
    <row r="1199" spans="1:10">
      <c r="A1199" s="1">
        <v>1494</v>
      </c>
      <c r="B1199" s="1">
        <v>170</v>
      </c>
      <c r="C1199" s="1">
        <v>300</v>
      </c>
      <c r="D1199" s="13"/>
      <c r="E1199" s="13"/>
      <c r="F1199" s="13"/>
      <c r="G1199" s="13"/>
      <c r="H1199" s="13"/>
      <c r="I1199" s="13"/>
      <c r="J1199" s="13"/>
    </row>
    <row r="1200" spans="1:10">
      <c r="A1200" s="1">
        <v>1495</v>
      </c>
      <c r="B1200" s="1">
        <v>170</v>
      </c>
      <c r="C1200" s="1">
        <v>300</v>
      </c>
      <c r="D1200" s="13"/>
      <c r="E1200" s="13"/>
      <c r="F1200" s="13"/>
      <c r="G1200" s="13"/>
      <c r="H1200" s="13"/>
      <c r="I1200" s="13"/>
      <c r="J1200" s="13"/>
    </row>
    <row r="1201" spans="1:10">
      <c r="A1201" s="1">
        <v>1496</v>
      </c>
      <c r="B1201" s="1">
        <v>170</v>
      </c>
      <c r="C1201" s="1">
        <v>300</v>
      </c>
      <c r="D1201" s="13"/>
      <c r="E1201" s="13"/>
      <c r="F1201" s="13"/>
      <c r="G1201" s="13"/>
      <c r="H1201" s="13"/>
      <c r="I1201" s="13"/>
      <c r="J1201" s="13"/>
    </row>
    <row r="1202" spans="1:10">
      <c r="A1202" s="1">
        <v>1497</v>
      </c>
      <c r="B1202" s="1">
        <v>171</v>
      </c>
      <c r="C1202" s="1">
        <v>300</v>
      </c>
      <c r="D1202" s="13"/>
      <c r="E1202" s="13"/>
      <c r="F1202" s="13"/>
      <c r="G1202" s="13"/>
      <c r="H1202" s="13"/>
      <c r="I1202" s="13"/>
      <c r="J1202" s="13"/>
    </row>
    <row r="1203" spans="1:10">
      <c r="A1203" s="1">
        <v>1498</v>
      </c>
      <c r="B1203" s="1">
        <v>171</v>
      </c>
      <c r="C1203" s="1">
        <v>300</v>
      </c>
      <c r="D1203" s="13"/>
      <c r="E1203" s="13"/>
      <c r="F1203" s="13"/>
      <c r="G1203" s="13"/>
      <c r="H1203" s="13"/>
      <c r="I1203" s="13"/>
      <c r="J1203" s="13"/>
    </row>
    <row r="1204" spans="1:10">
      <c r="A1204" s="1">
        <v>1499</v>
      </c>
      <c r="B1204" s="1">
        <v>171</v>
      </c>
      <c r="C1204" s="1">
        <v>300</v>
      </c>
      <c r="D1204" s="13"/>
      <c r="E1204" s="13"/>
      <c r="F1204" s="13"/>
      <c r="G1204" s="13"/>
      <c r="H1204" s="13"/>
      <c r="I1204" s="13"/>
      <c r="J1204" s="13"/>
    </row>
    <row r="1205" spans="1:10">
      <c r="A1205" s="1">
        <v>1500</v>
      </c>
      <c r="B1205" s="1">
        <v>171</v>
      </c>
      <c r="C1205" s="1">
        <v>300</v>
      </c>
      <c r="D1205" s="13"/>
      <c r="E1205" s="13"/>
      <c r="F1205" s="13"/>
      <c r="G1205" s="13"/>
      <c r="H1205" s="13"/>
      <c r="I1205" s="13"/>
      <c r="J1205" s="13"/>
    </row>
    <row r="1206" spans="1:10">
      <c r="A1206" s="1">
        <v>1501</v>
      </c>
      <c r="B1206" s="1">
        <v>171</v>
      </c>
      <c r="C1206" s="1">
        <v>300</v>
      </c>
      <c r="D1206" s="13"/>
      <c r="E1206" s="13"/>
      <c r="F1206" s="13"/>
      <c r="G1206" s="13"/>
      <c r="H1206" s="13"/>
      <c r="I1206" s="13"/>
      <c r="J1206" s="13"/>
    </row>
    <row r="1207" spans="1:10">
      <c r="A1207" s="1">
        <v>1502</v>
      </c>
      <c r="B1207" s="1">
        <v>171</v>
      </c>
      <c r="C1207" s="1">
        <v>300</v>
      </c>
      <c r="D1207" s="13"/>
      <c r="E1207" s="13"/>
      <c r="F1207" s="13"/>
      <c r="G1207" s="13"/>
      <c r="H1207" s="13"/>
      <c r="I1207" s="13"/>
      <c r="J1207" s="13"/>
    </row>
    <row r="1208" spans="1:10">
      <c r="A1208" s="1">
        <v>1503</v>
      </c>
      <c r="B1208" s="1">
        <v>171</v>
      </c>
      <c r="C1208" s="1">
        <v>300</v>
      </c>
      <c r="D1208" s="13"/>
      <c r="E1208" s="13"/>
      <c r="F1208" s="13"/>
      <c r="G1208" s="13"/>
      <c r="H1208" s="13"/>
      <c r="I1208" s="13"/>
      <c r="J1208" s="13"/>
    </row>
    <row r="1209" spans="1:10">
      <c r="A1209" s="1">
        <v>1504</v>
      </c>
      <c r="B1209" s="1">
        <v>171</v>
      </c>
      <c r="C1209" s="1">
        <v>300</v>
      </c>
      <c r="D1209" s="13"/>
      <c r="E1209" s="13"/>
      <c r="F1209" s="13"/>
      <c r="G1209" s="13"/>
      <c r="H1209" s="13"/>
      <c r="I1209" s="13"/>
      <c r="J1209" s="13"/>
    </row>
    <row r="1210" spans="1:10">
      <c r="A1210" s="1">
        <v>1505</v>
      </c>
      <c r="B1210" s="1">
        <v>171</v>
      </c>
      <c r="C1210" s="1">
        <v>300</v>
      </c>
      <c r="D1210" s="13"/>
      <c r="E1210" s="13"/>
      <c r="F1210" s="13"/>
      <c r="G1210" s="13"/>
      <c r="H1210" s="13"/>
      <c r="I1210" s="13"/>
      <c r="J1210" s="13"/>
    </row>
    <row r="1211" spans="1:10">
      <c r="A1211" s="1">
        <v>1506</v>
      </c>
      <c r="B1211" s="1">
        <v>171</v>
      </c>
      <c r="C1211" s="1">
        <v>300</v>
      </c>
      <c r="D1211" s="13"/>
      <c r="E1211" s="13"/>
      <c r="F1211" s="13"/>
      <c r="G1211" s="13"/>
      <c r="H1211" s="13"/>
      <c r="I1211" s="13"/>
      <c r="J1211" s="13"/>
    </row>
    <row r="1212" spans="1:10">
      <c r="A1212" s="1">
        <v>1507</v>
      </c>
      <c r="B1212" s="1">
        <v>172</v>
      </c>
      <c r="C1212" s="1">
        <v>300</v>
      </c>
      <c r="D1212" s="13"/>
      <c r="E1212" s="13"/>
      <c r="F1212" s="13"/>
      <c r="G1212" s="13"/>
      <c r="H1212" s="13"/>
      <c r="I1212" s="13"/>
      <c r="J1212" s="13"/>
    </row>
    <row r="1213" spans="1:10">
      <c r="A1213" s="1">
        <v>1508</v>
      </c>
      <c r="B1213" s="1">
        <v>172</v>
      </c>
      <c r="C1213" s="1">
        <v>300</v>
      </c>
      <c r="D1213" s="13"/>
      <c r="E1213" s="13"/>
      <c r="F1213" s="13"/>
      <c r="G1213" s="13"/>
      <c r="H1213" s="13"/>
      <c r="I1213" s="13"/>
      <c r="J1213" s="13"/>
    </row>
    <row r="1214" spans="1:10">
      <c r="A1214" s="1">
        <v>1509</v>
      </c>
      <c r="B1214" s="1">
        <v>172</v>
      </c>
      <c r="C1214" s="1">
        <v>300</v>
      </c>
      <c r="D1214" s="13"/>
      <c r="E1214" s="13"/>
      <c r="F1214" s="13"/>
      <c r="G1214" s="13"/>
      <c r="H1214" s="13"/>
      <c r="I1214" s="13"/>
      <c r="J1214" s="13"/>
    </row>
    <row r="1215" spans="1:10">
      <c r="A1215" s="1">
        <v>1510</v>
      </c>
      <c r="B1215" s="1">
        <v>172</v>
      </c>
      <c r="C1215" s="1">
        <v>300</v>
      </c>
      <c r="D1215" s="13"/>
      <c r="E1215" s="13"/>
      <c r="F1215" s="13"/>
      <c r="G1215" s="13"/>
      <c r="H1215" s="13"/>
      <c r="I1215" s="13"/>
      <c r="J1215" s="13"/>
    </row>
    <row r="1216" spans="1:10">
      <c r="A1216" s="1">
        <v>1511</v>
      </c>
      <c r="B1216" s="1">
        <v>172</v>
      </c>
      <c r="C1216" s="1">
        <v>300</v>
      </c>
      <c r="D1216" s="13"/>
      <c r="E1216" s="13"/>
      <c r="F1216" s="13"/>
      <c r="G1216" s="13"/>
      <c r="H1216" s="13"/>
      <c r="I1216" s="13"/>
      <c r="J1216" s="13"/>
    </row>
    <row r="1217" spans="1:10">
      <c r="A1217" s="1">
        <v>1512</v>
      </c>
      <c r="B1217" s="1">
        <v>172</v>
      </c>
      <c r="C1217" s="1">
        <v>300</v>
      </c>
      <c r="D1217" s="13"/>
      <c r="E1217" s="13"/>
      <c r="F1217" s="13"/>
      <c r="G1217" s="13"/>
      <c r="H1217" s="13"/>
      <c r="I1217" s="13"/>
      <c r="J1217" s="13"/>
    </row>
    <row r="1218" spans="1:10">
      <c r="A1218" s="1">
        <v>1513</v>
      </c>
      <c r="B1218" s="1">
        <v>173</v>
      </c>
      <c r="C1218" s="1">
        <v>300</v>
      </c>
      <c r="D1218" s="13"/>
      <c r="E1218" s="13"/>
      <c r="F1218" s="13"/>
      <c r="G1218" s="13"/>
      <c r="H1218" s="13"/>
      <c r="I1218" s="13"/>
      <c r="J1218" s="13"/>
    </row>
    <row r="1219" spans="1:10">
      <c r="A1219" s="1">
        <v>1514</v>
      </c>
      <c r="B1219" s="1">
        <v>173</v>
      </c>
      <c r="C1219" s="1">
        <v>300</v>
      </c>
      <c r="D1219" s="13"/>
      <c r="E1219" s="13"/>
      <c r="F1219" s="13"/>
      <c r="G1219" s="13"/>
      <c r="H1219" s="13"/>
      <c r="I1219" s="13"/>
      <c r="J1219" s="13"/>
    </row>
    <row r="1220" spans="1:10">
      <c r="A1220" s="1">
        <v>1515</v>
      </c>
      <c r="B1220" s="1">
        <v>173</v>
      </c>
      <c r="C1220" s="1">
        <v>300</v>
      </c>
      <c r="D1220" s="13"/>
      <c r="E1220" s="13"/>
      <c r="F1220" s="13"/>
      <c r="G1220" s="13"/>
      <c r="H1220" s="13"/>
      <c r="I1220" s="13"/>
      <c r="J1220" s="13"/>
    </row>
    <row r="1221" spans="1:10">
      <c r="A1221" s="1">
        <v>1516</v>
      </c>
      <c r="B1221" s="1">
        <v>173</v>
      </c>
      <c r="C1221" s="1">
        <v>300</v>
      </c>
      <c r="D1221" s="13"/>
      <c r="E1221" s="13"/>
      <c r="F1221" s="13"/>
      <c r="G1221" s="13"/>
      <c r="H1221" s="13"/>
      <c r="I1221" s="13"/>
      <c r="J1221" s="13"/>
    </row>
    <row r="1222" spans="1:10">
      <c r="A1222" s="1">
        <v>1517</v>
      </c>
      <c r="B1222" s="1">
        <v>173</v>
      </c>
      <c r="C1222" s="1">
        <v>300</v>
      </c>
      <c r="D1222" s="13"/>
      <c r="E1222" s="13"/>
      <c r="F1222" s="13"/>
      <c r="G1222" s="13"/>
      <c r="H1222" s="13"/>
      <c r="I1222" s="13"/>
      <c r="J1222" s="13"/>
    </row>
    <row r="1223" spans="1:10">
      <c r="A1223" s="1">
        <v>1518</v>
      </c>
      <c r="B1223" s="1">
        <v>173</v>
      </c>
      <c r="C1223" s="1">
        <v>300</v>
      </c>
      <c r="D1223" s="13"/>
      <c r="E1223" s="13"/>
      <c r="F1223" s="13"/>
      <c r="G1223" s="13"/>
      <c r="H1223" s="13"/>
      <c r="I1223" s="13"/>
      <c r="J1223" s="13"/>
    </row>
    <row r="1224" spans="1:10">
      <c r="A1224" s="1">
        <v>1519</v>
      </c>
      <c r="B1224" s="1">
        <v>173</v>
      </c>
      <c r="C1224" s="1">
        <v>300</v>
      </c>
      <c r="D1224" s="13"/>
      <c r="E1224" s="13"/>
      <c r="F1224" s="13"/>
      <c r="G1224" s="13"/>
      <c r="H1224" s="13"/>
      <c r="I1224" s="13"/>
      <c r="J1224" s="13"/>
    </row>
    <row r="1225" spans="1:10">
      <c r="A1225" s="1">
        <v>1520</v>
      </c>
      <c r="B1225" s="1">
        <v>173</v>
      </c>
      <c r="C1225" s="1">
        <v>300</v>
      </c>
      <c r="D1225" s="13"/>
      <c r="E1225" s="13"/>
      <c r="F1225" s="13"/>
      <c r="G1225" s="13"/>
      <c r="H1225" s="13"/>
      <c r="I1225" s="13"/>
      <c r="J1225" s="13"/>
    </row>
    <row r="1226" spans="1:10">
      <c r="A1226" s="1">
        <v>1521</v>
      </c>
      <c r="B1226" s="1">
        <v>173</v>
      </c>
      <c r="C1226" s="1">
        <v>300</v>
      </c>
      <c r="D1226" s="13"/>
      <c r="E1226" s="13"/>
      <c r="F1226" s="13"/>
      <c r="G1226" s="13"/>
      <c r="H1226" s="13"/>
      <c r="I1226" s="13"/>
      <c r="J1226" s="13"/>
    </row>
    <row r="1227" spans="1:10">
      <c r="A1227" s="1">
        <v>1522</v>
      </c>
      <c r="B1227" s="1">
        <v>173</v>
      </c>
      <c r="C1227" s="1">
        <v>300</v>
      </c>
      <c r="D1227" s="13"/>
      <c r="E1227" s="13"/>
      <c r="F1227" s="13"/>
      <c r="G1227" s="13"/>
      <c r="H1227" s="13"/>
      <c r="I1227" s="13"/>
      <c r="J1227" s="13"/>
    </row>
    <row r="1228" spans="1:10">
      <c r="A1228" s="1">
        <v>1523</v>
      </c>
      <c r="B1228" s="1">
        <v>175</v>
      </c>
      <c r="C1228" s="1">
        <v>300</v>
      </c>
      <c r="D1228" s="13"/>
      <c r="E1228" s="13"/>
      <c r="F1228" s="13"/>
      <c r="G1228" s="13"/>
      <c r="H1228" s="13"/>
      <c r="I1228" s="13"/>
      <c r="J1228" s="13"/>
    </row>
    <row r="1229" spans="1:10">
      <c r="A1229" s="1">
        <v>1524</v>
      </c>
      <c r="B1229" s="1">
        <v>175</v>
      </c>
      <c r="C1229" s="1">
        <v>300</v>
      </c>
      <c r="D1229" s="13"/>
      <c r="E1229" s="13"/>
      <c r="F1229" s="13"/>
      <c r="G1229" s="13"/>
      <c r="H1229" s="13"/>
      <c r="I1229" s="13"/>
      <c r="J1229" s="13"/>
    </row>
    <row r="1230" spans="1:10">
      <c r="A1230" s="1">
        <v>1525</v>
      </c>
      <c r="B1230" s="1">
        <v>175</v>
      </c>
      <c r="C1230" s="1">
        <v>300</v>
      </c>
      <c r="D1230" s="13"/>
      <c r="E1230" s="13"/>
      <c r="F1230" s="13"/>
      <c r="G1230" s="13"/>
      <c r="H1230" s="13"/>
      <c r="I1230" s="13"/>
      <c r="J1230" s="13"/>
    </row>
    <row r="1231" spans="1:10">
      <c r="A1231" s="1">
        <v>1526</v>
      </c>
      <c r="B1231" s="1">
        <v>175</v>
      </c>
      <c r="C1231" s="1">
        <v>300</v>
      </c>
      <c r="D1231" s="13"/>
      <c r="E1231" s="13"/>
      <c r="F1231" s="13"/>
      <c r="G1231" s="13"/>
      <c r="H1231" s="13"/>
      <c r="I1231" s="13"/>
      <c r="J1231" s="13"/>
    </row>
    <row r="1232" spans="1:10">
      <c r="A1232" s="1">
        <v>1527</v>
      </c>
      <c r="B1232" s="1">
        <v>175</v>
      </c>
      <c r="C1232" s="1">
        <v>300</v>
      </c>
      <c r="D1232" s="13"/>
      <c r="E1232" s="13"/>
      <c r="F1232" s="13"/>
      <c r="G1232" s="13"/>
      <c r="H1232" s="13"/>
      <c r="I1232" s="13"/>
      <c r="J1232" s="13"/>
    </row>
    <row r="1233" spans="1:10">
      <c r="A1233" s="1">
        <v>1528</v>
      </c>
      <c r="B1233" s="1">
        <v>175</v>
      </c>
      <c r="C1233" s="1">
        <v>300</v>
      </c>
      <c r="D1233" s="13"/>
      <c r="E1233" s="13"/>
      <c r="F1233" s="13"/>
      <c r="G1233" s="13"/>
      <c r="H1233" s="13"/>
      <c r="I1233" s="13"/>
      <c r="J1233" s="13"/>
    </row>
    <row r="1234" spans="1:10">
      <c r="A1234" s="1">
        <v>1529</v>
      </c>
      <c r="B1234" s="1">
        <v>175</v>
      </c>
      <c r="C1234" s="1">
        <v>50</v>
      </c>
      <c r="D1234" s="13"/>
      <c r="E1234" s="13"/>
      <c r="F1234" s="13"/>
      <c r="G1234" s="13"/>
      <c r="H1234" s="13"/>
      <c r="I1234" s="13"/>
      <c r="J1234" s="13"/>
    </row>
    <row r="1235" spans="1:10">
      <c r="A1235" s="1">
        <v>1530</v>
      </c>
      <c r="B1235" s="1">
        <v>176</v>
      </c>
      <c r="C1235" s="1">
        <v>300</v>
      </c>
      <c r="D1235" s="13"/>
      <c r="E1235" s="13"/>
      <c r="F1235" s="13"/>
      <c r="G1235" s="13"/>
      <c r="H1235" s="13"/>
      <c r="I1235" s="13"/>
      <c r="J1235" s="13"/>
    </row>
    <row r="1236" spans="1:10">
      <c r="A1236" s="1">
        <v>1531</v>
      </c>
      <c r="B1236" s="1">
        <v>176</v>
      </c>
      <c r="C1236" s="1">
        <v>300</v>
      </c>
      <c r="D1236" s="13"/>
      <c r="E1236" s="13"/>
      <c r="F1236" s="13"/>
      <c r="G1236" s="13"/>
      <c r="H1236" s="13"/>
      <c r="I1236" s="13"/>
      <c r="J1236" s="13"/>
    </row>
    <row r="1237" spans="1:10">
      <c r="A1237" s="1">
        <v>1532</v>
      </c>
      <c r="B1237" s="1">
        <v>176</v>
      </c>
      <c r="C1237" s="1">
        <v>300</v>
      </c>
      <c r="D1237" s="13"/>
      <c r="E1237" s="13"/>
      <c r="F1237" s="13"/>
      <c r="G1237" s="13"/>
      <c r="H1237" s="13"/>
      <c r="I1237" s="13"/>
      <c r="J1237" s="13"/>
    </row>
    <row r="1238" spans="1:10">
      <c r="A1238" s="1">
        <v>1533</v>
      </c>
      <c r="B1238" s="1">
        <v>176</v>
      </c>
      <c r="C1238" s="1">
        <v>300</v>
      </c>
      <c r="D1238" s="13"/>
      <c r="E1238" s="13"/>
      <c r="F1238" s="13"/>
      <c r="G1238" s="13"/>
      <c r="H1238" s="13"/>
      <c r="I1238" s="13"/>
      <c r="J1238" s="13"/>
    </row>
    <row r="1239" spans="1:10">
      <c r="A1239" s="1">
        <v>1534</v>
      </c>
      <c r="B1239" s="1">
        <v>176</v>
      </c>
      <c r="C1239" s="1">
        <v>300</v>
      </c>
      <c r="D1239" s="13"/>
      <c r="E1239" s="13"/>
      <c r="F1239" s="13"/>
      <c r="G1239" s="13"/>
      <c r="H1239" s="13"/>
      <c r="I1239" s="13"/>
      <c r="J1239" s="13"/>
    </row>
    <row r="1240" spans="1:10">
      <c r="A1240" s="1">
        <v>1535</v>
      </c>
      <c r="B1240" s="1">
        <v>176</v>
      </c>
      <c r="C1240" s="1">
        <v>300</v>
      </c>
      <c r="D1240" s="13"/>
      <c r="E1240" s="13"/>
      <c r="F1240" s="13"/>
      <c r="G1240" s="13"/>
      <c r="H1240" s="13"/>
      <c r="I1240" s="13"/>
      <c r="J1240" s="13"/>
    </row>
    <row r="1241" spans="1:10">
      <c r="A1241" s="1">
        <v>1536</v>
      </c>
      <c r="B1241" s="1">
        <v>176</v>
      </c>
      <c r="C1241" s="1">
        <v>300</v>
      </c>
      <c r="D1241" s="13"/>
      <c r="E1241" s="13"/>
      <c r="F1241" s="13"/>
      <c r="G1241" s="13"/>
      <c r="H1241" s="13"/>
      <c r="I1241" s="13"/>
      <c r="J1241" s="13"/>
    </row>
    <row r="1242" spans="1:10">
      <c r="A1242" s="1">
        <v>1537</v>
      </c>
      <c r="B1242" s="1">
        <v>176</v>
      </c>
      <c r="C1242" s="1">
        <v>300</v>
      </c>
      <c r="D1242" s="13"/>
      <c r="E1242" s="13"/>
      <c r="F1242" s="13"/>
      <c r="G1242" s="13"/>
      <c r="H1242" s="13"/>
      <c r="I1242" s="13"/>
      <c r="J1242" s="13"/>
    </row>
    <row r="1243" spans="1:10">
      <c r="A1243" s="1">
        <v>1538</v>
      </c>
      <c r="B1243" s="1">
        <v>176</v>
      </c>
      <c r="C1243" s="1">
        <v>300</v>
      </c>
      <c r="D1243" s="13"/>
      <c r="E1243" s="13"/>
      <c r="F1243" s="13"/>
      <c r="G1243" s="13"/>
      <c r="H1243" s="13"/>
      <c r="I1243" s="13"/>
      <c r="J1243" s="13"/>
    </row>
    <row r="1244" spans="1:10">
      <c r="A1244" s="1">
        <v>1539</v>
      </c>
      <c r="B1244" s="1">
        <v>176</v>
      </c>
      <c r="C1244" s="1">
        <v>300</v>
      </c>
      <c r="D1244" s="13"/>
      <c r="E1244" s="13"/>
      <c r="F1244" s="13"/>
      <c r="G1244" s="13"/>
      <c r="H1244" s="13"/>
      <c r="I1244" s="13"/>
      <c r="J1244" s="13"/>
    </row>
    <row r="1245" spans="1:10">
      <c r="A1245" s="1">
        <v>1540</v>
      </c>
      <c r="B1245" s="1">
        <v>177</v>
      </c>
      <c r="C1245" s="1">
        <v>300</v>
      </c>
      <c r="D1245" s="13"/>
      <c r="E1245" s="13"/>
      <c r="F1245" s="13"/>
      <c r="G1245" s="13"/>
      <c r="H1245" s="13"/>
      <c r="I1245" s="13"/>
      <c r="J1245" s="13"/>
    </row>
    <row r="1246" spans="1:10">
      <c r="A1246" s="1">
        <v>1541</v>
      </c>
      <c r="B1246" s="1">
        <v>177</v>
      </c>
      <c r="C1246" s="1">
        <v>300</v>
      </c>
      <c r="D1246" s="13"/>
      <c r="E1246" s="13"/>
      <c r="F1246" s="13"/>
      <c r="G1246" s="13"/>
      <c r="H1246" s="13"/>
      <c r="I1246" s="13"/>
      <c r="J1246" s="13"/>
    </row>
    <row r="1247" spans="1:10">
      <c r="A1247" s="1">
        <v>1542</v>
      </c>
      <c r="B1247" s="1">
        <v>177</v>
      </c>
      <c r="C1247" s="1">
        <v>300</v>
      </c>
      <c r="D1247" s="13"/>
      <c r="E1247" s="13"/>
      <c r="F1247" s="13"/>
      <c r="G1247" s="13"/>
      <c r="H1247" s="13"/>
      <c r="I1247" s="13"/>
      <c r="J1247" s="13"/>
    </row>
    <row r="1248" spans="1:10">
      <c r="A1248" s="1">
        <v>1543</v>
      </c>
      <c r="B1248" s="1">
        <v>177</v>
      </c>
      <c r="C1248" s="1">
        <v>300</v>
      </c>
      <c r="D1248" s="13"/>
      <c r="E1248" s="13"/>
      <c r="F1248" s="13"/>
      <c r="G1248" s="13"/>
      <c r="H1248" s="13"/>
      <c r="I1248" s="13"/>
      <c r="J1248" s="13"/>
    </row>
    <row r="1249" spans="1:10">
      <c r="A1249" s="1">
        <v>1544</v>
      </c>
      <c r="B1249" s="1">
        <v>177</v>
      </c>
      <c r="C1249" s="1">
        <v>300</v>
      </c>
      <c r="D1249" s="13"/>
      <c r="E1249" s="13"/>
      <c r="F1249" s="13"/>
      <c r="G1249" s="13"/>
      <c r="H1249" s="13"/>
      <c r="I1249" s="13"/>
      <c r="J1249" s="13"/>
    </row>
    <row r="1250" spans="1:10">
      <c r="A1250" s="1">
        <v>1545</v>
      </c>
      <c r="B1250" s="1">
        <v>177</v>
      </c>
      <c r="C1250" s="1">
        <v>300</v>
      </c>
      <c r="D1250" s="13"/>
      <c r="E1250" s="13"/>
      <c r="F1250" s="13"/>
      <c r="G1250" s="13"/>
      <c r="H1250" s="13"/>
      <c r="I1250" s="13"/>
      <c r="J1250" s="13"/>
    </row>
    <row r="1251" spans="1:10">
      <c r="A1251" s="1">
        <v>1546</v>
      </c>
      <c r="B1251" s="1">
        <v>177</v>
      </c>
      <c r="C1251" s="1">
        <v>300</v>
      </c>
      <c r="D1251" s="13"/>
      <c r="E1251" s="13"/>
      <c r="F1251" s="13"/>
      <c r="G1251" s="13"/>
      <c r="H1251" s="13"/>
      <c r="I1251" s="13"/>
      <c r="J1251" s="13"/>
    </row>
    <row r="1252" spans="1:10">
      <c r="A1252" s="1">
        <v>1547</v>
      </c>
      <c r="B1252" s="1">
        <v>177</v>
      </c>
      <c r="C1252" s="1">
        <v>300</v>
      </c>
      <c r="D1252" s="13"/>
      <c r="E1252" s="13"/>
      <c r="F1252" s="13"/>
      <c r="G1252" s="13"/>
      <c r="H1252" s="13"/>
      <c r="I1252" s="13"/>
      <c r="J1252" s="13"/>
    </row>
    <row r="1253" spans="1:10">
      <c r="A1253" s="1">
        <v>1548</v>
      </c>
      <c r="B1253" s="1">
        <v>177</v>
      </c>
      <c r="C1253" s="1">
        <v>300</v>
      </c>
      <c r="D1253" s="13"/>
      <c r="E1253" s="13"/>
      <c r="F1253" s="13"/>
      <c r="G1253" s="13"/>
      <c r="H1253" s="13"/>
      <c r="I1253" s="13"/>
      <c r="J1253" s="13"/>
    </row>
    <row r="1254" spans="1:10">
      <c r="A1254" s="1">
        <v>1549</v>
      </c>
      <c r="B1254" s="1">
        <v>177</v>
      </c>
      <c r="C1254" s="1">
        <v>300</v>
      </c>
      <c r="D1254" s="13"/>
      <c r="E1254" s="13"/>
      <c r="F1254" s="13"/>
      <c r="G1254" s="13"/>
      <c r="H1254" s="13"/>
      <c r="I1254" s="13"/>
      <c r="J1254" s="13"/>
    </row>
    <row r="1255" spans="1:10">
      <c r="A1255" s="1">
        <v>1550</v>
      </c>
      <c r="B1255" s="1">
        <v>178</v>
      </c>
      <c r="C1255" s="1">
        <v>300</v>
      </c>
      <c r="D1255" s="13"/>
      <c r="E1255" s="13"/>
      <c r="F1255" s="13"/>
      <c r="G1255" s="13"/>
      <c r="H1255" s="13"/>
      <c r="I1255" s="13"/>
      <c r="J1255" s="13"/>
    </row>
    <row r="1256" spans="1:10">
      <c r="A1256" s="1">
        <v>1551</v>
      </c>
      <c r="B1256" s="1">
        <v>178</v>
      </c>
      <c r="C1256" s="1">
        <v>300</v>
      </c>
      <c r="D1256" s="13"/>
      <c r="E1256" s="13"/>
      <c r="F1256" s="13"/>
      <c r="G1256" s="13"/>
      <c r="H1256" s="13"/>
      <c r="I1256" s="13"/>
      <c r="J1256" s="13"/>
    </row>
    <row r="1257" spans="1:10">
      <c r="A1257" s="1">
        <v>1552</v>
      </c>
      <c r="B1257" s="1">
        <v>178</v>
      </c>
      <c r="C1257" s="1">
        <v>300</v>
      </c>
      <c r="D1257" s="13"/>
      <c r="E1257" s="13"/>
      <c r="F1257" s="13"/>
      <c r="G1257" s="13"/>
      <c r="H1257" s="13"/>
      <c r="I1257" s="13"/>
      <c r="J1257" s="13"/>
    </row>
    <row r="1258" spans="1:10">
      <c r="A1258" s="1">
        <v>1553</v>
      </c>
      <c r="B1258" s="1">
        <v>178</v>
      </c>
      <c r="C1258" s="1">
        <v>300</v>
      </c>
      <c r="D1258" s="13"/>
      <c r="E1258" s="13"/>
      <c r="F1258" s="13"/>
      <c r="G1258" s="13"/>
      <c r="H1258" s="13"/>
      <c r="I1258" s="13"/>
      <c r="J1258" s="13"/>
    </row>
    <row r="1259" spans="1:10">
      <c r="A1259" s="1">
        <v>1554</v>
      </c>
      <c r="B1259" s="1">
        <v>178</v>
      </c>
      <c r="C1259" s="1">
        <v>300</v>
      </c>
      <c r="D1259" s="13"/>
      <c r="E1259" s="13"/>
      <c r="F1259" s="13"/>
      <c r="G1259" s="13"/>
      <c r="H1259" s="13"/>
      <c r="I1259" s="13"/>
      <c r="J1259" s="13"/>
    </row>
    <row r="1260" spans="1:10">
      <c r="A1260" s="1">
        <v>1555</v>
      </c>
      <c r="B1260" s="1">
        <v>178</v>
      </c>
      <c r="C1260" s="1">
        <v>300</v>
      </c>
      <c r="D1260" s="13"/>
      <c r="E1260" s="13"/>
      <c r="F1260" s="13"/>
      <c r="G1260" s="13"/>
      <c r="H1260" s="13"/>
      <c r="I1260" s="13"/>
      <c r="J1260" s="13"/>
    </row>
    <row r="1261" spans="1:10">
      <c r="A1261" s="1">
        <v>1556</v>
      </c>
      <c r="B1261" s="1">
        <v>178</v>
      </c>
      <c r="C1261" s="1">
        <v>300</v>
      </c>
      <c r="D1261" s="13"/>
      <c r="E1261" s="13"/>
      <c r="F1261" s="13"/>
      <c r="G1261" s="13"/>
      <c r="H1261" s="13"/>
      <c r="I1261" s="13"/>
      <c r="J1261" s="13"/>
    </row>
    <row r="1262" spans="1:10">
      <c r="A1262" s="1">
        <v>1557</v>
      </c>
      <c r="B1262" s="1">
        <v>178</v>
      </c>
      <c r="C1262" s="1">
        <v>300</v>
      </c>
      <c r="D1262" s="13"/>
      <c r="E1262" s="13"/>
      <c r="F1262" s="13"/>
      <c r="G1262" s="13"/>
      <c r="H1262" s="13"/>
      <c r="I1262" s="13"/>
      <c r="J1262" s="13"/>
    </row>
    <row r="1263" spans="1:10">
      <c r="A1263" s="1">
        <v>1558</v>
      </c>
      <c r="B1263" s="1">
        <v>178</v>
      </c>
      <c r="C1263" s="1">
        <v>300</v>
      </c>
      <c r="D1263" s="13"/>
      <c r="E1263" s="13"/>
      <c r="F1263" s="13"/>
      <c r="G1263" s="13"/>
      <c r="H1263" s="13"/>
      <c r="I1263" s="13"/>
      <c r="J1263" s="13"/>
    </row>
    <row r="1264" spans="1:10">
      <c r="A1264" s="1">
        <v>1559</v>
      </c>
      <c r="B1264" s="1">
        <v>178</v>
      </c>
      <c r="C1264" s="1">
        <v>300</v>
      </c>
      <c r="D1264" s="13"/>
      <c r="E1264" s="13"/>
      <c r="F1264" s="13"/>
      <c r="G1264" s="13"/>
      <c r="H1264" s="13"/>
      <c r="I1264" s="13"/>
      <c r="J1264" s="13"/>
    </row>
    <row r="1265" spans="1:10">
      <c r="A1265" s="1">
        <v>1560</v>
      </c>
      <c r="B1265" s="1">
        <v>179</v>
      </c>
      <c r="C1265" s="1">
        <v>300</v>
      </c>
      <c r="D1265" s="13"/>
      <c r="E1265" s="13"/>
      <c r="F1265" s="13"/>
      <c r="G1265" s="13"/>
      <c r="H1265" s="13"/>
      <c r="I1265" s="13"/>
      <c r="J1265" s="13"/>
    </row>
    <row r="1266" spans="1:10">
      <c r="A1266" s="1">
        <v>1561</v>
      </c>
      <c r="B1266" s="1">
        <v>179</v>
      </c>
      <c r="C1266" s="1">
        <v>300</v>
      </c>
      <c r="D1266" s="13"/>
      <c r="E1266" s="13"/>
      <c r="F1266" s="13"/>
      <c r="G1266" s="13"/>
      <c r="H1266" s="13"/>
      <c r="I1266" s="13"/>
      <c r="J1266" s="13"/>
    </row>
    <row r="1267" spans="1:10">
      <c r="A1267" s="1">
        <v>1562</v>
      </c>
      <c r="B1267" s="1">
        <v>179</v>
      </c>
      <c r="C1267" s="1">
        <v>300</v>
      </c>
      <c r="D1267" s="13"/>
      <c r="E1267" s="13"/>
      <c r="F1267" s="13"/>
      <c r="G1267" s="13"/>
      <c r="H1267" s="13"/>
      <c r="I1267" s="13"/>
      <c r="J1267" s="13"/>
    </row>
    <row r="1268" spans="1:10">
      <c r="A1268" s="1">
        <v>1563</v>
      </c>
      <c r="B1268" s="1">
        <v>179</v>
      </c>
      <c r="C1268" s="1">
        <v>300</v>
      </c>
      <c r="D1268" s="13"/>
      <c r="E1268" s="13"/>
      <c r="F1268" s="13"/>
      <c r="G1268" s="13"/>
      <c r="H1268" s="13"/>
      <c r="I1268" s="13"/>
      <c r="J1268" s="13"/>
    </row>
    <row r="1269" spans="1:10">
      <c r="A1269" s="1">
        <v>1564</v>
      </c>
      <c r="B1269" s="1">
        <v>179</v>
      </c>
      <c r="C1269" s="1">
        <v>300</v>
      </c>
      <c r="D1269" s="13"/>
      <c r="E1269" s="13"/>
      <c r="F1269" s="13"/>
      <c r="G1269" s="13"/>
      <c r="H1269" s="13"/>
      <c r="I1269" s="13"/>
      <c r="J1269" s="13"/>
    </row>
    <row r="1270" spans="1:10">
      <c r="A1270" s="1">
        <v>1565</v>
      </c>
      <c r="B1270" s="1">
        <v>179</v>
      </c>
      <c r="C1270" s="1">
        <v>300</v>
      </c>
      <c r="D1270" s="13"/>
      <c r="E1270" s="13"/>
      <c r="F1270" s="13"/>
      <c r="G1270" s="13"/>
      <c r="H1270" s="13"/>
      <c r="I1270" s="13"/>
      <c r="J1270" s="13"/>
    </row>
    <row r="1271" spans="1:10">
      <c r="A1271" s="1">
        <v>1566</v>
      </c>
      <c r="B1271" s="1">
        <v>179</v>
      </c>
      <c r="C1271" s="1">
        <v>300</v>
      </c>
      <c r="D1271" s="13"/>
      <c r="E1271" s="13"/>
      <c r="F1271" s="13"/>
      <c r="G1271" s="13"/>
      <c r="H1271" s="13"/>
      <c r="I1271" s="13"/>
      <c r="J1271" s="13"/>
    </row>
    <row r="1272" spans="1:10">
      <c r="A1272" s="1">
        <v>1567</v>
      </c>
      <c r="B1272" s="1">
        <v>179</v>
      </c>
      <c r="C1272" s="1">
        <v>300</v>
      </c>
      <c r="D1272" s="13"/>
      <c r="E1272" s="13"/>
      <c r="F1272" s="13"/>
      <c r="G1272" s="13"/>
      <c r="H1272" s="13"/>
      <c r="I1272" s="13"/>
      <c r="J1272" s="13"/>
    </row>
    <row r="1273" spans="1:10">
      <c r="A1273" s="1">
        <v>1568</v>
      </c>
      <c r="B1273" s="1">
        <v>179</v>
      </c>
      <c r="C1273" s="1">
        <v>300</v>
      </c>
      <c r="D1273" s="13"/>
      <c r="E1273" s="13"/>
      <c r="F1273" s="13"/>
      <c r="G1273" s="13"/>
      <c r="H1273" s="13"/>
      <c r="I1273" s="13"/>
      <c r="J1273" s="13"/>
    </row>
    <row r="1274" spans="1:10">
      <c r="A1274" s="1">
        <v>1569</v>
      </c>
      <c r="B1274" s="1">
        <v>179</v>
      </c>
      <c r="C1274" s="1">
        <v>300</v>
      </c>
      <c r="D1274" s="13"/>
      <c r="E1274" s="13"/>
      <c r="F1274" s="13"/>
      <c r="G1274" s="13"/>
      <c r="H1274" s="13"/>
      <c r="I1274" s="13"/>
      <c r="J1274" s="13"/>
    </row>
    <row r="1275" spans="1:10">
      <c r="A1275" s="1">
        <v>1573</v>
      </c>
      <c r="B1275" s="1">
        <v>180</v>
      </c>
      <c r="C1275" s="1">
        <v>300</v>
      </c>
      <c r="D1275" s="13"/>
      <c r="E1275" s="13"/>
      <c r="F1275" s="13"/>
      <c r="G1275" s="13"/>
      <c r="H1275" s="13"/>
      <c r="I1275" s="13"/>
      <c r="J1275" s="13"/>
    </row>
    <row r="1276" spans="1:10">
      <c r="A1276" s="1">
        <v>1574</v>
      </c>
      <c r="B1276" s="1">
        <v>180</v>
      </c>
      <c r="C1276" s="1">
        <v>300</v>
      </c>
      <c r="D1276" s="13"/>
      <c r="E1276" s="13"/>
      <c r="F1276" s="13"/>
      <c r="G1276" s="13"/>
      <c r="H1276" s="13"/>
      <c r="I1276" s="13"/>
      <c r="J1276" s="13"/>
    </row>
    <row r="1277" spans="1:10">
      <c r="A1277" s="1">
        <v>1575</v>
      </c>
      <c r="B1277" s="1">
        <v>180</v>
      </c>
      <c r="C1277" s="1">
        <v>300</v>
      </c>
      <c r="D1277" s="13"/>
      <c r="E1277" s="13"/>
      <c r="F1277" s="13"/>
      <c r="G1277" s="13"/>
      <c r="H1277" s="13"/>
      <c r="I1277" s="13"/>
      <c r="J1277" s="13"/>
    </row>
    <row r="1278" spans="1:10">
      <c r="A1278" s="1">
        <v>1576</v>
      </c>
      <c r="B1278" s="1">
        <v>180</v>
      </c>
      <c r="C1278" s="1">
        <v>300</v>
      </c>
      <c r="D1278" s="13"/>
      <c r="E1278" s="13"/>
      <c r="F1278" s="13"/>
      <c r="G1278" s="13"/>
      <c r="H1278" s="13"/>
      <c r="I1278" s="13"/>
      <c r="J1278" s="13"/>
    </row>
    <row r="1279" spans="1:10">
      <c r="A1279" s="1">
        <v>1577</v>
      </c>
      <c r="B1279" s="1">
        <v>180</v>
      </c>
      <c r="C1279" s="1">
        <v>300</v>
      </c>
      <c r="D1279" s="13"/>
      <c r="E1279" s="13"/>
      <c r="F1279" s="13"/>
      <c r="G1279" s="13"/>
      <c r="H1279" s="13"/>
      <c r="I1279" s="13"/>
      <c r="J1279" s="13"/>
    </row>
    <row r="1280" spans="1:10">
      <c r="A1280" s="1">
        <v>1578</v>
      </c>
      <c r="B1280" s="1">
        <v>180</v>
      </c>
      <c r="C1280" s="1">
        <v>300</v>
      </c>
      <c r="D1280" s="13"/>
      <c r="E1280" s="13"/>
      <c r="F1280" s="13"/>
      <c r="G1280" s="13"/>
      <c r="H1280" s="13"/>
      <c r="I1280" s="13"/>
      <c r="J1280" s="13"/>
    </row>
    <row r="1281" spans="1:10">
      <c r="A1281" s="1">
        <v>1579</v>
      </c>
      <c r="B1281" s="1">
        <v>181</v>
      </c>
      <c r="C1281" s="1">
        <v>300</v>
      </c>
      <c r="D1281" s="13"/>
      <c r="E1281" s="13"/>
      <c r="F1281" s="13"/>
      <c r="G1281" s="13"/>
      <c r="H1281" s="13"/>
      <c r="I1281" s="13"/>
      <c r="J1281" s="13"/>
    </row>
    <row r="1282" spans="1:10">
      <c r="A1282" s="1">
        <v>1580</v>
      </c>
      <c r="B1282" s="1">
        <v>181</v>
      </c>
      <c r="C1282" s="1">
        <v>300</v>
      </c>
      <c r="D1282" s="13"/>
      <c r="E1282" s="13"/>
      <c r="F1282" s="13"/>
      <c r="G1282" s="13"/>
      <c r="H1282" s="13"/>
      <c r="I1282" s="13"/>
      <c r="J1282" s="13"/>
    </row>
    <row r="1283" spans="1:10">
      <c r="A1283" s="1">
        <v>1581</v>
      </c>
      <c r="B1283" s="1">
        <v>181</v>
      </c>
      <c r="C1283" s="1">
        <v>300</v>
      </c>
      <c r="D1283" s="13"/>
      <c r="E1283" s="13"/>
      <c r="F1283" s="13"/>
      <c r="G1283" s="13"/>
      <c r="H1283" s="13"/>
      <c r="I1283" s="13"/>
      <c r="J1283" s="13"/>
    </row>
    <row r="1284" spans="1:10">
      <c r="A1284" s="1">
        <v>1582</v>
      </c>
      <c r="B1284" s="1">
        <v>181</v>
      </c>
      <c r="C1284" s="1">
        <v>300</v>
      </c>
      <c r="D1284" s="13"/>
      <c r="E1284" s="13"/>
      <c r="F1284" s="13"/>
      <c r="G1284" s="13"/>
      <c r="H1284" s="13"/>
      <c r="I1284" s="13"/>
      <c r="J1284" s="13"/>
    </row>
    <row r="1285" spans="1:10">
      <c r="A1285" s="1">
        <v>1583</v>
      </c>
      <c r="B1285" s="1">
        <v>181</v>
      </c>
      <c r="C1285" s="1">
        <v>300</v>
      </c>
      <c r="D1285" s="13"/>
      <c r="E1285" s="13"/>
      <c r="F1285" s="13"/>
      <c r="G1285" s="13"/>
      <c r="H1285" s="13"/>
      <c r="I1285" s="13"/>
      <c r="J1285" s="13"/>
    </row>
    <row r="1286" spans="1:10">
      <c r="A1286" s="1">
        <v>1584</v>
      </c>
      <c r="B1286" s="1">
        <v>181</v>
      </c>
      <c r="C1286" s="1">
        <v>300</v>
      </c>
      <c r="D1286" s="13"/>
      <c r="E1286" s="13"/>
      <c r="F1286" s="13"/>
      <c r="G1286" s="13"/>
      <c r="H1286" s="13"/>
      <c r="I1286" s="13"/>
      <c r="J1286" s="13"/>
    </row>
    <row r="1287" spans="1:10">
      <c r="A1287" s="1">
        <v>1585</v>
      </c>
      <c r="B1287" s="1">
        <v>181</v>
      </c>
      <c r="C1287" s="1">
        <v>300</v>
      </c>
      <c r="D1287" s="13"/>
      <c r="E1287" s="13"/>
      <c r="F1287" s="13"/>
      <c r="G1287" s="13"/>
      <c r="H1287" s="13"/>
      <c r="I1287" s="13"/>
      <c r="J1287" s="13"/>
    </row>
    <row r="1288" spans="1:10">
      <c r="A1288" s="1">
        <v>1586</v>
      </c>
      <c r="B1288" s="1">
        <v>181</v>
      </c>
      <c r="C1288" s="1">
        <v>300</v>
      </c>
      <c r="D1288" s="13"/>
      <c r="E1288" s="13"/>
      <c r="F1288" s="13"/>
      <c r="G1288" s="13"/>
      <c r="H1288" s="13"/>
      <c r="I1288" s="13"/>
      <c r="J1288" s="13"/>
    </row>
    <row r="1289" spans="1:10">
      <c r="A1289" s="1">
        <v>1587</v>
      </c>
      <c r="B1289" s="1">
        <v>181</v>
      </c>
      <c r="C1289" s="1">
        <v>100</v>
      </c>
      <c r="D1289" s="13"/>
      <c r="E1289" s="13"/>
      <c r="F1289" s="13"/>
      <c r="G1289" s="13"/>
      <c r="H1289" s="13"/>
      <c r="I1289" s="13"/>
      <c r="J1289" s="13"/>
    </row>
    <row r="1290" spans="1:10">
      <c r="A1290" s="1">
        <v>1588</v>
      </c>
      <c r="B1290" s="1">
        <v>182</v>
      </c>
      <c r="C1290" s="1">
        <v>300</v>
      </c>
      <c r="D1290" s="13"/>
      <c r="E1290" s="13"/>
      <c r="F1290" s="13"/>
      <c r="G1290" s="13"/>
      <c r="H1290" s="13"/>
      <c r="I1290" s="13"/>
      <c r="J1290" s="13"/>
    </row>
    <row r="1291" spans="1:10">
      <c r="A1291" s="1">
        <v>1589</v>
      </c>
      <c r="B1291" s="1">
        <v>182</v>
      </c>
      <c r="C1291" s="1">
        <v>300</v>
      </c>
      <c r="D1291" s="13"/>
      <c r="E1291" s="13"/>
      <c r="F1291" s="13"/>
      <c r="G1291" s="13"/>
      <c r="H1291" s="13"/>
      <c r="I1291" s="13"/>
      <c r="J1291" s="13"/>
    </row>
    <row r="1292" spans="1:10">
      <c r="A1292" s="1">
        <v>1590</v>
      </c>
      <c r="B1292" s="1">
        <v>182</v>
      </c>
      <c r="C1292" s="1">
        <v>300</v>
      </c>
      <c r="D1292" s="13"/>
      <c r="E1292" s="13"/>
      <c r="F1292" s="13"/>
      <c r="G1292" s="13"/>
      <c r="H1292" s="13"/>
      <c r="I1292" s="13"/>
      <c r="J1292" s="13"/>
    </row>
    <row r="1293" spans="1:10">
      <c r="A1293" s="1">
        <v>1591</v>
      </c>
      <c r="B1293" s="1">
        <v>182</v>
      </c>
      <c r="C1293" s="1">
        <v>100</v>
      </c>
      <c r="D1293" s="13"/>
      <c r="E1293" s="13"/>
      <c r="F1293" s="13"/>
      <c r="G1293" s="13"/>
      <c r="H1293" s="13"/>
      <c r="I1293" s="13"/>
      <c r="J1293" s="13"/>
    </row>
    <row r="1294" spans="1:10">
      <c r="A1294" s="1">
        <v>1593</v>
      </c>
      <c r="B1294" s="1">
        <v>183</v>
      </c>
      <c r="C1294" s="1">
        <v>2</v>
      </c>
      <c r="D1294" s="13"/>
      <c r="E1294" s="13"/>
      <c r="F1294" s="13"/>
      <c r="G1294" s="13"/>
      <c r="H1294" s="13"/>
      <c r="I1294" s="13"/>
      <c r="J1294" s="13"/>
    </row>
    <row r="1295" spans="1:10">
      <c r="A1295" s="1">
        <v>1594</v>
      </c>
      <c r="B1295" s="1">
        <v>184</v>
      </c>
      <c r="C1295" s="1">
        <v>300</v>
      </c>
      <c r="D1295" s="13"/>
      <c r="E1295" s="13"/>
      <c r="F1295" s="13"/>
      <c r="G1295" s="13"/>
      <c r="H1295" s="13"/>
      <c r="I1295" s="13"/>
      <c r="J1295" s="13"/>
    </row>
    <row r="1296" spans="1:10">
      <c r="A1296" s="1">
        <v>1595</v>
      </c>
      <c r="B1296" s="1">
        <v>184</v>
      </c>
      <c r="C1296" s="1">
        <v>300</v>
      </c>
      <c r="D1296" s="13"/>
      <c r="E1296" s="13"/>
      <c r="F1296" s="13"/>
      <c r="G1296" s="13"/>
      <c r="H1296" s="13"/>
      <c r="I1296" s="13"/>
      <c r="J1296" s="13"/>
    </row>
    <row r="1297" spans="1:10">
      <c r="A1297" s="1">
        <v>1596</v>
      </c>
      <c r="B1297" s="1">
        <v>184</v>
      </c>
      <c r="C1297" s="1">
        <v>300</v>
      </c>
      <c r="D1297" s="13"/>
      <c r="E1297" s="13"/>
      <c r="F1297" s="13"/>
      <c r="G1297" s="13"/>
      <c r="H1297" s="13"/>
      <c r="I1297" s="13"/>
      <c r="J1297" s="13"/>
    </row>
    <row r="1298" spans="1:10">
      <c r="A1298" s="1">
        <v>1597</v>
      </c>
      <c r="B1298" s="1">
        <v>184</v>
      </c>
      <c r="C1298" s="1">
        <v>300</v>
      </c>
      <c r="D1298" s="13"/>
      <c r="E1298" s="13"/>
      <c r="F1298" s="13"/>
      <c r="G1298" s="13"/>
      <c r="H1298" s="13"/>
      <c r="I1298" s="13"/>
      <c r="J1298" s="13"/>
    </row>
    <row r="1299" spans="1:10">
      <c r="A1299" s="1">
        <v>1598</v>
      </c>
      <c r="B1299" s="1">
        <v>184</v>
      </c>
      <c r="C1299" s="1">
        <v>300</v>
      </c>
      <c r="D1299" s="13"/>
      <c r="E1299" s="13"/>
      <c r="F1299" s="13"/>
      <c r="G1299" s="13"/>
      <c r="H1299" s="13"/>
      <c r="I1299" s="13"/>
      <c r="J1299" s="13"/>
    </row>
    <row r="1300" spans="1:10">
      <c r="A1300" s="1">
        <v>1599</v>
      </c>
      <c r="B1300" s="1">
        <v>184</v>
      </c>
      <c r="C1300" s="1">
        <v>300</v>
      </c>
      <c r="D1300" s="13"/>
      <c r="E1300" s="13"/>
      <c r="F1300" s="13"/>
      <c r="G1300" s="13"/>
      <c r="H1300" s="13"/>
      <c r="I1300" s="13"/>
      <c r="J1300" s="13"/>
    </row>
    <row r="1301" spans="1:10">
      <c r="A1301" s="1">
        <v>1600</v>
      </c>
      <c r="B1301" s="1">
        <v>184</v>
      </c>
      <c r="C1301" s="1">
        <v>300</v>
      </c>
      <c r="D1301" s="13"/>
      <c r="E1301" s="13"/>
      <c r="F1301" s="13"/>
      <c r="G1301" s="13"/>
      <c r="H1301" s="13"/>
      <c r="I1301" s="13"/>
      <c r="J1301" s="13"/>
    </row>
    <row r="1302" spans="1:10">
      <c r="A1302" s="1">
        <v>1601</v>
      </c>
      <c r="B1302" s="1">
        <v>184</v>
      </c>
      <c r="C1302" s="1">
        <v>300</v>
      </c>
      <c r="D1302" s="13"/>
      <c r="E1302" s="13"/>
      <c r="F1302" s="13"/>
      <c r="G1302" s="13"/>
      <c r="H1302" s="13"/>
      <c r="I1302" s="13"/>
      <c r="J1302" s="13"/>
    </row>
    <row r="1303" spans="1:10">
      <c r="A1303" s="1">
        <v>1602</v>
      </c>
      <c r="B1303" s="1">
        <v>184</v>
      </c>
      <c r="C1303" s="1">
        <v>300</v>
      </c>
      <c r="D1303" s="13"/>
      <c r="E1303" s="13"/>
      <c r="F1303" s="13"/>
      <c r="G1303" s="13"/>
      <c r="H1303" s="13"/>
      <c r="I1303" s="13"/>
      <c r="J1303" s="13"/>
    </row>
    <row r="1304" spans="1:10">
      <c r="A1304" s="1">
        <v>1603</v>
      </c>
      <c r="B1304" s="1">
        <v>184</v>
      </c>
      <c r="C1304" s="1">
        <v>300</v>
      </c>
      <c r="D1304" s="13"/>
      <c r="E1304" s="13"/>
      <c r="F1304" s="13"/>
      <c r="G1304" s="13"/>
      <c r="H1304" s="13"/>
      <c r="I1304" s="13"/>
      <c r="J1304" s="13"/>
    </row>
    <row r="1305" spans="1:10">
      <c r="A1305" s="1">
        <v>1604</v>
      </c>
      <c r="B1305" s="1">
        <v>185</v>
      </c>
      <c r="C1305" s="1">
        <v>300</v>
      </c>
      <c r="D1305" s="13"/>
      <c r="E1305" s="13"/>
      <c r="F1305" s="13"/>
      <c r="G1305" s="13"/>
      <c r="H1305" s="13"/>
      <c r="I1305" s="13"/>
      <c r="J1305" s="13"/>
    </row>
    <row r="1306" spans="1:10">
      <c r="A1306" s="1">
        <v>1605</v>
      </c>
      <c r="B1306" s="1">
        <v>185</v>
      </c>
      <c r="C1306" s="1">
        <v>300</v>
      </c>
      <c r="D1306" s="13"/>
      <c r="E1306" s="13"/>
      <c r="F1306" s="13"/>
      <c r="G1306" s="13"/>
      <c r="H1306" s="13"/>
      <c r="I1306" s="13"/>
      <c r="J1306" s="13"/>
    </row>
    <row r="1307" spans="1:10">
      <c r="A1307" s="1">
        <v>1606</v>
      </c>
      <c r="B1307" s="1">
        <v>185</v>
      </c>
      <c r="C1307" s="1">
        <v>300</v>
      </c>
      <c r="D1307" s="13"/>
      <c r="E1307" s="13"/>
      <c r="F1307" s="13"/>
      <c r="G1307" s="13"/>
      <c r="H1307" s="13"/>
      <c r="I1307" s="13"/>
      <c r="J1307" s="13"/>
    </row>
    <row r="1308" spans="1:10">
      <c r="A1308" s="1">
        <v>1607</v>
      </c>
      <c r="B1308" s="1">
        <v>185</v>
      </c>
      <c r="C1308" s="1">
        <v>300</v>
      </c>
      <c r="D1308" s="13"/>
      <c r="E1308" s="13"/>
      <c r="F1308" s="13"/>
      <c r="G1308" s="13"/>
      <c r="H1308" s="13"/>
      <c r="I1308" s="13"/>
      <c r="J1308" s="13"/>
    </row>
    <row r="1309" spans="1:10">
      <c r="A1309" s="1">
        <v>1608</v>
      </c>
      <c r="B1309" s="1">
        <v>185</v>
      </c>
      <c r="C1309" s="1">
        <v>300</v>
      </c>
      <c r="D1309" s="13"/>
      <c r="E1309" s="13"/>
      <c r="F1309" s="13"/>
      <c r="G1309" s="13"/>
      <c r="H1309" s="13"/>
      <c r="I1309" s="13"/>
      <c r="J1309" s="13"/>
    </row>
    <row r="1310" spans="1:10">
      <c r="A1310" s="1">
        <v>1609</v>
      </c>
      <c r="B1310" s="1">
        <v>185</v>
      </c>
      <c r="C1310" s="1">
        <v>300</v>
      </c>
      <c r="D1310" s="13"/>
      <c r="E1310" s="13"/>
      <c r="F1310" s="13"/>
      <c r="G1310" s="13"/>
      <c r="H1310" s="13"/>
      <c r="I1310" s="13"/>
      <c r="J1310" s="13"/>
    </row>
    <row r="1311" spans="1:10">
      <c r="A1311" s="1">
        <v>1610</v>
      </c>
      <c r="B1311" s="1">
        <v>185</v>
      </c>
      <c r="C1311" s="1">
        <v>300</v>
      </c>
      <c r="D1311" s="13"/>
      <c r="E1311" s="13"/>
      <c r="F1311" s="13"/>
      <c r="G1311" s="13"/>
      <c r="H1311" s="13"/>
      <c r="I1311" s="13"/>
      <c r="J1311" s="13"/>
    </row>
    <row r="1312" spans="1:10">
      <c r="A1312" s="1">
        <v>1611</v>
      </c>
      <c r="B1312" s="1">
        <v>185</v>
      </c>
      <c r="C1312" s="1">
        <v>300</v>
      </c>
      <c r="D1312" s="13"/>
      <c r="E1312" s="13"/>
      <c r="F1312" s="13"/>
      <c r="G1312" s="13"/>
      <c r="H1312" s="13"/>
      <c r="I1312" s="13"/>
      <c r="J1312" s="13"/>
    </row>
    <row r="1313" spans="1:10">
      <c r="A1313" s="1">
        <v>1612</v>
      </c>
      <c r="B1313" s="1">
        <v>185</v>
      </c>
      <c r="C1313" s="1">
        <v>300</v>
      </c>
      <c r="D1313" s="13"/>
      <c r="E1313" s="13"/>
      <c r="F1313" s="13"/>
      <c r="G1313" s="13"/>
      <c r="H1313" s="13"/>
      <c r="I1313" s="13"/>
      <c r="J1313" s="13"/>
    </row>
    <row r="1314" spans="1:10">
      <c r="A1314" s="1">
        <v>1613</v>
      </c>
      <c r="B1314" s="1">
        <v>185</v>
      </c>
      <c r="C1314" s="1">
        <v>300</v>
      </c>
      <c r="D1314" s="13"/>
      <c r="E1314" s="13"/>
      <c r="F1314" s="13"/>
      <c r="G1314" s="13"/>
      <c r="H1314" s="13"/>
      <c r="I1314" s="13"/>
      <c r="J1314" s="13"/>
    </row>
    <row r="1315" spans="1:10">
      <c r="A1315" s="1">
        <v>1614</v>
      </c>
      <c r="B1315" s="1">
        <v>186</v>
      </c>
      <c r="C1315" s="1">
        <v>300</v>
      </c>
      <c r="D1315" s="13"/>
      <c r="E1315" s="13"/>
      <c r="F1315" s="13"/>
      <c r="G1315" s="13"/>
      <c r="H1315" s="13"/>
      <c r="I1315" s="13"/>
      <c r="J1315" s="13"/>
    </row>
    <row r="1316" spans="1:10">
      <c r="A1316" s="1">
        <v>1615</v>
      </c>
      <c r="B1316" s="1">
        <v>186</v>
      </c>
      <c r="C1316" s="1">
        <v>300</v>
      </c>
      <c r="D1316" s="13"/>
      <c r="E1316" s="13"/>
      <c r="F1316" s="13"/>
      <c r="G1316" s="13"/>
      <c r="H1316" s="13"/>
      <c r="I1316" s="13"/>
      <c r="J1316" s="13"/>
    </row>
    <row r="1317" spans="1:10">
      <c r="A1317" s="1">
        <v>1616</v>
      </c>
      <c r="B1317" s="1">
        <v>186</v>
      </c>
      <c r="C1317" s="1">
        <v>300</v>
      </c>
      <c r="D1317" s="13"/>
      <c r="E1317" s="13"/>
      <c r="F1317" s="13"/>
      <c r="G1317" s="13"/>
      <c r="H1317" s="13"/>
      <c r="I1317" s="13"/>
      <c r="J1317" s="13"/>
    </row>
    <row r="1318" spans="1:10">
      <c r="A1318" s="1">
        <v>1617</v>
      </c>
      <c r="B1318" s="1">
        <v>186</v>
      </c>
      <c r="C1318" s="1">
        <v>300</v>
      </c>
      <c r="D1318" s="13"/>
      <c r="E1318" s="13"/>
      <c r="F1318" s="13"/>
      <c r="G1318" s="13"/>
      <c r="H1318" s="13"/>
      <c r="I1318" s="13"/>
      <c r="J1318" s="13"/>
    </row>
    <row r="1319" spans="1:10">
      <c r="A1319" s="1">
        <v>1618</v>
      </c>
      <c r="B1319" s="1">
        <v>186</v>
      </c>
      <c r="C1319" s="1">
        <v>300</v>
      </c>
      <c r="D1319" s="13"/>
      <c r="E1319" s="13"/>
      <c r="F1319" s="13"/>
      <c r="G1319" s="13"/>
      <c r="H1319" s="13"/>
      <c r="I1319" s="13"/>
      <c r="J1319" s="13"/>
    </row>
    <row r="1320" spans="1:10">
      <c r="A1320" s="1">
        <v>1619</v>
      </c>
      <c r="B1320" s="1">
        <v>186</v>
      </c>
      <c r="C1320" s="1">
        <v>300</v>
      </c>
      <c r="D1320" s="13"/>
      <c r="E1320" s="13"/>
      <c r="F1320" s="13"/>
      <c r="G1320" s="13"/>
      <c r="H1320" s="13"/>
      <c r="I1320" s="13"/>
      <c r="J1320" s="13"/>
    </row>
    <row r="1321" spans="1:10">
      <c r="A1321" s="1">
        <v>1620</v>
      </c>
      <c r="B1321" s="1">
        <v>186</v>
      </c>
      <c r="C1321" s="1">
        <v>300</v>
      </c>
      <c r="D1321" s="13"/>
      <c r="E1321" s="13"/>
      <c r="F1321" s="13"/>
      <c r="G1321" s="13"/>
      <c r="H1321" s="13"/>
      <c r="I1321" s="13"/>
      <c r="J1321" s="13"/>
    </row>
    <row r="1322" spans="1:10">
      <c r="A1322" s="1">
        <v>1621</v>
      </c>
      <c r="B1322" s="1">
        <v>186</v>
      </c>
      <c r="C1322" s="1">
        <v>300</v>
      </c>
      <c r="D1322" s="13"/>
      <c r="E1322" s="13"/>
      <c r="F1322" s="13"/>
      <c r="G1322" s="13"/>
      <c r="H1322" s="13"/>
      <c r="I1322" s="13"/>
      <c r="J1322" s="13"/>
    </row>
    <row r="1323" spans="1:10">
      <c r="A1323" s="1">
        <v>1622</v>
      </c>
      <c r="B1323" s="1">
        <v>186</v>
      </c>
      <c r="C1323" s="1">
        <v>300</v>
      </c>
      <c r="D1323" s="13"/>
      <c r="E1323" s="13"/>
      <c r="F1323" s="13"/>
      <c r="G1323" s="13"/>
      <c r="H1323" s="13"/>
      <c r="I1323" s="13"/>
      <c r="J1323" s="13"/>
    </row>
    <row r="1324" spans="1:10">
      <c r="A1324" s="1">
        <v>1623</v>
      </c>
      <c r="B1324" s="1">
        <v>186</v>
      </c>
      <c r="C1324" s="1">
        <v>300</v>
      </c>
      <c r="D1324" s="13"/>
      <c r="E1324" s="13"/>
      <c r="F1324" s="13"/>
      <c r="G1324" s="13"/>
      <c r="H1324" s="13"/>
      <c r="I1324" s="13"/>
      <c r="J1324" s="13"/>
    </row>
    <row r="1325" spans="1:10">
      <c r="A1325" s="1">
        <v>1624</v>
      </c>
      <c r="B1325" s="1">
        <v>187</v>
      </c>
      <c r="C1325" s="1">
        <v>300</v>
      </c>
      <c r="D1325" s="13"/>
      <c r="E1325" s="13"/>
      <c r="F1325" s="13"/>
      <c r="G1325" s="13"/>
      <c r="H1325" s="13"/>
      <c r="I1325" s="13"/>
      <c r="J1325" s="13"/>
    </row>
    <row r="1326" spans="1:10">
      <c r="A1326" s="1">
        <v>1625</v>
      </c>
      <c r="B1326" s="1">
        <v>187</v>
      </c>
      <c r="C1326" s="1">
        <v>300</v>
      </c>
      <c r="D1326" s="13"/>
      <c r="E1326" s="13"/>
      <c r="F1326" s="13"/>
      <c r="G1326" s="13"/>
      <c r="H1326" s="13"/>
      <c r="I1326" s="13"/>
      <c r="J1326" s="13"/>
    </row>
    <row r="1327" spans="1:10">
      <c r="A1327" s="1">
        <v>1626</v>
      </c>
      <c r="B1327" s="1">
        <v>187</v>
      </c>
      <c r="C1327" s="1">
        <v>300</v>
      </c>
      <c r="D1327" s="13"/>
      <c r="E1327" s="13"/>
      <c r="F1327" s="13"/>
      <c r="G1327" s="13"/>
      <c r="H1327" s="13"/>
      <c r="I1327" s="13"/>
      <c r="J1327" s="13"/>
    </row>
    <row r="1328" spans="1:10">
      <c r="A1328" s="1">
        <v>1627</v>
      </c>
      <c r="B1328" s="1">
        <v>187</v>
      </c>
      <c r="C1328" s="1">
        <v>300</v>
      </c>
      <c r="D1328" s="13"/>
      <c r="E1328" s="13"/>
      <c r="F1328" s="13"/>
      <c r="G1328" s="13"/>
      <c r="H1328" s="13"/>
      <c r="I1328" s="13"/>
      <c r="J1328" s="13"/>
    </row>
    <row r="1329" spans="1:10">
      <c r="A1329" s="1">
        <v>1628</v>
      </c>
      <c r="B1329" s="1">
        <v>187</v>
      </c>
      <c r="C1329" s="1">
        <v>300</v>
      </c>
      <c r="D1329" s="13"/>
      <c r="E1329" s="13"/>
      <c r="F1329" s="13"/>
      <c r="G1329" s="13"/>
      <c r="H1329" s="13"/>
      <c r="I1329" s="13"/>
      <c r="J1329" s="13"/>
    </row>
    <row r="1330" spans="1:10">
      <c r="A1330" s="1">
        <v>1629</v>
      </c>
      <c r="B1330" s="1">
        <v>187</v>
      </c>
      <c r="C1330" s="1">
        <v>300</v>
      </c>
      <c r="D1330" s="13"/>
      <c r="E1330" s="13"/>
      <c r="F1330" s="13"/>
      <c r="G1330" s="13"/>
      <c r="H1330" s="13"/>
      <c r="I1330" s="13"/>
      <c r="J1330" s="13"/>
    </row>
    <row r="1331" spans="1:10">
      <c r="A1331" s="1">
        <v>1630</v>
      </c>
      <c r="B1331" s="1">
        <v>187</v>
      </c>
      <c r="C1331" s="1">
        <v>300</v>
      </c>
      <c r="D1331" s="13"/>
      <c r="E1331" s="13"/>
      <c r="F1331" s="13"/>
      <c r="G1331" s="13"/>
      <c r="H1331" s="13"/>
      <c r="I1331" s="13"/>
      <c r="J1331" s="13"/>
    </row>
    <row r="1332" spans="1:10">
      <c r="A1332" s="1">
        <v>1631</v>
      </c>
      <c r="B1332" s="1">
        <v>187</v>
      </c>
      <c r="C1332" s="1">
        <v>300</v>
      </c>
      <c r="D1332" s="13"/>
      <c r="E1332" s="13"/>
      <c r="F1332" s="13"/>
      <c r="G1332" s="13"/>
      <c r="H1332" s="13"/>
      <c r="I1332" s="13"/>
      <c r="J1332" s="13"/>
    </row>
    <row r="1333" spans="1:10">
      <c r="A1333" s="1">
        <v>1632</v>
      </c>
      <c r="B1333" s="1">
        <v>187</v>
      </c>
      <c r="C1333" s="1">
        <v>300</v>
      </c>
      <c r="D1333" s="13"/>
      <c r="E1333" s="13"/>
      <c r="F1333" s="13"/>
      <c r="G1333" s="13"/>
      <c r="H1333" s="13"/>
      <c r="I1333" s="13"/>
      <c r="J1333" s="13"/>
    </row>
    <row r="1334" spans="1:10">
      <c r="A1334" s="1">
        <v>1633</v>
      </c>
      <c r="B1334" s="1">
        <v>187</v>
      </c>
      <c r="C1334" s="1">
        <v>300</v>
      </c>
      <c r="D1334" s="13"/>
      <c r="E1334" s="13"/>
      <c r="F1334" s="13"/>
      <c r="G1334" s="13"/>
      <c r="H1334" s="13"/>
      <c r="I1334" s="13"/>
      <c r="J1334" s="13"/>
    </row>
    <row r="1335" spans="1:10">
      <c r="A1335" s="1">
        <v>1634</v>
      </c>
      <c r="B1335" s="1">
        <v>188</v>
      </c>
      <c r="C1335" s="1">
        <v>300</v>
      </c>
      <c r="D1335" s="13"/>
      <c r="E1335" s="13"/>
      <c r="F1335" s="13"/>
      <c r="G1335" s="13"/>
      <c r="H1335" s="13"/>
      <c r="I1335" s="13"/>
      <c r="J1335" s="13"/>
    </row>
    <row r="1336" spans="1:10">
      <c r="A1336" s="1">
        <v>1635</v>
      </c>
      <c r="B1336" s="1">
        <v>188</v>
      </c>
      <c r="C1336" s="1">
        <v>300</v>
      </c>
      <c r="D1336" s="13"/>
      <c r="E1336" s="13"/>
      <c r="F1336" s="13"/>
      <c r="G1336" s="13"/>
      <c r="H1336" s="13"/>
      <c r="I1336" s="13"/>
      <c r="J1336" s="13"/>
    </row>
    <row r="1337" spans="1:10">
      <c r="A1337" s="1">
        <v>1636</v>
      </c>
      <c r="B1337" s="1">
        <v>188</v>
      </c>
      <c r="C1337" s="1">
        <v>300</v>
      </c>
      <c r="D1337" s="13"/>
      <c r="E1337" s="13"/>
      <c r="F1337" s="13"/>
      <c r="G1337" s="13"/>
      <c r="H1337" s="13"/>
      <c r="I1337" s="13"/>
      <c r="J1337" s="13"/>
    </row>
    <row r="1338" spans="1:10">
      <c r="A1338" s="1">
        <v>1637</v>
      </c>
      <c r="B1338" s="1">
        <v>188</v>
      </c>
      <c r="C1338" s="1">
        <v>300</v>
      </c>
      <c r="D1338" s="13"/>
      <c r="E1338" s="13"/>
      <c r="F1338" s="13"/>
      <c r="G1338" s="13"/>
      <c r="H1338" s="13"/>
      <c r="I1338" s="13"/>
      <c r="J1338" s="13"/>
    </row>
    <row r="1339" spans="1:10">
      <c r="A1339" s="1">
        <v>1638</v>
      </c>
      <c r="B1339" s="1">
        <v>188</v>
      </c>
      <c r="C1339" s="1">
        <v>300</v>
      </c>
      <c r="D1339" s="13"/>
      <c r="E1339" s="13"/>
      <c r="F1339" s="13"/>
      <c r="G1339" s="13"/>
      <c r="H1339" s="13"/>
      <c r="I1339" s="13"/>
      <c r="J1339" s="13"/>
    </row>
    <row r="1340" spans="1:10">
      <c r="A1340" s="1">
        <v>1639</v>
      </c>
      <c r="B1340" s="1">
        <v>188</v>
      </c>
      <c r="C1340" s="1">
        <v>300</v>
      </c>
      <c r="D1340" s="13"/>
      <c r="E1340" s="13"/>
      <c r="F1340" s="13"/>
      <c r="G1340" s="13"/>
      <c r="H1340" s="13"/>
      <c r="I1340" s="13"/>
      <c r="J1340" s="13"/>
    </row>
    <row r="1341" spans="1:10">
      <c r="A1341" s="1">
        <v>1640</v>
      </c>
      <c r="B1341" s="1">
        <v>188</v>
      </c>
      <c r="C1341" s="1">
        <v>300</v>
      </c>
      <c r="D1341" s="13"/>
      <c r="E1341" s="13"/>
      <c r="F1341" s="13"/>
      <c r="G1341" s="13"/>
      <c r="H1341" s="13"/>
      <c r="I1341" s="13"/>
      <c r="J1341" s="13"/>
    </row>
    <row r="1342" spans="1:10">
      <c r="A1342" s="1">
        <v>1641</v>
      </c>
      <c r="B1342" s="1">
        <v>188</v>
      </c>
      <c r="C1342" s="1">
        <v>300</v>
      </c>
      <c r="D1342" s="13"/>
      <c r="E1342" s="13"/>
      <c r="F1342" s="13"/>
      <c r="G1342" s="13"/>
      <c r="H1342" s="13"/>
      <c r="I1342" s="13"/>
      <c r="J1342" s="13"/>
    </row>
    <row r="1343" spans="1:10">
      <c r="A1343" s="1">
        <v>1642</v>
      </c>
      <c r="B1343" s="1">
        <v>188</v>
      </c>
      <c r="C1343" s="1">
        <v>300</v>
      </c>
      <c r="D1343" s="13"/>
      <c r="E1343" s="13"/>
      <c r="F1343" s="13"/>
      <c r="G1343" s="13"/>
      <c r="H1343" s="13"/>
      <c r="I1343" s="13"/>
      <c r="J1343" s="13"/>
    </row>
    <row r="1344" spans="1:10">
      <c r="A1344" s="1">
        <v>1643</v>
      </c>
      <c r="B1344" s="1">
        <v>188</v>
      </c>
      <c r="C1344" s="1">
        <v>300</v>
      </c>
      <c r="D1344" s="13"/>
      <c r="E1344" s="13"/>
      <c r="F1344" s="13"/>
      <c r="G1344" s="13"/>
      <c r="H1344" s="13"/>
      <c r="I1344" s="13"/>
      <c r="J1344" s="13"/>
    </row>
    <row r="1345" spans="1:10">
      <c r="A1345" s="1">
        <v>1644</v>
      </c>
      <c r="B1345" s="1">
        <v>189</v>
      </c>
      <c r="C1345" s="1">
        <v>300</v>
      </c>
      <c r="D1345" s="13"/>
      <c r="E1345" s="13"/>
      <c r="F1345" s="13"/>
      <c r="G1345" s="13"/>
      <c r="H1345" s="13"/>
      <c r="I1345" s="13"/>
      <c r="J1345" s="13"/>
    </row>
    <row r="1346" spans="1:10">
      <c r="A1346" s="1">
        <v>1645</v>
      </c>
      <c r="B1346" s="1">
        <v>189</v>
      </c>
      <c r="C1346" s="1">
        <v>300</v>
      </c>
      <c r="D1346" s="13"/>
      <c r="E1346" s="13"/>
      <c r="F1346" s="13"/>
      <c r="G1346" s="13"/>
      <c r="H1346" s="13"/>
      <c r="I1346" s="13"/>
      <c r="J1346" s="13"/>
    </row>
    <row r="1347" spans="1:10">
      <c r="A1347" s="1">
        <v>1646</v>
      </c>
      <c r="B1347" s="1">
        <v>189</v>
      </c>
      <c r="C1347" s="1">
        <v>300</v>
      </c>
      <c r="D1347" s="13"/>
      <c r="E1347" s="13"/>
      <c r="F1347" s="13"/>
      <c r="G1347" s="13"/>
      <c r="H1347" s="13"/>
      <c r="I1347" s="13"/>
      <c r="J1347" s="13"/>
    </row>
    <row r="1348" spans="1:10">
      <c r="A1348" s="1">
        <v>1647</v>
      </c>
      <c r="B1348" s="1">
        <v>189</v>
      </c>
      <c r="C1348" s="1">
        <v>300</v>
      </c>
      <c r="D1348" s="13"/>
      <c r="E1348" s="13"/>
      <c r="F1348" s="13"/>
      <c r="G1348" s="13"/>
      <c r="H1348" s="13"/>
      <c r="I1348" s="13"/>
      <c r="J1348" s="13"/>
    </row>
    <row r="1349" spans="1:10">
      <c r="A1349" s="1">
        <v>1648</v>
      </c>
      <c r="B1349" s="1">
        <v>189</v>
      </c>
      <c r="C1349" s="1">
        <v>300</v>
      </c>
      <c r="D1349" s="13"/>
      <c r="E1349" s="13"/>
      <c r="F1349" s="13"/>
      <c r="G1349" s="13"/>
      <c r="H1349" s="13"/>
      <c r="I1349" s="13"/>
      <c r="J1349" s="13"/>
    </row>
    <row r="1350" spans="1:10">
      <c r="A1350" s="1">
        <v>1649</v>
      </c>
      <c r="B1350" s="1">
        <v>189</v>
      </c>
      <c r="C1350" s="1">
        <v>300</v>
      </c>
      <c r="D1350" s="13"/>
      <c r="E1350" s="13"/>
      <c r="F1350" s="13"/>
      <c r="G1350" s="13"/>
      <c r="H1350" s="13"/>
      <c r="I1350" s="13"/>
      <c r="J1350" s="13"/>
    </row>
    <row r="1351" spans="1:10">
      <c r="A1351" s="1">
        <v>1650</v>
      </c>
      <c r="B1351" s="1">
        <v>189</v>
      </c>
      <c r="C1351" s="1">
        <v>300</v>
      </c>
      <c r="D1351" s="13"/>
      <c r="E1351" s="13"/>
      <c r="F1351" s="13"/>
      <c r="G1351" s="13"/>
      <c r="H1351" s="13"/>
      <c r="I1351" s="13"/>
      <c r="J1351" s="13"/>
    </row>
    <row r="1352" spans="1:10">
      <c r="A1352" s="1">
        <v>1651</v>
      </c>
      <c r="B1352" s="1">
        <v>189</v>
      </c>
      <c r="C1352" s="1">
        <v>300</v>
      </c>
      <c r="D1352" s="13"/>
      <c r="E1352" s="13"/>
      <c r="F1352" s="13"/>
      <c r="G1352" s="13"/>
      <c r="H1352" s="13"/>
      <c r="I1352" s="13"/>
      <c r="J1352" s="13"/>
    </row>
    <row r="1353" spans="1:10">
      <c r="A1353" s="1">
        <v>1652</v>
      </c>
      <c r="B1353" s="1">
        <v>189</v>
      </c>
      <c r="C1353" s="1">
        <v>300</v>
      </c>
      <c r="D1353" s="13"/>
      <c r="E1353" s="13"/>
      <c r="F1353" s="13"/>
      <c r="G1353" s="13"/>
      <c r="H1353" s="13"/>
      <c r="I1353" s="13"/>
      <c r="J1353" s="13"/>
    </row>
    <row r="1354" spans="1:10">
      <c r="A1354" s="1">
        <v>1653</v>
      </c>
      <c r="B1354" s="1">
        <v>189</v>
      </c>
      <c r="C1354" s="1">
        <v>300</v>
      </c>
      <c r="D1354" s="13"/>
      <c r="E1354" s="13"/>
      <c r="F1354" s="13"/>
      <c r="G1354" s="13"/>
      <c r="H1354" s="13"/>
      <c r="I1354" s="13"/>
      <c r="J135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8CEC4C-6153-4BEB-8146-AFB8995DA225}">
          <x14:formula1>
            <xm:f>_mySQL!$A$2:$A$51</xm:f>
          </x14:formula1>
          <xm:sqref>A2:C2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K431"/>
  <sheetViews>
    <sheetView topLeftCell="A3" workbookViewId="0">
      <selection activeCell="A17" sqref="A17"/>
    </sheetView>
  </sheetViews>
  <sheetFormatPr defaultColWidth="15.7109375" defaultRowHeight="15"/>
  <cols>
    <col min="1" max="16384" width="15.7109375" style="1"/>
  </cols>
  <sheetData>
    <row r="1" spans="1:11">
      <c r="A1" s="1" t="s">
        <v>0</v>
      </c>
      <c r="B1" s="1" t="s">
        <v>417</v>
      </c>
      <c r="C1" s="1" t="s">
        <v>304</v>
      </c>
      <c r="D1" s="1" t="s">
        <v>318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587</v>
      </c>
      <c r="B2" s="1" t="s">
        <v>585</v>
      </c>
      <c r="C2" s="1" t="s">
        <v>1331</v>
      </c>
      <c r="D2" s="1" t="s">
        <v>579</v>
      </c>
      <c r="E2" s="13" t="s">
        <v>582</v>
      </c>
      <c r="F2" s="13" t="s">
        <v>583</v>
      </c>
      <c r="G2" s="13" t="s">
        <v>584</v>
      </c>
      <c r="H2" s="13" t="s">
        <v>1331</v>
      </c>
      <c r="I2" s="13" t="s">
        <v>585</v>
      </c>
      <c r="J2" s="13" t="s">
        <v>585</v>
      </c>
      <c r="K2" s="13" t="s">
        <v>585</v>
      </c>
    </row>
    <row r="3" spans="1:11">
      <c r="A3" s="1">
        <v>4</v>
      </c>
      <c r="B3" s="1" t="s">
        <v>1458</v>
      </c>
      <c r="C3" s="1">
        <v>140450035</v>
      </c>
      <c r="D3" s="1">
        <v>100</v>
      </c>
      <c r="E3" s="13"/>
      <c r="F3" s="13"/>
      <c r="G3" s="13"/>
      <c r="H3" s="13"/>
      <c r="I3" s="13"/>
      <c r="J3" s="13"/>
      <c r="K3" s="13"/>
    </row>
    <row r="4" spans="1:11">
      <c r="A4" s="1">
        <v>5</v>
      </c>
      <c r="B4" s="1" t="s">
        <v>1459</v>
      </c>
      <c r="C4" s="1">
        <v>140450035</v>
      </c>
      <c r="D4" s="1">
        <v>1050</v>
      </c>
      <c r="E4" s="13"/>
      <c r="F4" s="13"/>
      <c r="G4" s="13"/>
      <c r="H4" s="13"/>
      <c r="I4" s="13"/>
      <c r="J4" s="13"/>
      <c r="K4" s="13"/>
    </row>
    <row r="5" spans="1:11">
      <c r="A5" s="1">
        <v>6</v>
      </c>
      <c r="B5" s="1" t="s">
        <v>1460</v>
      </c>
      <c r="C5" s="1">
        <v>140450035</v>
      </c>
      <c r="D5" s="1">
        <v>800</v>
      </c>
      <c r="E5" s="13"/>
      <c r="F5" s="13"/>
      <c r="G5" s="13"/>
      <c r="H5" s="13"/>
      <c r="I5" s="13"/>
      <c r="J5" s="13"/>
      <c r="K5" s="13"/>
    </row>
    <row r="6" spans="1:11">
      <c r="A6" s="1">
        <v>7</v>
      </c>
      <c r="B6" s="1" t="s">
        <v>1461</v>
      </c>
      <c r="C6" s="1">
        <v>140450027</v>
      </c>
      <c r="D6" s="1">
        <v>1200</v>
      </c>
      <c r="E6" s="13"/>
      <c r="F6" s="13"/>
      <c r="G6" s="13"/>
      <c r="H6" s="13"/>
      <c r="I6" s="13"/>
      <c r="J6" s="13"/>
      <c r="K6" s="13"/>
    </row>
    <row r="7" spans="1:11">
      <c r="A7" s="1">
        <v>8</v>
      </c>
      <c r="B7" s="1" t="s">
        <v>1462</v>
      </c>
      <c r="C7" s="1">
        <v>140450027</v>
      </c>
      <c r="D7" s="1">
        <v>1200</v>
      </c>
      <c r="E7" s="13"/>
      <c r="F7" s="13"/>
      <c r="G7" s="13"/>
      <c r="H7" s="13"/>
      <c r="I7" s="13"/>
      <c r="J7" s="13"/>
      <c r="K7" s="13"/>
    </row>
    <row r="8" spans="1:11">
      <c r="A8" s="1">
        <v>9</v>
      </c>
      <c r="B8" s="1" t="s">
        <v>1463</v>
      </c>
      <c r="C8" s="1">
        <v>140450027</v>
      </c>
      <c r="D8" s="1">
        <v>593</v>
      </c>
      <c r="E8" s="13"/>
      <c r="F8" s="13"/>
      <c r="G8" s="13"/>
      <c r="H8" s="13"/>
      <c r="I8" s="13"/>
      <c r="J8" s="13"/>
      <c r="K8" s="13"/>
    </row>
    <row r="9" spans="1:11">
      <c r="A9" s="1">
        <v>22</v>
      </c>
      <c r="B9" s="1" t="s">
        <v>1339</v>
      </c>
      <c r="C9" s="1">
        <v>140450035</v>
      </c>
      <c r="D9" s="1">
        <v>44</v>
      </c>
      <c r="E9" s="13"/>
      <c r="F9" s="13"/>
      <c r="G9" s="13"/>
      <c r="H9" s="13"/>
      <c r="I9" s="13"/>
      <c r="J9" s="13"/>
      <c r="K9" s="13"/>
    </row>
    <row r="10" spans="1:11">
      <c r="A10" s="1">
        <v>32</v>
      </c>
      <c r="B10" s="1" t="s">
        <v>1464</v>
      </c>
      <c r="C10" s="1">
        <v>140030040</v>
      </c>
      <c r="D10" s="1">
        <v>300</v>
      </c>
      <c r="E10" s="13"/>
      <c r="F10" s="13"/>
      <c r="G10" s="13"/>
      <c r="H10" s="13"/>
      <c r="I10" s="13"/>
      <c r="J10" s="13"/>
      <c r="K10" s="13"/>
    </row>
    <row r="11" spans="1:11">
      <c r="A11" s="1">
        <v>46</v>
      </c>
      <c r="B11" s="1" t="s">
        <v>1342</v>
      </c>
      <c r="C11" s="1">
        <v>140030040</v>
      </c>
      <c r="D11" s="1">
        <v>2900</v>
      </c>
      <c r="E11" s="13"/>
      <c r="F11" s="13"/>
      <c r="G11" s="13"/>
      <c r="H11" s="13"/>
      <c r="I11" s="13"/>
      <c r="J11" s="13"/>
      <c r="K11" s="13"/>
    </row>
    <row r="12" spans="1:11">
      <c r="A12" s="1">
        <v>49</v>
      </c>
      <c r="B12" s="1" t="s">
        <v>1343</v>
      </c>
      <c r="C12" s="1">
        <v>140020181</v>
      </c>
      <c r="D12" s="1">
        <v>1725</v>
      </c>
      <c r="E12" s="13"/>
      <c r="F12" s="13"/>
      <c r="G12" s="13"/>
      <c r="H12" s="13"/>
      <c r="I12" s="13"/>
      <c r="J12" s="13"/>
      <c r="K12" s="13"/>
    </row>
    <row r="13" spans="1:11">
      <c r="A13" s="1">
        <v>52</v>
      </c>
      <c r="B13" s="1" t="s">
        <v>1344</v>
      </c>
      <c r="C13" s="1">
        <v>140010117</v>
      </c>
      <c r="D13" s="1">
        <v>300</v>
      </c>
      <c r="E13" s="13"/>
      <c r="F13" s="13"/>
      <c r="G13" s="13"/>
      <c r="H13" s="13"/>
      <c r="I13" s="13"/>
      <c r="J13" s="13"/>
      <c r="K13" s="13"/>
    </row>
    <row r="14" spans="1:11">
      <c r="A14" s="1">
        <v>53</v>
      </c>
      <c r="B14" s="1" t="s">
        <v>1344</v>
      </c>
      <c r="C14" s="1">
        <v>140020181</v>
      </c>
      <c r="D14" s="1">
        <v>4050</v>
      </c>
      <c r="E14" s="13"/>
      <c r="F14" s="13"/>
      <c r="G14" s="13"/>
      <c r="H14" s="13"/>
      <c r="I14" s="13"/>
      <c r="J14" s="13"/>
      <c r="K14" s="13"/>
    </row>
    <row r="15" spans="1:11">
      <c r="A15" s="1">
        <v>54</v>
      </c>
      <c r="B15" s="1" t="s">
        <v>1344</v>
      </c>
      <c r="C15" s="1">
        <v>140030039</v>
      </c>
      <c r="D15" s="1">
        <v>2300</v>
      </c>
      <c r="E15" s="13"/>
      <c r="F15" s="13"/>
      <c r="G15" s="13"/>
      <c r="H15" s="13"/>
      <c r="I15" s="13"/>
      <c r="J15" s="13"/>
      <c r="K15" s="13"/>
    </row>
    <row r="16" spans="1:11">
      <c r="A16" s="1">
        <v>56</v>
      </c>
      <c r="B16" s="1" t="s">
        <v>1455</v>
      </c>
      <c r="C16" s="1">
        <v>140010117</v>
      </c>
      <c r="D16" s="1">
        <v>1200</v>
      </c>
      <c r="E16" s="13"/>
      <c r="F16" s="13"/>
      <c r="G16" s="13"/>
      <c r="H16" s="13"/>
      <c r="I16" s="13"/>
      <c r="J16" s="13"/>
      <c r="K16" s="13"/>
    </row>
    <row r="17" spans="1:11">
      <c r="A17" s="1">
        <v>58</v>
      </c>
      <c r="B17" s="1" t="s">
        <v>1455</v>
      </c>
      <c r="C17" s="1">
        <v>140020181</v>
      </c>
      <c r="D17" s="1">
        <v>2250</v>
      </c>
      <c r="E17" s="13"/>
      <c r="F17" s="13"/>
      <c r="G17" s="13"/>
      <c r="H17" s="13"/>
      <c r="I17" s="13"/>
      <c r="J17" s="13"/>
      <c r="K17" s="13"/>
    </row>
    <row r="18" spans="1:11">
      <c r="A18" s="1">
        <v>59</v>
      </c>
      <c r="B18" s="1" t="s">
        <v>1455</v>
      </c>
      <c r="C18" s="1">
        <v>140030039</v>
      </c>
      <c r="D18" s="1">
        <v>2000</v>
      </c>
      <c r="E18" s="13"/>
      <c r="F18" s="13"/>
      <c r="G18" s="13"/>
      <c r="H18" s="13"/>
      <c r="I18" s="13"/>
      <c r="J18" s="13"/>
      <c r="K18" s="13"/>
    </row>
    <row r="19" spans="1:11">
      <c r="A19" s="1">
        <v>60</v>
      </c>
      <c r="B19" s="1" t="s">
        <v>1455</v>
      </c>
      <c r="C19" s="1">
        <v>140030040</v>
      </c>
      <c r="D19" s="1">
        <v>1300</v>
      </c>
      <c r="E19" s="13"/>
      <c r="F19" s="13"/>
      <c r="G19" s="13"/>
      <c r="H19" s="13"/>
      <c r="I19" s="13"/>
      <c r="J19" s="13"/>
      <c r="K19" s="13"/>
    </row>
    <row r="20" spans="1:11">
      <c r="A20" s="1">
        <v>64</v>
      </c>
      <c r="B20" s="1" t="s">
        <v>1345</v>
      </c>
      <c r="C20" s="1">
        <v>140030039</v>
      </c>
      <c r="D20" s="1">
        <v>1800</v>
      </c>
      <c r="E20" s="13"/>
      <c r="F20" s="13"/>
      <c r="G20" s="13"/>
      <c r="H20" s="13"/>
      <c r="I20" s="13"/>
      <c r="J20" s="13"/>
      <c r="K20" s="13"/>
    </row>
    <row r="21" spans="1:11">
      <c r="A21" s="1">
        <v>65</v>
      </c>
      <c r="B21" s="1" t="s">
        <v>1345</v>
      </c>
      <c r="C21" s="1">
        <v>140030040</v>
      </c>
      <c r="D21" s="1">
        <v>3500</v>
      </c>
      <c r="E21" s="13"/>
      <c r="F21" s="13"/>
      <c r="G21" s="13"/>
      <c r="H21" s="13"/>
      <c r="I21" s="13"/>
      <c r="J21" s="13"/>
      <c r="K21" s="13"/>
    </row>
    <row r="22" spans="1:11">
      <c r="A22" s="1">
        <v>67</v>
      </c>
      <c r="B22" s="1" t="s">
        <v>1346</v>
      </c>
      <c r="C22" s="1">
        <v>140030039</v>
      </c>
      <c r="D22" s="1">
        <v>1300</v>
      </c>
      <c r="E22" s="13"/>
      <c r="F22" s="13"/>
      <c r="G22" s="13"/>
      <c r="H22" s="13"/>
      <c r="I22" s="13"/>
      <c r="J22" s="13"/>
      <c r="K22" s="13"/>
    </row>
    <row r="23" spans="1:11">
      <c r="A23" s="1">
        <v>68</v>
      </c>
      <c r="B23" s="1" t="s">
        <v>1346</v>
      </c>
      <c r="C23" s="1">
        <v>140030040</v>
      </c>
      <c r="D23" s="1">
        <v>2200</v>
      </c>
      <c r="E23" s="13"/>
      <c r="F23" s="13"/>
      <c r="G23" s="13"/>
      <c r="H23" s="13"/>
      <c r="I23" s="13"/>
      <c r="J23" s="13"/>
      <c r="K23" s="13"/>
    </row>
    <row r="24" spans="1:11">
      <c r="A24" s="1">
        <v>70</v>
      </c>
      <c r="B24" s="1" t="s">
        <v>1347</v>
      </c>
      <c r="C24" s="1">
        <v>140020181</v>
      </c>
      <c r="D24" s="1">
        <v>75</v>
      </c>
      <c r="E24" s="13"/>
      <c r="F24" s="13"/>
      <c r="G24" s="13"/>
      <c r="H24" s="13"/>
      <c r="I24" s="13"/>
      <c r="J24" s="13"/>
      <c r="K24" s="13"/>
    </row>
    <row r="25" spans="1:11">
      <c r="A25" s="1">
        <v>71</v>
      </c>
      <c r="B25" s="1" t="s">
        <v>1347</v>
      </c>
      <c r="C25" s="1">
        <v>140030040</v>
      </c>
      <c r="D25" s="1">
        <v>900</v>
      </c>
      <c r="E25" s="13"/>
      <c r="F25" s="13"/>
      <c r="G25" s="13"/>
      <c r="H25" s="13"/>
      <c r="I25" s="13"/>
      <c r="J25" s="13"/>
      <c r="K25" s="13"/>
    </row>
    <row r="26" spans="1:11">
      <c r="A26" s="1">
        <v>72</v>
      </c>
      <c r="B26" s="1" t="s">
        <v>1347</v>
      </c>
      <c r="C26" s="1">
        <v>140310096</v>
      </c>
      <c r="D26" s="1">
        <v>1300</v>
      </c>
      <c r="E26" s="13"/>
      <c r="F26" s="13"/>
      <c r="G26" s="13"/>
      <c r="H26" s="13"/>
      <c r="I26" s="13"/>
      <c r="J26" s="13"/>
      <c r="K26" s="13"/>
    </row>
    <row r="27" spans="1:11">
      <c r="A27" s="1">
        <v>76</v>
      </c>
      <c r="B27" s="1" t="s">
        <v>1348</v>
      </c>
      <c r="C27" s="1">
        <v>140010117</v>
      </c>
      <c r="D27" s="1">
        <v>1950</v>
      </c>
      <c r="E27" s="13"/>
      <c r="F27" s="13"/>
      <c r="G27" s="13"/>
      <c r="H27" s="13"/>
      <c r="I27" s="13"/>
      <c r="J27" s="13"/>
      <c r="K27" s="13"/>
    </row>
    <row r="28" spans="1:11">
      <c r="A28" s="1">
        <v>77</v>
      </c>
      <c r="B28" s="1" t="s">
        <v>1348</v>
      </c>
      <c r="C28" s="1">
        <v>140010230</v>
      </c>
      <c r="D28" s="1">
        <v>300</v>
      </c>
      <c r="E28" s="13"/>
      <c r="F28" s="13"/>
      <c r="G28" s="13"/>
      <c r="H28" s="13"/>
      <c r="I28" s="13"/>
      <c r="J28" s="13"/>
      <c r="K28" s="13"/>
    </row>
    <row r="29" spans="1:11">
      <c r="A29" s="1">
        <v>78</v>
      </c>
      <c r="B29" s="1" t="s">
        <v>1348</v>
      </c>
      <c r="C29" s="1">
        <v>140030039</v>
      </c>
      <c r="D29" s="1">
        <v>1500</v>
      </c>
      <c r="E29" s="13"/>
      <c r="F29" s="13"/>
      <c r="G29" s="13"/>
      <c r="H29" s="13"/>
      <c r="I29" s="13"/>
      <c r="J29" s="13"/>
      <c r="K29" s="13"/>
    </row>
    <row r="30" spans="1:11">
      <c r="A30" s="1">
        <v>79</v>
      </c>
      <c r="B30" s="1" t="s">
        <v>1348</v>
      </c>
      <c r="C30" s="1">
        <v>140310096</v>
      </c>
      <c r="D30" s="1">
        <v>600</v>
      </c>
      <c r="E30" s="13"/>
      <c r="F30" s="13"/>
      <c r="G30" s="13"/>
      <c r="H30" s="13"/>
      <c r="I30" s="13"/>
      <c r="J30" s="13"/>
      <c r="K30" s="13"/>
    </row>
    <row r="31" spans="1:11">
      <c r="A31" s="1">
        <v>82</v>
      </c>
      <c r="B31" s="1" t="s">
        <v>1419</v>
      </c>
      <c r="C31" s="1">
        <v>140310058</v>
      </c>
      <c r="D31" s="1">
        <v>1300</v>
      </c>
      <c r="E31" s="13"/>
      <c r="F31" s="13"/>
      <c r="G31" s="13"/>
      <c r="H31" s="13"/>
      <c r="I31" s="13"/>
      <c r="J31" s="13"/>
      <c r="K31" s="13"/>
    </row>
    <row r="32" spans="1:11">
      <c r="A32" s="1">
        <v>83</v>
      </c>
      <c r="B32" s="1" t="s">
        <v>1349</v>
      </c>
      <c r="C32" s="1">
        <v>140010117</v>
      </c>
      <c r="D32" s="1">
        <v>1800</v>
      </c>
      <c r="E32" s="13"/>
      <c r="F32" s="13"/>
      <c r="G32" s="13"/>
      <c r="H32" s="13"/>
      <c r="I32" s="13"/>
      <c r="J32" s="13"/>
      <c r="K32" s="13"/>
    </row>
    <row r="33" spans="1:11">
      <c r="A33" s="1">
        <v>84</v>
      </c>
      <c r="B33" s="1" t="s">
        <v>1349</v>
      </c>
      <c r="C33" s="1">
        <v>140010230</v>
      </c>
      <c r="D33" s="1">
        <v>2850</v>
      </c>
      <c r="E33" s="13"/>
      <c r="F33" s="13"/>
      <c r="G33" s="13"/>
      <c r="H33" s="13"/>
      <c r="I33" s="13"/>
      <c r="J33" s="13"/>
      <c r="K33" s="13"/>
    </row>
    <row r="34" spans="1:11">
      <c r="A34" s="1">
        <v>85</v>
      </c>
      <c r="B34" s="1" t="s">
        <v>1349</v>
      </c>
      <c r="C34" s="1">
        <v>140010255</v>
      </c>
      <c r="D34" s="1">
        <v>600</v>
      </c>
      <c r="E34" s="13"/>
      <c r="F34" s="13"/>
      <c r="G34" s="13"/>
      <c r="H34" s="13"/>
      <c r="I34" s="13"/>
      <c r="J34" s="13"/>
      <c r="K34" s="13"/>
    </row>
    <row r="35" spans="1:11">
      <c r="A35" s="1">
        <v>86</v>
      </c>
      <c r="B35" s="1" t="s">
        <v>1349</v>
      </c>
      <c r="C35" s="1">
        <v>140310096</v>
      </c>
      <c r="D35" s="1">
        <v>1000</v>
      </c>
      <c r="E35" s="13"/>
      <c r="F35" s="13"/>
      <c r="G35" s="13"/>
      <c r="H35" s="13"/>
      <c r="I35" s="13"/>
      <c r="J35" s="13"/>
      <c r="K35" s="13"/>
    </row>
    <row r="36" spans="1:11">
      <c r="A36" s="1">
        <v>88</v>
      </c>
      <c r="B36" s="1" t="s">
        <v>1350</v>
      </c>
      <c r="C36" s="1">
        <v>140010117</v>
      </c>
      <c r="D36" s="1">
        <v>750</v>
      </c>
      <c r="E36" s="13"/>
      <c r="F36" s="13"/>
      <c r="G36" s="13"/>
      <c r="H36" s="13"/>
      <c r="I36" s="13"/>
      <c r="J36" s="13"/>
      <c r="K36" s="13"/>
    </row>
    <row r="37" spans="1:11">
      <c r="A37" s="1">
        <v>89</v>
      </c>
      <c r="B37" s="1" t="s">
        <v>1350</v>
      </c>
      <c r="C37" s="1">
        <v>140010230</v>
      </c>
      <c r="D37" s="1">
        <v>1700</v>
      </c>
      <c r="E37" s="13"/>
      <c r="F37" s="13"/>
      <c r="G37" s="13"/>
      <c r="H37" s="13"/>
      <c r="I37" s="13"/>
      <c r="J37" s="13"/>
      <c r="K37" s="13"/>
    </row>
    <row r="38" spans="1:11">
      <c r="A38" s="1">
        <v>90</v>
      </c>
      <c r="B38" s="1" t="s">
        <v>1350</v>
      </c>
      <c r="C38" s="1">
        <v>140010255</v>
      </c>
      <c r="D38" s="1">
        <v>400</v>
      </c>
      <c r="E38" s="13"/>
      <c r="F38" s="13"/>
      <c r="G38" s="13"/>
      <c r="H38" s="13"/>
      <c r="I38" s="13"/>
      <c r="J38" s="13"/>
      <c r="K38" s="13"/>
    </row>
    <row r="39" spans="1:11">
      <c r="A39" s="1">
        <v>91</v>
      </c>
      <c r="B39" s="1" t="s">
        <v>1350</v>
      </c>
      <c r="C39" s="1">
        <v>140030039</v>
      </c>
      <c r="D39" s="1">
        <v>2200</v>
      </c>
      <c r="E39" s="13"/>
      <c r="F39" s="13"/>
      <c r="G39" s="13"/>
      <c r="H39" s="13"/>
      <c r="I39" s="13"/>
      <c r="J39" s="13"/>
      <c r="K39" s="13"/>
    </row>
    <row r="40" spans="1:11">
      <c r="A40" s="1">
        <v>92</v>
      </c>
      <c r="B40" s="1" t="s">
        <v>1350</v>
      </c>
      <c r="C40" s="1">
        <v>140310096</v>
      </c>
      <c r="D40" s="1">
        <v>100</v>
      </c>
      <c r="E40" s="13"/>
      <c r="F40" s="13"/>
      <c r="G40" s="13"/>
      <c r="H40" s="13"/>
      <c r="I40" s="13"/>
      <c r="J40" s="13"/>
      <c r="K40" s="13"/>
    </row>
    <row r="41" spans="1:11">
      <c r="A41" s="1">
        <v>94</v>
      </c>
      <c r="B41" s="1" t="s">
        <v>1351</v>
      </c>
      <c r="C41" s="1">
        <v>140010117</v>
      </c>
      <c r="D41" s="1">
        <v>975</v>
      </c>
      <c r="E41" s="13"/>
      <c r="F41" s="13"/>
      <c r="G41" s="13"/>
      <c r="H41" s="13"/>
      <c r="I41" s="13"/>
      <c r="J41" s="13"/>
      <c r="K41" s="13"/>
    </row>
    <row r="42" spans="1:11">
      <c r="A42" s="1">
        <v>95</v>
      </c>
      <c r="B42" s="1" t="s">
        <v>1351</v>
      </c>
      <c r="C42" s="1">
        <v>140010230</v>
      </c>
      <c r="D42" s="1">
        <v>3000</v>
      </c>
      <c r="E42" s="13"/>
      <c r="F42" s="13"/>
      <c r="G42" s="13"/>
      <c r="H42" s="13"/>
      <c r="I42" s="13"/>
      <c r="J42" s="13"/>
      <c r="K42" s="13"/>
    </row>
    <row r="43" spans="1:11">
      <c r="A43" s="1">
        <v>96</v>
      </c>
      <c r="B43" s="1" t="s">
        <v>1351</v>
      </c>
      <c r="C43" s="1">
        <v>140030039</v>
      </c>
      <c r="D43" s="1">
        <v>600</v>
      </c>
      <c r="E43" s="13"/>
      <c r="F43" s="13"/>
      <c r="G43" s="13"/>
      <c r="H43" s="13"/>
      <c r="I43" s="13"/>
      <c r="J43" s="13"/>
      <c r="K43" s="13"/>
    </row>
    <row r="44" spans="1:11">
      <c r="A44" s="1">
        <v>97</v>
      </c>
      <c r="B44" s="1" t="s">
        <v>1351</v>
      </c>
      <c r="C44" s="1">
        <v>140030040</v>
      </c>
      <c r="D44" s="1">
        <v>500</v>
      </c>
      <c r="E44" s="13"/>
      <c r="F44" s="13"/>
      <c r="G44" s="13"/>
      <c r="H44" s="13"/>
      <c r="I44" s="13"/>
      <c r="J44" s="13"/>
      <c r="K44" s="13"/>
    </row>
    <row r="45" spans="1:11">
      <c r="A45" s="1">
        <v>98</v>
      </c>
      <c r="B45" s="1" t="s">
        <v>1351</v>
      </c>
      <c r="C45" s="1">
        <v>140310058</v>
      </c>
      <c r="D45" s="1">
        <v>800</v>
      </c>
      <c r="E45" s="13"/>
      <c r="F45" s="13"/>
      <c r="G45" s="13"/>
      <c r="H45" s="13"/>
      <c r="I45" s="13"/>
      <c r="J45" s="13"/>
      <c r="K45" s="13"/>
    </row>
    <row r="46" spans="1:11">
      <c r="A46" s="1">
        <v>99</v>
      </c>
      <c r="B46" s="1" t="s">
        <v>1352</v>
      </c>
      <c r="C46" s="1">
        <v>140010117</v>
      </c>
      <c r="D46" s="1">
        <v>300</v>
      </c>
      <c r="E46" s="13"/>
      <c r="F46" s="13"/>
      <c r="G46" s="13"/>
      <c r="H46" s="13"/>
      <c r="I46" s="13"/>
      <c r="J46" s="13"/>
      <c r="K46" s="13"/>
    </row>
    <row r="47" spans="1:11">
      <c r="A47" s="1">
        <v>100</v>
      </c>
      <c r="B47" s="1" t="s">
        <v>1352</v>
      </c>
      <c r="C47" s="1">
        <v>140010230</v>
      </c>
      <c r="D47" s="1">
        <v>1000</v>
      </c>
      <c r="E47" s="13"/>
      <c r="F47" s="13"/>
      <c r="G47" s="13"/>
      <c r="H47" s="13"/>
      <c r="I47" s="13"/>
      <c r="J47" s="13"/>
      <c r="K47" s="13"/>
    </row>
    <row r="48" spans="1:11">
      <c r="A48" s="1">
        <v>101</v>
      </c>
      <c r="B48" s="1" t="s">
        <v>1352</v>
      </c>
      <c r="C48" s="1">
        <v>140030039</v>
      </c>
      <c r="D48" s="1">
        <v>100</v>
      </c>
      <c r="E48" s="13"/>
      <c r="F48" s="13"/>
      <c r="G48" s="13"/>
      <c r="H48" s="13"/>
      <c r="I48" s="13"/>
      <c r="J48" s="13"/>
      <c r="K48" s="13"/>
    </row>
    <row r="49" spans="1:11">
      <c r="A49" s="1">
        <v>102</v>
      </c>
      <c r="B49" s="1" t="s">
        <v>1352</v>
      </c>
      <c r="C49" s="1">
        <v>140310058</v>
      </c>
      <c r="D49" s="1">
        <v>1500</v>
      </c>
      <c r="E49" s="13"/>
      <c r="F49" s="13"/>
      <c r="G49" s="13"/>
      <c r="H49" s="13"/>
      <c r="I49" s="13"/>
      <c r="J49" s="13"/>
      <c r="K49" s="13"/>
    </row>
    <row r="50" spans="1:11">
      <c r="A50" s="1">
        <v>104</v>
      </c>
      <c r="B50" s="1" t="s">
        <v>1352</v>
      </c>
      <c r="C50" s="1">
        <v>141320055</v>
      </c>
      <c r="D50" s="1">
        <v>3200</v>
      </c>
      <c r="E50" s="13"/>
      <c r="F50" s="13"/>
      <c r="G50" s="13"/>
      <c r="H50" s="13"/>
      <c r="I50" s="13"/>
      <c r="J50" s="13"/>
      <c r="K50" s="13"/>
    </row>
    <row r="51" spans="1:11">
      <c r="A51" s="1">
        <v>105</v>
      </c>
      <c r="B51" s="1" t="s">
        <v>1427</v>
      </c>
      <c r="C51" s="1">
        <v>140010230</v>
      </c>
      <c r="D51" s="1">
        <v>450</v>
      </c>
      <c r="E51" s="13"/>
      <c r="F51" s="13"/>
      <c r="G51" s="13"/>
      <c r="H51" s="13"/>
      <c r="I51" s="13"/>
      <c r="J51" s="13"/>
      <c r="K51" s="13"/>
    </row>
    <row r="52" spans="1:11">
      <c r="A52" s="1">
        <v>106</v>
      </c>
      <c r="B52" s="1" t="s">
        <v>1427</v>
      </c>
      <c r="C52" s="1">
        <v>140030039</v>
      </c>
      <c r="D52" s="1">
        <v>200</v>
      </c>
      <c r="E52" s="13"/>
      <c r="F52" s="13"/>
      <c r="G52" s="13"/>
      <c r="H52" s="13"/>
      <c r="I52" s="13"/>
      <c r="J52" s="13"/>
      <c r="K52" s="13"/>
    </row>
    <row r="53" spans="1:11">
      <c r="A53" s="1">
        <v>107</v>
      </c>
      <c r="B53" s="1" t="s">
        <v>1427</v>
      </c>
      <c r="C53" s="1">
        <v>140030040</v>
      </c>
      <c r="D53" s="1">
        <v>1500</v>
      </c>
      <c r="E53" s="13"/>
      <c r="F53" s="13"/>
      <c r="G53" s="13"/>
      <c r="H53" s="13"/>
      <c r="I53" s="13"/>
      <c r="J53" s="13"/>
      <c r="K53" s="13"/>
    </row>
    <row r="54" spans="1:11">
      <c r="A54" s="1">
        <v>109</v>
      </c>
      <c r="B54" s="1" t="s">
        <v>1427</v>
      </c>
      <c r="C54" s="1">
        <v>140310031</v>
      </c>
      <c r="D54" s="1">
        <v>514</v>
      </c>
      <c r="E54" s="13"/>
      <c r="F54" s="13"/>
      <c r="G54" s="13"/>
      <c r="H54" s="13"/>
      <c r="I54" s="13"/>
      <c r="J54" s="13"/>
      <c r="K54" s="13"/>
    </row>
    <row r="55" spans="1:11">
      <c r="A55" s="1">
        <v>110</v>
      </c>
      <c r="B55" s="1" t="s">
        <v>1427</v>
      </c>
      <c r="C55" s="1">
        <v>140310058</v>
      </c>
      <c r="D55" s="1">
        <v>450</v>
      </c>
      <c r="E55" s="13"/>
      <c r="F55" s="13"/>
      <c r="G55" s="13"/>
      <c r="H55" s="13"/>
      <c r="I55" s="13"/>
      <c r="J55" s="13"/>
      <c r="K55" s="13"/>
    </row>
    <row r="56" spans="1:11">
      <c r="A56" s="1">
        <v>112</v>
      </c>
      <c r="B56" s="1" t="s">
        <v>1427</v>
      </c>
      <c r="C56" s="1">
        <v>141320055</v>
      </c>
      <c r="D56" s="1">
        <v>2200</v>
      </c>
      <c r="E56" s="13"/>
      <c r="F56" s="13"/>
      <c r="G56" s="13"/>
      <c r="H56" s="13"/>
      <c r="I56" s="13"/>
      <c r="J56" s="13"/>
      <c r="K56" s="13"/>
    </row>
    <row r="57" spans="1:11">
      <c r="A57" s="1">
        <v>113</v>
      </c>
      <c r="B57" s="1" t="s">
        <v>1465</v>
      </c>
      <c r="C57" s="1">
        <v>140010230</v>
      </c>
      <c r="D57" s="1">
        <v>1000</v>
      </c>
      <c r="E57" s="13"/>
      <c r="F57" s="13"/>
      <c r="G57" s="13"/>
      <c r="H57" s="13"/>
      <c r="I57" s="13"/>
      <c r="J57" s="13"/>
      <c r="K57" s="13"/>
    </row>
    <row r="58" spans="1:11">
      <c r="A58" s="1">
        <v>114</v>
      </c>
      <c r="B58" s="1" t="s">
        <v>1465</v>
      </c>
      <c r="C58" s="1">
        <v>140310058</v>
      </c>
      <c r="D58" s="1">
        <v>1950</v>
      </c>
      <c r="E58" s="13"/>
      <c r="F58" s="13"/>
      <c r="G58" s="13"/>
      <c r="H58" s="13"/>
      <c r="I58" s="13"/>
      <c r="J58" s="13"/>
      <c r="K58" s="13"/>
    </row>
    <row r="59" spans="1:11">
      <c r="A59" s="1">
        <v>115</v>
      </c>
      <c r="B59" s="1" t="s">
        <v>1465</v>
      </c>
      <c r="C59" s="1">
        <v>141320055</v>
      </c>
      <c r="D59" s="1">
        <v>900</v>
      </c>
      <c r="E59" s="13"/>
      <c r="F59" s="13"/>
      <c r="G59" s="13"/>
      <c r="H59" s="13"/>
      <c r="I59" s="13"/>
      <c r="J59" s="13"/>
      <c r="K59" s="13"/>
    </row>
    <row r="60" spans="1:11">
      <c r="A60" s="1">
        <v>116</v>
      </c>
      <c r="B60" s="1" t="s">
        <v>1428</v>
      </c>
      <c r="C60" s="1">
        <v>140010230</v>
      </c>
      <c r="D60" s="1">
        <v>2350</v>
      </c>
      <c r="E60" s="13"/>
      <c r="F60" s="13"/>
      <c r="G60" s="13"/>
      <c r="H60" s="13"/>
      <c r="I60" s="13"/>
      <c r="J60" s="13"/>
      <c r="K60" s="13"/>
    </row>
    <row r="61" spans="1:11">
      <c r="A61" s="1">
        <v>117</v>
      </c>
      <c r="B61" s="1" t="s">
        <v>1428</v>
      </c>
      <c r="C61" s="1">
        <v>140030040</v>
      </c>
      <c r="D61" s="1">
        <v>1400</v>
      </c>
      <c r="E61" s="13"/>
      <c r="F61" s="13"/>
      <c r="G61" s="13"/>
      <c r="H61" s="13"/>
      <c r="I61" s="13"/>
      <c r="J61" s="13"/>
      <c r="K61" s="13"/>
    </row>
    <row r="62" spans="1:11">
      <c r="A62" s="1">
        <v>118</v>
      </c>
      <c r="B62" s="1" t="s">
        <v>1353</v>
      </c>
      <c r="C62" s="1">
        <v>140010230</v>
      </c>
      <c r="D62" s="1">
        <v>3450</v>
      </c>
      <c r="E62" s="13"/>
      <c r="F62" s="13"/>
      <c r="G62" s="13"/>
      <c r="H62" s="13"/>
      <c r="I62" s="13"/>
      <c r="J62" s="13"/>
      <c r="K62" s="13"/>
    </row>
    <row r="63" spans="1:11">
      <c r="A63" s="1">
        <v>119</v>
      </c>
      <c r="B63" s="1" t="s">
        <v>1354</v>
      </c>
      <c r="C63" s="1">
        <v>140010117</v>
      </c>
      <c r="D63" s="1">
        <v>1800</v>
      </c>
      <c r="E63" s="13"/>
      <c r="F63" s="13"/>
      <c r="G63" s="13"/>
      <c r="H63" s="13"/>
      <c r="I63" s="13"/>
      <c r="J63" s="13"/>
      <c r="K63" s="13"/>
    </row>
    <row r="64" spans="1:11">
      <c r="A64" s="1">
        <v>120</v>
      </c>
      <c r="B64" s="1" t="s">
        <v>1354</v>
      </c>
      <c r="C64" s="1">
        <v>140010230</v>
      </c>
      <c r="D64" s="1">
        <v>1800</v>
      </c>
      <c r="E64" s="13"/>
      <c r="F64" s="13"/>
      <c r="G64" s="13"/>
      <c r="H64" s="13"/>
      <c r="I64" s="13"/>
      <c r="J64" s="13"/>
      <c r="K64" s="13"/>
    </row>
    <row r="65" spans="1:11">
      <c r="A65" s="1">
        <v>121</v>
      </c>
      <c r="B65" s="1" t="s">
        <v>1354</v>
      </c>
      <c r="C65" s="1">
        <v>140030039</v>
      </c>
      <c r="D65" s="1">
        <v>400</v>
      </c>
      <c r="E65" s="13"/>
      <c r="F65" s="13"/>
      <c r="G65" s="13"/>
      <c r="H65" s="13"/>
      <c r="I65" s="13"/>
      <c r="J65" s="13"/>
      <c r="K65" s="13"/>
    </row>
    <row r="66" spans="1:11">
      <c r="A66" s="1">
        <v>122</v>
      </c>
      <c r="B66" s="1" t="s">
        <v>1354</v>
      </c>
      <c r="C66" s="1">
        <v>140030040</v>
      </c>
      <c r="D66" s="1">
        <v>100</v>
      </c>
      <c r="E66" s="13"/>
      <c r="F66" s="13"/>
      <c r="G66" s="13"/>
      <c r="H66" s="13"/>
      <c r="I66" s="13"/>
      <c r="J66" s="13"/>
      <c r="K66" s="13"/>
    </row>
    <row r="67" spans="1:11">
      <c r="A67" s="1">
        <v>123</v>
      </c>
      <c r="B67" s="1" t="s">
        <v>1355</v>
      </c>
      <c r="C67" s="1">
        <v>140010117</v>
      </c>
      <c r="D67" s="1">
        <v>1275</v>
      </c>
      <c r="E67" s="13"/>
      <c r="F67" s="13"/>
      <c r="G67" s="13"/>
      <c r="H67" s="13"/>
      <c r="I67" s="13"/>
      <c r="J67" s="13"/>
      <c r="K67" s="13"/>
    </row>
    <row r="68" spans="1:11">
      <c r="A68" s="1">
        <v>124</v>
      </c>
      <c r="B68" s="1" t="s">
        <v>1355</v>
      </c>
      <c r="C68" s="1">
        <v>140010230</v>
      </c>
      <c r="D68" s="1">
        <v>450</v>
      </c>
      <c r="E68" s="13"/>
      <c r="F68" s="13"/>
      <c r="G68" s="13"/>
      <c r="H68" s="13"/>
      <c r="I68" s="13"/>
      <c r="J68" s="13"/>
      <c r="K68" s="13"/>
    </row>
    <row r="69" spans="1:11">
      <c r="A69" s="1">
        <v>125</v>
      </c>
      <c r="B69" s="1" t="s">
        <v>1355</v>
      </c>
      <c r="C69" s="1">
        <v>140020181</v>
      </c>
      <c r="D69" s="1">
        <v>300</v>
      </c>
      <c r="E69" s="13"/>
      <c r="F69" s="13"/>
      <c r="G69" s="13"/>
      <c r="H69" s="13"/>
      <c r="I69" s="13"/>
      <c r="J69" s="13"/>
      <c r="K69" s="13"/>
    </row>
    <row r="70" spans="1:11">
      <c r="A70" s="1">
        <v>126</v>
      </c>
      <c r="B70" s="1" t="s">
        <v>1356</v>
      </c>
      <c r="C70" s="1">
        <v>140010117</v>
      </c>
      <c r="D70" s="1">
        <v>825</v>
      </c>
      <c r="E70" s="13"/>
      <c r="F70" s="13"/>
      <c r="G70" s="13"/>
      <c r="H70" s="13"/>
      <c r="I70" s="13"/>
      <c r="J70" s="13"/>
      <c r="K70" s="13"/>
    </row>
    <row r="71" spans="1:11">
      <c r="A71" s="1">
        <v>127</v>
      </c>
      <c r="B71" s="1" t="s">
        <v>1356</v>
      </c>
      <c r="C71" s="1">
        <v>140020181</v>
      </c>
      <c r="D71" s="1">
        <v>1350</v>
      </c>
      <c r="E71" s="13"/>
      <c r="F71" s="13"/>
      <c r="G71" s="13"/>
      <c r="H71" s="13"/>
      <c r="I71" s="13"/>
      <c r="J71" s="13"/>
      <c r="K71" s="13"/>
    </row>
    <row r="72" spans="1:11">
      <c r="A72" s="1">
        <v>128</v>
      </c>
      <c r="B72" s="1" t="s">
        <v>1357</v>
      </c>
      <c r="C72" s="1">
        <v>140010230</v>
      </c>
      <c r="D72" s="1">
        <v>500</v>
      </c>
      <c r="E72" s="13"/>
      <c r="F72" s="13"/>
      <c r="G72" s="13"/>
      <c r="H72" s="13"/>
      <c r="I72" s="13"/>
      <c r="J72" s="13"/>
      <c r="K72" s="13"/>
    </row>
    <row r="73" spans="1:11">
      <c r="A73" s="1">
        <v>129</v>
      </c>
      <c r="B73" s="1" t="s">
        <v>1357</v>
      </c>
      <c r="C73" s="1">
        <v>140020181</v>
      </c>
      <c r="D73" s="1">
        <v>3150</v>
      </c>
      <c r="E73" s="13"/>
      <c r="F73" s="13"/>
      <c r="G73" s="13"/>
      <c r="H73" s="13"/>
      <c r="I73" s="13"/>
      <c r="J73" s="13"/>
      <c r="K73" s="13"/>
    </row>
    <row r="74" spans="1:11">
      <c r="A74" s="1">
        <v>130</v>
      </c>
      <c r="B74" s="1" t="s">
        <v>1357</v>
      </c>
      <c r="C74" s="1">
        <v>140030039</v>
      </c>
      <c r="D74" s="1">
        <v>600</v>
      </c>
      <c r="E74" s="13"/>
      <c r="F74" s="13"/>
      <c r="G74" s="13"/>
      <c r="H74" s="13"/>
      <c r="I74" s="13"/>
      <c r="J74" s="13"/>
      <c r="K74" s="13"/>
    </row>
    <row r="75" spans="1:11">
      <c r="A75" s="1">
        <v>131</v>
      </c>
      <c r="B75" s="1" t="s">
        <v>1358</v>
      </c>
      <c r="C75" s="1">
        <v>140010230</v>
      </c>
      <c r="D75" s="1">
        <v>1900</v>
      </c>
      <c r="E75" s="13"/>
      <c r="F75" s="13"/>
      <c r="G75" s="13"/>
      <c r="H75" s="13"/>
      <c r="I75" s="13"/>
      <c r="J75" s="13"/>
      <c r="K75" s="13"/>
    </row>
    <row r="76" spans="1:11">
      <c r="A76" s="1">
        <v>132</v>
      </c>
      <c r="B76" s="1" t="s">
        <v>1358</v>
      </c>
      <c r="C76" s="1">
        <v>140020181</v>
      </c>
      <c r="D76" s="1">
        <v>975</v>
      </c>
      <c r="E76" s="13"/>
      <c r="F76" s="13"/>
      <c r="G76" s="13"/>
      <c r="H76" s="13"/>
      <c r="I76" s="13"/>
      <c r="J76" s="13"/>
      <c r="K76" s="13"/>
    </row>
    <row r="77" spans="1:11">
      <c r="A77" s="1">
        <v>133</v>
      </c>
      <c r="B77" s="1" t="s">
        <v>1358</v>
      </c>
      <c r="C77" s="1">
        <v>140030039</v>
      </c>
      <c r="D77" s="1">
        <v>1100</v>
      </c>
      <c r="E77" s="13"/>
      <c r="F77" s="13"/>
      <c r="G77" s="13"/>
      <c r="H77" s="13"/>
      <c r="I77" s="13"/>
      <c r="J77" s="13"/>
      <c r="K77" s="13"/>
    </row>
    <row r="78" spans="1:11">
      <c r="A78" s="1">
        <v>134</v>
      </c>
      <c r="B78" s="1" t="s">
        <v>1359</v>
      </c>
      <c r="C78" s="1">
        <v>140010117</v>
      </c>
      <c r="D78" s="1">
        <v>375</v>
      </c>
      <c r="E78" s="13"/>
      <c r="F78" s="13"/>
      <c r="G78" s="13"/>
      <c r="H78" s="13"/>
      <c r="I78" s="13"/>
      <c r="J78" s="13"/>
      <c r="K78" s="13"/>
    </row>
    <row r="79" spans="1:11">
      <c r="A79" s="1">
        <v>135</v>
      </c>
      <c r="B79" s="1" t="s">
        <v>1359</v>
      </c>
      <c r="C79" s="1">
        <v>140010230</v>
      </c>
      <c r="D79" s="1">
        <v>1050</v>
      </c>
      <c r="E79" s="13"/>
      <c r="F79" s="13"/>
      <c r="G79" s="13"/>
      <c r="H79" s="13"/>
      <c r="I79" s="13"/>
      <c r="J79" s="13"/>
      <c r="K79" s="13"/>
    </row>
    <row r="80" spans="1:11">
      <c r="A80" s="1">
        <v>136</v>
      </c>
      <c r="B80" s="1" t="s">
        <v>1359</v>
      </c>
      <c r="C80" s="1">
        <v>140020181</v>
      </c>
      <c r="D80" s="1">
        <v>825</v>
      </c>
      <c r="E80" s="13"/>
      <c r="F80" s="13"/>
      <c r="G80" s="13"/>
      <c r="H80" s="13"/>
      <c r="I80" s="13"/>
      <c r="J80" s="13"/>
      <c r="K80" s="13"/>
    </row>
    <row r="81" spans="1:11">
      <c r="A81" s="1">
        <v>137</v>
      </c>
      <c r="B81" s="1" t="s">
        <v>1359</v>
      </c>
      <c r="C81" s="1">
        <v>140030039</v>
      </c>
      <c r="D81" s="1">
        <v>700</v>
      </c>
      <c r="E81" s="13"/>
      <c r="F81" s="13"/>
      <c r="G81" s="13"/>
      <c r="H81" s="13"/>
      <c r="I81" s="13"/>
      <c r="J81" s="13"/>
      <c r="K81" s="13"/>
    </row>
    <row r="82" spans="1:11">
      <c r="A82" s="1">
        <v>140</v>
      </c>
      <c r="B82" s="1" t="s">
        <v>1359</v>
      </c>
      <c r="C82" s="1">
        <v>141320055</v>
      </c>
      <c r="D82" s="1">
        <v>1200</v>
      </c>
      <c r="E82" s="13"/>
      <c r="F82" s="13"/>
      <c r="G82" s="13"/>
      <c r="H82" s="13"/>
      <c r="I82" s="13"/>
      <c r="J82" s="13"/>
      <c r="K82" s="13"/>
    </row>
    <row r="83" spans="1:11">
      <c r="A83" s="1">
        <v>141</v>
      </c>
      <c r="B83" s="1" t="s">
        <v>1360</v>
      </c>
      <c r="C83" s="1">
        <v>140020181</v>
      </c>
      <c r="D83" s="1">
        <v>1725</v>
      </c>
      <c r="E83" s="13"/>
      <c r="F83" s="13"/>
      <c r="G83" s="13"/>
      <c r="H83" s="13"/>
      <c r="I83" s="13"/>
      <c r="J83" s="13"/>
      <c r="K83" s="13"/>
    </row>
    <row r="84" spans="1:11">
      <c r="A84" s="1">
        <v>142</v>
      </c>
      <c r="B84" s="1" t="s">
        <v>1360</v>
      </c>
      <c r="C84" s="1">
        <v>141320055</v>
      </c>
      <c r="D84" s="1">
        <v>2100</v>
      </c>
      <c r="E84" s="13"/>
      <c r="F84" s="13"/>
      <c r="G84" s="13"/>
      <c r="H84" s="13"/>
      <c r="I84" s="13"/>
      <c r="J84" s="13"/>
      <c r="K84" s="13"/>
    </row>
    <row r="85" spans="1:11">
      <c r="A85" s="1">
        <v>143</v>
      </c>
      <c r="B85" s="1" t="s">
        <v>1362</v>
      </c>
      <c r="C85" s="1">
        <v>140020181</v>
      </c>
      <c r="D85" s="1">
        <v>1575</v>
      </c>
      <c r="E85" s="13"/>
      <c r="F85" s="13"/>
      <c r="G85" s="13"/>
      <c r="H85" s="13"/>
      <c r="I85" s="13"/>
      <c r="J85" s="13"/>
      <c r="K85" s="13"/>
    </row>
    <row r="86" spans="1:11">
      <c r="A86" s="1">
        <v>144</v>
      </c>
      <c r="B86" s="1" t="s">
        <v>1362</v>
      </c>
      <c r="C86" s="1">
        <v>141320055</v>
      </c>
      <c r="D86" s="1">
        <v>1300</v>
      </c>
      <c r="E86" s="13"/>
      <c r="F86" s="13"/>
      <c r="G86" s="13"/>
      <c r="H86" s="13"/>
      <c r="I86" s="13"/>
      <c r="J86" s="13"/>
      <c r="K86" s="13"/>
    </row>
    <row r="87" spans="1:11">
      <c r="A87" s="1">
        <v>145</v>
      </c>
      <c r="B87" s="1" t="s">
        <v>1363</v>
      </c>
      <c r="C87" s="1">
        <v>140310058</v>
      </c>
      <c r="D87" s="1">
        <v>1000</v>
      </c>
      <c r="E87" s="13"/>
      <c r="F87" s="13"/>
      <c r="G87" s="13"/>
      <c r="H87" s="13"/>
      <c r="I87" s="13"/>
      <c r="J87" s="13"/>
      <c r="K87" s="13"/>
    </row>
    <row r="88" spans="1:11">
      <c r="A88" s="1">
        <v>146</v>
      </c>
      <c r="B88" s="1" t="s">
        <v>1363</v>
      </c>
      <c r="C88" s="1">
        <v>140310096</v>
      </c>
      <c r="D88" s="1">
        <v>400</v>
      </c>
      <c r="E88" s="13"/>
      <c r="F88" s="13"/>
      <c r="G88" s="13"/>
      <c r="H88" s="13"/>
      <c r="I88" s="13"/>
      <c r="J88" s="13"/>
      <c r="K88" s="13"/>
    </row>
    <row r="89" spans="1:11">
      <c r="A89" s="1">
        <v>147</v>
      </c>
      <c r="B89" s="1" t="s">
        <v>1363</v>
      </c>
      <c r="C89" s="1">
        <v>141320055</v>
      </c>
      <c r="D89" s="1">
        <v>2400</v>
      </c>
      <c r="E89" s="13"/>
      <c r="F89" s="13"/>
      <c r="G89" s="13"/>
      <c r="H89" s="13"/>
      <c r="I89" s="13"/>
      <c r="J89" s="13"/>
      <c r="K89" s="13"/>
    </row>
    <row r="90" spans="1:11">
      <c r="A90" s="1">
        <v>148</v>
      </c>
      <c r="B90" s="1" t="s">
        <v>1361</v>
      </c>
      <c r="C90" s="1">
        <v>140310007</v>
      </c>
      <c r="D90" s="1">
        <v>1400</v>
      </c>
      <c r="E90" s="13"/>
      <c r="F90" s="13"/>
      <c r="G90" s="13"/>
      <c r="H90" s="13"/>
      <c r="I90" s="13"/>
      <c r="J90" s="13"/>
      <c r="K90" s="13"/>
    </row>
    <row r="91" spans="1:11">
      <c r="A91" s="1">
        <v>149</v>
      </c>
      <c r="B91" s="1" t="s">
        <v>1361</v>
      </c>
      <c r="C91" s="1">
        <v>140310058</v>
      </c>
      <c r="D91" s="1">
        <v>1000</v>
      </c>
      <c r="E91" s="13"/>
      <c r="F91" s="13"/>
      <c r="G91" s="13"/>
      <c r="H91" s="13"/>
      <c r="I91" s="13"/>
      <c r="J91" s="13"/>
      <c r="K91" s="13"/>
    </row>
    <row r="92" spans="1:11">
      <c r="A92" s="1">
        <v>150</v>
      </c>
      <c r="B92" s="1" t="s">
        <v>1361</v>
      </c>
      <c r="C92" s="1">
        <v>140310096</v>
      </c>
      <c r="D92" s="1">
        <v>950</v>
      </c>
      <c r="E92" s="13"/>
      <c r="F92" s="13"/>
      <c r="G92" s="13"/>
      <c r="H92" s="13"/>
      <c r="I92" s="13"/>
      <c r="J92" s="13"/>
      <c r="K92" s="13"/>
    </row>
    <row r="93" spans="1:11">
      <c r="A93" s="1">
        <v>151</v>
      </c>
      <c r="B93" s="1" t="s">
        <v>1361</v>
      </c>
      <c r="C93" s="1">
        <v>141320055</v>
      </c>
      <c r="D93" s="1">
        <v>1200</v>
      </c>
      <c r="E93" s="13"/>
      <c r="F93" s="13"/>
      <c r="G93" s="13"/>
      <c r="H93" s="13"/>
      <c r="I93" s="13"/>
      <c r="J93" s="13"/>
      <c r="K93" s="13"/>
    </row>
    <row r="94" spans="1:11">
      <c r="A94" s="1">
        <v>152</v>
      </c>
      <c r="B94" s="1" t="s">
        <v>1466</v>
      </c>
      <c r="C94" s="1">
        <v>140310007</v>
      </c>
      <c r="D94" s="1">
        <v>1800</v>
      </c>
      <c r="E94" s="13"/>
      <c r="F94" s="13"/>
      <c r="G94" s="13"/>
      <c r="H94" s="13"/>
      <c r="I94" s="13"/>
      <c r="J94" s="13"/>
      <c r="K94" s="13"/>
    </row>
    <row r="95" spans="1:11">
      <c r="A95" s="1">
        <v>153</v>
      </c>
      <c r="B95" s="1" t="s">
        <v>1466</v>
      </c>
      <c r="C95" s="1">
        <v>140310096</v>
      </c>
      <c r="D95" s="1">
        <v>1000</v>
      </c>
      <c r="E95" s="13"/>
      <c r="F95" s="13"/>
      <c r="G95" s="13"/>
      <c r="H95" s="13"/>
      <c r="I95" s="13"/>
      <c r="J95" s="13"/>
      <c r="K95" s="13"/>
    </row>
    <row r="96" spans="1:11">
      <c r="A96" s="1">
        <v>154</v>
      </c>
      <c r="B96" s="1" t="s">
        <v>1466</v>
      </c>
      <c r="C96" s="1">
        <v>141320055</v>
      </c>
      <c r="D96" s="1">
        <v>2500</v>
      </c>
      <c r="E96" s="13"/>
      <c r="F96" s="13"/>
      <c r="G96" s="13"/>
      <c r="H96" s="13"/>
      <c r="I96" s="13"/>
      <c r="J96" s="13"/>
      <c r="K96" s="13"/>
    </row>
    <row r="97" spans="1:11">
      <c r="A97" s="1">
        <v>155</v>
      </c>
      <c r="B97" s="1" t="s">
        <v>1364</v>
      </c>
      <c r="C97" s="1">
        <v>140310007</v>
      </c>
      <c r="D97" s="1">
        <v>1600</v>
      </c>
      <c r="E97" s="13"/>
      <c r="F97" s="13"/>
      <c r="G97" s="13"/>
      <c r="H97" s="13"/>
      <c r="I97" s="13"/>
      <c r="J97" s="13"/>
      <c r="K97" s="13"/>
    </row>
    <row r="98" spans="1:11">
      <c r="A98" s="1">
        <v>156</v>
      </c>
      <c r="B98" s="1" t="s">
        <v>1364</v>
      </c>
      <c r="C98" s="1">
        <v>140310071</v>
      </c>
      <c r="D98" s="1">
        <v>2050</v>
      </c>
      <c r="E98" s="13"/>
      <c r="F98" s="13"/>
      <c r="G98" s="13"/>
      <c r="H98" s="13"/>
      <c r="I98" s="13"/>
      <c r="J98" s="13"/>
      <c r="K98" s="13"/>
    </row>
    <row r="99" spans="1:11">
      <c r="A99" s="1">
        <v>157</v>
      </c>
      <c r="B99" s="1" t="s">
        <v>1364</v>
      </c>
      <c r="C99" s="1">
        <v>140310083</v>
      </c>
      <c r="D99" s="1">
        <v>700</v>
      </c>
      <c r="E99" s="13"/>
      <c r="F99" s="13"/>
      <c r="G99" s="13"/>
      <c r="H99" s="13"/>
      <c r="I99" s="13"/>
      <c r="J99" s="13"/>
      <c r="K99" s="13"/>
    </row>
    <row r="100" spans="1:11">
      <c r="A100" s="1">
        <v>158</v>
      </c>
      <c r="B100" s="1" t="s">
        <v>1365</v>
      </c>
      <c r="C100" s="1">
        <v>140010117</v>
      </c>
      <c r="D100" s="1">
        <v>975</v>
      </c>
      <c r="E100" s="13"/>
      <c r="F100" s="13"/>
      <c r="G100" s="13"/>
      <c r="H100" s="13"/>
      <c r="I100" s="13"/>
      <c r="J100" s="13"/>
      <c r="K100" s="13"/>
    </row>
    <row r="101" spans="1:11">
      <c r="A101" s="1">
        <v>159</v>
      </c>
      <c r="B101" s="1" t="s">
        <v>1365</v>
      </c>
      <c r="C101" s="1">
        <v>140310007</v>
      </c>
      <c r="D101" s="1">
        <v>2600</v>
      </c>
      <c r="E101" s="13"/>
      <c r="F101" s="13"/>
      <c r="G101" s="13"/>
      <c r="H101" s="13"/>
      <c r="I101" s="13"/>
      <c r="J101" s="13"/>
      <c r="K101" s="13"/>
    </row>
    <row r="102" spans="1:11">
      <c r="A102" s="1">
        <v>160</v>
      </c>
      <c r="B102" s="1" t="s">
        <v>1365</v>
      </c>
      <c r="C102" s="1">
        <v>140310058</v>
      </c>
      <c r="D102" s="1">
        <v>800</v>
      </c>
      <c r="E102" s="13"/>
      <c r="F102" s="13"/>
      <c r="G102" s="13"/>
      <c r="H102" s="13"/>
      <c r="I102" s="13"/>
      <c r="J102" s="13"/>
      <c r="K102" s="13"/>
    </row>
    <row r="103" spans="1:11">
      <c r="A103" s="1">
        <v>161</v>
      </c>
      <c r="B103" s="1" t="s">
        <v>1365</v>
      </c>
      <c r="C103" s="1">
        <v>140310071</v>
      </c>
      <c r="D103" s="1">
        <v>300</v>
      </c>
      <c r="E103" s="13"/>
      <c r="F103" s="13"/>
      <c r="G103" s="13"/>
      <c r="H103" s="13"/>
      <c r="I103" s="13"/>
      <c r="J103" s="13"/>
      <c r="K103" s="13"/>
    </row>
    <row r="104" spans="1:11">
      <c r="A104" s="1">
        <v>162</v>
      </c>
      <c r="B104" s="1" t="s">
        <v>1365</v>
      </c>
      <c r="C104" s="1">
        <v>140310083</v>
      </c>
      <c r="D104" s="1">
        <v>1000</v>
      </c>
      <c r="E104" s="13"/>
      <c r="F104" s="13"/>
      <c r="G104" s="13"/>
      <c r="H104" s="13"/>
      <c r="I104" s="13"/>
      <c r="J104" s="13"/>
      <c r="K104" s="13"/>
    </row>
    <row r="105" spans="1:11">
      <c r="A105" s="1">
        <v>163</v>
      </c>
      <c r="B105" s="1" t="s">
        <v>1365</v>
      </c>
      <c r="C105" s="1">
        <v>141320055</v>
      </c>
      <c r="D105" s="1">
        <v>1600</v>
      </c>
      <c r="E105" s="13"/>
      <c r="F105" s="13"/>
      <c r="G105" s="13"/>
      <c r="H105" s="13"/>
      <c r="I105" s="13"/>
      <c r="J105" s="13"/>
      <c r="K105" s="13"/>
    </row>
    <row r="106" spans="1:11">
      <c r="A106" s="1">
        <v>164</v>
      </c>
      <c r="B106" s="1" t="s">
        <v>1366</v>
      </c>
      <c r="C106" s="1">
        <v>140010117</v>
      </c>
      <c r="D106" s="1">
        <v>475</v>
      </c>
      <c r="E106" s="13"/>
      <c r="F106" s="13"/>
      <c r="G106" s="13"/>
      <c r="H106" s="13"/>
      <c r="I106" s="13"/>
      <c r="J106" s="13"/>
      <c r="K106" s="13"/>
    </row>
    <row r="107" spans="1:11">
      <c r="A107" s="1">
        <v>165</v>
      </c>
      <c r="B107" s="1" t="s">
        <v>1366</v>
      </c>
      <c r="C107" s="1">
        <v>140010230</v>
      </c>
      <c r="D107" s="1">
        <v>100</v>
      </c>
      <c r="E107" s="13"/>
      <c r="F107" s="13"/>
      <c r="G107" s="13"/>
      <c r="H107" s="13"/>
      <c r="I107" s="13"/>
      <c r="J107" s="13"/>
      <c r="K107" s="13"/>
    </row>
    <row r="108" spans="1:11">
      <c r="A108" s="1">
        <v>166</v>
      </c>
      <c r="B108" s="1" t="s">
        <v>1366</v>
      </c>
      <c r="C108" s="1">
        <v>140310007</v>
      </c>
      <c r="D108" s="1">
        <v>800</v>
      </c>
      <c r="E108" s="13"/>
      <c r="F108" s="13"/>
      <c r="G108" s="13"/>
      <c r="H108" s="13"/>
      <c r="I108" s="13"/>
      <c r="J108" s="13"/>
      <c r="K108" s="13"/>
    </row>
    <row r="109" spans="1:11">
      <c r="A109" s="1">
        <v>167</v>
      </c>
      <c r="B109" s="1" t="s">
        <v>1366</v>
      </c>
      <c r="C109" s="1">
        <v>140310071</v>
      </c>
      <c r="D109" s="1">
        <v>550</v>
      </c>
      <c r="E109" s="13"/>
      <c r="F109" s="13"/>
      <c r="G109" s="13"/>
      <c r="H109" s="13"/>
      <c r="I109" s="13"/>
      <c r="J109" s="13"/>
      <c r="K109" s="13"/>
    </row>
    <row r="110" spans="1:11">
      <c r="A110" s="1">
        <v>168</v>
      </c>
      <c r="B110" s="1" t="s">
        <v>1366</v>
      </c>
      <c r="C110" s="1">
        <v>140310083</v>
      </c>
      <c r="D110" s="1">
        <v>900</v>
      </c>
      <c r="E110" s="13"/>
      <c r="F110" s="13"/>
      <c r="G110" s="13"/>
      <c r="H110" s="13"/>
      <c r="I110" s="13"/>
      <c r="J110" s="13"/>
      <c r="K110" s="13"/>
    </row>
    <row r="111" spans="1:11">
      <c r="A111" s="1">
        <v>169</v>
      </c>
      <c r="B111" s="1" t="s">
        <v>1366</v>
      </c>
      <c r="C111" s="1">
        <v>141320055</v>
      </c>
      <c r="D111" s="1">
        <v>1000</v>
      </c>
      <c r="E111" s="13"/>
      <c r="F111" s="13"/>
      <c r="G111" s="13"/>
      <c r="H111" s="13"/>
      <c r="I111" s="13"/>
      <c r="J111" s="13"/>
      <c r="K111" s="13"/>
    </row>
    <row r="112" spans="1:11">
      <c r="A112" s="1">
        <v>170</v>
      </c>
      <c r="B112" s="1" t="s">
        <v>1368</v>
      </c>
      <c r="C112" s="1">
        <v>140010117</v>
      </c>
      <c r="D112" s="1">
        <v>825</v>
      </c>
      <c r="E112" s="13"/>
      <c r="F112" s="13"/>
      <c r="G112" s="13"/>
      <c r="H112" s="13"/>
      <c r="I112" s="13"/>
      <c r="J112" s="13"/>
      <c r="K112" s="13"/>
    </row>
    <row r="113" spans="1:11">
      <c r="A113" s="1">
        <v>171</v>
      </c>
      <c r="B113" s="1" t="s">
        <v>1368</v>
      </c>
      <c r="C113" s="1">
        <v>140310007</v>
      </c>
      <c r="D113" s="1">
        <v>1000</v>
      </c>
      <c r="E113" s="13"/>
      <c r="F113" s="13"/>
      <c r="G113" s="13"/>
      <c r="H113" s="13"/>
      <c r="I113" s="13"/>
      <c r="J113" s="13"/>
      <c r="K113" s="13"/>
    </row>
    <row r="114" spans="1:11">
      <c r="A114" s="1">
        <v>172</v>
      </c>
      <c r="B114" s="1" t="s">
        <v>1368</v>
      </c>
      <c r="C114" s="1">
        <v>140310058</v>
      </c>
      <c r="D114" s="1">
        <v>400</v>
      </c>
      <c r="E114" s="13"/>
      <c r="F114" s="13"/>
      <c r="G114" s="13"/>
      <c r="H114" s="13"/>
      <c r="I114" s="13"/>
      <c r="J114" s="13"/>
      <c r="K114" s="13"/>
    </row>
    <row r="115" spans="1:11">
      <c r="A115" s="1">
        <v>173</v>
      </c>
      <c r="B115" s="1" t="s">
        <v>1368</v>
      </c>
      <c r="C115" s="1">
        <v>140310071</v>
      </c>
      <c r="D115" s="1">
        <v>1400</v>
      </c>
      <c r="E115" s="13"/>
      <c r="F115" s="13"/>
      <c r="G115" s="13"/>
      <c r="H115" s="13"/>
      <c r="I115" s="13"/>
      <c r="J115" s="13"/>
      <c r="K115" s="13"/>
    </row>
    <row r="116" spans="1:11">
      <c r="A116" s="1">
        <v>174</v>
      </c>
      <c r="B116" s="1" t="s">
        <v>1368</v>
      </c>
      <c r="C116" s="1">
        <v>140310083</v>
      </c>
      <c r="D116" s="1">
        <v>1500</v>
      </c>
      <c r="E116" s="13"/>
      <c r="F116" s="13"/>
      <c r="G116" s="13"/>
      <c r="H116" s="13"/>
      <c r="I116" s="13"/>
      <c r="J116" s="13"/>
      <c r="K116" s="13"/>
    </row>
    <row r="117" spans="1:11">
      <c r="A117" s="1">
        <v>175</v>
      </c>
      <c r="B117" s="1" t="s">
        <v>1368</v>
      </c>
      <c r="C117" s="1">
        <v>141320055</v>
      </c>
      <c r="D117" s="1">
        <v>3900</v>
      </c>
      <c r="E117" s="13"/>
      <c r="F117" s="13"/>
      <c r="G117" s="13"/>
      <c r="H117" s="13"/>
      <c r="I117" s="13"/>
      <c r="J117" s="13"/>
      <c r="K117" s="13"/>
    </row>
    <row r="118" spans="1:11">
      <c r="A118" s="1">
        <v>176</v>
      </c>
      <c r="B118" s="1" t="s">
        <v>1369</v>
      </c>
      <c r="C118" s="1">
        <v>140010117</v>
      </c>
      <c r="D118" s="1">
        <v>1275</v>
      </c>
      <c r="E118" s="13"/>
      <c r="F118" s="13"/>
      <c r="G118" s="13"/>
      <c r="H118" s="13"/>
      <c r="I118" s="13"/>
      <c r="J118" s="13"/>
      <c r="K118" s="13"/>
    </row>
    <row r="119" spans="1:11">
      <c r="A119" s="1">
        <v>177</v>
      </c>
      <c r="B119" s="1" t="s">
        <v>1369</v>
      </c>
      <c r="C119" s="1">
        <v>140030039</v>
      </c>
      <c r="D119" s="1">
        <v>300</v>
      </c>
      <c r="E119" s="13"/>
      <c r="F119" s="13"/>
      <c r="G119" s="13"/>
      <c r="H119" s="13"/>
      <c r="I119" s="13"/>
      <c r="J119" s="13"/>
      <c r="K119" s="13"/>
    </row>
    <row r="120" spans="1:11">
      <c r="A120" s="1">
        <v>178</v>
      </c>
      <c r="B120" s="1" t="s">
        <v>1369</v>
      </c>
      <c r="C120" s="1">
        <v>140310007</v>
      </c>
      <c r="D120" s="1">
        <v>400</v>
      </c>
      <c r="E120" s="13"/>
      <c r="F120" s="13"/>
      <c r="G120" s="13"/>
      <c r="H120" s="13"/>
      <c r="I120" s="13"/>
      <c r="J120" s="13"/>
      <c r="K120" s="13"/>
    </row>
    <row r="121" spans="1:11">
      <c r="A121" s="1">
        <v>179</v>
      </c>
      <c r="B121" s="1" t="s">
        <v>1369</v>
      </c>
      <c r="C121" s="1">
        <v>140310058</v>
      </c>
      <c r="D121" s="1">
        <v>700</v>
      </c>
      <c r="E121" s="13"/>
      <c r="F121" s="13"/>
      <c r="G121" s="13"/>
      <c r="H121" s="13"/>
      <c r="I121" s="13"/>
      <c r="J121" s="13"/>
      <c r="K121" s="13"/>
    </row>
    <row r="122" spans="1:11">
      <c r="A122" s="1">
        <v>180</v>
      </c>
      <c r="B122" s="1" t="s">
        <v>1369</v>
      </c>
      <c r="C122" s="1">
        <v>140310071</v>
      </c>
      <c r="D122" s="1">
        <v>400</v>
      </c>
      <c r="E122" s="13"/>
      <c r="F122" s="13"/>
      <c r="G122" s="13"/>
      <c r="H122" s="13"/>
      <c r="I122" s="13"/>
      <c r="J122" s="13"/>
      <c r="K122" s="13"/>
    </row>
    <row r="123" spans="1:11">
      <c r="A123" s="1">
        <v>181</v>
      </c>
      <c r="B123" s="1" t="s">
        <v>1369</v>
      </c>
      <c r="C123" s="1">
        <v>140310083</v>
      </c>
      <c r="D123" s="1">
        <v>1100</v>
      </c>
      <c r="E123" s="13"/>
      <c r="F123" s="13"/>
      <c r="G123" s="13"/>
      <c r="H123" s="13"/>
      <c r="I123" s="13"/>
      <c r="J123" s="13"/>
      <c r="K123" s="13"/>
    </row>
    <row r="124" spans="1:11">
      <c r="A124" s="1">
        <v>182</v>
      </c>
      <c r="B124" s="1" t="s">
        <v>1369</v>
      </c>
      <c r="C124" s="1">
        <v>140310096</v>
      </c>
      <c r="D124" s="1">
        <v>900</v>
      </c>
      <c r="E124" s="13"/>
      <c r="F124" s="13"/>
      <c r="G124" s="13"/>
      <c r="H124" s="13"/>
      <c r="I124" s="13"/>
      <c r="J124" s="13"/>
      <c r="K124" s="13"/>
    </row>
    <row r="125" spans="1:11">
      <c r="A125" s="1">
        <v>183</v>
      </c>
      <c r="B125" s="1" t="s">
        <v>1369</v>
      </c>
      <c r="C125" s="1">
        <v>140450027</v>
      </c>
      <c r="D125" s="1">
        <v>440</v>
      </c>
      <c r="E125" s="13"/>
      <c r="F125" s="13"/>
      <c r="G125" s="13"/>
      <c r="H125" s="13"/>
      <c r="I125" s="13"/>
      <c r="J125" s="13"/>
      <c r="K125" s="13"/>
    </row>
    <row r="126" spans="1:11">
      <c r="A126" s="1">
        <v>184</v>
      </c>
      <c r="B126" s="1" t="s">
        <v>1369</v>
      </c>
      <c r="C126" s="1">
        <v>141320055</v>
      </c>
      <c r="D126" s="1">
        <v>2000</v>
      </c>
      <c r="E126" s="13"/>
      <c r="F126" s="13"/>
      <c r="G126" s="13"/>
      <c r="H126" s="13"/>
      <c r="I126" s="13"/>
      <c r="J126" s="13"/>
      <c r="K126" s="13"/>
    </row>
    <row r="127" spans="1:11">
      <c r="A127" s="1">
        <v>185</v>
      </c>
      <c r="B127" s="1" t="s">
        <v>1370</v>
      </c>
      <c r="C127" s="1">
        <v>140010117</v>
      </c>
      <c r="D127" s="1">
        <v>900</v>
      </c>
      <c r="E127" s="13"/>
      <c r="F127" s="13"/>
      <c r="G127" s="13"/>
      <c r="H127" s="13"/>
      <c r="I127" s="13"/>
      <c r="J127" s="13"/>
      <c r="K127" s="13"/>
    </row>
    <row r="128" spans="1:11">
      <c r="A128" s="1">
        <v>186</v>
      </c>
      <c r="B128" s="1" t="s">
        <v>1370</v>
      </c>
      <c r="C128" s="1">
        <v>140030039</v>
      </c>
      <c r="D128" s="1">
        <v>600</v>
      </c>
      <c r="E128" s="13"/>
      <c r="F128" s="13"/>
      <c r="G128" s="13"/>
      <c r="H128" s="13"/>
      <c r="I128" s="13"/>
      <c r="J128" s="13"/>
      <c r="K128" s="13"/>
    </row>
    <row r="129" spans="1:11">
      <c r="A129" s="1">
        <v>187</v>
      </c>
      <c r="B129" s="1" t="s">
        <v>1370</v>
      </c>
      <c r="C129" s="1">
        <v>140310007</v>
      </c>
      <c r="D129" s="1">
        <v>300</v>
      </c>
      <c r="E129" s="13"/>
      <c r="F129" s="13"/>
      <c r="G129" s="13"/>
      <c r="H129" s="13"/>
      <c r="I129" s="13"/>
      <c r="J129" s="13"/>
      <c r="K129" s="13"/>
    </row>
    <row r="130" spans="1:11">
      <c r="A130" s="1">
        <v>188</v>
      </c>
      <c r="B130" s="1" t="s">
        <v>1370</v>
      </c>
      <c r="C130" s="1">
        <v>140310071</v>
      </c>
      <c r="D130" s="1">
        <v>1200</v>
      </c>
      <c r="E130" s="13"/>
      <c r="F130" s="13"/>
      <c r="G130" s="13"/>
      <c r="H130" s="13"/>
      <c r="I130" s="13"/>
      <c r="J130" s="13"/>
      <c r="K130" s="13"/>
    </row>
    <row r="131" spans="1:11">
      <c r="A131" s="1">
        <v>189</v>
      </c>
      <c r="B131" s="1" t="s">
        <v>1370</v>
      </c>
      <c r="C131" s="1">
        <v>140310083</v>
      </c>
      <c r="D131" s="1">
        <v>1000</v>
      </c>
      <c r="E131" s="13"/>
      <c r="F131" s="13"/>
      <c r="G131" s="13"/>
      <c r="H131" s="13"/>
      <c r="I131" s="13"/>
      <c r="J131" s="13"/>
      <c r="K131" s="13"/>
    </row>
    <row r="132" spans="1:11">
      <c r="A132" s="1">
        <v>190</v>
      </c>
      <c r="B132" s="1" t="s">
        <v>1370</v>
      </c>
      <c r="C132" s="1">
        <v>140310096</v>
      </c>
      <c r="D132" s="1">
        <v>250</v>
      </c>
      <c r="E132" s="13"/>
      <c r="F132" s="13"/>
      <c r="G132" s="13"/>
      <c r="H132" s="13"/>
      <c r="I132" s="13"/>
      <c r="J132" s="13"/>
      <c r="K132" s="13"/>
    </row>
    <row r="133" spans="1:11">
      <c r="A133" s="1">
        <v>191</v>
      </c>
      <c r="B133" s="1" t="s">
        <v>1370</v>
      </c>
      <c r="C133" s="1">
        <v>140450027</v>
      </c>
      <c r="D133" s="1">
        <v>960</v>
      </c>
      <c r="E133" s="13"/>
      <c r="F133" s="13"/>
      <c r="G133" s="13"/>
      <c r="H133" s="13"/>
      <c r="I133" s="13"/>
      <c r="J133" s="13"/>
      <c r="K133" s="13"/>
    </row>
    <row r="134" spans="1:11">
      <c r="A134" s="1">
        <v>192</v>
      </c>
      <c r="B134" s="1" t="s">
        <v>1370</v>
      </c>
      <c r="C134" s="1">
        <v>141320055</v>
      </c>
      <c r="D134" s="1">
        <v>2400</v>
      </c>
      <c r="E134" s="13"/>
      <c r="F134" s="13"/>
      <c r="G134" s="13"/>
      <c r="H134" s="13"/>
      <c r="I134" s="13"/>
      <c r="J134" s="13"/>
      <c r="K134" s="13"/>
    </row>
    <row r="135" spans="1:11">
      <c r="A135" s="1">
        <v>193</v>
      </c>
      <c r="B135" s="1" t="s">
        <v>1371</v>
      </c>
      <c r="C135" s="1">
        <v>140010117</v>
      </c>
      <c r="D135" s="1">
        <v>225</v>
      </c>
      <c r="E135" s="13"/>
      <c r="F135" s="13"/>
      <c r="G135" s="13"/>
      <c r="H135" s="13"/>
      <c r="I135" s="13"/>
      <c r="J135" s="13"/>
      <c r="K135" s="13"/>
    </row>
    <row r="136" spans="1:11">
      <c r="A136" s="1">
        <v>194</v>
      </c>
      <c r="B136" s="1" t="s">
        <v>1371</v>
      </c>
      <c r="C136" s="1">
        <v>140030039</v>
      </c>
      <c r="D136" s="1">
        <v>1200</v>
      </c>
      <c r="E136" s="13"/>
      <c r="F136" s="13"/>
      <c r="G136" s="13"/>
      <c r="H136" s="13"/>
      <c r="I136" s="13"/>
      <c r="J136" s="13"/>
      <c r="K136" s="13"/>
    </row>
    <row r="137" spans="1:11">
      <c r="A137" s="1">
        <v>195</v>
      </c>
      <c r="B137" s="1" t="s">
        <v>1371</v>
      </c>
      <c r="C137" s="1">
        <v>140030040</v>
      </c>
      <c r="D137" s="1">
        <v>500</v>
      </c>
      <c r="E137" s="13"/>
      <c r="F137" s="13"/>
      <c r="G137" s="13"/>
      <c r="H137" s="13"/>
      <c r="I137" s="13"/>
      <c r="J137" s="13"/>
      <c r="K137" s="13"/>
    </row>
    <row r="138" spans="1:11">
      <c r="A138" s="1">
        <v>196</v>
      </c>
      <c r="B138" s="1" t="s">
        <v>1371</v>
      </c>
      <c r="C138" s="1">
        <v>140310071</v>
      </c>
      <c r="D138" s="1">
        <v>1450</v>
      </c>
      <c r="E138" s="13"/>
      <c r="F138" s="13"/>
      <c r="G138" s="13"/>
      <c r="H138" s="13"/>
      <c r="I138" s="13"/>
      <c r="J138" s="13"/>
      <c r="K138" s="13"/>
    </row>
    <row r="139" spans="1:11">
      <c r="A139" s="1">
        <v>197</v>
      </c>
      <c r="B139" s="1" t="s">
        <v>1371</v>
      </c>
      <c r="C139" s="1">
        <v>140310083</v>
      </c>
      <c r="D139" s="1">
        <v>1600</v>
      </c>
      <c r="E139" s="13"/>
      <c r="F139" s="13"/>
      <c r="G139" s="13"/>
      <c r="H139" s="13"/>
      <c r="I139" s="13"/>
      <c r="J139" s="13"/>
      <c r="K139" s="13"/>
    </row>
    <row r="140" spans="1:11">
      <c r="A140" s="1">
        <v>198</v>
      </c>
      <c r="B140" s="1" t="s">
        <v>1371</v>
      </c>
      <c r="C140" s="1">
        <v>140450027</v>
      </c>
      <c r="D140" s="1">
        <v>1760</v>
      </c>
      <c r="E140" s="13"/>
      <c r="F140" s="13"/>
      <c r="G140" s="13"/>
      <c r="H140" s="13"/>
      <c r="I140" s="13"/>
      <c r="J140" s="13"/>
      <c r="K140" s="13"/>
    </row>
    <row r="141" spans="1:11">
      <c r="A141" s="1">
        <v>199</v>
      </c>
      <c r="B141" s="1" t="s">
        <v>1371</v>
      </c>
      <c r="C141" s="1">
        <v>141320055</v>
      </c>
      <c r="D141" s="1">
        <v>2700</v>
      </c>
      <c r="E141" s="13"/>
      <c r="F141" s="13"/>
      <c r="G141" s="13"/>
      <c r="H141" s="13"/>
      <c r="I141" s="13"/>
      <c r="J141" s="13"/>
      <c r="K141" s="13"/>
    </row>
    <row r="142" spans="1:11">
      <c r="A142" s="1">
        <v>200</v>
      </c>
      <c r="B142" s="1" t="s">
        <v>1372</v>
      </c>
      <c r="C142" s="1">
        <v>140010117</v>
      </c>
      <c r="D142" s="1">
        <v>1275</v>
      </c>
      <c r="E142" s="13"/>
      <c r="F142" s="13"/>
      <c r="G142" s="13"/>
      <c r="H142" s="13"/>
      <c r="I142" s="13"/>
      <c r="J142" s="13"/>
      <c r="K142" s="13"/>
    </row>
    <row r="143" spans="1:11">
      <c r="A143" s="1">
        <v>201</v>
      </c>
      <c r="B143" s="1" t="s">
        <v>1372</v>
      </c>
      <c r="C143" s="1">
        <v>140010255</v>
      </c>
      <c r="D143" s="1">
        <v>500</v>
      </c>
      <c r="E143" s="13"/>
      <c r="F143" s="13"/>
      <c r="G143" s="13"/>
      <c r="H143" s="13"/>
      <c r="I143" s="13"/>
      <c r="J143" s="13"/>
      <c r="K143" s="13"/>
    </row>
    <row r="144" spans="1:11">
      <c r="A144" s="1">
        <v>202</v>
      </c>
      <c r="B144" s="1" t="s">
        <v>1372</v>
      </c>
      <c r="C144" s="1">
        <v>140030039</v>
      </c>
      <c r="D144" s="1">
        <v>1200</v>
      </c>
      <c r="E144" s="13"/>
      <c r="F144" s="13"/>
      <c r="G144" s="13"/>
      <c r="H144" s="13"/>
      <c r="I144" s="13"/>
      <c r="J144" s="13"/>
      <c r="K144" s="13"/>
    </row>
    <row r="145" spans="1:11">
      <c r="A145" s="1">
        <v>203</v>
      </c>
      <c r="B145" s="1" t="s">
        <v>1372</v>
      </c>
      <c r="C145" s="1">
        <v>140030040</v>
      </c>
      <c r="D145" s="1">
        <v>1500</v>
      </c>
      <c r="E145" s="13"/>
      <c r="F145" s="13"/>
      <c r="G145" s="13"/>
      <c r="H145" s="13"/>
      <c r="I145" s="13"/>
      <c r="J145" s="13"/>
      <c r="K145" s="13"/>
    </row>
    <row r="146" spans="1:11">
      <c r="A146" s="1">
        <v>204</v>
      </c>
      <c r="B146" s="1" t="s">
        <v>1372</v>
      </c>
      <c r="C146" s="1">
        <v>140310071</v>
      </c>
      <c r="D146" s="1">
        <v>1350</v>
      </c>
      <c r="E146" s="13"/>
      <c r="F146" s="13"/>
      <c r="G146" s="13"/>
      <c r="H146" s="13"/>
      <c r="I146" s="13"/>
      <c r="J146" s="13"/>
      <c r="K146" s="13"/>
    </row>
    <row r="147" spans="1:11">
      <c r="A147" s="1">
        <v>205</v>
      </c>
      <c r="B147" s="1" t="s">
        <v>1372</v>
      </c>
      <c r="C147" s="1">
        <v>140310083</v>
      </c>
      <c r="D147" s="1">
        <v>1400</v>
      </c>
      <c r="E147" s="13"/>
      <c r="F147" s="13"/>
      <c r="G147" s="13"/>
      <c r="H147" s="13"/>
      <c r="I147" s="13"/>
      <c r="J147" s="13"/>
      <c r="K147" s="13"/>
    </row>
    <row r="148" spans="1:11">
      <c r="A148" s="1">
        <v>206</v>
      </c>
      <c r="B148" s="1" t="s">
        <v>1372</v>
      </c>
      <c r="C148" s="1">
        <v>140310096</v>
      </c>
      <c r="D148" s="1">
        <v>450</v>
      </c>
      <c r="E148" s="13"/>
      <c r="F148" s="13"/>
      <c r="G148" s="13"/>
      <c r="H148" s="13"/>
      <c r="I148" s="13"/>
      <c r="J148" s="13"/>
      <c r="K148" s="13"/>
    </row>
    <row r="149" spans="1:11">
      <c r="A149" s="1">
        <v>207</v>
      </c>
      <c r="B149" s="1" t="s">
        <v>1372</v>
      </c>
      <c r="C149" s="1">
        <v>140450027</v>
      </c>
      <c r="D149" s="1">
        <v>200</v>
      </c>
      <c r="E149" s="13"/>
      <c r="F149" s="13"/>
      <c r="G149" s="13"/>
      <c r="H149" s="13"/>
      <c r="I149" s="13"/>
      <c r="J149" s="13"/>
      <c r="K149" s="13"/>
    </row>
    <row r="150" spans="1:11">
      <c r="A150" s="1">
        <v>208</v>
      </c>
      <c r="B150" s="1" t="s">
        <v>1372</v>
      </c>
      <c r="C150" s="1">
        <v>140450035</v>
      </c>
      <c r="D150" s="1">
        <v>750</v>
      </c>
      <c r="E150" s="13"/>
      <c r="F150" s="13"/>
      <c r="G150" s="13"/>
      <c r="H150" s="13"/>
      <c r="I150" s="13"/>
      <c r="J150" s="13"/>
      <c r="K150" s="13"/>
    </row>
    <row r="151" spans="1:11">
      <c r="A151" s="1">
        <v>209</v>
      </c>
      <c r="B151" s="1" t="s">
        <v>1372</v>
      </c>
      <c r="C151" s="1">
        <v>141320055</v>
      </c>
      <c r="D151" s="1">
        <v>1900</v>
      </c>
      <c r="E151" s="13"/>
      <c r="F151" s="13"/>
      <c r="G151" s="13"/>
      <c r="H151" s="13"/>
      <c r="I151" s="13"/>
      <c r="J151" s="13"/>
      <c r="K151" s="13"/>
    </row>
    <row r="152" spans="1:11">
      <c r="A152" s="1">
        <v>210</v>
      </c>
      <c r="B152" s="1" t="s">
        <v>1373</v>
      </c>
      <c r="C152" s="1">
        <v>140010117</v>
      </c>
      <c r="D152" s="1">
        <v>300</v>
      </c>
      <c r="E152" s="13"/>
      <c r="F152" s="13"/>
      <c r="G152" s="13"/>
      <c r="H152" s="13"/>
      <c r="I152" s="13"/>
      <c r="J152" s="13"/>
      <c r="K152" s="13"/>
    </row>
    <row r="153" spans="1:11">
      <c r="A153" s="1">
        <v>211</v>
      </c>
      <c r="B153" s="1" t="s">
        <v>1373</v>
      </c>
      <c r="C153" s="1">
        <v>140010230</v>
      </c>
      <c r="D153" s="1">
        <v>2550</v>
      </c>
      <c r="E153" s="13"/>
      <c r="F153" s="13"/>
      <c r="G153" s="13"/>
      <c r="H153" s="13"/>
      <c r="I153" s="13"/>
      <c r="J153" s="13"/>
      <c r="K153" s="13"/>
    </row>
    <row r="154" spans="1:11">
      <c r="A154" s="1">
        <v>212</v>
      </c>
      <c r="B154" s="1" t="s">
        <v>1373</v>
      </c>
      <c r="C154" s="1">
        <v>140030039</v>
      </c>
      <c r="D154" s="1">
        <v>800</v>
      </c>
      <c r="E154" s="13"/>
      <c r="F154" s="13"/>
      <c r="G154" s="13"/>
      <c r="H154" s="13"/>
      <c r="I154" s="13"/>
      <c r="J154" s="13"/>
      <c r="K154" s="13"/>
    </row>
    <row r="155" spans="1:11">
      <c r="A155" s="1">
        <v>213</v>
      </c>
      <c r="B155" s="1" t="s">
        <v>1373</v>
      </c>
      <c r="C155" s="1">
        <v>140030040</v>
      </c>
      <c r="D155" s="1">
        <v>1500</v>
      </c>
      <c r="E155" s="13"/>
      <c r="F155" s="13"/>
      <c r="G155" s="13"/>
      <c r="H155" s="13"/>
      <c r="I155" s="13"/>
      <c r="J155" s="13"/>
      <c r="K155" s="13"/>
    </row>
    <row r="156" spans="1:11">
      <c r="A156" s="1">
        <v>214</v>
      </c>
      <c r="B156" s="1" t="s">
        <v>1373</v>
      </c>
      <c r="C156" s="1">
        <v>140310071</v>
      </c>
      <c r="D156" s="1">
        <v>950</v>
      </c>
      <c r="E156" s="13"/>
      <c r="F156" s="13"/>
      <c r="G156" s="13"/>
      <c r="H156" s="13"/>
      <c r="I156" s="13"/>
      <c r="J156" s="13"/>
      <c r="K156" s="13"/>
    </row>
    <row r="157" spans="1:11">
      <c r="A157" s="1">
        <v>215</v>
      </c>
      <c r="B157" s="1" t="s">
        <v>1373</v>
      </c>
      <c r="C157" s="1">
        <v>140310083</v>
      </c>
      <c r="D157" s="1">
        <v>800</v>
      </c>
      <c r="E157" s="13"/>
      <c r="F157" s="13"/>
      <c r="G157" s="13"/>
      <c r="H157" s="13"/>
      <c r="I157" s="13"/>
      <c r="J157" s="13"/>
      <c r="K157" s="13"/>
    </row>
    <row r="158" spans="1:11">
      <c r="A158" s="1">
        <v>216</v>
      </c>
      <c r="B158" s="1" t="s">
        <v>1373</v>
      </c>
      <c r="C158" s="1">
        <v>140530039</v>
      </c>
      <c r="D158" s="1">
        <v>2400</v>
      </c>
      <c r="E158" s="13"/>
      <c r="F158" s="13"/>
      <c r="G158" s="13"/>
      <c r="H158" s="13"/>
      <c r="I158" s="13"/>
      <c r="J158" s="13"/>
      <c r="K158" s="13"/>
    </row>
    <row r="159" spans="1:11">
      <c r="A159" s="1">
        <v>217</v>
      </c>
      <c r="B159" s="1" t="s">
        <v>1374</v>
      </c>
      <c r="C159" s="1">
        <v>140010117</v>
      </c>
      <c r="D159" s="1">
        <v>300</v>
      </c>
      <c r="E159" s="13"/>
      <c r="F159" s="13"/>
      <c r="G159" s="13"/>
      <c r="H159" s="13"/>
      <c r="I159" s="13"/>
      <c r="J159" s="13"/>
      <c r="K159" s="13"/>
    </row>
    <row r="160" spans="1:11">
      <c r="A160" s="1">
        <v>218</v>
      </c>
      <c r="B160" s="1" t="s">
        <v>1374</v>
      </c>
      <c r="C160" s="1">
        <v>140010230</v>
      </c>
      <c r="D160" s="1">
        <v>450</v>
      </c>
      <c r="E160" s="13"/>
      <c r="F160" s="13"/>
      <c r="G160" s="13"/>
      <c r="H160" s="13"/>
      <c r="I160" s="13"/>
      <c r="J160" s="13"/>
      <c r="K160" s="13"/>
    </row>
    <row r="161" spans="1:11">
      <c r="A161" s="1">
        <v>219</v>
      </c>
      <c r="B161" s="1" t="s">
        <v>1374</v>
      </c>
      <c r="C161" s="1">
        <v>140030039</v>
      </c>
      <c r="D161" s="1">
        <v>1700</v>
      </c>
      <c r="E161" s="13"/>
      <c r="F161" s="13"/>
      <c r="G161" s="13"/>
      <c r="H161" s="13"/>
      <c r="I161" s="13"/>
      <c r="J161" s="13"/>
      <c r="K161" s="13"/>
    </row>
    <row r="162" spans="1:11">
      <c r="A162" s="1">
        <v>220</v>
      </c>
      <c r="B162" s="1" t="s">
        <v>1374</v>
      </c>
      <c r="C162" s="1">
        <v>140030040</v>
      </c>
      <c r="D162" s="1">
        <v>200</v>
      </c>
      <c r="E162" s="13"/>
      <c r="F162" s="13"/>
      <c r="G162" s="13"/>
      <c r="H162" s="13"/>
      <c r="I162" s="13"/>
      <c r="J162" s="13"/>
      <c r="K162" s="13"/>
    </row>
    <row r="163" spans="1:11">
      <c r="A163" s="1">
        <v>221</v>
      </c>
      <c r="B163" s="1" t="s">
        <v>1374</v>
      </c>
      <c r="C163" s="1">
        <v>140310071</v>
      </c>
      <c r="D163" s="1">
        <v>1800</v>
      </c>
      <c r="E163" s="13"/>
      <c r="F163" s="13"/>
      <c r="G163" s="13"/>
      <c r="H163" s="13"/>
      <c r="I163" s="13"/>
      <c r="J163" s="13"/>
      <c r="K163" s="13"/>
    </row>
    <row r="164" spans="1:11">
      <c r="A164" s="1">
        <v>222</v>
      </c>
      <c r="B164" s="1" t="s">
        <v>1374</v>
      </c>
      <c r="C164" s="1">
        <v>140310083</v>
      </c>
      <c r="D164" s="1">
        <v>1600</v>
      </c>
      <c r="E164" s="13"/>
      <c r="F164" s="13"/>
      <c r="G164" s="13"/>
      <c r="H164" s="13"/>
      <c r="I164" s="13"/>
      <c r="J164" s="13"/>
      <c r="K164" s="13"/>
    </row>
    <row r="165" spans="1:11">
      <c r="A165" s="1">
        <v>223</v>
      </c>
      <c r="B165" s="1" t="s">
        <v>1374</v>
      </c>
      <c r="C165" s="1">
        <v>140640007</v>
      </c>
      <c r="D165" s="1">
        <v>800</v>
      </c>
      <c r="E165" s="13"/>
      <c r="F165" s="13"/>
      <c r="G165" s="13"/>
      <c r="H165" s="13"/>
      <c r="I165" s="13"/>
      <c r="J165" s="13"/>
      <c r="K165" s="13"/>
    </row>
    <row r="166" spans="1:11">
      <c r="A166" s="1">
        <v>224</v>
      </c>
      <c r="B166" s="1" t="s">
        <v>1374</v>
      </c>
      <c r="C166" s="1">
        <v>140530039</v>
      </c>
      <c r="D166" s="1">
        <v>2400</v>
      </c>
      <c r="E166" s="13"/>
      <c r="F166" s="13"/>
      <c r="G166" s="13"/>
      <c r="H166" s="13"/>
      <c r="I166" s="13"/>
      <c r="J166" s="13"/>
      <c r="K166" s="13"/>
    </row>
    <row r="167" spans="1:11">
      <c r="A167" s="1">
        <v>225</v>
      </c>
      <c r="B167" s="1" t="s">
        <v>1375</v>
      </c>
      <c r="C167" s="1">
        <v>140010117</v>
      </c>
      <c r="D167" s="1">
        <v>1200</v>
      </c>
      <c r="E167" s="13"/>
      <c r="F167" s="13"/>
      <c r="G167" s="13"/>
      <c r="H167" s="13"/>
      <c r="I167" s="13"/>
      <c r="J167" s="13"/>
      <c r="K167" s="13"/>
    </row>
    <row r="168" spans="1:11">
      <c r="A168" s="1">
        <v>226</v>
      </c>
      <c r="B168" s="1" t="s">
        <v>1375</v>
      </c>
      <c r="C168" s="1">
        <v>140020181</v>
      </c>
      <c r="D168" s="1">
        <v>100</v>
      </c>
      <c r="E168" s="13"/>
      <c r="F168" s="13"/>
      <c r="G168" s="13"/>
      <c r="H168" s="13"/>
      <c r="I168" s="13"/>
      <c r="J168" s="13"/>
      <c r="K168" s="13"/>
    </row>
    <row r="169" spans="1:11">
      <c r="A169" s="1">
        <v>227</v>
      </c>
      <c r="B169" s="1" t="s">
        <v>1375</v>
      </c>
      <c r="C169" s="1">
        <v>140030039</v>
      </c>
      <c r="D169" s="1">
        <v>400</v>
      </c>
      <c r="E169" s="13"/>
      <c r="F169" s="13"/>
      <c r="G169" s="13"/>
      <c r="H169" s="13"/>
      <c r="I169" s="13"/>
      <c r="J169" s="13"/>
      <c r="K169" s="13"/>
    </row>
    <row r="170" spans="1:11">
      <c r="A170" s="1">
        <v>228</v>
      </c>
      <c r="B170" s="1" t="s">
        <v>1375</v>
      </c>
      <c r="C170" s="1">
        <v>140030040</v>
      </c>
      <c r="D170" s="1">
        <v>600</v>
      </c>
      <c r="E170" s="13"/>
      <c r="F170" s="13"/>
      <c r="G170" s="13"/>
      <c r="H170" s="13"/>
      <c r="I170" s="13"/>
      <c r="J170" s="13"/>
      <c r="K170" s="13"/>
    </row>
    <row r="171" spans="1:11">
      <c r="A171" s="1">
        <v>229</v>
      </c>
      <c r="B171" s="1" t="s">
        <v>1375</v>
      </c>
      <c r="C171" s="1">
        <v>140310071</v>
      </c>
      <c r="D171" s="1">
        <v>1550</v>
      </c>
      <c r="E171" s="13"/>
      <c r="F171" s="13"/>
      <c r="G171" s="13"/>
      <c r="H171" s="13"/>
      <c r="I171" s="13"/>
      <c r="J171" s="13"/>
      <c r="K171" s="13"/>
    </row>
    <row r="172" spans="1:11">
      <c r="A172" s="1">
        <v>230</v>
      </c>
      <c r="B172" s="1" t="s">
        <v>1375</v>
      </c>
      <c r="C172" s="1">
        <v>140310083</v>
      </c>
      <c r="D172" s="1">
        <v>2200</v>
      </c>
      <c r="E172" s="13"/>
      <c r="F172" s="13"/>
      <c r="G172" s="13"/>
      <c r="H172" s="13"/>
      <c r="I172" s="13"/>
      <c r="J172" s="13"/>
      <c r="K172" s="13"/>
    </row>
    <row r="173" spans="1:11">
      <c r="A173" s="1">
        <v>231</v>
      </c>
      <c r="B173" s="1" t="s">
        <v>1375</v>
      </c>
      <c r="C173" s="1">
        <v>140450027</v>
      </c>
      <c r="D173" s="1">
        <v>49</v>
      </c>
      <c r="E173" s="13"/>
      <c r="F173" s="13"/>
      <c r="G173" s="13"/>
      <c r="H173" s="13"/>
      <c r="I173" s="13"/>
      <c r="J173" s="13"/>
      <c r="K173" s="13"/>
    </row>
    <row r="174" spans="1:11">
      <c r="A174" s="1">
        <v>232</v>
      </c>
      <c r="B174" s="1" t="s">
        <v>1375</v>
      </c>
      <c r="C174" s="1">
        <v>140450035</v>
      </c>
      <c r="D174" s="1">
        <v>64</v>
      </c>
      <c r="E174" s="13"/>
      <c r="F174" s="13"/>
      <c r="G174" s="13"/>
      <c r="H174" s="13"/>
      <c r="I174" s="13"/>
      <c r="J174" s="13"/>
      <c r="K174" s="13"/>
    </row>
    <row r="175" spans="1:11">
      <c r="A175" s="1">
        <v>233</v>
      </c>
      <c r="B175" s="1" t="s">
        <v>1375</v>
      </c>
      <c r="C175" s="1">
        <v>140640007</v>
      </c>
      <c r="D175" s="1">
        <v>1400</v>
      </c>
      <c r="E175" s="13"/>
      <c r="F175" s="13"/>
      <c r="G175" s="13"/>
      <c r="H175" s="13"/>
      <c r="I175" s="13"/>
      <c r="J175" s="13"/>
      <c r="K175" s="13"/>
    </row>
    <row r="176" spans="1:11">
      <c r="A176" s="1">
        <v>234</v>
      </c>
      <c r="B176" s="1" t="s">
        <v>1375</v>
      </c>
      <c r="C176" s="1">
        <v>140530039</v>
      </c>
      <c r="D176" s="1">
        <v>2100</v>
      </c>
      <c r="E176" s="13"/>
      <c r="F176" s="13"/>
      <c r="G176" s="13"/>
      <c r="H176" s="13"/>
      <c r="I176" s="13"/>
      <c r="J176" s="13"/>
      <c r="K176" s="13"/>
    </row>
    <row r="177" spans="1:11">
      <c r="A177" s="1">
        <v>235</v>
      </c>
      <c r="B177" s="1" t="s">
        <v>1377</v>
      </c>
      <c r="C177" s="1">
        <v>140010117</v>
      </c>
      <c r="D177" s="1">
        <v>450</v>
      </c>
      <c r="E177" s="13"/>
      <c r="F177" s="13"/>
      <c r="G177" s="13"/>
      <c r="H177" s="13"/>
      <c r="I177" s="13"/>
      <c r="J177" s="13"/>
      <c r="K177" s="13"/>
    </row>
    <row r="178" spans="1:11">
      <c r="A178" s="1">
        <v>236</v>
      </c>
      <c r="B178" s="1" t="s">
        <v>1377</v>
      </c>
      <c r="C178" s="1">
        <v>140310083</v>
      </c>
      <c r="D178" s="1">
        <v>2500</v>
      </c>
      <c r="E178" s="13"/>
      <c r="F178" s="13"/>
      <c r="G178" s="13"/>
      <c r="H178" s="13"/>
      <c r="I178" s="13"/>
      <c r="J178" s="13"/>
      <c r="K178" s="13"/>
    </row>
    <row r="179" spans="1:11">
      <c r="A179" s="1">
        <v>237</v>
      </c>
      <c r="B179" s="1" t="s">
        <v>1377</v>
      </c>
      <c r="C179" s="1">
        <v>140640007</v>
      </c>
      <c r="D179" s="1">
        <v>1300</v>
      </c>
      <c r="E179" s="13"/>
      <c r="F179" s="13"/>
      <c r="G179" s="13"/>
      <c r="H179" s="13"/>
      <c r="I179" s="13"/>
      <c r="J179" s="13"/>
      <c r="K179" s="13"/>
    </row>
    <row r="180" spans="1:11">
      <c r="A180" s="1">
        <v>238</v>
      </c>
      <c r="B180" s="1" t="s">
        <v>1377</v>
      </c>
      <c r="C180" s="1">
        <v>141320055</v>
      </c>
      <c r="D180" s="1">
        <v>2800</v>
      </c>
      <c r="E180" s="13"/>
      <c r="F180" s="13"/>
      <c r="G180" s="13"/>
      <c r="H180" s="13"/>
      <c r="I180" s="13"/>
      <c r="J180" s="13"/>
      <c r="K180" s="13"/>
    </row>
    <row r="181" spans="1:11">
      <c r="A181" s="1">
        <v>239</v>
      </c>
      <c r="B181" s="1" t="s">
        <v>1467</v>
      </c>
      <c r="C181" s="1">
        <v>140010117</v>
      </c>
      <c r="D181" s="1">
        <v>1500</v>
      </c>
      <c r="E181" s="13"/>
      <c r="F181" s="13"/>
      <c r="G181" s="13"/>
      <c r="H181" s="13"/>
      <c r="I181" s="13"/>
      <c r="J181" s="13"/>
      <c r="K181" s="13"/>
    </row>
    <row r="182" spans="1:11">
      <c r="A182" s="1">
        <v>240</v>
      </c>
      <c r="B182" s="1" t="s">
        <v>1467</v>
      </c>
      <c r="C182" s="1">
        <v>140030039</v>
      </c>
      <c r="D182" s="1">
        <v>1200</v>
      </c>
      <c r="E182" s="13"/>
      <c r="F182" s="13"/>
      <c r="G182" s="13"/>
      <c r="H182" s="13"/>
      <c r="I182" s="13"/>
      <c r="J182" s="13"/>
      <c r="K182" s="13"/>
    </row>
    <row r="183" spans="1:11">
      <c r="A183" s="1">
        <v>241</v>
      </c>
      <c r="B183" s="1" t="s">
        <v>1467</v>
      </c>
      <c r="C183" s="1">
        <v>140310071</v>
      </c>
      <c r="D183" s="1">
        <v>500</v>
      </c>
      <c r="E183" s="13"/>
      <c r="F183" s="13"/>
      <c r="G183" s="13"/>
      <c r="H183" s="13"/>
      <c r="I183" s="13"/>
      <c r="J183" s="13"/>
      <c r="K183" s="13"/>
    </row>
    <row r="184" spans="1:11">
      <c r="A184" s="1">
        <v>242</v>
      </c>
      <c r="B184" s="1" t="s">
        <v>1467</v>
      </c>
      <c r="C184" s="1">
        <v>140310083</v>
      </c>
      <c r="D184" s="1">
        <v>1200</v>
      </c>
      <c r="E184" s="13"/>
      <c r="F184" s="13"/>
      <c r="G184" s="13"/>
      <c r="H184" s="13"/>
      <c r="I184" s="13"/>
      <c r="J184" s="13"/>
      <c r="K184" s="13"/>
    </row>
    <row r="185" spans="1:11">
      <c r="A185" s="1">
        <v>243</v>
      </c>
      <c r="B185" s="1" t="s">
        <v>1467</v>
      </c>
      <c r="C185" s="1">
        <v>140640007</v>
      </c>
      <c r="D185" s="1">
        <v>1200</v>
      </c>
      <c r="E185" s="13"/>
      <c r="F185" s="13"/>
      <c r="G185" s="13"/>
      <c r="H185" s="13"/>
      <c r="I185" s="13"/>
      <c r="J185" s="13"/>
      <c r="K185" s="13"/>
    </row>
    <row r="186" spans="1:11">
      <c r="A186" s="1">
        <v>244</v>
      </c>
      <c r="B186" s="1" t="s">
        <v>1467</v>
      </c>
      <c r="C186" s="1">
        <v>141320055</v>
      </c>
      <c r="D186" s="1">
        <v>2400</v>
      </c>
      <c r="E186" s="13"/>
      <c r="F186" s="13"/>
      <c r="G186" s="13"/>
      <c r="H186" s="13"/>
      <c r="I186" s="13"/>
      <c r="J186" s="13"/>
      <c r="K186" s="13"/>
    </row>
    <row r="187" spans="1:11">
      <c r="A187" s="1">
        <v>245</v>
      </c>
      <c r="B187" s="1" t="s">
        <v>1376</v>
      </c>
      <c r="C187" s="1">
        <v>140010117</v>
      </c>
      <c r="D187" s="1">
        <v>1050</v>
      </c>
      <c r="E187" s="13"/>
      <c r="F187" s="13"/>
      <c r="G187" s="13"/>
      <c r="H187" s="13"/>
      <c r="I187" s="13"/>
      <c r="J187" s="13"/>
      <c r="K187" s="13"/>
    </row>
    <row r="188" spans="1:11">
      <c r="A188" s="1">
        <v>246</v>
      </c>
      <c r="B188" s="1" t="s">
        <v>1376</v>
      </c>
      <c r="C188" s="1">
        <v>140030039</v>
      </c>
      <c r="D188" s="1">
        <v>900</v>
      </c>
      <c r="E188" s="13"/>
      <c r="F188" s="13"/>
      <c r="G188" s="13"/>
      <c r="H188" s="13"/>
      <c r="I188" s="13"/>
      <c r="J188" s="13"/>
      <c r="K188" s="13"/>
    </row>
    <row r="189" spans="1:11">
      <c r="A189" s="1">
        <v>247</v>
      </c>
      <c r="B189" s="1" t="s">
        <v>1376</v>
      </c>
      <c r="C189" s="1">
        <v>140310071</v>
      </c>
      <c r="D189" s="1">
        <v>2000</v>
      </c>
      <c r="E189" s="13"/>
      <c r="F189" s="13"/>
      <c r="G189" s="13"/>
      <c r="H189" s="13"/>
      <c r="I189" s="13"/>
      <c r="J189" s="13"/>
      <c r="K189" s="13"/>
    </row>
    <row r="190" spans="1:11">
      <c r="A190" s="1">
        <v>248</v>
      </c>
      <c r="B190" s="1" t="s">
        <v>1376</v>
      </c>
      <c r="C190" s="1">
        <v>140310083</v>
      </c>
      <c r="D190" s="1">
        <v>1100</v>
      </c>
      <c r="E190" s="13"/>
      <c r="F190" s="13"/>
      <c r="G190" s="13"/>
      <c r="H190" s="13"/>
      <c r="I190" s="13"/>
      <c r="J190" s="13"/>
      <c r="K190" s="13"/>
    </row>
    <row r="191" spans="1:11">
      <c r="A191" s="1">
        <v>249</v>
      </c>
      <c r="B191" s="1" t="s">
        <v>1376</v>
      </c>
      <c r="C191" s="1">
        <v>140640007</v>
      </c>
      <c r="D191" s="1">
        <v>2300</v>
      </c>
      <c r="E191" s="13"/>
      <c r="F191" s="13"/>
      <c r="G191" s="13"/>
      <c r="H191" s="13"/>
      <c r="I191" s="13"/>
      <c r="J191" s="13"/>
      <c r="K191" s="13"/>
    </row>
    <row r="192" spans="1:11">
      <c r="A192" s="1">
        <v>250</v>
      </c>
      <c r="B192" s="1" t="s">
        <v>1376</v>
      </c>
      <c r="C192" s="1">
        <v>140530039</v>
      </c>
      <c r="D192" s="1">
        <v>1700</v>
      </c>
      <c r="E192" s="13"/>
      <c r="F192" s="13"/>
      <c r="G192" s="13"/>
      <c r="H192" s="13"/>
      <c r="I192" s="13"/>
      <c r="J192" s="13"/>
      <c r="K192" s="13"/>
    </row>
    <row r="193" spans="1:11">
      <c r="A193" s="1">
        <v>251</v>
      </c>
      <c r="B193" s="1" t="s">
        <v>1378</v>
      </c>
      <c r="C193" s="1">
        <v>140010117</v>
      </c>
      <c r="D193" s="1">
        <v>750</v>
      </c>
      <c r="E193" s="13"/>
      <c r="F193" s="13"/>
      <c r="G193" s="13"/>
      <c r="H193" s="13"/>
      <c r="I193" s="13"/>
      <c r="J193" s="13"/>
      <c r="K193" s="13"/>
    </row>
    <row r="194" spans="1:11">
      <c r="A194" s="1">
        <v>252</v>
      </c>
      <c r="B194" s="1" t="s">
        <v>1378</v>
      </c>
      <c r="C194" s="1">
        <v>140310071</v>
      </c>
      <c r="D194" s="1">
        <v>4800</v>
      </c>
      <c r="E194" s="13"/>
      <c r="F194" s="13"/>
      <c r="G194" s="13"/>
      <c r="H194" s="13"/>
      <c r="I194" s="13"/>
      <c r="J194" s="13"/>
      <c r="K194" s="13"/>
    </row>
    <row r="195" spans="1:11">
      <c r="A195" s="1">
        <v>253</v>
      </c>
      <c r="B195" s="1" t="s">
        <v>1378</v>
      </c>
      <c r="C195" s="1">
        <v>140310083</v>
      </c>
      <c r="D195" s="1">
        <v>1400</v>
      </c>
      <c r="E195" s="13"/>
      <c r="F195" s="13"/>
      <c r="G195" s="13"/>
      <c r="H195" s="13"/>
      <c r="I195" s="13"/>
      <c r="J195" s="13"/>
      <c r="K195" s="13"/>
    </row>
    <row r="196" spans="1:11">
      <c r="A196" s="1">
        <v>254</v>
      </c>
      <c r="B196" s="1" t="s">
        <v>1378</v>
      </c>
      <c r="C196" s="1">
        <v>140640007</v>
      </c>
      <c r="D196" s="1">
        <v>1900</v>
      </c>
      <c r="E196" s="13"/>
      <c r="F196" s="13"/>
      <c r="G196" s="13"/>
      <c r="H196" s="13"/>
      <c r="I196" s="13"/>
      <c r="J196" s="13"/>
      <c r="K196" s="13"/>
    </row>
    <row r="197" spans="1:11">
      <c r="A197" s="1">
        <v>255</v>
      </c>
      <c r="B197" s="1" t="s">
        <v>1378</v>
      </c>
      <c r="C197" s="1">
        <v>140530039</v>
      </c>
      <c r="D197" s="1">
        <v>1400</v>
      </c>
      <c r="E197" s="13"/>
      <c r="F197" s="13"/>
      <c r="G197" s="13"/>
      <c r="H197" s="13"/>
      <c r="I197" s="13"/>
      <c r="J197" s="13"/>
      <c r="K197" s="13"/>
    </row>
    <row r="198" spans="1:11">
      <c r="A198" s="1">
        <v>256</v>
      </c>
      <c r="B198" s="1" t="s">
        <v>1378</v>
      </c>
      <c r="C198" s="1">
        <v>141320055</v>
      </c>
      <c r="D198" s="1">
        <v>1100</v>
      </c>
      <c r="E198" s="13"/>
      <c r="F198" s="13"/>
      <c r="G198" s="13"/>
      <c r="H198" s="13"/>
      <c r="I198" s="13"/>
      <c r="J198" s="13"/>
      <c r="K198" s="13"/>
    </row>
    <row r="199" spans="1:11">
      <c r="A199" s="1">
        <v>257</v>
      </c>
      <c r="B199" s="1" t="s">
        <v>1379</v>
      </c>
      <c r="C199" s="1">
        <v>140010117</v>
      </c>
      <c r="D199" s="1">
        <v>300</v>
      </c>
      <c r="E199" s="13"/>
      <c r="F199" s="13"/>
      <c r="G199" s="13"/>
      <c r="H199" s="13"/>
      <c r="I199" s="13"/>
      <c r="J199" s="13"/>
      <c r="K199" s="13"/>
    </row>
    <row r="200" spans="1:11">
      <c r="A200" s="1">
        <v>258</v>
      </c>
      <c r="B200" s="1" t="s">
        <v>1379</v>
      </c>
      <c r="C200" s="1">
        <v>140310071</v>
      </c>
      <c r="D200" s="1">
        <v>2600</v>
      </c>
      <c r="E200" s="13"/>
      <c r="F200" s="13"/>
      <c r="G200" s="13"/>
      <c r="H200" s="13"/>
      <c r="I200" s="13"/>
      <c r="J200" s="13"/>
      <c r="K200" s="13"/>
    </row>
    <row r="201" spans="1:11">
      <c r="A201" s="1">
        <v>259</v>
      </c>
      <c r="B201" s="1" t="s">
        <v>1379</v>
      </c>
      <c r="C201" s="1">
        <v>141320055</v>
      </c>
      <c r="D201" s="1">
        <v>2200</v>
      </c>
      <c r="E201" s="13"/>
      <c r="F201" s="13"/>
      <c r="G201" s="13"/>
      <c r="H201" s="13"/>
      <c r="I201" s="13"/>
      <c r="J201" s="13"/>
      <c r="K201" s="13"/>
    </row>
    <row r="202" spans="1:11">
      <c r="A202" s="1">
        <v>260</v>
      </c>
      <c r="B202" s="1" t="s">
        <v>1380</v>
      </c>
      <c r="C202" s="1">
        <v>140010117</v>
      </c>
      <c r="D202" s="1">
        <v>150</v>
      </c>
      <c r="E202" s="13"/>
      <c r="F202" s="13"/>
      <c r="G202" s="13"/>
      <c r="H202" s="13"/>
      <c r="I202" s="13"/>
      <c r="J202" s="13"/>
      <c r="K202" s="13"/>
    </row>
    <row r="203" spans="1:11">
      <c r="A203" s="1">
        <v>261</v>
      </c>
      <c r="B203" s="1" t="s">
        <v>1380</v>
      </c>
      <c r="C203" s="1">
        <v>140010255</v>
      </c>
      <c r="D203" s="1">
        <v>500</v>
      </c>
      <c r="E203" s="13"/>
      <c r="F203" s="13"/>
      <c r="G203" s="13"/>
      <c r="H203" s="13"/>
      <c r="I203" s="13"/>
      <c r="J203" s="13"/>
      <c r="K203" s="13"/>
    </row>
    <row r="204" spans="1:11">
      <c r="A204" s="1">
        <v>262</v>
      </c>
      <c r="B204" s="1" t="s">
        <v>1380</v>
      </c>
      <c r="C204" s="1">
        <v>140310071</v>
      </c>
      <c r="D204" s="1">
        <v>2700</v>
      </c>
      <c r="E204" s="13"/>
      <c r="F204" s="13"/>
      <c r="G204" s="13"/>
      <c r="H204" s="13"/>
      <c r="I204" s="13"/>
      <c r="J204" s="13"/>
      <c r="K204" s="13"/>
    </row>
    <row r="205" spans="1:11">
      <c r="A205" s="1">
        <v>263</v>
      </c>
      <c r="B205" s="1" t="s">
        <v>1380</v>
      </c>
      <c r="C205" s="1">
        <v>140640007</v>
      </c>
      <c r="D205" s="1">
        <v>1300</v>
      </c>
      <c r="E205" s="13"/>
      <c r="F205" s="13"/>
      <c r="G205" s="13"/>
      <c r="H205" s="13"/>
      <c r="I205" s="13"/>
      <c r="J205" s="13"/>
      <c r="K205" s="13"/>
    </row>
    <row r="206" spans="1:11">
      <c r="A206" s="1">
        <v>264</v>
      </c>
      <c r="B206" s="1" t="s">
        <v>1380</v>
      </c>
      <c r="C206" s="1">
        <v>141320055</v>
      </c>
      <c r="D206" s="1">
        <v>1900</v>
      </c>
      <c r="E206" s="13"/>
      <c r="F206" s="13"/>
      <c r="G206" s="13"/>
      <c r="H206" s="13"/>
      <c r="I206" s="13"/>
      <c r="J206" s="13"/>
      <c r="K206" s="13"/>
    </row>
    <row r="207" spans="1:11">
      <c r="A207" s="1">
        <v>265</v>
      </c>
      <c r="B207" s="1" t="s">
        <v>1381</v>
      </c>
      <c r="C207" s="1">
        <v>140030039</v>
      </c>
      <c r="D207" s="1">
        <v>1200</v>
      </c>
      <c r="E207" s="13"/>
      <c r="F207" s="13"/>
      <c r="G207" s="13"/>
      <c r="H207" s="13"/>
      <c r="I207" s="13"/>
      <c r="J207" s="13"/>
      <c r="K207" s="13"/>
    </row>
    <row r="208" spans="1:11">
      <c r="A208" s="1">
        <v>266</v>
      </c>
      <c r="B208" s="1" t="s">
        <v>1381</v>
      </c>
      <c r="C208" s="1">
        <v>140310071</v>
      </c>
      <c r="D208" s="1">
        <v>5200</v>
      </c>
      <c r="E208" s="13"/>
      <c r="F208" s="13"/>
      <c r="G208" s="13"/>
      <c r="H208" s="13"/>
      <c r="I208" s="13"/>
      <c r="J208" s="13"/>
      <c r="K208" s="13"/>
    </row>
    <row r="209" spans="1:11">
      <c r="A209" s="1">
        <v>267</v>
      </c>
      <c r="B209" s="1" t="s">
        <v>1381</v>
      </c>
      <c r="C209" s="1">
        <v>140640007</v>
      </c>
      <c r="D209" s="1">
        <v>950</v>
      </c>
      <c r="E209" s="13"/>
      <c r="F209" s="13"/>
      <c r="G209" s="13"/>
      <c r="H209" s="13"/>
      <c r="I209" s="13"/>
      <c r="J209" s="13"/>
      <c r="K209" s="13"/>
    </row>
    <row r="210" spans="1:11">
      <c r="A210" s="1">
        <v>268</v>
      </c>
      <c r="B210" s="1" t="s">
        <v>1382</v>
      </c>
      <c r="C210" s="1">
        <v>140030039</v>
      </c>
      <c r="D210" s="1">
        <v>700</v>
      </c>
      <c r="E210" s="13"/>
      <c r="F210" s="13"/>
      <c r="G210" s="13"/>
      <c r="H210" s="13"/>
      <c r="I210" s="13"/>
      <c r="J210" s="13"/>
      <c r="K210" s="13"/>
    </row>
    <row r="211" spans="1:11">
      <c r="A211" s="1">
        <v>269</v>
      </c>
      <c r="B211" s="1" t="s">
        <v>1382</v>
      </c>
      <c r="C211" s="1">
        <v>140030040</v>
      </c>
      <c r="D211" s="1">
        <v>1300</v>
      </c>
      <c r="E211" s="13"/>
      <c r="F211" s="13"/>
      <c r="G211" s="13"/>
      <c r="H211" s="13"/>
      <c r="I211" s="13"/>
      <c r="J211" s="13"/>
      <c r="K211" s="13"/>
    </row>
    <row r="212" spans="1:11">
      <c r="A212" s="1">
        <v>270</v>
      </c>
      <c r="B212" s="1" t="s">
        <v>1382</v>
      </c>
      <c r="C212" s="1">
        <v>140310071</v>
      </c>
      <c r="D212" s="1">
        <v>2900</v>
      </c>
      <c r="E212" s="13"/>
      <c r="F212" s="13"/>
      <c r="G212" s="13"/>
      <c r="H212" s="13"/>
      <c r="I212" s="13"/>
      <c r="J212" s="13"/>
      <c r="K212" s="13"/>
    </row>
    <row r="213" spans="1:11">
      <c r="A213" s="1">
        <v>271</v>
      </c>
      <c r="B213" s="1" t="s">
        <v>1382</v>
      </c>
      <c r="C213" s="1">
        <v>140640007</v>
      </c>
      <c r="D213" s="1">
        <v>400</v>
      </c>
      <c r="E213" s="13"/>
      <c r="F213" s="13"/>
      <c r="G213" s="13"/>
      <c r="H213" s="13"/>
      <c r="I213" s="13"/>
      <c r="J213" s="13"/>
      <c r="K213" s="13"/>
    </row>
    <row r="214" spans="1:11">
      <c r="A214" s="1">
        <v>272</v>
      </c>
      <c r="B214" s="1" t="s">
        <v>1382</v>
      </c>
      <c r="C214" s="1">
        <v>141320055</v>
      </c>
      <c r="D214" s="1">
        <v>400</v>
      </c>
      <c r="E214" s="13"/>
      <c r="F214" s="13"/>
      <c r="G214" s="13"/>
      <c r="H214" s="13"/>
      <c r="I214" s="13"/>
      <c r="J214" s="13"/>
      <c r="K214" s="13"/>
    </row>
    <row r="215" spans="1:11">
      <c r="A215" s="1">
        <v>273</v>
      </c>
      <c r="B215" s="1" t="s">
        <v>1383</v>
      </c>
      <c r="C215" s="1">
        <v>140030039</v>
      </c>
      <c r="D215" s="1">
        <v>200</v>
      </c>
      <c r="E215" s="13"/>
      <c r="F215" s="13"/>
      <c r="G215" s="13"/>
      <c r="H215" s="13"/>
      <c r="I215" s="13"/>
      <c r="J215" s="13"/>
      <c r="K215" s="13"/>
    </row>
    <row r="216" spans="1:11">
      <c r="A216" s="1">
        <v>274</v>
      </c>
      <c r="B216" s="1" t="s">
        <v>1383</v>
      </c>
      <c r="C216" s="1">
        <v>140030040</v>
      </c>
      <c r="D216" s="1">
        <v>700</v>
      </c>
      <c r="E216" s="13"/>
      <c r="F216" s="13"/>
      <c r="G216" s="13"/>
      <c r="H216" s="13"/>
      <c r="I216" s="13"/>
      <c r="J216" s="13"/>
      <c r="K216" s="13"/>
    </row>
    <row r="217" spans="1:11">
      <c r="A217" s="1">
        <v>275</v>
      </c>
      <c r="B217" s="1" t="s">
        <v>1383</v>
      </c>
      <c r="C217" s="1">
        <v>140310071</v>
      </c>
      <c r="D217" s="1">
        <v>2250</v>
      </c>
      <c r="E217" s="13"/>
      <c r="F217" s="13"/>
      <c r="G217" s="13"/>
      <c r="H217" s="13"/>
      <c r="I217" s="13"/>
      <c r="J217" s="13"/>
      <c r="K217" s="13"/>
    </row>
    <row r="218" spans="1:11">
      <c r="A218" s="1">
        <v>276</v>
      </c>
      <c r="B218" s="1" t="s">
        <v>1383</v>
      </c>
      <c r="C218" s="1">
        <v>140310083</v>
      </c>
      <c r="D218" s="1">
        <v>700</v>
      </c>
      <c r="E218" s="13"/>
      <c r="F218" s="13"/>
      <c r="G218" s="13"/>
      <c r="H218" s="13"/>
      <c r="I218" s="13"/>
      <c r="J218" s="13"/>
      <c r="K218" s="13"/>
    </row>
    <row r="219" spans="1:11">
      <c r="A219" s="1">
        <v>277</v>
      </c>
      <c r="B219" s="1" t="s">
        <v>1383</v>
      </c>
      <c r="C219" s="1">
        <v>140640007</v>
      </c>
      <c r="D219" s="1">
        <v>250</v>
      </c>
      <c r="E219" s="13"/>
      <c r="F219" s="13"/>
      <c r="G219" s="13"/>
      <c r="H219" s="13"/>
      <c r="I219" s="13"/>
      <c r="J219" s="13"/>
      <c r="K219" s="13"/>
    </row>
    <row r="220" spans="1:11">
      <c r="A220" s="1">
        <v>278</v>
      </c>
      <c r="B220" s="1" t="s">
        <v>1383</v>
      </c>
      <c r="C220" s="1">
        <v>140530039</v>
      </c>
      <c r="D220" s="1">
        <v>200</v>
      </c>
      <c r="E220" s="13"/>
      <c r="F220" s="13"/>
      <c r="G220" s="13"/>
      <c r="H220" s="13"/>
      <c r="I220" s="13"/>
      <c r="J220" s="13"/>
      <c r="K220" s="13"/>
    </row>
    <row r="221" spans="1:11">
      <c r="A221" s="1">
        <v>279</v>
      </c>
      <c r="B221" s="1" t="s">
        <v>1383</v>
      </c>
      <c r="C221" s="1">
        <v>141320055</v>
      </c>
      <c r="D221" s="1">
        <v>1300</v>
      </c>
      <c r="E221" s="13"/>
      <c r="F221" s="13"/>
      <c r="G221" s="13"/>
      <c r="H221" s="13"/>
      <c r="I221" s="13"/>
      <c r="J221" s="13"/>
      <c r="K221" s="13"/>
    </row>
    <row r="222" spans="1:11">
      <c r="A222" s="1">
        <v>280</v>
      </c>
      <c r="B222" s="1" t="s">
        <v>1384</v>
      </c>
      <c r="C222" s="1">
        <v>140030040</v>
      </c>
      <c r="D222" s="1">
        <v>800</v>
      </c>
      <c r="E222" s="13"/>
      <c r="F222" s="13"/>
      <c r="G222" s="13"/>
      <c r="H222" s="13"/>
      <c r="I222" s="13"/>
      <c r="J222" s="13"/>
      <c r="K222" s="13"/>
    </row>
    <row r="223" spans="1:11">
      <c r="A223" s="1">
        <v>281</v>
      </c>
      <c r="B223" s="1" t="s">
        <v>1384</v>
      </c>
      <c r="C223" s="1">
        <v>140310071</v>
      </c>
      <c r="D223" s="1">
        <v>1500</v>
      </c>
      <c r="E223" s="13"/>
      <c r="F223" s="13"/>
      <c r="G223" s="13"/>
      <c r="H223" s="13"/>
      <c r="I223" s="13"/>
      <c r="J223" s="13"/>
      <c r="K223" s="13"/>
    </row>
    <row r="224" spans="1:11">
      <c r="A224" s="1">
        <v>282</v>
      </c>
      <c r="B224" s="1" t="s">
        <v>1384</v>
      </c>
      <c r="C224" s="1">
        <v>140310083</v>
      </c>
      <c r="D224" s="1">
        <v>400</v>
      </c>
      <c r="E224" s="13"/>
      <c r="F224" s="13"/>
      <c r="G224" s="13"/>
      <c r="H224" s="13"/>
      <c r="I224" s="13"/>
      <c r="J224" s="13"/>
      <c r="K224" s="13"/>
    </row>
    <row r="225" spans="1:11">
      <c r="A225" s="1">
        <v>283</v>
      </c>
      <c r="B225" s="1" t="s">
        <v>1384</v>
      </c>
      <c r="C225" s="1">
        <v>140530039</v>
      </c>
      <c r="D225" s="1">
        <v>200</v>
      </c>
      <c r="E225" s="13"/>
      <c r="F225" s="13"/>
      <c r="G225" s="13"/>
      <c r="H225" s="13"/>
      <c r="I225" s="13"/>
      <c r="J225" s="13"/>
      <c r="K225" s="13"/>
    </row>
    <row r="226" spans="1:11">
      <c r="A226" s="1">
        <v>284</v>
      </c>
      <c r="B226" s="1" t="s">
        <v>1384</v>
      </c>
      <c r="C226" s="1">
        <v>141320055</v>
      </c>
      <c r="D226" s="1">
        <v>2200</v>
      </c>
      <c r="E226" s="13"/>
      <c r="F226" s="13"/>
      <c r="G226" s="13"/>
      <c r="H226" s="13"/>
      <c r="I226" s="13"/>
      <c r="J226" s="13"/>
      <c r="K226" s="13"/>
    </row>
    <row r="227" spans="1:11">
      <c r="A227" s="1">
        <v>285</v>
      </c>
      <c r="B227" s="1" t="s">
        <v>1421</v>
      </c>
      <c r="C227" s="1">
        <v>140010117</v>
      </c>
      <c r="D227" s="1">
        <v>600</v>
      </c>
      <c r="E227" s="13"/>
      <c r="F227" s="13"/>
      <c r="G227" s="13"/>
      <c r="H227" s="13"/>
      <c r="I227" s="13"/>
      <c r="J227" s="13"/>
      <c r="K227" s="13"/>
    </row>
    <row r="228" spans="1:11">
      <c r="A228" s="1">
        <v>286</v>
      </c>
      <c r="B228" s="1" t="s">
        <v>1421</v>
      </c>
      <c r="C228" s="1">
        <v>140030040</v>
      </c>
      <c r="D228" s="1">
        <v>200</v>
      </c>
      <c r="E228" s="13"/>
      <c r="F228" s="13"/>
      <c r="G228" s="13"/>
      <c r="H228" s="13"/>
      <c r="I228" s="13"/>
      <c r="J228" s="13"/>
      <c r="K228" s="13"/>
    </row>
    <row r="229" spans="1:11">
      <c r="A229" s="1">
        <v>289</v>
      </c>
      <c r="B229" s="1" t="s">
        <v>1421</v>
      </c>
      <c r="C229" s="1">
        <v>140310071</v>
      </c>
      <c r="D229" s="1">
        <v>2400</v>
      </c>
      <c r="E229" s="13"/>
      <c r="F229" s="13"/>
      <c r="G229" s="13"/>
      <c r="H229" s="13"/>
      <c r="I229" s="13"/>
      <c r="J229" s="13"/>
      <c r="K229" s="13"/>
    </row>
    <row r="230" spans="1:11">
      <c r="A230" s="1">
        <v>291</v>
      </c>
      <c r="B230" s="1" t="s">
        <v>1421</v>
      </c>
      <c r="C230" s="1">
        <v>140310083</v>
      </c>
      <c r="D230" s="1">
        <v>400</v>
      </c>
      <c r="E230" s="13"/>
      <c r="F230" s="13"/>
      <c r="G230" s="13"/>
      <c r="H230" s="13"/>
      <c r="I230" s="13"/>
      <c r="J230" s="13"/>
      <c r="K230" s="13"/>
    </row>
    <row r="231" spans="1:11">
      <c r="A231" s="1">
        <v>294</v>
      </c>
      <c r="B231" s="1" t="s">
        <v>1421</v>
      </c>
      <c r="C231" s="1">
        <v>140550019</v>
      </c>
      <c r="D231" s="1">
        <v>1000</v>
      </c>
      <c r="E231" s="13"/>
      <c r="F231" s="13"/>
      <c r="G231" s="13"/>
      <c r="H231" s="13"/>
      <c r="I231" s="13"/>
      <c r="J231" s="13"/>
      <c r="K231" s="13"/>
    </row>
    <row r="232" spans="1:11">
      <c r="A232" s="1">
        <v>295</v>
      </c>
      <c r="B232" s="1" t="s">
        <v>1385</v>
      </c>
      <c r="C232" s="1">
        <v>140010117</v>
      </c>
      <c r="D232" s="1">
        <v>225</v>
      </c>
      <c r="E232" s="13"/>
      <c r="F232" s="13"/>
      <c r="G232" s="13"/>
      <c r="H232" s="13"/>
      <c r="I232" s="13"/>
      <c r="J232" s="13"/>
      <c r="K232" s="13"/>
    </row>
    <row r="233" spans="1:11">
      <c r="A233" s="1">
        <v>296</v>
      </c>
      <c r="B233" s="1" t="s">
        <v>1385</v>
      </c>
      <c r="C233" s="1">
        <v>140010230</v>
      </c>
      <c r="D233" s="1">
        <v>300</v>
      </c>
      <c r="E233" s="13"/>
      <c r="F233" s="13"/>
      <c r="G233" s="13"/>
      <c r="H233" s="13"/>
      <c r="I233" s="13"/>
      <c r="J233" s="13"/>
      <c r="K233" s="13"/>
    </row>
    <row r="234" spans="1:11">
      <c r="A234" s="1">
        <v>297</v>
      </c>
      <c r="B234" s="1" t="s">
        <v>1385</v>
      </c>
      <c r="C234" s="1">
        <v>140030039</v>
      </c>
      <c r="D234" s="1">
        <v>800</v>
      </c>
      <c r="E234" s="13"/>
      <c r="F234" s="13"/>
      <c r="G234" s="13"/>
      <c r="H234" s="13"/>
      <c r="I234" s="13"/>
      <c r="J234" s="13"/>
      <c r="K234" s="13"/>
    </row>
    <row r="235" spans="1:11">
      <c r="A235" s="1">
        <v>298</v>
      </c>
      <c r="B235" s="1" t="s">
        <v>1385</v>
      </c>
      <c r="C235" s="1">
        <v>140030040</v>
      </c>
      <c r="D235" s="1">
        <v>900</v>
      </c>
      <c r="E235" s="13"/>
      <c r="F235" s="13"/>
      <c r="G235" s="13"/>
      <c r="H235" s="13"/>
      <c r="I235" s="13"/>
      <c r="J235" s="13"/>
      <c r="K235" s="13"/>
    </row>
    <row r="236" spans="1:11">
      <c r="A236" s="1">
        <v>299</v>
      </c>
      <c r="B236" s="1" t="s">
        <v>1385</v>
      </c>
      <c r="C236" s="1">
        <v>140310071</v>
      </c>
      <c r="D236" s="1">
        <v>1150</v>
      </c>
      <c r="E236" s="13"/>
      <c r="F236" s="13"/>
      <c r="G236" s="13"/>
      <c r="H236" s="13"/>
      <c r="I236" s="13"/>
      <c r="J236" s="13"/>
      <c r="K236" s="13"/>
    </row>
    <row r="237" spans="1:11">
      <c r="A237" s="1">
        <v>300</v>
      </c>
      <c r="B237" s="1" t="s">
        <v>1385</v>
      </c>
      <c r="C237" s="1">
        <v>140310083</v>
      </c>
      <c r="D237" s="1">
        <v>200</v>
      </c>
      <c r="E237" s="13"/>
      <c r="F237" s="13"/>
      <c r="G237" s="13"/>
      <c r="H237" s="13"/>
      <c r="I237" s="13"/>
      <c r="J237" s="13"/>
      <c r="K237" s="13"/>
    </row>
    <row r="238" spans="1:11">
      <c r="A238" s="1">
        <v>301</v>
      </c>
      <c r="B238" s="1" t="s">
        <v>1385</v>
      </c>
      <c r="C238" s="1">
        <v>140450047</v>
      </c>
      <c r="D238" s="1">
        <v>500</v>
      </c>
      <c r="E238" s="13"/>
      <c r="F238" s="13"/>
      <c r="G238" s="13"/>
      <c r="H238" s="13"/>
      <c r="I238" s="13"/>
      <c r="J238" s="13"/>
      <c r="K238" s="13"/>
    </row>
    <row r="239" spans="1:11">
      <c r="A239" s="1">
        <v>302</v>
      </c>
      <c r="B239" s="1" t="s">
        <v>1385</v>
      </c>
      <c r="C239" s="1">
        <v>140550019</v>
      </c>
      <c r="D239" s="1">
        <v>600</v>
      </c>
      <c r="E239" s="13"/>
      <c r="F239" s="13"/>
      <c r="G239" s="13"/>
      <c r="H239" s="13"/>
      <c r="I239" s="13"/>
      <c r="J239" s="13"/>
      <c r="K239" s="13"/>
    </row>
    <row r="240" spans="1:11">
      <c r="A240" s="1">
        <v>303</v>
      </c>
      <c r="B240" s="1" t="s">
        <v>1385</v>
      </c>
      <c r="C240" s="1">
        <v>141320055</v>
      </c>
      <c r="D240" s="1">
        <v>1100</v>
      </c>
      <c r="E240" s="13"/>
      <c r="F240" s="13"/>
      <c r="G240" s="13"/>
      <c r="H240" s="13"/>
      <c r="I240" s="13"/>
      <c r="J240" s="13"/>
      <c r="K240" s="13"/>
    </row>
    <row r="241" spans="1:11">
      <c r="A241" s="1">
        <v>304</v>
      </c>
      <c r="B241" s="1" t="s">
        <v>1456</v>
      </c>
      <c r="C241" s="1">
        <v>140030039</v>
      </c>
      <c r="D241" s="1">
        <v>600</v>
      </c>
      <c r="E241" s="13"/>
      <c r="F241" s="13"/>
      <c r="G241" s="13"/>
      <c r="H241" s="13"/>
      <c r="I241" s="13"/>
      <c r="J241" s="13"/>
      <c r="K241" s="13"/>
    </row>
    <row r="242" spans="1:11">
      <c r="A242" s="1">
        <v>305</v>
      </c>
      <c r="B242" s="1" t="s">
        <v>1456</v>
      </c>
      <c r="C242" s="1">
        <v>140030040</v>
      </c>
      <c r="D242" s="1">
        <v>600</v>
      </c>
      <c r="E242" s="13"/>
      <c r="F242" s="13"/>
      <c r="G242" s="13"/>
      <c r="H242" s="13"/>
      <c r="I242" s="13"/>
      <c r="J242" s="13"/>
      <c r="K242" s="13"/>
    </row>
    <row r="243" spans="1:11">
      <c r="A243" s="1">
        <v>306</v>
      </c>
      <c r="B243" s="1" t="s">
        <v>1456</v>
      </c>
      <c r="C243" s="1">
        <v>140310071</v>
      </c>
      <c r="D243" s="1">
        <v>1500</v>
      </c>
      <c r="E243" s="13"/>
      <c r="F243" s="13"/>
      <c r="G243" s="13"/>
      <c r="H243" s="13"/>
      <c r="I243" s="13"/>
      <c r="J243" s="13"/>
      <c r="K243" s="13"/>
    </row>
    <row r="244" spans="1:11">
      <c r="A244" s="1">
        <v>307</v>
      </c>
      <c r="B244" s="1" t="s">
        <v>1456</v>
      </c>
      <c r="C244" s="1">
        <v>141320055</v>
      </c>
      <c r="D244" s="1">
        <v>1000</v>
      </c>
      <c r="E244" s="13"/>
      <c r="F244" s="13"/>
      <c r="G244" s="13"/>
      <c r="H244" s="13"/>
      <c r="I244" s="13"/>
      <c r="J244" s="13"/>
      <c r="K244" s="13"/>
    </row>
    <row r="245" spans="1:11">
      <c r="A245" s="1">
        <v>308</v>
      </c>
      <c r="B245" s="1" t="s">
        <v>1386</v>
      </c>
      <c r="C245" s="1">
        <v>140030039</v>
      </c>
      <c r="D245" s="1">
        <v>600</v>
      </c>
      <c r="E245" s="13"/>
      <c r="F245" s="13"/>
      <c r="G245" s="13"/>
      <c r="H245" s="13"/>
      <c r="I245" s="13"/>
      <c r="J245" s="13"/>
      <c r="K245" s="13"/>
    </row>
    <row r="246" spans="1:11">
      <c r="A246" s="1">
        <v>309</v>
      </c>
      <c r="B246" s="1" t="s">
        <v>1386</v>
      </c>
      <c r="C246" s="1">
        <v>140030040</v>
      </c>
      <c r="D246" s="1">
        <v>700</v>
      </c>
      <c r="E246" s="13"/>
      <c r="F246" s="13"/>
      <c r="G246" s="13"/>
      <c r="H246" s="13"/>
      <c r="I246" s="13"/>
      <c r="J246" s="13"/>
      <c r="K246" s="13"/>
    </row>
    <row r="247" spans="1:11">
      <c r="A247" s="1">
        <v>310</v>
      </c>
      <c r="B247" s="1" t="s">
        <v>1386</v>
      </c>
      <c r="C247" s="1">
        <v>140310071</v>
      </c>
      <c r="D247" s="1">
        <v>1200</v>
      </c>
      <c r="E247" s="13"/>
      <c r="F247" s="13"/>
      <c r="G247" s="13"/>
      <c r="H247" s="13"/>
      <c r="I247" s="13"/>
      <c r="J247" s="13"/>
      <c r="K247" s="13"/>
    </row>
    <row r="248" spans="1:11">
      <c r="A248" s="1">
        <v>311</v>
      </c>
      <c r="B248" s="1" t="s">
        <v>1386</v>
      </c>
      <c r="C248" s="1">
        <v>140310083</v>
      </c>
      <c r="D248" s="1">
        <v>400</v>
      </c>
      <c r="E248" s="13"/>
      <c r="F248" s="13"/>
      <c r="G248" s="13"/>
      <c r="H248" s="13"/>
      <c r="I248" s="13"/>
      <c r="J248" s="13"/>
      <c r="K248" s="13"/>
    </row>
    <row r="249" spans="1:11">
      <c r="A249" s="1">
        <v>312</v>
      </c>
      <c r="B249" s="1" t="s">
        <v>1386</v>
      </c>
      <c r="C249" s="1">
        <v>140550019</v>
      </c>
      <c r="D249" s="1">
        <v>800</v>
      </c>
      <c r="E249" s="13"/>
      <c r="F249" s="13"/>
      <c r="G249" s="13"/>
      <c r="H249" s="13"/>
      <c r="I249" s="13"/>
      <c r="J249" s="13"/>
      <c r="K249" s="13"/>
    </row>
    <row r="250" spans="1:11">
      <c r="A250" s="1">
        <v>313</v>
      </c>
      <c r="B250" s="1" t="s">
        <v>1386</v>
      </c>
      <c r="C250" s="1">
        <v>141320055</v>
      </c>
      <c r="D250" s="1">
        <v>1000</v>
      </c>
      <c r="E250" s="13"/>
      <c r="F250" s="13"/>
      <c r="G250" s="13"/>
      <c r="H250" s="13"/>
      <c r="I250" s="13"/>
      <c r="J250" s="13"/>
      <c r="K250" s="13"/>
    </row>
    <row r="251" spans="1:11">
      <c r="A251" s="1">
        <v>314</v>
      </c>
      <c r="B251" s="1" t="s">
        <v>1387</v>
      </c>
      <c r="C251" s="1">
        <v>140010230</v>
      </c>
      <c r="D251" s="1">
        <v>1300</v>
      </c>
      <c r="E251" s="13"/>
      <c r="F251" s="13"/>
      <c r="G251" s="13"/>
      <c r="H251" s="13"/>
      <c r="I251" s="13"/>
      <c r="J251" s="13"/>
      <c r="K251" s="13"/>
    </row>
    <row r="252" spans="1:11">
      <c r="A252" s="1">
        <v>315</v>
      </c>
      <c r="B252" s="1" t="s">
        <v>1387</v>
      </c>
      <c r="C252" s="1">
        <v>140030040</v>
      </c>
      <c r="D252" s="1">
        <v>200</v>
      </c>
      <c r="E252" s="13"/>
      <c r="F252" s="13"/>
      <c r="G252" s="13"/>
      <c r="H252" s="13"/>
      <c r="I252" s="13"/>
      <c r="J252" s="13"/>
      <c r="K252" s="13"/>
    </row>
    <row r="253" spans="1:11">
      <c r="A253" s="1">
        <v>316</v>
      </c>
      <c r="B253" s="1" t="s">
        <v>1387</v>
      </c>
      <c r="C253" s="1">
        <v>140310007</v>
      </c>
      <c r="D253" s="1">
        <v>1000</v>
      </c>
      <c r="E253" s="13"/>
      <c r="F253" s="13"/>
      <c r="G253" s="13"/>
      <c r="H253" s="13"/>
      <c r="I253" s="13"/>
      <c r="J253" s="13"/>
      <c r="K253" s="13"/>
    </row>
    <row r="254" spans="1:11">
      <c r="A254" s="1">
        <v>317</v>
      </c>
      <c r="B254" s="1" t="s">
        <v>1387</v>
      </c>
      <c r="C254" s="1">
        <v>140310071</v>
      </c>
      <c r="D254" s="1">
        <v>1800</v>
      </c>
      <c r="E254" s="13"/>
      <c r="F254" s="13"/>
      <c r="G254" s="13"/>
      <c r="H254" s="13"/>
      <c r="I254" s="13"/>
      <c r="J254" s="13"/>
      <c r="K254" s="13"/>
    </row>
    <row r="255" spans="1:11">
      <c r="A255" s="1">
        <v>318</v>
      </c>
      <c r="B255" s="1" t="s">
        <v>1387</v>
      </c>
      <c r="C255" s="1">
        <v>141320055</v>
      </c>
      <c r="D255" s="1">
        <v>200</v>
      </c>
      <c r="E255" s="13"/>
      <c r="F255" s="13"/>
      <c r="G255" s="13"/>
      <c r="H255" s="13"/>
      <c r="I255" s="13"/>
      <c r="J255" s="13"/>
      <c r="K255" s="13"/>
    </row>
    <row r="256" spans="1:11">
      <c r="A256" s="1">
        <v>319</v>
      </c>
      <c r="B256" s="1" t="s">
        <v>1388</v>
      </c>
      <c r="C256" s="1">
        <v>140010230</v>
      </c>
      <c r="D256" s="1">
        <v>500</v>
      </c>
      <c r="E256" s="13"/>
      <c r="F256" s="13"/>
      <c r="G256" s="13"/>
      <c r="H256" s="13"/>
      <c r="I256" s="13"/>
      <c r="J256" s="13"/>
      <c r="K256" s="13"/>
    </row>
    <row r="257" spans="1:11">
      <c r="A257" s="1">
        <v>320</v>
      </c>
      <c r="B257" s="1" t="s">
        <v>1388</v>
      </c>
      <c r="C257" s="1">
        <v>140310007</v>
      </c>
      <c r="D257" s="1">
        <v>800</v>
      </c>
      <c r="E257" s="13"/>
      <c r="F257" s="13"/>
      <c r="G257" s="13"/>
      <c r="H257" s="13"/>
      <c r="I257" s="13"/>
      <c r="J257" s="13"/>
      <c r="K257" s="13"/>
    </row>
    <row r="258" spans="1:11">
      <c r="A258" s="1">
        <v>321</v>
      </c>
      <c r="B258" s="1" t="s">
        <v>1388</v>
      </c>
      <c r="C258" s="1">
        <v>140310071</v>
      </c>
      <c r="D258" s="1">
        <v>2050</v>
      </c>
      <c r="E258" s="13"/>
      <c r="F258" s="13"/>
      <c r="G258" s="13"/>
      <c r="H258" s="13"/>
      <c r="I258" s="13"/>
      <c r="J258" s="13"/>
      <c r="K258" s="13"/>
    </row>
    <row r="259" spans="1:11">
      <c r="A259" s="1">
        <v>322</v>
      </c>
      <c r="B259" s="1" t="s">
        <v>1388</v>
      </c>
      <c r="C259" s="1">
        <v>140310083</v>
      </c>
      <c r="D259" s="1">
        <v>800</v>
      </c>
      <c r="E259" s="13"/>
      <c r="F259" s="13"/>
      <c r="G259" s="13"/>
      <c r="H259" s="13"/>
      <c r="I259" s="13"/>
      <c r="J259" s="13"/>
      <c r="K259" s="13"/>
    </row>
    <row r="260" spans="1:11">
      <c r="A260" s="1">
        <v>323</v>
      </c>
      <c r="B260" s="1" t="s">
        <v>1388</v>
      </c>
      <c r="C260" s="1">
        <v>140550019</v>
      </c>
      <c r="D260" s="1">
        <v>600</v>
      </c>
      <c r="E260" s="13"/>
      <c r="F260" s="13"/>
      <c r="G260" s="13"/>
      <c r="H260" s="13"/>
      <c r="I260" s="13"/>
      <c r="J260" s="13"/>
      <c r="K260" s="13"/>
    </row>
    <row r="261" spans="1:11">
      <c r="A261" s="1">
        <v>324</v>
      </c>
      <c r="B261" s="1" t="s">
        <v>1457</v>
      </c>
      <c r="C261" s="1">
        <v>140010230</v>
      </c>
      <c r="D261" s="1">
        <v>500</v>
      </c>
      <c r="E261" s="13"/>
      <c r="F261" s="13"/>
      <c r="G261" s="13"/>
      <c r="H261" s="13"/>
      <c r="I261" s="13"/>
      <c r="J261" s="13"/>
      <c r="K261" s="13"/>
    </row>
    <row r="262" spans="1:11">
      <c r="A262" s="1">
        <v>325</v>
      </c>
      <c r="B262" s="1" t="s">
        <v>1457</v>
      </c>
      <c r="C262" s="1">
        <v>140310007</v>
      </c>
      <c r="D262" s="1">
        <v>1000</v>
      </c>
      <c r="E262" s="13"/>
      <c r="F262" s="13"/>
      <c r="G262" s="13"/>
      <c r="H262" s="13"/>
      <c r="I262" s="13"/>
      <c r="J262" s="13"/>
      <c r="K262" s="13"/>
    </row>
    <row r="263" spans="1:11">
      <c r="A263" s="1">
        <v>326</v>
      </c>
      <c r="B263" s="1" t="s">
        <v>1457</v>
      </c>
      <c r="C263" s="1">
        <v>140310083</v>
      </c>
      <c r="D263" s="1">
        <v>800</v>
      </c>
      <c r="E263" s="13"/>
      <c r="F263" s="13"/>
      <c r="G263" s="13"/>
      <c r="H263" s="13"/>
      <c r="I263" s="13"/>
      <c r="J263" s="13"/>
      <c r="K263" s="13"/>
    </row>
    <row r="264" spans="1:11">
      <c r="A264" s="1">
        <v>327</v>
      </c>
      <c r="B264" s="1" t="s">
        <v>1457</v>
      </c>
      <c r="C264" s="1">
        <v>140450047</v>
      </c>
      <c r="D264" s="1">
        <v>40</v>
      </c>
      <c r="E264" s="13"/>
      <c r="F264" s="13"/>
      <c r="G264" s="13"/>
      <c r="H264" s="13"/>
      <c r="I264" s="13"/>
      <c r="J264" s="13"/>
      <c r="K264" s="13"/>
    </row>
    <row r="265" spans="1:11">
      <c r="A265" s="1">
        <v>328</v>
      </c>
      <c r="B265" s="1" t="s">
        <v>1457</v>
      </c>
      <c r="C265" s="1">
        <v>140550019</v>
      </c>
      <c r="D265" s="1">
        <v>800</v>
      </c>
      <c r="E265" s="13"/>
      <c r="F265" s="13"/>
      <c r="G265" s="13"/>
      <c r="H265" s="13"/>
      <c r="I265" s="13"/>
      <c r="J265" s="13"/>
      <c r="K265" s="13"/>
    </row>
    <row r="266" spans="1:11">
      <c r="A266" s="1">
        <v>329</v>
      </c>
      <c r="B266" s="1" t="s">
        <v>1457</v>
      </c>
      <c r="C266" s="1">
        <v>141320055</v>
      </c>
      <c r="D266" s="1">
        <v>1400</v>
      </c>
      <c r="E266" s="13"/>
      <c r="F266" s="13"/>
      <c r="G266" s="13"/>
      <c r="H266" s="13"/>
      <c r="I266" s="13"/>
      <c r="J266" s="13"/>
      <c r="K266" s="13"/>
    </row>
    <row r="267" spans="1:11">
      <c r="A267" s="1">
        <v>330</v>
      </c>
      <c r="B267" s="1" t="s">
        <v>1389</v>
      </c>
      <c r="C267" s="1">
        <v>140010230</v>
      </c>
      <c r="D267" s="1">
        <v>350</v>
      </c>
      <c r="E267" s="13"/>
      <c r="F267" s="13"/>
      <c r="G267" s="13"/>
      <c r="H267" s="13"/>
      <c r="I267" s="13"/>
      <c r="J267" s="13"/>
      <c r="K267" s="13"/>
    </row>
    <row r="268" spans="1:11">
      <c r="A268" s="1">
        <v>331</v>
      </c>
      <c r="B268" s="1" t="s">
        <v>1389</v>
      </c>
      <c r="C268" s="1">
        <v>140310007</v>
      </c>
      <c r="D268" s="1">
        <v>1300</v>
      </c>
      <c r="E268" s="13"/>
      <c r="F268" s="13"/>
      <c r="G268" s="13"/>
      <c r="H268" s="13"/>
      <c r="I268" s="13"/>
      <c r="J268" s="13"/>
      <c r="K268" s="13"/>
    </row>
    <row r="269" spans="1:11">
      <c r="A269" s="1">
        <v>332</v>
      </c>
      <c r="B269" s="1" t="s">
        <v>1389</v>
      </c>
      <c r="C269" s="1">
        <v>140550019</v>
      </c>
      <c r="D269" s="1">
        <v>600</v>
      </c>
      <c r="E269" s="13"/>
      <c r="F269" s="13"/>
      <c r="G269" s="13"/>
      <c r="H269" s="13"/>
      <c r="I269" s="13"/>
      <c r="J269" s="13"/>
      <c r="K269" s="13"/>
    </row>
    <row r="270" spans="1:11">
      <c r="A270" s="1">
        <v>333</v>
      </c>
      <c r="B270" s="1" t="s">
        <v>1389</v>
      </c>
      <c r="C270" s="1">
        <v>140530039</v>
      </c>
      <c r="D270" s="1">
        <v>2600</v>
      </c>
      <c r="E270" s="13"/>
      <c r="F270" s="13"/>
      <c r="G270" s="13"/>
      <c r="H270" s="13"/>
      <c r="I270" s="13"/>
      <c r="J270" s="13"/>
      <c r="K270" s="13"/>
    </row>
    <row r="271" spans="1:11">
      <c r="A271" s="1">
        <v>334</v>
      </c>
      <c r="B271" s="1" t="s">
        <v>1390</v>
      </c>
      <c r="C271" s="1">
        <v>140310071</v>
      </c>
      <c r="D271" s="1">
        <v>2250</v>
      </c>
      <c r="E271" s="13"/>
      <c r="F271" s="13"/>
      <c r="G271" s="13"/>
      <c r="H271" s="13"/>
      <c r="I271" s="13"/>
      <c r="J271" s="13"/>
      <c r="K271" s="13"/>
    </row>
    <row r="272" spans="1:11">
      <c r="A272" s="1">
        <v>335</v>
      </c>
      <c r="B272" s="1" t="s">
        <v>1390</v>
      </c>
      <c r="C272" s="1">
        <v>140640007</v>
      </c>
      <c r="D272" s="1">
        <v>1800</v>
      </c>
      <c r="E272" s="13"/>
      <c r="F272" s="13"/>
      <c r="G272" s="13"/>
      <c r="H272" s="13"/>
      <c r="I272" s="13"/>
      <c r="J272" s="13"/>
      <c r="K272" s="13"/>
    </row>
    <row r="273" spans="1:11">
      <c r="A273" s="1">
        <v>336</v>
      </c>
      <c r="B273" s="1" t="s">
        <v>1390</v>
      </c>
      <c r="C273" s="1">
        <v>140550019</v>
      </c>
      <c r="D273" s="1">
        <v>600</v>
      </c>
      <c r="E273" s="13"/>
      <c r="F273" s="13"/>
      <c r="G273" s="13"/>
      <c r="H273" s="13"/>
      <c r="I273" s="13"/>
      <c r="J273" s="13"/>
      <c r="K273" s="13"/>
    </row>
    <row r="274" spans="1:11">
      <c r="A274" s="1">
        <v>337</v>
      </c>
      <c r="B274" s="1" t="s">
        <v>1444</v>
      </c>
      <c r="C274" s="1">
        <v>140030040</v>
      </c>
      <c r="D274" s="1">
        <v>300</v>
      </c>
      <c r="E274" s="13"/>
      <c r="F274" s="13"/>
      <c r="G274" s="13"/>
      <c r="H274" s="13"/>
      <c r="I274" s="13"/>
      <c r="J274" s="13"/>
      <c r="K274" s="13"/>
    </row>
    <row r="275" spans="1:11">
      <c r="A275" s="1">
        <v>338</v>
      </c>
      <c r="B275" s="1" t="s">
        <v>1444</v>
      </c>
      <c r="C275" s="1">
        <v>140310071</v>
      </c>
      <c r="D275" s="1">
        <v>500</v>
      </c>
      <c r="E275" s="13"/>
      <c r="F275" s="13"/>
      <c r="G275" s="13"/>
      <c r="H275" s="13"/>
      <c r="I275" s="13"/>
      <c r="J275" s="13"/>
      <c r="K275" s="13"/>
    </row>
    <row r="276" spans="1:11">
      <c r="A276" s="1">
        <v>339</v>
      </c>
      <c r="B276" s="1" t="s">
        <v>1444</v>
      </c>
      <c r="C276" s="1">
        <v>140310083</v>
      </c>
      <c r="D276" s="1">
        <v>1100</v>
      </c>
      <c r="E276" s="13"/>
      <c r="F276" s="13"/>
      <c r="G276" s="13"/>
      <c r="H276" s="13"/>
      <c r="I276" s="13"/>
      <c r="J276" s="13"/>
      <c r="K276" s="13"/>
    </row>
    <row r="277" spans="1:11">
      <c r="A277" s="1">
        <v>340</v>
      </c>
      <c r="B277" s="1" t="s">
        <v>1444</v>
      </c>
      <c r="C277" s="1">
        <v>140640007</v>
      </c>
      <c r="D277" s="1">
        <v>1200</v>
      </c>
      <c r="E277" s="13"/>
      <c r="F277" s="13"/>
      <c r="G277" s="13"/>
      <c r="H277" s="13"/>
      <c r="I277" s="13"/>
      <c r="J277" s="13"/>
      <c r="K277" s="13"/>
    </row>
    <row r="278" spans="1:11">
      <c r="A278" s="1">
        <v>341</v>
      </c>
      <c r="B278" s="1" t="s">
        <v>1444</v>
      </c>
      <c r="C278" s="1">
        <v>140550019</v>
      </c>
      <c r="D278" s="1">
        <v>500</v>
      </c>
      <c r="E278" s="13"/>
      <c r="F278" s="13"/>
      <c r="G278" s="13"/>
      <c r="H278" s="13"/>
      <c r="I278" s="13"/>
      <c r="J278" s="13"/>
      <c r="K278" s="13"/>
    </row>
    <row r="279" spans="1:11">
      <c r="A279" s="1">
        <v>342</v>
      </c>
      <c r="B279" s="1" t="s">
        <v>1444</v>
      </c>
      <c r="C279" s="1">
        <v>141320055</v>
      </c>
      <c r="D279" s="1">
        <v>1500</v>
      </c>
      <c r="E279" s="13"/>
      <c r="F279" s="13"/>
      <c r="G279" s="13"/>
      <c r="H279" s="13"/>
      <c r="I279" s="13"/>
      <c r="J279" s="13"/>
      <c r="K279" s="13"/>
    </row>
    <row r="280" spans="1:11">
      <c r="A280" s="1">
        <v>343</v>
      </c>
      <c r="B280" s="1" t="s">
        <v>1391</v>
      </c>
      <c r="C280" s="1">
        <v>140010230</v>
      </c>
      <c r="D280" s="1">
        <v>360</v>
      </c>
      <c r="E280" s="13"/>
      <c r="F280" s="13"/>
      <c r="G280" s="13"/>
      <c r="H280" s="13"/>
      <c r="I280" s="13"/>
      <c r="J280" s="13"/>
      <c r="K280" s="13"/>
    </row>
    <row r="281" spans="1:11">
      <c r="A281" s="1">
        <v>344</v>
      </c>
      <c r="B281" s="1" t="s">
        <v>1391</v>
      </c>
      <c r="C281" s="1">
        <v>140310071</v>
      </c>
      <c r="D281" s="1">
        <v>1200</v>
      </c>
      <c r="E281" s="13"/>
      <c r="F281" s="13"/>
      <c r="G281" s="13"/>
      <c r="H281" s="13"/>
      <c r="I281" s="13"/>
      <c r="J281" s="13"/>
      <c r="K281" s="13"/>
    </row>
    <row r="282" spans="1:11">
      <c r="A282" s="1">
        <v>345</v>
      </c>
      <c r="B282" s="1" t="s">
        <v>1391</v>
      </c>
      <c r="C282" s="1">
        <v>140450047</v>
      </c>
      <c r="D282" s="1">
        <v>100</v>
      </c>
      <c r="E282" s="13"/>
      <c r="F282" s="13"/>
      <c r="G282" s="13"/>
      <c r="H282" s="13"/>
      <c r="I282" s="13"/>
      <c r="J282" s="13"/>
      <c r="K282" s="13"/>
    </row>
    <row r="283" spans="1:11">
      <c r="A283" s="1">
        <v>346</v>
      </c>
      <c r="B283" s="1" t="s">
        <v>1391</v>
      </c>
      <c r="C283" s="1">
        <v>140550019</v>
      </c>
      <c r="D283" s="1">
        <v>950</v>
      </c>
      <c r="E283" s="13"/>
      <c r="F283" s="13"/>
      <c r="G283" s="13"/>
      <c r="H283" s="13"/>
      <c r="I283" s="13"/>
      <c r="J283" s="13"/>
      <c r="K283" s="13"/>
    </row>
    <row r="284" spans="1:11">
      <c r="A284" s="1">
        <v>347</v>
      </c>
      <c r="B284" s="1" t="s">
        <v>1391</v>
      </c>
      <c r="C284" s="1">
        <v>140530039</v>
      </c>
      <c r="D284" s="1">
        <v>2300</v>
      </c>
      <c r="E284" s="13"/>
      <c r="F284" s="13"/>
      <c r="G284" s="13"/>
      <c r="H284" s="13"/>
      <c r="I284" s="13"/>
      <c r="J284" s="13"/>
      <c r="K284" s="13"/>
    </row>
    <row r="285" spans="1:11">
      <c r="A285" s="1">
        <v>348</v>
      </c>
      <c r="B285" s="1" t="s">
        <v>1392</v>
      </c>
      <c r="C285" s="1">
        <v>140310007</v>
      </c>
      <c r="D285" s="1">
        <v>4200</v>
      </c>
      <c r="E285" s="13"/>
      <c r="F285" s="13"/>
      <c r="G285" s="13"/>
      <c r="H285" s="13"/>
      <c r="I285" s="13"/>
      <c r="J285" s="13"/>
      <c r="K285" s="13"/>
    </row>
    <row r="286" spans="1:11">
      <c r="A286" s="1">
        <v>349</v>
      </c>
      <c r="B286" s="1" t="s">
        <v>1392</v>
      </c>
      <c r="C286" s="1">
        <v>140310031</v>
      </c>
      <c r="D286" s="1">
        <v>900</v>
      </c>
      <c r="E286" s="13"/>
      <c r="F286" s="13"/>
      <c r="G286" s="13"/>
      <c r="H286" s="13"/>
      <c r="I286" s="13"/>
      <c r="J286" s="13"/>
      <c r="K286" s="13"/>
    </row>
    <row r="287" spans="1:11">
      <c r="A287" s="1">
        <v>350</v>
      </c>
      <c r="B287" s="1" t="s">
        <v>1468</v>
      </c>
      <c r="C287" s="1">
        <v>140010230</v>
      </c>
      <c r="D287" s="1">
        <v>200</v>
      </c>
      <c r="E287" s="13"/>
      <c r="F287" s="13"/>
      <c r="G287" s="13"/>
      <c r="H287" s="13"/>
      <c r="I287" s="13"/>
      <c r="J287" s="13"/>
      <c r="K287" s="13"/>
    </row>
    <row r="288" spans="1:11">
      <c r="A288" s="1">
        <v>351</v>
      </c>
      <c r="B288" s="1" t="s">
        <v>1468</v>
      </c>
      <c r="C288" s="1">
        <v>140030039</v>
      </c>
      <c r="D288" s="1">
        <v>300</v>
      </c>
      <c r="E288" s="13"/>
      <c r="F288" s="13"/>
      <c r="G288" s="13"/>
      <c r="H288" s="13"/>
      <c r="I288" s="13"/>
      <c r="J288" s="13"/>
      <c r="K288" s="13"/>
    </row>
    <row r="289" spans="1:11">
      <c r="A289" s="1">
        <v>352</v>
      </c>
      <c r="B289" s="1" t="s">
        <v>1468</v>
      </c>
      <c r="C289" s="1">
        <v>140030040</v>
      </c>
      <c r="D289" s="1">
        <v>600</v>
      </c>
      <c r="E289" s="13"/>
      <c r="F289" s="13"/>
      <c r="G289" s="13"/>
      <c r="H289" s="13"/>
      <c r="I289" s="13"/>
      <c r="J289" s="13"/>
      <c r="K289" s="13"/>
    </row>
    <row r="290" spans="1:11">
      <c r="A290" s="1">
        <v>353</v>
      </c>
      <c r="B290" s="1" t="s">
        <v>1468</v>
      </c>
      <c r="C290" s="1">
        <v>140310007</v>
      </c>
      <c r="D290" s="1">
        <v>1100</v>
      </c>
      <c r="E290" s="13"/>
      <c r="F290" s="13"/>
      <c r="G290" s="13"/>
      <c r="H290" s="13"/>
      <c r="I290" s="13"/>
      <c r="J290" s="13"/>
      <c r="K290" s="13"/>
    </row>
    <row r="291" spans="1:11">
      <c r="A291" s="1">
        <v>354</v>
      </c>
      <c r="B291" s="1" t="s">
        <v>1468</v>
      </c>
      <c r="C291" s="1">
        <v>140640007</v>
      </c>
      <c r="D291" s="1">
        <v>50</v>
      </c>
      <c r="E291" s="13"/>
      <c r="F291" s="13"/>
      <c r="G291" s="13"/>
      <c r="H291" s="13"/>
      <c r="I291" s="13"/>
      <c r="J291" s="13"/>
      <c r="K291" s="13"/>
    </row>
    <row r="292" spans="1:11">
      <c r="A292" s="1">
        <v>355</v>
      </c>
      <c r="B292" s="1" t="s">
        <v>1468</v>
      </c>
      <c r="C292" s="1">
        <v>140550019</v>
      </c>
      <c r="D292" s="1">
        <v>650</v>
      </c>
      <c r="E292" s="13"/>
      <c r="F292" s="13"/>
      <c r="G292" s="13"/>
      <c r="H292" s="13"/>
      <c r="I292" s="13"/>
      <c r="J292" s="13"/>
      <c r="K292" s="13"/>
    </row>
    <row r="293" spans="1:11">
      <c r="A293" s="1">
        <v>356</v>
      </c>
      <c r="B293" s="1" t="s">
        <v>1468</v>
      </c>
      <c r="C293" s="1">
        <v>141320055</v>
      </c>
      <c r="D293" s="1">
        <v>2000</v>
      </c>
      <c r="E293" s="13"/>
      <c r="F293" s="13"/>
      <c r="G293" s="13"/>
      <c r="H293" s="13"/>
      <c r="I293" s="13"/>
      <c r="J293" s="13"/>
      <c r="K293" s="13"/>
    </row>
    <row r="294" spans="1:11">
      <c r="A294" s="1">
        <v>357</v>
      </c>
      <c r="B294" s="1" t="s">
        <v>1393</v>
      </c>
      <c r="C294" s="1">
        <v>140010230</v>
      </c>
      <c r="D294" s="1">
        <v>600</v>
      </c>
      <c r="E294" s="13"/>
      <c r="F294" s="13"/>
      <c r="G294" s="13"/>
      <c r="H294" s="13"/>
      <c r="I294" s="13"/>
      <c r="J294" s="13"/>
      <c r="K294" s="13"/>
    </row>
    <row r="295" spans="1:11">
      <c r="A295" s="1">
        <v>358</v>
      </c>
      <c r="B295" s="1" t="s">
        <v>1393</v>
      </c>
      <c r="C295" s="1">
        <v>140030039</v>
      </c>
      <c r="D295" s="1">
        <v>400</v>
      </c>
      <c r="E295" s="13"/>
      <c r="F295" s="13"/>
      <c r="G295" s="13"/>
      <c r="H295" s="13"/>
      <c r="I295" s="13"/>
      <c r="J295" s="13"/>
      <c r="K295" s="13"/>
    </row>
    <row r="296" spans="1:11">
      <c r="A296" s="1">
        <v>359</v>
      </c>
      <c r="B296" s="1" t="s">
        <v>1393</v>
      </c>
      <c r="C296" s="1">
        <v>140310007</v>
      </c>
      <c r="D296" s="1">
        <v>200</v>
      </c>
      <c r="E296" s="13"/>
      <c r="F296" s="13"/>
      <c r="G296" s="13"/>
      <c r="H296" s="13"/>
      <c r="I296" s="13"/>
      <c r="J296" s="13"/>
      <c r="K296" s="13"/>
    </row>
    <row r="297" spans="1:11">
      <c r="A297" s="1">
        <v>360</v>
      </c>
      <c r="B297" s="1" t="s">
        <v>1393</v>
      </c>
      <c r="C297" s="1">
        <v>140310083</v>
      </c>
      <c r="D297" s="1">
        <v>500</v>
      </c>
      <c r="E297" s="13"/>
      <c r="F297" s="13"/>
      <c r="G297" s="13"/>
      <c r="H297" s="13"/>
      <c r="I297" s="13"/>
      <c r="J297" s="13"/>
      <c r="K297" s="13"/>
    </row>
    <row r="298" spans="1:11">
      <c r="A298" s="1">
        <v>361</v>
      </c>
      <c r="B298" s="1" t="s">
        <v>1393</v>
      </c>
      <c r="C298" s="1">
        <v>140550019</v>
      </c>
      <c r="D298" s="1">
        <v>550</v>
      </c>
      <c r="E298" s="13"/>
      <c r="F298" s="13"/>
      <c r="G298" s="13"/>
      <c r="H298" s="13"/>
      <c r="I298" s="13"/>
      <c r="J298" s="13"/>
      <c r="K298" s="13"/>
    </row>
    <row r="299" spans="1:11">
      <c r="A299" s="1">
        <v>362</v>
      </c>
      <c r="B299" s="1" t="s">
        <v>1393</v>
      </c>
      <c r="C299" s="1">
        <v>141320055</v>
      </c>
      <c r="D299" s="1">
        <v>2600</v>
      </c>
      <c r="E299" s="13"/>
      <c r="F299" s="13"/>
      <c r="G299" s="13"/>
      <c r="H299" s="13"/>
      <c r="I299" s="13"/>
      <c r="J299" s="13"/>
      <c r="K299" s="13"/>
    </row>
    <row r="300" spans="1:11">
      <c r="A300" s="1">
        <v>363</v>
      </c>
      <c r="B300" s="1" t="s">
        <v>1469</v>
      </c>
      <c r="C300" s="1">
        <v>140010230</v>
      </c>
      <c r="D300" s="1">
        <v>1050</v>
      </c>
      <c r="E300" s="13"/>
      <c r="F300" s="13"/>
      <c r="G300" s="13"/>
      <c r="H300" s="13"/>
      <c r="I300" s="13"/>
      <c r="J300" s="13"/>
      <c r="K300" s="13"/>
    </row>
    <row r="301" spans="1:11">
      <c r="A301" s="1">
        <v>364</v>
      </c>
      <c r="B301" s="1" t="s">
        <v>1469</v>
      </c>
      <c r="C301" s="1">
        <v>140030039</v>
      </c>
      <c r="D301" s="1">
        <v>300</v>
      </c>
      <c r="E301" s="13"/>
      <c r="F301" s="13"/>
      <c r="G301" s="13"/>
      <c r="H301" s="13"/>
      <c r="I301" s="13"/>
      <c r="J301" s="13"/>
      <c r="K301" s="13"/>
    </row>
    <row r="302" spans="1:11">
      <c r="A302" s="1">
        <v>365</v>
      </c>
      <c r="B302" s="1" t="s">
        <v>1469</v>
      </c>
      <c r="C302" s="1">
        <v>140310007</v>
      </c>
      <c r="D302" s="1">
        <v>1000</v>
      </c>
      <c r="E302" s="13"/>
      <c r="F302" s="13"/>
      <c r="G302" s="13"/>
      <c r="H302" s="13"/>
      <c r="I302" s="13"/>
      <c r="J302" s="13"/>
      <c r="K302" s="13"/>
    </row>
    <row r="303" spans="1:11">
      <c r="A303" s="1">
        <v>366</v>
      </c>
      <c r="B303" s="1" t="s">
        <v>1469</v>
      </c>
      <c r="C303" s="1">
        <v>140310031</v>
      </c>
      <c r="D303" s="1">
        <v>500</v>
      </c>
      <c r="E303" s="13"/>
      <c r="F303" s="13"/>
      <c r="G303" s="13"/>
      <c r="H303" s="13"/>
      <c r="I303" s="13"/>
      <c r="J303" s="13"/>
      <c r="K303" s="13"/>
    </row>
    <row r="304" spans="1:11">
      <c r="A304" s="1">
        <v>367</v>
      </c>
      <c r="B304" s="1" t="s">
        <v>1469</v>
      </c>
      <c r="C304" s="1">
        <v>140310083</v>
      </c>
      <c r="D304" s="1">
        <v>700</v>
      </c>
      <c r="E304" s="13"/>
      <c r="F304" s="13"/>
      <c r="G304" s="13"/>
      <c r="H304" s="13"/>
      <c r="I304" s="13"/>
      <c r="J304" s="13"/>
      <c r="K304" s="13"/>
    </row>
    <row r="305" spans="1:11">
      <c r="A305" s="1">
        <v>368</v>
      </c>
      <c r="B305" s="1" t="s">
        <v>1469</v>
      </c>
      <c r="C305" s="1">
        <v>141320055</v>
      </c>
      <c r="D305" s="1">
        <v>1000</v>
      </c>
      <c r="E305" s="13"/>
      <c r="F305" s="13"/>
      <c r="G305" s="13"/>
      <c r="H305" s="13"/>
      <c r="I305" s="13"/>
      <c r="J305" s="13"/>
      <c r="K305" s="13"/>
    </row>
    <row r="306" spans="1:11">
      <c r="A306" s="1">
        <v>370</v>
      </c>
      <c r="B306" s="1" t="s">
        <v>1394</v>
      </c>
      <c r="C306" s="1">
        <v>140010230</v>
      </c>
      <c r="D306" s="1">
        <v>1400</v>
      </c>
      <c r="E306" s="13"/>
      <c r="F306" s="13"/>
      <c r="G306" s="13"/>
      <c r="H306" s="13"/>
      <c r="I306" s="13"/>
      <c r="J306" s="13"/>
      <c r="K306" s="13"/>
    </row>
    <row r="307" spans="1:11">
      <c r="A307" s="1">
        <v>371</v>
      </c>
      <c r="B307" s="1" t="s">
        <v>1394</v>
      </c>
      <c r="C307" s="1">
        <v>140310007</v>
      </c>
      <c r="D307" s="1">
        <v>1600</v>
      </c>
      <c r="E307" s="13"/>
      <c r="F307" s="13"/>
      <c r="G307" s="13"/>
      <c r="H307" s="13"/>
      <c r="I307" s="13"/>
      <c r="J307" s="13"/>
      <c r="K307" s="13"/>
    </row>
    <row r="308" spans="1:11">
      <c r="A308" s="1">
        <v>372</v>
      </c>
      <c r="B308" s="1" t="s">
        <v>1394</v>
      </c>
      <c r="C308" s="1">
        <v>140310031</v>
      </c>
      <c r="D308" s="1">
        <v>50</v>
      </c>
      <c r="E308" s="13"/>
      <c r="F308" s="13"/>
      <c r="G308" s="13"/>
      <c r="H308" s="13"/>
      <c r="I308" s="13"/>
      <c r="J308" s="13"/>
      <c r="K308" s="13"/>
    </row>
    <row r="309" spans="1:11">
      <c r="A309" s="1">
        <v>373</v>
      </c>
      <c r="B309" s="1" t="s">
        <v>1394</v>
      </c>
      <c r="C309" s="1">
        <v>140310071</v>
      </c>
      <c r="D309" s="1">
        <v>250</v>
      </c>
      <c r="E309" s="13"/>
      <c r="F309" s="13"/>
      <c r="G309" s="13"/>
      <c r="H309" s="13"/>
      <c r="I309" s="13"/>
      <c r="J309" s="13"/>
      <c r="K309" s="13"/>
    </row>
    <row r="310" spans="1:11">
      <c r="A310" s="1">
        <v>374</v>
      </c>
      <c r="B310" s="1" t="s">
        <v>1394</v>
      </c>
      <c r="C310" s="1">
        <v>140310096</v>
      </c>
      <c r="D310" s="1">
        <v>57</v>
      </c>
      <c r="E310" s="13"/>
      <c r="F310" s="13"/>
      <c r="G310" s="13"/>
      <c r="H310" s="13"/>
      <c r="I310" s="13"/>
      <c r="J310" s="13"/>
      <c r="K310" s="13"/>
    </row>
    <row r="311" spans="1:11">
      <c r="A311" s="1">
        <v>375</v>
      </c>
      <c r="B311" s="1" t="s">
        <v>1394</v>
      </c>
      <c r="C311" s="1">
        <v>140450047</v>
      </c>
      <c r="D311" s="1">
        <v>25</v>
      </c>
      <c r="E311" s="13"/>
      <c r="F311" s="13"/>
      <c r="G311" s="13"/>
      <c r="H311" s="13"/>
      <c r="I311" s="13"/>
      <c r="J311" s="13"/>
      <c r="K311" s="13"/>
    </row>
    <row r="312" spans="1:11">
      <c r="A312" s="1">
        <v>376</v>
      </c>
      <c r="B312" s="1" t="s">
        <v>1394</v>
      </c>
      <c r="C312" s="1">
        <v>141320055</v>
      </c>
      <c r="D312" s="1">
        <v>1300</v>
      </c>
      <c r="E312" s="13"/>
      <c r="F312" s="13"/>
      <c r="G312" s="13"/>
      <c r="H312" s="13"/>
      <c r="I312" s="13"/>
      <c r="J312" s="13"/>
      <c r="K312" s="13"/>
    </row>
    <row r="313" spans="1:11">
      <c r="A313" s="1">
        <v>377</v>
      </c>
      <c r="B313" s="1" t="s">
        <v>1470</v>
      </c>
      <c r="C313" s="1">
        <v>140010230</v>
      </c>
      <c r="D313" s="1">
        <v>800</v>
      </c>
      <c r="E313" s="13"/>
      <c r="F313" s="13"/>
      <c r="G313" s="13"/>
      <c r="H313" s="13"/>
      <c r="I313" s="13"/>
      <c r="J313" s="13"/>
      <c r="K313" s="13"/>
    </row>
    <row r="314" spans="1:11">
      <c r="A314" s="1">
        <v>378</v>
      </c>
      <c r="B314" s="1" t="s">
        <v>1470</v>
      </c>
      <c r="C314" s="1">
        <v>140310007</v>
      </c>
      <c r="D314" s="1">
        <v>1300</v>
      </c>
      <c r="E314" s="13"/>
      <c r="F314" s="13"/>
      <c r="G314" s="13"/>
      <c r="H314" s="13"/>
      <c r="I314" s="13"/>
      <c r="J314" s="13"/>
      <c r="K314" s="13"/>
    </row>
    <row r="315" spans="1:11">
      <c r="A315" s="1">
        <v>379</v>
      </c>
      <c r="B315" s="1" t="s">
        <v>1470</v>
      </c>
      <c r="C315" s="1">
        <v>140310083</v>
      </c>
      <c r="D315" s="1">
        <v>1600</v>
      </c>
      <c r="E315" s="13"/>
      <c r="F315" s="13"/>
      <c r="G315" s="13"/>
      <c r="H315" s="13"/>
      <c r="I315" s="13"/>
      <c r="J315" s="13"/>
      <c r="K315" s="13"/>
    </row>
    <row r="316" spans="1:11">
      <c r="A316" s="1">
        <v>380</v>
      </c>
      <c r="B316" s="1" t="s">
        <v>1470</v>
      </c>
      <c r="C316" s="1">
        <v>140450047</v>
      </c>
      <c r="D316" s="1">
        <v>400</v>
      </c>
      <c r="E316" s="13"/>
      <c r="F316" s="13"/>
      <c r="G316" s="13"/>
      <c r="H316" s="13"/>
      <c r="I316" s="13"/>
      <c r="J316" s="13"/>
      <c r="K316" s="13"/>
    </row>
    <row r="317" spans="1:11">
      <c r="A317" s="1">
        <v>381</v>
      </c>
      <c r="B317" s="1" t="s">
        <v>1470</v>
      </c>
      <c r="C317" s="1">
        <v>140530039</v>
      </c>
      <c r="D317" s="1">
        <v>500</v>
      </c>
      <c r="E317" s="13"/>
      <c r="F317" s="13"/>
      <c r="G317" s="13"/>
      <c r="H317" s="13"/>
      <c r="I317" s="13"/>
      <c r="J317" s="13"/>
      <c r="K317" s="13"/>
    </row>
    <row r="318" spans="1:11">
      <c r="A318" s="1">
        <v>382</v>
      </c>
      <c r="B318" s="1" t="s">
        <v>1470</v>
      </c>
      <c r="C318" s="1">
        <v>141320055</v>
      </c>
      <c r="D318" s="1">
        <v>100</v>
      </c>
      <c r="E318" s="13"/>
      <c r="F318" s="13"/>
      <c r="G318" s="13"/>
      <c r="H318" s="13"/>
      <c r="I318" s="13"/>
      <c r="J318" s="13"/>
      <c r="K318" s="13"/>
    </row>
    <row r="319" spans="1:11">
      <c r="A319" s="1">
        <v>383</v>
      </c>
      <c r="B319" s="1" t="s">
        <v>1395</v>
      </c>
      <c r="C319" s="1">
        <v>140010117</v>
      </c>
      <c r="D319" s="1">
        <v>450</v>
      </c>
      <c r="E319" s="13"/>
      <c r="F319" s="13"/>
      <c r="G319" s="13"/>
      <c r="H319" s="13"/>
      <c r="I319" s="13"/>
      <c r="J319" s="13"/>
      <c r="K319" s="13"/>
    </row>
    <row r="320" spans="1:11">
      <c r="A320" s="1">
        <v>384</v>
      </c>
      <c r="B320" s="1" t="s">
        <v>1395</v>
      </c>
      <c r="C320" s="1">
        <v>140010230</v>
      </c>
      <c r="D320" s="1">
        <v>400</v>
      </c>
      <c r="E320" s="13"/>
      <c r="F320" s="13"/>
      <c r="G320" s="13"/>
      <c r="H320" s="13"/>
      <c r="I320" s="13"/>
      <c r="J320" s="13"/>
      <c r="K320" s="13"/>
    </row>
    <row r="321" spans="1:11">
      <c r="A321" s="1">
        <v>385</v>
      </c>
      <c r="B321" s="1" t="s">
        <v>1395</v>
      </c>
      <c r="C321" s="1">
        <v>140310007</v>
      </c>
      <c r="D321" s="1">
        <v>900</v>
      </c>
      <c r="E321" s="13"/>
      <c r="F321" s="13"/>
      <c r="G321" s="13"/>
      <c r="H321" s="13"/>
      <c r="I321" s="13"/>
      <c r="J321" s="13"/>
      <c r="K321" s="13"/>
    </row>
    <row r="322" spans="1:11">
      <c r="A322" s="1">
        <v>386</v>
      </c>
      <c r="B322" s="1" t="s">
        <v>1395</v>
      </c>
      <c r="C322" s="1">
        <v>140310071</v>
      </c>
      <c r="D322" s="1">
        <v>550</v>
      </c>
      <c r="E322" s="13"/>
      <c r="F322" s="13"/>
      <c r="G322" s="13"/>
      <c r="H322" s="13"/>
      <c r="I322" s="13"/>
      <c r="J322" s="13"/>
      <c r="K322" s="13"/>
    </row>
    <row r="323" spans="1:11">
      <c r="A323" s="1">
        <v>387</v>
      </c>
      <c r="B323" s="1" t="s">
        <v>1395</v>
      </c>
      <c r="C323" s="1">
        <v>140310083</v>
      </c>
      <c r="D323" s="1">
        <v>400</v>
      </c>
      <c r="E323" s="13"/>
      <c r="F323" s="13"/>
      <c r="G323" s="13"/>
      <c r="H323" s="13"/>
      <c r="I323" s="13"/>
      <c r="J323" s="13"/>
      <c r="K323" s="13"/>
    </row>
    <row r="324" spans="1:11">
      <c r="A324" s="1">
        <v>388</v>
      </c>
      <c r="B324" s="1" t="s">
        <v>1395</v>
      </c>
      <c r="C324" s="1">
        <v>140450047</v>
      </c>
      <c r="D324" s="1">
        <v>550</v>
      </c>
      <c r="E324" s="13"/>
      <c r="F324" s="13"/>
      <c r="G324" s="13"/>
      <c r="H324" s="13"/>
      <c r="I324" s="13"/>
      <c r="J324" s="13"/>
      <c r="K324" s="13"/>
    </row>
    <row r="325" spans="1:11">
      <c r="A325" s="1">
        <v>389</v>
      </c>
      <c r="B325" s="1" t="s">
        <v>1395</v>
      </c>
      <c r="C325" s="1">
        <v>140550019</v>
      </c>
      <c r="D325" s="1">
        <v>850</v>
      </c>
      <c r="E325" s="13"/>
      <c r="F325" s="13"/>
      <c r="G325" s="13"/>
      <c r="H325" s="13"/>
      <c r="I325" s="13"/>
      <c r="J325" s="13"/>
      <c r="K325" s="13"/>
    </row>
    <row r="326" spans="1:11">
      <c r="A326" s="1">
        <v>390</v>
      </c>
      <c r="B326" s="1" t="s">
        <v>1395</v>
      </c>
      <c r="C326" s="1">
        <v>140530039</v>
      </c>
      <c r="D326" s="1">
        <v>800</v>
      </c>
      <c r="E326" s="13"/>
      <c r="F326" s="13"/>
      <c r="G326" s="13"/>
      <c r="H326" s="13"/>
      <c r="I326" s="13"/>
      <c r="J326" s="13"/>
      <c r="K326" s="13"/>
    </row>
    <row r="327" spans="1:11">
      <c r="A327" s="1">
        <v>391</v>
      </c>
      <c r="B327" s="1" t="s">
        <v>1396</v>
      </c>
      <c r="C327" s="1">
        <v>140010117</v>
      </c>
      <c r="D327" s="1">
        <v>300</v>
      </c>
      <c r="E327" s="13"/>
      <c r="F327" s="13"/>
      <c r="G327" s="13"/>
      <c r="H327" s="13"/>
      <c r="I327" s="13"/>
      <c r="J327" s="13"/>
      <c r="K327" s="13"/>
    </row>
    <row r="328" spans="1:11">
      <c r="A328" s="1">
        <v>392</v>
      </c>
      <c r="B328" s="1" t="s">
        <v>1396</v>
      </c>
      <c r="C328" s="1">
        <v>140010230</v>
      </c>
      <c r="D328" s="1">
        <v>800</v>
      </c>
      <c r="E328" s="13"/>
      <c r="F328" s="13"/>
      <c r="G328" s="13"/>
      <c r="H328" s="13"/>
      <c r="I328" s="13"/>
      <c r="J328" s="13"/>
      <c r="K328" s="13"/>
    </row>
    <row r="329" spans="1:11">
      <c r="A329" s="1">
        <v>393</v>
      </c>
      <c r="B329" s="1" t="s">
        <v>1396</v>
      </c>
      <c r="C329" s="1">
        <v>140030039</v>
      </c>
      <c r="D329" s="1">
        <v>100</v>
      </c>
      <c r="E329" s="13"/>
      <c r="F329" s="13"/>
      <c r="G329" s="13"/>
      <c r="H329" s="13"/>
      <c r="I329" s="13"/>
      <c r="J329" s="13"/>
      <c r="K329" s="13"/>
    </row>
    <row r="330" spans="1:11">
      <c r="A330" s="1">
        <v>394</v>
      </c>
      <c r="B330" s="1" t="s">
        <v>1396</v>
      </c>
      <c r="C330" s="1">
        <v>140030040</v>
      </c>
      <c r="D330" s="1">
        <v>100</v>
      </c>
      <c r="E330" s="13"/>
      <c r="F330" s="13"/>
      <c r="G330" s="13"/>
      <c r="H330" s="13"/>
      <c r="I330" s="13"/>
      <c r="J330" s="13"/>
      <c r="K330" s="13"/>
    </row>
    <row r="331" spans="1:11">
      <c r="A331" s="1">
        <v>395</v>
      </c>
      <c r="B331" s="1" t="s">
        <v>1396</v>
      </c>
      <c r="C331" s="1">
        <v>140310007</v>
      </c>
      <c r="D331" s="1">
        <v>200</v>
      </c>
      <c r="E331" s="13"/>
      <c r="F331" s="13"/>
      <c r="G331" s="13"/>
      <c r="H331" s="13"/>
      <c r="I331" s="13"/>
      <c r="J331" s="13"/>
      <c r="K331" s="13"/>
    </row>
    <row r="332" spans="1:11">
      <c r="A332" s="1">
        <v>396</v>
      </c>
      <c r="B332" s="1" t="s">
        <v>1396</v>
      </c>
      <c r="C332" s="1">
        <v>140550019</v>
      </c>
      <c r="D332" s="1">
        <v>150</v>
      </c>
      <c r="E332" s="13"/>
      <c r="F332" s="13"/>
      <c r="G332" s="13"/>
      <c r="H332" s="13"/>
      <c r="I332" s="13"/>
      <c r="J332" s="13"/>
      <c r="K332" s="13"/>
    </row>
    <row r="333" spans="1:11">
      <c r="A333" s="1">
        <v>397</v>
      </c>
      <c r="B333" s="1" t="s">
        <v>1396</v>
      </c>
      <c r="C333" s="1">
        <v>140530039</v>
      </c>
      <c r="D333" s="1">
        <v>3200</v>
      </c>
      <c r="E333" s="13"/>
      <c r="F333" s="13"/>
      <c r="G333" s="13"/>
      <c r="H333" s="13"/>
      <c r="I333" s="13"/>
      <c r="J333" s="13"/>
      <c r="K333" s="13"/>
    </row>
    <row r="334" spans="1:11">
      <c r="A334" s="1">
        <v>398</v>
      </c>
      <c r="B334" s="1" t="s">
        <v>1397</v>
      </c>
      <c r="C334" s="1">
        <v>140010117</v>
      </c>
      <c r="D334" s="1">
        <v>300</v>
      </c>
      <c r="E334" s="13"/>
      <c r="F334" s="13"/>
      <c r="G334" s="13"/>
      <c r="H334" s="13"/>
      <c r="I334" s="13"/>
      <c r="J334" s="13"/>
      <c r="K334" s="13"/>
    </row>
    <row r="335" spans="1:11">
      <c r="A335" s="1">
        <v>399</v>
      </c>
      <c r="B335" s="1" t="s">
        <v>1397</v>
      </c>
      <c r="C335" s="1">
        <v>140010230</v>
      </c>
      <c r="D335" s="1">
        <v>440</v>
      </c>
      <c r="E335" s="13"/>
      <c r="F335" s="13"/>
      <c r="G335" s="13"/>
      <c r="H335" s="13"/>
      <c r="I335" s="13"/>
      <c r="J335" s="13"/>
      <c r="K335" s="13"/>
    </row>
    <row r="336" spans="1:11">
      <c r="A336" s="1">
        <v>400</v>
      </c>
      <c r="B336" s="1" t="s">
        <v>1397</v>
      </c>
      <c r="C336" s="1">
        <v>140310007</v>
      </c>
      <c r="D336" s="1">
        <v>2400</v>
      </c>
      <c r="E336" s="13"/>
      <c r="F336" s="13"/>
      <c r="G336" s="13"/>
      <c r="H336" s="13"/>
      <c r="I336" s="13"/>
      <c r="J336" s="13"/>
      <c r="K336" s="13"/>
    </row>
    <row r="337" spans="1:11">
      <c r="A337" s="1">
        <v>401</v>
      </c>
      <c r="B337" s="1" t="s">
        <v>1397</v>
      </c>
      <c r="C337" s="1">
        <v>140310071</v>
      </c>
      <c r="D337" s="1">
        <v>600</v>
      </c>
      <c r="E337" s="13"/>
      <c r="F337" s="13"/>
      <c r="G337" s="13"/>
      <c r="H337" s="13"/>
      <c r="I337" s="13"/>
      <c r="J337" s="13"/>
      <c r="K337" s="13"/>
    </row>
    <row r="338" spans="1:11">
      <c r="A338" s="1">
        <v>402</v>
      </c>
      <c r="B338" s="1" t="s">
        <v>1397</v>
      </c>
      <c r="C338" s="1">
        <v>140310083</v>
      </c>
      <c r="D338" s="1">
        <v>1000</v>
      </c>
      <c r="E338" s="13"/>
      <c r="F338" s="13"/>
      <c r="G338" s="13"/>
      <c r="H338" s="13"/>
      <c r="I338" s="13"/>
      <c r="J338" s="13"/>
      <c r="K338" s="13"/>
    </row>
    <row r="339" spans="1:11">
      <c r="A339" s="1">
        <v>404</v>
      </c>
      <c r="B339" s="1" t="s">
        <v>1397</v>
      </c>
      <c r="C339" s="1">
        <v>140530039</v>
      </c>
      <c r="D339" s="1">
        <v>100</v>
      </c>
      <c r="E339" s="13"/>
      <c r="F339" s="13"/>
      <c r="G339" s="13"/>
      <c r="H339" s="13"/>
      <c r="I339" s="13"/>
      <c r="J339" s="13"/>
      <c r="K339" s="13"/>
    </row>
    <row r="340" spans="1:11">
      <c r="A340" s="1">
        <v>405</v>
      </c>
      <c r="B340" s="1" t="s">
        <v>1398</v>
      </c>
      <c r="C340" s="1">
        <v>140010117</v>
      </c>
      <c r="D340" s="1">
        <v>150</v>
      </c>
      <c r="E340" s="13"/>
      <c r="F340" s="13"/>
      <c r="G340" s="13"/>
      <c r="H340" s="13"/>
      <c r="I340" s="13"/>
      <c r="J340" s="13"/>
      <c r="K340" s="13"/>
    </row>
    <row r="341" spans="1:11">
      <c r="A341" s="1">
        <v>406</v>
      </c>
      <c r="B341" s="1" t="s">
        <v>1398</v>
      </c>
      <c r="C341" s="1">
        <v>140310007</v>
      </c>
      <c r="D341" s="1">
        <v>1700</v>
      </c>
      <c r="E341" s="13"/>
      <c r="F341" s="13"/>
      <c r="G341" s="13"/>
      <c r="H341" s="13"/>
      <c r="I341" s="13"/>
      <c r="J341" s="13"/>
      <c r="K341" s="13"/>
    </row>
    <row r="342" spans="1:11">
      <c r="A342" s="1">
        <v>407</v>
      </c>
      <c r="B342" s="1" t="s">
        <v>1398</v>
      </c>
      <c r="C342" s="1">
        <v>140310031</v>
      </c>
      <c r="D342" s="1">
        <v>350</v>
      </c>
      <c r="E342" s="13"/>
      <c r="F342" s="13"/>
      <c r="G342" s="13"/>
      <c r="H342" s="13"/>
      <c r="I342" s="13"/>
      <c r="J342" s="13"/>
      <c r="K342" s="13"/>
    </row>
    <row r="343" spans="1:11">
      <c r="A343" s="1">
        <v>408</v>
      </c>
      <c r="B343" s="1" t="s">
        <v>1398</v>
      </c>
      <c r="C343" s="1">
        <v>140310071</v>
      </c>
      <c r="D343" s="1">
        <v>1850</v>
      </c>
      <c r="E343" s="13"/>
      <c r="F343" s="13"/>
      <c r="G343" s="13"/>
      <c r="H343" s="13"/>
      <c r="I343" s="13"/>
      <c r="J343" s="13"/>
      <c r="K343" s="13"/>
    </row>
    <row r="344" spans="1:11">
      <c r="A344" s="1">
        <v>409</v>
      </c>
      <c r="B344" s="1" t="s">
        <v>1398</v>
      </c>
      <c r="C344" s="1">
        <v>140450047</v>
      </c>
      <c r="D344" s="1">
        <v>500</v>
      </c>
      <c r="E344" s="13"/>
      <c r="F344" s="13"/>
      <c r="G344" s="13"/>
      <c r="H344" s="13"/>
      <c r="I344" s="13"/>
      <c r="J344" s="13"/>
      <c r="K344" s="13"/>
    </row>
    <row r="345" spans="1:11">
      <c r="A345" s="1">
        <v>410</v>
      </c>
      <c r="B345" s="1" t="s">
        <v>1399</v>
      </c>
      <c r="C345" s="1">
        <v>140310007</v>
      </c>
      <c r="D345" s="1">
        <v>2000</v>
      </c>
      <c r="E345" s="13"/>
      <c r="F345" s="13"/>
      <c r="G345" s="13"/>
      <c r="H345" s="13"/>
      <c r="I345" s="13"/>
      <c r="J345" s="13"/>
      <c r="K345" s="13"/>
    </row>
    <row r="346" spans="1:11">
      <c r="A346" s="1">
        <v>411</v>
      </c>
      <c r="B346" s="1" t="s">
        <v>1399</v>
      </c>
      <c r="C346" s="1">
        <v>140310031</v>
      </c>
      <c r="D346" s="1">
        <v>800</v>
      </c>
      <c r="E346" s="13"/>
      <c r="F346" s="13"/>
      <c r="G346" s="13"/>
      <c r="H346" s="13"/>
      <c r="I346" s="13"/>
      <c r="J346" s="13"/>
      <c r="K346" s="13"/>
    </row>
    <row r="347" spans="1:11">
      <c r="A347" s="1">
        <v>412</v>
      </c>
      <c r="B347" s="1" t="s">
        <v>1399</v>
      </c>
      <c r="C347" s="1">
        <v>140310071</v>
      </c>
      <c r="D347" s="1">
        <v>1200</v>
      </c>
      <c r="E347" s="13"/>
      <c r="F347" s="13"/>
      <c r="G347" s="13"/>
      <c r="H347" s="13"/>
      <c r="I347" s="13"/>
      <c r="J347" s="13"/>
      <c r="K347" s="13"/>
    </row>
    <row r="348" spans="1:11">
      <c r="A348" s="1">
        <v>413</v>
      </c>
      <c r="B348" s="1" t="s">
        <v>1399</v>
      </c>
      <c r="C348" s="1">
        <v>140450047</v>
      </c>
      <c r="D348" s="1">
        <v>400</v>
      </c>
      <c r="E348" s="13"/>
      <c r="F348" s="13"/>
      <c r="G348" s="13"/>
      <c r="H348" s="13"/>
      <c r="I348" s="13"/>
      <c r="J348" s="13"/>
      <c r="K348" s="13"/>
    </row>
    <row r="349" spans="1:11">
      <c r="A349" s="1">
        <v>414</v>
      </c>
      <c r="B349" s="1" t="s">
        <v>1399</v>
      </c>
      <c r="C349" s="1">
        <v>140550019</v>
      </c>
      <c r="D349" s="1">
        <v>214</v>
      </c>
      <c r="E349" s="13"/>
      <c r="F349" s="13"/>
      <c r="G349" s="13"/>
      <c r="H349" s="13"/>
      <c r="I349" s="13"/>
      <c r="J349" s="13"/>
      <c r="K349" s="13"/>
    </row>
    <row r="350" spans="1:11">
      <c r="A350" s="1">
        <v>415</v>
      </c>
      <c r="B350" s="1" t="s">
        <v>1399</v>
      </c>
      <c r="C350" s="1">
        <v>140530039</v>
      </c>
      <c r="D350" s="1">
        <v>173</v>
      </c>
      <c r="E350" s="13"/>
      <c r="F350" s="13"/>
      <c r="G350" s="13"/>
      <c r="H350" s="13"/>
      <c r="I350" s="13"/>
      <c r="J350" s="13"/>
      <c r="K350" s="13"/>
    </row>
    <row r="351" spans="1:11">
      <c r="A351" s="1">
        <v>416</v>
      </c>
      <c r="B351" s="1" t="s">
        <v>1400</v>
      </c>
      <c r="C351" s="1">
        <v>140310007</v>
      </c>
      <c r="D351" s="1">
        <v>1200</v>
      </c>
      <c r="E351" s="13"/>
      <c r="F351" s="13"/>
      <c r="G351" s="13"/>
      <c r="H351" s="13"/>
      <c r="I351" s="13"/>
      <c r="J351" s="13"/>
      <c r="K351" s="13"/>
    </row>
    <row r="352" spans="1:11">
      <c r="A352" s="1">
        <v>417</v>
      </c>
      <c r="B352" s="1" t="s">
        <v>1400</v>
      </c>
      <c r="C352" s="1">
        <v>140310031</v>
      </c>
      <c r="D352" s="1">
        <v>500</v>
      </c>
      <c r="E352" s="13"/>
      <c r="F352" s="13"/>
      <c r="G352" s="13"/>
      <c r="H352" s="13"/>
      <c r="I352" s="13"/>
      <c r="J352" s="13"/>
      <c r="K352" s="13"/>
    </row>
    <row r="353" spans="1:11">
      <c r="A353" s="1">
        <v>418</v>
      </c>
      <c r="B353" s="1" t="s">
        <v>1400</v>
      </c>
      <c r="C353" s="1">
        <v>140310071</v>
      </c>
      <c r="D353" s="1">
        <v>1700</v>
      </c>
      <c r="E353" s="13"/>
      <c r="F353" s="13"/>
      <c r="G353" s="13"/>
      <c r="H353" s="13"/>
      <c r="I353" s="13"/>
      <c r="J353" s="13"/>
      <c r="K353" s="13"/>
    </row>
    <row r="354" spans="1:11">
      <c r="A354" s="1">
        <v>419</v>
      </c>
      <c r="B354" s="1" t="s">
        <v>1400</v>
      </c>
      <c r="C354" s="1">
        <v>140450047</v>
      </c>
      <c r="D354" s="1">
        <v>100</v>
      </c>
      <c r="E354" s="13"/>
      <c r="F354" s="13"/>
      <c r="G354" s="13"/>
      <c r="H354" s="13"/>
      <c r="I354" s="13"/>
      <c r="J354" s="13"/>
      <c r="K354" s="13"/>
    </row>
    <row r="355" spans="1:11">
      <c r="A355" s="1">
        <v>420</v>
      </c>
      <c r="B355" s="1" t="s">
        <v>1401</v>
      </c>
      <c r="C355" s="1">
        <v>140310007</v>
      </c>
      <c r="D355" s="1">
        <v>900</v>
      </c>
      <c r="E355" s="13"/>
      <c r="F355" s="13"/>
      <c r="G355" s="13"/>
      <c r="H355" s="13"/>
      <c r="I355" s="13"/>
      <c r="J355" s="13"/>
      <c r="K355" s="13"/>
    </row>
    <row r="356" spans="1:11">
      <c r="A356" s="1">
        <v>421</v>
      </c>
      <c r="B356" s="1" t="s">
        <v>1401</v>
      </c>
      <c r="C356" s="1">
        <v>140310031</v>
      </c>
      <c r="D356" s="1">
        <v>600</v>
      </c>
      <c r="E356" s="13"/>
      <c r="F356" s="13"/>
      <c r="G356" s="13"/>
      <c r="H356" s="13"/>
      <c r="I356" s="13"/>
      <c r="J356" s="13"/>
      <c r="K356" s="13"/>
    </row>
    <row r="357" spans="1:11">
      <c r="A357" s="1">
        <v>422</v>
      </c>
      <c r="B357" s="1" t="s">
        <v>1401</v>
      </c>
      <c r="C357" s="1">
        <v>140310071</v>
      </c>
      <c r="D357" s="1">
        <v>850</v>
      </c>
      <c r="E357" s="13"/>
      <c r="F357" s="13"/>
      <c r="G357" s="13"/>
      <c r="H357" s="13"/>
      <c r="I357" s="13"/>
      <c r="J357" s="13"/>
      <c r="K357" s="13"/>
    </row>
    <row r="358" spans="1:11">
      <c r="A358" s="1">
        <v>423</v>
      </c>
      <c r="B358" s="1" t="s">
        <v>1401</v>
      </c>
      <c r="C358" s="1">
        <v>140450047</v>
      </c>
      <c r="D358" s="1">
        <v>500</v>
      </c>
      <c r="E358" s="13"/>
      <c r="F358" s="13"/>
      <c r="G358" s="13"/>
      <c r="H358" s="13"/>
      <c r="I358" s="13"/>
      <c r="J358" s="13"/>
      <c r="K358" s="13"/>
    </row>
    <row r="359" spans="1:11">
      <c r="A359" s="1">
        <v>424</v>
      </c>
      <c r="B359" s="1" t="s">
        <v>1402</v>
      </c>
      <c r="C359" s="1">
        <v>140310007</v>
      </c>
      <c r="D359" s="1">
        <v>1400</v>
      </c>
      <c r="E359" s="13"/>
      <c r="F359" s="13"/>
      <c r="G359" s="13"/>
      <c r="H359" s="13"/>
      <c r="I359" s="13"/>
      <c r="J359" s="13"/>
      <c r="K359" s="13"/>
    </row>
    <row r="360" spans="1:11">
      <c r="A360" s="1">
        <v>425</v>
      </c>
      <c r="B360" s="1" t="s">
        <v>1402</v>
      </c>
      <c r="C360" s="1">
        <v>140310031</v>
      </c>
      <c r="D360" s="1">
        <v>700</v>
      </c>
      <c r="E360" s="13"/>
      <c r="F360" s="13"/>
      <c r="G360" s="13"/>
      <c r="H360" s="13"/>
      <c r="I360" s="13"/>
      <c r="J360" s="13"/>
      <c r="K360" s="13"/>
    </row>
    <row r="361" spans="1:11">
      <c r="A361" s="1">
        <v>426</v>
      </c>
      <c r="B361" s="1" t="s">
        <v>1402</v>
      </c>
      <c r="C361" s="1">
        <v>140310083</v>
      </c>
      <c r="D361" s="1">
        <v>250</v>
      </c>
      <c r="E361" s="13"/>
      <c r="F361" s="13"/>
      <c r="G361" s="13"/>
      <c r="H361" s="13"/>
      <c r="I361" s="13"/>
      <c r="J361" s="13"/>
      <c r="K361" s="13"/>
    </row>
    <row r="362" spans="1:11">
      <c r="A362" s="1">
        <v>427</v>
      </c>
      <c r="B362" s="1" t="s">
        <v>1402</v>
      </c>
      <c r="C362" s="1">
        <v>140450047</v>
      </c>
      <c r="D362" s="1">
        <v>750</v>
      </c>
      <c r="E362" s="13"/>
      <c r="F362" s="13"/>
      <c r="G362" s="13"/>
      <c r="H362" s="13"/>
      <c r="I362" s="13"/>
      <c r="J362" s="13"/>
      <c r="K362" s="13"/>
    </row>
    <row r="363" spans="1:11">
      <c r="A363" s="1">
        <v>428</v>
      </c>
      <c r="B363" s="1" t="s">
        <v>1403</v>
      </c>
      <c r="C363" s="1">
        <v>140310007</v>
      </c>
      <c r="D363" s="1">
        <v>600</v>
      </c>
      <c r="E363" s="13"/>
      <c r="F363" s="13"/>
      <c r="G363" s="13"/>
      <c r="H363" s="13"/>
      <c r="I363" s="13"/>
      <c r="J363" s="13"/>
      <c r="K363" s="13"/>
    </row>
    <row r="364" spans="1:11">
      <c r="A364" s="1">
        <v>429</v>
      </c>
      <c r="B364" s="1" t="s">
        <v>1403</v>
      </c>
      <c r="C364" s="1">
        <v>140310031</v>
      </c>
      <c r="D364" s="1">
        <v>300</v>
      </c>
      <c r="E364" s="13"/>
      <c r="F364" s="13"/>
      <c r="G364" s="13"/>
      <c r="H364" s="13"/>
      <c r="I364" s="13"/>
      <c r="J364" s="13"/>
      <c r="K364" s="13"/>
    </row>
    <row r="365" spans="1:11">
      <c r="A365" s="1">
        <v>430</v>
      </c>
      <c r="B365" s="1" t="s">
        <v>1403</v>
      </c>
      <c r="C365" s="1">
        <v>140310071</v>
      </c>
      <c r="D365" s="1">
        <v>550</v>
      </c>
      <c r="E365" s="13"/>
      <c r="F365" s="13"/>
      <c r="G365" s="13"/>
      <c r="H365" s="13"/>
      <c r="I365" s="13"/>
      <c r="J365" s="13"/>
      <c r="K365" s="13"/>
    </row>
    <row r="366" spans="1:11">
      <c r="A366" s="1">
        <v>431</v>
      </c>
      <c r="B366" s="1" t="s">
        <v>1403</v>
      </c>
      <c r="C366" s="1">
        <v>140310083</v>
      </c>
      <c r="D366" s="1">
        <v>600</v>
      </c>
      <c r="E366" s="13"/>
      <c r="F366" s="13"/>
      <c r="G366" s="13"/>
      <c r="H366" s="13"/>
      <c r="I366" s="13"/>
      <c r="J366" s="13"/>
      <c r="K366" s="13"/>
    </row>
    <row r="367" spans="1:11">
      <c r="A367" s="1">
        <v>432</v>
      </c>
      <c r="B367" s="1" t="s">
        <v>1403</v>
      </c>
      <c r="C367" s="1">
        <v>140450047</v>
      </c>
      <c r="D367" s="1">
        <v>800</v>
      </c>
      <c r="E367" s="13"/>
      <c r="F367" s="13"/>
      <c r="G367" s="13"/>
      <c r="H367" s="13"/>
      <c r="I367" s="13"/>
      <c r="J367" s="13"/>
      <c r="K367" s="13"/>
    </row>
    <row r="368" spans="1:11">
      <c r="A368" s="1">
        <v>433</v>
      </c>
      <c r="B368" s="1" t="s">
        <v>1404</v>
      </c>
      <c r="C368" s="1">
        <v>140310007</v>
      </c>
      <c r="D368" s="1">
        <v>750</v>
      </c>
      <c r="E368" s="13"/>
      <c r="F368" s="13"/>
      <c r="G368" s="13"/>
      <c r="H368" s="13"/>
      <c r="I368" s="13"/>
      <c r="J368" s="13"/>
      <c r="K368" s="13"/>
    </row>
    <row r="369" spans="1:11">
      <c r="A369" s="1">
        <v>434</v>
      </c>
      <c r="B369" s="1" t="s">
        <v>1404</v>
      </c>
      <c r="C369" s="1">
        <v>140310031</v>
      </c>
      <c r="D369" s="1">
        <v>1100</v>
      </c>
      <c r="E369" s="13"/>
      <c r="F369" s="13"/>
      <c r="G369" s="13"/>
      <c r="H369" s="13"/>
      <c r="I369" s="13"/>
      <c r="J369" s="13"/>
      <c r="K369" s="13"/>
    </row>
    <row r="370" spans="1:11">
      <c r="A370" s="1">
        <v>435</v>
      </c>
      <c r="B370" s="1" t="s">
        <v>1404</v>
      </c>
      <c r="C370" s="1">
        <v>140310071</v>
      </c>
      <c r="D370" s="1">
        <v>300</v>
      </c>
      <c r="E370" s="13"/>
      <c r="F370" s="13"/>
      <c r="G370" s="13"/>
      <c r="H370" s="13"/>
      <c r="I370" s="13"/>
      <c r="J370" s="13"/>
      <c r="K370" s="13"/>
    </row>
    <row r="371" spans="1:11">
      <c r="A371" s="1">
        <v>436</v>
      </c>
      <c r="B371" s="1" t="s">
        <v>1404</v>
      </c>
      <c r="C371" s="1">
        <v>140450047</v>
      </c>
      <c r="D371" s="1">
        <v>550</v>
      </c>
      <c r="E371" s="13"/>
      <c r="F371" s="13"/>
      <c r="G371" s="13"/>
      <c r="H371" s="13"/>
      <c r="I371" s="13"/>
      <c r="J371" s="13"/>
      <c r="K371" s="13"/>
    </row>
    <row r="372" spans="1:11">
      <c r="A372" s="1">
        <v>437</v>
      </c>
      <c r="B372" s="1" t="s">
        <v>1404</v>
      </c>
      <c r="C372" s="1">
        <v>140640007</v>
      </c>
      <c r="D372" s="1">
        <v>150</v>
      </c>
      <c r="E372" s="13"/>
      <c r="F372" s="13"/>
      <c r="G372" s="13"/>
      <c r="H372" s="13"/>
      <c r="I372" s="13"/>
      <c r="J372" s="13"/>
      <c r="K372" s="13"/>
    </row>
    <row r="373" spans="1:11">
      <c r="A373" s="1">
        <v>438</v>
      </c>
      <c r="B373" s="1" t="s">
        <v>1422</v>
      </c>
      <c r="C373" s="1">
        <v>140010255</v>
      </c>
      <c r="D373" s="1">
        <v>300</v>
      </c>
      <c r="E373" s="13"/>
      <c r="F373" s="13"/>
      <c r="G373" s="13"/>
      <c r="H373" s="13"/>
      <c r="I373" s="13"/>
      <c r="J373" s="13"/>
      <c r="K373" s="13"/>
    </row>
    <row r="374" spans="1:11">
      <c r="A374" s="1">
        <v>439</v>
      </c>
      <c r="B374" s="1" t="s">
        <v>1422</v>
      </c>
      <c r="C374" s="1">
        <v>140310007</v>
      </c>
      <c r="D374" s="1">
        <v>1100</v>
      </c>
      <c r="E374" s="13"/>
      <c r="F374" s="13"/>
      <c r="G374" s="13"/>
      <c r="H374" s="13"/>
      <c r="I374" s="13"/>
      <c r="J374" s="13"/>
      <c r="K374" s="13"/>
    </row>
    <row r="375" spans="1:11">
      <c r="A375" s="1">
        <v>440</v>
      </c>
      <c r="B375" s="1" t="s">
        <v>1422</v>
      </c>
      <c r="C375" s="1">
        <v>140310071</v>
      </c>
      <c r="D375" s="1">
        <v>1500</v>
      </c>
      <c r="E375" s="13"/>
      <c r="F375" s="13"/>
      <c r="G375" s="13"/>
      <c r="H375" s="13"/>
      <c r="I375" s="13"/>
      <c r="J375" s="13"/>
      <c r="K375" s="13"/>
    </row>
    <row r="376" spans="1:11">
      <c r="A376" s="1">
        <v>441</v>
      </c>
      <c r="B376" s="1" t="s">
        <v>1422</v>
      </c>
      <c r="C376" s="1">
        <v>140310083</v>
      </c>
      <c r="D376" s="1">
        <v>50</v>
      </c>
      <c r="E376" s="13"/>
      <c r="F376" s="13"/>
      <c r="G376" s="13"/>
      <c r="H376" s="13"/>
      <c r="I376" s="13"/>
      <c r="J376" s="13"/>
      <c r="K376" s="13"/>
    </row>
    <row r="377" spans="1:11">
      <c r="A377" s="1">
        <v>442</v>
      </c>
      <c r="B377" s="1" t="s">
        <v>1422</v>
      </c>
      <c r="C377" s="1">
        <v>140450047</v>
      </c>
      <c r="D377" s="1">
        <v>650</v>
      </c>
      <c r="E377" s="13"/>
      <c r="F377" s="13"/>
      <c r="G377" s="13"/>
      <c r="H377" s="13"/>
      <c r="I377" s="13"/>
      <c r="J377" s="13"/>
      <c r="K377" s="13"/>
    </row>
    <row r="378" spans="1:11">
      <c r="A378" s="1">
        <v>443</v>
      </c>
      <c r="B378" s="1" t="s">
        <v>1471</v>
      </c>
      <c r="C378" s="1">
        <v>140010255</v>
      </c>
      <c r="D378" s="1">
        <v>400</v>
      </c>
      <c r="E378" s="13"/>
      <c r="F378" s="13"/>
      <c r="G378" s="13"/>
      <c r="H378" s="13"/>
      <c r="I378" s="13"/>
      <c r="J378" s="13"/>
      <c r="K378" s="13"/>
    </row>
    <row r="379" spans="1:11">
      <c r="A379" s="1">
        <v>444</v>
      </c>
      <c r="B379" s="1" t="s">
        <v>1471</v>
      </c>
      <c r="C379" s="1">
        <v>140310007</v>
      </c>
      <c r="D379" s="1">
        <v>1450</v>
      </c>
      <c r="E379" s="13"/>
      <c r="F379" s="13"/>
      <c r="G379" s="13"/>
      <c r="H379" s="13"/>
      <c r="I379" s="13"/>
      <c r="J379" s="13"/>
      <c r="K379" s="13"/>
    </row>
    <row r="380" spans="1:11">
      <c r="A380" s="1">
        <v>445</v>
      </c>
      <c r="B380" s="1" t="s">
        <v>1471</v>
      </c>
      <c r="C380" s="1">
        <v>140310031</v>
      </c>
      <c r="D380" s="1">
        <v>500</v>
      </c>
      <c r="E380" s="13"/>
      <c r="F380" s="13"/>
      <c r="G380" s="13"/>
      <c r="H380" s="13"/>
      <c r="I380" s="13"/>
      <c r="J380" s="13"/>
      <c r="K380" s="13"/>
    </row>
    <row r="381" spans="1:11">
      <c r="A381" s="1">
        <v>446</v>
      </c>
      <c r="B381" s="1" t="s">
        <v>1471</v>
      </c>
      <c r="C381" s="1">
        <v>140310071</v>
      </c>
      <c r="D381" s="1">
        <v>1500</v>
      </c>
      <c r="E381" s="13"/>
      <c r="F381" s="13"/>
      <c r="G381" s="13"/>
      <c r="H381" s="13"/>
      <c r="I381" s="13"/>
      <c r="J381" s="13"/>
      <c r="K381" s="13"/>
    </row>
    <row r="382" spans="1:11">
      <c r="A382" s="1">
        <v>447</v>
      </c>
      <c r="B382" s="1" t="s">
        <v>1405</v>
      </c>
      <c r="C382" s="1">
        <v>140310007</v>
      </c>
      <c r="D382" s="1">
        <v>150</v>
      </c>
      <c r="E382" s="13"/>
      <c r="F382" s="13"/>
      <c r="G382" s="13"/>
      <c r="H382" s="13"/>
      <c r="I382" s="13"/>
      <c r="J382" s="13"/>
      <c r="K382" s="13"/>
    </row>
    <row r="383" spans="1:11">
      <c r="A383" s="1">
        <v>448</v>
      </c>
      <c r="B383" s="1" t="s">
        <v>1405</v>
      </c>
      <c r="C383" s="1">
        <v>140310031</v>
      </c>
      <c r="D383" s="1">
        <v>600</v>
      </c>
      <c r="E383" s="13"/>
      <c r="F383" s="13"/>
      <c r="G383" s="13"/>
      <c r="H383" s="13"/>
      <c r="I383" s="13"/>
      <c r="J383" s="13"/>
      <c r="K383" s="13"/>
    </row>
    <row r="384" spans="1:11">
      <c r="A384" s="1">
        <v>449</v>
      </c>
      <c r="B384" s="1" t="s">
        <v>1405</v>
      </c>
      <c r="C384" s="1">
        <v>140310071</v>
      </c>
      <c r="D384" s="1">
        <v>1500</v>
      </c>
      <c r="E384" s="13"/>
      <c r="F384" s="13"/>
      <c r="G384" s="13"/>
      <c r="H384" s="13"/>
      <c r="I384" s="13"/>
      <c r="J384" s="13"/>
      <c r="K384" s="13"/>
    </row>
    <row r="385" spans="1:11">
      <c r="A385" s="1">
        <v>450</v>
      </c>
      <c r="B385" s="1" t="s">
        <v>1405</v>
      </c>
      <c r="C385" s="1">
        <v>140450047</v>
      </c>
      <c r="D385" s="1">
        <v>1750</v>
      </c>
      <c r="E385" s="13"/>
      <c r="F385" s="13"/>
      <c r="G385" s="13"/>
      <c r="H385" s="13"/>
      <c r="I385" s="13"/>
      <c r="J385" s="13"/>
      <c r="K385" s="13"/>
    </row>
    <row r="386" spans="1:11">
      <c r="A386" s="1">
        <v>451</v>
      </c>
      <c r="B386" s="1" t="s">
        <v>1406</v>
      </c>
      <c r="C386" s="1">
        <v>140310071</v>
      </c>
      <c r="D386" s="1">
        <v>3000</v>
      </c>
      <c r="E386" s="13"/>
      <c r="F386" s="13"/>
      <c r="G386" s="13"/>
      <c r="H386" s="13"/>
      <c r="I386" s="13"/>
      <c r="J386" s="13"/>
      <c r="K386" s="13"/>
    </row>
    <row r="387" spans="1:11">
      <c r="A387" s="1">
        <v>452</v>
      </c>
      <c r="B387" s="1" t="s">
        <v>1406</v>
      </c>
      <c r="C387" s="1">
        <v>140450047</v>
      </c>
      <c r="D387" s="1">
        <v>750</v>
      </c>
      <c r="E387" s="13"/>
      <c r="F387" s="13"/>
      <c r="G387" s="13"/>
      <c r="H387" s="13"/>
      <c r="I387" s="13"/>
      <c r="J387" s="13"/>
      <c r="K387" s="13"/>
    </row>
    <row r="388" spans="1:11">
      <c r="A388" s="1">
        <v>453</v>
      </c>
      <c r="B388" s="1" t="s">
        <v>1407</v>
      </c>
      <c r="C388" s="1">
        <v>140010117</v>
      </c>
      <c r="D388" s="1">
        <v>75</v>
      </c>
      <c r="E388" s="13"/>
      <c r="F388" s="13"/>
      <c r="G388" s="13"/>
      <c r="H388" s="13"/>
      <c r="I388" s="13"/>
      <c r="J388" s="13"/>
      <c r="K388" s="13"/>
    </row>
    <row r="389" spans="1:11">
      <c r="A389" s="1">
        <v>454</v>
      </c>
      <c r="B389" s="1" t="s">
        <v>1407</v>
      </c>
      <c r="C389" s="1">
        <v>140010230</v>
      </c>
      <c r="D389" s="1">
        <v>400</v>
      </c>
      <c r="E389" s="13"/>
      <c r="F389" s="13"/>
      <c r="G389" s="13"/>
      <c r="H389" s="13"/>
      <c r="I389" s="13"/>
      <c r="J389" s="13"/>
      <c r="K389" s="13"/>
    </row>
    <row r="390" spans="1:11">
      <c r="A390" s="1">
        <v>455</v>
      </c>
      <c r="B390" s="1" t="s">
        <v>1407</v>
      </c>
      <c r="C390" s="1">
        <v>140310007</v>
      </c>
      <c r="D390" s="1">
        <v>2700</v>
      </c>
      <c r="E390" s="13"/>
      <c r="F390" s="13"/>
      <c r="G390" s="13"/>
      <c r="H390" s="13"/>
      <c r="I390" s="13"/>
      <c r="J390" s="13"/>
      <c r="K390" s="13"/>
    </row>
    <row r="391" spans="1:11">
      <c r="A391" s="1">
        <v>456</v>
      </c>
      <c r="B391" s="1" t="s">
        <v>1407</v>
      </c>
      <c r="C391" s="1">
        <v>140310031</v>
      </c>
      <c r="D391" s="1">
        <v>700</v>
      </c>
      <c r="E391" s="13"/>
      <c r="F391" s="13"/>
      <c r="G391" s="13"/>
      <c r="H391" s="13"/>
      <c r="I391" s="13"/>
      <c r="J391" s="13"/>
      <c r="K391" s="13"/>
    </row>
    <row r="392" spans="1:11">
      <c r="A392" s="1">
        <v>458</v>
      </c>
      <c r="B392" s="1" t="s">
        <v>1408</v>
      </c>
      <c r="C392" s="1">
        <v>140310007</v>
      </c>
      <c r="D392" s="1">
        <v>1650</v>
      </c>
      <c r="E392" s="13"/>
      <c r="F392" s="13"/>
      <c r="G392" s="13"/>
      <c r="H392" s="13"/>
      <c r="I392" s="13"/>
      <c r="J392" s="13"/>
      <c r="K392" s="13"/>
    </row>
    <row r="393" spans="1:11">
      <c r="A393" s="1">
        <v>459</v>
      </c>
      <c r="B393" s="1" t="s">
        <v>1408</v>
      </c>
      <c r="C393" s="1">
        <v>140310031</v>
      </c>
      <c r="D393" s="1">
        <v>800</v>
      </c>
      <c r="E393" s="13"/>
      <c r="F393" s="13"/>
      <c r="G393" s="13"/>
      <c r="H393" s="13"/>
      <c r="I393" s="13"/>
      <c r="J393" s="13"/>
      <c r="K393" s="13"/>
    </row>
    <row r="394" spans="1:11">
      <c r="A394" s="1">
        <v>460</v>
      </c>
      <c r="B394" s="1" t="s">
        <v>1408</v>
      </c>
      <c r="C394" s="1">
        <v>140310071</v>
      </c>
      <c r="D394" s="1">
        <v>700</v>
      </c>
      <c r="E394" s="13"/>
      <c r="F394" s="13"/>
      <c r="G394" s="13"/>
      <c r="H394" s="13"/>
      <c r="I394" s="13"/>
      <c r="J394" s="13"/>
      <c r="K394" s="13"/>
    </row>
    <row r="395" spans="1:11">
      <c r="A395" s="1">
        <v>461</v>
      </c>
      <c r="B395" s="1" t="s">
        <v>1408</v>
      </c>
      <c r="C395" s="1">
        <v>140450047</v>
      </c>
      <c r="D395" s="1">
        <v>600</v>
      </c>
      <c r="E395" s="13"/>
      <c r="F395" s="13"/>
      <c r="G395" s="13"/>
      <c r="H395" s="13"/>
      <c r="I395" s="13"/>
      <c r="J395" s="13"/>
      <c r="K395" s="13"/>
    </row>
    <row r="396" spans="1:11">
      <c r="A396" s="1">
        <v>462</v>
      </c>
      <c r="B396" s="1" t="s">
        <v>1409</v>
      </c>
      <c r="C396" s="1">
        <v>140310007</v>
      </c>
      <c r="D396" s="1">
        <v>1100</v>
      </c>
      <c r="E396" s="13"/>
      <c r="F396" s="13"/>
      <c r="G396" s="13"/>
      <c r="H396" s="13"/>
      <c r="I396" s="13"/>
      <c r="J396" s="13"/>
      <c r="K396" s="13"/>
    </row>
    <row r="397" spans="1:11">
      <c r="A397" s="1">
        <v>463</v>
      </c>
      <c r="B397" s="1" t="s">
        <v>1409</v>
      </c>
      <c r="C397" s="1">
        <v>140310031</v>
      </c>
      <c r="D397" s="1">
        <v>50</v>
      </c>
      <c r="E397" s="13"/>
      <c r="F397" s="13"/>
      <c r="G397" s="13"/>
      <c r="H397" s="13"/>
      <c r="I397" s="13"/>
      <c r="J397" s="13"/>
      <c r="K397" s="13"/>
    </row>
    <row r="398" spans="1:11">
      <c r="A398" s="1">
        <v>464</v>
      </c>
      <c r="B398" s="1" t="s">
        <v>1409</v>
      </c>
      <c r="C398" s="1">
        <v>140310071</v>
      </c>
      <c r="D398" s="1">
        <v>2200</v>
      </c>
      <c r="E398" s="13"/>
      <c r="F398" s="13"/>
      <c r="G398" s="13"/>
      <c r="H398" s="13"/>
      <c r="I398" s="13"/>
      <c r="J398" s="13"/>
      <c r="K398" s="13"/>
    </row>
    <row r="399" spans="1:11">
      <c r="A399" s="1">
        <v>465</v>
      </c>
      <c r="B399" s="1" t="s">
        <v>1409</v>
      </c>
      <c r="C399" s="1">
        <v>140450047</v>
      </c>
      <c r="D399" s="1">
        <v>200</v>
      </c>
      <c r="E399" s="13"/>
      <c r="F399" s="13"/>
      <c r="G399" s="13"/>
      <c r="H399" s="13"/>
      <c r="I399" s="13"/>
      <c r="J399" s="13"/>
      <c r="K399" s="13"/>
    </row>
    <row r="400" spans="1:11">
      <c r="A400" s="1">
        <v>466</v>
      </c>
      <c r="B400" s="1" t="s">
        <v>1472</v>
      </c>
      <c r="C400" s="1">
        <v>140010117</v>
      </c>
      <c r="D400" s="1">
        <v>750</v>
      </c>
      <c r="E400" s="13"/>
      <c r="F400" s="13"/>
      <c r="G400" s="13"/>
      <c r="H400" s="13"/>
      <c r="I400" s="13"/>
      <c r="J400" s="13"/>
      <c r="K400" s="13"/>
    </row>
    <row r="401" spans="1:11">
      <c r="A401" s="1">
        <v>467</v>
      </c>
      <c r="B401" s="1" t="s">
        <v>1472</v>
      </c>
      <c r="C401" s="1">
        <v>140010230</v>
      </c>
      <c r="D401" s="1">
        <v>10</v>
      </c>
      <c r="E401" s="13"/>
      <c r="F401" s="13"/>
      <c r="G401" s="13"/>
      <c r="H401" s="13"/>
      <c r="I401" s="13"/>
      <c r="J401" s="13"/>
      <c r="K401" s="13"/>
    </row>
    <row r="402" spans="1:11">
      <c r="A402" s="1">
        <v>468</v>
      </c>
      <c r="B402" s="1" t="s">
        <v>1472</v>
      </c>
      <c r="C402" s="1">
        <v>140310007</v>
      </c>
      <c r="D402" s="1">
        <v>1800</v>
      </c>
      <c r="E402" s="13"/>
      <c r="F402" s="13"/>
      <c r="G402" s="13"/>
      <c r="H402" s="13"/>
      <c r="I402" s="13"/>
      <c r="J402" s="13"/>
      <c r="K402" s="13"/>
    </row>
    <row r="403" spans="1:11">
      <c r="A403" s="1">
        <v>469</v>
      </c>
      <c r="B403" s="1" t="s">
        <v>1410</v>
      </c>
      <c r="C403" s="1">
        <v>140010117</v>
      </c>
      <c r="D403" s="1">
        <v>1500</v>
      </c>
      <c r="E403" s="13"/>
      <c r="F403" s="13"/>
      <c r="G403" s="13"/>
      <c r="H403" s="13"/>
      <c r="I403" s="13"/>
      <c r="J403" s="13"/>
      <c r="K403" s="13"/>
    </row>
    <row r="404" spans="1:11">
      <c r="A404" s="1">
        <v>470</v>
      </c>
      <c r="B404" s="1" t="s">
        <v>1410</v>
      </c>
      <c r="C404" s="1">
        <v>140310007</v>
      </c>
      <c r="D404" s="1">
        <v>1200</v>
      </c>
      <c r="E404" s="13"/>
      <c r="F404" s="13"/>
      <c r="G404" s="13"/>
      <c r="H404" s="13"/>
      <c r="I404" s="13"/>
      <c r="J404" s="13"/>
      <c r="K404" s="13"/>
    </row>
    <row r="405" spans="1:11">
      <c r="A405" s="1">
        <v>471</v>
      </c>
      <c r="B405" s="1" t="s">
        <v>1410</v>
      </c>
      <c r="C405" s="1">
        <v>140310083</v>
      </c>
      <c r="D405" s="1">
        <v>100</v>
      </c>
      <c r="E405" s="13"/>
      <c r="F405" s="13"/>
      <c r="G405" s="13"/>
      <c r="H405" s="13"/>
      <c r="I405" s="13"/>
      <c r="J405" s="13"/>
      <c r="K405" s="13"/>
    </row>
    <row r="406" spans="1:11">
      <c r="A406" s="1">
        <v>472</v>
      </c>
      <c r="B406" s="1" t="s">
        <v>1411</v>
      </c>
      <c r="C406" s="1">
        <v>140010117</v>
      </c>
      <c r="D406" s="1">
        <v>75</v>
      </c>
      <c r="E406" s="13"/>
      <c r="F406" s="13"/>
      <c r="G406" s="13"/>
      <c r="H406" s="13"/>
      <c r="I406" s="13"/>
      <c r="J406" s="13"/>
      <c r="K406" s="13"/>
    </row>
    <row r="407" spans="1:11">
      <c r="A407" s="1">
        <v>473</v>
      </c>
      <c r="B407" s="1" t="s">
        <v>1411</v>
      </c>
      <c r="C407" s="1">
        <v>140010230</v>
      </c>
      <c r="D407" s="1">
        <v>500</v>
      </c>
      <c r="E407" s="13"/>
      <c r="F407" s="13"/>
      <c r="G407" s="13"/>
      <c r="H407" s="13"/>
      <c r="I407" s="13"/>
      <c r="J407" s="13"/>
      <c r="K407" s="13"/>
    </row>
    <row r="408" spans="1:11">
      <c r="A408" s="1">
        <v>474</v>
      </c>
      <c r="B408" s="1" t="s">
        <v>1411</v>
      </c>
      <c r="C408" s="1">
        <v>140310007</v>
      </c>
      <c r="D408" s="1">
        <v>1100</v>
      </c>
      <c r="E408" s="13"/>
      <c r="F408" s="13"/>
      <c r="G408" s="13"/>
      <c r="H408" s="13"/>
      <c r="I408" s="13"/>
      <c r="J408" s="13"/>
      <c r="K408" s="13"/>
    </row>
    <row r="409" spans="1:11">
      <c r="A409" s="1">
        <v>475</v>
      </c>
      <c r="B409" s="1" t="s">
        <v>1411</v>
      </c>
      <c r="C409" s="1">
        <v>140310071</v>
      </c>
      <c r="D409" s="1">
        <v>200</v>
      </c>
      <c r="E409" s="13"/>
      <c r="F409" s="13"/>
      <c r="G409" s="13"/>
      <c r="H409" s="13"/>
      <c r="I409" s="13"/>
      <c r="J409" s="13"/>
      <c r="K409" s="13"/>
    </row>
    <row r="410" spans="1:11">
      <c r="A410" s="1">
        <v>476</v>
      </c>
      <c r="B410" s="1" t="s">
        <v>1412</v>
      </c>
      <c r="C410" s="1">
        <v>140010117</v>
      </c>
      <c r="D410" s="1">
        <v>375</v>
      </c>
      <c r="E410" s="13"/>
      <c r="F410" s="13"/>
      <c r="G410" s="13"/>
      <c r="H410" s="13"/>
      <c r="I410" s="13"/>
      <c r="J410" s="13"/>
      <c r="K410" s="13"/>
    </row>
    <row r="411" spans="1:11">
      <c r="A411" s="1">
        <v>477</v>
      </c>
      <c r="B411" s="1" t="s">
        <v>1412</v>
      </c>
      <c r="C411" s="1">
        <v>140010230</v>
      </c>
      <c r="D411" s="1">
        <v>500</v>
      </c>
      <c r="E411" s="13"/>
      <c r="F411" s="13"/>
      <c r="G411" s="13"/>
      <c r="H411" s="13"/>
      <c r="I411" s="13"/>
      <c r="J411" s="13"/>
      <c r="K411" s="13"/>
    </row>
    <row r="412" spans="1:11">
      <c r="A412" s="1">
        <v>478</v>
      </c>
      <c r="B412" s="1" t="s">
        <v>1412</v>
      </c>
      <c r="C412" s="1">
        <v>140310007</v>
      </c>
      <c r="D412" s="1">
        <v>200</v>
      </c>
      <c r="E412" s="13"/>
      <c r="F412" s="13"/>
      <c r="G412" s="13"/>
      <c r="H412" s="13"/>
      <c r="I412" s="13"/>
      <c r="J412" s="13"/>
      <c r="K412" s="13"/>
    </row>
    <row r="413" spans="1:11">
      <c r="A413" s="1">
        <v>479</v>
      </c>
      <c r="B413" s="1" t="s">
        <v>1412</v>
      </c>
      <c r="C413" s="1">
        <v>140450047</v>
      </c>
      <c r="D413" s="1">
        <v>1500</v>
      </c>
      <c r="E413" s="13"/>
      <c r="F413" s="13"/>
      <c r="G413" s="13"/>
      <c r="H413" s="13"/>
      <c r="I413" s="13"/>
      <c r="J413" s="13"/>
      <c r="K413" s="13"/>
    </row>
    <row r="414" spans="1:11">
      <c r="A414" s="1">
        <v>480</v>
      </c>
      <c r="B414" s="1" t="s">
        <v>1448</v>
      </c>
      <c r="C414" s="1">
        <v>140010117</v>
      </c>
      <c r="D414" s="1">
        <v>225</v>
      </c>
      <c r="E414" s="13"/>
      <c r="F414" s="13"/>
      <c r="G414" s="13"/>
      <c r="H414" s="13"/>
      <c r="I414" s="13"/>
      <c r="J414" s="13"/>
      <c r="K414" s="13"/>
    </row>
    <row r="415" spans="1:11">
      <c r="A415" s="1">
        <v>481</v>
      </c>
      <c r="B415" s="1" t="s">
        <v>1448</v>
      </c>
      <c r="C415" s="1">
        <v>140010230</v>
      </c>
      <c r="D415" s="1">
        <v>1000</v>
      </c>
      <c r="E415" s="13"/>
      <c r="F415" s="13"/>
      <c r="G415" s="13"/>
      <c r="H415" s="13"/>
      <c r="I415" s="13"/>
      <c r="J415" s="13"/>
      <c r="K415" s="13"/>
    </row>
    <row r="416" spans="1:11">
      <c r="A416" s="1">
        <v>482</v>
      </c>
      <c r="B416" s="1" t="s">
        <v>1448</v>
      </c>
      <c r="C416" s="1">
        <v>140010255</v>
      </c>
      <c r="D416" s="1">
        <v>900</v>
      </c>
      <c r="E416" s="13"/>
      <c r="F416" s="13"/>
      <c r="G416" s="13"/>
      <c r="H416" s="13"/>
      <c r="I416" s="13"/>
      <c r="J416" s="13"/>
      <c r="K416" s="13"/>
    </row>
    <row r="417" spans="1:11">
      <c r="A417" s="1">
        <v>483</v>
      </c>
      <c r="B417" s="1" t="s">
        <v>1448</v>
      </c>
      <c r="C417" s="1">
        <v>140310096</v>
      </c>
      <c r="D417" s="1">
        <v>300</v>
      </c>
      <c r="E417" s="13"/>
      <c r="F417" s="13"/>
      <c r="G417" s="13"/>
      <c r="H417" s="13"/>
      <c r="I417" s="13"/>
      <c r="J417" s="13"/>
      <c r="K417" s="13"/>
    </row>
    <row r="418" spans="1:11">
      <c r="A418" s="1">
        <v>484</v>
      </c>
      <c r="B418" s="1" t="s">
        <v>1448</v>
      </c>
      <c r="C418" s="1">
        <v>140450047</v>
      </c>
      <c r="D418" s="1">
        <v>200</v>
      </c>
      <c r="E418" s="13"/>
      <c r="F418" s="13"/>
      <c r="G418" s="13"/>
      <c r="H418" s="13"/>
      <c r="I418" s="13"/>
      <c r="J418" s="13"/>
      <c r="K418" s="13"/>
    </row>
    <row r="419" spans="1:11">
      <c r="A419" s="1">
        <v>485</v>
      </c>
      <c r="B419" s="1" t="s">
        <v>1413</v>
      </c>
      <c r="C419" s="1">
        <v>140010230</v>
      </c>
      <c r="D419" s="1">
        <v>950</v>
      </c>
      <c r="E419" s="13"/>
      <c r="F419" s="13"/>
      <c r="G419" s="13"/>
      <c r="H419" s="13"/>
      <c r="I419" s="13"/>
      <c r="J419" s="13"/>
      <c r="K419" s="13"/>
    </row>
    <row r="420" spans="1:11">
      <c r="A420" s="1">
        <v>486</v>
      </c>
      <c r="B420" s="1" t="s">
        <v>1413</v>
      </c>
      <c r="C420" s="1">
        <v>140010255</v>
      </c>
      <c r="D420" s="1">
        <v>675</v>
      </c>
      <c r="E420" s="13"/>
      <c r="F420" s="13"/>
      <c r="G420" s="13"/>
      <c r="H420" s="13"/>
      <c r="I420" s="13"/>
      <c r="J420" s="13"/>
      <c r="K420" s="13"/>
    </row>
    <row r="421" spans="1:11">
      <c r="A421" s="1">
        <v>487</v>
      </c>
      <c r="B421" s="1" t="s">
        <v>1413</v>
      </c>
      <c r="C421" s="1">
        <v>140310007</v>
      </c>
      <c r="D421" s="1">
        <v>1700</v>
      </c>
      <c r="E421" s="13"/>
      <c r="F421" s="13"/>
      <c r="G421" s="13"/>
      <c r="H421" s="13"/>
      <c r="I421" s="13"/>
      <c r="J421" s="13"/>
      <c r="K421" s="13"/>
    </row>
    <row r="422" spans="1:11">
      <c r="A422" s="1">
        <v>488</v>
      </c>
      <c r="B422" s="1" t="s">
        <v>1413</v>
      </c>
      <c r="C422" s="1">
        <v>140310031</v>
      </c>
      <c r="D422" s="1">
        <v>50</v>
      </c>
      <c r="E422" s="13"/>
      <c r="F422" s="13"/>
      <c r="G422" s="13"/>
      <c r="H422" s="13"/>
      <c r="I422" s="13"/>
      <c r="J422" s="13"/>
      <c r="K422" s="13"/>
    </row>
    <row r="423" spans="1:11">
      <c r="A423" s="1">
        <v>489</v>
      </c>
      <c r="B423" s="1" t="s">
        <v>1453</v>
      </c>
      <c r="C423" s="1">
        <v>140010117</v>
      </c>
      <c r="D423" s="1">
        <v>1500</v>
      </c>
      <c r="E423" s="13"/>
      <c r="F423" s="13"/>
      <c r="G423" s="13"/>
      <c r="H423" s="13"/>
      <c r="I423" s="13"/>
      <c r="J423" s="13"/>
      <c r="K423" s="13"/>
    </row>
    <row r="424" spans="1:11">
      <c r="A424" s="1">
        <v>490</v>
      </c>
      <c r="B424" s="1" t="s">
        <v>1453</v>
      </c>
      <c r="C424" s="1">
        <v>140010230</v>
      </c>
      <c r="D424" s="1">
        <v>200</v>
      </c>
      <c r="E424" s="13"/>
      <c r="F424" s="13"/>
      <c r="G424" s="13"/>
      <c r="H424" s="13"/>
      <c r="I424" s="13"/>
      <c r="J424" s="13"/>
      <c r="K424" s="13"/>
    </row>
    <row r="425" spans="1:11">
      <c r="A425" s="1">
        <v>491</v>
      </c>
      <c r="B425" s="1" t="s">
        <v>1453</v>
      </c>
      <c r="C425" s="1">
        <v>140030039</v>
      </c>
      <c r="D425" s="1">
        <v>800</v>
      </c>
      <c r="E425" s="13"/>
      <c r="F425" s="13"/>
      <c r="G425" s="13"/>
      <c r="H425" s="13"/>
      <c r="I425" s="13"/>
      <c r="J425" s="13"/>
      <c r="K425" s="13"/>
    </row>
    <row r="426" spans="1:11">
      <c r="A426" s="1">
        <v>492</v>
      </c>
      <c r="B426" s="1" t="s">
        <v>1453</v>
      </c>
      <c r="C426" s="1">
        <v>140310007</v>
      </c>
      <c r="D426" s="1">
        <v>900</v>
      </c>
      <c r="E426" s="13"/>
      <c r="F426" s="13"/>
      <c r="G426" s="13"/>
      <c r="H426" s="13"/>
      <c r="I426" s="13"/>
      <c r="J426" s="13"/>
      <c r="K426" s="13"/>
    </row>
    <row r="427" spans="1:11">
      <c r="A427" s="1">
        <v>493</v>
      </c>
      <c r="B427" s="1" t="s">
        <v>1414</v>
      </c>
      <c r="C427" s="1">
        <v>140010230</v>
      </c>
      <c r="D427" s="1">
        <v>300</v>
      </c>
      <c r="E427" s="13"/>
      <c r="F427" s="13"/>
      <c r="G427" s="13"/>
      <c r="H427" s="13"/>
      <c r="I427" s="13"/>
      <c r="J427" s="13"/>
      <c r="K427" s="13"/>
    </row>
    <row r="428" spans="1:11">
      <c r="A428" s="1">
        <v>494</v>
      </c>
      <c r="B428" s="1" t="s">
        <v>1414</v>
      </c>
      <c r="C428" s="1">
        <v>140030039</v>
      </c>
      <c r="D428" s="1">
        <v>600</v>
      </c>
      <c r="E428" s="13"/>
      <c r="F428" s="13"/>
      <c r="G428" s="13"/>
      <c r="H428" s="13"/>
      <c r="I428" s="13"/>
      <c r="J428" s="13"/>
      <c r="K428" s="13"/>
    </row>
    <row r="429" spans="1:11">
      <c r="A429" s="1">
        <v>495</v>
      </c>
      <c r="B429" s="1" t="s">
        <v>1414</v>
      </c>
      <c r="C429" s="1">
        <v>140310007</v>
      </c>
      <c r="D429" s="1">
        <v>1500</v>
      </c>
      <c r="E429" s="13"/>
      <c r="F429" s="13"/>
      <c r="G429" s="13"/>
      <c r="H429" s="13"/>
      <c r="I429" s="13"/>
      <c r="J429" s="13"/>
      <c r="K429" s="13"/>
    </row>
    <row r="430" spans="1:11">
      <c r="A430" s="1">
        <v>496</v>
      </c>
      <c r="B430" s="1" t="s">
        <v>1414</v>
      </c>
      <c r="C430" s="1">
        <v>140310096</v>
      </c>
      <c r="D430" s="1">
        <v>1500</v>
      </c>
      <c r="E430" s="13"/>
      <c r="F430" s="13"/>
      <c r="G430" s="13"/>
      <c r="H430" s="13"/>
      <c r="I430" s="13"/>
      <c r="J430" s="13"/>
      <c r="K430" s="13"/>
    </row>
    <row r="431" spans="1:11">
      <c r="A431" s="1">
        <v>497</v>
      </c>
      <c r="B431" s="1" t="s">
        <v>1414</v>
      </c>
      <c r="C431" s="1">
        <v>140450047</v>
      </c>
      <c r="D431" s="1">
        <v>135</v>
      </c>
      <c r="E431" s="13"/>
      <c r="F431" s="13"/>
      <c r="G431" s="13"/>
      <c r="H431" s="13"/>
      <c r="I431" s="13"/>
      <c r="J431" s="13"/>
      <c r="K431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DEFACC-BCF6-4786-BD3B-3B5CA8E5C4ED}">
          <x14:formula1>
            <xm:f>_mySQL!$A$2:$A$51</xm:f>
          </x14:formula1>
          <xm:sqref>A2:D2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Q295"/>
  <sheetViews>
    <sheetView workbookViewId="0">
      <selection activeCell="M7" sqref="M7"/>
    </sheetView>
  </sheetViews>
  <sheetFormatPr defaultColWidth="15.7109375" defaultRowHeight="15"/>
  <cols>
    <col min="1" max="1" width="15.7109375" style="1"/>
    <col min="2" max="2" width="17.85546875" style="1" bestFit="1" customWidth="1"/>
    <col min="3" max="8" width="15.7109375" style="1"/>
    <col min="9" max="9" width="19.85546875" style="1" bestFit="1" customWidth="1"/>
    <col min="10" max="16384" width="15.7109375" style="1"/>
  </cols>
  <sheetData>
    <row r="1" spans="1:17">
      <c r="A1" s="1" t="s">
        <v>0</v>
      </c>
      <c r="B1" s="18" t="s">
        <v>1473</v>
      </c>
      <c r="C1" s="1" t="s">
        <v>409</v>
      </c>
      <c r="D1" s="1" t="s">
        <v>417</v>
      </c>
      <c r="E1" s="1" t="s">
        <v>304</v>
      </c>
      <c r="F1" s="1" t="s">
        <v>318</v>
      </c>
      <c r="G1" s="1" t="s">
        <v>432</v>
      </c>
      <c r="H1" s="1" t="s">
        <v>433</v>
      </c>
      <c r="I1" s="1" t="s">
        <v>434</v>
      </c>
      <c r="J1" s="1" t="s">
        <v>435</v>
      </c>
      <c r="K1" s="18" t="s">
        <v>13</v>
      </c>
      <c r="L1" s="18" t="s">
        <v>321</v>
      </c>
      <c r="M1" s="18" t="s">
        <v>305</v>
      </c>
      <c r="N1" s="18" t="s">
        <v>14</v>
      </c>
      <c r="O1" s="18" t="s">
        <v>15</v>
      </c>
      <c r="P1" s="18" t="s">
        <v>16</v>
      </c>
      <c r="Q1" s="18" t="s">
        <v>17</v>
      </c>
    </row>
    <row r="2" spans="1:17">
      <c r="A2" s="1" t="s">
        <v>587</v>
      </c>
      <c r="B2" s="1" t="s">
        <v>1327</v>
      </c>
      <c r="C2" s="1" t="s">
        <v>1327</v>
      </c>
      <c r="D2" s="1" t="s">
        <v>1329</v>
      </c>
      <c r="E2" s="1" t="s">
        <v>1331</v>
      </c>
      <c r="F2" s="1" t="s">
        <v>579</v>
      </c>
      <c r="G2" s="1" t="s">
        <v>1327</v>
      </c>
      <c r="H2" s="1" t="s">
        <v>579</v>
      </c>
      <c r="I2" s="1" t="s">
        <v>1327</v>
      </c>
      <c r="J2" s="1" t="s">
        <v>579</v>
      </c>
      <c r="K2" s="19" t="s">
        <v>582</v>
      </c>
      <c r="L2" s="19" t="s">
        <v>583</v>
      </c>
      <c r="M2" s="19" t="s">
        <v>584</v>
      </c>
      <c r="N2" s="19" t="s">
        <v>1331</v>
      </c>
      <c r="O2" s="19" t="s">
        <v>585</v>
      </c>
      <c r="P2" s="19" t="s">
        <v>585</v>
      </c>
      <c r="Q2" s="19" t="s">
        <v>585</v>
      </c>
    </row>
    <row r="3" spans="1:17">
      <c r="A3" s="1">
        <v>1</v>
      </c>
      <c r="B3" s="1" t="s">
        <v>1474</v>
      </c>
      <c r="C3" s="1" t="e">
        <f>_xlfn.XLOOKUP(Table15678910111216182021222329[[#This Row],[order_idd]],orders[idd],orders[id])</f>
        <v>#N/A</v>
      </c>
      <c r="D3" s="1" t="s">
        <v>1495</v>
      </c>
      <c r="E3" s="1">
        <v>140550019</v>
      </c>
      <c r="F3" s="1">
        <v>1400</v>
      </c>
      <c r="G3" s="1">
        <v>1000</v>
      </c>
      <c r="H3" s="1">
        <v>1400</v>
      </c>
      <c r="J3" s="1" t="s">
        <v>83</v>
      </c>
      <c r="K3" s="19"/>
      <c r="L3" s="19"/>
      <c r="M3" s="19"/>
      <c r="N3" s="19"/>
      <c r="O3" s="19"/>
      <c r="P3" s="19"/>
      <c r="Q3" s="19"/>
    </row>
    <row r="4" spans="1:17">
      <c r="A4" s="1">
        <v>2</v>
      </c>
      <c r="B4" s="1" t="s">
        <v>1474</v>
      </c>
      <c r="C4" s="1" t="e">
        <f>_xlfn.XLOOKUP(Table15678910111216182021222329[[#This Row],[order_idd]],orders[idd],orders[id])</f>
        <v>#N/A</v>
      </c>
      <c r="D4" s="1" t="s">
        <v>1496</v>
      </c>
      <c r="E4" s="1">
        <v>140550019</v>
      </c>
      <c r="F4" s="1">
        <v>200</v>
      </c>
      <c r="G4" s="1">
        <v>1000</v>
      </c>
      <c r="H4" s="1">
        <v>200</v>
      </c>
      <c r="J4" s="1" t="s">
        <v>83</v>
      </c>
      <c r="K4" s="19"/>
      <c r="L4" s="19"/>
      <c r="M4" s="19"/>
      <c r="N4" s="19"/>
      <c r="O4" s="19"/>
      <c r="P4" s="19"/>
      <c r="Q4" s="19"/>
    </row>
    <row r="5" spans="1:17">
      <c r="A5" s="1">
        <v>3</v>
      </c>
      <c r="B5" s="1" t="s">
        <v>1474</v>
      </c>
      <c r="C5" s="1" t="e">
        <f>_xlfn.XLOOKUP(Table15678910111216182021222329[[#This Row],[order_idd]],orders[idd],orders[id])</f>
        <v>#N/A</v>
      </c>
      <c r="D5" s="1" t="s">
        <v>1497</v>
      </c>
      <c r="E5" s="1">
        <v>140550019</v>
      </c>
      <c r="F5" s="1">
        <v>400</v>
      </c>
      <c r="G5" s="1">
        <v>1000</v>
      </c>
      <c r="H5" s="1">
        <v>400</v>
      </c>
      <c r="J5" s="1" t="s">
        <v>83</v>
      </c>
      <c r="K5" s="19"/>
      <c r="L5" s="19"/>
      <c r="M5" s="19"/>
      <c r="N5" s="19"/>
      <c r="O5" s="19"/>
      <c r="P5" s="19"/>
      <c r="Q5" s="19"/>
    </row>
    <row r="6" spans="1:17">
      <c r="A6" s="1">
        <v>10</v>
      </c>
      <c r="B6" s="1" t="s">
        <v>1475</v>
      </c>
      <c r="C6" s="1" t="e">
        <f>_xlfn.XLOOKUP(Table15678910111216182021222329[[#This Row],[order_idd]],orders[idd],orders[id])</f>
        <v>#N/A</v>
      </c>
      <c r="D6" s="1" t="s">
        <v>1454</v>
      </c>
      <c r="E6" s="1">
        <v>140010117</v>
      </c>
      <c r="F6" s="1">
        <v>75</v>
      </c>
      <c r="G6" s="1">
        <v>12</v>
      </c>
      <c r="H6" s="1">
        <v>75</v>
      </c>
      <c r="K6" s="19"/>
      <c r="L6" s="19"/>
      <c r="M6" s="19"/>
      <c r="N6" s="19"/>
      <c r="O6" s="19"/>
      <c r="P6" s="19"/>
      <c r="Q6" s="19"/>
    </row>
    <row r="7" spans="1:17">
      <c r="A7" s="1">
        <v>11</v>
      </c>
      <c r="B7" s="1" t="s">
        <v>1476</v>
      </c>
      <c r="C7" s="1" t="e">
        <f>_xlfn.XLOOKUP(Table15678910111216182021222329[[#This Row],[order_idd]],orders[idd],orders[id])</f>
        <v>#N/A</v>
      </c>
      <c r="D7" s="1" t="s">
        <v>1454</v>
      </c>
      <c r="E7" s="1">
        <v>140010230</v>
      </c>
      <c r="F7" s="1">
        <v>50</v>
      </c>
      <c r="G7" s="1">
        <v>12</v>
      </c>
      <c r="H7" s="1">
        <v>50</v>
      </c>
      <c r="K7" s="19"/>
      <c r="L7" s="19"/>
      <c r="M7" s="19"/>
      <c r="N7" s="19"/>
      <c r="O7" s="19"/>
      <c r="P7" s="19"/>
      <c r="Q7" s="19"/>
    </row>
    <row r="8" spans="1:17">
      <c r="A8" s="1">
        <v>12</v>
      </c>
      <c r="B8" s="1" t="s">
        <v>1477</v>
      </c>
      <c r="C8" s="1" t="e">
        <f>_xlfn.XLOOKUP(Table15678910111216182021222329[[#This Row],[order_idd]],orders[idd],orders[id])</f>
        <v>#N/A</v>
      </c>
      <c r="D8" s="1" t="s">
        <v>1454</v>
      </c>
      <c r="E8" s="1">
        <v>140020181</v>
      </c>
      <c r="F8" s="1">
        <v>50</v>
      </c>
      <c r="G8" s="1">
        <v>12</v>
      </c>
      <c r="H8" s="1">
        <v>50</v>
      </c>
      <c r="K8" s="19"/>
      <c r="L8" s="19"/>
      <c r="M8" s="19"/>
      <c r="N8" s="19"/>
      <c r="O8" s="19"/>
      <c r="P8" s="19"/>
      <c r="Q8" s="19"/>
    </row>
    <row r="9" spans="1:17">
      <c r="A9" s="1">
        <v>13</v>
      </c>
      <c r="B9" s="1" t="s">
        <v>1478</v>
      </c>
      <c r="C9" s="1" t="e">
        <f>_xlfn.XLOOKUP(Table15678910111216182021222329[[#This Row],[order_idd]],orders[idd],orders[id])</f>
        <v>#N/A</v>
      </c>
      <c r="D9" s="1" t="s">
        <v>1454</v>
      </c>
      <c r="E9" s="1">
        <v>140090143</v>
      </c>
      <c r="F9" s="1">
        <v>1350</v>
      </c>
      <c r="G9" s="1">
        <v>12</v>
      </c>
      <c r="H9" s="1">
        <v>1350</v>
      </c>
      <c r="K9" s="19"/>
      <c r="L9" s="19"/>
      <c r="M9" s="19"/>
      <c r="N9" s="19"/>
      <c r="O9" s="19"/>
      <c r="P9" s="19"/>
      <c r="Q9" s="19"/>
    </row>
    <row r="10" spans="1:17">
      <c r="A10" s="1">
        <v>14</v>
      </c>
      <c r="B10" s="1" t="s">
        <v>1479</v>
      </c>
      <c r="C10" s="1" t="e">
        <f>_xlfn.XLOOKUP(Table15678910111216182021222329[[#This Row],[order_idd]],orders[idd],orders[id])</f>
        <v>#N/A</v>
      </c>
      <c r="D10" s="1" t="s">
        <v>1454</v>
      </c>
      <c r="E10" s="1">
        <v>140310017</v>
      </c>
      <c r="F10" s="1">
        <v>1850</v>
      </c>
      <c r="G10" s="1">
        <v>12</v>
      </c>
      <c r="H10" s="1">
        <v>1850</v>
      </c>
      <c r="K10" s="19"/>
      <c r="L10" s="19"/>
      <c r="M10" s="19"/>
      <c r="N10" s="19"/>
      <c r="O10" s="19"/>
      <c r="P10" s="19"/>
      <c r="Q10" s="19"/>
    </row>
    <row r="11" spans="1:17">
      <c r="A11" s="1">
        <v>15</v>
      </c>
      <c r="B11" s="1" t="s">
        <v>1480</v>
      </c>
      <c r="C11" s="1" t="e">
        <f>_xlfn.XLOOKUP(Table15678910111216182021222329[[#This Row],[order_idd]],orders[idd],orders[id])</f>
        <v>#N/A</v>
      </c>
      <c r="D11" s="1" t="s">
        <v>1454</v>
      </c>
      <c r="E11" s="1">
        <v>140220012</v>
      </c>
      <c r="F11" s="1">
        <v>3900</v>
      </c>
      <c r="G11" s="1">
        <v>12</v>
      </c>
      <c r="H11" s="1">
        <v>3900</v>
      </c>
      <c r="K11" s="19"/>
      <c r="L11" s="19"/>
      <c r="M11" s="19"/>
      <c r="N11" s="19"/>
      <c r="O11" s="19"/>
      <c r="P11" s="19"/>
      <c r="Q11" s="19"/>
    </row>
    <row r="12" spans="1:17">
      <c r="A12" s="1">
        <v>16</v>
      </c>
      <c r="B12" s="1" t="s">
        <v>1481</v>
      </c>
      <c r="C12" s="1" t="e">
        <f>_xlfn.XLOOKUP(Table15678910111216182021222329[[#This Row],[order_idd]],orders[idd],orders[id])</f>
        <v>#N/A</v>
      </c>
      <c r="D12" s="1" t="s">
        <v>1339</v>
      </c>
      <c r="E12" s="1">
        <v>140030039</v>
      </c>
      <c r="F12" s="1">
        <v>200</v>
      </c>
      <c r="G12" s="1">
        <v>1</v>
      </c>
      <c r="H12" s="1">
        <v>200</v>
      </c>
      <c r="K12" s="19"/>
      <c r="L12" s="19"/>
      <c r="M12" s="19"/>
      <c r="N12" s="19"/>
      <c r="O12" s="19"/>
      <c r="P12" s="19"/>
      <c r="Q12" s="19"/>
    </row>
    <row r="13" spans="1:17">
      <c r="A13" s="1">
        <v>17</v>
      </c>
      <c r="B13" s="1" t="s">
        <v>1478</v>
      </c>
      <c r="C13" s="1" t="e">
        <f>_xlfn.XLOOKUP(Table15678910111216182021222329[[#This Row],[order_idd]],orders[idd],orders[id])</f>
        <v>#N/A</v>
      </c>
      <c r="D13" s="1" t="s">
        <v>1339</v>
      </c>
      <c r="E13" s="1">
        <v>140090143</v>
      </c>
      <c r="F13" s="1">
        <v>3000</v>
      </c>
      <c r="G13" s="1">
        <v>12</v>
      </c>
      <c r="H13" s="1">
        <v>3000</v>
      </c>
      <c r="K13" s="19"/>
      <c r="L13" s="19"/>
      <c r="M13" s="19"/>
      <c r="N13" s="19"/>
      <c r="O13" s="19"/>
      <c r="P13" s="19"/>
      <c r="Q13" s="19"/>
    </row>
    <row r="14" spans="1:17">
      <c r="A14" s="1">
        <v>18</v>
      </c>
      <c r="B14" s="1" t="s">
        <v>1482</v>
      </c>
      <c r="C14" s="1" t="e">
        <f>_xlfn.XLOOKUP(Table15678910111216182021222329[[#This Row],[order_idd]],orders[idd],orders[id])</f>
        <v>#N/A</v>
      </c>
      <c r="D14" s="1" t="s">
        <v>1339</v>
      </c>
      <c r="E14" s="1">
        <v>140310007</v>
      </c>
      <c r="F14" s="1">
        <v>92</v>
      </c>
      <c r="G14" s="1">
        <v>12</v>
      </c>
      <c r="H14" s="1">
        <v>92</v>
      </c>
      <c r="K14" s="19"/>
      <c r="L14" s="19"/>
      <c r="M14" s="19"/>
      <c r="N14" s="19"/>
      <c r="O14" s="19"/>
      <c r="P14" s="19"/>
      <c r="Q14" s="19"/>
    </row>
    <row r="15" spans="1:17">
      <c r="A15" s="1">
        <v>19</v>
      </c>
      <c r="B15" s="1" t="s">
        <v>1479</v>
      </c>
      <c r="C15" s="1" t="e">
        <f>_xlfn.XLOOKUP(Table15678910111216182021222329[[#This Row],[order_idd]],orders[idd],orders[id])</f>
        <v>#N/A</v>
      </c>
      <c r="D15" s="1" t="s">
        <v>1339</v>
      </c>
      <c r="E15" s="1">
        <v>140310017</v>
      </c>
      <c r="F15" s="1">
        <v>50</v>
      </c>
      <c r="G15" s="1">
        <v>12</v>
      </c>
      <c r="H15" s="1">
        <v>50</v>
      </c>
      <c r="K15" s="19"/>
      <c r="L15" s="19"/>
      <c r="M15" s="19"/>
      <c r="N15" s="19"/>
      <c r="O15" s="19"/>
      <c r="P15" s="19"/>
      <c r="Q15" s="19"/>
    </row>
    <row r="16" spans="1:17">
      <c r="A16" s="1">
        <v>20</v>
      </c>
      <c r="B16" s="1" t="s">
        <v>1483</v>
      </c>
      <c r="C16" s="1" t="e">
        <f>_xlfn.XLOOKUP(Table15678910111216182021222329[[#This Row],[order_idd]],orders[idd],orders[id])</f>
        <v>#N/A</v>
      </c>
      <c r="D16" s="1" t="s">
        <v>1339</v>
      </c>
      <c r="E16" s="1">
        <v>140310031</v>
      </c>
      <c r="F16" s="1">
        <v>36</v>
      </c>
      <c r="G16" s="1">
        <v>12</v>
      </c>
      <c r="H16" s="1">
        <v>36</v>
      </c>
      <c r="K16" s="19"/>
      <c r="L16" s="19"/>
      <c r="M16" s="19"/>
      <c r="N16" s="19"/>
      <c r="O16" s="19"/>
      <c r="P16" s="19"/>
      <c r="Q16" s="19"/>
    </row>
    <row r="17" spans="1:17">
      <c r="A17" s="1">
        <v>21</v>
      </c>
      <c r="B17" s="1" t="s">
        <v>1480</v>
      </c>
      <c r="C17" s="1" t="e">
        <f>_xlfn.XLOOKUP(Table15678910111216182021222329[[#This Row],[order_idd]],orders[idd],orders[id])</f>
        <v>#N/A</v>
      </c>
      <c r="D17" s="1" t="s">
        <v>1339</v>
      </c>
      <c r="E17" s="1">
        <v>140220012</v>
      </c>
      <c r="F17" s="1">
        <v>2100</v>
      </c>
      <c r="G17" s="1">
        <v>12</v>
      </c>
      <c r="H17" s="1">
        <v>2100</v>
      </c>
      <c r="K17" s="19"/>
      <c r="L17" s="19"/>
      <c r="M17" s="19"/>
      <c r="N17" s="19"/>
      <c r="O17" s="19"/>
      <c r="P17" s="19"/>
      <c r="Q17" s="19"/>
    </row>
    <row r="18" spans="1:17">
      <c r="A18" s="1">
        <v>23</v>
      </c>
      <c r="B18" s="1" t="s">
        <v>1474</v>
      </c>
      <c r="C18" s="1" t="e">
        <f>_xlfn.XLOOKUP(Table15678910111216182021222329[[#This Row],[order_idd]],orders[idd],orders[id])</f>
        <v>#N/A</v>
      </c>
      <c r="D18" s="1" t="s">
        <v>1339</v>
      </c>
      <c r="E18" s="1">
        <v>140550019</v>
      </c>
      <c r="F18" s="1">
        <v>34</v>
      </c>
      <c r="G18" s="1">
        <v>1000</v>
      </c>
      <c r="H18" s="1">
        <v>34</v>
      </c>
      <c r="K18" s="19"/>
      <c r="L18" s="19"/>
      <c r="M18" s="19"/>
      <c r="N18" s="19"/>
      <c r="O18" s="19"/>
      <c r="P18" s="19"/>
      <c r="Q18" s="19"/>
    </row>
    <row r="19" spans="1:17">
      <c r="A19" s="1">
        <v>24</v>
      </c>
      <c r="B19" s="1" t="s">
        <v>1484</v>
      </c>
      <c r="C19" s="1" t="e">
        <f>_xlfn.XLOOKUP(Table15678910111216182021222329[[#This Row],[order_idd]],orders[idd],orders[id])</f>
        <v>#N/A</v>
      </c>
      <c r="D19" s="1" t="s">
        <v>1340</v>
      </c>
      <c r="E19" s="1">
        <v>140010117</v>
      </c>
      <c r="F19" s="1">
        <v>1275</v>
      </c>
      <c r="G19" s="1">
        <v>1</v>
      </c>
      <c r="H19" s="1">
        <v>1275</v>
      </c>
      <c r="K19" s="19"/>
      <c r="L19" s="19"/>
      <c r="M19" s="19"/>
      <c r="N19" s="19"/>
      <c r="O19" s="19"/>
      <c r="P19" s="19"/>
      <c r="Q19" s="19"/>
    </row>
    <row r="20" spans="1:17">
      <c r="A20" s="1">
        <v>25</v>
      </c>
      <c r="B20" s="1" t="s">
        <v>1485</v>
      </c>
      <c r="C20" s="1" t="e">
        <f>_xlfn.XLOOKUP(Table15678910111216182021222329[[#This Row],[order_idd]],orders[idd],orders[id])</f>
        <v>#N/A</v>
      </c>
      <c r="D20" s="1" t="s">
        <v>1340</v>
      </c>
      <c r="E20" s="1">
        <v>140010230</v>
      </c>
      <c r="F20" s="1">
        <v>300</v>
      </c>
      <c r="G20" s="1">
        <v>1</v>
      </c>
      <c r="H20" s="1">
        <v>300</v>
      </c>
      <c r="K20" s="19"/>
      <c r="L20" s="19"/>
      <c r="M20" s="19"/>
      <c r="N20" s="19"/>
      <c r="O20" s="19"/>
      <c r="P20" s="19"/>
      <c r="Q20" s="19"/>
    </row>
    <row r="21" spans="1:17">
      <c r="A21" s="1">
        <v>26</v>
      </c>
      <c r="B21" s="1" t="s">
        <v>1486</v>
      </c>
      <c r="C21" s="1" t="e">
        <f>_xlfn.XLOOKUP(Table15678910111216182021222329[[#This Row],[order_idd]],orders[idd],orders[id])</f>
        <v>#N/A</v>
      </c>
      <c r="D21" s="1" t="s">
        <v>1340</v>
      </c>
      <c r="E21" s="1">
        <v>140010255</v>
      </c>
      <c r="F21" s="1">
        <v>500</v>
      </c>
      <c r="G21" s="1">
        <v>1</v>
      </c>
      <c r="H21" s="1">
        <v>500</v>
      </c>
      <c r="K21" s="19"/>
      <c r="L21" s="19"/>
      <c r="M21" s="19"/>
      <c r="N21" s="19"/>
      <c r="O21" s="19"/>
      <c r="P21" s="19"/>
      <c r="Q21" s="19"/>
    </row>
    <row r="22" spans="1:17">
      <c r="A22" s="1">
        <v>27</v>
      </c>
      <c r="B22" s="1" t="s">
        <v>1478</v>
      </c>
      <c r="C22" s="1" t="e">
        <f>_xlfn.XLOOKUP(Table15678910111216182021222329[[#This Row],[order_idd]],orders[idd],orders[id])</f>
        <v>#N/A</v>
      </c>
      <c r="D22" s="1" t="s">
        <v>1340</v>
      </c>
      <c r="E22" s="1">
        <v>140090143</v>
      </c>
      <c r="F22" s="1">
        <v>1050</v>
      </c>
      <c r="G22" s="1">
        <v>12</v>
      </c>
      <c r="H22" s="1">
        <v>1050</v>
      </c>
      <c r="K22" s="19"/>
      <c r="L22" s="19"/>
      <c r="M22" s="19"/>
      <c r="N22" s="19"/>
      <c r="O22" s="19"/>
      <c r="P22" s="19"/>
      <c r="Q22" s="19"/>
    </row>
    <row r="23" spans="1:17">
      <c r="A23" s="1">
        <v>28</v>
      </c>
      <c r="B23" s="1" t="s">
        <v>1480</v>
      </c>
      <c r="C23" s="1" t="e">
        <f>_xlfn.XLOOKUP(Table15678910111216182021222329[[#This Row],[order_idd]],orders[idd],orders[id])</f>
        <v>#N/A</v>
      </c>
      <c r="D23" s="1" t="s">
        <v>1340</v>
      </c>
      <c r="E23" s="1">
        <v>140220012</v>
      </c>
      <c r="F23" s="1">
        <v>1650</v>
      </c>
      <c r="G23" s="1">
        <v>12</v>
      </c>
      <c r="H23" s="1">
        <v>1650</v>
      </c>
      <c r="K23" s="19"/>
      <c r="L23" s="19"/>
      <c r="M23" s="19"/>
      <c r="N23" s="19"/>
      <c r="O23" s="19"/>
      <c r="P23" s="19"/>
      <c r="Q23" s="19"/>
    </row>
    <row r="24" spans="1:17">
      <c r="A24" s="1">
        <v>29</v>
      </c>
      <c r="B24" s="1" t="s">
        <v>1484</v>
      </c>
      <c r="C24" s="1" t="e">
        <f>_xlfn.XLOOKUP(Table15678910111216182021222329[[#This Row],[order_idd]],orders[idd],orders[id])</f>
        <v>#N/A</v>
      </c>
      <c r="D24" s="1" t="s">
        <v>1464</v>
      </c>
      <c r="E24" s="1">
        <v>140010117</v>
      </c>
      <c r="F24" s="1">
        <v>2550</v>
      </c>
      <c r="G24" s="1">
        <v>1</v>
      </c>
      <c r="H24" s="1">
        <v>2550</v>
      </c>
      <c r="K24" s="19"/>
      <c r="L24" s="19"/>
      <c r="M24" s="19"/>
      <c r="N24" s="19"/>
      <c r="O24" s="19"/>
      <c r="P24" s="19"/>
      <c r="Q24" s="19"/>
    </row>
    <row r="25" spans="1:17">
      <c r="A25" s="1">
        <v>30</v>
      </c>
      <c r="B25" s="1" t="s">
        <v>1485</v>
      </c>
      <c r="C25" s="1" t="e">
        <f>_xlfn.XLOOKUP(Table15678910111216182021222329[[#This Row],[order_idd]],orders[idd],orders[id])</f>
        <v>#N/A</v>
      </c>
      <c r="D25" s="1" t="s">
        <v>1464</v>
      </c>
      <c r="E25" s="1">
        <v>140010230</v>
      </c>
      <c r="F25" s="1">
        <v>1150</v>
      </c>
      <c r="G25" s="1">
        <v>1</v>
      </c>
      <c r="H25" s="1">
        <v>1150</v>
      </c>
      <c r="K25" s="19"/>
      <c r="L25" s="19"/>
      <c r="M25" s="19"/>
      <c r="N25" s="19"/>
      <c r="O25" s="19"/>
      <c r="P25" s="19"/>
      <c r="Q25" s="19"/>
    </row>
    <row r="26" spans="1:17">
      <c r="A26" s="1">
        <v>31</v>
      </c>
      <c r="B26" s="1" t="s">
        <v>1481</v>
      </c>
      <c r="C26" s="1" t="e">
        <f>_xlfn.XLOOKUP(Table15678910111216182021222329[[#This Row],[order_idd]],orders[idd],orders[id])</f>
        <v>#N/A</v>
      </c>
      <c r="D26" s="1" t="s">
        <v>1464</v>
      </c>
      <c r="E26" s="1">
        <v>140030039</v>
      </c>
      <c r="F26" s="1">
        <v>200</v>
      </c>
      <c r="G26" s="1">
        <v>1</v>
      </c>
      <c r="H26" s="1">
        <v>200</v>
      </c>
      <c r="K26" s="19"/>
      <c r="L26" s="19"/>
      <c r="M26" s="19"/>
      <c r="N26" s="19"/>
      <c r="O26" s="19"/>
      <c r="P26" s="19"/>
      <c r="Q26" s="19"/>
    </row>
    <row r="27" spans="1:17">
      <c r="A27" s="1">
        <v>33</v>
      </c>
      <c r="B27" s="1" t="s">
        <v>1487</v>
      </c>
      <c r="C27" s="1" t="e">
        <f>_xlfn.XLOOKUP(Table15678910111216182021222329[[#This Row],[order_idd]],orders[idd],orders[id])</f>
        <v>#N/A</v>
      </c>
      <c r="D27" s="1" t="s">
        <v>1464</v>
      </c>
      <c r="E27" s="1">
        <v>140310016</v>
      </c>
      <c r="F27" s="1">
        <v>250</v>
      </c>
      <c r="G27" s="1">
        <v>12</v>
      </c>
      <c r="H27" s="1">
        <v>250</v>
      </c>
      <c r="K27" s="19"/>
      <c r="L27" s="19"/>
      <c r="M27" s="19"/>
      <c r="N27" s="19"/>
      <c r="O27" s="19"/>
      <c r="P27" s="19"/>
      <c r="Q27" s="19"/>
    </row>
    <row r="28" spans="1:17">
      <c r="A28" s="1">
        <v>34</v>
      </c>
      <c r="B28" s="1" t="s">
        <v>1480</v>
      </c>
      <c r="C28" s="1" t="e">
        <f>_xlfn.XLOOKUP(Table15678910111216182021222329[[#This Row],[order_idd]],orders[idd],orders[id])</f>
        <v>#N/A</v>
      </c>
      <c r="D28" s="1" t="s">
        <v>1464</v>
      </c>
      <c r="E28" s="1">
        <v>140220012</v>
      </c>
      <c r="F28" s="1">
        <v>400</v>
      </c>
      <c r="G28" s="1">
        <v>12</v>
      </c>
      <c r="H28" s="1">
        <v>400</v>
      </c>
      <c r="K28" s="19"/>
      <c r="L28" s="19"/>
      <c r="M28" s="19"/>
      <c r="N28" s="19"/>
      <c r="O28" s="19"/>
      <c r="P28" s="19"/>
      <c r="Q28" s="19"/>
    </row>
    <row r="29" spans="1:17">
      <c r="A29" s="1">
        <v>35</v>
      </c>
      <c r="B29" s="1" t="s">
        <v>1484</v>
      </c>
      <c r="C29" s="1" t="e">
        <f>_xlfn.XLOOKUP(Table15678910111216182021222329[[#This Row],[order_idd]],orders[idd],orders[id])</f>
        <v>#N/A</v>
      </c>
      <c r="D29" s="1" t="s">
        <v>1418</v>
      </c>
      <c r="E29" s="1">
        <v>140010117</v>
      </c>
      <c r="F29" s="1">
        <v>2325</v>
      </c>
      <c r="G29" s="1">
        <v>1</v>
      </c>
      <c r="H29" s="1">
        <v>2325</v>
      </c>
      <c r="K29" s="19"/>
      <c r="L29" s="19"/>
      <c r="M29" s="19"/>
      <c r="N29" s="19"/>
      <c r="O29" s="19"/>
      <c r="P29" s="19"/>
      <c r="Q29" s="19"/>
    </row>
    <row r="30" spans="1:17">
      <c r="A30" s="1">
        <v>36</v>
      </c>
      <c r="B30" s="1" t="s">
        <v>1485</v>
      </c>
      <c r="C30" s="1" t="e">
        <f>_xlfn.XLOOKUP(Table15678910111216182021222329[[#This Row],[order_idd]],orders[idd],orders[id])</f>
        <v>#N/A</v>
      </c>
      <c r="D30" s="1" t="s">
        <v>1418</v>
      </c>
      <c r="E30" s="1">
        <v>140010230</v>
      </c>
      <c r="F30" s="1">
        <v>1500</v>
      </c>
      <c r="G30" s="1">
        <v>1</v>
      </c>
      <c r="H30" s="1">
        <v>1500</v>
      </c>
      <c r="K30" s="19"/>
      <c r="L30" s="19"/>
      <c r="M30" s="19"/>
      <c r="N30" s="19"/>
      <c r="O30" s="19"/>
      <c r="P30" s="19"/>
      <c r="Q30" s="19"/>
    </row>
    <row r="31" spans="1:17">
      <c r="A31" s="1">
        <v>37</v>
      </c>
      <c r="B31" s="1" t="s">
        <v>1478</v>
      </c>
      <c r="C31" s="1" t="e">
        <f>_xlfn.XLOOKUP(Table15678910111216182021222329[[#This Row],[order_idd]],orders[idd],orders[id])</f>
        <v>#N/A</v>
      </c>
      <c r="D31" s="1" t="s">
        <v>1418</v>
      </c>
      <c r="E31" s="1">
        <v>140090143</v>
      </c>
      <c r="F31" s="1">
        <v>300</v>
      </c>
      <c r="G31" s="1">
        <v>12</v>
      </c>
      <c r="H31" s="1">
        <v>300</v>
      </c>
      <c r="K31" s="19"/>
      <c r="L31" s="19"/>
      <c r="M31" s="19"/>
      <c r="N31" s="19"/>
      <c r="O31" s="19"/>
      <c r="P31" s="19"/>
      <c r="Q31" s="19"/>
    </row>
    <row r="32" spans="1:17">
      <c r="A32" s="1">
        <v>38</v>
      </c>
      <c r="B32" s="1" t="s">
        <v>1480</v>
      </c>
      <c r="C32" s="1" t="e">
        <f>_xlfn.XLOOKUP(Table15678910111216182021222329[[#This Row],[order_idd]],orders[idd],orders[id])</f>
        <v>#N/A</v>
      </c>
      <c r="D32" s="1" t="s">
        <v>1418</v>
      </c>
      <c r="E32" s="1">
        <v>140220012</v>
      </c>
      <c r="F32" s="1">
        <v>700</v>
      </c>
      <c r="G32" s="1">
        <v>12</v>
      </c>
      <c r="H32" s="1">
        <v>700</v>
      </c>
      <c r="K32" s="19"/>
      <c r="L32" s="19"/>
      <c r="M32" s="19"/>
      <c r="N32" s="19"/>
      <c r="O32" s="19"/>
      <c r="P32" s="19"/>
      <c r="Q32" s="19"/>
    </row>
    <row r="33" spans="1:17">
      <c r="A33" s="1">
        <v>39</v>
      </c>
      <c r="B33" s="1" t="s">
        <v>1484</v>
      </c>
      <c r="C33" s="1" t="e">
        <f>_xlfn.XLOOKUP(Table15678910111216182021222329[[#This Row],[order_idd]],orders[idd],orders[id])</f>
        <v>#N/A</v>
      </c>
      <c r="D33" s="1" t="s">
        <v>1341</v>
      </c>
      <c r="E33" s="1">
        <v>140010117</v>
      </c>
      <c r="F33" s="1">
        <v>1350</v>
      </c>
      <c r="G33" s="1">
        <v>1</v>
      </c>
      <c r="H33" s="1">
        <v>1350</v>
      </c>
      <c r="K33" s="19"/>
      <c r="L33" s="19"/>
      <c r="M33" s="19"/>
      <c r="N33" s="19"/>
      <c r="O33" s="19"/>
      <c r="P33" s="19"/>
      <c r="Q33" s="19"/>
    </row>
    <row r="34" spans="1:17">
      <c r="A34" s="1">
        <v>40</v>
      </c>
      <c r="B34" s="1" t="s">
        <v>1485</v>
      </c>
      <c r="C34" s="1" t="e">
        <f>_xlfn.XLOOKUP(Table15678910111216182021222329[[#This Row],[order_idd]],orders[idd],orders[id])</f>
        <v>#N/A</v>
      </c>
      <c r="D34" s="1" t="s">
        <v>1341</v>
      </c>
      <c r="E34" s="1">
        <v>140010230</v>
      </c>
      <c r="F34" s="1">
        <v>1600</v>
      </c>
      <c r="G34" s="1">
        <v>1</v>
      </c>
      <c r="H34" s="1">
        <v>1600</v>
      </c>
      <c r="K34" s="19"/>
      <c r="L34" s="19"/>
      <c r="M34" s="19"/>
      <c r="N34" s="19"/>
      <c r="O34" s="19"/>
      <c r="P34" s="19"/>
      <c r="Q34" s="19"/>
    </row>
    <row r="35" spans="1:17">
      <c r="A35" s="1">
        <v>41</v>
      </c>
      <c r="B35" s="1" t="s">
        <v>1481</v>
      </c>
      <c r="C35" s="1" t="e">
        <f>_xlfn.XLOOKUP(Table15678910111216182021222329[[#This Row],[order_idd]],orders[idd],orders[id])</f>
        <v>#N/A</v>
      </c>
      <c r="D35" s="1" t="s">
        <v>1341</v>
      </c>
      <c r="E35" s="1">
        <v>140030039</v>
      </c>
      <c r="F35" s="1">
        <v>3000</v>
      </c>
      <c r="G35" s="1">
        <v>1</v>
      </c>
      <c r="H35" s="1">
        <v>3000</v>
      </c>
      <c r="K35" s="19"/>
      <c r="L35" s="19"/>
      <c r="M35" s="19"/>
      <c r="N35" s="19"/>
      <c r="O35" s="19"/>
      <c r="P35" s="19"/>
      <c r="Q35" s="19"/>
    </row>
    <row r="36" spans="1:17">
      <c r="A36" s="1">
        <v>42</v>
      </c>
      <c r="B36" s="1" t="s">
        <v>1479</v>
      </c>
      <c r="C36" s="1" t="e">
        <f>_xlfn.XLOOKUP(Table15678910111216182021222329[[#This Row],[order_idd]],orders[idd],orders[id])</f>
        <v>#N/A</v>
      </c>
      <c r="D36" s="1" t="s">
        <v>1341</v>
      </c>
      <c r="E36" s="1">
        <v>140310017</v>
      </c>
      <c r="F36" s="1">
        <v>18</v>
      </c>
      <c r="G36" s="1">
        <v>12</v>
      </c>
      <c r="H36" s="1">
        <v>18</v>
      </c>
      <c r="K36" s="19"/>
      <c r="L36" s="19"/>
      <c r="M36" s="19"/>
      <c r="N36" s="19"/>
      <c r="O36" s="19"/>
      <c r="P36" s="19"/>
      <c r="Q36" s="19"/>
    </row>
    <row r="37" spans="1:17">
      <c r="A37" s="1">
        <v>43</v>
      </c>
      <c r="B37" s="1" t="s">
        <v>1488</v>
      </c>
      <c r="C37" s="1" t="e">
        <f>_xlfn.XLOOKUP(Table15678910111216182021222329[[#This Row],[order_idd]],orders[idd],orders[id])</f>
        <v>#N/A</v>
      </c>
      <c r="D37" s="1" t="s">
        <v>1341</v>
      </c>
      <c r="E37" s="1">
        <v>140010295</v>
      </c>
      <c r="F37" s="1">
        <v>800</v>
      </c>
      <c r="G37" s="1">
        <v>1</v>
      </c>
      <c r="H37" s="1">
        <v>800</v>
      </c>
      <c r="K37" s="19"/>
      <c r="L37" s="19"/>
      <c r="M37" s="19"/>
      <c r="N37" s="19"/>
      <c r="O37" s="19"/>
      <c r="P37" s="19"/>
      <c r="Q37" s="19"/>
    </row>
    <row r="38" spans="1:17">
      <c r="A38" s="1">
        <v>44</v>
      </c>
      <c r="B38" s="1" t="s">
        <v>1484</v>
      </c>
      <c r="C38" s="1" t="e">
        <f>_xlfn.XLOOKUP(Table15678910111216182021222329[[#This Row],[order_idd]],orders[idd],orders[id])</f>
        <v>#N/A</v>
      </c>
      <c r="D38" s="1" t="s">
        <v>1342</v>
      </c>
      <c r="E38" s="1">
        <v>140010117</v>
      </c>
      <c r="F38" s="1">
        <v>2100</v>
      </c>
      <c r="G38" s="1">
        <v>1</v>
      </c>
      <c r="H38" s="1">
        <v>2100</v>
      </c>
      <c r="K38" s="19"/>
      <c r="L38" s="19"/>
      <c r="M38" s="19"/>
      <c r="N38" s="19"/>
      <c r="O38" s="19"/>
      <c r="P38" s="19"/>
      <c r="Q38" s="19"/>
    </row>
    <row r="39" spans="1:17">
      <c r="A39" s="1">
        <v>45</v>
      </c>
      <c r="B39" s="1" t="s">
        <v>1485</v>
      </c>
      <c r="C39" s="1" t="e">
        <f>_xlfn.XLOOKUP(Table15678910111216182021222329[[#This Row],[order_idd]],orders[idd],orders[id])</f>
        <v>#N/A</v>
      </c>
      <c r="D39" s="1" t="s">
        <v>1342</v>
      </c>
      <c r="E39" s="1">
        <v>140010230</v>
      </c>
      <c r="F39" s="1">
        <v>200</v>
      </c>
      <c r="G39" s="1">
        <v>1</v>
      </c>
      <c r="H39" s="1">
        <v>200</v>
      </c>
      <c r="K39" s="19"/>
      <c r="L39" s="19"/>
      <c r="M39" s="19"/>
      <c r="N39" s="19"/>
      <c r="O39" s="19"/>
      <c r="P39" s="19"/>
      <c r="Q39" s="19"/>
    </row>
    <row r="40" spans="1:17">
      <c r="A40" s="1">
        <v>47</v>
      </c>
      <c r="B40" s="1" t="s">
        <v>1488</v>
      </c>
      <c r="C40" s="1" t="e">
        <f>_xlfn.XLOOKUP(Table15678910111216182021222329[[#This Row],[order_idd]],orders[idd],orders[id])</f>
        <v>#N/A</v>
      </c>
      <c r="D40" s="1" t="s">
        <v>1342</v>
      </c>
      <c r="E40" s="1">
        <v>140010295</v>
      </c>
      <c r="F40" s="1">
        <v>2200</v>
      </c>
      <c r="G40" s="1">
        <v>1</v>
      </c>
      <c r="H40" s="1">
        <v>2200</v>
      </c>
      <c r="K40" s="19"/>
      <c r="L40" s="19"/>
      <c r="M40" s="19"/>
      <c r="N40" s="19"/>
      <c r="O40" s="19"/>
      <c r="P40" s="19"/>
      <c r="Q40" s="19"/>
    </row>
    <row r="41" spans="1:17">
      <c r="A41" s="1">
        <v>48</v>
      </c>
      <c r="B41" s="1" t="s">
        <v>1484</v>
      </c>
      <c r="C41" s="1" t="e">
        <f>_xlfn.XLOOKUP(Table15678910111216182021222329[[#This Row],[order_idd]],orders[idd],orders[id])</f>
        <v>#N/A</v>
      </c>
      <c r="D41" s="1" t="s">
        <v>1343</v>
      </c>
      <c r="E41" s="1">
        <v>140010117</v>
      </c>
      <c r="F41" s="1">
        <v>1800</v>
      </c>
      <c r="G41" s="1">
        <v>1</v>
      </c>
      <c r="H41" s="1">
        <v>400</v>
      </c>
      <c r="I41" s="1" t="s">
        <v>322</v>
      </c>
      <c r="J41" s="1">
        <v>1400</v>
      </c>
      <c r="K41" s="19"/>
      <c r="L41" s="19"/>
      <c r="M41" s="19"/>
      <c r="N41" s="19"/>
      <c r="O41" s="19"/>
      <c r="P41" s="19"/>
      <c r="Q41" s="19"/>
    </row>
    <row r="42" spans="1:17">
      <c r="A42" s="1">
        <v>50</v>
      </c>
      <c r="B42" s="1" t="s">
        <v>1489</v>
      </c>
      <c r="C42" s="1" t="e">
        <f>_xlfn.XLOOKUP(Table15678910111216182021222329[[#This Row],[order_idd]],orders[idd],orders[id])</f>
        <v>#N/A</v>
      </c>
      <c r="D42" s="1" t="s">
        <v>1343</v>
      </c>
      <c r="E42" s="1">
        <v>140010279</v>
      </c>
      <c r="F42" s="1">
        <v>1000</v>
      </c>
      <c r="G42" s="1">
        <v>1</v>
      </c>
      <c r="H42" s="1">
        <v>1000</v>
      </c>
      <c r="K42" s="19"/>
      <c r="L42" s="19"/>
      <c r="M42" s="19"/>
      <c r="N42" s="19"/>
      <c r="O42" s="19"/>
      <c r="P42" s="19"/>
      <c r="Q42" s="19"/>
    </row>
    <row r="43" spans="1:17">
      <c r="A43" s="1">
        <v>51</v>
      </c>
      <c r="B43" s="1" t="s">
        <v>1488</v>
      </c>
      <c r="C43" s="1" t="e">
        <f>_xlfn.XLOOKUP(Table15678910111216182021222329[[#This Row],[order_idd]],orders[idd],orders[id])</f>
        <v>#N/A</v>
      </c>
      <c r="D43" s="1" t="s">
        <v>1343</v>
      </c>
      <c r="E43" s="1">
        <v>140010295</v>
      </c>
      <c r="F43" s="1">
        <v>1200</v>
      </c>
      <c r="G43" s="1">
        <v>1</v>
      </c>
      <c r="H43" s="1">
        <v>1200</v>
      </c>
      <c r="K43" s="19"/>
      <c r="L43" s="19"/>
      <c r="M43" s="19"/>
      <c r="N43" s="19"/>
      <c r="O43" s="19"/>
      <c r="P43" s="19"/>
      <c r="Q43" s="19"/>
    </row>
    <row r="44" spans="1:17">
      <c r="A44" s="1">
        <v>55</v>
      </c>
      <c r="B44" s="1" t="s">
        <v>1489</v>
      </c>
      <c r="C44" s="1" t="e">
        <f>_xlfn.XLOOKUP(Table15678910111216182021222329[[#This Row],[order_idd]],orders[idd],orders[id])</f>
        <v>#N/A</v>
      </c>
      <c r="D44" s="1" t="s">
        <v>1344</v>
      </c>
      <c r="E44" s="1">
        <v>140010279</v>
      </c>
      <c r="F44" s="1">
        <v>1800</v>
      </c>
      <c r="G44" s="1">
        <v>1</v>
      </c>
      <c r="H44" s="1">
        <v>1800</v>
      </c>
      <c r="K44" s="19"/>
      <c r="L44" s="19"/>
      <c r="M44" s="19"/>
      <c r="N44" s="19"/>
      <c r="O44" s="19"/>
      <c r="P44" s="19"/>
      <c r="Q44" s="19"/>
    </row>
    <row r="45" spans="1:17">
      <c r="A45" s="1">
        <v>57</v>
      </c>
      <c r="B45" s="1" t="s">
        <v>1485</v>
      </c>
      <c r="C45" s="1" t="e">
        <f>_xlfn.XLOOKUP(Table15678910111216182021222329[[#This Row],[order_idd]],orders[idd],orders[id])</f>
        <v>#N/A</v>
      </c>
      <c r="D45" s="1" t="s">
        <v>1455</v>
      </c>
      <c r="E45" s="1">
        <v>140010230</v>
      </c>
      <c r="F45" s="1">
        <v>350</v>
      </c>
      <c r="G45" s="1">
        <v>1</v>
      </c>
      <c r="H45" s="1">
        <v>250</v>
      </c>
      <c r="I45" s="1">
        <v>2</v>
      </c>
      <c r="J45" s="1">
        <v>100</v>
      </c>
      <c r="K45" s="19"/>
      <c r="L45" s="19"/>
      <c r="M45" s="19"/>
      <c r="N45" s="19"/>
      <c r="O45" s="19"/>
      <c r="P45" s="19"/>
      <c r="Q45" s="19"/>
    </row>
    <row r="46" spans="1:17">
      <c r="A46" s="1">
        <v>61</v>
      </c>
      <c r="B46" s="1" t="s">
        <v>1489</v>
      </c>
      <c r="C46" s="1" t="e">
        <f>_xlfn.XLOOKUP(Table15678910111216182021222329[[#This Row],[order_idd]],orders[idd],orders[id])</f>
        <v>#N/A</v>
      </c>
      <c r="D46" s="1" t="s">
        <v>1455</v>
      </c>
      <c r="E46" s="1">
        <v>140010279</v>
      </c>
      <c r="F46" s="1">
        <v>100</v>
      </c>
      <c r="G46" s="1">
        <v>1</v>
      </c>
      <c r="H46" s="1">
        <v>100</v>
      </c>
      <c r="K46" s="19"/>
      <c r="L46" s="19"/>
      <c r="M46" s="19"/>
      <c r="N46" s="19"/>
      <c r="O46" s="19"/>
      <c r="P46" s="19"/>
      <c r="Q46" s="19"/>
    </row>
    <row r="47" spans="1:17">
      <c r="A47" s="1">
        <v>62</v>
      </c>
      <c r="B47" s="1" t="s">
        <v>1490</v>
      </c>
      <c r="C47" s="1" t="e">
        <f>_xlfn.XLOOKUP(Table15678910111216182021222329[[#This Row],[order_idd]],orders[idd],orders[id])</f>
        <v>#N/A</v>
      </c>
      <c r="D47" s="1" t="s">
        <v>1455</v>
      </c>
      <c r="E47" s="1">
        <v>140010280</v>
      </c>
      <c r="F47" s="1">
        <v>800</v>
      </c>
      <c r="G47" s="1">
        <v>1</v>
      </c>
      <c r="H47" s="1">
        <v>800</v>
      </c>
      <c r="K47" s="19"/>
      <c r="L47" s="19"/>
      <c r="M47" s="19"/>
      <c r="N47" s="19"/>
      <c r="O47" s="19"/>
      <c r="P47" s="19"/>
      <c r="Q47" s="19"/>
    </row>
    <row r="48" spans="1:17">
      <c r="A48" s="1">
        <v>63</v>
      </c>
      <c r="B48" s="1" t="s">
        <v>1491</v>
      </c>
      <c r="C48" s="1" t="e">
        <f>_xlfn.XLOOKUP(Table15678910111216182021222329[[#This Row],[order_idd]],orders[idd],orders[id])</f>
        <v>#N/A</v>
      </c>
      <c r="D48" s="1" t="s">
        <v>1455</v>
      </c>
      <c r="E48" s="1">
        <v>140010298</v>
      </c>
      <c r="F48" s="1">
        <v>630</v>
      </c>
      <c r="G48" s="1">
        <v>1</v>
      </c>
      <c r="H48" s="1">
        <v>630</v>
      </c>
      <c r="K48" s="19"/>
      <c r="L48" s="19"/>
      <c r="M48" s="19"/>
      <c r="N48" s="19"/>
      <c r="O48" s="19"/>
      <c r="P48" s="19"/>
      <c r="Q48" s="19"/>
    </row>
    <row r="49" spans="1:17">
      <c r="A49" s="1">
        <v>66</v>
      </c>
      <c r="B49" s="1" t="s">
        <v>1490</v>
      </c>
      <c r="C49" s="1" t="e">
        <f>_xlfn.XLOOKUP(Table15678910111216182021222329[[#This Row],[order_idd]],orders[idd],orders[id])</f>
        <v>#N/A</v>
      </c>
      <c r="D49" s="1" t="s">
        <v>1345</v>
      </c>
      <c r="E49" s="1">
        <v>140010280</v>
      </c>
      <c r="F49" s="1">
        <v>2200</v>
      </c>
      <c r="G49" s="1">
        <v>1</v>
      </c>
      <c r="H49" s="1">
        <v>2200</v>
      </c>
      <c r="K49" s="19"/>
      <c r="L49" s="19"/>
      <c r="M49" s="19"/>
      <c r="N49" s="19"/>
      <c r="O49" s="19"/>
      <c r="P49" s="19"/>
      <c r="Q49" s="19"/>
    </row>
    <row r="50" spans="1:17">
      <c r="A50" s="1">
        <v>69</v>
      </c>
      <c r="B50" s="1" t="s">
        <v>1490</v>
      </c>
      <c r="C50" s="1" t="e">
        <f>_xlfn.XLOOKUP(Table15678910111216182021222329[[#This Row],[order_idd]],orders[idd],orders[id])</f>
        <v>#N/A</v>
      </c>
      <c r="D50" s="1" t="s">
        <v>1346</v>
      </c>
      <c r="E50" s="1">
        <v>140010280</v>
      </c>
      <c r="F50" s="1">
        <v>3600</v>
      </c>
      <c r="G50" s="1">
        <v>1</v>
      </c>
      <c r="H50" s="1">
        <v>3600</v>
      </c>
      <c r="K50" s="19"/>
      <c r="L50" s="19"/>
      <c r="M50" s="19"/>
      <c r="N50" s="19"/>
      <c r="O50" s="19"/>
      <c r="P50" s="19"/>
      <c r="Q50" s="19"/>
    </row>
    <row r="51" spans="1:17">
      <c r="A51" s="1">
        <v>73</v>
      </c>
      <c r="B51" s="1" t="s">
        <v>1480</v>
      </c>
      <c r="C51" s="1" t="e">
        <f>_xlfn.XLOOKUP(Table15678910111216182021222329[[#This Row],[order_idd]],orders[idd],orders[id])</f>
        <v>#N/A</v>
      </c>
      <c r="D51" s="1" t="s">
        <v>1347</v>
      </c>
      <c r="E51" s="1">
        <v>140220012</v>
      </c>
      <c r="F51" s="1">
        <v>50</v>
      </c>
      <c r="G51" s="1">
        <v>12</v>
      </c>
      <c r="H51" s="1">
        <v>50</v>
      </c>
      <c r="K51" s="19"/>
      <c r="L51" s="19"/>
      <c r="M51" s="19"/>
      <c r="N51" s="19"/>
      <c r="O51" s="19"/>
      <c r="P51" s="19"/>
      <c r="Q51" s="19"/>
    </row>
    <row r="52" spans="1:17">
      <c r="A52" s="1">
        <v>74</v>
      </c>
      <c r="B52" s="1" t="s">
        <v>1489</v>
      </c>
      <c r="C52" s="1" t="e">
        <f>_xlfn.XLOOKUP(Table15678910111216182021222329[[#This Row],[order_idd]],orders[idd],orders[id])</f>
        <v>#N/A</v>
      </c>
      <c r="D52" s="1" t="s">
        <v>1347</v>
      </c>
      <c r="E52" s="1">
        <v>140010279</v>
      </c>
      <c r="F52" s="1">
        <v>1600</v>
      </c>
      <c r="G52" s="1">
        <v>1</v>
      </c>
      <c r="H52" s="1">
        <v>1600</v>
      </c>
      <c r="K52" s="19"/>
      <c r="L52" s="19"/>
      <c r="M52" s="19"/>
      <c r="N52" s="19"/>
      <c r="O52" s="19"/>
      <c r="P52" s="19"/>
      <c r="Q52" s="19"/>
    </row>
    <row r="53" spans="1:17">
      <c r="A53" s="1">
        <v>75</v>
      </c>
      <c r="B53" s="1" t="s">
        <v>1490</v>
      </c>
      <c r="C53" s="1" t="e">
        <f>_xlfn.XLOOKUP(Table15678910111216182021222329[[#This Row],[order_idd]],orders[idd],orders[id])</f>
        <v>#N/A</v>
      </c>
      <c r="D53" s="1" t="s">
        <v>1347</v>
      </c>
      <c r="E53" s="1">
        <v>140010280</v>
      </c>
      <c r="F53" s="1">
        <v>1400</v>
      </c>
      <c r="G53" s="1">
        <v>1</v>
      </c>
      <c r="H53" s="1">
        <v>1400</v>
      </c>
      <c r="K53" s="19"/>
      <c r="L53" s="19"/>
      <c r="M53" s="19"/>
      <c r="N53" s="19"/>
      <c r="O53" s="19"/>
      <c r="P53" s="19"/>
      <c r="Q53" s="19"/>
    </row>
    <row r="54" spans="1:17">
      <c r="A54" s="1">
        <v>80</v>
      </c>
      <c r="B54" s="1" t="s">
        <v>1489</v>
      </c>
      <c r="C54" s="1" t="e">
        <f>_xlfn.XLOOKUP(Table15678910111216182021222329[[#This Row],[order_idd]],orders[idd],orders[id])</f>
        <v>#N/A</v>
      </c>
      <c r="D54" s="1" t="s">
        <v>1348</v>
      </c>
      <c r="E54" s="1">
        <v>140010279</v>
      </c>
      <c r="F54" s="1">
        <v>3600</v>
      </c>
      <c r="G54" s="1">
        <v>1</v>
      </c>
      <c r="H54" s="1">
        <v>3600</v>
      </c>
      <c r="K54" s="19"/>
      <c r="L54" s="19"/>
      <c r="M54" s="19"/>
      <c r="N54" s="19"/>
      <c r="O54" s="19"/>
      <c r="P54" s="19"/>
      <c r="Q54" s="19"/>
    </row>
    <row r="55" spans="1:17">
      <c r="A55" s="1">
        <v>81</v>
      </c>
      <c r="B55" s="1" t="s">
        <v>1488</v>
      </c>
      <c r="C55" s="1" t="e">
        <f>_xlfn.XLOOKUP(Table15678910111216182021222329[[#This Row],[order_idd]],orders[idd],orders[id])</f>
        <v>#N/A</v>
      </c>
      <c r="D55" s="1" t="s">
        <v>1348</v>
      </c>
      <c r="E55" s="1">
        <v>140010295</v>
      </c>
      <c r="F55" s="1">
        <v>105</v>
      </c>
      <c r="G55" s="1">
        <v>1</v>
      </c>
      <c r="H55" s="1">
        <v>105</v>
      </c>
      <c r="K55" s="19"/>
      <c r="L55" s="19"/>
      <c r="M55" s="19"/>
      <c r="N55" s="19"/>
      <c r="O55" s="19"/>
      <c r="P55" s="19"/>
      <c r="Q55" s="19"/>
    </row>
    <row r="56" spans="1:17">
      <c r="A56" s="1">
        <v>87</v>
      </c>
      <c r="B56" s="1" t="s">
        <v>1489</v>
      </c>
      <c r="C56" s="1" t="e">
        <f>_xlfn.XLOOKUP(Table15678910111216182021222329[[#This Row],[order_idd]],orders[idd],orders[id])</f>
        <v>#N/A</v>
      </c>
      <c r="D56" s="1" t="s">
        <v>1349</v>
      </c>
      <c r="E56" s="1">
        <v>140010279</v>
      </c>
      <c r="F56" s="1">
        <v>1600</v>
      </c>
      <c r="G56" s="1">
        <v>1</v>
      </c>
      <c r="H56" s="1">
        <v>1600</v>
      </c>
      <c r="K56" s="19"/>
      <c r="L56" s="19"/>
      <c r="M56" s="19"/>
      <c r="N56" s="19"/>
      <c r="O56" s="19"/>
      <c r="P56" s="19"/>
      <c r="Q56" s="19"/>
    </row>
    <row r="57" spans="1:17">
      <c r="A57" s="1">
        <v>93</v>
      </c>
      <c r="B57" s="1" t="s">
        <v>1489</v>
      </c>
      <c r="C57" s="1" t="e">
        <f>_xlfn.XLOOKUP(Table15678910111216182021222329[[#This Row],[order_idd]],orders[idd],orders[id])</f>
        <v>#N/A</v>
      </c>
      <c r="D57" s="1" t="s">
        <v>1350</v>
      </c>
      <c r="E57" s="1">
        <v>140010279</v>
      </c>
      <c r="F57" s="1">
        <v>603</v>
      </c>
      <c r="G57" s="1">
        <v>1</v>
      </c>
      <c r="H57" s="1">
        <v>603</v>
      </c>
      <c r="K57" s="19"/>
      <c r="L57" s="19"/>
      <c r="M57" s="19"/>
      <c r="N57" s="19"/>
      <c r="O57" s="19"/>
      <c r="P57" s="19"/>
      <c r="Q57" s="19"/>
    </row>
    <row r="58" spans="1:17">
      <c r="A58" s="1">
        <v>103</v>
      </c>
      <c r="B58" s="1" t="s">
        <v>1490</v>
      </c>
      <c r="C58" s="1" t="e">
        <f>_xlfn.XLOOKUP(Table15678910111216182021222329[[#This Row],[order_idd]],orders[idd],orders[id])</f>
        <v>#N/A</v>
      </c>
      <c r="D58" s="1" t="s">
        <v>1352</v>
      </c>
      <c r="E58" s="1">
        <v>140010280</v>
      </c>
      <c r="F58" s="1">
        <v>99</v>
      </c>
      <c r="G58" s="1">
        <v>1</v>
      </c>
      <c r="H58" s="1">
        <v>99</v>
      </c>
      <c r="K58" s="19"/>
      <c r="L58" s="19"/>
      <c r="M58" s="19"/>
      <c r="N58" s="19"/>
      <c r="O58" s="19"/>
      <c r="P58" s="19"/>
      <c r="Q58" s="19"/>
    </row>
    <row r="59" spans="1:17">
      <c r="A59" s="1">
        <v>108</v>
      </c>
      <c r="B59" s="1" t="s">
        <v>1478</v>
      </c>
      <c r="C59" s="1" t="e">
        <f>_xlfn.XLOOKUP(Table15678910111216182021222329[[#This Row],[order_idd]],orders[idd],orders[id])</f>
        <v>#N/A</v>
      </c>
      <c r="D59" s="1" t="s">
        <v>1427</v>
      </c>
      <c r="E59" s="1">
        <v>140090143</v>
      </c>
      <c r="F59" s="1">
        <v>43</v>
      </c>
      <c r="G59" s="1">
        <v>12</v>
      </c>
      <c r="H59" s="1">
        <v>43</v>
      </c>
      <c r="K59" s="19"/>
      <c r="L59" s="19"/>
      <c r="M59" s="19"/>
      <c r="N59" s="19"/>
      <c r="O59" s="19"/>
      <c r="P59" s="19"/>
      <c r="Q59" s="19"/>
    </row>
    <row r="60" spans="1:17">
      <c r="A60" s="1">
        <v>111</v>
      </c>
      <c r="B60" s="1" t="s">
        <v>1480</v>
      </c>
      <c r="C60" s="1" t="e">
        <f>_xlfn.XLOOKUP(Table15678910111216182021222329[[#This Row],[order_idd]],orders[idd],orders[id])</f>
        <v>#N/A</v>
      </c>
      <c r="D60" s="1" t="s">
        <v>1427</v>
      </c>
      <c r="E60" s="1">
        <v>140220012</v>
      </c>
      <c r="F60" s="1">
        <v>15</v>
      </c>
      <c r="G60" s="1">
        <v>12</v>
      </c>
      <c r="H60" s="1">
        <v>15</v>
      </c>
      <c r="K60" s="19"/>
      <c r="L60" s="19"/>
      <c r="M60" s="19"/>
      <c r="N60" s="19"/>
      <c r="O60" s="19"/>
      <c r="P60" s="19"/>
      <c r="Q60" s="19"/>
    </row>
    <row r="61" spans="1:17">
      <c r="A61" s="1">
        <v>138</v>
      </c>
      <c r="B61" s="1" t="s">
        <v>1489</v>
      </c>
      <c r="C61" s="1" t="e">
        <f>_xlfn.XLOOKUP(Table15678910111216182021222329[[#This Row],[order_idd]],orders[idd],orders[id])</f>
        <v>#N/A</v>
      </c>
      <c r="D61" s="1" t="s">
        <v>1359</v>
      </c>
      <c r="E61" s="1">
        <v>140010279</v>
      </c>
      <c r="F61" s="1">
        <v>12</v>
      </c>
      <c r="G61" s="1">
        <v>1</v>
      </c>
      <c r="H61" s="1">
        <v>12</v>
      </c>
      <c r="K61" s="19"/>
      <c r="L61" s="19"/>
      <c r="M61" s="19"/>
      <c r="N61" s="19"/>
      <c r="O61" s="19"/>
      <c r="P61" s="19"/>
      <c r="Q61" s="19"/>
    </row>
    <row r="62" spans="1:17">
      <c r="A62" s="1">
        <v>139</v>
      </c>
      <c r="B62" s="1" t="s">
        <v>1474</v>
      </c>
      <c r="C62" s="1" t="e">
        <f>_xlfn.XLOOKUP(Table15678910111216182021222329[[#This Row],[order_idd]],orders[idd],orders[id])</f>
        <v>#N/A</v>
      </c>
      <c r="D62" s="1" t="s">
        <v>1359</v>
      </c>
      <c r="E62" s="1">
        <v>140550019</v>
      </c>
      <c r="F62" s="1">
        <v>11</v>
      </c>
      <c r="G62" s="1">
        <v>1000</v>
      </c>
      <c r="H62" s="1">
        <v>11</v>
      </c>
      <c r="K62" s="19"/>
      <c r="L62" s="19"/>
      <c r="M62" s="19"/>
      <c r="N62" s="19"/>
      <c r="O62" s="19"/>
      <c r="P62" s="19"/>
      <c r="Q62" s="19"/>
    </row>
    <row r="63" spans="1:17">
      <c r="A63" s="1">
        <v>287</v>
      </c>
      <c r="B63" s="1" t="e">
        <v>#VALUE!</v>
      </c>
      <c r="C63" s="1" t="e">
        <f>_xlfn.XLOOKUP(Table15678910111216182021222329[[#This Row],[order_idd]],orders[idd],orders[id])</f>
        <v>#VALUE!</v>
      </c>
      <c r="D63" s="1" t="s">
        <v>1421</v>
      </c>
      <c r="E63" s="1">
        <v>140090143</v>
      </c>
      <c r="F63" s="1">
        <v>14</v>
      </c>
      <c r="G63" s="1" t="s">
        <v>306</v>
      </c>
      <c r="H63" s="1">
        <v>14</v>
      </c>
      <c r="K63" s="19"/>
      <c r="L63" s="19"/>
      <c r="M63" s="19"/>
      <c r="N63" s="19"/>
      <c r="O63" s="19"/>
      <c r="P63" s="19"/>
      <c r="Q63" s="19"/>
    </row>
    <row r="64" spans="1:17">
      <c r="A64" s="1">
        <v>288</v>
      </c>
      <c r="B64" s="1" t="e">
        <v>#VALUE!</v>
      </c>
      <c r="C64" s="1" t="e">
        <f>_xlfn.XLOOKUP(Table15678910111216182021222329[[#This Row],[order_idd]],orders[idd],orders[id])</f>
        <v>#VALUE!</v>
      </c>
      <c r="D64" s="1" t="s">
        <v>1421</v>
      </c>
      <c r="E64" s="1">
        <v>140310016</v>
      </c>
      <c r="F64" s="1">
        <v>2</v>
      </c>
      <c r="G64" s="1" t="s">
        <v>306</v>
      </c>
      <c r="H64" s="1">
        <v>2</v>
      </c>
      <c r="K64" s="19"/>
      <c r="L64" s="19"/>
      <c r="M64" s="19"/>
      <c r="N64" s="19"/>
      <c r="O64" s="19"/>
      <c r="P64" s="19"/>
      <c r="Q64" s="19"/>
    </row>
    <row r="65" spans="1:17">
      <c r="A65" s="1">
        <v>290</v>
      </c>
      <c r="B65" s="1" t="e">
        <v>#VALUE!</v>
      </c>
      <c r="C65" s="1" t="e">
        <f>_xlfn.XLOOKUP(Table15678910111216182021222329[[#This Row],[order_idd]],orders[idd],orders[id])</f>
        <v>#VALUE!</v>
      </c>
      <c r="D65" s="1" t="s">
        <v>1421</v>
      </c>
      <c r="E65" s="1">
        <v>140310075</v>
      </c>
      <c r="F65" s="1">
        <v>24</v>
      </c>
      <c r="G65" s="1" t="s">
        <v>306</v>
      </c>
      <c r="H65" s="1">
        <v>24</v>
      </c>
      <c r="K65" s="19"/>
      <c r="L65" s="19"/>
      <c r="M65" s="19"/>
      <c r="N65" s="19"/>
      <c r="O65" s="19"/>
      <c r="P65" s="19"/>
      <c r="Q65" s="19"/>
    </row>
    <row r="66" spans="1:17">
      <c r="A66" s="1">
        <v>292</v>
      </c>
      <c r="B66" s="1" t="e">
        <v>#VALUE!</v>
      </c>
      <c r="C66" s="1" t="e">
        <f>_xlfn.XLOOKUP(Table15678910111216182021222329[[#This Row],[order_idd]],orders[idd],orders[id])</f>
        <v>#VALUE!</v>
      </c>
      <c r="D66" s="1" t="s">
        <v>1421</v>
      </c>
      <c r="E66" s="1">
        <v>140220012</v>
      </c>
      <c r="F66" s="1">
        <v>19</v>
      </c>
      <c r="G66" s="1" t="s">
        <v>306</v>
      </c>
      <c r="H66" s="1">
        <v>19</v>
      </c>
      <c r="K66" s="19"/>
      <c r="L66" s="19"/>
      <c r="M66" s="19"/>
      <c r="N66" s="19"/>
      <c r="O66" s="19"/>
      <c r="P66" s="19"/>
      <c r="Q66" s="19"/>
    </row>
    <row r="67" spans="1:17">
      <c r="A67" s="1">
        <v>293</v>
      </c>
      <c r="B67" s="1" t="e">
        <v>#VALUE!</v>
      </c>
      <c r="C67" s="1" t="e">
        <f>_xlfn.XLOOKUP(Table15678910111216182021222329[[#This Row],[order_idd]],orders[idd],orders[id])</f>
        <v>#VALUE!</v>
      </c>
      <c r="D67" s="1" t="s">
        <v>1421</v>
      </c>
      <c r="E67" s="1">
        <v>141650001</v>
      </c>
      <c r="F67" s="1">
        <v>6</v>
      </c>
      <c r="G67" s="1" t="s">
        <v>306</v>
      </c>
      <c r="H67" s="1">
        <v>6</v>
      </c>
      <c r="K67" s="19"/>
      <c r="L67" s="19"/>
      <c r="M67" s="19"/>
      <c r="N67" s="19"/>
      <c r="O67" s="19"/>
      <c r="P67" s="19"/>
      <c r="Q67" s="19"/>
    </row>
    <row r="68" spans="1:17">
      <c r="A68" s="1">
        <v>369</v>
      </c>
      <c r="B68" s="1" t="s">
        <v>1492</v>
      </c>
      <c r="C68" s="1" t="e">
        <f>_xlfn.XLOOKUP(Table15678910111216182021222329[[#This Row],[order_idd]],orders[idd],orders[id])</f>
        <v>#N/A</v>
      </c>
      <c r="D68" s="1" t="s">
        <v>1469</v>
      </c>
      <c r="E68" s="1">
        <v>140550022</v>
      </c>
      <c r="F68" s="1">
        <v>30</v>
      </c>
      <c r="G68" s="1">
        <v>1000</v>
      </c>
      <c r="H68" s="1">
        <v>30</v>
      </c>
      <c r="K68" s="19"/>
      <c r="L68" s="19"/>
      <c r="M68" s="19"/>
      <c r="N68" s="19"/>
      <c r="O68" s="19"/>
      <c r="P68" s="19"/>
      <c r="Q68" s="19"/>
    </row>
    <row r="69" spans="1:17">
      <c r="A69" s="1">
        <v>403</v>
      </c>
      <c r="B69" s="1" t="s">
        <v>1493</v>
      </c>
      <c r="C69" s="1" t="e">
        <f>_xlfn.XLOOKUP(Table15678910111216182021222329[[#This Row],[order_idd]],orders[idd],orders[id])</f>
        <v>#N/A</v>
      </c>
      <c r="D69" s="1" t="s">
        <v>1397</v>
      </c>
      <c r="E69" s="1">
        <v>140550088</v>
      </c>
      <c r="F69" s="1">
        <v>30</v>
      </c>
      <c r="G69" s="1">
        <v>1000</v>
      </c>
      <c r="H69" s="1">
        <v>30</v>
      </c>
      <c r="K69" s="19"/>
      <c r="L69" s="19"/>
      <c r="M69" s="19"/>
      <c r="N69" s="19"/>
      <c r="O69" s="19"/>
      <c r="P69" s="19"/>
      <c r="Q69" s="19"/>
    </row>
    <row r="70" spans="1:17">
      <c r="A70" s="1">
        <v>457</v>
      </c>
      <c r="B70" s="1" t="e">
        <v>#VALUE!</v>
      </c>
      <c r="C70" s="1" t="e">
        <f>_xlfn.XLOOKUP(Table15678910111216182021222329[[#This Row],[order_idd]],orders[idd],orders[id])</f>
        <v>#VALUE!</v>
      </c>
      <c r="D70" s="1" t="s">
        <v>1407</v>
      </c>
      <c r="E70" s="1">
        <v>140550056</v>
      </c>
      <c r="F70" s="1">
        <v>30</v>
      </c>
      <c r="H70" s="1">
        <v>30</v>
      </c>
      <c r="K70" s="19"/>
      <c r="L70" s="19"/>
      <c r="M70" s="19"/>
      <c r="N70" s="19"/>
      <c r="O70" s="19"/>
      <c r="P70" s="19"/>
      <c r="Q70" s="19"/>
    </row>
    <row r="287" spans="12:12">
      <c r="L287" s="1" t="s">
        <v>436</v>
      </c>
    </row>
    <row r="288" spans="12:12">
      <c r="L288" s="1" t="s">
        <v>437</v>
      </c>
    </row>
    <row r="289" spans="12:12">
      <c r="L289" s="1" t="s">
        <v>438</v>
      </c>
    </row>
    <row r="290" spans="12:12">
      <c r="L290" s="1" t="s">
        <v>439</v>
      </c>
    </row>
    <row r="291" spans="12:12">
      <c r="L291" s="1" t="s">
        <v>440</v>
      </c>
    </row>
    <row r="292" spans="12:12">
      <c r="L292" s="1" t="s">
        <v>441</v>
      </c>
    </row>
    <row r="293" spans="12:12">
      <c r="L293" s="1" t="s">
        <v>442</v>
      </c>
    </row>
    <row r="294" spans="12:12">
      <c r="L294" s="1" t="s">
        <v>443</v>
      </c>
    </row>
    <row r="295" spans="12:12">
      <c r="L295" s="1" t="s">
        <v>444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E9BBE6-279A-48C8-9EE1-040D68F7B584}">
          <x14:formula1>
            <xm:f>_mySQL!$A$2:$A$51</xm:f>
          </x14:formula1>
          <xm:sqref>A2:J2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1561"/>
  <sheetViews>
    <sheetView topLeftCell="A238" workbookViewId="0">
      <selection activeCell="B13" sqref="B13:B14"/>
    </sheetView>
  </sheetViews>
  <sheetFormatPr defaultColWidth="15.5703125" defaultRowHeight="15"/>
  <cols>
    <col min="1" max="1" width="25.85546875" style="1" bestFit="1" customWidth="1"/>
    <col min="2" max="2" width="18.42578125" style="1" bestFit="1" customWidth="1"/>
    <col min="3" max="3" width="13" style="1" bestFit="1" customWidth="1"/>
    <col min="4" max="4" width="18.42578125" style="1" bestFit="1" customWidth="1"/>
    <col min="5" max="16384" width="15.5703125" style="1"/>
  </cols>
  <sheetData>
    <row r="1" spans="1:4">
      <c r="A1" s="1" t="s">
        <v>0</v>
      </c>
      <c r="B1" s="1" t="s">
        <v>452</v>
      </c>
      <c r="C1" s="1" t="s">
        <v>318</v>
      </c>
      <c r="D1" s="1" t="s">
        <v>409</v>
      </c>
    </row>
    <row r="2" spans="1:4">
      <c r="A2" s="1" t="s">
        <v>587</v>
      </c>
      <c r="B2" s="1" t="s">
        <v>1331</v>
      </c>
      <c r="C2" s="1" t="s">
        <v>579</v>
      </c>
      <c r="D2" s="1" t="s">
        <v>1331</v>
      </c>
    </row>
    <row r="3" spans="1:4">
      <c r="A3" s="1">
        <v>1</v>
      </c>
      <c r="B3" s="1">
        <v>4</v>
      </c>
      <c r="C3" s="1">
        <v>100</v>
      </c>
      <c r="D3" s="1">
        <v>6</v>
      </c>
    </row>
    <row r="4" spans="1:4">
      <c r="A4" s="1">
        <v>2</v>
      </c>
      <c r="B4" s="1">
        <v>4</v>
      </c>
    </row>
    <row r="5" spans="1:4">
      <c r="A5" s="1">
        <v>3</v>
      </c>
      <c r="B5" s="1">
        <v>5</v>
      </c>
      <c r="C5" s="1">
        <v>1050</v>
      </c>
      <c r="D5" s="1">
        <v>6</v>
      </c>
    </row>
    <row r="6" spans="1:4">
      <c r="A6" s="1">
        <v>4</v>
      </c>
      <c r="B6" s="1">
        <v>5</v>
      </c>
    </row>
    <row r="7" spans="1:4">
      <c r="A7" s="1">
        <v>5</v>
      </c>
      <c r="B7" s="1">
        <v>6</v>
      </c>
      <c r="C7" s="1">
        <v>800</v>
      </c>
      <c r="D7" s="1">
        <v>6</v>
      </c>
    </row>
    <row r="8" spans="1:4">
      <c r="A8" s="1">
        <v>6</v>
      </c>
      <c r="B8" s="1">
        <v>7</v>
      </c>
      <c r="C8" s="1">
        <v>1200</v>
      </c>
      <c r="D8" s="1">
        <v>5</v>
      </c>
    </row>
    <row r="9" spans="1:4">
      <c r="A9" s="1">
        <v>7</v>
      </c>
      <c r="B9" s="1">
        <v>8</v>
      </c>
      <c r="C9" s="1">
        <v>1200</v>
      </c>
      <c r="D9" s="1">
        <v>5</v>
      </c>
    </row>
    <row r="10" spans="1:4">
      <c r="A10" s="1">
        <v>8</v>
      </c>
      <c r="B10" s="1">
        <v>9</v>
      </c>
      <c r="C10" s="1">
        <v>593</v>
      </c>
      <c r="D10" s="1">
        <v>5</v>
      </c>
    </row>
    <row r="11" spans="1:4">
      <c r="A11" s="1">
        <v>9</v>
      </c>
      <c r="B11" s="1">
        <v>22</v>
      </c>
      <c r="C11" s="1">
        <v>44</v>
      </c>
      <c r="D11" s="1">
        <v>6</v>
      </c>
    </row>
    <row r="12" spans="1:4">
      <c r="A12" s="1">
        <v>10</v>
      </c>
      <c r="B12" s="1">
        <v>32</v>
      </c>
      <c r="C12" s="1">
        <v>300</v>
      </c>
      <c r="D12" s="1">
        <v>7</v>
      </c>
    </row>
    <row r="13" spans="1:4">
      <c r="A13" s="1">
        <v>11</v>
      </c>
      <c r="B13" s="1">
        <v>46</v>
      </c>
      <c r="C13" s="1">
        <v>2600</v>
      </c>
      <c r="D13" s="1">
        <v>21</v>
      </c>
    </row>
    <row r="14" spans="1:4">
      <c r="A14" s="1">
        <v>12</v>
      </c>
      <c r="B14" s="1">
        <v>46</v>
      </c>
      <c r="C14" s="1">
        <v>300</v>
      </c>
      <c r="D14" s="1">
        <v>7</v>
      </c>
    </row>
    <row r="15" spans="1:4">
      <c r="A15" s="1">
        <v>13</v>
      </c>
      <c r="B15" s="1">
        <v>49</v>
      </c>
      <c r="C15" s="1">
        <v>1725</v>
      </c>
      <c r="D15" s="1">
        <v>11</v>
      </c>
    </row>
    <row r="16" spans="1:4">
      <c r="A16" s="1">
        <v>14</v>
      </c>
      <c r="B16" s="1">
        <v>52</v>
      </c>
      <c r="C16" s="1">
        <v>300</v>
      </c>
      <c r="D16" s="1">
        <v>19</v>
      </c>
    </row>
    <row r="17" spans="1:4">
      <c r="A17" s="1">
        <v>15</v>
      </c>
      <c r="B17" s="1">
        <v>53</v>
      </c>
      <c r="C17" s="1">
        <v>4050</v>
      </c>
      <c r="D17" s="1">
        <v>11</v>
      </c>
    </row>
    <row r="18" spans="1:4">
      <c r="A18" s="1">
        <v>16</v>
      </c>
      <c r="B18" s="1">
        <v>54</v>
      </c>
      <c r="C18" s="1">
        <v>1000</v>
      </c>
      <c r="D18" s="1">
        <v>20</v>
      </c>
    </row>
    <row r="19" spans="1:4">
      <c r="A19" s="1">
        <v>17</v>
      </c>
      <c r="B19" s="1">
        <v>56</v>
      </c>
      <c r="C19" s="1">
        <v>1200</v>
      </c>
      <c r="D19" s="1">
        <v>19</v>
      </c>
    </row>
    <row r="20" spans="1:4">
      <c r="A20" s="1">
        <v>18</v>
      </c>
      <c r="B20" s="1">
        <v>58</v>
      </c>
      <c r="C20" s="1">
        <v>2250</v>
      </c>
      <c r="D20" s="1">
        <v>11</v>
      </c>
    </row>
    <row r="21" spans="1:4">
      <c r="A21" s="1">
        <v>19</v>
      </c>
      <c r="B21" s="1">
        <v>59</v>
      </c>
      <c r="C21" s="1">
        <v>2000</v>
      </c>
      <c r="D21" s="1">
        <v>20</v>
      </c>
    </row>
    <row r="22" spans="1:4">
      <c r="A22" s="1">
        <v>20</v>
      </c>
      <c r="B22" s="1">
        <v>60</v>
      </c>
      <c r="C22" s="1">
        <v>900</v>
      </c>
      <c r="D22" s="1">
        <v>13</v>
      </c>
    </row>
    <row r="23" spans="1:4">
      <c r="A23" s="1">
        <v>21</v>
      </c>
      <c r="B23" s="1">
        <v>60</v>
      </c>
      <c r="C23" s="1">
        <v>400</v>
      </c>
      <c r="D23" s="1">
        <v>21</v>
      </c>
    </row>
    <row r="24" spans="1:4">
      <c r="A24" s="1">
        <v>22</v>
      </c>
      <c r="B24" s="1">
        <v>64</v>
      </c>
      <c r="C24" s="1">
        <v>1800</v>
      </c>
      <c r="D24" s="1">
        <v>12</v>
      </c>
    </row>
    <row r="25" spans="1:4">
      <c r="A25" s="1">
        <v>23</v>
      </c>
      <c r="B25" s="1">
        <v>65</v>
      </c>
      <c r="C25" s="1">
        <v>3500</v>
      </c>
      <c r="D25" s="1">
        <v>13</v>
      </c>
    </row>
    <row r="26" spans="1:4">
      <c r="A26" s="1">
        <v>24</v>
      </c>
      <c r="B26" s="1">
        <v>67</v>
      </c>
      <c r="C26" s="1">
        <v>1300</v>
      </c>
      <c r="D26" s="1">
        <v>12</v>
      </c>
    </row>
    <row r="27" spans="1:4">
      <c r="A27" s="1">
        <v>25</v>
      </c>
      <c r="B27" s="1">
        <v>68</v>
      </c>
      <c r="C27" s="1">
        <v>2200</v>
      </c>
      <c r="D27" s="1">
        <v>13</v>
      </c>
    </row>
    <row r="28" spans="1:4">
      <c r="A28" s="1">
        <v>26</v>
      </c>
      <c r="B28" s="1">
        <v>70</v>
      </c>
      <c r="C28" s="1">
        <v>75</v>
      </c>
      <c r="D28" s="1">
        <v>11</v>
      </c>
    </row>
    <row r="29" spans="1:4">
      <c r="A29" s="1">
        <v>27</v>
      </c>
      <c r="B29" s="1">
        <v>71</v>
      </c>
      <c r="C29" s="1">
        <v>900</v>
      </c>
      <c r="D29" s="1">
        <v>13</v>
      </c>
    </row>
    <row r="30" spans="1:4">
      <c r="A30" s="1">
        <v>28</v>
      </c>
      <c r="B30" s="1">
        <v>72</v>
      </c>
      <c r="C30" s="1">
        <v>1300</v>
      </c>
      <c r="D30" s="1">
        <v>16</v>
      </c>
    </row>
    <row r="31" spans="1:4">
      <c r="A31" s="1">
        <v>29</v>
      </c>
      <c r="B31" s="1">
        <v>76</v>
      </c>
      <c r="C31" s="1">
        <v>1850</v>
      </c>
      <c r="D31" s="1">
        <v>8</v>
      </c>
    </row>
    <row r="32" spans="1:4">
      <c r="A32" s="1">
        <v>30</v>
      </c>
      <c r="B32" s="1">
        <v>76</v>
      </c>
      <c r="C32" s="1">
        <v>100</v>
      </c>
      <c r="D32" s="1">
        <v>19</v>
      </c>
    </row>
    <row r="33" spans="1:4">
      <c r="A33" s="1">
        <v>31</v>
      </c>
      <c r="B33" s="1">
        <v>77</v>
      </c>
      <c r="C33" s="1">
        <v>300</v>
      </c>
      <c r="D33" s="1">
        <v>9</v>
      </c>
    </row>
    <row r="34" spans="1:4">
      <c r="A34" s="1">
        <v>32</v>
      </c>
      <c r="B34" s="1">
        <v>78</v>
      </c>
      <c r="C34" s="1">
        <v>1500</v>
      </c>
      <c r="D34" s="1">
        <v>12</v>
      </c>
    </row>
    <row r="35" spans="1:4">
      <c r="A35" s="1">
        <v>33</v>
      </c>
      <c r="B35" s="1">
        <v>79</v>
      </c>
      <c r="C35" s="1">
        <v>600</v>
      </c>
      <c r="D35" s="1">
        <v>16</v>
      </c>
    </row>
    <row r="36" spans="1:4">
      <c r="A36" s="1">
        <v>34</v>
      </c>
      <c r="B36" s="1">
        <v>82</v>
      </c>
      <c r="C36" s="1">
        <v>1300</v>
      </c>
      <c r="D36" s="1">
        <v>15</v>
      </c>
    </row>
    <row r="37" spans="1:4">
      <c r="A37" s="1">
        <v>35</v>
      </c>
      <c r="B37" s="1">
        <v>83</v>
      </c>
      <c r="C37" s="1">
        <v>1800</v>
      </c>
      <c r="D37" s="1">
        <v>8</v>
      </c>
    </row>
    <row r="38" spans="1:4">
      <c r="A38" s="1">
        <v>36</v>
      </c>
      <c r="B38" s="1">
        <v>84</v>
      </c>
      <c r="C38" s="1">
        <v>2850</v>
      </c>
      <c r="D38" s="1">
        <v>9</v>
      </c>
    </row>
    <row r="39" spans="1:4">
      <c r="A39" s="1">
        <v>37</v>
      </c>
      <c r="B39" s="1">
        <v>85</v>
      </c>
      <c r="C39" s="1">
        <v>600</v>
      </c>
      <c r="D39" s="1">
        <v>10</v>
      </c>
    </row>
    <row r="40" spans="1:4">
      <c r="A40" s="1">
        <v>38</v>
      </c>
      <c r="B40" s="1">
        <v>86</v>
      </c>
      <c r="C40" s="1">
        <v>1000</v>
      </c>
      <c r="D40" s="1">
        <v>16</v>
      </c>
    </row>
    <row r="41" spans="1:4">
      <c r="A41" s="1">
        <v>39</v>
      </c>
      <c r="B41" s="1">
        <v>88</v>
      </c>
      <c r="C41" s="1">
        <v>750</v>
      </c>
      <c r="D41" s="1">
        <v>8</v>
      </c>
    </row>
    <row r="42" spans="1:4">
      <c r="A42" s="1">
        <v>40</v>
      </c>
      <c r="B42" s="1">
        <v>89</v>
      </c>
      <c r="C42" s="1">
        <v>1700</v>
      </c>
      <c r="D42" s="1">
        <v>9</v>
      </c>
    </row>
    <row r="43" spans="1:4">
      <c r="A43" s="1">
        <v>41</v>
      </c>
      <c r="B43" s="1">
        <v>90</v>
      </c>
      <c r="C43" s="1">
        <v>400</v>
      </c>
      <c r="D43" s="1">
        <v>10</v>
      </c>
    </row>
    <row r="44" spans="1:4">
      <c r="A44" s="1">
        <v>42</v>
      </c>
      <c r="B44" s="1">
        <v>91</v>
      </c>
      <c r="C44" s="1">
        <v>2200</v>
      </c>
      <c r="D44" s="1">
        <v>12</v>
      </c>
    </row>
    <row r="45" spans="1:4">
      <c r="A45" s="1">
        <v>43</v>
      </c>
      <c r="B45" s="1">
        <v>92</v>
      </c>
      <c r="C45" s="1">
        <v>100</v>
      </c>
      <c r="D45" s="1">
        <v>16</v>
      </c>
    </row>
    <row r="46" spans="1:4">
      <c r="A46" s="1">
        <v>44</v>
      </c>
      <c r="B46" s="1">
        <v>94</v>
      </c>
      <c r="C46" s="1">
        <v>975</v>
      </c>
      <c r="D46" s="1">
        <v>8</v>
      </c>
    </row>
    <row r="47" spans="1:4">
      <c r="A47" s="1">
        <v>45</v>
      </c>
      <c r="B47" s="1">
        <v>95</v>
      </c>
      <c r="C47" s="1">
        <v>3000</v>
      </c>
      <c r="D47" s="1">
        <v>9</v>
      </c>
    </row>
    <row r="48" spans="1:4">
      <c r="A48" s="1">
        <v>46</v>
      </c>
      <c r="B48" s="1">
        <v>96</v>
      </c>
      <c r="C48" s="1">
        <v>600</v>
      </c>
      <c r="D48" s="1">
        <v>36</v>
      </c>
    </row>
    <row r="49" spans="1:4">
      <c r="A49" s="1">
        <v>47</v>
      </c>
      <c r="B49" s="1">
        <v>97</v>
      </c>
      <c r="C49" s="1">
        <v>500</v>
      </c>
      <c r="D49" s="1">
        <v>13</v>
      </c>
    </row>
    <row r="50" spans="1:4">
      <c r="A50" s="1">
        <v>48</v>
      </c>
      <c r="B50" s="1">
        <v>98</v>
      </c>
      <c r="C50" s="1">
        <v>800</v>
      </c>
      <c r="D50" s="1">
        <v>15</v>
      </c>
    </row>
    <row r="51" spans="1:4">
      <c r="A51" s="1">
        <v>49</v>
      </c>
      <c r="B51" s="1">
        <v>99</v>
      </c>
      <c r="C51" s="1">
        <v>300</v>
      </c>
      <c r="D51" s="1">
        <v>8</v>
      </c>
    </row>
    <row r="52" spans="1:4">
      <c r="A52" s="1">
        <v>50</v>
      </c>
      <c r="B52" s="1">
        <v>100</v>
      </c>
      <c r="C52" s="1">
        <v>1000</v>
      </c>
      <c r="D52" s="1">
        <v>9</v>
      </c>
    </row>
    <row r="53" spans="1:4">
      <c r="A53" s="1">
        <v>51</v>
      </c>
      <c r="B53" s="1">
        <v>101</v>
      </c>
      <c r="C53" s="1">
        <v>100</v>
      </c>
      <c r="D53" s="1">
        <v>36</v>
      </c>
    </row>
    <row r="54" spans="1:4">
      <c r="A54" s="1">
        <v>52</v>
      </c>
      <c r="B54" s="1">
        <v>102</v>
      </c>
      <c r="C54" s="1">
        <v>1500</v>
      </c>
      <c r="D54" s="1">
        <v>15</v>
      </c>
    </row>
    <row r="55" spans="1:4">
      <c r="A55" s="1">
        <v>53</v>
      </c>
      <c r="B55" s="1">
        <v>104</v>
      </c>
      <c r="C55" s="1">
        <v>3200</v>
      </c>
      <c r="D55" s="1">
        <v>18</v>
      </c>
    </row>
    <row r="56" spans="1:4">
      <c r="A56" s="1">
        <v>54</v>
      </c>
      <c r="B56" s="1">
        <v>105</v>
      </c>
      <c r="C56" s="1">
        <v>450</v>
      </c>
      <c r="D56" s="1">
        <v>9</v>
      </c>
    </row>
    <row r="57" spans="1:4">
      <c r="A57" s="1">
        <v>55</v>
      </c>
      <c r="B57" s="1">
        <v>106</v>
      </c>
      <c r="C57" s="1">
        <v>200</v>
      </c>
      <c r="D57" s="1">
        <v>36</v>
      </c>
    </row>
    <row r="58" spans="1:4">
      <c r="A58" s="1">
        <v>56</v>
      </c>
      <c r="B58" s="1">
        <v>107</v>
      </c>
      <c r="C58" s="1">
        <v>1500</v>
      </c>
      <c r="D58" s="1">
        <v>37</v>
      </c>
    </row>
    <row r="59" spans="1:4">
      <c r="A59" s="1">
        <v>57</v>
      </c>
      <c r="B59" s="1">
        <v>109</v>
      </c>
      <c r="C59" s="1">
        <v>514</v>
      </c>
      <c r="D59" s="1">
        <v>14</v>
      </c>
    </row>
    <row r="60" spans="1:4">
      <c r="A60" s="1">
        <v>58</v>
      </c>
      <c r="B60" s="1">
        <v>110</v>
      </c>
      <c r="C60" s="1">
        <v>450</v>
      </c>
      <c r="D60" s="1">
        <v>15</v>
      </c>
    </row>
    <row r="61" spans="1:4">
      <c r="A61" s="1">
        <v>59</v>
      </c>
      <c r="B61" s="1">
        <v>112</v>
      </c>
      <c r="C61" s="1">
        <v>2200</v>
      </c>
      <c r="D61" s="1">
        <v>18</v>
      </c>
    </row>
    <row r="62" spans="1:4">
      <c r="A62" s="1">
        <v>60</v>
      </c>
      <c r="B62" s="1">
        <v>113</v>
      </c>
      <c r="C62" s="1">
        <v>1000</v>
      </c>
      <c r="D62" s="1">
        <v>9</v>
      </c>
    </row>
    <row r="63" spans="1:4">
      <c r="A63" s="1">
        <v>61</v>
      </c>
      <c r="B63" s="1">
        <v>114</v>
      </c>
      <c r="C63" s="1">
        <v>1950</v>
      </c>
      <c r="D63" s="1">
        <v>15</v>
      </c>
    </row>
    <row r="64" spans="1:4">
      <c r="A64" s="1">
        <v>62</v>
      </c>
      <c r="B64" s="1">
        <v>115</v>
      </c>
      <c r="C64" s="1">
        <v>900</v>
      </c>
      <c r="D64" s="1">
        <v>18</v>
      </c>
    </row>
    <row r="65" spans="1:4">
      <c r="A65" s="1">
        <v>63</v>
      </c>
      <c r="B65" s="1">
        <v>116</v>
      </c>
      <c r="C65" s="1">
        <v>2350</v>
      </c>
      <c r="D65" s="1">
        <v>9</v>
      </c>
    </row>
    <row r="66" spans="1:4">
      <c r="A66" s="1">
        <v>64</v>
      </c>
      <c r="B66" s="1">
        <v>117</v>
      </c>
      <c r="C66" s="1">
        <v>1400</v>
      </c>
      <c r="D66" s="1">
        <v>37</v>
      </c>
    </row>
    <row r="67" spans="1:4">
      <c r="A67" s="1">
        <v>65</v>
      </c>
      <c r="B67" s="1">
        <v>118</v>
      </c>
      <c r="C67" s="1">
        <v>3450</v>
      </c>
      <c r="D67" s="1">
        <v>9</v>
      </c>
    </row>
    <row r="68" spans="1:4">
      <c r="A68" s="1">
        <v>66</v>
      </c>
      <c r="B68" s="1">
        <v>119</v>
      </c>
      <c r="C68" s="1">
        <v>1325</v>
      </c>
      <c r="D68" s="1">
        <v>8</v>
      </c>
    </row>
    <row r="69" spans="1:4">
      <c r="A69" s="1">
        <v>67</v>
      </c>
      <c r="B69" s="1">
        <v>119</v>
      </c>
      <c r="C69" s="1">
        <v>475</v>
      </c>
      <c r="D69" s="1">
        <v>35</v>
      </c>
    </row>
    <row r="70" spans="1:4">
      <c r="A70" s="1">
        <v>68</v>
      </c>
      <c r="B70" s="1">
        <v>120</v>
      </c>
      <c r="C70" s="1">
        <v>1800</v>
      </c>
      <c r="D70" s="1">
        <v>9</v>
      </c>
    </row>
    <row r="71" spans="1:4">
      <c r="A71" s="1">
        <v>69</v>
      </c>
      <c r="B71" s="1">
        <v>121</v>
      </c>
      <c r="C71" s="1">
        <v>400</v>
      </c>
      <c r="D71" s="1">
        <v>36</v>
      </c>
    </row>
    <row r="72" spans="1:4">
      <c r="A72" s="1">
        <v>70</v>
      </c>
      <c r="B72" s="1">
        <v>122</v>
      </c>
      <c r="C72" s="1">
        <v>100</v>
      </c>
      <c r="D72" s="1">
        <v>37</v>
      </c>
    </row>
    <row r="73" spans="1:4">
      <c r="A73" s="1">
        <v>71</v>
      </c>
      <c r="B73" s="1">
        <v>123</v>
      </c>
      <c r="C73" s="1">
        <v>1275</v>
      </c>
      <c r="D73" s="1">
        <v>35</v>
      </c>
    </row>
    <row r="74" spans="1:4">
      <c r="A74" s="1">
        <v>72</v>
      </c>
      <c r="B74" s="1">
        <v>124</v>
      </c>
      <c r="C74" s="1">
        <v>450</v>
      </c>
      <c r="D74" s="1">
        <v>9</v>
      </c>
    </row>
    <row r="75" spans="1:4">
      <c r="A75" s="1">
        <v>73</v>
      </c>
      <c r="B75" s="1">
        <v>125</v>
      </c>
      <c r="C75" s="1">
        <v>300</v>
      </c>
      <c r="D75" s="1">
        <v>25</v>
      </c>
    </row>
    <row r="76" spans="1:4">
      <c r="A76" s="1">
        <v>74</v>
      </c>
      <c r="B76" s="1">
        <v>126</v>
      </c>
      <c r="C76" s="1">
        <v>825</v>
      </c>
      <c r="D76" s="1">
        <v>35</v>
      </c>
    </row>
    <row r="77" spans="1:4">
      <c r="A77" s="1">
        <v>75</v>
      </c>
      <c r="B77" s="1">
        <v>127</v>
      </c>
      <c r="C77" s="1">
        <v>1350</v>
      </c>
      <c r="D77" s="1">
        <v>25</v>
      </c>
    </row>
    <row r="78" spans="1:4">
      <c r="A78" s="1">
        <v>76</v>
      </c>
      <c r="B78" s="1">
        <v>128</v>
      </c>
      <c r="C78" s="1">
        <v>500</v>
      </c>
      <c r="D78" s="1">
        <v>9</v>
      </c>
    </row>
    <row r="79" spans="1:4">
      <c r="A79" s="1">
        <v>77</v>
      </c>
      <c r="B79" s="1">
        <v>129</v>
      </c>
      <c r="C79" s="1">
        <v>3150</v>
      </c>
      <c r="D79" s="1">
        <v>25</v>
      </c>
    </row>
    <row r="80" spans="1:4">
      <c r="A80" s="1">
        <v>78</v>
      </c>
      <c r="B80" s="1">
        <v>130</v>
      </c>
      <c r="C80" s="1">
        <v>600</v>
      </c>
      <c r="D80" s="1">
        <v>36</v>
      </c>
    </row>
    <row r="81" spans="1:4">
      <c r="A81" s="1">
        <v>79</v>
      </c>
      <c r="B81" s="1">
        <v>131</v>
      </c>
      <c r="C81" s="1">
        <v>1900</v>
      </c>
      <c r="D81" s="1">
        <v>9</v>
      </c>
    </row>
    <row r="82" spans="1:4">
      <c r="A82" s="1">
        <v>80</v>
      </c>
      <c r="B82" s="1">
        <v>132</v>
      </c>
      <c r="C82" s="1">
        <v>975</v>
      </c>
      <c r="D82" s="1">
        <v>25</v>
      </c>
    </row>
    <row r="83" spans="1:4">
      <c r="A83" s="1">
        <v>81</v>
      </c>
      <c r="B83" s="1">
        <v>133</v>
      </c>
      <c r="C83" s="1">
        <v>1100</v>
      </c>
      <c r="D83" s="1">
        <v>36</v>
      </c>
    </row>
    <row r="84" spans="1:4">
      <c r="A84" s="1">
        <v>82</v>
      </c>
      <c r="B84" s="1">
        <v>134</v>
      </c>
      <c r="C84" s="1">
        <v>375</v>
      </c>
      <c r="D84" s="1">
        <v>35</v>
      </c>
    </row>
    <row r="85" spans="1:4">
      <c r="A85" s="1">
        <v>83</v>
      </c>
      <c r="B85" s="1">
        <v>135</v>
      </c>
      <c r="C85" s="1">
        <v>1050</v>
      </c>
      <c r="D85" s="1">
        <v>9</v>
      </c>
    </row>
    <row r="86" spans="1:4">
      <c r="A86" s="1">
        <v>84</v>
      </c>
      <c r="B86" s="1">
        <v>136</v>
      </c>
      <c r="C86" s="1">
        <v>825</v>
      </c>
      <c r="D86" s="1">
        <v>25</v>
      </c>
    </row>
    <row r="87" spans="1:4">
      <c r="A87" s="1">
        <v>85</v>
      </c>
      <c r="B87" s="1">
        <v>137</v>
      </c>
      <c r="C87" s="1">
        <v>700</v>
      </c>
      <c r="D87" s="1">
        <v>36</v>
      </c>
    </row>
    <row r="88" spans="1:4">
      <c r="A88" s="1">
        <v>86</v>
      </c>
      <c r="B88" s="1">
        <v>140</v>
      </c>
      <c r="C88" s="1">
        <v>1200</v>
      </c>
      <c r="D88" s="1">
        <v>18</v>
      </c>
    </row>
    <row r="89" spans="1:4">
      <c r="A89" s="1">
        <v>87</v>
      </c>
      <c r="B89" s="1">
        <v>141</v>
      </c>
      <c r="C89" s="1">
        <v>1725</v>
      </c>
      <c r="D89" s="1">
        <v>25</v>
      </c>
    </row>
    <row r="90" spans="1:4">
      <c r="A90" s="1">
        <v>88</v>
      </c>
      <c r="B90" s="1">
        <v>142</v>
      </c>
      <c r="C90" s="1">
        <v>2100</v>
      </c>
      <c r="D90" s="1">
        <v>18</v>
      </c>
    </row>
    <row r="91" spans="1:4">
      <c r="A91" s="1">
        <v>89</v>
      </c>
      <c r="B91" s="1">
        <v>143</v>
      </c>
      <c r="C91" s="1">
        <v>1575</v>
      </c>
      <c r="D91" s="1">
        <v>25</v>
      </c>
    </row>
    <row r="92" spans="1:4">
      <c r="A92" s="1">
        <v>90</v>
      </c>
      <c r="B92" s="1">
        <v>144</v>
      </c>
      <c r="C92" s="1">
        <v>1300</v>
      </c>
      <c r="D92" s="1">
        <v>18</v>
      </c>
    </row>
    <row r="93" spans="1:4">
      <c r="A93" s="1">
        <v>91</v>
      </c>
      <c r="B93" s="1">
        <v>145</v>
      </c>
      <c r="C93" s="1">
        <v>1000</v>
      </c>
      <c r="D93" s="1">
        <v>29</v>
      </c>
    </row>
    <row r="94" spans="1:4">
      <c r="A94" s="1">
        <v>92</v>
      </c>
      <c r="B94" s="1">
        <v>146</v>
      </c>
      <c r="C94" s="1">
        <v>400</v>
      </c>
      <c r="D94" s="1">
        <v>32</v>
      </c>
    </row>
    <row r="95" spans="1:4">
      <c r="A95" s="1">
        <v>93</v>
      </c>
      <c r="B95" s="1">
        <v>147</v>
      </c>
      <c r="C95" s="1">
        <v>2400</v>
      </c>
      <c r="D95" s="1">
        <v>18</v>
      </c>
    </row>
    <row r="96" spans="1:4">
      <c r="A96" s="1">
        <v>94</v>
      </c>
      <c r="B96" s="1">
        <v>148</v>
      </c>
      <c r="C96" s="1">
        <v>1400</v>
      </c>
      <c r="D96" s="1">
        <v>28</v>
      </c>
    </row>
    <row r="97" spans="1:4">
      <c r="A97" s="1">
        <v>95</v>
      </c>
      <c r="B97" s="1">
        <v>149</v>
      </c>
      <c r="C97" s="1">
        <v>1000</v>
      </c>
      <c r="D97" s="1">
        <v>29</v>
      </c>
    </row>
    <row r="98" spans="1:4">
      <c r="A98" s="1">
        <v>96</v>
      </c>
      <c r="B98" s="1">
        <v>150</v>
      </c>
      <c r="C98" s="1">
        <v>950</v>
      </c>
      <c r="D98" s="1">
        <v>32</v>
      </c>
    </row>
    <row r="99" spans="1:4">
      <c r="A99" s="1">
        <v>97</v>
      </c>
      <c r="B99" s="1">
        <v>151</v>
      </c>
      <c r="C99" s="1">
        <v>1200</v>
      </c>
      <c r="D99" s="1">
        <v>18</v>
      </c>
    </row>
    <row r="100" spans="1:4">
      <c r="A100" s="1">
        <v>98</v>
      </c>
      <c r="B100" s="1">
        <v>152</v>
      </c>
      <c r="C100" s="1">
        <v>1800</v>
      </c>
      <c r="D100" s="1">
        <v>28</v>
      </c>
    </row>
    <row r="101" spans="1:4">
      <c r="A101" s="1">
        <v>99</v>
      </c>
      <c r="B101" s="1">
        <v>153</v>
      </c>
      <c r="C101" s="1">
        <v>1000</v>
      </c>
      <c r="D101" s="1">
        <v>32</v>
      </c>
    </row>
    <row r="102" spans="1:4">
      <c r="A102" s="1">
        <v>100</v>
      </c>
      <c r="B102" s="1">
        <v>154</v>
      </c>
      <c r="C102" s="1">
        <v>2500</v>
      </c>
      <c r="D102" s="1">
        <v>18</v>
      </c>
    </row>
    <row r="103" spans="1:4">
      <c r="A103" s="1">
        <v>101</v>
      </c>
      <c r="B103" s="1">
        <v>155</v>
      </c>
      <c r="C103" s="1">
        <v>1600</v>
      </c>
      <c r="D103" s="1">
        <v>28</v>
      </c>
    </row>
    <row r="104" spans="1:4">
      <c r="A104" s="1">
        <v>102</v>
      </c>
      <c r="B104" s="1">
        <v>156</v>
      </c>
      <c r="C104" s="1">
        <v>2050</v>
      </c>
      <c r="D104" s="1">
        <v>30</v>
      </c>
    </row>
    <row r="105" spans="1:4">
      <c r="A105" s="1">
        <v>103</v>
      </c>
      <c r="B105" s="1">
        <v>157</v>
      </c>
      <c r="C105" s="1">
        <v>700</v>
      </c>
      <c r="D105" s="1">
        <v>31</v>
      </c>
    </row>
    <row r="106" spans="1:4">
      <c r="A106" s="1">
        <v>104</v>
      </c>
      <c r="B106" s="1">
        <v>158</v>
      </c>
      <c r="C106" s="1">
        <v>925</v>
      </c>
      <c r="D106" s="1">
        <v>22</v>
      </c>
    </row>
    <row r="107" spans="1:4">
      <c r="A107" s="1">
        <v>105</v>
      </c>
      <c r="B107" s="1">
        <v>158</v>
      </c>
      <c r="C107" s="1">
        <v>50</v>
      </c>
      <c r="D107" s="1">
        <v>35</v>
      </c>
    </row>
    <row r="108" spans="1:4">
      <c r="A108" s="1">
        <v>106</v>
      </c>
      <c r="B108" s="1">
        <v>159</v>
      </c>
      <c r="C108" s="1">
        <v>2600</v>
      </c>
      <c r="D108" s="1">
        <v>28</v>
      </c>
    </row>
    <row r="109" spans="1:4">
      <c r="A109" s="1">
        <v>107</v>
      </c>
      <c r="B109" s="1">
        <v>160</v>
      </c>
      <c r="C109" s="1">
        <v>800</v>
      </c>
      <c r="D109" s="1">
        <v>29</v>
      </c>
    </row>
    <row r="110" spans="1:4">
      <c r="A110" s="1">
        <v>108</v>
      </c>
      <c r="B110" s="1">
        <v>161</v>
      </c>
      <c r="C110" s="1">
        <v>300</v>
      </c>
      <c r="D110" s="1">
        <v>30</v>
      </c>
    </row>
    <row r="111" spans="1:4">
      <c r="A111" s="1">
        <v>109</v>
      </c>
      <c r="B111" s="1">
        <v>162</v>
      </c>
      <c r="C111" s="1">
        <v>1000</v>
      </c>
      <c r="D111" s="1">
        <v>31</v>
      </c>
    </row>
    <row r="112" spans="1:4">
      <c r="A112" s="1">
        <v>110</v>
      </c>
      <c r="B112" s="1">
        <v>163</v>
      </c>
      <c r="C112" s="1">
        <v>1600</v>
      </c>
      <c r="D112" s="1">
        <v>18</v>
      </c>
    </row>
    <row r="113" spans="1:4">
      <c r="A113" s="1">
        <v>111</v>
      </c>
      <c r="B113" s="1">
        <v>164</v>
      </c>
      <c r="C113" s="1">
        <v>475</v>
      </c>
      <c r="D113" s="1">
        <v>22</v>
      </c>
    </row>
    <row r="114" spans="1:4">
      <c r="A114" s="1">
        <v>112</v>
      </c>
      <c r="B114" s="1">
        <v>165</v>
      </c>
      <c r="C114" s="1">
        <v>100</v>
      </c>
      <c r="D114" s="1">
        <v>9</v>
      </c>
    </row>
    <row r="115" spans="1:4">
      <c r="A115" s="1">
        <v>113</v>
      </c>
      <c r="B115" s="1">
        <v>166</v>
      </c>
      <c r="C115" s="1">
        <v>800</v>
      </c>
      <c r="D115" s="1">
        <v>28</v>
      </c>
    </row>
    <row r="116" spans="1:4">
      <c r="A116" s="1">
        <v>114</v>
      </c>
      <c r="B116" s="1">
        <v>167</v>
      </c>
      <c r="C116" s="1">
        <v>550</v>
      </c>
      <c r="D116" s="1">
        <v>30</v>
      </c>
    </row>
    <row r="117" spans="1:4">
      <c r="A117" s="1">
        <v>115</v>
      </c>
      <c r="B117" s="1">
        <v>168</v>
      </c>
      <c r="C117" s="1">
        <v>900</v>
      </c>
      <c r="D117" s="1">
        <v>31</v>
      </c>
    </row>
    <row r="118" spans="1:4">
      <c r="A118" s="1">
        <v>116</v>
      </c>
      <c r="B118" s="1">
        <v>169</v>
      </c>
      <c r="C118" s="1">
        <v>1000</v>
      </c>
      <c r="D118" s="1">
        <v>18</v>
      </c>
    </row>
    <row r="119" spans="1:4">
      <c r="A119" s="1">
        <v>117</v>
      </c>
      <c r="B119" s="1">
        <v>170</v>
      </c>
      <c r="C119" s="1">
        <v>825</v>
      </c>
      <c r="D119" s="1">
        <v>22</v>
      </c>
    </row>
    <row r="120" spans="1:4">
      <c r="A120" s="1">
        <v>118</v>
      </c>
      <c r="B120" s="1">
        <v>171</v>
      </c>
      <c r="C120" s="1">
        <v>1000</v>
      </c>
      <c r="D120" s="1">
        <v>28</v>
      </c>
    </row>
    <row r="121" spans="1:4">
      <c r="A121" s="1">
        <v>119</v>
      </c>
      <c r="B121" s="1">
        <v>172</v>
      </c>
      <c r="C121" s="1">
        <v>400</v>
      </c>
      <c r="D121" s="1">
        <v>29</v>
      </c>
    </row>
    <row r="122" spans="1:4">
      <c r="A122" s="1">
        <v>120</v>
      </c>
      <c r="B122" s="1">
        <v>173</v>
      </c>
      <c r="C122" s="1">
        <v>1400</v>
      </c>
      <c r="D122" s="1">
        <v>30</v>
      </c>
    </row>
    <row r="123" spans="1:4">
      <c r="A123" s="1">
        <v>121</v>
      </c>
      <c r="B123" s="1">
        <v>174</v>
      </c>
      <c r="C123" s="1">
        <v>1500</v>
      </c>
      <c r="D123" s="1">
        <v>31</v>
      </c>
    </row>
    <row r="124" spans="1:4">
      <c r="A124" s="1">
        <v>122</v>
      </c>
      <c r="B124" s="1">
        <v>175</v>
      </c>
      <c r="C124" s="1">
        <v>3900</v>
      </c>
      <c r="D124" s="1">
        <v>18</v>
      </c>
    </row>
    <row r="125" spans="1:4">
      <c r="A125" s="1">
        <v>123</v>
      </c>
      <c r="B125" s="1">
        <v>176</v>
      </c>
      <c r="C125" s="1">
        <v>1275</v>
      </c>
      <c r="D125" s="1">
        <v>22</v>
      </c>
    </row>
    <row r="126" spans="1:4">
      <c r="A126" s="1">
        <v>124</v>
      </c>
      <c r="B126" s="1">
        <v>177</v>
      </c>
      <c r="C126" s="1">
        <v>300</v>
      </c>
      <c r="D126" s="1">
        <v>26</v>
      </c>
    </row>
    <row r="127" spans="1:4">
      <c r="A127" s="1">
        <v>125</v>
      </c>
      <c r="B127" s="1">
        <v>178</v>
      </c>
      <c r="C127" s="1">
        <v>400</v>
      </c>
      <c r="D127" s="1">
        <v>28</v>
      </c>
    </row>
    <row r="128" spans="1:4">
      <c r="A128" s="1">
        <v>126</v>
      </c>
      <c r="B128" s="1">
        <v>179</v>
      </c>
      <c r="C128" s="1">
        <v>700</v>
      </c>
      <c r="D128" s="1">
        <v>29</v>
      </c>
    </row>
    <row r="129" spans="1:4">
      <c r="A129" s="1">
        <v>127</v>
      </c>
      <c r="B129" s="1">
        <v>180</v>
      </c>
      <c r="C129" s="1">
        <v>400</v>
      </c>
      <c r="D129" s="1">
        <v>30</v>
      </c>
    </row>
    <row r="130" spans="1:4">
      <c r="A130" s="1">
        <v>128</v>
      </c>
      <c r="B130" s="1">
        <v>181</v>
      </c>
      <c r="C130" s="1">
        <v>1100</v>
      </c>
      <c r="D130" s="1">
        <v>31</v>
      </c>
    </row>
    <row r="131" spans="1:4">
      <c r="A131" s="1">
        <v>129</v>
      </c>
      <c r="B131" s="1">
        <v>182</v>
      </c>
      <c r="C131" s="1">
        <v>900</v>
      </c>
      <c r="D131" s="1">
        <v>32</v>
      </c>
    </row>
    <row r="132" spans="1:4">
      <c r="A132" s="1">
        <v>130</v>
      </c>
      <c r="B132" s="1">
        <v>183</v>
      </c>
      <c r="C132" s="1">
        <v>440</v>
      </c>
      <c r="D132" s="1">
        <v>5</v>
      </c>
    </row>
    <row r="133" spans="1:4">
      <c r="A133" s="1">
        <v>131</v>
      </c>
      <c r="B133" s="1">
        <v>184</v>
      </c>
      <c r="C133" s="1">
        <v>2000</v>
      </c>
      <c r="D133" s="1">
        <v>18</v>
      </c>
    </row>
    <row r="134" spans="1:4">
      <c r="A134" s="1">
        <v>132</v>
      </c>
      <c r="B134" s="1">
        <v>185</v>
      </c>
      <c r="C134" s="1">
        <v>900</v>
      </c>
      <c r="D134" s="1">
        <v>22</v>
      </c>
    </row>
    <row r="135" spans="1:4">
      <c r="A135" s="1">
        <v>133</v>
      </c>
      <c r="B135" s="1">
        <v>186</v>
      </c>
      <c r="C135" s="1">
        <v>600</v>
      </c>
      <c r="D135" s="1">
        <v>26</v>
      </c>
    </row>
    <row r="136" spans="1:4">
      <c r="A136" s="1">
        <v>134</v>
      </c>
      <c r="B136" s="1">
        <v>187</v>
      </c>
      <c r="C136" s="1">
        <v>300</v>
      </c>
      <c r="D136" s="1">
        <v>28</v>
      </c>
    </row>
    <row r="137" spans="1:4">
      <c r="A137" s="1">
        <v>135</v>
      </c>
      <c r="B137" s="1">
        <v>188</v>
      </c>
      <c r="C137" s="1">
        <v>1200</v>
      </c>
      <c r="D137" s="1">
        <v>30</v>
      </c>
    </row>
    <row r="138" spans="1:4">
      <c r="A138" s="1">
        <v>136</v>
      </c>
      <c r="B138" s="1">
        <v>189</v>
      </c>
      <c r="C138" s="1">
        <v>1000</v>
      </c>
      <c r="D138" s="1">
        <v>31</v>
      </c>
    </row>
    <row r="139" spans="1:4">
      <c r="A139" s="1">
        <v>137</v>
      </c>
      <c r="B139" s="1">
        <v>190</v>
      </c>
      <c r="C139" s="1">
        <v>250</v>
      </c>
      <c r="D139" s="1">
        <v>32</v>
      </c>
    </row>
    <row r="140" spans="1:4">
      <c r="A140" s="1">
        <v>138</v>
      </c>
      <c r="B140" s="1">
        <v>191</v>
      </c>
      <c r="C140" s="1">
        <v>960</v>
      </c>
      <c r="D140" s="1">
        <v>5</v>
      </c>
    </row>
    <row r="141" spans="1:4">
      <c r="A141" s="1">
        <v>139</v>
      </c>
      <c r="B141" s="1">
        <v>192</v>
      </c>
      <c r="C141" s="1">
        <v>2400</v>
      </c>
      <c r="D141" s="1">
        <v>18</v>
      </c>
    </row>
    <row r="142" spans="1:4">
      <c r="A142" s="1">
        <v>140</v>
      </c>
      <c r="B142" s="1">
        <v>193</v>
      </c>
      <c r="C142" s="1">
        <v>225</v>
      </c>
      <c r="D142" s="1">
        <v>22</v>
      </c>
    </row>
    <row r="143" spans="1:4">
      <c r="A143" s="1">
        <v>141</v>
      </c>
      <c r="B143" s="1">
        <v>194</v>
      </c>
      <c r="C143" s="1">
        <v>1200</v>
      </c>
      <c r="D143" s="1">
        <v>26</v>
      </c>
    </row>
    <row r="144" spans="1:4">
      <c r="A144" s="1">
        <v>142</v>
      </c>
      <c r="B144" s="1">
        <v>195</v>
      </c>
      <c r="C144" s="1">
        <v>500</v>
      </c>
      <c r="D144" s="1">
        <v>27</v>
      </c>
    </row>
    <row r="145" spans="1:4">
      <c r="A145" s="1">
        <v>143</v>
      </c>
      <c r="B145" s="1">
        <v>196</v>
      </c>
      <c r="C145" s="1">
        <v>1450</v>
      </c>
      <c r="D145" s="1">
        <v>30</v>
      </c>
    </row>
    <row r="146" spans="1:4">
      <c r="A146" s="1">
        <v>144</v>
      </c>
      <c r="B146" s="1">
        <v>197</v>
      </c>
      <c r="C146" s="1">
        <v>1600</v>
      </c>
      <c r="D146" s="1">
        <v>31</v>
      </c>
    </row>
    <row r="147" spans="1:4">
      <c r="A147" s="1">
        <v>145</v>
      </c>
      <c r="B147" s="1">
        <v>198</v>
      </c>
      <c r="C147" s="1">
        <v>1760</v>
      </c>
      <c r="D147" s="1">
        <v>5</v>
      </c>
    </row>
    <row r="148" spans="1:4">
      <c r="A148" s="1">
        <v>146</v>
      </c>
      <c r="B148" s="1">
        <v>199</v>
      </c>
      <c r="C148" s="1">
        <v>2700</v>
      </c>
      <c r="D148" s="1">
        <v>18</v>
      </c>
    </row>
    <row r="149" spans="1:4">
      <c r="A149" s="1">
        <v>147</v>
      </c>
      <c r="B149" s="1">
        <v>200</v>
      </c>
      <c r="C149" s="1">
        <v>1275</v>
      </c>
      <c r="D149" s="1">
        <v>22</v>
      </c>
    </row>
    <row r="150" spans="1:4">
      <c r="A150" s="1">
        <v>148</v>
      </c>
      <c r="B150" s="1">
        <v>201</v>
      </c>
      <c r="C150" s="1">
        <v>500</v>
      </c>
      <c r="D150" s="1">
        <v>24</v>
      </c>
    </row>
    <row r="151" spans="1:4">
      <c r="A151" s="1">
        <v>149</v>
      </c>
      <c r="B151" s="1">
        <v>202</v>
      </c>
      <c r="C151" s="1">
        <v>1200</v>
      </c>
      <c r="D151" s="1">
        <v>26</v>
      </c>
    </row>
    <row r="152" spans="1:4">
      <c r="A152" s="1">
        <v>150</v>
      </c>
      <c r="B152" s="1">
        <v>203</v>
      </c>
      <c r="C152" s="1">
        <v>1500</v>
      </c>
      <c r="D152" s="1">
        <v>27</v>
      </c>
    </row>
    <row r="153" spans="1:4">
      <c r="A153" s="1">
        <v>151</v>
      </c>
      <c r="B153" s="1">
        <v>204</v>
      </c>
      <c r="C153" s="1">
        <v>1350</v>
      </c>
      <c r="D153" s="1">
        <v>30</v>
      </c>
    </row>
    <row r="154" spans="1:4">
      <c r="A154" s="1">
        <v>152</v>
      </c>
      <c r="B154" s="1">
        <v>205</v>
      </c>
      <c r="C154" s="1">
        <v>1400</v>
      </c>
      <c r="D154" s="1">
        <v>31</v>
      </c>
    </row>
    <row r="155" spans="1:4">
      <c r="A155" s="1">
        <v>153</v>
      </c>
      <c r="B155" s="1">
        <v>206</v>
      </c>
      <c r="C155" s="1">
        <v>450</v>
      </c>
      <c r="D155" s="1">
        <v>32</v>
      </c>
    </row>
    <row r="156" spans="1:4">
      <c r="A156" s="1">
        <v>154</v>
      </c>
      <c r="B156" s="1">
        <v>207</v>
      </c>
      <c r="C156" s="1">
        <v>200</v>
      </c>
      <c r="D156" s="1">
        <v>5</v>
      </c>
    </row>
    <row r="157" spans="1:4">
      <c r="A157" s="1">
        <v>155</v>
      </c>
      <c r="B157" s="1">
        <v>208</v>
      </c>
      <c r="C157" s="1">
        <v>750</v>
      </c>
      <c r="D157" s="1">
        <v>6</v>
      </c>
    </row>
    <row r="158" spans="1:4">
      <c r="A158" s="1">
        <v>156</v>
      </c>
      <c r="B158" s="1">
        <v>209</v>
      </c>
      <c r="C158" s="1">
        <v>1900</v>
      </c>
      <c r="D158" s="1">
        <v>18</v>
      </c>
    </row>
    <row r="159" spans="1:4">
      <c r="A159" s="1">
        <v>157</v>
      </c>
      <c r="B159" s="1">
        <v>210</v>
      </c>
      <c r="C159" s="1">
        <v>300</v>
      </c>
      <c r="D159" s="1">
        <v>22</v>
      </c>
    </row>
    <row r="160" spans="1:4">
      <c r="A160" s="1">
        <v>158</v>
      </c>
      <c r="B160" s="1">
        <v>211</v>
      </c>
      <c r="C160" s="1">
        <v>2550</v>
      </c>
      <c r="D160" s="1">
        <v>23</v>
      </c>
    </row>
    <row r="161" spans="1:4">
      <c r="A161" s="1">
        <v>159</v>
      </c>
      <c r="B161" s="1">
        <v>212</v>
      </c>
      <c r="C161" s="1">
        <v>800</v>
      </c>
      <c r="D161" s="1">
        <v>26</v>
      </c>
    </row>
    <row r="162" spans="1:4">
      <c r="A162" s="1">
        <v>160</v>
      </c>
      <c r="B162" s="1">
        <v>213</v>
      </c>
      <c r="C162" s="1">
        <v>1500</v>
      </c>
      <c r="D162" s="1">
        <v>27</v>
      </c>
    </row>
    <row r="163" spans="1:4">
      <c r="A163" s="1">
        <v>161</v>
      </c>
      <c r="B163" s="1">
        <v>214</v>
      </c>
      <c r="C163" s="1">
        <v>950</v>
      </c>
      <c r="D163" s="1">
        <v>30</v>
      </c>
    </row>
    <row r="164" spans="1:4">
      <c r="A164" s="1">
        <v>162</v>
      </c>
      <c r="B164" s="1">
        <v>215</v>
      </c>
      <c r="C164" s="1">
        <v>800</v>
      </c>
      <c r="D164" s="1">
        <v>31</v>
      </c>
    </row>
    <row r="165" spans="1:4">
      <c r="A165" s="1">
        <v>163</v>
      </c>
      <c r="B165" s="1">
        <v>216</v>
      </c>
      <c r="C165" s="1">
        <v>2400</v>
      </c>
      <c r="D165" s="1">
        <v>33</v>
      </c>
    </row>
    <row r="166" spans="1:4">
      <c r="A166" s="1">
        <v>164</v>
      </c>
      <c r="B166" s="1">
        <v>217</v>
      </c>
      <c r="C166" s="1">
        <v>300</v>
      </c>
      <c r="D166" s="1">
        <v>22</v>
      </c>
    </row>
    <row r="167" spans="1:4">
      <c r="A167" s="1">
        <v>165</v>
      </c>
      <c r="B167" s="1">
        <v>218</v>
      </c>
      <c r="C167" s="1">
        <v>450</v>
      </c>
      <c r="D167" s="1">
        <v>23</v>
      </c>
    </row>
    <row r="168" spans="1:4">
      <c r="A168" s="1">
        <v>166</v>
      </c>
      <c r="B168" s="1">
        <v>219</v>
      </c>
      <c r="C168" s="1">
        <v>1700</v>
      </c>
      <c r="D168" s="1">
        <v>26</v>
      </c>
    </row>
    <row r="169" spans="1:4">
      <c r="A169" s="1">
        <v>167</v>
      </c>
      <c r="B169" s="1">
        <v>220</v>
      </c>
      <c r="C169" s="1">
        <v>200</v>
      </c>
      <c r="D169" s="1">
        <v>27</v>
      </c>
    </row>
    <row r="170" spans="1:4">
      <c r="A170" s="1">
        <v>168</v>
      </c>
      <c r="B170" s="1">
        <v>221</v>
      </c>
      <c r="C170" s="1">
        <v>1800</v>
      </c>
      <c r="D170" s="1">
        <v>30</v>
      </c>
    </row>
    <row r="171" spans="1:4">
      <c r="A171" s="1">
        <v>169</v>
      </c>
      <c r="B171" s="1">
        <v>222</v>
      </c>
      <c r="C171" s="1">
        <v>1600</v>
      </c>
      <c r="D171" s="1">
        <v>31</v>
      </c>
    </row>
    <row r="172" spans="1:4">
      <c r="A172" s="1">
        <v>170</v>
      </c>
      <c r="B172" s="1">
        <v>223</v>
      </c>
      <c r="C172" s="1">
        <v>800</v>
      </c>
      <c r="D172" s="1">
        <v>17</v>
      </c>
    </row>
    <row r="173" spans="1:4">
      <c r="A173" s="1">
        <v>171</v>
      </c>
      <c r="B173" s="1">
        <v>224</v>
      </c>
      <c r="C173" s="1">
        <v>2400</v>
      </c>
      <c r="D173" s="1">
        <v>33</v>
      </c>
    </row>
    <row r="174" spans="1:4">
      <c r="A174" s="1">
        <v>172</v>
      </c>
      <c r="B174" s="1">
        <v>225</v>
      </c>
      <c r="C174" s="1">
        <v>1200</v>
      </c>
      <c r="D174" s="1">
        <v>22</v>
      </c>
    </row>
    <row r="175" spans="1:4">
      <c r="A175" s="1">
        <v>173</v>
      </c>
      <c r="B175" s="1">
        <v>226</v>
      </c>
      <c r="C175" s="1">
        <v>100</v>
      </c>
      <c r="D175" s="1">
        <v>25</v>
      </c>
    </row>
    <row r="176" spans="1:4">
      <c r="A176" s="1">
        <v>174</v>
      </c>
      <c r="B176" s="1">
        <v>227</v>
      </c>
      <c r="C176" s="1">
        <v>400</v>
      </c>
      <c r="D176" s="1">
        <v>26</v>
      </c>
    </row>
    <row r="177" spans="1:4">
      <c r="A177" s="1">
        <v>175</v>
      </c>
      <c r="B177" s="1">
        <v>228</v>
      </c>
      <c r="C177" s="1">
        <v>600</v>
      </c>
      <c r="D177" s="1">
        <v>27</v>
      </c>
    </row>
    <row r="178" spans="1:4">
      <c r="A178" s="1">
        <v>176</v>
      </c>
      <c r="B178" s="1">
        <v>229</v>
      </c>
      <c r="C178" s="1">
        <v>1550</v>
      </c>
      <c r="D178" s="1">
        <v>30</v>
      </c>
    </row>
    <row r="179" spans="1:4">
      <c r="A179" s="1">
        <v>177</v>
      </c>
      <c r="B179" s="1">
        <v>230</v>
      </c>
      <c r="C179" s="1">
        <v>2200</v>
      </c>
      <c r="D179" s="1">
        <v>31</v>
      </c>
    </row>
    <row r="180" spans="1:4">
      <c r="A180" s="1">
        <v>178</v>
      </c>
      <c r="B180" s="1">
        <v>231</v>
      </c>
      <c r="C180" s="1">
        <v>49</v>
      </c>
      <c r="D180" s="1">
        <v>5</v>
      </c>
    </row>
    <row r="181" spans="1:4">
      <c r="A181" s="1">
        <v>179</v>
      </c>
      <c r="B181" s="1">
        <v>232</v>
      </c>
      <c r="C181" s="1">
        <v>64</v>
      </c>
      <c r="D181" s="1">
        <v>6</v>
      </c>
    </row>
    <row r="182" spans="1:4">
      <c r="A182" s="1">
        <v>180</v>
      </c>
      <c r="B182" s="1">
        <v>233</v>
      </c>
      <c r="C182" s="1">
        <v>1400</v>
      </c>
      <c r="D182" s="1">
        <v>17</v>
      </c>
    </row>
    <row r="183" spans="1:4">
      <c r="A183" s="1">
        <v>181</v>
      </c>
      <c r="B183" s="1">
        <v>234</v>
      </c>
      <c r="C183" s="1">
        <v>2100</v>
      </c>
      <c r="D183" s="1">
        <v>33</v>
      </c>
    </row>
    <row r="184" spans="1:4">
      <c r="A184" s="1">
        <v>182</v>
      </c>
      <c r="B184" s="1">
        <v>235</v>
      </c>
      <c r="C184" s="1">
        <v>450</v>
      </c>
      <c r="D184" s="1">
        <v>22</v>
      </c>
    </row>
    <row r="185" spans="1:4">
      <c r="A185" s="1">
        <v>183</v>
      </c>
      <c r="B185" s="1">
        <v>236</v>
      </c>
      <c r="C185" s="1">
        <v>2500</v>
      </c>
      <c r="D185" s="1">
        <v>31</v>
      </c>
    </row>
    <row r="186" spans="1:4">
      <c r="A186" s="1">
        <v>184</v>
      </c>
      <c r="B186" s="1">
        <v>237</v>
      </c>
      <c r="C186" s="1">
        <v>1300</v>
      </c>
      <c r="D186" s="1">
        <v>17</v>
      </c>
    </row>
    <row r="187" spans="1:4">
      <c r="A187" s="1">
        <v>185</v>
      </c>
      <c r="B187" s="1">
        <v>238</v>
      </c>
      <c r="C187" s="1">
        <v>2800</v>
      </c>
      <c r="D187" s="1">
        <v>18</v>
      </c>
    </row>
    <row r="188" spans="1:4">
      <c r="A188" s="1">
        <v>186</v>
      </c>
      <c r="B188" s="1">
        <v>239</v>
      </c>
      <c r="C188" s="1">
        <v>1500</v>
      </c>
      <c r="D188" s="1">
        <v>22</v>
      </c>
    </row>
    <row r="189" spans="1:4">
      <c r="A189" s="1">
        <v>187</v>
      </c>
      <c r="B189" s="1">
        <v>240</v>
      </c>
      <c r="C189" s="1">
        <v>1200</v>
      </c>
      <c r="D189" s="1">
        <v>26</v>
      </c>
    </row>
    <row r="190" spans="1:4">
      <c r="A190" s="1">
        <v>188</v>
      </c>
      <c r="B190" s="1">
        <v>241</v>
      </c>
      <c r="C190" s="1">
        <v>500</v>
      </c>
      <c r="D190" s="1">
        <v>30</v>
      </c>
    </row>
    <row r="191" spans="1:4">
      <c r="A191" s="1">
        <v>189</v>
      </c>
      <c r="B191" s="1">
        <v>242</v>
      </c>
      <c r="C191" s="1">
        <v>1200</v>
      </c>
      <c r="D191" s="1">
        <v>31</v>
      </c>
    </row>
    <row r="192" spans="1:4">
      <c r="A192" s="1">
        <v>190</v>
      </c>
      <c r="B192" s="1">
        <v>243</v>
      </c>
      <c r="C192" s="1">
        <v>1200</v>
      </c>
      <c r="D192" s="1">
        <v>17</v>
      </c>
    </row>
    <row r="193" spans="1:4">
      <c r="A193" s="1">
        <v>191</v>
      </c>
      <c r="B193" s="1">
        <v>244</v>
      </c>
      <c r="C193" s="1">
        <v>2400</v>
      </c>
      <c r="D193" s="1">
        <v>18</v>
      </c>
    </row>
    <row r="194" spans="1:4">
      <c r="A194" s="1">
        <v>192</v>
      </c>
      <c r="B194" s="1">
        <v>245</v>
      </c>
      <c r="C194" s="1">
        <v>1050</v>
      </c>
      <c r="D194" s="1">
        <v>22</v>
      </c>
    </row>
    <row r="195" spans="1:4">
      <c r="A195" s="1">
        <v>193</v>
      </c>
      <c r="B195" s="1">
        <v>246</v>
      </c>
      <c r="C195" s="1">
        <v>900</v>
      </c>
      <c r="D195" s="1">
        <v>26</v>
      </c>
    </row>
    <row r="196" spans="1:4">
      <c r="A196" s="1">
        <v>194</v>
      </c>
      <c r="B196" s="1">
        <v>247</v>
      </c>
      <c r="C196" s="1">
        <v>2000</v>
      </c>
      <c r="D196" s="1">
        <v>30</v>
      </c>
    </row>
    <row r="197" spans="1:4">
      <c r="A197" s="1">
        <v>195</v>
      </c>
      <c r="B197" s="1">
        <v>248</v>
      </c>
      <c r="C197" s="1">
        <v>1100</v>
      </c>
      <c r="D197" s="1">
        <v>31</v>
      </c>
    </row>
    <row r="198" spans="1:4">
      <c r="A198" s="1">
        <v>196</v>
      </c>
      <c r="B198" s="1">
        <v>249</v>
      </c>
      <c r="C198" s="1">
        <v>2300</v>
      </c>
      <c r="D198" s="1">
        <v>17</v>
      </c>
    </row>
    <row r="199" spans="1:4">
      <c r="A199" s="1">
        <v>197</v>
      </c>
      <c r="B199" s="1">
        <v>250</v>
      </c>
      <c r="C199" s="1">
        <v>1700</v>
      </c>
      <c r="D199" s="1">
        <v>33</v>
      </c>
    </row>
    <row r="200" spans="1:4">
      <c r="A200" s="1">
        <v>198</v>
      </c>
      <c r="B200" s="1">
        <v>251</v>
      </c>
      <c r="C200" s="1">
        <v>750</v>
      </c>
      <c r="D200" s="1">
        <v>22</v>
      </c>
    </row>
    <row r="201" spans="1:4">
      <c r="A201" s="1">
        <v>199</v>
      </c>
      <c r="B201" s="1">
        <v>252</v>
      </c>
      <c r="C201" s="1">
        <v>4800</v>
      </c>
      <c r="D201" s="1">
        <v>30</v>
      </c>
    </row>
    <row r="202" spans="1:4">
      <c r="A202" s="1">
        <v>200</v>
      </c>
      <c r="B202" s="1">
        <v>253</v>
      </c>
      <c r="C202" s="1">
        <v>1400</v>
      </c>
      <c r="D202" s="1">
        <v>31</v>
      </c>
    </row>
    <row r="203" spans="1:4">
      <c r="A203" s="1">
        <v>201</v>
      </c>
      <c r="B203" s="1">
        <v>254</v>
      </c>
      <c r="C203" s="1">
        <v>1900</v>
      </c>
      <c r="D203" s="1">
        <v>17</v>
      </c>
    </row>
    <row r="204" spans="1:4">
      <c r="A204" s="1">
        <v>202</v>
      </c>
      <c r="B204" s="1">
        <v>255</v>
      </c>
      <c r="C204" s="1">
        <v>1400</v>
      </c>
      <c r="D204" s="1">
        <v>33</v>
      </c>
    </row>
    <row r="205" spans="1:4">
      <c r="A205" s="1">
        <v>203</v>
      </c>
      <c r="B205" s="1">
        <v>256</v>
      </c>
      <c r="C205" s="1">
        <v>1100</v>
      </c>
      <c r="D205" s="1">
        <v>18</v>
      </c>
    </row>
    <row r="206" spans="1:4">
      <c r="A206" s="1">
        <v>204</v>
      </c>
      <c r="B206" s="1">
        <v>257</v>
      </c>
      <c r="C206" s="1">
        <v>300</v>
      </c>
      <c r="D206" s="1">
        <v>22</v>
      </c>
    </row>
    <row r="207" spans="1:4">
      <c r="A207" s="1">
        <v>205</v>
      </c>
      <c r="B207" s="1">
        <v>258</v>
      </c>
      <c r="C207" s="1">
        <v>2600</v>
      </c>
      <c r="D207" s="1">
        <v>30</v>
      </c>
    </row>
    <row r="208" spans="1:4">
      <c r="A208" s="1">
        <v>206</v>
      </c>
      <c r="B208" s="1">
        <v>259</v>
      </c>
      <c r="C208" s="1">
        <v>2200</v>
      </c>
      <c r="D208" s="1">
        <v>18</v>
      </c>
    </row>
    <row r="209" spans="1:4">
      <c r="A209" s="1">
        <v>207</v>
      </c>
      <c r="B209" s="1">
        <v>260</v>
      </c>
      <c r="C209" s="1">
        <v>150</v>
      </c>
      <c r="D209" s="1">
        <v>22</v>
      </c>
    </row>
    <row r="210" spans="1:4">
      <c r="A210" s="1">
        <v>208</v>
      </c>
      <c r="B210" s="1">
        <v>261</v>
      </c>
      <c r="C210" s="1">
        <v>500</v>
      </c>
      <c r="D210" s="1">
        <v>40</v>
      </c>
    </row>
    <row r="211" spans="1:4">
      <c r="A211" s="1">
        <v>209</v>
      </c>
      <c r="B211" s="1">
        <v>262</v>
      </c>
      <c r="C211" s="1">
        <v>2700</v>
      </c>
      <c r="D211" s="1">
        <v>30</v>
      </c>
    </row>
    <row r="212" spans="1:4">
      <c r="A212" s="1">
        <v>210</v>
      </c>
      <c r="B212" s="1">
        <v>263</v>
      </c>
      <c r="C212" s="1">
        <v>1300</v>
      </c>
      <c r="D212" s="1">
        <v>17</v>
      </c>
    </row>
    <row r="213" spans="1:4">
      <c r="A213" s="1">
        <v>211</v>
      </c>
      <c r="B213" s="1">
        <v>264</v>
      </c>
      <c r="C213" s="1">
        <v>1900</v>
      </c>
      <c r="D213" s="1">
        <v>18</v>
      </c>
    </row>
    <row r="214" spans="1:4">
      <c r="A214" s="1">
        <v>212</v>
      </c>
      <c r="B214" s="1">
        <v>265</v>
      </c>
      <c r="C214" s="1">
        <v>1200</v>
      </c>
      <c r="D214" s="1">
        <v>41</v>
      </c>
    </row>
    <row r="215" spans="1:4">
      <c r="A215" s="1">
        <v>213</v>
      </c>
      <c r="B215" s="1">
        <v>266</v>
      </c>
      <c r="C215" s="1">
        <v>5200</v>
      </c>
      <c r="D215" s="1">
        <v>30</v>
      </c>
    </row>
    <row r="216" spans="1:4">
      <c r="A216" s="1">
        <v>214</v>
      </c>
      <c r="B216" s="1">
        <v>267</v>
      </c>
      <c r="C216" s="1">
        <v>950</v>
      </c>
      <c r="D216" s="1">
        <v>17</v>
      </c>
    </row>
    <row r="217" spans="1:4">
      <c r="A217" s="1">
        <v>215</v>
      </c>
      <c r="B217" s="1">
        <v>268</v>
      </c>
      <c r="C217" s="1">
        <v>700</v>
      </c>
      <c r="D217" s="1">
        <v>41</v>
      </c>
    </row>
    <row r="218" spans="1:4">
      <c r="A218" s="1">
        <v>216</v>
      </c>
      <c r="B218" s="1">
        <v>269</v>
      </c>
      <c r="C218" s="1">
        <v>1300</v>
      </c>
      <c r="D218" s="1">
        <v>42</v>
      </c>
    </row>
    <row r="219" spans="1:4">
      <c r="A219" s="1">
        <v>217</v>
      </c>
      <c r="B219" s="1">
        <v>270</v>
      </c>
      <c r="C219" s="1">
        <v>2900</v>
      </c>
      <c r="D219" s="1">
        <v>30</v>
      </c>
    </row>
    <row r="220" spans="1:4">
      <c r="A220" s="1">
        <v>218</v>
      </c>
      <c r="B220" s="1">
        <v>271</v>
      </c>
      <c r="C220" s="1">
        <v>400</v>
      </c>
      <c r="D220" s="1">
        <v>17</v>
      </c>
    </row>
    <row r="221" spans="1:4">
      <c r="A221" s="1">
        <v>219</v>
      </c>
      <c r="B221" s="1">
        <v>272</v>
      </c>
      <c r="C221" s="1">
        <v>400</v>
      </c>
      <c r="D221" s="1">
        <v>18</v>
      </c>
    </row>
    <row r="222" spans="1:4">
      <c r="A222" s="1">
        <v>220</v>
      </c>
      <c r="B222" s="1">
        <v>273</v>
      </c>
      <c r="C222" s="1">
        <v>200</v>
      </c>
      <c r="D222" s="1">
        <v>41</v>
      </c>
    </row>
    <row r="223" spans="1:4">
      <c r="A223" s="1">
        <v>221</v>
      </c>
      <c r="B223" s="1">
        <v>274</v>
      </c>
      <c r="C223" s="1">
        <v>700</v>
      </c>
      <c r="D223" s="1">
        <v>42</v>
      </c>
    </row>
    <row r="224" spans="1:4">
      <c r="A224" s="1">
        <v>222</v>
      </c>
      <c r="B224" s="1">
        <v>275</v>
      </c>
      <c r="C224" s="1">
        <v>2250</v>
      </c>
      <c r="D224" s="1">
        <v>30</v>
      </c>
    </row>
    <row r="225" spans="1:4">
      <c r="A225" s="1">
        <v>223</v>
      </c>
      <c r="B225" s="1">
        <v>276</v>
      </c>
      <c r="C225" s="1">
        <v>700</v>
      </c>
      <c r="D225" s="1">
        <v>31</v>
      </c>
    </row>
    <row r="226" spans="1:4">
      <c r="A226" s="1">
        <v>224</v>
      </c>
      <c r="B226" s="1">
        <v>277</v>
      </c>
      <c r="C226" s="1">
        <v>250</v>
      </c>
      <c r="D226" s="1">
        <v>17</v>
      </c>
    </row>
    <row r="227" spans="1:4">
      <c r="A227" s="1">
        <v>225</v>
      </c>
      <c r="B227" s="1">
        <v>278</v>
      </c>
      <c r="C227" s="1">
        <v>200</v>
      </c>
      <c r="D227" s="1">
        <v>33</v>
      </c>
    </row>
    <row r="228" spans="1:4">
      <c r="A228" s="1">
        <v>226</v>
      </c>
      <c r="B228" s="1">
        <v>279</v>
      </c>
      <c r="C228" s="1">
        <v>1300</v>
      </c>
      <c r="D228" s="1">
        <v>18</v>
      </c>
    </row>
    <row r="229" spans="1:4">
      <c r="A229" s="1">
        <v>227</v>
      </c>
      <c r="B229" s="1">
        <v>280</v>
      </c>
      <c r="C229" s="1">
        <v>100</v>
      </c>
      <c r="D229" s="1">
        <v>27</v>
      </c>
    </row>
    <row r="230" spans="1:4">
      <c r="A230" s="1">
        <v>228</v>
      </c>
      <c r="B230" s="1">
        <v>280</v>
      </c>
      <c r="C230" s="1">
        <v>700</v>
      </c>
      <c r="D230" s="1">
        <v>42</v>
      </c>
    </row>
    <row r="231" spans="1:4">
      <c r="A231" s="1">
        <v>229</v>
      </c>
      <c r="B231" s="1">
        <v>281</v>
      </c>
      <c r="C231" s="1">
        <v>1500</v>
      </c>
      <c r="D231" s="1">
        <v>30</v>
      </c>
    </row>
    <row r="232" spans="1:4">
      <c r="A232" s="1">
        <v>230</v>
      </c>
      <c r="B232" s="1">
        <v>282</v>
      </c>
      <c r="C232" s="1">
        <v>400</v>
      </c>
      <c r="D232" s="1">
        <v>31</v>
      </c>
    </row>
    <row r="233" spans="1:4">
      <c r="A233" s="1">
        <v>231</v>
      </c>
      <c r="B233" s="1">
        <v>283</v>
      </c>
      <c r="C233" s="1">
        <v>200</v>
      </c>
      <c r="D233" s="1">
        <v>33</v>
      </c>
    </row>
    <row r="234" spans="1:4">
      <c r="A234" s="1">
        <v>232</v>
      </c>
      <c r="B234" s="1">
        <v>284</v>
      </c>
      <c r="C234" s="1">
        <v>1800</v>
      </c>
      <c r="D234" s="1">
        <v>34</v>
      </c>
    </row>
    <row r="235" spans="1:4">
      <c r="A235" s="1">
        <v>233</v>
      </c>
      <c r="B235" s="1">
        <v>284</v>
      </c>
      <c r="C235" s="1">
        <v>400</v>
      </c>
      <c r="D235" s="1">
        <v>18</v>
      </c>
    </row>
    <row r="236" spans="1:4">
      <c r="A236" s="1">
        <v>234</v>
      </c>
      <c r="B236" s="1">
        <v>285</v>
      </c>
      <c r="C236" s="1">
        <v>500</v>
      </c>
      <c r="D236" s="1">
        <v>38</v>
      </c>
    </row>
    <row r="237" spans="1:4">
      <c r="A237" s="1">
        <v>235</v>
      </c>
      <c r="B237" s="1">
        <v>285</v>
      </c>
      <c r="C237" s="1">
        <v>100</v>
      </c>
      <c r="D237" s="1">
        <v>22</v>
      </c>
    </row>
    <row r="238" spans="1:4">
      <c r="A238" s="1">
        <v>236</v>
      </c>
      <c r="B238" s="1">
        <v>286</v>
      </c>
      <c r="C238" s="1">
        <v>200</v>
      </c>
      <c r="D238" s="1">
        <v>42</v>
      </c>
    </row>
    <row r="239" spans="1:4">
      <c r="A239" s="1">
        <v>237</v>
      </c>
      <c r="B239" s="1">
        <v>289</v>
      </c>
      <c r="C239" s="1">
        <v>2400</v>
      </c>
      <c r="D239" s="1">
        <v>30</v>
      </c>
    </row>
    <row r="240" spans="1:4">
      <c r="A240" s="1">
        <v>238</v>
      </c>
      <c r="B240" s="1">
        <v>291</v>
      </c>
      <c r="C240" s="1">
        <v>400</v>
      </c>
      <c r="D240" s="1">
        <v>31</v>
      </c>
    </row>
    <row r="241" spans="1:4">
      <c r="A241" s="1">
        <v>239</v>
      </c>
      <c r="B241" s="1">
        <v>294</v>
      </c>
      <c r="C241" s="1">
        <v>1000</v>
      </c>
      <c r="D241" s="1">
        <v>4</v>
      </c>
    </row>
    <row r="242" spans="1:4">
      <c r="A242" s="1">
        <v>240</v>
      </c>
      <c r="B242" s="1">
        <v>295</v>
      </c>
      <c r="C242" s="1">
        <v>225</v>
      </c>
      <c r="D242" s="1">
        <v>38</v>
      </c>
    </row>
    <row r="243" spans="1:4">
      <c r="A243" s="1">
        <v>241</v>
      </c>
      <c r="B243" s="1">
        <v>296</v>
      </c>
      <c r="C243" s="1">
        <v>300</v>
      </c>
      <c r="D243" s="1">
        <v>39</v>
      </c>
    </row>
    <row r="244" spans="1:4">
      <c r="A244" s="1">
        <v>242</v>
      </c>
      <c r="B244" s="1">
        <v>297</v>
      </c>
      <c r="C244" s="1">
        <v>800</v>
      </c>
      <c r="D244" s="1">
        <v>41</v>
      </c>
    </row>
    <row r="245" spans="1:4">
      <c r="A245" s="1">
        <v>243</v>
      </c>
      <c r="B245" s="1">
        <v>298</v>
      </c>
      <c r="C245" s="1">
        <v>900</v>
      </c>
      <c r="D245" s="1">
        <v>42</v>
      </c>
    </row>
    <row r="246" spans="1:4">
      <c r="A246" s="1">
        <v>244</v>
      </c>
      <c r="B246" s="1">
        <v>299</v>
      </c>
      <c r="C246" s="1">
        <v>1150</v>
      </c>
      <c r="D246" s="1">
        <v>30</v>
      </c>
    </row>
    <row r="247" spans="1:4">
      <c r="A247" s="1">
        <v>245</v>
      </c>
      <c r="B247" s="1">
        <v>300</v>
      </c>
      <c r="C247" s="1">
        <v>200</v>
      </c>
      <c r="D247" s="1">
        <v>31</v>
      </c>
    </row>
    <row r="248" spans="1:4">
      <c r="A248" s="1">
        <v>246</v>
      </c>
      <c r="B248" s="1">
        <v>301</v>
      </c>
      <c r="C248" s="1">
        <v>500</v>
      </c>
      <c r="D248" s="1">
        <v>45</v>
      </c>
    </row>
    <row r="249" spans="1:4">
      <c r="A249" s="1">
        <v>247</v>
      </c>
      <c r="B249" s="1">
        <v>302</v>
      </c>
      <c r="C249" s="1">
        <v>600</v>
      </c>
      <c r="D249" s="1">
        <v>4</v>
      </c>
    </row>
    <row r="250" spans="1:4">
      <c r="A250" s="1">
        <v>248</v>
      </c>
      <c r="B250" s="1">
        <v>303</v>
      </c>
      <c r="C250" s="1">
        <v>1100</v>
      </c>
      <c r="D250" s="1">
        <v>34</v>
      </c>
    </row>
    <row r="251" spans="1:4">
      <c r="A251" s="1">
        <v>249</v>
      </c>
      <c r="B251" s="1">
        <v>304</v>
      </c>
      <c r="C251" s="1">
        <v>600</v>
      </c>
      <c r="D251" s="1">
        <v>41</v>
      </c>
    </row>
    <row r="252" spans="1:4">
      <c r="A252" s="1">
        <v>250</v>
      </c>
      <c r="B252" s="1">
        <v>305</v>
      </c>
      <c r="C252" s="1">
        <v>600</v>
      </c>
      <c r="D252" s="1">
        <v>42</v>
      </c>
    </row>
    <row r="253" spans="1:4">
      <c r="A253" s="1">
        <v>251</v>
      </c>
      <c r="B253" s="1">
        <v>306</v>
      </c>
      <c r="C253" s="1">
        <v>1500</v>
      </c>
      <c r="D253" s="1">
        <v>30</v>
      </c>
    </row>
    <row r="254" spans="1:4">
      <c r="A254" s="1">
        <v>252</v>
      </c>
      <c r="B254" s="1">
        <v>307</v>
      </c>
      <c r="C254" s="1">
        <v>1000</v>
      </c>
      <c r="D254" s="1">
        <v>34</v>
      </c>
    </row>
    <row r="255" spans="1:4">
      <c r="A255" s="1">
        <v>253</v>
      </c>
      <c r="B255" s="1">
        <v>308</v>
      </c>
      <c r="C255" s="1">
        <v>600</v>
      </c>
      <c r="D255" s="1">
        <v>41</v>
      </c>
    </row>
    <row r="256" spans="1:4">
      <c r="A256" s="1">
        <v>254</v>
      </c>
      <c r="B256" s="1">
        <v>309</v>
      </c>
      <c r="C256" s="1">
        <v>700</v>
      </c>
      <c r="D256" s="1">
        <v>42</v>
      </c>
    </row>
    <row r="257" spans="1:4">
      <c r="A257" s="1">
        <v>255</v>
      </c>
      <c r="B257" s="1">
        <v>310</v>
      </c>
      <c r="C257" s="1">
        <v>1200</v>
      </c>
      <c r="D257" s="1">
        <v>30</v>
      </c>
    </row>
    <row r="258" spans="1:4">
      <c r="A258" s="1">
        <v>256</v>
      </c>
      <c r="B258" s="1">
        <v>311</v>
      </c>
      <c r="C258" s="1">
        <v>400</v>
      </c>
      <c r="D258" s="1">
        <v>31</v>
      </c>
    </row>
    <row r="259" spans="1:4">
      <c r="A259" s="1">
        <v>257</v>
      </c>
      <c r="B259" s="1">
        <v>312</v>
      </c>
      <c r="C259" s="1">
        <v>800</v>
      </c>
      <c r="D259" s="1">
        <v>4</v>
      </c>
    </row>
    <row r="260" spans="1:4">
      <c r="A260" s="1">
        <v>258</v>
      </c>
      <c r="B260" s="1">
        <v>313</v>
      </c>
      <c r="C260" s="1">
        <v>1000</v>
      </c>
      <c r="D260" s="1">
        <v>34</v>
      </c>
    </row>
    <row r="261" spans="1:4">
      <c r="A261" s="1">
        <v>259</v>
      </c>
      <c r="B261" s="1">
        <v>314</v>
      </c>
      <c r="C261" s="1">
        <v>1300</v>
      </c>
      <c r="D261" s="1">
        <v>39</v>
      </c>
    </row>
    <row r="262" spans="1:4">
      <c r="A262" s="1">
        <v>260</v>
      </c>
      <c r="B262" s="1">
        <v>315</v>
      </c>
      <c r="C262" s="1">
        <v>200</v>
      </c>
      <c r="D262" s="1">
        <v>42</v>
      </c>
    </row>
    <row r="263" spans="1:4">
      <c r="A263" s="1">
        <v>261</v>
      </c>
      <c r="B263" s="1">
        <v>316</v>
      </c>
      <c r="C263" s="1">
        <v>900</v>
      </c>
      <c r="D263" s="1">
        <v>43</v>
      </c>
    </row>
    <row r="264" spans="1:4">
      <c r="A264" s="1">
        <v>262</v>
      </c>
      <c r="B264" s="1">
        <v>316</v>
      </c>
      <c r="C264" s="1">
        <v>100</v>
      </c>
      <c r="D264" s="1">
        <v>28</v>
      </c>
    </row>
    <row r="265" spans="1:4">
      <c r="A265" s="1">
        <v>263</v>
      </c>
      <c r="B265" s="1">
        <v>317</v>
      </c>
      <c r="C265" s="1">
        <v>1800</v>
      </c>
      <c r="D265" s="1">
        <v>30</v>
      </c>
    </row>
    <row r="266" spans="1:4">
      <c r="A266" s="1">
        <v>264</v>
      </c>
      <c r="B266" s="1">
        <v>318</v>
      </c>
      <c r="C266" s="1">
        <v>200</v>
      </c>
      <c r="D266" s="1">
        <v>34</v>
      </c>
    </row>
    <row r="267" spans="1:4">
      <c r="A267" s="1">
        <v>265</v>
      </c>
      <c r="B267" s="1">
        <v>319</v>
      </c>
      <c r="C267" s="1">
        <v>500</v>
      </c>
      <c r="D267" s="1">
        <v>39</v>
      </c>
    </row>
    <row r="268" spans="1:4">
      <c r="A268" s="1">
        <v>266</v>
      </c>
      <c r="B268" s="1">
        <v>320</v>
      </c>
      <c r="C268" s="1">
        <v>800</v>
      </c>
      <c r="D268" s="1">
        <v>43</v>
      </c>
    </row>
    <row r="269" spans="1:4">
      <c r="A269" s="1">
        <v>267</v>
      </c>
      <c r="B269" s="1">
        <v>321</v>
      </c>
      <c r="C269" s="1">
        <v>2050</v>
      </c>
      <c r="D269" s="1">
        <v>30</v>
      </c>
    </row>
    <row r="270" spans="1:4">
      <c r="A270" s="1">
        <v>268</v>
      </c>
      <c r="B270" s="1">
        <v>322</v>
      </c>
      <c r="C270" s="1">
        <v>800</v>
      </c>
      <c r="D270" s="1">
        <v>31</v>
      </c>
    </row>
    <row r="271" spans="1:4">
      <c r="A271" s="1">
        <v>269</v>
      </c>
      <c r="B271" s="1">
        <v>323</v>
      </c>
      <c r="C271" s="1">
        <v>600</v>
      </c>
      <c r="D271" s="1">
        <v>4</v>
      </c>
    </row>
    <row r="272" spans="1:4">
      <c r="A272" s="1">
        <v>270</v>
      </c>
      <c r="B272" s="1">
        <v>324</v>
      </c>
      <c r="C272" s="1">
        <v>500</v>
      </c>
      <c r="D272" s="1">
        <v>39</v>
      </c>
    </row>
    <row r="273" spans="1:4">
      <c r="A273" s="1">
        <v>271</v>
      </c>
      <c r="B273" s="1">
        <v>325</v>
      </c>
      <c r="C273" s="1">
        <v>1000</v>
      </c>
      <c r="D273" s="1">
        <v>43</v>
      </c>
    </row>
    <row r="274" spans="1:4">
      <c r="A274" s="1">
        <v>272</v>
      </c>
      <c r="B274" s="1">
        <v>326</v>
      </c>
      <c r="C274" s="1">
        <v>800</v>
      </c>
      <c r="D274" s="1">
        <v>31</v>
      </c>
    </row>
    <row r="275" spans="1:4">
      <c r="A275" s="1">
        <v>273</v>
      </c>
      <c r="B275" s="1">
        <v>327</v>
      </c>
      <c r="C275" s="1">
        <v>40</v>
      </c>
      <c r="D275" s="1">
        <v>45</v>
      </c>
    </row>
    <row r="276" spans="1:4">
      <c r="A276" s="1">
        <v>274</v>
      </c>
      <c r="B276" s="1">
        <v>328</v>
      </c>
      <c r="C276" s="1">
        <v>800</v>
      </c>
      <c r="D276" s="1">
        <v>4</v>
      </c>
    </row>
    <row r="277" spans="1:4">
      <c r="A277" s="1">
        <v>275</v>
      </c>
      <c r="B277" s="1">
        <v>329</v>
      </c>
      <c r="C277" s="1">
        <v>1400</v>
      </c>
      <c r="D277" s="1">
        <v>34</v>
      </c>
    </row>
    <row r="278" spans="1:4">
      <c r="A278" s="1">
        <v>276</v>
      </c>
      <c r="B278" s="1">
        <v>330</v>
      </c>
      <c r="C278" s="1">
        <v>350</v>
      </c>
      <c r="D278" s="1">
        <v>39</v>
      </c>
    </row>
    <row r="279" spans="1:4">
      <c r="A279" s="1">
        <v>277</v>
      </c>
      <c r="B279" s="1">
        <v>331</v>
      </c>
      <c r="C279" s="1">
        <v>1300</v>
      </c>
      <c r="D279" s="1">
        <v>43</v>
      </c>
    </row>
    <row r="280" spans="1:4">
      <c r="A280" s="1">
        <v>278</v>
      </c>
      <c r="B280" s="1">
        <v>332</v>
      </c>
      <c r="C280" s="1">
        <v>600</v>
      </c>
      <c r="D280" s="1">
        <v>4</v>
      </c>
    </row>
    <row r="281" spans="1:4">
      <c r="A281" s="1">
        <v>279</v>
      </c>
      <c r="B281" s="1">
        <v>333</v>
      </c>
      <c r="C281" s="1">
        <v>2600</v>
      </c>
      <c r="D281" s="1">
        <v>33</v>
      </c>
    </row>
    <row r="282" spans="1:4">
      <c r="A282" s="1">
        <v>280</v>
      </c>
      <c r="B282" s="1">
        <v>334</v>
      </c>
      <c r="C282" s="1">
        <v>2250</v>
      </c>
      <c r="D282" s="1">
        <v>30</v>
      </c>
    </row>
    <row r="283" spans="1:4">
      <c r="A283" s="1">
        <v>281</v>
      </c>
      <c r="B283" s="1">
        <v>335</v>
      </c>
      <c r="C283" s="1">
        <v>1800</v>
      </c>
      <c r="D283" s="1">
        <v>17</v>
      </c>
    </row>
    <row r="284" spans="1:4">
      <c r="A284" s="1">
        <v>282</v>
      </c>
      <c r="B284" s="1">
        <v>336</v>
      </c>
      <c r="C284" s="1">
        <v>600</v>
      </c>
      <c r="D284" s="1">
        <v>4</v>
      </c>
    </row>
    <row r="285" spans="1:4">
      <c r="A285" s="1">
        <v>283</v>
      </c>
      <c r="B285" s="1">
        <v>337</v>
      </c>
      <c r="C285" s="1">
        <v>300</v>
      </c>
      <c r="D285" s="1">
        <v>42</v>
      </c>
    </row>
    <row r="286" spans="1:4">
      <c r="A286" s="1">
        <v>284</v>
      </c>
      <c r="B286" s="1">
        <v>338</v>
      </c>
      <c r="C286" s="1">
        <v>500</v>
      </c>
      <c r="D286" s="1">
        <v>30</v>
      </c>
    </row>
    <row r="287" spans="1:4">
      <c r="A287" s="1">
        <v>285</v>
      </c>
      <c r="B287" s="1">
        <v>339</v>
      </c>
      <c r="C287" s="1">
        <v>1100</v>
      </c>
      <c r="D287" s="1">
        <v>31</v>
      </c>
    </row>
    <row r="288" spans="1:4">
      <c r="A288" s="1">
        <v>286</v>
      </c>
      <c r="B288" s="1">
        <v>340</v>
      </c>
      <c r="C288" s="1">
        <v>1200</v>
      </c>
      <c r="D288" s="1">
        <v>17</v>
      </c>
    </row>
    <row r="289" spans="1:4">
      <c r="A289" s="1">
        <v>287</v>
      </c>
      <c r="B289" s="1">
        <v>341</v>
      </c>
      <c r="C289" s="1">
        <v>500</v>
      </c>
      <c r="D289" s="1">
        <v>4</v>
      </c>
    </row>
    <row r="290" spans="1:4">
      <c r="A290" s="1">
        <v>288</v>
      </c>
      <c r="B290" s="1">
        <v>342</v>
      </c>
      <c r="C290" s="1">
        <v>1500</v>
      </c>
      <c r="D290" s="1">
        <v>34</v>
      </c>
    </row>
    <row r="291" spans="1:4">
      <c r="A291" s="1">
        <v>289</v>
      </c>
      <c r="B291" s="1">
        <v>343</v>
      </c>
      <c r="C291" s="1">
        <v>360</v>
      </c>
      <c r="D291" s="1">
        <v>39</v>
      </c>
    </row>
    <row r="292" spans="1:4">
      <c r="A292" s="1">
        <v>290</v>
      </c>
      <c r="B292" s="1">
        <v>344</v>
      </c>
      <c r="C292" s="1">
        <v>1200</v>
      </c>
      <c r="D292" s="1">
        <v>30</v>
      </c>
    </row>
    <row r="293" spans="1:4">
      <c r="A293" s="1">
        <v>291</v>
      </c>
      <c r="B293" s="1">
        <v>345</v>
      </c>
      <c r="C293" s="1">
        <v>100</v>
      </c>
      <c r="D293" s="1">
        <v>45</v>
      </c>
    </row>
    <row r="294" spans="1:4">
      <c r="A294" s="1">
        <v>292</v>
      </c>
      <c r="B294" s="1">
        <v>346</v>
      </c>
      <c r="C294" s="1">
        <v>950</v>
      </c>
      <c r="D294" s="1">
        <v>4</v>
      </c>
    </row>
    <row r="295" spans="1:4">
      <c r="A295" s="1">
        <v>293</v>
      </c>
      <c r="B295" s="1">
        <v>347</v>
      </c>
      <c r="C295" s="1">
        <v>2300</v>
      </c>
      <c r="D295" s="1">
        <v>33</v>
      </c>
    </row>
    <row r="296" spans="1:4">
      <c r="A296" s="1">
        <v>294</v>
      </c>
      <c r="B296" s="1">
        <v>348</v>
      </c>
      <c r="C296" s="1">
        <v>4200</v>
      </c>
      <c r="D296" s="1">
        <v>43</v>
      </c>
    </row>
    <row r="297" spans="1:4">
      <c r="A297" s="1">
        <v>295</v>
      </c>
      <c r="B297" s="1">
        <v>349</v>
      </c>
      <c r="C297" s="1">
        <v>900</v>
      </c>
      <c r="D297" s="1">
        <v>44</v>
      </c>
    </row>
    <row r="298" spans="1:4">
      <c r="A298" s="1">
        <v>296</v>
      </c>
      <c r="B298" s="1">
        <v>350</v>
      </c>
      <c r="C298" s="1">
        <v>200</v>
      </c>
      <c r="D298" s="1">
        <v>39</v>
      </c>
    </row>
    <row r="299" spans="1:4">
      <c r="A299" s="1">
        <v>297</v>
      </c>
      <c r="B299" s="1">
        <v>351</v>
      </c>
      <c r="C299" s="1">
        <v>300</v>
      </c>
      <c r="D299" s="1">
        <v>41</v>
      </c>
    </row>
    <row r="300" spans="1:4">
      <c r="A300" s="1">
        <v>298</v>
      </c>
      <c r="B300" s="1">
        <v>352</v>
      </c>
      <c r="C300" s="1">
        <v>600</v>
      </c>
      <c r="D300" s="1">
        <v>42</v>
      </c>
    </row>
    <row r="301" spans="1:4">
      <c r="A301" s="1">
        <v>299</v>
      </c>
      <c r="B301" s="1">
        <v>353</v>
      </c>
      <c r="C301" s="1">
        <v>1100</v>
      </c>
      <c r="D301" s="1">
        <v>43</v>
      </c>
    </row>
    <row r="302" spans="1:4">
      <c r="A302" s="1">
        <v>300</v>
      </c>
      <c r="B302" s="1">
        <v>354</v>
      </c>
      <c r="C302" s="1">
        <v>50</v>
      </c>
      <c r="D302" s="1">
        <v>17</v>
      </c>
    </row>
    <row r="303" spans="1:4">
      <c r="A303" s="1">
        <v>301</v>
      </c>
      <c r="B303" s="1">
        <v>355</v>
      </c>
      <c r="C303" s="1">
        <v>650</v>
      </c>
      <c r="D303" s="1">
        <v>4</v>
      </c>
    </row>
    <row r="304" spans="1:4">
      <c r="A304" s="1">
        <v>302</v>
      </c>
      <c r="B304" s="1">
        <v>356</v>
      </c>
      <c r="C304" s="1">
        <v>2000</v>
      </c>
      <c r="D304" s="1">
        <v>34</v>
      </c>
    </row>
    <row r="305" spans="1:4">
      <c r="A305" s="1">
        <v>303</v>
      </c>
      <c r="B305" s="1">
        <v>357</v>
      </c>
      <c r="C305" s="1">
        <v>600</v>
      </c>
      <c r="D305" s="1">
        <v>39</v>
      </c>
    </row>
    <row r="306" spans="1:4">
      <c r="A306" s="1">
        <v>304</v>
      </c>
      <c r="B306" s="1">
        <v>358</v>
      </c>
      <c r="C306" s="1">
        <v>400</v>
      </c>
      <c r="D306" s="1">
        <v>41</v>
      </c>
    </row>
    <row r="307" spans="1:4">
      <c r="A307" s="1">
        <v>305</v>
      </c>
      <c r="B307" s="1">
        <v>359</v>
      </c>
      <c r="C307" s="1">
        <v>200</v>
      </c>
      <c r="D307" s="1">
        <v>43</v>
      </c>
    </row>
    <row r="308" spans="1:4">
      <c r="A308" s="1">
        <v>306</v>
      </c>
      <c r="B308" s="1">
        <v>360</v>
      </c>
      <c r="C308" s="1">
        <v>500</v>
      </c>
      <c r="D308" s="1">
        <v>31</v>
      </c>
    </row>
    <row r="309" spans="1:4">
      <c r="A309" s="1">
        <v>307</v>
      </c>
      <c r="B309" s="1">
        <v>361</v>
      </c>
      <c r="C309" s="1">
        <v>550</v>
      </c>
      <c r="D309" s="1">
        <v>4</v>
      </c>
    </row>
    <row r="310" spans="1:4">
      <c r="A310" s="1">
        <v>308</v>
      </c>
      <c r="B310" s="1">
        <v>362</v>
      </c>
      <c r="C310" s="1">
        <v>2600</v>
      </c>
      <c r="D310" s="1">
        <v>34</v>
      </c>
    </row>
    <row r="311" spans="1:4">
      <c r="A311" s="1">
        <v>309</v>
      </c>
      <c r="B311" s="1">
        <v>363</v>
      </c>
      <c r="C311" s="1">
        <v>1050</v>
      </c>
      <c r="D311" s="1">
        <v>39</v>
      </c>
    </row>
    <row r="312" spans="1:4">
      <c r="A312" s="1">
        <v>310</v>
      </c>
      <c r="B312" s="1">
        <v>364</v>
      </c>
      <c r="C312" s="1">
        <v>300</v>
      </c>
      <c r="D312" s="1">
        <v>41</v>
      </c>
    </row>
    <row r="313" spans="1:4">
      <c r="A313" s="1">
        <v>311</v>
      </c>
      <c r="B313" s="1">
        <v>365</v>
      </c>
      <c r="C313" s="1">
        <v>1000</v>
      </c>
      <c r="D313" s="1">
        <v>43</v>
      </c>
    </row>
    <row r="314" spans="1:4">
      <c r="A314" s="1">
        <v>312</v>
      </c>
      <c r="B314" s="1">
        <v>366</v>
      </c>
      <c r="C314" s="1">
        <v>500</v>
      </c>
      <c r="D314" s="1">
        <v>44</v>
      </c>
    </row>
    <row r="315" spans="1:4">
      <c r="A315" s="1">
        <v>313</v>
      </c>
      <c r="B315" s="1">
        <v>367</v>
      </c>
      <c r="C315" s="1">
        <v>700</v>
      </c>
      <c r="D315" s="1">
        <v>31</v>
      </c>
    </row>
    <row r="316" spans="1:4">
      <c r="A316" s="1">
        <v>314</v>
      </c>
      <c r="B316" s="1">
        <v>368</v>
      </c>
      <c r="C316" s="1">
        <v>1000</v>
      </c>
      <c r="D316" s="1">
        <v>34</v>
      </c>
    </row>
    <row r="317" spans="1:4">
      <c r="A317" s="1">
        <v>315</v>
      </c>
      <c r="B317" s="1">
        <v>370</v>
      </c>
      <c r="C317" s="1">
        <v>1400</v>
      </c>
      <c r="D317" s="1">
        <v>39</v>
      </c>
    </row>
    <row r="318" spans="1:4">
      <c r="A318" s="1">
        <v>316</v>
      </c>
      <c r="B318" s="1">
        <v>371</v>
      </c>
      <c r="C318" s="1">
        <v>1600</v>
      </c>
      <c r="D318" s="1">
        <v>43</v>
      </c>
    </row>
    <row r="319" spans="1:4">
      <c r="A319" s="1">
        <v>317</v>
      </c>
      <c r="B319" s="1">
        <v>372</v>
      </c>
      <c r="C319" s="1">
        <v>50</v>
      </c>
      <c r="D319" s="1">
        <v>44</v>
      </c>
    </row>
    <row r="320" spans="1:4">
      <c r="A320" s="1">
        <v>318</v>
      </c>
      <c r="B320" s="1">
        <v>373</v>
      </c>
      <c r="C320" s="1">
        <v>250</v>
      </c>
      <c r="D320" s="1">
        <v>30</v>
      </c>
    </row>
    <row r="321" spans="1:4">
      <c r="A321" s="1">
        <v>319</v>
      </c>
      <c r="B321" s="1">
        <v>374</v>
      </c>
      <c r="C321" s="1">
        <v>57</v>
      </c>
      <c r="D321" s="1">
        <v>32</v>
      </c>
    </row>
    <row r="322" spans="1:4">
      <c r="A322" s="1">
        <v>320</v>
      </c>
      <c r="B322" s="1">
        <v>375</v>
      </c>
      <c r="C322" s="1">
        <v>25</v>
      </c>
      <c r="D322" s="1">
        <v>45</v>
      </c>
    </row>
    <row r="323" spans="1:4">
      <c r="A323" s="1">
        <v>321</v>
      </c>
      <c r="B323" s="1">
        <v>376</v>
      </c>
      <c r="C323" s="1">
        <v>1300</v>
      </c>
      <c r="D323" s="1">
        <v>34</v>
      </c>
    </row>
    <row r="324" spans="1:4">
      <c r="A324" s="1">
        <v>322</v>
      </c>
      <c r="B324" s="1">
        <v>377</v>
      </c>
      <c r="C324" s="1">
        <v>800</v>
      </c>
      <c r="D324" s="1">
        <v>39</v>
      </c>
    </row>
    <row r="325" spans="1:4">
      <c r="A325" s="1">
        <v>323</v>
      </c>
      <c r="B325" s="1">
        <v>378</v>
      </c>
      <c r="C325" s="1">
        <v>1300</v>
      </c>
      <c r="D325" s="1">
        <v>43</v>
      </c>
    </row>
    <row r="326" spans="1:4">
      <c r="A326" s="1">
        <v>324</v>
      </c>
      <c r="B326" s="1">
        <v>379</v>
      </c>
      <c r="C326" s="1">
        <v>1600</v>
      </c>
      <c r="D326" s="1">
        <v>31</v>
      </c>
    </row>
    <row r="327" spans="1:4">
      <c r="A327" s="1">
        <v>325</v>
      </c>
      <c r="B327" s="1">
        <v>380</v>
      </c>
      <c r="C327" s="1">
        <v>400</v>
      </c>
      <c r="D327" s="1">
        <v>45</v>
      </c>
    </row>
    <row r="328" spans="1:4">
      <c r="A328" s="1">
        <v>326</v>
      </c>
      <c r="B328" s="1">
        <v>381</v>
      </c>
      <c r="C328" s="1">
        <v>500</v>
      </c>
      <c r="D328" s="1">
        <v>33</v>
      </c>
    </row>
    <row r="329" spans="1:4">
      <c r="A329" s="1">
        <v>327</v>
      </c>
      <c r="B329" s="1">
        <v>382</v>
      </c>
      <c r="C329" s="1">
        <v>100</v>
      </c>
      <c r="D329" s="1">
        <v>34</v>
      </c>
    </row>
    <row r="330" spans="1:4">
      <c r="A330" s="1">
        <v>328</v>
      </c>
      <c r="B330" s="1">
        <v>383</v>
      </c>
      <c r="C330" s="1">
        <v>450</v>
      </c>
      <c r="D330" s="1">
        <v>38</v>
      </c>
    </row>
    <row r="331" spans="1:4">
      <c r="A331" s="1">
        <v>329</v>
      </c>
      <c r="B331" s="1">
        <v>384</v>
      </c>
      <c r="C331" s="1">
        <v>400</v>
      </c>
      <c r="D331" s="1">
        <v>39</v>
      </c>
    </row>
    <row r="332" spans="1:4">
      <c r="A332" s="1">
        <v>330</v>
      </c>
      <c r="B332" s="1">
        <v>385</v>
      </c>
      <c r="C332" s="1">
        <v>900</v>
      </c>
      <c r="D332" s="1">
        <v>43</v>
      </c>
    </row>
    <row r="333" spans="1:4">
      <c r="A333" s="1">
        <v>331</v>
      </c>
      <c r="B333" s="1">
        <v>386</v>
      </c>
      <c r="C333" s="1">
        <v>550</v>
      </c>
      <c r="D333" s="1">
        <v>30</v>
      </c>
    </row>
    <row r="334" spans="1:4">
      <c r="A334" s="1">
        <v>332</v>
      </c>
      <c r="B334" s="1">
        <v>387</v>
      </c>
      <c r="C334" s="1">
        <v>400</v>
      </c>
      <c r="D334" s="1">
        <v>31</v>
      </c>
    </row>
    <row r="335" spans="1:4">
      <c r="A335" s="1">
        <v>333</v>
      </c>
      <c r="B335" s="1">
        <v>388</v>
      </c>
      <c r="C335" s="1">
        <v>550</v>
      </c>
      <c r="D335" s="1">
        <v>45</v>
      </c>
    </row>
    <row r="336" spans="1:4">
      <c r="A336" s="1">
        <v>334</v>
      </c>
      <c r="B336" s="1">
        <v>389</v>
      </c>
      <c r="C336" s="1">
        <v>850</v>
      </c>
      <c r="D336" s="1">
        <v>4</v>
      </c>
    </row>
    <row r="337" spans="1:4">
      <c r="A337" s="1">
        <v>335</v>
      </c>
      <c r="B337" s="1">
        <v>390</v>
      </c>
      <c r="C337" s="1">
        <v>800</v>
      </c>
      <c r="D337" s="1">
        <v>33</v>
      </c>
    </row>
    <row r="338" spans="1:4">
      <c r="A338" s="1">
        <v>336</v>
      </c>
      <c r="B338" s="1">
        <v>391</v>
      </c>
      <c r="C338" s="1">
        <v>300</v>
      </c>
      <c r="D338" s="1">
        <v>38</v>
      </c>
    </row>
    <row r="339" spans="1:4">
      <c r="A339" s="1">
        <v>337</v>
      </c>
      <c r="B339" s="1">
        <v>392</v>
      </c>
      <c r="C339" s="1">
        <v>800</v>
      </c>
      <c r="D339" s="1">
        <v>39</v>
      </c>
    </row>
    <row r="340" spans="1:4">
      <c r="A340" s="1">
        <v>338</v>
      </c>
      <c r="B340" s="1">
        <v>393</v>
      </c>
      <c r="C340" s="1">
        <v>100</v>
      </c>
      <c r="D340" s="1">
        <v>41</v>
      </c>
    </row>
    <row r="341" spans="1:4">
      <c r="A341" s="1">
        <v>339</v>
      </c>
      <c r="B341" s="1">
        <v>394</v>
      </c>
      <c r="C341" s="1">
        <v>100</v>
      </c>
      <c r="D341" s="1">
        <v>42</v>
      </c>
    </row>
    <row r="342" spans="1:4">
      <c r="A342" s="1">
        <v>340</v>
      </c>
      <c r="B342" s="1">
        <v>395</v>
      </c>
      <c r="C342" s="1">
        <v>200</v>
      </c>
      <c r="D342" s="1">
        <v>43</v>
      </c>
    </row>
    <row r="343" spans="1:4">
      <c r="A343" s="1">
        <v>341</v>
      </c>
      <c r="B343" s="1">
        <v>396</v>
      </c>
      <c r="C343" s="1">
        <v>150</v>
      </c>
      <c r="D343" s="1">
        <v>4</v>
      </c>
    </row>
    <row r="344" spans="1:4">
      <c r="A344" s="1">
        <v>342</v>
      </c>
      <c r="B344" s="1">
        <v>397</v>
      </c>
      <c r="C344" s="1">
        <v>3200</v>
      </c>
      <c r="D344" s="1">
        <v>33</v>
      </c>
    </row>
    <row r="345" spans="1:4">
      <c r="A345" s="1">
        <v>343</v>
      </c>
      <c r="B345" s="1">
        <v>398</v>
      </c>
      <c r="C345" s="1">
        <v>300</v>
      </c>
      <c r="D345" s="1">
        <v>38</v>
      </c>
    </row>
    <row r="346" spans="1:4">
      <c r="A346" s="1">
        <v>344</v>
      </c>
      <c r="B346" s="1">
        <v>399</v>
      </c>
      <c r="C346" s="1">
        <v>440</v>
      </c>
      <c r="D346" s="1">
        <v>39</v>
      </c>
    </row>
    <row r="347" spans="1:4">
      <c r="A347" s="1">
        <v>345</v>
      </c>
      <c r="B347" s="1">
        <v>400</v>
      </c>
      <c r="C347" s="1">
        <v>2400</v>
      </c>
      <c r="D347" s="1">
        <v>43</v>
      </c>
    </row>
    <row r="348" spans="1:4">
      <c r="A348" s="1">
        <v>346</v>
      </c>
      <c r="B348" s="1">
        <v>401</v>
      </c>
      <c r="C348" s="1">
        <v>600</v>
      </c>
      <c r="D348" s="1">
        <v>30</v>
      </c>
    </row>
    <row r="349" spans="1:4">
      <c r="A349" s="1">
        <v>347</v>
      </c>
      <c r="B349" s="1">
        <v>402</v>
      </c>
      <c r="C349" s="1">
        <v>1000</v>
      </c>
      <c r="D349" s="1">
        <v>31</v>
      </c>
    </row>
    <row r="350" spans="1:4">
      <c r="A350" s="1">
        <v>348</v>
      </c>
      <c r="B350" s="1">
        <v>404</v>
      </c>
      <c r="C350" s="1">
        <v>100</v>
      </c>
      <c r="D350" s="1">
        <v>33</v>
      </c>
    </row>
    <row r="351" spans="1:4">
      <c r="A351" s="1">
        <v>349</v>
      </c>
      <c r="B351" s="1">
        <v>405</v>
      </c>
      <c r="C351" s="1">
        <v>150</v>
      </c>
      <c r="D351" s="1">
        <v>38</v>
      </c>
    </row>
    <row r="352" spans="1:4">
      <c r="A352" s="1">
        <v>350</v>
      </c>
      <c r="B352" s="1">
        <v>406</v>
      </c>
      <c r="C352" s="1">
        <v>1700</v>
      </c>
      <c r="D352" s="1">
        <v>43</v>
      </c>
    </row>
    <row r="353" spans="1:4">
      <c r="A353" s="1">
        <v>351</v>
      </c>
      <c r="B353" s="1">
        <v>407</v>
      </c>
      <c r="C353" s="1">
        <v>350</v>
      </c>
      <c r="D353" s="1">
        <v>44</v>
      </c>
    </row>
    <row r="354" spans="1:4">
      <c r="A354" s="1">
        <v>352</v>
      </c>
      <c r="B354" s="1">
        <v>408</v>
      </c>
      <c r="C354" s="1">
        <v>1850</v>
      </c>
      <c r="D354" s="1">
        <v>30</v>
      </c>
    </row>
    <row r="355" spans="1:4">
      <c r="A355" s="1">
        <v>353</v>
      </c>
      <c r="B355" s="1">
        <v>409</v>
      </c>
      <c r="C355" s="1">
        <v>500</v>
      </c>
      <c r="D355" s="1">
        <v>45</v>
      </c>
    </row>
    <row r="356" spans="1:4">
      <c r="A356" s="1">
        <v>354</v>
      </c>
      <c r="B356" s="1">
        <v>410</v>
      </c>
      <c r="C356" s="1">
        <v>2000</v>
      </c>
      <c r="D356" s="1">
        <v>43</v>
      </c>
    </row>
    <row r="357" spans="1:4">
      <c r="A357" s="1">
        <v>355</v>
      </c>
      <c r="B357" s="1">
        <v>411</v>
      </c>
      <c r="C357" s="1">
        <v>800</v>
      </c>
      <c r="D357" s="1">
        <v>44</v>
      </c>
    </row>
    <row r="358" spans="1:4">
      <c r="A358" s="1">
        <v>356</v>
      </c>
      <c r="B358" s="1">
        <v>412</v>
      </c>
      <c r="C358" s="1">
        <v>1200</v>
      </c>
      <c r="D358" s="1">
        <v>30</v>
      </c>
    </row>
    <row r="359" spans="1:4">
      <c r="A359" s="1">
        <v>357</v>
      </c>
      <c r="B359" s="1">
        <v>413</v>
      </c>
      <c r="C359" s="1">
        <v>400</v>
      </c>
      <c r="D359" s="1">
        <v>45</v>
      </c>
    </row>
    <row r="360" spans="1:4">
      <c r="A360" s="1">
        <v>358</v>
      </c>
      <c r="B360" s="1">
        <v>414</v>
      </c>
      <c r="C360" s="1">
        <v>214</v>
      </c>
      <c r="D360" s="1">
        <v>4</v>
      </c>
    </row>
    <row r="361" spans="1:4">
      <c r="A361" s="1">
        <v>359</v>
      </c>
      <c r="B361" s="1">
        <v>415</v>
      </c>
      <c r="C361" s="1">
        <v>173</v>
      </c>
      <c r="D361" s="1">
        <v>33</v>
      </c>
    </row>
    <row r="362" spans="1:4">
      <c r="A362" s="1">
        <v>360</v>
      </c>
      <c r="B362" s="1">
        <v>416</v>
      </c>
      <c r="C362" s="1">
        <v>1200</v>
      </c>
      <c r="D362" s="1">
        <v>43</v>
      </c>
    </row>
    <row r="363" spans="1:4">
      <c r="A363" s="1">
        <v>361</v>
      </c>
      <c r="B363" s="1">
        <v>417</v>
      </c>
      <c r="C363" s="1">
        <v>500</v>
      </c>
      <c r="D363" s="1">
        <v>44</v>
      </c>
    </row>
    <row r="364" spans="1:4">
      <c r="A364" s="1">
        <v>362</v>
      </c>
      <c r="B364" s="1">
        <v>418</v>
      </c>
      <c r="C364" s="1">
        <v>1700</v>
      </c>
      <c r="D364" s="1">
        <v>30</v>
      </c>
    </row>
    <row r="365" spans="1:4">
      <c r="A365" s="1">
        <v>363</v>
      </c>
      <c r="B365" s="1">
        <v>419</v>
      </c>
      <c r="C365" s="1">
        <v>100</v>
      </c>
      <c r="D365" s="1">
        <v>45</v>
      </c>
    </row>
    <row r="366" spans="1:4">
      <c r="A366" s="1">
        <v>364</v>
      </c>
      <c r="B366" s="1">
        <v>420</v>
      </c>
      <c r="C366" s="1">
        <v>900</v>
      </c>
      <c r="D366" s="1">
        <v>43</v>
      </c>
    </row>
    <row r="367" spans="1:4">
      <c r="A367" s="1">
        <v>365</v>
      </c>
      <c r="B367" s="1">
        <v>421</v>
      </c>
      <c r="C367" s="1">
        <v>600</v>
      </c>
      <c r="D367" s="1">
        <v>44</v>
      </c>
    </row>
    <row r="368" spans="1:4">
      <c r="A368" s="1">
        <v>366</v>
      </c>
      <c r="B368" s="1">
        <v>422</v>
      </c>
      <c r="C368" s="1">
        <v>850</v>
      </c>
      <c r="D368" s="1">
        <v>30</v>
      </c>
    </row>
    <row r="369" spans="1:4">
      <c r="A369" s="1">
        <v>367</v>
      </c>
      <c r="B369" s="1">
        <v>423</v>
      </c>
      <c r="C369" s="1">
        <v>500</v>
      </c>
      <c r="D369" s="1">
        <v>45</v>
      </c>
    </row>
    <row r="370" spans="1:4">
      <c r="A370" s="1">
        <v>368</v>
      </c>
      <c r="B370" s="1">
        <v>424</v>
      </c>
      <c r="C370" s="1">
        <v>1400</v>
      </c>
      <c r="D370" s="1">
        <v>43</v>
      </c>
    </row>
    <row r="371" spans="1:4">
      <c r="A371" s="1">
        <v>369</v>
      </c>
      <c r="B371" s="1">
        <v>425</v>
      </c>
      <c r="C371" s="1">
        <v>700</v>
      </c>
      <c r="D371" s="1">
        <v>44</v>
      </c>
    </row>
    <row r="372" spans="1:4">
      <c r="A372" s="1">
        <v>370</v>
      </c>
      <c r="B372" s="1">
        <v>426</v>
      </c>
      <c r="C372" s="1">
        <v>250</v>
      </c>
      <c r="D372" s="1">
        <v>31</v>
      </c>
    </row>
    <row r="373" spans="1:4">
      <c r="A373" s="1">
        <v>371</v>
      </c>
      <c r="B373" s="1">
        <v>427</v>
      </c>
      <c r="C373" s="1">
        <v>750</v>
      </c>
      <c r="D373" s="1">
        <v>45</v>
      </c>
    </row>
    <row r="374" spans="1:4">
      <c r="A374" s="1">
        <v>372</v>
      </c>
      <c r="B374" s="1">
        <v>428</v>
      </c>
      <c r="C374" s="1">
        <v>600</v>
      </c>
      <c r="D374" s="1">
        <v>43</v>
      </c>
    </row>
    <row r="375" spans="1:4">
      <c r="A375" s="1">
        <v>373</v>
      </c>
      <c r="B375" s="1">
        <v>429</v>
      </c>
      <c r="C375" s="1">
        <v>300</v>
      </c>
      <c r="D375" s="1">
        <v>44</v>
      </c>
    </row>
    <row r="376" spans="1:4">
      <c r="A376" s="1">
        <v>374</v>
      </c>
      <c r="B376" s="1">
        <v>430</v>
      </c>
      <c r="C376" s="1">
        <v>550</v>
      </c>
      <c r="D376" s="1">
        <v>30</v>
      </c>
    </row>
    <row r="377" spans="1:4">
      <c r="A377" s="1">
        <v>375</v>
      </c>
      <c r="B377" s="1">
        <v>431</v>
      </c>
      <c r="C377" s="1">
        <v>600</v>
      </c>
      <c r="D377" s="1">
        <v>31</v>
      </c>
    </row>
    <row r="378" spans="1:4">
      <c r="A378" s="1">
        <v>376</v>
      </c>
      <c r="B378" s="1">
        <v>432</v>
      </c>
      <c r="C378" s="1">
        <v>800</v>
      </c>
      <c r="D378" s="1">
        <v>45</v>
      </c>
    </row>
    <row r="379" spans="1:4">
      <c r="A379" s="1">
        <v>377</v>
      </c>
      <c r="B379" s="1">
        <v>433</v>
      </c>
      <c r="C379" s="1">
        <v>750</v>
      </c>
      <c r="D379" s="1">
        <v>43</v>
      </c>
    </row>
    <row r="380" spans="1:4">
      <c r="A380" s="1">
        <v>378</v>
      </c>
      <c r="B380" s="1">
        <v>434</v>
      </c>
      <c r="C380" s="1">
        <v>1100</v>
      </c>
      <c r="D380" s="1">
        <v>44</v>
      </c>
    </row>
    <row r="381" spans="1:4">
      <c r="A381" s="1">
        <v>379</v>
      </c>
      <c r="B381" s="1">
        <v>435</v>
      </c>
      <c r="C381" s="1">
        <v>300</v>
      </c>
      <c r="D381" s="1">
        <v>30</v>
      </c>
    </row>
    <row r="382" spans="1:4">
      <c r="A382" s="1">
        <v>380</v>
      </c>
      <c r="B382" s="1">
        <v>436</v>
      </c>
      <c r="C382" s="1">
        <v>550</v>
      </c>
      <c r="D382" s="1">
        <v>45</v>
      </c>
    </row>
    <row r="383" spans="1:4">
      <c r="A383" s="1">
        <v>381</v>
      </c>
      <c r="B383" s="1">
        <v>437</v>
      </c>
      <c r="C383" s="1">
        <v>150</v>
      </c>
      <c r="D383" s="1">
        <v>17</v>
      </c>
    </row>
    <row r="384" spans="1:4">
      <c r="A384" s="1">
        <v>382</v>
      </c>
      <c r="B384" s="1">
        <v>438</v>
      </c>
      <c r="C384" s="1">
        <v>300</v>
      </c>
      <c r="D384" s="1">
        <v>47</v>
      </c>
    </row>
    <row r="385" spans="1:4">
      <c r="A385" s="1">
        <v>383</v>
      </c>
      <c r="B385" s="1">
        <v>439</v>
      </c>
      <c r="C385" s="1">
        <v>1100</v>
      </c>
      <c r="D385" s="1">
        <v>43</v>
      </c>
    </row>
    <row r="386" spans="1:4">
      <c r="A386" s="1">
        <v>384</v>
      </c>
      <c r="B386" s="1">
        <v>440</v>
      </c>
      <c r="C386" s="1">
        <v>1500</v>
      </c>
      <c r="D386" s="1">
        <v>30</v>
      </c>
    </row>
    <row r="387" spans="1:4">
      <c r="A387" s="1">
        <v>385</v>
      </c>
      <c r="B387" s="1">
        <v>441</v>
      </c>
      <c r="C387" s="1">
        <v>50</v>
      </c>
      <c r="D387" s="1">
        <v>31</v>
      </c>
    </row>
    <row r="388" spans="1:4">
      <c r="A388" s="1">
        <v>386</v>
      </c>
      <c r="B388" s="1">
        <v>442</v>
      </c>
      <c r="C388" s="1">
        <v>650</v>
      </c>
      <c r="D388" s="1">
        <v>45</v>
      </c>
    </row>
    <row r="389" spans="1:4">
      <c r="A389" s="1">
        <v>387</v>
      </c>
      <c r="B389" s="1">
        <v>443</v>
      </c>
      <c r="C389" s="1">
        <v>400</v>
      </c>
      <c r="D389" s="1">
        <v>47</v>
      </c>
    </row>
    <row r="390" spans="1:4">
      <c r="A390" s="1">
        <v>388</v>
      </c>
      <c r="B390" s="1">
        <v>444</v>
      </c>
      <c r="C390" s="1">
        <v>1450</v>
      </c>
      <c r="D390" s="1">
        <v>43</v>
      </c>
    </row>
    <row r="391" spans="1:4">
      <c r="A391" s="1">
        <v>389</v>
      </c>
      <c r="B391" s="1">
        <v>445</v>
      </c>
      <c r="C391" s="1">
        <v>500</v>
      </c>
      <c r="D391" s="1">
        <v>44</v>
      </c>
    </row>
    <row r="392" spans="1:4">
      <c r="A392" s="1">
        <v>390</v>
      </c>
      <c r="B392" s="1">
        <v>446</v>
      </c>
      <c r="C392" s="1">
        <v>1500</v>
      </c>
      <c r="D392" s="1">
        <v>30</v>
      </c>
    </row>
    <row r="393" spans="1:4">
      <c r="A393" s="1">
        <v>391</v>
      </c>
      <c r="B393" s="1">
        <v>447</v>
      </c>
      <c r="C393" s="1">
        <v>150</v>
      </c>
      <c r="D393" s="1">
        <v>43</v>
      </c>
    </row>
    <row r="394" spans="1:4">
      <c r="A394" s="1">
        <v>392</v>
      </c>
      <c r="B394" s="1">
        <v>448</v>
      </c>
      <c r="C394" s="1">
        <v>600</v>
      </c>
      <c r="D394" s="1">
        <v>44</v>
      </c>
    </row>
    <row r="395" spans="1:4">
      <c r="A395" s="1">
        <v>393</v>
      </c>
      <c r="B395" s="1">
        <v>449</v>
      </c>
      <c r="C395" s="1">
        <v>1500</v>
      </c>
      <c r="D395" s="1">
        <v>30</v>
      </c>
    </row>
    <row r="396" spans="1:4">
      <c r="A396" s="1">
        <v>394</v>
      </c>
      <c r="B396" s="1">
        <v>450</v>
      </c>
      <c r="C396" s="1">
        <v>1750</v>
      </c>
      <c r="D396" s="1">
        <v>45</v>
      </c>
    </row>
    <row r="397" spans="1:4">
      <c r="A397" s="1">
        <v>395</v>
      </c>
      <c r="B397" s="1">
        <v>451</v>
      </c>
      <c r="C397" s="1">
        <v>3000</v>
      </c>
      <c r="D397" s="1">
        <v>30</v>
      </c>
    </row>
    <row r="398" spans="1:4">
      <c r="A398" s="1">
        <v>396</v>
      </c>
      <c r="B398" s="1">
        <v>452</v>
      </c>
      <c r="C398" s="1">
        <v>750</v>
      </c>
      <c r="D398" s="1">
        <v>45</v>
      </c>
    </row>
    <row r="399" spans="1:4">
      <c r="A399" s="1">
        <v>397</v>
      </c>
      <c r="B399" s="1">
        <v>453</v>
      </c>
      <c r="C399" s="1">
        <v>75</v>
      </c>
      <c r="D399" s="1">
        <v>38</v>
      </c>
    </row>
    <row r="400" spans="1:4">
      <c r="A400" s="1">
        <v>398</v>
      </c>
      <c r="B400" s="1">
        <v>454</v>
      </c>
      <c r="C400" s="1">
        <v>400</v>
      </c>
      <c r="D400" s="1">
        <v>46</v>
      </c>
    </row>
    <row r="401" spans="1:4">
      <c r="A401" s="1">
        <v>399</v>
      </c>
      <c r="B401" s="1">
        <v>455</v>
      </c>
      <c r="C401" s="1">
        <v>2700</v>
      </c>
      <c r="D401" s="1">
        <v>43</v>
      </c>
    </row>
    <row r="402" spans="1:4">
      <c r="A402" s="1">
        <v>400</v>
      </c>
      <c r="B402" s="1">
        <v>456</v>
      </c>
      <c r="C402" s="1">
        <v>700</v>
      </c>
      <c r="D402" s="1">
        <v>44</v>
      </c>
    </row>
    <row r="403" spans="1:4">
      <c r="A403" s="1">
        <v>401</v>
      </c>
      <c r="B403" s="1">
        <v>458</v>
      </c>
      <c r="C403" s="1">
        <v>1650</v>
      </c>
      <c r="D403" s="1">
        <v>43</v>
      </c>
    </row>
    <row r="404" spans="1:4">
      <c r="A404" s="1">
        <v>402</v>
      </c>
      <c r="B404" s="1">
        <v>459</v>
      </c>
      <c r="C404" s="1">
        <v>800</v>
      </c>
      <c r="D404" s="1">
        <v>44</v>
      </c>
    </row>
    <row r="405" spans="1:4">
      <c r="A405" s="1">
        <v>403</v>
      </c>
      <c r="B405" s="1">
        <v>460</v>
      </c>
      <c r="C405" s="1">
        <v>700</v>
      </c>
      <c r="D405" s="1">
        <v>30</v>
      </c>
    </row>
    <row r="406" spans="1:4">
      <c r="A406" s="1">
        <v>404</v>
      </c>
      <c r="B406" s="1">
        <v>461</v>
      </c>
      <c r="C406" s="1">
        <v>600</v>
      </c>
      <c r="D406" s="1">
        <v>45</v>
      </c>
    </row>
    <row r="407" spans="1:4">
      <c r="A407" s="1">
        <v>405</v>
      </c>
      <c r="B407" s="1">
        <v>462</v>
      </c>
      <c r="C407" s="1">
        <v>1100</v>
      </c>
      <c r="D407" s="1">
        <v>43</v>
      </c>
    </row>
    <row r="408" spans="1:4">
      <c r="A408" s="1">
        <v>406</v>
      </c>
      <c r="B408" s="1">
        <v>463</v>
      </c>
      <c r="C408" s="1">
        <v>50</v>
      </c>
      <c r="D408" s="1">
        <v>44</v>
      </c>
    </row>
    <row r="409" spans="1:4">
      <c r="A409" s="1">
        <v>407</v>
      </c>
      <c r="B409" s="1">
        <v>464</v>
      </c>
      <c r="C409" s="1">
        <v>2200</v>
      </c>
      <c r="D409" s="1">
        <v>30</v>
      </c>
    </row>
    <row r="410" spans="1:4">
      <c r="A410" s="1">
        <v>408</v>
      </c>
      <c r="B410" s="1">
        <v>465</v>
      </c>
      <c r="C410" s="1">
        <v>200</v>
      </c>
      <c r="D410" s="1">
        <v>45</v>
      </c>
    </row>
    <row r="411" spans="1:4">
      <c r="A411" s="1">
        <v>409</v>
      </c>
      <c r="B411" s="1">
        <v>466</v>
      </c>
      <c r="C411" s="1">
        <v>750</v>
      </c>
      <c r="D411" s="1">
        <v>48</v>
      </c>
    </row>
    <row r="412" spans="1:4">
      <c r="A412" s="1">
        <v>410</v>
      </c>
      <c r="B412" s="1">
        <v>467</v>
      </c>
      <c r="C412" s="1">
        <v>10</v>
      </c>
      <c r="D412" s="1">
        <v>49</v>
      </c>
    </row>
    <row r="413" spans="1:4">
      <c r="A413" s="1">
        <v>411</v>
      </c>
      <c r="B413" s="1">
        <v>468</v>
      </c>
      <c r="C413" s="1">
        <v>1800</v>
      </c>
      <c r="D413" s="1">
        <v>43</v>
      </c>
    </row>
    <row r="414" spans="1:4">
      <c r="A414" s="1">
        <v>412</v>
      </c>
      <c r="B414" s="1">
        <v>469</v>
      </c>
      <c r="C414" s="1">
        <v>1500</v>
      </c>
      <c r="D414" s="1">
        <v>48</v>
      </c>
    </row>
    <row r="415" spans="1:4">
      <c r="A415" s="1">
        <v>413</v>
      </c>
      <c r="B415" s="1">
        <v>470</v>
      </c>
      <c r="C415" s="1">
        <v>1200</v>
      </c>
      <c r="D415" s="1">
        <v>43</v>
      </c>
    </row>
    <row r="416" spans="1:4">
      <c r="A416" s="1">
        <v>414</v>
      </c>
      <c r="B416" s="1">
        <v>471</v>
      </c>
      <c r="C416" s="1">
        <v>100</v>
      </c>
      <c r="D416" s="1">
        <v>31</v>
      </c>
    </row>
    <row r="417" spans="1:4">
      <c r="A417" s="1">
        <v>415</v>
      </c>
      <c r="B417" s="1">
        <v>472</v>
      </c>
      <c r="C417" s="1">
        <v>75</v>
      </c>
      <c r="D417" s="1">
        <v>48</v>
      </c>
    </row>
    <row r="418" spans="1:4">
      <c r="A418" s="1">
        <v>416</v>
      </c>
      <c r="B418" s="1">
        <v>473</v>
      </c>
      <c r="C418" s="1">
        <v>500</v>
      </c>
      <c r="D418" s="1">
        <v>49</v>
      </c>
    </row>
    <row r="419" spans="1:4">
      <c r="A419" s="1">
        <v>417</v>
      </c>
      <c r="B419" s="1">
        <v>474</v>
      </c>
      <c r="C419" s="1">
        <v>1100</v>
      </c>
      <c r="D419" s="1">
        <v>43</v>
      </c>
    </row>
    <row r="420" spans="1:4">
      <c r="A420" s="1">
        <v>418</v>
      </c>
      <c r="B420" s="1">
        <v>475</v>
      </c>
      <c r="C420" s="1">
        <v>200</v>
      </c>
      <c r="D420" s="1">
        <v>30</v>
      </c>
    </row>
    <row r="421" spans="1:4">
      <c r="A421" s="1">
        <v>419</v>
      </c>
      <c r="B421" s="1">
        <v>476</v>
      </c>
      <c r="C421" s="1">
        <v>375</v>
      </c>
      <c r="D421" s="1">
        <v>48</v>
      </c>
    </row>
    <row r="422" spans="1:4">
      <c r="A422" s="1">
        <v>420</v>
      </c>
      <c r="B422" s="1">
        <v>477</v>
      </c>
      <c r="C422" s="1">
        <v>500</v>
      </c>
      <c r="D422" s="1">
        <v>49</v>
      </c>
    </row>
    <row r="423" spans="1:4">
      <c r="A423" s="1">
        <v>421</v>
      </c>
      <c r="B423" s="1">
        <v>478</v>
      </c>
      <c r="C423" s="1">
        <v>200</v>
      </c>
      <c r="D423" s="1">
        <v>43</v>
      </c>
    </row>
    <row r="424" spans="1:4">
      <c r="A424" s="1">
        <v>422</v>
      </c>
      <c r="B424" s="1">
        <v>479</v>
      </c>
      <c r="C424" s="1">
        <v>1500</v>
      </c>
      <c r="D424" s="1">
        <v>45</v>
      </c>
    </row>
    <row r="425" spans="1:4">
      <c r="A425" s="1">
        <v>423</v>
      </c>
      <c r="B425" s="1">
        <v>480</v>
      </c>
      <c r="C425" s="1">
        <v>225</v>
      </c>
      <c r="D425" s="1">
        <v>48</v>
      </c>
    </row>
    <row r="426" spans="1:4">
      <c r="A426" s="1">
        <v>424</v>
      </c>
      <c r="B426" s="1">
        <v>481</v>
      </c>
      <c r="C426" s="1">
        <v>1000</v>
      </c>
      <c r="D426" s="1">
        <v>49</v>
      </c>
    </row>
    <row r="427" spans="1:4">
      <c r="A427" s="1">
        <v>425</v>
      </c>
      <c r="B427" s="1">
        <v>482</v>
      </c>
      <c r="C427" s="1">
        <v>900</v>
      </c>
      <c r="D427" s="1">
        <v>50</v>
      </c>
    </row>
    <row r="428" spans="1:4">
      <c r="A428" s="1">
        <v>426</v>
      </c>
      <c r="B428" s="1">
        <v>483</v>
      </c>
      <c r="C428" s="1">
        <v>300</v>
      </c>
      <c r="D428" s="1">
        <v>52</v>
      </c>
    </row>
    <row r="429" spans="1:4">
      <c r="A429" s="1">
        <v>427</v>
      </c>
      <c r="B429" s="1">
        <v>484</v>
      </c>
      <c r="C429" s="1">
        <v>200</v>
      </c>
      <c r="D429" s="1">
        <v>45</v>
      </c>
    </row>
    <row r="430" spans="1:4">
      <c r="A430" s="1">
        <v>428</v>
      </c>
      <c r="B430" s="1">
        <v>485</v>
      </c>
      <c r="C430" s="1">
        <v>950</v>
      </c>
      <c r="D430" s="1">
        <v>49</v>
      </c>
    </row>
    <row r="431" spans="1:4">
      <c r="A431" s="1">
        <v>429</v>
      </c>
      <c r="B431" s="1">
        <v>486</v>
      </c>
      <c r="C431" s="1">
        <v>675</v>
      </c>
      <c r="D431" s="1">
        <v>50</v>
      </c>
    </row>
    <row r="432" spans="1:4">
      <c r="A432" s="1">
        <v>430</v>
      </c>
      <c r="B432" s="1">
        <v>487</v>
      </c>
      <c r="C432" s="1">
        <v>1700</v>
      </c>
      <c r="D432" s="1">
        <v>43</v>
      </c>
    </row>
    <row r="433" spans="1:4">
      <c r="A433" s="1">
        <v>431</v>
      </c>
      <c r="B433" s="1">
        <v>488</v>
      </c>
      <c r="C433" s="1">
        <v>50</v>
      </c>
      <c r="D433" s="1">
        <v>44</v>
      </c>
    </row>
    <row r="434" spans="1:4">
      <c r="A434" s="1">
        <v>432</v>
      </c>
      <c r="B434" s="1">
        <v>489</v>
      </c>
      <c r="C434" s="1">
        <v>1500</v>
      </c>
      <c r="D434" s="1">
        <v>48</v>
      </c>
    </row>
    <row r="435" spans="1:4">
      <c r="A435" s="1">
        <v>433</v>
      </c>
      <c r="B435" s="1">
        <v>490</v>
      </c>
      <c r="C435" s="1">
        <v>200</v>
      </c>
      <c r="D435" s="1">
        <v>49</v>
      </c>
    </row>
    <row r="436" spans="1:4">
      <c r="A436" s="1">
        <v>434</v>
      </c>
      <c r="B436" s="1">
        <v>491</v>
      </c>
      <c r="C436" s="1">
        <v>800</v>
      </c>
      <c r="D436" s="1">
        <v>51</v>
      </c>
    </row>
    <row r="437" spans="1:4">
      <c r="A437" s="1">
        <v>435</v>
      </c>
      <c r="B437" s="1">
        <v>492</v>
      </c>
      <c r="C437" s="1">
        <v>900</v>
      </c>
      <c r="D437" s="1">
        <v>43</v>
      </c>
    </row>
    <row r="438" spans="1:4">
      <c r="A438" s="1">
        <v>436</v>
      </c>
      <c r="B438" s="1">
        <v>493</v>
      </c>
      <c r="C438" s="1">
        <v>300</v>
      </c>
      <c r="D438" s="1">
        <v>49</v>
      </c>
    </row>
    <row r="439" spans="1:4">
      <c r="A439" s="1">
        <v>437</v>
      </c>
      <c r="B439" s="1">
        <v>494</v>
      </c>
      <c r="C439" s="1">
        <v>600</v>
      </c>
      <c r="D439" s="1">
        <v>51</v>
      </c>
    </row>
    <row r="440" spans="1:4">
      <c r="A440" s="1">
        <v>438</v>
      </c>
      <c r="B440" s="1">
        <v>495</v>
      </c>
      <c r="C440" s="1">
        <v>1500</v>
      </c>
      <c r="D440" s="1">
        <v>43</v>
      </c>
    </row>
    <row r="441" spans="1:4">
      <c r="A441" s="1">
        <v>439</v>
      </c>
      <c r="B441" s="1">
        <v>496</v>
      </c>
      <c r="C441" s="1">
        <v>1500</v>
      </c>
      <c r="D441" s="1">
        <v>52</v>
      </c>
    </row>
    <row r="442" spans="1:4">
      <c r="A442" s="1">
        <v>440</v>
      </c>
      <c r="B442" s="1">
        <v>497</v>
      </c>
      <c r="C442" s="1">
        <v>135</v>
      </c>
      <c r="D442" s="1">
        <v>45</v>
      </c>
    </row>
    <row r="443" spans="1:4">
      <c r="A443" s="18"/>
      <c r="B443" s="18"/>
      <c r="C443" s="18"/>
      <c r="D443" s="18"/>
    </row>
    <row r="444" spans="1:4">
      <c r="A444" s="18"/>
      <c r="B444" s="18">
        <v>2.54</v>
      </c>
      <c r="C444" s="18" t="s">
        <v>306</v>
      </c>
      <c r="D444" s="18">
        <v>1.73</v>
      </c>
    </row>
    <row r="445" spans="1:4">
      <c r="A445" s="18"/>
      <c r="B445" s="18" t="s">
        <v>306</v>
      </c>
      <c r="C445" s="18" t="s">
        <v>306</v>
      </c>
      <c r="D445" s="18" t="s">
        <v>306</v>
      </c>
    </row>
    <row r="446" spans="1:4">
      <c r="A446" s="18"/>
      <c r="B446" s="18" t="s">
        <v>306</v>
      </c>
      <c r="C446" s="18" t="s">
        <v>306</v>
      </c>
      <c r="D446" s="18" t="s">
        <v>306</v>
      </c>
    </row>
    <row r="447" spans="1:4">
      <c r="A447" s="18"/>
      <c r="B447" s="18">
        <v>1.73</v>
      </c>
      <c r="C447" s="18">
        <v>3.14</v>
      </c>
      <c r="D447" s="18" t="s">
        <v>306</v>
      </c>
    </row>
    <row r="448" spans="1:4">
      <c r="A448" s="18"/>
      <c r="B448" s="18" t="s">
        <v>306</v>
      </c>
      <c r="C448" s="18" t="s">
        <v>306</v>
      </c>
      <c r="D448" s="18">
        <v>3.14</v>
      </c>
    </row>
    <row r="449" spans="1:4">
      <c r="A449" s="18"/>
      <c r="B449" s="18" t="s">
        <v>306</v>
      </c>
      <c r="C449" s="18">
        <v>1.84</v>
      </c>
      <c r="D449" s="18" t="s">
        <v>306</v>
      </c>
    </row>
    <row r="450" spans="1:4">
      <c r="A450" s="18"/>
      <c r="B450" s="18" t="s">
        <v>306</v>
      </c>
      <c r="C450" s="18" t="s">
        <v>306</v>
      </c>
      <c r="D450" s="18">
        <v>1.84</v>
      </c>
    </row>
    <row r="451" spans="1:4">
      <c r="A451" s="18"/>
      <c r="B451" s="18">
        <v>3.14</v>
      </c>
      <c r="C451" s="18">
        <v>4.68</v>
      </c>
      <c r="D451" s="18" t="s">
        <v>306</v>
      </c>
    </row>
    <row r="452" spans="1:4">
      <c r="A452" s="18"/>
      <c r="B452" s="18" t="s">
        <v>306</v>
      </c>
      <c r="C452" s="18" t="s">
        <v>306</v>
      </c>
      <c r="D452" s="18">
        <v>4.68</v>
      </c>
    </row>
    <row r="453" spans="1:4">
      <c r="A453" s="18"/>
      <c r="B453" s="18">
        <v>1.84</v>
      </c>
      <c r="C453" s="18" t="s">
        <v>306</v>
      </c>
      <c r="D453" s="18" t="s">
        <v>306</v>
      </c>
    </row>
    <row r="454" spans="1:4">
      <c r="A454" s="18"/>
      <c r="B454" s="18" t="s">
        <v>306</v>
      </c>
      <c r="C454" s="18" t="s">
        <v>306</v>
      </c>
      <c r="D454" s="18" t="s">
        <v>306</v>
      </c>
    </row>
    <row r="455" spans="1:4">
      <c r="A455" s="18"/>
      <c r="B455" s="18">
        <v>4.68</v>
      </c>
      <c r="C455" s="18">
        <v>6.14</v>
      </c>
      <c r="D455" s="18" t="s">
        <v>306</v>
      </c>
    </row>
    <row r="456" spans="1:4">
      <c r="A456" s="18"/>
      <c r="B456" s="18" t="s">
        <v>306</v>
      </c>
      <c r="C456" s="18" t="s">
        <v>306</v>
      </c>
      <c r="D456" s="18">
        <v>6.14</v>
      </c>
    </row>
    <row r="457" spans="1:4">
      <c r="A457" s="18"/>
      <c r="B457" s="18" t="s">
        <v>306</v>
      </c>
      <c r="C457" s="18">
        <v>10.42</v>
      </c>
      <c r="D457" s="18" t="s">
        <v>306</v>
      </c>
    </row>
    <row r="458" spans="1:4">
      <c r="A458" s="18"/>
      <c r="B458" s="18" t="s">
        <v>306</v>
      </c>
      <c r="C458" s="18">
        <v>10.72</v>
      </c>
      <c r="D458" s="18">
        <v>10.42</v>
      </c>
    </row>
    <row r="459" spans="1:4">
      <c r="A459" s="18"/>
      <c r="B459" s="18">
        <v>6.14</v>
      </c>
      <c r="C459" s="18" t="s">
        <v>306</v>
      </c>
      <c r="D459" s="18">
        <v>10.72</v>
      </c>
    </row>
    <row r="460" spans="1:4">
      <c r="A460" s="18"/>
      <c r="B460" s="18" t="s">
        <v>306</v>
      </c>
      <c r="C460" s="18">
        <v>6.98</v>
      </c>
      <c r="D460" s="18" t="s">
        <v>306</v>
      </c>
    </row>
    <row r="461" spans="1:4">
      <c r="A461" s="18"/>
      <c r="B461" s="18">
        <v>10.42</v>
      </c>
      <c r="C461" s="18" t="s">
        <v>306</v>
      </c>
      <c r="D461" s="18">
        <v>6.98</v>
      </c>
    </row>
    <row r="462" spans="1:4">
      <c r="A462" s="18"/>
      <c r="B462" s="18">
        <v>10.72</v>
      </c>
      <c r="C462" s="18" t="s">
        <v>306</v>
      </c>
      <c r="D462" s="18" t="s">
        <v>306</v>
      </c>
    </row>
    <row r="463" spans="1:4">
      <c r="A463" s="18"/>
      <c r="B463" s="18" t="s">
        <v>306</v>
      </c>
      <c r="C463" s="18" t="s">
        <v>306</v>
      </c>
      <c r="D463" s="18" t="s">
        <v>306</v>
      </c>
    </row>
    <row r="464" spans="1:4">
      <c r="A464" s="18"/>
      <c r="B464" s="18">
        <v>6.98</v>
      </c>
      <c r="C464" s="18" t="s">
        <v>306</v>
      </c>
      <c r="D464" s="18" t="s">
        <v>306</v>
      </c>
    </row>
    <row r="465" spans="1:4">
      <c r="A465" s="18"/>
      <c r="B465" s="18" t="s">
        <v>306</v>
      </c>
      <c r="C465" s="18" t="s">
        <v>306</v>
      </c>
      <c r="D465" s="18" t="s">
        <v>306</v>
      </c>
    </row>
    <row r="466" spans="1:4">
      <c r="A466" s="18"/>
      <c r="B466" s="18" t="s">
        <v>306</v>
      </c>
      <c r="C466" s="18" t="s">
        <v>306</v>
      </c>
      <c r="D466" s="18" t="s">
        <v>306</v>
      </c>
    </row>
    <row r="467" spans="1:4">
      <c r="A467" s="18"/>
      <c r="B467" s="18" t="s">
        <v>306</v>
      </c>
      <c r="C467" s="18" t="s">
        <v>306</v>
      </c>
      <c r="D467" s="18" t="s">
        <v>306</v>
      </c>
    </row>
    <row r="468" spans="1:4">
      <c r="A468" s="18"/>
      <c r="B468" s="18" t="s">
        <v>306</v>
      </c>
      <c r="C468" s="18" t="s">
        <v>306</v>
      </c>
      <c r="D468" s="18" t="s">
        <v>306</v>
      </c>
    </row>
    <row r="469" spans="1:4">
      <c r="A469" s="18"/>
      <c r="B469" s="18" t="s">
        <v>306</v>
      </c>
      <c r="C469" s="18" t="s">
        <v>306</v>
      </c>
      <c r="D469" s="18" t="s">
        <v>306</v>
      </c>
    </row>
    <row r="470" spans="1:4">
      <c r="A470" s="18"/>
      <c r="B470" s="18" t="s">
        <v>306</v>
      </c>
      <c r="C470" s="18" t="s">
        <v>306</v>
      </c>
      <c r="D470" s="18" t="s">
        <v>306</v>
      </c>
    </row>
    <row r="471" spans="1:4">
      <c r="A471" s="18"/>
      <c r="B471" s="18" t="s">
        <v>306</v>
      </c>
      <c r="C471" s="18" t="s">
        <v>306</v>
      </c>
      <c r="D471" s="18" t="s">
        <v>306</v>
      </c>
    </row>
    <row r="472" spans="1:4">
      <c r="A472" s="18"/>
      <c r="B472" s="18" t="s">
        <v>306</v>
      </c>
      <c r="C472" s="18" t="s">
        <v>306</v>
      </c>
      <c r="D472" s="18" t="s">
        <v>306</v>
      </c>
    </row>
    <row r="473" spans="1:4">
      <c r="A473" s="18"/>
      <c r="B473" s="18" t="s">
        <v>306</v>
      </c>
      <c r="C473" s="18">
        <v>7.96</v>
      </c>
      <c r="D473" s="18" t="s">
        <v>306</v>
      </c>
    </row>
    <row r="474" spans="1:4">
      <c r="A474" s="18"/>
      <c r="B474" s="18" t="s">
        <v>306</v>
      </c>
      <c r="C474" s="18">
        <v>9.2200000000000006</v>
      </c>
      <c r="D474" s="18">
        <v>7.96</v>
      </c>
    </row>
    <row r="475" spans="1:4">
      <c r="A475" s="18"/>
      <c r="B475" s="18" t="s">
        <v>306</v>
      </c>
      <c r="C475" s="18">
        <v>7.06</v>
      </c>
      <c r="D475" s="18">
        <v>9.2200000000000006</v>
      </c>
    </row>
    <row r="476" spans="1:4">
      <c r="A476" s="18"/>
      <c r="B476" s="18" t="s">
        <v>306</v>
      </c>
      <c r="C476" s="18" t="s">
        <v>306</v>
      </c>
      <c r="D476" s="18">
        <v>7.06</v>
      </c>
    </row>
    <row r="477" spans="1:4">
      <c r="A477" s="18"/>
      <c r="B477" s="18">
        <v>7.96</v>
      </c>
      <c r="C477" s="18">
        <v>2.9</v>
      </c>
      <c r="D477" s="18" t="s">
        <v>306</v>
      </c>
    </row>
    <row r="478" spans="1:4">
      <c r="A478" s="18"/>
      <c r="B478" s="18">
        <v>9.2200000000000006</v>
      </c>
      <c r="C478" s="18">
        <v>2.96</v>
      </c>
      <c r="D478" s="18">
        <v>2.9</v>
      </c>
    </row>
    <row r="479" spans="1:4">
      <c r="A479" s="18"/>
      <c r="B479" s="18">
        <v>7.06</v>
      </c>
      <c r="C479" s="18">
        <v>78.290000000000006</v>
      </c>
      <c r="D479" s="18">
        <v>2.96</v>
      </c>
    </row>
    <row r="480" spans="1:4">
      <c r="A480" s="18"/>
      <c r="B480" s="18" t="s">
        <v>306</v>
      </c>
      <c r="C480" s="18"/>
      <c r="D480" s="18">
        <v>78.290000000000006</v>
      </c>
    </row>
    <row r="481" spans="1:4">
      <c r="A481" s="18"/>
      <c r="B481" s="18" t="s">
        <v>306</v>
      </c>
      <c r="C481" s="18"/>
      <c r="D481" s="18">
        <v>78.290000000000006</v>
      </c>
    </row>
    <row r="482" spans="1:4">
      <c r="A482" s="18"/>
      <c r="B482" s="18"/>
      <c r="C482" s="18"/>
      <c r="D482" s="18"/>
    </row>
    <row r="483" spans="1:4">
      <c r="A483" s="18"/>
      <c r="B483" s="18">
        <v>2.54</v>
      </c>
      <c r="C483" s="18" t="s">
        <v>306</v>
      </c>
      <c r="D483" s="18">
        <v>1.73</v>
      </c>
    </row>
    <row r="484" spans="1:4">
      <c r="A484" s="18"/>
      <c r="B484" s="18">
        <v>1.73</v>
      </c>
      <c r="C484" s="18">
        <v>3.14</v>
      </c>
      <c r="D484" s="18" t="s">
        <v>306</v>
      </c>
    </row>
    <row r="485" spans="1:4">
      <c r="A485" s="18"/>
      <c r="B485" s="18">
        <v>3.14</v>
      </c>
      <c r="C485" s="18">
        <v>4.68</v>
      </c>
      <c r="D485" s="18" t="s">
        <v>306</v>
      </c>
    </row>
    <row r="486" spans="1:4">
      <c r="A486" s="18"/>
      <c r="B486" s="18">
        <v>1.84</v>
      </c>
      <c r="C486" s="18" t="s">
        <v>306</v>
      </c>
      <c r="D486" s="18" t="s">
        <v>306</v>
      </c>
    </row>
    <row r="487" spans="1:4">
      <c r="A487" s="18"/>
      <c r="B487" s="18">
        <v>4.68</v>
      </c>
      <c r="C487" s="18">
        <v>6.14</v>
      </c>
      <c r="D487" s="18" t="s">
        <v>306</v>
      </c>
    </row>
    <row r="488" spans="1:4">
      <c r="A488" s="18"/>
      <c r="B488" s="18">
        <v>6.14</v>
      </c>
      <c r="C488" s="18" t="s">
        <v>306</v>
      </c>
      <c r="D488" s="18">
        <v>10.72</v>
      </c>
    </row>
    <row r="489" spans="1:4">
      <c r="A489" s="18"/>
      <c r="B489" s="18">
        <v>10.42</v>
      </c>
      <c r="C489" s="18" t="s">
        <v>306</v>
      </c>
      <c r="D489" s="18">
        <v>6.98</v>
      </c>
    </row>
    <row r="490" spans="1:4">
      <c r="A490" s="18"/>
      <c r="B490" s="18">
        <v>10.72</v>
      </c>
      <c r="C490" s="18" t="s">
        <v>306</v>
      </c>
      <c r="D490" s="18" t="s">
        <v>306</v>
      </c>
    </row>
    <row r="491" spans="1:4">
      <c r="A491" s="18"/>
      <c r="B491" s="18">
        <v>6.98</v>
      </c>
      <c r="C491" s="18" t="s">
        <v>306</v>
      </c>
      <c r="D491" s="18" t="s">
        <v>306</v>
      </c>
    </row>
    <row r="492" spans="1:4">
      <c r="A492" s="18"/>
      <c r="B492" s="18">
        <v>7.96</v>
      </c>
      <c r="C492" s="18">
        <v>2.9</v>
      </c>
      <c r="D492" s="18" t="s">
        <v>306</v>
      </c>
    </row>
    <row r="493" spans="1:4">
      <c r="A493" s="18"/>
      <c r="B493" s="18">
        <v>9.2200000000000006</v>
      </c>
      <c r="C493" s="18">
        <v>2.96</v>
      </c>
      <c r="D493" s="18">
        <v>2.9</v>
      </c>
    </row>
    <row r="494" spans="1:4">
      <c r="A494" s="18"/>
      <c r="B494" s="18">
        <v>7.06</v>
      </c>
      <c r="C494" s="18">
        <v>78.290000000000006</v>
      </c>
      <c r="D494" s="18">
        <v>2.96</v>
      </c>
    </row>
    <row r="495" spans="1:4">
      <c r="A495" s="18"/>
      <c r="B495" s="18">
        <v>7.06</v>
      </c>
      <c r="C495" s="18">
        <v>78.290000000000006</v>
      </c>
      <c r="D495" s="18">
        <v>2.96</v>
      </c>
    </row>
    <row r="496" spans="1:4">
      <c r="A496" s="18"/>
      <c r="B496" s="18"/>
      <c r="C496" s="18"/>
      <c r="D496" s="18"/>
    </row>
    <row r="497" spans="1:4">
      <c r="A497" s="18"/>
      <c r="B497" s="18">
        <v>2.54</v>
      </c>
      <c r="C497" s="18" t="s">
        <v>306</v>
      </c>
      <c r="D497" s="18">
        <v>1.73</v>
      </c>
    </row>
    <row r="498" spans="1:4">
      <c r="A498" s="18"/>
      <c r="B498" s="18">
        <v>1.73</v>
      </c>
      <c r="C498" s="18">
        <v>3.14</v>
      </c>
      <c r="D498" s="18" t="s">
        <v>306</v>
      </c>
    </row>
    <row r="499" spans="1:4">
      <c r="A499" s="18"/>
      <c r="B499" s="18">
        <v>3.14</v>
      </c>
      <c r="C499" s="18">
        <v>4.68</v>
      </c>
      <c r="D499" s="18" t="s">
        <v>306</v>
      </c>
    </row>
    <row r="500" spans="1:4">
      <c r="A500" s="18"/>
      <c r="B500" s="18">
        <v>1.84</v>
      </c>
      <c r="C500" s="18" t="s">
        <v>306</v>
      </c>
      <c r="D500" s="18" t="s">
        <v>306</v>
      </c>
    </row>
    <row r="501" spans="1:4">
      <c r="A501" s="18"/>
      <c r="B501" s="18">
        <v>4.68</v>
      </c>
      <c r="C501" s="18">
        <v>6.14</v>
      </c>
      <c r="D501" s="18" t="s">
        <v>306</v>
      </c>
    </row>
    <row r="502" spans="1:4">
      <c r="A502" s="18"/>
      <c r="B502" s="18">
        <v>6.14</v>
      </c>
      <c r="C502" s="18" t="s">
        <v>306</v>
      </c>
      <c r="D502" s="18">
        <v>10.72</v>
      </c>
    </row>
    <row r="503" spans="1:4">
      <c r="A503" s="18"/>
      <c r="B503" s="18">
        <v>10.42</v>
      </c>
      <c r="C503" s="18" t="s">
        <v>306</v>
      </c>
      <c r="D503" s="18">
        <v>6.98</v>
      </c>
    </row>
    <row r="504" spans="1:4">
      <c r="A504" s="18"/>
      <c r="B504" s="18">
        <v>10.72</v>
      </c>
      <c r="C504" s="18" t="s">
        <v>306</v>
      </c>
      <c r="D504" s="18" t="s">
        <v>306</v>
      </c>
    </row>
    <row r="505" spans="1:4">
      <c r="A505" s="18"/>
      <c r="B505" s="18">
        <v>6.98</v>
      </c>
      <c r="C505" s="18" t="s">
        <v>306</v>
      </c>
      <c r="D505" s="18" t="s">
        <v>306</v>
      </c>
    </row>
    <row r="506" spans="1:4">
      <c r="A506" s="18"/>
      <c r="B506" s="18">
        <v>7.96</v>
      </c>
      <c r="C506" s="18">
        <v>2.9</v>
      </c>
      <c r="D506" s="18" t="s">
        <v>306</v>
      </c>
    </row>
    <row r="507" spans="1:4">
      <c r="A507" s="18"/>
      <c r="B507" s="18">
        <v>9.2200000000000006</v>
      </c>
      <c r="C507" s="18">
        <v>2.96</v>
      </c>
      <c r="D507" s="18">
        <v>2.9</v>
      </c>
    </row>
    <row r="508" spans="1:4">
      <c r="A508" s="18"/>
      <c r="B508" s="18">
        <v>7.06</v>
      </c>
      <c r="C508" s="18">
        <v>78.290000000000006</v>
      </c>
      <c r="D508" s="18">
        <v>2.96</v>
      </c>
    </row>
    <row r="509" spans="1:4">
      <c r="A509" s="18"/>
      <c r="B509" s="18">
        <v>7.06</v>
      </c>
      <c r="C509" s="18">
        <v>78.290000000000006</v>
      </c>
      <c r="D509" s="18">
        <v>2.96</v>
      </c>
    </row>
    <row r="510" spans="1:4">
      <c r="A510" s="18"/>
      <c r="B510" s="18">
        <v>7.06</v>
      </c>
      <c r="C510" s="18">
        <v>78.290000000000006</v>
      </c>
      <c r="D510" s="18">
        <v>2.96</v>
      </c>
    </row>
    <row r="511" spans="1:4">
      <c r="A511" s="18"/>
      <c r="B511" s="18">
        <v>2.54</v>
      </c>
      <c r="C511" s="18" t="s">
        <v>306</v>
      </c>
      <c r="D511" s="18">
        <v>1.73</v>
      </c>
    </row>
    <row r="512" spans="1:4">
      <c r="A512" s="18"/>
      <c r="B512" s="18">
        <v>1.73</v>
      </c>
      <c r="C512" s="18">
        <v>3.14</v>
      </c>
      <c r="D512" s="18" t="s">
        <v>306</v>
      </c>
    </row>
    <row r="513" spans="1:4">
      <c r="A513" s="18"/>
      <c r="B513" s="18">
        <v>3.14</v>
      </c>
      <c r="C513" s="18">
        <v>4.68</v>
      </c>
      <c r="D513" s="18" t="s">
        <v>306</v>
      </c>
    </row>
    <row r="514" spans="1:4">
      <c r="A514" s="18"/>
      <c r="B514" s="18">
        <v>1.84</v>
      </c>
      <c r="C514" s="18" t="s">
        <v>306</v>
      </c>
      <c r="D514" s="18" t="s">
        <v>306</v>
      </c>
    </row>
    <row r="515" spans="1:4">
      <c r="A515" s="18"/>
      <c r="B515" s="18">
        <v>4.68</v>
      </c>
      <c r="C515" s="18">
        <v>6.14</v>
      </c>
      <c r="D515" s="18" t="s">
        <v>306</v>
      </c>
    </row>
    <row r="516" spans="1:4">
      <c r="A516" s="18"/>
      <c r="B516" s="18">
        <v>6.14</v>
      </c>
      <c r="C516" s="18" t="s">
        <v>306</v>
      </c>
      <c r="D516" s="18">
        <v>10.72</v>
      </c>
    </row>
    <row r="517" spans="1:4">
      <c r="A517" s="18"/>
      <c r="B517" s="18">
        <v>10.42</v>
      </c>
      <c r="C517" s="18" t="s">
        <v>306</v>
      </c>
      <c r="D517" s="18">
        <v>6.98</v>
      </c>
    </row>
    <row r="518" spans="1:4">
      <c r="A518" s="18"/>
      <c r="B518" s="18">
        <v>10.72</v>
      </c>
      <c r="C518" s="18" t="s">
        <v>306</v>
      </c>
      <c r="D518" s="18" t="s">
        <v>306</v>
      </c>
    </row>
    <row r="519" spans="1:4">
      <c r="A519" s="18"/>
      <c r="B519" s="18">
        <v>6.98</v>
      </c>
      <c r="C519" s="18" t="s">
        <v>306</v>
      </c>
      <c r="D519" s="18" t="s">
        <v>306</v>
      </c>
    </row>
    <row r="520" spans="1:4">
      <c r="A520" s="18"/>
      <c r="B520" s="18">
        <v>7.96</v>
      </c>
      <c r="C520" s="18">
        <v>2.9</v>
      </c>
      <c r="D520" s="18" t="s">
        <v>306</v>
      </c>
    </row>
    <row r="521" spans="1:4">
      <c r="A521" s="18"/>
      <c r="B521" s="18">
        <v>9.2200000000000006</v>
      </c>
      <c r="C521" s="18">
        <v>2.96</v>
      </c>
      <c r="D521" s="18">
        <v>2.9</v>
      </c>
    </row>
    <row r="522" spans="1:4">
      <c r="A522" s="18"/>
      <c r="B522" s="18">
        <v>7.06</v>
      </c>
      <c r="C522" s="18">
        <v>78.290000000000006</v>
      </c>
      <c r="D522" s="18">
        <v>2.96</v>
      </c>
    </row>
    <row r="523" spans="1:4">
      <c r="A523" s="18"/>
      <c r="B523" s="18">
        <v>7.06</v>
      </c>
      <c r="C523" s="18">
        <v>78.290000000000006</v>
      </c>
      <c r="D523" s="18">
        <v>2.96</v>
      </c>
    </row>
    <row r="524" spans="1:4">
      <c r="A524" s="18"/>
      <c r="B524" s="18">
        <v>7.06</v>
      </c>
      <c r="C524" s="18">
        <v>78.290000000000006</v>
      </c>
      <c r="D524" s="18">
        <v>2.96</v>
      </c>
    </row>
    <row r="525" spans="1:4">
      <c r="A525" s="18"/>
      <c r="B525" s="18">
        <v>2.54</v>
      </c>
      <c r="C525" s="18" t="s">
        <v>306</v>
      </c>
      <c r="D525" s="18">
        <v>1.73</v>
      </c>
    </row>
    <row r="526" spans="1:4">
      <c r="A526" s="18"/>
      <c r="B526" s="18">
        <v>1.73</v>
      </c>
      <c r="C526" s="18">
        <v>3.14</v>
      </c>
      <c r="D526" s="18" t="s">
        <v>306</v>
      </c>
    </row>
    <row r="527" spans="1:4">
      <c r="A527" s="18"/>
      <c r="B527" s="18">
        <v>3.14</v>
      </c>
      <c r="C527" s="18">
        <v>5.52</v>
      </c>
      <c r="D527" s="18" t="s">
        <v>306</v>
      </c>
    </row>
    <row r="528" spans="1:4">
      <c r="A528" s="18"/>
      <c r="B528" s="18">
        <v>1.84</v>
      </c>
      <c r="C528" s="18" t="s">
        <v>306</v>
      </c>
      <c r="D528" s="18" t="s">
        <v>306</v>
      </c>
    </row>
    <row r="529" spans="1:4">
      <c r="A529" s="18"/>
      <c r="B529" s="18">
        <v>5.52</v>
      </c>
      <c r="C529" s="18" t="s">
        <v>306</v>
      </c>
      <c r="D529" s="18" t="s">
        <v>306</v>
      </c>
    </row>
    <row r="530" spans="1:4">
      <c r="A530" s="18"/>
      <c r="B530" s="18">
        <v>8.23</v>
      </c>
      <c r="C530" s="18">
        <v>6.98</v>
      </c>
      <c r="D530" s="18" t="s">
        <v>306</v>
      </c>
    </row>
    <row r="531" spans="1:4">
      <c r="A531" s="18"/>
      <c r="B531" s="18">
        <v>10.42</v>
      </c>
      <c r="C531" s="18" t="s">
        <v>306</v>
      </c>
      <c r="D531" s="18">
        <v>6.98</v>
      </c>
    </row>
    <row r="532" spans="1:4">
      <c r="A532" s="18"/>
      <c r="B532" s="18">
        <v>10.72</v>
      </c>
      <c r="C532" s="18" t="s">
        <v>306</v>
      </c>
      <c r="D532" s="18" t="s">
        <v>306</v>
      </c>
    </row>
    <row r="533" spans="1:4">
      <c r="A533" s="18"/>
      <c r="B533" s="18">
        <v>6.98</v>
      </c>
      <c r="C533" s="18" t="s">
        <v>306</v>
      </c>
      <c r="D533" s="18" t="s">
        <v>306</v>
      </c>
    </row>
    <row r="534" spans="1:4">
      <c r="A534" s="18"/>
      <c r="B534" s="18">
        <v>7.96</v>
      </c>
      <c r="C534" s="18">
        <v>2.9</v>
      </c>
      <c r="D534" s="18" t="s">
        <v>306</v>
      </c>
    </row>
    <row r="535" spans="1:4">
      <c r="A535" s="18"/>
      <c r="B535" s="18">
        <v>9.2200000000000006</v>
      </c>
      <c r="C535" s="18">
        <v>2.96</v>
      </c>
      <c r="D535" s="18">
        <v>2.9</v>
      </c>
    </row>
    <row r="536" spans="1:4">
      <c r="A536" s="18"/>
      <c r="B536" s="18">
        <v>7.06</v>
      </c>
      <c r="C536" s="18">
        <v>81.220000000000013</v>
      </c>
      <c r="D536" s="18">
        <v>2.96</v>
      </c>
    </row>
    <row r="537" spans="1:4">
      <c r="A537" s="18"/>
      <c r="B537" s="18">
        <v>7.06</v>
      </c>
      <c r="C537" s="18">
        <v>81.220000000000013</v>
      </c>
      <c r="D537" s="18">
        <v>2.96</v>
      </c>
    </row>
    <row r="538" spans="1:4">
      <c r="A538" s="18"/>
      <c r="B538" s="18">
        <v>7.06</v>
      </c>
      <c r="C538" s="18">
        <v>81.220000000000013</v>
      </c>
      <c r="D538" s="18">
        <v>2.96</v>
      </c>
    </row>
    <row r="539" spans="1:4">
      <c r="A539" s="18"/>
      <c r="B539" s="18">
        <v>2.69</v>
      </c>
      <c r="C539" s="18"/>
      <c r="D539" s="18">
        <v>1.73</v>
      </c>
    </row>
    <row r="540" spans="1:4">
      <c r="A540" s="18"/>
      <c r="B540" s="18">
        <v>2.69</v>
      </c>
      <c r="C540" s="18"/>
      <c r="D540" s="18">
        <v>1.73</v>
      </c>
    </row>
    <row r="541" spans="1:4">
      <c r="A541" s="18"/>
      <c r="B541" s="18">
        <v>2.69</v>
      </c>
      <c r="C541" s="18"/>
      <c r="D541" s="18">
        <v>1.73</v>
      </c>
    </row>
    <row r="542" spans="1:4">
      <c r="A542" s="18"/>
      <c r="B542" s="18">
        <v>2.69</v>
      </c>
      <c r="C542" s="18"/>
      <c r="D542" s="18">
        <v>1.73</v>
      </c>
    </row>
    <row r="543" spans="1:4">
      <c r="A543" s="18"/>
      <c r="B543" s="18"/>
      <c r="C543" s="18"/>
      <c r="D543" s="18">
        <v>4.1500000000000004</v>
      </c>
    </row>
    <row r="544" spans="1:4">
      <c r="A544" s="18"/>
      <c r="B544" s="18"/>
      <c r="C544" s="18"/>
      <c r="D544" s="18">
        <v>4.1500000000000004</v>
      </c>
    </row>
    <row r="545" spans="1:4">
      <c r="A545" s="18"/>
      <c r="B545" s="18"/>
      <c r="C545" s="18"/>
      <c r="D545" s="18">
        <v>1.84</v>
      </c>
    </row>
    <row r="546" spans="1:4">
      <c r="A546" s="18"/>
      <c r="B546" s="18"/>
      <c r="C546" s="18"/>
      <c r="D546" s="18">
        <v>1.84</v>
      </c>
    </row>
    <row r="547" spans="1:4">
      <c r="A547" s="18"/>
      <c r="B547" s="18"/>
      <c r="C547" s="18"/>
      <c r="D547" s="18">
        <v>5.52</v>
      </c>
    </row>
    <row r="548" spans="1:4">
      <c r="A548" s="18"/>
      <c r="B548" s="18"/>
      <c r="C548" s="18"/>
      <c r="D548" s="18">
        <v>5.52</v>
      </c>
    </row>
    <row r="549" spans="1:4">
      <c r="A549" s="18"/>
      <c r="B549" s="18"/>
      <c r="C549" s="18"/>
      <c r="D549" s="18">
        <v>5.52</v>
      </c>
    </row>
    <row r="550" spans="1:4">
      <c r="A550" s="18"/>
      <c r="B550" s="18"/>
      <c r="C550" s="18"/>
      <c r="D550" s="18">
        <v>5.52</v>
      </c>
    </row>
    <row r="551" spans="1:4">
      <c r="A551" s="18"/>
      <c r="B551" s="18"/>
      <c r="C551" s="18"/>
      <c r="D551" s="18">
        <v>6.14</v>
      </c>
    </row>
    <row r="552" spans="1:4">
      <c r="A552" s="18"/>
      <c r="B552" s="18"/>
      <c r="C552" s="18"/>
      <c r="D552" s="18">
        <v>6.14</v>
      </c>
    </row>
    <row r="553" spans="1:4">
      <c r="A553" s="18"/>
      <c r="B553" s="18"/>
      <c r="C553" s="18"/>
      <c r="D553" s="18">
        <v>6.14</v>
      </c>
    </row>
    <row r="554" spans="1:4">
      <c r="A554" s="18"/>
      <c r="B554" s="18"/>
      <c r="C554" s="18"/>
      <c r="D554" s="18">
        <v>6.14</v>
      </c>
    </row>
    <row r="555" spans="1:4">
      <c r="A555" s="18"/>
      <c r="B555" s="18"/>
      <c r="C555" s="18"/>
      <c r="D555" s="18">
        <v>6.14</v>
      </c>
    </row>
    <row r="556" spans="1:4">
      <c r="A556" s="18"/>
      <c r="B556" s="18"/>
      <c r="C556" s="18"/>
      <c r="D556" s="18">
        <v>6.98</v>
      </c>
    </row>
    <row r="557" spans="1:4">
      <c r="A557" s="18"/>
      <c r="B557" s="18"/>
      <c r="C557" s="18"/>
      <c r="D557" s="18">
        <v>6.98</v>
      </c>
    </row>
    <row r="558" spans="1:4">
      <c r="A558" s="18"/>
      <c r="B558" s="18"/>
      <c r="C558" s="18"/>
      <c r="D558" s="18">
        <v>6.98</v>
      </c>
    </row>
    <row r="559" spans="1:4">
      <c r="A559" s="18"/>
      <c r="B559" s="18"/>
      <c r="C559" s="18"/>
      <c r="D559" s="18">
        <v>6.98</v>
      </c>
    </row>
    <row r="560" spans="1:4">
      <c r="A560" s="18"/>
      <c r="B560" s="18"/>
      <c r="C560" s="18"/>
      <c r="D560" s="18">
        <v>6.98</v>
      </c>
    </row>
    <row r="561" spans="1:4">
      <c r="A561" s="18"/>
      <c r="B561" s="18"/>
      <c r="C561" s="18"/>
      <c r="D561" s="18">
        <v>6.98</v>
      </c>
    </row>
    <row r="562" spans="1:4">
      <c r="A562" s="18"/>
      <c r="B562" s="18"/>
      <c r="C562" s="18"/>
      <c r="D562" s="18">
        <v>6.98</v>
      </c>
    </row>
    <row r="563" spans="1:4">
      <c r="A563" s="18"/>
      <c r="B563" s="18"/>
      <c r="C563" s="18"/>
      <c r="D563" s="18">
        <v>6.98</v>
      </c>
    </row>
    <row r="564" spans="1:4">
      <c r="A564" s="18"/>
      <c r="B564" s="18"/>
      <c r="C564" s="18"/>
      <c r="D564" s="18">
        <v>6.98</v>
      </c>
    </row>
    <row r="565" spans="1:4">
      <c r="A565" s="18"/>
      <c r="B565" s="18"/>
      <c r="C565" s="18"/>
      <c r="D565" s="18">
        <v>6.98</v>
      </c>
    </row>
    <row r="566" spans="1:4">
      <c r="A566" s="18"/>
      <c r="B566" s="18"/>
      <c r="C566" s="18"/>
      <c r="D566" s="18">
        <v>6.98</v>
      </c>
    </row>
    <row r="567" spans="1:4">
      <c r="A567" s="18"/>
      <c r="B567" s="18"/>
      <c r="C567" s="18"/>
      <c r="D567" s="18">
        <v>6.98</v>
      </c>
    </row>
    <row r="568" spans="1:4">
      <c r="A568" s="18"/>
      <c r="B568" s="18"/>
      <c r="C568" s="18"/>
      <c r="D568" s="18">
        <v>6.98</v>
      </c>
    </row>
    <row r="569" spans="1:4">
      <c r="A569" s="18"/>
      <c r="B569" s="18"/>
      <c r="C569" s="18"/>
      <c r="D569" s="18">
        <v>5.63</v>
      </c>
    </row>
    <row r="570" spans="1:4">
      <c r="A570" s="18"/>
      <c r="B570" s="18"/>
      <c r="C570" s="18"/>
      <c r="D570" s="18">
        <v>5.63</v>
      </c>
    </row>
    <row r="571" spans="1:4">
      <c r="A571" s="18"/>
      <c r="B571" s="18"/>
      <c r="C571" s="18"/>
      <c r="D571" s="18">
        <v>6.36</v>
      </c>
    </row>
    <row r="572" spans="1:4">
      <c r="A572" s="18"/>
      <c r="B572" s="18"/>
      <c r="C572" s="18"/>
      <c r="D572" s="18">
        <v>6.36</v>
      </c>
    </row>
    <row r="573" spans="1:4">
      <c r="A573" s="18"/>
      <c r="B573" s="18"/>
      <c r="C573" s="18">
        <v>2.96</v>
      </c>
      <c r="D573" s="18">
        <v>2.76</v>
      </c>
    </row>
    <row r="574" spans="1:4">
      <c r="A574" s="18"/>
      <c r="B574" s="18">
        <v>6.36</v>
      </c>
      <c r="C574" s="18">
        <v>41.13</v>
      </c>
      <c r="D574" s="18">
        <v>2.96</v>
      </c>
    </row>
    <row r="575" spans="1:4">
      <c r="A575" s="18"/>
      <c r="B575" s="18"/>
      <c r="C575" s="18"/>
      <c r="D575" s="18">
        <v>41.13</v>
      </c>
    </row>
    <row r="576" spans="1:4">
      <c r="A576" s="18"/>
      <c r="B576" s="18"/>
      <c r="C576" s="18"/>
      <c r="D576" s="18">
        <v>41.13</v>
      </c>
    </row>
    <row r="577" spans="1:4">
      <c r="A577" s="18"/>
      <c r="B577" s="18"/>
      <c r="C577" s="18"/>
      <c r="D577" s="18">
        <v>41.13</v>
      </c>
    </row>
    <row r="578" spans="1:4">
      <c r="A578" s="18"/>
      <c r="B578" s="18">
        <v>2.69</v>
      </c>
      <c r="C578" s="18"/>
      <c r="D578" s="18">
        <v>1.73</v>
      </c>
    </row>
    <row r="579" spans="1:4">
      <c r="A579" s="18"/>
      <c r="B579" s="18">
        <v>2.69</v>
      </c>
      <c r="C579" s="18"/>
      <c r="D579" s="18">
        <v>1.73</v>
      </c>
    </row>
    <row r="580" spans="1:4">
      <c r="A580" s="18"/>
      <c r="B580" s="18">
        <v>2.69</v>
      </c>
      <c r="C580" s="18"/>
      <c r="D580" s="18">
        <v>1.73</v>
      </c>
    </row>
    <row r="581" spans="1:4">
      <c r="A581" s="18"/>
      <c r="B581" s="18">
        <v>2.69</v>
      </c>
      <c r="C581" s="18"/>
      <c r="D581" s="18">
        <v>1.73</v>
      </c>
    </row>
    <row r="582" spans="1:4">
      <c r="A582" s="18"/>
      <c r="B582" s="18"/>
      <c r="C582" s="18"/>
      <c r="D582" s="18">
        <v>4.1500000000000004</v>
      </c>
    </row>
    <row r="583" spans="1:4">
      <c r="A583" s="18"/>
      <c r="B583" s="18"/>
      <c r="C583" s="18"/>
      <c r="D583" s="18">
        <v>4.1500000000000004</v>
      </c>
    </row>
    <row r="584" spans="1:4">
      <c r="A584" s="18"/>
      <c r="B584" s="18"/>
      <c r="C584" s="18"/>
      <c r="D584" s="18">
        <v>1.84</v>
      </c>
    </row>
    <row r="585" spans="1:4">
      <c r="A585" s="18"/>
      <c r="B585" s="18"/>
      <c r="C585" s="18"/>
      <c r="D585" s="18">
        <v>1.84</v>
      </c>
    </row>
    <row r="586" spans="1:4">
      <c r="A586" s="18"/>
      <c r="B586" s="18"/>
      <c r="C586" s="18"/>
      <c r="D586" s="18">
        <v>5.52</v>
      </c>
    </row>
    <row r="587" spans="1:4">
      <c r="A587" s="18"/>
      <c r="B587" s="18"/>
      <c r="C587" s="18"/>
      <c r="D587" s="18">
        <v>5.52</v>
      </c>
    </row>
    <row r="588" spans="1:4">
      <c r="A588" s="18"/>
      <c r="B588" s="18"/>
      <c r="C588" s="18"/>
      <c r="D588" s="18">
        <v>5.52</v>
      </c>
    </row>
    <row r="589" spans="1:4">
      <c r="A589" s="18"/>
      <c r="B589" s="18"/>
      <c r="C589" s="18"/>
      <c r="D589" s="18">
        <v>5.52</v>
      </c>
    </row>
    <row r="590" spans="1:4">
      <c r="A590" s="18"/>
      <c r="B590" s="18"/>
      <c r="C590" s="18"/>
      <c r="D590" s="18">
        <v>6.14</v>
      </c>
    </row>
    <row r="591" spans="1:4">
      <c r="A591" s="18"/>
      <c r="B591" s="18"/>
      <c r="C591" s="18"/>
      <c r="D591" s="18">
        <v>6.14</v>
      </c>
    </row>
    <row r="592" spans="1:4">
      <c r="A592" s="18"/>
      <c r="B592" s="18"/>
      <c r="C592" s="18"/>
      <c r="D592" s="18">
        <v>6.14</v>
      </c>
    </row>
    <row r="593" spans="1:4">
      <c r="A593" s="18"/>
      <c r="B593" s="18"/>
      <c r="C593" s="18"/>
      <c r="D593" s="18">
        <v>6.14</v>
      </c>
    </row>
    <row r="594" spans="1:4">
      <c r="A594" s="18"/>
      <c r="B594" s="18"/>
      <c r="C594" s="18"/>
      <c r="D594" s="18">
        <v>6.14</v>
      </c>
    </row>
    <row r="595" spans="1:4">
      <c r="A595" s="18"/>
      <c r="B595" s="18"/>
      <c r="C595" s="18"/>
      <c r="D595" s="18">
        <v>6.98</v>
      </c>
    </row>
    <row r="596" spans="1:4">
      <c r="A596" s="18"/>
      <c r="B596" s="18"/>
      <c r="C596" s="18"/>
      <c r="D596" s="18">
        <v>6.98</v>
      </c>
    </row>
    <row r="597" spans="1:4">
      <c r="A597" s="18"/>
      <c r="B597" s="18"/>
      <c r="C597" s="18"/>
      <c r="D597" s="18">
        <v>6.98</v>
      </c>
    </row>
    <row r="598" spans="1:4">
      <c r="A598" s="18"/>
      <c r="B598" s="18"/>
      <c r="C598" s="18"/>
      <c r="D598" s="18">
        <v>6.98</v>
      </c>
    </row>
    <row r="599" spans="1:4">
      <c r="A599" s="18"/>
      <c r="B599" s="18"/>
      <c r="C599" s="18"/>
      <c r="D599" s="18">
        <v>6.98</v>
      </c>
    </row>
    <row r="600" spans="1:4">
      <c r="A600" s="18"/>
      <c r="B600" s="18"/>
      <c r="C600" s="18"/>
      <c r="D600" s="18">
        <v>6.98</v>
      </c>
    </row>
    <row r="601" spans="1:4">
      <c r="A601" s="18"/>
      <c r="B601" s="18"/>
      <c r="C601" s="18"/>
      <c r="D601" s="18">
        <v>6.98</v>
      </c>
    </row>
    <row r="602" spans="1:4">
      <c r="A602" s="18"/>
      <c r="B602" s="18"/>
      <c r="C602" s="18"/>
      <c r="D602" s="18">
        <v>6.98</v>
      </c>
    </row>
    <row r="603" spans="1:4">
      <c r="A603" s="18"/>
      <c r="B603" s="18"/>
      <c r="C603" s="18"/>
      <c r="D603" s="18">
        <v>6.98</v>
      </c>
    </row>
    <row r="604" spans="1:4">
      <c r="A604" s="18"/>
      <c r="B604" s="18"/>
      <c r="C604" s="18"/>
      <c r="D604" s="18">
        <v>6.98</v>
      </c>
    </row>
    <row r="605" spans="1:4">
      <c r="A605" s="18"/>
      <c r="B605" s="18"/>
      <c r="C605" s="18"/>
      <c r="D605" s="18">
        <v>6.98</v>
      </c>
    </row>
    <row r="606" spans="1:4">
      <c r="A606" s="18"/>
      <c r="B606" s="18"/>
      <c r="C606" s="18"/>
      <c r="D606" s="18">
        <v>6.98</v>
      </c>
    </row>
    <row r="607" spans="1:4">
      <c r="A607" s="18"/>
      <c r="B607" s="18"/>
      <c r="C607" s="18"/>
      <c r="D607" s="18">
        <v>6.98</v>
      </c>
    </row>
    <row r="608" spans="1:4">
      <c r="A608" s="18"/>
      <c r="B608" s="18"/>
      <c r="C608" s="18"/>
      <c r="D608" s="18">
        <v>5.63</v>
      </c>
    </row>
    <row r="609" spans="1:4">
      <c r="A609" s="18"/>
      <c r="B609" s="18"/>
      <c r="C609" s="18"/>
      <c r="D609" s="18">
        <v>5.63</v>
      </c>
    </row>
    <row r="610" spans="1:4">
      <c r="A610" s="18"/>
      <c r="B610" s="18"/>
      <c r="C610" s="18"/>
      <c r="D610" s="18">
        <v>6.36</v>
      </c>
    </row>
    <row r="611" spans="1:4">
      <c r="A611" s="18"/>
      <c r="B611" s="18"/>
      <c r="C611" s="18"/>
      <c r="D611" s="18">
        <v>6.36</v>
      </c>
    </row>
    <row r="612" spans="1:4">
      <c r="A612" s="18"/>
      <c r="B612" s="18"/>
      <c r="C612" s="18">
        <v>2.96</v>
      </c>
      <c r="D612" s="18">
        <v>2.76</v>
      </c>
    </row>
    <row r="613" spans="1:4">
      <c r="A613" s="18"/>
      <c r="B613" s="18">
        <v>6.36</v>
      </c>
      <c r="C613" s="18">
        <v>41.13</v>
      </c>
      <c r="D613" s="18">
        <v>2.96</v>
      </c>
    </row>
    <row r="614" spans="1:4">
      <c r="A614" s="18"/>
      <c r="B614" s="18"/>
      <c r="C614" s="18"/>
      <c r="D614" s="18">
        <v>41.13</v>
      </c>
    </row>
    <row r="615" spans="1:4">
      <c r="A615" s="18"/>
      <c r="B615" s="18"/>
      <c r="C615" s="18"/>
      <c r="D615" s="18">
        <v>41.13</v>
      </c>
    </row>
    <row r="616" spans="1:4">
      <c r="A616" s="18"/>
      <c r="B616" s="18"/>
      <c r="C616" s="18"/>
      <c r="D616" s="18">
        <v>41.13</v>
      </c>
    </row>
    <row r="617" spans="1:4">
      <c r="A617" s="18"/>
      <c r="B617" s="18">
        <v>2.69</v>
      </c>
      <c r="C617" s="18"/>
      <c r="D617" s="18">
        <v>1.73</v>
      </c>
    </row>
    <row r="618" spans="1:4">
      <c r="A618" s="18"/>
      <c r="B618" s="18">
        <v>2.69</v>
      </c>
      <c r="C618" s="18"/>
      <c r="D618" s="18">
        <v>1.73</v>
      </c>
    </row>
    <row r="619" spans="1:4">
      <c r="A619" s="18"/>
      <c r="B619" s="18">
        <v>2.69</v>
      </c>
      <c r="C619" s="18"/>
      <c r="D619" s="18">
        <v>1.73</v>
      </c>
    </row>
    <row r="620" spans="1:4">
      <c r="A620" s="18"/>
      <c r="B620" s="18">
        <v>2.69</v>
      </c>
      <c r="C620" s="18"/>
      <c r="D620" s="18">
        <v>1.73</v>
      </c>
    </row>
    <row r="621" spans="1:4">
      <c r="A621" s="18"/>
      <c r="B621" s="18"/>
      <c r="C621" s="18"/>
      <c r="D621" s="18">
        <v>4.1500000000000004</v>
      </c>
    </row>
    <row r="622" spans="1:4">
      <c r="A622" s="18"/>
      <c r="B622" s="18"/>
      <c r="C622" s="18"/>
      <c r="D622" s="18">
        <v>4.1500000000000004</v>
      </c>
    </row>
    <row r="623" spans="1:4">
      <c r="A623" s="18"/>
      <c r="B623" s="18"/>
      <c r="C623" s="18"/>
      <c r="D623" s="18">
        <v>1.84</v>
      </c>
    </row>
    <row r="624" spans="1:4">
      <c r="A624" s="18"/>
      <c r="B624" s="18"/>
      <c r="C624" s="18"/>
      <c r="D624" s="18">
        <v>1.84</v>
      </c>
    </row>
    <row r="625" spans="1:4">
      <c r="A625" s="18"/>
      <c r="B625" s="18"/>
      <c r="C625" s="18"/>
      <c r="D625" s="18">
        <v>5.52</v>
      </c>
    </row>
    <row r="626" spans="1:4">
      <c r="A626" s="18"/>
      <c r="B626" s="18"/>
      <c r="C626" s="18"/>
      <c r="D626" s="18">
        <v>5.52</v>
      </c>
    </row>
    <row r="627" spans="1:4">
      <c r="A627" s="18"/>
      <c r="B627" s="18"/>
      <c r="C627" s="18"/>
      <c r="D627" s="18">
        <v>5.52</v>
      </c>
    </row>
    <row r="628" spans="1:4">
      <c r="A628" s="18"/>
      <c r="B628" s="18"/>
      <c r="C628" s="18"/>
      <c r="D628" s="18">
        <v>5.52</v>
      </c>
    </row>
    <row r="629" spans="1:4">
      <c r="A629" s="18"/>
      <c r="B629" s="18"/>
      <c r="C629" s="18"/>
      <c r="D629" s="18">
        <v>6.14</v>
      </c>
    </row>
    <row r="630" spans="1:4">
      <c r="A630" s="18"/>
      <c r="B630" s="18"/>
      <c r="C630" s="18"/>
      <c r="D630" s="18">
        <v>6.14</v>
      </c>
    </row>
    <row r="631" spans="1:4">
      <c r="A631" s="18"/>
      <c r="B631" s="18"/>
      <c r="C631" s="18"/>
      <c r="D631" s="18">
        <v>6.14</v>
      </c>
    </row>
    <row r="632" spans="1:4">
      <c r="A632" s="18"/>
      <c r="B632" s="18"/>
      <c r="C632" s="18"/>
      <c r="D632" s="18">
        <v>6.14</v>
      </c>
    </row>
    <row r="633" spans="1:4">
      <c r="A633" s="18"/>
      <c r="B633" s="18"/>
      <c r="C633" s="18"/>
      <c r="D633" s="18">
        <v>6.14</v>
      </c>
    </row>
    <row r="634" spans="1:4">
      <c r="A634" s="18"/>
      <c r="B634" s="18"/>
      <c r="C634" s="18"/>
      <c r="D634" s="18">
        <v>6.98</v>
      </c>
    </row>
    <row r="635" spans="1:4">
      <c r="A635" s="18"/>
      <c r="B635" s="18"/>
      <c r="C635" s="18"/>
      <c r="D635" s="18">
        <v>6.98</v>
      </c>
    </row>
    <row r="636" spans="1:4">
      <c r="A636" s="18"/>
      <c r="B636" s="18"/>
      <c r="C636" s="18"/>
      <c r="D636" s="18">
        <v>6.98</v>
      </c>
    </row>
    <row r="637" spans="1:4">
      <c r="A637" s="18"/>
      <c r="B637" s="18"/>
      <c r="C637" s="18"/>
      <c r="D637" s="18">
        <v>6.98</v>
      </c>
    </row>
    <row r="638" spans="1:4">
      <c r="A638" s="18"/>
      <c r="B638" s="18"/>
      <c r="C638" s="18"/>
      <c r="D638" s="18">
        <v>6.98</v>
      </c>
    </row>
    <row r="639" spans="1:4">
      <c r="A639" s="18"/>
      <c r="B639" s="18"/>
      <c r="C639" s="18"/>
      <c r="D639" s="18">
        <v>6.98</v>
      </c>
    </row>
    <row r="640" spans="1:4">
      <c r="A640" s="18"/>
      <c r="B640" s="18"/>
      <c r="C640" s="18"/>
      <c r="D640" s="18">
        <v>6.98</v>
      </c>
    </row>
    <row r="641" spans="1:4">
      <c r="A641" s="18"/>
      <c r="B641" s="18"/>
      <c r="C641" s="18"/>
      <c r="D641" s="18">
        <v>6.98</v>
      </c>
    </row>
    <row r="642" spans="1:4">
      <c r="A642" s="18"/>
      <c r="B642" s="18"/>
      <c r="C642" s="18"/>
      <c r="D642" s="18">
        <v>6.98</v>
      </c>
    </row>
    <row r="643" spans="1:4">
      <c r="A643" s="18"/>
      <c r="B643" s="18"/>
      <c r="C643" s="18"/>
      <c r="D643" s="18">
        <v>6.98</v>
      </c>
    </row>
    <row r="644" spans="1:4">
      <c r="A644" s="18"/>
      <c r="B644" s="18"/>
      <c r="C644" s="18"/>
      <c r="D644" s="18">
        <v>6.98</v>
      </c>
    </row>
    <row r="645" spans="1:4">
      <c r="A645" s="18"/>
      <c r="B645" s="18"/>
      <c r="C645" s="18"/>
      <c r="D645" s="18">
        <v>6.98</v>
      </c>
    </row>
    <row r="646" spans="1:4">
      <c r="A646" s="18"/>
      <c r="B646" s="18"/>
      <c r="C646" s="18"/>
      <c r="D646" s="18">
        <v>6.98</v>
      </c>
    </row>
    <row r="647" spans="1:4">
      <c r="A647" s="18"/>
      <c r="B647" s="18"/>
      <c r="C647" s="18">
        <v>8.31</v>
      </c>
      <c r="D647" s="18">
        <v>5.63</v>
      </c>
    </row>
    <row r="648" spans="1:4">
      <c r="A648" s="18"/>
      <c r="B648" s="18"/>
      <c r="C648" s="18">
        <v>6.36</v>
      </c>
      <c r="D648" s="18">
        <v>8.31</v>
      </c>
    </row>
    <row r="649" spans="1:4">
      <c r="A649" s="18"/>
      <c r="B649" s="18"/>
      <c r="C649" s="18"/>
      <c r="D649" s="18">
        <v>6.36</v>
      </c>
    </row>
    <row r="650" spans="1:4">
      <c r="A650" s="18"/>
      <c r="B650" s="18"/>
      <c r="C650" s="18"/>
      <c r="D650" s="18">
        <v>6.36</v>
      </c>
    </row>
    <row r="651" spans="1:4">
      <c r="A651" s="18"/>
      <c r="B651" s="18">
        <v>8.31</v>
      </c>
      <c r="C651" s="18">
        <v>2.96</v>
      </c>
      <c r="D651" s="18">
        <v>2.76</v>
      </c>
    </row>
    <row r="652" spans="1:4">
      <c r="A652" s="18"/>
      <c r="B652" s="18">
        <v>6.36</v>
      </c>
      <c r="C652" s="18">
        <v>49.44</v>
      </c>
      <c r="D652" s="18">
        <v>2.96</v>
      </c>
    </row>
    <row r="653" spans="1:4">
      <c r="A653" s="18"/>
      <c r="B653" s="18"/>
      <c r="C653" s="18"/>
      <c r="D653" s="18">
        <v>49.44</v>
      </c>
    </row>
    <row r="654" spans="1:4">
      <c r="A654" s="18"/>
      <c r="B654" s="18"/>
      <c r="C654" s="18"/>
      <c r="D654" s="18">
        <v>49.44</v>
      </c>
    </row>
    <row r="655" spans="1:4">
      <c r="A655" s="18"/>
      <c r="B655" s="18"/>
      <c r="C655" s="18"/>
      <c r="D655" s="18">
        <v>49.44</v>
      </c>
    </row>
    <row r="656" spans="1:4">
      <c r="A656" s="18"/>
      <c r="B656" s="18">
        <v>2.69</v>
      </c>
      <c r="C656" s="18"/>
      <c r="D656" s="18">
        <v>1.73</v>
      </c>
    </row>
    <row r="657" spans="1:4">
      <c r="A657" s="18"/>
      <c r="B657" s="18">
        <v>2.69</v>
      </c>
      <c r="C657" s="18"/>
      <c r="D657" s="18">
        <v>1.73</v>
      </c>
    </row>
    <row r="658" spans="1:4">
      <c r="A658" s="18"/>
      <c r="B658" s="18">
        <v>2.69</v>
      </c>
      <c r="C658" s="18"/>
      <c r="D658" s="18">
        <v>1.73</v>
      </c>
    </row>
    <row r="659" spans="1:4">
      <c r="A659" s="18"/>
      <c r="B659" s="18">
        <v>2.69</v>
      </c>
      <c r="C659" s="18"/>
      <c r="D659" s="18">
        <v>1.73</v>
      </c>
    </row>
    <row r="660" spans="1:4">
      <c r="A660" s="18"/>
      <c r="B660" s="18"/>
      <c r="C660" s="18"/>
      <c r="D660" s="18">
        <v>4.1500000000000004</v>
      </c>
    </row>
    <row r="661" spans="1:4">
      <c r="A661" s="18"/>
      <c r="B661" s="18"/>
      <c r="C661" s="18"/>
      <c r="D661" s="18">
        <v>4.1500000000000004</v>
      </c>
    </row>
    <row r="662" spans="1:4">
      <c r="A662" s="18"/>
      <c r="B662" s="18"/>
      <c r="C662" s="18"/>
      <c r="D662" s="18">
        <v>1.84</v>
      </c>
    </row>
    <row r="663" spans="1:4">
      <c r="A663" s="18"/>
      <c r="B663" s="18"/>
      <c r="C663" s="18"/>
      <c r="D663" s="18">
        <v>1.84</v>
      </c>
    </row>
    <row r="664" spans="1:4">
      <c r="A664" s="18"/>
      <c r="B664" s="18"/>
      <c r="C664" s="18"/>
      <c r="D664" s="18">
        <v>5.52</v>
      </c>
    </row>
    <row r="665" spans="1:4">
      <c r="A665" s="18"/>
      <c r="B665" s="18"/>
      <c r="C665" s="18"/>
      <c r="D665" s="18">
        <v>5.52</v>
      </c>
    </row>
    <row r="666" spans="1:4">
      <c r="A666" s="18"/>
      <c r="B666" s="18"/>
      <c r="C666" s="18"/>
      <c r="D666" s="18">
        <v>5.52</v>
      </c>
    </row>
    <row r="667" spans="1:4">
      <c r="A667" s="18"/>
      <c r="B667" s="18"/>
      <c r="C667" s="18"/>
      <c r="D667" s="18">
        <v>5.52</v>
      </c>
    </row>
    <row r="668" spans="1:4">
      <c r="A668" s="18"/>
      <c r="B668" s="18"/>
      <c r="C668" s="18"/>
      <c r="D668" s="18">
        <v>6.14</v>
      </c>
    </row>
    <row r="669" spans="1:4">
      <c r="A669" s="18"/>
      <c r="B669" s="18"/>
      <c r="C669" s="18"/>
      <c r="D669" s="18">
        <v>6.14</v>
      </c>
    </row>
    <row r="670" spans="1:4">
      <c r="A670" s="18"/>
      <c r="B670" s="18"/>
      <c r="C670" s="18"/>
      <c r="D670" s="18">
        <v>6.14</v>
      </c>
    </row>
    <row r="671" spans="1:4">
      <c r="A671" s="18"/>
      <c r="B671" s="18"/>
      <c r="C671" s="18"/>
      <c r="D671" s="18">
        <v>6.14</v>
      </c>
    </row>
    <row r="672" spans="1:4">
      <c r="A672" s="18"/>
      <c r="B672" s="18"/>
      <c r="C672" s="18"/>
      <c r="D672" s="18">
        <v>6.14</v>
      </c>
    </row>
    <row r="673" spans="1:4">
      <c r="A673" s="18"/>
      <c r="B673" s="18"/>
      <c r="C673" s="18"/>
      <c r="D673" s="18">
        <v>6.98</v>
      </c>
    </row>
    <row r="674" spans="1:4">
      <c r="A674" s="18"/>
      <c r="B674" s="18"/>
      <c r="C674" s="18"/>
      <c r="D674" s="18">
        <v>6.98</v>
      </c>
    </row>
    <row r="675" spans="1:4">
      <c r="A675" s="18"/>
      <c r="B675" s="18"/>
      <c r="C675" s="18"/>
      <c r="D675" s="18">
        <v>6.98</v>
      </c>
    </row>
    <row r="676" spans="1:4">
      <c r="A676" s="18"/>
      <c r="B676" s="18"/>
      <c r="C676" s="18"/>
      <c r="D676" s="18">
        <v>6.98</v>
      </c>
    </row>
    <row r="677" spans="1:4">
      <c r="A677" s="18"/>
      <c r="B677" s="18"/>
      <c r="C677" s="18"/>
      <c r="D677" s="18">
        <v>6.98</v>
      </c>
    </row>
    <row r="678" spans="1:4">
      <c r="A678" s="18"/>
      <c r="B678" s="18"/>
      <c r="C678" s="18"/>
      <c r="D678" s="18">
        <v>6.98</v>
      </c>
    </row>
    <row r="679" spans="1:4">
      <c r="A679" s="18"/>
      <c r="B679" s="18"/>
      <c r="C679" s="18"/>
      <c r="D679" s="18">
        <v>6.98</v>
      </c>
    </row>
    <row r="680" spans="1:4">
      <c r="A680" s="18"/>
      <c r="B680" s="18"/>
      <c r="C680" s="18"/>
      <c r="D680" s="18">
        <v>6.98</v>
      </c>
    </row>
    <row r="681" spans="1:4">
      <c r="A681" s="18"/>
      <c r="B681" s="18"/>
      <c r="C681" s="18"/>
      <c r="D681" s="18">
        <v>6.98</v>
      </c>
    </row>
    <row r="682" spans="1:4">
      <c r="A682" s="18"/>
      <c r="B682" s="18"/>
      <c r="C682" s="18"/>
      <c r="D682" s="18">
        <v>6.98</v>
      </c>
    </row>
    <row r="683" spans="1:4">
      <c r="A683" s="18"/>
      <c r="B683" s="18"/>
      <c r="C683" s="18"/>
      <c r="D683" s="18">
        <v>6.98</v>
      </c>
    </row>
    <row r="684" spans="1:4">
      <c r="A684" s="18"/>
      <c r="B684" s="18"/>
      <c r="C684" s="18"/>
      <c r="D684" s="18">
        <v>6.98</v>
      </c>
    </row>
    <row r="685" spans="1:4">
      <c r="A685" s="18"/>
      <c r="B685" s="18"/>
      <c r="C685" s="18"/>
      <c r="D685" s="18">
        <v>6.98</v>
      </c>
    </row>
    <row r="686" spans="1:4">
      <c r="A686" s="18"/>
      <c r="B686" s="18"/>
      <c r="C686" s="18">
        <v>8.31</v>
      </c>
      <c r="D686" s="18">
        <v>5.63</v>
      </c>
    </row>
    <row r="687" spans="1:4">
      <c r="A687" s="18"/>
      <c r="B687" s="18"/>
      <c r="C687" s="18">
        <v>6.36</v>
      </c>
      <c r="D687" s="18">
        <v>8.31</v>
      </c>
    </row>
    <row r="688" spans="1:4">
      <c r="A688" s="18"/>
      <c r="B688" s="18"/>
      <c r="C688" s="18"/>
      <c r="D688" s="18">
        <v>6.36</v>
      </c>
    </row>
    <row r="689" spans="1:4">
      <c r="A689" s="18"/>
      <c r="B689" s="18"/>
      <c r="C689" s="18"/>
      <c r="D689" s="18">
        <v>6.36</v>
      </c>
    </row>
    <row r="690" spans="1:4">
      <c r="A690" s="18"/>
      <c r="B690" s="18">
        <v>8.31</v>
      </c>
      <c r="C690" s="18">
        <v>2.96</v>
      </c>
      <c r="D690" s="18">
        <v>2.76</v>
      </c>
    </row>
    <row r="691" spans="1:4">
      <c r="A691" s="18"/>
      <c r="B691" s="18">
        <v>6.36</v>
      </c>
      <c r="C691" s="18">
        <v>49.44</v>
      </c>
      <c r="D691" s="18">
        <v>2.96</v>
      </c>
    </row>
    <row r="692" spans="1:4">
      <c r="A692" s="18"/>
      <c r="B692" s="18"/>
      <c r="C692" s="18"/>
      <c r="D692" s="18">
        <v>49.44</v>
      </c>
    </row>
    <row r="693" spans="1:4">
      <c r="A693" s="18"/>
      <c r="B693" s="18"/>
      <c r="C693" s="18"/>
      <c r="D693" s="18">
        <v>49.44</v>
      </c>
    </row>
    <row r="694" spans="1:4">
      <c r="A694" s="18"/>
      <c r="B694" s="18"/>
      <c r="C694" s="18"/>
      <c r="D694" s="18">
        <v>49.44</v>
      </c>
    </row>
    <row r="695" spans="1:4">
      <c r="A695" s="18"/>
      <c r="B695" s="18">
        <v>2.69</v>
      </c>
      <c r="C695" s="18"/>
      <c r="D695" s="18">
        <v>1.73</v>
      </c>
    </row>
    <row r="696" spans="1:4">
      <c r="A696" s="18"/>
      <c r="B696" s="18">
        <v>2.69</v>
      </c>
      <c r="C696" s="18"/>
      <c r="D696" s="18">
        <v>1.73</v>
      </c>
    </row>
    <row r="697" spans="1:4">
      <c r="A697" s="18"/>
      <c r="B697" s="18">
        <v>2.69</v>
      </c>
      <c r="C697" s="18"/>
      <c r="D697" s="18">
        <v>1.73</v>
      </c>
    </row>
    <row r="698" spans="1:4">
      <c r="A698" s="18"/>
      <c r="B698" s="18">
        <v>2.69</v>
      </c>
      <c r="C698" s="18"/>
      <c r="D698" s="18">
        <v>1.73</v>
      </c>
    </row>
    <row r="699" spans="1:4">
      <c r="A699" s="18"/>
      <c r="B699" s="18"/>
      <c r="C699" s="18"/>
      <c r="D699" s="18">
        <v>4.1500000000000004</v>
      </c>
    </row>
    <row r="700" spans="1:4">
      <c r="A700" s="18"/>
      <c r="B700" s="18"/>
      <c r="C700" s="18"/>
      <c r="D700" s="18">
        <v>4.1500000000000004</v>
      </c>
    </row>
    <row r="701" spans="1:4">
      <c r="A701" s="18"/>
      <c r="B701" s="18"/>
      <c r="C701" s="18"/>
      <c r="D701" s="18">
        <v>1.84</v>
      </c>
    </row>
    <row r="702" spans="1:4">
      <c r="A702" s="18"/>
      <c r="B702" s="18"/>
      <c r="C702" s="18"/>
      <c r="D702" s="18">
        <v>1.84</v>
      </c>
    </row>
    <row r="703" spans="1:4">
      <c r="A703" s="18"/>
      <c r="B703" s="18"/>
      <c r="C703" s="18"/>
      <c r="D703" s="18">
        <v>5.52</v>
      </c>
    </row>
    <row r="704" spans="1:4">
      <c r="A704" s="18"/>
      <c r="B704" s="18"/>
      <c r="C704" s="18"/>
      <c r="D704" s="18">
        <v>5.52</v>
      </c>
    </row>
    <row r="705" spans="1:4">
      <c r="A705" s="18"/>
      <c r="B705" s="18"/>
      <c r="C705" s="18"/>
      <c r="D705" s="18">
        <v>5.52</v>
      </c>
    </row>
    <row r="706" spans="1:4">
      <c r="A706" s="18"/>
      <c r="B706" s="18"/>
      <c r="C706" s="18"/>
      <c r="D706" s="18">
        <v>5.52</v>
      </c>
    </row>
    <row r="707" spans="1:4">
      <c r="A707" s="18"/>
      <c r="B707" s="18"/>
      <c r="C707" s="18"/>
      <c r="D707" s="18">
        <v>6.14</v>
      </c>
    </row>
    <row r="708" spans="1:4">
      <c r="A708" s="18"/>
      <c r="B708" s="18"/>
      <c r="C708" s="18"/>
      <c r="D708" s="18">
        <v>6.14</v>
      </c>
    </row>
    <row r="709" spans="1:4">
      <c r="A709" s="18"/>
      <c r="B709" s="18"/>
      <c r="C709" s="18"/>
      <c r="D709" s="18">
        <v>6.14</v>
      </c>
    </row>
    <row r="710" spans="1:4">
      <c r="A710" s="18"/>
      <c r="B710" s="18"/>
      <c r="C710" s="18"/>
      <c r="D710" s="18">
        <v>6.14</v>
      </c>
    </row>
    <row r="711" spans="1:4">
      <c r="A711" s="18"/>
      <c r="B711" s="18"/>
      <c r="C711" s="18"/>
      <c r="D711" s="18">
        <v>6.14</v>
      </c>
    </row>
    <row r="712" spans="1:4">
      <c r="A712" s="18"/>
      <c r="B712" s="18"/>
      <c r="C712" s="18"/>
      <c r="D712" s="18">
        <v>6.98</v>
      </c>
    </row>
    <row r="713" spans="1:4">
      <c r="A713" s="18"/>
      <c r="B713" s="18"/>
      <c r="C713" s="18"/>
      <c r="D713" s="18">
        <v>6.98</v>
      </c>
    </row>
    <row r="714" spans="1:4">
      <c r="A714" s="18"/>
      <c r="B714" s="18"/>
      <c r="C714" s="18"/>
      <c r="D714" s="18">
        <v>6.98</v>
      </c>
    </row>
    <row r="715" spans="1:4">
      <c r="A715" s="18"/>
      <c r="B715" s="18"/>
      <c r="C715" s="18"/>
      <c r="D715" s="18">
        <v>6.98</v>
      </c>
    </row>
    <row r="716" spans="1:4">
      <c r="A716" s="18"/>
      <c r="B716" s="18"/>
      <c r="C716" s="18"/>
      <c r="D716" s="18">
        <v>6.98</v>
      </c>
    </row>
    <row r="717" spans="1:4">
      <c r="A717" s="18"/>
      <c r="B717" s="18"/>
      <c r="C717" s="18"/>
      <c r="D717" s="18">
        <v>6.98</v>
      </c>
    </row>
    <row r="718" spans="1:4">
      <c r="A718" s="18"/>
      <c r="B718" s="18"/>
      <c r="C718" s="18"/>
      <c r="D718" s="18">
        <v>6.98</v>
      </c>
    </row>
    <row r="719" spans="1:4">
      <c r="A719" s="18"/>
      <c r="B719" s="18"/>
      <c r="C719" s="18"/>
      <c r="D719" s="18">
        <v>6.98</v>
      </c>
    </row>
    <row r="720" spans="1:4">
      <c r="A720" s="18"/>
      <c r="B720" s="18"/>
      <c r="C720" s="18"/>
      <c r="D720" s="18">
        <v>6.98</v>
      </c>
    </row>
    <row r="721" spans="1:4">
      <c r="A721" s="18"/>
      <c r="B721" s="18"/>
      <c r="C721" s="18"/>
      <c r="D721" s="18">
        <v>6.98</v>
      </c>
    </row>
    <row r="722" spans="1:4">
      <c r="A722" s="18"/>
      <c r="B722" s="18"/>
      <c r="C722" s="18"/>
      <c r="D722" s="18">
        <v>6.98</v>
      </c>
    </row>
    <row r="723" spans="1:4">
      <c r="A723" s="18"/>
      <c r="B723" s="18"/>
      <c r="C723" s="18"/>
      <c r="D723" s="18">
        <v>6.98</v>
      </c>
    </row>
    <row r="724" spans="1:4">
      <c r="A724" s="18"/>
      <c r="B724" s="18"/>
      <c r="C724" s="18"/>
      <c r="D724" s="18">
        <v>6.98</v>
      </c>
    </row>
    <row r="725" spans="1:4">
      <c r="A725" s="18"/>
      <c r="B725" s="18"/>
      <c r="C725" s="18"/>
      <c r="D725" s="18">
        <v>5.63</v>
      </c>
    </row>
    <row r="726" spans="1:4">
      <c r="A726" s="18"/>
      <c r="B726" s="18"/>
      <c r="C726" s="18"/>
      <c r="D726" s="18">
        <v>5.63</v>
      </c>
    </row>
    <row r="727" spans="1:4">
      <c r="A727" s="18"/>
      <c r="B727" s="18"/>
      <c r="C727" s="18"/>
      <c r="D727" s="18">
        <v>6.36</v>
      </c>
    </row>
    <row r="728" spans="1:4">
      <c r="A728" s="18"/>
      <c r="B728" s="18"/>
      <c r="C728" s="18"/>
      <c r="D728" s="18">
        <v>6.36</v>
      </c>
    </row>
    <row r="729" spans="1:4">
      <c r="A729" s="18"/>
      <c r="B729" s="18"/>
      <c r="C729" s="18">
        <v>2.96</v>
      </c>
      <c r="D729" s="18">
        <v>2.76</v>
      </c>
    </row>
    <row r="730" spans="1:4">
      <c r="A730" s="18"/>
      <c r="B730" s="18">
        <v>6.36</v>
      </c>
      <c r="C730" s="18">
        <v>41.13</v>
      </c>
      <c r="D730" s="18">
        <v>2.96</v>
      </c>
    </row>
    <row r="731" spans="1:4">
      <c r="A731" s="18"/>
      <c r="B731" s="18"/>
      <c r="C731" s="18"/>
      <c r="D731" s="18">
        <v>41.13</v>
      </c>
    </row>
    <row r="732" spans="1:4">
      <c r="A732" s="18"/>
      <c r="B732" s="18"/>
      <c r="C732" s="18"/>
      <c r="D732" s="18">
        <v>41.13</v>
      </c>
    </row>
    <row r="733" spans="1:4">
      <c r="A733" s="18"/>
      <c r="B733" s="18"/>
      <c r="C733" s="18"/>
      <c r="D733" s="18">
        <v>41.13</v>
      </c>
    </row>
    <row r="734" spans="1:4">
      <c r="A734" s="18"/>
      <c r="B734" s="18">
        <v>2.69</v>
      </c>
      <c r="C734" s="18"/>
      <c r="D734" s="18">
        <v>1.73</v>
      </c>
    </row>
    <row r="735" spans="1:4">
      <c r="A735" s="18"/>
      <c r="B735" s="18">
        <v>2.69</v>
      </c>
      <c r="C735" s="18"/>
      <c r="D735" s="18">
        <v>1.73</v>
      </c>
    </row>
    <row r="736" spans="1:4">
      <c r="A736" s="18"/>
      <c r="B736" s="18">
        <v>2.69</v>
      </c>
      <c r="C736" s="18"/>
      <c r="D736" s="18">
        <v>1.73</v>
      </c>
    </row>
    <row r="737" spans="1:4">
      <c r="A737" s="18"/>
      <c r="B737" s="18">
        <v>2.69</v>
      </c>
      <c r="C737" s="18"/>
      <c r="D737" s="18">
        <v>1.73</v>
      </c>
    </row>
    <row r="738" spans="1:4">
      <c r="A738" s="18"/>
      <c r="B738" s="18"/>
      <c r="C738" s="18"/>
      <c r="D738" s="18">
        <v>4.1500000000000004</v>
      </c>
    </row>
    <row r="739" spans="1:4">
      <c r="A739" s="18"/>
      <c r="B739" s="18"/>
      <c r="C739" s="18"/>
      <c r="D739" s="18">
        <v>4.1500000000000004</v>
      </c>
    </row>
    <row r="740" spans="1:4">
      <c r="A740" s="18"/>
      <c r="B740" s="18"/>
      <c r="C740" s="18"/>
      <c r="D740" s="18">
        <v>1.84</v>
      </c>
    </row>
    <row r="741" spans="1:4">
      <c r="A741" s="18"/>
      <c r="B741" s="18"/>
      <c r="C741" s="18"/>
      <c r="D741" s="18">
        <v>1.84</v>
      </c>
    </row>
    <row r="742" spans="1:4">
      <c r="A742" s="18"/>
      <c r="B742" s="18"/>
      <c r="C742" s="18"/>
      <c r="D742" s="18">
        <v>5.52</v>
      </c>
    </row>
    <row r="743" spans="1:4">
      <c r="A743" s="18"/>
      <c r="B743" s="18"/>
      <c r="C743" s="18"/>
      <c r="D743" s="18">
        <v>5.52</v>
      </c>
    </row>
    <row r="744" spans="1:4">
      <c r="A744" s="18"/>
      <c r="B744" s="18"/>
      <c r="C744" s="18"/>
      <c r="D744" s="18">
        <v>5.52</v>
      </c>
    </row>
    <row r="745" spans="1:4">
      <c r="A745" s="18"/>
      <c r="B745" s="18"/>
      <c r="C745" s="18"/>
      <c r="D745" s="18">
        <v>5.52</v>
      </c>
    </row>
    <row r="746" spans="1:4">
      <c r="A746" s="18"/>
      <c r="B746" s="18"/>
      <c r="C746" s="18"/>
      <c r="D746" s="18">
        <v>6.14</v>
      </c>
    </row>
    <row r="747" spans="1:4">
      <c r="A747" s="18"/>
      <c r="B747" s="18"/>
      <c r="C747" s="18"/>
      <c r="D747" s="18">
        <v>6.14</v>
      </c>
    </row>
    <row r="748" spans="1:4">
      <c r="A748" s="18"/>
      <c r="B748" s="18"/>
      <c r="C748" s="18"/>
      <c r="D748" s="18">
        <v>6.14</v>
      </c>
    </row>
    <row r="749" spans="1:4">
      <c r="A749" s="18"/>
      <c r="B749" s="18"/>
      <c r="C749" s="18"/>
      <c r="D749" s="18">
        <v>6.14</v>
      </c>
    </row>
    <row r="750" spans="1:4">
      <c r="A750" s="18"/>
      <c r="B750" s="18"/>
      <c r="C750" s="18"/>
      <c r="D750" s="18">
        <v>6.14</v>
      </c>
    </row>
    <row r="751" spans="1:4">
      <c r="A751" s="18"/>
      <c r="B751" s="18"/>
      <c r="C751" s="18"/>
      <c r="D751" s="18">
        <v>6.98</v>
      </c>
    </row>
    <row r="752" spans="1:4">
      <c r="A752" s="18"/>
      <c r="B752" s="18"/>
      <c r="C752" s="18"/>
      <c r="D752" s="18">
        <v>6.98</v>
      </c>
    </row>
    <row r="753" spans="1:4">
      <c r="A753" s="18"/>
      <c r="B753" s="18"/>
      <c r="C753" s="18"/>
      <c r="D753" s="18">
        <v>6.98</v>
      </c>
    </row>
    <row r="754" spans="1:4">
      <c r="A754" s="18"/>
      <c r="B754" s="18"/>
      <c r="C754" s="18"/>
      <c r="D754" s="18">
        <v>6.98</v>
      </c>
    </row>
    <row r="755" spans="1:4">
      <c r="A755" s="18"/>
      <c r="B755" s="18"/>
      <c r="C755" s="18"/>
      <c r="D755" s="18">
        <v>6.98</v>
      </c>
    </row>
    <row r="756" spans="1:4">
      <c r="A756" s="18"/>
      <c r="B756" s="18"/>
      <c r="C756" s="18"/>
      <c r="D756" s="18">
        <v>6.98</v>
      </c>
    </row>
    <row r="757" spans="1:4">
      <c r="A757" s="18"/>
      <c r="B757" s="18"/>
      <c r="C757" s="18"/>
      <c r="D757" s="18">
        <v>6.98</v>
      </c>
    </row>
    <row r="758" spans="1:4">
      <c r="A758" s="18"/>
      <c r="B758" s="18"/>
      <c r="C758" s="18"/>
      <c r="D758" s="18">
        <v>6.98</v>
      </c>
    </row>
    <row r="759" spans="1:4">
      <c r="A759" s="18"/>
      <c r="B759" s="18"/>
      <c r="C759" s="18"/>
      <c r="D759" s="18">
        <v>6.98</v>
      </c>
    </row>
    <row r="760" spans="1:4">
      <c r="A760" s="18"/>
      <c r="B760" s="18"/>
      <c r="C760" s="18"/>
      <c r="D760" s="18">
        <v>6.98</v>
      </c>
    </row>
    <row r="761" spans="1:4">
      <c r="A761" s="18"/>
      <c r="B761" s="18"/>
      <c r="C761" s="18"/>
      <c r="D761" s="18">
        <v>6.98</v>
      </c>
    </row>
    <row r="762" spans="1:4">
      <c r="A762" s="18"/>
      <c r="B762" s="18"/>
      <c r="C762" s="18"/>
      <c r="D762" s="18">
        <v>6.98</v>
      </c>
    </row>
    <row r="763" spans="1:4">
      <c r="A763" s="18"/>
      <c r="B763" s="18"/>
      <c r="C763" s="18"/>
      <c r="D763" s="18">
        <v>6.98</v>
      </c>
    </row>
    <row r="764" spans="1:4">
      <c r="A764" s="18"/>
      <c r="B764" s="18"/>
      <c r="C764" s="18">
        <v>8.31</v>
      </c>
      <c r="D764" s="18">
        <v>5.63</v>
      </c>
    </row>
    <row r="765" spans="1:4">
      <c r="A765" s="18"/>
      <c r="B765" s="18"/>
      <c r="C765" s="18">
        <v>6.36</v>
      </c>
      <c r="D765" s="18">
        <v>8.31</v>
      </c>
    </row>
    <row r="766" spans="1:4">
      <c r="A766" s="18"/>
      <c r="B766" s="18"/>
      <c r="C766" s="18"/>
      <c r="D766" s="18">
        <v>6.36</v>
      </c>
    </row>
    <row r="767" spans="1:4">
      <c r="A767" s="18"/>
      <c r="B767" s="18"/>
      <c r="C767" s="18"/>
      <c r="D767" s="18">
        <v>6.36</v>
      </c>
    </row>
    <row r="768" spans="1:4">
      <c r="A768" s="18"/>
      <c r="B768" s="18">
        <v>8.31</v>
      </c>
      <c r="C768" s="18">
        <v>2.96</v>
      </c>
      <c r="D768" s="18">
        <v>2.76</v>
      </c>
    </row>
    <row r="769" spans="1:4">
      <c r="A769" s="18"/>
      <c r="B769" s="18">
        <v>6.36</v>
      </c>
      <c r="C769" s="18">
        <v>49.44</v>
      </c>
      <c r="D769" s="18">
        <v>2.96</v>
      </c>
    </row>
    <row r="770" spans="1:4">
      <c r="A770" s="18"/>
      <c r="B770" s="18"/>
      <c r="C770" s="18"/>
      <c r="D770" s="18">
        <v>49.44</v>
      </c>
    </row>
    <row r="771" spans="1:4">
      <c r="A771" s="18"/>
      <c r="B771" s="18"/>
      <c r="C771" s="18"/>
      <c r="D771" s="18">
        <v>49.44</v>
      </c>
    </row>
    <row r="772" spans="1:4">
      <c r="A772" s="18"/>
      <c r="B772" s="18"/>
      <c r="C772" s="18"/>
      <c r="D772" s="18">
        <v>49.44</v>
      </c>
    </row>
    <row r="773" spans="1:4">
      <c r="A773" s="18"/>
      <c r="B773" s="18">
        <v>4.01</v>
      </c>
      <c r="C773" s="18" t="s">
        <v>306</v>
      </c>
      <c r="D773" s="18">
        <v>1.73</v>
      </c>
    </row>
    <row r="774" spans="1:4">
      <c r="A774" s="18"/>
      <c r="B774" s="18">
        <v>1.89</v>
      </c>
      <c r="C774" s="18" t="s">
        <v>306</v>
      </c>
      <c r="D774" s="18" t="s">
        <v>306</v>
      </c>
    </row>
    <row r="775" spans="1:4">
      <c r="A775" s="18"/>
      <c r="B775" s="18">
        <v>1.73</v>
      </c>
      <c r="C775" s="18" t="s">
        <v>306</v>
      </c>
      <c r="D775" s="18" t="s">
        <v>306</v>
      </c>
    </row>
    <row r="776" spans="1:4">
      <c r="A776" s="18"/>
      <c r="B776" s="18">
        <v>6.61</v>
      </c>
      <c r="C776" s="18" t="s">
        <v>306</v>
      </c>
      <c r="D776" s="18">
        <v>5.52</v>
      </c>
    </row>
    <row r="777" spans="1:4">
      <c r="A777" s="18"/>
      <c r="B777" s="18">
        <v>2.15</v>
      </c>
      <c r="C777" s="18">
        <v>7.23</v>
      </c>
      <c r="D777" s="18" t="s">
        <v>306</v>
      </c>
    </row>
    <row r="778" spans="1:4">
      <c r="A778" s="18"/>
      <c r="B778" s="18">
        <v>5.52</v>
      </c>
      <c r="C778" s="18">
        <v>8.19</v>
      </c>
      <c r="D778" s="18" t="s">
        <v>306</v>
      </c>
    </row>
    <row r="779" spans="1:4">
      <c r="A779" s="18"/>
      <c r="B779" s="18">
        <v>7.23</v>
      </c>
      <c r="C779" s="18">
        <v>12.87</v>
      </c>
      <c r="D779" s="18">
        <v>10.08</v>
      </c>
    </row>
    <row r="780" spans="1:4">
      <c r="A780" s="18"/>
      <c r="B780" s="18">
        <v>8.19</v>
      </c>
      <c r="C780" s="18" t="s">
        <v>306</v>
      </c>
      <c r="D780" s="18">
        <v>9.8699999999999992</v>
      </c>
    </row>
    <row r="781" spans="1:4">
      <c r="A781" s="18"/>
      <c r="B781" s="18">
        <v>10.08</v>
      </c>
      <c r="C781" s="18" t="s">
        <v>306</v>
      </c>
      <c r="D781" s="18" t="s">
        <v>306</v>
      </c>
    </row>
    <row r="782" spans="1:4">
      <c r="A782" s="18"/>
      <c r="B782" s="18">
        <v>12.87</v>
      </c>
      <c r="C782" s="18">
        <v>8.26</v>
      </c>
      <c r="D782" s="18" t="s">
        <v>306</v>
      </c>
    </row>
    <row r="783" spans="1:4">
      <c r="A783" s="18"/>
      <c r="B783" s="18">
        <v>9.8699999999999992</v>
      </c>
      <c r="C783" s="18" t="s">
        <v>306</v>
      </c>
      <c r="D783" s="18">
        <v>8.26</v>
      </c>
    </row>
    <row r="784" spans="1:4">
      <c r="A784" s="18"/>
      <c r="B784" s="18">
        <v>8.26</v>
      </c>
      <c r="C784" s="18" t="s">
        <v>306</v>
      </c>
      <c r="D784" s="18" t="s">
        <v>306</v>
      </c>
    </row>
    <row r="785" spans="1:4">
      <c r="A785" s="18"/>
      <c r="B785" s="18">
        <v>14.212499999999999</v>
      </c>
      <c r="C785" s="18">
        <v>3.72</v>
      </c>
      <c r="D785" s="18">
        <v>7.79</v>
      </c>
    </row>
    <row r="786" spans="1:4">
      <c r="A786" s="18"/>
      <c r="B786" s="18">
        <v>15.65</v>
      </c>
      <c r="C786" s="18" t="s">
        <v>306</v>
      </c>
      <c r="D786" s="18">
        <v>3.72</v>
      </c>
    </row>
    <row r="787" spans="1:4">
      <c r="A787" s="18"/>
      <c r="B787" s="18">
        <v>19.899999999999999</v>
      </c>
      <c r="C787" s="18" t="s">
        <v>306</v>
      </c>
      <c r="D787" s="18" t="s">
        <v>306</v>
      </c>
    </row>
    <row r="788" spans="1:4">
      <c r="A788" s="18"/>
      <c r="B788" s="18">
        <v>7.79</v>
      </c>
      <c r="C788" s="18">
        <v>10.76</v>
      </c>
      <c r="D788" s="18" t="s">
        <v>306</v>
      </c>
    </row>
    <row r="789" spans="1:4">
      <c r="A789" s="18"/>
      <c r="B789" s="18">
        <v>3.72</v>
      </c>
      <c r="C789" s="18" t="s">
        <v>306</v>
      </c>
      <c r="D789" s="18">
        <v>10.76</v>
      </c>
    </row>
    <row r="790" spans="1:4">
      <c r="A790" s="18"/>
      <c r="B790" s="18">
        <v>10.76</v>
      </c>
      <c r="C790" s="18">
        <v>1</v>
      </c>
      <c r="D790" s="18">
        <v>98.295000000000016</v>
      </c>
    </row>
    <row r="791" spans="1:4">
      <c r="A791" s="18"/>
      <c r="B791" s="18">
        <v>10.76</v>
      </c>
      <c r="C791" s="18">
        <v>1</v>
      </c>
      <c r="D791" s="18">
        <v>98.295000000000016</v>
      </c>
    </row>
    <row r="792" spans="1:4">
      <c r="A792" s="18"/>
      <c r="B792" s="18">
        <v>4.01</v>
      </c>
      <c r="C792" s="18" t="s">
        <v>306</v>
      </c>
      <c r="D792" s="18">
        <v>1.73</v>
      </c>
    </row>
    <row r="793" spans="1:4">
      <c r="A793" s="18"/>
      <c r="B793" s="18">
        <v>1.89</v>
      </c>
      <c r="C793" s="18">
        <v>3.23</v>
      </c>
      <c r="D793" s="18">
        <v>4.75</v>
      </c>
    </row>
    <row r="794" spans="1:4">
      <c r="A794" s="18"/>
      <c r="B794" s="18">
        <v>1.73</v>
      </c>
      <c r="C794" s="18">
        <v>4.1500000000000004</v>
      </c>
      <c r="D794" s="18">
        <v>3.23</v>
      </c>
    </row>
    <row r="795" spans="1:4">
      <c r="A795" s="18"/>
      <c r="B795" s="18">
        <v>4.75</v>
      </c>
      <c r="C795" s="18">
        <v>2.15</v>
      </c>
      <c r="D795" s="18" t="s">
        <v>306</v>
      </c>
    </row>
    <row r="796" spans="1:4">
      <c r="A796" s="18"/>
      <c r="B796" s="18">
        <v>3.23</v>
      </c>
      <c r="C796" s="18" t="s">
        <v>306</v>
      </c>
      <c r="D796" s="18">
        <v>2.15</v>
      </c>
    </row>
    <row r="797" spans="1:4">
      <c r="A797" s="18"/>
      <c r="B797" s="18">
        <v>4.1500000000000004</v>
      </c>
      <c r="C797" s="18">
        <v>5.52</v>
      </c>
      <c r="D797" s="18" t="s">
        <v>306</v>
      </c>
    </row>
    <row r="798" spans="1:4">
      <c r="A798" s="18"/>
      <c r="B798" s="18">
        <v>2.15</v>
      </c>
      <c r="C798" s="18">
        <v>7.23</v>
      </c>
      <c r="D798" s="18" t="s">
        <v>306</v>
      </c>
    </row>
    <row r="799" spans="1:4">
      <c r="A799" s="18"/>
      <c r="B799" s="18">
        <v>5.52</v>
      </c>
      <c r="C799" s="18">
        <v>8.19</v>
      </c>
      <c r="D799" s="18" t="s">
        <v>306</v>
      </c>
    </row>
    <row r="800" spans="1:4">
      <c r="A800" s="18"/>
      <c r="B800" s="18">
        <v>7.23</v>
      </c>
      <c r="C800" s="18">
        <v>12.87</v>
      </c>
      <c r="D800" s="18">
        <v>10.08</v>
      </c>
    </row>
    <row r="801" spans="1:4">
      <c r="A801" s="18"/>
      <c r="B801" s="18">
        <v>8.19</v>
      </c>
      <c r="C801" s="18" t="s">
        <v>306</v>
      </c>
      <c r="D801" s="18">
        <v>9.8699999999999992</v>
      </c>
    </row>
    <row r="802" spans="1:4">
      <c r="A802" s="18"/>
      <c r="B802" s="18">
        <v>10.08</v>
      </c>
      <c r="C802" s="18" t="s">
        <v>306</v>
      </c>
      <c r="D802" s="18" t="s">
        <v>306</v>
      </c>
    </row>
    <row r="803" spans="1:4">
      <c r="A803" s="18"/>
      <c r="B803" s="18">
        <v>12.87</v>
      </c>
      <c r="C803" s="18" t="s">
        <v>306</v>
      </c>
      <c r="D803" s="18" t="s">
        <v>306</v>
      </c>
    </row>
    <row r="804" spans="1:4">
      <c r="A804" s="18"/>
      <c r="B804" s="18">
        <v>9.8699999999999992</v>
      </c>
      <c r="C804" s="18" t="s">
        <v>306</v>
      </c>
      <c r="D804" s="18" t="s">
        <v>306</v>
      </c>
    </row>
    <row r="805" spans="1:4">
      <c r="A805" s="18"/>
      <c r="B805" s="18">
        <v>26.02</v>
      </c>
      <c r="C805" s="18">
        <v>14.212499999999999</v>
      </c>
      <c r="D805" s="18" t="s">
        <v>306</v>
      </c>
    </row>
    <row r="806" spans="1:4">
      <c r="A806" s="18"/>
      <c r="B806" s="18">
        <v>14.212499999999999</v>
      </c>
      <c r="C806" s="18">
        <v>3.72</v>
      </c>
      <c r="D806" s="18">
        <v>7.79</v>
      </c>
    </row>
    <row r="807" spans="1:4">
      <c r="A807" s="18"/>
      <c r="B807" s="18">
        <v>15.65</v>
      </c>
      <c r="C807" s="18" t="s">
        <v>306</v>
      </c>
      <c r="D807" s="18">
        <v>3.72</v>
      </c>
    </row>
    <row r="808" spans="1:4">
      <c r="A808" s="18"/>
      <c r="B808" s="18">
        <v>19.899999999999999</v>
      </c>
      <c r="C808" s="18" t="s">
        <v>306</v>
      </c>
      <c r="D808" s="18" t="s">
        <v>306</v>
      </c>
    </row>
    <row r="809" spans="1:4">
      <c r="A809" s="18"/>
      <c r="B809" s="18">
        <v>7.79</v>
      </c>
      <c r="C809" s="18">
        <v>10.76</v>
      </c>
      <c r="D809" s="18" t="s">
        <v>306</v>
      </c>
    </row>
    <row r="810" spans="1:4">
      <c r="A810" s="18"/>
      <c r="B810" s="18">
        <v>3.72</v>
      </c>
      <c r="C810" s="18" t="s">
        <v>306</v>
      </c>
      <c r="D810" s="18">
        <v>10.76</v>
      </c>
    </row>
    <row r="811" spans="1:4">
      <c r="A811" s="18"/>
      <c r="B811" s="18">
        <v>10.76</v>
      </c>
      <c r="C811" s="18">
        <v>1</v>
      </c>
      <c r="D811" s="18">
        <v>147.595</v>
      </c>
    </row>
    <row r="812" spans="1:4">
      <c r="A812" s="18"/>
      <c r="B812" s="18">
        <v>10.76</v>
      </c>
      <c r="C812" s="18">
        <v>1</v>
      </c>
      <c r="D812" s="18">
        <v>147.595</v>
      </c>
    </row>
    <row r="813" spans="1:4">
      <c r="A813" s="18"/>
      <c r="B813" s="18">
        <v>4.01</v>
      </c>
      <c r="C813" s="18" t="s">
        <v>306</v>
      </c>
      <c r="D813" s="18">
        <v>1.73</v>
      </c>
    </row>
    <row r="814" spans="1:4">
      <c r="A814" s="18"/>
      <c r="B814" s="18">
        <v>1.89</v>
      </c>
      <c r="C814" s="18">
        <v>3.23</v>
      </c>
      <c r="D814" s="18">
        <v>4.75</v>
      </c>
    </row>
    <row r="815" spans="1:4">
      <c r="A815" s="18"/>
      <c r="B815" s="18">
        <v>1.73</v>
      </c>
      <c r="C815" s="18">
        <v>4.1500000000000004</v>
      </c>
      <c r="D815" s="18">
        <v>3.23</v>
      </c>
    </row>
    <row r="816" spans="1:4">
      <c r="A816" s="18"/>
      <c r="B816" s="18">
        <v>4.75</v>
      </c>
      <c r="C816" s="18">
        <v>2.15</v>
      </c>
      <c r="D816" s="18" t="s">
        <v>306</v>
      </c>
    </row>
    <row r="817" spans="1:4">
      <c r="A817" s="18"/>
      <c r="B817" s="18">
        <v>3.23</v>
      </c>
      <c r="C817" s="18" t="s">
        <v>306</v>
      </c>
      <c r="D817" s="18">
        <v>2.15</v>
      </c>
    </row>
    <row r="818" spans="1:4">
      <c r="A818" s="18"/>
      <c r="B818" s="18">
        <v>4.1500000000000004</v>
      </c>
      <c r="C818" s="18">
        <v>5.52</v>
      </c>
      <c r="D818" s="18" t="s">
        <v>306</v>
      </c>
    </row>
    <row r="819" spans="1:4">
      <c r="A819" s="18"/>
      <c r="B819" s="18">
        <v>2.15</v>
      </c>
      <c r="C819" s="18">
        <v>7.23</v>
      </c>
      <c r="D819" s="18" t="s">
        <v>306</v>
      </c>
    </row>
    <row r="820" spans="1:4">
      <c r="A820" s="18"/>
      <c r="B820" s="18">
        <v>5.52</v>
      </c>
      <c r="C820" s="18">
        <v>8.19</v>
      </c>
      <c r="D820" s="18" t="s">
        <v>306</v>
      </c>
    </row>
    <row r="821" spans="1:4">
      <c r="A821" s="18"/>
      <c r="B821" s="18">
        <v>7.23</v>
      </c>
      <c r="C821" s="18">
        <v>12.87</v>
      </c>
      <c r="D821" s="18">
        <v>10.08</v>
      </c>
    </row>
    <row r="822" spans="1:4">
      <c r="A822" s="18"/>
      <c r="B822" s="18">
        <v>8.19</v>
      </c>
      <c r="C822" s="18" t="s">
        <v>306</v>
      </c>
      <c r="D822" s="18">
        <v>9.8699999999999992</v>
      </c>
    </row>
    <row r="823" spans="1:4">
      <c r="A823" s="18"/>
      <c r="B823" s="18">
        <v>10.08</v>
      </c>
      <c r="C823" s="18" t="s">
        <v>306</v>
      </c>
      <c r="D823" s="18" t="s">
        <v>306</v>
      </c>
    </row>
    <row r="824" spans="1:4">
      <c r="A824" s="18"/>
      <c r="B824" s="18">
        <v>12.87</v>
      </c>
      <c r="C824" s="18" t="s">
        <v>306</v>
      </c>
      <c r="D824" s="18" t="s">
        <v>306</v>
      </c>
    </row>
    <row r="825" spans="1:4">
      <c r="A825" s="18"/>
      <c r="B825" s="18">
        <v>9.8699999999999992</v>
      </c>
      <c r="C825" s="18" t="s">
        <v>306</v>
      </c>
      <c r="D825" s="18" t="s">
        <v>306</v>
      </c>
    </row>
    <row r="826" spans="1:4">
      <c r="A826" s="18"/>
      <c r="B826" s="18">
        <v>26.02</v>
      </c>
      <c r="C826" s="18">
        <v>14.212499999999999</v>
      </c>
      <c r="D826" s="18" t="s">
        <v>306</v>
      </c>
    </row>
    <row r="827" spans="1:4">
      <c r="A827" s="18"/>
      <c r="B827" s="18">
        <v>14.212499999999999</v>
      </c>
      <c r="C827" s="18">
        <v>3.72</v>
      </c>
      <c r="D827" s="18">
        <v>7.79</v>
      </c>
    </row>
    <row r="828" spans="1:4">
      <c r="A828" s="18"/>
      <c r="B828" s="18">
        <v>15.65</v>
      </c>
      <c r="C828" s="18" t="s">
        <v>306</v>
      </c>
      <c r="D828" s="18">
        <v>3.72</v>
      </c>
    </row>
    <row r="829" spans="1:4">
      <c r="A829" s="18"/>
      <c r="B829" s="18">
        <v>19.899999999999999</v>
      </c>
      <c r="C829" s="18" t="s">
        <v>306</v>
      </c>
      <c r="D829" s="18" t="s">
        <v>306</v>
      </c>
    </row>
    <row r="830" spans="1:4">
      <c r="A830" s="18"/>
      <c r="B830" s="18">
        <v>7.79</v>
      </c>
      <c r="C830" s="18">
        <v>10.76</v>
      </c>
      <c r="D830" s="18" t="s">
        <v>306</v>
      </c>
    </row>
    <row r="831" spans="1:4">
      <c r="A831" s="18"/>
      <c r="B831" s="18">
        <v>3.72</v>
      </c>
      <c r="C831" s="18" t="s">
        <v>306</v>
      </c>
      <c r="D831" s="18">
        <v>10.76</v>
      </c>
    </row>
    <row r="832" spans="1:4">
      <c r="A832" s="18"/>
      <c r="B832" s="18">
        <v>10.76</v>
      </c>
      <c r="C832" s="18"/>
      <c r="D832" s="18">
        <v>147.595</v>
      </c>
    </row>
    <row r="833" spans="1:4">
      <c r="A833" s="18"/>
      <c r="B833" s="18">
        <v>10.76</v>
      </c>
      <c r="C833" s="18"/>
      <c r="D833" s="18">
        <v>147.595</v>
      </c>
    </row>
    <row r="834" spans="1:4">
      <c r="A834" s="18"/>
      <c r="B834" s="18">
        <v>4.01</v>
      </c>
      <c r="C834" s="18" t="s">
        <v>306</v>
      </c>
      <c r="D834" s="18">
        <v>1.73</v>
      </c>
    </row>
    <row r="835" spans="1:4">
      <c r="A835" s="18"/>
      <c r="B835" s="18">
        <v>1.89</v>
      </c>
      <c r="C835" s="18">
        <v>3.23</v>
      </c>
      <c r="D835" s="18">
        <v>4.75</v>
      </c>
    </row>
    <row r="836" spans="1:4">
      <c r="A836" s="18"/>
      <c r="B836" s="18">
        <v>1.73</v>
      </c>
      <c r="C836" s="18">
        <v>4.1500000000000004</v>
      </c>
      <c r="D836" s="18">
        <v>3.23</v>
      </c>
    </row>
    <row r="837" spans="1:4">
      <c r="A837" s="18"/>
      <c r="B837" s="18">
        <v>4.75</v>
      </c>
      <c r="C837" s="18">
        <v>2.15</v>
      </c>
      <c r="D837" s="18" t="s">
        <v>306</v>
      </c>
    </row>
    <row r="838" spans="1:4">
      <c r="A838" s="18"/>
      <c r="B838" s="18">
        <v>3.23</v>
      </c>
      <c r="C838" s="18">
        <v>3.61</v>
      </c>
      <c r="D838" s="18">
        <v>2.15</v>
      </c>
    </row>
    <row r="839" spans="1:4">
      <c r="A839" s="18"/>
      <c r="B839" s="18">
        <v>4.1500000000000004</v>
      </c>
      <c r="C839" s="18">
        <v>5.52</v>
      </c>
      <c r="D839" s="18">
        <v>3.61</v>
      </c>
    </row>
    <row r="840" spans="1:4">
      <c r="A840" s="18"/>
      <c r="B840" s="18">
        <v>2.15</v>
      </c>
      <c r="C840" s="18" t="s">
        <v>306</v>
      </c>
      <c r="D840" s="18" t="s">
        <v>306</v>
      </c>
    </row>
    <row r="841" spans="1:4">
      <c r="A841" s="18"/>
      <c r="B841" s="18">
        <v>3.61</v>
      </c>
      <c r="C841" s="18" t="s">
        <v>306</v>
      </c>
      <c r="D841" s="18" t="s">
        <v>306</v>
      </c>
    </row>
    <row r="842" spans="1:4">
      <c r="A842" s="18"/>
      <c r="B842" s="18">
        <v>5.52</v>
      </c>
      <c r="C842" s="18">
        <v>8.19</v>
      </c>
      <c r="D842" s="18" t="s">
        <v>306</v>
      </c>
    </row>
    <row r="843" spans="1:4">
      <c r="A843" s="18"/>
      <c r="B843" s="18">
        <v>8.19</v>
      </c>
      <c r="C843" s="18" t="s">
        <v>306</v>
      </c>
      <c r="D843" s="18">
        <v>9.8699999999999992</v>
      </c>
    </row>
    <row r="844" spans="1:4">
      <c r="A844" s="18"/>
      <c r="B844" s="18">
        <v>10.08</v>
      </c>
      <c r="C844" s="18">
        <v>9.01</v>
      </c>
      <c r="D844" s="18" t="s">
        <v>306</v>
      </c>
    </row>
    <row r="845" spans="1:4">
      <c r="A845" s="18"/>
      <c r="B845" s="18">
        <v>12.87</v>
      </c>
      <c r="C845" s="18" t="s">
        <v>306</v>
      </c>
      <c r="D845" s="18">
        <v>9.01</v>
      </c>
    </row>
    <row r="846" spans="1:4">
      <c r="A846" s="18"/>
      <c r="B846" s="18">
        <v>9.8699999999999992</v>
      </c>
      <c r="C846" s="18" t="s">
        <v>306</v>
      </c>
      <c r="D846" s="18" t="s">
        <v>306</v>
      </c>
    </row>
    <row r="847" spans="1:4">
      <c r="A847" s="18"/>
      <c r="B847" s="18">
        <v>9.01</v>
      </c>
      <c r="C847" s="18" t="s">
        <v>306</v>
      </c>
      <c r="D847" s="18" t="s">
        <v>306</v>
      </c>
    </row>
    <row r="848" spans="1:4">
      <c r="A848" s="18"/>
      <c r="B848" s="18">
        <v>14.212499999999999</v>
      </c>
      <c r="C848" s="18">
        <v>3.72</v>
      </c>
      <c r="D848" s="18">
        <v>7.79</v>
      </c>
    </row>
    <row r="849" spans="1:4">
      <c r="A849" s="18"/>
      <c r="B849" s="18">
        <v>15.65</v>
      </c>
      <c r="C849" s="18" t="s">
        <v>306</v>
      </c>
      <c r="D849" s="18">
        <v>3.72</v>
      </c>
    </row>
    <row r="850" spans="1:4">
      <c r="A850" s="18"/>
      <c r="B850" s="18">
        <v>19.899999999999999</v>
      </c>
      <c r="C850" s="18" t="s">
        <v>306</v>
      </c>
      <c r="D850" s="18" t="s">
        <v>306</v>
      </c>
    </row>
    <row r="851" spans="1:4">
      <c r="A851" s="18"/>
      <c r="B851" s="18">
        <v>7.79</v>
      </c>
      <c r="C851" s="18" t="s">
        <v>306</v>
      </c>
      <c r="D851" s="18" t="s">
        <v>306</v>
      </c>
    </row>
    <row r="852" spans="1:4">
      <c r="A852" s="18"/>
      <c r="B852" s="18">
        <v>3.72</v>
      </c>
      <c r="C852" s="18">
        <v>2.3199999999999998</v>
      </c>
      <c r="D852" s="18" t="s">
        <v>306</v>
      </c>
    </row>
    <row r="853" spans="1:4">
      <c r="A853" s="18"/>
      <c r="B853" s="18">
        <v>2.3199999999999998</v>
      </c>
      <c r="C853" s="18"/>
      <c r="D853" s="18">
        <v>1</v>
      </c>
    </row>
    <row r="854" spans="1:4">
      <c r="A854" s="18"/>
      <c r="B854" s="18">
        <v>2.3199999999999998</v>
      </c>
      <c r="C854" s="18"/>
      <c r="D854" s="18">
        <v>1</v>
      </c>
    </row>
    <row r="855" spans="1:4">
      <c r="A855" s="18"/>
      <c r="B855" s="18">
        <v>4.01</v>
      </c>
      <c r="C855" s="18" t="s">
        <v>306</v>
      </c>
      <c r="D855" s="18">
        <v>1.73</v>
      </c>
    </row>
    <row r="856" spans="1:4">
      <c r="A856" s="18"/>
      <c r="B856" s="18">
        <v>1.89</v>
      </c>
      <c r="C856" s="18">
        <v>3.23</v>
      </c>
      <c r="D856" s="18">
        <v>4.75</v>
      </c>
    </row>
    <row r="857" spans="1:4">
      <c r="A857" s="18"/>
      <c r="B857" s="18">
        <v>1.73</v>
      </c>
      <c r="C857" s="18">
        <v>4.1500000000000004</v>
      </c>
      <c r="D857" s="18">
        <v>3.23</v>
      </c>
    </row>
    <row r="858" spans="1:4">
      <c r="A858" s="18"/>
      <c r="B858" s="18">
        <v>4.75</v>
      </c>
      <c r="C858" s="18">
        <v>2.15</v>
      </c>
      <c r="D858" s="18" t="s">
        <v>306</v>
      </c>
    </row>
    <row r="859" spans="1:4">
      <c r="A859" s="18"/>
      <c r="B859" s="18">
        <v>3.23</v>
      </c>
      <c r="C859" s="18">
        <v>3.61</v>
      </c>
      <c r="D859" s="18">
        <v>2.15</v>
      </c>
    </row>
    <row r="860" spans="1:4">
      <c r="A860" s="18"/>
      <c r="B860" s="18">
        <v>4.1500000000000004</v>
      </c>
      <c r="C860" s="18">
        <v>5.52</v>
      </c>
      <c r="D860" s="18">
        <v>3.61</v>
      </c>
    </row>
    <row r="861" spans="1:4">
      <c r="A861" s="18"/>
      <c r="B861" s="18">
        <v>2.15</v>
      </c>
      <c r="C861" s="18" t="s">
        <v>306</v>
      </c>
      <c r="D861" s="18" t="s">
        <v>306</v>
      </c>
    </row>
    <row r="862" spans="1:4">
      <c r="A862" s="18"/>
      <c r="B862" s="18">
        <v>3.61</v>
      </c>
      <c r="C862" s="18" t="s">
        <v>306</v>
      </c>
      <c r="D862" s="18" t="s">
        <v>306</v>
      </c>
    </row>
    <row r="863" spans="1:4">
      <c r="A863" s="18"/>
      <c r="B863" s="18">
        <v>5.52</v>
      </c>
      <c r="C863" s="18">
        <v>8.19</v>
      </c>
      <c r="D863" s="18" t="s">
        <v>306</v>
      </c>
    </row>
    <row r="864" spans="1:4">
      <c r="A864" s="18"/>
      <c r="B864" s="18">
        <v>8.19</v>
      </c>
      <c r="C864" s="18">
        <v>4.8</v>
      </c>
      <c r="D864" s="18">
        <v>9.8699999999999992</v>
      </c>
    </row>
    <row r="865" spans="1:4">
      <c r="A865" s="18"/>
      <c r="B865" s="18">
        <v>10.08</v>
      </c>
      <c r="C865" s="18">
        <v>9.01</v>
      </c>
      <c r="D865" s="18">
        <v>4.8</v>
      </c>
    </row>
    <row r="866" spans="1:4">
      <c r="A866" s="18"/>
      <c r="B866" s="18">
        <v>12.87</v>
      </c>
      <c r="C866" s="18" t="s">
        <v>306</v>
      </c>
      <c r="D866" s="18">
        <v>9.01</v>
      </c>
    </row>
    <row r="867" spans="1:4">
      <c r="A867" s="18"/>
      <c r="B867" s="18">
        <v>9.8699999999999992</v>
      </c>
      <c r="C867" s="18" t="s">
        <v>306</v>
      </c>
      <c r="D867" s="18" t="s">
        <v>306</v>
      </c>
    </row>
    <row r="868" spans="1:4">
      <c r="A868" s="18"/>
      <c r="B868" s="18">
        <v>4.8</v>
      </c>
      <c r="C868" s="18" t="s">
        <v>306</v>
      </c>
      <c r="D868" s="18" t="s">
        <v>306</v>
      </c>
    </row>
    <row r="869" spans="1:4">
      <c r="A869" s="18"/>
      <c r="B869" s="18">
        <v>9.01</v>
      </c>
      <c r="C869" s="18" t="s">
        <v>306</v>
      </c>
      <c r="D869" s="18" t="s">
        <v>306</v>
      </c>
    </row>
    <row r="870" spans="1:4">
      <c r="A870" s="18"/>
      <c r="B870" s="18">
        <v>14.212499999999999</v>
      </c>
      <c r="C870" s="18">
        <v>3.72</v>
      </c>
      <c r="D870" s="18">
        <v>7.79</v>
      </c>
    </row>
    <row r="871" spans="1:4">
      <c r="A871" s="18"/>
      <c r="B871" s="18">
        <v>15.65</v>
      </c>
      <c r="C871" s="18" t="s">
        <v>306</v>
      </c>
      <c r="D871" s="18">
        <v>3.72</v>
      </c>
    </row>
    <row r="872" spans="1:4">
      <c r="A872" s="18"/>
      <c r="B872" s="18">
        <v>19.899999999999999</v>
      </c>
      <c r="C872" s="18" t="s">
        <v>306</v>
      </c>
      <c r="D872" s="18" t="s">
        <v>306</v>
      </c>
    </row>
    <row r="873" spans="1:4">
      <c r="A873" s="18"/>
      <c r="B873" s="18">
        <v>7.79</v>
      </c>
      <c r="C873" s="18" t="s">
        <v>306</v>
      </c>
      <c r="D873" s="18" t="s">
        <v>306</v>
      </c>
    </row>
    <row r="874" spans="1:4">
      <c r="A874" s="18"/>
      <c r="B874" s="18">
        <v>3.72</v>
      </c>
      <c r="C874" s="18">
        <v>2.3199999999999998</v>
      </c>
      <c r="D874" s="18" t="s">
        <v>306</v>
      </c>
    </row>
    <row r="875" spans="1:4">
      <c r="A875" s="18"/>
      <c r="B875" s="18">
        <v>2.3199999999999998</v>
      </c>
      <c r="C875" s="18"/>
      <c r="D875" s="18">
        <v>1</v>
      </c>
    </row>
    <row r="876" spans="1:4">
      <c r="A876" s="18"/>
      <c r="B876" s="18">
        <v>2.3199999999999998</v>
      </c>
      <c r="C876" s="18"/>
      <c r="D876" s="18">
        <v>1</v>
      </c>
    </row>
    <row r="877" spans="1:4">
      <c r="A877" s="18"/>
      <c r="B877" s="18">
        <v>4.01</v>
      </c>
      <c r="C877" s="18" t="s">
        <v>306</v>
      </c>
      <c r="D877" s="18">
        <v>1.73</v>
      </c>
    </row>
    <row r="878" spans="1:4">
      <c r="A878" s="18"/>
      <c r="B878" s="18">
        <v>1.89</v>
      </c>
      <c r="C878" s="18">
        <v>3.23</v>
      </c>
      <c r="D878" s="18" t="s">
        <v>306</v>
      </c>
    </row>
    <row r="879" spans="1:4">
      <c r="A879" s="18"/>
      <c r="B879" s="18">
        <v>1.73</v>
      </c>
      <c r="C879" s="18">
        <v>4.1500000000000004</v>
      </c>
      <c r="D879" s="18">
        <v>3.23</v>
      </c>
    </row>
    <row r="880" spans="1:4">
      <c r="A880" s="18"/>
      <c r="B880" s="18">
        <v>3.23</v>
      </c>
      <c r="C880" s="18" t="s">
        <v>306</v>
      </c>
      <c r="D880" s="18">
        <v>2.15</v>
      </c>
    </row>
    <row r="881" spans="1:4">
      <c r="A881" s="18"/>
      <c r="B881" s="18">
        <v>4.1500000000000004</v>
      </c>
      <c r="C881" s="18">
        <v>5.52</v>
      </c>
      <c r="D881" s="18" t="s">
        <v>306</v>
      </c>
    </row>
    <row r="882" spans="1:4">
      <c r="A882" s="18"/>
      <c r="B882" s="18">
        <v>2.15</v>
      </c>
      <c r="C882" s="18" t="s">
        <v>306</v>
      </c>
      <c r="D882" s="18" t="s">
        <v>306</v>
      </c>
    </row>
    <row r="883" spans="1:4">
      <c r="A883" s="18"/>
      <c r="B883" s="18">
        <v>5.52</v>
      </c>
      <c r="C883" s="18">
        <v>8.19</v>
      </c>
      <c r="D883" s="18">
        <v>8.75</v>
      </c>
    </row>
    <row r="884" spans="1:4">
      <c r="A884" s="18"/>
      <c r="B884" s="18">
        <v>8.75</v>
      </c>
      <c r="C884" s="18">
        <v>9.8699999999999992</v>
      </c>
      <c r="D884" s="18">
        <v>12.87</v>
      </c>
    </row>
    <row r="885" spans="1:4">
      <c r="A885" s="18"/>
      <c r="B885" s="18">
        <v>8.19</v>
      </c>
      <c r="C885" s="18" t="s">
        <v>306</v>
      </c>
      <c r="D885" s="18">
        <v>9.8699999999999992</v>
      </c>
    </row>
    <row r="886" spans="1:4">
      <c r="A886" s="18"/>
      <c r="B886" s="18">
        <v>10.08</v>
      </c>
      <c r="C886" s="18">
        <v>9.01</v>
      </c>
      <c r="D886" s="18" t="s">
        <v>306</v>
      </c>
    </row>
    <row r="887" spans="1:4">
      <c r="A887" s="18"/>
      <c r="B887" s="18">
        <v>12.87</v>
      </c>
      <c r="C887" s="18" t="s">
        <v>306</v>
      </c>
      <c r="D887" s="18">
        <v>9.01</v>
      </c>
    </row>
    <row r="888" spans="1:4">
      <c r="A888" s="18"/>
      <c r="B888" s="18">
        <v>9.8699999999999992</v>
      </c>
      <c r="C888" s="18" t="s">
        <v>306</v>
      </c>
      <c r="D888" s="18" t="s">
        <v>306</v>
      </c>
    </row>
    <row r="889" spans="1:4">
      <c r="A889" s="18"/>
      <c r="B889" s="18">
        <v>9.01</v>
      </c>
      <c r="C889" s="18">
        <v>31.3</v>
      </c>
      <c r="D889" s="18" t="s">
        <v>306</v>
      </c>
    </row>
    <row r="890" spans="1:4">
      <c r="A890" s="18"/>
      <c r="B890" s="18">
        <v>31.3</v>
      </c>
      <c r="C890" s="18" t="s">
        <v>306</v>
      </c>
      <c r="D890" s="18">
        <v>7.22</v>
      </c>
    </row>
    <row r="891" spans="1:4">
      <c r="A891" s="18"/>
      <c r="B891" s="18">
        <v>18.829999999999998</v>
      </c>
      <c r="C891" s="18">
        <v>14.212499999999999</v>
      </c>
      <c r="D891" s="18" t="s">
        <v>306</v>
      </c>
    </row>
    <row r="892" spans="1:4">
      <c r="A892" s="18"/>
      <c r="B892" s="18">
        <v>8.75</v>
      </c>
      <c r="C892" s="18">
        <v>15.65</v>
      </c>
      <c r="D892" s="18">
        <v>14.212499999999999</v>
      </c>
    </row>
    <row r="893" spans="1:4">
      <c r="A893" s="18"/>
      <c r="B893" s="18">
        <v>7.22</v>
      </c>
      <c r="C893" s="18">
        <v>19.899999999999999</v>
      </c>
      <c r="D893" s="18">
        <v>15.65</v>
      </c>
    </row>
    <row r="894" spans="1:4">
      <c r="A894" s="18"/>
      <c r="B894" s="18">
        <v>14.212499999999999</v>
      </c>
      <c r="C894" s="18">
        <v>3.72</v>
      </c>
      <c r="D894" s="18">
        <v>7.79</v>
      </c>
    </row>
    <row r="895" spans="1:4">
      <c r="A895" s="18"/>
      <c r="B895" s="18">
        <v>15.65</v>
      </c>
      <c r="C895" s="18">
        <v>7.19</v>
      </c>
      <c r="D895" s="18">
        <v>3.72</v>
      </c>
    </row>
    <row r="896" spans="1:4">
      <c r="A896" s="18"/>
      <c r="B896" s="18">
        <v>19.899999999999999</v>
      </c>
      <c r="C896" s="18" t="s">
        <v>306</v>
      </c>
      <c r="D896" s="18">
        <v>7.19</v>
      </c>
    </row>
    <row r="897" spans="1:4">
      <c r="A897" s="18"/>
      <c r="B897" s="18">
        <v>7.79</v>
      </c>
      <c r="C897" s="18" t="s">
        <v>306</v>
      </c>
      <c r="D897" s="18" t="s">
        <v>306</v>
      </c>
    </row>
    <row r="898" spans="1:4">
      <c r="A898" s="18"/>
      <c r="B898" s="18">
        <v>3.72</v>
      </c>
      <c r="C898" s="18">
        <v>2.9</v>
      </c>
      <c r="D898" s="18" t="s">
        <v>306</v>
      </c>
    </row>
    <row r="899" spans="1:4">
      <c r="A899" s="18"/>
      <c r="B899" s="18">
        <v>7.19</v>
      </c>
      <c r="C899" s="18">
        <v>2.96</v>
      </c>
      <c r="D899" s="18">
        <v>2.9</v>
      </c>
    </row>
    <row r="900" spans="1:4">
      <c r="A900" s="18"/>
      <c r="B900" s="18">
        <v>7.19</v>
      </c>
      <c r="C900" s="18">
        <v>2.96</v>
      </c>
      <c r="D900" s="18">
        <v>2.9</v>
      </c>
    </row>
    <row r="901" spans="1:4">
      <c r="A901" s="18"/>
      <c r="B901" s="18">
        <v>7.19</v>
      </c>
      <c r="C901" s="18">
        <v>2.96</v>
      </c>
      <c r="D901" s="18">
        <v>2.9</v>
      </c>
    </row>
    <row r="902" spans="1:4">
      <c r="A902" s="18"/>
      <c r="B902" s="18">
        <v>4.01</v>
      </c>
      <c r="C902" s="18" t="s">
        <v>306</v>
      </c>
      <c r="D902" s="18">
        <v>1.73</v>
      </c>
    </row>
    <row r="903" spans="1:4">
      <c r="A903" s="18"/>
      <c r="B903" s="18">
        <v>5.24</v>
      </c>
      <c r="C903" s="18">
        <v>4.75</v>
      </c>
      <c r="D903" s="18" t="s">
        <v>306</v>
      </c>
    </row>
    <row r="904" spans="1:4">
      <c r="A904" s="18"/>
      <c r="B904" s="18">
        <v>1.89</v>
      </c>
      <c r="C904" s="18">
        <v>3.23</v>
      </c>
      <c r="D904" s="18">
        <v>4.75</v>
      </c>
    </row>
    <row r="905" spans="1:4">
      <c r="A905" s="18"/>
      <c r="B905" s="18">
        <v>1.73</v>
      </c>
      <c r="C905" s="18">
        <v>4.1500000000000004</v>
      </c>
      <c r="D905" s="18">
        <v>3.23</v>
      </c>
    </row>
    <row r="906" spans="1:4">
      <c r="A906" s="18"/>
      <c r="B906" s="18">
        <v>4.75</v>
      </c>
      <c r="C906" s="18">
        <v>2.15</v>
      </c>
      <c r="D906" s="18" t="s">
        <v>306</v>
      </c>
    </row>
    <row r="907" spans="1:4">
      <c r="A907" s="18"/>
      <c r="B907" s="18">
        <v>3.23</v>
      </c>
      <c r="C907" s="18">
        <v>3.61</v>
      </c>
      <c r="D907" s="18">
        <v>2.15</v>
      </c>
    </row>
    <row r="908" spans="1:4">
      <c r="A908" s="18"/>
      <c r="B908" s="18">
        <v>4.1500000000000004</v>
      </c>
      <c r="C908" s="18">
        <v>5.52</v>
      </c>
      <c r="D908" s="18">
        <v>3.61</v>
      </c>
    </row>
    <row r="909" spans="1:4">
      <c r="A909" s="18"/>
      <c r="B909" s="18">
        <v>2.15</v>
      </c>
      <c r="C909" s="18" t="s">
        <v>306</v>
      </c>
      <c r="D909" s="18" t="s">
        <v>306</v>
      </c>
    </row>
    <row r="910" spans="1:4">
      <c r="A910" s="18"/>
      <c r="B910" s="18">
        <v>3.61</v>
      </c>
      <c r="C910" s="18" t="s">
        <v>306</v>
      </c>
      <c r="D910" s="18" t="s">
        <v>306</v>
      </c>
    </row>
    <row r="911" spans="1:4">
      <c r="A911" s="18"/>
      <c r="B911" s="18">
        <v>5.52</v>
      </c>
      <c r="C911" s="18">
        <v>8.19</v>
      </c>
      <c r="D911" s="18" t="s">
        <v>306</v>
      </c>
    </row>
    <row r="912" spans="1:4">
      <c r="A912" s="18"/>
      <c r="B912" s="18">
        <v>8.19</v>
      </c>
      <c r="C912" s="18" t="s">
        <v>306</v>
      </c>
      <c r="D912" s="18">
        <v>9.8699999999999992</v>
      </c>
    </row>
    <row r="913" spans="1:4">
      <c r="A913" s="18"/>
      <c r="B913" s="18">
        <v>10.08</v>
      </c>
      <c r="C913" s="18">
        <v>6.98</v>
      </c>
      <c r="D913" s="18" t="s">
        <v>306</v>
      </c>
    </row>
    <row r="914" spans="1:4">
      <c r="A914" s="18"/>
      <c r="B914" s="18">
        <v>12.87</v>
      </c>
      <c r="C914" s="18" t="s">
        <v>306</v>
      </c>
      <c r="D914" s="18">
        <v>6.98</v>
      </c>
    </row>
    <row r="915" spans="1:4">
      <c r="A915" s="18"/>
      <c r="B915" s="18">
        <v>9.8699999999999992</v>
      </c>
      <c r="C915" s="18" t="s">
        <v>306</v>
      </c>
      <c r="D915" s="18" t="s">
        <v>306</v>
      </c>
    </row>
    <row r="916" spans="1:4">
      <c r="A916" s="18"/>
      <c r="B916" s="18">
        <v>6.98</v>
      </c>
      <c r="C916" s="18">
        <v>48.11</v>
      </c>
      <c r="D916" s="18" t="s">
        <v>306</v>
      </c>
    </row>
    <row r="917" spans="1:4">
      <c r="A917" s="18"/>
      <c r="B917" s="18">
        <v>48.11</v>
      </c>
      <c r="C917" s="18" t="s">
        <v>1591</v>
      </c>
      <c r="D917" s="18" t="s">
        <v>306</v>
      </c>
    </row>
    <row r="918" spans="1:4">
      <c r="A918" s="18"/>
      <c r="B918" s="18">
        <v>14.212499999999999</v>
      </c>
      <c r="C918" s="18">
        <v>3.72</v>
      </c>
      <c r="D918" s="18">
        <v>7.79</v>
      </c>
    </row>
    <row r="919" spans="1:4">
      <c r="A919" s="18"/>
      <c r="B919" s="18">
        <v>15.65</v>
      </c>
      <c r="C919" s="18" t="s">
        <v>306</v>
      </c>
      <c r="D919" s="18">
        <v>3.72</v>
      </c>
    </row>
    <row r="920" spans="1:4">
      <c r="A920" s="18"/>
      <c r="B920" s="18">
        <v>19.899999999999999</v>
      </c>
      <c r="C920" s="18" t="s">
        <v>306</v>
      </c>
      <c r="D920" s="18" t="s">
        <v>306</v>
      </c>
    </row>
    <row r="921" spans="1:4">
      <c r="A921" s="18"/>
      <c r="B921" s="18">
        <v>7.79</v>
      </c>
      <c r="C921" s="18" t="s">
        <v>306</v>
      </c>
      <c r="D921" s="18" t="s">
        <v>306</v>
      </c>
    </row>
    <row r="922" spans="1:4">
      <c r="A922" s="18"/>
      <c r="B922" s="18">
        <v>3.72</v>
      </c>
      <c r="C922" s="18">
        <v>2.9</v>
      </c>
      <c r="D922" s="18" t="s">
        <v>306</v>
      </c>
    </row>
    <row r="923" spans="1:4">
      <c r="A923" s="18"/>
      <c r="B923" s="18">
        <v>3.72</v>
      </c>
      <c r="C923" s="18">
        <v>2.9</v>
      </c>
      <c r="D923" s="18" t="s">
        <v>306</v>
      </c>
    </row>
    <row r="924" spans="1:4">
      <c r="A924" s="18"/>
      <c r="B924" s="18">
        <v>3.72</v>
      </c>
      <c r="C924" s="18">
        <v>2.9</v>
      </c>
      <c r="D924" s="18" t="s">
        <v>306</v>
      </c>
    </row>
    <row r="925" spans="1:4">
      <c r="A925" s="18"/>
      <c r="B925" s="18">
        <v>4.01</v>
      </c>
      <c r="C925" s="18" t="s">
        <v>306</v>
      </c>
      <c r="D925" s="18">
        <v>1.73</v>
      </c>
    </row>
    <row r="926" spans="1:4">
      <c r="A926" s="18"/>
      <c r="B926" s="18">
        <v>1.89</v>
      </c>
      <c r="C926" s="18">
        <v>3.23</v>
      </c>
      <c r="D926" s="18">
        <v>4.75</v>
      </c>
    </row>
    <row r="927" spans="1:4">
      <c r="A927" s="18"/>
      <c r="B927" s="18">
        <v>1.73</v>
      </c>
      <c r="C927" s="18">
        <v>4.1500000000000004</v>
      </c>
      <c r="D927" s="18">
        <v>3.23</v>
      </c>
    </row>
    <row r="928" spans="1:4">
      <c r="A928" s="18"/>
      <c r="B928" s="18">
        <v>4.75</v>
      </c>
      <c r="C928" s="18">
        <v>2.15</v>
      </c>
      <c r="D928" s="18" t="s">
        <v>306</v>
      </c>
    </row>
    <row r="929" spans="1:4">
      <c r="A929" s="18"/>
      <c r="B929" s="18">
        <v>3.23</v>
      </c>
      <c r="C929" s="18">
        <v>3.61</v>
      </c>
      <c r="D929" s="18">
        <v>2.15</v>
      </c>
    </row>
    <row r="930" spans="1:4">
      <c r="A930" s="18"/>
      <c r="B930" s="18">
        <v>4.1500000000000004</v>
      </c>
      <c r="C930" s="18">
        <v>5.52</v>
      </c>
      <c r="D930" s="18">
        <v>3.61</v>
      </c>
    </row>
    <row r="931" spans="1:4">
      <c r="A931" s="18"/>
      <c r="B931" s="18">
        <v>2.15</v>
      </c>
      <c r="C931" s="18" t="s">
        <v>306</v>
      </c>
      <c r="D931" s="18" t="s">
        <v>306</v>
      </c>
    </row>
    <row r="932" spans="1:4">
      <c r="A932" s="18"/>
      <c r="B932" s="18">
        <v>3.61</v>
      </c>
      <c r="C932" s="18" t="s">
        <v>306</v>
      </c>
      <c r="D932" s="18" t="s">
        <v>306</v>
      </c>
    </row>
    <row r="933" spans="1:4">
      <c r="A933" s="18"/>
      <c r="B933" s="18">
        <v>5.52</v>
      </c>
      <c r="C933" s="18">
        <v>8.19</v>
      </c>
      <c r="D933" s="18" t="s">
        <v>306</v>
      </c>
    </row>
    <row r="934" spans="1:4">
      <c r="A934" s="18"/>
      <c r="B934" s="18">
        <v>8.19</v>
      </c>
      <c r="C934" s="18" t="s">
        <v>306</v>
      </c>
      <c r="D934" s="18">
        <v>9.8699999999999992</v>
      </c>
    </row>
    <row r="935" spans="1:4">
      <c r="A935" s="18"/>
      <c r="B935" s="18">
        <v>10.08</v>
      </c>
      <c r="C935" s="18" t="s">
        <v>1591</v>
      </c>
      <c r="D935" s="18" t="s">
        <v>306</v>
      </c>
    </row>
    <row r="936" spans="1:4">
      <c r="A936" s="18"/>
      <c r="B936" s="18">
        <v>12.87</v>
      </c>
      <c r="C936" s="18" t="s">
        <v>306</v>
      </c>
      <c r="D936" s="18" t="s">
        <v>1591</v>
      </c>
    </row>
    <row r="937" spans="1:4">
      <c r="A937" s="18"/>
      <c r="B937" s="18">
        <v>9.8699999999999992</v>
      </c>
      <c r="C937" s="18" t="s">
        <v>306</v>
      </c>
      <c r="D937" s="18" t="s">
        <v>306</v>
      </c>
    </row>
    <row r="938" spans="1:4">
      <c r="A938" s="18"/>
      <c r="B938" s="18">
        <v>31.09</v>
      </c>
      <c r="C938" s="18">
        <v>14.212499999999999</v>
      </c>
      <c r="D938" s="18" t="s">
        <v>1591</v>
      </c>
    </row>
    <row r="939" spans="1:4">
      <c r="A939" s="18"/>
      <c r="B939" s="18">
        <v>14.212499999999999</v>
      </c>
      <c r="C939" s="18">
        <v>3.72</v>
      </c>
      <c r="D939" s="18">
        <v>7.79</v>
      </c>
    </row>
    <row r="940" spans="1:4">
      <c r="A940" s="18"/>
      <c r="B940" s="18">
        <v>15.65</v>
      </c>
      <c r="C940" s="18">
        <v>8.2799999999999994</v>
      </c>
      <c r="D940" s="18">
        <v>3.72</v>
      </c>
    </row>
    <row r="941" spans="1:4">
      <c r="A941" s="18"/>
      <c r="B941" s="18">
        <v>19.899999999999999</v>
      </c>
      <c r="C941" s="18" t="s">
        <v>306</v>
      </c>
      <c r="D941" s="18">
        <v>8.2799999999999994</v>
      </c>
    </row>
    <row r="942" spans="1:4">
      <c r="A942" s="18"/>
      <c r="B942" s="18">
        <v>7.79</v>
      </c>
      <c r="C942" s="18" t="s">
        <v>306</v>
      </c>
      <c r="D942" s="18" t="s">
        <v>306</v>
      </c>
    </row>
    <row r="943" spans="1:4">
      <c r="A943" s="18"/>
      <c r="B943" s="18">
        <v>3.72</v>
      </c>
      <c r="C943" s="18">
        <v>2.9</v>
      </c>
      <c r="D943" s="18" t="s">
        <v>306</v>
      </c>
    </row>
    <row r="944" spans="1:4">
      <c r="A944" s="18"/>
      <c r="B944" s="18">
        <v>8.2799999999999994</v>
      </c>
      <c r="C944" s="18">
        <v>2.96</v>
      </c>
      <c r="D944" s="18">
        <v>2.9</v>
      </c>
    </row>
    <row r="945" spans="1:4">
      <c r="A945" s="18"/>
      <c r="B945" s="18">
        <v>8.2799999999999994</v>
      </c>
      <c r="C945" s="18">
        <v>2.96</v>
      </c>
      <c r="D945" s="18">
        <v>2.9</v>
      </c>
    </row>
    <row r="946" spans="1:4">
      <c r="A946" s="18"/>
      <c r="B946" s="18">
        <v>8.2799999999999994</v>
      </c>
      <c r="C946" s="18">
        <v>2.96</v>
      </c>
      <c r="D946" s="18">
        <v>2.9</v>
      </c>
    </row>
    <row r="947" spans="1:4">
      <c r="A947" s="18"/>
      <c r="B947" s="18">
        <v>4.01</v>
      </c>
      <c r="C947" s="18" t="s">
        <v>306</v>
      </c>
      <c r="D947" s="18">
        <v>1.73</v>
      </c>
    </row>
    <row r="948" spans="1:4">
      <c r="A948" s="18"/>
      <c r="B948" s="18">
        <v>5.24</v>
      </c>
      <c r="C948" s="18">
        <v>4.75</v>
      </c>
      <c r="D948" s="18" t="s">
        <v>306</v>
      </c>
    </row>
    <row r="949" spans="1:4">
      <c r="A949" s="18"/>
      <c r="B949" s="18">
        <v>1.89</v>
      </c>
      <c r="C949" s="18">
        <v>3.23</v>
      </c>
      <c r="D949" s="18">
        <v>4.75</v>
      </c>
    </row>
    <row r="950" spans="1:4">
      <c r="A950" s="18"/>
      <c r="B950" s="18">
        <v>1.73</v>
      </c>
      <c r="C950" s="18">
        <v>4.1500000000000004</v>
      </c>
      <c r="D950" s="18">
        <v>3.23</v>
      </c>
    </row>
    <row r="951" spans="1:4">
      <c r="A951" s="18"/>
      <c r="B951" s="18">
        <v>4.75</v>
      </c>
      <c r="C951" s="18">
        <v>2.15</v>
      </c>
      <c r="D951" s="18" t="s">
        <v>306</v>
      </c>
    </row>
    <row r="952" spans="1:4">
      <c r="A952" s="18"/>
      <c r="B952" s="18">
        <v>3.23</v>
      </c>
      <c r="C952" s="18">
        <v>3.61</v>
      </c>
      <c r="D952" s="18">
        <v>2.15</v>
      </c>
    </row>
    <row r="953" spans="1:4">
      <c r="A953" s="18"/>
      <c r="B953" s="18">
        <v>4.1500000000000004</v>
      </c>
      <c r="C953" s="18">
        <v>5.52</v>
      </c>
      <c r="D953" s="18">
        <v>3.61</v>
      </c>
    </row>
    <row r="954" spans="1:4">
      <c r="A954" s="18"/>
      <c r="B954" s="18">
        <v>2.15</v>
      </c>
      <c r="C954" s="18" t="s">
        <v>306</v>
      </c>
      <c r="D954" s="18" t="s">
        <v>306</v>
      </c>
    </row>
    <row r="955" spans="1:4">
      <c r="A955" s="18"/>
      <c r="B955" s="18">
        <v>3.61</v>
      </c>
      <c r="C955" s="18" t="s">
        <v>306</v>
      </c>
      <c r="D955" s="18" t="s">
        <v>306</v>
      </c>
    </row>
    <row r="956" spans="1:4">
      <c r="A956" s="18"/>
      <c r="B956" s="18">
        <v>5.52</v>
      </c>
      <c r="C956" s="18">
        <v>8.19</v>
      </c>
      <c r="D956" s="18" t="s">
        <v>306</v>
      </c>
    </row>
    <row r="957" spans="1:4">
      <c r="A957" s="18"/>
      <c r="B957" s="18">
        <v>8.19</v>
      </c>
      <c r="C957" s="18" t="s">
        <v>306</v>
      </c>
      <c r="D957" s="18">
        <v>9.8699999999999992</v>
      </c>
    </row>
    <row r="958" spans="1:4">
      <c r="A958" s="18"/>
      <c r="B958" s="18">
        <v>10.08</v>
      </c>
      <c r="C958" s="18">
        <v>6.98</v>
      </c>
      <c r="D958" s="18" t="s">
        <v>306</v>
      </c>
    </row>
    <row r="959" spans="1:4">
      <c r="A959" s="18"/>
      <c r="B959" s="18">
        <v>12.87</v>
      </c>
      <c r="C959" s="18">
        <v>25.11</v>
      </c>
      <c r="D959" s="18">
        <v>6.98</v>
      </c>
    </row>
    <row r="960" spans="1:4">
      <c r="A960" s="18"/>
      <c r="B960" s="18">
        <v>9.8699999999999992</v>
      </c>
      <c r="C960" s="18">
        <v>33.549999999999997</v>
      </c>
      <c r="D960" s="18">
        <v>25.11</v>
      </c>
    </row>
    <row r="961" spans="1:4">
      <c r="A961" s="18"/>
      <c r="B961" s="18">
        <v>6.98</v>
      </c>
      <c r="C961" s="18">
        <v>7.81</v>
      </c>
      <c r="D961" s="18" t="s">
        <v>306</v>
      </c>
    </row>
    <row r="962" spans="1:4">
      <c r="A962" s="18"/>
      <c r="B962" s="18">
        <v>25.11</v>
      </c>
      <c r="C962" s="18" t="s">
        <v>306</v>
      </c>
      <c r="D962" s="18">
        <v>7.81</v>
      </c>
    </row>
    <row r="963" spans="1:4">
      <c r="A963" s="18"/>
      <c r="B963" s="18">
        <v>33.549999999999997</v>
      </c>
      <c r="C963" s="18" t="s">
        <v>306</v>
      </c>
      <c r="D963" s="18" t="s">
        <v>306</v>
      </c>
    </row>
    <row r="964" spans="1:4">
      <c r="A964" s="18"/>
      <c r="B964" s="18">
        <v>7.81</v>
      </c>
      <c r="C964" s="18" t="s">
        <v>306</v>
      </c>
      <c r="D964" s="18" t="s">
        <v>306</v>
      </c>
    </row>
    <row r="965" spans="1:4">
      <c r="A965" s="18"/>
      <c r="B965" s="18">
        <v>14.212499999999999</v>
      </c>
      <c r="C965" s="18">
        <v>3.72</v>
      </c>
      <c r="D965" s="18">
        <v>7.79</v>
      </c>
    </row>
    <row r="966" spans="1:4">
      <c r="A966" s="18"/>
      <c r="B966" s="18">
        <v>15.65</v>
      </c>
      <c r="C966" s="18">
        <v>7.19</v>
      </c>
      <c r="D966" s="18">
        <v>3.72</v>
      </c>
    </row>
    <row r="967" spans="1:4">
      <c r="A967" s="18"/>
      <c r="B967" s="18">
        <v>19.899999999999999</v>
      </c>
      <c r="C967" s="18" t="s">
        <v>306</v>
      </c>
      <c r="D967" s="18">
        <v>7.19</v>
      </c>
    </row>
    <row r="968" spans="1:4">
      <c r="A968" s="18"/>
      <c r="B968" s="18">
        <v>7.79</v>
      </c>
      <c r="C968" s="18" t="s">
        <v>306</v>
      </c>
      <c r="D968" s="18" t="s">
        <v>306</v>
      </c>
    </row>
    <row r="969" spans="1:4">
      <c r="A969" s="18"/>
      <c r="B969" s="18">
        <v>3.72</v>
      </c>
      <c r="C969" s="18">
        <v>2.9</v>
      </c>
      <c r="D969" s="18" t="s">
        <v>306</v>
      </c>
    </row>
    <row r="970" spans="1:4">
      <c r="A970" s="18"/>
      <c r="B970" s="18">
        <v>7.19</v>
      </c>
      <c r="C970" s="18">
        <v>2.96</v>
      </c>
      <c r="D970" s="18">
        <v>2.9</v>
      </c>
    </row>
    <row r="971" spans="1:4">
      <c r="A971" s="18"/>
      <c r="B971" s="18">
        <v>7.19</v>
      </c>
      <c r="C971" s="18">
        <v>2.96</v>
      </c>
      <c r="D971" s="18">
        <v>2.9</v>
      </c>
    </row>
    <row r="972" spans="1:4">
      <c r="A972" s="18"/>
      <c r="B972" s="18">
        <v>7.19</v>
      </c>
      <c r="C972" s="18">
        <v>2.96</v>
      </c>
      <c r="D972" s="18">
        <v>2.9</v>
      </c>
    </row>
    <row r="973" spans="1:4">
      <c r="A973" s="18"/>
      <c r="B973" s="18">
        <v>4.01</v>
      </c>
      <c r="C973" s="18" t="s">
        <v>306</v>
      </c>
      <c r="D973" s="18">
        <v>1.73</v>
      </c>
    </row>
    <row r="974" spans="1:4">
      <c r="A974" s="18"/>
      <c r="B974" s="18">
        <v>5.24</v>
      </c>
      <c r="C974" s="18">
        <v>4.75</v>
      </c>
      <c r="D974" s="18" t="s">
        <v>306</v>
      </c>
    </row>
    <row r="975" spans="1:4">
      <c r="A975" s="18"/>
      <c r="B975" s="18">
        <v>1.89</v>
      </c>
      <c r="C975" s="18">
        <v>3.23</v>
      </c>
      <c r="D975" s="18">
        <v>4.75</v>
      </c>
    </row>
    <row r="976" spans="1:4">
      <c r="A976" s="18"/>
      <c r="B976" s="18">
        <v>1.73</v>
      </c>
      <c r="C976" s="18">
        <v>4.1500000000000004</v>
      </c>
      <c r="D976" s="18">
        <v>3.23</v>
      </c>
    </row>
    <row r="977" spans="1:4">
      <c r="A977" s="18"/>
      <c r="B977" s="18">
        <v>4.75</v>
      </c>
      <c r="C977" s="18">
        <v>2.15</v>
      </c>
      <c r="D977" s="18" t="s">
        <v>306</v>
      </c>
    </row>
    <row r="978" spans="1:4">
      <c r="A978" s="18"/>
      <c r="B978" s="18">
        <v>3.23</v>
      </c>
      <c r="C978" s="18">
        <v>3.61</v>
      </c>
      <c r="D978" s="18">
        <v>2.15</v>
      </c>
    </row>
    <row r="979" spans="1:4">
      <c r="A979" s="18"/>
      <c r="B979" s="18">
        <v>4.1500000000000004</v>
      </c>
      <c r="C979" s="18">
        <v>5.52</v>
      </c>
      <c r="D979" s="18">
        <v>3.61</v>
      </c>
    </row>
    <row r="980" spans="1:4">
      <c r="A980" s="18"/>
      <c r="B980" s="18">
        <v>2.15</v>
      </c>
      <c r="C980" s="18" t="s">
        <v>306</v>
      </c>
      <c r="D980" s="18" t="s">
        <v>306</v>
      </c>
    </row>
    <row r="981" spans="1:4">
      <c r="A981" s="18"/>
      <c r="B981" s="18">
        <v>3.61</v>
      </c>
      <c r="C981" s="18" t="s">
        <v>306</v>
      </c>
      <c r="D981" s="18" t="s">
        <v>306</v>
      </c>
    </row>
    <row r="982" spans="1:4">
      <c r="A982" s="18"/>
      <c r="B982" s="18">
        <v>5.52</v>
      </c>
      <c r="C982" s="18">
        <v>8.19</v>
      </c>
      <c r="D982" s="18" t="s">
        <v>306</v>
      </c>
    </row>
    <row r="983" spans="1:4">
      <c r="A983" s="18"/>
      <c r="B983" s="18">
        <v>8.19</v>
      </c>
      <c r="C983" s="18" t="s">
        <v>306</v>
      </c>
      <c r="D983" s="18">
        <v>9.8699999999999992</v>
      </c>
    </row>
    <row r="984" spans="1:4">
      <c r="A984" s="18"/>
      <c r="B984" s="18">
        <v>10.08</v>
      </c>
      <c r="C984" s="18">
        <v>9.01</v>
      </c>
      <c r="D984" s="18" t="s">
        <v>306</v>
      </c>
    </row>
    <row r="985" spans="1:4">
      <c r="A985" s="18"/>
      <c r="B985" s="18">
        <v>12.87</v>
      </c>
      <c r="C985" s="18"/>
      <c r="D985" s="18">
        <v>9.01</v>
      </c>
    </row>
    <row r="986" spans="1:4">
      <c r="A986" s="18"/>
      <c r="B986" s="18">
        <v>12.87</v>
      </c>
      <c r="C986" s="18"/>
      <c r="D986" s="18">
        <v>9.01</v>
      </c>
    </row>
    <row r="987" spans="1:4">
      <c r="A987" s="18"/>
      <c r="B987" s="18">
        <v>9.01</v>
      </c>
      <c r="C987" s="18">
        <v>15.57</v>
      </c>
      <c r="D987" s="18" t="s">
        <v>306</v>
      </c>
    </row>
    <row r="988" spans="1:4">
      <c r="A988" s="18"/>
      <c r="B988" s="18"/>
      <c r="C988" s="18" t="s">
        <v>306</v>
      </c>
      <c r="D988" s="18">
        <v>15.57</v>
      </c>
    </row>
    <row r="989" spans="1:4">
      <c r="A989" s="18"/>
      <c r="B989" s="18">
        <v>15.57</v>
      </c>
      <c r="C989" s="18" t="s">
        <v>306</v>
      </c>
      <c r="D989" s="18" t="s">
        <v>1591</v>
      </c>
    </row>
    <row r="990" spans="1:4">
      <c r="A990" s="18"/>
      <c r="B990" s="18">
        <v>19.86</v>
      </c>
      <c r="C990" s="18">
        <v>15.65</v>
      </c>
      <c r="D990" s="18">
        <v>14.212499999999999</v>
      </c>
    </row>
    <row r="991" spans="1:4">
      <c r="A991" s="18"/>
      <c r="B991" s="18">
        <v>14.212499999999999</v>
      </c>
      <c r="C991" s="18">
        <v>3.72</v>
      </c>
      <c r="D991" s="18">
        <v>7.79</v>
      </c>
    </row>
    <row r="992" spans="1:4">
      <c r="A992" s="18"/>
      <c r="B992" s="18">
        <v>15.65</v>
      </c>
      <c r="C992" s="18">
        <v>7.19</v>
      </c>
      <c r="D992" s="18">
        <v>3.72</v>
      </c>
    </row>
    <row r="993" spans="1:4">
      <c r="A993" s="18"/>
      <c r="B993" s="18">
        <v>19.899999999999999</v>
      </c>
      <c r="C993" s="18" t="s">
        <v>306</v>
      </c>
      <c r="D993" s="18">
        <v>7.19</v>
      </c>
    </row>
    <row r="994" spans="1:4">
      <c r="A994" s="18"/>
      <c r="B994" s="18">
        <v>7.79</v>
      </c>
      <c r="C994" s="18" t="s">
        <v>306</v>
      </c>
      <c r="D994" s="18" t="s">
        <v>306</v>
      </c>
    </row>
    <row r="995" spans="1:4">
      <c r="A995" s="18"/>
      <c r="B995" s="18">
        <v>3.72</v>
      </c>
      <c r="C995" s="18">
        <v>2.9</v>
      </c>
      <c r="D995" s="18" t="s">
        <v>306</v>
      </c>
    </row>
    <row r="996" spans="1:4">
      <c r="A996" s="18"/>
      <c r="B996" s="18">
        <v>7.19</v>
      </c>
      <c r="C996" s="18">
        <v>2.96</v>
      </c>
      <c r="D996" s="18">
        <v>2.9</v>
      </c>
    </row>
    <row r="997" spans="1:4">
      <c r="A997" s="18"/>
      <c r="B997" s="18">
        <v>7.19</v>
      </c>
      <c r="C997" s="18">
        <v>2.96</v>
      </c>
      <c r="D997" s="18">
        <v>2.9</v>
      </c>
    </row>
    <row r="998" spans="1:4">
      <c r="A998" s="18"/>
      <c r="B998" s="18">
        <v>7.19</v>
      </c>
      <c r="C998" s="18">
        <v>2.96</v>
      </c>
      <c r="D998" s="18">
        <v>2.9</v>
      </c>
    </row>
    <row r="999" spans="1:4">
      <c r="A999" s="18"/>
      <c r="B999" s="18">
        <v>4.01</v>
      </c>
      <c r="C999" s="18" t="s">
        <v>306</v>
      </c>
      <c r="D999" s="18">
        <v>1.73</v>
      </c>
    </row>
    <row r="1000" spans="1:4">
      <c r="A1000" s="18"/>
      <c r="B1000" s="18">
        <v>1.89</v>
      </c>
      <c r="C1000" s="18">
        <v>3.23</v>
      </c>
      <c r="D1000" s="18">
        <v>4.75</v>
      </c>
    </row>
    <row r="1001" spans="1:4">
      <c r="A1001" s="18"/>
      <c r="B1001" s="18">
        <v>1.73</v>
      </c>
      <c r="C1001" s="18">
        <v>4.1500000000000004</v>
      </c>
      <c r="D1001" s="18">
        <v>3.23</v>
      </c>
    </row>
    <row r="1002" spans="1:4">
      <c r="A1002" s="18"/>
      <c r="B1002" s="18">
        <v>4.75</v>
      </c>
      <c r="C1002" s="18">
        <v>2.15</v>
      </c>
      <c r="D1002" s="18" t="s">
        <v>306</v>
      </c>
    </row>
    <row r="1003" spans="1:4">
      <c r="A1003" s="18"/>
      <c r="B1003" s="18">
        <v>3.23</v>
      </c>
      <c r="C1003" s="18">
        <v>3.61</v>
      </c>
      <c r="D1003" s="18">
        <v>2.15</v>
      </c>
    </row>
    <row r="1004" spans="1:4">
      <c r="A1004" s="18"/>
      <c r="B1004" s="18">
        <v>4.1500000000000004</v>
      </c>
      <c r="C1004" s="18">
        <v>5.52</v>
      </c>
      <c r="D1004" s="18">
        <v>3.61</v>
      </c>
    </row>
    <row r="1005" spans="1:4">
      <c r="A1005" s="18"/>
      <c r="B1005" s="18">
        <v>2.15</v>
      </c>
      <c r="C1005" s="18" t="s">
        <v>306</v>
      </c>
      <c r="D1005" s="18" t="s">
        <v>306</v>
      </c>
    </row>
    <row r="1006" spans="1:4">
      <c r="A1006" s="18"/>
      <c r="B1006" s="18">
        <v>3.61</v>
      </c>
      <c r="C1006" s="18" t="s">
        <v>306</v>
      </c>
      <c r="D1006" s="18" t="s">
        <v>306</v>
      </c>
    </row>
    <row r="1007" spans="1:4">
      <c r="A1007" s="18"/>
      <c r="B1007" s="18">
        <v>5.52</v>
      </c>
      <c r="C1007" s="18">
        <v>8.19</v>
      </c>
      <c r="D1007" s="18" t="s">
        <v>306</v>
      </c>
    </row>
    <row r="1008" spans="1:4">
      <c r="A1008" s="18"/>
      <c r="B1008" s="18">
        <v>8.19</v>
      </c>
      <c r="C1008" s="18" t="s">
        <v>306</v>
      </c>
      <c r="D1008" s="18">
        <v>9.8699999999999992</v>
      </c>
    </row>
    <row r="1009" spans="1:4">
      <c r="A1009" s="18"/>
      <c r="B1009" s="18">
        <v>10.08</v>
      </c>
      <c r="C1009" s="18" t="s">
        <v>306</v>
      </c>
      <c r="D1009" s="18" t="s">
        <v>306</v>
      </c>
    </row>
    <row r="1010" spans="1:4">
      <c r="A1010" s="18"/>
      <c r="B1010" s="18">
        <v>12.87</v>
      </c>
      <c r="C1010" s="18">
        <v>8.26</v>
      </c>
      <c r="D1010" s="18" t="s">
        <v>306</v>
      </c>
    </row>
    <row r="1011" spans="1:4">
      <c r="A1011" s="18"/>
      <c r="B1011" s="18">
        <v>9.8699999999999992</v>
      </c>
      <c r="C1011" s="18" t="s">
        <v>306</v>
      </c>
      <c r="D1011" s="18">
        <v>8.26</v>
      </c>
    </row>
    <row r="1012" spans="1:4">
      <c r="A1012" s="18"/>
      <c r="B1012" s="18">
        <v>8.26</v>
      </c>
      <c r="C1012" s="18" t="s">
        <v>306</v>
      </c>
      <c r="D1012" s="18" t="s">
        <v>306</v>
      </c>
    </row>
    <row r="1013" spans="1:4">
      <c r="A1013" s="18"/>
      <c r="B1013" s="18">
        <v>14.212499999999999</v>
      </c>
      <c r="C1013" s="18">
        <v>3.72</v>
      </c>
      <c r="D1013" s="18">
        <v>7.79</v>
      </c>
    </row>
    <row r="1014" spans="1:4">
      <c r="A1014" s="18"/>
      <c r="B1014" s="18">
        <v>15.65</v>
      </c>
      <c r="C1014" s="18">
        <v>8.2799999999999994</v>
      </c>
      <c r="D1014" s="18">
        <v>3.72</v>
      </c>
    </row>
    <row r="1015" spans="1:4">
      <c r="A1015" s="18"/>
      <c r="B1015" s="18">
        <v>19.899999999999999</v>
      </c>
      <c r="C1015" s="18" t="s">
        <v>306</v>
      </c>
      <c r="D1015" s="18">
        <v>8.2799999999999994</v>
      </c>
    </row>
    <row r="1016" spans="1:4">
      <c r="A1016" s="18"/>
      <c r="B1016" s="18">
        <v>7.79</v>
      </c>
      <c r="C1016" s="18" t="s">
        <v>306</v>
      </c>
      <c r="D1016" s="18" t="s">
        <v>306</v>
      </c>
    </row>
    <row r="1017" spans="1:4">
      <c r="A1017" s="18"/>
      <c r="B1017" s="18">
        <v>3.72</v>
      </c>
      <c r="C1017" s="18">
        <v>2.9</v>
      </c>
      <c r="D1017" s="18" t="s">
        <v>306</v>
      </c>
    </row>
    <row r="1018" spans="1:4">
      <c r="A1018" s="18"/>
      <c r="B1018" s="18">
        <v>8.2799999999999994</v>
      </c>
      <c r="C1018" s="18">
        <v>2.96</v>
      </c>
      <c r="D1018" s="18">
        <v>2.9</v>
      </c>
    </row>
    <row r="1019" spans="1:4">
      <c r="A1019" s="18"/>
      <c r="B1019" s="18">
        <v>8.2799999999999994</v>
      </c>
      <c r="C1019" s="18">
        <v>2.96</v>
      </c>
      <c r="D1019" s="18">
        <v>2.9</v>
      </c>
    </row>
    <row r="1020" spans="1:4">
      <c r="A1020" s="18"/>
      <c r="B1020" s="18">
        <v>8.2799999999999994</v>
      </c>
      <c r="C1020" s="18">
        <v>2.96</v>
      </c>
      <c r="D1020" s="18">
        <v>2.9</v>
      </c>
    </row>
    <row r="1021" spans="1:4">
      <c r="A1021" s="18"/>
      <c r="B1021" s="18">
        <v>4.01</v>
      </c>
      <c r="C1021" s="18" t="s">
        <v>306</v>
      </c>
      <c r="D1021" s="18">
        <v>1.73</v>
      </c>
    </row>
    <row r="1022" spans="1:4">
      <c r="A1022" s="18"/>
      <c r="B1022" s="18">
        <v>1.89</v>
      </c>
      <c r="C1022" s="18" t="s">
        <v>306</v>
      </c>
      <c r="D1022" s="18">
        <v>4.75</v>
      </c>
    </row>
    <row r="1023" spans="1:4">
      <c r="A1023" s="18"/>
      <c r="B1023" s="18">
        <v>1.73</v>
      </c>
      <c r="C1023" s="18" t="s">
        <v>306</v>
      </c>
      <c r="D1023" s="18" t="s">
        <v>306</v>
      </c>
    </row>
    <row r="1024" spans="1:4">
      <c r="A1024" s="18"/>
      <c r="B1024" s="18">
        <v>4.75</v>
      </c>
      <c r="C1024" s="18">
        <v>2.15</v>
      </c>
      <c r="D1024" s="18">
        <v>6.61</v>
      </c>
    </row>
    <row r="1025" spans="1:4">
      <c r="A1025" s="18"/>
      <c r="B1025" s="18">
        <v>6.61</v>
      </c>
      <c r="C1025" s="18">
        <v>7.91</v>
      </c>
      <c r="D1025" s="18" t="s">
        <v>306</v>
      </c>
    </row>
    <row r="1026" spans="1:4">
      <c r="A1026" s="18"/>
      <c r="B1026" s="18">
        <v>2.15</v>
      </c>
      <c r="C1026" s="18" t="s">
        <v>306</v>
      </c>
      <c r="D1026" s="18">
        <v>7.91</v>
      </c>
    </row>
    <row r="1027" spans="1:4">
      <c r="A1027" s="18"/>
      <c r="B1027" s="18">
        <v>7.91</v>
      </c>
      <c r="C1027" s="18">
        <v>10.08</v>
      </c>
      <c r="D1027" s="18">
        <v>8.19</v>
      </c>
    </row>
    <row r="1028" spans="1:4">
      <c r="A1028" s="18"/>
      <c r="B1028" s="18">
        <v>8.19</v>
      </c>
      <c r="C1028" s="18" t="s">
        <v>306</v>
      </c>
      <c r="D1028" s="18">
        <v>9.8699999999999992</v>
      </c>
    </row>
    <row r="1029" spans="1:4">
      <c r="A1029" s="18"/>
      <c r="B1029" s="18">
        <v>10.08</v>
      </c>
      <c r="C1029" s="18" t="s">
        <v>306</v>
      </c>
      <c r="D1029" s="18" t="s">
        <v>306</v>
      </c>
    </row>
    <row r="1030" spans="1:4">
      <c r="A1030" s="18"/>
      <c r="B1030" s="18">
        <v>12.87</v>
      </c>
      <c r="C1030" s="18">
        <v>8.26</v>
      </c>
      <c r="D1030" s="18" t="s">
        <v>306</v>
      </c>
    </row>
    <row r="1031" spans="1:4">
      <c r="A1031" s="18"/>
      <c r="B1031" s="18">
        <v>9.8699999999999992</v>
      </c>
      <c r="C1031" s="18">
        <v>18.13</v>
      </c>
      <c r="D1031" s="18">
        <v>8.26</v>
      </c>
    </row>
    <row r="1032" spans="1:4">
      <c r="A1032" s="18"/>
      <c r="B1032" s="18">
        <v>8.26</v>
      </c>
      <c r="C1032" s="18" t="s">
        <v>306</v>
      </c>
      <c r="D1032" s="18" t="s">
        <v>306</v>
      </c>
    </row>
    <row r="1033" spans="1:4">
      <c r="A1033" s="18"/>
      <c r="B1033" s="18">
        <v>18.13</v>
      </c>
      <c r="C1033" s="18" t="s">
        <v>306</v>
      </c>
      <c r="D1033" s="18" t="s">
        <v>306</v>
      </c>
    </row>
    <row r="1034" spans="1:4">
      <c r="A1034" s="18"/>
      <c r="B1034" s="18">
        <v>14.212499999999999</v>
      </c>
      <c r="C1034" s="18">
        <v>3.72</v>
      </c>
      <c r="D1034" s="18">
        <v>7.79</v>
      </c>
    </row>
    <row r="1035" spans="1:4">
      <c r="A1035" s="18"/>
      <c r="B1035" s="18">
        <v>15.65</v>
      </c>
      <c r="C1035" s="18">
        <v>8.2799999999999994</v>
      </c>
      <c r="D1035" s="18">
        <v>3.72</v>
      </c>
    </row>
    <row r="1036" spans="1:4">
      <c r="A1036" s="18"/>
      <c r="B1036" s="18">
        <v>19.899999999999999</v>
      </c>
      <c r="C1036" s="18" t="s">
        <v>306</v>
      </c>
      <c r="D1036" s="18">
        <v>8.2799999999999994</v>
      </c>
    </row>
    <row r="1037" spans="1:4">
      <c r="A1037" s="18"/>
      <c r="B1037" s="18">
        <v>7.79</v>
      </c>
      <c r="C1037" s="18" t="s">
        <v>306</v>
      </c>
      <c r="D1037" s="18" t="s">
        <v>306</v>
      </c>
    </row>
    <row r="1038" spans="1:4">
      <c r="A1038" s="18"/>
      <c r="B1038" s="18">
        <v>3.72</v>
      </c>
      <c r="C1038" s="18">
        <v>2.9</v>
      </c>
      <c r="D1038" s="18" t="s">
        <v>306</v>
      </c>
    </row>
    <row r="1039" spans="1:4">
      <c r="A1039" s="18"/>
      <c r="B1039" s="18">
        <v>8.2799999999999994</v>
      </c>
      <c r="C1039" s="18">
        <v>2.96</v>
      </c>
      <c r="D1039" s="18">
        <v>2.9</v>
      </c>
    </row>
    <row r="1040" spans="1:4">
      <c r="A1040" s="18"/>
      <c r="B1040" s="18">
        <v>2.9</v>
      </c>
      <c r="C1040" s="18"/>
      <c r="D1040" s="18">
        <v>1</v>
      </c>
    </row>
    <row r="1041" spans="1:4">
      <c r="A1041" s="18"/>
      <c r="B1041" s="18">
        <v>2.9</v>
      </c>
      <c r="C1041" s="18"/>
      <c r="D1041" s="18">
        <v>1</v>
      </c>
    </row>
    <row r="1042" spans="1:4">
      <c r="A1042" s="18"/>
      <c r="B1042" s="18">
        <v>4.01</v>
      </c>
      <c r="C1042" s="18" t="s">
        <v>306</v>
      </c>
      <c r="D1042" s="18">
        <v>1.73</v>
      </c>
    </row>
    <row r="1043" spans="1:4">
      <c r="A1043" s="18"/>
      <c r="B1043" s="18">
        <v>5.24</v>
      </c>
      <c r="C1043" s="18">
        <v>4.75</v>
      </c>
      <c r="D1043" s="18" t="s">
        <v>306</v>
      </c>
    </row>
    <row r="1044" spans="1:4">
      <c r="A1044" s="18"/>
      <c r="B1044" s="18">
        <v>1.89</v>
      </c>
      <c r="C1044" s="18">
        <v>3.23</v>
      </c>
      <c r="D1044" s="18">
        <v>4.75</v>
      </c>
    </row>
    <row r="1045" spans="1:4">
      <c r="A1045" s="18"/>
      <c r="B1045" s="18">
        <v>1.73</v>
      </c>
      <c r="C1045" s="18">
        <v>4.1500000000000004</v>
      </c>
      <c r="D1045" s="18">
        <v>3.23</v>
      </c>
    </row>
    <row r="1046" spans="1:4">
      <c r="A1046" s="18"/>
      <c r="B1046" s="18">
        <v>4.75</v>
      </c>
      <c r="C1046" s="18">
        <v>2.15</v>
      </c>
      <c r="D1046" s="18" t="s">
        <v>306</v>
      </c>
    </row>
    <row r="1047" spans="1:4">
      <c r="A1047" s="18"/>
      <c r="B1047" s="18">
        <v>3.23</v>
      </c>
      <c r="C1047" s="18">
        <v>3.61</v>
      </c>
      <c r="D1047" s="18">
        <v>2.15</v>
      </c>
    </row>
    <row r="1048" spans="1:4">
      <c r="A1048" s="18"/>
      <c r="B1048" s="18">
        <v>4.1500000000000004</v>
      </c>
      <c r="C1048" s="18">
        <v>5.52</v>
      </c>
      <c r="D1048" s="18">
        <v>3.61</v>
      </c>
    </row>
    <row r="1049" spans="1:4">
      <c r="A1049" s="18"/>
      <c r="B1049" s="18">
        <v>2.15</v>
      </c>
      <c r="C1049" s="18" t="s">
        <v>306</v>
      </c>
      <c r="D1049" s="18" t="s">
        <v>306</v>
      </c>
    </row>
    <row r="1050" spans="1:4">
      <c r="A1050" s="18"/>
      <c r="B1050" s="18">
        <v>3.61</v>
      </c>
      <c r="C1050" s="18" t="s">
        <v>306</v>
      </c>
      <c r="D1050" s="18" t="s">
        <v>306</v>
      </c>
    </row>
    <row r="1051" spans="1:4">
      <c r="A1051" s="18"/>
      <c r="B1051" s="18">
        <v>5.52</v>
      </c>
      <c r="C1051" s="18">
        <v>8.19</v>
      </c>
      <c r="D1051" s="18" t="s">
        <v>306</v>
      </c>
    </row>
    <row r="1052" spans="1:4">
      <c r="A1052" s="18"/>
      <c r="B1052" s="18">
        <v>8.19</v>
      </c>
      <c r="C1052" s="18" t="s">
        <v>306</v>
      </c>
      <c r="D1052" s="18">
        <v>9.8699999999999992</v>
      </c>
    </row>
    <row r="1053" spans="1:4">
      <c r="A1053" s="18"/>
      <c r="B1053" s="18">
        <v>10.08</v>
      </c>
      <c r="C1053" s="18">
        <v>6.4</v>
      </c>
      <c r="D1053" s="18" t="s">
        <v>306</v>
      </c>
    </row>
    <row r="1054" spans="1:4">
      <c r="A1054" s="18"/>
      <c r="B1054" s="18">
        <v>12.87</v>
      </c>
      <c r="C1054" s="18" t="s">
        <v>306</v>
      </c>
      <c r="D1054" s="18">
        <v>6.4</v>
      </c>
    </row>
    <row r="1055" spans="1:4">
      <c r="A1055" s="18"/>
      <c r="B1055" s="18">
        <v>9.8699999999999992</v>
      </c>
      <c r="C1055" s="18">
        <v>10.15</v>
      </c>
      <c r="D1055" s="18" t="s">
        <v>306</v>
      </c>
    </row>
    <row r="1056" spans="1:4">
      <c r="A1056" s="18"/>
      <c r="B1056" s="18">
        <v>6.4</v>
      </c>
      <c r="C1056" s="18" t="s">
        <v>306</v>
      </c>
      <c r="D1056" s="18" t="s">
        <v>306</v>
      </c>
    </row>
    <row r="1057" spans="1:4">
      <c r="A1057" s="18"/>
      <c r="B1057" s="18">
        <v>10.15</v>
      </c>
      <c r="C1057" s="18" t="s">
        <v>306</v>
      </c>
      <c r="D1057" s="18" t="s">
        <v>306</v>
      </c>
    </row>
    <row r="1058" spans="1:4">
      <c r="A1058" s="18"/>
      <c r="B1058" s="18">
        <v>14.212499999999999</v>
      </c>
      <c r="C1058" s="18">
        <v>3.72</v>
      </c>
      <c r="D1058" s="18">
        <v>7.79</v>
      </c>
    </row>
    <row r="1059" spans="1:4">
      <c r="A1059" s="18"/>
      <c r="B1059" s="18">
        <v>15.65</v>
      </c>
      <c r="C1059" s="18">
        <v>8.2799999999999994</v>
      </c>
      <c r="D1059" s="18">
        <v>3.72</v>
      </c>
    </row>
    <row r="1060" spans="1:4">
      <c r="A1060" s="18"/>
      <c r="B1060" s="18">
        <v>19.899999999999999</v>
      </c>
      <c r="C1060" s="18">
        <v>8.75</v>
      </c>
      <c r="D1060" s="18">
        <v>8.2799999999999994</v>
      </c>
    </row>
    <row r="1061" spans="1:4">
      <c r="A1061" s="18"/>
      <c r="B1061" s="18">
        <v>7.79</v>
      </c>
      <c r="C1061" s="18" t="s">
        <v>306</v>
      </c>
      <c r="D1061" s="18">
        <v>8.75</v>
      </c>
    </row>
    <row r="1062" spans="1:4">
      <c r="A1062" s="18"/>
      <c r="B1062" s="18">
        <v>3.72</v>
      </c>
      <c r="C1062" s="18" t="s">
        <v>306</v>
      </c>
      <c r="D1062" s="18" t="s">
        <v>306</v>
      </c>
    </row>
    <row r="1063" spans="1:4">
      <c r="A1063" s="18"/>
      <c r="B1063" s="18">
        <v>8.2799999999999994</v>
      </c>
      <c r="C1063" s="18">
        <v>3.16</v>
      </c>
      <c r="D1063" s="18" t="s">
        <v>306</v>
      </c>
    </row>
    <row r="1064" spans="1:4">
      <c r="A1064" s="18"/>
      <c r="B1064" s="18">
        <v>8.75</v>
      </c>
      <c r="C1064" s="18">
        <v>130.69500000000002</v>
      </c>
      <c r="D1064" s="18">
        <v>3.16</v>
      </c>
    </row>
    <row r="1065" spans="1:4">
      <c r="A1065" s="18"/>
      <c r="B1065" s="18">
        <v>8.75</v>
      </c>
      <c r="C1065" s="18">
        <v>130.69500000000002</v>
      </c>
      <c r="D1065" s="18">
        <v>3.16</v>
      </c>
    </row>
    <row r="1066" spans="1:4">
      <c r="A1066" s="18"/>
      <c r="B1066" s="18">
        <v>4.01</v>
      </c>
      <c r="C1066" s="18" t="s">
        <v>306</v>
      </c>
      <c r="D1066" s="18">
        <v>1.73</v>
      </c>
    </row>
    <row r="1067" spans="1:4">
      <c r="A1067" s="18"/>
      <c r="B1067" s="18">
        <v>1.89</v>
      </c>
      <c r="C1067" s="18">
        <v>3.23</v>
      </c>
      <c r="D1067" s="18">
        <v>4.8</v>
      </c>
    </row>
    <row r="1068" spans="1:4">
      <c r="A1068" s="18"/>
      <c r="B1068" s="18">
        <v>1.73</v>
      </c>
      <c r="C1068" s="18">
        <v>4.1500000000000004</v>
      </c>
      <c r="D1068" s="18">
        <v>3.23</v>
      </c>
    </row>
    <row r="1069" spans="1:4">
      <c r="A1069" s="18"/>
      <c r="B1069" s="18">
        <v>4.8</v>
      </c>
      <c r="C1069" s="18">
        <v>2.15</v>
      </c>
      <c r="D1069" s="18" t="s">
        <v>306</v>
      </c>
    </row>
    <row r="1070" spans="1:4">
      <c r="A1070" s="18"/>
      <c r="B1070" s="18">
        <v>3.23</v>
      </c>
      <c r="C1070" s="18" t="s">
        <v>306</v>
      </c>
      <c r="D1070" s="18">
        <v>2.15</v>
      </c>
    </row>
    <row r="1071" spans="1:4">
      <c r="A1071" s="18"/>
      <c r="B1071" s="18">
        <v>4.1500000000000004</v>
      </c>
      <c r="C1071" s="18">
        <v>5.52</v>
      </c>
      <c r="D1071" s="18" t="s">
        <v>306</v>
      </c>
    </row>
    <row r="1072" spans="1:4">
      <c r="A1072" s="18"/>
      <c r="B1072" s="18">
        <v>2.15</v>
      </c>
      <c r="C1072" s="18">
        <v>7.2</v>
      </c>
      <c r="D1072" s="18" t="s">
        <v>306</v>
      </c>
    </row>
    <row r="1073" spans="1:4">
      <c r="A1073" s="18"/>
      <c r="B1073" s="18">
        <v>5.52</v>
      </c>
      <c r="C1073" s="18">
        <v>8.19</v>
      </c>
      <c r="D1073" s="18" t="s">
        <v>306</v>
      </c>
    </row>
    <row r="1074" spans="1:4">
      <c r="A1074" s="18"/>
      <c r="B1074" s="18">
        <v>7.2</v>
      </c>
      <c r="C1074" s="18">
        <v>12.87</v>
      </c>
      <c r="D1074" s="18">
        <v>10.08</v>
      </c>
    </row>
    <row r="1075" spans="1:4">
      <c r="A1075" s="18"/>
      <c r="B1075" s="18">
        <v>8.19</v>
      </c>
      <c r="C1075" s="18" t="s">
        <v>306</v>
      </c>
      <c r="D1075" s="18">
        <v>9.8699999999999992</v>
      </c>
    </row>
    <row r="1076" spans="1:4">
      <c r="A1076" s="18"/>
      <c r="B1076" s="18">
        <v>10.08</v>
      </c>
      <c r="C1076" s="18" t="s">
        <v>306</v>
      </c>
      <c r="D1076" s="18" t="s">
        <v>306</v>
      </c>
    </row>
    <row r="1077" spans="1:4">
      <c r="A1077" s="18"/>
      <c r="B1077" s="18">
        <v>12.87</v>
      </c>
      <c r="C1077" s="18" t="s">
        <v>306</v>
      </c>
      <c r="D1077" s="18" t="s">
        <v>306</v>
      </c>
    </row>
    <row r="1078" spans="1:4">
      <c r="A1078" s="18"/>
      <c r="B1078" s="18">
        <v>9.8699999999999992</v>
      </c>
      <c r="C1078" s="18" t="s">
        <v>306</v>
      </c>
      <c r="D1078" s="18" t="s">
        <v>306</v>
      </c>
    </row>
    <row r="1079" spans="1:4">
      <c r="A1079" s="18"/>
      <c r="B1079" s="18">
        <v>14.212499999999999</v>
      </c>
      <c r="C1079" s="18">
        <v>3.72</v>
      </c>
      <c r="D1079" s="18">
        <v>7.79</v>
      </c>
    </row>
    <row r="1080" spans="1:4">
      <c r="A1080" s="18"/>
      <c r="B1080" s="18">
        <v>15.65</v>
      </c>
      <c r="C1080" s="18" t="s">
        <v>306</v>
      </c>
      <c r="D1080" s="18">
        <v>3.72</v>
      </c>
    </row>
    <row r="1081" spans="1:4">
      <c r="A1081" s="18"/>
      <c r="B1081" s="18">
        <v>19.899999999999999</v>
      </c>
      <c r="C1081" s="18" t="s">
        <v>306</v>
      </c>
      <c r="D1081" s="18" t="s">
        <v>306</v>
      </c>
    </row>
    <row r="1082" spans="1:4">
      <c r="A1082" s="18"/>
      <c r="B1082" s="18">
        <v>7.79</v>
      </c>
      <c r="C1082" s="18">
        <v>10.76</v>
      </c>
      <c r="D1082" s="18" t="s">
        <v>306</v>
      </c>
    </row>
    <row r="1083" spans="1:4">
      <c r="A1083" s="18"/>
      <c r="B1083" s="18">
        <v>3.72</v>
      </c>
      <c r="C1083" s="18" t="s">
        <v>306</v>
      </c>
      <c r="D1083" s="18">
        <v>10.76</v>
      </c>
    </row>
    <row r="1084" spans="1:4">
      <c r="A1084" s="18"/>
      <c r="B1084" s="18">
        <v>10.76</v>
      </c>
      <c r="C1084" s="18">
        <v>1</v>
      </c>
      <c r="D1084" s="18">
        <v>95.575000000000003</v>
      </c>
    </row>
    <row r="1085" spans="1:4">
      <c r="A1085" s="18"/>
      <c r="B1085" s="18">
        <v>10.76</v>
      </c>
      <c r="C1085" s="18">
        <v>1</v>
      </c>
      <c r="D1085" s="18">
        <v>95.575000000000003</v>
      </c>
    </row>
    <row r="1086" spans="1:4">
      <c r="A1086" s="18"/>
      <c r="B1086" s="18">
        <v>4.01</v>
      </c>
      <c r="C1086" s="18" t="s">
        <v>306</v>
      </c>
      <c r="D1086" s="18">
        <v>1.73</v>
      </c>
    </row>
    <row r="1087" spans="1:4">
      <c r="A1087" s="18"/>
      <c r="B1087" s="18">
        <v>5.23</v>
      </c>
      <c r="C1087" s="18">
        <v>4.8</v>
      </c>
      <c r="D1087" s="18" t="s">
        <v>306</v>
      </c>
    </row>
    <row r="1088" spans="1:4">
      <c r="A1088" s="18"/>
      <c r="B1088" s="18">
        <v>1.89</v>
      </c>
      <c r="C1088" s="18">
        <v>3.23</v>
      </c>
      <c r="D1088" s="18">
        <v>4.8</v>
      </c>
    </row>
    <row r="1089" spans="1:4">
      <c r="A1089" s="18"/>
      <c r="B1089" s="18">
        <v>1.73</v>
      </c>
      <c r="C1089" s="18">
        <v>4.1500000000000004</v>
      </c>
      <c r="D1089" s="18">
        <v>3.23</v>
      </c>
    </row>
    <row r="1090" spans="1:4">
      <c r="A1090" s="18"/>
      <c r="B1090" s="18">
        <v>4.8</v>
      </c>
      <c r="C1090" s="18">
        <v>2.15</v>
      </c>
      <c r="D1090" s="18" t="s">
        <v>306</v>
      </c>
    </row>
    <row r="1091" spans="1:4">
      <c r="A1091" s="18"/>
      <c r="B1091" s="18">
        <v>3.23</v>
      </c>
      <c r="C1091" s="18">
        <v>3.61</v>
      </c>
      <c r="D1091" s="18">
        <v>2.15</v>
      </c>
    </row>
    <row r="1092" spans="1:4">
      <c r="A1092" s="18"/>
      <c r="B1092" s="18">
        <v>4.1500000000000004</v>
      </c>
      <c r="C1092" s="18" t="s">
        <v>306</v>
      </c>
      <c r="D1092" s="18">
        <v>3.61</v>
      </c>
    </row>
    <row r="1093" spans="1:4">
      <c r="A1093" s="18"/>
      <c r="B1093" s="18">
        <v>2.15</v>
      </c>
      <c r="C1093" s="18" t="s">
        <v>306</v>
      </c>
      <c r="D1093" s="18" t="s">
        <v>306</v>
      </c>
    </row>
    <row r="1094" spans="1:4">
      <c r="A1094" s="18"/>
      <c r="B1094" s="18">
        <v>3.61</v>
      </c>
      <c r="C1094" s="18" t="s">
        <v>306</v>
      </c>
      <c r="D1094" s="18" t="s">
        <v>306</v>
      </c>
    </row>
    <row r="1095" spans="1:4">
      <c r="A1095" s="18"/>
      <c r="B1095" s="18">
        <v>8.19</v>
      </c>
      <c r="C1095" s="18" t="s">
        <v>306</v>
      </c>
      <c r="D1095" s="18">
        <v>9.8699999999999992</v>
      </c>
    </row>
    <row r="1096" spans="1:4">
      <c r="A1096" s="18"/>
      <c r="B1096" s="18">
        <v>10.08</v>
      </c>
      <c r="C1096" s="18" t="s">
        <v>306</v>
      </c>
      <c r="D1096" s="18" t="s">
        <v>306</v>
      </c>
    </row>
    <row r="1097" spans="1:4">
      <c r="A1097" s="18"/>
      <c r="B1097" s="18">
        <v>12.87</v>
      </c>
      <c r="C1097" s="18" t="s">
        <v>306</v>
      </c>
      <c r="D1097" s="18" t="s">
        <v>306</v>
      </c>
    </row>
    <row r="1098" spans="1:4">
      <c r="A1098" s="18"/>
      <c r="B1098" s="18">
        <v>9.8699999999999992</v>
      </c>
      <c r="C1098" s="18" t="s">
        <v>306</v>
      </c>
      <c r="D1098" s="18" t="s">
        <v>306</v>
      </c>
    </row>
    <row r="1099" spans="1:4">
      <c r="A1099" s="18"/>
      <c r="B1099" s="18">
        <v>14.212499999999999</v>
      </c>
      <c r="C1099" s="18">
        <v>3.72</v>
      </c>
      <c r="D1099" s="18">
        <v>7.79</v>
      </c>
    </row>
    <row r="1100" spans="1:4">
      <c r="A1100" s="18"/>
      <c r="B1100" s="18">
        <v>15.65</v>
      </c>
      <c r="C1100" s="18">
        <v>8.3000000000000007</v>
      </c>
      <c r="D1100" s="18">
        <v>3.72</v>
      </c>
    </row>
    <row r="1101" spans="1:4">
      <c r="A1101" s="18"/>
      <c r="B1101" s="18">
        <v>19.899999999999999</v>
      </c>
      <c r="C1101" s="18" t="s">
        <v>306</v>
      </c>
      <c r="D1101" s="18">
        <v>8.3000000000000007</v>
      </c>
    </row>
    <row r="1102" spans="1:4">
      <c r="A1102" s="18"/>
      <c r="B1102" s="18">
        <v>7.79</v>
      </c>
      <c r="C1102" s="18" t="s">
        <v>306</v>
      </c>
      <c r="D1102" s="18" t="s">
        <v>306</v>
      </c>
    </row>
    <row r="1103" spans="1:4">
      <c r="A1103" s="18"/>
      <c r="B1103" s="18">
        <v>3.72</v>
      </c>
      <c r="C1103" s="18">
        <v>2.9</v>
      </c>
      <c r="D1103" s="18" t="s">
        <v>306</v>
      </c>
    </row>
    <row r="1104" spans="1:4">
      <c r="A1104" s="18"/>
      <c r="B1104" s="18">
        <v>8.3000000000000007</v>
      </c>
      <c r="C1104" s="18">
        <v>2.96</v>
      </c>
      <c r="D1104" s="18">
        <v>2.9</v>
      </c>
    </row>
    <row r="1105" spans="1:4">
      <c r="A1105" s="18"/>
      <c r="B1105" s="18">
        <v>2.9</v>
      </c>
      <c r="C1105" s="18"/>
      <c r="D1105" s="18">
        <v>1</v>
      </c>
    </row>
    <row r="1106" spans="1:4">
      <c r="A1106" s="18"/>
      <c r="B1106" s="18">
        <v>2.9</v>
      </c>
      <c r="C1106" s="18"/>
      <c r="D1106" s="18">
        <v>1</v>
      </c>
    </row>
    <row r="1107" spans="1:4">
      <c r="A1107" s="18"/>
      <c r="B1107" s="18">
        <v>4.01</v>
      </c>
      <c r="C1107" s="18" t="s">
        <v>306</v>
      </c>
      <c r="D1107" s="18">
        <v>1.73</v>
      </c>
    </row>
    <row r="1108" spans="1:4">
      <c r="A1108" s="18"/>
      <c r="B1108" s="18">
        <v>1.89</v>
      </c>
      <c r="C1108" s="18">
        <v>3.23</v>
      </c>
      <c r="D1108" s="18" t="s">
        <v>306</v>
      </c>
    </row>
    <row r="1109" spans="1:4">
      <c r="A1109" s="18"/>
      <c r="B1109" s="18">
        <v>1.73</v>
      </c>
      <c r="C1109" s="18">
        <v>4.1500000000000004</v>
      </c>
      <c r="D1109" s="18">
        <v>3.23</v>
      </c>
    </row>
    <row r="1110" spans="1:4">
      <c r="A1110" s="18"/>
      <c r="B1110" s="18">
        <v>3.23</v>
      </c>
      <c r="C1110" s="18">
        <v>3.61</v>
      </c>
      <c r="D1110" s="18">
        <v>2.15</v>
      </c>
    </row>
    <row r="1111" spans="1:4">
      <c r="A1111" s="18"/>
      <c r="B1111" s="18">
        <v>4.1500000000000004</v>
      </c>
      <c r="C1111" s="18">
        <v>5.52</v>
      </c>
      <c r="D1111" s="18">
        <v>3.61</v>
      </c>
    </row>
    <row r="1112" spans="1:4">
      <c r="A1112" s="18"/>
      <c r="B1112" s="18">
        <v>2.15</v>
      </c>
      <c r="C1112" s="18" t="s">
        <v>306</v>
      </c>
      <c r="D1112" s="18" t="s">
        <v>306</v>
      </c>
    </row>
    <row r="1113" spans="1:4">
      <c r="A1113" s="18"/>
      <c r="B1113" s="18">
        <v>3.61</v>
      </c>
      <c r="C1113" s="18" t="s">
        <v>306</v>
      </c>
      <c r="D1113" s="18" t="s">
        <v>306</v>
      </c>
    </row>
    <row r="1114" spans="1:4">
      <c r="A1114" s="18"/>
      <c r="B1114" s="18">
        <v>5.52</v>
      </c>
      <c r="C1114" s="18">
        <v>8.19</v>
      </c>
      <c r="D1114" s="18" t="s">
        <v>306</v>
      </c>
    </row>
    <row r="1115" spans="1:4">
      <c r="A1115" s="18"/>
      <c r="B1115" s="18">
        <v>8.19</v>
      </c>
      <c r="C1115" s="18" t="s">
        <v>306</v>
      </c>
      <c r="D1115" s="18">
        <v>9.8699999999999992</v>
      </c>
    </row>
    <row r="1116" spans="1:4">
      <c r="A1116" s="18"/>
      <c r="B1116" s="18">
        <v>10.08</v>
      </c>
      <c r="C1116" s="18">
        <v>9.01</v>
      </c>
      <c r="D1116" s="18" t="s">
        <v>306</v>
      </c>
    </row>
    <row r="1117" spans="1:4">
      <c r="A1117" s="18"/>
      <c r="B1117" s="18">
        <v>12.87</v>
      </c>
      <c r="C1117" s="18" t="s">
        <v>306</v>
      </c>
      <c r="D1117" s="18">
        <v>9.01</v>
      </c>
    </row>
    <row r="1118" spans="1:4">
      <c r="A1118" s="18"/>
      <c r="B1118" s="18">
        <v>9.8699999999999992</v>
      </c>
      <c r="C1118" s="18" t="s">
        <v>306</v>
      </c>
      <c r="D1118" s="18" t="s">
        <v>306</v>
      </c>
    </row>
    <row r="1119" spans="1:4">
      <c r="A1119" s="18"/>
      <c r="B1119" s="18">
        <v>9.01</v>
      </c>
      <c r="C1119" s="18" t="s">
        <v>306</v>
      </c>
      <c r="D1119" s="18" t="s">
        <v>306</v>
      </c>
    </row>
    <row r="1120" spans="1:4">
      <c r="A1120" s="18"/>
      <c r="B1120" s="18">
        <v>11.33</v>
      </c>
      <c r="C1120" s="18">
        <v>15.65</v>
      </c>
      <c r="D1120" s="18">
        <v>14.212499999999999</v>
      </c>
    </row>
    <row r="1121" spans="1:4">
      <c r="A1121" s="18"/>
      <c r="B1121" s="18">
        <v>25.72</v>
      </c>
      <c r="C1121" s="18">
        <v>19.899999999999999</v>
      </c>
      <c r="D1121" s="18">
        <v>15.65</v>
      </c>
    </row>
    <row r="1122" spans="1:4">
      <c r="A1122" s="18"/>
      <c r="B1122" s="18">
        <v>15.95</v>
      </c>
      <c r="C1122" s="18">
        <v>7.79</v>
      </c>
      <c r="D1122" s="18">
        <v>19.899999999999999</v>
      </c>
    </row>
    <row r="1123" spans="1:4">
      <c r="A1123" s="18"/>
      <c r="B1123" s="18">
        <v>14.212499999999999</v>
      </c>
      <c r="C1123" s="18">
        <v>3.72</v>
      </c>
      <c r="D1123" s="18">
        <v>7.79</v>
      </c>
    </row>
    <row r="1124" spans="1:4">
      <c r="A1124" s="18"/>
      <c r="B1124" s="18">
        <v>15.65</v>
      </c>
      <c r="C1124" s="18">
        <v>8.2799999999999994</v>
      </c>
      <c r="D1124" s="18">
        <v>3.72</v>
      </c>
    </row>
    <row r="1125" spans="1:4">
      <c r="A1125" s="18"/>
      <c r="B1125" s="18">
        <v>19.899999999999999</v>
      </c>
      <c r="C1125" s="18" t="s">
        <v>306</v>
      </c>
      <c r="D1125" s="18">
        <v>8.2799999999999994</v>
      </c>
    </row>
    <row r="1126" spans="1:4">
      <c r="A1126" s="18"/>
      <c r="B1126" s="18">
        <v>7.79</v>
      </c>
      <c r="C1126" s="18" t="s">
        <v>306</v>
      </c>
      <c r="D1126" s="18" t="s">
        <v>306</v>
      </c>
    </row>
    <row r="1127" spans="1:4">
      <c r="A1127" s="18"/>
      <c r="B1127" s="18">
        <v>3.72</v>
      </c>
      <c r="C1127" s="18">
        <v>2.9</v>
      </c>
      <c r="D1127" s="18" t="s">
        <v>306</v>
      </c>
    </row>
    <row r="1128" spans="1:4">
      <c r="A1128" s="18"/>
      <c r="B1128" s="18">
        <v>8.2799999999999994</v>
      </c>
      <c r="C1128" s="18">
        <v>2.96</v>
      </c>
      <c r="D1128" s="18">
        <v>2.9</v>
      </c>
    </row>
    <row r="1129" spans="1:4">
      <c r="A1129" s="18"/>
      <c r="B1129" s="18">
        <v>8.2799999999999994</v>
      </c>
      <c r="C1129" s="18">
        <v>2.96</v>
      </c>
      <c r="D1129" s="18">
        <v>2.9</v>
      </c>
    </row>
    <row r="1130" spans="1:4">
      <c r="A1130" s="18"/>
      <c r="B1130" s="18">
        <v>8.2799999999999994</v>
      </c>
      <c r="C1130" s="18">
        <v>2.96</v>
      </c>
      <c r="D1130" s="18">
        <v>2.9</v>
      </c>
    </row>
    <row r="1131" spans="1:4">
      <c r="A1131" s="18"/>
      <c r="B1131" s="18">
        <v>8.2799999999999994</v>
      </c>
      <c r="C1131" s="18">
        <v>2.96</v>
      </c>
      <c r="D1131" s="18">
        <v>2.9</v>
      </c>
    </row>
    <row r="1132" spans="1:4">
      <c r="A1132" s="18"/>
      <c r="B1132" s="18">
        <v>5.24</v>
      </c>
      <c r="C1132" s="18">
        <v>4.75</v>
      </c>
      <c r="D1132" s="18">
        <v>3.62</v>
      </c>
    </row>
    <row r="1133" spans="1:4">
      <c r="A1133" s="18"/>
      <c r="B1133" s="18"/>
      <c r="C1133" s="18">
        <v>3.23</v>
      </c>
      <c r="D1133" s="18">
        <v>4.75</v>
      </c>
    </row>
    <row r="1134" spans="1:4">
      <c r="A1134" s="18"/>
      <c r="B1134" s="18"/>
      <c r="C1134" s="18">
        <v>4.1500000000000004</v>
      </c>
      <c r="D1134" s="18">
        <v>3.23</v>
      </c>
    </row>
    <row r="1135" spans="1:4">
      <c r="A1135" s="18"/>
      <c r="B1135" s="18">
        <v>3.62</v>
      </c>
      <c r="C1135" s="18"/>
      <c r="D1135" s="18">
        <v>4.1500000000000004</v>
      </c>
    </row>
    <row r="1136" spans="1:4">
      <c r="A1136" s="18"/>
      <c r="B1136" s="18">
        <v>3.62</v>
      </c>
      <c r="C1136" s="18"/>
      <c r="D1136" s="18">
        <v>4.1500000000000004</v>
      </c>
    </row>
    <row r="1137" spans="1:4">
      <c r="A1137" s="18"/>
      <c r="B1137" s="18">
        <v>3.23</v>
      </c>
      <c r="C1137" s="18">
        <v>3.61</v>
      </c>
      <c r="D1137" s="18">
        <v>2.15</v>
      </c>
    </row>
    <row r="1138" spans="1:4">
      <c r="A1138" s="18"/>
      <c r="B1138" s="18">
        <v>4.1500000000000004</v>
      </c>
      <c r="C1138" s="18">
        <v>5.52</v>
      </c>
      <c r="D1138" s="18">
        <v>3.61</v>
      </c>
    </row>
    <row r="1139" spans="1:4">
      <c r="A1139" s="18"/>
      <c r="B1139" s="18"/>
      <c r="C1139" s="18"/>
      <c r="D1139" s="18">
        <v>5.52</v>
      </c>
    </row>
    <row r="1140" spans="1:4">
      <c r="A1140" s="18"/>
      <c r="B1140" s="18"/>
      <c r="C1140" s="18"/>
      <c r="D1140" s="18">
        <v>5.52</v>
      </c>
    </row>
    <row r="1141" spans="1:4">
      <c r="A1141" s="18"/>
      <c r="B1141" s="18"/>
      <c r="C1141" s="18"/>
      <c r="D1141" s="18">
        <v>5.52</v>
      </c>
    </row>
    <row r="1142" spans="1:4">
      <c r="A1142" s="18"/>
      <c r="B1142" s="18"/>
      <c r="C1142" s="18"/>
      <c r="D1142" s="18">
        <v>5.52</v>
      </c>
    </row>
    <row r="1143" spans="1:4">
      <c r="A1143" s="18"/>
      <c r="B1143" s="18"/>
      <c r="C1143" s="18"/>
      <c r="D1143" s="18">
        <v>7.38</v>
      </c>
    </row>
    <row r="1144" spans="1:4">
      <c r="A1144" s="18"/>
      <c r="B1144" s="18"/>
      <c r="C1144" s="18"/>
      <c r="D1144" s="18">
        <v>7.38</v>
      </c>
    </row>
    <row r="1145" spans="1:4">
      <c r="A1145" s="18"/>
      <c r="B1145" s="18"/>
      <c r="C1145" s="18"/>
      <c r="D1145" s="18">
        <v>7.38</v>
      </c>
    </row>
    <row r="1146" spans="1:4">
      <c r="A1146" s="18"/>
      <c r="B1146" s="18"/>
      <c r="C1146" s="18"/>
      <c r="D1146" s="18">
        <v>7.38</v>
      </c>
    </row>
    <row r="1147" spans="1:4">
      <c r="A1147" s="18"/>
      <c r="B1147" s="18"/>
      <c r="C1147" s="18"/>
      <c r="D1147" s="18">
        <v>7.38</v>
      </c>
    </row>
    <row r="1148" spans="1:4">
      <c r="A1148" s="18"/>
      <c r="B1148" s="18"/>
      <c r="C1148" s="18"/>
      <c r="D1148" s="18">
        <v>6.98</v>
      </c>
    </row>
    <row r="1149" spans="1:4">
      <c r="A1149" s="18"/>
      <c r="B1149" s="18"/>
      <c r="C1149" s="18"/>
      <c r="D1149" s="18">
        <v>6.98</v>
      </c>
    </row>
    <row r="1150" spans="1:4">
      <c r="A1150" s="18"/>
      <c r="B1150" s="18"/>
      <c r="C1150" s="18"/>
      <c r="D1150" s="18">
        <v>6.98</v>
      </c>
    </row>
    <row r="1151" spans="1:4">
      <c r="A1151" s="18"/>
      <c r="B1151" s="18"/>
      <c r="C1151" s="18"/>
      <c r="D1151" s="18">
        <v>6.98</v>
      </c>
    </row>
    <row r="1152" spans="1:4">
      <c r="A1152" s="18"/>
      <c r="B1152" s="18"/>
      <c r="C1152" s="18"/>
      <c r="D1152" s="18">
        <v>6.98</v>
      </c>
    </row>
    <row r="1153" spans="1:4">
      <c r="A1153" s="18"/>
      <c r="B1153" s="18"/>
      <c r="C1153" s="18"/>
      <c r="D1153" s="18">
        <v>6.98</v>
      </c>
    </row>
    <row r="1154" spans="1:4">
      <c r="A1154" s="18"/>
      <c r="B1154" s="18"/>
      <c r="C1154" s="18"/>
      <c r="D1154" s="18">
        <v>6.98</v>
      </c>
    </row>
    <row r="1155" spans="1:4">
      <c r="A1155" s="18"/>
      <c r="B1155" s="18"/>
      <c r="C1155" s="18"/>
      <c r="D1155" s="18">
        <v>6.98</v>
      </c>
    </row>
    <row r="1156" spans="1:4">
      <c r="A1156" s="18"/>
      <c r="B1156" s="18"/>
      <c r="C1156" s="18"/>
      <c r="D1156" s="18">
        <v>6.98</v>
      </c>
    </row>
    <row r="1157" spans="1:4">
      <c r="A1157" s="18"/>
      <c r="B1157" s="18"/>
      <c r="C1157" s="18">
        <v>12.52</v>
      </c>
      <c r="D1157" s="18">
        <v>11.37</v>
      </c>
    </row>
    <row r="1158" spans="1:4">
      <c r="A1158" s="18"/>
      <c r="B1158" s="18"/>
      <c r="C1158" s="18">
        <v>15.92</v>
      </c>
      <c r="D1158" s="18">
        <v>12.52</v>
      </c>
    </row>
    <row r="1159" spans="1:4">
      <c r="A1159" s="18"/>
      <c r="B1159" s="18"/>
      <c r="C1159" s="18"/>
      <c r="D1159" s="18">
        <v>15.92</v>
      </c>
    </row>
    <row r="1160" spans="1:4">
      <c r="A1160" s="18"/>
      <c r="B1160" s="18"/>
      <c r="C1160" s="18"/>
      <c r="D1160" s="18">
        <v>15.92</v>
      </c>
    </row>
    <row r="1161" spans="1:4">
      <c r="A1161" s="18"/>
      <c r="B1161" s="18">
        <v>12.52</v>
      </c>
      <c r="C1161" s="18">
        <v>12.96</v>
      </c>
      <c r="D1161" s="18">
        <v>7.46</v>
      </c>
    </row>
    <row r="1162" spans="1:4">
      <c r="A1162" s="18"/>
      <c r="B1162" s="18">
        <v>15.92</v>
      </c>
      <c r="C1162" s="18"/>
      <c r="D1162" s="18">
        <v>12.96</v>
      </c>
    </row>
    <row r="1163" spans="1:4">
      <c r="A1163" s="18"/>
      <c r="B1163" s="18">
        <v>15.92</v>
      </c>
      <c r="C1163" s="18"/>
      <c r="D1163" s="18">
        <v>12.96</v>
      </c>
    </row>
    <row r="1164" spans="1:4">
      <c r="A1164" s="18"/>
      <c r="B1164" s="18">
        <v>7.46</v>
      </c>
      <c r="C1164" s="18"/>
      <c r="D1164" s="18">
        <v>10.76</v>
      </c>
    </row>
    <row r="1165" spans="1:4">
      <c r="A1165" s="18"/>
      <c r="B1165" s="18">
        <v>7.46</v>
      </c>
      <c r="C1165" s="18"/>
      <c r="D1165" s="18">
        <v>10.76</v>
      </c>
    </row>
    <row r="1166" spans="1:4">
      <c r="A1166" s="18"/>
      <c r="B1166" s="18"/>
      <c r="C1166" s="18">
        <v>88.929999999999993</v>
      </c>
      <c r="D1166" s="18">
        <v>3.37</v>
      </c>
    </row>
    <row r="1167" spans="1:4">
      <c r="A1167" s="18"/>
      <c r="B1167" s="18">
        <v>10.76</v>
      </c>
      <c r="C1167" s="18"/>
      <c r="D1167" s="18">
        <v>88.929999999999993</v>
      </c>
    </row>
    <row r="1168" spans="1:4">
      <c r="A1168" s="18"/>
      <c r="B1168" s="18">
        <v>10.76</v>
      </c>
      <c r="C1168" s="18"/>
      <c r="D1168" s="18">
        <v>88.929999999999993</v>
      </c>
    </row>
    <row r="1169" spans="1:4">
      <c r="A1169" s="18"/>
      <c r="B1169" s="18">
        <v>10.76</v>
      </c>
      <c r="C1169" s="18"/>
      <c r="D1169" s="18">
        <v>88.929999999999993</v>
      </c>
    </row>
    <row r="1170" spans="1:4">
      <c r="A1170" s="18"/>
      <c r="B1170" s="18">
        <v>10.76</v>
      </c>
      <c r="C1170" s="18"/>
      <c r="D1170" s="18">
        <v>88.929999999999993</v>
      </c>
    </row>
    <row r="1171" spans="1:4">
      <c r="A1171" s="18"/>
      <c r="B1171" s="18">
        <v>5.24</v>
      </c>
      <c r="C1171" s="18">
        <v>4.75</v>
      </c>
      <c r="D1171" s="18">
        <v>3.62</v>
      </c>
    </row>
    <row r="1172" spans="1:4">
      <c r="A1172" s="18"/>
      <c r="B1172" s="18"/>
      <c r="C1172" s="18">
        <v>3.23</v>
      </c>
      <c r="D1172" s="18">
        <v>4.75</v>
      </c>
    </row>
    <row r="1173" spans="1:4">
      <c r="A1173" s="18"/>
      <c r="B1173" s="18"/>
      <c r="C1173" s="18">
        <v>4.1500000000000004</v>
      </c>
      <c r="D1173" s="18">
        <v>3.23</v>
      </c>
    </row>
    <row r="1174" spans="1:4">
      <c r="A1174" s="18"/>
      <c r="B1174" s="18">
        <v>3.62</v>
      </c>
      <c r="C1174" s="18"/>
      <c r="D1174" s="18">
        <v>4.1500000000000004</v>
      </c>
    </row>
    <row r="1175" spans="1:4">
      <c r="A1175" s="18"/>
      <c r="B1175" s="18">
        <v>3.62</v>
      </c>
      <c r="C1175" s="18"/>
      <c r="D1175" s="18">
        <v>4.1500000000000004</v>
      </c>
    </row>
    <row r="1176" spans="1:4">
      <c r="A1176" s="18"/>
      <c r="B1176" s="18">
        <v>3.23</v>
      </c>
      <c r="C1176" s="18">
        <v>3.61</v>
      </c>
      <c r="D1176" s="18">
        <v>2.15</v>
      </c>
    </row>
    <row r="1177" spans="1:4">
      <c r="A1177" s="18"/>
      <c r="B1177" s="18">
        <v>4.1500000000000004</v>
      </c>
      <c r="C1177" s="18">
        <v>5.52</v>
      </c>
      <c r="D1177" s="18">
        <v>3.61</v>
      </c>
    </row>
    <row r="1178" spans="1:4">
      <c r="A1178" s="18"/>
      <c r="B1178" s="18"/>
      <c r="C1178" s="18"/>
      <c r="D1178" s="18">
        <v>5.52</v>
      </c>
    </row>
    <row r="1179" spans="1:4">
      <c r="A1179" s="18"/>
      <c r="B1179" s="18"/>
      <c r="C1179" s="18"/>
      <c r="D1179" s="18">
        <v>5.52</v>
      </c>
    </row>
    <row r="1180" spans="1:4">
      <c r="A1180" s="18"/>
      <c r="B1180" s="18"/>
      <c r="C1180" s="18"/>
      <c r="D1180" s="18">
        <v>5.52</v>
      </c>
    </row>
    <row r="1181" spans="1:4">
      <c r="A1181" s="18"/>
      <c r="B1181" s="18"/>
      <c r="C1181" s="18"/>
      <c r="D1181" s="18">
        <v>5.52</v>
      </c>
    </row>
    <row r="1182" spans="1:4">
      <c r="A1182" s="18"/>
      <c r="B1182" s="18"/>
      <c r="C1182" s="18"/>
      <c r="D1182" s="18">
        <v>7.38</v>
      </c>
    </row>
    <row r="1183" spans="1:4">
      <c r="A1183" s="18"/>
      <c r="B1183" s="18"/>
      <c r="C1183" s="18"/>
      <c r="D1183" s="18">
        <v>7.38</v>
      </c>
    </row>
    <row r="1184" spans="1:4">
      <c r="A1184" s="18"/>
      <c r="B1184" s="18"/>
      <c r="C1184" s="18"/>
      <c r="D1184" s="18">
        <v>7.38</v>
      </c>
    </row>
    <row r="1185" spans="1:4">
      <c r="A1185" s="18"/>
      <c r="B1185" s="18"/>
      <c r="C1185" s="18"/>
      <c r="D1185" s="18">
        <v>7.38</v>
      </c>
    </row>
    <row r="1186" spans="1:4">
      <c r="A1186" s="18"/>
      <c r="B1186" s="18"/>
      <c r="C1186" s="18"/>
      <c r="D1186" s="18">
        <v>7.38</v>
      </c>
    </row>
    <row r="1187" spans="1:4">
      <c r="A1187" s="18"/>
      <c r="B1187" s="18"/>
      <c r="C1187" s="18"/>
      <c r="D1187" s="18" t="s">
        <v>1592</v>
      </c>
    </row>
    <row r="1188" spans="1:4">
      <c r="A1188" s="18"/>
      <c r="B1188" s="18"/>
      <c r="C1188" s="18"/>
      <c r="D1188" s="18" t="s">
        <v>1592</v>
      </c>
    </row>
    <row r="1189" spans="1:4">
      <c r="A1189" s="18"/>
      <c r="B1189" s="18"/>
      <c r="C1189" s="18"/>
      <c r="D1189" s="18" t="s">
        <v>1592</v>
      </c>
    </row>
    <row r="1190" spans="1:4">
      <c r="A1190" s="18"/>
      <c r="B1190" s="18"/>
      <c r="C1190" s="18"/>
      <c r="D1190" s="18" t="s">
        <v>1592</v>
      </c>
    </row>
    <row r="1191" spans="1:4">
      <c r="A1191" s="18"/>
      <c r="B1191" s="18"/>
      <c r="C1191" s="18" t="s">
        <v>1592</v>
      </c>
      <c r="D1191" s="18" t="s">
        <v>1592</v>
      </c>
    </row>
    <row r="1192" spans="1:4">
      <c r="A1192" s="18"/>
      <c r="B1192" s="18"/>
      <c r="C1192" s="18" t="s">
        <v>1592</v>
      </c>
      <c r="D1192" s="18" t="s">
        <v>1592</v>
      </c>
    </row>
    <row r="1193" spans="1:4">
      <c r="A1193" s="18"/>
      <c r="B1193" s="18"/>
      <c r="C1193" s="18">
        <v>11.37</v>
      </c>
      <c r="D1193" s="18" t="s">
        <v>1592</v>
      </c>
    </row>
    <row r="1194" spans="1:4">
      <c r="A1194" s="18"/>
      <c r="B1194" s="18"/>
      <c r="C1194" s="18">
        <v>11.37</v>
      </c>
      <c r="D1194" s="18" t="s">
        <v>1592</v>
      </c>
    </row>
    <row r="1195" spans="1:4">
      <c r="A1195" s="18"/>
      <c r="B1195" s="18">
        <v>12.52</v>
      </c>
      <c r="C1195" s="18">
        <v>7.46</v>
      </c>
      <c r="D1195" s="18">
        <v>7.46</v>
      </c>
    </row>
    <row r="1196" spans="1:4">
      <c r="A1196" s="18"/>
      <c r="B1196" s="18">
        <v>15.92</v>
      </c>
      <c r="C1196" s="18">
        <v>8.16</v>
      </c>
      <c r="D1196" s="18">
        <v>7.46</v>
      </c>
    </row>
    <row r="1197" spans="1:4">
      <c r="A1197" s="18"/>
      <c r="B1197" s="18"/>
      <c r="C1197" s="18">
        <v>10.76</v>
      </c>
      <c r="D1197" s="18">
        <v>8.16</v>
      </c>
    </row>
    <row r="1198" spans="1:4">
      <c r="A1198" s="18"/>
      <c r="B1198" s="18">
        <v>7.46</v>
      </c>
      <c r="C1198" s="18"/>
      <c r="D1198" s="18">
        <v>10.76</v>
      </c>
    </row>
    <row r="1199" spans="1:4">
      <c r="A1199" s="18"/>
      <c r="B1199" s="18">
        <v>7.46</v>
      </c>
      <c r="C1199" s="18"/>
      <c r="D1199" s="18">
        <v>10.76</v>
      </c>
    </row>
    <row r="1200" spans="1:4">
      <c r="A1200" s="18"/>
      <c r="B1200" s="18">
        <v>8.16</v>
      </c>
      <c r="C1200" s="18">
        <v>84.4</v>
      </c>
      <c r="D1200" s="18">
        <v>3.16</v>
      </c>
    </row>
    <row r="1201" spans="1:4">
      <c r="A1201" s="18"/>
      <c r="B1201" s="18">
        <v>10.76</v>
      </c>
      <c r="C1201" s="18"/>
      <c r="D1201" s="18">
        <v>84.4</v>
      </c>
    </row>
    <row r="1202" spans="1:4">
      <c r="A1202" s="18"/>
      <c r="B1202" s="18">
        <v>10.76</v>
      </c>
      <c r="C1202" s="18"/>
      <c r="D1202" s="18">
        <v>84.4</v>
      </c>
    </row>
    <row r="1203" spans="1:4">
      <c r="A1203" s="18"/>
      <c r="B1203" s="18">
        <v>10.76</v>
      </c>
      <c r="C1203" s="18"/>
      <c r="D1203" s="18">
        <v>84.4</v>
      </c>
    </row>
    <row r="1204" spans="1:4">
      <c r="A1204" s="18"/>
      <c r="B1204" s="18">
        <v>10.76</v>
      </c>
      <c r="C1204" s="18"/>
      <c r="D1204" s="18">
        <v>84.4</v>
      </c>
    </row>
    <row r="1205" spans="1:4">
      <c r="A1205" s="18"/>
      <c r="B1205" s="18">
        <v>5.24</v>
      </c>
      <c r="C1205" s="18">
        <v>4.75</v>
      </c>
      <c r="D1205" s="18">
        <v>3.62</v>
      </c>
    </row>
    <row r="1206" spans="1:4">
      <c r="A1206" s="18"/>
      <c r="B1206" s="18"/>
      <c r="C1206" s="18"/>
      <c r="D1206" s="18">
        <v>4.75</v>
      </c>
    </row>
    <row r="1207" spans="1:4">
      <c r="A1207" s="18"/>
      <c r="B1207" s="18"/>
      <c r="C1207" s="18"/>
      <c r="D1207" s="18">
        <v>4.75</v>
      </c>
    </row>
    <row r="1208" spans="1:4">
      <c r="A1208" s="18"/>
      <c r="B1208" s="18"/>
      <c r="C1208" s="18"/>
      <c r="D1208" s="18">
        <v>4.75</v>
      </c>
    </row>
    <row r="1209" spans="1:4">
      <c r="A1209" s="18"/>
      <c r="B1209" s="18">
        <v>4.75</v>
      </c>
      <c r="C1209" s="18">
        <v>2.15</v>
      </c>
      <c r="D1209" s="18">
        <v>6.61</v>
      </c>
    </row>
    <row r="1210" spans="1:4">
      <c r="A1210" s="18"/>
      <c r="B1210" s="18"/>
      <c r="C1210" s="18">
        <v>3.61</v>
      </c>
      <c r="D1210" s="18">
        <v>2.15</v>
      </c>
    </row>
    <row r="1211" spans="1:4">
      <c r="A1211" s="18"/>
      <c r="B1211" s="18"/>
      <c r="C1211" s="18">
        <v>5.52</v>
      </c>
      <c r="D1211" s="18">
        <v>3.61</v>
      </c>
    </row>
    <row r="1212" spans="1:4">
      <c r="A1212" s="18"/>
      <c r="B1212" s="18">
        <v>6.61</v>
      </c>
      <c r="C1212" s="18"/>
      <c r="D1212" s="18">
        <v>5.52</v>
      </c>
    </row>
    <row r="1213" spans="1:4">
      <c r="A1213" s="18"/>
      <c r="B1213" s="18">
        <v>6.61</v>
      </c>
      <c r="C1213" s="18"/>
      <c r="D1213" s="18">
        <v>5.52</v>
      </c>
    </row>
    <row r="1214" spans="1:4">
      <c r="A1214" s="18"/>
      <c r="B1214" s="18">
        <v>6.61</v>
      </c>
      <c r="C1214" s="18"/>
      <c r="D1214" s="18">
        <v>5.52</v>
      </c>
    </row>
    <row r="1215" spans="1:4">
      <c r="A1215" s="18"/>
      <c r="B1215" s="18">
        <v>6.61</v>
      </c>
      <c r="C1215" s="18"/>
      <c r="D1215" s="18">
        <v>5.52</v>
      </c>
    </row>
    <row r="1216" spans="1:4">
      <c r="A1216" s="18"/>
      <c r="B1216" s="18"/>
      <c r="C1216" s="18"/>
      <c r="D1216" s="18">
        <v>7.38</v>
      </c>
    </row>
    <row r="1217" spans="1:4">
      <c r="A1217" s="18"/>
      <c r="B1217" s="18"/>
      <c r="C1217" s="18"/>
      <c r="D1217" s="18">
        <v>7.38</v>
      </c>
    </row>
    <row r="1218" spans="1:4">
      <c r="A1218" s="18"/>
      <c r="B1218" s="18"/>
      <c r="C1218" s="18"/>
      <c r="D1218" s="18">
        <v>7.38</v>
      </c>
    </row>
    <row r="1219" spans="1:4">
      <c r="A1219" s="18"/>
      <c r="B1219" s="18"/>
      <c r="C1219" s="18"/>
      <c r="D1219" s="18">
        <v>7.38</v>
      </c>
    </row>
    <row r="1220" spans="1:4">
      <c r="A1220" s="18"/>
      <c r="B1220" s="18"/>
      <c r="C1220" s="18"/>
      <c r="D1220" s="18">
        <v>7.38</v>
      </c>
    </row>
    <row r="1221" spans="1:4">
      <c r="A1221" s="18"/>
      <c r="B1221" s="18"/>
      <c r="C1221" s="18"/>
      <c r="D1221" s="18" t="s">
        <v>1592</v>
      </c>
    </row>
    <row r="1222" spans="1:4">
      <c r="A1222" s="18"/>
      <c r="B1222" s="18"/>
      <c r="C1222" s="18"/>
      <c r="D1222" s="18" t="s">
        <v>1592</v>
      </c>
    </row>
    <row r="1223" spans="1:4">
      <c r="A1223" s="18"/>
      <c r="B1223" s="18"/>
      <c r="C1223" s="18"/>
      <c r="D1223" s="18" t="s">
        <v>1592</v>
      </c>
    </row>
    <row r="1224" spans="1:4">
      <c r="A1224" s="18"/>
      <c r="B1224" s="18"/>
      <c r="C1224" s="18"/>
      <c r="D1224" s="18" t="s">
        <v>1592</v>
      </c>
    </row>
    <row r="1225" spans="1:4">
      <c r="A1225" s="18"/>
      <c r="B1225" s="18"/>
      <c r="C1225" s="18" t="s">
        <v>1592</v>
      </c>
      <c r="D1225" s="18" t="s">
        <v>1592</v>
      </c>
    </row>
    <row r="1226" spans="1:4">
      <c r="A1226" s="18"/>
      <c r="B1226" s="18"/>
      <c r="C1226" s="18" t="s">
        <v>1592</v>
      </c>
      <c r="D1226" s="18" t="s">
        <v>1592</v>
      </c>
    </row>
    <row r="1227" spans="1:4">
      <c r="A1227" s="18"/>
      <c r="B1227" s="18"/>
      <c r="C1227" s="18">
        <v>11.37</v>
      </c>
      <c r="D1227" s="18" t="s">
        <v>1592</v>
      </c>
    </row>
    <row r="1228" spans="1:4">
      <c r="A1228" s="18"/>
      <c r="B1228" s="18"/>
      <c r="C1228" s="18">
        <v>11.37</v>
      </c>
      <c r="D1228" s="18" t="s">
        <v>1592</v>
      </c>
    </row>
    <row r="1229" spans="1:4">
      <c r="A1229" s="18"/>
      <c r="B1229" s="18">
        <v>12.52</v>
      </c>
      <c r="C1229" s="18">
        <v>7.46</v>
      </c>
      <c r="D1229" s="18">
        <v>7.46</v>
      </c>
    </row>
    <row r="1230" spans="1:4">
      <c r="A1230" s="18"/>
      <c r="B1230" s="18">
        <v>15.92</v>
      </c>
      <c r="C1230" s="18">
        <v>8.16</v>
      </c>
      <c r="D1230" s="18">
        <v>7.46</v>
      </c>
    </row>
    <row r="1231" spans="1:4">
      <c r="A1231" s="18"/>
      <c r="B1231" s="18"/>
      <c r="C1231" s="18">
        <v>10.76</v>
      </c>
      <c r="D1231" s="18">
        <v>8.16</v>
      </c>
    </row>
    <row r="1232" spans="1:4">
      <c r="A1232" s="18"/>
      <c r="B1232" s="18">
        <v>7.46</v>
      </c>
      <c r="C1232" s="18"/>
      <c r="D1232" s="18">
        <v>10.76</v>
      </c>
    </row>
    <row r="1233" spans="1:4">
      <c r="A1233" s="18"/>
      <c r="B1233" s="18">
        <v>7.46</v>
      </c>
      <c r="C1233" s="18"/>
      <c r="D1233" s="18">
        <v>10.76</v>
      </c>
    </row>
    <row r="1234" spans="1:4">
      <c r="A1234" s="18"/>
      <c r="B1234" s="18">
        <v>8.16</v>
      </c>
      <c r="C1234" s="18">
        <v>83.63000000000001</v>
      </c>
      <c r="D1234" s="18">
        <v>3.16</v>
      </c>
    </row>
    <row r="1235" spans="1:4">
      <c r="A1235" s="18"/>
      <c r="B1235" s="18">
        <v>10.76</v>
      </c>
      <c r="C1235" s="18"/>
      <c r="D1235" s="18">
        <v>83.63000000000001</v>
      </c>
    </row>
    <row r="1236" spans="1:4">
      <c r="A1236" s="18"/>
      <c r="B1236" s="18">
        <v>10.76</v>
      </c>
      <c r="C1236" s="18"/>
      <c r="D1236" s="18">
        <v>83.63000000000001</v>
      </c>
    </row>
    <row r="1237" spans="1:4">
      <c r="A1237" s="18"/>
      <c r="B1237" s="18">
        <v>10.76</v>
      </c>
      <c r="C1237" s="18"/>
      <c r="D1237" s="18">
        <v>83.63000000000001</v>
      </c>
    </row>
    <row r="1238" spans="1:4">
      <c r="A1238" s="18"/>
      <c r="B1238" s="18">
        <v>10.76</v>
      </c>
      <c r="C1238" s="18"/>
      <c r="D1238" s="18">
        <v>83.63000000000001</v>
      </c>
    </row>
    <row r="1239" spans="1:4">
      <c r="A1239" s="18"/>
      <c r="B1239" s="18">
        <v>5.24</v>
      </c>
      <c r="C1239" s="18">
        <v>4.75</v>
      </c>
      <c r="D1239" s="18">
        <v>3.62</v>
      </c>
    </row>
    <row r="1240" spans="1:4">
      <c r="A1240" s="18"/>
      <c r="B1240" s="18"/>
      <c r="C1240" s="18">
        <v>3.23</v>
      </c>
      <c r="D1240" s="18">
        <v>4.75</v>
      </c>
    </row>
    <row r="1241" spans="1:4">
      <c r="A1241" s="18"/>
      <c r="B1241" s="18"/>
      <c r="C1241" s="18">
        <v>4.1500000000000004</v>
      </c>
      <c r="D1241" s="18">
        <v>3.23</v>
      </c>
    </row>
    <row r="1242" spans="1:4">
      <c r="A1242" s="18"/>
      <c r="B1242" s="18">
        <v>3.62</v>
      </c>
      <c r="C1242" s="18"/>
      <c r="D1242" s="18">
        <v>4.1500000000000004</v>
      </c>
    </row>
    <row r="1243" spans="1:4">
      <c r="A1243" s="18"/>
      <c r="B1243" s="18">
        <v>3.62</v>
      </c>
      <c r="C1243" s="18"/>
      <c r="D1243" s="18">
        <v>4.1500000000000004</v>
      </c>
    </row>
    <row r="1244" spans="1:4">
      <c r="A1244" s="18"/>
      <c r="B1244" s="18">
        <v>3.23</v>
      </c>
      <c r="C1244" s="18">
        <v>3.61</v>
      </c>
      <c r="D1244" s="18">
        <v>2.15</v>
      </c>
    </row>
    <row r="1245" spans="1:4">
      <c r="A1245" s="18"/>
      <c r="B1245" s="18">
        <v>4.1500000000000004</v>
      </c>
      <c r="C1245" s="18">
        <v>5.52</v>
      </c>
      <c r="D1245" s="18">
        <v>3.61</v>
      </c>
    </row>
    <row r="1246" spans="1:4">
      <c r="A1246" s="18"/>
      <c r="B1246" s="18"/>
      <c r="C1246" s="18"/>
      <c r="D1246" s="18">
        <v>5.52</v>
      </c>
    </row>
    <row r="1247" spans="1:4">
      <c r="A1247" s="18"/>
      <c r="B1247" s="18"/>
      <c r="C1247" s="18"/>
      <c r="D1247" s="18">
        <v>5.52</v>
      </c>
    </row>
    <row r="1248" spans="1:4">
      <c r="A1248" s="18"/>
      <c r="B1248" s="18"/>
      <c r="C1248" s="18"/>
      <c r="D1248" s="18">
        <v>5.52</v>
      </c>
    </row>
    <row r="1249" spans="1:4">
      <c r="A1249" s="18"/>
      <c r="B1249" s="18"/>
      <c r="C1249" s="18"/>
      <c r="D1249" s="18">
        <v>5.52</v>
      </c>
    </row>
    <row r="1250" spans="1:4">
      <c r="A1250" s="18"/>
      <c r="B1250" s="18"/>
      <c r="C1250" s="18"/>
      <c r="D1250" s="18">
        <v>7.38</v>
      </c>
    </row>
    <row r="1251" spans="1:4">
      <c r="A1251" s="18"/>
      <c r="B1251" s="18"/>
      <c r="C1251" s="18"/>
      <c r="D1251" s="18">
        <v>7.38</v>
      </c>
    </row>
    <row r="1252" spans="1:4">
      <c r="A1252" s="18"/>
      <c r="B1252" s="18"/>
      <c r="C1252" s="18"/>
      <c r="D1252" s="18">
        <v>7.38</v>
      </c>
    </row>
    <row r="1253" spans="1:4">
      <c r="A1253" s="18"/>
      <c r="B1253" s="18"/>
      <c r="C1253" s="18"/>
      <c r="D1253" s="18">
        <v>7.38</v>
      </c>
    </row>
    <row r="1254" spans="1:4">
      <c r="A1254" s="18"/>
      <c r="B1254" s="18"/>
      <c r="C1254" s="18"/>
      <c r="D1254" s="18">
        <v>7.38</v>
      </c>
    </row>
    <row r="1255" spans="1:4">
      <c r="A1255" s="18"/>
      <c r="B1255" s="18"/>
      <c r="C1255" s="18"/>
      <c r="D1255" s="18" t="s">
        <v>1592</v>
      </c>
    </row>
    <row r="1256" spans="1:4">
      <c r="A1256" s="18"/>
      <c r="B1256" s="18"/>
      <c r="C1256" s="18"/>
      <c r="D1256" s="18" t="s">
        <v>1592</v>
      </c>
    </row>
    <row r="1257" spans="1:4">
      <c r="A1257" s="18"/>
      <c r="B1257" s="18"/>
      <c r="C1257" s="18"/>
      <c r="D1257" s="18" t="s">
        <v>1592</v>
      </c>
    </row>
    <row r="1258" spans="1:4">
      <c r="A1258" s="18"/>
      <c r="B1258" s="18"/>
      <c r="C1258" s="18"/>
      <c r="D1258" s="18" t="s">
        <v>1592</v>
      </c>
    </row>
    <row r="1259" spans="1:4">
      <c r="A1259" s="18"/>
      <c r="B1259" s="18"/>
      <c r="C1259" s="18"/>
      <c r="D1259" s="18" t="s">
        <v>1592</v>
      </c>
    </row>
    <row r="1260" spans="1:4">
      <c r="A1260" s="18"/>
      <c r="B1260" s="18"/>
      <c r="C1260" s="18"/>
      <c r="D1260" s="18" t="s">
        <v>1592</v>
      </c>
    </row>
    <row r="1261" spans="1:4">
      <c r="A1261" s="18"/>
      <c r="B1261" s="18"/>
      <c r="C1261" s="18"/>
      <c r="D1261" s="18" t="s">
        <v>1592</v>
      </c>
    </row>
    <row r="1262" spans="1:4">
      <c r="A1262" s="18"/>
      <c r="B1262" s="18"/>
      <c r="C1262" s="18">
        <v>12.52</v>
      </c>
      <c r="D1262" s="18">
        <v>11.37</v>
      </c>
    </row>
    <row r="1263" spans="1:4">
      <c r="A1263" s="18"/>
      <c r="B1263" s="18"/>
      <c r="C1263" s="18">
        <v>15.92</v>
      </c>
      <c r="D1263" s="18">
        <v>12.52</v>
      </c>
    </row>
    <row r="1264" spans="1:4">
      <c r="A1264" s="18"/>
      <c r="B1264" s="18"/>
      <c r="C1264" s="18"/>
      <c r="D1264" s="18">
        <v>15.92</v>
      </c>
    </row>
    <row r="1265" spans="1:4">
      <c r="A1265" s="18"/>
      <c r="B1265" s="18"/>
      <c r="C1265" s="18"/>
      <c r="D1265" s="18">
        <v>15.92</v>
      </c>
    </row>
    <row r="1266" spans="1:4">
      <c r="A1266" s="18"/>
      <c r="B1266" s="18">
        <v>12.52</v>
      </c>
      <c r="C1266" s="18">
        <v>7.46</v>
      </c>
      <c r="D1266" s="18">
        <v>7.46</v>
      </c>
    </row>
    <row r="1267" spans="1:4">
      <c r="A1267" s="18"/>
      <c r="B1267" s="18">
        <v>15.92</v>
      </c>
      <c r="C1267" s="18"/>
      <c r="D1267" s="18">
        <v>7.46</v>
      </c>
    </row>
    <row r="1268" spans="1:4">
      <c r="A1268" s="18"/>
      <c r="B1268" s="18">
        <v>15.92</v>
      </c>
      <c r="C1268" s="18"/>
      <c r="D1268" s="18">
        <v>7.46</v>
      </c>
    </row>
    <row r="1269" spans="1:4">
      <c r="A1269" s="18"/>
      <c r="B1269" s="18">
        <v>7.46</v>
      </c>
      <c r="C1269" s="18"/>
      <c r="D1269" s="18">
        <v>10.76</v>
      </c>
    </row>
    <row r="1270" spans="1:4">
      <c r="A1270" s="18"/>
      <c r="B1270" s="18">
        <v>7.46</v>
      </c>
      <c r="C1270" s="18"/>
      <c r="D1270" s="18">
        <v>10.76</v>
      </c>
    </row>
    <row r="1271" spans="1:4">
      <c r="A1271" s="18"/>
      <c r="B1271" s="18"/>
      <c r="C1271" s="18">
        <v>76.239999999999995</v>
      </c>
      <c r="D1271" s="18">
        <v>3.16</v>
      </c>
    </row>
    <row r="1272" spans="1:4">
      <c r="A1272" s="18"/>
      <c r="B1272" s="18">
        <v>10.76</v>
      </c>
      <c r="C1272" s="18"/>
      <c r="D1272" s="18">
        <v>76.239999999999995</v>
      </c>
    </row>
    <row r="1273" spans="1:4">
      <c r="A1273" s="18"/>
      <c r="B1273" s="18">
        <v>10.76</v>
      </c>
      <c r="C1273" s="18"/>
      <c r="D1273" s="18">
        <v>76.239999999999995</v>
      </c>
    </row>
    <row r="1274" spans="1:4">
      <c r="A1274" s="18"/>
      <c r="B1274" s="18">
        <v>10.76</v>
      </c>
      <c r="C1274" s="18"/>
      <c r="D1274" s="18">
        <v>76.239999999999995</v>
      </c>
    </row>
    <row r="1275" spans="1:4">
      <c r="A1275" s="18"/>
      <c r="B1275" s="18">
        <v>10.76</v>
      </c>
      <c r="C1275" s="18"/>
      <c r="D1275" s="18">
        <v>76.239999999999995</v>
      </c>
    </row>
    <row r="1276" spans="1:4">
      <c r="A1276" s="18"/>
      <c r="B1276" s="18">
        <v>5.24</v>
      </c>
      <c r="C1276" s="18">
        <v>4.75</v>
      </c>
      <c r="D1276" s="18">
        <v>3.62</v>
      </c>
    </row>
    <row r="1277" spans="1:4">
      <c r="A1277" s="18"/>
      <c r="B1277" s="18"/>
      <c r="C1277" s="18">
        <v>3.23</v>
      </c>
      <c r="D1277" s="18">
        <v>4.75</v>
      </c>
    </row>
    <row r="1278" spans="1:4">
      <c r="A1278" s="18"/>
      <c r="B1278" s="18"/>
      <c r="C1278" s="18">
        <v>4.1500000000000004</v>
      </c>
      <c r="D1278" s="18">
        <v>3.23</v>
      </c>
    </row>
    <row r="1279" spans="1:4">
      <c r="A1279" s="18"/>
      <c r="B1279" s="18">
        <v>3.62</v>
      </c>
      <c r="C1279" s="18"/>
      <c r="D1279" s="18">
        <v>4.1500000000000004</v>
      </c>
    </row>
    <row r="1280" spans="1:4">
      <c r="A1280" s="18"/>
      <c r="B1280" s="18">
        <v>3.62</v>
      </c>
      <c r="C1280" s="18"/>
      <c r="D1280" s="18">
        <v>4.1500000000000004</v>
      </c>
    </row>
    <row r="1281" spans="1:4">
      <c r="A1281" s="18"/>
      <c r="B1281" s="18">
        <v>3.23</v>
      </c>
      <c r="C1281" s="18">
        <v>3.61</v>
      </c>
      <c r="D1281" s="18">
        <v>2.15</v>
      </c>
    </row>
    <row r="1282" spans="1:4">
      <c r="A1282" s="18"/>
      <c r="B1282" s="18">
        <v>4.1500000000000004</v>
      </c>
      <c r="C1282" s="18">
        <v>5.52</v>
      </c>
      <c r="D1282" s="18">
        <v>3.61</v>
      </c>
    </row>
    <row r="1283" spans="1:4">
      <c r="A1283" s="18"/>
      <c r="B1283" s="18"/>
      <c r="C1283" s="18"/>
      <c r="D1283" s="18">
        <v>5.52</v>
      </c>
    </row>
    <row r="1284" spans="1:4">
      <c r="A1284" s="18"/>
      <c r="B1284" s="18"/>
      <c r="C1284" s="18"/>
      <c r="D1284" s="18">
        <v>5.52</v>
      </c>
    </row>
    <row r="1285" spans="1:4">
      <c r="A1285" s="18"/>
      <c r="B1285" s="18"/>
      <c r="C1285" s="18"/>
      <c r="D1285" s="18">
        <v>5.52</v>
      </c>
    </row>
    <row r="1286" spans="1:4">
      <c r="A1286" s="18"/>
      <c r="B1286" s="18"/>
      <c r="C1286" s="18"/>
      <c r="D1286" s="18">
        <v>5.52</v>
      </c>
    </row>
    <row r="1287" spans="1:4">
      <c r="A1287" s="18"/>
      <c r="B1287" s="18"/>
      <c r="C1287" s="18"/>
      <c r="D1287" s="18">
        <v>7.38</v>
      </c>
    </row>
    <row r="1288" spans="1:4">
      <c r="A1288" s="18"/>
      <c r="B1288" s="18"/>
      <c r="C1288" s="18"/>
      <c r="D1288" s="18">
        <v>7.38</v>
      </c>
    </row>
    <row r="1289" spans="1:4">
      <c r="A1289" s="18"/>
      <c r="B1289" s="18"/>
      <c r="C1289" s="18"/>
      <c r="D1289" s="18">
        <v>7.38</v>
      </c>
    </row>
    <row r="1290" spans="1:4">
      <c r="A1290" s="18"/>
      <c r="B1290" s="18"/>
      <c r="C1290" s="18"/>
      <c r="D1290" s="18">
        <v>7.38</v>
      </c>
    </row>
    <row r="1291" spans="1:4">
      <c r="A1291" s="18"/>
      <c r="B1291" s="18"/>
      <c r="C1291" s="18"/>
      <c r="D1291" s="18">
        <v>7.38</v>
      </c>
    </row>
    <row r="1292" spans="1:4">
      <c r="A1292" s="18"/>
      <c r="B1292" s="18"/>
      <c r="C1292" s="18"/>
      <c r="D1292" s="18">
        <v>9.01</v>
      </c>
    </row>
    <row r="1293" spans="1:4">
      <c r="A1293" s="18"/>
      <c r="B1293" s="18"/>
      <c r="C1293" s="18"/>
      <c r="D1293" s="18">
        <v>9.01</v>
      </c>
    </row>
    <row r="1294" spans="1:4">
      <c r="A1294" s="18"/>
      <c r="B1294" s="18"/>
      <c r="C1294" s="18"/>
      <c r="D1294" s="18">
        <v>10.25</v>
      </c>
    </row>
    <row r="1295" spans="1:4">
      <c r="A1295" s="18"/>
      <c r="B1295" s="18"/>
      <c r="C1295" s="18"/>
      <c r="D1295" s="18">
        <v>10.25</v>
      </c>
    </row>
    <row r="1296" spans="1:4">
      <c r="A1296" s="18"/>
      <c r="B1296" s="18"/>
      <c r="C1296" s="18"/>
      <c r="D1296" s="18">
        <v>10.25</v>
      </c>
    </row>
    <row r="1297" spans="1:4">
      <c r="A1297" s="18"/>
      <c r="B1297" s="18"/>
      <c r="C1297" s="18"/>
      <c r="D1297" s="18">
        <v>10.25</v>
      </c>
    </row>
    <row r="1298" spans="1:4">
      <c r="A1298" s="18"/>
      <c r="B1298" s="18"/>
      <c r="C1298" s="18"/>
      <c r="D1298" s="18">
        <v>10.25</v>
      </c>
    </row>
    <row r="1299" spans="1:4">
      <c r="A1299" s="18"/>
      <c r="B1299" s="18"/>
      <c r="C1299" s="18"/>
      <c r="D1299" s="18">
        <v>10.25</v>
      </c>
    </row>
    <row r="1300" spans="1:4">
      <c r="A1300" s="18"/>
      <c r="B1300" s="18"/>
      <c r="C1300" s="18"/>
      <c r="D1300" s="18">
        <v>10.25</v>
      </c>
    </row>
    <row r="1301" spans="1:4">
      <c r="A1301" s="18"/>
      <c r="B1301" s="18"/>
      <c r="C1301" s="18">
        <v>12.52</v>
      </c>
      <c r="D1301" s="18">
        <v>11.37</v>
      </c>
    </row>
    <row r="1302" spans="1:4">
      <c r="A1302" s="18"/>
      <c r="B1302" s="18"/>
      <c r="C1302" s="18">
        <v>15.92</v>
      </c>
      <c r="D1302" s="18">
        <v>12.52</v>
      </c>
    </row>
    <row r="1303" spans="1:4">
      <c r="A1303" s="18"/>
      <c r="B1303" s="18"/>
      <c r="C1303" s="18"/>
      <c r="D1303" s="18">
        <v>15.92</v>
      </c>
    </row>
    <row r="1304" spans="1:4">
      <c r="A1304" s="18"/>
      <c r="B1304" s="18"/>
      <c r="C1304" s="18"/>
      <c r="D1304" s="18">
        <v>15.92</v>
      </c>
    </row>
    <row r="1305" spans="1:4">
      <c r="A1305" s="18"/>
      <c r="B1305" s="18">
        <v>12.52</v>
      </c>
      <c r="C1305" s="18">
        <v>7.46</v>
      </c>
      <c r="D1305" s="18">
        <v>7.46</v>
      </c>
    </row>
    <row r="1306" spans="1:4">
      <c r="A1306" s="18"/>
      <c r="B1306" s="18">
        <v>15.92</v>
      </c>
      <c r="C1306" s="18">
        <v>8.16</v>
      </c>
      <c r="D1306" s="18">
        <v>7.46</v>
      </c>
    </row>
    <row r="1307" spans="1:4">
      <c r="A1307" s="18"/>
      <c r="B1307" s="18"/>
      <c r="C1307" s="18">
        <v>10.76</v>
      </c>
      <c r="D1307" s="18">
        <v>8.16</v>
      </c>
    </row>
    <row r="1308" spans="1:4">
      <c r="A1308" s="18"/>
      <c r="B1308" s="18">
        <v>7.46</v>
      </c>
      <c r="C1308" s="18"/>
      <c r="D1308" s="18">
        <v>10.76</v>
      </c>
    </row>
    <row r="1309" spans="1:4">
      <c r="A1309" s="18"/>
      <c r="B1309" s="18">
        <v>7.46</v>
      </c>
      <c r="C1309" s="18"/>
      <c r="D1309" s="18">
        <v>10.76</v>
      </c>
    </row>
    <row r="1310" spans="1:4">
      <c r="A1310" s="18"/>
      <c r="B1310" s="18">
        <v>8.16</v>
      </c>
      <c r="C1310" s="18">
        <v>103.66</v>
      </c>
      <c r="D1310" s="18">
        <v>3.16</v>
      </c>
    </row>
    <row r="1311" spans="1:4">
      <c r="A1311" s="18"/>
      <c r="B1311" s="18">
        <v>10.76</v>
      </c>
      <c r="C1311" s="18"/>
      <c r="D1311" s="18">
        <v>103.66</v>
      </c>
    </row>
    <row r="1312" spans="1:4">
      <c r="A1312" s="18"/>
      <c r="B1312" s="18">
        <v>10.76</v>
      </c>
      <c r="C1312" s="18"/>
      <c r="D1312" s="18">
        <v>103.66</v>
      </c>
    </row>
    <row r="1313" spans="1:4">
      <c r="A1313" s="18"/>
      <c r="B1313" s="18">
        <v>10.76</v>
      </c>
      <c r="C1313" s="18"/>
      <c r="D1313" s="18">
        <v>103.66</v>
      </c>
    </row>
    <row r="1314" spans="1:4">
      <c r="A1314" s="18"/>
      <c r="B1314" s="18">
        <v>2.69</v>
      </c>
      <c r="C1314" s="18"/>
      <c r="D1314" s="18">
        <v>1.73</v>
      </c>
    </row>
    <row r="1315" spans="1:4">
      <c r="A1315" s="18"/>
      <c r="B1315" s="18">
        <v>2.69</v>
      </c>
      <c r="C1315" s="18"/>
      <c r="D1315" s="18">
        <v>1.73</v>
      </c>
    </row>
    <row r="1316" spans="1:4">
      <c r="A1316" s="18"/>
      <c r="B1316" s="18">
        <v>2.69</v>
      </c>
      <c r="C1316" s="18"/>
      <c r="D1316" s="18">
        <v>1.73</v>
      </c>
    </row>
    <row r="1317" spans="1:4">
      <c r="A1317" s="18"/>
      <c r="B1317" s="18">
        <v>2.69</v>
      </c>
      <c r="C1317" s="18"/>
      <c r="D1317" s="18">
        <v>1.73</v>
      </c>
    </row>
    <row r="1318" spans="1:4">
      <c r="A1318" s="18"/>
      <c r="B1318" s="18">
        <v>2.69</v>
      </c>
      <c r="C1318" s="18"/>
      <c r="D1318" s="18">
        <v>1.73</v>
      </c>
    </row>
    <row r="1319" spans="1:4">
      <c r="A1319" s="18"/>
      <c r="B1319" s="18"/>
      <c r="C1319" s="18">
        <v>2.15</v>
      </c>
      <c r="D1319" s="18">
        <v>6.61</v>
      </c>
    </row>
    <row r="1320" spans="1:4">
      <c r="A1320" s="18"/>
      <c r="B1320" s="18"/>
      <c r="C1320" s="18">
        <v>3.61</v>
      </c>
      <c r="D1320" s="18">
        <v>2.15</v>
      </c>
    </row>
    <row r="1321" spans="1:4">
      <c r="A1321" s="18"/>
      <c r="B1321" s="18"/>
      <c r="C1321" s="18">
        <v>5.52</v>
      </c>
      <c r="D1321" s="18">
        <v>3.61</v>
      </c>
    </row>
    <row r="1322" spans="1:4">
      <c r="A1322" s="18"/>
      <c r="B1322" s="18">
        <v>6.61</v>
      </c>
      <c r="C1322" s="18"/>
      <c r="D1322" s="18">
        <v>5.52</v>
      </c>
    </row>
    <row r="1323" spans="1:4">
      <c r="A1323" s="18"/>
      <c r="B1323" s="18">
        <v>6.61</v>
      </c>
      <c r="C1323" s="18"/>
      <c r="D1323" s="18">
        <v>5.52</v>
      </c>
    </row>
    <row r="1324" spans="1:4">
      <c r="A1324" s="18"/>
      <c r="B1324" s="18">
        <v>6.61</v>
      </c>
      <c r="C1324" s="18"/>
      <c r="D1324" s="18">
        <v>5.52</v>
      </c>
    </row>
    <row r="1325" spans="1:4">
      <c r="A1325" s="18"/>
      <c r="B1325" s="18">
        <v>6.61</v>
      </c>
      <c r="C1325" s="18"/>
      <c r="D1325" s="18">
        <v>5.52</v>
      </c>
    </row>
    <row r="1326" spans="1:4">
      <c r="A1326" s="18"/>
      <c r="B1326" s="18"/>
      <c r="C1326" s="18"/>
      <c r="D1326" s="18">
        <v>7.38</v>
      </c>
    </row>
    <row r="1327" spans="1:4">
      <c r="A1327" s="18"/>
      <c r="B1327" s="18"/>
      <c r="C1327" s="18"/>
      <c r="D1327" s="18">
        <v>7.38</v>
      </c>
    </row>
    <row r="1328" spans="1:4">
      <c r="A1328" s="18"/>
      <c r="B1328" s="18"/>
      <c r="C1328" s="18"/>
      <c r="D1328" s="18">
        <v>7.38</v>
      </c>
    </row>
    <row r="1329" spans="1:4">
      <c r="A1329" s="18"/>
      <c r="B1329" s="18"/>
      <c r="C1329" s="18"/>
      <c r="D1329" s="18">
        <v>7.38</v>
      </c>
    </row>
    <row r="1330" spans="1:4">
      <c r="A1330" s="18"/>
      <c r="B1330" s="18"/>
      <c r="C1330" s="18"/>
      <c r="D1330" s="18">
        <v>7.38</v>
      </c>
    </row>
    <row r="1331" spans="1:4">
      <c r="A1331" s="18"/>
      <c r="B1331" s="18"/>
      <c r="C1331" s="18"/>
      <c r="D1331" s="18">
        <v>7.38</v>
      </c>
    </row>
    <row r="1332" spans="1:4">
      <c r="A1332" s="18"/>
      <c r="B1332" s="18"/>
      <c r="C1332" s="18"/>
      <c r="D1332" s="18">
        <v>7.38</v>
      </c>
    </row>
    <row r="1333" spans="1:4">
      <c r="A1333" s="18"/>
      <c r="B1333" s="18"/>
      <c r="C1333" s="18"/>
      <c r="D1333" s="18">
        <v>7.38</v>
      </c>
    </row>
    <row r="1334" spans="1:4">
      <c r="A1334" s="18"/>
      <c r="B1334" s="18"/>
      <c r="C1334" s="18"/>
      <c r="D1334" s="18">
        <v>7.38</v>
      </c>
    </row>
    <row r="1335" spans="1:4">
      <c r="A1335" s="18"/>
      <c r="B1335" s="18"/>
      <c r="C1335" s="18"/>
      <c r="D1335" s="18">
        <v>7.38</v>
      </c>
    </row>
    <row r="1336" spans="1:4">
      <c r="A1336" s="18"/>
      <c r="B1336" s="18"/>
      <c r="C1336" s="18"/>
      <c r="D1336" s="18">
        <v>7.38</v>
      </c>
    </row>
    <row r="1337" spans="1:4">
      <c r="A1337" s="18"/>
      <c r="B1337" s="18"/>
      <c r="C1337" s="18"/>
      <c r="D1337" s="18">
        <v>7.38</v>
      </c>
    </row>
    <row r="1338" spans="1:4">
      <c r="A1338" s="18"/>
      <c r="B1338" s="18"/>
      <c r="C1338" s="18"/>
      <c r="D1338" s="18">
        <v>7.38</v>
      </c>
    </row>
    <row r="1339" spans="1:4">
      <c r="A1339" s="18"/>
      <c r="B1339" s="18"/>
      <c r="C1339" s="18"/>
      <c r="D1339" s="18">
        <v>7.38</v>
      </c>
    </row>
    <row r="1340" spans="1:4">
      <c r="A1340" s="18"/>
      <c r="B1340" s="18"/>
      <c r="C1340" s="18">
        <v>12.52</v>
      </c>
      <c r="D1340" s="18">
        <v>11.37</v>
      </c>
    </row>
    <row r="1341" spans="1:4">
      <c r="A1341" s="18"/>
      <c r="B1341" s="18"/>
      <c r="C1341" s="18">
        <v>15.92</v>
      </c>
      <c r="D1341" s="18">
        <v>12.52</v>
      </c>
    </row>
    <row r="1342" spans="1:4">
      <c r="A1342" s="18"/>
      <c r="B1342" s="18"/>
      <c r="C1342" s="18"/>
      <c r="D1342" s="18">
        <v>15.92</v>
      </c>
    </row>
    <row r="1343" spans="1:4">
      <c r="A1343" s="18"/>
      <c r="B1343" s="18"/>
      <c r="C1343" s="18"/>
      <c r="D1343" s="18">
        <v>15.92</v>
      </c>
    </row>
    <row r="1344" spans="1:4">
      <c r="A1344" s="18"/>
      <c r="B1344" s="18">
        <v>12.52</v>
      </c>
      <c r="C1344" s="18">
        <v>6.48</v>
      </c>
      <c r="D1344" s="18">
        <v>7.46</v>
      </c>
    </row>
    <row r="1345" spans="1:4">
      <c r="A1345" s="18"/>
      <c r="B1345" s="18">
        <v>15.92</v>
      </c>
      <c r="C1345" s="18"/>
      <c r="D1345" s="18">
        <v>6.48</v>
      </c>
    </row>
    <row r="1346" spans="1:4">
      <c r="A1346" s="18"/>
      <c r="B1346" s="18">
        <v>15.92</v>
      </c>
      <c r="C1346" s="18"/>
      <c r="D1346" s="18">
        <v>6.48</v>
      </c>
    </row>
    <row r="1347" spans="1:4">
      <c r="A1347" s="18"/>
      <c r="B1347" s="18">
        <v>15.92</v>
      </c>
      <c r="C1347" s="18"/>
      <c r="D1347" s="18">
        <v>6.48</v>
      </c>
    </row>
    <row r="1348" spans="1:4">
      <c r="A1348" s="18"/>
      <c r="B1348" s="18">
        <v>6.48</v>
      </c>
      <c r="C1348" s="18">
        <v>3.16</v>
      </c>
      <c r="D1348" s="18">
        <v>3.61</v>
      </c>
    </row>
    <row r="1349" spans="1:4">
      <c r="A1349" s="18"/>
      <c r="B1349" s="18"/>
      <c r="C1349" s="18">
        <v>55.46</v>
      </c>
      <c r="D1349" s="18">
        <v>3.16</v>
      </c>
    </row>
    <row r="1350" spans="1:4">
      <c r="A1350" s="18"/>
      <c r="B1350" s="18"/>
      <c r="C1350" s="18"/>
      <c r="D1350" s="18">
        <v>55.46</v>
      </c>
    </row>
    <row r="1351" spans="1:4">
      <c r="A1351" s="18"/>
      <c r="B1351" s="18"/>
      <c r="C1351" s="18"/>
      <c r="D1351" s="18">
        <v>55.46</v>
      </c>
    </row>
    <row r="1352" spans="1:4">
      <c r="A1352" s="18"/>
      <c r="B1352" s="18"/>
      <c r="C1352" s="18"/>
      <c r="D1352" s="18">
        <v>55.46</v>
      </c>
    </row>
    <row r="1353" spans="1:4">
      <c r="A1353" s="18"/>
      <c r="B1353" s="18"/>
      <c r="C1353" s="18"/>
      <c r="D1353" s="18">
        <v>55.46</v>
      </c>
    </row>
    <row r="1354" spans="1:4">
      <c r="A1354" s="18"/>
      <c r="B1354" s="18">
        <v>5.24</v>
      </c>
      <c r="C1354" s="18">
        <v>4.75</v>
      </c>
      <c r="D1354" s="18">
        <v>3.62</v>
      </c>
    </row>
    <row r="1355" spans="1:4">
      <c r="A1355" s="18"/>
      <c r="B1355" s="18"/>
      <c r="C1355" s="18">
        <v>3.23</v>
      </c>
      <c r="D1355" s="18">
        <v>4.75</v>
      </c>
    </row>
    <row r="1356" spans="1:4">
      <c r="A1356" s="18"/>
      <c r="B1356" s="18"/>
      <c r="C1356" s="18">
        <v>4.1500000000000004</v>
      </c>
      <c r="D1356" s="18">
        <v>3.23</v>
      </c>
    </row>
    <row r="1357" spans="1:4">
      <c r="A1357" s="18"/>
      <c r="B1357" s="18">
        <v>3.62</v>
      </c>
      <c r="C1357" s="18"/>
      <c r="D1357" s="18">
        <v>4.1500000000000004</v>
      </c>
    </row>
    <row r="1358" spans="1:4">
      <c r="A1358" s="18"/>
      <c r="B1358" s="18">
        <v>3.62</v>
      </c>
      <c r="C1358" s="18"/>
      <c r="D1358" s="18">
        <v>4.1500000000000004</v>
      </c>
    </row>
    <row r="1359" spans="1:4">
      <c r="A1359" s="18"/>
      <c r="B1359" s="18">
        <v>3.23</v>
      </c>
      <c r="C1359" s="18">
        <v>3.61</v>
      </c>
      <c r="D1359" s="18">
        <v>2.15</v>
      </c>
    </row>
    <row r="1360" spans="1:4">
      <c r="A1360" s="18"/>
      <c r="B1360" s="18">
        <v>4.1500000000000004</v>
      </c>
      <c r="C1360" s="18">
        <v>5.52</v>
      </c>
      <c r="D1360" s="18">
        <v>3.61</v>
      </c>
    </row>
    <row r="1361" spans="1:4">
      <c r="A1361" s="18"/>
      <c r="B1361" s="18"/>
      <c r="C1361" s="18"/>
      <c r="D1361" s="18">
        <v>5.52</v>
      </c>
    </row>
    <row r="1362" spans="1:4">
      <c r="A1362" s="18"/>
      <c r="B1362" s="18"/>
      <c r="C1362" s="18"/>
      <c r="D1362" s="18">
        <v>5.52</v>
      </c>
    </row>
    <row r="1363" spans="1:4">
      <c r="A1363" s="18"/>
      <c r="B1363" s="18"/>
      <c r="C1363" s="18"/>
      <c r="D1363" s="18">
        <v>5.52</v>
      </c>
    </row>
    <row r="1364" spans="1:4">
      <c r="A1364" s="18"/>
      <c r="B1364" s="18"/>
      <c r="C1364" s="18"/>
      <c r="D1364" s="18">
        <v>5.52</v>
      </c>
    </row>
    <row r="1365" spans="1:4">
      <c r="A1365" s="18"/>
      <c r="B1365" s="18"/>
      <c r="C1365" s="18"/>
      <c r="D1365" s="18">
        <v>7.38</v>
      </c>
    </row>
    <row r="1366" spans="1:4">
      <c r="A1366" s="18"/>
      <c r="B1366" s="18"/>
      <c r="C1366" s="18"/>
      <c r="D1366" s="18">
        <v>7.38</v>
      </c>
    </row>
    <row r="1367" spans="1:4">
      <c r="A1367" s="18"/>
      <c r="B1367" s="18"/>
      <c r="C1367" s="18"/>
      <c r="D1367" s="18">
        <v>7.38</v>
      </c>
    </row>
    <row r="1368" spans="1:4">
      <c r="A1368" s="18"/>
      <c r="B1368" s="18"/>
      <c r="C1368" s="18"/>
      <c r="D1368" s="18">
        <v>7.38</v>
      </c>
    </row>
    <row r="1369" spans="1:4">
      <c r="A1369" s="18"/>
      <c r="B1369" s="18"/>
      <c r="C1369" s="18"/>
      <c r="D1369" s="18">
        <v>7.38</v>
      </c>
    </row>
    <row r="1370" spans="1:4">
      <c r="A1370" s="18"/>
      <c r="B1370" s="18"/>
      <c r="C1370" s="18"/>
      <c r="D1370" s="18">
        <v>9.01</v>
      </c>
    </row>
    <row r="1371" spans="1:4">
      <c r="A1371" s="18"/>
      <c r="B1371" s="18"/>
      <c r="C1371" s="18"/>
      <c r="D1371" s="18">
        <v>9.01</v>
      </c>
    </row>
    <row r="1372" spans="1:4">
      <c r="A1372" s="18"/>
      <c r="B1372" s="18"/>
      <c r="C1372" s="18"/>
      <c r="D1372" s="18">
        <v>9.01</v>
      </c>
    </row>
    <row r="1373" spans="1:4">
      <c r="A1373" s="18"/>
      <c r="B1373" s="18"/>
      <c r="C1373" s="18"/>
      <c r="D1373" s="18">
        <v>9.01</v>
      </c>
    </row>
    <row r="1374" spans="1:4">
      <c r="A1374" s="18"/>
      <c r="B1374" s="18"/>
      <c r="C1374" s="18"/>
      <c r="D1374" s="18">
        <v>9.01</v>
      </c>
    </row>
    <row r="1375" spans="1:4">
      <c r="A1375" s="18"/>
      <c r="B1375" s="18"/>
      <c r="C1375" s="18"/>
      <c r="D1375" s="18">
        <v>9.01</v>
      </c>
    </row>
    <row r="1376" spans="1:4">
      <c r="A1376" s="18"/>
      <c r="B1376" s="18"/>
      <c r="C1376" s="18"/>
      <c r="D1376" s="18">
        <v>9.01</v>
      </c>
    </row>
    <row r="1377" spans="1:4">
      <c r="A1377" s="18"/>
      <c r="B1377" s="18"/>
      <c r="C1377" s="18"/>
      <c r="D1377" s="18">
        <v>9.01</v>
      </c>
    </row>
    <row r="1378" spans="1:4">
      <c r="A1378" s="18"/>
      <c r="B1378" s="18"/>
      <c r="C1378" s="18"/>
      <c r="D1378" s="18">
        <v>9.01</v>
      </c>
    </row>
    <row r="1379" spans="1:4">
      <c r="A1379" s="18"/>
      <c r="B1379" s="18"/>
      <c r="C1379" s="18">
        <v>12.52</v>
      </c>
      <c r="D1379" s="18">
        <v>11.37</v>
      </c>
    </row>
    <row r="1380" spans="1:4">
      <c r="A1380" s="18"/>
      <c r="B1380" s="18"/>
      <c r="C1380" s="18">
        <v>15.92</v>
      </c>
      <c r="D1380" s="18">
        <v>12.52</v>
      </c>
    </row>
    <row r="1381" spans="1:4">
      <c r="A1381" s="18"/>
      <c r="B1381" s="18"/>
      <c r="C1381" s="18"/>
      <c r="D1381" s="18">
        <v>15.92</v>
      </c>
    </row>
    <row r="1382" spans="1:4">
      <c r="A1382" s="18"/>
      <c r="B1382" s="18"/>
      <c r="C1382" s="18"/>
      <c r="D1382" s="18">
        <v>15.92</v>
      </c>
    </row>
    <row r="1383" spans="1:4">
      <c r="A1383" s="18"/>
      <c r="B1383" s="18">
        <v>12.52</v>
      </c>
      <c r="C1383" s="18">
        <v>6.48</v>
      </c>
      <c r="D1383" s="18">
        <v>7.46</v>
      </c>
    </row>
    <row r="1384" spans="1:4">
      <c r="A1384" s="18"/>
      <c r="B1384" s="18">
        <v>15.92</v>
      </c>
      <c r="C1384" s="18"/>
      <c r="D1384" s="18">
        <v>6.48</v>
      </c>
    </row>
    <row r="1385" spans="1:4">
      <c r="A1385" s="18"/>
      <c r="B1385" s="18">
        <v>15.92</v>
      </c>
      <c r="C1385" s="18"/>
      <c r="D1385" s="18">
        <v>6.48</v>
      </c>
    </row>
    <row r="1386" spans="1:4">
      <c r="A1386" s="18"/>
      <c r="B1386" s="18">
        <v>15.92</v>
      </c>
      <c r="C1386" s="18"/>
      <c r="D1386" s="18">
        <v>6.48</v>
      </c>
    </row>
    <row r="1387" spans="1:4">
      <c r="A1387" s="18"/>
      <c r="B1387" s="18">
        <v>6.48</v>
      </c>
      <c r="C1387" s="18">
        <v>3.16</v>
      </c>
      <c r="D1387" s="18">
        <v>3.61</v>
      </c>
    </row>
    <row r="1388" spans="1:4">
      <c r="A1388" s="18"/>
      <c r="B1388" s="18"/>
      <c r="C1388" s="18">
        <v>77.11999999999999</v>
      </c>
      <c r="D1388" s="18">
        <v>3.16</v>
      </c>
    </row>
    <row r="1389" spans="1:4">
      <c r="A1389" s="18"/>
      <c r="B1389" s="18"/>
      <c r="C1389" s="18"/>
      <c r="D1389" s="18">
        <v>77.11999999999999</v>
      </c>
    </row>
    <row r="1390" spans="1:4">
      <c r="A1390" s="18"/>
      <c r="B1390" s="18"/>
      <c r="C1390" s="18"/>
      <c r="D1390" s="18">
        <v>77.11999999999999</v>
      </c>
    </row>
    <row r="1391" spans="1:4">
      <c r="A1391" s="18"/>
      <c r="B1391" s="18"/>
      <c r="C1391" s="18"/>
      <c r="D1391" s="18"/>
    </row>
    <row r="1392" spans="1:4">
      <c r="A1392" s="18"/>
      <c r="B1392" s="18">
        <v>2.69</v>
      </c>
      <c r="C1392" s="18" t="s">
        <v>306</v>
      </c>
      <c r="D1392" s="18">
        <v>1.73</v>
      </c>
    </row>
    <row r="1393" spans="1:4">
      <c r="A1393" s="18"/>
      <c r="B1393" s="18">
        <v>1.89</v>
      </c>
      <c r="C1393" s="18">
        <v>3.23</v>
      </c>
      <c r="D1393" s="18">
        <v>4.75</v>
      </c>
    </row>
    <row r="1394" spans="1:4">
      <c r="A1394" s="18"/>
      <c r="B1394" s="18">
        <v>1.73</v>
      </c>
      <c r="C1394" s="18">
        <v>4.1500000000000004</v>
      </c>
      <c r="D1394" s="18">
        <v>3.23</v>
      </c>
    </row>
    <row r="1395" spans="1:4">
      <c r="A1395" s="18"/>
      <c r="B1395" s="18">
        <v>4.75</v>
      </c>
      <c r="C1395" s="18">
        <v>2.15</v>
      </c>
      <c r="D1395" s="18" t="s">
        <v>306</v>
      </c>
    </row>
    <row r="1396" spans="1:4">
      <c r="A1396" s="18"/>
      <c r="B1396" s="18">
        <v>3.23</v>
      </c>
      <c r="C1396" s="18">
        <v>3.61</v>
      </c>
      <c r="D1396" s="18">
        <v>2.15</v>
      </c>
    </row>
    <row r="1397" spans="1:4">
      <c r="A1397" s="18"/>
      <c r="B1397" s="18">
        <v>4.1500000000000004</v>
      </c>
      <c r="C1397" s="18">
        <v>5.52</v>
      </c>
      <c r="D1397" s="18">
        <v>3.61</v>
      </c>
    </row>
    <row r="1398" spans="1:4">
      <c r="A1398" s="18"/>
      <c r="B1398" s="18">
        <v>2.15</v>
      </c>
      <c r="C1398" s="18" t="s">
        <v>306</v>
      </c>
      <c r="D1398" s="18" t="s">
        <v>306</v>
      </c>
    </row>
    <row r="1399" spans="1:4">
      <c r="A1399" s="18"/>
      <c r="B1399" s="18">
        <v>3.61</v>
      </c>
      <c r="C1399" s="18" t="s">
        <v>306</v>
      </c>
      <c r="D1399" s="18" t="s">
        <v>306</v>
      </c>
    </row>
    <row r="1400" spans="1:4">
      <c r="A1400" s="18"/>
      <c r="B1400" s="18">
        <v>5.52</v>
      </c>
      <c r="C1400" s="18">
        <v>7.38</v>
      </c>
      <c r="D1400" s="18" t="s">
        <v>306</v>
      </c>
    </row>
    <row r="1401" spans="1:4">
      <c r="A1401" s="18"/>
      <c r="B1401" s="18">
        <v>7.38</v>
      </c>
      <c r="C1401" s="18" t="s">
        <v>306</v>
      </c>
      <c r="D1401" s="18">
        <v>9.8699999999999992</v>
      </c>
    </row>
    <row r="1402" spans="1:4">
      <c r="A1402" s="18"/>
      <c r="B1402" s="18">
        <v>10.08</v>
      </c>
      <c r="C1402" s="18">
        <v>6.98</v>
      </c>
      <c r="D1402" s="18" t="s">
        <v>306</v>
      </c>
    </row>
    <row r="1403" spans="1:4">
      <c r="A1403" s="18"/>
      <c r="B1403" s="18">
        <v>12.87</v>
      </c>
      <c r="C1403" s="18" t="s">
        <v>306</v>
      </c>
      <c r="D1403" s="18">
        <v>6.98</v>
      </c>
    </row>
    <row r="1404" spans="1:4">
      <c r="A1404" s="18"/>
      <c r="B1404" s="18">
        <v>9.8699999999999992</v>
      </c>
      <c r="C1404" s="18" t="s">
        <v>306</v>
      </c>
      <c r="D1404" s="18" t="s">
        <v>306</v>
      </c>
    </row>
    <row r="1405" spans="1:4">
      <c r="A1405" s="18"/>
      <c r="B1405" s="18">
        <v>6.98</v>
      </c>
      <c r="C1405" s="18" t="s">
        <v>306</v>
      </c>
      <c r="D1405" s="18" t="s">
        <v>306</v>
      </c>
    </row>
    <row r="1406" spans="1:4">
      <c r="A1406" s="18"/>
      <c r="B1406" s="18">
        <v>11.37</v>
      </c>
      <c r="C1406" s="18">
        <v>7.46</v>
      </c>
      <c r="D1406" s="18">
        <v>7.79</v>
      </c>
    </row>
    <row r="1407" spans="1:4">
      <c r="A1407" s="18"/>
      <c r="B1407" s="18">
        <v>12.52</v>
      </c>
      <c r="C1407" s="18">
        <v>12.96</v>
      </c>
      <c r="D1407" s="18">
        <v>7.46</v>
      </c>
    </row>
    <row r="1408" spans="1:4">
      <c r="A1408" s="18"/>
      <c r="B1408" s="18">
        <v>15.92</v>
      </c>
      <c r="C1408" s="18" t="s">
        <v>306</v>
      </c>
      <c r="D1408" s="18">
        <v>12.96</v>
      </c>
    </row>
    <row r="1409" spans="1:4">
      <c r="A1409" s="18"/>
      <c r="B1409" s="18">
        <v>7.79</v>
      </c>
      <c r="C1409" s="18">
        <v>10.76</v>
      </c>
      <c r="D1409" s="18" t="s">
        <v>306</v>
      </c>
    </row>
    <row r="1410" spans="1:4">
      <c r="A1410" s="18"/>
      <c r="B1410" s="18">
        <v>7.46</v>
      </c>
      <c r="C1410" s="18" t="s">
        <v>306</v>
      </c>
      <c r="D1410" s="18">
        <v>10.76</v>
      </c>
    </row>
    <row r="1411" spans="1:4">
      <c r="A1411" s="18"/>
      <c r="B1411" s="18">
        <v>12.96</v>
      </c>
      <c r="C1411" s="18">
        <v>3.37</v>
      </c>
      <c r="D1411" s="18" t="s">
        <v>306</v>
      </c>
    </row>
    <row r="1412" spans="1:4">
      <c r="A1412" s="18"/>
      <c r="B1412" s="18">
        <v>10.76</v>
      </c>
      <c r="C1412" s="18"/>
      <c r="D1412" s="18" t="e">
        <v>#VALUE!</v>
      </c>
    </row>
    <row r="1413" spans="1:4">
      <c r="A1413" s="18"/>
      <c r="B1413" s="18">
        <v>10.76</v>
      </c>
      <c r="C1413" s="18"/>
      <c r="D1413" s="18" t="e">
        <v>#VALUE!</v>
      </c>
    </row>
    <row r="1414" spans="1:4">
      <c r="A1414" s="18"/>
      <c r="B1414" s="18">
        <v>2.69</v>
      </c>
      <c r="C1414" s="18" t="s">
        <v>306</v>
      </c>
      <c r="D1414" s="18">
        <v>1.73</v>
      </c>
    </row>
    <row r="1415" spans="1:4">
      <c r="A1415" s="18"/>
      <c r="B1415" s="18">
        <v>1.89</v>
      </c>
      <c r="C1415" s="18">
        <v>3.23</v>
      </c>
      <c r="D1415" s="18">
        <v>4.75</v>
      </c>
    </row>
    <row r="1416" spans="1:4">
      <c r="A1416" s="18"/>
      <c r="B1416" s="18">
        <v>1.73</v>
      </c>
      <c r="C1416" s="18">
        <v>4.1500000000000004</v>
      </c>
      <c r="D1416" s="18">
        <v>3.23</v>
      </c>
    </row>
    <row r="1417" spans="1:4">
      <c r="A1417" s="18"/>
      <c r="B1417" s="18">
        <v>1.73</v>
      </c>
      <c r="C1417" s="18">
        <v>4.1500000000000004</v>
      </c>
      <c r="D1417" s="18">
        <v>3.23</v>
      </c>
    </row>
    <row r="1418" spans="1:4">
      <c r="A1418" s="18"/>
      <c r="B1418" s="18">
        <v>3.23</v>
      </c>
      <c r="C1418" s="18">
        <v>3.61</v>
      </c>
      <c r="D1418" s="18">
        <v>2.15</v>
      </c>
    </row>
    <row r="1419" spans="1:4">
      <c r="A1419" s="18"/>
      <c r="B1419" s="18">
        <v>4.1500000000000004</v>
      </c>
      <c r="C1419" s="18">
        <v>5.52</v>
      </c>
      <c r="D1419" s="18">
        <v>3.61</v>
      </c>
    </row>
    <row r="1420" spans="1:4">
      <c r="A1420" s="18"/>
      <c r="B1420" s="18"/>
      <c r="C1420" s="18" t="s">
        <v>306</v>
      </c>
      <c r="D1420" s="18">
        <v>5.52</v>
      </c>
    </row>
    <row r="1421" spans="1:4">
      <c r="A1421" s="18"/>
      <c r="B1421" s="18">
        <v>2.15</v>
      </c>
      <c r="C1421" s="18" t="s">
        <v>306</v>
      </c>
      <c r="D1421" s="18" t="s">
        <v>306</v>
      </c>
    </row>
    <row r="1422" spans="1:4">
      <c r="A1422" s="18"/>
      <c r="B1422" s="18">
        <v>3.61</v>
      </c>
      <c r="C1422" s="18" t="s">
        <v>306</v>
      </c>
      <c r="D1422" s="18" t="s">
        <v>306</v>
      </c>
    </row>
    <row r="1423" spans="1:4">
      <c r="A1423" s="18"/>
      <c r="B1423" s="18">
        <v>5.52</v>
      </c>
      <c r="C1423" s="18">
        <v>7.38</v>
      </c>
      <c r="D1423" s="18" t="s">
        <v>306</v>
      </c>
    </row>
    <row r="1424" spans="1:4">
      <c r="A1424" s="18"/>
      <c r="B1424" s="18">
        <v>7.38</v>
      </c>
      <c r="C1424" s="18" t="s">
        <v>306</v>
      </c>
      <c r="D1424" s="18">
        <v>9.8699999999999992</v>
      </c>
    </row>
    <row r="1425" spans="1:4">
      <c r="A1425" s="18"/>
      <c r="B1425" s="18">
        <v>10.08</v>
      </c>
      <c r="C1425" s="18">
        <v>13</v>
      </c>
      <c r="D1425" s="18" t="s">
        <v>306</v>
      </c>
    </row>
    <row r="1426" spans="1:4">
      <c r="A1426" s="18"/>
      <c r="B1426" s="18">
        <v>12.87</v>
      </c>
      <c r="C1426" s="18" t="s">
        <v>306</v>
      </c>
      <c r="D1426" s="18">
        <v>13</v>
      </c>
    </row>
    <row r="1427" spans="1:4">
      <c r="A1427" s="18"/>
      <c r="B1427" s="18">
        <v>9.8699999999999992</v>
      </c>
      <c r="C1427" s="18">
        <v>20</v>
      </c>
      <c r="D1427" s="18" t="s">
        <v>306</v>
      </c>
    </row>
    <row r="1428" spans="1:4">
      <c r="A1428" s="18"/>
      <c r="B1428" s="18">
        <v>13</v>
      </c>
      <c r="C1428" s="18" t="s">
        <v>306</v>
      </c>
      <c r="D1428" s="18" t="s">
        <v>306</v>
      </c>
    </row>
    <row r="1429" spans="1:4">
      <c r="A1429" s="18"/>
      <c r="B1429" s="18">
        <v>20</v>
      </c>
      <c r="C1429" s="18">
        <v>25</v>
      </c>
      <c r="D1429" s="18" t="s">
        <v>306</v>
      </c>
    </row>
    <row r="1430" spans="1:4">
      <c r="A1430" s="18"/>
      <c r="B1430" s="18">
        <v>25</v>
      </c>
      <c r="C1430" s="18">
        <v>12.52</v>
      </c>
      <c r="D1430" s="18">
        <v>11.37</v>
      </c>
    </row>
    <row r="1431" spans="1:4">
      <c r="A1431" s="18"/>
      <c r="B1431" s="18">
        <v>35</v>
      </c>
      <c r="C1431" s="18">
        <v>15.92</v>
      </c>
      <c r="D1431" s="18">
        <v>12.52</v>
      </c>
    </row>
    <row r="1432" spans="1:4">
      <c r="A1432" s="18"/>
      <c r="B1432" s="18">
        <v>16</v>
      </c>
      <c r="C1432" s="18">
        <v>7.79</v>
      </c>
      <c r="D1432" s="18">
        <v>15.92</v>
      </c>
    </row>
    <row r="1433" spans="1:4">
      <c r="A1433" s="18"/>
      <c r="B1433" s="18">
        <v>11.37</v>
      </c>
      <c r="C1433" s="18">
        <v>7.46</v>
      </c>
      <c r="D1433" s="18">
        <v>7.79</v>
      </c>
    </row>
    <row r="1434" spans="1:4">
      <c r="A1434" s="18"/>
      <c r="B1434" s="18">
        <v>12.52</v>
      </c>
      <c r="C1434" s="18">
        <v>7.46</v>
      </c>
      <c r="D1434" s="18">
        <v>7.46</v>
      </c>
    </row>
    <row r="1435" spans="1:4">
      <c r="A1435" s="18"/>
      <c r="B1435" s="18">
        <v>15.92</v>
      </c>
      <c r="C1435" s="18">
        <v>8.16</v>
      </c>
      <c r="D1435" s="18">
        <v>7.46</v>
      </c>
    </row>
    <row r="1436" spans="1:4">
      <c r="A1436" s="18"/>
      <c r="B1436" s="18">
        <v>7.79</v>
      </c>
      <c r="C1436" s="18">
        <v>10.76</v>
      </c>
      <c r="D1436" s="18">
        <v>8.16</v>
      </c>
    </row>
    <row r="1437" spans="1:4">
      <c r="A1437" s="18"/>
      <c r="B1437" s="18">
        <v>7.46</v>
      </c>
      <c r="C1437" s="18" t="s">
        <v>306</v>
      </c>
      <c r="D1437" s="18">
        <v>10.76</v>
      </c>
    </row>
    <row r="1438" spans="1:4">
      <c r="A1438" s="18"/>
      <c r="B1438" s="18">
        <v>7.46</v>
      </c>
      <c r="C1438" s="18">
        <v>3.16</v>
      </c>
      <c r="D1438" s="18" t="s">
        <v>306</v>
      </c>
    </row>
    <row r="1439" spans="1:4">
      <c r="A1439" s="18"/>
      <c r="B1439" s="18">
        <v>8.16</v>
      </c>
      <c r="C1439" s="18" t="e">
        <v>#VALUE!</v>
      </c>
      <c r="D1439" s="18">
        <v>3.16</v>
      </c>
    </row>
    <row r="1440" spans="1:4">
      <c r="A1440" s="18"/>
      <c r="B1440" s="18">
        <v>10.76</v>
      </c>
      <c r="C1440" s="18"/>
      <c r="D1440" s="18" t="e">
        <v>#VALUE!</v>
      </c>
    </row>
    <row r="1441" spans="1:4">
      <c r="A1441" s="18"/>
      <c r="B1441" s="18">
        <v>10.76</v>
      </c>
      <c r="C1441" s="18"/>
      <c r="D1441" s="18" t="e">
        <v>#VALUE!</v>
      </c>
    </row>
    <row r="1442" spans="1:4">
      <c r="A1442" s="18"/>
      <c r="B1442" s="18">
        <v>2.69</v>
      </c>
      <c r="C1442" s="18" t="s">
        <v>306</v>
      </c>
      <c r="D1442" s="18">
        <v>1.73</v>
      </c>
    </row>
    <row r="1443" spans="1:4">
      <c r="A1443" s="18"/>
      <c r="B1443" s="18">
        <v>5.24</v>
      </c>
      <c r="C1443" s="18">
        <v>4.75</v>
      </c>
      <c r="D1443" s="18" t="s">
        <v>306</v>
      </c>
    </row>
    <row r="1444" spans="1:4">
      <c r="A1444" s="18"/>
      <c r="B1444" s="18">
        <v>1.89</v>
      </c>
      <c r="C1444" s="18">
        <v>3.23</v>
      </c>
      <c r="D1444" s="18">
        <v>4.75</v>
      </c>
    </row>
    <row r="1445" spans="1:4">
      <c r="A1445" s="18"/>
      <c r="B1445" s="18">
        <v>1.73</v>
      </c>
      <c r="C1445" s="18">
        <v>4.1500000000000004</v>
      </c>
      <c r="D1445" s="18">
        <v>3.23</v>
      </c>
    </row>
    <row r="1446" spans="1:4">
      <c r="A1446" s="18"/>
      <c r="B1446" s="18">
        <v>4.75</v>
      </c>
      <c r="C1446" s="18">
        <v>2.15</v>
      </c>
      <c r="D1446" s="18" t="s">
        <v>306</v>
      </c>
    </row>
    <row r="1447" spans="1:4">
      <c r="A1447" s="18"/>
      <c r="B1447" s="18">
        <v>3.23</v>
      </c>
      <c r="C1447" s="18">
        <v>3.61</v>
      </c>
      <c r="D1447" s="18">
        <v>2.15</v>
      </c>
    </row>
    <row r="1448" spans="1:4">
      <c r="A1448" s="18"/>
      <c r="B1448" s="18">
        <v>4.1500000000000004</v>
      </c>
      <c r="C1448" s="18">
        <v>5.52</v>
      </c>
      <c r="D1448" s="18">
        <v>3.61</v>
      </c>
    </row>
    <row r="1449" spans="1:4">
      <c r="A1449" s="18"/>
      <c r="B1449" s="18">
        <v>2.15</v>
      </c>
      <c r="C1449" s="18">
        <v>8</v>
      </c>
      <c r="D1449" s="18" t="s">
        <v>306</v>
      </c>
    </row>
    <row r="1450" spans="1:4">
      <c r="A1450" s="18"/>
      <c r="B1450" s="18">
        <v>3.61</v>
      </c>
      <c r="C1450" s="18" t="s">
        <v>306</v>
      </c>
      <c r="D1450" s="18">
        <v>8</v>
      </c>
    </row>
    <row r="1451" spans="1:4">
      <c r="A1451" s="18"/>
      <c r="B1451" s="18">
        <v>5.52</v>
      </c>
      <c r="C1451" s="18">
        <v>7.38</v>
      </c>
      <c r="D1451" s="18" t="s">
        <v>306</v>
      </c>
    </row>
    <row r="1452" spans="1:4">
      <c r="A1452" s="18"/>
      <c r="B1452" s="18">
        <v>8</v>
      </c>
      <c r="C1452" s="18">
        <v>12.87</v>
      </c>
      <c r="D1452" s="18">
        <v>10.08</v>
      </c>
    </row>
    <row r="1453" spans="1:4">
      <c r="A1453" s="18"/>
      <c r="B1453" s="18">
        <v>7.38</v>
      </c>
      <c r="C1453" s="18" t="s">
        <v>306</v>
      </c>
      <c r="D1453" s="18">
        <v>9.8699999999999992</v>
      </c>
    </row>
    <row r="1454" spans="1:4">
      <c r="A1454" s="18"/>
      <c r="B1454" s="18">
        <v>10.08</v>
      </c>
      <c r="C1454" s="18">
        <v>13</v>
      </c>
      <c r="D1454" s="18" t="s">
        <v>306</v>
      </c>
    </row>
    <row r="1455" spans="1:4">
      <c r="A1455" s="18"/>
      <c r="B1455" s="18">
        <v>12.87</v>
      </c>
      <c r="C1455" s="18"/>
      <c r="D1455" s="18">
        <v>13</v>
      </c>
    </row>
    <row r="1456" spans="1:4">
      <c r="A1456" s="18"/>
      <c r="B1456" s="18">
        <v>12.87</v>
      </c>
      <c r="C1456" s="18"/>
      <c r="D1456" s="18">
        <v>13</v>
      </c>
    </row>
    <row r="1457" spans="1:4">
      <c r="A1457" s="18"/>
      <c r="B1457" s="18">
        <v>13</v>
      </c>
      <c r="C1457" s="18" t="s">
        <v>306</v>
      </c>
      <c r="D1457" s="18" t="s">
        <v>306</v>
      </c>
    </row>
    <row r="1458" spans="1:4">
      <c r="A1458" s="18"/>
      <c r="B1458" s="18"/>
      <c r="C1458" s="18" t="s">
        <v>306</v>
      </c>
      <c r="D1458" s="18" t="s">
        <v>306</v>
      </c>
    </row>
    <row r="1459" spans="1:4">
      <c r="A1459" s="18"/>
      <c r="B1459" s="18">
        <v>20</v>
      </c>
      <c r="C1459" s="18">
        <v>25</v>
      </c>
      <c r="D1459" s="18" t="s">
        <v>306</v>
      </c>
    </row>
    <row r="1460" spans="1:4">
      <c r="A1460" s="18"/>
      <c r="B1460" s="18">
        <v>25</v>
      </c>
      <c r="C1460" s="18">
        <v>12.52</v>
      </c>
      <c r="D1460" s="18">
        <v>11.37</v>
      </c>
    </row>
    <row r="1461" spans="1:4">
      <c r="A1461" s="18"/>
      <c r="B1461" s="18">
        <v>50</v>
      </c>
      <c r="C1461" s="18">
        <v>15.92</v>
      </c>
      <c r="D1461" s="18">
        <v>12.52</v>
      </c>
    </row>
    <row r="1462" spans="1:4">
      <c r="A1462" s="18"/>
      <c r="B1462" s="18">
        <v>10</v>
      </c>
      <c r="C1462" s="18">
        <v>7.79</v>
      </c>
      <c r="D1462" s="18">
        <v>15.92</v>
      </c>
    </row>
    <row r="1463" spans="1:4">
      <c r="A1463" s="18"/>
      <c r="B1463" s="18">
        <v>11.37</v>
      </c>
      <c r="C1463" s="18">
        <v>7.46</v>
      </c>
      <c r="D1463" s="18">
        <v>7.79</v>
      </c>
    </row>
    <row r="1464" spans="1:4">
      <c r="A1464" s="18"/>
      <c r="B1464" s="18">
        <v>12.52</v>
      </c>
      <c r="C1464" s="18">
        <v>7.46</v>
      </c>
      <c r="D1464" s="18">
        <v>7.46</v>
      </c>
    </row>
    <row r="1465" spans="1:4">
      <c r="A1465" s="18"/>
      <c r="B1465" s="18">
        <v>15.92</v>
      </c>
      <c r="C1465" s="18">
        <v>8.16</v>
      </c>
      <c r="D1465" s="18">
        <v>7.46</v>
      </c>
    </row>
    <row r="1466" spans="1:4">
      <c r="A1466" s="18"/>
      <c r="B1466" s="18">
        <v>7.79</v>
      </c>
      <c r="C1466" s="18">
        <v>10.76</v>
      </c>
      <c r="D1466" s="18">
        <v>8.16</v>
      </c>
    </row>
    <row r="1467" spans="1:4">
      <c r="A1467" s="18"/>
      <c r="B1467" s="18">
        <v>7.46</v>
      </c>
      <c r="C1467" s="18" t="s">
        <v>306</v>
      </c>
      <c r="D1467" s="18">
        <v>10.76</v>
      </c>
    </row>
    <row r="1468" spans="1:4">
      <c r="A1468" s="18"/>
      <c r="B1468" s="18">
        <v>7.46</v>
      </c>
      <c r="C1468" s="18">
        <v>3.16</v>
      </c>
      <c r="D1468" s="18" t="s">
        <v>306</v>
      </c>
    </row>
    <row r="1469" spans="1:4">
      <c r="A1469" s="18"/>
      <c r="B1469" s="18">
        <v>8.16</v>
      </c>
      <c r="C1469" s="18">
        <v>211.75</v>
      </c>
      <c r="D1469" s="18">
        <v>3.16</v>
      </c>
    </row>
    <row r="1470" spans="1:4">
      <c r="A1470" s="18"/>
      <c r="B1470" s="18">
        <v>10.76</v>
      </c>
      <c r="C1470" s="18"/>
      <c r="D1470" s="18">
        <v>211.75</v>
      </c>
    </row>
    <row r="1471" spans="1:4">
      <c r="A1471" s="18"/>
      <c r="B1471" s="18">
        <v>10.76</v>
      </c>
      <c r="C1471" s="18"/>
      <c r="D1471" s="18">
        <v>211.75</v>
      </c>
    </row>
    <row r="1472" spans="1:4">
      <c r="A1472" s="18"/>
      <c r="B1472" s="18">
        <v>2.69</v>
      </c>
      <c r="C1472" s="18" t="s">
        <v>306</v>
      </c>
      <c r="D1472" s="18">
        <v>1.73</v>
      </c>
    </row>
    <row r="1473" spans="1:4">
      <c r="A1473" s="18"/>
      <c r="B1473" s="18">
        <v>5.24</v>
      </c>
      <c r="C1473" s="18">
        <v>4.75</v>
      </c>
      <c r="D1473" s="18" t="s">
        <v>306</v>
      </c>
    </row>
    <row r="1474" spans="1:4">
      <c r="A1474" s="18"/>
      <c r="B1474" s="18">
        <v>1.89</v>
      </c>
      <c r="C1474" s="18">
        <v>3.23</v>
      </c>
      <c r="D1474" s="18">
        <v>4.75</v>
      </c>
    </row>
    <row r="1475" spans="1:4">
      <c r="A1475" s="18"/>
      <c r="B1475" s="18">
        <v>1.73</v>
      </c>
      <c r="C1475" s="18">
        <v>4.1500000000000004</v>
      </c>
      <c r="D1475" s="18">
        <v>3.23</v>
      </c>
    </row>
    <row r="1476" spans="1:4">
      <c r="A1476" s="18"/>
      <c r="B1476" s="18">
        <v>4.75</v>
      </c>
      <c r="C1476" s="18">
        <v>2.15</v>
      </c>
      <c r="D1476" s="18" t="s">
        <v>306</v>
      </c>
    </row>
    <row r="1477" spans="1:4">
      <c r="A1477" s="18"/>
      <c r="B1477" s="18">
        <v>3.23</v>
      </c>
      <c r="C1477" s="18">
        <v>3.61</v>
      </c>
      <c r="D1477" s="18">
        <v>2.15</v>
      </c>
    </row>
    <row r="1478" spans="1:4">
      <c r="A1478" s="18"/>
      <c r="B1478" s="18">
        <v>4.1500000000000004</v>
      </c>
      <c r="C1478" s="18">
        <v>5.52</v>
      </c>
      <c r="D1478" s="18">
        <v>3.61</v>
      </c>
    </row>
    <row r="1479" spans="1:4">
      <c r="A1479" s="18"/>
      <c r="B1479" s="18">
        <v>2.15</v>
      </c>
      <c r="C1479" s="18" t="s">
        <v>306</v>
      </c>
      <c r="D1479" s="18" t="s">
        <v>306</v>
      </c>
    </row>
    <row r="1480" spans="1:4">
      <c r="A1480" s="18"/>
      <c r="B1480" s="18">
        <v>3.61</v>
      </c>
      <c r="C1480" s="18" t="s">
        <v>306</v>
      </c>
      <c r="D1480" s="18" t="s">
        <v>306</v>
      </c>
    </row>
    <row r="1481" spans="1:4">
      <c r="A1481" s="18"/>
      <c r="B1481" s="18">
        <v>5.52</v>
      </c>
      <c r="C1481" s="18">
        <v>7.38</v>
      </c>
      <c r="D1481" s="18" t="s">
        <v>306</v>
      </c>
    </row>
    <row r="1482" spans="1:4">
      <c r="A1482" s="18"/>
      <c r="B1482" s="18">
        <v>7.38</v>
      </c>
      <c r="C1482" s="18" t="s">
        <v>306</v>
      </c>
      <c r="D1482" s="18">
        <v>9.8699999999999992</v>
      </c>
    </row>
    <row r="1483" spans="1:4">
      <c r="A1483" s="18"/>
      <c r="B1483" s="18">
        <v>10.08</v>
      </c>
      <c r="C1483" s="18">
        <v>6.4</v>
      </c>
      <c r="D1483" s="18" t="s">
        <v>306</v>
      </c>
    </row>
    <row r="1484" spans="1:4">
      <c r="A1484" s="18"/>
      <c r="B1484" s="18">
        <v>12.87</v>
      </c>
      <c r="C1484" s="18" t="s">
        <v>306</v>
      </c>
      <c r="D1484" s="18">
        <v>6.4</v>
      </c>
    </row>
    <row r="1485" spans="1:4">
      <c r="A1485" s="18"/>
      <c r="B1485" s="18">
        <v>9.8699999999999992</v>
      </c>
      <c r="C1485" s="18">
        <v>10.15</v>
      </c>
      <c r="D1485" s="18" t="s">
        <v>306</v>
      </c>
    </row>
    <row r="1486" spans="1:4">
      <c r="A1486" s="18"/>
      <c r="B1486" s="18">
        <v>6.4</v>
      </c>
      <c r="C1486" s="18" t="s">
        <v>306</v>
      </c>
      <c r="D1486" s="18" t="s">
        <v>306</v>
      </c>
    </row>
    <row r="1487" spans="1:4">
      <c r="A1487" s="18"/>
      <c r="B1487" s="18">
        <v>10.15</v>
      </c>
      <c r="C1487" s="18" t="s">
        <v>306</v>
      </c>
      <c r="D1487" s="18" t="s">
        <v>306</v>
      </c>
    </row>
    <row r="1488" spans="1:4">
      <c r="A1488" s="18"/>
      <c r="B1488" s="18">
        <v>11.37</v>
      </c>
      <c r="C1488" s="18">
        <v>7.46</v>
      </c>
      <c r="D1488" s="18">
        <v>7.79</v>
      </c>
    </row>
    <row r="1489" spans="1:4">
      <c r="A1489" s="18"/>
      <c r="B1489" s="18">
        <v>12.52</v>
      </c>
      <c r="C1489" s="18">
        <v>7.46</v>
      </c>
      <c r="D1489" s="18">
        <v>7.46</v>
      </c>
    </row>
    <row r="1490" spans="1:4">
      <c r="A1490" s="18"/>
      <c r="B1490" s="18">
        <v>15.92</v>
      </c>
      <c r="C1490" s="18">
        <v>8.75</v>
      </c>
      <c r="D1490" s="18">
        <v>7.46</v>
      </c>
    </row>
    <row r="1491" spans="1:4">
      <c r="A1491" s="18"/>
      <c r="B1491" s="18">
        <v>7.79</v>
      </c>
      <c r="C1491" s="18" t="s">
        <v>306</v>
      </c>
      <c r="D1491" s="18">
        <v>8.75</v>
      </c>
    </row>
    <row r="1492" spans="1:4">
      <c r="A1492" s="18"/>
      <c r="B1492" s="18">
        <v>7.46</v>
      </c>
      <c r="C1492" s="18" t="s">
        <v>306</v>
      </c>
      <c r="D1492" s="18" t="s">
        <v>306</v>
      </c>
    </row>
    <row r="1493" spans="1:4">
      <c r="A1493" s="18"/>
      <c r="B1493" s="18">
        <v>7.46</v>
      </c>
      <c r="C1493" s="18">
        <v>3.16</v>
      </c>
      <c r="D1493" s="18" t="s">
        <v>306</v>
      </c>
    </row>
    <row r="1494" spans="1:4">
      <c r="A1494" s="18"/>
      <c r="B1494" s="18">
        <v>8.75</v>
      </c>
      <c r="C1494" s="18" t="e">
        <v>#VALUE!</v>
      </c>
      <c r="D1494" s="18">
        <v>3.16</v>
      </c>
    </row>
    <row r="1495" spans="1:4">
      <c r="A1495" s="18"/>
      <c r="B1495" s="18">
        <v>8.75</v>
      </c>
      <c r="C1495" s="18" t="e">
        <v>#VALUE!</v>
      </c>
      <c r="D1495" s="18">
        <v>3.16</v>
      </c>
    </row>
    <row r="1496" spans="1:4">
      <c r="A1496" s="18"/>
      <c r="B1496" s="18">
        <v>2.69</v>
      </c>
      <c r="C1496" s="18" t="s">
        <v>306</v>
      </c>
      <c r="D1496" s="18">
        <v>1.73</v>
      </c>
    </row>
    <row r="1497" spans="1:4">
      <c r="A1497" s="18"/>
      <c r="B1497" s="18">
        <v>1.89</v>
      </c>
      <c r="C1497" s="18">
        <v>3.23</v>
      </c>
      <c r="D1497" s="18">
        <v>4.75</v>
      </c>
    </row>
    <row r="1498" spans="1:4">
      <c r="A1498" s="18"/>
      <c r="B1498" s="18">
        <v>1.73</v>
      </c>
      <c r="C1498" s="18">
        <v>4.1500000000000004</v>
      </c>
      <c r="D1498" s="18">
        <v>3.23</v>
      </c>
    </row>
    <row r="1499" spans="1:4">
      <c r="A1499" s="18"/>
      <c r="B1499" s="18">
        <v>4.75</v>
      </c>
      <c r="C1499" s="18">
        <v>2.15</v>
      </c>
      <c r="D1499" s="18" t="s">
        <v>306</v>
      </c>
    </row>
    <row r="1500" spans="1:4">
      <c r="A1500" s="18"/>
      <c r="B1500" s="18">
        <v>3.23</v>
      </c>
      <c r="C1500" s="18">
        <v>3.61</v>
      </c>
      <c r="D1500" s="18">
        <v>2.15</v>
      </c>
    </row>
    <row r="1501" spans="1:4">
      <c r="A1501" s="18"/>
      <c r="B1501" s="18">
        <v>4.1500000000000004</v>
      </c>
      <c r="C1501" s="18">
        <v>5.52</v>
      </c>
      <c r="D1501" s="18">
        <v>3.61</v>
      </c>
    </row>
    <row r="1502" spans="1:4">
      <c r="A1502" s="18"/>
      <c r="B1502" s="18">
        <v>2.15</v>
      </c>
      <c r="C1502" s="18" t="s">
        <v>306</v>
      </c>
      <c r="D1502" s="18" t="s">
        <v>306</v>
      </c>
    </row>
    <row r="1503" spans="1:4">
      <c r="A1503" s="18"/>
      <c r="B1503" s="18">
        <v>3.61</v>
      </c>
      <c r="C1503" s="18" t="s">
        <v>306</v>
      </c>
      <c r="D1503" s="18" t="s">
        <v>306</v>
      </c>
    </row>
    <row r="1504" spans="1:4">
      <c r="A1504" s="18"/>
      <c r="B1504" s="18">
        <v>5.52</v>
      </c>
      <c r="C1504" s="18">
        <v>7.38</v>
      </c>
      <c r="D1504" s="18" t="s">
        <v>306</v>
      </c>
    </row>
    <row r="1505" spans="1:4">
      <c r="A1505" s="18"/>
      <c r="B1505" s="18">
        <v>7.38</v>
      </c>
      <c r="C1505" s="18" t="s">
        <v>306</v>
      </c>
      <c r="D1505" s="18">
        <v>9.8699999999999992</v>
      </c>
    </row>
    <row r="1506" spans="1:4">
      <c r="A1506" s="18"/>
      <c r="B1506" s="18">
        <v>10.08</v>
      </c>
      <c r="C1506" s="18">
        <v>9.01</v>
      </c>
      <c r="D1506" s="18" t="s">
        <v>306</v>
      </c>
    </row>
    <row r="1507" spans="1:4">
      <c r="A1507" s="18"/>
      <c r="B1507" s="18">
        <v>12.87</v>
      </c>
      <c r="C1507" s="18" t="s">
        <v>306</v>
      </c>
      <c r="D1507" s="18">
        <v>9.01</v>
      </c>
    </row>
    <row r="1508" spans="1:4">
      <c r="A1508" s="18"/>
      <c r="B1508" s="18">
        <v>9.8699999999999992</v>
      </c>
      <c r="C1508" s="18">
        <v>10.25</v>
      </c>
      <c r="D1508" s="18" t="s">
        <v>306</v>
      </c>
    </row>
    <row r="1509" spans="1:4">
      <c r="A1509" s="18"/>
      <c r="B1509" s="18">
        <v>9.01</v>
      </c>
      <c r="C1509" s="18" t="s">
        <v>306</v>
      </c>
      <c r="D1509" s="18" t="s">
        <v>306</v>
      </c>
    </row>
    <row r="1510" spans="1:4">
      <c r="A1510" s="18"/>
      <c r="B1510" s="18">
        <v>10.25</v>
      </c>
      <c r="C1510" s="18" t="s">
        <v>306</v>
      </c>
      <c r="D1510" s="18" t="s">
        <v>306</v>
      </c>
    </row>
    <row r="1511" spans="1:4">
      <c r="A1511" s="18"/>
      <c r="B1511" s="18">
        <v>11.37</v>
      </c>
      <c r="C1511" s="18">
        <v>7.46</v>
      </c>
      <c r="D1511" s="18">
        <v>7.79</v>
      </c>
    </row>
    <row r="1512" spans="1:4">
      <c r="A1512" s="18"/>
      <c r="B1512" s="18">
        <v>12.52</v>
      </c>
      <c r="C1512" s="18">
        <v>7.46</v>
      </c>
      <c r="D1512" s="18">
        <v>7.46</v>
      </c>
    </row>
    <row r="1513" spans="1:4">
      <c r="A1513" s="18"/>
      <c r="B1513" s="18">
        <v>15.92</v>
      </c>
      <c r="C1513" s="18">
        <v>8.16</v>
      </c>
      <c r="D1513" s="18">
        <v>7.46</v>
      </c>
    </row>
    <row r="1514" spans="1:4">
      <c r="A1514" s="18"/>
      <c r="B1514" s="18">
        <v>7.79</v>
      </c>
      <c r="C1514" s="18">
        <v>10.76</v>
      </c>
      <c r="D1514" s="18">
        <v>8.16</v>
      </c>
    </row>
    <row r="1515" spans="1:4">
      <c r="A1515" s="18"/>
      <c r="B1515" s="18">
        <v>7.46</v>
      </c>
      <c r="C1515" s="18" t="s">
        <v>306</v>
      </c>
      <c r="D1515" s="18">
        <v>10.76</v>
      </c>
    </row>
    <row r="1516" spans="1:4">
      <c r="A1516" s="18"/>
      <c r="B1516" s="18">
        <v>7.46</v>
      </c>
      <c r="C1516" s="18">
        <v>3.16</v>
      </c>
      <c r="D1516" s="18" t="s">
        <v>306</v>
      </c>
    </row>
    <row r="1517" spans="1:4">
      <c r="A1517" s="18"/>
      <c r="B1517" s="18">
        <v>8.16</v>
      </c>
      <c r="C1517" s="18" t="e">
        <v>#VALUE!</v>
      </c>
      <c r="D1517" s="18">
        <v>3.16</v>
      </c>
    </row>
    <row r="1518" spans="1:4">
      <c r="A1518" s="18"/>
      <c r="B1518" s="18">
        <v>10.76</v>
      </c>
      <c r="C1518" s="18"/>
      <c r="D1518" s="18" t="e">
        <v>#VALUE!</v>
      </c>
    </row>
    <row r="1519" spans="1:4">
      <c r="A1519" s="18"/>
      <c r="B1519" s="18">
        <v>10.76</v>
      </c>
      <c r="C1519" s="18"/>
      <c r="D1519" s="18" t="e">
        <v>#VALUE!</v>
      </c>
    </row>
    <row r="1520" spans="1:4">
      <c r="A1520" s="18"/>
      <c r="B1520" s="18">
        <v>2.69</v>
      </c>
      <c r="C1520" s="18" t="s">
        <v>306</v>
      </c>
      <c r="D1520" s="18">
        <v>1.73</v>
      </c>
    </row>
    <row r="1521" spans="1:4">
      <c r="A1521" s="18"/>
      <c r="B1521" s="18">
        <v>1.89</v>
      </c>
      <c r="C1521" s="18" t="s">
        <v>306</v>
      </c>
      <c r="D1521" s="18" t="s">
        <v>306</v>
      </c>
    </row>
    <row r="1522" spans="1:4">
      <c r="A1522" s="18"/>
      <c r="B1522" s="18">
        <v>1.73</v>
      </c>
      <c r="C1522" s="18" t="s">
        <v>306</v>
      </c>
      <c r="D1522" s="18" t="s">
        <v>306</v>
      </c>
    </row>
    <row r="1523" spans="1:4">
      <c r="A1523" s="18"/>
      <c r="B1523" s="18">
        <v>6.61</v>
      </c>
      <c r="C1523" s="18" t="s">
        <v>306</v>
      </c>
      <c r="D1523" s="18">
        <v>5.52</v>
      </c>
    </row>
    <row r="1524" spans="1:4">
      <c r="A1524" s="18"/>
      <c r="B1524" s="18">
        <v>2.15</v>
      </c>
      <c r="C1524" s="18" t="s">
        <v>306</v>
      </c>
      <c r="D1524" s="18" t="s">
        <v>306</v>
      </c>
    </row>
    <row r="1525" spans="1:4">
      <c r="A1525" s="18"/>
      <c r="B1525" s="18">
        <v>3.61</v>
      </c>
      <c r="C1525" s="18" t="s">
        <v>306</v>
      </c>
      <c r="D1525" s="18" t="s">
        <v>306</v>
      </c>
    </row>
    <row r="1526" spans="1:4">
      <c r="A1526" s="18"/>
      <c r="B1526" s="18">
        <v>5.52</v>
      </c>
      <c r="C1526" s="18">
        <v>7.38</v>
      </c>
      <c r="D1526" s="18" t="s">
        <v>306</v>
      </c>
    </row>
    <row r="1527" spans="1:4">
      <c r="A1527" s="18"/>
      <c r="B1527" s="18">
        <v>7.38</v>
      </c>
      <c r="C1527" s="18" t="s">
        <v>306</v>
      </c>
      <c r="D1527" s="18">
        <v>9.8699999999999992</v>
      </c>
    </row>
    <row r="1528" spans="1:4">
      <c r="A1528" s="18"/>
      <c r="B1528" s="18">
        <v>10.08</v>
      </c>
      <c r="C1528" s="18" t="s">
        <v>306</v>
      </c>
      <c r="D1528" s="18" t="s">
        <v>306</v>
      </c>
    </row>
    <row r="1529" spans="1:4">
      <c r="A1529" s="18"/>
      <c r="B1529" s="18">
        <v>12.87</v>
      </c>
      <c r="C1529" s="18" t="s">
        <v>306</v>
      </c>
      <c r="D1529" s="18" t="s">
        <v>306</v>
      </c>
    </row>
    <row r="1530" spans="1:4">
      <c r="A1530" s="18"/>
      <c r="B1530" s="18">
        <v>9.8699999999999992</v>
      </c>
      <c r="C1530" s="18" t="s">
        <v>306</v>
      </c>
      <c r="D1530" s="18" t="s">
        <v>306</v>
      </c>
    </row>
    <row r="1531" spans="1:4">
      <c r="A1531" s="18"/>
      <c r="B1531" s="18">
        <v>11.37</v>
      </c>
      <c r="C1531" s="18">
        <v>7.46</v>
      </c>
      <c r="D1531" s="18">
        <v>7.79</v>
      </c>
    </row>
    <row r="1532" spans="1:4">
      <c r="A1532" s="18"/>
      <c r="B1532" s="18">
        <v>12.52</v>
      </c>
      <c r="C1532" s="18">
        <v>6.48</v>
      </c>
      <c r="D1532" s="18">
        <v>7.46</v>
      </c>
    </row>
    <row r="1533" spans="1:4">
      <c r="A1533" s="18"/>
      <c r="B1533" s="18">
        <v>15.92</v>
      </c>
      <c r="C1533" s="18" t="s">
        <v>306</v>
      </c>
      <c r="D1533" s="18">
        <v>6.48</v>
      </c>
    </row>
    <row r="1534" spans="1:4">
      <c r="A1534" s="18"/>
      <c r="B1534" s="18">
        <v>7.79</v>
      </c>
      <c r="C1534" s="18" t="s">
        <v>306</v>
      </c>
      <c r="D1534" s="18" t="s">
        <v>306</v>
      </c>
    </row>
    <row r="1535" spans="1:4">
      <c r="A1535" s="18"/>
      <c r="B1535" s="18">
        <v>7.46</v>
      </c>
      <c r="C1535" s="18">
        <v>3.61</v>
      </c>
      <c r="D1535" s="18" t="s">
        <v>306</v>
      </c>
    </row>
    <row r="1536" spans="1:4">
      <c r="A1536" s="18"/>
      <c r="B1536" s="18">
        <v>6.48</v>
      </c>
      <c r="C1536" s="18">
        <v>3.16</v>
      </c>
      <c r="D1536" s="18">
        <v>3.61</v>
      </c>
    </row>
    <row r="1537" spans="1:4">
      <c r="A1537" s="18"/>
      <c r="B1537" s="18">
        <v>6.48</v>
      </c>
      <c r="C1537" s="18">
        <v>3.16</v>
      </c>
      <c r="D1537" s="18">
        <v>3.61</v>
      </c>
    </row>
    <row r="1538" spans="1:4">
      <c r="A1538" s="18"/>
      <c r="B1538" s="18">
        <v>6.48</v>
      </c>
      <c r="C1538" s="18">
        <v>3.16</v>
      </c>
      <c r="D1538" s="18">
        <v>3.61</v>
      </c>
    </row>
    <row r="1539" spans="1:4">
      <c r="A1539" s="18"/>
      <c r="B1539" s="18">
        <v>2.69</v>
      </c>
      <c r="C1539" s="18" t="s">
        <v>306</v>
      </c>
      <c r="D1539" s="18">
        <v>1.73</v>
      </c>
    </row>
    <row r="1540" spans="1:4">
      <c r="A1540" s="18"/>
      <c r="B1540" s="18">
        <v>5.24</v>
      </c>
      <c r="C1540" s="18">
        <v>4.75</v>
      </c>
      <c r="D1540" s="18" t="s">
        <v>306</v>
      </c>
    </row>
    <row r="1541" spans="1:4">
      <c r="A1541" s="18"/>
      <c r="B1541" s="18">
        <v>1.89</v>
      </c>
      <c r="C1541" s="18">
        <v>3.23</v>
      </c>
      <c r="D1541" s="18">
        <v>4.75</v>
      </c>
    </row>
    <row r="1542" spans="1:4">
      <c r="A1542" s="18"/>
      <c r="B1542" s="18">
        <v>1.73</v>
      </c>
      <c r="C1542" s="18">
        <v>4.1500000000000004</v>
      </c>
      <c r="D1542" s="18">
        <v>3.23</v>
      </c>
    </row>
    <row r="1543" spans="1:4">
      <c r="A1543" s="18"/>
      <c r="B1543" s="18">
        <v>4.75</v>
      </c>
      <c r="C1543" s="18">
        <v>2.15</v>
      </c>
      <c r="D1543" s="18" t="s">
        <v>306</v>
      </c>
    </row>
    <row r="1544" spans="1:4">
      <c r="A1544" s="18"/>
      <c r="B1544" s="18">
        <v>3.23</v>
      </c>
      <c r="C1544" s="18">
        <v>3.61</v>
      </c>
      <c r="D1544" s="18">
        <v>2.15</v>
      </c>
    </row>
    <row r="1545" spans="1:4">
      <c r="A1545" s="18"/>
      <c r="B1545" s="18">
        <v>4.1500000000000004</v>
      </c>
      <c r="C1545" s="18">
        <v>5.52</v>
      </c>
      <c r="D1545" s="18">
        <v>3.61</v>
      </c>
    </row>
    <row r="1546" spans="1:4">
      <c r="A1546" s="18"/>
      <c r="B1546" s="18">
        <v>2.15</v>
      </c>
      <c r="C1546" s="18" t="s">
        <v>306</v>
      </c>
      <c r="D1546" s="18" t="s">
        <v>306</v>
      </c>
    </row>
    <row r="1547" spans="1:4">
      <c r="A1547" s="18"/>
      <c r="B1547" s="18">
        <v>3.61</v>
      </c>
      <c r="C1547" s="18" t="s">
        <v>306</v>
      </c>
      <c r="D1547" s="18" t="s">
        <v>306</v>
      </c>
    </row>
    <row r="1548" spans="1:4">
      <c r="A1548" s="18"/>
      <c r="B1548" s="18">
        <v>5.52</v>
      </c>
      <c r="C1548" s="18">
        <v>7.38</v>
      </c>
      <c r="D1548" s="18" t="s">
        <v>306</v>
      </c>
    </row>
    <row r="1549" spans="1:4">
      <c r="A1549" s="18"/>
      <c r="B1549" s="18">
        <v>7.38</v>
      </c>
      <c r="C1549" s="18" t="s">
        <v>306</v>
      </c>
      <c r="D1549" s="18">
        <v>9.8699999999999992</v>
      </c>
    </row>
    <row r="1550" spans="1:4">
      <c r="A1550" s="18"/>
      <c r="B1550" s="18">
        <v>10.08</v>
      </c>
      <c r="C1550" s="18">
        <v>9.01</v>
      </c>
      <c r="D1550" s="18" t="s">
        <v>306</v>
      </c>
    </row>
    <row r="1551" spans="1:4">
      <c r="A1551" s="18"/>
      <c r="B1551" s="18">
        <v>12.87</v>
      </c>
      <c r="C1551" s="18" t="s">
        <v>306</v>
      </c>
      <c r="D1551" s="18">
        <v>9.01</v>
      </c>
    </row>
    <row r="1552" spans="1:4">
      <c r="A1552" s="18"/>
      <c r="B1552" s="18">
        <v>9.8699999999999992</v>
      </c>
      <c r="C1552" s="18" t="s">
        <v>306</v>
      </c>
      <c r="D1552" s="18" t="s">
        <v>306</v>
      </c>
    </row>
    <row r="1553" spans="1:4">
      <c r="A1553" s="18"/>
      <c r="B1553" s="18">
        <v>9.01</v>
      </c>
      <c r="C1553" s="18">
        <v>7.81</v>
      </c>
      <c r="D1553" s="18" t="s">
        <v>306</v>
      </c>
    </row>
    <row r="1554" spans="1:4">
      <c r="A1554" s="18"/>
      <c r="B1554" s="18">
        <v>7.81</v>
      </c>
      <c r="C1554" s="18" t="s">
        <v>306</v>
      </c>
      <c r="D1554" s="18" t="s">
        <v>306</v>
      </c>
    </row>
    <row r="1555" spans="1:4">
      <c r="A1555" s="18"/>
      <c r="B1555" s="18">
        <v>11.37</v>
      </c>
      <c r="C1555" s="18">
        <v>7.46</v>
      </c>
      <c r="D1555" s="18">
        <v>7.79</v>
      </c>
    </row>
    <row r="1556" spans="1:4">
      <c r="A1556" s="18"/>
      <c r="B1556" s="18">
        <v>12.52</v>
      </c>
      <c r="C1556" s="18">
        <v>6.48</v>
      </c>
      <c r="D1556" s="18">
        <v>7.46</v>
      </c>
    </row>
    <row r="1557" spans="1:4">
      <c r="A1557" s="18"/>
      <c r="B1557" s="18">
        <v>15.92</v>
      </c>
      <c r="C1557" s="18" t="s">
        <v>306</v>
      </c>
      <c r="D1557" s="18">
        <v>6.48</v>
      </c>
    </row>
    <row r="1558" spans="1:4">
      <c r="A1558" s="18"/>
      <c r="B1558" s="18">
        <v>7.79</v>
      </c>
      <c r="C1558" s="18" t="s">
        <v>306</v>
      </c>
      <c r="D1558" s="18" t="s">
        <v>306</v>
      </c>
    </row>
    <row r="1559" spans="1:4">
      <c r="A1559" s="18"/>
      <c r="B1559" s="18">
        <v>7.46</v>
      </c>
      <c r="C1559" s="18">
        <v>3.61</v>
      </c>
      <c r="D1559" s="18" t="s">
        <v>306</v>
      </c>
    </row>
    <row r="1560" spans="1:4">
      <c r="A1560" s="18"/>
      <c r="B1560" s="18">
        <v>6.48</v>
      </c>
      <c r="C1560" s="18">
        <v>3.16</v>
      </c>
      <c r="D1560" s="18">
        <v>3.61</v>
      </c>
    </row>
    <row r="1561" spans="1:4">
      <c r="A1561" s="18"/>
      <c r="B1561" s="18">
        <v>6.48</v>
      </c>
      <c r="C1561" s="18">
        <v>3.16</v>
      </c>
      <c r="D1561" s="18">
        <v>3.61</v>
      </c>
    </row>
  </sheetData>
  <conditionalFormatting sqref="B2:B1561">
    <cfRule type="duplicateValues" dxfId="0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BE74D0-7436-4A2F-AFDB-CC1DE864D99A}">
          <x14:formula1>
            <xm:f>_mySQL!$A$2:$A$51</xm:f>
          </x14:formula1>
          <xm:sqref>A2:D2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M3"/>
  <sheetViews>
    <sheetView workbookViewId="0">
      <selection activeCell="C8" sqref="C8"/>
    </sheetView>
  </sheetViews>
  <sheetFormatPr defaultColWidth="15.7109375" defaultRowHeight="15"/>
  <cols>
    <col min="1" max="1" width="25.85546875" style="1" bestFit="1" customWidth="1"/>
    <col min="2" max="2" width="17.7109375" style="1" bestFit="1" customWidth="1"/>
    <col min="3" max="3" width="16" style="1" bestFit="1" customWidth="1"/>
    <col min="4" max="4" width="18.42578125" style="1" bestFit="1" customWidth="1"/>
    <col min="5" max="6" width="13.140625" style="1" bestFit="1" customWidth="1"/>
    <col min="7" max="7" width="15.5703125" style="1" bestFit="1" customWidth="1"/>
    <col min="8" max="8" width="10.85546875" style="1" bestFit="1" customWidth="1"/>
    <col min="9" max="9" width="9.140625" style="1" bestFit="1" customWidth="1"/>
    <col min="10" max="10" width="18.42578125" style="1" bestFit="1" customWidth="1"/>
    <col min="11" max="11" width="15" style="1" bestFit="1" customWidth="1"/>
    <col min="12" max="12" width="15.7109375" style="1"/>
    <col min="13" max="13" width="15.28515625" style="1" bestFit="1" customWidth="1"/>
    <col min="14" max="16384" width="15.7109375" style="1"/>
  </cols>
  <sheetData>
    <row r="1" spans="1:13">
      <c r="A1" s="1" t="s">
        <v>0</v>
      </c>
      <c r="B1" s="1" t="s">
        <v>449</v>
      </c>
      <c r="C1" s="1" t="s">
        <v>450</v>
      </c>
      <c r="D1" s="1" t="s">
        <v>451</v>
      </c>
      <c r="E1" s="1" t="s">
        <v>447</v>
      </c>
      <c r="F1" s="1" t="s">
        <v>448</v>
      </c>
      <c r="G1" s="18" t="s">
        <v>13</v>
      </c>
      <c r="H1" s="18" t="s">
        <v>321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1" t="s">
        <v>587</v>
      </c>
      <c r="B2" s="1" t="s">
        <v>1327</v>
      </c>
      <c r="C2" s="1" t="s">
        <v>1327</v>
      </c>
      <c r="D2" s="18" t="s">
        <v>1331</v>
      </c>
      <c r="E2" s="18" t="s">
        <v>1327</v>
      </c>
      <c r="F2" s="18" t="s">
        <v>1327</v>
      </c>
      <c r="G2" s="18" t="s">
        <v>582</v>
      </c>
      <c r="H2" s="18" t="s">
        <v>583</v>
      </c>
      <c r="I2" s="18" t="s">
        <v>584</v>
      </c>
      <c r="J2" s="18" t="s">
        <v>1331</v>
      </c>
      <c r="K2" s="18" t="s">
        <v>585</v>
      </c>
      <c r="L2" s="18" t="s">
        <v>585</v>
      </c>
      <c r="M2" s="18" t="s">
        <v>585</v>
      </c>
    </row>
    <row r="3" spans="1:13">
      <c r="C3" s="1" t="s">
        <v>446</v>
      </c>
      <c r="E3" s="1">
        <v>1403</v>
      </c>
      <c r="F3" s="1">
        <v>1404</v>
      </c>
      <c r="G3" s="18"/>
      <c r="H3" s="18"/>
      <c r="I3" s="18"/>
      <c r="J3" s="18"/>
      <c r="K3" s="18"/>
      <c r="L3" s="18"/>
      <c r="M3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35AE9-8B0C-4AC6-9B49-E5E2C95A740D}">
          <x14:formula1>
            <xm:f>_mySQL!$A$2:$A$51</xm:f>
          </x14:formula1>
          <xm:sqref>A2:F2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6556-A33D-469D-9F7B-FAF2AED077DC}">
  <sheetPr codeName="Sheet14"/>
  <dimension ref="A1:N41"/>
  <sheetViews>
    <sheetView workbookViewId="0">
      <selection activeCell="B14" sqref="B14"/>
    </sheetView>
  </sheetViews>
  <sheetFormatPr defaultRowHeight="15"/>
  <cols>
    <col min="1" max="1" width="25.28515625" style="20" bestFit="1" customWidth="1"/>
    <col min="2" max="2" width="14.42578125" bestFit="1" customWidth="1"/>
    <col min="3" max="4" width="12.5703125" bestFit="1" customWidth="1"/>
    <col min="5" max="5" width="30.28515625" style="5" bestFit="1" customWidth="1"/>
    <col min="6" max="6" width="31.140625" bestFit="1" customWidth="1"/>
    <col min="7" max="7" width="27.42578125" bestFit="1" customWidth="1"/>
    <col min="8" max="8" width="15.85546875" bestFit="1" customWidth="1"/>
    <col min="9" max="9" width="11.140625" bestFit="1" customWidth="1"/>
    <col min="10" max="10" width="9.28515625" bestFit="1" customWidth="1"/>
    <col min="11" max="11" width="18.42578125" bestFit="1" customWidth="1"/>
    <col min="12" max="12" width="15" bestFit="1" customWidth="1"/>
    <col min="13" max="13" width="15.5703125" bestFit="1" customWidth="1"/>
    <col min="14" max="14" width="15.140625" bestFit="1" customWidth="1"/>
  </cols>
  <sheetData>
    <row r="1" spans="1:14" s="5" customFormat="1">
      <c r="A1" s="20" t="s">
        <v>0</v>
      </c>
      <c r="B1" s="5" t="s">
        <v>2</v>
      </c>
      <c r="C1" s="5" t="s">
        <v>131</v>
      </c>
      <c r="D1" s="5" t="s">
        <v>455</v>
      </c>
      <c r="E1" s="5" t="s">
        <v>1593</v>
      </c>
      <c r="F1" s="5" t="s">
        <v>1594</v>
      </c>
      <c r="G1" s="9" t="s">
        <v>456</v>
      </c>
      <c r="H1" s="5" t="s">
        <v>13</v>
      </c>
      <c r="I1" s="5" t="s">
        <v>321</v>
      </c>
      <c r="J1" s="5" t="s">
        <v>305</v>
      </c>
      <c r="K1" s="5" t="s">
        <v>14</v>
      </c>
      <c r="L1" s="5" t="s">
        <v>15</v>
      </c>
      <c r="M1" s="5" t="s">
        <v>16</v>
      </c>
      <c r="N1" s="5" t="s">
        <v>17</v>
      </c>
    </row>
    <row r="2" spans="1:14">
      <c r="A2" s="20" t="s">
        <v>587</v>
      </c>
      <c r="B2" s="92" t="s">
        <v>1327</v>
      </c>
      <c r="C2" t="s">
        <v>1327</v>
      </c>
      <c r="D2" t="s">
        <v>1327</v>
      </c>
      <c r="E2" s="5" t="s">
        <v>1325</v>
      </c>
      <c r="F2" s="5" t="s">
        <v>1325</v>
      </c>
      <c r="G2" s="5" t="s">
        <v>584</v>
      </c>
      <c r="H2" s="5" t="s">
        <v>582</v>
      </c>
      <c r="I2" s="5" t="s">
        <v>583</v>
      </c>
      <c r="J2" s="5" t="s">
        <v>584</v>
      </c>
      <c r="K2" s="5" t="s">
        <v>1331</v>
      </c>
      <c r="L2" s="5" t="s">
        <v>585</v>
      </c>
      <c r="M2" s="5" t="s">
        <v>585</v>
      </c>
      <c r="N2" s="5" t="s">
        <v>585</v>
      </c>
    </row>
    <row r="3" spans="1:14">
      <c r="A3" s="20">
        <v>1</v>
      </c>
      <c r="B3" s="92" t="s">
        <v>1500</v>
      </c>
      <c r="C3" t="s">
        <v>1515</v>
      </c>
      <c r="D3" t="s">
        <v>1595</v>
      </c>
      <c r="E3" s="5">
        <v>2.54</v>
      </c>
      <c r="F3" s="5">
        <v>4.01</v>
      </c>
    </row>
    <row r="4" spans="1:14">
      <c r="A4" s="20">
        <v>2</v>
      </c>
      <c r="B4" s="92" t="s">
        <v>1516</v>
      </c>
      <c r="C4" t="s">
        <v>1517</v>
      </c>
      <c r="D4" t="s">
        <v>1595</v>
      </c>
      <c r="F4" s="5"/>
    </row>
    <row r="5" spans="1:14">
      <c r="A5" s="20">
        <v>3</v>
      </c>
      <c r="B5" s="92" t="s">
        <v>1518</v>
      </c>
      <c r="C5" t="s">
        <v>1519</v>
      </c>
      <c r="D5" t="s">
        <v>1595</v>
      </c>
      <c r="F5" s="5">
        <v>1.89</v>
      </c>
    </row>
    <row r="6" spans="1:14">
      <c r="A6" s="20">
        <v>4</v>
      </c>
      <c r="B6" s="92" t="s">
        <v>1501</v>
      </c>
      <c r="C6" t="s">
        <v>1520</v>
      </c>
      <c r="D6" t="s">
        <v>1595</v>
      </c>
      <c r="E6" s="5">
        <v>1.73</v>
      </c>
      <c r="F6" s="5">
        <v>1.73</v>
      </c>
    </row>
    <row r="7" spans="1:14">
      <c r="A7" s="20">
        <v>5</v>
      </c>
      <c r="B7" s="92" t="s">
        <v>1521</v>
      </c>
      <c r="C7" t="s">
        <v>1522</v>
      </c>
      <c r="D7" t="s">
        <v>1595</v>
      </c>
      <c r="F7" s="5">
        <v>3.62</v>
      </c>
    </row>
    <row r="8" spans="1:14">
      <c r="A8" s="20">
        <v>6</v>
      </c>
      <c r="B8" s="92" t="s">
        <v>1523</v>
      </c>
      <c r="C8" t="s">
        <v>1524</v>
      </c>
      <c r="D8" t="s">
        <v>1595</v>
      </c>
      <c r="F8" s="5"/>
    </row>
    <row r="9" spans="1:14">
      <c r="A9" s="20">
        <v>7</v>
      </c>
      <c r="B9" s="92" t="s">
        <v>1525</v>
      </c>
      <c r="C9" t="s">
        <v>1526</v>
      </c>
      <c r="D9" t="s">
        <v>1595</v>
      </c>
      <c r="F9" s="5"/>
    </row>
    <row r="10" spans="1:14">
      <c r="A10" s="20">
        <v>8</v>
      </c>
      <c r="B10" s="92" t="s">
        <v>1502</v>
      </c>
      <c r="C10" t="s">
        <v>1527</v>
      </c>
      <c r="D10" t="s">
        <v>1595</v>
      </c>
      <c r="E10" s="5">
        <v>3.14</v>
      </c>
      <c r="F10" s="5"/>
    </row>
    <row r="11" spans="1:14">
      <c r="A11" s="20">
        <v>9</v>
      </c>
      <c r="B11" s="92" t="s">
        <v>1528</v>
      </c>
      <c r="C11" t="s">
        <v>1529</v>
      </c>
      <c r="D11" t="s">
        <v>1595</v>
      </c>
      <c r="F11" s="5">
        <v>6.61</v>
      </c>
    </row>
    <row r="12" spans="1:14">
      <c r="A12" s="20">
        <v>10</v>
      </c>
      <c r="B12" s="92" t="s">
        <v>1503</v>
      </c>
      <c r="C12" t="s">
        <v>1530</v>
      </c>
      <c r="D12" t="s">
        <v>1595</v>
      </c>
      <c r="E12" s="5">
        <v>1.84</v>
      </c>
      <c r="F12" s="5">
        <v>2.15</v>
      </c>
    </row>
    <row r="13" spans="1:14">
      <c r="A13" s="20">
        <v>11</v>
      </c>
      <c r="B13" s="92" t="s">
        <v>1531</v>
      </c>
      <c r="C13" t="s">
        <v>1532</v>
      </c>
      <c r="D13" t="s">
        <v>1596</v>
      </c>
      <c r="F13" s="5"/>
    </row>
    <row r="14" spans="1:14">
      <c r="A14" s="20">
        <v>12</v>
      </c>
      <c r="B14" s="92" t="s">
        <v>1504</v>
      </c>
      <c r="C14" t="s">
        <v>1533</v>
      </c>
      <c r="D14" t="s">
        <v>1596</v>
      </c>
      <c r="E14" s="5">
        <v>4.68</v>
      </c>
      <c r="F14" s="5">
        <v>5.52</v>
      </c>
    </row>
    <row r="15" spans="1:14">
      <c r="A15" s="20">
        <v>13</v>
      </c>
      <c r="B15" s="92" t="s">
        <v>1534</v>
      </c>
      <c r="C15" t="s">
        <v>1535</v>
      </c>
      <c r="D15" t="s">
        <v>1596</v>
      </c>
      <c r="F15" s="5"/>
    </row>
    <row r="16" spans="1:14">
      <c r="A16" s="20">
        <v>14</v>
      </c>
      <c r="B16" s="92" t="s">
        <v>1536</v>
      </c>
      <c r="C16" t="s">
        <v>1537</v>
      </c>
      <c r="D16" t="s">
        <v>1596</v>
      </c>
      <c r="F16" s="5">
        <v>7.23</v>
      </c>
    </row>
    <row r="17" spans="1:6">
      <c r="A17" s="20">
        <v>15</v>
      </c>
      <c r="B17" s="92" t="s">
        <v>1538</v>
      </c>
      <c r="C17" t="s">
        <v>1539</v>
      </c>
      <c r="D17" t="s">
        <v>1596</v>
      </c>
      <c r="F17" s="5"/>
    </row>
    <row r="18" spans="1:6">
      <c r="A18" s="20">
        <v>16</v>
      </c>
      <c r="B18" s="92" t="s">
        <v>1505</v>
      </c>
      <c r="C18" t="s">
        <v>1540</v>
      </c>
      <c r="D18" t="s">
        <v>1596</v>
      </c>
      <c r="E18" s="5">
        <v>6.14</v>
      </c>
      <c r="F18" s="5">
        <v>8.19</v>
      </c>
    </row>
    <row r="19" spans="1:6">
      <c r="A19" s="20">
        <v>17</v>
      </c>
      <c r="B19" s="92" t="s">
        <v>1506</v>
      </c>
      <c r="C19" t="s">
        <v>1541</v>
      </c>
      <c r="D19" t="s">
        <v>1596</v>
      </c>
      <c r="F19" s="5">
        <v>10.08</v>
      </c>
    </row>
    <row r="20" spans="1:6">
      <c r="A20" s="20">
        <v>18</v>
      </c>
      <c r="B20" s="92" t="s">
        <v>1513</v>
      </c>
      <c r="C20" t="s">
        <v>21</v>
      </c>
      <c r="D20" t="s">
        <v>1578</v>
      </c>
      <c r="E20" s="5">
        <v>10.42</v>
      </c>
      <c r="F20" s="5">
        <v>12.87</v>
      </c>
    </row>
    <row r="21" spans="1:6">
      <c r="A21" s="20">
        <v>19</v>
      </c>
      <c r="B21" s="92" t="s">
        <v>1514</v>
      </c>
      <c r="C21" t="s">
        <v>1494</v>
      </c>
      <c r="D21" t="s">
        <v>1578</v>
      </c>
      <c r="E21" s="5">
        <v>10.72</v>
      </c>
      <c r="F21" s="5">
        <v>9.8699999999999992</v>
      </c>
    </row>
    <row r="22" spans="1:6">
      <c r="A22" s="20">
        <v>20</v>
      </c>
      <c r="B22" s="92" t="s">
        <v>1542</v>
      </c>
      <c r="C22" t="s">
        <v>1543</v>
      </c>
      <c r="D22" t="s">
        <v>1579</v>
      </c>
      <c r="F22" s="5"/>
    </row>
    <row r="23" spans="1:6">
      <c r="A23" s="20">
        <v>21</v>
      </c>
      <c r="B23" s="92" t="s">
        <v>1507</v>
      </c>
      <c r="C23" t="s">
        <v>1544</v>
      </c>
      <c r="D23" t="s">
        <v>1579</v>
      </c>
      <c r="E23" s="5">
        <v>6.98</v>
      </c>
      <c r="F23" s="5"/>
    </row>
    <row r="24" spans="1:6">
      <c r="A24" s="20">
        <v>22</v>
      </c>
      <c r="B24" s="92" t="s">
        <v>1545</v>
      </c>
      <c r="C24" t="s">
        <v>1546</v>
      </c>
      <c r="D24" t="s">
        <v>1579</v>
      </c>
      <c r="F24" s="5">
        <v>8.26</v>
      </c>
    </row>
    <row r="25" spans="1:6">
      <c r="A25" s="20">
        <v>23</v>
      </c>
      <c r="B25" s="92" t="s">
        <v>1547</v>
      </c>
      <c r="C25" t="s">
        <v>1548</v>
      </c>
      <c r="D25" t="s">
        <v>1579</v>
      </c>
      <c r="F25" s="5"/>
    </row>
    <row r="26" spans="1:6">
      <c r="A26" s="20">
        <v>24</v>
      </c>
      <c r="B26" s="92" t="s">
        <v>1549</v>
      </c>
      <c r="C26" t="s">
        <v>1550</v>
      </c>
      <c r="D26" t="s">
        <v>1579</v>
      </c>
      <c r="F26" s="5"/>
    </row>
    <row r="27" spans="1:6">
      <c r="A27" s="20">
        <v>25</v>
      </c>
      <c r="B27" s="92" t="s">
        <v>1551</v>
      </c>
      <c r="C27" t="s">
        <v>1552</v>
      </c>
      <c r="D27" t="s">
        <v>1579</v>
      </c>
      <c r="F27" s="5"/>
    </row>
    <row r="28" spans="1:6">
      <c r="A28" s="20">
        <v>26</v>
      </c>
      <c r="B28" s="92" t="s">
        <v>1553</v>
      </c>
      <c r="C28" t="s">
        <v>1554</v>
      </c>
      <c r="D28" t="s">
        <v>1579</v>
      </c>
      <c r="F28" s="5"/>
    </row>
    <row r="29" spans="1:6">
      <c r="A29" s="20">
        <v>27</v>
      </c>
      <c r="B29" s="92" t="s">
        <v>1555</v>
      </c>
      <c r="C29" t="s">
        <v>1556</v>
      </c>
      <c r="D29" t="s">
        <v>1579</v>
      </c>
      <c r="F29" s="5"/>
    </row>
    <row r="30" spans="1:6">
      <c r="A30" s="20">
        <v>28</v>
      </c>
      <c r="B30" s="92" t="s">
        <v>1557</v>
      </c>
      <c r="C30" t="s">
        <v>1558</v>
      </c>
      <c r="D30" t="s">
        <v>1579</v>
      </c>
      <c r="F30" s="5"/>
    </row>
    <row r="31" spans="1:6">
      <c r="A31" s="20">
        <v>29</v>
      </c>
      <c r="B31" s="92" t="s">
        <v>1559</v>
      </c>
      <c r="C31" t="s">
        <v>1560</v>
      </c>
      <c r="D31" t="s">
        <v>1579</v>
      </c>
      <c r="F31" s="5"/>
    </row>
    <row r="32" spans="1:6">
      <c r="A32" s="20">
        <v>30</v>
      </c>
      <c r="B32" s="92" t="s">
        <v>1561</v>
      </c>
      <c r="C32" t="s">
        <v>1562</v>
      </c>
      <c r="D32" t="s">
        <v>1580</v>
      </c>
      <c r="F32" s="5">
        <v>14.212499999999999</v>
      </c>
    </row>
    <row r="33" spans="1:6">
      <c r="A33" s="20">
        <v>31</v>
      </c>
      <c r="B33" s="92" t="s">
        <v>1563</v>
      </c>
      <c r="C33" t="s">
        <v>1564</v>
      </c>
      <c r="D33" t="s">
        <v>1580</v>
      </c>
      <c r="F33" s="5">
        <v>15.65</v>
      </c>
    </row>
    <row r="34" spans="1:6">
      <c r="A34" s="20">
        <v>32</v>
      </c>
      <c r="B34" s="92" t="s">
        <v>1565</v>
      </c>
      <c r="C34" t="s">
        <v>1566</v>
      </c>
      <c r="D34" t="s">
        <v>1580</v>
      </c>
      <c r="F34" s="5">
        <v>19.899999999999999</v>
      </c>
    </row>
    <row r="35" spans="1:6">
      <c r="A35" s="20">
        <v>33</v>
      </c>
      <c r="B35" s="92" t="s">
        <v>1567</v>
      </c>
      <c r="C35" t="s">
        <v>1568</v>
      </c>
      <c r="D35" t="s">
        <v>1580</v>
      </c>
      <c r="F35" s="5">
        <v>7.79</v>
      </c>
    </row>
    <row r="36" spans="1:6">
      <c r="A36" s="20">
        <v>34</v>
      </c>
      <c r="B36" s="92" t="s">
        <v>1508</v>
      </c>
      <c r="C36" t="s">
        <v>1569</v>
      </c>
      <c r="D36" t="s">
        <v>1580</v>
      </c>
      <c r="E36" s="5">
        <v>7.96</v>
      </c>
      <c r="F36" s="5">
        <v>3.72</v>
      </c>
    </row>
    <row r="37" spans="1:6">
      <c r="A37" s="20">
        <v>35</v>
      </c>
      <c r="B37" s="92" t="s">
        <v>1509</v>
      </c>
      <c r="C37" t="s">
        <v>1570</v>
      </c>
      <c r="D37" t="s">
        <v>1581</v>
      </c>
      <c r="E37" s="5">
        <v>9.2200000000000006</v>
      </c>
      <c r="F37" s="5"/>
    </row>
    <row r="38" spans="1:6">
      <c r="A38" s="20">
        <v>36</v>
      </c>
      <c r="B38" s="92" t="s">
        <v>1510</v>
      </c>
      <c r="C38" t="s">
        <v>1571</v>
      </c>
      <c r="D38" t="s">
        <v>1581</v>
      </c>
      <c r="E38" s="5">
        <v>7.06</v>
      </c>
      <c r="F38" s="5"/>
    </row>
    <row r="39" spans="1:6">
      <c r="A39" s="20">
        <v>37</v>
      </c>
      <c r="B39" s="92" t="s">
        <v>1572</v>
      </c>
      <c r="C39" t="s">
        <v>1573</v>
      </c>
      <c r="D39" t="s">
        <v>1581</v>
      </c>
      <c r="F39" s="5">
        <v>10.76</v>
      </c>
    </row>
    <row r="40" spans="1:6">
      <c r="A40" s="20">
        <v>38</v>
      </c>
      <c r="B40" s="92" t="s">
        <v>1511</v>
      </c>
      <c r="C40" t="s">
        <v>1574</v>
      </c>
      <c r="D40" t="s">
        <v>1581</v>
      </c>
      <c r="E40" s="5">
        <v>2.9</v>
      </c>
      <c r="F40" s="5"/>
    </row>
    <row r="41" spans="1:6">
      <c r="A41" s="20">
        <v>39</v>
      </c>
      <c r="B41" s="92" t="s">
        <v>1512</v>
      </c>
      <c r="C41" t="s">
        <v>1575</v>
      </c>
      <c r="D41" t="s">
        <v>1581</v>
      </c>
      <c r="E41" s="5">
        <v>2.96</v>
      </c>
      <c r="F41" s="5">
        <v>2.61</v>
      </c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42C596-6B09-4F88-9FD9-D3DB6170C8A5}">
          <x14:formula1>
            <xm:f>_mySQL!$A$2:$A$51</xm:f>
          </x14:formula1>
          <xm:sqref>A2:G2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K557"/>
  <sheetViews>
    <sheetView workbookViewId="0">
      <selection activeCell="D2" sqref="D2"/>
    </sheetView>
  </sheetViews>
  <sheetFormatPr defaultColWidth="15.7109375" defaultRowHeight="15"/>
  <cols>
    <col min="1" max="2" width="15.7109375" style="1"/>
    <col min="3" max="3" width="18.28515625" style="1" customWidth="1"/>
    <col min="4" max="4" width="19.7109375" style="1" bestFit="1" customWidth="1"/>
    <col min="5" max="16384" width="15.7109375" style="1"/>
  </cols>
  <sheetData>
    <row r="1" spans="1:11">
      <c r="A1" s="1" t="s">
        <v>0</v>
      </c>
      <c r="B1" s="1" t="s">
        <v>304</v>
      </c>
      <c r="C1" s="18" t="s">
        <v>413</v>
      </c>
      <c r="D1" s="9" t="s">
        <v>454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1" t="s">
        <v>1331</v>
      </c>
      <c r="C2" s="1" t="s">
        <v>1332</v>
      </c>
      <c r="D2" s="1" t="s">
        <v>1325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  <row r="3" spans="1:11">
      <c r="A3" s="18">
        <v>1</v>
      </c>
      <c r="B3" s="18">
        <v>140530004</v>
      </c>
      <c r="C3" s="18">
        <v>1</v>
      </c>
      <c r="D3" s="18">
        <v>2.54</v>
      </c>
      <c r="E3" s="18"/>
      <c r="F3" s="18"/>
      <c r="G3" s="18"/>
      <c r="H3" s="18"/>
      <c r="I3" s="18"/>
      <c r="J3" s="18"/>
      <c r="K3" s="18"/>
    </row>
    <row r="4" spans="1:11">
      <c r="A4" s="18">
        <v>2</v>
      </c>
      <c r="B4" s="18">
        <v>140530004</v>
      </c>
      <c r="C4" s="18">
        <v>4</v>
      </c>
      <c r="D4" s="18">
        <v>1.73</v>
      </c>
      <c r="E4" s="18"/>
      <c r="F4" s="18"/>
      <c r="G4" s="18"/>
      <c r="H4" s="18"/>
      <c r="I4" s="18"/>
      <c r="J4" s="18"/>
      <c r="K4" s="18"/>
    </row>
    <row r="5" spans="1:11">
      <c r="A5" s="18">
        <v>3</v>
      </c>
      <c r="B5" s="18">
        <v>140530004</v>
      </c>
      <c r="C5" s="18">
        <v>8</v>
      </c>
      <c r="D5" s="18">
        <v>3.14</v>
      </c>
      <c r="E5" s="18"/>
      <c r="F5" s="18"/>
      <c r="G5" s="18"/>
      <c r="H5" s="18"/>
      <c r="I5" s="18"/>
      <c r="J5" s="18"/>
      <c r="K5" s="18"/>
    </row>
    <row r="6" spans="1:11">
      <c r="A6" s="18">
        <v>4</v>
      </c>
      <c r="B6" s="18">
        <v>140530004</v>
      </c>
      <c r="C6" s="18">
        <v>10</v>
      </c>
      <c r="D6" s="18">
        <v>1.84</v>
      </c>
      <c r="E6" s="18"/>
      <c r="F6" s="18"/>
      <c r="G6" s="18"/>
      <c r="H6" s="18"/>
      <c r="I6" s="18"/>
      <c r="J6" s="18"/>
      <c r="K6" s="18"/>
    </row>
    <row r="7" spans="1:11">
      <c r="A7" s="18">
        <v>5</v>
      </c>
      <c r="B7" s="18">
        <v>140530004</v>
      </c>
      <c r="C7" s="18">
        <v>12</v>
      </c>
      <c r="D7" s="18">
        <v>4.68</v>
      </c>
      <c r="E7" s="18"/>
      <c r="F7" s="18"/>
      <c r="G7" s="18"/>
      <c r="H7" s="18"/>
      <c r="I7" s="18"/>
      <c r="J7" s="18"/>
      <c r="K7" s="18"/>
    </row>
    <row r="8" spans="1:11">
      <c r="A8" s="18">
        <v>6</v>
      </c>
      <c r="B8" s="18">
        <v>140530004</v>
      </c>
      <c r="C8" s="18">
        <v>16</v>
      </c>
      <c r="D8" s="18">
        <v>6.14</v>
      </c>
      <c r="E8" s="18"/>
      <c r="F8" s="18"/>
      <c r="G8" s="18"/>
      <c r="H8" s="18"/>
      <c r="I8" s="18"/>
      <c r="J8" s="18"/>
      <c r="K8" s="18"/>
    </row>
    <row r="9" spans="1:11">
      <c r="A9" s="18">
        <v>7</v>
      </c>
      <c r="B9" s="18">
        <v>140530004</v>
      </c>
      <c r="C9" s="18">
        <v>18</v>
      </c>
      <c r="D9" s="18">
        <v>10.42</v>
      </c>
      <c r="E9" s="18"/>
      <c r="F9" s="18"/>
      <c r="G9" s="18"/>
      <c r="H9" s="18"/>
      <c r="I9" s="18"/>
      <c r="J9" s="18"/>
      <c r="K9" s="18"/>
    </row>
    <row r="10" spans="1:11">
      <c r="A10" s="18">
        <v>8</v>
      </c>
      <c r="B10" s="18">
        <v>140530004</v>
      </c>
      <c r="C10" s="18">
        <v>19</v>
      </c>
      <c r="D10" s="18">
        <v>10.72</v>
      </c>
      <c r="E10" s="18"/>
      <c r="F10" s="18"/>
      <c r="G10" s="18"/>
      <c r="H10" s="18"/>
      <c r="I10" s="18"/>
      <c r="J10" s="18"/>
      <c r="K10" s="18"/>
    </row>
    <row r="11" spans="1:11">
      <c r="A11" s="18">
        <v>9</v>
      </c>
      <c r="B11" s="18">
        <v>140530004</v>
      </c>
      <c r="C11" s="18">
        <v>21</v>
      </c>
      <c r="D11" s="18">
        <v>6.98</v>
      </c>
      <c r="E11" s="18"/>
      <c r="F11" s="18"/>
      <c r="G11" s="18"/>
      <c r="H11" s="18"/>
      <c r="I11" s="18"/>
      <c r="J11" s="18"/>
      <c r="K11" s="18"/>
    </row>
    <row r="12" spans="1:11">
      <c r="A12" s="18">
        <v>10</v>
      </c>
      <c r="B12" s="18">
        <v>140530004</v>
      </c>
      <c r="C12" s="18">
        <v>34</v>
      </c>
      <c r="D12" s="18">
        <v>7.96</v>
      </c>
      <c r="E12" s="18"/>
      <c r="F12" s="18"/>
      <c r="G12" s="18"/>
      <c r="H12" s="18"/>
      <c r="I12" s="18"/>
      <c r="J12" s="18"/>
      <c r="K12" s="18"/>
    </row>
    <row r="13" spans="1:11">
      <c r="A13" s="18">
        <v>11</v>
      </c>
      <c r="B13" s="18">
        <v>140530004</v>
      </c>
      <c r="C13" s="18">
        <v>35</v>
      </c>
      <c r="D13" s="18">
        <v>9.2200000000000006</v>
      </c>
      <c r="E13" s="18"/>
      <c r="F13" s="18"/>
      <c r="G13" s="18"/>
      <c r="H13" s="18"/>
      <c r="I13" s="18"/>
      <c r="J13" s="18"/>
      <c r="K13" s="18"/>
    </row>
    <row r="14" spans="1:11">
      <c r="A14" s="18">
        <v>12</v>
      </c>
      <c r="B14" s="18">
        <v>140530004</v>
      </c>
      <c r="C14" s="18">
        <v>36</v>
      </c>
      <c r="D14" s="18">
        <v>7.06</v>
      </c>
      <c r="E14" s="18"/>
      <c r="F14" s="18"/>
      <c r="G14" s="18"/>
      <c r="H14" s="18"/>
      <c r="I14" s="18"/>
      <c r="J14" s="18"/>
      <c r="K14" s="18"/>
    </row>
    <row r="15" spans="1:11">
      <c r="A15" s="18">
        <v>13</v>
      </c>
      <c r="B15" s="18">
        <v>141320031</v>
      </c>
      <c r="C15" s="18">
        <v>1</v>
      </c>
      <c r="D15" s="18">
        <v>2.54</v>
      </c>
      <c r="E15" s="18"/>
      <c r="F15" s="18"/>
      <c r="G15" s="18"/>
      <c r="H15" s="18"/>
      <c r="I15" s="18"/>
      <c r="J15" s="18"/>
      <c r="K15" s="18"/>
    </row>
    <row r="16" spans="1:11">
      <c r="A16" s="18">
        <v>14</v>
      </c>
      <c r="B16" s="18">
        <v>141320031</v>
      </c>
      <c r="C16" s="18">
        <v>4</v>
      </c>
      <c r="D16" s="18">
        <v>1.73</v>
      </c>
      <c r="E16" s="18"/>
      <c r="F16" s="18"/>
      <c r="G16" s="18"/>
      <c r="H16" s="18"/>
      <c r="I16" s="18"/>
      <c r="J16" s="18"/>
      <c r="K16" s="18"/>
    </row>
    <row r="17" spans="1:11">
      <c r="A17" s="18">
        <v>15</v>
      </c>
      <c r="B17" s="18">
        <v>141320031</v>
      </c>
      <c r="C17" s="18">
        <v>8</v>
      </c>
      <c r="D17" s="18">
        <v>3.14</v>
      </c>
      <c r="E17" s="18"/>
      <c r="F17" s="18"/>
      <c r="G17" s="18"/>
      <c r="H17" s="18"/>
      <c r="I17" s="18"/>
      <c r="J17" s="18"/>
      <c r="K17" s="18"/>
    </row>
    <row r="18" spans="1:11">
      <c r="A18" s="18">
        <v>16</v>
      </c>
      <c r="B18" s="18">
        <v>141320031</v>
      </c>
      <c r="C18" s="18">
        <v>10</v>
      </c>
      <c r="D18" s="18">
        <v>1.84</v>
      </c>
      <c r="E18" s="18"/>
      <c r="F18" s="18"/>
      <c r="G18" s="18"/>
      <c r="H18" s="18"/>
      <c r="I18" s="18"/>
      <c r="J18" s="18"/>
      <c r="K18" s="18"/>
    </row>
    <row r="19" spans="1:11">
      <c r="A19" s="18">
        <v>17</v>
      </c>
      <c r="B19" s="18">
        <v>141320031</v>
      </c>
      <c r="C19" s="18">
        <v>12</v>
      </c>
      <c r="D19" s="18">
        <v>4.68</v>
      </c>
      <c r="E19" s="18"/>
      <c r="F19" s="18"/>
      <c r="G19" s="18"/>
      <c r="H19" s="18"/>
      <c r="I19" s="18"/>
      <c r="J19" s="18"/>
      <c r="K19" s="18"/>
    </row>
    <row r="20" spans="1:11">
      <c r="A20" s="18">
        <v>18</v>
      </c>
      <c r="B20" s="18">
        <v>141320031</v>
      </c>
      <c r="C20" s="18">
        <v>16</v>
      </c>
      <c r="D20" s="18">
        <v>6.14</v>
      </c>
      <c r="E20" s="18"/>
      <c r="F20" s="18"/>
      <c r="G20" s="18"/>
      <c r="H20" s="18"/>
      <c r="I20" s="18"/>
      <c r="J20" s="18"/>
      <c r="K20" s="18"/>
    </row>
    <row r="21" spans="1:11">
      <c r="A21" s="18">
        <v>19</v>
      </c>
      <c r="B21" s="18">
        <v>141320031</v>
      </c>
      <c r="C21" s="18">
        <v>18</v>
      </c>
      <c r="D21" s="18">
        <v>10.42</v>
      </c>
      <c r="E21" s="18"/>
      <c r="F21" s="18"/>
      <c r="G21" s="18"/>
      <c r="H21" s="18"/>
      <c r="I21" s="18"/>
      <c r="J21" s="18"/>
      <c r="K21" s="18"/>
    </row>
    <row r="22" spans="1:11">
      <c r="A22" s="18">
        <v>20</v>
      </c>
      <c r="B22" s="18">
        <v>141320031</v>
      </c>
      <c r="C22" s="18">
        <v>19</v>
      </c>
      <c r="D22" s="18">
        <v>10.72</v>
      </c>
      <c r="E22" s="18"/>
      <c r="F22" s="18"/>
      <c r="G22" s="18"/>
      <c r="H22" s="18"/>
      <c r="I22" s="18"/>
      <c r="J22" s="18"/>
      <c r="K22" s="18"/>
    </row>
    <row r="23" spans="1:11">
      <c r="A23" s="18">
        <v>21</v>
      </c>
      <c r="B23" s="18">
        <v>141320031</v>
      </c>
      <c r="C23" s="18">
        <v>21</v>
      </c>
      <c r="D23" s="18">
        <v>6.98</v>
      </c>
      <c r="E23" s="18"/>
      <c r="F23" s="18"/>
      <c r="G23" s="18"/>
      <c r="H23" s="18"/>
      <c r="I23" s="18"/>
      <c r="J23" s="18"/>
      <c r="K23" s="18"/>
    </row>
    <row r="24" spans="1:11">
      <c r="A24" s="18">
        <v>22</v>
      </c>
      <c r="B24" s="18">
        <v>141320031</v>
      </c>
      <c r="C24" s="18">
        <v>34</v>
      </c>
      <c r="D24" s="18">
        <v>7.96</v>
      </c>
      <c r="E24" s="18"/>
      <c r="F24" s="18"/>
      <c r="G24" s="18"/>
      <c r="H24" s="18"/>
      <c r="I24" s="18"/>
      <c r="J24" s="18"/>
      <c r="K24" s="18"/>
    </row>
    <row r="25" spans="1:11">
      <c r="A25" s="18">
        <v>23</v>
      </c>
      <c r="B25" s="18">
        <v>141320031</v>
      </c>
      <c r="C25" s="18">
        <v>35</v>
      </c>
      <c r="D25" s="18">
        <v>9.2200000000000006</v>
      </c>
      <c r="E25" s="18"/>
      <c r="F25" s="18"/>
      <c r="G25" s="18"/>
      <c r="H25" s="18"/>
      <c r="I25" s="18"/>
      <c r="J25" s="18"/>
      <c r="K25" s="18"/>
    </row>
    <row r="26" spans="1:11">
      <c r="A26" s="18">
        <v>24</v>
      </c>
      <c r="B26" s="18">
        <v>141320031</v>
      </c>
      <c r="C26" s="18">
        <v>36</v>
      </c>
      <c r="D26" s="18">
        <v>7.06</v>
      </c>
      <c r="E26" s="18"/>
      <c r="F26" s="18"/>
      <c r="G26" s="18"/>
      <c r="H26" s="18"/>
      <c r="I26" s="18"/>
      <c r="J26" s="18"/>
      <c r="K26" s="18"/>
    </row>
    <row r="27" spans="1:11">
      <c r="A27" s="18">
        <v>25</v>
      </c>
      <c r="B27" s="18">
        <v>141320032</v>
      </c>
      <c r="C27" s="18">
        <v>1</v>
      </c>
      <c r="D27" s="18">
        <v>2.54</v>
      </c>
      <c r="E27" s="18"/>
      <c r="F27" s="18"/>
      <c r="G27" s="18"/>
      <c r="H27" s="18"/>
      <c r="I27" s="18"/>
      <c r="J27" s="18"/>
      <c r="K27" s="18"/>
    </row>
    <row r="28" spans="1:11">
      <c r="A28" s="18">
        <v>26</v>
      </c>
      <c r="B28" s="18">
        <v>141320032</v>
      </c>
      <c r="C28" s="18">
        <v>4</v>
      </c>
      <c r="D28" s="18">
        <v>1.73</v>
      </c>
      <c r="E28" s="18"/>
      <c r="F28" s="18"/>
      <c r="G28" s="18"/>
      <c r="H28" s="18"/>
      <c r="I28" s="18"/>
      <c r="J28" s="18"/>
      <c r="K28" s="18"/>
    </row>
    <row r="29" spans="1:11">
      <c r="A29" s="18">
        <v>27</v>
      </c>
      <c r="B29" s="18">
        <v>141320032</v>
      </c>
      <c r="C29" s="18">
        <v>8</v>
      </c>
      <c r="D29" s="18">
        <v>3.14</v>
      </c>
      <c r="E29" s="18"/>
      <c r="F29" s="18"/>
      <c r="G29" s="18"/>
      <c r="H29" s="18"/>
      <c r="I29" s="18"/>
      <c r="J29" s="18"/>
      <c r="K29" s="18"/>
    </row>
    <row r="30" spans="1:11">
      <c r="A30" s="18">
        <v>28</v>
      </c>
      <c r="B30" s="18">
        <v>141320032</v>
      </c>
      <c r="C30" s="18">
        <v>10</v>
      </c>
      <c r="D30" s="18">
        <v>1.84</v>
      </c>
      <c r="E30" s="18"/>
      <c r="F30" s="18"/>
      <c r="G30" s="18"/>
      <c r="H30" s="18"/>
      <c r="I30" s="18"/>
      <c r="J30" s="18"/>
      <c r="K30" s="18"/>
    </row>
    <row r="31" spans="1:11">
      <c r="A31" s="18">
        <v>29</v>
      </c>
      <c r="B31" s="18">
        <v>141320032</v>
      </c>
      <c r="C31" s="18">
        <v>12</v>
      </c>
      <c r="D31" s="18">
        <v>4.68</v>
      </c>
      <c r="E31" s="18"/>
      <c r="F31" s="18"/>
      <c r="G31" s="18"/>
      <c r="H31" s="18"/>
      <c r="I31" s="18"/>
      <c r="J31" s="18"/>
      <c r="K31" s="18"/>
    </row>
    <row r="32" spans="1:11">
      <c r="A32" s="18">
        <v>30</v>
      </c>
      <c r="B32" s="18">
        <v>141320032</v>
      </c>
      <c r="C32" s="18">
        <v>16</v>
      </c>
      <c r="D32" s="18">
        <v>6.14</v>
      </c>
      <c r="E32" s="18"/>
      <c r="F32" s="18"/>
      <c r="G32" s="18"/>
      <c r="H32" s="18"/>
      <c r="I32" s="18"/>
      <c r="J32" s="18"/>
      <c r="K32" s="18"/>
    </row>
    <row r="33" spans="1:11">
      <c r="A33" s="18">
        <v>31</v>
      </c>
      <c r="B33" s="18">
        <v>141320032</v>
      </c>
      <c r="C33" s="18">
        <v>18</v>
      </c>
      <c r="D33" s="18">
        <v>10.42</v>
      </c>
      <c r="E33" s="18"/>
      <c r="F33" s="18"/>
      <c r="G33" s="18"/>
      <c r="H33" s="18"/>
      <c r="I33" s="18"/>
      <c r="J33" s="18"/>
      <c r="K33" s="18"/>
    </row>
    <row r="34" spans="1:11">
      <c r="A34" s="18">
        <v>32</v>
      </c>
      <c r="B34" s="18">
        <v>141320032</v>
      </c>
      <c r="C34" s="18">
        <v>19</v>
      </c>
      <c r="D34" s="18">
        <v>10.72</v>
      </c>
      <c r="E34" s="18"/>
      <c r="F34" s="18"/>
      <c r="G34" s="18"/>
      <c r="H34" s="18"/>
      <c r="I34" s="18"/>
      <c r="J34" s="18"/>
      <c r="K34" s="18"/>
    </row>
    <row r="35" spans="1:11">
      <c r="A35" s="18">
        <v>33</v>
      </c>
      <c r="B35" s="18">
        <v>141320032</v>
      </c>
      <c r="C35" s="18">
        <v>21</v>
      </c>
      <c r="D35" s="18">
        <v>6.98</v>
      </c>
      <c r="E35" s="18"/>
      <c r="F35" s="18"/>
      <c r="G35" s="18"/>
      <c r="H35" s="18"/>
      <c r="I35" s="18"/>
      <c r="J35" s="18"/>
      <c r="K35" s="18"/>
    </row>
    <row r="36" spans="1:11">
      <c r="A36" s="18">
        <v>34</v>
      </c>
      <c r="B36" s="18">
        <v>141320032</v>
      </c>
      <c r="C36" s="18">
        <v>34</v>
      </c>
      <c r="D36" s="18">
        <v>7.96</v>
      </c>
      <c r="E36" s="18"/>
      <c r="F36" s="18"/>
      <c r="G36" s="18"/>
      <c r="H36" s="18"/>
      <c r="I36" s="18"/>
      <c r="J36" s="18"/>
      <c r="K36" s="18"/>
    </row>
    <row r="37" spans="1:11">
      <c r="A37" s="18">
        <v>35</v>
      </c>
      <c r="B37" s="18">
        <v>141320032</v>
      </c>
      <c r="C37" s="18">
        <v>35</v>
      </c>
      <c r="D37" s="18">
        <v>9.2200000000000006</v>
      </c>
      <c r="E37" s="18"/>
      <c r="F37" s="18"/>
      <c r="G37" s="18"/>
      <c r="H37" s="18"/>
      <c r="I37" s="18"/>
      <c r="J37" s="18"/>
      <c r="K37" s="18"/>
    </row>
    <row r="38" spans="1:11">
      <c r="A38" s="18">
        <v>36</v>
      </c>
      <c r="B38" s="18">
        <v>141320032</v>
      </c>
      <c r="C38" s="18">
        <v>36</v>
      </c>
      <c r="D38" s="18">
        <v>7.06</v>
      </c>
      <c r="E38" s="18"/>
      <c r="F38" s="18"/>
      <c r="G38" s="18"/>
      <c r="H38" s="18"/>
      <c r="I38" s="18"/>
      <c r="J38" s="18"/>
      <c r="K38" s="18"/>
    </row>
    <row r="39" spans="1:11">
      <c r="A39" s="18">
        <v>37</v>
      </c>
      <c r="B39" s="18">
        <v>140550060</v>
      </c>
      <c r="C39" s="18">
        <v>1</v>
      </c>
      <c r="D39" s="18">
        <v>2.54</v>
      </c>
      <c r="E39" s="18"/>
      <c r="F39" s="18"/>
      <c r="G39" s="18"/>
      <c r="H39" s="18"/>
      <c r="I39" s="18"/>
      <c r="J39" s="18"/>
      <c r="K39" s="18"/>
    </row>
    <row r="40" spans="1:11">
      <c r="A40" s="18">
        <v>38</v>
      </c>
      <c r="B40" s="18">
        <v>140550060</v>
      </c>
      <c r="C40" s="18">
        <v>4</v>
      </c>
      <c r="D40" s="18">
        <v>1.73</v>
      </c>
      <c r="E40" s="18"/>
      <c r="F40" s="18"/>
      <c r="G40" s="18"/>
      <c r="H40" s="18"/>
      <c r="I40" s="18"/>
      <c r="J40" s="18"/>
      <c r="K40" s="18"/>
    </row>
    <row r="41" spans="1:11">
      <c r="A41" s="18">
        <v>39</v>
      </c>
      <c r="B41" s="18">
        <v>140550060</v>
      </c>
      <c r="C41" s="18">
        <v>8</v>
      </c>
      <c r="D41" s="18">
        <v>3.14</v>
      </c>
      <c r="E41" s="18"/>
      <c r="F41" s="18"/>
      <c r="G41" s="18"/>
      <c r="H41" s="18"/>
      <c r="I41" s="18"/>
      <c r="J41" s="18"/>
      <c r="K41" s="18"/>
    </row>
    <row r="42" spans="1:11">
      <c r="A42" s="18">
        <v>40</v>
      </c>
      <c r="B42" s="18">
        <v>140550060</v>
      </c>
      <c r="C42" s="18">
        <v>10</v>
      </c>
      <c r="D42" s="18">
        <v>1.84</v>
      </c>
      <c r="E42" s="18"/>
      <c r="F42" s="18"/>
      <c r="G42" s="18"/>
      <c r="H42" s="18"/>
      <c r="I42" s="18"/>
      <c r="J42" s="18"/>
      <c r="K42" s="18"/>
    </row>
    <row r="43" spans="1:11">
      <c r="A43" s="18">
        <v>41</v>
      </c>
      <c r="B43" s="18">
        <v>140550060</v>
      </c>
      <c r="C43" s="18">
        <v>12</v>
      </c>
      <c r="D43" s="18">
        <v>5.52</v>
      </c>
      <c r="E43" s="18"/>
      <c r="F43" s="18"/>
      <c r="G43" s="18"/>
      <c r="H43" s="18"/>
      <c r="I43" s="18"/>
      <c r="J43" s="18"/>
      <c r="K43" s="18"/>
    </row>
    <row r="44" spans="1:11">
      <c r="A44" s="18">
        <v>42</v>
      </c>
      <c r="B44" s="18">
        <v>140550060</v>
      </c>
      <c r="C44" s="18">
        <v>17</v>
      </c>
      <c r="D44" s="18">
        <v>8.23</v>
      </c>
      <c r="E44" s="18"/>
      <c r="F44" s="18"/>
      <c r="G44" s="18"/>
      <c r="H44" s="18"/>
      <c r="I44" s="18"/>
      <c r="J44" s="18"/>
      <c r="K44" s="18"/>
    </row>
    <row r="45" spans="1:11">
      <c r="A45" s="18">
        <v>43</v>
      </c>
      <c r="B45" s="18">
        <v>140550060</v>
      </c>
      <c r="C45" s="18">
        <v>18</v>
      </c>
      <c r="D45" s="18">
        <v>10.42</v>
      </c>
      <c r="E45" s="18"/>
      <c r="F45" s="18"/>
      <c r="G45" s="18"/>
      <c r="H45" s="18"/>
      <c r="I45" s="18"/>
      <c r="J45" s="18"/>
      <c r="K45" s="18"/>
    </row>
    <row r="46" spans="1:11">
      <c r="A46" s="18">
        <v>44</v>
      </c>
      <c r="B46" s="18">
        <v>140550060</v>
      </c>
      <c r="C46" s="18">
        <v>19</v>
      </c>
      <c r="D46" s="18">
        <v>10.72</v>
      </c>
      <c r="E46" s="18"/>
      <c r="F46" s="18"/>
      <c r="G46" s="18"/>
      <c r="H46" s="18"/>
      <c r="I46" s="18"/>
      <c r="J46" s="18"/>
      <c r="K46" s="18"/>
    </row>
    <row r="47" spans="1:11">
      <c r="A47" s="18">
        <v>45</v>
      </c>
      <c r="B47" s="18">
        <v>140550060</v>
      </c>
      <c r="C47" s="18">
        <v>21</v>
      </c>
      <c r="D47" s="18">
        <v>6.98</v>
      </c>
      <c r="E47" s="18"/>
      <c r="F47" s="18"/>
      <c r="G47" s="18"/>
      <c r="H47" s="18"/>
      <c r="I47" s="18"/>
      <c r="J47" s="18"/>
      <c r="K47" s="18"/>
    </row>
    <row r="48" spans="1:11">
      <c r="A48" s="18">
        <v>46</v>
      </c>
      <c r="B48" s="18">
        <v>140550060</v>
      </c>
      <c r="C48" s="18">
        <v>34</v>
      </c>
      <c r="D48" s="18">
        <v>7.96</v>
      </c>
      <c r="E48" s="18"/>
      <c r="F48" s="18"/>
      <c r="G48" s="18"/>
      <c r="H48" s="18"/>
      <c r="I48" s="18"/>
      <c r="J48" s="18"/>
      <c r="K48" s="18"/>
    </row>
    <row r="49" spans="1:11">
      <c r="A49" s="18">
        <v>47</v>
      </c>
      <c r="B49" s="18">
        <v>140550060</v>
      </c>
      <c r="C49" s="18">
        <v>35</v>
      </c>
      <c r="D49" s="18">
        <v>9.2200000000000006</v>
      </c>
      <c r="E49" s="18"/>
      <c r="F49" s="18"/>
      <c r="G49" s="18"/>
      <c r="H49" s="18"/>
      <c r="I49" s="18"/>
      <c r="J49" s="18"/>
      <c r="K49" s="18"/>
    </row>
    <row r="50" spans="1:11">
      <c r="A50" s="18">
        <v>48</v>
      </c>
      <c r="B50" s="18">
        <v>140550060</v>
      </c>
      <c r="C50" s="18">
        <v>36</v>
      </c>
      <c r="D50" s="18">
        <v>7.06</v>
      </c>
      <c r="E50" s="18"/>
      <c r="F50" s="18"/>
      <c r="G50" s="18"/>
      <c r="H50" s="18"/>
      <c r="I50" s="18"/>
      <c r="J50" s="18"/>
      <c r="K50" s="18"/>
    </row>
    <row r="51" spans="1:11">
      <c r="A51" s="18">
        <v>49</v>
      </c>
      <c r="B51" s="18">
        <v>141320055</v>
      </c>
      <c r="C51" s="18">
        <v>1</v>
      </c>
      <c r="D51" s="18">
        <v>2.69</v>
      </c>
      <c r="E51" s="18"/>
      <c r="F51" s="18"/>
      <c r="G51" s="18"/>
      <c r="H51" s="18"/>
      <c r="I51" s="18"/>
      <c r="J51" s="18"/>
      <c r="K51" s="18"/>
    </row>
    <row r="52" spans="1:11">
      <c r="A52" s="18">
        <v>50</v>
      </c>
      <c r="B52" s="18">
        <v>141320055</v>
      </c>
      <c r="C52" s="18">
        <v>36</v>
      </c>
      <c r="D52" s="18">
        <v>6.36</v>
      </c>
      <c r="E52" s="18"/>
      <c r="F52" s="18"/>
      <c r="G52" s="18"/>
      <c r="H52" s="18"/>
      <c r="I52" s="18"/>
      <c r="J52" s="18"/>
      <c r="K52" s="18"/>
    </row>
    <row r="53" spans="1:11">
      <c r="A53" s="18">
        <v>51</v>
      </c>
      <c r="B53" s="18">
        <v>140530039</v>
      </c>
      <c r="C53" s="18">
        <v>1</v>
      </c>
      <c r="D53" s="18">
        <v>2.69</v>
      </c>
      <c r="E53" s="18"/>
      <c r="F53" s="18"/>
      <c r="G53" s="18"/>
      <c r="H53" s="18"/>
      <c r="I53" s="18"/>
      <c r="J53" s="18"/>
      <c r="K53" s="18"/>
    </row>
    <row r="54" spans="1:11">
      <c r="A54" s="18">
        <v>52</v>
      </c>
      <c r="B54" s="18">
        <v>140530039</v>
      </c>
      <c r="C54" s="18">
        <v>36</v>
      </c>
      <c r="D54" s="18">
        <v>6.36</v>
      </c>
      <c r="E54" s="18"/>
      <c r="F54" s="18"/>
      <c r="G54" s="18"/>
      <c r="H54" s="18"/>
      <c r="I54" s="18"/>
      <c r="J54" s="18"/>
      <c r="K54" s="18"/>
    </row>
    <row r="55" spans="1:11">
      <c r="A55" s="18">
        <v>53</v>
      </c>
      <c r="B55" s="18">
        <v>140010279</v>
      </c>
      <c r="C55" s="18">
        <v>1</v>
      </c>
      <c r="D55" s="18">
        <v>2.69</v>
      </c>
      <c r="E55" s="18"/>
      <c r="F55" s="18"/>
      <c r="G55" s="18"/>
      <c r="H55" s="18"/>
      <c r="I55" s="18"/>
      <c r="J55" s="18"/>
      <c r="K55" s="18"/>
    </row>
    <row r="56" spans="1:11">
      <c r="A56" s="18">
        <v>54</v>
      </c>
      <c r="B56" s="18">
        <v>140010279</v>
      </c>
      <c r="C56" s="18">
        <v>35</v>
      </c>
      <c r="D56" s="18">
        <v>8.31</v>
      </c>
      <c r="E56" s="18"/>
      <c r="F56" s="18"/>
      <c r="G56" s="18"/>
      <c r="H56" s="18"/>
      <c r="I56" s="18"/>
      <c r="J56" s="18"/>
      <c r="K56" s="18"/>
    </row>
    <row r="57" spans="1:11">
      <c r="A57" s="18">
        <v>55</v>
      </c>
      <c r="B57" s="18">
        <v>140010279</v>
      </c>
      <c r="C57" s="18">
        <v>36</v>
      </c>
      <c r="D57" s="18">
        <v>6.36</v>
      </c>
      <c r="E57" s="18"/>
      <c r="F57" s="18"/>
      <c r="G57" s="18"/>
      <c r="H57" s="18"/>
      <c r="I57" s="18"/>
      <c r="J57" s="18"/>
      <c r="K57" s="18"/>
    </row>
    <row r="58" spans="1:11">
      <c r="A58" s="18">
        <v>56</v>
      </c>
      <c r="B58" s="18">
        <v>140010280</v>
      </c>
      <c r="C58" s="18">
        <v>1</v>
      </c>
      <c r="D58" s="18">
        <v>2.69</v>
      </c>
      <c r="E58" s="18"/>
      <c r="F58" s="18"/>
      <c r="G58" s="18"/>
      <c r="H58" s="18"/>
      <c r="I58" s="18"/>
      <c r="J58" s="18"/>
      <c r="K58" s="18"/>
    </row>
    <row r="59" spans="1:11">
      <c r="A59" s="18">
        <v>57</v>
      </c>
      <c r="B59" s="18">
        <v>140010280</v>
      </c>
      <c r="C59" s="18">
        <v>35</v>
      </c>
      <c r="D59" s="18">
        <v>8.31</v>
      </c>
      <c r="E59" s="18"/>
      <c r="F59" s="18"/>
      <c r="G59" s="18"/>
      <c r="H59" s="18"/>
      <c r="I59" s="18"/>
      <c r="J59" s="18"/>
      <c r="K59" s="18"/>
    </row>
    <row r="60" spans="1:11">
      <c r="A60" s="18">
        <v>58</v>
      </c>
      <c r="B60" s="18">
        <v>140010280</v>
      </c>
      <c r="C60" s="18">
        <v>36</v>
      </c>
      <c r="D60" s="18">
        <v>6.36</v>
      </c>
      <c r="E60" s="18"/>
      <c r="F60" s="18"/>
      <c r="G60" s="18"/>
      <c r="H60" s="18"/>
      <c r="I60" s="18"/>
      <c r="J60" s="18"/>
      <c r="K60" s="18"/>
    </row>
    <row r="61" spans="1:11">
      <c r="A61" s="18">
        <v>59</v>
      </c>
      <c r="B61" s="18">
        <v>140010295</v>
      </c>
      <c r="C61" s="18">
        <v>1</v>
      </c>
      <c r="D61" s="18">
        <v>2.69</v>
      </c>
      <c r="E61" s="18"/>
      <c r="F61" s="18"/>
      <c r="G61" s="18"/>
      <c r="H61" s="18"/>
      <c r="I61" s="18"/>
      <c r="J61" s="18"/>
      <c r="K61" s="18"/>
    </row>
    <row r="62" spans="1:11">
      <c r="A62" s="18">
        <v>60</v>
      </c>
      <c r="B62" s="18">
        <v>140010295</v>
      </c>
      <c r="C62" s="18">
        <v>36</v>
      </c>
      <c r="D62" s="18">
        <v>6.36</v>
      </c>
      <c r="E62" s="18"/>
      <c r="F62" s="18"/>
      <c r="G62" s="18"/>
      <c r="H62" s="18"/>
      <c r="I62" s="18"/>
      <c r="J62" s="18"/>
      <c r="K62" s="18"/>
    </row>
    <row r="63" spans="1:11">
      <c r="A63" s="18">
        <v>61</v>
      </c>
      <c r="B63" s="18">
        <v>140010298</v>
      </c>
      <c r="C63" s="18">
        <v>1</v>
      </c>
      <c r="D63" s="18">
        <v>2.69</v>
      </c>
      <c r="E63" s="18"/>
      <c r="F63" s="18"/>
      <c r="G63" s="18"/>
      <c r="H63" s="18"/>
      <c r="I63" s="18"/>
      <c r="J63" s="18"/>
      <c r="K63" s="18"/>
    </row>
    <row r="64" spans="1:11">
      <c r="A64" s="18">
        <v>62</v>
      </c>
      <c r="B64" s="18">
        <v>140010298</v>
      </c>
      <c r="C64" s="18">
        <v>35</v>
      </c>
      <c r="D64" s="18">
        <v>8.31</v>
      </c>
      <c r="E64" s="18"/>
      <c r="F64" s="18"/>
      <c r="G64" s="18"/>
      <c r="H64" s="18"/>
      <c r="I64" s="18"/>
      <c r="J64" s="18"/>
      <c r="K64" s="18"/>
    </row>
    <row r="65" spans="1:11">
      <c r="A65" s="18">
        <v>63</v>
      </c>
      <c r="B65" s="18">
        <v>140010298</v>
      </c>
      <c r="C65" s="18">
        <v>36</v>
      </c>
      <c r="D65" s="18">
        <v>6.36</v>
      </c>
      <c r="E65" s="18"/>
      <c r="F65" s="18"/>
      <c r="G65" s="18"/>
      <c r="H65" s="18"/>
      <c r="I65" s="18"/>
      <c r="J65" s="18"/>
      <c r="K65" s="18"/>
    </row>
    <row r="66" spans="1:11">
      <c r="A66" s="18">
        <v>64</v>
      </c>
      <c r="B66" s="18">
        <v>140010117</v>
      </c>
      <c r="C66" s="18">
        <v>1</v>
      </c>
      <c r="D66" s="18">
        <v>4.01</v>
      </c>
      <c r="E66" s="18"/>
      <c r="F66" s="18"/>
      <c r="G66" s="18"/>
      <c r="H66" s="18"/>
      <c r="I66" s="18"/>
      <c r="J66" s="18"/>
      <c r="K66" s="18"/>
    </row>
    <row r="67" spans="1:11">
      <c r="A67" s="18">
        <v>65</v>
      </c>
      <c r="B67" s="18">
        <v>140010117</v>
      </c>
      <c r="C67" s="18">
        <v>3</v>
      </c>
      <c r="D67" s="18">
        <v>1.89</v>
      </c>
      <c r="E67" s="18"/>
      <c r="F67" s="18"/>
      <c r="G67" s="18"/>
      <c r="H67" s="18"/>
      <c r="I67" s="18"/>
      <c r="J67" s="18"/>
      <c r="K67" s="18"/>
    </row>
    <row r="68" spans="1:11">
      <c r="A68" s="18">
        <v>66</v>
      </c>
      <c r="B68" s="18">
        <v>140010117</v>
      </c>
      <c r="C68" s="18">
        <v>4</v>
      </c>
      <c r="D68" s="18">
        <v>1.73</v>
      </c>
      <c r="E68" s="18"/>
      <c r="F68" s="18"/>
      <c r="G68" s="18"/>
      <c r="H68" s="18"/>
      <c r="I68" s="18"/>
      <c r="J68" s="18"/>
      <c r="K68" s="18"/>
    </row>
    <row r="69" spans="1:11">
      <c r="A69" s="18">
        <v>67</v>
      </c>
      <c r="B69" s="18">
        <v>140010117</v>
      </c>
      <c r="C69" s="18">
        <v>9</v>
      </c>
      <c r="D69" s="18">
        <v>6.61</v>
      </c>
      <c r="E69" s="18"/>
      <c r="F69" s="18"/>
      <c r="G69" s="18"/>
      <c r="H69" s="18"/>
      <c r="I69" s="18"/>
      <c r="J69" s="18"/>
      <c r="K69" s="18"/>
    </row>
    <row r="70" spans="1:11">
      <c r="A70" s="18">
        <v>68</v>
      </c>
      <c r="B70" s="18">
        <v>140010117</v>
      </c>
      <c r="C70" s="18">
        <v>10</v>
      </c>
      <c r="D70" s="18">
        <v>2.15</v>
      </c>
      <c r="E70" s="18"/>
      <c r="F70" s="18"/>
      <c r="G70" s="18"/>
      <c r="H70" s="18"/>
      <c r="I70" s="18"/>
      <c r="J70" s="18"/>
      <c r="K70" s="18"/>
    </row>
    <row r="71" spans="1:11">
      <c r="A71" s="18">
        <v>69</v>
      </c>
      <c r="B71" s="18">
        <v>140010117</v>
      </c>
      <c r="C71" s="18">
        <v>12</v>
      </c>
      <c r="D71" s="18">
        <v>5.52</v>
      </c>
      <c r="E71" s="18"/>
      <c r="F71" s="18"/>
      <c r="G71" s="18"/>
      <c r="H71" s="18"/>
      <c r="I71" s="18"/>
      <c r="J71" s="18"/>
      <c r="K71" s="18"/>
    </row>
    <row r="72" spans="1:11">
      <c r="A72" s="18">
        <v>70</v>
      </c>
      <c r="B72" s="18">
        <v>140010117</v>
      </c>
      <c r="C72" s="18">
        <v>14</v>
      </c>
      <c r="D72" s="18">
        <v>7.23</v>
      </c>
      <c r="E72" s="18"/>
      <c r="F72" s="18"/>
      <c r="G72" s="18"/>
      <c r="H72" s="18"/>
      <c r="I72" s="18"/>
      <c r="J72" s="18"/>
      <c r="K72" s="18"/>
    </row>
    <row r="73" spans="1:11">
      <c r="A73" s="18">
        <v>71</v>
      </c>
      <c r="B73" s="18">
        <v>140010117</v>
      </c>
      <c r="C73" s="18">
        <v>16</v>
      </c>
      <c r="D73" s="18">
        <v>8.19</v>
      </c>
      <c r="E73" s="18"/>
      <c r="F73" s="18"/>
      <c r="G73" s="18"/>
      <c r="H73" s="18"/>
      <c r="I73" s="18"/>
      <c r="J73" s="18"/>
      <c r="K73" s="18"/>
    </row>
    <row r="74" spans="1:11">
      <c r="A74" s="18">
        <v>72</v>
      </c>
      <c r="B74" s="18">
        <v>140010117</v>
      </c>
      <c r="C74" s="18">
        <v>17</v>
      </c>
      <c r="D74" s="18">
        <v>10.08</v>
      </c>
      <c r="E74" s="18"/>
      <c r="F74" s="18"/>
      <c r="G74" s="18"/>
      <c r="H74" s="18"/>
      <c r="I74" s="18"/>
      <c r="J74" s="18"/>
      <c r="K74" s="18"/>
    </row>
    <row r="75" spans="1:11">
      <c r="A75" s="18">
        <v>73</v>
      </c>
      <c r="B75" s="18">
        <v>140010117</v>
      </c>
      <c r="C75" s="18">
        <v>18</v>
      </c>
      <c r="D75" s="18">
        <v>12.87</v>
      </c>
      <c r="E75" s="18"/>
      <c r="F75" s="18"/>
      <c r="G75" s="18"/>
      <c r="H75" s="18"/>
      <c r="I75" s="18"/>
      <c r="J75" s="18"/>
      <c r="K75" s="18"/>
    </row>
    <row r="76" spans="1:11">
      <c r="A76" s="18">
        <v>74</v>
      </c>
      <c r="B76" s="18">
        <v>140010117</v>
      </c>
      <c r="C76" s="18">
        <v>19</v>
      </c>
      <c r="D76" s="18">
        <v>9.8699999999999992</v>
      </c>
      <c r="E76" s="18"/>
      <c r="F76" s="18"/>
      <c r="G76" s="18"/>
      <c r="H76" s="18"/>
      <c r="I76" s="18"/>
      <c r="J76" s="18"/>
      <c r="K76" s="18"/>
    </row>
    <row r="77" spans="1:11">
      <c r="A77" s="18">
        <v>75</v>
      </c>
      <c r="B77" s="18">
        <v>140010117</v>
      </c>
      <c r="C77" s="18">
        <v>22</v>
      </c>
      <c r="D77" s="18">
        <v>8.26</v>
      </c>
      <c r="E77" s="18"/>
      <c r="F77" s="18"/>
      <c r="G77" s="18"/>
      <c r="H77" s="18"/>
      <c r="I77" s="18"/>
      <c r="J77" s="18"/>
      <c r="K77" s="18"/>
    </row>
    <row r="78" spans="1:11">
      <c r="A78" s="18">
        <v>76</v>
      </c>
      <c r="B78" s="18">
        <v>140010117</v>
      </c>
      <c r="C78" s="18">
        <v>30</v>
      </c>
      <c r="D78" s="18">
        <v>14.212499999999999</v>
      </c>
      <c r="E78" s="18"/>
      <c r="F78" s="18"/>
      <c r="G78" s="18"/>
      <c r="H78" s="18"/>
      <c r="I78" s="18"/>
      <c r="J78" s="18"/>
      <c r="K78" s="18"/>
    </row>
    <row r="79" spans="1:11">
      <c r="A79" s="18">
        <v>77</v>
      </c>
      <c r="B79" s="18">
        <v>140010117</v>
      </c>
      <c r="C79" s="18">
        <v>31</v>
      </c>
      <c r="D79" s="18">
        <v>15.65</v>
      </c>
      <c r="E79" s="18"/>
      <c r="F79" s="18"/>
      <c r="G79" s="18"/>
      <c r="H79" s="18"/>
      <c r="I79" s="18"/>
      <c r="J79" s="18"/>
      <c r="K79" s="18"/>
    </row>
    <row r="80" spans="1:11">
      <c r="A80" s="18">
        <v>78</v>
      </c>
      <c r="B80" s="18">
        <v>140010117</v>
      </c>
      <c r="C80" s="18">
        <v>32</v>
      </c>
      <c r="D80" s="18">
        <v>19.899999999999999</v>
      </c>
      <c r="E80" s="18"/>
      <c r="F80" s="18"/>
      <c r="G80" s="18"/>
      <c r="H80" s="18"/>
      <c r="I80" s="18"/>
      <c r="J80" s="18"/>
      <c r="K80" s="18"/>
    </row>
    <row r="81" spans="1:11">
      <c r="A81" s="18">
        <v>79</v>
      </c>
      <c r="B81" s="18">
        <v>140010117</v>
      </c>
      <c r="C81" s="18">
        <v>33</v>
      </c>
      <c r="D81" s="18">
        <v>7.79</v>
      </c>
      <c r="E81" s="18"/>
      <c r="F81" s="18"/>
      <c r="G81" s="18"/>
      <c r="H81" s="18"/>
      <c r="I81" s="18"/>
      <c r="J81" s="18"/>
      <c r="K81" s="18"/>
    </row>
    <row r="82" spans="1:11">
      <c r="A82" s="18">
        <v>80</v>
      </c>
      <c r="B82" s="18">
        <v>140010117</v>
      </c>
      <c r="C82" s="18">
        <v>34</v>
      </c>
      <c r="D82" s="18">
        <v>3.72</v>
      </c>
      <c r="E82" s="18"/>
      <c r="F82" s="18"/>
      <c r="G82" s="18"/>
      <c r="H82" s="18"/>
      <c r="I82" s="18"/>
      <c r="J82" s="18"/>
      <c r="K82" s="18"/>
    </row>
    <row r="83" spans="1:11">
      <c r="A83" s="18">
        <v>81</v>
      </c>
      <c r="B83" s="18">
        <v>140010117</v>
      </c>
      <c r="C83" s="18">
        <v>37</v>
      </c>
      <c r="D83" s="18">
        <v>10.76</v>
      </c>
      <c r="E83" s="18"/>
      <c r="F83" s="18"/>
      <c r="G83" s="18"/>
      <c r="H83" s="18"/>
      <c r="I83" s="18"/>
      <c r="J83" s="18"/>
      <c r="K83" s="18"/>
    </row>
    <row r="84" spans="1:11">
      <c r="A84" s="18">
        <v>82</v>
      </c>
      <c r="B84" s="18">
        <v>140010230</v>
      </c>
      <c r="C84" s="18">
        <v>1</v>
      </c>
      <c r="D84" s="18">
        <v>4.01</v>
      </c>
      <c r="E84" s="18"/>
      <c r="F84" s="18"/>
      <c r="G84" s="18"/>
      <c r="H84" s="18"/>
      <c r="I84" s="18"/>
      <c r="J84" s="18"/>
      <c r="K84" s="18"/>
    </row>
    <row r="85" spans="1:11">
      <c r="A85" s="18">
        <v>83</v>
      </c>
      <c r="B85" s="18">
        <v>140010230</v>
      </c>
      <c r="C85" s="18">
        <v>3</v>
      </c>
      <c r="D85" s="18">
        <v>1.89</v>
      </c>
      <c r="E85" s="18"/>
      <c r="F85" s="18"/>
      <c r="G85" s="18"/>
      <c r="H85" s="18"/>
      <c r="I85" s="18"/>
      <c r="J85" s="18"/>
      <c r="K85" s="18"/>
    </row>
    <row r="86" spans="1:11">
      <c r="A86" s="18">
        <v>84</v>
      </c>
      <c r="B86" s="18">
        <v>140010230</v>
      </c>
      <c r="C86" s="18">
        <v>4</v>
      </c>
      <c r="D86" s="18">
        <v>1.73</v>
      </c>
      <c r="E86" s="18"/>
      <c r="F86" s="18"/>
      <c r="G86" s="18"/>
      <c r="H86" s="18"/>
      <c r="I86" s="18"/>
      <c r="J86" s="18"/>
      <c r="K86" s="18"/>
    </row>
    <row r="87" spans="1:11">
      <c r="A87" s="18">
        <v>85</v>
      </c>
      <c r="B87" s="18">
        <v>140010230</v>
      </c>
      <c r="C87" s="18">
        <v>6</v>
      </c>
      <c r="D87" s="18">
        <v>4.75</v>
      </c>
      <c r="E87" s="18"/>
      <c r="F87" s="18"/>
      <c r="G87" s="18"/>
      <c r="H87" s="18"/>
      <c r="I87" s="18"/>
      <c r="J87" s="18"/>
      <c r="K87" s="18"/>
    </row>
    <row r="88" spans="1:11">
      <c r="A88" s="18">
        <v>86</v>
      </c>
      <c r="B88" s="18">
        <v>140010230</v>
      </c>
      <c r="C88" s="18">
        <v>7</v>
      </c>
      <c r="D88" s="18">
        <v>3.23</v>
      </c>
      <c r="E88" s="18"/>
      <c r="F88" s="18"/>
      <c r="G88" s="18"/>
      <c r="H88" s="18"/>
      <c r="I88" s="18"/>
      <c r="J88" s="18"/>
      <c r="K88" s="18"/>
    </row>
    <row r="89" spans="1:11">
      <c r="A89" s="18">
        <v>87</v>
      </c>
      <c r="B89" s="18">
        <v>140010230</v>
      </c>
      <c r="C89" s="18">
        <v>8</v>
      </c>
      <c r="D89" s="18">
        <v>4.1500000000000004</v>
      </c>
      <c r="E89" s="18"/>
      <c r="F89" s="18"/>
      <c r="G89" s="18"/>
      <c r="H89" s="18"/>
      <c r="I89" s="18"/>
      <c r="J89" s="18"/>
      <c r="K89" s="18"/>
    </row>
    <row r="90" spans="1:11">
      <c r="A90" s="18">
        <v>88</v>
      </c>
      <c r="B90" s="18">
        <v>140010230</v>
      </c>
      <c r="C90" s="18">
        <v>10</v>
      </c>
      <c r="D90" s="18">
        <v>2.15</v>
      </c>
      <c r="E90" s="18"/>
      <c r="F90" s="18"/>
      <c r="G90" s="18"/>
      <c r="H90" s="18"/>
      <c r="I90" s="18"/>
      <c r="J90" s="18"/>
      <c r="K90" s="18"/>
    </row>
    <row r="91" spans="1:11">
      <c r="A91" s="18">
        <v>89</v>
      </c>
      <c r="B91" s="18">
        <v>140010230</v>
      </c>
      <c r="C91" s="18">
        <v>12</v>
      </c>
      <c r="D91" s="18">
        <v>5.52</v>
      </c>
      <c r="E91" s="18"/>
      <c r="F91" s="18"/>
      <c r="G91" s="18"/>
      <c r="H91" s="18"/>
      <c r="I91" s="18"/>
      <c r="J91" s="18"/>
      <c r="K91" s="18"/>
    </row>
    <row r="92" spans="1:11">
      <c r="A92" s="18">
        <v>90</v>
      </c>
      <c r="B92" s="18">
        <v>140010230</v>
      </c>
      <c r="C92" s="18">
        <v>14</v>
      </c>
      <c r="D92" s="18">
        <v>7.23</v>
      </c>
      <c r="E92" s="18"/>
      <c r="F92" s="18"/>
      <c r="G92" s="18"/>
      <c r="H92" s="18"/>
      <c r="I92" s="18"/>
      <c r="J92" s="18"/>
      <c r="K92" s="18"/>
    </row>
    <row r="93" spans="1:11">
      <c r="A93" s="18">
        <v>91</v>
      </c>
      <c r="B93" s="18">
        <v>140010230</v>
      </c>
      <c r="C93" s="18">
        <v>16</v>
      </c>
      <c r="D93" s="18">
        <v>8.19</v>
      </c>
      <c r="E93" s="18"/>
      <c r="F93" s="18"/>
      <c r="G93" s="18"/>
      <c r="H93" s="18"/>
      <c r="I93" s="18"/>
      <c r="J93" s="18"/>
      <c r="K93" s="18"/>
    </row>
    <row r="94" spans="1:11">
      <c r="A94" s="18">
        <v>92</v>
      </c>
      <c r="B94" s="18">
        <v>140010230</v>
      </c>
      <c r="C94" s="18">
        <v>17</v>
      </c>
      <c r="D94" s="18">
        <v>10.08</v>
      </c>
      <c r="E94" s="18"/>
      <c r="F94" s="18"/>
      <c r="G94" s="18"/>
      <c r="H94" s="18"/>
      <c r="I94" s="18"/>
      <c r="J94" s="18"/>
      <c r="K94" s="18"/>
    </row>
    <row r="95" spans="1:11">
      <c r="A95" s="18">
        <v>93</v>
      </c>
      <c r="B95" s="18">
        <v>140010230</v>
      </c>
      <c r="C95" s="18">
        <v>18</v>
      </c>
      <c r="D95" s="18">
        <v>12.87</v>
      </c>
      <c r="E95" s="18"/>
      <c r="F95" s="18"/>
      <c r="G95" s="18"/>
      <c r="H95" s="18"/>
      <c r="I95" s="18"/>
      <c r="J95" s="18"/>
      <c r="K95" s="18"/>
    </row>
    <row r="96" spans="1:11">
      <c r="A96" s="18">
        <v>94</v>
      </c>
      <c r="B96" s="18">
        <v>140010230</v>
      </c>
      <c r="C96" s="18">
        <v>19</v>
      </c>
      <c r="D96" s="18">
        <v>9.8699999999999992</v>
      </c>
      <c r="E96" s="18"/>
      <c r="F96" s="18"/>
      <c r="G96" s="18"/>
      <c r="H96" s="18"/>
      <c r="I96" s="18"/>
      <c r="J96" s="18"/>
      <c r="K96" s="18"/>
    </row>
    <row r="97" spans="1:11">
      <c r="A97" s="18">
        <v>95</v>
      </c>
      <c r="B97" s="18">
        <v>140010230</v>
      </c>
      <c r="C97" s="18">
        <v>26</v>
      </c>
      <c r="D97" s="18">
        <v>26.02</v>
      </c>
      <c r="E97" s="18"/>
      <c r="F97" s="18"/>
      <c r="G97" s="18"/>
      <c r="H97" s="18"/>
      <c r="I97" s="18"/>
      <c r="J97" s="18"/>
      <c r="K97" s="18"/>
    </row>
    <row r="98" spans="1:11">
      <c r="A98" s="18">
        <v>96</v>
      </c>
      <c r="B98" s="18">
        <v>140010230</v>
      </c>
      <c r="C98" s="18">
        <v>30</v>
      </c>
      <c r="D98" s="18">
        <v>14.212499999999999</v>
      </c>
      <c r="E98" s="18"/>
      <c r="F98" s="18"/>
      <c r="G98" s="18"/>
      <c r="H98" s="18"/>
      <c r="I98" s="18"/>
      <c r="J98" s="18"/>
      <c r="K98" s="18"/>
    </row>
    <row r="99" spans="1:11">
      <c r="A99" s="18">
        <v>97</v>
      </c>
      <c r="B99" s="18">
        <v>140010230</v>
      </c>
      <c r="C99" s="18">
        <v>31</v>
      </c>
      <c r="D99" s="18">
        <v>15.65</v>
      </c>
      <c r="E99" s="18"/>
      <c r="F99" s="18"/>
      <c r="G99" s="18"/>
      <c r="H99" s="18"/>
      <c r="I99" s="18"/>
      <c r="J99" s="18"/>
      <c r="K99" s="18"/>
    </row>
    <row r="100" spans="1:11">
      <c r="A100" s="18">
        <v>98</v>
      </c>
      <c r="B100" s="18">
        <v>140010230</v>
      </c>
      <c r="C100" s="18">
        <v>32</v>
      </c>
      <c r="D100" s="18">
        <v>19.899999999999999</v>
      </c>
      <c r="E100" s="18"/>
      <c r="F100" s="18"/>
      <c r="G100" s="18"/>
      <c r="H100" s="18"/>
      <c r="I100" s="18"/>
      <c r="J100" s="18"/>
      <c r="K100" s="18"/>
    </row>
    <row r="101" spans="1:11">
      <c r="A101" s="18">
        <v>99</v>
      </c>
      <c r="B101" s="18">
        <v>140010230</v>
      </c>
      <c r="C101" s="18">
        <v>33</v>
      </c>
      <c r="D101" s="18">
        <v>7.79</v>
      </c>
      <c r="E101" s="18"/>
      <c r="F101" s="18"/>
      <c r="G101" s="18"/>
      <c r="H101" s="18"/>
      <c r="I101" s="18"/>
      <c r="J101" s="18"/>
      <c r="K101" s="18"/>
    </row>
    <row r="102" spans="1:11">
      <c r="A102" s="18">
        <v>100</v>
      </c>
      <c r="B102" s="18">
        <v>140010230</v>
      </c>
      <c r="C102" s="18">
        <v>34</v>
      </c>
      <c r="D102" s="18">
        <v>3.72</v>
      </c>
      <c r="E102" s="18"/>
      <c r="F102" s="18"/>
      <c r="G102" s="18"/>
      <c r="H102" s="18"/>
      <c r="I102" s="18"/>
      <c r="J102" s="18"/>
      <c r="K102" s="18"/>
    </row>
    <row r="103" spans="1:11">
      <c r="A103" s="18">
        <v>101</v>
      </c>
      <c r="B103" s="18">
        <v>140010230</v>
      </c>
      <c r="C103" s="18">
        <v>37</v>
      </c>
      <c r="D103" s="18">
        <v>10.76</v>
      </c>
      <c r="E103" s="18"/>
      <c r="F103" s="18"/>
      <c r="G103" s="18"/>
      <c r="H103" s="18"/>
      <c r="I103" s="18"/>
      <c r="J103" s="18"/>
      <c r="K103" s="18"/>
    </row>
    <row r="104" spans="1:11">
      <c r="A104" s="18">
        <v>102</v>
      </c>
      <c r="B104" s="18">
        <v>140310058</v>
      </c>
      <c r="C104" s="18">
        <v>1</v>
      </c>
      <c r="D104" s="18">
        <v>4.01</v>
      </c>
      <c r="E104" s="18"/>
      <c r="F104" s="18"/>
      <c r="G104" s="18"/>
      <c r="H104" s="18"/>
      <c r="I104" s="18"/>
      <c r="J104" s="18"/>
      <c r="K104" s="18"/>
    </row>
    <row r="105" spans="1:11">
      <c r="A105" s="18">
        <v>103</v>
      </c>
      <c r="B105" s="18">
        <v>140310058</v>
      </c>
      <c r="C105" s="18">
        <v>3</v>
      </c>
      <c r="D105" s="18">
        <v>1.89</v>
      </c>
      <c r="E105" s="18"/>
      <c r="F105" s="18"/>
      <c r="G105" s="18"/>
      <c r="H105" s="18"/>
      <c r="I105" s="18"/>
      <c r="J105" s="18"/>
      <c r="K105" s="18"/>
    </row>
    <row r="106" spans="1:11">
      <c r="A106" s="18">
        <v>104</v>
      </c>
      <c r="B106" s="18">
        <v>140310058</v>
      </c>
      <c r="C106" s="18">
        <v>4</v>
      </c>
      <c r="D106" s="18">
        <v>1.73</v>
      </c>
      <c r="E106" s="18"/>
      <c r="F106" s="18"/>
      <c r="G106" s="18"/>
      <c r="H106" s="18"/>
      <c r="I106" s="18"/>
      <c r="J106" s="18"/>
      <c r="K106" s="18"/>
    </row>
    <row r="107" spans="1:11">
      <c r="A107" s="18">
        <v>105</v>
      </c>
      <c r="B107" s="18">
        <v>140310058</v>
      </c>
      <c r="C107" s="18">
        <v>6</v>
      </c>
      <c r="D107" s="18">
        <v>4.75</v>
      </c>
      <c r="E107" s="18"/>
      <c r="F107" s="18"/>
      <c r="G107" s="18"/>
      <c r="H107" s="18"/>
      <c r="I107" s="18"/>
      <c r="J107" s="18"/>
      <c r="K107" s="18"/>
    </row>
    <row r="108" spans="1:11">
      <c r="A108" s="18">
        <v>106</v>
      </c>
      <c r="B108" s="18">
        <v>140310058</v>
      </c>
      <c r="C108" s="18">
        <v>7</v>
      </c>
      <c r="D108" s="18">
        <v>3.23</v>
      </c>
      <c r="E108" s="18"/>
      <c r="F108" s="18"/>
      <c r="G108" s="18"/>
      <c r="H108" s="18"/>
      <c r="I108" s="18"/>
      <c r="J108" s="18"/>
      <c r="K108" s="18"/>
    </row>
    <row r="109" spans="1:11">
      <c r="A109" s="18">
        <v>107</v>
      </c>
      <c r="B109" s="18">
        <v>140310058</v>
      </c>
      <c r="C109" s="18">
        <v>8</v>
      </c>
      <c r="D109" s="18">
        <v>4.1500000000000004</v>
      </c>
      <c r="E109" s="18"/>
      <c r="F109" s="18"/>
      <c r="G109" s="18"/>
      <c r="H109" s="18"/>
      <c r="I109" s="18"/>
      <c r="J109" s="18"/>
      <c r="K109" s="18"/>
    </row>
    <row r="110" spans="1:11">
      <c r="A110" s="18">
        <v>108</v>
      </c>
      <c r="B110" s="18">
        <v>140310058</v>
      </c>
      <c r="C110" s="18">
        <v>10</v>
      </c>
      <c r="D110" s="18">
        <v>2.15</v>
      </c>
      <c r="E110" s="18"/>
      <c r="F110" s="18"/>
      <c r="G110" s="18"/>
      <c r="H110" s="18"/>
      <c r="I110" s="18"/>
      <c r="J110" s="18"/>
      <c r="K110" s="18"/>
    </row>
    <row r="111" spans="1:11">
      <c r="A111" s="18">
        <v>109</v>
      </c>
      <c r="B111" s="18">
        <v>140310058</v>
      </c>
      <c r="C111" s="18">
        <v>12</v>
      </c>
      <c r="D111" s="18">
        <v>5.52</v>
      </c>
      <c r="E111" s="18"/>
      <c r="F111" s="18"/>
      <c r="G111" s="18"/>
      <c r="H111" s="18"/>
      <c r="I111" s="18"/>
      <c r="J111" s="18"/>
      <c r="K111" s="18"/>
    </row>
    <row r="112" spans="1:11">
      <c r="A112" s="18">
        <v>110</v>
      </c>
      <c r="B112" s="18">
        <v>140310058</v>
      </c>
      <c r="C112" s="18">
        <v>14</v>
      </c>
      <c r="D112" s="18">
        <v>7.23</v>
      </c>
      <c r="E112" s="18"/>
      <c r="F112" s="18"/>
      <c r="G112" s="18"/>
      <c r="H112" s="18"/>
      <c r="I112" s="18"/>
      <c r="J112" s="18"/>
      <c r="K112" s="18"/>
    </row>
    <row r="113" spans="1:11">
      <c r="A113" s="18">
        <v>111</v>
      </c>
      <c r="B113" s="18">
        <v>140310058</v>
      </c>
      <c r="C113" s="18">
        <v>16</v>
      </c>
      <c r="D113" s="18">
        <v>8.19</v>
      </c>
      <c r="E113" s="18"/>
      <c r="F113" s="18"/>
      <c r="G113" s="18"/>
      <c r="H113" s="18"/>
      <c r="I113" s="18"/>
      <c r="J113" s="18"/>
      <c r="K113" s="18"/>
    </row>
    <row r="114" spans="1:11">
      <c r="A114" s="18">
        <v>112</v>
      </c>
      <c r="B114" s="18">
        <v>140310058</v>
      </c>
      <c r="C114" s="18">
        <v>17</v>
      </c>
      <c r="D114" s="18">
        <v>10.08</v>
      </c>
      <c r="E114" s="18"/>
      <c r="F114" s="18"/>
      <c r="G114" s="18"/>
      <c r="H114" s="18"/>
      <c r="I114" s="18"/>
      <c r="J114" s="18"/>
      <c r="K114" s="18"/>
    </row>
    <row r="115" spans="1:11">
      <c r="A115" s="18">
        <v>113</v>
      </c>
      <c r="B115" s="18">
        <v>140310058</v>
      </c>
      <c r="C115" s="18">
        <v>18</v>
      </c>
      <c r="D115" s="18">
        <v>12.87</v>
      </c>
      <c r="E115" s="18"/>
      <c r="F115" s="18"/>
      <c r="G115" s="18"/>
      <c r="H115" s="18"/>
      <c r="I115" s="18"/>
      <c r="J115" s="18"/>
      <c r="K115" s="18"/>
    </row>
    <row r="116" spans="1:11">
      <c r="A116" s="18">
        <v>114</v>
      </c>
      <c r="B116" s="18">
        <v>140310058</v>
      </c>
      <c r="C116" s="18">
        <v>19</v>
      </c>
      <c r="D116" s="18">
        <v>9.8699999999999992</v>
      </c>
      <c r="E116" s="18"/>
      <c r="F116" s="18"/>
      <c r="G116" s="18"/>
      <c r="H116" s="18"/>
      <c r="I116" s="18"/>
      <c r="J116" s="18"/>
      <c r="K116" s="18"/>
    </row>
    <row r="117" spans="1:11">
      <c r="A117" s="18">
        <v>115</v>
      </c>
      <c r="B117" s="18">
        <v>140310058</v>
      </c>
      <c r="C117" s="18">
        <v>26</v>
      </c>
      <c r="D117" s="18">
        <v>26.02</v>
      </c>
      <c r="E117" s="18"/>
      <c r="F117" s="18"/>
      <c r="G117" s="18"/>
      <c r="H117" s="18"/>
      <c r="I117" s="18"/>
      <c r="J117" s="18"/>
      <c r="K117" s="18"/>
    </row>
    <row r="118" spans="1:11">
      <c r="A118" s="18">
        <v>116</v>
      </c>
      <c r="B118" s="18">
        <v>140310058</v>
      </c>
      <c r="C118" s="18">
        <v>30</v>
      </c>
      <c r="D118" s="18">
        <v>14.212499999999999</v>
      </c>
      <c r="E118" s="18"/>
      <c r="F118" s="18"/>
      <c r="G118" s="18"/>
      <c r="H118" s="18"/>
      <c r="I118" s="18"/>
      <c r="J118" s="18"/>
      <c r="K118" s="18"/>
    </row>
    <row r="119" spans="1:11">
      <c r="A119" s="18">
        <v>117</v>
      </c>
      <c r="B119" s="18">
        <v>140310058</v>
      </c>
      <c r="C119" s="18">
        <v>31</v>
      </c>
      <c r="D119" s="18">
        <v>15.65</v>
      </c>
      <c r="E119" s="18"/>
      <c r="F119" s="18"/>
      <c r="G119" s="18"/>
      <c r="H119" s="18"/>
      <c r="I119" s="18"/>
      <c r="J119" s="18"/>
      <c r="K119" s="18"/>
    </row>
    <row r="120" spans="1:11">
      <c r="A120" s="18">
        <v>118</v>
      </c>
      <c r="B120" s="18">
        <v>140310058</v>
      </c>
      <c r="C120" s="18">
        <v>32</v>
      </c>
      <c r="D120" s="18">
        <v>19.899999999999999</v>
      </c>
      <c r="E120" s="18"/>
      <c r="F120" s="18"/>
      <c r="G120" s="18"/>
      <c r="H120" s="18"/>
      <c r="I120" s="18"/>
      <c r="J120" s="18"/>
      <c r="K120" s="18"/>
    </row>
    <row r="121" spans="1:11">
      <c r="A121" s="18">
        <v>119</v>
      </c>
      <c r="B121" s="18">
        <v>140310058</v>
      </c>
      <c r="C121" s="18">
        <v>33</v>
      </c>
      <c r="D121" s="18">
        <v>7.79</v>
      </c>
      <c r="E121" s="18"/>
      <c r="F121" s="18"/>
      <c r="G121" s="18"/>
      <c r="H121" s="18"/>
      <c r="I121" s="18"/>
      <c r="J121" s="18"/>
      <c r="K121" s="18"/>
    </row>
    <row r="122" spans="1:11">
      <c r="A122" s="18">
        <v>120</v>
      </c>
      <c r="B122" s="18">
        <v>140310058</v>
      </c>
      <c r="C122" s="18">
        <v>34</v>
      </c>
      <c r="D122" s="18">
        <v>3.72</v>
      </c>
      <c r="E122" s="18"/>
      <c r="F122" s="18"/>
      <c r="G122" s="18"/>
      <c r="H122" s="18"/>
      <c r="I122" s="18"/>
      <c r="J122" s="18"/>
      <c r="K122" s="18"/>
    </row>
    <row r="123" spans="1:11">
      <c r="A123" s="18">
        <v>121</v>
      </c>
      <c r="B123" s="18">
        <v>140310058</v>
      </c>
      <c r="C123" s="18">
        <v>37</v>
      </c>
      <c r="D123" s="18">
        <v>10.76</v>
      </c>
      <c r="E123" s="18"/>
      <c r="F123" s="18"/>
      <c r="G123" s="18"/>
      <c r="H123" s="18"/>
      <c r="I123" s="18"/>
      <c r="J123" s="18"/>
      <c r="K123" s="18"/>
    </row>
    <row r="124" spans="1:11">
      <c r="A124" s="18">
        <v>122</v>
      </c>
      <c r="B124" s="18">
        <v>140030039</v>
      </c>
      <c r="C124" s="18">
        <v>1</v>
      </c>
      <c r="D124" s="18">
        <v>4.01</v>
      </c>
      <c r="E124" s="18"/>
      <c r="F124" s="18"/>
      <c r="G124" s="18"/>
      <c r="H124" s="18"/>
      <c r="I124" s="18"/>
      <c r="J124" s="18"/>
      <c r="K124" s="18"/>
    </row>
    <row r="125" spans="1:11">
      <c r="A125" s="18">
        <v>123</v>
      </c>
      <c r="B125" s="18">
        <v>140030039</v>
      </c>
      <c r="C125" s="18">
        <v>3</v>
      </c>
      <c r="D125" s="18">
        <v>1.89</v>
      </c>
      <c r="E125" s="18"/>
      <c r="F125" s="18"/>
      <c r="G125" s="18"/>
      <c r="H125" s="18"/>
      <c r="I125" s="18"/>
      <c r="J125" s="18"/>
      <c r="K125" s="18"/>
    </row>
    <row r="126" spans="1:11">
      <c r="A126" s="18">
        <v>124</v>
      </c>
      <c r="B126" s="18">
        <v>140030039</v>
      </c>
      <c r="C126" s="18">
        <v>4</v>
      </c>
      <c r="D126" s="18">
        <v>1.73</v>
      </c>
      <c r="E126" s="18"/>
      <c r="F126" s="18"/>
      <c r="G126" s="18"/>
      <c r="H126" s="18"/>
      <c r="I126" s="18"/>
      <c r="J126" s="18"/>
      <c r="K126" s="18"/>
    </row>
    <row r="127" spans="1:11">
      <c r="A127" s="18">
        <v>125</v>
      </c>
      <c r="B127" s="18">
        <v>140030039</v>
      </c>
      <c r="C127" s="18">
        <v>6</v>
      </c>
      <c r="D127" s="18">
        <v>4.75</v>
      </c>
      <c r="E127" s="18"/>
      <c r="F127" s="18"/>
      <c r="G127" s="18"/>
      <c r="H127" s="18"/>
      <c r="I127" s="18"/>
      <c r="J127" s="18"/>
      <c r="K127" s="18"/>
    </row>
    <row r="128" spans="1:11">
      <c r="A128" s="18">
        <v>126</v>
      </c>
      <c r="B128" s="18">
        <v>140030039</v>
      </c>
      <c r="C128" s="18">
        <v>7</v>
      </c>
      <c r="D128" s="18">
        <v>3.23</v>
      </c>
      <c r="E128" s="18"/>
      <c r="F128" s="18"/>
      <c r="G128" s="18"/>
      <c r="H128" s="18"/>
      <c r="I128" s="18"/>
      <c r="J128" s="18"/>
      <c r="K128" s="18"/>
    </row>
    <row r="129" spans="1:11">
      <c r="A129" s="18">
        <v>127</v>
      </c>
      <c r="B129" s="18">
        <v>140030039</v>
      </c>
      <c r="C129" s="18">
        <v>8</v>
      </c>
      <c r="D129" s="18">
        <v>4.1500000000000004</v>
      </c>
      <c r="E129" s="18"/>
      <c r="F129" s="18"/>
      <c r="G129" s="18"/>
      <c r="H129" s="18"/>
      <c r="I129" s="18"/>
      <c r="J129" s="18"/>
      <c r="K129" s="18"/>
    </row>
    <row r="130" spans="1:11">
      <c r="A130" s="18">
        <v>128</v>
      </c>
      <c r="B130" s="18">
        <v>140030039</v>
      </c>
      <c r="C130" s="18">
        <v>10</v>
      </c>
      <c r="D130" s="18">
        <v>2.15</v>
      </c>
      <c r="E130" s="18"/>
      <c r="F130" s="18"/>
      <c r="G130" s="18"/>
      <c r="H130" s="18"/>
      <c r="I130" s="18"/>
      <c r="J130" s="18"/>
      <c r="K130" s="18"/>
    </row>
    <row r="131" spans="1:11">
      <c r="A131" s="18">
        <v>129</v>
      </c>
      <c r="B131" s="18">
        <v>140030039</v>
      </c>
      <c r="C131" s="18">
        <v>11</v>
      </c>
      <c r="D131" s="18">
        <v>3.61</v>
      </c>
      <c r="E131" s="18"/>
      <c r="F131" s="18"/>
      <c r="G131" s="18"/>
      <c r="H131" s="18"/>
      <c r="I131" s="18"/>
      <c r="J131" s="18"/>
      <c r="K131" s="18"/>
    </row>
    <row r="132" spans="1:11">
      <c r="A132" s="18">
        <v>130</v>
      </c>
      <c r="B132" s="18">
        <v>140030039</v>
      </c>
      <c r="C132" s="18">
        <v>12</v>
      </c>
      <c r="D132" s="18">
        <v>5.52</v>
      </c>
      <c r="E132" s="18"/>
      <c r="F132" s="18"/>
      <c r="G132" s="18"/>
      <c r="H132" s="18"/>
      <c r="I132" s="18"/>
      <c r="J132" s="18"/>
      <c r="K132" s="18"/>
    </row>
    <row r="133" spans="1:11">
      <c r="A133" s="18">
        <v>131</v>
      </c>
      <c r="B133" s="18">
        <v>140030039</v>
      </c>
      <c r="C133" s="18">
        <v>16</v>
      </c>
      <c r="D133" s="18">
        <v>8.19</v>
      </c>
      <c r="E133" s="18"/>
      <c r="F133" s="18"/>
      <c r="G133" s="18"/>
      <c r="H133" s="18"/>
      <c r="I133" s="18"/>
      <c r="J133" s="18"/>
      <c r="K133" s="18"/>
    </row>
    <row r="134" spans="1:11">
      <c r="A134" s="18">
        <v>132</v>
      </c>
      <c r="B134" s="18">
        <v>140030039</v>
      </c>
      <c r="C134" s="18">
        <v>17</v>
      </c>
      <c r="D134" s="18">
        <v>10.08</v>
      </c>
      <c r="E134" s="18"/>
      <c r="F134" s="18"/>
      <c r="G134" s="18"/>
      <c r="H134" s="18"/>
      <c r="I134" s="18"/>
      <c r="J134" s="18"/>
      <c r="K134" s="18"/>
    </row>
    <row r="135" spans="1:11">
      <c r="A135" s="18">
        <v>133</v>
      </c>
      <c r="B135" s="18">
        <v>140030039</v>
      </c>
      <c r="C135" s="18">
        <v>18</v>
      </c>
      <c r="D135" s="18">
        <v>12.87</v>
      </c>
      <c r="E135" s="18"/>
      <c r="F135" s="18"/>
      <c r="G135" s="18"/>
      <c r="H135" s="18"/>
      <c r="I135" s="18"/>
      <c r="J135" s="18"/>
      <c r="K135" s="18"/>
    </row>
    <row r="136" spans="1:11">
      <c r="A136" s="18">
        <v>134</v>
      </c>
      <c r="B136" s="18">
        <v>140030039</v>
      </c>
      <c r="C136" s="18">
        <v>19</v>
      </c>
      <c r="D136" s="18">
        <v>9.8699999999999992</v>
      </c>
      <c r="E136" s="18"/>
      <c r="F136" s="18"/>
      <c r="G136" s="18"/>
      <c r="H136" s="18"/>
      <c r="I136" s="18"/>
      <c r="J136" s="18"/>
      <c r="K136" s="18"/>
    </row>
    <row r="137" spans="1:11">
      <c r="A137" s="18">
        <v>135</v>
      </c>
      <c r="B137" s="18">
        <v>140030039</v>
      </c>
      <c r="C137" s="18">
        <v>21</v>
      </c>
      <c r="D137" s="18">
        <v>9.01</v>
      </c>
      <c r="E137" s="18"/>
      <c r="F137" s="18"/>
      <c r="G137" s="18"/>
      <c r="H137" s="18"/>
      <c r="I137" s="18"/>
      <c r="J137" s="18"/>
      <c r="K137" s="18"/>
    </row>
    <row r="138" spans="1:11">
      <c r="A138" s="18">
        <v>136</v>
      </c>
      <c r="B138" s="18">
        <v>140030039</v>
      </c>
      <c r="C138" s="18">
        <v>30</v>
      </c>
      <c r="D138" s="18">
        <v>14.212499999999999</v>
      </c>
      <c r="E138" s="18"/>
      <c r="F138" s="18"/>
      <c r="G138" s="18"/>
      <c r="H138" s="18"/>
      <c r="I138" s="18"/>
      <c r="J138" s="18"/>
      <c r="K138" s="18"/>
    </row>
    <row r="139" spans="1:11">
      <c r="A139" s="18">
        <v>137</v>
      </c>
      <c r="B139" s="18">
        <v>140030039</v>
      </c>
      <c r="C139" s="18">
        <v>31</v>
      </c>
      <c r="D139" s="18">
        <v>15.65</v>
      </c>
      <c r="E139" s="18"/>
      <c r="F139" s="18"/>
      <c r="G139" s="18"/>
      <c r="H139" s="18"/>
      <c r="I139" s="18"/>
      <c r="J139" s="18"/>
      <c r="K139" s="18"/>
    </row>
    <row r="140" spans="1:11">
      <c r="A140" s="18">
        <v>138</v>
      </c>
      <c r="B140" s="18">
        <v>140030039</v>
      </c>
      <c r="C140" s="18">
        <v>32</v>
      </c>
      <c r="D140" s="18">
        <v>19.899999999999999</v>
      </c>
      <c r="E140" s="18"/>
      <c r="F140" s="18"/>
      <c r="G140" s="18"/>
      <c r="H140" s="18"/>
      <c r="I140" s="18"/>
      <c r="J140" s="18"/>
      <c r="K140" s="18"/>
    </row>
    <row r="141" spans="1:11">
      <c r="A141" s="18">
        <v>139</v>
      </c>
      <c r="B141" s="18">
        <v>140030039</v>
      </c>
      <c r="C141" s="18">
        <v>33</v>
      </c>
      <c r="D141" s="18">
        <v>7.79</v>
      </c>
      <c r="E141" s="18"/>
      <c r="F141" s="18"/>
      <c r="G141" s="18"/>
      <c r="H141" s="18"/>
      <c r="I141" s="18"/>
      <c r="J141" s="18"/>
      <c r="K141" s="18"/>
    </row>
    <row r="142" spans="1:11">
      <c r="A142" s="18">
        <v>140</v>
      </c>
      <c r="B142" s="18">
        <v>140030039</v>
      </c>
      <c r="C142" s="18">
        <v>34</v>
      </c>
      <c r="D142" s="18">
        <v>3.72</v>
      </c>
      <c r="E142" s="18"/>
      <c r="F142" s="18"/>
      <c r="G142" s="18"/>
      <c r="H142" s="18"/>
      <c r="I142" s="18"/>
      <c r="J142" s="18"/>
      <c r="K142" s="18"/>
    </row>
    <row r="143" spans="1:11">
      <c r="A143" s="18">
        <v>141</v>
      </c>
      <c r="B143" s="18">
        <v>140030039</v>
      </c>
      <c r="C143" s="18">
        <v>38</v>
      </c>
      <c r="D143" s="18">
        <v>2.3199999999999998</v>
      </c>
      <c r="E143" s="18"/>
      <c r="F143" s="18"/>
      <c r="G143" s="18"/>
      <c r="H143" s="18"/>
      <c r="I143" s="18"/>
      <c r="J143" s="18"/>
      <c r="K143" s="18"/>
    </row>
    <row r="144" spans="1:11">
      <c r="A144" s="18">
        <v>142</v>
      </c>
      <c r="B144" s="18">
        <v>140030040</v>
      </c>
      <c r="C144" s="18">
        <v>1</v>
      </c>
      <c r="D144" s="18">
        <v>4.01</v>
      </c>
      <c r="E144" s="18"/>
      <c r="F144" s="18"/>
      <c r="G144" s="18"/>
      <c r="H144" s="18"/>
      <c r="I144" s="18"/>
      <c r="J144" s="18"/>
      <c r="K144" s="18"/>
    </row>
    <row r="145" spans="1:11">
      <c r="A145" s="18">
        <v>143</v>
      </c>
      <c r="B145" s="18">
        <v>140030040</v>
      </c>
      <c r="C145" s="18">
        <v>3</v>
      </c>
      <c r="D145" s="18">
        <v>1.89</v>
      </c>
      <c r="E145" s="18"/>
      <c r="F145" s="18"/>
      <c r="G145" s="18"/>
      <c r="H145" s="18"/>
      <c r="I145" s="18"/>
      <c r="J145" s="18"/>
      <c r="K145" s="18"/>
    </row>
    <row r="146" spans="1:11">
      <c r="A146" s="18">
        <v>144</v>
      </c>
      <c r="B146" s="18">
        <v>140030040</v>
      </c>
      <c r="C146" s="18">
        <v>4</v>
      </c>
      <c r="D146" s="18">
        <v>1.73</v>
      </c>
      <c r="E146" s="18"/>
      <c r="F146" s="18"/>
      <c r="G146" s="18"/>
      <c r="H146" s="18"/>
      <c r="I146" s="18"/>
      <c r="J146" s="18"/>
      <c r="K146" s="18"/>
    </row>
    <row r="147" spans="1:11">
      <c r="A147" s="18">
        <v>145</v>
      </c>
      <c r="B147" s="18">
        <v>140030040</v>
      </c>
      <c r="C147" s="18">
        <v>6</v>
      </c>
      <c r="D147" s="18">
        <v>4.75</v>
      </c>
      <c r="E147" s="18"/>
      <c r="F147" s="18"/>
      <c r="G147" s="18"/>
      <c r="H147" s="18"/>
      <c r="I147" s="18"/>
      <c r="J147" s="18"/>
      <c r="K147" s="18"/>
    </row>
    <row r="148" spans="1:11">
      <c r="A148" s="18">
        <v>146</v>
      </c>
      <c r="B148" s="18">
        <v>140030040</v>
      </c>
      <c r="C148" s="18">
        <v>7</v>
      </c>
      <c r="D148" s="18">
        <v>3.23</v>
      </c>
      <c r="E148" s="18"/>
      <c r="F148" s="18"/>
      <c r="G148" s="18"/>
      <c r="H148" s="18"/>
      <c r="I148" s="18"/>
      <c r="J148" s="18"/>
      <c r="K148" s="18"/>
    </row>
    <row r="149" spans="1:11">
      <c r="A149" s="18">
        <v>147</v>
      </c>
      <c r="B149" s="18">
        <v>140030040</v>
      </c>
      <c r="C149" s="18">
        <v>8</v>
      </c>
      <c r="D149" s="18">
        <v>4.1500000000000004</v>
      </c>
      <c r="E149" s="18"/>
      <c r="F149" s="18"/>
      <c r="G149" s="18"/>
      <c r="H149" s="18"/>
      <c r="I149" s="18"/>
      <c r="J149" s="18"/>
      <c r="K149" s="18"/>
    </row>
    <row r="150" spans="1:11">
      <c r="A150" s="18">
        <v>148</v>
      </c>
      <c r="B150" s="18">
        <v>140030040</v>
      </c>
      <c r="C150" s="18">
        <v>10</v>
      </c>
      <c r="D150" s="18">
        <v>2.15</v>
      </c>
      <c r="E150" s="18"/>
      <c r="F150" s="18"/>
      <c r="G150" s="18"/>
      <c r="H150" s="18"/>
      <c r="I150" s="18"/>
      <c r="J150" s="18"/>
      <c r="K150" s="18"/>
    </row>
    <row r="151" spans="1:11">
      <c r="A151" s="18">
        <v>149</v>
      </c>
      <c r="B151" s="18">
        <v>140030040</v>
      </c>
      <c r="C151" s="18">
        <v>11</v>
      </c>
      <c r="D151" s="18">
        <v>3.61</v>
      </c>
      <c r="E151" s="18"/>
      <c r="F151" s="18"/>
      <c r="G151" s="18"/>
      <c r="H151" s="18"/>
      <c r="I151" s="18"/>
      <c r="J151" s="18"/>
      <c r="K151" s="18"/>
    </row>
    <row r="152" spans="1:11">
      <c r="A152" s="18">
        <v>150</v>
      </c>
      <c r="B152" s="18">
        <v>140030040</v>
      </c>
      <c r="C152" s="18">
        <v>12</v>
      </c>
      <c r="D152" s="18">
        <v>5.52</v>
      </c>
      <c r="E152" s="18"/>
      <c r="F152" s="18"/>
      <c r="G152" s="18"/>
      <c r="H152" s="18"/>
      <c r="I152" s="18"/>
      <c r="J152" s="18"/>
      <c r="K152" s="18"/>
    </row>
    <row r="153" spans="1:11">
      <c r="A153" s="18">
        <v>151</v>
      </c>
      <c r="B153" s="18">
        <v>140030040</v>
      </c>
      <c r="C153" s="18">
        <v>16</v>
      </c>
      <c r="D153" s="18">
        <v>8.19</v>
      </c>
      <c r="E153" s="18"/>
      <c r="F153" s="18"/>
      <c r="G153" s="18"/>
      <c r="H153" s="18"/>
      <c r="I153" s="18"/>
      <c r="J153" s="18"/>
      <c r="K153" s="18"/>
    </row>
    <row r="154" spans="1:11">
      <c r="A154" s="18">
        <v>152</v>
      </c>
      <c r="B154" s="18">
        <v>140030040</v>
      </c>
      <c r="C154" s="18">
        <v>17</v>
      </c>
      <c r="D154" s="18">
        <v>10.08</v>
      </c>
      <c r="E154" s="18"/>
      <c r="F154" s="18"/>
      <c r="G154" s="18"/>
      <c r="H154" s="18"/>
      <c r="I154" s="18"/>
      <c r="J154" s="18"/>
      <c r="K154" s="18"/>
    </row>
    <row r="155" spans="1:11">
      <c r="A155" s="18">
        <v>153</v>
      </c>
      <c r="B155" s="18">
        <v>140030040</v>
      </c>
      <c r="C155" s="18">
        <v>18</v>
      </c>
      <c r="D155" s="18">
        <v>12.87</v>
      </c>
      <c r="E155" s="18"/>
      <c r="F155" s="18"/>
      <c r="G155" s="18"/>
      <c r="H155" s="18"/>
      <c r="I155" s="18"/>
      <c r="J155" s="18"/>
      <c r="K155" s="18"/>
    </row>
    <row r="156" spans="1:11">
      <c r="A156" s="18">
        <v>154</v>
      </c>
      <c r="B156" s="18">
        <v>140030040</v>
      </c>
      <c r="C156" s="18">
        <v>19</v>
      </c>
      <c r="D156" s="18">
        <v>9.8699999999999992</v>
      </c>
      <c r="E156" s="18"/>
      <c r="F156" s="18"/>
      <c r="G156" s="18"/>
      <c r="H156" s="18"/>
      <c r="I156" s="18"/>
      <c r="J156" s="18"/>
      <c r="K156" s="18"/>
    </row>
    <row r="157" spans="1:11">
      <c r="A157" s="18">
        <v>155</v>
      </c>
      <c r="B157" s="18">
        <v>140030040</v>
      </c>
      <c r="C157" s="18">
        <v>20</v>
      </c>
      <c r="D157" s="18">
        <v>4.8</v>
      </c>
      <c r="E157" s="18"/>
      <c r="F157" s="18"/>
      <c r="G157" s="18"/>
      <c r="H157" s="18"/>
      <c r="I157" s="18"/>
      <c r="J157" s="18"/>
      <c r="K157" s="18"/>
    </row>
    <row r="158" spans="1:11">
      <c r="A158" s="18">
        <v>156</v>
      </c>
      <c r="B158" s="18">
        <v>140030040</v>
      </c>
      <c r="C158" s="18">
        <v>21</v>
      </c>
      <c r="D158" s="18">
        <v>9.01</v>
      </c>
      <c r="E158" s="18"/>
      <c r="F158" s="18"/>
      <c r="G158" s="18"/>
      <c r="H158" s="18"/>
      <c r="I158" s="18"/>
      <c r="J158" s="18"/>
      <c r="K158" s="18"/>
    </row>
    <row r="159" spans="1:11">
      <c r="A159" s="18">
        <v>157</v>
      </c>
      <c r="B159" s="18">
        <v>140030040</v>
      </c>
      <c r="C159" s="18">
        <v>30</v>
      </c>
      <c r="D159" s="18">
        <v>14.212499999999999</v>
      </c>
      <c r="E159" s="18"/>
      <c r="F159" s="18"/>
      <c r="G159" s="18"/>
      <c r="H159" s="18"/>
      <c r="I159" s="18"/>
      <c r="J159" s="18"/>
      <c r="K159" s="18"/>
    </row>
    <row r="160" spans="1:11">
      <c r="A160" s="18">
        <v>158</v>
      </c>
      <c r="B160" s="18">
        <v>140030040</v>
      </c>
      <c r="C160" s="18">
        <v>31</v>
      </c>
      <c r="D160" s="18">
        <v>15.65</v>
      </c>
      <c r="E160" s="18"/>
      <c r="F160" s="18"/>
      <c r="G160" s="18"/>
      <c r="H160" s="18"/>
      <c r="I160" s="18"/>
      <c r="J160" s="18"/>
      <c r="K160" s="18"/>
    </row>
    <row r="161" spans="1:11">
      <c r="A161" s="18">
        <v>159</v>
      </c>
      <c r="B161" s="18">
        <v>140030040</v>
      </c>
      <c r="C161" s="18">
        <v>32</v>
      </c>
      <c r="D161" s="18">
        <v>19.899999999999999</v>
      </c>
      <c r="E161" s="18"/>
      <c r="F161" s="18"/>
      <c r="G161" s="18"/>
      <c r="H161" s="18"/>
      <c r="I161" s="18"/>
      <c r="J161" s="18"/>
      <c r="K161" s="18"/>
    </row>
    <row r="162" spans="1:11">
      <c r="A162" s="18">
        <v>160</v>
      </c>
      <c r="B162" s="18">
        <v>140030040</v>
      </c>
      <c r="C162" s="18">
        <v>33</v>
      </c>
      <c r="D162" s="18">
        <v>7.79</v>
      </c>
      <c r="E162" s="18"/>
      <c r="F162" s="18"/>
      <c r="G162" s="18"/>
      <c r="H162" s="18"/>
      <c r="I162" s="18"/>
      <c r="J162" s="18"/>
      <c r="K162" s="18"/>
    </row>
    <row r="163" spans="1:11">
      <c r="A163" s="18">
        <v>161</v>
      </c>
      <c r="B163" s="18">
        <v>140030040</v>
      </c>
      <c r="C163" s="18">
        <v>34</v>
      </c>
      <c r="D163" s="18">
        <v>3.72</v>
      </c>
      <c r="E163" s="18"/>
      <c r="F163" s="18"/>
      <c r="G163" s="18"/>
      <c r="H163" s="18"/>
      <c r="I163" s="18"/>
      <c r="J163" s="18"/>
      <c r="K163" s="18"/>
    </row>
    <row r="164" spans="1:11">
      <c r="A164" s="18">
        <v>162</v>
      </c>
      <c r="B164" s="18">
        <v>140030040</v>
      </c>
      <c r="C164" s="18">
        <v>38</v>
      </c>
      <c r="D164" s="18">
        <v>2.3199999999999998</v>
      </c>
      <c r="E164" s="18"/>
      <c r="F164" s="18"/>
      <c r="G164" s="18"/>
      <c r="H164" s="18"/>
      <c r="I164" s="18"/>
      <c r="J164" s="18"/>
      <c r="K164" s="18"/>
    </row>
    <row r="165" spans="1:11">
      <c r="A165" s="18">
        <v>163</v>
      </c>
      <c r="B165" s="18">
        <v>140090143</v>
      </c>
      <c r="C165" s="18">
        <v>1</v>
      </c>
      <c r="D165" s="18">
        <v>4.01</v>
      </c>
      <c r="E165" s="18"/>
      <c r="F165" s="18"/>
      <c r="G165" s="18"/>
      <c r="H165" s="18"/>
      <c r="I165" s="18"/>
      <c r="J165" s="18"/>
      <c r="K165" s="18"/>
    </row>
    <row r="166" spans="1:11">
      <c r="A166" s="18">
        <v>164</v>
      </c>
      <c r="B166" s="18">
        <v>140090143</v>
      </c>
      <c r="C166" s="18">
        <v>3</v>
      </c>
      <c r="D166" s="18">
        <v>1.89</v>
      </c>
      <c r="E166" s="18"/>
      <c r="F166" s="18"/>
      <c r="G166" s="18"/>
      <c r="H166" s="18"/>
      <c r="I166" s="18"/>
      <c r="J166" s="18"/>
      <c r="K166" s="18"/>
    </row>
    <row r="167" spans="1:11">
      <c r="A167" s="18">
        <v>165</v>
      </c>
      <c r="B167" s="18">
        <v>140090143</v>
      </c>
      <c r="C167" s="18">
        <v>4</v>
      </c>
      <c r="D167" s="18">
        <v>1.73</v>
      </c>
      <c r="E167" s="18"/>
      <c r="F167" s="18"/>
      <c r="G167" s="18"/>
      <c r="H167" s="18"/>
      <c r="I167" s="18"/>
      <c r="J167" s="18"/>
      <c r="K167" s="18"/>
    </row>
    <row r="168" spans="1:11">
      <c r="A168" s="18">
        <v>166</v>
      </c>
      <c r="B168" s="18">
        <v>140090143</v>
      </c>
      <c r="C168" s="18">
        <v>7</v>
      </c>
      <c r="D168" s="18">
        <v>3.23</v>
      </c>
      <c r="E168" s="18"/>
      <c r="F168" s="18"/>
      <c r="G168" s="18"/>
      <c r="H168" s="18"/>
      <c r="I168" s="18"/>
      <c r="J168" s="18"/>
      <c r="K168" s="18"/>
    </row>
    <row r="169" spans="1:11">
      <c r="A169" s="18">
        <v>167</v>
      </c>
      <c r="B169" s="18">
        <v>140090143</v>
      </c>
      <c r="C169" s="18">
        <v>8</v>
      </c>
      <c r="D169" s="18">
        <v>4.1500000000000004</v>
      </c>
      <c r="E169" s="18"/>
      <c r="F169" s="18"/>
      <c r="G169" s="18"/>
      <c r="H169" s="18"/>
      <c r="I169" s="18"/>
      <c r="J169" s="18"/>
      <c r="K169" s="18"/>
    </row>
    <row r="170" spans="1:11">
      <c r="A170" s="18">
        <v>168</v>
      </c>
      <c r="B170" s="18">
        <v>140090143</v>
      </c>
      <c r="C170" s="18">
        <v>10</v>
      </c>
      <c r="D170" s="18">
        <v>2.15</v>
      </c>
      <c r="E170" s="18"/>
      <c r="F170" s="18"/>
      <c r="G170" s="18"/>
      <c r="H170" s="18"/>
      <c r="I170" s="18"/>
      <c r="J170" s="18"/>
      <c r="K170" s="18"/>
    </row>
    <row r="171" spans="1:11">
      <c r="A171" s="18">
        <v>169</v>
      </c>
      <c r="B171" s="18">
        <v>140090143</v>
      </c>
      <c r="C171" s="18">
        <v>12</v>
      </c>
      <c r="D171" s="18">
        <v>5.52</v>
      </c>
      <c r="E171" s="18"/>
      <c r="F171" s="18"/>
      <c r="G171" s="18"/>
      <c r="H171" s="18"/>
      <c r="I171" s="18"/>
      <c r="J171" s="18"/>
      <c r="K171" s="18"/>
    </row>
    <row r="172" spans="1:11">
      <c r="A172" s="18">
        <v>170</v>
      </c>
      <c r="B172" s="18">
        <v>140090143</v>
      </c>
      <c r="C172" s="18">
        <v>15</v>
      </c>
      <c r="D172" s="18">
        <v>8.75</v>
      </c>
      <c r="E172" s="18"/>
      <c r="F172" s="18"/>
      <c r="G172" s="18"/>
      <c r="H172" s="18"/>
      <c r="I172" s="18"/>
      <c r="J172" s="18"/>
      <c r="K172" s="18"/>
    </row>
    <row r="173" spans="1:11">
      <c r="A173" s="18">
        <v>171</v>
      </c>
      <c r="B173" s="18">
        <v>140090143</v>
      </c>
      <c r="C173" s="18">
        <v>16</v>
      </c>
      <c r="D173" s="18">
        <v>8.19</v>
      </c>
      <c r="E173" s="18"/>
      <c r="F173" s="18"/>
      <c r="G173" s="18"/>
      <c r="H173" s="18"/>
      <c r="I173" s="18"/>
      <c r="J173" s="18"/>
      <c r="K173" s="18"/>
    </row>
    <row r="174" spans="1:11">
      <c r="A174" s="18">
        <v>172</v>
      </c>
      <c r="B174" s="18">
        <v>140090143</v>
      </c>
      <c r="C174" s="18">
        <v>17</v>
      </c>
      <c r="D174" s="18">
        <v>10.08</v>
      </c>
      <c r="E174" s="18"/>
      <c r="F174" s="18"/>
      <c r="G174" s="18"/>
      <c r="H174" s="18"/>
      <c r="I174" s="18"/>
      <c r="J174" s="18"/>
      <c r="K174" s="18"/>
    </row>
    <row r="175" spans="1:11">
      <c r="A175" s="18">
        <v>173</v>
      </c>
      <c r="B175" s="18">
        <v>140090143</v>
      </c>
      <c r="C175" s="18">
        <v>18</v>
      </c>
      <c r="D175" s="18">
        <v>12.87</v>
      </c>
      <c r="E175" s="18"/>
      <c r="F175" s="18"/>
      <c r="G175" s="18"/>
      <c r="H175" s="18"/>
      <c r="I175" s="18"/>
      <c r="J175" s="18"/>
      <c r="K175" s="18"/>
    </row>
    <row r="176" spans="1:11">
      <c r="A176" s="18">
        <v>174</v>
      </c>
      <c r="B176" s="18">
        <v>140090143</v>
      </c>
      <c r="C176" s="18">
        <v>19</v>
      </c>
      <c r="D176" s="18">
        <v>9.8699999999999992</v>
      </c>
      <c r="E176" s="18"/>
      <c r="F176" s="18"/>
      <c r="G176" s="18"/>
      <c r="H176" s="18"/>
      <c r="I176" s="18"/>
      <c r="J176" s="18"/>
      <c r="K176" s="18"/>
    </row>
    <row r="177" spans="1:11">
      <c r="A177" s="18">
        <v>175</v>
      </c>
      <c r="B177" s="18">
        <v>140090143</v>
      </c>
      <c r="C177" s="18">
        <v>21</v>
      </c>
      <c r="D177" s="18">
        <v>9.01</v>
      </c>
      <c r="E177" s="18"/>
      <c r="F177" s="18"/>
      <c r="G177" s="18"/>
      <c r="H177" s="18"/>
      <c r="I177" s="18"/>
      <c r="J177" s="18"/>
      <c r="K177" s="18"/>
    </row>
    <row r="178" spans="1:11">
      <c r="A178" s="18">
        <v>176</v>
      </c>
      <c r="B178" s="18">
        <v>140090143</v>
      </c>
      <c r="C178" s="18">
        <v>25</v>
      </c>
      <c r="D178" s="18">
        <v>31.3</v>
      </c>
      <c r="E178" s="18"/>
      <c r="F178" s="18"/>
      <c r="G178" s="18"/>
      <c r="H178" s="18"/>
      <c r="I178" s="18"/>
      <c r="J178" s="18"/>
      <c r="K178" s="18"/>
    </row>
    <row r="179" spans="1:11">
      <c r="A179" s="18">
        <v>177</v>
      </c>
      <c r="B179" s="18">
        <v>140090143</v>
      </c>
      <c r="C179" s="18">
        <v>26</v>
      </c>
      <c r="D179" s="18">
        <v>18.829999999999998</v>
      </c>
      <c r="E179" s="18"/>
      <c r="F179" s="18"/>
      <c r="G179" s="18"/>
      <c r="H179" s="18"/>
      <c r="I179" s="18"/>
      <c r="J179" s="18"/>
      <c r="K179" s="18"/>
    </row>
    <row r="180" spans="1:11">
      <c r="A180" s="18">
        <v>178</v>
      </c>
      <c r="B180" s="18">
        <v>140090143</v>
      </c>
      <c r="C180" s="18">
        <v>27</v>
      </c>
      <c r="D180" s="18">
        <v>8.75</v>
      </c>
      <c r="E180" s="18"/>
      <c r="F180" s="18"/>
      <c r="G180" s="18"/>
      <c r="H180" s="18"/>
      <c r="I180" s="18"/>
      <c r="J180" s="18"/>
      <c r="K180" s="18"/>
    </row>
    <row r="181" spans="1:11">
      <c r="A181" s="18">
        <v>179</v>
      </c>
      <c r="B181" s="18">
        <v>140090143</v>
      </c>
      <c r="C181" s="18">
        <v>28</v>
      </c>
      <c r="D181" s="18">
        <v>7.22</v>
      </c>
      <c r="E181" s="18"/>
      <c r="F181" s="18"/>
      <c r="G181" s="18"/>
      <c r="H181" s="18"/>
      <c r="I181" s="18"/>
      <c r="J181" s="18"/>
      <c r="K181" s="18"/>
    </row>
    <row r="182" spans="1:11">
      <c r="A182" s="18">
        <v>180</v>
      </c>
      <c r="B182" s="18">
        <v>140090143</v>
      </c>
      <c r="C182" s="18">
        <v>30</v>
      </c>
      <c r="D182" s="18">
        <v>14.212499999999999</v>
      </c>
      <c r="E182" s="18"/>
      <c r="F182" s="18"/>
      <c r="G182" s="18"/>
      <c r="H182" s="18"/>
      <c r="I182" s="18"/>
      <c r="J182" s="18"/>
      <c r="K182" s="18"/>
    </row>
    <row r="183" spans="1:11">
      <c r="A183" s="18">
        <v>181</v>
      </c>
      <c r="B183" s="18">
        <v>140090143</v>
      </c>
      <c r="C183" s="18">
        <v>31</v>
      </c>
      <c r="D183" s="18">
        <v>15.65</v>
      </c>
      <c r="E183" s="18"/>
      <c r="F183" s="18"/>
      <c r="G183" s="18"/>
      <c r="H183" s="18"/>
      <c r="I183" s="18"/>
      <c r="J183" s="18"/>
      <c r="K183" s="18"/>
    </row>
    <row r="184" spans="1:11">
      <c r="A184" s="18">
        <v>182</v>
      </c>
      <c r="B184" s="18">
        <v>140090143</v>
      </c>
      <c r="C184" s="18">
        <v>32</v>
      </c>
      <c r="D184" s="18">
        <v>19.899999999999999</v>
      </c>
      <c r="E184" s="18"/>
      <c r="F184" s="18"/>
      <c r="G184" s="18"/>
      <c r="H184" s="18"/>
      <c r="I184" s="18"/>
      <c r="J184" s="18"/>
      <c r="K184" s="18"/>
    </row>
    <row r="185" spans="1:11">
      <c r="A185" s="18">
        <v>183</v>
      </c>
      <c r="B185" s="18">
        <v>140090143</v>
      </c>
      <c r="C185" s="18">
        <v>33</v>
      </c>
      <c r="D185" s="18">
        <v>7.79</v>
      </c>
      <c r="E185" s="18"/>
      <c r="F185" s="18"/>
      <c r="G185" s="18"/>
      <c r="H185" s="18"/>
      <c r="I185" s="18"/>
      <c r="J185" s="18"/>
      <c r="K185" s="18"/>
    </row>
    <row r="186" spans="1:11">
      <c r="A186" s="18">
        <v>184</v>
      </c>
      <c r="B186" s="18">
        <v>140090143</v>
      </c>
      <c r="C186" s="18">
        <v>34</v>
      </c>
      <c r="D186" s="18">
        <v>3.72</v>
      </c>
      <c r="E186" s="18"/>
      <c r="F186" s="18"/>
      <c r="G186" s="18"/>
      <c r="H186" s="18"/>
      <c r="I186" s="18"/>
      <c r="J186" s="18"/>
      <c r="K186" s="18"/>
    </row>
    <row r="187" spans="1:11">
      <c r="A187" s="18">
        <v>185</v>
      </c>
      <c r="B187" s="18">
        <v>140090143</v>
      </c>
      <c r="C187" s="18">
        <v>35</v>
      </c>
      <c r="D187" s="18">
        <v>7.19</v>
      </c>
      <c r="E187" s="18"/>
      <c r="F187" s="18"/>
      <c r="G187" s="18"/>
      <c r="H187" s="18"/>
      <c r="I187" s="18"/>
      <c r="J187" s="18"/>
      <c r="K187" s="18"/>
    </row>
    <row r="188" spans="1:11">
      <c r="A188" s="18">
        <v>186</v>
      </c>
      <c r="B188" s="18">
        <v>140220012</v>
      </c>
      <c r="C188" s="18">
        <v>1</v>
      </c>
      <c r="D188" s="18">
        <v>4.01</v>
      </c>
      <c r="E188" s="18"/>
      <c r="F188" s="18"/>
      <c r="G188" s="18"/>
      <c r="H188" s="18"/>
      <c r="I188" s="18"/>
      <c r="J188" s="18"/>
      <c r="K188" s="18"/>
    </row>
    <row r="189" spans="1:11">
      <c r="A189" s="18">
        <v>187</v>
      </c>
      <c r="B189" s="18">
        <v>140220012</v>
      </c>
      <c r="C189" s="18">
        <v>2</v>
      </c>
      <c r="D189" s="18">
        <v>5.24</v>
      </c>
      <c r="E189" s="18"/>
      <c r="F189" s="18"/>
      <c r="G189" s="18"/>
      <c r="H189" s="18"/>
      <c r="I189" s="18"/>
      <c r="J189" s="18"/>
      <c r="K189" s="18"/>
    </row>
    <row r="190" spans="1:11">
      <c r="A190" s="18">
        <v>188</v>
      </c>
      <c r="B190" s="18">
        <v>140220012</v>
      </c>
      <c r="C190" s="18">
        <v>3</v>
      </c>
      <c r="D190" s="18">
        <v>1.89</v>
      </c>
      <c r="E190" s="18"/>
      <c r="F190" s="18"/>
      <c r="G190" s="18"/>
      <c r="H190" s="18"/>
      <c r="I190" s="18"/>
      <c r="J190" s="18"/>
      <c r="K190" s="18"/>
    </row>
    <row r="191" spans="1:11">
      <c r="A191" s="18">
        <v>189</v>
      </c>
      <c r="B191" s="18">
        <v>140220012</v>
      </c>
      <c r="C191" s="18">
        <v>4</v>
      </c>
      <c r="D191" s="18">
        <v>1.73</v>
      </c>
      <c r="E191" s="18"/>
      <c r="F191" s="18"/>
      <c r="G191" s="18"/>
      <c r="H191" s="18"/>
      <c r="I191" s="18"/>
      <c r="J191" s="18"/>
      <c r="K191" s="18"/>
    </row>
    <row r="192" spans="1:11">
      <c r="A192" s="18">
        <v>190</v>
      </c>
      <c r="B192" s="18">
        <v>140220012</v>
      </c>
      <c r="C192" s="18">
        <v>6</v>
      </c>
      <c r="D192" s="18">
        <v>4.75</v>
      </c>
      <c r="E192" s="18"/>
      <c r="F192" s="18"/>
      <c r="G192" s="18"/>
      <c r="H192" s="18"/>
      <c r="I192" s="18"/>
      <c r="J192" s="18"/>
      <c r="K192" s="18"/>
    </row>
    <row r="193" spans="1:11">
      <c r="A193" s="18">
        <v>191</v>
      </c>
      <c r="B193" s="18">
        <v>140220012</v>
      </c>
      <c r="C193" s="18">
        <v>7</v>
      </c>
      <c r="D193" s="18">
        <v>3.23</v>
      </c>
      <c r="E193" s="18"/>
      <c r="F193" s="18"/>
      <c r="G193" s="18"/>
      <c r="H193" s="18"/>
      <c r="I193" s="18"/>
      <c r="J193" s="18"/>
      <c r="K193" s="18"/>
    </row>
    <row r="194" spans="1:11">
      <c r="A194" s="18">
        <v>192</v>
      </c>
      <c r="B194" s="18">
        <v>140220012</v>
      </c>
      <c r="C194" s="18">
        <v>8</v>
      </c>
      <c r="D194" s="18">
        <v>4.1500000000000004</v>
      </c>
      <c r="E194" s="18"/>
      <c r="F194" s="18"/>
      <c r="G194" s="18"/>
      <c r="H194" s="18"/>
      <c r="I194" s="18"/>
      <c r="J194" s="18"/>
      <c r="K194" s="18"/>
    </row>
    <row r="195" spans="1:11">
      <c r="A195" s="18">
        <v>193</v>
      </c>
      <c r="B195" s="18">
        <v>140220012</v>
      </c>
      <c r="C195" s="18">
        <v>10</v>
      </c>
      <c r="D195" s="18">
        <v>2.15</v>
      </c>
      <c r="E195" s="18"/>
      <c r="F195" s="18"/>
      <c r="G195" s="18"/>
      <c r="H195" s="18"/>
      <c r="I195" s="18"/>
      <c r="J195" s="18"/>
      <c r="K195" s="18"/>
    </row>
    <row r="196" spans="1:11">
      <c r="A196" s="18">
        <v>194</v>
      </c>
      <c r="B196" s="18">
        <v>140220012</v>
      </c>
      <c r="C196" s="18">
        <v>11</v>
      </c>
      <c r="D196" s="18">
        <v>3.61</v>
      </c>
      <c r="E196" s="18"/>
      <c r="F196" s="18"/>
      <c r="G196" s="18"/>
      <c r="H196" s="18"/>
      <c r="I196" s="18"/>
      <c r="J196" s="18"/>
      <c r="K196" s="18"/>
    </row>
    <row r="197" spans="1:11">
      <c r="A197" s="18">
        <v>195</v>
      </c>
      <c r="B197" s="18">
        <v>140220012</v>
      </c>
      <c r="C197" s="18">
        <v>12</v>
      </c>
      <c r="D197" s="18">
        <v>5.52</v>
      </c>
      <c r="E197" s="18"/>
      <c r="F197" s="18"/>
      <c r="G197" s="18"/>
      <c r="H197" s="18"/>
      <c r="I197" s="18"/>
      <c r="J197" s="18"/>
      <c r="K197" s="18"/>
    </row>
    <row r="198" spans="1:11">
      <c r="A198" s="18">
        <v>196</v>
      </c>
      <c r="B198" s="18">
        <v>140220012</v>
      </c>
      <c r="C198" s="18">
        <v>16</v>
      </c>
      <c r="D198" s="18">
        <v>8.19</v>
      </c>
      <c r="E198" s="18"/>
      <c r="F198" s="18"/>
      <c r="G198" s="18"/>
      <c r="H198" s="18"/>
      <c r="I198" s="18"/>
      <c r="J198" s="18"/>
      <c r="K198" s="18"/>
    </row>
    <row r="199" spans="1:11">
      <c r="A199" s="18">
        <v>197</v>
      </c>
      <c r="B199" s="18">
        <v>140220012</v>
      </c>
      <c r="C199" s="18">
        <v>17</v>
      </c>
      <c r="D199" s="18">
        <v>10.08</v>
      </c>
      <c r="E199" s="18"/>
      <c r="F199" s="18"/>
      <c r="G199" s="18"/>
      <c r="H199" s="18"/>
      <c r="I199" s="18"/>
      <c r="J199" s="18"/>
      <c r="K199" s="18"/>
    </row>
    <row r="200" spans="1:11">
      <c r="A200" s="18">
        <v>198</v>
      </c>
      <c r="B200" s="18">
        <v>140220012</v>
      </c>
      <c r="C200" s="18">
        <v>18</v>
      </c>
      <c r="D200" s="18">
        <v>12.87</v>
      </c>
      <c r="E200" s="18"/>
      <c r="F200" s="18"/>
      <c r="G200" s="18"/>
      <c r="H200" s="18"/>
      <c r="I200" s="18"/>
      <c r="J200" s="18"/>
      <c r="K200" s="18"/>
    </row>
    <row r="201" spans="1:11">
      <c r="A201" s="18">
        <v>199</v>
      </c>
      <c r="B201" s="18">
        <v>140220012</v>
      </c>
      <c r="C201" s="18">
        <v>19</v>
      </c>
      <c r="D201" s="18">
        <v>9.8699999999999992</v>
      </c>
      <c r="E201" s="18"/>
      <c r="F201" s="18"/>
      <c r="G201" s="18"/>
      <c r="H201" s="18"/>
      <c r="I201" s="18"/>
      <c r="J201" s="18"/>
      <c r="K201" s="18"/>
    </row>
    <row r="202" spans="1:11">
      <c r="A202" s="18">
        <v>200</v>
      </c>
      <c r="B202" s="18">
        <v>140220012</v>
      </c>
      <c r="C202" s="18">
        <v>21</v>
      </c>
      <c r="D202" s="18">
        <v>6.98</v>
      </c>
      <c r="E202" s="18"/>
      <c r="F202" s="18"/>
      <c r="G202" s="18"/>
      <c r="H202" s="18"/>
      <c r="I202" s="18"/>
      <c r="J202" s="18"/>
      <c r="K202" s="18"/>
    </row>
    <row r="203" spans="1:11">
      <c r="A203" s="18">
        <v>201</v>
      </c>
      <c r="B203" s="18">
        <v>140220012</v>
      </c>
      <c r="C203" s="18">
        <v>25</v>
      </c>
      <c r="D203" s="18">
        <v>48.11</v>
      </c>
      <c r="E203" s="18"/>
      <c r="F203" s="18"/>
      <c r="G203" s="18"/>
      <c r="H203" s="18"/>
      <c r="I203" s="18"/>
      <c r="J203" s="18"/>
      <c r="K203" s="18"/>
    </row>
    <row r="204" spans="1:11">
      <c r="A204" s="18">
        <v>202</v>
      </c>
      <c r="B204" s="18">
        <v>140220012</v>
      </c>
      <c r="C204" s="18">
        <v>30</v>
      </c>
      <c r="D204" s="18">
        <v>14.212499999999999</v>
      </c>
      <c r="E204" s="18"/>
      <c r="F204" s="18"/>
      <c r="G204" s="18"/>
      <c r="H204" s="18"/>
      <c r="I204" s="18"/>
      <c r="J204" s="18"/>
      <c r="K204" s="18"/>
    </row>
    <row r="205" spans="1:11">
      <c r="A205" s="18">
        <v>203</v>
      </c>
      <c r="B205" s="18">
        <v>140220012</v>
      </c>
      <c r="C205" s="18">
        <v>31</v>
      </c>
      <c r="D205" s="18">
        <v>15.65</v>
      </c>
      <c r="E205" s="18"/>
      <c r="F205" s="18"/>
      <c r="G205" s="18"/>
      <c r="H205" s="18"/>
      <c r="I205" s="18"/>
      <c r="J205" s="18"/>
      <c r="K205" s="18"/>
    </row>
    <row r="206" spans="1:11">
      <c r="A206" s="18">
        <v>204</v>
      </c>
      <c r="B206" s="18">
        <v>140220012</v>
      </c>
      <c r="C206" s="18">
        <v>32</v>
      </c>
      <c r="D206" s="18">
        <v>19.899999999999999</v>
      </c>
      <c r="E206" s="18"/>
      <c r="F206" s="18"/>
      <c r="G206" s="18"/>
      <c r="H206" s="18"/>
      <c r="I206" s="18"/>
      <c r="J206" s="18"/>
      <c r="K206" s="18"/>
    </row>
    <row r="207" spans="1:11">
      <c r="A207" s="18">
        <v>205</v>
      </c>
      <c r="B207" s="18">
        <v>140220012</v>
      </c>
      <c r="C207" s="18">
        <v>33</v>
      </c>
      <c r="D207" s="18">
        <v>7.79</v>
      </c>
      <c r="E207" s="18"/>
      <c r="F207" s="18"/>
      <c r="G207" s="18"/>
      <c r="H207" s="18"/>
      <c r="I207" s="18"/>
      <c r="J207" s="18"/>
      <c r="K207" s="18"/>
    </row>
    <row r="208" spans="1:11">
      <c r="A208" s="18">
        <v>206</v>
      </c>
      <c r="B208" s="18">
        <v>140220012</v>
      </c>
      <c r="C208" s="18">
        <v>34</v>
      </c>
      <c r="D208" s="18">
        <v>3.72</v>
      </c>
      <c r="E208" s="18"/>
      <c r="F208" s="18"/>
      <c r="G208" s="18"/>
      <c r="H208" s="18"/>
      <c r="I208" s="18"/>
      <c r="J208" s="18"/>
      <c r="K208" s="18"/>
    </row>
    <row r="209" spans="1:11">
      <c r="A209" s="18">
        <v>207</v>
      </c>
      <c r="B209" s="18">
        <v>140310075</v>
      </c>
      <c r="C209" s="18">
        <v>1</v>
      </c>
      <c r="D209" s="18">
        <v>4.01</v>
      </c>
      <c r="E209" s="18"/>
      <c r="F209" s="18"/>
      <c r="G209" s="18"/>
      <c r="H209" s="18"/>
      <c r="I209" s="18"/>
      <c r="J209" s="18"/>
      <c r="K209" s="18"/>
    </row>
    <row r="210" spans="1:11">
      <c r="A210" s="18">
        <v>208</v>
      </c>
      <c r="B210" s="18">
        <v>140310075</v>
      </c>
      <c r="C210" s="18">
        <v>3</v>
      </c>
      <c r="D210" s="18">
        <v>1.89</v>
      </c>
      <c r="E210" s="18"/>
      <c r="F210" s="18"/>
      <c r="G210" s="18"/>
      <c r="H210" s="18"/>
      <c r="I210" s="18"/>
      <c r="J210" s="18"/>
      <c r="K210" s="18"/>
    </row>
    <row r="211" spans="1:11">
      <c r="A211" s="18">
        <v>209</v>
      </c>
      <c r="B211" s="18">
        <v>140310075</v>
      </c>
      <c r="C211" s="18">
        <v>4</v>
      </c>
      <c r="D211" s="18">
        <v>1.73</v>
      </c>
      <c r="E211" s="18"/>
      <c r="F211" s="18"/>
      <c r="G211" s="18"/>
      <c r="H211" s="18"/>
      <c r="I211" s="18"/>
      <c r="J211" s="18"/>
      <c r="K211" s="18"/>
    </row>
    <row r="212" spans="1:11">
      <c r="A212" s="18">
        <v>210</v>
      </c>
      <c r="B212" s="18">
        <v>140310075</v>
      </c>
      <c r="C212" s="18">
        <v>6</v>
      </c>
      <c r="D212" s="18">
        <v>4.75</v>
      </c>
      <c r="E212" s="18"/>
      <c r="F212" s="18"/>
      <c r="G212" s="18"/>
      <c r="H212" s="18"/>
      <c r="I212" s="18"/>
      <c r="J212" s="18"/>
      <c r="K212" s="18"/>
    </row>
    <row r="213" spans="1:11">
      <c r="A213" s="18">
        <v>211</v>
      </c>
      <c r="B213" s="18">
        <v>140310075</v>
      </c>
      <c r="C213" s="18">
        <v>7</v>
      </c>
      <c r="D213" s="18">
        <v>3.23</v>
      </c>
      <c r="E213" s="18"/>
      <c r="F213" s="18"/>
      <c r="G213" s="18"/>
      <c r="H213" s="18"/>
      <c r="I213" s="18"/>
      <c r="J213" s="18"/>
      <c r="K213" s="18"/>
    </row>
    <row r="214" spans="1:11">
      <c r="A214" s="18">
        <v>212</v>
      </c>
      <c r="B214" s="18">
        <v>140310075</v>
      </c>
      <c r="C214" s="18">
        <v>8</v>
      </c>
      <c r="D214" s="18">
        <v>4.1500000000000004</v>
      </c>
      <c r="E214" s="18"/>
      <c r="F214" s="18"/>
      <c r="G214" s="18"/>
      <c r="H214" s="18"/>
      <c r="I214" s="18"/>
      <c r="J214" s="18"/>
      <c r="K214" s="18"/>
    </row>
    <row r="215" spans="1:11">
      <c r="A215" s="18">
        <v>213</v>
      </c>
      <c r="B215" s="18">
        <v>140310075</v>
      </c>
      <c r="C215" s="18">
        <v>10</v>
      </c>
      <c r="D215" s="18">
        <v>2.15</v>
      </c>
      <c r="E215" s="18"/>
      <c r="F215" s="18"/>
      <c r="G215" s="18"/>
      <c r="H215" s="18"/>
      <c r="I215" s="18"/>
      <c r="J215" s="18"/>
      <c r="K215" s="18"/>
    </row>
    <row r="216" spans="1:11">
      <c r="A216" s="18">
        <v>214</v>
      </c>
      <c r="B216" s="18">
        <v>140310075</v>
      </c>
      <c r="C216" s="18">
        <v>11</v>
      </c>
      <c r="D216" s="18">
        <v>3.61</v>
      </c>
      <c r="E216" s="18"/>
      <c r="F216" s="18"/>
      <c r="G216" s="18"/>
      <c r="H216" s="18"/>
      <c r="I216" s="18"/>
      <c r="J216" s="18"/>
      <c r="K216" s="18"/>
    </row>
    <row r="217" spans="1:11">
      <c r="A217" s="18">
        <v>215</v>
      </c>
      <c r="B217" s="18">
        <v>140310075</v>
      </c>
      <c r="C217" s="18">
        <v>12</v>
      </c>
      <c r="D217" s="18">
        <v>5.52</v>
      </c>
      <c r="E217" s="18"/>
      <c r="F217" s="18"/>
      <c r="G217" s="18"/>
      <c r="H217" s="18"/>
      <c r="I217" s="18"/>
      <c r="J217" s="18"/>
      <c r="K217" s="18"/>
    </row>
    <row r="218" spans="1:11">
      <c r="A218" s="18">
        <v>216</v>
      </c>
      <c r="B218" s="18">
        <v>140310075</v>
      </c>
      <c r="C218" s="18">
        <v>16</v>
      </c>
      <c r="D218" s="18">
        <v>8.19</v>
      </c>
      <c r="E218" s="18"/>
      <c r="F218" s="18"/>
      <c r="G218" s="18"/>
      <c r="H218" s="18"/>
      <c r="I218" s="18"/>
      <c r="J218" s="18"/>
      <c r="K218" s="18"/>
    </row>
    <row r="219" spans="1:11">
      <c r="A219" s="18">
        <v>217</v>
      </c>
      <c r="B219" s="18">
        <v>140310075</v>
      </c>
      <c r="C219" s="18">
        <v>17</v>
      </c>
      <c r="D219" s="18">
        <v>10.08</v>
      </c>
      <c r="E219" s="18"/>
      <c r="F219" s="18"/>
      <c r="G219" s="18"/>
      <c r="H219" s="18"/>
      <c r="I219" s="18"/>
      <c r="J219" s="18"/>
      <c r="K219" s="18"/>
    </row>
    <row r="220" spans="1:11">
      <c r="A220" s="18">
        <v>218</v>
      </c>
      <c r="B220" s="18">
        <v>140310075</v>
      </c>
      <c r="C220" s="18">
        <v>18</v>
      </c>
      <c r="D220" s="18">
        <v>12.87</v>
      </c>
      <c r="E220" s="18"/>
      <c r="F220" s="18"/>
      <c r="G220" s="18"/>
      <c r="H220" s="18"/>
      <c r="I220" s="18"/>
      <c r="J220" s="18"/>
      <c r="K220" s="18"/>
    </row>
    <row r="221" spans="1:11">
      <c r="A221" s="18">
        <v>219</v>
      </c>
      <c r="B221" s="18">
        <v>140310075</v>
      </c>
      <c r="C221" s="18">
        <v>19</v>
      </c>
      <c r="D221" s="18">
        <v>9.8699999999999992</v>
      </c>
      <c r="E221" s="18"/>
      <c r="F221" s="18"/>
      <c r="G221" s="18"/>
      <c r="H221" s="18"/>
      <c r="I221" s="18"/>
      <c r="J221" s="18"/>
      <c r="K221" s="18"/>
    </row>
    <row r="222" spans="1:11">
      <c r="A222" s="18">
        <v>220</v>
      </c>
      <c r="B222" s="18">
        <v>140310075</v>
      </c>
      <c r="C222" s="18">
        <v>26</v>
      </c>
      <c r="D222" s="18">
        <v>31.09</v>
      </c>
      <c r="E222" s="18"/>
      <c r="F222" s="18"/>
      <c r="G222" s="18"/>
      <c r="H222" s="18"/>
      <c r="I222" s="18"/>
      <c r="J222" s="18"/>
      <c r="K222" s="18"/>
    </row>
    <row r="223" spans="1:11">
      <c r="A223" s="18">
        <v>221</v>
      </c>
      <c r="B223" s="18">
        <v>140310075</v>
      </c>
      <c r="C223" s="18">
        <v>30</v>
      </c>
      <c r="D223" s="18">
        <v>14.212499999999999</v>
      </c>
      <c r="E223" s="18"/>
      <c r="F223" s="18"/>
      <c r="G223" s="18"/>
      <c r="H223" s="18"/>
      <c r="I223" s="18"/>
      <c r="J223" s="18"/>
      <c r="K223" s="18"/>
    </row>
    <row r="224" spans="1:11">
      <c r="A224" s="18">
        <v>222</v>
      </c>
      <c r="B224" s="18">
        <v>140310075</v>
      </c>
      <c r="C224" s="18">
        <v>31</v>
      </c>
      <c r="D224" s="18">
        <v>15.65</v>
      </c>
      <c r="E224" s="18"/>
      <c r="F224" s="18"/>
      <c r="G224" s="18"/>
      <c r="H224" s="18"/>
      <c r="I224" s="18"/>
      <c r="J224" s="18"/>
      <c r="K224" s="18"/>
    </row>
    <row r="225" spans="1:11">
      <c r="A225" s="18">
        <v>223</v>
      </c>
      <c r="B225" s="18">
        <v>140310075</v>
      </c>
      <c r="C225" s="18">
        <v>32</v>
      </c>
      <c r="D225" s="18">
        <v>19.899999999999999</v>
      </c>
      <c r="E225" s="18"/>
      <c r="F225" s="18"/>
      <c r="G225" s="18"/>
      <c r="H225" s="18"/>
      <c r="I225" s="18"/>
      <c r="J225" s="18"/>
      <c r="K225" s="18"/>
    </row>
    <row r="226" spans="1:11">
      <c r="A226" s="18">
        <v>224</v>
      </c>
      <c r="B226" s="18">
        <v>140310075</v>
      </c>
      <c r="C226" s="18">
        <v>33</v>
      </c>
      <c r="D226" s="18">
        <v>7.79</v>
      </c>
      <c r="E226" s="18"/>
      <c r="F226" s="18"/>
      <c r="G226" s="18"/>
      <c r="H226" s="18"/>
      <c r="I226" s="18"/>
      <c r="J226" s="18"/>
      <c r="K226" s="18"/>
    </row>
    <row r="227" spans="1:11">
      <c r="A227" s="18">
        <v>225</v>
      </c>
      <c r="B227" s="18">
        <v>140310075</v>
      </c>
      <c r="C227" s="18">
        <v>34</v>
      </c>
      <c r="D227" s="18">
        <v>3.72</v>
      </c>
      <c r="E227" s="18"/>
      <c r="F227" s="18"/>
      <c r="G227" s="18"/>
      <c r="H227" s="18"/>
      <c r="I227" s="18"/>
      <c r="J227" s="18"/>
      <c r="K227" s="18"/>
    </row>
    <row r="228" spans="1:11">
      <c r="A228" s="18">
        <v>226</v>
      </c>
      <c r="B228" s="18">
        <v>140310075</v>
      </c>
      <c r="C228" s="18">
        <v>35</v>
      </c>
      <c r="D228" s="18">
        <v>8.2799999999999994</v>
      </c>
      <c r="E228" s="18"/>
      <c r="F228" s="18"/>
      <c r="G228" s="18"/>
      <c r="H228" s="18"/>
      <c r="I228" s="18"/>
      <c r="J228" s="18"/>
      <c r="K228" s="18"/>
    </row>
    <row r="229" spans="1:11">
      <c r="A229" s="18">
        <v>227</v>
      </c>
      <c r="B229" s="18">
        <v>140550019</v>
      </c>
      <c r="C229" s="18">
        <v>1</v>
      </c>
      <c r="D229" s="18">
        <v>4.01</v>
      </c>
      <c r="E229" s="18"/>
      <c r="F229" s="18"/>
      <c r="G229" s="18"/>
      <c r="H229" s="18"/>
      <c r="I229" s="18"/>
      <c r="J229" s="18"/>
      <c r="K229" s="18"/>
    </row>
    <row r="230" spans="1:11">
      <c r="A230" s="18">
        <v>228</v>
      </c>
      <c r="B230" s="18">
        <v>140550019</v>
      </c>
      <c r="C230" s="18">
        <v>2</v>
      </c>
      <c r="D230" s="18">
        <v>5.24</v>
      </c>
      <c r="E230" s="18"/>
      <c r="F230" s="18"/>
      <c r="G230" s="18"/>
      <c r="H230" s="18"/>
      <c r="I230" s="18"/>
      <c r="J230" s="18"/>
      <c r="K230" s="18"/>
    </row>
    <row r="231" spans="1:11">
      <c r="A231" s="18">
        <v>229</v>
      </c>
      <c r="B231" s="18">
        <v>140550019</v>
      </c>
      <c r="C231" s="18">
        <v>3</v>
      </c>
      <c r="D231" s="18">
        <v>1.89</v>
      </c>
      <c r="E231" s="18"/>
      <c r="F231" s="18"/>
      <c r="G231" s="18"/>
      <c r="H231" s="18"/>
      <c r="I231" s="18"/>
      <c r="J231" s="18"/>
      <c r="K231" s="18"/>
    </row>
    <row r="232" spans="1:11">
      <c r="A232" s="18">
        <v>230</v>
      </c>
      <c r="B232" s="18">
        <v>140550019</v>
      </c>
      <c r="C232" s="18">
        <v>4</v>
      </c>
      <c r="D232" s="18">
        <v>1.73</v>
      </c>
      <c r="E232" s="18"/>
      <c r="F232" s="18"/>
      <c r="G232" s="18"/>
      <c r="H232" s="18"/>
      <c r="I232" s="18"/>
      <c r="J232" s="18"/>
      <c r="K232" s="18"/>
    </row>
    <row r="233" spans="1:11">
      <c r="A233" s="18">
        <v>231</v>
      </c>
      <c r="B233" s="18">
        <v>140550019</v>
      </c>
      <c r="C233" s="18">
        <v>6</v>
      </c>
      <c r="D233" s="18">
        <v>4.75</v>
      </c>
      <c r="E233" s="18"/>
      <c r="F233" s="18"/>
      <c r="G233" s="18"/>
      <c r="H233" s="18"/>
      <c r="I233" s="18"/>
      <c r="J233" s="18"/>
      <c r="K233" s="18"/>
    </row>
    <row r="234" spans="1:11">
      <c r="A234" s="18">
        <v>232</v>
      </c>
      <c r="B234" s="18">
        <v>140550019</v>
      </c>
      <c r="C234" s="18">
        <v>7</v>
      </c>
      <c r="D234" s="18">
        <v>3.23</v>
      </c>
      <c r="E234" s="18"/>
      <c r="F234" s="18"/>
      <c r="G234" s="18"/>
      <c r="H234" s="18"/>
      <c r="I234" s="18"/>
      <c r="J234" s="18"/>
      <c r="K234" s="18"/>
    </row>
    <row r="235" spans="1:11">
      <c r="A235" s="18">
        <v>233</v>
      </c>
      <c r="B235" s="18">
        <v>140550019</v>
      </c>
      <c r="C235" s="18">
        <v>8</v>
      </c>
      <c r="D235" s="18">
        <v>4.1500000000000004</v>
      </c>
      <c r="E235" s="18"/>
      <c r="F235" s="18"/>
      <c r="G235" s="18"/>
      <c r="H235" s="18"/>
      <c r="I235" s="18"/>
      <c r="J235" s="18"/>
      <c r="K235" s="18"/>
    </row>
    <row r="236" spans="1:11">
      <c r="A236" s="18">
        <v>234</v>
      </c>
      <c r="B236" s="18">
        <v>140550019</v>
      </c>
      <c r="C236" s="18">
        <v>10</v>
      </c>
      <c r="D236" s="18">
        <v>2.15</v>
      </c>
      <c r="E236" s="18"/>
      <c r="F236" s="18"/>
      <c r="G236" s="18"/>
      <c r="H236" s="18"/>
      <c r="I236" s="18"/>
      <c r="J236" s="18"/>
      <c r="K236" s="18"/>
    </row>
    <row r="237" spans="1:11">
      <c r="A237" s="18">
        <v>235</v>
      </c>
      <c r="B237" s="18">
        <v>140550019</v>
      </c>
      <c r="C237" s="18">
        <v>11</v>
      </c>
      <c r="D237" s="18">
        <v>3.61</v>
      </c>
      <c r="E237" s="18"/>
      <c r="F237" s="18"/>
      <c r="G237" s="18"/>
      <c r="H237" s="18"/>
      <c r="I237" s="18"/>
      <c r="J237" s="18"/>
      <c r="K237" s="18"/>
    </row>
    <row r="238" spans="1:11">
      <c r="A238" s="18">
        <v>236</v>
      </c>
      <c r="B238" s="18">
        <v>140550019</v>
      </c>
      <c r="C238" s="18">
        <v>12</v>
      </c>
      <c r="D238" s="18">
        <v>5.52</v>
      </c>
      <c r="E238" s="18"/>
      <c r="F238" s="18"/>
      <c r="G238" s="18"/>
      <c r="H238" s="18"/>
      <c r="I238" s="18"/>
      <c r="J238" s="18"/>
      <c r="K238" s="18"/>
    </row>
    <row r="239" spans="1:11">
      <c r="A239" s="18">
        <v>237</v>
      </c>
      <c r="B239" s="18">
        <v>140550019</v>
      </c>
      <c r="C239" s="18">
        <v>16</v>
      </c>
      <c r="D239" s="18">
        <v>8.19</v>
      </c>
      <c r="E239" s="18"/>
      <c r="F239" s="18"/>
      <c r="G239" s="18"/>
      <c r="H239" s="18"/>
      <c r="I239" s="18"/>
      <c r="J239" s="18"/>
      <c r="K239" s="18"/>
    </row>
    <row r="240" spans="1:11">
      <c r="A240" s="18">
        <v>238</v>
      </c>
      <c r="B240" s="18">
        <v>140550019</v>
      </c>
      <c r="C240" s="18">
        <v>17</v>
      </c>
      <c r="D240" s="18">
        <v>10.08</v>
      </c>
      <c r="E240" s="18"/>
      <c r="F240" s="18"/>
      <c r="G240" s="18"/>
      <c r="H240" s="18"/>
      <c r="I240" s="18"/>
      <c r="J240" s="18"/>
      <c r="K240" s="18"/>
    </row>
    <row r="241" spans="1:11">
      <c r="A241" s="18">
        <v>239</v>
      </c>
      <c r="B241" s="18">
        <v>140550019</v>
      </c>
      <c r="C241" s="18">
        <v>18</v>
      </c>
      <c r="D241" s="18">
        <v>12.87</v>
      </c>
      <c r="E241" s="18"/>
      <c r="F241" s="18"/>
      <c r="G241" s="18"/>
      <c r="H241" s="18"/>
      <c r="I241" s="18"/>
      <c r="J241" s="18"/>
      <c r="K241" s="18"/>
    </row>
    <row r="242" spans="1:11">
      <c r="A242" s="18">
        <v>240</v>
      </c>
      <c r="B242" s="18">
        <v>140550019</v>
      </c>
      <c r="C242" s="18">
        <v>19</v>
      </c>
      <c r="D242" s="18">
        <v>9.8699999999999992</v>
      </c>
      <c r="E242" s="18"/>
      <c r="F242" s="18"/>
      <c r="G242" s="18"/>
      <c r="H242" s="18"/>
      <c r="I242" s="18"/>
      <c r="J242" s="18"/>
      <c r="K242" s="18"/>
    </row>
    <row r="243" spans="1:11">
      <c r="A243" s="18">
        <v>241</v>
      </c>
      <c r="B243" s="18">
        <v>140550019</v>
      </c>
      <c r="C243" s="18">
        <v>21</v>
      </c>
      <c r="D243" s="18">
        <v>6.98</v>
      </c>
      <c r="E243" s="18"/>
      <c r="F243" s="18"/>
      <c r="G243" s="18"/>
      <c r="H243" s="18"/>
      <c r="I243" s="18"/>
      <c r="J243" s="18"/>
      <c r="K243" s="18"/>
    </row>
    <row r="244" spans="1:11">
      <c r="A244" s="18">
        <v>242</v>
      </c>
      <c r="B244" s="18">
        <v>140550019</v>
      </c>
      <c r="C244" s="18">
        <v>22</v>
      </c>
      <c r="D244" s="18">
        <v>25.11</v>
      </c>
      <c r="E244" s="18"/>
      <c r="F244" s="18"/>
      <c r="G244" s="18"/>
      <c r="H244" s="18"/>
      <c r="I244" s="18"/>
      <c r="J244" s="18"/>
      <c r="K244" s="18"/>
    </row>
    <row r="245" spans="1:11">
      <c r="A245" s="18">
        <v>243</v>
      </c>
      <c r="B245" s="18">
        <v>140550019</v>
      </c>
      <c r="C245" s="18">
        <v>23</v>
      </c>
      <c r="D245" s="18">
        <v>33.549999999999997</v>
      </c>
      <c r="E245" s="18"/>
      <c r="F245" s="18"/>
      <c r="G245" s="18"/>
      <c r="H245" s="18"/>
      <c r="I245" s="18"/>
      <c r="J245" s="18"/>
      <c r="K245" s="18"/>
    </row>
    <row r="246" spans="1:11">
      <c r="A246" s="18">
        <v>244</v>
      </c>
      <c r="B246" s="18">
        <v>140550019</v>
      </c>
      <c r="C246" s="18">
        <v>25</v>
      </c>
      <c r="D246" s="18">
        <v>7.81</v>
      </c>
      <c r="E246" s="18"/>
      <c r="F246" s="18"/>
      <c r="G246" s="18"/>
      <c r="H246" s="18"/>
      <c r="I246" s="18"/>
      <c r="J246" s="18"/>
      <c r="K246" s="18"/>
    </row>
    <row r="247" spans="1:11">
      <c r="A247" s="18">
        <v>245</v>
      </c>
      <c r="B247" s="18">
        <v>140550019</v>
      </c>
      <c r="C247" s="18">
        <v>30</v>
      </c>
      <c r="D247" s="18">
        <v>14.212499999999999</v>
      </c>
      <c r="E247" s="18"/>
      <c r="F247" s="18"/>
      <c r="G247" s="18"/>
      <c r="H247" s="18"/>
      <c r="I247" s="18"/>
      <c r="J247" s="18"/>
      <c r="K247" s="18"/>
    </row>
    <row r="248" spans="1:11">
      <c r="A248" s="18">
        <v>246</v>
      </c>
      <c r="B248" s="18">
        <v>140550019</v>
      </c>
      <c r="C248" s="18">
        <v>31</v>
      </c>
      <c r="D248" s="18">
        <v>15.65</v>
      </c>
      <c r="E248" s="18"/>
      <c r="F248" s="18"/>
      <c r="G248" s="18"/>
      <c r="H248" s="18"/>
      <c r="I248" s="18"/>
      <c r="J248" s="18"/>
      <c r="K248" s="18"/>
    </row>
    <row r="249" spans="1:11">
      <c r="A249" s="18">
        <v>247</v>
      </c>
      <c r="B249" s="18">
        <v>140550019</v>
      </c>
      <c r="C249" s="18">
        <v>32</v>
      </c>
      <c r="D249" s="18">
        <v>19.899999999999999</v>
      </c>
      <c r="E249" s="18"/>
      <c r="F249" s="18"/>
      <c r="G249" s="18"/>
      <c r="H249" s="18"/>
      <c r="I249" s="18"/>
      <c r="J249" s="18"/>
      <c r="K249" s="18"/>
    </row>
    <row r="250" spans="1:11">
      <c r="A250" s="18">
        <v>248</v>
      </c>
      <c r="B250" s="18">
        <v>140550019</v>
      </c>
      <c r="C250" s="18">
        <v>33</v>
      </c>
      <c r="D250" s="18">
        <v>7.79</v>
      </c>
      <c r="E250" s="18"/>
      <c r="F250" s="18"/>
      <c r="G250" s="18"/>
      <c r="H250" s="18"/>
      <c r="I250" s="18"/>
      <c r="J250" s="18"/>
      <c r="K250" s="18"/>
    </row>
    <row r="251" spans="1:11">
      <c r="A251" s="18">
        <v>249</v>
      </c>
      <c r="B251" s="18">
        <v>140550019</v>
      </c>
      <c r="C251" s="18">
        <v>34</v>
      </c>
      <c r="D251" s="18">
        <v>3.72</v>
      </c>
      <c r="E251" s="18"/>
      <c r="F251" s="18"/>
      <c r="G251" s="18"/>
      <c r="H251" s="18"/>
      <c r="I251" s="18"/>
      <c r="J251" s="18"/>
      <c r="K251" s="18"/>
    </row>
    <row r="252" spans="1:11">
      <c r="A252" s="18">
        <v>250</v>
      </c>
      <c r="B252" s="18">
        <v>140550019</v>
      </c>
      <c r="C252" s="18">
        <v>35</v>
      </c>
      <c r="D252" s="18">
        <v>7.19</v>
      </c>
      <c r="E252" s="18"/>
      <c r="F252" s="18"/>
      <c r="G252" s="18"/>
      <c r="H252" s="18"/>
      <c r="I252" s="18"/>
      <c r="J252" s="18"/>
      <c r="K252" s="18"/>
    </row>
    <row r="253" spans="1:11">
      <c r="A253" s="18">
        <v>251</v>
      </c>
      <c r="B253" s="18">
        <v>140640035</v>
      </c>
      <c r="C253" s="18">
        <v>1</v>
      </c>
      <c r="D253" s="18">
        <v>4.01</v>
      </c>
      <c r="E253" s="18"/>
      <c r="F253" s="18"/>
      <c r="G253" s="18"/>
      <c r="H253" s="18"/>
      <c r="I253" s="18"/>
      <c r="J253" s="18"/>
      <c r="K253" s="18"/>
    </row>
    <row r="254" spans="1:11">
      <c r="A254" s="18">
        <v>252</v>
      </c>
      <c r="B254" s="18">
        <v>140640035</v>
      </c>
      <c r="C254" s="18">
        <v>2</v>
      </c>
      <c r="D254" s="18">
        <v>5.24</v>
      </c>
      <c r="E254" s="18"/>
      <c r="F254" s="18"/>
      <c r="G254" s="18"/>
      <c r="H254" s="18"/>
      <c r="I254" s="18"/>
      <c r="J254" s="18"/>
      <c r="K254" s="18"/>
    </row>
    <row r="255" spans="1:11">
      <c r="A255" s="18">
        <v>253</v>
      </c>
      <c r="B255" s="18">
        <v>140640035</v>
      </c>
      <c r="C255" s="18">
        <v>3</v>
      </c>
      <c r="D255" s="18">
        <v>1.89</v>
      </c>
      <c r="E255" s="18"/>
      <c r="F255" s="18"/>
      <c r="G255" s="18"/>
      <c r="H255" s="18"/>
      <c r="I255" s="18"/>
      <c r="J255" s="18"/>
      <c r="K255" s="18"/>
    </row>
    <row r="256" spans="1:11">
      <c r="A256" s="18">
        <v>254</v>
      </c>
      <c r="B256" s="18">
        <v>140640035</v>
      </c>
      <c r="C256" s="18">
        <v>4</v>
      </c>
      <c r="D256" s="18">
        <v>1.73</v>
      </c>
      <c r="E256" s="18"/>
      <c r="F256" s="18"/>
      <c r="G256" s="18"/>
      <c r="H256" s="18"/>
      <c r="I256" s="18"/>
      <c r="J256" s="18"/>
      <c r="K256" s="18"/>
    </row>
    <row r="257" spans="1:11">
      <c r="A257" s="18">
        <v>255</v>
      </c>
      <c r="B257" s="18">
        <v>140640035</v>
      </c>
      <c r="C257" s="18">
        <v>6</v>
      </c>
      <c r="D257" s="18">
        <v>4.75</v>
      </c>
      <c r="E257" s="18"/>
      <c r="F257" s="18"/>
      <c r="G257" s="18"/>
      <c r="H257" s="18"/>
      <c r="I257" s="18"/>
      <c r="J257" s="18"/>
      <c r="K257" s="18"/>
    </row>
    <row r="258" spans="1:11">
      <c r="A258" s="18">
        <v>256</v>
      </c>
      <c r="B258" s="18">
        <v>140640035</v>
      </c>
      <c r="C258" s="18">
        <v>7</v>
      </c>
      <c r="D258" s="18">
        <v>3.23</v>
      </c>
      <c r="E258" s="18"/>
      <c r="F258" s="18"/>
      <c r="G258" s="18"/>
      <c r="H258" s="18"/>
      <c r="I258" s="18"/>
      <c r="J258" s="18"/>
      <c r="K258" s="18"/>
    </row>
    <row r="259" spans="1:11">
      <c r="A259" s="18">
        <v>257</v>
      </c>
      <c r="B259" s="18">
        <v>140640035</v>
      </c>
      <c r="C259" s="18">
        <v>8</v>
      </c>
      <c r="D259" s="18">
        <v>4.1500000000000004</v>
      </c>
      <c r="E259" s="18"/>
      <c r="F259" s="18"/>
      <c r="G259" s="18"/>
      <c r="H259" s="18"/>
      <c r="I259" s="18"/>
      <c r="J259" s="18"/>
      <c r="K259" s="18"/>
    </row>
    <row r="260" spans="1:11">
      <c r="A260" s="18">
        <v>258</v>
      </c>
      <c r="B260" s="18">
        <v>140640035</v>
      </c>
      <c r="C260" s="18">
        <v>10</v>
      </c>
      <c r="D260" s="18">
        <v>2.15</v>
      </c>
      <c r="E260" s="18"/>
      <c r="F260" s="18"/>
      <c r="G260" s="18"/>
      <c r="H260" s="18"/>
      <c r="I260" s="18"/>
      <c r="J260" s="18"/>
      <c r="K260" s="18"/>
    </row>
    <row r="261" spans="1:11">
      <c r="A261" s="18">
        <v>259</v>
      </c>
      <c r="B261" s="18">
        <v>140640035</v>
      </c>
      <c r="C261" s="18">
        <v>11</v>
      </c>
      <c r="D261" s="18">
        <v>3.61</v>
      </c>
      <c r="E261" s="18"/>
      <c r="F261" s="18"/>
      <c r="G261" s="18"/>
      <c r="H261" s="18"/>
      <c r="I261" s="18"/>
      <c r="J261" s="18"/>
      <c r="K261" s="18"/>
    </row>
    <row r="262" spans="1:11">
      <c r="A262" s="18">
        <v>260</v>
      </c>
      <c r="B262" s="18">
        <v>140640035</v>
      </c>
      <c r="C262" s="18">
        <v>12</v>
      </c>
      <c r="D262" s="18">
        <v>5.52</v>
      </c>
      <c r="E262" s="18"/>
      <c r="F262" s="18"/>
      <c r="G262" s="18"/>
      <c r="H262" s="18"/>
      <c r="I262" s="18"/>
      <c r="J262" s="18"/>
      <c r="K262" s="18"/>
    </row>
    <row r="263" spans="1:11">
      <c r="A263" s="18">
        <v>261</v>
      </c>
      <c r="B263" s="18">
        <v>140640035</v>
      </c>
      <c r="C263" s="18">
        <v>16</v>
      </c>
      <c r="D263" s="18">
        <v>8.19</v>
      </c>
      <c r="E263" s="18"/>
      <c r="F263" s="18"/>
      <c r="G263" s="18"/>
      <c r="H263" s="18"/>
      <c r="I263" s="18"/>
      <c r="J263" s="18"/>
      <c r="K263" s="18"/>
    </row>
    <row r="264" spans="1:11">
      <c r="A264" s="18">
        <v>262</v>
      </c>
      <c r="B264" s="18">
        <v>140640035</v>
      </c>
      <c r="C264" s="18">
        <v>17</v>
      </c>
      <c r="D264" s="18">
        <v>10.08</v>
      </c>
      <c r="E264" s="18"/>
      <c r="F264" s="18"/>
      <c r="G264" s="18"/>
      <c r="H264" s="18"/>
      <c r="I264" s="18"/>
      <c r="J264" s="18"/>
      <c r="K264" s="18"/>
    </row>
    <row r="265" spans="1:11">
      <c r="A265" s="18">
        <v>263</v>
      </c>
      <c r="B265" s="18">
        <v>140640035</v>
      </c>
      <c r="C265" s="18">
        <v>18</v>
      </c>
      <c r="D265" s="18">
        <v>12.87</v>
      </c>
      <c r="E265" s="18"/>
      <c r="F265" s="18"/>
      <c r="G265" s="18"/>
      <c r="H265" s="18"/>
      <c r="I265" s="18"/>
      <c r="J265" s="18"/>
      <c r="K265" s="18"/>
    </row>
    <row r="266" spans="1:11">
      <c r="A266" s="18">
        <v>264</v>
      </c>
      <c r="B266" s="18">
        <v>140640035</v>
      </c>
      <c r="C266" s="18">
        <v>21</v>
      </c>
      <c r="D266" s="18">
        <v>9.01</v>
      </c>
      <c r="E266" s="18"/>
      <c r="F266" s="18"/>
      <c r="G266" s="18"/>
      <c r="H266" s="18"/>
      <c r="I266" s="18"/>
      <c r="J266" s="18"/>
      <c r="K266" s="18"/>
    </row>
    <row r="267" spans="1:11">
      <c r="A267" s="18">
        <v>265</v>
      </c>
      <c r="B267" s="18">
        <v>140640035</v>
      </c>
      <c r="C267" s="18">
        <v>25</v>
      </c>
      <c r="D267" s="18">
        <v>15.57</v>
      </c>
      <c r="E267" s="18"/>
      <c r="F267" s="18"/>
      <c r="G267" s="18"/>
      <c r="H267" s="18"/>
      <c r="I267" s="18"/>
      <c r="J267" s="18"/>
      <c r="K267" s="18"/>
    </row>
    <row r="268" spans="1:11">
      <c r="A268" s="18">
        <v>266</v>
      </c>
      <c r="B268" s="18">
        <v>140640035</v>
      </c>
      <c r="C268" s="18">
        <v>27</v>
      </c>
      <c r="D268" s="18">
        <v>19.86</v>
      </c>
      <c r="E268" s="18"/>
      <c r="F268" s="18"/>
      <c r="G268" s="18"/>
      <c r="H268" s="18"/>
      <c r="I268" s="18"/>
      <c r="J268" s="18"/>
      <c r="K268" s="18"/>
    </row>
    <row r="269" spans="1:11">
      <c r="A269" s="18">
        <v>267</v>
      </c>
      <c r="B269" s="18">
        <v>140640035</v>
      </c>
      <c r="C269" s="18">
        <v>30</v>
      </c>
      <c r="D269" s="18">
        <v>14.212499999999999</v>
      </c>
      <c r="E269" s="18"/>
      <c r="F269" s="18"/>
      <c r="G269" s="18"/>
      <c r="H269" s="18"/>
      <c r="I269" s="18"/>
      <c r="J269" s="18"/>
      <c r="K269" s="18"/>
    </row>
    <row r="270" spans="1:11">
      <c r="A270" s="18">
        <v>268</v>
      </c>
      <c r="B270" s="18">
        <v>140640035</v>
      </c>
      <c r="C270" s="18">
        <v>31</v>
      </c>
      <c r="D270" s="18">
        <v>15.65</v>
      </c>
      <c r="E270" s="18"/>
      <c r="F270" s="18"/>
      <c r="G270" s="18"/>
      <c r="H270" s="18"/>
      <c r="I270" s="18"/>
      <c r="J270" s="18"/>
      <c r="K270" s="18"/>
    </row>
    <row r="271" spans="1:11">
      <c r="A271" s="18">
        <v>269</v>
      </c>
      <c r="B271" s="18">
        <v>140640035</v>
      </c>
      <c r="C271" s="18">
        <v>32</v>
      </c>
      <c r="D271" s="18">
        <v>19.899999999999999</v>
      </c>
      <c r="E271" s="18"/>
      <c r="F271" s="18"/>
      <c r="G271" s="18"/>
      <c r="H271" s="18"/>
      <c r="I271" s="18"/>
      <c r="J271" s="18"/>
      <c r="K271" s="18"/>
    </row>
    <row r="272" spans="1:11">
      <c r="A272" s="18">
        <v>270</v>
      </c>
      <c r="B272" s="18">
        <v>140640035</v>
      </c>
      <c r="C272" s="18">
        <v>33</v>
      </c>
      <c r="D272" s="18">
        <v>7.79</v>
      </c>
      <c r="E272" s="18"/>
      <c r="F272" s="18"/>
      <c r="G272" s="18"/>
      <c r="H272" s="18"/>
      <c r="I272" s="18"/>
      <c r="J272" s="18"/>
      <c r="K272" s="18"/>
    </row>
    <row r="273" spans="1:11">
      <c r="A273" s="18">
        <v>271</v>
      </c>
      <c r="B273" s="18">
        <v>140640035</v>
      </c>
      <c r="C273" s="18">
        <v>34</v>
      </c>
      <c r="D273" s="18">
        <v>3.72</v>
      </c>
      <c r="E273" s="18"/>
      <c r="F273" s="18"/>
      <c r="G273" s="18"/>
      <c r="H273" s="18"/>
      <c r="I273" s="18"/>
      <c r="J273" s="18"/>
      <c r="K273" s="18"/>
    </row>
    <row r="274" spans="1:11">
      <c r="A274" s="18">
        <v>272</v>
      </c>
      <c r="B274" s="18">
        <v>140640035</v>
      </c>
      <c r="C274" s="18">
        <v>35</v>
      </c>
      <c r="D274" s="18">
        <v>7.19</v>
      </c>
      <c r="E274" s="18"/>
      <c r="F274" s="18"/>
      <c r="G274" s="18"/>
      <c r="H274" s="18"/>
      <c r="I274" s="18"/>
      <c r="J274" s="18"/>
      <c r="K274" s="18"/>
    </row>
    <row r="275" spans="1:11">
      <c r="A275" s="18">
        <v>273</v>
      </c>
      <c r="B275" s="18">
        <v>141650001</v>
      </c>
      <c r="C275" s="18">
        <v>1</v>
      </c>
      <c r="D275" s="18">
        <v>4.01</v>
      </c>
      <c r="E275" s="18"/>
      <c r="F275" s="18"/>
      <c r="G275" s="18"/>
      <c r="H275" s="18"/>
      <c r="I275" s="18"/>
      <c r="J275" s="18"/>
      <c r="K275" s="18"/>
    </row>
    <row r="276" spans="1:11">
      <c r="A276" s="18">
        <v>274</v>
      </c>
      <c r="B276" s="18">
        <v>141650001</v>
      </c>
      <c r="C276" s="18">
        <v>3</v>
      </c>
      <c r="D276" s="18">
        <v>1.89</v>
      </c>
      <c r="E276" s="18"/>
      <c r="F276" s="18"/>
      <c r="G276" s="18"/>
      <c r="H276" s="18"/>
      <c r="I276" s="18"/>
      <c r="J276" s="18"/>
      <c r="K276" s="18"/>
    </row>
    <row r="277" spans="1:11">
      <c r="A277" s="18">
        <v>275</v>
      </c>
      <c r="B277" s="18">
        <v>141650001</v>
      </c>
      <c r="C277" s="18">
        <v>4</v>
      </c>
      <c r="D277" s="18">
        <v>1.73</v>
      </c>
      <c r="E277" s="18"/>
      <c r="F277" s="18"/>
      <c r="G277" s="18"/>
      <c r="H277" s="18"/>
      <c r="I277" s="18"/>
      <c r="J277" s="18"/>
      <c r="K277" s="18"/>
    </row>
    <row r="278" spans="1:11">
      <c r="A278" s="18">
        <v>276</v>
      </c>
      <c r="B278" s="18">
        <v>141650001</v>
      </c>
      <c r="C278" s="18">
        <v>6</v>
      </c>
      <c r="D278" s="18">
        <v>4.75</v>
      </c>
      <c r="E278" s="18"/>
      <c r="F278" s="18"/>
      <c r="G278" s="18"/>
      <c r="H278" s="18"/>
      <c r="I278" s="18"/>
      <c r="J278" s="18"/>
      <c r="K278" s="18"/>
    </row>
    <row r="279" spans="1:11">
      <c r="A279" s="18">
        <v>277</v>
      </c>
      <c r="B279" s="18">
        <v>141650001</v>
      </c>
      <c r="C279" s="18">
        <v>7</v>
      </c>
      <c r="D279" s="18">
        <v>3.23</v>
      </c>
      <c r="E279" s="18"/>
      <c r="F279" s="18"/>
      <c r="G279" s="18"/>
      <c r="H279" s="18"/>
      <c r="I279" s="18"/>
      <c r="J279" s="18"/>
      <c r="K279" s="18"/>
    </row>
    <row r="280" spans="1:11">
      <c r="A280" s="18">
        <v>278</v>
      </c>
      <c r="B280" s="18">
        <v>141650001</v>
      </c>
      <c r="C280" s="18">
        <v>8</v>
      </c>
      <c r="D280" s="18">
        <v>4.1500000000000004</v>
      </c>
      <c r="E280" s="18"/>
      <c r="F280" s="18"/>
      <c r="G280" s="18"/>
      <c r="H280" s="18"/>
      <c r="I280" s="18"/>
      <c r="J280" s="18"/>
      <c r="K280" s="18"/>
    </row>
    <row r="281" spans="1:11">
      <c r="A281" s="18">
        <v>279</v>
      </c>
      <c r="B281" s="18">
        <v>141650001</v>
      </c>
      <c r="C281" s="18">
        <v>10</v>
      </c>
      <c r="D281" s="18">
        <v>2.15</v>
      </c>
      <c r="E281" s="18"/>
      <c r="F281" s="18"/>
      <c r="G281" s="18"/>
      <c r="H281" s="18"/>
      <c r="I281" s="18"/>
      <c r="J281" s="18"/>
      <c r="K281" s="18"/>
    </row>
    <row r="282" spans="1:11">
      <c r="A282" s="18">
        <v>280</v>
      </c>
      <c r="B282" s="18">
        <v>141650001</v>
      </c>
      <c r="C282" s="18">
        <v>11</v>
      </c>
      <c r="D282" s="18">
        <v>3.61</v>
      </c>
      <c r="E282" s="18"/>
      <c r="F282" s="18"/>
      <c r="G282" s="18"/>
      <c r="H282" s="18"/>
      <c r="I282" s="18"/>
      <c r="J282" s="18"/>
      <c r="K282" s="18"/>
    </row>
    <row r="283" spans="1:11">
      <c r="A283" s="18">
        <v>281</v>
      </c>
      <c r="B283" s="18">
        <v>141650001</v>
      </c>
      <c r="C283" s="18">
        <v>12</v>
      </c>
      <c r="D283" s="18">
        <v>5.52</v>
      </c>
      <c r="E283" s="18"/>
      <c r="F283" s="18"/>
      <c r="G283" s="18"/>
      <c r="H283" s="18"/>
      <c r="I283" s="18"/>
      <c r="J283" s="18"/>
      <c r="K283" s="18"/>
    </row>
    <row r="284" spans="1:11">
      <c r="A284" s="18">
        <v>282</v>
      </c>
      <c r="B284" s="18">
        <v>141650001</v>
      </c>
      <c r="C284" s="18">
        <v>16</v>
      </c>
      <c r="D284" s="18">
        <v>8.19</v>
      </c>
      <c r="E284" s="18"/>
      <c r="F284" s="18"/>
      <c r="G284" s="18"/>
      <c r="H284" s="18"/>
      <c r="I284" s="18"/>
      <c r="J284" s="18"/>
      <c r="K284" s="18"/>
    </row>
    <row r="285" spans="1:11">
      <c r="A285" s="18">
        <v>283</v>
      </c>
      <c r="B285" s="18">
        <v>141650001</v>
      </c>
      <c r="C285" s="18">
        <v>17</v>
      </c>
      <c r="D285" s="18">
        <v>10.08</v>
      </c>
      <c r="E285" s="18"/>
      <c r="F285" s="18"/>
      <c r="G285" s="18"/>
      <c r="H285" s="18"/>
      <c r="I285" s="18"/>
      <c r="J285" s="18"/>
      <c r="K285" s="18"/>
    </row>
    <row r="286" spans="1:11">
      <c r="A286" s="18">
        <v>284</v>
      </c>
      <c r="B286" s="18">
        <v>141650001</v>
      </c>
      <c r="C286" s="18">
        <v>18</v>
      </c>
      <c r="D286" s="18">
        <v>12.87</v>
      </c>
      <c r="E286" s="18"/>
      <c r="F286" s="18"/>
      <c r="G286" s="18"/>
      <c r="H286" s="18"/>
      <c r="I286" s="18"/>
      <c r="J286" s="18"/>
      <c r="K286" s="18"/>
    </row>
    <row r="287" spans="1:11">
      <c r="A287" s="18">
        <v>285</v>
      </c>
      <c r="B287" s="18">
        <v>141650001</v>
      </c>
      <c r="C287" s="18">
        <v>19</v>
      </c>
      <c r="D287" s="18">
        <v>9.8699999999999992</v>
      </c>
      <c r="E287" s="18"/>
      <c r="F287" s="18"/>
      <c r="G287" s="18"/>
      <c r="H287" s="18"/>
      <c r="I287" s="18"/>
      <c r="J287" s="18"/>
      <c r="K287" s="18"/>
    </row>
    <row r="288" spans="1:11">
      <c r="A288" s="18">
        <v>286</v>
      </c>
      <c r="B288" s="18">
        <v>141650001</v>
      </c>
      <c r="C288" s="18">
        <v>22</v>
      </c>
      <c r="D288" s="18">
        <v>8.26</v>
      </c>
      <c r="E288" s="18"/>
      <c r="F288" s="18"/>
      <c r="G288" s="18"/>
      <c r="H288" s="18"/>
      <c r="I288" s="18"/>
      <c r="J288" s="18"/>
      <c r="K288" s="18"/>
    </row>
    <row r="289" spans="1:11">
      <c r="A289" s="18">
        <v>287</v>
      </c>
      <c r="B289" s="18">
        <v>141650001</v>
      </c>
      <c r="C289" s="18">
        <v>30</v>
      </c>
      <c r="D289" s="18">
        <v>14.212499999999999</v>
      </c>
      <c r="E289" s="18"/>
      <c r="F289" s="18"/>
      <c r="G289" s="18"/>
      <c r="H289" s="18"/>
      <c r="I289" s="18"/>
      <c r="J289" s="18"/>
      <c r="K289" s="18"/>
    </row>
    <row r="290" spans="1:11">
      <c r="A290" s="18">
        <v>288</v>
      </c>
      <c r="B290" s="18">
        <v>141650001</v>
      </c>
      <c r="C290" s="18">
        <v>31</v>
      </c>
      <c r="D290" s="18">
        <v>15.65</v>
      </c>
      <c r="E290" s="18"/>
      <c r="F290" s="18"/>
      <c r="G290" s="18"/>
      <c r="H290" s="18"/>
      <c r="I290" s="18"/>
      <c r="J290" s="18"/>
      <c r="K290" s="18"/>
    </row>
    <row r="291" spans="1:11">
      <c r="A291" s="18">
        <v>289</v>
      </c>
      <c r="B291" s="18">
        <v>141650001</v>
      </c>
      <c r="C291" s="18">
        <v>32</v>
      </c>
      <c r="D291" s="18">
        <v>19.899999999999999</v>
      </c>
      <c r="E291" s="18"/>
      <c r="F291" s="18"/>
      <c r="G291" s="18"/>
      <c r="H291" s="18"/>
      <c r="I291" s="18"/>
      <c r="J291" s="18"/>
      <c r="K291" s="18"/>
    </row>
    <row r="292" spans="1:11">
      <c r="A292" s="18">
        <v>290</v>
      </c>
      <c r="B292" s="18">
        <v>141650001</v>
      </c>
      <c r="C292" s="18">
        <v>33</v>
      </c>
      <c r="D292" s="18">
        <v>7.79</v>
      </c>
      <c r="E292" s="18"/>
      <c r="F292" s="18"/>
      <c r="G292" s="18"/>
      <c r="H292" s="18"/>
      <c r="I292" s="18"/>
      <c r="J292" s="18"/>
      <c r="K292" s="18"/>
    </row>
    <row r="293" spans="1:11">
      <c r="A293" s="18">
        <v>291</v>
      </c>
      <c r="B293" s="18">
        <v>141650001</v>
      </c>
      <c r="C293" s="18">
        <v>34</v>
      </c>
      <c r="D293" s="18">
        <v>3.72</v>
      </c>
      <c r="E293" s="18"/>
      <c r="F293" s="18"/>
      <c r="G293" s="18"/>
      <c r="H293" s="18"/>
      <c r="I293" s="18"/>
      <c r="J293" s="18"/>
      <c r="K293" s="18"/>
    </row>
    <row r="294" spans="1:11">
      <c r="A294" s="18">
        <v>292</v>
      </c>
      <c r="B294" s="18">
        <v>141650001</v>
      </c>
      <c r="C294" s="18">
        <v>35</v>
      </c>
      <c r="D294" s="18">
        <v>8.2799999999999994</v>
      </c>
      <c r="E294" s="18"/>
      <c r="F294" s="18"/>
      <c r="G294" s="18"/>
      <c r="H294" s="18"/>
      <c r="I294" s="18"/>
      <c r="J294" s="18"/>
      <c r="K294" s="18"/>
    </row>
    <row r="295" spans="1:11">
      <c r="A295" s="18">
        <v>293</v>
      </c>
      <c r="B295" s="18">
        <v>140310083</v>
      </c>
      <c r="C295" s="18">
        <v>1</v>
      </c>
      <c r="D295" s="18">
        <v>4.01</v>
      </c>
      <c r="E295" s="18"/>
      <c r="F295" s="18"/>
      <c r="G295" s="18"/>
      <c r="H295" s="18"/>
      <c r="I295" s="18"/>
      <c r="J295" s="18"/>
      <c r="K295" s="18"/>
    </row>
    <row r="296" spans="1:11">
      <c r="A296" s="18">
        <v>294</v>
      </c>
      <c r="B296" s="18">
        <v>140310083</v>
      </c>
      <c r="C296" s="18">
        <v>3</v>
      </c>
      <c r="D296" s="18">
        <v>1.89</v>
      </c>
      <c r="E296" s="18"/>
      <c r="F296" s="18"/>
      <c r="G296" s="18"/>
      <c r="H296" s="18"/>
      <c r="I296" s="18"/>
      <c r="J296" s="18"/>
      <c r="K296" s="18"/>
    </row>
    <row r="297" spans="1:11">
      <c r="A297" s="18">
        <v>295</v>
      </c>
      <c r="B297" s="18">
        <v>140310083</v>
      </c>
      <c r="C297" s="18">
        <v>4</v>
      </c>
      <c r="D297" s="18">
        <v>1.73</v>
      </c>
      <c r="E297" s="18"/>
      <c r="F297" s="18"/>
      <c r="G297" s="18"/>
      <c r="H297" s="18"/>
      <c r="I297" s="18"/>
      <c r="J297" s="18"/>
      <c r="K297" s="18"/>
    </row>
    <row r="298" spans="1:11">
      <c r="A298" s="18">
        <v>296</v>
      </c>
      <c r="B298" s="18">
        <v>140310083</v>
      </c>
      <c r="C298" s="18">
        <v>6</v>
      </c>
      <c r="D298" s="18">
        <v>4.75</v>
      </c>
      <c r="E298" s="18"/>
      <c r="F298" s="18"/>
      <c r="G298" s="18"/>
      <c r="H298" s="18"/>
      <c r="I298" s="18"/>
      <c r="J298" s="18"/>
      <c r="K298" s="18"/>
    </row>
    <row r="299" spans="1:11">
      <c r="A299" s="18">
        <v>297</v>
      </c>
      <c r="B299" s="18">
        <v>140310083</v>
      </c>
      <c r="C299" s="18">
        <v>9</v>
      </c>
      <c r="D299" s="18">
        <v>6.61</v>
      </c>
      <c r="E299" s="18"/>
      <c r="F299" s="18"/>
      <c r="G299" s="18"/>
      <c r="H299" s="18"/>
      <c r="I299" s="18"/>
      <c r="J299" s="18"/>
      <c r="K299" s="18"/>
    </row>
    <row r="300" spans="1:11">
      <c r="A300" s="18">
        <v>298</v>
      </c>
      <c r="B300" s="18">
        <v>140310083</v>
      </c>
      <c r="C300" s="18">
        <v>10</v>
      </c>
      <c r="D300" s="18">
        <v>2.15</v>
      </c>
      <c r="E300" s="18"/>
      <c r="F300" s="18"/>
      <c r="G300" s="18"/>
      <c r="H300" s="18"/>
      <c r="I300" s="18"/>
      <c r="J300" s="18"/>
      <c r="K300" s="18"/>
    </row>
    <row r="301" spans="1:11">
      <c r="A301" s="18">
        <v>299</v>
      </c>
      <c r="B301" s="18">
        <v>140310083</v>
      </c>
      <c r="C301" s="18">
        <v>13</v>
      </c>
      <c r="D301" s="18">
        <v>7.91</v>
      </c>
      <c r="E301" s="18"/>
      <c r="F301" s="18"/>
      <c r="G301" s="18"/>
      <c r="H301" s="18"/>
      <c r="I301" s="18"/>
      <c r="J301" s="18"/>
      <c r="K301" s="18"/>
    </row>
    <row r="302" spans="1:11">
      <c r="A302" s="18">
        <v>300</v>
      </c>
      <c r="B302" s="18">
        <v>140310083</v>
      </c>
      <c r="C302" s="18">
        <v>16</v>
      </c>
      <c r="D302" s="18">
        <v>8.19</v>
      </c>
      <c r="E302" s="18"/>
      <c r="F302" s="18"/>
      <c r="G302" s="18"/>
      <c r="H302" s="18"/>
      <c r="I302" s="18"/>
      <c r="J302" s="18"/>
      <c r="K302" s="18"/>
    </row>
    <row r="303" spans="1:11">
      <c r="A303" s="18">
        <v>301</v>
      </c>
      <c r="B303" s="18">
        <v>140310083</v>
      </c>
      <c r="C303" s="18">
        <v>17</v>
      </c>
      <c r="D303" s="18">
        <v>10.08</v>
      </c>
      <c r="E303" s="18"/>
      <c r="F303" s="18"/>
      <c r="G303" s="18"/>
      <c r="H303" s="18"/>
      <c r="I303" s="18"/>
      <c r="J303" s="18"/>
      <c r="K303" s="18"/>
    </row>
    <row r="304" spans="1:11">
      <c r="A304" s="18">
        <v>302</v>
      </c>
      <c r="B304" s="18">
        <v>140310083</v>
      </c>
      <c r="C304" s="18">
        <v>18</v>
      </c>
      <c r="D304" s="18">
        <v>12.87</v>
      </c>
      <c r="E304" s="18"/>
      <c r="F304" s="18"/>
      <c r="G304" s="18"/>
      <c r="H304" s="18"/>
      <c r="I304" s="18"/>
      <c r="J304" s="18"/>
      <c r="K304" s="18"/>
    </row>
    <row r="305" spans="1:11">
      <c r="A305" s="18">
        <v>303</v>
      </c>
      <c r="B305" s="18">
        <v>140310083</v>
      </c>
      <c r="C305" s="18">
        <v>19</v>
      </c>
      <c r="D305" s="18">
        <v>9.8699999999999992</v>
      </c>
      <c r="E305" s="18"/>
      <c r="F305" s="18"/>
      <c r="G305" s="18"/>
      <c r="H305" s="18"/>
      <c r="I305" s="18"/>
      <c r="J305" s="18"/>
      <c r="K305" s="18"/>
    </row>
    <row r="306" spans="1:11">
      <c r="A306" s="18">
        <v>304</v>
      </c>
      <c r="B306" s="18">
        <v>140310083</v>
      </c>
      <c r="C306" s="18">
        <v>22</v>
      </c>
      <c r="D306" s="18">
        <v>8.26</v>
      </c>
      <c r="E306" s="18"/>
      <c r="F306" s="18"/>
      <c r="G306" s="18"/>
      <c r="H306" s="18"/>
      <c r="I306" s="18"/>
      <c r="J306" s="18"/>
      <c r="K306" s="18"/>
    </row>
    <row r="307" spans="1:11">
      <c r="A307" s="18">
        <v>305</v>
      </c>
      <c r="B307" s="18">
        <v>140310083</v>
      </c>
      <c r="C307" s="18">
        <v>23</v>
      </c>
      <c r="D307" s="18">
        <v>18.13</v>
      </c>
      <c r="E307" s="18"/>
      <c r="F307" s="18"/>
      <c r="G307" s="18"/>
      <c r="H307" s="18"/>
      <c r="I307" s="18"/>
      <c r="J307" s="18"/>
      <c r="K307" s="18"/>
    </row>
    <row r="308" spans="1:11">
      <c r="A308" s="18">
        <v>306</v>
      </c>
      <c r="B308" s="18">
        <v>140310083</v>
      </c>
      <c r="C308" s="18">
        <v>30</v>
      </c>
      <c r="D308" s="18">
        <v>14.212499999999999</v>
      </c>
      <c r="E308" s="18"/>
      <c r="F308" s="18"/>
      <c r="G308" s="18"/>
      <c r="H308" s="18"/>
      <c r="I308" s="18"/>
      <c r="J308" s="18"/>
      <c r="K308" s="18"/>
    </row>
    <row r="309" spans="1:11">
      <c r="A309" s="18">
        <v>307</v>
      </c>
      <c r="B309" s="18">
        <v>140310083</v>
      </c>
      <c r="C309" s="18">
        <v>31</v>
      </c>
      <c r="D309" s="18">
        <v>15.65</v>
      </c>
      <c r="E309" s="18"/>
      <c r="F309" s="18"/>
      <c r="G309" s="18"/>
      <c r="H309" s="18"/>
      <c r="I309" s="18"/>
      <c r="J309" s="18"/>
      <c r="K309" s="18"/>
    </row>
    <row r="310" spans="1:11">
      <c r="A310" s="18">
        <v>308</v>
      </c>
      <c r="B310" s="18">
        <v>140310083</v>
      </c>
      <c r="C310" s="18">
        <v>32</v>
      </c>
      <c r="D310" s="18">
        <v>19.899999999999999</v>
      </c>
      <c r="E310" s="18"/>
      <c r="F310" s="18"/>
      <c r="G310" s="18"/>
      <c r="H310" s="18"/>
      <c r="I310" s="18"/>
      <c r="J310" s="18"/>
      <c r="K310" s="18"/>
    </row>
    <row r="311" spans="1:11">
      <c r="A311" s="18">
        <v>309</v>
      </c>
      <c r="B311" s="18">
        <v>140310083</v>
      </c>
      <c r="C311" s="18">
        <v>33</v>
      </c>
      <c r="D311" s="18">
        <v>7.79</v>
      </c>
      <c r="E311" s="18"/>
      <c r="F311" s="18"/>
      <c r="G311" s="18"/>
      <c r="H311" s="18"/>
      <c r="I311" s="18"/>
      <c r="J311" s="18"/>
      <c r="K311" s="18"/>
    </row>
    <row r="312" spans="1:11">
      <c r="A312" s="18">
        <v>310</v>
      </c>
      <c r="B312" s="18">
        <v>140310083</v>
      </c>
      <c r="C312" s="18">
        <v>34</v>
      </c>
      <c r="D312" s="18">
        <v>3.72</v>
      </c>
      <c r="E312" s="18"/>
      <c r="F312" s="18"/>
      <c r="G312" s="18"/>
      <c r="H312" s="18"/>
      <c r="I312" s="18"/>
      <c r="J312" s="18"/>
      <c r="K312" s="18"/>
    </row>
    <row r="313" spans="1:11">
      <c r="A313" s="18">
        <v>311</v>
      </c>
      <c r="B313" s="18">
        <v>140310083</v>
      </c>
      <c r="C313" s="18">
        <v>35</v>
      </c>
      <c r="D313" s="18">
        <v>8.2799999999999994</v>
      </c>
      <c r="E313" s="18"/>
      <c r="F313" s="18"/>
      <c r="G313" s="18"/>
      <c r="H313" s="18"/>
      <c r="I313" s="18"/>
      <c r="J313" s="18"/>
      <c r="K313" s="18"/>
    </row>
    <row r="314" spans="1:11">
      <c r="A314" s="18">
        <v>312</v>
      </c>
      <c r="B314" s="18">
        <v>140310083</v>
      </c>
      <c r="C314" s="18">
        <v>38</v>
      </c>
      <c r="D314" s="18">
        <v>2.9</v>
      </c>
      <c r="E314" s="18"/>
      <c r="F314" s="18"/>
      <c r="G314" s="18"/>
      <c r="H314" s="18"/>
      <c r="I314" s="18"/>
      <c r="J314" s="18"/>
      <c r="K314" s="18"/>
    </row>
    <row r="315" spans="1:11">
      <c r="A315" s="18">
        <v>313</v>
      </c>
      <c r="B315" s="18">
        <v>140310071</v>
      </c>
      <c r="C315" s="18">
        <v>1</v>
      </c>
      <c r="D315" s="18">
        <v>4.01</v>
      </c>
      <c r="E315" s="18"/>
      <c r="F315" s="18"/>
      <c r="G315" s="18"/>
      <c r="H315" s="18"/>
      <c r="I315" s="18"/>
      <c r="J315" s="18"/>
      <c r="K315" s="18"/>
    </row>
    <row r="316" spans="1:11">
      <c r="A316" s="18">
        <v>314</v>
      </c>
      <c r="B316" s="18">
        <v>140310071</v>
      </c>
      <c r="C316" s="18">
        <v>2</v>
      </c>
      <c r="D316" s="18">
        <v>5.24</v>
      </c>
      <c r="E316" s="18"/>
      <c r="F316" s="18"/>
      <c r="G316" s="18"/>
      <c r="H316" s="18"/>
      <c r="I316" s="18"/>
      <c r="J316" s="18"/>
      <c r="K316" s="18"/>
    </row>
    <row r="317" spans="1:11">
      <c r="A317" s="18">
        <v>315</v>
      </c>
      <c r="B317" s="18">
        <v>140310071</v>
      </c>
      <c r="C317" s="18">
        <v>3</v>
      </c>
      <c r="D317" s="18">
        <v>1.89</v>
      </c>
      <c r="E317" s="18"/>
      <c r="F317" s="18"/>
      <c r="G317" s="18"/>
      <c r="H317" s="18"/>
      <c r="I317" s="18"/>
      <c r="J317" s="18"/>
      <c r="K317" s="18"/>
    </row>
    <row r="318" spans="1:11">
      <c r="A318" s="18">
        <v>316</v>
      </c>
      <c r="B318" s="18">
        <v>140310071</v>
      </c>
      <c r="C318" s="18">
        <v>4</v>
      </c>
      <c r="D318" s="18">
        <v>1.73</v>
      </c>
      <c r="E318" s="18"/>
      <c r="F318" s="18"/>
      <c r="G318" s="18"/>
      <c r="H318" s="18"/>
      <c r="I318" s="18"/>
      <c r="J318" s="18"/>
      <c r="K318" s="18"/>
    </row>
    <row r="319" spans="1:11">
      <c r="A319" s="18">
        <v>317</v>
      </c>
      <c r="B319" s="18">
        <v>140310071</v>
      </c>
      <c r="C319" s="18">
        <v>6</v>
      </c>
      <c r="D319" s="18">
        <v>4.75</v>
      </c>
      <c r="E319" s="18"/>
      <c r="F319" s="18"/>
      <c r="G319" s="18"/>
      <c r="H319" s="18"/>
      <c r="I319" s="18"/>
      <c r="J319" s="18"/>
      <c r="K319" s="18"/>
    </row>
    <row r="320" spans="1:11">
      <c r="A320" s="18">
        <v>318</v>
      </c>
      <c r="B320" s="18">
        <v>140310071</v>
      </c>
      <c r="C320" s="18">
        <v>7</v>
      </c>
      <c r="D320" s="18">
        <v>3.23</v>
      </c>
      <c r="E320" s="18"/>
      <c r="F320" s="18"/>
      <c r="G320" s="18"/>
      <c r="H320" s="18"/>
      <c r="I320" s="18"/>
      <c r="J320" s="18"/>
      <c r="K320" s="18"/>
    </row>
    <row r="321" spans="1:11">
      <c r="A321" s="18">
        <v>319</v>
      </c>
      <c r="B321" s="18">
        <v>140310071</v>
      </c>
      <c r="C321" s="18">
        <v>8</v>
      </c>
      <c r="D321" s="18">
        <v>4.1500000000000004</v>
      </c>
      <c r="E321" s="18"/>
      <c r="F321" s="18"/>
      <c r="G321" s="18"/>
      <c r="H321" s="18"/>
      <c r="I321" s="18"/>
      <c r="J321" s="18"/>
      <c r="K321" s="18"/>
    </row>
    <row r="322" spans="1:11">
      <c r="A322" s="18">
        <v>320</v>
      </c>
      <c r="B322" s="18">
        <v>140310071</v>
      </c>
      <c r="C322" s="18">
        <v>10</v>
      </c>
      <c r="D322" s="18">
        <v>2.15</v>
      </c>
      <c r="E322" s="18"/>
      <c r="F322" s="18"/>
      <c r="G322" s="18"/>
      <c r="H322" s="18"/>
      <c r="I322" s="18"/>
      <c r="J322" s="18"/>
      <c r="K322" s="18"/>
    </row>
    <row r="323" spans="1:11">
      <c r="A323" s="18">
        <v>321</v>
      </c>
      <c r="B323" s="18">
        <v>140310071</v>
      </c>
      <c r="C323" s="18">
        <v>11</v>
      </c>
      <c r="D323" s="18">
        <v>3.61</v>
      </c>
      <c r="E323" s="18"/>
      <c r="F323" s="18"/>
      <c r="G323" s="18"/>
      <c r="H323" s="18"/>
      <c r="I323" s="18"/>
      <c r="J323" s="18"/>
      <c r="K323" s="18"/>
    </row>
    <row r="324" spans="1:11">
      <c r="A324" s="18">
        <v>322</v>
      </c>
      <c r="B324" s="18">
        <v>140310071</v>
      </c>
      <c r="C324" s="18">
        <v>12</v>
      </c>
      <c r="D324" s="18">
        <v>5.52</v>
      </c>
      <c r="E324" s="18"/>
      <c r="F324" s="18"/>
      <c r="G324" s="18"/>
      <c r="H324" s="18"/>
      <c r="I324" s="18"/>
      <c r="J324" s="18"/>
      <c r="K324" s="18"/>
    </row>
    <row r="325" spans="1:11">
      <c r="A325" s="18">
        <v>323</v>
      </c>
      <c r="B325" s="18">
        <v>140310071</v>
      </c>
      <c r="C325" s="18">
        <v>16</v>
      </c>
      <c r="D325" s="18">
        <v>8.19</v>
      </c>
      <c r="E325" s="18"/>
      <c r="F325" s="18"/>
      <c r="G325" s="18"/>
      <c r="H325" s="18"/>
      <c r="I325" s="18"/>
      <c r="J325" s="18"/>
      <c r="K325" s="18"/>
    </row>
    <row r="326" spans="1:11">
      <c r="A326" s="18">
        <v>324</v>
      </c>
      <c r="B326" s="18">
        <v>140310071</v>
      </c>
      <c r="C326" s="18">
        <v>17</v>
      </c>
      <c r="D326" s="18">
        <v>10.08</v>
      </c>
      <c r="E326" s="18"/>
      <c r="F326" s="18"/>
      <c r="G326" s="18"/>
      <c r="H326" s="18"/>
      <c r="I326" s="18"/>
      <c r="J326" s="18"/>
      <c r="K326" s="18"/>
    </row>
    <row r="327" spans="1:11">
      <c r="A327" s="18">
        <v>325</v>
      </c>
      <c r="B327" s="18">
        <v>140310071</v>
      </c>
      <c r="C327" s="18">
        <v>18</v>
      </c>
      <c r="D327" s="18">
        <v>12.87</v>
      </c>
      <c r="E327" s="18"/>
      <c r="F327" s="18"/>
      <c r="G327" s="18"/>
      <c r="H327" s="18"/>
      <c r="I327" s="18"/>
      <c r="J327" s="18"/>
      <c r="K327" s="18"/>
    </row>
    <row r="328" spans="1:11">
      <c r="A328" s="18">
        <v>326</v>
      </c>
      <c r="B328" s="18">
        <v>140310071</v>
      </c>
      <c r="C328" s="18">
        <v>19</v>
      </c>
      <c r="D328" s="18">
        <v>9.8699999999999992</v>
      </c>
      <c r="E328" s="18"/>
      <c r="F328" s="18"/>
      <c r="G328" s="18"/>
      <c r="H328" s="18"/>
      <c r="I328" s="18"/>
      <c r="J328" s="18"/>
      <c r="K328" s="18"/>
    </row>
    <row r="329" spans="1:11">
      <c r="A329" s="18">
        <v>327</v>
      </c>
      <c r="B329" s="18">
        <v>140310071</v>
      </c>
      <c r="C329" s="18">
        <v>21</v>
      </c>
      <c r="D329" s="18">
        <v>6.4</v>
      </c>
      <c r="E329" s="18"/>
      <c r="F329" s="18"/>
      <c r="G329" s="18"/>
      <c r="H329" s="18"/>
      <c r="I329" s="18"/>
      <c r="J329" s="18"/>
      <c r="K329" s="18"/>
    </row>
    <row r="330" spans="1:11">
      <c r="A330" s="18">
        <v>328</v>
      </c>
      <c r="B330" s="18">
        <v>140310071</v>
      </c>
      <c r="C330" s="18">
        <v>23</v>
      </c>
      <c r="D330" s="18">
        <v>10.15</v>
      </c>
      <c r="E330" s="18"/>
      <c r="F330" s="18"/>
      <c r="G330" s="18"/>
      <c r="H330" s="18"/>
      <c r="I330" s="18"/>
      <c r="J330" s="18"/>
      <c r="K330" s="18"/>
    </row>
    <row r="331" spans="1:11">
      <c r="A331" s="18">
        <v>329</v>
      </c>
      <c r="B331" s="18">
        <v>140310071</v>
      </c>
      <c r="C331" s="18">
        <v>30</v>
      </c>
      <c r="D331" s="18">
        <v>14.212499999999999</v>
      </c>
      <c r="E331" s="18"/>
      <c r="F331" s="18"/>
      <c r="G331" s="18"/>
      <c r="H331" s="18"/>
      <c r="I331" s="18"/>
      <c r="J331" s="18"/>
      <c r="K331" s="18"/>
    </row>
    <row r="332" spans="1:11">
      <c r="A332" s="18">
        <v>330</v>
      </c>
      <c r="B332" s="18">
        <v>140310071</v>
      </c>
      <c r="C332" s="18">
        <v>31</v>
      </c>
      <c r="D332" s="18">
        <v>15.65</v>
      </c>
      <c r="E332" s="18"/>
      <c r="F332" s="18"/>
      <c r="G332" s="18"/>
      <c r="H332" s="18"/>
      <c r="I332" s="18"/>
      <c r="J332" s="18"/>
      <c r="K332" s="18"/>
    </row>
    <row r="333" spans="1:11">
      <c r="A333" s="18">
        <v>331</v>
      </c>
      <c r="B333" s="18">
        <v>140310071</v>
      </c>
      <c r="C333" s="18">
        <v>32</v>
      </c>
      <c r="D333" s="18">
        <v>19.899999999999999</v>
      </c>
      <c r="E333" s="18"/>
      <c r="F333" s="18"/>
      <c r="G333" s="18"/>
      <c r="H333" s="18"/>
      <c r="I333" s="18"/>
      <c r="J333" s="18"/>
      <c r="K333" s="18"/>
    </row>
    <row r="334" spans="1:11">
      <c r="A334" s="18">
        <v>332</v>
      </c>
      <c r="B334" s="18">
        <v>140310071</v>
      </c>
      <c r="C334" s="18">
        <v>33</v>
      </c>
      <c r="D334" s="18">
        <v>7.79</v>
      </c>
      <c r="E334" s="18"/>
      <c r="F334" s="18"/>
      <c r="G334" s="18"/>
      <c r="H334" s="18"/>
      <c r="I334" s="18"/>
      <c r="J334" s="18"/>
      <c r="K334" s="18"/>
    </row>
    <row r="335" spans="1:11">
      <c r="A335" s="18">
        <v>333</v>
      </c>
      <c r="B335" s="18">
        <v>140310071</v>
      </c>
      <c r="C335" s="18">
        <v>34</v>
      </c>
      <c r="D335" s="18">
        <v>3.72</v>
      </c>
      <c r="E335" s="18"/>
      <c r="F335" s="18"/>
      <c r="G335" s="18"/>
      <c r="H335" s="18"/>
      <c r="I335" s="18"/>
      <c r="J335" s="18"/>
      <c r="K335" s="18"/>
    </row>
    <row r="336" spans="1:11">
      <c r="A336" s="18">
        <v>334</v>
      </c>
      <c r="B336" s="18">
        <v>140310071</v>
      </c>
      <c r="C336" s="18">
        <v>35</v>
      </c>
      <c r="D336" s="18">
        <v>8.2799999999999994</v>
      </c>
      <c r="E336" s="18"/>
      <c r="F336" s="18"/>
      <c r="G336" s="18"/>
      <c r="H336" s="18"/>
      <c r="I336" s="18"/>
      <c r="J336" s="18"/>
      <c r="K336" s="18"/>
    </row>
    <row r="337" spans="1:11">
      <c r="A337" s="18">
        <v>335</v>
      </c>
      <c r="B337" s="18">
        <v>140310071</v>
      </c>
      <c r="C337" s="18">
        <v>36</v>
      </c>
      <c r="D337" s="18">
        <v>8.75</v>
      </c>
      <c r="E337" s="18"/>
      <c r="F337" s="18"/>
      <c r="G337" s="18"/>
      <c r="H337" s="18"/>
      <c r="I337" s="18"/>
      <c r="J337" s="18"/>
      <c r="K337" s="18"/>
    </row>
    <row r="338" spans="1:11">
      <c r="A338" s="18">
        <v>336</v>
      </c>
      <c r="B338" s="18">
        <v>140010255</v>
      </c>
      <c r="C338" s="18">
        <v>1</v>
      </c>
      <c r="D338" s="18">
        <v>4.01</v>
      </c>
      <c r="E338" s="18"/>
      <c r="F338" s="18"/>
      <c r="G338" s="18"/>
      <c r="H338" s="18"/>
      <c r="I338" s="18"/>
      <c r="J338" s="18"/>
      <c r="K338" s="18"/>
    </row>
    <row r="339" spans="1:11">
      <c r="A339" s="18">
        <v>337</v>
      </c>
      <c r="B339" s="18">
        <v>140010255</v>
      </c>
      <c r="C339" s="18">
        <v>3</v>
      </c>
      <c r="D339" s="18">
        <v>1.89</v>
      </c>
      <c r="E339" s="18"/>
      <c r="F339" s="18"/>
      <c r="G339" s="18"/>
      <c r="H339" s="18"/>
      <c r="I339" s="18"/>
      <c r="J339" s="18"/>
      <c r="K339" s="18"/>
    </row>
    <row r="340" spans="1:11">
      <c r="A340" s="18">
        <v>338</v>
      </c>
      <c r="B340" s="18">
        <v>140010255</v>
      </c>
      <c r="C340" s="18">
        <v>4</v>
      </c>
      <c r="D340" s="18">
        <v>1.73</v>
      </c>
      <c r="E340" s="18"/>
      <c r="F340" s="18"/>
      <c r="G340" s="18"/>
      <c r="H340" s="18"/>
      <c r="I340" s="18"/>
      <c r="J340" s="18"/>
      <c r="K340" s="18"/>
    </row>
    <row r="341" spans="1:11">
      <c r="A341" s="18">
        <v>339</v>
      </c>
      <c r="B341" s="18">
        <v>140010255</v>
      </c>
      <c r="C341" s="18">
        <v>6</v>
      </c>
      <c r="D341" s="18">
        <v>4.8</v>
      </c>
      <c r="E341" s="18"/>
      <c r="F341" s="18"/>
      <c r="G341" s="18"/>
      <c r="H341" s="18"/>
      <c r="I341" s="18"/>
      <c r="J341" s="18"/>
      <c r="K341" s="18"/>
    </row>
    <row r="342" spans="1:11">
      <c r="A342" s="18">
        <v>340</v>
      </c>
      <c r="B342" s="18">
        <v>140010255</v>
      </c>
      <c r="C342" s="18">
        <v>7</v>
      </c>
      <c r="D342" s="18">
        <v>3.23</v>
      </c>
      <c r="E342" s="18"/>
      <c r="F342" s="18"/>
      <c r="G342" s="18"/>
      <c r="H342" s="18"/>
      <c r="I342" s="18"/>
      <c r="J342" s="18"/>
      <c r="K342" s="18"/>
    </row>
    <row r="343" spans="1:11">
      <c r="A343" s="18">
        <v>341</v>
      </c>
      <c r="B343" s="18">
        <v>140010255</v>
      </c>
      <c r="C343" s="18">
        <v>8</v>
      </c>
      <c r="D343" s="18">
        <v>4.1500000000000004</v>
      </c>
      <c r="E343" s="18"/>
      <c r="F343" s="18"/>
      <c r="G343" s="18"/>
      <c r="H343" s="18"/>
      <c r="I343" s="18"/>
      <c r="J343" s="18"/>
      <c r="K343" s="18"/>
    </row>
    <row r="344" spans="1:11">
      <c r="A344" s="18">
        <v>342</v>
      </c>
      <c r="B344" s="18">
        <v>140010255</v>
      </c>
      <c r="C344" s="18">
        <v>10</v>
      </c>
      <c r="D344" s="18">
        <v>2.15</v>
      </c>
      <c r="E344" s="18"/>
      <c r="F344" s="18"/>
      <c r="G344" s="18"/>
      <c r="H344" s="18"/>
      <c r="I344" s="18"/>
      <c r="J344" s="18"/>
      <c r="K344" s="18"/>
    </row>
    <row r="345" spans="1:11">
      <c r="A345" s="18">
        <v>343</v>
      </c>
      <c r="B345" s="18">
        <v>140010255</v>
      </c>
      <c r="C345" s="18">
        <v>12</v>
      </c>
      <c r="D345" s="18">
        <v>5.52</v>
      </c>
      <c r="E345" s="18"/>
      <c r="F345" s="18"/>
      <c r="G345" s="18"/>
      <c r="H345" s="18"/>
      <c r="I345" s="18"/>
      <c r="J345" s="18"/>
      <c r="K345" s="18"/>
    </row>
    <row r="346" spans="1:11">
      <c r="A346" s="18">
        <v>344</v>
      </c>
      <c r="B346" s="18">
        <v>140010255</v>
      </c>
      <c r="C346" s="18">
        <v>14</v>
      </c>
      <c r="D346" s="18">
        <v>7.2</v>
      </c>
      <c r="E346" s="18"/>
      <c r="F346" s="18"/>
      <c r="G346" s="18"/>
      <c r="H346" s="18"/>
      <c r="I346" s="18"/>
      <c r="J346" s="18"/>
      <c r="K346" s="18"/>
    </row>
    <row r="347" spans="1:11">
      <c r="A347" s="18">
        <v>345</v>
      </c>
      <c r="B347" s="18">
        <v>140010255</v>
      </c>
      <c r="C347" s="18">
        <v>16</v>
      </c>
      <c r="D347" s="18">
        <v>8.19</v>
      </c>
      <c r="E347" s="18"/>
      <c r="F347" s="18"/>
      <c r="G347" s="18"/>
      <c r="H347" s="18"/>
      <c r="I347" s="18"/>
      <c r="J347" s="18"/>
      <c r="K347" s="18"/>
    </row>
    <row r="348" spans="1:11">
      <c r="A348" s="18">
        <v>346</v>
      </c>
      <c r="B348" s="18">
        <v>140010255</v>
      </c>
      <c r="C348" s="18">
        <v>17</v>
      </c>
      <c r="D348" s="18">
        <v>10.08</v>
      </c>
      <c r="E348" s="18"/>
      <c r="F348" s="18"/>
      <c r="G348" s="18"/>
      <c r="H348" s="18"/>
      <c r="I348" s="18"/>
      <c r="J348" s="18"/>
      <c r="K348" s="18"/>
    </row>
    <row r="349" spans="1:11">
      <c r="A349" s="18">
        <v>347</v>
      </c>
      <c r="B349" s="18">
        <v>140010255</v>
      </c>
      <c r="C349" s="18">
        <v>18</v>
      </c>
      <c r="D349" s="18">
        <v>12.87</v>
      </c>
      <c r="E349" s="18"/>
      <c r="F349" s="18"/>
      <c r="G349" s="18"/>
      <c r="H349" s="18"/>
      <c r="I349" s="18"/>
      <c r="J349" s="18"/>
      <c r="K349" s="18"/>
    </row>
    <row r="350" spans="1:11">
      <c r="A350" s="18">
        <v>348</v>
      </c>
      <c r="B350" s="18">
        <v>140010255</v>
      </c>
      <c r="C350" s="18">
        <v>19</v>
      </c>
      <c r="D350" s="18">
        <v>9.8699999999999992</v>
      </c>
      <c r="E350" s="18"/>
      <c r="F350" s="18"/>
      <c r="G350" s="18"/>
      <c r="H350" s="18"/>
      <c r="I350" s="18"/>
      <c r="J350" s="18"/>
      <c r="K350" s="18"/>
    </row>
    <row r="351" spans="1:11">
      <c r="A351" s="18">
        <v>349</v>
      </c>
      <c r="B351" s="18">
        <v>140010255</v>
      </c>
      <c r="C351" s="18">
        <v>30</v>
      </c>
      <c r="D351" s="18">
        <v>14.212499999999999</v>
      </c>
      <c r="E351" s="18"/>
      <c r="F351" s="18"/>
      <c r="G351" s="18"/>
      <c r="H351" s="18"/>
      <c r="I351" s="18"/>
      <c r="J351" s="18"/>
      <c r="K351" s="18"/>
    </row>
    <row r="352" spans="1:11">
      <c r="A352" s="18">
        <v>350</v>
      </c>
      <c r="B352" s="18">
        <v>140010255</v>
      </c>
      <c r="C352" s="18">
        <v>31</v>
      </c>
      <c r="D352" s="18">
        <v>15.65</v>
      </c>
      <c r="E352" s="18"/>
      <c r="F352" s="18"/>
      <c r="G352" s="18"/>
      <c r="H352" s="18"/>
      <c r="I352" s="18"/>
      <c r="J352" s="18"/>
      <c r="K352" s="18"/>
    </row>
    <row r="353" spans="1:11">
      <c r="A353" s="18">
        <v>351</v>
      </c>
      <c r="B353" s="18">
        <v>140010255</v>
      </c>
      <c r="C353" s="18">
        <v>32</v>
      </c>
      <c r="D353" s="18">
        <v>19.899999999999999</v>
      </c>
      <c r="E353" s="18"/>
      <c r="F353" s="18"/>
      <c r="G353" s="18"/>
      <c r="H353" s="18"/>
      <c r="I353" s="18"/>
      <c r="J353" s="18"/>
      <c r="K353" s="18"/>
    </row>
    <row r="354" spans="1:11">
      <c r="A354" s="18">
        <v>352</v>
      </c>
      <c r="B354" s="18">
        <v>140010255</v>
      </c>
      <c r="C354" s="18">
        <v>33</v>
      </c>
      <c r="D354" s="18">
        <v>7.79</v>
      </c>
      <c r="E354" s="18"/>
      <c r="F354" s="18"/>
      <c r="G354" s="18"/>
      <c r="H354" s="18"/>
      <c r="I354" s="18"/>
      <c r="J354" s="18"/>
      <c r="K354" s="18"/>
    </row>
    <row r="355" spans="1:11">
      <c r="A355" s="18">
        <v>353</v>
      </c>
      <c r="B355" s="18">
        <v>140010255</v>
      </c>
      <c r="C355" s="18">
        <v>34</v>
      </c>
      <c r="D355" s="18">
        <v>3.72</v>
      </c>
      <c r="E355" s="18"/>
      <c r="F355" s="18"/>
      <c r="G355" s="18"/>
      <c r="H355" s="18"/>
      <c r="I355" s="18"/>
      <c r="J355" s="18"/>
      <c r="K355" s="18"/>
    </row>
    <row r="356" spans="1:11">
      <c r="A356" s="18">
        <v>354</v>
      </c>
      <c r="B356" s="18">
        <v>140010255</v>
      </c>
      <c r="C356" s="18">
        <v>37</v>
      </c>
      <c r="D356" s="18">
        <v>10.76</v>
      </c>
      <c r="E356" s="18"/>
      <c r="F356" s="18"/>
      <c r="G356" s="18"/>
      <c r="H356" s="18"/>
      <c r="I356" s="18"/>
      <c r="J356" s="18"/>
      <c r="K356" s="18"/>
    </row>
    <row r="357" spans="1:11">
      <c r="A357" s="18">
        <v>355</v>
      </c>
      <c r="B357" s="18">
        <v>140310007</v>
      </c>
      <c r="C357" s="18">
        <v>1</v>
      </c>
      <c r="D357" s="18">
        <v>4.01</v>
      </c>
      <c r="E357" s="18"/>
      <c r="F357" s="18"/>
      <c r="G357" s="18"/>
      <c r="H357" s="18"/>
      <c r="I357" s="18"/>
      <c r="J357" s="18"/>
      <c r="K357" s="18"/>
    </row>
    <row r="358" spans="1:11">
      <c r="A358" s="18">
        <v>356</v>
      </c>
      <c r="B358" s="18">
        <v>140310007</v>
      </c>
      <c r="C358" s="18">
        <v>2</v>
      </c>
      <c r="D358" s="18">
        <v>5.23</v>
      </c>
      <c r="E358" s="18"/>
      <c r="F358" s="18"/>
      <c r="G358" s="18"/>
      <c r="H358" s="18"/>
      <c r="I358" s="18"/>
      <c r="J358" s="18"/>
      <c r="K358" s="18"/>
    </row>
    <row r="359" spans="1:11">
      <c r="A359" s="18">
        <v>357</v>
      </c>
      <c r="B359" s="18">
        <v>140310007</v>
      </c>
      <c r="C359" s="18">
        <v>3</v>
      </c>
      <c r="D359" s="18">
        <v>1.89</v>
      </c>
      <c r="E359" s="18"/>
      <c r="F359" s="18"/>
      <c r="G359" s="18"/>
      <c r="H359" s="18"/>
      <c r="I359" s="18"/>
      <c r="J359" s="18"/>
      <c r="K359" s="18"/>
    </row>
    <row r="360" spans="1:11">
      <c r="A360" s="18">
        <v>358</v>
      </c>
      <c r="B360" s="18">
        <v>140310007</v>
      </c>
      <c r="C360" s="18">
        <v>4</v>
      </c>
      <c r="D360" s="18">
        <v>1.73</v>
      </c>
      <c r="E360" s="18"/>
      <c r="F360" s="18"/>
      <c r="G360" s="18"/>
      <c r="H360" s="18"/>
      <c r="I360" s="18"/>
      <c r="J360" s="18"/>
      <c r="K360" s="18"/>
    </row>
    <row r="361" spans="1:11">
      <c r="A361" s="18">
        <v>359</v>
      </c>
      <c r="B361" s="18">
        <v>140310007</v>
      </c>
      <c r="C361" s="18">
        <v>6</v>
      </c>
      <c r="D361" s="18">
        <v>4.8</v>
      </c>
      <c r="E361" s="18"/>
      <c r="F361" s="18"/>
      <c r="G361" s="18"/>
      <c r="H361" s="18"/>
      <c r="I361" s="18"/>
      <c r="J361" s="18"/>
      <c r="K361" s="18"/>
    </row>
    <row r="362" spans="1:11">
      <c r="A362" s="18">
        <v>360</v>
      </c>
      <c r="B362" s="18">
        <v>140310007</v>
      </c>
      <c r="C362" s="18">
        <v>7</v>
      </c>
      <c r="D362" s="18">
        <v>3.23</v>
      </c>
      <c r="E362" s="18"/>
      <c r="F362" s="18"/>
      <c r="G362" s="18"/>
      <c r="H362" s="18"/>
      <c r="I362" s="18"/>
      <c r="J362" s="18"/>
      <c r="K362" s="18"/>
    </row>
    <row r="363" spans="1:11">
      <c r="A363" s="18">
        <v>361</v>
      </c>
      <c r="B363" s="18">
        <v>140310007</v>
      </c>
      <c r="C363" s="18">
        <v>8</v>
      </c>
      <c r="D363" s="18">
        <v>4.1500000000000004</v>
      </c>
      <c r="E363" s="18"/>
      <c r="F363" s="18"/>
      <c r="G363" s="18"/>
      <c r="H363" s="18"/>
      <c r="I363" s="18"/>
      <c r="J363" s="18"/>
      <c r="K363" s="18"/>
    </row>
    <row r="364" spans="1:11">
      <c r="A364" s="18">
        <v>362</v>
      </c>
      <c r="B364" s="18">
        <v>140310007</v>
      </c>
      <c r="C364" s="18">
        <v>10</v>
      </c>
      <c r="D364" s="18">
        <v>2.15</v>
      </c>
      <c r="E364" s="18"/>
      <c r="F364" s="18"/>
      <c r="G364" s="18"/>
      <c r="H364" s="18"/>
      <c r="I364" s="18"/>
      <c r="J364" s="18"/>
      <c r="K364" s="18"/>
    </row>
    <row r="365" spans="1:11">
      <c r="A365" s="18">
        <v>363</v>
      </c>
      <c r="B365" s="18">
        <v>140310007</v>
      </c>
      <c r="C365" s="18">
        <v>11</v>
      </c>
      <c r="D365" s="18">
        <v>3.61</v>
      </c>
      <c r="E365" s="18"/>
      <c r="F365" s="18"/>
      <c r="G365" s="18"/>
      <c r="H365" s="18"/>
      <c r="I365" s="18"/>
      <c r="J365" s="18"/>
      <c r="K365" s="18"/>
    </row>
    <row r="366" spans="1:11">
      <c r="A366" s="18">
        <v>364</v>
      </c>
      <c r="B366" s="18">
        <v>140310007</v>
      </c>
      <c r="C366" s="18">
        <v>16</v>
      </c>
      <c r="D366" s="18">
        <v>8.19</v>
      </c>
      <c r="E366" s="18"/>
      <c r="F366" s="18"/>
      <c r="G366" s="18"/>
      <c r="H366" s="18"/>
      <c r="I366" s="18"/>
      <c r="J366" s="18"/>
      <c r="K366" s="18"/>
    </row>
    <row r="367" spans="1:11">
      <c r="A367" s="18">
        <v>365</v>
      </c>
      <c r="B367" s="18">
        <v>140310007</v>
      </c>
      <c r="C367" s="18">
        <v>17</v>
      </c>
      <c r="D367" s="18">
        <v>10.08</v>
      </c>
      <c r="E367" s="18"/>
      <c r="F367" s="18"/>
      <c r="G367" s="18"/>
      <c r="H367" s="18"/>
      <c r="I367" s="18"/>
      <c r="J367" s="18"/>
      <c r="K367" s="18"/>
    </row>
    <row r="368" spans="1:11">
      <c r="A368" s="18">
        <v>366</v>
      </c>
      <c r="B368" s="18">
        <v>140310007</v>
      </c>
      <c r="C368" s="18">
        <v>18</v>
      </c>
      <c r="D368" s="18">
        <v>12.87</v>
      </c>
      <c r="E368" s="18"/>
      <c r="F368" s="18"/>
      <c r="G368" s="18"/>
      <c r="H368" s="18"/>
      <c r="I368" s="18"/>
      <c r="J368" s="18"/>
      <c r="K368" s="18"/>
    </row>
    <row r="369" spans="1:11">
      <c r="A369" s="18">
        <v>367</v>
      </c>
      <c r="B369" s="18">
        <v>140310007</v>
      </c>
      <c r="C369" s="18">
        <v>19</v>
      </c>
      <c r="D369" s="18">
        <v>9.8699999999999992</v>
      </c>
      <c r="E369" s="18"/>
      <c r="F369" s="18"/>
      <c r="G369" s="18"/>
      <c r="H369" s="18"/>
      <c r="I369" s="18"/>
      <c r="J369" s="18"/>
      <c r="K369" s="18"/>
    </row>
    <row r="370" spans="1:11">
      <c r="A370" s="18">
        <v>368</v>
      </c>
      <c r="B370" s="18">
        <v>140310007</v>
      </c>
      <c r="C370" s="18">
        <v>30</v>
      </c>
      <c r="D370" s="18">
        <v>14.212499999999999</v>
      </c>
      <c r="E370" s="18"/>
      <c r="F370" s="18"/>
      <c r="G370" s="18"/>
      <c r="H370" s="18"/>
      <c r="I370" s="18"/>
      <c r="J370" s="18"/>
      <c r="K370" s="18"/>
    </row>
    <row r="371" spans="1:11">
      <c r="A371" s="18">
        <v>369</v>
      </c>
      <c r="B371" s="18">
        <v>140310007</v>
      </c>
      <c r="C371" s="18">
        <v>31</v>
      </c>
      <c r="D371" s="18">
        <v>15.65</v>
      </c>
      <c r="E371" s="18"/>
      <c r="F371" s="18"/>
      <c r="G371" s="18"/>
      <c r="H371" s="18"/>
      <c r="I371" s="18"/>
      <c r="J371" s="18"/>
      <c r="K371" s="18"/>
    </row>
    <row r="372" spans="1:11">
      <c r="A372" s="18">
        <v>370</v>
      </c>
      <c r="B372" s="18">
        <v>140310007</v>
      </c>
      <c r="C372" s="18">
        <v>32</v>
      </c>
      <c r="D372" s="18">
        <v>19.899999999999999</v>
      </c>
      <c r="E372" s="18"/>
      <c r="F372" s="18"/>
      <c r="G372" s="18"/>
      <c r="H372" s="18"/>
      <c r="I372" s="18"/>
      <c r="J372" s="18"/>
      <c r="K372" s="18"/>
    </row>
    <row r="373" spans="1:11">
      <c r="A373" s="18">
        <v>371</v>
      </c>
      <c r="B373" s="18">
        <v>140310007</v>
      </c>
      <c r="C373" s="18">
        <v>33</v>
      </c>
      <c r="D373" s="18">
        <v>7.79</v>
      </c>
      <c r="E373" s="18"/>
      <c r="F373" s="18"/>
      <c r="G373" s="18"/>
      <c r="H373" s="18"/>
      <c r="I373" s="18"/>
      <c r="J373" s="18"/>
      <c r="K373" s="18"/>
    </row>
    <row r="374" spans="1:11">
      <c r="A374" s="18">
        <v>372</v>
      </c>
      <c r="B374" s="18">
        <v>140310007</v>
      </c>
      <c r="C374" s="18">
        <v>34</v>
      </c>
      <c r="D374" s="18">
        <v>3.72</v>
      </c>
      <c r="E374" s="18"/>
      <c r="F374" s="18"/>
      <c r="G374" s="18"/>
      <c r="H374" s="18"/>
      <c r="I374" s="18"/>
      <c r="J374" s="18"/>
      <c r="K374" s="18"/>
    </row>
    <row r="375" spans="1:11">
      <c r="A375" s="18">
        <v>373</v>
      </c>
      <c r="B375" s="18">
        <v>140310007</v>
      </c>
      <c r="C375" s="18">
        <v>35</v>
      </c>
      <c r="D375" s="18">
        <v>8.3000000000000007</v>
      </c>
      <c r="E375" s="18"/>
      <c r="F375" s="18"/>
      <c r="G375" s="18"/>
      <c r="H375" s="18"/>
      <c r="I375" s="18"/>
      <c r="J375" s="18"/>
      <c r="K375" s="18"/>
    </row>
    <row r="376" spans="1:11">
      <c r="A376" s="18">
        <v>374</v>
      </c>
      <c r="B376" s="18">
        <v>140310007</v>
      </c>
      <c r="C376" s="18">
        <v>38</v>
      </c>
      <c r="D376" s="18">
        <v>2.9</v>
      </c>
      <c r="E376" s="18"/>
      <c r="F376" s="18"/>
      <c r="G376" s="18"/>
      <c r="H376" s="18"/>
      <c r="I376" s="18"/>
      <c r="J376" s="18"/>
      <c r="K376" s="18"/>
    </row>
    <row r="377" spans="1:11">
      <c r="A377" s="18">
        <v>375</v>
      </c>
      <c r="B377" s="18">
        <v>140310031</v>
      </c>
      <c r="C377" s="18">
        <v>1</v>
      </c>
      <c r="D377" s="18">
        <v>4.01</v>
      </c>
      <c r="E377" s="18"/>
      <c r="F377" s="18"/>
      <c r="G377" s="18"/>
      <c r="H377" s="18"/>
      <c r="I377" s="18"/>
      <c r="J377" s="18"/>
      <c r="K377" s="18"/>
    </row>
    <row r="378" spans="1:11">
      <c r="A378" s="18">
        <v>376</v>
      </c>
      <c r="B378" s="18">
        <v>140310031</v>
      </c>
      <c r="C378" s="18">
        <v>3</v>
      </c>
      <c r="D378" s="18">
        <v>1.89</v>
      </c>
      <c r="E378" s="18"/>
      <c r="F378" s="18"/>
      <c r="G378" s="18"/>
      <c r="H378" s="18"/>
      <c r="I378" s="18"/>
      <c r="J378" s="18"/>
      <c r="K378" s="18"/>
    </row>
    <row r="379" spans="1:11">
      <c r="A379" s="18">
        <v>377</v>
      </c>
      <c r="B379" s="18">
        <v>140310031</v>
      </c>
      <c r="C379" s="18">
        <v>4</v>
      </c>
      <c r="D379" s="18">
        <v>1.73</v>
      </c>
      <c r="E379" s="18"/>
      <c r="F379" s="18"/>
      <c r="G379" s="18"/>
      <c r="H379" s="18"/>
      <c r="I379" s="18"/>
      <c r="J379" s="18"/>
      <c r="K379" s="18"/>
    </row>
    <row r="380" spans="1:11">
      <c r="A380" s="18">
        <v>378</v>
      </c>
      <c r="B380" s="18">
        <v>140310031</v>
      </c>
      <c r="C380" s="18">
        <v>7</v>
      </c>
      <c r="D380" s="18">
        <v>3.23</v>
      </c>
      <c r="E380" s="18"/>
      <c r="F380" s="18"/>
      <c r="G380" s="18"/>
      <c r="H380" s="18"/>
      <c r="I380" s="18"/>
      <c r="J380" s="18"/>
      <c r="K380" s="18"/>
    </row>
    <row r="381" spans="1:11">
      <c r="A381" s="18">
        <v>379</v>
      </c>
      <c r="B381" s="18">
        <v>140310031</v>
      </c>
      <c r="C381" s="18">
        <v>8</v>
      </c>
      <c r="D381" s="18">
        <v>4.1500000000000004</v>
      </c>
      <c r="E381" s="18"/>
      <c r="F381" s="18"/>
      <c r="G381" s="18"/>
      <c r="H381" s="18"/>
      <c r="I381" s="18"/>
      <c r="J381" s="18"/>
      <c r="K381" s="18"/>
    </row>
    <row r="382" spans="1:11">
      <c r="A382" s="18">
        <v>380</v>
      </c>
      <c r="B382" s="18">
        <v>140310031</v>
      </c>
      <c r="C382" s="18">
        <v>10</v>
      </c>
      <c r="D382" s="18">
        <v>2.15</v>
      </c>
      <c r="E382" s="18"/>
      <c r="F382" s="18"/>
      <c r="G382" s="18"/>
      <c r="H382" s="18"/>
      <c r="I382" s="18"/>
      <c r="J382" s="18"/>
      <c r="K382" s="18"/>
    </row>
    <row r="383" spans="1:11">
      <c r="A383" s="18">
        <v>381</v>
      </c>
      <c r="B383" s="18">
        <v>140310031</v>
      </c>
      <c r="C383" s="18">
        <v>11</v>
      </c>
      <c r="D383" s="18">
        <v>3.61</v>
      </c>
      <c r="E383" s="18"/>
      <c r="F383" s="18"/>
      <c r="G383" s="18"/>
      <c r="H383" s="18"/>
      <c r="I383" s="18"/>
      <c r="J383" s="18"/>
      <c r="K383" s="18"/>
    </row>
    <row r="384" spans="1:11">
      <c r="A384" s="18">
        <v>382</v>
      </c>
      <c r="B384" s="18">
        <v>140310031</v>
      </c>
      <c r="C384" s="18">
        <v>12</v>
      </c>
      <c r="D384" s="18">
        <v>5.52</v>
      </c>
      <c r="E384" s="18"/>
      <c r="F384" s="18"/>
      <c r="G384" s="18"/>
      <c r="H384" s="18"/>
      <c r="I384" s="18"/>
      <c r="J384" s="18"/>
      <c r="K384" s="18"/>
    </row>
    <row r="385" spans="1:11">
      <c r="A385" s="18">
        <v>383</v>
      </c>
      <c r="B385" s="18">
        <v>140310031</v>
      </c>
      <c r="C385" s="18">
        <v>16</v>
      </c>
      <c r="D385" s="18">
        <v>8.19</v>
      </c>
      <c r="E385" s="18"/>
      <c r="F385" s="18"/>
      <c r="G385" s="18"/>
      <c r="H385" s="18"/>
      <c r="I385" s="18"/>
      <c r="J385" s="18"/>
      <c r="K385" s="18"/>
    </row>
    <row r="386" spans="1:11">
      <c r="A386" s="18">
        <v>384</v>
      </c>
      <c r="B386" s="18">
        <v>140310031</v>
      </c>
      <c r="C386" s="18">
        <v>17</v>
      </c>
      <c r="D386" s="18">
        <v>10.08</v>
      </c>
      <c r="E386" s="18"/>
      <c r="F386" s="18"/>
      <c r="G386" s="18"/>
      <c r="H386" s="18"/>
      <c r="I386" s="18"/>
      <c r="J386" s="18"/>
      <c r="K386" s="18"/>
    </row>
    <row r="387" spans="1:11">
      <c r="A387" s="18">
        <v>385</v>
      </c>
      <c r="B387" s="18">
        <v>140310031</v>
      </c>
      <c r="C387" s="18">
        <v>18</v>
      </c>
      <c r="D387" s="18">
        <v>12.87</v>
      </c>
      <c r="E387" s="18"/>
      <c r="F387" s="18"/>
      <c r="G387" s="18"/>
      <c r="H387" s="18"/>
      <c r="I387" s="18"/>
      <c r="J387" s="18"/>
      <c r="K387" s="18"/>
    </row>
    <row r="388" spans="1:11">
      <c r="A388" s="18">
        <v>386</v>
      </c>
      <c r="B388" s="18">
        <v>140310031</v>
      </c>
      <c r="C388" s="18">
        <v>19</v>
      </c>
      <c r="D388" s="18">
        <v>9.8699999999999992</v>
      </c>
      <c r="E388" s="18"/>
      <c r="F388" s="18"/>
      <c r="G388" s="18"/>
      <c r="H388" s="18"/>
      <c r="I388" s="18"/>
      <c r="J388" s="18"/>
      <c r="K388" s="18"/>
    </row>
    <row r="389" spans="1:11">
      <c r="A389" s="18">
        <v>387</v>
      </c>
      <c r="B389" s="18">
        <v>140310031</v>
      </c>
      <c r="C389" s="18">
        <v>21</v>
      </c>
      <c r="D389" s="18">
        <v>9.01</v>
      </c>
      <c r="E389" s="18"/>
      <c r="F389" s="18"/>
      <c r="G389" s="18"/>
      <c r="H389" s="18"/>
      <c r="I389" s="18"/>
      <c r="J389" s="18"/>
      <c r="K389" s="18"/>
    </row>
    <row r="390" spans="1:11">
      <c r="A390" s="18">
        <v>388</v>
      </c>
      <c r="B390" s="18">
        <v>140310031</v>
      </c>
      <c r="C390" s="18">
        <v>27</v>
      </c>
      <c r="D390" s="18">
        <v>11.33</v>
      </c>
      <c r="E390" s="18"/>
      <c r="F390" s="18"/>
      <c r="G390" s="18"/>
      <c r="H390" s="18"/>
      <c r="I390" s="18"/>
      <c r="J390" s="18"/>
      <c r="K390" s="18"/>
    </row>
    <row r="391" spans="1:11">
      <c r="A391" s="18">
        <v>389</v>
      </c>
      <c r="B391" s="18">
        <v>140310031</v>
      </c>
      <c r="C391" s="18">
        <v>28</v>
      </c>
      <c r="D391" s="18">
        <v>25.72</v>
      </c>
      <c r="E391" s="18"/>
      <c r="F391" s="18"/>
      <c r="G391" s="18"/>
      <c r="H391" s="18"/>
      <c r="I391" s="18"/>
      <c r="J391" s="18"/>
      <c r="K391" s="18"/>
    </row>
    <row r="392" spans="1:11">
      <c r="A392" s="18">
        <v>390</v>
      </c>
      <c r="B392" s="18">
        <v>140310031</v>
      </c>
      <c r="C392" s="18">
        <v>29</v>
      </c>
      <c r="D392" s="18">
        <v>15.95</v>
      </c>
      <c r="E392" s="18"/>
      <c r="F392" s="18"/>
      <c r="G392" s="18"/>
      <c r="H392" s="18"/>
      <c r="I392" s="18"/>
      <c r="J392" s="18"/>
      <c r="K392" s="18"/>
    </row>
    <row r="393" spans="1:11">
      <c r="A393" s="18">
        <v>391</v>
      </c>
      <c r="B393" s="18">
        <v>140310031</v>
      </c>
      <c r="C393" s="18">
        <v>30</v>
      </c>
      <c r="D393" s="18">
        <v>14.212499999999999</v>
      </c>
      <c r="E393" s="18"/>
      <c r="F393" s="18"/>
      <c r="G393" s="18"/>
      <c r="H393" s="18"/>
      <c r="I393" s="18"/>
      <c r="J393" s="18"/>
      <c r="K393" s="18"/>
    </row>
    <row r="394" spans="1:11">
      <c r="A394" s="18">
        <v>392</v>
      </c>
      <c r="B394" s="18">
        <v>140310031</v>
      </c>
      <c r="C394" s="18">
        <v>31</v>
      </c>
      <c r="D394" s="18">
        <v>15.65</v>
      </c>
      <c r="E394" s="18"/>
      <c r="F394" s="18"/>
      <c r="G394" s="18"/>
      <c r="H394" s="18"/>
      <c r="I394" s="18"/>
      <c r="J394" s="18"/>
      <c r="K394" s="18"/>
    </row>
    <row r="395" spans="1:11">
      <c r="A395" s="18">
        <v>393</v>
      </c>
      <c r="B395" s="18">
        <v>140310031</v>
      </c>
      <c r="C395" s="18">
        <v>32</v>
      </c>
      <c r="D395" s="18">
        <v>19.899999999999999</v>
      </c>
      <c r="E395" s="18"/>
      <c r="F395" s="18"/>
      <c r="G395" s="18"/>
      <c r="H395" s="18"/>
      <c r="I395" s="18"/>
      <c r="J395" s="18"/>
      <c r="K395" s="18"/>
    </row>
    <row r="396" spans="1:11">
      <c r="A396" s="18">
        <v>394</v>
      </c>
      <c r="B396" s="18">
        <v>140310031</v>
      </c>
      <c r="C396" s="18">
        <v>33</v>
      </c>
      <c r="D396" s="18">
        <v>7.79</v>
      </c>
      <c r="E396" s="18"/>
      <c r="F396" s="18"/>
      <c r="G396" s="18"/>
      <c r="H396" s="18"/>
      <c r="I396" s="18"/>
      <c r="J396" s="18"/>
      <c r="K396" s="18"/>
    </row>
    <row r="397" spans="1:11">
      <c r="A397" s="18">
        <v>395</v>
      </c>
      <c r="B397" s="18">
        <v>140310031</v>
      </c>
      <c r="C397" s="18">
        <v>34</v>
      </c>
      <c r="D397" s="18">
        <v>3.72</v>
      </c>
      <c r="E397" s="18"/>
      <c r="F397" s="18"/>
      <c r="G397" s="18"/>
      <c r="H397" s="18"/>
      <c r="I397" s="18"/>
      <c r="J397" s="18"/>
      <c r="K397" s="18"/>
    </row>
    <row r="398" spans="1:11">
      <c r="A398" s="18">
        <v>396</v>
      </c>
      <c r="B398" s="18">
        <v>140310031</v>
      </c>
      <c r="C398" s="18">
        <v>35</v>
      </c>
      <c r="D398" s="18">
        <v>8.2799999999999994</v>
      </c>
      <c r="E398" s="18"/>
      <c r="F398" s="18"/>
      <c r="G398" s="18"/>
      <c r="H398" s="18"/>
      <c r="I398" s="18"/>
      <c r="J398" s="18"/>
      <c r="K398" s="18"/>
    </row>
    <row r="399" spans="1:11">
      <c r="A399" s="18">
        <v>397</v>
      </c>
      <c r="B399" s="18">
        <v>140020181</v>
      </c>
      <c r="C399" s="18">
        <v>1</v>
      </c>
      <c r="D399" s="18">
        <v>2.69</v>
      </c>
      <c r="E399" s="18"/>
      <c r="F399" s="18"/>
      <c r="G399" s="18"/>
      <c r="H399" s="18"/>
      <c r="I399" s="18"/>
      <c r="J399" s="18"/>
      <c r="K399" s="18"/>
    </row>
    <row r="400" spans="1:11">
      <c r="A400" s="18">
        <v>398</v>
      </c>
      <c r="B400" s="18">
        <v>140020181</v>
      </c>
      <c r="C400" s="18">
        <v>3</v>
      </c>
      <c r="D400" s="18">
        <v>1.89</v>
      </c>
      <c r="E400" s="18"/>
      <c r="F400" s="18"/>
      <c r="G400" s="18"/>
      <c r="H400" s="18"/>
      <c r="I400" s="18"/>
      <c r="J400" s="18"/>
      <c r="K400" s="18"/>
    </row>
    <row r="401" spans="1:11">
      <c r="A401" s="18">
        <v>399</v>
      </c>
      <c r="B401" s="18">
        <v>140020181</v>
      </c>
      <c r="C401" s="18">
        <v>4</v>
      </c>
      <c r="D401" s="18">
        <v>1.73</v>
      </c>
      <c r="E401" s="18"/>
      <c r="F401" s="18"/>
      <c r="G401" s="18"/>
      <c r="H401" s="18"/>
      <c r="I401" s="18"/>
      <c r="J401" s="18"/>
      <c r="K401" s="18"/>
    </row>
    <row r="402" spans="1:11">
      <c r="A402" s="18">
        <v>400</v>
      </c>
      <c r="B402" s="18">
        <v>140020181</v>
      </c>
      <c r="C402" s="18">
        <v>6</v>
      </c>
      <c r="D402" s="18">
        <v>4.75</v>
      </c>
      <c r="E402" s="18"/>
      <c r="F402" s="18"/>
      <c r="G402" s="18"/>
      <c r="H402" s="18"/>
      <c r="I402" s="18"/>
      <c r="J402" s="18"/>
      <c r="K402" s="18"/>
    </row>
    <row r="403" spans="1:11">
      <c r="A403" s="18">
        <v>401</v>
      </c>
      <c r="B403" s="18">
        <v>140020181</v>
      </c>
      <c r="C403" s="18">
        <v>7</v>
      </c>
      <c r="D403" s="18">
        <v>3.23</v>
      </c>
      <c r="E403" s="18"/>
      <c r="F403" s="18"/>
      <c r="G403" s="18"/>
      <c r="H403" s="18"/>
      <c r="I403" s="18"/>
      <c r="J403" s="18"/>
      <c r="K403" s="18"/>
    </row>
    <row r="404" spans="1:11">
      <c r="A404" s="18">
        <v>402</v>
      </c>
      <c r="B404" s="18">
        <v>140020181</v>
      </c>
      <c r="C404" s="18">
        <v>8</v>
      </c>
      <c r="D404" s="18">
        <v>4.1500000000000004</v>
      </c>
      <c r="E404" s="18"/>
      <c r="F404" s="18"/>
      <c r="G404" s="18"/>
      <c r="H404" s="18"/>
      <c r="I404" s="18"/>
      <c r="J404" s="18"/>
      <c r="K404" s="18"/>
    </row>
    <row r="405" spans="1:11">
      <c r="A405" s="18">
        <v>403</v>
      </c>
      <c r="B405" s="18">
        <v>140020181</v>
      </c>
      <c r="C405" s="18">
        <v>10</v>
      </c>
      <c r="D405" s="18">
        <v>2.15</v>
      </c>
      <c r="E405" s="18"/>
      <c r="F405" s="18"/>
      <c r="G405" s="18"/>
      <c r="H405" s="18"/>
      <c r="I405" s="18"/>
      <c r="J405" s="18"/>
      <c r="K405" s="18"/>
    </row>
    <row r="406" spans="1:11">
      <c r="A406" s="18">
        <v>404</v>
      </c>
      <c r="B406" s="18">
        <v>140020181</v>
      </c>
      <c r="C406" s="18">
        <v>11</v>
      </c>
      <c r="D406" s="18">
        <v>3.61</v>
      </c>
      <c r="E406" s="18"/>
      <c r="F406" s="18"/>
      <c r="G406" s="18"/>
      <c r="H406" s="18"/>
      <c r="I406" s="18"/>
      <c r="J406" s="18"/>
      <c r="K406" s="18"/>
    </row>
    <row r="407" spans="1:11">
      <c r="A407" s="18">
        <v>405</v>
      </c>
      <c r="B407" s="18">
        <v>140020181</v>
      </c>
      <c r="C407" s="18">
        <v>12</v>
      </c>
      <c r="D407" s="18">
        <v>5.52</v>
      </c>
      <c r="E407" s="18"/>
      <c r="F407" s="18"/>
      <c r="G407" s="18"/>
      <c r="H407" s="18"/>
      <c r="I407" s="18"/>
      <c r="J407" s="18"/>
      <c r="K407" s="18"/>
    </row>
    <row r="408" spans="1:11">
      <c r="A408" s="18">
        <v>406</v>
      </c>
      <c r="B408" s="18">
        <v>140020181</v>
      </c>
      <c r="C408" s="18">
        <v>16</v>
      </c>
      <c r="D408" s="18">
        <v>7.38</v>
      </c>
      <c r="E408" s="18"/>
      <c r="F408" s="18"/>
      <c r="G408" s="18"/>
      <c r="H408" s="18"/>
      <c r="I408" s="18"/>
      <c r="J408" s="18"/>
      <c r="K408" s="18"/>
    </row>
    <row r="409" spans="1:11">
      <c r="A409" s="18">
        <v>407</v>
      </c>
      <c r="B409" s="18">
        <v>140020181</v>
      </c>
      <c r="C409" s="18">
        <v>17</v>
      </c>
      <c r="D409" s="18">
        <v>10.08</v>
      </c>
      <c r="E409" s="18"/>
      <c r="F409" s="18"/>
      <c r="G409" s="18"/>
      <c r="H409" s="18"/>
      <c r="I409" s="18"/>
      <c r="J409" s="18"/>
      <c r="K409" s="18"/>
    </row>
    <row r="410" spans="1:11">
      <c r="A410" s="18">
        <v>408</v>
      </c>
      <c r="B410" s="18">
        <v>140020181</v>
      </c>
      <c r="C410" s="18">
        <v>18</v>
      </c>
      <c r="D410" s="18">
        <v>12.87</v>
      </c>
      <c r="E410" s="18"/>
      <c r="F410" s="18"/>
      <c r="G410" s="18"/>
      <c r="H410" s="18"/>
      <c r="I410" s="18"/>
      <c r="J410" s="18"/>
      <c r="K410" s="18"/>
    </row>
    <row r="411" spans="1:11">
      <c r="A411" s="18">
        <v>409</v>
      </c>
      <c r="B411" s="18">
        <v>140020181</v>
      </c>
      <c r="C411" s="18">
        <v>19</v>
      </c>
      <c r="D411" s="18">
        <v>9.8699999999999992</v>
      </c>
      <c r="E411" s="18"/>
      <c r="F411" s="18"/>
      <c r="G411" s="18"/>
      <c r="H411" s="18"/>
      <c r="I411" s="18"/>
      <c r="J411" s="18"/>
      <c r="K411" s="18"/>
    </row>
    <row r="412" spans="1:11">
      <c r="A412" s="18">
        <v>410</v>
      </c>
      <c r="B412" s="18">
        <v>140020181</v>
      </c>
      <c r="C412" s="18">
        <v>21</v>
      </c>
      <c r="D412" s="18">
        <v>6.98</v>
      </c>
      <c r="E412" s="18"/>
      <c r="F412" s="18"/>
      <c r="G412" s="18"/>
      <c r="H412" s="18"/>
      <c r="I412" s="18"/>
      <c r="J412" s="18"/>
      <c r="K412" s="18"/>
    </row>
    <row r="413" spans="1:11">
      <c r="A413" s="18">
        <v>411</v>
      </c>
      <c r="B413" s="18">
        <v>140020181</v>
      </c>
      <c r="C413" s="18">
        <v>30</v>
      </c>
      <c r="D413" s="18">
        <v>11.37</v>
      </c>
      <c r="E413" s="18"/>
      <c r="F413" s="18"/>
      <c r="G413" s="18"/>
      <c r="H413" s="18"/>
      <c r="I413" s="18"/>
      <c r="J413" s="18"/>
      <c r="K413" s="18"/>
    </row>
    <row r="414" spans="1:11">
      <c r="A414" s="18">
        <v>412</v>
      </c>
      <c r="B414" s="18">
        <v>140020181</v>
      </c>
      <c r="C414" s="18">
        <v>31</v>
      </c>
      <c r="D414" s="18">
        <v>12.52</v>
      </c>
      <c r="E414" s="18"/>
      <c r="F414" s="18"/>
      <c r="G414" s="18"/>
      <c r="H414" s="18"/>
      <c r="I414" s="18"/>
      <c r="J414" s="18"/>
      <c r="K414" s="18"/>
    </row>
    <row r="415" spans="1:11">
      <c r="A415" s="18">
        <v>413</v>
      </c>
      <c r="B415" s="18">
        <v>140020181</v>
      </c>
      <c r="C415" s="18">
        <v>32</v>
      </c>
      <c r="D415" s="18">
        <v>15.92</v>
      </c>
      <c r="E415" s="18"/>
      <c r="F415" s="18"/>
      <c r="G415" s="18"/>
      <c r="H415" s="18"/>
      <c r="I415" s="18"/>
      <c r="J415" s="18"/>
      <c r="K415" s="18"/>
    </row>
    <row r="416" spans="1:11">
      <c r="A416" s="18">
        <v>414</v>
      </c>
      <c r="B416" s="18">
        <v>140020181</v>
      </c>
      <c r="C416" s="18">
        <v>33</v>
      </c>
      <c r="D416" s="18">
        <v>7.79</v>
      </c>
      <c r="E416" s="18"/>
      <c r="F416" s="18"/>
      <c r="G416" s="18"/>
      <c r="H416" s="18"/>
      <c r="I416" s="18"/>
      <c r="J416" s="18"/>
      <c r="K416" s="18"/>
    </row>
    <row r="417" spans="1:11">
      <c r="A417" s="18">
        <v>415</v>
      </c>
      <c r="B417" s="18">
        <v>140020181</v>
      </c>
      <c r="C417" s="18">
        <v>34</v>
      </c>
      <c r="D417" s="18">
        <v>7.46</v>
      </c>
      <c r="E417" s="18"/>
      <c r="F417" s="18"/>
      <c r="G417" s="18"/>
      <c r="H417" s="18"/>
      <c r="I417" s="18"/>
      <c r="J417" s="18"/>
      <c r="K417" s="18"/>
    </row>
    <row r="418" spans="1:11">
      <c r="A418" s="18">
        <v>416</v>
      </c>
      <c r="B418" s="18">
        <v>140020181</v>
      </c>
      <c r="C418" s="18">
        <v>35</v>
      </c>
      <c r="D418" s="18">
        <v>12.96</v>
      </c>
      <c r="E418" s="18"/>
      <c r="F418" s="18"/>
      <c r="G418" s="18"/>
      <c r="H418" s="18"/>
      <c r="I418" s="18"/>
      <c r="J418" s="18"/>
      <c r="K418" s="18"/>
    </row>
    <row r="419" spans="1:11">
      <c r="A419" s="18">
        <v>417</v>
      </c>
      <c r="B419" s="18">
        <v>140020181</v>
      </c>
      <c r="C419" s="18">
        <v>37</v>
      </c>
      <c r="D419" s="18">
        <v>10.76</v>
      </c>
      <c r="E419" s="18"/>
      <c r="F419" s="18"/>
      <c r="G419" s="18"/>
      <c r="H419" s="18"/>
      <c r="I419" s="18"/>
      <c r="J419" s="18"/>
      <c r="K419" s="18"/>
    </row>
    <row r="420" spans="1:11">
      <c r="A420" s="18">
        <v>418</v>
      </c>
      <c r="B420" s="18">
        <v>140310016</v>
      </c>
      <c r="C420" s="18">
        <v>1</v>
      </c>
      <c r="D420" s="18">
        <v>2.69</v>
      </c>
      <c r="E420" s="18"/>
      <c r="F420" s="18"/>
      <c r="G420" s="18"/>
      <c r="H420" s="18"/>
      <c r="I420" s="18"/>
      <c r="J420" s="18"/>
      <c r="K420" s="18"/>
    </row>
    <row r="421" spans="1:11">
      <c r="A421" s="18">
        <v>419</v>
      </c>
      <c r="B421" s="18">
        <v>140310016</v>
      </c>
      <c r="C421" s="18">
        <v>3</v>
      </c>
      <c r="D421" s="18">
        <v>1.89</v>
      </c>
      <c r="E421" s="18"/>
      <c r="F421" s="18"/>
      <c r="G421" s="18"/>
      <c r="H421" s="18"/>
      <c r="I421" s="18"/>
      <c r="J421" s="18"/>
      <c r="K421" s="18"/>
    </row>
    <row r="422" spans="1:11">
      <c r="A422" s="18">
        <v>420</v>
      </c>
      <c r="B422" s="18">
        <v>140310016</v>
      </c>
      <c r="C422" s="18">
        <v>4</v>
      </c>
      <c r="D422" s="18">
        <v>1.73</v>
      </c>
      <c r="E422" s="18"/>
      <c r="F422" s="18"/>
      <c r="G422" s="18"/>
      <c r="H422" s="18"/>
      <c r="I422" s="18"/>
      <c r="J422" s="18"/>
      <c r="K422" s="18"/>
    </row>
    <row r="423" spans="1:11">
      <c r="A423" s="18">
        <v>421</v>
      </c>
      <c r="B423" s="18">
        <v>140310016</v>
      </c>
      <c r="C423" s="18">
        <v>7</v>
      </c>
      <c r="D423" s="18">
        <v>3.23</v>
      </c>
      <c r="E423" s="18"/>
      <c r="F423" s="18"/>
      <c r="G423" s="18"/>
      <c r="H423" s="18"/>
      <c r="I423" s="18"/>
      <c r="J423" s="18"/>
      <c r="K423" s="18"/>
    </row>
    <row r="424" spans="1:11">
      <c r="A424" s="18">
        <v>422</v>
      </c>
      <c r="B424" s="18">
        <v>140310016</v>
      </c>
      <c r="C424" s="18">
        <v>8</v>
      </c>
      <c r="D424" s="18">
        <v>4.1500000000000004</v>
      </c>
      <c r="E424" s="18"/>
      <c r="F424" s="18"/>
      <c r="G424" s="18"/>
      <c r="H424" s="18"/>
      <c r="I424" s="18"/>
      <c r="J424" s="18"/>
      <c r="K424" s="18"/>
    </row>
    <row r="425" spans="1:11">
      <c r="A425" s="18">
        <v>423</v>
      </c>
      <c r="B425" s="18">
        <v>140310016</v>
      </c>
      <c r="C425" s="18">
        <v>9</v>
      </c>
      <c r="D425" s="18"/>
      <c r="E425" s="18"/>
      <c r="F425" s="18"/>
      <c r="G425" s="18"/>
      <c r="H425" s="18"/>
      <c r="I425" s="18"/>
      <c r="J425" s="18"/>
      <c r="K425" s="18"/>
    </row>
    <row r="426" spans="1:11">
      <c r="A426" s="18">
        <v>424</v>
      </c>
      <c r="B426" s="18">
        <v>140310016</v>
      </c>
      <c r="C426" s="18">
        <v>10</v>
      </c>
      <c r="D426" s="18">
        <v>2.15</v>
      </c>
      <c r="E426" s="18"/>
      <c r="F426" s="18"/>
      <c r="G426" s="18"/>
      <c r="H426" s="18"/>
      <c r="I426" s="18"/>
      <c r="J426" s="18"/>
      <c r="K426" s="18"/>
    </row>
    <row r="427" spans="1:11">
      <c r="A427" s="18">
        <v>425</v>
      </c>
      <c r="B427" s="18">
        <v>140310016</v>
      </c>
      <c r="C427" s="18">
        <v>11</v>
      </c>
      <c r="D427" s="18">
        <v>3.61</v>
      </c>
      <c r="E427" s="18"/>
      <c r="F427" s="18"/>
      <c r="G427" s="18"/>
      <c r="H427" s="18"/>
      <c r="I427" s="18"/>
      <c r="J427" s="18"/>
      <c r="K427" s="18"/>
    </row>
    <row r="428" spans="1:11">
      <c r="A428" s="18">
        <v>426</v>
      </c>
      <c r="B428" s="18">
        <v>140310016</v>
      </c>
      <c r="C428" s="18">
        <v>12</v>
      </c>
      <c r="D428" s="18">
        <v>5.52</v>
      </c>
      <c r="E428" s="18"/>
      <c r="F428" s="18"/>
      <c r="G428" s="18"/>
      <c r="H428" s="18"/>
      <c r="I428" s="18"/>
      <c r="J428" s="18"/>
      <c r="K428" s="18"/>
    </row>
    <row r="429" spans="1:11">
      <c r="A429" s="18">
        <v>427</v>
      </c>
      <c r="B429" s="18">
        <v>140310016</v>
      </c>
      <c r="C429" s="18">
        <v>16</v>
      </c>
      <c r="D429" s="18">
        <v>7.38</v>
      </c>
      <c r="E429" s="18"/>
      <c r="F429" s="18"/>
      <c r="G429" s="18"/>
      <c r="H429" s="18"/>
      <c r="I429" s="18"/>
      <c r="J429" s="18"/>
      <c r="K429" s="18"/>
    </row>
    <row r="430" spans="1:11">
      <c r="A430" s="18">
        <v>428</v>
      </c>
      <c r="B430" s="18">
        <v>140310016</v>
      </c>
      <c r="C430" s="18">
        <v>17</v>
      </c>
      <c r="D430" s="18">
        <v>10.08</v>
      </c>
      <c r="E430" s="18"/>
      <c r="F430" s="18"/>
      <c r="G430" s="18"/>
      <c r="H430" s="18"/>
      <c r="I430" s="18"/>
      <c r="J430" s="18"/>
      <c r="K430" s="18"/>
    </row>
    <row r="431" spans="1:11">
      <c r="A431" s="18">
        <v>429</v>
      </c>
      <c r="B431" s="18">
        <v>140310016</v>
      </c>
      <c r="C431" s="18">
        <v>18</v>
      </c>
      <c r="D431" s="18">
        <v>12.87</v>
      </c>
      <c r="E431" s="18"/>
      <c r="F431" s="18"/>
      <c r="G431" s="18"/>
      <c r="H431" s="18"/>
      <c r="I431" s="18"/>
      <c r="J431" s="18"/>
      <c r="K431" s="18"/>
    </row>
    <row r="432" spans="1:11">
      <c r="A432" s="18">
        <v>430</v>
      </c>
      <c r="B432" s="18">
        <v>140310016</v>
      </c>
      <c r="C432" s="18">
        <v>19</v>
      </c>
      <c r="D432" s="18">
        <v>9.8699999999999992</v>
      </c>
      <c r="E432" s="18"/>
      <c r="F432" s="18"/>
      <c r="G432" s="18"/>
      <c r="H432" s="18"/>
      <c r="I432" s="18"/>
      <c r="J432" s="18"/>
      <c r="K432" s="18"/>
    </row>
    <row r="433" spans="1:11">
      <c r="A433" s="18">
        <v>431</v>
      </c>
      <c r="B433" s="18">
        <v>140310016</v>
      </c>
      <c r="C433" s="18">
        <v>21</v>
      </c>
      <c r="D433" s="18">
        <v>13</v>
      </c>
      <c r="E433" s="18"/>
      <c r="F433" s="18"/>
      <c r="G433" s="18"/>
      <c r="H433" s="18"/>
      <c r="I433" s="18"/>
      <c r="J433" s="18"/>
      <c r="K433" s="18"/>
    </row>
    <row r="434" spans="1:11">
      <c r="A434" s="18">
        <v>432</v>
      </c>
      <c r="B434" s="18">
        <v>140310016</v>
      </c>
      <c r="C434" s="18">
        <v>23</v>
      </c>
      <c r="D434" s="18">
        <v>20</v>
      </c>
      <c r="E434" s="18"/>
      <c r="F434" s="18"/>
      <c r="G434" s="18"/>
      <c r="H434" s="18"/>
      <c r="I434" s="18"/>
      <c r="J434" s="18"/>
      <c r="K434" s="18"/>
    </row>
    <row r="435" spans="1:11">
      <c r="A435" s="18">
        <v>433</v>
      </c>
      <c r="B435" s="18">
        <v>140310016</v>
      </c>
      <c r="C435" s="18">
        <v>27</v>
      </c>
      <c r="D435" s="18">
        <v>25</v>
      </c>
      <c r="E435" s="18"/>
      <c r="F435" s="18"/>
      <c r="G435" s="18"/>
      <c r="H435" s="18"/>
      <c r="I435" s="18"/>
      <c r="J435" s="18"/>
      <c r="K435" s="18"/>
    </row>
    <row r="436" spans="1:11">
      <c r="A436" s="18">
        <v>434</v>
      </c>
      <c r="B436" s="18">
        <v>140310016</v>
      </c>
      <c r="C436" s="18">
        <v>28</v>
      </c>
      <c r="D436" s="18">
        <v>35</v>
      </c>
      <c r="E436" s="18"/>
      <c r="F436" s="18"/>
      <c r="G436" s="18"/>
      <c r="H436" s="18"/>
      <c r="I436" s="18"/>
      <c r="J436" s="18"/>
      <c r="K436" s="18"/>
    </row>
    <row r="437" spans="1:11">
      <c r="A437" s="18">
        <v>435</v>
      </c>
      <c r="B437" s="18">
        <v>140310016</v>
      </c>
      <c r="C437" s="18">
        <v>29</v>
      </c>
      <c r="D437" s="18">
        <v>16</v>
      </c>
      <c r="E437" s="18"/>
      <c r="F437" s="18"/>
      <c r="G437" s="18"/>
      <c r="H437" s="18"/>
      <c r="I437" s="18"/>
      <c r="J437" s="18"/>
      <c r="K437" s="18"/>
    </row>
    <row r="438" spans="1:11">
      <c r="A438" s="18">
        <v>436</v>
      </c>
      <c r="B438" s="18">
        <v>140310016</v>
      </c>
      <c r="C438" s="18">
        <v>30</v>
      </c>
      <c r="D438" s="18">
        <v>11.37</v>
      </c>
      <c r="E438" s="18"/>
      <c r="F438" s="18"/>
      <c r="G438" s="18"/>
      <c r="H438" s="18"/>
      <c r="I438" s="18"/>
      <c r="J438" s="18"/>
      <c r="K438" s="18"/>
    </row>
    <row r="439" spans="1:11">
      <c r="A439" s="18">
        <v>437</v>
      </c>
      <c r="B439" s="18">
        <v>140310016</v>
      </c>
      <c r="C439" s="18">
        <v>31</v>
      </c>
      <c r="D439" s="18">
        <v>12.52</v>
      </c>
      <c r="E439" s="18"/>
      <c r="F439" s="18"/>
      <c r="G439" s="18"/>
      <c r="H439" s="18"/>
      <c r="I439" s="18"/>
      <c r="J439" s="18"/>
      <c r="K439" s="18"/>
    </row>
    <row r="440" spans="1:11">
      <c r="A440" s="18">
        <v>438</v>
      </c>
      <c r="B440" s="18">
        <v>140310016</v>
      </c>
      <c r="C440" s="18">
        <v>32</v>
      </c>
      <c r="D440" s="18">
        <v>15.92</v>
      </c>
      <c r="E440" s="18"/>
      <c r="F440" s="18"/>
      <c r="G440" s="18"/>
      <c r="H440" s="18"/>
      <c r="I440" s="18"/>
      <c r="J440" s="18"/>
      <c r="K440" s="18"/>
    </row>
    <row r="441" spans="1:11">
      <c r="A441" s="18">
        <v>439</v>
      </c>
      <c r="B441" s="18">
        <v>140310016</v>
      </c>
      <c r="C441" s="18">
        <v>33</v>
      </c>
      <c r="D441" s="18">
        <v>7.79</v>
      </c>
      <c r="E441" s="18"/>
      <c r="F441" s="18"/>
      <c r="G441" s="18"/>
      <c r="H441" s="18"/>
      <c r="I441" s="18"/>
      <c r="J441" s="18"/>
      <c r="K441" s="18"/>
    </row>
    <row r="442" spans="1:11">
      <c r="A442" s="18">
        <v>440</v>
      </c>
      <c r="B442" s="18">
        <v>140310016</v>
      </c>
      <c r="C442" s="18">
        <v>34</v>
      </c>
      <c r="D442" s="18">
        <v>7.46</v>
      </c>
      <c r="E442" s="18"/>
      <c r="F442" s="18"/>
      <c r="G442" s="18"/>
      <c r="H442" s="18"/>
      <c r="I442" s="18"/>
      <c r="J442" s="18"/>
      <c r="K442" s="18"/>
    </row>
    <row r="443" spans="1:11">
      <c r="A443" s="18">
        <v>441</v>
      </c>
      <c r="B443" s="18">
        <v>140310016</v>
      </c>
      <c r="C443" s="18">
        <v>35</v>
      </c>
      <c r="D443" s="18">
        <v>7.46</v>
      </c>
      <c r="E443" s="18"/>
      <c r="F443" s="18"/>
      <c r="G443" s="18"/>
      <c r="H443" s="18"/>
      <c r="I443" s="18"/>
      <c r="J443" s="18"/>
      <c r="K443" s="18"/>
    </row>
    <row r="444" spans="1:11">
      <c r="A444" s="18">
        <v>442</v>
      </c>
      <c r="B444" s="18">
        <v>140310016</v>
      </c>
      <c r="C444" s="18">
        <v>36</v>
      </c>
      <c r="D444" s="18">
        <v>8.16</v>
      </c>
      <c r="E444" s="18"/>
      <c r="F444" s="18"/>
      <c r="G444" s="18"/>
      <c r="H444" s="18"/>
      <c r="I444" s="18"/>
      <c r="J444" s="18"/>
      <c r="K444" s="18"/>
    </row>
    <row r="445" spans="1:11">
      <c r="A445" s="18">
        <v>443</v>
      </c>
      <c r="B445" s="18">
        <v>140310016</v>
      </c>
      <c r="C445" s="18">
        <v>37</v>
      </c>
      <c r="D445" s="18">
        <v>10.76</v>
      </c>
      <c r="E445" s="18"/>
      <c r="F445" s="18"/>
      <c r="G445" s="18"/>
      <c r="H445" s="18"/>
      <c r="I445" s="18"/>
      <c r="J445" s="18"/>
      <c r="K445" s="18"/>
    </row>
    <row r="446" spans="1:11">
      <c r="A446" s="18">
        <v>444</v>
      </c>
      <c r="B446" s="18">
        <v>140310017</v>
      </c>
      <c r="C446" s="18">
        <v>1</v>
      </c>
      <c r="D446" s="18">
        <v>2.69</v>
      </c>
      <c r="E446" s="18"/>
      <c r="F446" s="18"/>
      <c r="G446" s="18"/>
      <c r="H446" s="18"/>
      <c r="I446" s="18"/>
      <c r="J446" s="18"/>
      <c r="K446" s="18"/>
    </row>
    <row r="447" spans="1:11">
      <c r="A447" s="18">
        <v>445</v>
      </c>
      <c r="B447" s="18">
        <v>140310017</v>
      </c>
      <c r="C447" s="18">
        <v>2</v>
      </c>
      <c r="D447" s="18">
        <v>5.24</v>
      </c>
      <c r="E447" s="18"/>
      <c r="F447" s="18"/>
      <c r="G447" s="18"/>
      <c r="H447" s="18"/>
      <c r="I447" s="18"/>
      <c r="J447" s="18"/>
      <c r="K447" s="18"/>
    </row>
    <row r="448" spans="1:11">
      <c r="A448" s="18">
        <v>446</v>
      </c>
      <c r="B448" s="18">
        <v>140310017</v>
      </c>
      <c r="C448" s="18">
        <v>3</v>
      </c>
      <c r="D448" s="18">
        <v>1.89</v>
      </c>
      <c r="E448" s="18"/>
      <c r="F448" s="18"/>
      <c r="G448" s="18"/>
      <c r="H448" s="18"/>
      <c r="I448" s="18"/>
      <c r="J448" s="18"/>
      <c r="K448" s="18"/>
    </row>
    <row r="449" spans="1:11">
      <c r="A449" s="18">
        <v>447</v>
      </c>
      <c r="B449" s="18">
        <v>140310017</v>
      </c>
      <c r="C449" s="18">
        <v>4</v>
      </c>
      <c r="D449" s="18">
        <v>1.73</v>
      </c>
      <c r="E449" s="18"/>
      <c r="F449" s="18"/>
      <c r="G449" s="18"/>
      <c r="H449" s="18"/>
      <c r="I449" s="18"/>
      <c r="J449" s="18"/>
      <c r="K449" s="18"/>
    </row>
    <row r="450" spans="1:11">
      <c r="A450" s="18">
        <v>448</v>
      </c>
      <c r="B450" s="18">
        <v>140310017</v>
      </c>
      <c r="C450" s="18">
        <v>6</v>
      </c>
      <c r="D450" s="18">
        <v>4.75</v>
      </c>
      <c r="E450" s="18"/>
      <c r="F450" s="18"/>
      <c r="G450" s="18"/>
      <c r="H450" s="18"/>
      <c r="I450" s="18"/>
      <c r="J450" s="18"/>
      <c r="K450" s="18"/>
    </row>
    <row r="451" spans="1:11">
      <c r="A451" s="18">
        <v>449</v>
      </c>
      <c r="B451" s="18">
        <v>140310017</v>
      </c>
      <c r="C451" s="18">
        <v>7</v>
      </c>
      <c r="D451" s="18">
        <v>3.23</v>
      </c>
      <c r="E451" s="18"/>
      <c r="F451" s="18"/>
      <c r="G451" s="18"/>
      <c r="H451" s="18"/>
      <c r="I451" s="18"/>
      <c r="J451" s="18"/>
      <c r="K451" s="18"/>
    </row>
    <row r="452" spans="1:11">
      <c r="A452" s="18">
        <v>450</v>
      </c>
      <c r="B452" s="18">
        <v>140310017</v>
      </c>
      <c r="C452" s="18">
        <v>8</v>
      </c>
      <c r="D452" s="18">
        <v>4.1500000000000004</v>
      </c>
      <c r="E452" s="18"/>
      <c r="F452" s="18"/>
      <c r="G452" s="18"/>
      <c r="H452" s="18"/>
      <c r="I452" s="18"/>
      <c r="J452" s="18"/>
      <c r="K452" s="18"/>
    </row>
    <row r="453" spans="1:11">
      <c r="A453" s="18">
        <v>451</v>
      </c>
      <c r="B453" s="18">
        <v>140310017</v>
      </c>
      <c r="C453" s="18">
        <v>10</v>
      </c>
      <c r="D453" s="18">
        <v>2.15</v>
      </c>
      <c r="E453" s="18"/>
      <c r="F453" s="18"/>
      <c r="G453" s="18"/>
      <c r="H453" s="18"/>
      <c r="I453" s="18"/>
      <c r="J453" s="18"/>
      <c r="K453" s="18"/>
    </row>
    <row r="454" spans="1:11">
      <c r="A454" s="18">
        <v>452</v>
      </c>
      <c r="B454" s="18">
        <v>140310017</v>
      </c>
      <c r="C454" s="18">
        <v>11</v>
      </c>
      <c r="D454" s="18">
        <v>3.61</v>
      </c>
      <c r="E454" s="18"/>
      <c r="F454" s="18"/>
      <c r="G454" s="18"/>
      <c r="H454" s="18"/>
      <c r="I454" s="18"/>
      <c r="J454" s="18"/>
      <c r="K454" s="18"/>
    </row>
    <row r="455" spans="1:11">
      <c r="A455" s="18">
        <v>453</v>
      </c>
      <c r="B455" s="18">
        <v>140310017</v>
      </c>
      <c r="C455" s="18">
        <v>12</v>
      </c>
      <c r="D455" s="18">
        <v>5.52</v>
      </c>
      <c r="E455" s="18"/>
      <c r="F455" s="18"/>
      <c r="G455" s="18"/>
      <c r="H455" s="18"/>
      <c r="I455" s="18"/>
      <c r="J455" s="18"/>
      <c r="K455" s="18"/>
    </row>
    <row r="456" spans="1:11">
      <c r="A456" s="18">
        <v>454</v>
      </c>
      <c r="B456" s="18">
        <v>140310017</v>
      </c>
      <c r="C456" s="18">
        <v>14</v>
      </c>
      <c r="D456" s="18">
        <v>8</v>
      </c>
      <c r="E456" s="18"/>
      <c r="F456" s="18"/>
      <c r="G456" s="18"/>
      <c r="H456" s="18"/>
      <c r="I456" s="18"/>
      <c r="J456" s="18"/>
      <c r="K456" s="18"/>
    </row>
    <row r="457" spans="1:11">
      <c r="A457" s="18">
        <v>455</v>
      </c>
      <c r="B457" s="18">
        <v>140310017</v>
      </c>
      <c r="C457" s="18">
        <v>16</v>
      </c>
      <c r="D457" s="18">
        <v>7.38</v>
      </c>
      <c r="E457" s="18"/>
      <c r="F457" s="18"/>
      <c r="G457" s="18"/>
      <c r="H457" s="18"/>
      <c r="I457" s="18"/>
      <c r="J457" s="18"/>
      <c r="K457" s="18"/>
    </row>
    <row r="458" spans="1:11">
      <c r="A458" s="18">
        <v>456</v>
      </c>
      <c r="B458" s="18">
        <v>140310017</v>
      </c>
      <c r="C458" s="18">
        <v>17</v>
      </c>
      <c r="D458" s="18">
        <v>10.08</v>
      </c>
      <c r="E458" s="18"/>
      <c r="F458" s="18"/>
      <c r="G458" s="18"/>
      <c r="H458" s="18"/>
      <c r="I458" s="18"/>
      <c r="J458" s="18"/>
      <c r="K458" s="18"/>
    </row>
    <row r="459" spans="1:11">
      <c r="A459" s="18">
        <v>457</v>
      </c>
      <c r="B459" s="18">
        <v>140310017</v>
      </c>
      <c r="C459" s="18">
        <v>18</v>
      </c>
      <c r="D459" s="18">
        <v>12.87</v>
      </c>
      <c r="E459" s="18"/>
      <c r="F459" s="18"/>
      <c r="G459" s="18"/>
      <c r="H459" s="18"/>
      <c r="I459" s="18"/>
      <c r="J459" s="18"/>
      <c r="K459" s="18"/>
    </row>
    <row r="460" spans="1:11">
      <c r="A460" s="18">
        <v>458</v>
      </c>
      <c r="B460" s="18">
        <v>140310017</v>
      </c>
      <c r="C460" s="18">
        <v>21</v>
      </c>
      <c r="D460" s="18">
        <v>13</v>
      </c>
      <c r="E460" s="18"/>
      <c r="F460" s="18"/>
      <c r="G460" s="18"/>
      <c r="H460" s="18"/>
      <c r="I460" s="18"/>
      <c r="J460" s="18"/>
      <c r="K460" s="18"/>
    </row>
    <row r="461" spans="1:11">
      <c r="A461" s="18">
        <v>459</v>
      </c>
      <c r="B461" s="18">
        <v>140310017</v>
      </c>
      <c r="C461" s="18">
        <v>23</v>
      </c>
      <c r="D461" s="18">
        <v>20</v>
      </c>
      <c r="E461" s="18"/>
      <c r="F461" s="18"/>
      <c r="G461" s="18"/>
      <c r="H461" s="18"/>
      <c r="I461" s="18"/>
      <c r="J461" s="18"/>
      <c r="K461" s="18"/>
    </row>
    <row r="462" spans="1:11">
      <c r="A462" s="18">
        <v>460</v>
      </c>
      <c r="B462" s="18">
        <v>140310017</v>
      </c>
      <c r="C462" s="18">
        <v>27</v>
      </c>
      <c r="D462" s="18">
        <v>25</v>
      </c>
      <c r="E462" s="18"/>
      <c r="F462" s="18"/>
      <c r="G462" s="18"/>
      <c r="H462" s="18"/>
      <c r="I462" s="18"/>
      <c r="J462" s="18"/>
      <c r="K462" s="18"/>
    </row>
    <row r="463" spans="1:11">
      <c r="A463" s="18">
        <v>461</v>
      </c>
      <c r="B463" s="18">
        <v>140310017</v>
      </c>
      <c r="C463" s="18">
        <v>28</v>
      </c>
      <c r="D463" s="18">
        <v>50</v>
      </c>
      <c r="E463" s="18"/>
      <c r="F463" s="18"/>
      <c r="G463" s="18"/>
      <c r="H463" s="18"/>
      <c r="I463" s="18"/>
      <c r="J463" s="18"/>
      <c r="K463" s="18"/>
    </row>
    <row r="464" spans="1:11">
      <c r="A464" s="18">
        <v>462</v>
      </c>
      <c r="B464" s="18">
        <v>140310017</v>
      </c>
      <c r="C464" s="18">
        <v>29</v>
      </c>
      <c r="D464" s="18">
        <v>10</v>
      </c>
      <c r="E464" s="18"/>
      <c r="F464" s="18"/>
      <c r="G464" s="18"/>
      <c r="H464" s="18"/>
      <c r="I464" s="18"/>
      <c r="J464" s="18"/>
      <c r="K464" s="18"/>
    </row>
    <row r="465" spans="1:11">
      <c r="A465" s="18">
        <v>463</v>
      </c>
      <c r="B465" s="18">
        <v>140310017</v>
      </c>
      <c r="C465" s="18">
        <v>30</v>
      </c>
      <c r="D465" s="18">
        <v>11.37</v>
      </c>
      <c r="E465" s="18"/>
      <c r="F465" s="18"/>
      <c r="G465" s="18"/>
      <c r="H465" s="18"/>
      <c r="I465" s="18"/>
      <c r="J465" s="18"/>
      <c r="K465" s="18"/>
    </row>
    <row r="466" spans="1:11">
      <c r="A466" s="18">
        <v>464</v>
      </c>
      <c r="B466" s="18">
        <v>140310017</v>
      </c>
      <c r="C466" s="18">
        <v>31</v>
      </c>
      <c r="D466" s="18">
        <v>12.52</v>
      </c>
      <c r="E466" s="18"/>
      <c r="F466" s="18"/>
      <c r="G466" s="18"/>
      <c r="H466" s="18"/>
      <c r="I466" s="18"/>
      <c r="J466" s="18"/>
      <c r="K466" s="18"/>
    </row>
    <row r="467" spans="1:11">
      <c r="A467" s="18">
        <v>465</v>
      </c>
      <c r="B467" s="18">
        <v>140310017</v>
      </c>
      <c r="C467" s="18">
        <v>32</v>
      </c>
      <c r="D467" s="18">
        <v>15.92</v>
      </c>
      <c r="E467" s="18"/>
      <c r="F467" s="18"/>
      <c r="G467" s="18"/>
      <c r="H467" s="18"/>
      <c r="I467" s="18"/>
      <c r="J467" s="18"/>
      <c r="K467" s="18"/>
    </row>
    <row r="468" spans="1:11">
      <c r="A468" s="18">
        <v>466</v>
      </c>
      <c r="B468" s="18">
        <v>140310017</v>
      </c>
      <c r="C468" s="18">
        <v>33</v>
      </c>
      <c r="D468" s="18">
        <v>7.79</v>
      </c>
      <c r="E468" s="18"/>
      <c r="F468" s="18"/>
      <c r="G468" s="18"/>
      <c r="H468" s="18"/>
      <c r="I468" s="18"/>
      <c r="J468" s="18"/>
      <c r="K468" s="18"/>
    </row>
    <row r="469" spans="1:11">
      <c r="A469" s="18">
        <v>467</v>
      </c>
      <c r="B469" s="18">
        <v>140310017</v>
      </c>
      <c r="C469" s="18">
        <v>34</v>
      </c>
      <c r="D469" s="18">
        <v>7.46</v>
      </c>
      <c r="E469" s="18"/>
      <c r="F469" s="18"/>
      <c r="G469" s="18"/>
      <c r="H469" s="18"/>
      <c r="I469" s="18"/>
      <c r="J469" s="18"/>
      <c r="K469" s="18"/>
    </row>
    <row r="470" spans="1:11">
      <c r="A470" s="18">
        <v>468</v>
      </c>
      <c r="B470" s="18">
        <v>140310017</v>
      </c>
      <c r="C470" s="18">
        <v>35</v>
      </c>
      <c r="D470" s="18">
        <v>7.46</v>
      </c>
      <c r="E470" s="18"/>
      <c r="F470" s="18"/>
      <c r="G470" s="18"/>
      <c r="H470" s="18"/>
      <c r="I470" s="18"/>
      <c r="J470" s="18"/>
      <c r="K470" s="18"/>
    </row>
    <row r="471" spans="1:11">
      <c r="A471" s="18">
        <v>469</v>
      </c>
      <c r="B471" s="18">
        <v>140310017</v>
      </c>
      <c r="C471" s="18">
        <v>36</v>
      </c>
      <c r="D471" s="18">
        <v>8.16</v>
      </c>
      <c r="E471" s="18"/>
      <c r="F471" s="18"/>
      <c r="G471" s="18"/>
      <c r="H471" s="18"/>
      <c r="I471" s="18"/>
      <c r="J471" s="18"/>
      <c r="K471" s="18"/>
    </row>
    <row r="472" spans="1:11">
      <c r="A472" s="18">
        <v>470</v>
      </c>
      <c r="B472" s="18">
        <v>140310017</v>
      </c>
      <c r="C472" s="18">
        <v>37</v>
      </c>
      <c r="D472" s="18">
        <v>10.76</v>
      </c>
      <c r="E472" s="18"/>
      <c r="F472" s="18"/>
      <c r="G472" s="18"/>
      <c r="H472" s="18"/>
      <c r="I472" s="18"/>
      <c r="J472" s="18"/>
      <c r="K472" s="18"/>
    </row>
    <row r="473" spans="1:11">
      <c r="A473" s="18">
        <v>471</v>
      </c>
      <c r="B473" s="18">
        <v>140310096</v>
      </c>
      <c r="C473" s="18">
        <v>1</v>
      </c>
      <c r="D473" s="18">
        <v>2.69</v>
      </c>
      <c r="E473" s="18"/>
      <c r="F473" s="18"/>
      <c r="G473" s="18"/>
      <c r="H473" s="18"/>
      <c r="I473" s="18"/>
      <c r="J473" s="18"/>
      <c r="K473" s="18"/>
    </row>
    <row r="474" spans="1:11">
      <c r="A474" s="18">
        <v>472</v>
      </c>
      <c r="B474" s="18">
        <v>140310096</v>
      </c>
      <c r="C474" s="18">
        <v>2</v>
      </c>
      <c r="D474" s="18">
        <v>5.24</v>
      </c>
      <c r="E474" s="18"/>
      <c r="F474" s="18"/>
      <c r="G474" s="18"/>
      <c r="H474" s="18"/>
      <c r="I474" s="18"/>
      <c r="J474" s="18"/>
      <c r="K474" s="18"/>
    </row>
    <row r="475" spans="1:11">
      <c r="A475" s="18">
        <v>473</v>
      </c>
      <c r="B475" s="18">
        <v>140310096</v>
      </c>
      <c r="C475" s="18">
        <v>3</v>
      </c>
      <c r="D475" s="18">
        <v>1.89</v>
      </c>
      <c r="E475" s="18"/>
      <c r="F475" s="18"/>
      <c r="G475" s="18"/>
      <c r="H475" s="18"/>
      <c r="I475" s="18"/>
      <c r="J475" s="18"/>
      <c r="K475" s="18"/>
    </row>
    <row r="476" spans="1:11">
      <c r="A476" s="18">
        <v>474</v>
      </c>
      <c r="B476" s="18">
        <v>140310096</v>
      </c>
      <c r="C476" s="18">
        <v>4</v>
      </c>
      <c r="D476" s="18">
        <v>1.73</v>
      </c>
      <c r="E476" s="18"/>
      <c r="F476" s="18"/>
      <c r="G476" s="18"/>
      <c r="H476" s="18"/>
      <c r="I476" s="18"/>
      <c r="J476" s="18"/>
      <c r="K476" s="18"/>
    </row>
    <row r="477" spans="1:11">
      <c r="A477" s="18">
        <v>475</v>
      </c>
      <c r="B477" s="18">
        <v>140310096</v>
      </c>
      <c r="C477" s="18">
        <v>6</v>
      </c>
      <c r="D477" s="18">
        <v>4.75</v>
      </c>
      <c r="E477" s="18"/>
      <c r="F477" s="18"/>
      <c r="G477" s="18"/>
      <c r="H477" s="18"/>
      <c r="I477" s="18"/>
      <c r="J477" s="18"/>
      <c r="K477" s="18"/>
    </row>
    <row r="478" spans="1:11">
      <c r="A478" s="18">
        <v>476</v>
      </c>
      <c r="B478" s="18">
        <v>140310096</v>
      </c>
      <c r="C478" s="18">
        <v>7</v>
      </c>
      <c r="D478" s="18">
        <v>3.23</v>
      </c>
      <c r="E478" s="18"/>
      <c r="F478" s="18"/>
      <c r="G478" s="18"/>
      <c r="H478" s="18"/>
      <c r="I478" s="18"/>
      <c r="J478" s="18"/>
      <c r="K478" s="18"/>
    </row>
    <row r="479" spans="1:11">
      <c r="A479" s="18">
        <v>477</v>
      </c>
      <c r="B479" s="18">
        <v>140310096</v>
      </c>
      <c r="C479" s="18">
        <v>8</v>
      </c>
      <c r="D479" s="18">
        <v>4.1500000000000004</v>
      </c>
      <c r="E479" s="18"/>
      <c r="F479" s="18"/>
      <c r="G479" s="18"/>
      <c r="H479" s="18"/>
      <c r="I479" s="18"/>
      <c r="J479" s="18"/>
      <c r="K479" s="18"/>
    </row>
    <row r="480" spans="1:11">
      <c r="A480" s="18">
        <v>478</v>
      </c>
      <c r="B480" s="18">
        <v>140310096</v>
      </c>
      <c r="C480" s="18">
        <v>10</v>
      </c>
      <c r="D480" s="18">
        <v>2.15</v>
      </c>
      <c r="E480" s="18"/>
      <c r="F480" s="18"/>
      <c r="G480" s="18"/>
      <c r="H480" s="18"/>
      <c r="I480" s="18"/>
      <c r="J480" s="18"/>
      <c r="K480" s="18"/>
    </row>
    <row r="481" spans="1:11">
      <c r="A481" s="18">
        <v>479</v>
      </c>
      <c r="B481" s="18">
        <v>140310096</v>
      </c>
      <c r="C481" s="18">
        <v>11</v>
      </c>
      <c r="D481" s="18">
        <v>3.61</v>
      </c>
      <c r="E481" s="18"/>
      <c r="F481" s="18"/>
      <c r="G481" s="18"/>
      <c r="H481" s="18"/>
      <c r="I481" s="18"/>
      <c r="J481" s="18"/>
      <c r="K481" s="18"/>
    </row>
    <row r="482" spans="1:11">
      <c r="A482" s="18">
        <v>480</v>
      </c>
      <c r="B482" s="18">
        <v>140310096</v>
      </c>
      <c r="C482" s="18">
        <v>12</v>
      </c>
      <c r="D482" s="18">
        <v>5.52</v>
      </c>
      <c r="E482" s="18"/>
      <c r="F482" s="18"/>
      <c r="G482" s="18"/>
      <c r="H482" s="18"/>
      <c r="I482" s="18"/>
      <c r="J482" s="18"/>
      <c r="K482" s="18"/>
    </row>
    <row r="483" spans="1:11">
      <c r="A483" s="18">
        <v>481</v>
      </c>
      <c r="B483" s="18">
        <v>140310096</v>
      </c>
      <c r="C483" s="18">
        <v>16</v>
      </c>
      <c r="D483" s="18">
        <v>7.38</v>
      </c>
      <c r="E483" s="18"/>
      <c r="F483" s="18"/>
      <c r="G483" s="18"/>
      <c r="H483" s="18"/>
      <c r="I483" s="18"/>
      <c r="J483" s="18"/>
      <c r="K483" s="18"/>
    </row>
    <row r="484" spans="1:11">
      <c r="A484" s="18">
        <v>482</v>
      </c>
      <c r="B484" s="18">
        <v>140310096</v>
      </c>
      <c r="C484" s="18">
        <v>17</v>
      </c>
      <c r="D484" s="18">
        <v>10.08</v>
      </c>
      <c r="E484" s="18"/>
      <c r="F484" s="18"/>
      <c r="G484" s="18"/>
      <c r="H484" s="18"/>
      <c r="I484" s="18"/>
      <c r="J484" s="18"/>
      <c r="K484" s="18"/>
    </row>
    <row r="485" spans="1:11">
      <c r="A485" s="18">
        <v>483</v>
      </c>
      <c r="B485" s="18">
        <v>140310096</v>
      </c>
      <c r="C485" s="18">
        <v>18</v>
      </c>
      <c r="D485" s="18">
        <v>12.87</v>
      </c>
      <c r="E485" s="18"/>
      <c r="F485" s="18"/>
      <c r="G485" s="18"/>
      <c r="H485" s="18"/>
      <c r="I485" s="18"/>
      <c r="J485" s="18"/>
      <c r="K485" s="18"/>
    </row>
    <row r="486" spans="1:11">
      <c r="A486" s="18">
        <v>484</v>
      </c>
      <c r="B486" s="18">
        <v>140310096</v>
      </c>
      <c r="C486" s="18">
        <v>19</v>
      </c>
      <c r="D486" s="18">
        <v>9.8699999999999992</v>
      </c>
      <c r="E486" s="18"/>
      <c r="F486" s="18"/>
      <c r="G486" s="18"/>
      <c r="H486" s="18"/>
      <c r="I486" s="18"/>
      <c r="J486" s="18"/>
      <c r="K486" s="18"/>
    </row>
    <row r="487" spans="1:11">
      <c r="A487" s="18">
        <v>485</v>
      </c>
      <c r="B487" s="18">
        <v>140310096</v>
      </c>
      <c r="C487" s="18">
        <v>21</v>
      </c>
      <c r="D487" s="18">
        <v>6.4</v>
      </c>
      <c r="E487" s="18"/>
      <c r="F487" s="18"/>
      <c r="G487" s="18"/>
      <c r="H487" s="18"/>
      <c r="I487" s="18"/>
      <c r="J487" s="18"/>
      <c r="K487" s="18"/>
    </row>
    <row r="488" spans="1:11">
      <c r="A488" s="18">
        <v>486</v>
      </c>
      <c r="B488" s="18">
        <v>140310096</v>
      </c>
      <c r="C488" s="18">
        <v>23</v>
      </c>
      <c r="D488" s="18">
        <v>10.15</v>
      </c>
      <c r="E488" s="18"/>
      <c r="F488" s="18"/>
      <c r="G488" s="18"/>
      <c r="H488" s="18"/>
      <c r="I488" s="18"/>
      <c r="J488" s="18"/>
      <c r="K488" s="18"/>
    </row>
    <row r="489" spans="1:11">
      <c r="A489" s="18">
        <v>487</v>
      </c>
      <c r="B489" s="18">
        <v>140310096</v>
      </c>
      <c r="C489" s="18">
        <v>30</v>
      </c>
      <c r="D489" s="18">
        <v>11.37</v>
      </c>
      <c r="E489" s="18"/>
      <c r="F489" s="18"/>
      <c r="G489" s="18"/>
      <c r="H489" s="18"/>
      <c r="I489" s="18"/>
      <c r="J489" s="18"/>
      <c r="K489" s="18"/>
    </row>
    <row r="490" spans="1:11">
      <c r="A490" s="18">
        <v>488</v>
      </c>
      <c r="B490" s="18">
        <v>140310096</v>
      </c>
      <c r="C490" s="18">
        <v>31</v>
      </c>
      <c r="D490" s="18">
        <v>12.52</v>
      </c>
      <c r="E490" s="18"/>
      <c r="F490" s="18"/>
      <c r="G490" s="18"/>
      <c r="H490" s="18"/>
      <c r="I490" s="18"/>
      <c r="J490" s="18"/>
      <c r="K490" s="18"/>
    </row>
    <row r="491" spans="1:11">
      <c r="A491" s="18">
        <v>489</v>
      </c>
      <c r="B491" s="18">
        <v>140310096</v>
      </c>
      <c r="C491" s="18">
        <v>32</v>
      </c>
      <c r="D491" s="18">
        <v>15.92</v>
      </c>
      <c r="E491" s="18"/>
      <c r="F491" s="18"/>
      <c r="G491" s="18"/>
      <c r="H491" s="18"/>
      <c r="I491" s="18"/>
      <c r="J491" s="18"/>
      <c r="K491" s="18"/>
    </row>
    <row r="492" spans="1:11">
      <c r="A492" s="18">
        <v>490</v>
      </c>
      <c r="B492" s="18">
        <v>140310096</v>
      </c>
      <c r="C492" s="18">
        <v>33</v>
      </c>
      <c r="D492" s="18">
        <v>7.79</v>
      </c>
      <c r="E492" s="18"/>
      <c r="F492" s="18"/>
      <c r="G492" s="18"/>
      <c r="H492" s="18"/>
      <c r="I492" s="18"/>
      <c r="J492" s="18"/>
      <c r="K492" s="18"/>
    </row>
    <row r="493" spans="1:11">
      <c r="A493" s="18">
        <v>491</v>
      </c>
      <c r="B493" s="18">
        <v>140310096</v>
      </c>
      <c r="C493" s="18">
        <v>34</v>
      </c>
      <c r="D493" s="18">
        <v>7.46</v>
      </c>
      <c r="E493" s="18"/>
      <c r="F493" s="18"/>
      <c r="G493" s="18"/>
      <c r="H493" s="18"/>
      <c r="I493" s="18"/>
      <c r="J493" s="18"/>
      <c r="K493" s="18"/>
    </row>
    <row r="494" spans="1:11">
      <c r="A494" s="18">
        <v>492</v>
      </c>
      <c r="B494" s="18">
        <v>140310096</v>
      </c>
      <c r="C494" s="18">
        <v>35</v>
      </c>
      <c r="D494" s="18">
        <v>7.46</v>
      </c>
      <c r="E494" s="18"/>
      <c r="F494" s="18"/>
      <c r="G494" s="18"/>
      <c r="H494" s="18"/>
      <c r="I494" s="18"/>
      <c r="J494" s="18"/>
      <c r="K494" s="18"/>
    </row>
    <row r="495" spans="1:11">
      <c r="A495" s="18">
        <v>493</v>
      </c>
      <c r="B495" s="18">
        <v>140310096</v>
      </c>
      <c r="C495" s="18">
        <v>36</v>
      </c>
      <c r="D495" s="18">
        <v>8.75</v>
      </c>
      <c r="E495" s="18"/>
      <c r="F495" s="18"/>
      <c r="G495" s="18"/>
      <c r="H495" s="18"/>
      <c r="I495" s="18"/>
      <c r="J495" s="18"/>
      <c r="K495" s="18"/>
    </row>
    <row r="496" spans="1:11">
      <c r="A496" s="18">
        <v>494</v>
      </c>
      <c r="B496" s="18">
        <v>140450027</v>
      </c>
      <c r="C496" s="18">
        <v>1</v>
      </c>
      <c r="D496" s="18">
        <v>2.69</v>
      </c>
      <c r="E496" s="18"/>
      <c r="F496" s="18"/>
      <c r="G496" s="18"/>
      <c r="H496" s="18"/>
      <c r="I496" s="18"/>
      <c r="J496" s="18"/>
      <c r="K496" s="18"/>
    </row>
    <row r="497" spans="1:11">
      <c r="A497" s="18">
        <v>495</v>
      </c>
      <c r="B497" s="18">
        <v>140450027</v>
      </c>
      <c r="C497" s="18">
        <v>3</v>
      </c>
      <c r="D497" s="18">
        <v>1.89</v>
      </c>
      <c r="E497" s="18"/>
      <c r="F497" s="18"/>
      <c r="G497" s="18"/>
      <c r="H497" s="18"/>
      <c r="I497" s="18"/>
      <c r="J497" s="18"/>
      <c r="K497" s="18"/>
    </row>
    <row r="498" spans="1:11">
      <c r="A498" s="18">
        <v>496</v>
      </c>
      <c r="B498" s="18">
        <v>140450027</v>
      </c>
      <c r="C498" s="18">
        <v>4</v>
      </c>
      <c r="D498" s="18">
        <v>1.73</v>
      </c>
      <c r="E498" s="18"/>
      <c r="F498" s="18"/>
      <c r="G498" s="18"/>
      <c r="H498" s="18"/>
      <c r="I498" s="18"/>
      <c r="J498" s="18"/>
      <c r="K498" s="18"/>
    </row>
    <row r="499" spans="1:11">
      <c r="A499" s="18">
        <v>497</v>
      </c>
      <c r="B499" s="18">
        <v>140450027</v>
      </c>
      <c r="C499" s="18">
        <v>6</v>
      </c>
      <c r="D499" s="18">
        <v>4.75</v>
      </c>
      <c r="E499" s="18"/>
      <c r="F499" s="18"/>
      <c r="G499" s="18"/>
      <c r="H499" s="18"/>
      <c r="I499" s="18"/>
      <c r="J499" s="18"/>
      <c r="K499" s="18"/>
    </row>
    <row r="500" spans="1:11">
      <c r="A500" s="18">
        <v>498</v>
      </c>
      <c r="B500" s="18">
        <v>140450027</v>
      </c>
      <c r="C500" s="18">
        <v>7</v>
      </c>
      <c r="D500" s="18">
        <v>3.23</v>
      </c>
      <c r="E500" s="18"/>
      <c r="F500" s="18"/>
      <c r="G500" s="18"/>
      <c r="H500" s="18"/>
      <c r="I500" s="18"/>
      <c r="J500" s="18"/>
      <c r="K500" s="18"/>
    </row>
    <row r="501" spans="1:11">
      <c r="A501" s="18">
        <v>499</v>
      </c>
      <c r="B501" s="18">
        <v>140450027</v>
      </c>
      <c r="C501" s="18">
        <v>8</v>
      </c>
      <c r="D501" s="18">
        <v>4.1500000000000004</v>
      </c>
      <c r="E501" s="18"/>
      <c r="F501" s="18"/>
      <c r="G501" s="18"/>
      <c r="H501" s="18"/>
      <c r="I501" s="18"/>
      <c r="J501" s="18"/>
      <c r="K501" s="18"/>
    </row>
    <row r="502" spans="1:11">
      <c r="A502" s="18">
        <v>500</v>
      </c>
      <c r="B502" s="18">
        <v>140450027</v>
      </c>
      <c r="C502" s="18">
        <v>10</v>
      </c>
      <c r="D502" s="18">
        <v>2.15</v>
      </c>
      <c r="E502" s="18"/>
      <c r="F502" s="18"/>
      <c r="G502" s="18"/>
      <c r="H502" s="18"/>
      <c r="I502" s="18"/>
      <c r="J502" s="18"/>
      <c r="K502" s="18"/>
    </row>
    <row r="503" spans="1:11">
      <c r="A503" s="18">
        <v>501</v>
      </c>
      <c r="B503" s="18">
        <v>140450027</v>
      </c>
      <c r="C503" s="18">
        <v>11</v>
      </c>
      <c r="D503" s="18">
        <v>3.61</v>
      </c>
      <c r="E503" s="18"/>
      <c r="F503" s="18"/>
      <c r="G503" s="18"/>
      <c r="H503" s="18"/>
      <c r="I503" s="18"/>
      <c r="J503" s="18"/>
      <c r="K503" s="18"/>
    </row>
    <row r="504" spans="1:11">
      <c r="A504" s="18">
        <v>502</v>
      </c>
      <c r="B504" s="18">
        <v>140450027</v>
      </c>
      <c r="C504" s="18">
        <v>12</v>
      </c>
      <c r="D504" s="18">
        <v>5.52</v>
      </c>
      <c r="E504" s="18"/>
      <c r="F504" s="18"/>
      <c r="G504" s="18"/>
      <c r="H504" s="18"/>
      <c r="I504" s="18"/>
      <c r="J504" s="18"/>
      <c r="K504" s="18"/>
    </row>
    <row r="505" spans="1:11">
      <c r="A505" s="18">
        <v>503</v>
      </c>
      <c r="B505" s="18">
        <v>140450027</v>
      </c>
      <c r="C505" s="18">
        <v>16</v>
      </c>
      <c r="D505" s="18">
        <v>7.38</v>
      </c>
      <c r="E505" s="18"/>
      <c r="F505" s="18"/>
      <c r="G505" s="18"/>
      <c r="H505" s="18"/>
      <c r="I505" s="18"/>
      <c r="J505" s="18"/>
      <c r="K505" s="18"/>
    </row>
    <row r="506" spans="1:11">
      <c r="A506" s="18">
        <v>504</v>
      </c>
      <c r="B506" s="18">
        <v>140450027</v>
      </c>
      <c r="C506" s="18">
        <v>17</v>
      </c>
      <c r="D506" s="18">
        <v>10.08</v>
      </c>
      <c r="E506" s="18"/>
      <c r="F506" s="18"/>
      <c r="G506" s="18"/>
      <c r="H506" s="18"/>
      <c r="I506" s="18"/>
      <c r="J506" s="18"/>
      <c r="K506" s="18"/>
    </row>
    <row r="507" spans="1:11">
      <c r="A507" s="18">
        <v>505</v>
      </c>
      <c r="B507" s="18">
        <v>140450027</v>
      </c>
      <c r="C507" s="18">
        <v>18</v>
      </c>
      <c r="D507" s="18">
        <v>12.87</v>
      </c>
      <c r="E507" s="18"/>
      <c r="F507" s="18"/>
      <c r="G507" s="18"/>
      <c r="H507" s="18"/>
      <c r="I507" s="18"/>
      <c r="J507" s="18"/>
      <c r="K507" s="18"/>
    </row>
    <row r="508" spans="1:11">
      <c r="A508" s="18">
        <v>506</v>
      </c>
      <c r="B508" s="18">
        <v>140450027</v>
      </c>
      <c r="C508" s="18">
        <v>19</v>
      </c>
      <c r="D508" s="18">
        <v>9.8699999999999992</v>
      </c>
      <c r="E508" s="18"/>
      <c r="F508" s="18"/>
      <c r="G508" s="18"/>
      <c r="H508" s="18"/>
      <c r="I508" s="18"/>
      <c r="J508" s="18"/>
      <c r="K508" s="18"/>
    </row>
    <row r="509" spans="1:11">
      <c r="A509" s="18">
        <v>507</v>
      </c>
      <c r="B509" s="18">
        <v>140450027</v>
      </c>
      <c r="C509" s="18">
        <v>21</v>
      </c>
      <c r="D509" s="18">
        <v>9.01</v>
      </c>
      <c r="E509" s="18"/>
      <c r="F509" s="18"/>
      <c r="G509" s="18"/>
      <c r="H509" s="18"/>
      <c r="I509" s="18"/>
      <c r="J509" s="18"/>
      <c r="K509" s="18"/>
    </row>
    <row r="510" spans="1:11">
      <c r="A510" s="18">
        <v>508</v>
      </c>
      <c r="B510" s="18">
        <v>140450027</v>
      </c>
      <c r="C510" s="18">
        <v>23</v>
      </c>
      <c r="D510" s="18">
        <v>10.25</v>
      </c>
      <c r="E510" s="18"/>
      <c r="F510" s="18"/>
      <c r="G510" s="18"/>
      <c r="H510" s="18"/>
      <c r="I510" s="18"/>
      <c r="J510" s="18"/>
      <c r="K510" s="18"/>
    </row>
    <row r="511" spans="1:11">
      <c r="A511" s="18">
        <v>509</v>
      </c>
      <c r="B511" s="18">
        <v>140450027</v>
      </c>
      <c r="C511" s="18">
        <v>30</v>
      </c>
      <c r="D511" s="18">
        <v>11.37</v>
      </c>
      <c r="E511" s="18"/>
      <c r="F511" s="18"/>
      <c r="G511" s="18"/>
      <c r="H511" s="18"/>
      <c r="I511" s="18"/>
      <c r="J511" s="18"/>
      <c r="K511" s="18"/>
    </row>
    <row r="512" spans="1:11">
      <c r="A512" s="18">
        <v>510</v>
      </c>
      <c r="B512" s="18">
        <v>140450027</v>
      </c>
      <c r="C512" s="18">
        <v>31</v>
      </c>
      <c r="D512" s="18">
        <v>12.52</v>
      </c>
      <c r="E512" s="18"/>
      <c r="F512" s="18"/>
      <c r="G512" s="18"/>
      <c r="H512" s="18"/>
      <c r="I512" s="18"/>
      <c r="J512" s="18"/>
      <c r="K512" s="18"/>
    </row>
    <row r="513" spans="1:11">
      <c r="A513" s="18">
        <v>511</v>
      </c>
      <c r="B513" s="18">
        <v>140450027</v>
      </c>
      <c r="C513" s="18">
        <v>32</v>
      </c>
      <c r="D513" s="18">
        <v>15.92</v>
      </c>
      <c r="E513" s="18"/>
      <c r="F513" s="18"/>
      <c r="G513" s="18"/>
      <c r="H513" s="18"/>
      <c r="I513" s="18"/>
      <c r="J513" s="18"/>
      <c r="K513" s="18"/>
    </row>
    <row r="514" spans="1:11">
      <c r="A514" s="18">
        <v>512</v>
      </c>
      <c r="B514" s="18">
        <v>140450027</v>
      </c>
      <c r="C514" s="18">
        <v>33</v>
      </c>
      <c r="D514" s="18">
        <v>7.79</v>
      </c>
      <c r="E514" s="18"/>
      <c r="F514" s="18"/>
      <c r="G514" s="18"/>
      <c r="H514" s="18"/>
      <c r="I514" s="18"/>
      <c r="J514" s="18"/>
      <c r="K514" s="18"/>
    </row>
    <row r="515" spans="1:11">
      <c r="A515" s="18">
        <v>513</v>
      </c>
      <c r="B515" s="18">
        <v>140450027</v>
      </c>
      <c r="C515" s="18">
        <v>34</v>
      </c>
      <c r="D515" s="18">
        <v>7.46</v>
      </c>
      <c r="E515" s="18"/>
      <c r="F515" s="18"/>
      <c r="G515" s="18"/>
      <c r="H515" s="18"/>
      <c r="I515" s="18"/>
      <c r="J515" s="18"/>
      <c r="K515" s="18"/>
    </row>
    <row r="516" spans="1:11">
      <c r="A516" s="18">
        <v>514</v>
      </c>
      <c r="B516" s="18">
        <v>140450027</v>
      </c>
      <c r="C516" s="18">
        <v>35</v>
      </c>
      <c r="D516" s="18">
        <v>7.46</v>
      </c>
      <c r="E516" s="18"/>
      <c r="F516" s="18"/>
      <c r="G516" s="18"/>
      <c r="H516" s="18"/>
      <c r="I516" s="18"/>
      <c r="J516" s="18"/>
      <c r="K516" s="18"/>
    </row>
    <row r="517" spans="1:11">
      <c r="A517" s="18">
        <v>515</v>
      </c>
      <c r="B517" s="18">
        <v>140450027</v>
      </c>
      <c r="C517" s="18">
        <v>36</v>
      </c>
      <c r="D517" s="18">
        <v>8.16</v>
      </c>
      <c r="E517" s="18"/>
      <c r="F517" s="18"/>
      <c r="G517" s="18"/>
      <c r="H517" s="18"/>
      <c r="I517" s="18"/>
      <c r="J517" s="18"/>
      <c r="K517" s="18"/>
    </row>
    <row r="518" spans="1:11">
      <c r="A518" s="18">
        <v>516</v>
      </c>
      <c r="B518" s="18">
        <v>140450027</v>
      </c>
      <c r="C518" s="18">
        <v>37</v>
      </c>
      <c r="D518" s="18">
        <v>10.76</v>
      </c>
      <c r="E518" s="18"/>
      <c r="F518" s="18"/>
      <c r="G518" s="18"/>
      <c r="H518" s="18"/>
      <c r="I518" s="18"/>
      <c r="J518" s="18"/>
      <c r="K518" s="18"/>
    </row>
    <row r="519" spans="1:11">
      <c r="A519" s="18">
        <v>517</v>
      </c>
      <c r="B519" s="18">
        <v>140450047</v>
      </c>
      <c r="C519" s="18">
        <v>1</v>
      </c>
      <c r="D519" s="18">
        <v>2.69</v>
      </c>
      <c r="E519" s="18"/>
      <c r="F519" s="18"/>
      <c r="G519" s="18"/>
      <c r="H519" s="18"/>
      <c r="I519" s="18"/>
      <c r="J519" s="18"/>
      <c r="K519" s="18"/>
    </row>
    <row r="520" spans="1:11">
      <c r="A520" s="18">
        <v>518</v>
      </c>
      <c r="B520" s="18">
        <v>140450047</v>
      </c>
      <c r="C520" s="18">
        <v>3</v>
      </c>
      <c r="D520" s="18">
        <v>1.89</v>
      </c>
      <c r="E520" s="18"/>
      <c r="F520" s="18"/>
      <c r="G520" s="18"/>
      <c r="H520" s="18"/>
      <c r="I520" s="18"/>
      <c r="J520" s="18"/>
      <c r="K520" s="18"/>
    </row>
    <row r="521" spans="1:11">
      <c r="A521" s="18">
        <v>519</v>
      </c>
      <c r="B521" s="18">
        <v>140450047</v>
      </c>
      <c r="C521" s="18">
        <v>4</v>
      </c>
      <c r="D521" s="18">
        <v>1.73</v>
      </c>
      <c r="E521" s="18"/>
      <c r="F521" s="18"/>
      <c r="G521" s="18"/>
      <c r="H521" s="18"/>
      <c r="I521" s="18"/>
      <c r="J521" s="18"/>
      <c r="K521" s="18"/>
    </row>
    <row r="522" spans="1:11">
      <c r="A522" s="18">
        <v>520</v>
      </c>
      <c r="B522" s="18">
        <v>140450047</v>
      </c>
      <c r="C522" s="18">
        <v>9</v>
      </c>
      <c r="D522" s="18">
        <v>6.61</v>
      </c>
      <c r="E522" s="18"/>
      <c r="F522" s="18"/>
      <c r="G522" s="18"/>
      <c r="H522" s="18"/>
      <c r="I522" s="18"/>
      <c r="J522" s="18"/>
      <c r="K522" s="18"/>
    </row>
    <row r="523" spans="1:11">
      <c r="A523" s="18">
        <v>521</v>
      </c>
      <c r="B523" s="18">
        <v>140450047</v>
      </c>
      <c r="C523" s="18">
        <v>10</v>
      </c>
      <c r="D523" s="18">
        <v>2.15</v>
      </c>
      <c r="E523" s="18"/>
      <c r="F523" s="18"/>
      <c r="G523" s="18"/>
      <c r="H523" s="18"/>
      <c r="I523" s="18"/>
      <c r="J523" s="18"/>
      <c r="K523" s="18"/>
    </row>
    <row r="524" spans="1:11">
      <c r="A524" s="18">
        <v>522</v>
      </c>
      <c r="B524" s="18">
        <v>140450047</v>
      </c>
      <c r="C524" s="18">
        <v>11</v>
      </c>
      <c r="D524" s="18">
        <v>3.61</v>
      </c>
      <c r="E524" s="18"/>
      <c r="F524" s="18"/>
      <c r="G524" s="18"/>
      <c r="H524" s="18"/>
      <c r="I524" s="18"/>
      <c r="J524" s="18"/>
      <c r="K524" s="18"/>
    </row>
    <row r="525" spans="1:11">
      <c r="A525" s="18">
        <v>523</v>
      </c>
      <c r="B525" s="18">
        <v>140450047</v>
      </c>
      <c r="C525" s="18">
        <v>12</v>
      </c>
      <c r="D525" s="18">
        <v>5.52</v>
      </c>
      <c r="E525" s="18"/>
      <c r="F525" s="18"/>
      <c r="G525" s="18"/>
      <c r="H525" s="18"/>
      <c r="I525" s="18"/>
      <c r="J525" s="18"/>
      <c r="K525" s="18"/>
    </row>
    <row r="526" spans="1:11">
      <c r="A526" s="18">
        <v>524</v>
      </c>
      <c r="B526" s="18">
        <v>140450047</v>
      </c>
      <c r="C526" s="18">
        <v>16</v>
      </c>
      <c r="D526" s="18">
        <v>7.38</v>
      </c>
      <c r="E526" s="18"/>
      <c r="F526" s="18"/>
      <c r="G526" s="18"/>
      <c r="H526" s="18"/>
      <c r="I526" s="18"/>
      <c r="J526" s="18"/>
      <c r="K526" s="18"/>
    </row>
    <row r="527" spans="1:11">
      <c r="A527" s="18">
        <v>525</v>
      </c>
      <c r="B527" s="18">
        <v>140450047</v>
      </c>
      <c r="C527" s="18">
        <v>17</v>
      </c>
      <c r="D527" s="18">
        <v>10.08</v>
      </c>
      <c r="E527" s="18"/>
      <c r="F527" s="18"/>
      <c r="G527" s="18"/>
      <c r="H527" s="18"/>
      <c r="I527" s="18"/>
      <c r="J527" s="18"/>
      <c r="K527" s="18"/>
    </row>
    <row r="528" spans="1:11">
      <c r="A528" s="18">
        <v>526</v>
      </c>
      <c r="B528" s="18">
        <v>140450047</v>
      </c>
      <c r="C528" s="18">
        <v>18</v>
      </c>
      <c r="D528" s="18">
        <v>12.87</v>
      </c>
      <c r="E528" s="18"/>
      <c r="F528" s="18"/>
      <c r="G528" s="18"/>
      <c r="H528" s="18"/>
      <c r="I528" s="18"/>
      <c r="J528" s="18"/>
      <c r="K528" s="18"/>
    </row>
    <row r="529" spans="1:11">
      <c r="A529" s="18">
        <v>527</v>
      </c>
      <c r="B529" s="18">
        <v>140450047</v>
      </c>
      <c r="C529" s="18">
        <v>19</v>
      </c>
      <c r="D529" s="18">
        <v>9.8699999999999992</v>
      </c>
      <c r="E529" s="18"/>
      <c r="F529" s="18"/>
      <c r="G529" s="18"/>
      <c r="H529" s="18"/>
      <c r="I529" s="18"/>
      <c r="J529" s="18"/>
      <c r="K529" s="18"/>
    </row>
    <row r="530" spans="1:11">
      <c r="A530" s="18">
        <v>528</v>
      </c>
      <c r="B530" s="18">
        <v>140450047</v>
      </c>
      <c r="C530" s="18">
        <v>30</v>
      </c>
      <c r="D530" s="18">
        <v>11.37</v>
      </c>
      <c r="E530" s="18"/>
      <c r="F530" s="18"/>
      <c r="G530" s="18"/>
      <c r="H530" s="18"/>
      <c r="I530" s="18"/>
      <c r="J530" s="18"/>
      <c r="K530" s="18"/>
    </row>
    <row r="531" spans="1:11">
      <c r="A531" s="18">
        <v>529</v>
      </c>
      <c r="B531" s="18">
        <v>140450047</v>
      </c>
      <c r="C531" s="18">
        <v>31</v>
      </c>
      <c r="D531" s="18">
        <v>12.52</v>
      </c>
      <c r="E531" s="18"/>
      <c r="F531" s="18"/>
      <c r="G531" s="18"/>
      <c r="H531" s="18"/>
      <c r="I531" s="18"/>
      <c r="J531" s="18"/>
      <c r="K531" s="18"/>
    </row>
    <row r="532" spans="1:11">
      <c r="A532" s="18">
        <v>530</v>
      </c>
      <c r="B532" s="18">
        <v>140450047</v>
      </c>
      <c r="C532" s="18">
        <v>32</v>
      </c>
      <c r="D532" s="18">
        <v>15.92</v>
      </c>
      <c r="E532" s="18"/>
      <c r="F532" s="18"/>
      <c r="G532" s="18"/>
      <c r="H532" s="18"/>
      <c r="I532" s="18"/>
      <c r="J532" s="18"/>
      <c r="K532" s="18"/>
    </row>
    <row r="533" spans="1:11">
      <c r="A533" s="18">
        <v>531</v>
      </c>
      <c r="B533" s="18">
        <v>140450047</v>
      </c>
      <c r="C533" s="18">
        <v>33</v>
      </c>
      <c r="D533" s="18">
        <v>7.79</v>
      </c>
      <c r="E533" s="18"/>
      <c r="F533" s="18"/>
      <c r="G533" s="18"/>
      <c r="H533" s="18"/>
      <c r="I533" s="18"/>
      <c r="J533" s="18"/>
      <c r="K533" s="18"/>
    </row>
    <row r="534" spans="1:11">
      <c r="A534" s="18">
        <v>532</v>
      </c>
      <c r="B534" s="18">
        <v>140450047</v>
      </c>
      <c r="C534" s="18">
        <v>34</v>
      </c>
      <c r="D534" s="18">
        <v>7.46</v>
      </c>
      <c r="E534" s="18"/>
      <c r="F534" s="18"/>
      <c r="G534" s="18"/>
      <c r="H534" s="18"/>
      <c r="I534" s="18"/>
      <c r="J534" s="18"/>
      <c r="K534" s="18"/>
    </row>
    <row r="535" spans="1:11">
      <c r="A535" s="18">
        <v>533</v>
      </c>
      <c r="B535" s="18">
        <v>140450047</v>
      </c>
      <c r="C535" s="18">
        <v>35</v>
      </c>
      <c r="D535" s="18">
        <v>6.48</v>
      </c>
      <c r="E535" s="18"/>
      <c r="F535" s="18"/>
      <c r="G535" s="18"/>
      <c r="H535" s="18"/>
      <c r="I535" s="18"/>
      <c r="J535" s="18"/>
      <c r="K535" s="18"/>
    </row>
    <row r="536" spans="1:11">
      <c r="A536" s="18">
        <v>534</v>
      </c>
      <c r="B536" s="18">
        <v>140640007</v>
      </c>
      <c r="C536" s="18">
        <v>1</v>
      </c>
      <c r="D536" s="18">
        <v>2.69</v>
      </c>
      <c r="E536" s="18"/>
      <c r="F536" s="18"/>
      <c r="G536" s="18"/>
      <c r="H536" s="18"/>
      <c r="I536" s="18"/>
      <c r="J536" s="18"/>
      <c r="K536" s="18"/>
    </row>
    <row r="537" spans="1:11">
      <c r="A537" s="18">
        <v>535</v>
      </c>
      <c r="B537" s="18">
        <v>140640007</v>
      </c>
      <c r="C537" s="18">
        <v>2</v>
      </c>
      <c r="D537" s="18">
        <v>5.24</v>
      </c>
      <c r="E537" s="18"/>
      <c r="F537" s="18"/>
      <c r="G537" s="18"/>
      <c r="H537" s="18"/>
      <c r="I537" s="18"/>
      <c r="J537" s="18"/>
      <c r="K537" s="18"/>
    </row>
    <row r="538" spans="1:11">
      <c r="A538" s="18">
        <v>536</v>
      </c>
      <c r="B538" s="18">
        <v>140640007</v>
      </c>
      <c r="C538" s="18">
        <v>3</v>
      </c>
      <c r="D538" s="18">
        <v>1.89</v>
      </c>
      <c r="E538" s="18"/>
      <c r="F538" s="18"/>
      <c r="G538" s="18"/>
      <c r="H538" s="18"/>
      <c r="I538" s="18"/>
      <c r="J538" s="18"/>
      <c r="K538" s="18"/>
    </row>
    <row r="539" spans="1:11">
      <c r="A539" s="18">
        <v>537</v>
      </c>
      <c r="B539" s="18">
        <v>140640007</v>
      </c>
      <c r="C539" s="18">
        <v>4</v>
      </c>
      <c r="D539" s="18">
        <v>1.73</v>
      </c>
      <c r="E539" s="18"/>
      <c r="F539" s="18"/>
      <c r="G539" s="18"/>
      <c r="H539" s="18"/>
      <c r="I539" s="18"/>
      <c r="J539" s="18"/>
      <c r="K539" s="18"/>
    </row>
    <row r="540" spans="1:11">
      <c r="A540" s="18">
        <v>538</v>
      </c>
      <c r="B540" s="18">
        <v>140640007</v>
      </c>
      <c r="C540" s="18">
        <v>6</v>
      </c>
      <c r="D540" s="18">
        <v>4.75</v>
      </c>
      <c r="E540" s="18"/>
      <c r="F540" s="18"/>
      <c r="G540" s="18"/>
      <c r="H540" s="18"/>
      <c r="I540" s="18"/>
      <c r="J540" s="18"/>
      <c r="K540" s="18"/>
    </row>
    <row r="541" spans="1:11">
      <c r="A541" s="18">
        <v>539</v>
      </c>
      <c r="B541" s="18">
        <v>140640007</v>
      </c>
      <c r="C541" s="18">
        <v>7</v>
      </c>
      <c r="D541" s="18">
        <v>3.23</v>
      </c>
      <c r="E541" s="18"/>
      <c r="F541" s="18"/>
      <c r="G541" s="18"/>
      <c r="H541" s="18"/>
      <c r="I541" s="18"/>
      <c r="J541" s="18"/>
      <c r="K541" s="18"/>
    </row>
    <row r="542" spans="1:11">
      <c r="A542" s="18">
        <v>540</v>
      </c>
      <c r="B542" s="18">
        <v>140640007</v>
      </c>
      <c r="C542" s="18">
        <v>8</v>
      </c>
      <c r="D542" s="18">
        <v>4.1500000000000004</v>
      </c>
      <c r="E542" s="18"/>
      <c r="F542" s="18"/>
      <c r="G542" s="18"/>
      <c r="H542" s="18"/>
      <c r="I542" s="18"/>
      <c r="J542" s="18"/>
      <c r="K542" s="18"/>
    </row>
    <row r="543" spans="1:11">
      <c r="A543" s="18">
        <v>541</v>
      </c>
      <c r="B543" s="18">
        <v>140640007</v>
      </c>
      <c r="C543" s="18">
        <v>10</v>
      </c>
      <c r="D543" s="18">
        <v>2.15</v>
      </c>
      <c r="E543" s="18"/>
      <c r="F543" s="18"/>
      <c r="G543" s="18"/>
      <c r="H543" s="18"/>
      <c r="I543" s="18"/>
      <c r="J543" s="18"/>
      <c r="K543" s="18"/>
    </row>
    <row r="544" spans="1:11">
      <c r="A544" s="18">
        <v>542</v>
      </c>
      <c r="B544" s="18">
        <v>140640007</v>
      </c>
      <c r="C544" s="18">
        <v>11</v>
      </c>
      <c r="D544" s="18">
        <v>3.61</v>
      </c>
      <c r="E544" s="18"/>
      <c r="F544" s="18"/>
      <c r="G544" s="18"/>
      <c r="H544" s="18"/>
      <c r="I544" s="18"/>
      <c r="J544" s="18"/>
      <c r="K544" s="18"/>
    </row>
    <row r="545" spans="1:11">
      <c r="A545" s="18">
        <v>543</v>
      </c>
      <c r="B545" s="18">
        <v>140640007</v>
      </c>
      <c r="C545" s="18">
        <v>12</v>
      </c>
      <c r="D545" s="18">
        <v>5.52</v>
      </c>
      <c r="E545" s="18"/>
      <c r="F545" s="18"/>
      <c r="G545" s="18"/>
      <c r="H545" s="18"/>
      <c r="I545" s="18"/>
      <c r="J545" s="18"/>
      <c r="K545" s="18"/>
    </row>
    <row r="546" spans="1:11">
      <c r="A546" s="18">
        <v>544</v>
      </c>
      <c r="B546" s="18">
        <v>140640007</v>
      </c>
      <c r="C546" s="18">
        <v>16</v>
      </c>
      <c r="D546" s="18">
        <v>7.38</v>
      </c>
      <c r="E546" s="18"/>
      <c r="F546" s="18"/>
      <c r="G546" s="18"/>
      <c r="H546" s="18"/>
      <c r="I546" s="18"/>
      <c r="J546" s="18"/>
      <c r="K546" s="18"/>
    </row>
    <row r="547" spans="1:11">
      <c r="A547" s="18">
        <v>545</v>
      </c>
      <c r="B547" s="18">
        <v>140640007</v>
      </c>
      <c r="C547" s="18">
        <v>17</v>
      </c>
      <c r="D547" s="18">
        <v>10.08</v>
      </c>
      <c r="E547" s="18"/>
      <c r="F547" s="18"/>
      <c r="G547" s="18"/>
      <c r="H547" s="18"/>
      <c r="I547" s="18"/>
      <c r="J547" s="18"/>
      <c r="K547" s="18"/>
    </row>
    <row r="548" spans="1:11">
      <c r="A548" s="18">
        <v>546</v>
      </c>
      <c r="B548" s="18">
        <v>140640007</v>
      </c>
      <c r="C548" s="18">
        <v>18</v>
      </c>
      <c r="D548" s="18">
        <v>12.87</v>
      </c>
      <c r="E548" s="18"/>
      <c r="F548" s="18"/>
      <c r="G548" s="18"/>
      <c r="H548" s="18"/>
      <c r="I548" s="18"/>
      <c r="J548" s="18"/>
      <c r="K548" s="18"/>
    </row>
    <row r="549" spans="1:11">
      <c r="A549" s="18">
        <v>547</v>
      </c>
      <c r="B549" s="18">
        <v>140640007</v>
      </c>
      <c r="C549" s="18">
        <v>19</v>
      </c>
      <c r="D549" s="18">
        <v>9.8699999999999992</v>
      </c>
      <c r="E549" s="18"/>
      <c r="F549" s="18"/>
      <c r="G549" s="18"/>
      <c r="H549" s="18"/>
      <c r="I549" s="18"/>
      <c r="J549" s="18"/>
      <c r="K549" s="18"/>
    </row>
    <row r="550" spans="1:11">
      <c r="A550" s="18">
        <v>548</v>
      </c>
      <c r="B550" s="18">
        <v>140640007</v>
      </c>
      <c r="C550" s="18">
        <v>21</v>
      </c>
      <c r="D550" s="18">
        <v>9.01</v>
      </c>
      <c r="E550" s="18"/>
      <c r="F550" s="18"/>
      <c r="G550" s="18"/>
      <c r="H550" s="18"/>
      <c r="I550" s="18"/>
      <c r="J550" s="18"/>
      <c r="K550" s="18"/>
    </row>
    <row r="551" spans="1:11">
      <c r="A551" s="18">
        <v>549</v>
      </c>
      <c r="B551" s="18">
        <v>140640007</v>
      </c>
      <c r="C551" s="18">
        <v>25</v>
      </c>
      <c r="D551" s="18">
        <v>7.81</v>
      </c>
      <c r="E551" s="18"/>
      <c r="F551" s="18"/>
      <c r="G551" s="18"/>
      <c r="H551" s="18"/>
      <c r="I551" s="18"/>
      <c r="J551" s="18"/>
      <c r="K551" s="18"/>
    </row>
    <row r="552" spans="1:11">
      <c r="A552" s="18">
        <v>550</v>
      </c>
      <c r="B552" s="18">
        <v>140640007</v>
      </c>
      <c r="C552" s="18">
        <v>30</v>
      </c>
      <c r="D552" s="18">
        <v>11.37</v>
      </c>
      <c r="E552" s="18"/>
      <c r="F552" s="18"/>
      <c r="G552" s="18"/>
      <c r="H552" s="18"/>
      <c r="I552" s="18"/>
      <c r="J552" s="18"/>
      <c r="K552" s="18"/>
    </row>
    <row r="553" spans="1:11">
      <c r="A553" s="18">
        <v>551</v>
      </c>
      <c r="B553" s="18">
        <v>140640007</v>
      </c>
      <c r="C553" s="18">
        <v>31</v>
      </c>
      <c r="D553" s="18">
        <v>12.52</v>
      </c>
      <c r="E553" s="18"/>
      <c r="F553" s="18"/>
      <c r="G553" s="18"/>
      <c r="H553" s="18"/>
      <c r="I553" s="18"/>
      <c r="J553" s="18"/>
      <c r="K553" s="18"/>
    </row>
    <row r="554" spans="1:11">
      <c r="A554" s="18">
        <v>552</v>
      </c>
      <c r="B554" s="18">
        <v>140640007</v>
      </c>
      <c r="C554" s="18">
        <v>32</v>
      </c>
      <c r="D554" s="18">
        <v>15.92</v>
      </c>
      <c r="E554" s="18"/>
      <c r="F554" s="18"/>
      <c r="G554" s="18"/>
      <c r="H554" s="18"/>
      <c r="I554" s="18"/>
      <c r="J554" s="18"/>
      <c r="K554" s="18"/>
    </row>
    <row r="555" spans="1:11">
      <c r="A555" s="18">
        <v>553</v>
      </c>
      <c r="B555" s="18">
        <v>140640007</v>
      </c>
      <c r="C555" s="18">
        <v>33</v>
      </c>
      <c r="D555" s="18">
        <v>7.79</v>
      </c>
      <c r="E555" s="18"/>
      <c r="F555" s="18"/>
      <c r="G555" s="18"/>
      <c r="H555" s="18"/>
      <c r="I555" s="18"/>
      <c r="J555" s="18"/>
      <c r="K555" s="18"/>
    </row>
    <row r="556" spans="1:11">
      <c r="A556" s="18">
        <v>554</v>
      </c>
      <c r="B556" s="18">
        <v>140640007</v>
      </c>
      <c r="C556" s="18">
        <v>34</v>
      </c>
      <c r="D556" s="18">
        <v>7.46</v>
      </c>
      <c r="E556" s="18"/>
      <c r="F556" s="18"/>
      <c r="G556" s="18"/>
      <c r="H556" s="18"/>
      <c r="I556" s="18"/>
      <c r="J556" s="18"/>
      <c r="K556" s="18"/>
    </row>
    <row r="557" spans="1:11">
      <c r="A557" s="18">
        <v>555</v>
      </c>
      <c r="B557" s="18">
        <v>140640007</v>
      </c>
      <c r="C557" s="18">
        <v>35</v>
      </c>
      <c r="D557" s="18">
        <v>6.48</v>
      </c>
      <c r="E557" s="18"/>
      <c r="F557" s="18"/>
      <c r="G557" s="18"/>
      <c r="H557" s="18"/>
      <c r="I557" s="18"/>
      <c r="J557" s="18"/>
      <c r="K557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4AC1D0-2043-4173-AAFA-35C042DFDD54}">
          <x14:formula1>
            <xm:f>_mySQL!$A$2:$A$51</xm:f>
          </x14:formula1>
          <xm:sqref>A2:D2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CB766-1040-457D-9962-28EA374B0932}">
  <sheetPr codeName="Sheet28"/>
  <dimension ref="A1:AR39"/>
  <sheetViews>
    <sheetView showGridLines="0" zoomScaleNormal="100" workbookViewId="0">
      <pane xSplit="2" ySplit="3" topLeftCell="P18" activePane="bottomRight" state="frozen"/>
      <selection pane="topRight" activeCell="C1" sqref="C1"/>
      <selection pane="bottomLeft" activeCell="A4" sqref="A4"/>
      <selection pane="bottomRight" activeCell="T31" sqref="T31"/>
    </sheetView>
  </sheetViews>
  <sheetFormatPr defaultRowHeight="15"/>
  <cols>
    <col min="1" max="1" width="9.7109375" customWidth="1"/>
    <col min="2" max="2" width="3.7109375" customWidth="1"/>
    <col min="3" max="42" width="5.7109375" customWidth="1"/>
    <col min="43" max="43" width="8" bestFit="1" customWidth="1"/>
    <col min="44" max="44" width="3.7109375" customWidth="1"/>
  </cols>
  <sheetData>
    <row r="1" spans="1:44" ht="15.75">
      <c r="A1" s="32" t="s">
        <v>1582</v>
      </c>
      <c r="B1" s="33" t="s">
        <v>1583</v>
      </c>
      <c r="C1" s="29" t="s">
        <v>1515</v>
      </c>
      <c r="D1" s="29"/>
      <c r="E1" s="29" t="s">
        <v>1517</v>
      </c>
      <c r="F1" s="29" t="s">
        <v>1519</v>
      </c>
      <c r="G1" s="29" t="s">
        <v>1520</v>
      </c>
      <c r="H1" s="29" t="s">
        <v>1522</v>
      </c>
      <c r="I1" s="29" t="s">
        <v>1524</v>
      </c>
      <c r="J1" s="30" t="s">
        <v>1526</v>
      </c>
      <c r="K1" s="30" t="s">
        <v>1527</v>
      </c>
      <c r="L1" s="30" t="s">
        <v>1529</v>
      </c>
      <c r="M1" s="29" t="s">
        <v>1530</v>
      </c>
      <c r="N1" s="30" t="s">
        <v>1532</v>
      </c>
      <c r="O1" s="30" t="s">
        <v>1533</v>
      </c>
      <c r="P1" s="30" t="s">
        <v>1535</v>
      </c>
      <c r="Q1" s="29" t="s">
        <v>1537</v>
      </c>
      <c r="R1" s="29" t="s">
        <v>1539</v>
      </c>
      <c r="S1" s="30" t="s">
        <v>1540</v>
      </c>
      <c r="T1" s="30" t="s">
        <v>1541</v>
      </c>
      <c r="U1" s="29" t="s">
        <v>21</v>
      </c>
      <c r="V1" s="29" t="s">
        <v>1494</v>
      </c>
      <c r="W1" s="30" t="s">
        <v>1543</v>
      </c>
      <c r="X1" s="30" t="s">
        <v>1544</v>
      </c>
      <c r="Y1" s="30" t="s">
        <v>1546</v>
      </c>
      <c r="Z1" s="29" t="s">
        <v>1548</v>
      </c>
      <c r="AA1" s="29" t="s">
        <v>1550</v>
      </c>
      <c r="AB1" s="29" t="s">
        <v>1552</v>
      </c>
      <c r="AC1" s="29" t="s">
        <v>1554</v>
      </c>
      <c r="AD1" s="29" t="s">
        <v>1556</v>
      </c>
      <c r="AE1" s="29" t="s">
        <v>1558</v>
      </c>
      <c r="AF1" s="29" t="s">
        <v>1560</v>
      </c>
      <c r="AG1" s="30" t="s">
        <v>1562</v>
      </c>
      <c r="AH1" s="30" t="s">
        <v>1564</v>
      </c>
      <c r="AI1" s="30" t="s">
        <v>1566</v>
      </c>
      <c r="AJ1" s="30" t="s">
        <v>1568</v>
      </c>
      <c r="AK1" s="30" t="s">
        <v>1569</v>
      </c>
      <c r="AL1" s="29" t="s">
        <v>1570</v>
      </c>
      <c r="AM1" s="29" t="s">
        <v>1571</v>
      </c>
      <c r="AN1" s="29" t="s">
        <v>1573</v>
      </c>
      <c r="AO1" s="29" t="s">
        <v>1574</v>
      </c>
      <c r="AP1" s="29" t="s">
        <v>1575</v>
      </c>
      <c r="AQ1" s="31" t="s">
        <v>1584</v>
      </c>
      <c r="AR1" s="36" t="s">
        <v>1585</v>
      </c>
    </row>
    <row r="2" spans="1:44" ht="81.75">
      <c r="A2" s="25">
        <v>30000</v>
      </c>
      <c r="B2" s="35">
        <v>35</v>
      </c>
      <c r="C2" s="26" t="s">
        <v>1773</v>
      </c>
      <c r="D2" s="26" t="s">
        <v>1772</v>
      </c>
      <c r="E2" s="26" t="s">
        <v>1516</v>
      </c>
      <c r="F2" s="26" t="s">
        <v>1518</v>
      </c>
      <c r="G2" s="26" t="s">
        <v>1501</v>
      </c>
      <c r="H2" s="26" t="s">
        <v>1521</v>
      </c>
      <c r="I2" s="26" t="s">
        <v>1523</v>
      </c>
      <c r="J2" s="27" t="s">
        <v>1525</v>
      </c>
      <c r="K2" s="27" t="s">
        <v>1502</v>
      </c>
      <c r="L2" s="27" t="s">
        <v>1528</v>
      </c>
      <c r="M2" s="26" t="s">
        <v>1503</v>
      </c>
      <c r="N2" s="27" t="s">
        <v>1531</v>
      </c>
      <c r="O2" s="27" t="s">
        <v>1504</v>
      </c>
      <c r="P2" s="27" t="s">
        <v>1534</v>
      </c>
      <c r="Q2" s="26" t="s">
        <v>1536</v>
      </c>
      <c r="R2" s="26" t="s">
        <v>1538</v>
      </c>
      <c r="S2" s="27" t="s">
        <v>1505</v>
      </c>
      <c r="T2" s="27" t="s">
        <v>1506</v>
      </c>
      <c r="U2" s="26" t="s">
        <v>1513</v>
      </c>
      <c r="V2" s="26" t="s">
        <v>1514</v>
      </c>
      <c r="W2" s="27" t="s">
        <v>1542</v>
      </c>
      <c r="X2" s="27" t="s">
        <v>1507</v>
      </c>
      <c r="Y2" s="27" t="s">
        <v>1545</v>
      </c>
      <c r="Z2" s="26" t="s">
        <v>1547</v>
      </c>
      <c r="AA2" s="26" t="s">
        <v>1549</v>
      </c>
      <c r="AB2" s="26" t="s">
        <v>1551</v>
      </c>
      <c r="AC2" s="26" t="s">
        <v>1553</v>
      </c>
      <c r="AD2" s="26" t="s">
        <v>1555</v>
      </c>
      <c r="AE2" s="26" t="s">
        <v>1557</v>
      </c>
      <c r="AF2" s="26" t="s">
        <v>1559</v>
      </c>
      <c r="AG2" s="27" t="s">
        <v>1561</v>
      </c>
      <c r="AH2" s="27" t="s">
        <v>1563</v>
      </c>
      <c r="AI2" s="27" t="s">
        <v>1565</v>
      </c>
      <c r="AJ2" s="28" t="s">
        <v>1567</v>
      </c>
      <c r="AK2" s="28" t="s">
        <v>1508</v>
      </c>
      <c r="AL2" s="26" t="s">
        <v>1509</v>
      </c>
      <c r="AM2" s="26" t="s">
        <v>1510</v>
      </c>
      <c r="AN2" s="26" t="s">
        <v>1572</v>
      </c>
      <c r="AO2" s="26" t="s">
        <v>1511</v>
      </c>
      <c r="AP2" s="26" t="s">
        <v>1512</v>
      </c>
      <c r="AQ2" s="25" t="e">
        <f>SUMPRODUCT(AQ4:AQ29,AR4:AR29)</f>
        <v>#VALUE!</v>
      </c>
      <c r="AR2" s="67" t="e">
        <f>B2*_CT!$A2/_CT!$AQ2*AQ3*AR3</f>
        <v>#VALUE!</v>
      </c>
    </row>
    <row r="3" spans="1:44" ht="16.5" thickBot="1">
      <c r="A3" s="21" t="s">
        <v>1586</v>
      </c>
      <c r="B3" s="22"/>
      <c r="C3" s="23" t="s">
        <v>1499</v>
      </c>
      <c r="D3" s="23"/>
      <c r="E3" s="23" t="s">
        <v>1499</v>
      </c>
      <c r="F3" s="23" t="s">
        <v>1499</v>
      </c>
      <c r="G3" s="23" t="s">
        <v>1499</v>
      </c>
      <c r="H3" s="23" t="s">
        <v>1499</v>
      </c>
      <c r="I3" s="23" t="s">
        <v>1499</v>
      </c>
      <c r="J3" s="24" t="s">
        <v>1499</v>
      </c>
      <c r="K3" s="24" t="s">
        <v>1499</v>
      </c>
      <c r="L3" s="24" t="s">
        <v>1499</v>
      </c>
      <c r="M3" s="23" t="s">
        <v>1499</v>
      </c>
      <c r="N3" s="24" t="s">
        <v>1577</v>
      </c>
      <c r="O3" s="24" t="s">
        <v>1577</v>
      </c>
      <c r="P3" s="24" t="s">
        <v>1577</v>
      </c>
      <c r="Q3" s="23" t="s">
        <v>1577</v>
      </c>
      <c r="R3" s="23" t="s">
        <v>1577</v>
      </c>
      <c r="S3" s="24" t="s">
        <v>1577</v>
      </c>
      <c r="T3" s="24" t="s">
        <v>1577</v>
      </c>
      <c r="U3" s="23" t="s">
        <v>1578</v>
      </c>
      <c r="V3" s="23" t="s">
        <v>1578</v>
      </c>
      <c r="W3" s="24" t="s">
        <v>1579</v>
      </c>
      <c r="X3" s="24" t="s">
        <v>1579</v>
      </c>
      <c r="Y3" s="24" t="s">
        <v>1579</v>
      </c>
      <c r="Z3" s="23" t="s">
        <v>1579</v>
      </c>
      <c r="AA3" s="23" t="s">
        <v>1579</v>
      </c>
      <c r="AB3" s="23" t="s">
        <v>1579</v>
      </c>
      <c r="AC3" s="23" t="s">
        <v>1579</v>
      </c>
      <c r="AD3" s="23" t="s">
        <v>1579</v>
      </c>
      <c r="AE3" s="23" t="s">
        <v>1579</v>
      </c>
      <c r="AF3" s="23" t="s">
        <v>1579</v>
      </c>
      <c r="AG3" s="24" t="s">
        <v>1580</v>
      </c>
      <c r="AH3" s="24" t="s">
        <v>1580</v>
      </c>
      <c r="AI3" s="24" t="s">
        <v>1580</v>
      </c>
      <c r="AJ3" s="24" t="s">
        <v>1580</v>
      </c>
      <c r="AK3" s="24" t="s">
        <v>1580</v>
      </c>
      <c r="AL3" s="23" t="s">
        <v>1581</v>
      </c>
      <c r="AM3" s="23" t="s">
        <v>1581</v>
      </c>
      <c r="AN3" s="23" t="s">
        <v>1581</v>
      </c>
      <c r="AO3" s="23" t="s">
        <v>1581</v>
      </c>
      <c r="AP3" s="23" t="s">
        <v>1581</v>
      </c>
      <c r="AQ3" s="34">
        <v>0.8</v>
      </c>
      <c r="AR3" s="68">
        <f>SUM(AR4:AR29)</f>
        <v>8</v>
      </c>
    </row>
    <row r="4" spans="1:44" ht="17.25" thickTop="1">
      <c r="A4" s="44" t="s">
        <v>1498</v>
      </c>
      <c r="B4" s="45" t="s">
        <v>1587</v>
      </c>
      <c r="C4" s="55">
        <v>3.79</v>
      </c>
      <c r="D4" s="55">
        <v>2.54</v>
      </c>
      <c r="E4" s="55" t="s">
        <v>306</v>
      </c>
      <c r="F4" s="55" t="s">
        <v>306</v>
      </c>
      <c r="G4" s="55">
        <v>1.73</v>
      </c>
      <c r="H4" s="55" t="s">
        <v>306</v>
      </c>
      <c r="I4" s="55" t="s">
        <v>306</v>
      </c>
      <c r="J4" s="56" t="s">
        <v>306</v>
      </c>
      <c r="K4" s="56">
        <v>3.14</v>
      </c>
      <c r="L4" s="56" t="s">
        <v>306</v>
      </c>
      <c r="M4" s="55">
        <v>1.84</v>
      </c>
      <c r="N4" s="56" t="s">
        <v>306</v>
      </c>
      <c r="O4" s="56">
        <v>4.68</v>
      </c>
      <c r="P4" s="56" t="s">
        <v>306</v>
      </c>
      <c r="Q4" s="55" t="s">
        <v>306</v>
      </c>
      <c r="R4" s="55" t="s">
        <v>306</v>
      </c>
      <c r="S4" s="56">
        <v>6.14</v>
      </c>
      <c r="T4" s="56" t="s">
        <v>306</v>
      </c>
      <c r="U4" s="55">
        <v>10.42</v>
      </c>
      <c r="V4" s="55">
        <v>10.72</v>
      </c>
      <c r="W4" s="56" t="s">
        <v>306</v>
      </c>
      <c r="X4" s="56">
        <v>6.98</v>
      </c>
      <c r="Y4" s="56" t="s">
        <v>306</v>
      </c>
      <c r="Z4" s="55" t="s">
        <v>306</v>
      </c>
      <c r="AA4" s="55" t="s">
        <v>306</v>
      </c>
      <c r="AB4" s="55" t="s">
        <v>306</v>
      </c>
      <c r="AC4" s="55" t="s">
        <v>306</v>
      </c>
      <c r="AD4" s="55" t="s">
        <v>306</v>
      </c>
      <c r="AE4" s="55" t="s">
        <v>306</v>
      </c>
      <c r="AF4" s="55" t="s">
        <v>306</v>
      </c>
      <c r="AG4" s="56" t="s">
        <v>306</v>
      </c>
      <c r="AH4" s="56" t="s">
        <v>306</v>
      </c>
      <c r="AI4" s="56" t="s">
        <v>306</v>
      </c>
      <c r="AJ4" s="87">
        <v>5.39</v>
      </c>
      <c r="AK4" s="56" t="s">
        <v>306</v>
      </c>
      <c r="AL4" s="55">
        <v>9.2200000000000006</v>
      </c>
      <c r="AM4" s="55">
        <v>7.06</v>
      </c>
      <c r="AN4" s="55" t="s">
        <v>306</v>
      </c>
      <c r="AO4" s="55">
        <v>2.9</v>
      </c>
      <c r="AP4" s="55">
        <v>2.96</v>
      </c>
      <c r="AQ4" s="46">
        <f>SUM(_CT!$C4:$AP4)</f>
        <v>79.510000000000005</v>
      </c>
      <c r="AR4" s="45"/>
    </row>
    <row r="5" spans="1:44" ht="16.5">
      <c r="A5" s="39" t="s">
        <v>1588</v>
      </c>
      <c r="B5" s="40" t="s">
        <v>1587</v>
      </c>
      <c r="C5" s="57">
        <v>3.79</v>
      </c>
      <c r="D5" s="57">
        <v>2.54</v>
      </c>
      <c r="E5" s="57" t="s">
        <v>306</v>
      </c>
      <c r="F5" s="57" t="s">
        <v>306</v>
      </c>
      <c r="G5" s="57">
        <v>1.73</v>
      </c>
      <c r="H5" s="57" t="s">
        <v>306</v>
      </c>
      <c r="I5" s="57" t="s">
        <v>306</v>
      </c>
      <c r="J5" s="58" t="s">
        <v>306</v>
      </c>
      <c r="K5" s="58">
        <v>3.14</v>
      </c>
      <c r="L5" s="58" t="s">
        <v>306</v>
      </c>
      <c r="M5" s="57">
        <v>1.84</v>
      </c>
      <c r="N5" s="58" t="s">
        <v>306</v>
      </c>
      <c r="O5" s="58">
        <v>4.68</v>
      </c>
      <c r="P5" s="58" t="s">
        <v>306</v>
      </c>
      <c r="Q5" s="57" t="s">
        <v>306</v>
      </c>
      <c r="R5" s="57" t="s">
        <v>306</v>
      </c>
      <c r="S5" s="58">
        <v>6.14</v>
      </c>
      <c r="T5" s="58" t="s">
        <v>306</v>
      </c>
      <c r="U5" s="57">
        <v>10.42</v>
      </c>
      <c r="V5" s="57">
        <v>10.72</v>
      </c>
      <c r="W5" s="58" t="s">
        <v>306</v>
      </c>
      <c r="X5" s="58">
        <v>6.98</v>
      </c>
      <c r="Y5" s="58" t="s">
        <v>306</v>
      </c>
      <c r="Z5" s="57" t="s">
        <v>306</v>
      </c>
      <c r="AA5" s="57" t="s">
        <v>306</v>
      </c>
      <c r="AB5" s="57" t="s">
        <v>306</v>
      </c>
      <c r="AC5" s="57" t="s">
        <v>306</v>
      </c>
      <c r="AD5" s="57" t="s">
        <v>306</v>
      </c>
      <c r="AE5" s="57" t="s">
        <v>306</v>
      </c>
      <c r="AF5" s="57" t="s">
        <v>306</v>
      </c>
      <c r="AG5" s="58" t="s">
        <v>306</v>
      </c>
      <c r="AH5" s="58" t="s">
        <v>306</v>
      </c>
      <c r="AI5" s="58" t="s">
        <v>306</v>
      </c>
      <c r="AJ5" s="88">
        <v>5.39</v>
      </c>
      <c r="AK5" s="58" t="s">
        <v>306</v>
      </c>
      <c r="AL5" s="57">
        <v>9.2200000000000006</v>
      </c>
      <c r="AM5" s="57">
        <v>7.06</v>
      </c>
      <c r="AN5" s="57" t="s">
        <v>306</v>
      </c>
      <c r="AO5" s="57">
        <v>2.9</v>
      </c>
      <c r="AP5" s="57">
        <v>2.96</v>
      </c>
      <c r="AQ5" s="41">
        <f>SUM(_CT!$C5:$AP5)</f>
        <v>79.510000000000005</v>
      </c>
      <c r="AR5" s="40"/>
    </row>
    <row r="6" spans="1:44" ht="16.5">
      <c r="A6" s="47" t="s">
        <v>1589</v>
      </c>
      <c r="B6" s="48" t="s">
        <v>1587</v>
      </c>
      <c r="C6" s="59">
        <v>3.79</v>
      </c>
      <c r="D6" s="59">
        <v>2.54</v>
      </c>
      <c r="E6" s="59" t="s">
        <v>306</v>
      </c>
      <c r="F6" s="59" t="s">
        <v>306</v>
      </c>
      <c r="G6" s="59">
        <v>1.73</v>
      </c>
      <c r="H6" s="59" t="s">
        <v>306</v>
      </c>
      <c r="I6" s="59" t="s">
        <v>306</v>
      </c>
      <c r="J6" s="60" t="s">
        <v>306</v>
      </c>
      <c r="K6" s="60">
        <v>3.14</v>
      </c>
      <c r="L6" s="60" t="s">
        <v>306</v>
      </c>
      <c r="M6" s="59">
        <v>1.84</v>
      </c>
      <c r="N6" s="60" t="s">
        <v>306</v>
      </c>
      <c r="O6" s="60">
        <v>4.68</v>
      </c>
      <c r="P6" s="60" t="s">
        <v>306</v>
      </c>
      <c r="Q6" s="59" t="s">
        <v>306</v>
      </c>
      <c r="R6" s="59" t="s">
        <v>306</v>
      </c>
      <c r="S6" s="60">
        <v>6.14</v>
      </c>
      <c r="T6" s="60" t="s">
        <v>306</v>
      </c>
      <c r="U6" s="59">
        <v>10.42</v>
      </c>
      <c r="V6" s="59">
        <v>10.72</v>
      </c>
      <c r="W6" s="60" t="s">
        <v>306</v>
      </c>
      <c r="X6" s="60">
        <v>6.98</v>
      </c>
      <c r="Y6" s="60" t="s">
        <v>306</v>
      </c>
      <c r="Z6" s="59" t="s">
        <v>306</v>
      </c>
      <c r="AA6" s="59" t="s">
        <v>306</v>
      </c>
      <c r="AB6" s="59" t="s">
        <v>306</v>
      </c>
      <c r="AC6" s="59" t="s">
        <v>306</v>
      </c>
      <c r="AD6" s="59" t="s">
        <v>306</v>
      </c>
      <c r="AE6" s="59" t="s">
        <v>306</v>
      </c>
      <c r="AF6" s="59" t="s">
        <v>306</v>
      </c>
      <c r="AG6" s="60" t="s">
        <v>306</v>
      </c>
      <c r="AH6" s="60" t="s">
        <v>306</v>
      </c>
      <c r="AI6" s="60" t="s">
        <v>306</v>
      </c>
      <c r="AJ6" s="89">
        <v>5.39</v>
      </c>
      <c r="AK6" s="60" t="s">
        <v>306</v>
      </c>
      <c r="AL6" s="59">
        <v>9.2200000000000006</v>
      </c>
      <c r="AM6" s="59">
        <v>7.06</v>
      </c>
      <c r="AN6" s="59" t="s">
        <v>306</v>
      </c>
      <c r="AO6" s="59">
        <v>2.9</v>
      </c>
      <c r="AP6" s="59">
        <v>2.96</v>
      </c>
      <c r="AQ6" s="49">
        <f>SUM(_CT!$C6:$AP6)</f>
        <v>79.510000000000005</v>
      </c>
      <c r="AR6" s="48"/>
    </row>
    <row r="7" spans="1:44" ht="16.5">
      <c r="A7" s="37">
        <v>140550060</v>
      </c>
      <c r="B7" s="38" t="s">
        <v>1587</v>
      </c>
      <c r="C7" s="61">
        <v>3.79</v>
      </c>
      <c r="D7" s="61">
        <v>2.54</v>
      </c>
      <c r="E7" s="61" t="s">
        <v>306</v>
      </c>
      <c r="F7" s="61" t="s">
        <v>306</v>
      </c>
      <c r="G7" s="61">
        <v>1.73</v>
      </c>
      <c r="H7" s="61" t="s">
        <v>306</v>
      </c>
      <c r="I7" s="61" t="s">
        <v>306</v>
      </c>
      <c r="J7" s="62" t="s">
        <v>306</v>
      </c>
      <c r="K7" s="62">
        <v>3.14</v>
      </c>
      <c r="L7" s="62" t="s">
        <v>306</v>
      </c>
      <c r="M7" s="61">
        <v>1.84</v>
      </c>
      <c r="N7" s="62" t="s">
        <v>306</v>
      </c>
      <c r="O7" s="62">
        <v>4.68</v>
      </c>
      <c r="P7" s="62" t="s">
        <v>306</v>
      </c>
      <c r="Q7" s="61" t="s">
        <v>306</v>
      </c>
      <c r="R7" s="61" t="s">
        <v>306</v>
      </c>
      <c r="S7" s="62" t="s">
        <v>306</v>
      </c>
      <c r="T7" s="62">
        <v>8.23</v>
      </c>
      <c r="U7" s="61">
        <v>10.42</v>
      </c>
      <c r="V7" s="61">
        <v>10.72</v>
      </c>
      <c r="W7" s="62" t="s">
        <v>306</v>
      </c>
      <c r="X7" s="62">
        <v>6.98</v>
      </c>
      <c r="Y7" s="62" t="s">
        <v>306</v>
      </c>
      <c r="Z7" s="61" t="s">
        <v>306</v>
      </c>
      <c r="AA7" s="61" t="s">
        <v>306</v>
      </c>
      <c r="AB7" s="61" t="s">
        <v>306</v>
      </c>
      <c r="AC7" s="61" t="s">
        <v>306</v>
      </c>
      <c r="AD7" s="61" t="s">
        <v>306</v>
      </c>
      <c r="AE7" s="61" t="s">
        <v>306</v>
      </c>
      <c r="AF7" s="61" t="s">
        <v>306</v>
      </c>
      <c r="AG7" s="62" t="s">
        <v>306</v>
      </c>
      <c r="AH7" s="62" t="s">
        <v>306</v>
      </c>
      <c r="AI7" s="62" t="s">
        <v>306</v>
      </c>
      <c r="AJ7" s="84">
        <v>5.39</v>
      </c>
      <c r="AK7" s="62" t="s">
        <v>306</v>
      </c>
      <c r="AL7" s="61">
        <v>9.2200000000000006</v>
      </c>
      <c r="AM7" s="61">
        <v>7.06</v>
      </c>
      <c r="AN7" s="61" t="s">
        <v>306</v>
      </c>
      <c r="AO7" s="61">
        <v>2.9</v>
      </c>
      <c r="AP7" s="61">
        <v>2.96</v>
      </c>
      <c r="AQ7" s="42">
        <f>SUM(_CT!$C7:$AP7)</f>
        <v>81.599999999999994</v>
      </c>
      <c r="AR7" s="38"/>
    </row>
    <row r="8" spans="1:44" ht="16.5">
      <c r="A8" s="39">
        <v>141320055</v>
      </c>
      <c r="B8" s="40" t="s">
        <v>1587</v>
      </c>
      <c r="C8" s="57">
        <v>3.79</v>
      </c>
      <c r="D8" s="57">
        <v>2.54</v>
      </c>
      <c r="E8" s="57" t="s">
        <v>306</v>
      </c>
      <c r="F8" s="57" t="s">
        <v>306</v>
      </c>
      <c r="G8" s="57">
        <v>1.73</v>
      </c>
      <c r="H8" s="57" t="s">
        <v>306</v>
      </c>
      <c r="I8" s="57" t="s">
        <v>306</v>
      </c>
      <c r="J8" s="58" t="s">
        <v>306</v>
      </c>
      <c r="K8" s="58">
        <v>3.14</v>
      </c>
      <c r="L8" s="58" t="s">
        <v>306</v>
      </c>
      <c r="M8" s="57">
        <v>1.84</v>
      </c>
      <c r="N8" s="58" t="s">
        <v>306</v>
      </c>
      <c r="O8" s="58">
        <v>4.68</v>
      </c>
      <c r="P8" s="58" t="s">
        <v>306</v>
      </c>
      <c r="Q8" s="57" t="s">
        <v>306</v>
      </c>
      <c r="R8" s="57" t="s">
        <v>306</v>
      </c>
      <c r="S8" s="58">
        <v>6.14</v>
      </c>
      <c r="T8" s="58" t="s">
        <v>306</v>
      </c>
      <c r="U8" s="57" t="s">
        <v>306</v>
      </c>
      <c r="V8" s="57" t="s">
        <v>306</v>
      </c>
      <c r="W8" s="58" t="s">
        <v>306</v>
      </c>
      <c r="X8" s="58">
        <v>6.98</v>
      </c>
      <c r="Y8" s="58" t="s">
        <v>306</v>
      </c>
      <c r="Z8" s="57" t="s">
        <v>306</v>
      </c>
      <c r="AA8" s="57" t="s">
        <v>306</v>
      </c>
      <c r="AB8" s="57" t="s">
        <v>306</v>
      </c>
      <c r="AC8" s="57" t="s">
        <v>306</v>
      </c>
      <c r="AD8" s="57" t="s">
        <v>306</v>
      </c>
      <c r="AE8" s="57" t="s">
        <v>306</v>
      </c>
      <c r="AF8" s="57" t="s">
        <v>306</v>
      </c>
      <c r="AG8" s="58" t="s">
        <v>306</v>
      </c>
      <c r="AH8" s="58" t="s">
        <v>306</v>
      </c>
      <c r="AI8" s="58" t="s">
        <v>306</v>
      </c>
      <c r="AJ8" s="88">
        <v>5.39</v>
      </c>
      <c r="AK8" s="58" t="s">
        <v>306</v>
      </c>
      <c r="AL8" s="57" t="s">
        <v>306</v>
      </c>
      <c r="AM8" s="57">
        <v>7.06</v>
      </c>
      <c r="AN8" s="57" t="s">
        <v>306</v>
      </c>
      <c r="AO8" s="57">
        <v>2.9</v>
      </c>
      <c r="AP8" s="57">
        <v>2.96</v>
      </c>
      <c r="AQ8" s="41" t="e">
        <f>SUM(_CT!$C8:$R8)+AVERAGE(_CT!$S8:$T8)+IF(_CT!$Y8,_CT!$Y8,SUM(_CT!$W8:$X8))+SUM(_CT!$Z8:$AF8)+_CT!$AH8+SUM(_CT!$AL8:$AP8)</f>
        <v>#VALUE!</v>
      </c>
      <c r="AR8" s="40"/>
    </row>
    <row r="9" spans="1:44" ht="16.5">
      <c r="A9" s="39">
        <v>140530039</v>
      </c>
      <c r="B9" s="40" t="s">
        <v>1587</v>
      </c>
      <c r="C9" s="57">
        <v>3.79</v>
      </c>
      <c r="D9" s="57">
        <v>2.54</v>
      </c>
      <c r="E9" s="57" t="s">
        <v>306</v>
      </c>
      <c r="F9" s="57" t="s">
        <v>306</v>
      </c>
      <c r="G9" s="57">
        <v>1.73</v>
      </c>
      <c r="H9" s="57" t="s">
        <v>306</v>
      </c>
      <c r="I9" s="57" t="s">
        <v>306</v>
      </c>
      <c r="J9" s="58" t="s">
        <v>306</v>
      </c>
      <c r="K9" s="58">
        <v>3.14</v>
      </c>
      <c r="L9" s="58" t="s">
        <v>306</v>
      </c>
      <c r="M9" s="57">
        <v>1.84</v>
      </c>
      <c r="N9" s="58" t="s">
        <v>306</v>
      </c>
      <c r="O9" s="58">
        <v>4.68</v>
      </c>
      <c r="P9" s="58" t="s">
        <v>306</v>
      </c>
      <c r="Q9" s="57" t="s">
        <v>306</v>
      </c>
      <c r="R9" s="57" t="s">
        <v>306</v>
      </c>
      <c r="S9" s="58">
        <v>6.14</v>
      </c>
      <c r="T9" s="58" t="s">
        <v>306</v>
      </c>
      <c r="U9" s="57" t="s">
        <v>306</v>
      </c>
      <c r="V9" s="57" t="s">
        <v>306</v>
      </c>
      <c r="W9" s="58" t="s">
        <v>306</v>
      </c>
      <c r="X9" s="58">
        <v>6.98</v>
      </c>
      <c r="Y9" s="58" t="s">
        <v>306</v>
      </c>
      <c r="Z9" s="57" t="s">
        <v>306</v>
      </c>
      <c r="AA9" s="57" t="s">
        <v>306</v>
      </c>
      <c r="AB9" s="57" t="s">
        <v>306</v>
      </c>
      <c r="AC9" s="57" t="s">
        <v>306</v>
      </c>
      <c r="AD9" s="57" t="s">
        <v>306</v>
      </c>
      <c r="AE9" s="57" t="s">
        <v>306</v>
      </c>
      <c r="AF9" s="57" t="s">
        <v>306</v>
      </c>
      <c r="AG9" s="58" t="s">
        <v>306</v>
      </c>
      <c r="AH9" s="58" t="s">
        <v>306</v>
      </c>
      <c r="AI9" s="58" t="s">
        <v>306</v>
      </c>
      <c r="AJ9" s="88">
        <v>5.39</v>
      </c>
      <c r="AK9" s="58" t="s">
        <v>306</v>
      </c>
      <c r="AL9" s="57" t="s">
        <v>306</v>
      </c>
      <c r="AM9" s="57">
        <v>7.06</v>
      </c>
      <c r="AN9" s="57" t="s">
        <v>306</v>
      </c>
      <c r="AO9" s="57">
        <v>2.9</v>
      </c>
      <c r="AP9" s="57">
        <v>2.96</v>
      </c>
      <c r="AQ9" s="41" t="e">
        <f>SUM(_CT!$C9:$R9)+AVERAGE(_CT!$S9:$T9)+IF(_CT!$Y9,_CT!$Y9,SUM(_CT!$W9:$X9))+SUM(_CT!$Z9:$AF9)+_CT!$AH9+SUM(_CT!$AL9:$AP9)</f>
        <v>#VALUE!</v>
      </c>
      <c r="AR9" s="40"/>
    </row>
    <row r="10" spans="1:44" ht="16.5">
      <c r="A10" s="47">
        <v>140010279</v>
      </c>
      <c r="B10" s="48" t="s">
        <v>1587</v>
      </c>
      <c r="C10" s="59">
        <v>3.79</v>
      </c>
      <c r="D10" s="59">
        <v>2.54</v>
      </c>
      <c r="E10" s="59" t="s">
        <v>306</v>
      </c>
      <c r="F10" s="59" t="s">
        <v>306</v>
      </c>
      <c r="G10" s="59">
        <v>1.73</v>
      </c>
      <c r="H10" s="59" t="s">
        <v>306</v>
      </c>
      <c r="I10" s="59" t="s">
        <v>306</v>
      </c>
      <c r="J10" s="60" t="s">
        <v>306</v>
      </c>
      <c r="K10" s="60">
        <v>3.14</v>
      </c>
      <c r="L10" s="60" t="s">
        <v>306</v>
      </c>
      <c r="M10" s="59">
        <v>1.84</v>
      </c>
      <c r="N10" s="60" t="s">
        <v>306</v>
      </c>
      <c r="O10" s="60">
        <v>4.68</v>
      </c>
      <c r="P10" s="60" t="s">
        <v>306</v>
      </c>
      <c r="Q10" s="59" t="s">
        <v>306</v>
      </c>
      <c r="R10" s="59" t="s">
        <v>306</v>
      </c>
      <c r="S10" s="60">
        <v>6.14</v>
      </c>
      <c r="T10" s="60" t="s">
        <v>306</v>
      </c>
      <c r="U10" s="59" t="s">
        <v>306</v>
      </c>
      <c r="V10" s="59" t="s">
        <v>306</v>
      </c>
      <c r="W10" s="60" t="s">
        <v>306</v>
      </c>
      <c r="X10" s="60">
        <v>6.98</v>
      </c>
      <c r="Y10" s="60" t="s">
        <v>306</v>
      </c>
      <c r="Z10" s="59" t="s">
        <v>306</v>
      </c>
      <c r="AA10" s="59" t="s">
        <v>306</v>
      </c>
      <c r="AB10" s="59" t="s">
        <v>306</v>
      </c>
      <c r="AC10" s="59" t="s">
        <v>306</v>
      </c>
      <c r="AD10" s="59" t="s">
        <v>306</v>
      </c>
      <c r="AE10" s="59" t="s">
        <v>306</v>
      </c>
      <c r="AF10" s="59" t="s">
        <v>306</v>
      </c>
      <c r="AG10" s="60" t="s">
        <v>306</v>
      </c>
      <c r="AH10" s="60" t="s">
        <v>306</v>
      </c>
      <c r="AI10" s="60" t="s">
        <v>306</v>
      </c>
      <c r="AJ10" s="89">
        <v>5.39</v>
      </c>
      <c r="AK10" s="60" t="s">
        <v>306</v>
      </c>
      <c r="AL10" s="59">
        <v>9.2200000000000006</v>
      </c>
      <c r="AM10" s="59">
        <v>7.06</v>
      </c>
      <c r="AN10" s="59" t="s">
        <v>306</v>
      </c>
      <c r="AO10" s="59">
        <v>2.9</v>
      </c>
      <c r="AP10" s="59">
        <v>2.96</v>
      </c>
      <c r="AQ10" s="49" t="e">
        <f>SUM(_CT!$C10:$R10)+AVERAGE(_CT!$S10:$T10)+IF(_CT!$Y10,_CT!$Y10,SUM(_CT!$W10:$X10))+SUM(_CT!$Z10:$AF10)+_CT!$AH10+SUM(_CT!$AL10:$AP10)</f>
        <v>#VALUE!</v>
      </c>
      <c r="AR10" s="48"/>
    </row>
    <row r="11" spans="1:44" ht="16.5">
      <c r="A11" s="37">
        <v>140010280</v>
      </c>
      <c r="B11" s="38" t="s">
        <v>1587</v>
      </c>
      <c r="C11" s="61">
        <v>3.79</v>
      </c>
      <c r="D11" s="61">
        <v>2.54</v>
      </c>
      <c r="E11" s="61" t="s">
        <v>306</v>
      </c>
      <c r="F11" s="61" t="s">
        <v>306</v>
      </c>
      <c r="G11" s="61">
        <v>1.73</v>
      </c>
      <c r="H11" s="61" t="s">
        <v>306</v>
      </c>
      <c r="I11" s="61" t="s">
        <v>306</v>
      </c>
      <c r="J11" s="62" t="s">
        <v>306</v>
      </c>
      <c r="K11" s="62">
        <v>3.14</v>
      </c>
      <c r="L11" s="62" t="s">
        <v>306</v>
      </c>
      <c r="M11" s="61">
        <v>1.84</v>
      </c>
      <c r="N11" s="62" t="s">
        <v>306</v>
      </c>
      <c r="O11" s="62">
        <v>4.68</v>
      </c>
      <c r="P11" s="62" t="s">
        <v>306</v>
      </c>
      <c r="Q11" s="61" t="s">
        <v>306</v>
      </c>
      <c r="R11" s="61" t="s">
        <v>306</v>
      </c>
      <c r="S11" s="62">
        <v>6.14</v>
      </c>
      <c r="T11" s="62" t="s">
        <v>306</v>
      </c>
      <c r="U11" s="61" t="s">
        <v>306</v>
      </c>
      <c r="V11" s="61" t="s">
        <v>306</v>
      </c>
      <c r="W11" s="62" t="s">
        <v>306</v>
      </c>
      <c r="X11" s="62">
        <v>6.98</v>
      </c>
      <c r="Y11" s="62" t="s">
        <v>306</v>
      </c>
      <c r="Z11" s="61" t="s">
        <v>306</v>
      </c>
      <c r="AA11" s="61" t="s">
        <v>306</v>
      </c>
      <c r="AB11" s="61" t="s">
        <v>306</v>
      </c>
      <c r="AC11" s="61" t="s">
        <v>306</v>
      </c>
      <c r="AD11" s="61" t="s">
        <v>306</v>
      </c>
      <c r="AE11" s="61" t="s">
        <v>306</v>
      </c>
      <c r="AF11" s="61" t="s">
        <v>306</v>
      </c>
      <c r="AG11" s="62" t="s">
        <v>306</v>
      </c>
      <c r="AH11" s="62" t="s">
        <v>306</v>
      </c>
      <c r="AI11" s="62" t="s">
        <v>306</v>
      </c>
      <c r="AJ11" s="84">
        <v>5.39</v>
      </c>
      <c r="AK11" s="62" t="s">
        <v>306</v>
      </c>
      <c r="AL11" s="61">
        <v>9.2200000000000006</v>
      </c>
      <c r="AM11" s="61">
        <v>7.06</v>
      </c>
      <c r="AN11" s="61" t="s">
        <v>306</v>
      </c>
      <c r="AO11" s="61">
        <v>2.9</v>
      </c>
      <c r="AP11" s="61">
        <v>2.96</v>
      </c>
      <c r="AQ11" s="42" t="e">
        <f>SUM(_CT!$C11:$R11)+AVERAGE(_CT!$S11:$T11)+IF(_CT!$Y11,_CT!$Y11,SUM(_CT!$W11:$X11))+SUM(_CT!$Z11:$AF11)+_CT!$AH11+SUM(_CT!$AL11:$AP11)</f>
        <v>#VALUE!</v>
      </c>
      <c r="AR11" s="38"/>
    </row>
    <row r="12" spans="1:44" ht="16.5">
      <c r="A12" s="39">
        <v>140010295</v>
      </c>
      <c r="B12" s="40" t="s">
        <v>1587</v>
      </c>
      <c r="C12" s="57">
        <v>3.79</v>
      </c>
      <c r="D12" s="57">
        <v>2.54</v>
      </c>
      <c r="E12" s="57" t="s">
        <v>306</v>
      </c>
      <c r="F12" s="57" t="s">
        <v>306</v>
      </c>
      <c r="G12" s="57">
        <v>1.73</v>
      </c>
      <c r="H12" s="57" t="s">
        <v>306</v>
      </c>
      <c r="I12" s="57" t="s">
        <v>306</v>
      </c>
      <c r="J12" s="58" t="s">
        <v>306</v>
      </c>
      <c r="K12" s="58">
        <v>3.14</v>
      </c>
      <c r="L12" s="58" t="s">
        <v>306</v>
      </c>
      <c r="M12" s="57">
        <v>1.84</v>
      </c>
      <c r="N12" s="58" t="s">
        <v>306</v>
      </c>
      <c r="O12" s="58">
        <v>4.68</v>
      </c>
      <c r="P12" s="58" t="s">
        <v>306</v>
      </c>
      <c r="Q12" s="57" t="s">
        <v>306</v>
      </c>
      <c r="R12" s="57" t="s">
        <v>306</v>
      </c>
      <c r="S12" s="58">
        <v>6.14</v>
      </c>
      <c r="T12" s="58" t="s">
        <v>306</v>
      </c>
      <c r="U12" s="57" t="s">
        <v>306</v>
      </c>
      <c r="V12" s="57" t="s">
        <v>306</v>
      </c>
      <c r="W12" s="58" t="s">
        <v>306</v>
      </c>
      <c r="X12" s="58">
        <v>6.98</v>
      </c>
      <c r="Y12" s="58" t="s">
        <v>306</v>
      </c>
      <c r="Z12" s="57" t="s">
        <v>306</v>
      </c>
      <c r="AA12" s="57" t="s">
        <v>306</v>
      </c>
      <c r="AB12" s="57" t="s">
        <v>306</v>
      </c>
      <c r="AC12" s="57" t="s">
        <v>306</v>
      </c>
      <c r="AD12" s="57" t="s">
        <v>306</v>
      </c>
      <c r="AE12" s="57" t="s">
        <v>306</v>
      </c>
      <c r="AF12" s="57" t="s">
        <v>306</v>
      </c>
      <c r="AG12" s="58" t="s">
        <v>306</v>
      </c>
      <c r="AH12" s="58" t="s">
        <v>306</v>
      </c>
      <c r="AI12" s="58" t="s">
        <v>306</v>
      </c>
      <c r="AJ12" s="88">
        <v>5.39</v>
      </c>
      <c r="AK12" s="58" t="s">
        <v>306</v>
      </c>
      <c r="AL12" s="57" t="s">
        <v>306</v>
      </c>
      <c r="AM12" s="57">
        <v>7.06</v>
      </c>
      <c r="AN12" s="57" t="s">
        <v>306</v>
      </c>
      <c r="AO12" s="57">
        <v>2.9</v>
      </c>
      <c r="AP12" s="57">
        <v>2.96</v>
      </c>
      <c r="AQ12" s="41" t="e">
        <f>SUM(_CT!$C12:$R12)+AVERAGE(_CT!$S12:$T12)+IF(_CT!$Y12,_CT!$Y12,SUM(_CT!$W12:$X12))+SUM(_CT!$Z12:$AF12)+_CT!$AH12+SUM(_CT!$AL12:$AP12)</f>
        <v>#VALUE!</v>
      </c>
      <c r="AR12" s="40"/>
    </row>
    <row r="13" spans="1:44" ht="17.25" thickBot="1">
      <c r="A13" s="50">
        <v>140010298</v>
      </c>
      <c r="B13" s="43" t="s">
        <v>1587</v>
      </c>
      <c r="C13" s="63">
        <v>3.79</v>
      </c>
      <c r="D13" s="63">
        <v>2.54</v>
      </c>
      <c r="E13" s="63" t="s">
        <v>306</v>
      </c>
      <c r="F13" s="63" t="s">
        <v>306</v>
      </c>
      <c r="G13" s="63">
        <v>1.73</v>
      </c>
      <c r="H13" s="63" t="s">
        <v>306</v>
      </c>
      <c r="I13" s="63" t="s">
        <v>306</v>
      </c>
      <c r="J13" s="64" t="s">
        <v>306</v>
      </c>
      <c r="K13" s="64">
        <v>3.14</v>
      </c>
      <c r="L13" s="64" t="s">
        <v>306</v>
      </c>
      <c r="M13" s="63">
        <v>1.84</v>
      </c>
      <c r="N13" s="64" t="s">
        <v>306</v>
      </c>
      <c r="O13" s="64">
        <v>4.68</v>
      </c>
      <c r="P13" s="64" t="s">
        <v>306</v>
      </c>
      <c r="Q13" s="63" t="s">
        <v>306</v>
      </c>
      <c r="R13" s="63" t="s">
        <v>306</v>
      </c>
      <c r="S13" s="64">
        <v>6.14</v>
      </c>
      <c r="T13" s="64" t="s">
        <v>306</v>
      </c>
      <c r="U13" s="63" t="s">
        <v>306</v>
      </c>
      <c r="V13" s="63" t="s">
        <v>306</v>
      </c>
      <c r="W13" s="64" t="s">
        <v>306</v>
      </c>
      <c r="X13" s="64">
        <v>6.98</v>
      </c>
      <c r="Y13" s="64" t="s">
        <v>306</v>
      </c>
      <c r="Z13" s="63" t="s">
        <v>306</v>
      </c>
      <c r="AA13" s="63" t="s">
        <v>306</v>
      </c>
      <c r="AB13" s="63" t="s">
        <v>306</v>
      </c>
      <c r="AC13" s="63" t="s">
        <v>306</v>
      </c>
      <c r="AD13" s="63" t="s">
        <v>306</v>
      </c>
      <c r="AE13" s="63" t="s">
        <v>306</v>
      </c>
      <c r="AF13" s="63" t="s">
        <v>306</v>
      </c>
      <c r="AG13" s="64" t="s">
        <v>306</v>
      </c>
      <c r="AH13" s="64" t="s">
        <v>306</v>
      </c>
      <c r="AI13" s="64" t="s">
        <v>306</v>
      </c>
      <c r="AJ13" s="90">
        <v>5.39</v>
      </c>
      <c r="AK13" s="64" t="s">
        <v>306</v>
      </c>
      <c r="AL13" s="63">
        <v>9.2200000000000006</v>
      </c>
      <c r="AM13" s="63">
        <v>7.06</v>
      </c>
      <c r="AN13" s="63" t="s">
        <v>306</v>
      </c>
      <c r="AO13" s="63">
        <v>2.9</v>
      </c>
      <c r="AP13" s="63">
        <v>2.96</v>
      </c>
      <c r="AQ13" s="51" t="e">
        <f>SUM(_CT!$C13:$R13)+AVERAGE(_CT!$S13:$T13)+IF(_CT!$Y13,_CT!$Y13,SUM(_CT!$W13:$X13))+SUM(_CT!$Z13:$AF13)+_CT!$AH13+SUM(_CT!$AL13:$AP13)</f>
        <v>#VALUE!</v>
      </c>
      <c r="AR13" s="43"/>
    </row>
    <row r="14" spans="1:44" ht="17.25" thickTop="1">
      <c r="A14" s="44">
        <v>140010117</v>
      </c>
      <c r="B14" s="45" t="s">
        <v>1590</v>
      </c>
      <c r="C14" s="55">
        <v>4.04</v>
      </c>
      <c r="D14" s="55">
        <v>2.73</v>
      </c>
      <c r="E14" s="55" t="s">
        <v>306</v>
      </c>
      <c r="F14" s="55">
        <v>1.89</v>
      </c>
      <c r="G14" s="55">
        <v>1.73</v>
      </c>
      <c r="H14" s="55" t="s">
        <v>306</v>
      </c>
      <c r="I14" s="55" t="s">
        <v>306</v>
      </c>
      <c r="J14" s="56" t="s">
        <v>306</v>
      </c>
      <c r="K14" s="56" t="s">
        <v>306</v>
      </c>
      <c r="L14" s="56">
        <v>6.61</v>
      </c>
      <c r="M14" s="55">
        <v>2.15</v>
      </c>
      <c r="N14" s="56" t="s">
        <v>306</v>
      </c>
      <c r="O14" s="56">
        <v>5.52</v>
      </c>
      <c r="P14" s="56" t="s">
        <v>306</v>
      </c>
      <c r="Q14" s="55">
        <v>7.23</v>
      </c>
      <c r="R14" s="55" t="s">
        <v>306</v>
      </c>
      <c r="S14" s="56">
        <v>8.19</v>
      </c>
      <c r="T14" s="56">
        <v>10.08</v>
      </c>
      <c r="U14" s="55">
        <v>12.87</v>
      </c>
      <c r="V14" s="55">
        <v>9.8699999999999992</v>
      </c>
      <c r="W14" s="56" t="s">
        <v>306</v>
      </c>
      <c r="X14" s="56" t="s">
        <v>306</v>
      </c>
      <c r="Y14" s="56">
        <v>8.26</v>
      </c>
      <c r="Z14" s="55" t="s">
        <v>306</v>
      </c>
      <c r="AA14" s="55" t="s">
        <v>306</v>
      </c>
      <c r="AB14" s="55" t="s">
        <v>306</v>
      </c>
      <c r="AC14" s="55" t="s">
        <v>306</v>
      </c>
      <c r="AD14" s="55" t="s">
        <v>306</v>
      </c>
      <c r="AE14" s="55" t="s">
        <v>306</v>
      </c>
      <c r="AF14" s="55" t="s">
        <v>306</v>
      </c>
      <c r="AG14" s="87">
        <v>12.69</v>
      </c>
      <c r="AH14" s="87">
        <v>14.28</v>
      </c>
      <c r="AI14" s="87">
        <v>16.350000000000001</v>
      </c>
      <c r="AJ14" s="56">
        <v>7.79</v>
      </c>
      <c r="AK14" s="56">
        <v>3.72</v>
      </c>
      <c r="AL14" s="55" t="s">
        <v>306</v>
      </c>
      <c r="AM14" s="55" t="s">
        <v>306</v>
      </c>
      <c r="AN14" s="55">
        <v>10.76</v>
      </c>
      <c r="AO14" s="55" t="s">
        <v>306</v>
      </c>
      <c r="AP14" s="55">
        <v>2.61</v>
      </c>
      <c r="AQ14" s="46">
        <f>SUM(_CT!$C14:$R14)+SUM(_CT!$S14:$T14)/2+SUM(_CT!$U14:$AF14)+SUM(_CT!$Z14:$AF14)+_CT!$AH14+SUM(_CT!$AL14:$AP14)</f>
        <v>99.685000000000002</v>
      </c>
      <c r="AR14" s="45">
        <v>1</v>
      </c>
    </row>
    <row r="15" spans="1:44" ht="16.5">
      <c r="A15" s="39">
        <v>140010230</v>
      </c>
      <c r="B15" s="40" t="s">
        <v>1590</v>
      </c>
      <c r="C15" s="57">
        <v>4.04</v>
      </c>
      <c r="D15" s="57">
        <v>2.73</v>
      </c>
      <c r="E15" s="57" t="s">
        <v>306</v>
      </c>
      <c r="F15" s="57">
        <v>1.89</v>
      </c>
      <c r="G15" s="57">
        <v>1.73</v>
      </c>
      <c r="H15" s="57" t="s">
        <v>306</v>
      </c>
      <c r="I15" s="57">
        <v>4.75</v>
      </c>
      <c r="J15" s="58">
        <v>3.23</v>
      </c>
      <c r="K15" s="58">
        <v>4.1500000000000004</v>
      </c>
      <c r="L15" s="58" t="s">
        <v>306</v>
      </c>
      <c r="M15" s="57">
        <v>2.15</v>
      </c>
      <c r="N15" s="58" t="s">
        <v>306</v>
      </c>
      <c r="O15" s="58">
        <v>5.52</v>
      </c>
      <c r="P15" s="58" t="s">
        <v>306</v>
      </c>
      <c r="Q15" s="57">
        <v>7.23</v>
      </c>
      <c r="R15" s="57" t="s">
        <v>306</v>
      </c>
      <c r="S15" s="58">
        <v>8.19</v>
      </c>
      <c r="T15" s="58">
        <v>10.08</v>
      </c>
      <c r="U15" s="57">
        <v>12.87</v>
      </c>
      <c r="V15" s="57">
        <v>9.8699999999999992</v>
      </c>
      <c r="W15" s="58" t="s">
        <v>306</v>
      </c>
      <c r="X15" s="58" t="s">
        <v>306</v>
      </c>
      <c r="Y15" s="58" t="s">
        <v>306</v>
      </c>
      <c r="Z15" s="57" t="s">
        <v>306</v>
      </c>
      <c r="AA15" s="57" t="s">
        <v>306</v>
      </c>
      <c r="AB15" s="57" t="s">
        <v>306</v>
      </c>
      <c r="AC15" s="57">
        <v>26.02</v>
      </c>
      <c r="AD15" s="57" t="s">
        <v>306</v>
      </c>
      <c r="AE15" s="57" t="s">
        <v>306</v>
      </c>
      <c r="AF15" s="57" t="s">
        <v>306</v>
      </c>
      <c r="AG15" s="88">
        <v>12.69</v>
      </c>
      <c r="AH15" s="88">
        <v>14.28</v>
      </c>
      <c r="AI15" s="88">
        <v>16.350000000000001</v>
      </c>
      <c r="AJ15" s="58">
        <v>7.79</v>
      </c>
      <c r="AK15" s="58">
        <v>3.72</v>
      </c>
      <c r="AL15" s="57" t="s">
        <v>306</v>
      </c>
      <c r="AM15" s="57" t="s">
        <v>306</v>
      </c>
      <c r="AN15" s="57">
        <v>10.76</v>
      </c>
      <c r="AO15" s="57" t="s">
        <v>306</v>
      </c>
      <c r="AP15" s="57">
        <v>2.61</v>
      </c>
      <c r="AQ15" s="41">
        <f>SUM(_CT!$C15:$R15)+SUM(_CT!$S15:$T15)/2+SUM(_CT!$U15:$AF15)+SUM(_CT!$Z15:$AF15)+_CT!$AH15+SUM(_CT!$AL15:$AP15)</f>
        <v>148.98499999999999</v>
      </c>
      <c r="AR15" s="40">
        <v>1</v>
      </c>
    </row>
    <row r="16" spans="1:44" ht="16.5">
      <c r="A16" s="47">
        <v>140310058</v>
      </c>
      <c r="B16" s="48" t="s">
        <v>1590</v>
      </c>
      <c r="C16" s="59">
        <v>4.04</v>
      </c>
      <c r="D16" s="59">
        <v>2.73</v>
      </c>
      <c r="E16" s="59" t="s">
        <v>306</v>
      </c>
      <c r="F16" s="59">
        <v>1.89</v>
      </c>
      <c r="G16" s="59">
        <v>1.73</v>
      </c>
      <c r="H16" s="59" t="s">
        <v>306</v>
      </c>
      <c r="I16" s="59">
        <v>4.75</v>
      </c>
      <c r="J16" s="60">
        <v>3.23</v>
      </c>
      <c r="K16" s="60">
        <v>4.1500000000000004</v>
      </c>
      <c r="L16" s="60" t="s">
        <v>306</v>
      </c>
      <c r="M16" s="59">
        <v>2.15</v>
      </c>
      <c r="N16" s="60" t="s">
        <v>306</v>
      </c>
      <c r="O16" s="60">
        <v>5.52</v>
      </c>
      <c r="P16" s="60" t="s">
        <v>306</v>
      </c>
      <c r="Q16" s="59">
        <v>7.23</v>
      </c>
      <c r="R16" s="59" t="s">
        <v>306</v>
      </c>
      <c r="S16" s="60">
        <v>8.19</v>
      </c>
      <c r="T16" s="60">
        <v>10.08</v>
      </c>
      <c r="U16" s="59">
        <v>12.87</v>
      </c>
      <c r="V16" s="59">
        <v>9.8699999999999992</v>
      </c>
      <c r="W16" s="60" t="s">
        <v>306</v>
      </c>
      <c r="X16" s="60" t="s">
        <v>306</v>
      </c>
      <c r="Y16" s="60" t="s">
        <v>306</v>
      </c>
      <c r="Z16" s="59" t="s">
        <v>306</v>
      </c>
      <c r="AA16" s="59" t="s">
        <v>306</v>
      </c>
      <c r="AB16" s="59" t="s">
        <v>306</v>
      </c>
      <c r="AC16" s="59">
        <v>26.02</v>
      </c>
      <c r="AD16" s="59" t="s">
        <v>306</v>
      </c>
      <c r="AE16" s="59" t="s">
        <v>306</v>
      </c>
      <c r="AF16" s="59" t="s">
        <v>306</v>
      </c>
      <c r="AG16" s="89">
        <v>12.69</v>
      </c>
      <c r="AH16" s="89">
        <v>14.28</v>
      </c>
      <c r="AI16" s="89">
        <v>16.350000000000001</v>
      </c>
      <c r="AJ16" s="60">
        <v>7.79</v>
      </c>
      <c r="AK16" s="60">
        <v>3.72</v>
      </c>
      <c r="AL16" s="59" t="s">
        <v>306</v>
      </c>
      <c r="AM16" s="59" t="s">
        <v>306</v>
      </c>
      <c r="AN16" s="59">
        <v>10.76</v>
      </c>
      <c r="AO16" s="59" t="s">
        <v>306</v>
      </c>
      <c r="AP16" s="59">
        <v>2.61</v>
      </c>
      <c r="AQ16" s="49">
        <f>SUM(_CT!$C16:$R16)+SUM(_CT!$S16:$T16)/2+SUM(_CT!$U16:$AF16)+SUM(_CT!$Z16:$AF16)+_CT!$AH16+SUM(_CT!$AL16:$AP16)</f>
        <v>148.98499999999999</v>
      </c>
      <c r="AR16" s="48"/>
    </row>
    <row r="17" spans="1:44" ht="16.5">
      <c r="A17" s="37">
        <v>140030039</v>
      </c>
      <c r="B17" s="38" t="s">
        <v>1590</v>
      </c>
      <c r="C17" s="61">
        <v>4.04</v>
      </c>
      <c r="D17" s="61">
        <v>2.73</v>
      </c>
      <c r="E17" s="61" t="s">
        <v>306</v>
      </c>
      <c r="F17" s="61">
        <v>1.89</v>
      </c>
      <c r="G17" s="61">
        <v>1.73</v>
      </c>
      <c r="H17" s="61" t="s">
        <v>306</v>
      </c>
      <c r="I17" s="61">
        <v>4.75</v>
      </c>
      <c r="J17" s="62">
        <v>3.23</v>
      </c>
      <c r="K17" s="62">
        <v>4.1500000000000004</v>
      </c>
      <c r="L17" s="62" t="s">
        <v>306</v>
      </c>
      <c r="M17" s="61">
        <v>2.15</v>
      </c>
      <c r="N17" s="62">
        <v>3.61</v>
      </c>
      <c r="O17" s="62">
        <v>5.52</v>
      </c>
      <c r="P17" s="62" t="s">
        <v>306</v>
      </c>
      <c r="Q17" s="61" t="s">
        <v>306</v>
      </c>
      <c r="R17" s="61" t="s">
        <v>306</v>
      </c>
      <c r="S17" s="62">
        <v>8.19</v>
      </c>
      <c r="T17" s="62">
        <v>10.08</v>
      </c>
      <c r="U17" s="61">
        <v>12.87</v>
      </c>
      <c r="V17" s="61">
        <v>9.8699999999999992</v>
      </c>
      <c r="W17" s="62" t="s">
        <v>306</v>
      </c>
      <c r="X17" s="62">
        <v>9.01</v>
      </c>
      <c r="Y17" s="62" t="s">
        <v>306</v>
      </c>
      <c r="Z17" s="61" t="s">
        <v>306</v>
      </c>
      <c r="AA17" s="61" t="s">
        <v>306</v>
      </c>
      <c r="AB17" s="61" t="s">
        <v>306</v>
      </c>
      <c r="AC17" s="61" t="s">
        <v>306</v>
      </c>
      <c r="AD17" s="61" t="s">
        <v>306</v>
      </c>
      <c r="AE17" s="61" t="s">
        <v>306</v>
      </c>
      <c r="AF17" s="61" t="s">
        <v>306</v>
      </c>
      <c r="AG17" s="84">
        <v>12.69</v>
      </c>
      <c r="AH17" s="84">
        <v>14.28</v>
      </c>
      <c r="AI17" s="84">
        <v>16.350000000000001</v>
      </c>
      <c r="AJ17" s="62">
        <v>7.79</v>
      </c>
      <c r="AK17" s="62">
        <v>3.72</v>
      </c>
      <c r="AL17" s="61" t="s">
        <v>306</v>
      </c>
      <c r="AM17" s="61" t="s">
        <v>306</v>
      </c>
      <c r="AN17" s="61" t="s">
        <v>306</v>
      </c>
      <c r="AO17" s="61">
        <v>2.3199999999999998</v>
      </c>
      <c r="AP17" s="61">
        <v>2.61</v>
      </c>
      <c r="AQ17" s="42">
        <f>SUM(_CT!$C17:$R17)+SUM(_CT!$S17:$T17)/2+SUM(_CT!$U17:$AF17)+SUM(_CT!$Z17:$AF17)+_CT!$AH17+SUM(_CT!$AL17:$AP17)</f>
        <v>93.89500000000001</v>
      </c>
      <c r="AR17" s="38">
        <v>1</v>
      </c>
    </row>
    <row r="18" spans="1:44" ht="16.5">
      <c r="A18" s="39">
        <v>140030040</v>
      </c>
      <c r="B18" s="40" t="s">
        <v>1590</v>
      </c>
      <c r="C18" s="57">
        <v>4.04</v>
      </c>
      <c r="D18" s="57">
        <v>2.73</v>
      </c>
      <c r="E18" s="57" t="s">
        <v>306</v>
      </c>
      <c r="F18" s="57">
        <v>1.89</v>
      </c>
      <c r="G18" s="57">
        <v>1.73</v>
      </c>
      <c r="H18" s="57" t="s">
        <v>306</v>
      </c>
      <c r="I18" s="57">
        <v>4.75</v>
      </c>
      <c r="J18" s="58">
        <v>3.23</v>
      </c>
      <c r="K18" s="58">
        <v>4.1500000000000004</v>
      </c>
      <c r="L18" s="58" t="s">
        <v>306</v>
      </c>
      <c r="M18" s="57">
        <v>2.15</v>
      </c>
      <c r="N18" s="58">
        <v>3.61</v>
      </c>
      <c r="O18" s="58">
        <v>5.52</v>
      </c>
      <c r="P18" s="58" t="s">
        <v>306</v>
      </c>
      <c r="Q18" s="57" t="s">
        <v>306</v>
      </c>
      <c r="R18" s="57" t="s">
        <v>306</v>
      </c>
      <c r="S18" s="58">
        <v>8.19</v>
      </c>
      <c r="T18" s="58">
        <v>10.08</v>
      </c>
      <c r="U18" s="57">
        <v>12.87</v>
      </c>
      <c r="V18" s="57">
        <v>9.8699999999999992</v>
      </c>
      <c r="W18" s="58">
        <v>4.8</v>
      </c>
      <c r="X18" s="58">
        <v>9.01</v>
      </c>
      <c r="Y18" s="58" t="s">
        <v>306</v>
      </c>
      <c r="Z18" s="57" t="s">
        <v>306</v>
      </c>
      <c r="AA18" s="57" t="s">
        <v>306</v>
      </c>
      <c r="AB18" s="57" t="s">
        <v>306</v>
      </c>
      <c r="AC18" s="57" t="s">
        <v>306</v>
      </c>
      <c r="AD18" s="57" t="s">
        <v>306</v>
      </c>
      <c r="AE18" s="57" t="s">
        <v>306</v>
      </c>
      <c r="AF18" s="57" t="s">
        <v>306</v>
      </c>
      <c r="AG18" s="88">
        <v>12.69</v>
      </c>
      <c r="AH18" s="88">
        <v>14.28</v>
      </c>
      <c r="AI18" s="88">
        <v>16.350000000000001</v>
      </c>
      <c r="AJ18" s="58">
        <v>7.79</v>
      </c>
      <c r="AK18" s="58">
        <v>3.72</v>
      </c>
      <c r="AL18" s="57" t="s">
        <v>306</v>
      </c>
      <c r="AM18" s="57" t="s">
        <v>306</v>
      </c>
      <c r="AN18" s="57" t="s">
        <v>306</v>
      </c>
      <c r="AO18" s="57">
        <v>2.3199999999999998</v>
      </c>
      <c r="AP18" s="57">
        <v>2.61</v>
      </c>
      <c r="AQ18" s="41">
        <f>SUM(_CT!$C18:$R18)+SUM(_CT!$S18:$T18)/2+SUM(_CT!$U18:$AF18)+SUM(_CT!$Z18:$AF18)+_CT!$AH18+SUM(_CT!$AL18:$AP18)</f>
        <v>98.694999999999993</v>
      </c>
      <c r="AR18" s="40">
        <v>1</v>
      </c>
    </row>
    <row r="19" spans="1:44" ht="16.5">
      <c r="A19" s="52">
        <v>140090143</v>
      </c>
      <c r="B19" s="53" t="s">
        <v>1590</v>
      </c>
      <c r="C19" s="65">
        <v>4.04</v>
      </c>
      <c r="D19" s="65">
        <v>2.73</v>
      </c>
      <c r="E19" s="65" t="s">
        <v>306</v>
      </c>
      <c r="F19" s="65">
        <v>1.89</v>
      </c>
      <c r="G19" s="65">
        <v>1.73</v>
      </c>
      <c r="H19" s="65" t="s">
        <v>306</v>
      </c>
      <c r="I19" s="65" t="s">
        <v>306</v>
      </c>
      <c r="J19" s="66">
        <v>3.23</v>
      </c>
      <c r="K19" s="66">
        <v>4.1500000000000004</v>
      </c>
      <c r="L19" s="66" t="s">
        <v>306</v>
      </c>
      <c r="M19" s="65">
        <v>2.15</v>
      </c>
      <c r="N19" s="66" t="s">
        <v>306</v>
      </c>
      <c r="O19" s="66">
        <v>5.52</v>
      </c>
      <c r="P19" s="66" t="s">
        <v>306</v>
      </c>
      <c r="Q19" s="65" t="s">
        <v>306</v>
      </c>
      <c r="R19" s="65">
        <v>8.75</v>
      </c>
      <c r="S19" s="66">
        <v>8.19</v>
      </c>
      <c r="T19" s="66">
        <v>10.08</v>
      </c>
      <c r="U19" s="65">
        <v>12.87</v>
      </c>
      <c r="V19" s="65">
        <v>9.8699999999999992</v>
      </c>
      <c r="W19" s="66" t="s">
        <v>306</v>
      </c>
      <c r="X19" s="66">
        <v>9.01</v>
      </c>
      <c r="Y19" s="66" t="s">
        <v>306</v>
      </c>
      <c r="Z19" s="65" t="s">
        <v>306</v>
      </c>
      <c r="AA19" s="65" t="s">
        <v>306</v>
      </c>
      <c r="AB19" s="65">
        <v>31.3</v>
      </c>
      <c r="AC19" s="65">
        <v>18.829999999999998</v>
      </c>
      <c r="AD19" s="65">
        <v>8.75</v>
      </c>
      <c r="AE19" s="65">
        <v>7.22</v>
      </c>
      <c r="AF19" s="65" t="s">
        <v>306</v>
      </c>
      <c r="AG19" s="86">
        <v>12.69</v>
      </c>
      <c r="AH19" s="86">
        <v>14.28</v>
      </c>
      <c r="AI19" s="86">
        <v>16.350000000000001</v>
      </c>
      <c r="AJ19" s="66">
        <v>7.79</v>
      </c>
      <c r="AK19" s="66">
        <v>3.72</v>
      </c>
      <c r="AL19" s="65">
        <v>7.19</v>
      </c>
      <c r="AM19" s="65" t="s">
        <v>306</v>
      </c>
      <c r="AN19" s="65" t="s">
        <v>306</v>
      </c>
      <c r="AO19" s="65">
        <v>2.9</v>
      </c>
      <c r="AP19" s="65">
        <v>2.96</v>
      </c>
      <c r="AQ19" s="54">
        <f>SUM(_CT!$C19:$R19)+SUM(_CT!$S19:$T19)/2+SUM(_CT!$U19:$AF19)+SUM(_CT!$Z19:$AF19)+_CT!$AH19+SUM(_CT!$AL19:$AP19)</f>
        <v>234.60499999999999</v>
      </c>
      <c r="AR19" s="53"/>
    </row>
    <row r="20" spans="1:44" ht="16.5">
      <c r="A20" s="37">
        <v>140220012</v>
      </c>
      <c r="B20" s="38" t="s">
        <v>1590</v>
      </c>
      <c r="C20" s="61">
        <v>4.04</v>
      </c>
      <c r="D20" s="61">
        <v>2.73</v>
      </c>
      <c r="E20" s="61">
        <v>5.24</v>
      </c>
      <c r="F20" s="61">
        <v>1.89</v>
      </c>
      <c r="G20" s="61">
        <v>1.73</v>
      </c>
      <c r="H20" s="61" t="s">
        <v>306</v>
      </c>
      <c r="I20" s="61">
        <v>4.75</v>
      </c>
      <c r="J20" s="62">
        <v>3.23</v>
      </c>
      <c r="K20" s="62">
        <v>4.1500000000000004</v>
      </c>
      <c r="L20" s="62" t="s">
        <v>306</v>
      </c>
      <c r="M20" s="61">
        <v>2.15</v>
      </c>
      <c r="N20" s="62">
        <v>3.61</v>
      </c>
      <c r="O20" s="62">
        <v>5.52</v>
      </c>
      <c r="P20" s="62" t="s">
        <v>306</v>
      </c>
      <c r="Q20" s="61" t="s">
        <v>306</v>
      </c>
      <c r="R20" s="61" t="s">
        <v>306</v>
      </c>
      <c r="S20" s="62">
        <v>8.19</v>
      </c>
      <c r="T20" s="62">
        <v>10.08</v>
      </c>
      <c r="U20" s="61">
        <v>12.87</v>
      </c>
      <c r="V20" s="61">
        <v>9.8699999999999992</v>
      </c>
      <c r="W20" s="62" t="s">
        <v>306</v>
      </c>
      <c r="X20" s="62">
        <v>6.98</v>
      </c>
      <c r="Y20" s="62" t="s">
        <v>306</v>
      </c>
      <c r="Z20" s="61" t="s">
        <v>306</v>
      </c>
      <c r="AA20" s="61" t="s">
        <v>306</v>
      </c>
      <c r="AB20" s="61">
        <v>48.11</v>
      </c>
      <c r="AC20" s="61" t="s">
        <v>306</v>
      </c>
      <c r="AD20" s="61" t="s">
        <v>306</v>
      </c>
      <c r="AE20" s="61" t="s">
        <v>306</v>
      </c>
      <c r="AF20" s="61" t="s">
        <v>1591</v>
      </c>
      <c r="AG20" s="84">
        <v>12.69</v>
      </c>
      <c r="AH20" s="84">
        <v>14.28</v>
      </c>
      <c r="AI20" s="84">
        <v>16.350000000000001</v>
      </c>
      <c r="AJ20" s="62">
        <v>7.79</v>
      </c>
      <c r="AK20" s="62">
        <v>3.72</v>
      </c>
      <c r="AL20" s="61" t="s">
        <v>306</v>
      </c>
      <c r="AM20" s="61" t="s">
        <v>306</v>
      </c>
      <c r="AN20" s="61" t="s">
        <v>306</v>
      </c>
      <c r="AO20" s="61">
        <v>2.9</v>
      </c>
      <c r="AP20" s="61">
        <v>2.96</v>
      </c>
      <c r="AQ20" s="42">
        <f>SUM(_CT!$C20:$R20)+SUM(_CT!$S20:$T20)/2+SUM(_CT!$U20:$AF20)+SUM(_CT!$Z20:$AF20)+_CT!$AH20+SUM(_CT!$AL20:$AP20)</f>
        <v>194.255</v>
      </c>
      <c r="AR20" s="38"/>
    </row>
    <row r="21" spans="1:44" ht="16.5">
      <c r="A21" s="39">
        <v>140310075</v>
      </c>
      <c r="B21" s="40" t="s">
        <v>1590</v>
      </c>
      <c r="C21" s="57">
        <v>4.04</v>
      </c>
      <c r="D21" s="57">
        <v>2.73</v>
      </c>
      <c r="E21" s="57" t="s">
        <v>306</v>
      </c>
      <c r="F21" s="57">
        <v>1.89</v>
      </c>
      <c r="G21" s="57">
        <v>1.73</v>
      </c>
      <c r="H21" s="57" t="s">
        <v>306</v>
      </c>
      <c r="I21" s="57">
        <v>4.75</v>
      </c>
      <c r="J21" s="58">
        <v>3.23</v>
      </c>
      <c r="K21" s="58">
        <v>4.1500000000000004</v>
      </c>
      <c r="L21" s="58" t="s">
        <v>306</v>
      </c>
      <c r="M21" s="57">
        <v>2.15</v>
      </c>
      <c r="N21" s="58">
        <v>3.61</v>
      </c>
      <c r="O21" s="58">
        <v>5.52</v>
      </c>
      <c r="P21" s="58" t="s">
        <v>306</v>
      </c>
      <c r="Q21" s="57" t="s">
        <v>306</v>
      </c>
      <c r="R21" s="57" t="s">
        <v>306</v>
      </c>
      <c r="S21" s="58">
        <v>8.19</v>
      </c>
      <c r="T21" s="58">
        <v>10.08</v>
      </c>
      <c r="U21" s="57">
        <v>12.87</v>
      </c>
      <c r="V21" s="57">
        <v>9.8699999999999992</v>
      </c>
      <c r="W21" s="58" t="s">
        <v>306</v>
      </c>
      <c r="X21" s="58" t="s">
        <v>1591</v>
      </c>
      <c r="Y21" s="58" t="s">
        <v>306</v>
      </c>
      <c r="Z21" s="57" t="s">
        <v>306</v>
      </c>
      <c r="AA21" s="57" t="s">
        <v>306</v>
      </c>
      <c r="AB21" s="57" t="s">
        <v>306</v>
      </c>
      <c r="AC21" s="57">
        <v>31.09</v>
      </c>
      <c r="AD21" s="57" t="s">
        <v>306</v>
      </c>
      <c r="AE21" s="57" t="s">
        <v>306</v>
      </c>
      <c r="AF21" s="57" t="s">
        <v>1591</v>
      </c>
      <c r="AG21" s="88">
        <v>12.69</v>
      </c>
      <c r="AH21" s="88">
        <v>14.28</v>
      </c>
      <c r="AI21" s="88">
        <v>16.350000000000001</v>
      </c>
      <c r="AJ21" s="58">
        <v>7.79</v>
      </c>
      <c r="AK21" s="58">
        <v>3.72</v>
      </c>
      <c r="AL21" s="57">
        <v>7.19</v>
      </c>
      <c r="AM21" s="57" t="s">
        <v>306</v>
      </c>
      <c r="AN21" s="57" t="s">
        <v>306</v>
      </c>
      <c r="AO21" s="57">
        <v>2.9</v>
      </c>
      <c r="AP21" s="57">
        <v>2.96</v>
      </c>
      <c r="AQ21" s="41">
        <f>SUM(_CT!$C21:$R21)+SUM(_CT!$S21:$T21)/2+SUM(_CT!$U21:$AF21)+SUM(_CT!$Z21:$AF21)+_CT!$AH21+SUM(_CT!$AL21:$AP21)</f>
        <v>155.185</v>
      </c>
      <c r="AR21" s="40"/>
    </row>
    <row r="22" spans="1:44" ht="16.5">
      <c r="A22" s="52">
        <v>140550019</v>
      </c>
      <c r="B22" s="53" t="s">
        <v>1590</v>
      </c>
      <c r="C22" s="65">
        <v>4.04</v>
      </c>
      <c r="D22" s="65">
        <v>2.73</v>
      </c>
      <c r="E22" s="65">
        <v>5.24</v>
      </c>
      <c r="F22" s="65">
        <v>1.89</v>
      </c>
      <c r="G22" s="65">
        <v>1.73</v>
      </c>
      <c r="H22" s="65" t="s">
        <v>306</v>
      </c>
      <c r="I22" s="65">
        <v>4.75</v>
      </c>
      <c r="J22" s="66">
        <v>3.23</v>
      </c>
      <c r="K22" s="66">
        <v>4.1500000000000004</v>
      </c>
      <c r="L22" s="66" t="s">
        <v>306</v>
      </c>
      <c r="M22" s="65">
        <v>2.15</v>
      </c>
      <c r="N22" s="66">
        <v>3.61</v>
      </c>
      <c r="O22" s="66">
        <v>5.52</v>
      </c>
      <c r="P22" s="66" t="s">
        <v>306</v>
      </c>
      <c r="Q22" s="65" t="s">
        <v>306</v>
      </c>
      <c r="R22" s="65" t="s">
        <v>306</v>
      </c>
      <c r="S22" s="66">
        <v>8.19</v>
      </c>
      <c r="T22" s="66">
        <v>10.08</v>
      </c>
      <c r="U22" s="65">
        <v>12.87</v>
      </c>
      <c r="V22" s="65">
        <v>9.8699999999999992</v>
      </c>
      <c r="W22" s="66" t="s">
        <v>306</v>
      </c>
      <c r="X22" s="66">
        <v>6.98</v>
      </c>
      <c r="Y22" s="66">
        <v>25.11</v>
      </c>
      <c r="Z22" s="65">
        <v>33.549999999999997</v>
      </c>
      <c r="AA22" s="65" t="s">
        <v>306</v>
      </c>
      <c r="AB22" s="65">
        <v>7.81</v>
      </c>
      <c r="AC22" s="65" t="s">
        <v>306</v>
      </c>
      <c r="AD22" s="65" t="s">
        <v>306</v>
      </c>
      <c r="AE22" s="65" t="s">
        <v>306</v>
      </c>
      <c r="AF22" s="65" t="s">
        <v>306</v>
      </c>
      <c r="AG22" s="86">
        <v>12.69</v>
      </c>
      <c r="AH22" s="86">
        <v>14.28</v>
      </c>
      <c r="AI22" s="86">
        <v>16.350000000000001</v>
      </c>
      <c r="AJ22" s="66">
        <v>7.79</v>
      </c>
      <c r="AK22" s="66">
        <v>3.72</v>
      </c>
      <c r="AL22" s="65">
        <v>7.19</v>
      </c>
      <c r="AM22" s="65" t="s">
        <v>306</v>
      </c>
      <c r="AN22" s="65" t="s">
        <v>306</v>
      </c>
      <c r="AO22" s="65">
        <v>2.9</v>
      </c>
      <c r="AP22" s="65">
        <v>2.96</v>
      </c>
      <c r="AQ22" s="54">
        <f>SUM(_CT!$C22:$R22)+SUM(_CT!$S22:$T22)/2+SUM(_CT!$U22:$AF22)+SUM(_CT!$Z22:$AF22)+_CT!$AH22+SUM(_CT!$AL22:$AP22)</f>
        <v>213.05500000000004</v>
      </c>
      <c r="AR22" s="53"/>
    </row>
    <row r="23" spans="1:44" ht="16.5">
      <c r="A23" s="37">
        <v>140640035</v>
      </c>
      <c r="B23" s="38" t="s">
        <v>1590</v>
      </c>
      <c r="C23" s="61">
        <v>4.04</v>
      </c>
      <c r="D23" s="61">
        <v>2.73</v>
      </c>
      <c r="E23" s="61">
        <v>5.24</v>
      </c>
      <c r="F23" s="61">
        <v>1.89</v>
      </c>
      <c r="G23" s="61">
        <v>1.73</v>
      </c>
      <c r="H23" s="61" t="s">
        <v>306</v>
      </c>
      <c r="I23" s="61">
        <v>4.75</v>
      </c>
      <c r="J23" s="62">
        <v>3.23</v>
      </c>
      <c r="K23" s="62">
        <v>4.1500000000000004</v>
      </c>
      <c r="L23" s="62" t="s">
        <v>306</v>
      </c>
      <c r="M23" s="61">
        <v>2.15</v>
      </c>
      <c r="N23" s="62">
        <v>3.61</v>
      </c>
      <c r="O23" s="62">
        <v>5.52</v>
      </c>
      <c r="P23" s="62" t="s">
        <v>306</v>
      </c>
      <c r="Q23" s="61" t="s">
        <v>306</v>
      </c>
      <c r="R23" s="61" t="s">
        <v>306</v>
      </c>
      <c r="S23" s="62">
        <v>8.19</v>
      </c>
      <c r="T23" s="62">
        <v>10.08</v>
      </c>
      <c r="U23" s="61">
        <v>12.87</v>
      </c>
      <c r="V23" s="61">
        <v>9.8699999999999992</v>
      </c>
      <c r="W23" s="62" t="s">
        <v>306</v>
      </c>
      <c r="X23" s="62">
        <v>9.01</v>
      </c>
      <c r="Y23" s="62"/>
      <c r="Z23" s="61" t="s">
        <v>306</v>
      </c>
      <c r="AA23" s="61" t="s">
        <v>306</v>
      </c>
      <c r="AB23" s="61">
        <v>15.57</v>
      </c>
      <c r="AC23" s="61" t="s">
        <v>306</v>
      </c>
      <c r="AD23" s="61">
        <v>19.86</v>
      </c>
      <c r="AE23" s="61" t="s">
        <v>1591</v>
      </c>
      <c r="AF23" s="61" t="s">
        <v>306</v>
      </c>
      <c r="AG23" s="84">
        <v>12.69</v>
      </c>
      <c r="AH23" s="84">
        <v>14.28</v>
      </c>
      <c r="AI23" s="84">
        <v>16.350000000000001</v>
      </c>
      <c r="AJ23" s="62">
        <v>7.79</v>
      </c>
      <c r="AK23" s="62">
        <v>3.72</v>
      </c>
      <c r="AL23" s="61">
        <v>7.19</v>
      </c>
      <c r="AM23" s="61" t="s">
        <v>306</v>
      </c>
      <c r="AN23" s="61" t="s">
        <v>306</v>
      </c>
      <c r="AO23" s="61">
        <v>2.9</v>
      </c>
      <c r="AP23" s="61">
        <v>2.96</v>
      </c>
      <c r="AQ23" s="42">
        <f>SUM(_CT!$C23:$R23)+SUM(_CT!$S23:$T23)/2+SUM(_CT!$U23:$AF23)+SUM(_CT!$Z23:$AF23)+_CT!$AH23+SUM(_CT!$AL23:$AP23)</f>
        <v>178.11500000000004</v>
      </c>
      <c r="AR23" s="38"/>
    </row>
    <row r="24" spans="1:44" ht="16.5">
      <c r="A24" s="39">
        <v>141650001</v>
      </c>
      <c r="B24" s="40" t="s">
        <v>1590</v>
      </c>
      <c r="C24" s="57">
        <v>4.04</v>
      </c>
      <c r="D24" s="57">
        <v>2.73</v>
      </c>
      <c r="E24" s="57" t="s">
        <v>306</v>
      </c>
      <c r="F24" s="57">
        <v>1.89</v>
      </c>
      <c r="G24" s="57">
        <v>1.73</v>
      </c>
      <c r="H24" s="57" t="s">
        <v>306</v>
      </c>
      <c r="I24" s="57">
        <v>4.75</v>
      </c>
      <c r="J24" s="58">
        <v>3.23</v>
      </c>
      <c r="K24" s="58">
        <v>4.1500000000000004</v>
      </c>
      <c r="L24" s="58" t="s">
        <v>306</v>
      </c>
      <c r="M24" s="57">
        <v>2.15</v>
      </c>
      <c r="N24" s="58">
        <v>3.61</v>
      </c>
      <c r="O24" s="58">
        <v>5.52</v>
      </c>
      <c r="P24" s="58" t="s">
        <v>306</v>
      </c>
      <c r="Q24" s="57" t="s">
        <v>306</v>
      </c>
      <c r="R24" s="57" t="s">
        <v>306</v>
      </c>
      <c r="S24" s="58">
        <v>8.19</v>
      </c>
      <c r="T24" s="58">
        <v>10.08</v>
      </c>
      <c r="U24" s="57">
        <v>12.87</v>
      </c>
      <c r="V24" s="57">
        <v>9.8699999999999992</v>
      </c>
      <c r="W24" s="58" t="s">
        <v>306</v>
      </c>
      <c r="X24" s="58" t="s">
        <v>306</v>
      </c>
      <c r="Y24" s="58">
        <v>8.26</v>
      </c>
      <c r="Z24" s="57" t="s">
        <v>306</v>
      </c>
      <c r="AA24" s="57" t="s">
        <v>306</v>
      </c>
      <c r="AB24" s="57" t="s">
        <v>306</v>
      </c>
      <c r="AC24" s="57" t="s">
        <v>306</v>
      </c>
      <c r="AD24" s="57" t="s">
        <v>306</v>
      </c>
      <c r="AE24" s="57" t="s">
        <v>306</v>
      </c>
      <c r="AF24" s="57" t="s">
        <v>306</v>
      </c>
      <c r="AG24" s="88">
        <v>12.69</v>
      </c>
      <c r="AH24" s="88">
        <v>14.28</v>
      </c>
      <c r="AI24" s="88">
        <v>16.350000000000001</v>
      </c>
      <c r="AJ24" s="58">
        <v>7.79</v>
      </c>
      <c r="AK24" s="58">
        <v>3.72</v>
      </c>
      <c r="AL24" s="57">
        <v>7.19</v>
      </c>
      <c r="AM24" s="57" t="s">
        <v>306</v>
      </c>
      <c r="AN24" s="57" t="s">
        <v>306</v>
      </c>
      <c r="AO24" s="57">
        <v>2.9</v>
      </c>
      <c r="AP24" s="57">
        <v>2.96</v>
      </c>
      <c r="AQ24" s="41">
        <f>SUM(_CT!$C24:$R24)+SUM(_CT!$S24:$T24)/2+SUM(_CT!$U24:$AF24)+SUM(_CT!$Z24:$AF24)+_CT!$AH24+SUM(_CT!$AL24:$AP24)</f>
        <v>101.265</v>
      </c>
      <c r="AR24" s="40"/>
    </row>
    <row r="25" spans="1:44" ht="16.5">
      <c r="A25" s="52">
        <v>140310083</v>
      </c>
      <c r="B25" s="53" t="s">
        <v>1590</v>
      </c>
      <c r="C25" s="65">
        <v>4.04</v>
      </c>
      <c r="D25" s="65">
        <v>2.73</v>
      </c>
      <c r="E25" s="65" t="s">
        <v>306</v>
      </c>
      <c r="F25" s="65">
        <v>1.89</v>
      </c>
      <c r="G25" s="65">
        <v>1.73</v>
      </c>
      <c r="H25" s="65" t="s">
        <v>306</v>
      </c>
      <c r="I25" s="65">
        <v>4.75</v>
      </c>
      <c r="J25" s="66" t="s">
        <v>306</v>
      </c>
      <c r="K25" s="66" t="s">
        <v>306</v>
      </c>
      <c r="L25" s="66">
        <v>6.61</v>
      </c>
      <c r="M25" s="65">
        <v>2.15</v>
      </c>
      <c r="N25" s="66" t="s">
        <v>306</v>
      </c>
      <c r="O25" s="66" t="s">
        <v>306</v>
      </c>
      <c r="P25" s="66">
        <v>7.91</v>
      </c>
      <c r="Q25" s="65" t="s">
        <v>306</v>
      </c>
      <c r="R25" s="65" t="s">
        <v>306</v>
      </c>
      <c r="S25" s="66">
        <v>8.19</v>
      </c>
      <c r="T25" s="66">
        <v>10.08</v>
      </c>
      <c r="U25" s="65">
        <v>12.87</v>
      </c>
      <c r="V25" s="65">
        <v>9.8699999999999992</v>
      </c>
      <c r="W25" s="66" t="s">
        <v>306</v>
      </c>
      <c r="X25" s="66" t="s">
        <v>306</v>
      </c>
      <c r="Y25" s="86">
        <v>11.55</v>
      </c>
      <c r="Z25" s="65">
        <v>18.13</v>
      </c>
      <c r="AA25" s="65" t="s">
        <v>306</v>
      </c>
      <c r="AB25" s="65" t="s">
        <v>306</v>
      </c>
      <c r="AC25" s="65" t="s">
        <v>306</v>
      </c>
      <c r="AD25" s="65" t="s">
        <v>306</v>
      </c>
      <c r="AE25" s="65" t="s">
        <v>306</v>
      </c>
      <c r="AF25" s="65" t="s">
        <v>306</v>
      </c>
      <c r="AG25" s="86">
        <v>12.69</v>
      </c>
      <c r="AH25" s="86">
        <v>14.28</v>
      </c>
      <c r="AI25" s="86">
        <v>16.350000000000001</v>
      </c>
      <c r="AJ25" s="66">
        <v>7.79</v>
      </c>
      <c r="AK25" s="66">
        <v>3.72</v>
      </c>
      <c r="AL25" s="65">
        <v>8.2799999999999994</v>
      </c>
      <c r="AM25" s="65" t="s">
        <v>306</v>
      </c>
      <c r="AN25" s="65" t="s">
        <v>306</v>
      </c>
      <c r="AO25" s="65">
        <v>2.9</v>
      </c>
      <c r="AP25" s="65">
        <v>2.96</v>
      </c>
      <c r="AQ25" s="54">
        <f>SUM(_CT!$C25:$R25)+SUM(_CT!$S25:$T25)/2+SUM(_CT!$U25:$AF25)+SUM(_CT!$Z25:$AF25)+_CT!$AH25+SUM(_CT!$AL25:$AP25)</f>
        <v>139.91500000000002</v>
      </c>
      <c r="AR25" s="53">
        <v>1</v>
      </c>
    </row>
    <row r="26" spans="1:44" ht="16.5">
      <c r="A26" s="37">
        <v>140310071</v>
      </c>
      <c r="B26" s="38" t="s">
        <v>1590</v>
      </c>
      <c r="C26" s="61">
        <v>4.04</v>
      </c>
      <c r="D26" s="61">
        <v>2.73</v>
      </c>
      <c r="E26" s="61">
        <v>5.24</v>
      </c>
      <c r="F26" s="61">
        <v>1.89</v>
      </c>
      <c r="G26" s="61">
        <v>1.73</v>
      </c>
      <c r="H26" s="61" t="s">
        <v>306</v>
      </c>
      <c r="I26" s="61">
        <v>4.75</v>
      </c>
      <c r="J26" s="62">
        <v>3.23</v>
      </c>
      <c r="K26" s="62">
        <v>4.1500000000000004</v>
      </c>
      <c r="L26" s="62" t="s">
        <v>306</v>
      </c>
      <c r="M26" s="61">
        <v>2.15</v>
      </c>
      <c r="N26" s="62">
        <v>3.61</v>
      </c>
      <c r="O26" s="62">
        <v>5.52</v>
      </c>
      <c r="P26" s="62" t="s">
        <v>306</v>
      </c>
      <c r="Q26" s="61" t="s">
        <v>306</v>
      </c>
      <c r="R26" s="61" t="s">
        <v>306</v>
      </c>
      <c r="S26" s="62">
        <v>8.19</v>
      </c>
      <c r="T26" s="62">
        <v>10.08</v>
      </c>
      <c r="U26" s="61">
        <v>12.87</v>
      </c>
      <c r="V26" s="84">
        <v>12.77</v>
      </c>
      <c r="W26" s="62" t="s">
        <v>306</v>
      </c>
      <c r="X26" s="62">
        <v>6.4</v>
      </c>
      <c r="Y26" s="62" t="s">
        <v>306</v>
      </c>
      <c r="Z26" s="61">
        <v>10.15</v>
      </c>
      <c r="AA26" s="61" t="s">
        <v>306</v>
      </c>
      <c r="AB26" s="61" t="s">
        <v>306</v>
      </c>
      <c r="AC26" s="61" t="s">
        <v>306</v>
      </c>
      <c r="AD26" s="61" t="s">
        <v>306</v>
      </c>
      <c r="AE26" s="61" t="s">
        <v>306</v>
      </c>
      <c r="AF26" s="61" t="s">
        <v>306</v>
      </c>
      <c r="AG26" s="84">
        <v>12.69</v>
      </c>
      <c r="AH26" s="84">
        <v>14.28</v>
      </c>
      <c r="AI26" s="84">
        <v>16.350000000000001</v>
      </c>
      <c r="AJ26" s="62">
        <v>7.79</v>
      </c>
      <c r="AK26" s="62">
        <v>3.72</v>
      </c>
      <c r="AL26" s="61">
        <v>8.2799999999999994</v>
      </c>
      <c r="AM26" s="61">
        <v>8.75</v>
      </c>
      <c r="AN26" s="61" t="s">
        <v>306</v>
      </c>
      <c r="AO26" s="61" t="s">
        <v>306</v>
      </c>
      <c r="AP26" s="61">
        <v>3.16</v>
      </c>
      <c r="AQ26" s="42">
        <f>SUM(_CT!$C26:$R26)+SUM(_CT!$S26:$T26)/2+SUM(_CT!$U26:$AF26)+SUM(_CT!$Z26:$AF26)+_CT!$AH26+SUM(_CT!$AL26:$AP26)</f>
        <v>134.98500000000001</v>
      </c>
      <c r="AR26" s="38">
        <v>1</v>
      </c>
    </row>
    <row r="27" spans="1:44" ht="16.5">
      <c r="A27" s="39">
        <v>140010255</v>
      </c>
      <c r="B27" s="40" t="s">
        <v>1590</v>
      </c>
      <c r="C27" s="57">
        <v>4.04</v>
      </c>
      <c r="D27" s="57">
        <v>2.73</v>
      </c>
      <c r="E27" s="57" t="s">
        <v>306</v>
      </c>
      <c r="F27" s="57">
        <v>1.89</v>
      </c>
      <c r="G27" s="57">
        <v>1.73</v>
      </c>
      <c r="H27" s="57" t="s">
        <v>306</v>
      </c>
      <c r="I27" s="57">
        <v>4.8</v>
      </c>
      <c r="J27" s="58">
        <v>3.23</v>
      </c>
      <c r="K27" s="58">
        <v>4.1500000000000004</v>
      </c>
      <c r="L27" s="58" t="s">
        <v>306</v>
      </c>
      <c r="M27" s="57">
        <v>2.15</v>
      </c>
      <c r="N27" s="58" t="s">
        <v>306</v>
      </c>
      <c r="O27" s="58">
        <v>5.52</v>
      </c>
      <c r="P27" s="58" t="s">
        <v>306</v>
      </c>
      <c r="Q27" s="57">
        <v>7.2</v>
      </c>
      <c r="R27" s="57" t="s">
        <v>306</v>
      </c>
      <c r="S27" s="58">
        <v>8.19</v>
      </c>
      <c r="T27" s="58">
        <v>10.08</v>
      </c>
      <c r="U27" s="57">
        <v>12.87</v>
      </c>
      <c r="V27" s="57">
        <v>9.8699999999999992</v>
      </c>
      <c r="W27" s="58" t="s">
        <v>306</v>
      </c>
      <c r="X27" s="58" t="s">
        <v>306</v>
      </c>
      <c r="Y27" s="58" t="s">
        <v>306</v>
      </c>
      <c r="Z27" s="57" t="s">
        <v>306</v>
      </c>
      <c r="AA27" s="57" t="s">
        <v>306</v>
      </c>
      <c r="AB27" s="57" t="s">
        <v>306</v>
      </c>
      <c r="AC27" s="57" t="s">
        <v>306</v>
      </c>
      <c r="AD27" s="57" t="s">
        <v>306</v>
      </c>
      <c r="AE27" s="57" t="s">
        <v>306</v>
      </c>
      <c r="AF27" s="57" t="s">
        <v>306</v>
      </c>
      <c r="AG27" s="88">
        <v>12.69</v>
      </c>
      <c r="AH27" s="88">
        <v>14.28</v>
      </c>
      <c r="AI27" s="88">
        <v>16.350000000000001</v>
      </c>
      <c r="AJ27" s="58">
        <v>7.79</v>
      </c>
      <c r="AK27" s="58">
        <v>3.72</v>
      </c>
      <c r="AL27" s="57" t="s">
        <v>306</v>
      </c>
      <c r="AM27" s="57" t="s">
        <v>306</v>
      </c>
      <c r="AN27" s="57">
        <v>10.76</v>
      </c>
      <c r="AO27" s="57" t="s">
        <v>306</v>
      </c>
      <c r="AP27" s="57">
        <v>2.61</v>
      </c>
      <c r="AQ27" s="41">
        <f>SUM(_CT!$C27:$R27)+SUM(_CT!$S27:$T27)/2+SUM(_CT!$U27:$AF27)+SUM(_CT!$Z27:$AF27)+_CT!$AH27+SUM(_CT!$AL27:$AP27)</f>
        <v>96.965000000000003</v>
      </c>
      <c r="AR27" s="40">
        <v>1</v>
      </c>
    </row>
    <row r="28" spans="1:44" ht="16.5">
      <c r="A28" s="52">
        <v>140310007</v>
      </c>
      <c r="B28" s="53" t="s">
        <v>1590</v>
      </c>
      <c r="C28" s="65">
        <v>4.04</v>
      </c>
      <c r="D28" s="65">
        <v>2.73</v>
      </c>
      <c r="E28" s="65">
        <v>5.23</v>
      </c>
      <c r="F28" s="65">
        <v>1.89</v>
      </c>
      <c r="G28" s="65">
        <v>1.73</v>
      </c>
      <c r="H28" s="65" t="s">
        <v>306</v>
      </c>
      <c r="I28" s="65">
        <v>4.8</v>
      </c>
      <c r="J28" s="66">
        <v>3.23</v>
      </c>
      <c r="K28" s="66">
        <v>4.1500000000000004</v>
      </c>
      <c r="L28" s="66" t="s">
        <v>306</v>
      </c>
      <c r="M28" s="65">
        <v>2.15</v>
      </c>
      <c r="N28" s="66">
        <v>3.61</v>
      </c>
      <c r="O28" s="66" t="s">
        <v>306</v>
      </c>
      <c r="P28" s="66" t="s">
        <v>306</v>
      </c>
      <c r="Q28" s="65" t="s">
        <v>306</v>
      </c>
      <c r="R28" s="65" t="s">
        <v>306</v>
      </c>
      <c r="S28" s="66">
        <v>8.19</v>
      </c>
      <c r="T28" s="66">
        <v>10.08</v>
      </c>
      <c r="U28" s="65">
        <v>12.87</v>
      </c>
      <c r="V28" s="86">
        <v>13.6</v>
      </c>
      <c r="W28" s="66" t="s">
        <v>306</v>
      </c>
      <c r="X28" s="66" t="s">
        <v>306</v>
      </c>
      <c r="Y28" s="66" t="s">
        <v>306</v>
      </c>
      <c r="Z28" s="65" t="s">
        <v>306</v>
      </c>
      <c r="AA28" s="65" t="s">
        <v>306</v>
      </c>
      <c r="AB28" s="65" t="s">
        <v>306</v>
      </c>
      <c r="AC28" s="65" t="s">
        <v>306</v>
      </c>
      <c r="AD28" s="65" t="s">
        <v>306</v>
      </c>
      <c r="AE28" s="65" t="s">
        <v>306</v>
      </c>
      <c r="AF28" s="65" t="s">
        <v>306</v>
      </c>
      <c r="AG28" s="86">
        <v>12.69</v>
      </c>
      <c r="AH28" s="86">
        <v>14.28</v>
      </c>
      <c r="AI28" s="86">
        <v>16.350000000000001</v>
      </c>
      <c r="AJ28" s="66">
        <v>7.79</v>
      </c>
      <c r="AK28" s="66">
        <v>3.72</v>
      </c>
      <c r="AL28" s="65">
        <v>8.3000000000000007</v>
      </c>
      <c r="AM28" s="65" t="s">
        <v>306</v>
      </c>
      <c r="AN28" s="65" t="s">
        <v>306</v>
      </c>
      <c r="AO28" s="65">
        <v>2.9</v>
      </c>
      <c r="AP28" s="65">
        <v>2.96</v>
      </c>
      <c r="AQ28" s="54">
        <f>SUM(_CT!$C28:$R28)+SUM(_CT!$S28:$T28)/2+SUM(_CT!$U28:$AF28)+SUM(_CT!$Z28:$AF28)+_CT!$AH28+SUM(_CT!$AL28:$AP28)</f>
        <v>97.60499999999999</v>
      </c>
      <c r="AR28" s="53">
        <v>1</v>
      </c>
    </row>
    <row r="29" spans="1:44" ht="16.5">
      <c r="A29" s="37">
        <v>140310031</v>
      </c>
      <c r="B29" s="38" t="s">
        <v>1590</v>
      </c>
      <c r="C29" s="61">
        <v>4.04</v>
      </c>
      <c r="D29" s="61">
        <v>2.73</v>
      </c>
      <c r="E29" s="61" t="s">
        <v>306</v>
      </c>
      <c r="F29" s="61">
        <v>1.89</v>
      </c>
      <c r="G29" s="61">
        <v>1.73</v>
      </c>
      <c r="H29" s="61" t="s">
        <v>306</v>
      </c>
      <c r="I29" s="61" t="s">
        <v>306</v>
      </c>
      <c r="J29" s="62">
        <v>3.23</v>
      </c>
      <c r="K29" s="62">
        <v>4.1500000000000004</v>
      </c>
      <c r="L29" s="62" t="s">
        <v>306</v>
      </c>
      <c r="M29" s="61">
        <v>2.15</v>
      </c>
      <c r="N29" s="62">
        <v>3.61</v>
      </c>
      <c r="O29" s="62">
        <v>5.52</v>
      </c>
      <c r="P29" s="62" t="s">
        <v>306</v>
      </c>
      <c r="Q29" s="61" t="s">
        <v>306</v>
      </c>
      <c r="R29" s="61" t="s">
        <v>306</v>
      </c>
      <c r="S29" s="62">
        <v>8.19</v>
      </c>
      <c r="T29" s="62">
        <v>10.08</v>
      </c>
      <c r="U29" s="61">
        <v>12.87</v>
      </c>
      <c r="V29" s="61">
        <v>9.8699999999999992</v>
      </c>
      <c r="W29" s="62" t="s">
        <v>306</v>
      </c>
      <c r="X29" s="62">
        <v>9.01</v>
      </c>
      <c r="Y29" s="62" t="s">
        <v>306</v>
      </c>
      <c r="Z29" s="61" t="s">
        <v>306</v>
      </c>
      <c r="AA29" s="61" t="s">
        <v>306</v>
      </c>
      <c r="AB29" s="61" t="s">
        <v>306</v>
      </c>
      <c r="AC29" s="61" t="s">
        <v>306</v>
      </c>
      <c r="AD29" s="61">
        <v>11.33</v>
      </c>
      <c r="AE29" s="61">
        <v>25.72</v>
      </c>
      <c r="AF29" s="61">
        <v>15.95</v>
      </c>
      <c r="AG29" s="84">
        <v>12.69</v>
      </c>
      <c r="AH29" s="84">
        <v>14.28</v>
      </c>
      <c r="AI29" s="84">
        <v>16.350000000000001</v>
      </c>
      <c r="AJ29" s="62">
        <v>7.79</v>
      </c>
      <c r="AK29" s="62">
        <v>3.72</v>
      </c>
      <c r="AL29" s="61">
        <v>7.19</v>
      </c>
      <c r="AM29" s="61" t="s">
        <v>306</v>
      </c>
      <c r="AN29" s="61" t="s">
        <v>306</v>
      </c>
      <c r="AO29" s="61">
        <v>2.9</v>
      </c>
      <c r="AP29" s="61">
        <v>2.96</v>
      </c>
      <c r="AQ29" s="42">
        <f>SUM(_CT!$C29:$R29)+SUM(_CT!$S29:$T29)/2+SUM(_CT!$U29:$AF29)+SUM(_CT!$Z29:$AF29)+_CT!$AH29+SUM(_CT!$AL29:$AP29)</f>
        <v>203.26500000000001</v>
      </c>
      <c r="AR29" s="38"/>
    </row>
    <row r="30" spans="1:44" ht="16.5">
      <c r="A30" s="39">
        <v>140020181</v>
      </c>
      <c r="B30" s="40" t="s">
        <v>1590</v>
      </c>
      <c r="C30" s="57">
        <v>4.04</v>
      </c>
      <c r="D30" s="57">
        <v>2.73</v>
      </c>
      <c r="E30" s="57" t="s">
        <v>306</v>
      </c>
      <c r="F30" s="57">
        <v>1.89</v>
      </c>
      <c r="G30" s="57">
        <v>1.73</v>
      </c>
      <c r="H30" s="57" t="s">
        <v>306</v>
      </c>
      <c r="I30" s="57">
        <v>4.75</v>
      </c>
      <c r="J30" s="58">
        <v>3.23</v>
      </c>
      <c r="K30" s="58">
        <v>4.1500000000000004</v>
      </c>
      <c r="L30" s="58" t="s">
        <v>306</v>
      </c>
      <c r="M30" s="57">
        <v>2.15</v>
      </c>
      <c r="N30" s="58">
        <v>3.61</v>
      </c>
      <c r="O30" s="58">
        <v>5.52</v>
      </c>
      <c r="P30" s="58" t="s">
        <v>306</v>
      </c>
      <c r="Q30" s="57" t="s">
        <v>306</v>
      </c>
      <c r="R30" s="57" t="s">
        <v>306</v>
      </c>
      <c r="S30" s="58">
        <v>8.19</v>
      </c>
      <c r="T30" s="58">
        <v>10.08</v>
      </c>
      <c r="U30" s="57">
        <v>12.87</v>
      </c>
      <c r="V30" s="57">
        <v>9.8699999999999992</v>
      </c>
      <c r="W30" s="58" t="s">
        <v>306</v>
      </c>
      <c r="X30" s="58">
        <v>6.98</v>
      </c>
      <c r="Y30" s="58" t="s">
        <v>306</v>
      </c>
      <c r="Z30" s="57" t="s">
        <v>306</v>
      </c>
      <c r="AA30" s="57" t="s">
        <v>306</v>
      </c>
      <c r="AB30" s="57" t="s">
        <v>306</v>
      </c>
      <c r="AC30" s="57" t="s">
        <v>306</v>
      </c>
      <c r="AD30" s="57" t="s">
        <v>306</v>
      </c>
      <c r="AE30" s="57" t="s">
        <v>306</v>
      </c>
      <c r="AF30" s="57" t="s">
        <v>306</v>
      </c>
      <c r="AG30" s="88">
        <v>12.69</v>
      </c>
      <c r="AH30" s="88">
        <v>14.28</v>
      </c>
      <c r="AI30" s="88">
        <v>16.350000000000001</v>
      </c>
      <c r="AJ30" s="58">
        <v>7.79</v>
      </c>
      <c r="AK30" s="58">
        <v>7.46</v>
      </c>
      <c r="AL30" s="57">
        <v>14.96</v>
      </c>
      <c r="AM30" s="57" t="s">
        <v>306</v>
      </c>
      <c r="AN30" s="57">
        <v>10.76</v>
      </c>
      <c r="AO30" s="57" t="s">
        <v>306</v>
      </c>
      <c r="AP30" s="57">
        <v>3.37</v>
      </c>
      <c r="AQ30" s="41" t="e">
        <f>SUM(_CT!$C30:$R30)+AVERAGE(_CT!$S30:$T30)+IF(_CT!$Y30,_CT!$Y30,SUM(_CT!$W30:$X30))+SUM(_CT!$Z30:$AF30)+_CT!$AH30+SUM(_CT!$AL30:$AP30)</f>
        <v>#VALUE!</v>
      </c>
      <c r="AR30" s="40"/>
    </row>
    <row r="31" spans="1:44" ht="16.5">
      <c r="A31" s="52">
        <v>140310016</v>
      </c>
      <c r="B31" s="53" t="s">
        <v>1590</v>
      </c>
      <c r="C31" s="65">
        <v>4.04</v>
      </c>
      <c r="D31" s="65">
        <v>2.73</v>
      </c>
      <c r="E31" s="65" t="s">
        <v>306</v>
      </c>
      <c r="F31" s="65">
        <v>1.89</v>
      </c>
      <c r="G31" s="65">
        <v>1.73</v>
      </c>
      <c r="H31" s="65" t="s">
        <v>306</v>
      </c>
      <c r="I31" s="65">
        <v>4.75</v>
      </c>
      <c r="J31" s="66">
        <v>3.23</v>
      </c>
      <c r="K31" s="66">
        <v>4.1500000000000004</v>
      </c>
      <c r="L31" s="66"/>
      <c r="M31" s="65">
        <v>2.15</v>
      </c>
      <c r="N31" s="66">
        <v>3.61</v>
      </c>
      <c r="O31" s="66">
        <v>5.52</v>
      </c>
      <c r="P31" s="66" t="s">
        <v>306</v>
      </c>
      <c r="Q31" s="65" t="s">
        <v>306</v>
      </c>
      <c r="R31" s="65" t="s">
        <v>306</v>
      </c>
      <c r="S31" s="66">
        <v>8.19</v>
      </c>
      <c r="T31" s="66">
        <v>10.08</v>
      </c>
      <c r="U31" s="65">
        <v>12.87</v>
      </c>
      <c r="V31" s="65">
        <v>9.8699999999999992</v>
      </c>
      <c r="W31" s="66" t="s">
        <v>306</v>
      </c>
      <c r="X31" s="77">
        <v>13</v>
      </c>
      <c r="Y31" s="77" t="s">
        <v>306</v>
      </c>
      <c r="Z31" s="77">
        <v>20</v>
      </c>
      <c r="AA31" s="77" t="s">
        <v>306</v>
      </c>
      <c r="AB31" s="77" t="s">
        <v>306</v>
      </c>
      <c r="AC31" s="77" t="s">
        <v>306</v>
      </c>
      <c r="AD31" s="77">
        <v>25</v>
      </c>
      <c r="AE31" s="77">
        <v>35</v>
      </c>
      <c r="AF31" s="77">
        <v>16</v>
      </c>
      <c r="AG31" s="86">
        <v>12.69</v>
      </c>
      <c r="AH31" s="86">
        <v>14.28</v>
      </c>
      <c r="AI31" s="86">
        <v>16.350000000000001</v>
      </c>
      <c r="AJ31" s="66">
        <v>7.79</v>
      </c>
      <c r="AK31" s="66">
        <v>7.46</v>
      </c>
      <c r="AL31" s="65">
        <v>7.19</v>
      </c>
      <c r="AM31" s="65">
        <v>8.16</v>
      </c>
      <c r="AN31" s="65">
        <v>10.76</v>
      </c>
      <c r="AO31" s="65" t="s">
        <v>306</v>
      </c>
      <c r="AP31" s="65">
        <v>3.16</v>
      </c>
      <c r="AQ31" s="54" t="e">
        <f>SUM(_CT!$C31:$R31)+AVERAGE(_CT!$S31:$T31)+IF(_CT!$Y31,_CT!$Y31,SUM(_CT!$W31:$X31))+SUM(_CT!$Z31:$AF31)+_CT!$AH31+SUM(_CT!$AL31:$AP31)</f>
        <v>#VALUE!</v>
      </c>
      <c r="AR31" s="53"/>
    </row>
    <row r="32" spans="1:44" ht="16.5">
      <c r="A32" s="37">
        <v>140310017</v>
      </c>
      <c r="B32" s="38" t="s">
        <v>1590</v>
      </c>
      <c r="C32" s="61">
        <v>4.04</v>
      </c>
      <c r="D32" s="61">
        <v>2.73</v>
      </c>
      <c r="E32" s="61">
        <v>5.24</v>
      </c>
      <c r="F32" s="61">
        <v>1.89</v>
      </c>
      <c r="G32" s="61">
        <v>1.73</v>
      </c>
      <c r="H32" s="61" t="s">
        <v>306</v>
      </c>
      <c r="I32" s="61">
        <v>4.75</v>
      </c>
      <c r="J32" s="62">
        <v>3.23</v>
      </c>
      <c r="K32" s="62">
        <v>4.1500000000000004</v>
      </c>
      <c r="L32" s="62" t="s">
        <v>306</v>
      </c>
      <c r="M32" s="61">
        <v>2.15</v>
      </c>
      <c r="N32" s="62">
        <v>3.61</v>
      </c>
      <c r="O32" s="62">
        <v>5.52</v>
      </c>
      <c r="P32" s="62" t="s">
        <v>306</v>
      </c>
      <c r="Q32" s="61">
        <v>8</v>
      </c>
      <c r="R32" s="61" t="s">
        <v>306</v>
      </c>
      <c r="S32" s="62">
        <v>8.19</v>
      </c>
      <c r="T32" s="62">
        <v>10.08</v>
      </c>
      <c r="U32" s="61">
        <v>12.87</v>
      </c>
      <c r="V32" s="61">
        <v>9.8699999999999992</v>
      </c>
      <c r="W32" s="62" t="s">
        <v>306</v>
      </c>
      <c r="X32" s="78">
        <v>13</v>
      </c>
      <c r="Y32" s="78"/>
      <c r="Z32" s="78">
        <v>20</v>
      </c>
      <c r="AA32" s="78" t="s">
        <v>306</v>
      </c>
      <c r="AB32" s="78" t="s">
        <v>306</v>
      </c>
      <c r="AC32" s="78" t="s">
        <v>306</v>
      </c>
      <c r="AD32" s="78">
        <v>25</v>
      </c>
      <c r="AE32" s="78">
        <v>50</v>
      </c>
      <c r="AF32" s="78">
        <v>10</v>
      </c>
      <c r="AG32" s="84">
        <v>12.69</v>
      </c>
      <c r="AH32" s="84">
        <v>14.28</v>
      </c>
      <c r="AI32" s="84">
        <v>16.350000000000001</v>
      </c>
      <c r="AJ32" s="62">
        <v>7.79</v>
      </c>
      <c r="AK32" s="62">
        <v>7.46</v>
      </c>
      <c r="AL32" s="61">
        <v>7.19</v>
      </c>
      <c r="AM32" s="61">
        <v>8.16</v>
      </c>
      <c r="AN32" s="61">
        <v>10.76</v>
      </c>
      <c r="AO32" s="61" t="s">
        <v>306</v>
      </c>
      <c r="AP32" s="61">
        <v>3.16</v>
      </c>
      <c r="AQ32" s="42">
        <f>SUM(_CT!$C32:$R32)+AVERAGE(_CT!$S32:$T32)+IF(_CT!$Y32,_CT!$Y32,SUM(_CT!$W32:$X32))+SUM(_CT!$Z32:$AF32)+_CT!$AH32+SUM(_CT!$AL32:$AP32)</f>
        <v>217.72500000000002</v>
      </c>
      <c r="AR32" s="38"/>
    </row>
    <row r="33" spans="1:44" ht="16.5">
      <c r="A33" s="39">
        <v>140310096</v>
      </c>
      <c r="B33" s="40" t="s">
        <v>1590</v>
      </c>
      <c r="C33" s="57">
        <v>4.04</v>
      </c>
      <c r="D33" s="57">
        <v>2.73</v>
      </c>
      <c r="E33" s="57">
        <v>5.24</v>
      </c>
      <c r="F33" s="57">
        <v>1.89</v>
      </c>
      <c r="G33" s="57">
        <v>1.73</v>
      </c>
      <c r="H33" s="57" t="s">
        <v>306</v>
      </c>
      <c r="I33" s="57">
        <v>4.75</v>
      </c>
      <c r="J33" s="58">
        <v>3.23</v>
      </c>
      <c r="K33" s="58">
        <v>4.1500000000000004</v>
      </c>
      <c r="L33" s="58" t="s">
        <v>306</v>
      </c>
      <c r="M33" s="57">
        <v>2.15</v>
      </c>
      <c r="N33" s="58">
        <v>3.61</v>
      </c>
      <c r="O33" s="58">
        <v>5.52</v>
      </c>
      <c r="P33" s="58" t="s">
        <v>306</v>
      </c>
      <c r="Q33" s="57" t="s">
        <v>306</v>
      </c>
      <c r="R33" s="57" t="s">
        <v>306</v>
      </c>
      <c r="S33" s="58">
        <v>8.19</v>
      </c>
      <c r="T33" s="58">
        <v>10.08</v>
      </c>
      <c r="U33" s="57">
        <v>12.87</v>
      </c>
      <c r="V33" s="57">
        <v>9.8699999999999992</v>
      </c>
      <c r="W33" s="58" t="s">
        <v>306</v>
      </c>
      <c r="X33" s="58">
        <v>6.4</v>
      </c>
      <c r="Y33" s="58" t="s">
        <v>306</v>
      </c>
      <c r="Z33" s="57">
        <v>10.15</v>
      </c>
      <c r="AA33" s="57" t="s">
        <v>306</v>
      </c>
      <c r="AB33" s="57" t="s">
        <v>306</v>
      </c>
      <c r="AC33" s="57" t="s">
        <v>306</v>
      </c>
      <c r="AD33" s="57" t="s">
        <v>306</v>
      </c>
      <c r="AE33" s="57" t="s">
        <v>306</v>
      </c>
      <c r="AF33" s="57" t="s">
        <v>306</v>
      </c>
      <c r="AG33" s="88">
        <v>12.69</v>
      </c>
      <c r="AH33" s="88">
        <v>14.28</v>
      </c>
      <c r="AI33" s="88">
        <v>16.350000000000001</v>
      </c>
      <c r="AJ33" s="58">
        <v>7.79</v>
      </c>
      <c r="AK33" s="58">
        <v>7.46</v>
      </c>
      <c r="AL33" s="57">
        <v>8.3000000000000007</v>
      </c>
      <c r="AM33" s="57">
        <v>8.75</v>
      </c>
      <c r="AN33" s="57" t="s">
        <v>306</v>
      </c>
      <c r="AO33" s="57" t="s">
        <v>306</v>
      </c>
      <c r="AP33" s="57">
        <v>3.16</v>
      </c>
      <c r="AQ33" s="41" t="e">
        <f>SUM(_CT!$C33:$R33)+AVERAGE(_CT!$S33:$T33)+IF(_CT!$Y33,_CT!$Y33,SUM(_CT!$W33:$X33))+SUM(_CT!$Z33:$AF33)+_CT!$AH33+SUM(_CT!$AL33:$AP33)</f>
        <v>#VALUE!</v>
      </c>
      <c r="AR33" s="40"/>
    </row>
    <row r="34" spans="1:44" ht="16.5">
      <c r="A34" s="52">
        <v>140450027</v>
      </c>
      <c r="B34" s="53" t="s">
        <v>1590</v>
      </c>
      <c r="C34" s="65">
        <v>4.04</v>
      </c>
      <c r="D34" s="65">
        <v>2.73</v>
      </c>
      <c r="E34" s="65" t="s">
        <v>306</v>
      </c>
      <c r="F34" s="65">
        <v>1.89</v>
      </c>
      <c r="G34" s="65">
        <v>1.73</v>
      </c>
      <c r="H34" s="65" t="s">
        <v>306</v>
      </c>
      <c r="I34" s="65">
        <v>4.75</v>
      </c>
      <c r="J34" s="66">
        <v>3.23</v>
      </c>
      <c r="K34" s="66">
        <v>4.1500000000000004</v>
      </c>
      <c r="L34" s="66" t="s">
        <v>306</v>
      </c>
      <c r="M34" s="65">
        <v>2.15</v>
      </c>
      <c r="N34" s="66">
        <v>3.61</v>
      </c>
      <c r="O34" s="66">
        <v>5.52</v>
      </c>
      <c r="P34" s="66" t="s">
        <v>306</v>
      </c>
      <c r="Q34" s="65" t="s">
        <v>306</v>
      </c>
      <c r="R34" s="65" t="s">
        <v>306</v>
      </c>
      <c r="S34" s="66">
        <v>8.19</v>
      </c>
      <c r="T34" s="66">
        <v>10.08</v>
      </c>
      <c r="U34" s="65">
        <v>12.87</v>
      </c>
      <c r="V34" s="65">
        <v>9.8699999999999992</v>
      </c>
      <c r="W34" s="66" t="s">
        <v>306</v>
      </c>
      <c r="X34" s="66">
        <v>9.01</v>
      </c>
      <c r="Y34" s="66" t="s">
        <v>306</v>
      </c>
      <c r="Z34" s="65">
        <v>10.25</v>
      </c>
      <c r="AA34" s="65" t="s">
        <v>306</v>
      </c>
      <c r="AB34" s="65" t="s">
        <v>306</v>
      </c>
      <c r="AC34" s="65" t="s">
        <v>306</v>
      </c>
      <c r="AD34" s="65" t="s">
        <v>306</v>
      </c>
      <c r="AE34" s="65" t="s">
        <v>306</v>
      </c>
      <c r="AF34" s="65" t="s">
        <v>306</v>
      </c>
      <c r="AG34" s="86">
        <v>12.69</v>
      </c>
      <c r="AH34" s="86">
        <v>14.28</v>
      </c>
      <c r="AI34" s="86">
        <v>16.350000000000001</v>
      </c>
      <c r="AJ34" s="66">
        <v>7.79</v>
      </c>
      <c r="AK34" s="66">
        <v>7.46</v>
      </c>
      <c r="AL34" s="65">
        <v>8.3000000000000007</v>
      </c>
      <c r="AM34" s="65">
        <v>8.16</v>
      </c>
      <c r="AN34" s="65">
        <v>10.76</v>
      </c>
      <c r="AO34" s="65" t="s">
        <v>306</v>
      </c>
      <c r="AP34" s="65">
        <v>3.16</v>
      </c>
      <c r="AQ34" s="54" t="e">
        <f>SUM(_CT!$C34:$R34)+AVERAGE(_CT!$S34:$T34)+IF(_CT!$Y34,_CT!$Y34,SUM(_CT!$W34:$X34))+SUM(_CT!$Z34:$AF34)+_CT!$AH34+SUM(_CT!$AL34:$AP34)</f>
        <v>#VALUE!</v>
      </c>
      <c r="AR34" s="53"/>
    </row>
    <row r="35" spans="1:44" ht="16.5">
      <c r="A35" s="37">
        <v>140450047</v>
      </c>
      <c r="B35" s="38" t="s">
        <v>1590</v>
      </c>
      <c r="C35" s="61">
        <v>4.04</v>
      </c>
      <c r="D35" s="61">
        <v>2.73</v>
      </c>
      <c r="E35" s="61" t="s">
        <v>306</v>
      </c>
      <c r="F35" s="61">
        <v>1.89</v>
      </c>
      <c r="G35" s="61">
        <v>1.73</v>
      </c>
      <c r="H35" s="61" t="s">
        <v>306</v>
      </c>
      <c r="I35" s="61" t="s">
        <v>306</v>
      </c>
      <c r="J35" s="62" t="s">
        <v>306</v>
      </c>
      <c r="K35" s="62" t="s">
        <v>306</v>
      </c>
      <c r="L35" s="62">
        <v>6.61</v>
      </c>
      <c r="M35" s="61">
        <v>2.15</v>
      </c>
      <c r="N35" s="62">
        <v>3.61</v>
      </c>
      <c r="O35" s="62">
        <v>5.52</v>
      </c>
      <c r="P35" s="62" t="s">
        <v>306</v>
      </c>
      <c r="Q35" s="61" t="s">
        <v>306</v>
      </c>
      <c r="R35" s="61" t="s">
        <v>306</v>
      </c>
      <c r="S35" s="62">
        <v>8.19</v>
      </c>
      <c r="T35" s="62">
        <v>10.08</v>
      </c>
      <c r="U35" s="61">
        <v>12.87</v>
      </c>
      <c r="V35" s="61">
        <v>9.8699999999999992</v>
      </c>
      <c r="W35" s="62" t="s">
        <v>306</v>
      </c>
      <c r="X35" s="62" t="s">
        <v>306</v>
      </c>
      <c r="Y35" s="62" t="s">
        <v>306</v>
      </c>
      <c r="Z35" s="61" t="s">
        <v>306</v>
      </c>
      <c r="AA35" s="61" t="s">
        <v>306</v>
      </c>
      <c r="AB35" s="61" t="s">
        <v>306</v>
      </c>
      <c r="AC35" s="61" t="s">
        <v>306</v>
      </c>
      <c r="AD35" s="61" t="s">
        <v>306</v>
      </c>
      <c r="AE35" s="61" t="s">
        <v>306</v>
      </c>
      <c r="AF35" s="61" t="s">
        <v>306</v>
      </c>
      <c r="AG35" s="84">
        <v>12.69</v>
      </c>
      <c r="AH35" s="84">
        <v>14.28</v>
      </c>
      <c r="AI35" s="84">
        <v>16.350000000000001</v>
      </c>
      <c r="AJ35" s="62">
        <v>7.79</v>
      </c>
      <c r="AK35" s="62">
        <v>7.46</v>
      </c>
      <c r="AL35" s="61">
        <v>7.19</v>
      </c>
      <c r="AM35" s="61" t="s">
        <v>306</v>
      </c>
      <c r="AN35" s="61" t="s">
        <v>306</v>
      </c>
      <c r="AO35" s="61">
        <v>3.61</v>
      </c>
      <c r="AP35" s="61">
        <v>3.16</v>
      </c>
      <c r="AQ35" s="42" t="e">
        <f>SUM(_CT!$C35:$R35)+AVERAGE(_CT!$S35:$T35)+IF(_CT!$Y35,_CT!$Y35,SUM(_CT!$W35:$X35))+SUM(_CT!$Z35:$AF35)+_CT!$AH35+SUM(_CT!$AL35:$AP35)</f>
        <v>#VALUE!</v>
      </c>
      <c r="AR35" s="38"/>
    </row>
    <row r="36" spans="1:44" ht="16.5">
      <c r="A36" s="47">
        <v>140640007</v>
      </c>
      <c r="B36" s="48" t="s">
        <v>1590</v>
      </c>
      <c r="C36" s="59">
        <v>4.04</v>
      </c>
      <c r="D36" s="59">
        <v>2.73</v>
      </c>
      <c r="E36" s="59">
        <v>5.24</v>
      </c>
      <c r="F36" s="59">
        <v>1.89</v>
      </c>
      <c r="G36" s="59">
        <v>1.73</v>
      </c>
      <c r="H36" s="59" t="s">
        <v>306</v>
      </c>
      <c r="I36" s="59">
        <v>4.75</v>
      </c>
      <c r="J36" s="60">
        <v>3.23</v>
      </c>
      <c r="K36" s="60">
        <v>4.1500000000000004</v>
      </c>
      <c r="L36" s="60" t="s">
        <v>306</v>
      </c>
      <c r="M36" s="59">
        <v>2.15</v>
      </c>
      <c r="N36" s="60">
        <v>3.61</v>
      </c>
      <c r="O36" s="60">
        <v>5.52</v>
      </c>
      <c r="P36" s="60" t="s">
        <v>306</v>
      </c>
      <c r="Q36" s="65" t="s">
        <v>306</v>
      </c>
      <c r="R36" s="65" t="s">
        <v>306</v>
      </c>
      <c r="S36" s="60">
        <v>8.19</v>
      </c>
      <c r="T36" s="60">
        <v>10.08</v>
      </c>
      <c r="U36" s="59">
        <v>12.87</v>
      </c>
      <c r="V36" s="59">
        <v>9.8699999999999992</v>
      </c>
      <c r="W36" s="60" t="s">
        <v>306</v>
      </c>
      <c r="X36" s="60">
        <v>9.01</v>
      </c>
      <c r="Y36" s="60" t="s">
        <v>306</v>
      </c>
      <c r="Z36" s="65" t="s">
        <v>306</v>
      </c>
      <c r="AA36" s="65" t="s">
        <v>306</v>
      </c>
      <c r="AB36" s="65">
        <v>7.81</v>
      </c>
      <c r="AC36" s="65" t="s">
        <v>306</v>
      </c>
      <c r="AD36" s="65" t="s">
        <v>306</v>
      </c>
      <c r="AE36" s="65" t="s">
        <v>306</v>
      </c>
      <c r="AF36" s="65" t="s">
        <v>306</v>
      </c>
      <c r="AG36" s="89">
        <v>12.69</v>
      </c>
      <c r="AH36" s="89">
        <v>14.28</v>
      </c>
      <c r="AI36" s="89">
        <v>16.350000000000001</v>
      </c>
      <c r="AJ36" s="60">
        <v>7.79</v>
      </c>
      <c r="AK36" s="60">
        <v>7.46</v>
      </c>
      <c r="AL36" s="59">
        <v>7.19</v>
      </c>
      <c r="AM36" s="59" t="s">
        <v>306</v>
      </c>
      <c r="AN36" s="59" t="s">
        <v>306</v>
      </c>
      <c r="AO36" s="59">
        <v>3.61</v>
      </c>
      <c r="AP36" s="59">
        <v>3.16</v>
      </c>
      <c r="AQ36" s="49" t="e">
        <f>SUM(_CT!$C36:$R36)+AVERAGE(_CT!$S36:$T36)+IF(_CT!$Y36,_CT!$Y36,SUM(_CT!$W36:$X36))+SUM(_CT!$Z36:$AF36)+_CT!$AH36+SUM(_CT!$AL36:$AP36)</f>
        <v>#VALUE!</v>
      </c>
      <c r="AR36" s="48"/>
    </row>
    <row r="37" spans="1:44" ht="16.5">
      <c r="A37" s="85">
        <v>140310097</v>
      </c>
      <c r="V37" s="57">
        <v>12.77</v>
      </c>
    </row>
    <row r="38" spans="1:44" ht="16.5">
      <c r="A38" s="39">
        <v>140310091</v>
      </c>
      <c r="V38" s="57">
        <v>13.6</v>
      </c>
    </row>
    <row r="39" spans="1:44">
      <c r="A39" t="s">
        <v>1814</v>
      </c>
      <c r="V39" s="57">
        <v>10.27</v>
      </c>
    </row>
  </sheetData>
  <conditionalFormatting sqref="A3:A13 A2:B2 A17:A19">
    <cfRule type="duplicateValues" dxfId="5" priority="3"/>
  </conditionalFormatting>
  <conditionalFormatting sqref="A14:A16">
    <cfRule type="duplicateValues" dxfId="4" priority="2"/>
  </conditionalFormatting>
  <conditionalFormatting sqref="A20:A38">
    <cfRule type="duplicateValues" dxfId="3" priority="1"/>
  </conditionalFormatting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1513A-241D-4E1A-A80B-3CFD9C06EDF6}">
  <sheetPr codeName="Sheet40"/>
  <dimension ref="A1:C437"/>
  <sheetViews>
    <sheetView tabSelected="1" topLeftCell="A399" workbookViewId="0">
      <selection activeCell="B249" sqref="B249:B252"/>
    </sheetView>
  </sheetViews>
  <sheetFormatPr defaultRowHeight="15"/>
  <cols>
    <col min="1" max="1" width="23.28515625" style="80" bestFit="1" customWidth="1"/>
    <col min="2" max="2" width="26.140625" style="80" bestFit="1" customWidth="1"/>
    <col min="3" max="3" width="52.42578125" style="80" bestFit="1" customWidth="1"/>
    <col min="4" max="16384" width="9.140625" style="80"/>
  </cols>
  <sheetData>
    <row r="1" spans="1:3" s="79" customFormat="1">
      <c r="A1" s="79" t="s">
        <v>1774</v>
      </c>
      <c r="B1" s="79" t="s">
        <v>1775</v>
      </c>
      <c r="C1" s="79" t="s">
        <v>1776</v>
      </c>
    </row>
    <row r="2" spans="1:3">
      <c r="A2" s="82" t="s">
        <v>1777</v>
      </c>
      <c r="B2" s="82" t="s">
        <v>0</v>
      </c>
      <c r="C2" s="82" t="s">
        <v>577</v>
      </c>
    </row>
    <row r="3" spans="1:3">
      <c r="A3" s="82" t="s">
        <v>1777</v>
      </c>
      <c r="B3" s="82" t="s">
        <v>1</v>
      </c>
      <c r="C3" s="82" t="s">
        <v>577</v>
      </c>
    </row>
    <row r="4" spans="1:3">
      <c r="A4" s="82" t="s">
        <v>1777</v>
      </c>
      <c r="B4" s="82" t="s">
        <v>2</v>
      </c>
      <c r="C4" s="82" t="s">
        <v>578</v>
      </c>
    </row>
    <row r="5" spans="1:3">
      <c r="A5" s="82" t="s">
        <v>1777</v>
      </c>
      <c r="B5" s="82" t="s">
        <v>3</v>
      </c>
      <c r="C5" s="82" t="s">
        <v>577</v>
      </c>
    </row>
    <row r="6" spans="1:3">
      <c r="A6" s="82" t="s">
        <v>1777</v>
      </c>
      <c r="B6" s="82" t="s">
        <v>4</v>
      </c>
      <c r="C6" s="82" t="s">
        <v>579</v>
      </c>
    </row>
    <row r="7" spans="1:3">
      <c r="A7" s="82" t="s">
        <v>1777</v>
      </c>
      <c r="B7" s="82" t="s">
        <v>63</v>
      </c>
      <c r="C7" s="82" t="s">
        <v>580</v>
      </c>
    </row>
    <row r="8" spans="1:3">
      <c r="A8" s="82" t="s">
        <v>1777</v>
      </c>
      <c r="B8" s="82" t="s">
        <v>64</v>
      </c>
      <c r="C8" s="82" t="s">
        <v>580</v>
      </c>
    </row>
    <row r="9" spans="1:3">
      <c r="A9" s="82" t="s">
        <v>1777</v>
      </c>
      <c r="B9" s="82" t="s">
        <v>65</v>
      </c>
      <c r="C9" s="82" t="s">
        <v>580</v>
      </c>
    </row>
    <row r="10" spans="1:3">
      <c r="A10" s="82" t="s">
        <v>1777</v>
      </c>
      <c r="B10" s="82" t="s">
        <v>66</v>
      </c>
      <c r="C10" s="82" t="s">
        <v>580</v>
      </c>
    </row>
    <row r="11" spans="1:3">
      <c r="A11" s="82" t="s">
        <v>1777</v>
      </c>
      <c r="B11" s="82" t="s">
        <v>67</v>
      </c>
      <c r="C11" s="82" t="s">
        <v>580</v>
      </c>
    </row>
    <row r="12" spans="1:3">
      <c r="A12" s="82" t="s">
        <v>1777</v>
      </c>
      <c r="B12" s="82" t="s">
        <v>68</v>
      </c>
      <c r="C12" s="82" t="s">
        <v>580</v>
      </c>
    </row>
    <row r="13" spans="1:3">
      <c r="A13" s="82" t="s">
        <v>1777</v>
      </c>
      <c r="B13" s="82" t="s">
        <v>69</v>
      </c>
      <c r="C13" s="82" t="s">
        <v>580</v>
      </c>
    </row>
    <row r="14" spans="1:3">
      <c r="A14" s="82" t="s">
        <v>1777</v>
      </c>
      <c r="B14" s="82" t="s">
        <v>70</v>
      </c>
      <c r="C14" s="82" t="s">
        <v>580</v>
      </c>
    </row>
    <row r="15" spans="1:3">
      <c r="A15" s="82" t="s">
        <v>1777</v>
      </c>
      <c r="B15" s="82" t="s">
        <v>5</v>
      </c>
      <c r="C15" s="82" t="s">
        <v>577</v>
      </c>
    </row>
    <row r="16" spans="1:3">
      <c r="A16" s="82" t="s">
        <v>1777</v>
      </c>
      <c r="B16" s="82" t="s">
        <v>6</v>
      </c>
      <c r="C16" s="82" t="s">
        <v>577</v>
      </c>
    </row>
    <row r="17" spans="1:3">
      <c r="A17" s="82" t="s">
        <v>1777</v>
      </c>
      <c r="B17" s="82" t="s">
        <v>7</v>
      </c>
      <c r="C17" s="82" t="s">
        <v>577</v>
      </c>
    </row>
    <row r="18" spans="1:3">
      <c r="A18" s="82" t="s">
        <v>1777</v>
      </c>
      <c r="B18" s="82" t="s">
        <v>8</v>
      </c>
      <c r="C18" s="82" t="s">
        <v>577</v>
      </c>
    </row>
    <row r="19" spans="1:3">
      <c r="A19" s="82" t="s">
        <v>1777</v>
      </c>
      <c r="B19" s="82" t="s">
        <v>9</v>
      </c>
      <c r="C19" s="82" t="s">
        <v>581</v>
      </c>
    </row>
    <row r="20" spans="1:3">
      <c r="A20" s="82" t="s">
        <v>1777</v>
      </c>
      <c r="B20" s="82" t="s">
        <v>10</v>
      </c>
      <c r="C20" s="82" t="s">
        <v>581</v>
      </c>
    </row>
    <row r="21" spans="1:3">
      <c r="A21" s="82" t="s">
        <v>1777</v>
      </c>
      <c r="B21" s="82" t="s">
        <v>11</v>
      </c>
      <c r="C21" s="82" t="s">
        <v>580</v>
      </c>
    </row>
    <row r="22" spans="1:3">
      <c r="A22" s="82" t="s">
        <v>1777</v>
      </c>
      <c r="B22" s="82" t="s">
        <v>12</v>
      </c>
      <c r="C22" s="82" t="s">
        <v>580</v>
      </c>
    </row>
    <row r="23" spans="1:3">
      <c r="A23" s="82" t="s">
        <v>1777</v>
      </c>
      <c r="B23" s="82" t="s">
        <v>302</v>
      </c>
      <c r="C23" s="82" t="s">
        <v>581</v>
      </c>
    </row>
    <row r="24" spans="1:3">
      <c r="A24" s="82" t="s">
        <v>1777</v>
      </c>
      <c r="B24" s="82" t="s">
        <v>13</v>
      </c>
      <c r="C24" s="82" t="s">
        <v>582</v>
      </c>
    </row>
    <row r="25" spans="1:3">
      <c r="A25" s="82" t="s">
        <v>1777</v>
      </c>
      <c r="B25" s="82" t="s">
        <v>321</v>
      </c>
      <c r="C25" s="82" t="s">
        <v>583</v>
      </c>
    </row>
    <row r="26" spans="1:3">
      <c r="A26" s="82" t="s">
        <v>1777</v>
      </c>
      <c r="B26" s="82" t="s">
        <v>305</v>
      </c>
      <c r="C26" s="82" t="s">
        <v>584</v>
      </c>
    </row>
    <row r="27" spans="1:3">
      <c r="A27" s="82" t="s">
        <v>1777</v>
      </c>
      <c r="B27" s="82" t="s">
        <v>14</v>
      </c>
      <c r="C27" s="82" t="s">
        <v>577</v>
      </c>
    </row>
    <row r="28" spans="1:3">
      <c r="A28" s="82" t="s">
        <v>1777</v>
      </c>
      <c r="B28" s="82" t="s">
        <v>15</v>
      </c>
      <c r="C28" s="82" t="s">
        <v>585</v>
      </c>
    </row>
    <row r="29" spans="1:3">
      <c r="A29" s="82" t="s">
        <v>1777</v>
      </c>
      <c r="B29" s="82" t="s">
        <v>16</v>
      </c>
      <c r="C29" s="82" t="s">
        <v>585</v>
      </c>
    </row>
    <row r="30" spans="1:3">
      <c r="A30" s="82" t="s">
        <v>1777</v>
      </c>
      <c r="B30" s="82" t="s">
        <v>17</v>
      </c>
      <c r="C30" s="82" t="s">
        <v>585</v>
      </c>
    </row>
    <row r="31" spans="1:3">
      <c r="A31" s="83" t="s">
        <v>1778</v>
      </c>
      <c r="B31" s="83" t="s">
        <v>0</v>
      </c>
      <c r="C31" s="83" t="s">
        <v>587</v>
      </c>
    </row>
    <row r="32" spans="1:3">
      <c r="A32" s="83" t="s">
        <v>1778</v>
      </c>
      <c r="B32" s="83" t="s">
        <v>2</v>
      </c>
      <c r="C32" s="83" t="s">
        <v>578</v>
      </c>
    </row>
    <row r="33" spans="1:3">
      <c r="A33" s="83" t="s">
        <v>1778</v>
      </c>
      <c r="B33" s="83" t="s">
        <v>13</v>
      </c>
      <c r="C33" s="83" t="s">
        <v>582</v>
      </c>
    </row>
    <row r="34" spans="1:3">
      <c r="A34" s="83" t="s">
        <v>1778</v>
      </c>
      <c r="B34" s="83" t="s">
        <v>321</v>
      </c>
      <c r="C34" s="83" t="s">
        <v>583</v>
      </c>
    </row>
    <row r="35" spans="1:3">
      <c r="A35" s="83" t="s">
        <v>1778</v>
      </c>
      <c r="B35" s="83" t="s">
        <v>305</v>
      </c>
      <c r="C35" s="83" t="s">
        <v>584</v>
      </c>
    </row>
    <row r="36" spans="1:3">
      <c r="A36" s="83" t="s">
        <v>1778</v>
      </c>
      <c r="B36" s="83" t="s">
        <v>14</v>
      </c>
      <c r="C36" s="83" t="s">
        <v>577</v>
      </c>
    </row>
    <row r="37" spans="1:3">
      <c r="A37" s="83" t="s">
        <v>1778</v>
      </c>
      <c r="B37" s="83" t="s">
        <v>15</v>
      </c>
      <c r="C37" s="83" t="s">
        <v>585</v>
      </c>
    </row>
    <row r="38" spans="1:3">
      <c r="A38" s="83" t="s">
        <v>1778</v>
      </c>
      <c r="B38" s="83" t="s">
        <v>16</v>
      </c>
      <c r="C38" s="83" t="s">
        <v>585</v>
      </c>
    </row>
    <row r="39" spans="1:3">
      <c r="A39" s="83" t="s">
        <v>1778</v>
      </c>
      <c r="B39" s="83" t="s">
        <v>17</v>
      </c>
      <c r="C39" s="83" t="s">
        <v>585</v>
      </c>
    </row>
    <row r="40" spans="1:3">
      <c r="A40" s="82" t="s">
        <v>1779</v>
      </c>
      <c r="B40" s="82" t="s">
        <v>0</v>
      </c>
      <c r="C40" s="82" t="s">
        <v>577</v>
      </c>
    </row>
    <row r="41" spans="1:3">
      <c r="A41" s="82" t="s">
        <v>1779</v>
      </c>
      <c r="B41" s="82" t="s">
        <v>113</v>
      </c>
      <c r="C41" s="82" t="s">
        <v>578</v>
      </c>
    </row>
    <row r="42" spans="1:3">
      <c r="A42" s="82" t="s">
        <v>1779</v>
      </c>
      <c r="B42" s="82" t="s">
        <v>114</v>
      </c>
      <c r="C42" s="82" t="s">
        <v>581</v>
      </c>
    </row>
    <row r="43" spans="1:3">
      <c r="A43" s="82" t="s">
        <v>1779</v>
      </c>
      <c r="B43" s="82" t="s">
        <v>115</v>
      </c>
      <c r="C43" s="82" t="s">
        <v>580</v>
      </c>
    </row>
    <row r="44" spans="1:3">
      <c r="A44" s="82" t="s">
        <v>1779</v>
      </c>
      <c r="B44" s="82" t="s">
        <v>116</v>
      </c>
      <c r="C44" s="82" t="s">
        <v>578</v>
      </c>
    </row>
    <row r="45" spans="1:3">
      <c r="A45" s="82" t="s">
        <v>1779</v>
      </c>
      <c r="B45" s="82" t="s">
        <v>122</v>
      </c>
      <c r="C45" s="82" t="s">
        <v>578</v>
      </c>
    </row>
    <row r="46" spans="1:3">
      <c r="A46" s="82" t="s">
        <v>1779</v>
      </c>
      <c r="B46" s="82" t="s">
        <v>13</v>
      </c>
      <c r="C46" s="82" t="s">
        <v>582</v>
      </c>
    </row>
    <row r="47" spans="1:3">
      <c r="A47" s="82" t="s">
        <v>1779</v>
      </c>
      <c r="B47" s="82" t="s">
        <v>321</v>
      </c>
      <c r="C47" s="82" t="s">
        <v>583</v>
      </c>
    </row>
    <row r="48" spans="1:3">
      <c r="A48" s="82" t="s">
        <v>1779</v>
      </c>
      <c r="B48" s="82" t="s">
        <v>305</v>
      </c>
      <c r="C48" s="82" t="s">
        <v>584</v>
      </c>
    </row>
    <row r="49" spans="1:3">
      <c r="A49" s="82" t="s">
        <v>1779</v>
      </c>
      <c r="B49" s="82" t="s">
        <v>14</v>
      </c>
      <c r="C49" s="82" t="s">
        <v>577</v>
      </c>
    </row>
    <row r="50" spans="1:3">
      <c r="A50" s="82" t="s">
        <v>1779</v>
      </c>
      <c r="B50" s="82" t="s">
        <v>15</v>
      </c>
      <c r="C50" s="82" t="s">
        <v>585</v>
      </c>
    </row>
    <row r="51" spans="1:3">
      <c r="A51" s="82" t="s">
        <v>1779</v>
      </c>
      <c r="B51" s="82" t="s">
        <v>16</v>
      </c>
      <c r="C51" s="82" t="s">
        <v>585</v>
      </c>
    </row>
    <row r="52" spans="1:3">
      <c r="A52" s="82" t="s">
        <v>1779</v>
      </c>
      <c r="B52" s="82" t="s">
        <v>17</v>
      </c>
      <c r="C52" s="82" t="s">
        <v>585</v>
      </c>
    </row>
    <row r="53" spans="1:3">
      <c r="A53" s="83" t="s">
        <v>1780</v>
      </c>
      <c r="B53" s="83" t="s">
        <v>0</v>
      </c>
      <c r="C53" s="83" t="s">
        <v>587</v>
      </c>
    </row>
    <row r="54" spans="1:3">
      <c r="A54" s="83" t="s">
        <v>1780</v>
      </c>
      <c r="B54" s="83" t="s">
        <v>101</v>
      </c>
      <c r="C54" s="83" t="s">
        <v>578</v>
      </c>
    </row>
    <row r="55" spans="1:3">
      <c r="A55" s="83" t="s">
        <v>1780</v>
      </c>
      <c r="B55" s="83" t="s">
        <v>126</v>
      </c>
      <c r="C55" s="83" t="s">
        <v>578</v>
      </c>
    </row>
    <row r="56" spans="1:3">
      <c r="A56" s="83" t="s">
        <v>1780</v>
      </c>
      <c r="B56" s="83" t="s">
        <v>588</v>
      </c>
      <c r="C56" s="83" t="s">
        <v>578</v>
      </c>
    </row>
    <row r="57" spans="1:3">
      <c r="A57" s="83" t="s">
        <v>1780</v>
      </c>
      <c r="B57" s="83" t="s">
        <v>589</v>
      </c>
      <c r="C57" s="83" t="s">
        <v>578</v>
      </c>
    </row>
    <row r="58" spans="1:3">
      <c r="A58" s="83" t="s">
        <v>1780</v>
      </c>
      <c r="B58" s="83" t="s">
        <v>13</v>
      </c>
      <c r="C58" s="83" t="s">
        <v>582</v>
      </c>
    </row>
    <row r="59" spans="1:3">
      <c r="A59" s="83" t="s">
        <v>1780</v>
      </c>
      <c r="B59" s="83" t="s">
        <v>321</v>
      </c>
      <c r="C59" s="83" t="s">
        <v>583</v>
      </c>
    </row>
    <row r="60" spans="1:3">
      <c r="A60" s="83" t="s">
        <v>1780</v>
      </c>
      <c r="B60" s="83" t="s">
        <v>305</v>
      </c>
      <c r="C60" s="83" t="s">
        <v>584</v>
      </c>
    </row>
    <row r="61" spans="1:3">
      <c r="A61" s="83" t="s">
        <v>1780</v>
      </c>
      <c r="B61" s="83" t="s">
        <v>14</v>
      </c>
      <c r="C61" s="83" t="s">
        <v>577</v>
      </c>
    </row>
    <row r="62" spans="1:3">
      <c r="A62" s="83" t="s">
        <v>1780</v>
      </c>
      <c r="B62" s="83" t="s">
        <v>15</v>
      </c>
      <c r="C62" s="83" t="s">
        <v>585</v>
      </c>
    </row>
    <row r="63" spans="1:3">
      <c r="A63" s="83" t="s">
        <v>1780</v>
      </c>
      <c r="B63" s="83" t="s">
        <v>16</v>
      </c>
      <c r="C63" s="83" t="s">
        <v>585</v>
      </c>
    </row>
    <row r="64" spans="1:3">
      <c r="A64" s="83" t="s">
        <v>1780</v>
      </c>
      <c r="B64" s="83" t="s">
        <v>17</v>
      </c>
      <c r="C64" s="83" t="s">
        <v>585</v>
      </c>
    </row>
    <row r="65" spans="1:3">
      <c r="A65" s="82" t="s">
        <v>1781</v>
      </c>
      <c r="B65" s="82" t="s">
        <v>0</v>
      </c>
      <c r="C65" s="82" t="s">
        <v>587</v>
      </c>
    </row>
    <row r="66" spans="1:3">
      <c r="A66" s="82" t="s">
        <v>1781</v>
      </c>
      <c r="B66" s="82" t="s">
        <v>2</v>
      </c>
      <c r="C66" s="82" t="s">
        <v>578</v>
      </c>
    </row>
    <row r="67" spans="1:3">
      <c r="A67" s="82" t="s">
        <v>1781</v>
      </c>
      <c r="B67" s="82" t="s">
        <v>588</v>
      </c>
      <c r="C67" s="82" t="s">
        <v>578</v>
      </c>
    </row>
    <row r="68" spans="1:3">
      <c r="A68" s="82" t="s">
        <v>1781</v>
      </c>
      <c r="B68" s="82" t="s">
        <v>589</v>
      </c>
      <c r="C68" s="82" t="s">
        <v>578</v>
      </c>
    </row>
    <row r="69" spans="1:3">
      <c r="A69" s="82" t="s">
        <v>1781</v>
      </c>
      <c r="B69" s="82" t="s">
        <v>13</v>
      </c>
      <c r="C69" s="82" t="s">
        <v>582</v>
      </c>
    </row>
    <row r="70" spans="1:3">
      <c r="A70" s="82" t="s">
        <v>1781</v>
      </c>
      <c r="B70" s="82" t="s">
        <v>321</v>
      </c>
      <c r="C70" s="82" t="s">
        <v>583</v>
      </c>
    </row>
    <row r="71" spans="1:3">
      <c r="A71" s="82" t="s">
        <v>1781</v>
      </c>
      <c r="B71" s="82" t="s">
        <v>305</v>
      </c>
      <c r="C71" s="82" t="s">
        <v>584</v>
      </c>
    </row>
    <row r="72" spans="1:3">
      <c r="A72" s="82" t="s">
        <v>1781</v>
      </c>
      <c r="B72" s="82" t="s">
        <v>14</v>
      </c>
      <c r="C72" s="82" t="s">
        <v>577</v>
      </c>
    </row>
    <row r="73" spans="1:3">
      <c r="A73" s="82" t="s">
        <v>1781</v>
      </c>
      <c r="B73" s="82" t="s">
        <v>15</v>
      </c>
      <c r="C73" s="82" t="s">
        <v>585</v>
      </c>
    </row>
    <row r="74" spans="1:3">
      <c r="A74" s="82" t="s">
        <v>1781</v>
      </c>
      <c r="B74" s="82" t="s">
        <v>16</v>
      </c>
      <c r="C74" s="82" t="s">
        <v>585</v>
      </c>
    </row>
    <row r="75" spans="1:3">
      <c r="A75" s="82" t="s">
        <v>1781</v>
      </c>
      <c r="B75" s="82" t="s">
        <v>17</v>
      </c>
      <c r="C75" s="82" t="s">
        <v>585</v>
      </c>
    </row>
    <row r="76" spans="1:3">
      <c r="A76" s="83" t="s">
        <v>1782</v>
      </c>
      <c r="B76" s="83" t="s">
        <v>0</v>
      </c>
      <c r="C76" s="83" t="s">
        <v>578</v>
      </c>
    </row>
    <row r="77" spans="1:3">
      <c r="A77" s="83" t="s">
        <v>1782</v>
      </c>
      <c r="B77" s="83" t="s">
        <v>131</v>
      </c>
      <c r="C77" s="83" t="s">
        <v>578</v>
      </c>
    </row>
    <row r="78" spans="1:3">
      <c r="A78" s="83" t="s">
        <v>1782</v>
      </c>
      <c r="B78" s="83" t="s">
        <v>2</v>
      </c>
      <c r="C78" s="83" t="s">
        <v>578</v>
      </c>
    </row>
    <row r="79" spans="1:3">
      <c r="A79" s="83" t="s">
        <v>1782</v>
      </c>
      <c r="B79" s="83" t="s">
        <v>608</v>
      </c>
      <c r="C79" s="83" t="s">
        <v>578</v>
      </c>
    </row>
    <row r="80" spans="1:3">
      <c r="A80" s="83" t="s">
        <v>1782</v>
      </c>
      <c r="B80" s="83" t="s">
        <v>13</v>
      </c>
      <c r="C80" s="83" t="s">
        <v>582</v>
      </c>
    </row>
    <row r="81" spans="1:3">
      <c r="A81" s="83" t="s">
        <v>1782</v>
      </c>
      <c r="B81" s="83" t="s">
        <v>321</v>
      </c>
      <c r="C81" s="83" t="s">
        <v>583</v>
      </c>
    </row>
    <row r="82" spans="1:3">
      <c r="A82" s="83" t="s">
        <v>1782</v>
      </c>
      <c r="B82" s="83" t="s">
        <v>305</v>
      </c>
      <c r="C82" s="83" t="s">
        <v>584</v>
      </c>
    </row>
    <row r="83" spans="1:3">
      <c r="A83" s="83" t="s">
        <v>1782</v>
      </c>
      <c r="B83" s="83" t="s">
        <v>14</v>
      </c>
      <c r="C83" s="83" t="s">
        <v>577</v>
      </c>
    </row>
    <row r="84" spans="1:3">
      <c r="A84" s="83" t="s">
        <v>1782</v>
      </c>
      <c r="B84" s="83" t="s">
        <v>15</v>
      </c>
      <c r="C84" s="83" t="s">
        <v>585</v>
      </c>
    </row>
    <row r="85" spans="1:3">
      <c r="A85" s="83" t="s">
        <v>1782</v>
      </c>
      <c r="B85" s="83" t="s">
        <v>16</v>
      </c>
      <c r="C85" s="83" t="s">
        <v>585</v>
      </c>
    </row>
    <row r="86" spans="1:3">
      <c r="A86" s="83" t="s">
        <v>1782</v>
      </c>
      <c r="B86" s="83" t="s">
        <v>17</v>
      </c>
      <c r="C86" s="83" t="s">
        <v>585</v>
      </c>
    </row>
    <row r="87" spans="1:3">
      <c r="A87" s="82" t="s">
        <v>1783</v>
      </c>
      <c r="B87" s="82" t="s">
        <v>0</v>
      </c>
      <c r="C87" s="82" t="s">
        <v>578</v>
      </c>
    </row>
    <row r="88" spans="1:3">
      <c r="A88" s="82" t="s">
        <v>1783</v>
      </c>
      <c r="B88" s="82" t="s">
        <v>2</v>
      </c>
      <c r="C88" s="82" t="s">
        <v>578</v>
      </c>
    </row>
    <row r="89" spans="1:3">
      <c r="A89" s="82" t="s">
        <v>1783</v>
      </c>
      <c r="B89" s="82" t="s">
        <v>184</v>
      </c>
      <c r="C89" s="82" t="s">
        <v>578</v>
      </c>
    </row>
    <row r="90" spans="1:3">
      <c r="A90" s="82" t="s">
        <v>1783</v>
      </c>
      <c r="B90" s="82" t="s">
        <v>183</v>
      </c>
      <c r="C90" s="82" t="s">
        <v>578</v>
      </c>
    </row>
    <row r="91" spans="1:3">
      <c r="A91" s="82" t="s">
        <v>1783</v>
      </c>
      <c r="B91" s="82" t="s">
        <v>144</v>
      </c>
      <c r="C91" s="82" t="s">
        <v>577</v>
      </c>
    </row>
    <row r="92" spans="1:3">
      <c r="A92" s="82" t="s">
        <v>1783</v>
      </c>
      <c r="B92" s="82" t="s">
        <v>13</v>
      </c>
      <c r="C92" s="82" t="s">
        <v>578</v>
      </c>
    </row>
    <row r="93" spans="1:3">
      <c r="A93" s="82" t="s">
        <v>1783</v>
      </c>
      <c r="B93" s="82" t="s">
        <v>321</v>
      </c>
      <c r="C93" s="82" t="s">
        <v>583</v>
      </c>
    </row>
    <row r="94" spans="1:3">
      <c r="A94" s="82" t="s">
        <v>1783</v>
      </c>
      <c r="B94" s="82" t="s">
        <v>305</v>
      </c>
      <c r="C94" s="82" t="s">
        <v>584</v>
      </c>
    </row>
    <row r="95" spans="1:3">
      <c r="A95" s="82" t="s">
        <v>1783</v>
      </c>
      <c r="B95" s="82" t="s">
        <v>14</v>
      </c>
      <c r="C95" s="82" t="s">
        <v>577</v>
      </c>
    </row>
    <row r="96" spans="1:3">
      <c r="A96" s="82" t="s">
        <v>1783</v>
      </c>
      <c r="B96" s="82" t="s">
        <v>15</v>
      </c>
      <c r="C96" s="82" t="s">
        <v>585</v>
      </c>
    </row>
    <row r="97" spans="1:3">
      <c r="A97" s="82" t="s">
        <v>1783</v>
      </c>
      <c r="B97" s="82" t="s">
        <v>16</v>
      </c>
      <c r="C97" s="82" t="s">
        <v>585</v>
      </c>
    </row>
    <row r="98" spans="1:3">
      <c r="A98" s="82" t="s">
        <v>1783</v>
      </c>
      <c r="B98" s="82" t="s">
        <v>17</v>
      </c>
      <c r="C98" s="82" t="s">
        <v>585</v>
      </c>
    </row>
    <row r="99" spans="1:3">
      <c r="A99" s="83" t="s">
        <v>1784</v>
      </c>
      <c r="B99" s="83" t="s">
        <v>0</v>
      </c>
      <c r="C99" s="83" t="s">
        <v>578</v>
      </c>
    </row>
    <row r="100" spans="1:3">
      <c r="A100" s="83" t="s">
        <v>1784</v>
      </c>
      <c r="B100" s="83" t="s">
        <v>145</v>
      </c>
      <c r="C100" s="83" t="s">
        <v>578</v>
      </c>
    </row>
    <row r="101" spans="1:3">
      <c r="A101" s="83" t="s">
        <v>1784</v>
      </c>
      <c r="B101" s="83" t="s">
        <v>146</v>
      </c>
      <c r="C101" s="83" t="s">
        <v>578</v>
      </c>
    </row>
    <row r="102" spans="1:3">
      <c r="A102" s="83" t="s">
        <v>1784</v>
      </c>
      <c r="B102" s="83" t="s">
        <v>2</v>
      </c>
      <c r="C102" s="83" t="s">
        <v>578</v>
      </c>
    </row>
    <row r="103" spans="1:3">
      <c r="A103" s="83" t="s">
        <v>1784</v>
      </c>
      <c r="B103" s="83" t="s">
        <v>147</v>
      </c>
      <c r="C103" s="83" t="s">
        <v>581</v>
      </c>
    </row>
    <row r="104" spans="1:3">
      <c r="A104" s="83" t="s">
        <v>1784</v>
      </c>
      <c r="B104" s="83" t="s">
        <v>588</v>
      </c>
      <c r="C104" s="83" t="s">
        <v>578</v>
      </c>
    </row>
    <row r="105" spans="1:3">
      <c r="A105" s="83" t="s">
        <v>1784</v>
      </c>
      <c r="B105" s="83" t="s">
        <v>301</v>
      </c>
      <c r="C105" s="83" t="s">
        <v>1325</v>
      </c>
    </row>
    <row r="106" spans="1:3">
      <c r="A106" s="83" t="s">
        <v>1784</v>
      </c>
      <c r="B106" s="83" t="s">
        <v>13</v>
      </c>
      <c r="C106" s="83" t="s">
        <v>582</v>
      </c>
    </row>
    <row r="107" spans="1:3">
      <c r="A107" s="83" t="s">
        <v>1784</v>
      </c>
      <c r="B107" s="83" t="s">
        <v>321</v>
      </c>
      <c r="C107" s="83" t="s">
        <v>583</v>
      </c>
    </row>
    <row r="108" spans="1:3">
      <c r="A108" s="83" t="s">
        <v>1784</v>
      </c>
      <c r="B108" s="83" t="s">
        <v>305</v>
      </c>
      <c r="C108" s="83" t="s">
        <v>584</v>
      </c>
    </row>
    <row r="109" spans="1:3">
      <c r="A109" s="83" t="s">
        <v>1784</v>
      </c>
      <c r="B109" s="83" t="s">
        <v>14</v>
      </c>
      <c r="C109" s="83" t="s">
        <v>577</v>
      </c>
    </row>
    <row r="110" spans="1:3">
      <c r="A110" s="83" t="s">
        <v>1784</v>
      </c>
      <c r="B110" s="83" t="s">
        <v>15</v>
      </c>
      <c r="C110" s="83" t="s">
        <v>585</v>
      </c>
    </row>
    <row r="111" spans="1:3">
      <c r="A111" s="83" t="s">
        <v>1784</v>
      </c>
      <c r="B111" s="83" t="s">
        <v>16</v>
      </c>
      <c r="C111" s="83" t="s">
        <v>585</v>
      </c>
    </row>
    <row r="112" spans="1:3">
      <c r="A112" s="83" t="s">
        <v>1784</v>
      </c>
      <c r="B112" s="83" t="s">
        <v>17</v>
      </c>
      <c r="C112" s="83" t="s">
        <v>585</v>
      </c>
    </row>
    <row r="113" spans="1:3">
      <c r="A113" s="82" t="s">
        <v>1785</v>
      </c>
      <c r="B113" s="82" t="s">
        <v>0</v>
      </c>
      <c r="C113" s="82" t="s">
        <v>587</v>
      </c>
    </row>
    <row r="114" spans="1:3">
      <c r="A114" s="82" t="s">
        <v>1785</v>
      </c>
      <c r="B114" s="82" t="s">
        <v>304</v>
      </c>
      <c r="C114" s="82" t="s">
        <v>577</v>
      </c>
    </row>
    <row r="115" spans="1:3">
      <c r="A115" s="82" t="s">
        <v>1785</v>
      </c>
      <c r="B115" s="82" t="s">
        <v>303</v>
      </c>
      <c r="C115" s="82" t="s">
        <v>1327</v>
      </c>
    </row>
    <row r="116" spans="1:3">
      <c r="A116" s="82" t="s">
        <v>1785</v>
      </c>
      <c r="B116" s="82" t="s">
        <v>145</v>
      </c>
      <c r="C116" s="82" t="s">
        <v>1327</v>
      </c>
    </row>
    <row r="117" spans="1:3">
      <c r="A117" s="82" t="s">
        <v>1785</v>
      </c>
      <c r="B117" s="82" t="s">
        <v>1326</v>
      </c>
      <c r="C117" s="82" t="s">
        <v>1327</v>
      </c>
    </row>
    <row r="118" spans="1:3">
      <c r="A118" s="82" t="s">
        <v>1785</v>
      </c>
      <c r="B118" s="82" t="s">
        <v>13</v>
      </c>
      <c r="C118" s="82" t="s">
        <v>582</v>
      </c>
    </row>
    <row r="119" spans="1:3">
      <c r="A119" s="82" t="s">
        <v>1785</v>
      </c>
      <c r="B119" s="82" t="s">
        <v>321</v>
      </c>
      <c r="C119" s="82" t="s">
        <v>583</v>
      </c>
    </row>
    <row r="120" spans="1:3">
      <c r="A120" s="82" t="s">
        <v>1785</v>
      </c>
      <c r="B120" s="82" t="s">
        <v>305</v>
      </c>
      <c r="C120" s="82" t="s">
        <v>584</v>
      </c>
    </row>
    <row r="121" spans="1:3">
      <c r="A121" s="82" t="s">
        <v>1785</v>
      </c>
      <c r="B121" s="82" t="s">
        <v>14</v>
      </c>
      <c r="C121" s="82" t="s">
        <v>577</v>
      </c>
    </row>
    <row r="122" spans="1:3">
      <c r="A122" s="82" t="s">
        <v>1785</v>
      </c>
      <c r="B122" s="82" t="s">
        <v>15</v>
      </c>
      <c r="C122" s="82" t="s">
        <v>585</v>
      </c>
    </row>
    <row r="123" spans="1:3">
      <c r="A123" s="82" t="s">
        <v>1785</v>
      </c>
      <c r="B123" s="82" t="s">
        <v>16</v>
      </c>
      <c r="C123" s="82" t="s">
        <v>585</v>
      </c>
    </row>
    <row r="124" spans="1:3">
      <c r="A124" s="82" t="s">
        <v>1785</v>
      </c>
      <c r="B124" s="82" t="s">
        <v>17</v>
      </c>
      <c r="C124" s="82" t="s">
        <v>585</v>
      </c>
    </row>
    <row r="125" spans="1:3">
      <c r="A125" s="83" t="s">
        <v>1786</v>
      </c>
      <c r="B125" s="83" t="s">
        <v>0</v>
      </c>
      <c r="C125" s="83" t="s">
        <v>1327</v>
      </c>
    </row>
    <row r="126" spans="1:3">
      <c r="A126" s="83" t="s">
        <v>1786</v>
      </c>
      <c r="B126" s="83" t="s">
        <v>2</v>
      </c>
      <c r="C126" s="83" t="s">
        <v>578</v>
      </c>
    </row>
    <row r="127" spans="1:3">
      <c r="A127" s="83" t="s">
        <v>1786</v>
      </c>
      <c r="B127" s="83" t="s">
        <v>13</v>
      </c>
      <c r="C127" s="83" t="s">
        <v>582</v>
      </c>
    </row>
    <row r="128" spans="1:3">
      <c r="A128" s="83" t="s">
        <v>1786</v>
      </c>
      <c r="B128" s="83" t="s">
        <v>321</v>
      </c>
      <c r="C128" s="83" t="s">
        <v>583</v>
      </c>
    </row>
    <row r="129" spans="1:3">
      <c r="A129" s="83" t="s">
        <v>1786</v>
      </c>
      <c r="B129" s="83" t="s">
        <v>305</v>
      </c>
      <c r="C129" s="83" t="s">
        <v>584</v>
      </c>
    </row>
    <row r="130" spans="1:3">
      <c r="A130" s="83" t="s">
        <v>1786</v>
      </c>
      <c r="B130" s="83" t="s">
        <v>14</v>
      </c>
      <c r="C130" s="83" t="s">
        <v>577</v>
      </c>
    </row>
    <row r="131" spans="1:3">
      <c r="A131" s="83" t="s">
        <v>1786</v>
      </c>
      <c r="B131" s="83" t="s">
        <v>15</v>
      </c>
      <c r="C131" s="83" t="s">
        <v>585</v>
      </c>
    </row>
    <row r="132" spans="1:3">
      <c r="A132" s="83" t="s">
        <v>1786</v>
      </c>
      <c r="B132" s="83" t="s">
        <v>16</v>
      </c>
      <c r="C132" s="83" t="s">
        <v>585</v>
      </c>
    </row>
    <row r="133" spans="1:3">
      <c r="A133" s="83" t="s">
        <v>1786</v>
      </c>
      <c r="B133" s="83" t="s">
        <v>17</v>
      </c>
      <c r="C133" s="83" t="s">
        <v>585</v>
      </c>
    </row>
    <row r="134" spans="1:3">
      <c r="A134" s="82" t="s">
        <v>1787</v>
      </c>
      <c r="B134" s="82" t="s">
        <v>0</v>
      </c>
      <c r="C134" s="82" t="s">
        <v>587</v>
      </c>
    </row>
    <row r="135" spans="1:3">
      <c r="A135" s="82" t="s">
        <v>1787</v>
      </c>
      <c r="B135" s="82" t="s">
        <v>304</v>
      </c>
      <c r="C135" s="82" t="s">
        <v>1331</v>
      </c>
    </row>
    <row r="136" spans="1:3">
      <c r="A136" s="82" t="s">
        <v>1787</v>
      </c>
      <c r="B136" s="82" t="s">
        <v>445</v>
      </c>
      <c r="C136" s="82" t="s">
        <v>1332</v>
      </c>
    </row>
    <row r="137" spans="1:3">
      <c r="A137" s="82" t="s">
        <v>1787</v>
      </c>
      <c r="B137" s="82" t="s">
        <v>412</v>
      </c>
      <c r="C137" s="82" t="s">
        <v>1327</v>
      </c>
    </row>
    <row r="138" spans="1:3">
      <c r="A138" s="82" t="s">
        <v>1787</v>
      </c>
      <c r="B138" s="82" t="s">
        <v>1812</v>
      </c>
      <c r="C138" s="82" t="s">
        <v>1332</v>
      </c>
    </row>
    <row r="139" spans="1:3">
      <c r="A139" s="82" t="s">
        <v>1787</v>
      </c>
      <c r="B139" s="82" t="s">
        <v>318</v>
      </c>
      <c r="C139" s="82" t="s">
        <v>1330</v>
      </c>
    </row>
    <row r="140" spans="1:3">
      <c r="A140" s="82" t="s">
        <v>1787</v>
      </c>
      <c r="B140" s="82" t="s">
        <v>319</v>
      </c>
      <c r="C140" s="82" t="s">
        <v>1329</v>
      </c>
    </row>
    <row r="141" spans="1:3">
      <c r="A141" s="82" t="s">
        <v>1787</v>
      </c>
      <c r="B141" s="82" t="s">
        <v>320</v>
      </c>
      <c r="C141" s="82" t="s">
        <v>583</v>
      </c>
    </row>
    <row r="142" spans="1:3">
      <c r="A142" s="82" t="s">
        <v>1787</v>
      </c>
      <c r="B142" s="82" t="s">
        <v>321</v>
      </c>
      <c r="C142" s="82" t="s">
        <v>1327</v>
      </c>
    </row>
    <row r="143" spans="1:3">
      <c r="A143" s="82" t="s">
        <v>1787</v>
      </c>
      <c r="B143" s="82" t="s">
        <v>305</v>
      </c>
      <c r="C143" s="82" t="s">
        <v>584</v>
      </c>
    </row>
    <row r="144" spans="1:3">
      <c r="A144" s="82" t="s">
        <v>1787</v>
      </c>
      <c r="B144" s="82" t="s">
        <v>13</v>
      </c>
      <c r="C144" s="82" t="s">
        <v>582</v>
      </c>
    </row>
    <row r="145" spans="1:3">
      <c r="A145" s="82" t="s">
        <v>1787</v>
      </c>
      <c r="B145" s="82" t="s">
        <v>446</v>
      </c>
      <c r="C145" s="82" t="s">
        <v>1328</v>
      </c>
    </row>
    <row r="146" spans="1:3">
      <c r="A146" s="82" t="s">
        <v>1787</v>
      </c>
      <c r="B146" s="82" t="s">
        <v>14</v>
      </c>
      <c r="C146" s="82" t="s">
        <v>577</v>
      </c>
    </row>
    <row r="147" spans="1:3">
      <c r="A147" s="82" t="s">
        <v>1787</v>
      </c>
      <c r="B147" s="82" t="s">
        <v>15</v>
      </c>
      <c r="C147" s="82" t="s">
        <v>585</v>
      </c>
    </row>
    <row r="148" spans="1:3">
      <c r="A148" s="82" t="s">
        <v>1787</v>
      </c>
      <c r="B148" s="82" t="s">
        <v>16</v>
      </c>
      <c r="C148" s="82" t="s">
        <v>585</v>
      </c>
    </row>
    <row r="149" spans="1:3">
      <c r="A149" s="82" t="s">
        <v>1787</v>
      </c>
      <c r="B149" s="82" t="s">
        <v>17</v>
      </c>
      <c r="C149" s="82" t="s">
        <v>585</v>
      </c>
    </row>
    <row r="150" spans="1:3">
      <c r="A150" s="83" t="s">
        <v>1788</v>
      </c>
      <c r="B150" s="83" t="s">
        <v>0</v>
      </c>
      <c r="C150" s="83" t="s">
        <v>587</v>
      </c>
    </row>
    <row r="151" spans="1:3">
      <c r="A151" s="83" t="s">
        <v>1788</v>
      </c>
      <c r="B151" s="83" t="s">
        <v>409</v>
      </c>
      <c r="C151" s="83" t="s">
        <v>1331</v>
      </c>
    </row>
    <row r="152" spans="1:3">
      <c r="A152" s="83" t="s">
        <v>1788</v>
      </c>
      <c r="B152" s="83" t="s">
        <v>410</v>
      </c>
      <c r="C152" s="83" t="s">
        <v>1329</v>
      </c>
    </row>
    <row r="153" spans="1:3">
      <c r="A153" s="83" t="s">
        <v>1788</v>
      </c>
      <c r="B153" s="83" t="s">
        <v>411</v>
      </c>
      <c r="C153" s="83" t="s">
        <v>1334</v>
      </c>
    </row>
    <row r="154" spans="1:3">
      <c r="A154" s="83" t="s">
        <v>1788</v>
      </c>
      <c r="B154" s="83" t="s">
        <v>321</v>
      </c>
      <c r="C154" s="83" t="s">
        <v>583</v>
      </c>
    </row>
    <row r="155" spans="1:3">
      <c r="A155" s="83" t="s">
        <v>1788</v>
      </c>
      <c r="B155" s="83" t="s">
        <v>305</v>
      </c>
      <c r="C155" s="83" t="s">
        <v>584</v>
      </c>
    </row>
    <row r="156" spans="1:3">
      <c r="A156" s="83" t="s">
        <v>1788</v>
      </c>
      <c r="B156" s="83" t="s">
        <v>13</v>
      </c>
      <c r="C156" s="83" t="s">
        <v>582</v>
      </c>
    </row>
    <row r="157" spans="1:3">
      <c r="A157" s="83" t="s">
        <v>1788</v>
      </c>
      <c r="B157" s="83" t="s">
        <v>14</v>
      </c>
      <c r="C157" s="83" t="s">
        <v>577</v>
      </c>
    </row>
    <row r="158" spans="1:3">
      <c r="A158" s="83" t="s">
        <v>1788</v>
      </c>
      <c r="B158" s="83" t="s">
        <v>15</v>
      </c>
      <c r="C158" s="83" t="s">
        <v>585</v>
      </c>
    </row>
    <row r="159" spans="1:3">
      <c r="A159" s="83" t="s">
        <v>1788</v>
      </c>
      <c r="B159" s="83" t="s">
        <v>16</v>
      </c>
      <c r="C159" s="83" t="s">
        <v>585</v>
      </c>
    </row>
    <row r="160" spans="1:3">
      <c r="A160" s="83" t="s">
        <v>1788</v>
      </c>
      <c r="B160" s="83" t="s">
        <v>17</v>
      </c>
      <c r="C160" s="83" t="s">
        <v>585</v>
      </c>
    </row>
    <row r="161" spans="1:3">
      <c r="A161" s="82" t="s">
        <v>1789</v>
      </c>
      <c r="B161" s="82" t="s">
        <v>0</v>
      </c>
      <c r="C161" s="82" t="s">
        <v>587</v>
      </c>
    </row>
    <row r="162" spans="1:3">
      <c r="A162" s="82" t="s">
        <v>1789</v>
      </c>
      <c r="B162" s="82" t="s">
        <v>2</v>
      </c>
      <c r="C162" s="82" t="s">
        <v>1327</v>
      </c>
    </row>
    <row r="163" spans="1:3">
      <c r="A163" s="82" t="s">
        <v>1789</v>
      </c>
      <c r="B163" s="82" t="s">
        <v>13</v>
      </c>
      <c r="C163" s="82" t="s">
        <v>582</v>
      </c>
    </row>
    <row r="164" spans="1:3">
      <c r="A164" s="82" t="s">
        <v>1789</v>
      </c>
      <c r="B164" s="82" t="s">
        <v>321</v>
      </c>
      <c r="C164" s="82" t="s">
        <v>583</v>
      </c>
    </row>
    <row r="165" spans="1:3">
      <c r="A165" s="82" t="s">
        <v>1789</v>
      </c>
      <c r="B165" s="82" t="s">
        <v>305</v>
      </c>
      <c r="C165" s="82" t="s">
        <v>584</v>
      </c>
    </row>
    <row r="166" spans="1:3">
      <c r="A166" s="82" t="s">
        <v>1789</v>
      </c>
      <c r="B166" s="82" t="s">
        <v>14</v>
      </c>
      <c r="C166" s="82" t="s">
        <v>577</v>
      </c>
    </row>
    <row r="167" spans="1:3">
      <c r="A167" s="82" t="s">
        <v>1789</v>
      </c>
      <c r="B167" s="82" t="s">
        <v>15</v>
      </c>
      <c r="C167" s="82" t="s">
        <v>585</v>
      </c>
    </row>
    <row r="168" spans="1:3">
      <c r="A168" s="82" t="s">
        <v>1789</v>
      </c>
      <c r="B168" s="82" t="s">
        <v>16</v>
      </c>
      <c r="C168" s="82" t="s">
        <v>585</v>
      </c>
    </row>
    <row r="169" spans="1:3">
      <c r="A169" s="82" t="s">
        <v>1789</v>
      </c>
      <c r="B169" s="82" t="s">
        <v>17</v>
      </c>
      <c r="C169" s="82" t="s">
        <v>585</v>
      </c>
    </row>
    <row r="170" spans="1:3">
      <c r="A170" s="83" t="s">
        <v>1790</v>
      </c>
      <c r="B170" s="83" t="s">
        <v>0</v>
      </c>
      <c r="C170" s="83" t="s">
        <v>587</v>
      </c>
    </row>
    <row r="171" spans="1:3">
      <c r="A171" s="83" t="s">
        <v>1790</v>
      </c>
      <c r="B171" s="83" t="s">
        <v>412</v>
      </c>
      <c r="C171" s="83" t="s">
        <v>1331</v>
      </c>
    </row>
    <row r="172" spans="1:3">
      <c r="A172" s="83" t="s">
        <v>1790</v>
      </c>
      <c r="B172" s="83" t="s">
        <v>409</v>
      </c>
      <c r="C172" s="83" t="s">
        <v>1331</v>
      </c>
    </row>
    <row r="173" spans="1:3">
      <c r="A173" s="83" t="s">
        <v>1790</v>
      </c>
      <c r="B173" s="83" t="s">
        <v>318</v>
      </c>
      <c r="C173" s="83" t="s">
        <v>579</v>
      </c>
    </row>
    <row r="174" spans="1:3">
      <c r="A174" s="83" t="s">
        <v>1790</v>
      </c>
      <c r="B174" s="83" t="s">
        <v>414</v>
      </c>
      <c r="C174" s="83" t="s">
        <v>579</v>
      </c>
    </row>
    <row r="175" spans="1:3">
      <c r="A175" s="83" t="s">
        <v>1790</v>
      </c>
      <c r="B175" s="83" t="s">
        <v>415</v>
      </c>
      <c r="C175" s="83" t="s">
        <v>585</v>
      </c>
    </row>
    <row r="176" spans="1:3">
      <c r="A176" s="83" t="s">
        <v>1790</v>
      </c>
      <c r="B176" s="83" t="s">
        <v>416</v>
      </c>
      <c r="C176" s="83" t="s">
        <v>1329</v>
      </c>
    </row>
    <row r="177" spans="1:3">
      <c r="A177" s="83" t="s">
        <v>1790</v>
      </c>
      <c r="B177" s="83" t="s">
        <v>321</v>
      </c>
      <c r="C177" s="83" t="s">
        <v>583</v>
      </c>
    </row>
    <row r="178" spans="1:3">
      <c r="A178" s="83" t="s">
        <v>1790</v>
      </c>
      <c r="B178" s="83" t="s">
        <v>305</v>
      </c>
      <c r="C178" s="83" t="s">
        <v>584</v>
      </c>
    </row>
    <row r="179" spans="1:3">
      <c r="A179" s="83" t="s">
        <v>1790</v>
      </c>
      <c r="B179" s="83" t="s">
        <v>13</v>
      </c>
      <c r="C179" s="83" t="s">
        <v>582</v>
      </c>
    </row>
    <row r="180" spans="1:3">
      <c r="A180" s="83" t="s">
        <v>1790</v>
      </c>
      <c r="B180" s="83" t="s">
        <v>14</v>
      </c>
      <c r="C180" s="83" t="s">
        <v>1331</v>
      </c>
    </row>
    <row r="181" spans="1:3">
      <c r="A181" s="83" t="s">
        <v>1790</v>
      </c>
      <c r="B181" s="83" t="s">
        <v>15</v>
      </c>
      <c r="C181" s="83" t="s">
        <v>585</v>
      </c>
    </row>
    <row r="182" spans="1:3">
      <c r="A182" s="83" t="s">
        <v>1790</v>
      </c>
      <c r="B182" s="83" t="s">
        <v>16</v>
      </c>
      <c r="C182" s="83" t="s">
        <v>585</v>
      </c>
    </row>
    <row r="183" spans="1:3">
      <c r="A183" s="83" t="s">
        <v>1790</v>
      </c>
      <c r="B183" s="83" t="s">
        <v>17</v>
      </c>
      <c r="C183" s="83" t="s">
        <v>585</v>
      </c>
    </row>
    <row r="184" spans="1:3">
      <c r="A184" s="82" t="s">
        <v>1791</v>
      </c>
      <c r="B184" s="82" t="s">
        <v>0</v>
      </c>
      <c r="C184" s="82" t="s">
        <v>587</v>
      </c>
    </row>
    <row r="185" spans="1:3">
      <c r="A185" s="82" t="s">
        <v>1791</v>
      </c>
      <c r="B185" s="82" t="s">
        <v>412</v>
      </c>
      <c r="C185" s="82" t="s">
        <v>1327</v>
      </c>
    </row>
    <row r="186" spans="1:3">
      <c r="A186" s="82" t="s">
        <v>1791</v>
      </c>
      <c r="B186" s="82" t="s">
        <v>409</v>
      </c>
      <c r="C186" s="82" t="s">
        <v>1331</v>
      </c>
    </row>
    <row r="187" spans="1:3">
      <c r="A187" s="82" t="s">
        <v>1791</v>
      </c>
      <c r="B187" s="82" t="s">
        <v>318</v>
      </c>
      <c r="C187" s="82" t="s">
        <v>579</v>
      </c>
    </row>
    <row r="188" spans="1:3">
      <c r="A188" s="82" t="s">
        <v>1791</v>
      </c>
      <c r="B188" s="82" t="s">
        <v>414</v>
      </c>
      <c r="C188" s="82" t="s">
        <v>1332</v>
      </c>
    </row>
    <row r="189" spans="1:3">
      <c r="A189" s="82" t="s">
        <v>1791</v>
      </c>
      <c r="B189" s="82" t="s">
        <v>415</v>
      </c>
      <c r="C189" s="82" t="s">
        <v>585</v>
      </c>
    </row>
    <row r="190" spans="1:3">
      <c r="A190" s="82" t="s">
        <v>1791</v>
      </c>
      <c r="B190" s="82" t="s">
        <v>416</v>
      </c>
      <c r="C190" s="82" t="s">
        <v>585</v>
      </c>
    </row>
    <row r="191" spans="1:3">
      <c r="A191" s="82" t="s">
        <v>1791</v>
      </c>
      <c r="B191" s="82" t="s">
        <v>321</v>
      </c>
      <c r="C191" s="82" t="s">
        <v>583</v>
      </c>
    </row>
    <row r="192" spans="1:3">
      <c r="A192" s="82" t="s">
        <v>1791</v>
      </c>
      <c r="B192" s="82" t="s">
        <v>305</v>
      </c>
      <c r="C192" s="82" t="s">
        <v>584</v>
      </c>
    </row>
    <row r="193" spans="1:3">
      <c r="A193" s="82" t="s">
        <v>1791</v>
      </c>
      <c r="B193" s="82" t="s">
        <v>13</v>
      </c>
      <c r="C193" s="82" t="s">
        <v>582</v>
      </c>
    </row>
    <row r="194" spans="1:3">
      <c r="A194" s="82" t="s">
        <v>1791</v>
      </c>
      <c r="B194" s="82" t="s">
        <v>14</v>
      </c>
      <c r="C194" s="82" t="s">
        <v>1331</v>
      </c>
    </row>
    <row r="195" spans="1:3">
      <c r="A195" s="82" t="s">
        <v>1791</v>
      </c>
      <c r="B195" s="82" t="s">
        <v>15</v>
      </c>
      <c r="C195" s="82" t="s">
        <v>585</v>
      </c>
    </row>
    <row r="196" spans="1:3">
      <c r="A196" s="82" t="s">
        <v>1791</v>
      </c>
      <c r="B196" s="82" t="s">
        <v>16</v>
      </c>
      <c r="C196" s="82" t="s">
        <v>585</v>
      </c>
    </row>
    <row r="197" spans="1:3">
      <c r="A197" s="82" t="s">
        <v>1791</v>
      </c>
      <c r="B197" s="82" t="s">
        <v>17</v>
      </c>
      <c r="C197" s="82" t="s">
        <v>585</v>
      </c>
    </row>
    <row r="198" spans="1:3">
      <c r="A198" s="83" t="s">
        <v>1792</v>
      </c>
      <c r="B198" s="83" t="s">
        <v>0</v>
      </c>
      <c r="C198" s="83" t="s">
        <v>587</v>
      </c>
    </row>
    <row r="199" spans="1:3">
      <c r="A199" s="83" t="s">
        <v>1792</v>
      </c>
      <c r="B199" s="83" t="s">
        <v>412</v>
      </c>
      <c r="C199" s="83" t="s">
        <v>1327</v>
      </c>
    </row>
    <row r="200" spans="1:3">
      <c r="A200" s="83" t="s">
        <v>1792</v>
      </c>
      <c r="B200" s="83" t="s">
        <v>304</v>
      </c>
      <c r="C200" s="83" t="s">
        <v>1331</v>
      </c>
    </row>
    <row r="201" spans="1:3">
      <c r="A201" s="83" t="s">
        <v>1792</v>
      </c>
      <c r="B201" s="83" t="s">
        <v>318</v>
      </c>
      <c r="C201" s="83" t="s">
        <v>579</v>
      </c>
    </row>
    <row r="202" spans="1:3">
      <c r="A202" s="83" t="s">
        <v>1792</v>
      </c>
      <c r="B202" s="83" t="s">
        <v>414</v>
      </c>
      <c r="C202" s="83" t="s">
        <v>579</v>
      </c>
    </row>
    <row r="203" spans="1:3">
      <c r="A203" s="83" t="s">
        <v>1792</v>
      </c>
      <c r="B203" s="83" t="s">
        <v>416</v>
      </c>
      <c r="C203" s="83" t="s">
        <v>585</v>
      </c>
    </row>
    <row r="204" spans="1:3">
      <c r="A204" s="83" t="s">
        <v>1792</v>
      </c>
      <c r="B204" s="83" t="s">
        <v>321</v>
      </c>
      <c r="C204" s="83" t="s">
        <v>583</v>
      </c>
    </row>
    <row r="205" spans="1:3">
      <c r="A205" s="83" t="s">
        <v>1792</v>
      </c>
      <c r="B205" s="83" t="s">
        <v>305</v>
      </c>
      <c r="C205" s="83" t="s">
        <v>584</v>
      </c>
    </row>
    <row r="206" spans="1:3">
      <c r="A206" s="83" t="s">
        <v>1792</v>
      </c>
      <c r="B206" s="83" t="s">
        <v>13</v>
      </c>
      <c r="C206" s="83" t="s">
        <v>582</v>
      </c>
    </row>
    <row r="207" spans="1:3">
      <c r="A207" s="83" t="s">
        <v>1792</v>
      </c>
      <c r="B207" s="83" t="s">
        <v>14</v>
      </c>
      <c r="C207" s="83" t="s">
        <v>1331</v>
      </c>
    </row>
    <row r="208" spans="1:3">
      <c r="A208" s="83" t="s">
        <v>1792</v>
      </c>
      <c r="B208" s="83" t="s">
        <v>15</v>
      </c>
      <c r="C208" s="83" t="s">
        <v>585</v>
      </c>
    </row>
    <row r="209" spans="1:3">
      <c r="A209" s="83" t="s">
        <v>1792</v>
      </c>
      <c r="B209" s="83" t="s">
        <v>16</v>
      </c>
      <c r="C209" s="83" t="s">
        <v>585</v>
      </c>
    </row>
    <row r="210" spans="1:3">
      <c r="A210" s="83" t="s">
        <v>1792</v>
      </c>
      <c r="B210" s="83" t="s">
        <v>17</v>
      </c>
      <c r="C210" s="83" t="s">
        <v>585</v>
      </c>
    </row>
    <row r="211" spans="1:3">
      <c r="A211" s="82" t="s">
        <v>1793</v>
      </c>
      <c r="B211" s="82" t="s">
        <v>0</v>
      </c>
      <c r="C211" s="82" t="s">
        <v>587</v>
      </c>
    </row>
    <row r="212" spans="1:3">
      <c r="A212" s="82" t="s">
        <v>1793</v>
      </c>
      <c r="B212" s="82" t="s">
        <v>430</v>
      </c>
      <c r="C212" s="82" t="s">
        <v>1331</v>
      </c>
    </row>
    <row r="213" spans="1:3">
      <c r="A213" s="82" t="s">
        <v>1793</v>
      </c>
      <c r="B213" s="82" t="s">
        <v>431</v>
      </c>
      <c r="C213" s="82" t="s">
        <v>579</v>
      </c>
    </row>
    <row r="214" spans="1:3">
      <c r="A214" s="82" t="s">
        <v>1793</v>
      </c>
      <c r="B214" s="82" t="s">
        <v>13</v>
      </c>
      <c r="C214" s="82" t="s">
        <v>582</v>
      </c>
    </row>
    <row r="215" spans="1:3">
      <c r="A215" s="82" t="s">
        <v>1793</v>
      </c>
      <c r="B215" s="82" t="s">
        <v>321</v>
      </c>
      <c r="C215" s="82" t="s">
        <v>583</v>
      </c>
    </row>
    <row r="216" spans="1:3">
      <c r="A216" s="82" t="s">
        <v>1793</v>
      </c>
      <c r="B216" s="82" t="s">
        <v>305</v>
      </c>
      <c r="C216" s="82" t="s">
        <v>584</v>
      </c>
    </row>
    <row r="217" spans="1:3">
      <c r="A217" s="82" t="s">
        <v>1793</v>
      </c>
      <c r="B217" s="82" t="s">
        <v>14</v>
      </c>
      <c r="C217" s="82" t="s">
        <v>1331</v>
      </c>
    </row>
    <row r="218" spans="1:3">
      <c r="A218" s="82" t="s">
        <v>1793</v>
      </c>
      <c r="B218" s="82" t="s">
        <v>15</v>
      </c>
      <c r="C218" s="82" t="s">
        <v>585</v>
      </c>
    </row>
    <row r="219" spans="1:3">
      <c r="A219" s="82" t="s">
        <v>1793</v>
      </c>
      <c r="B219" s="82" t="s">
        <v>16</v>
      </c>
      <c r="C219" s="82" t="s">
        <v>585</v>
      </c>
    </row>
    <row r="220" spans="1:3">
      <c r="A220" s="82" t="s">
        <v>1793</v>
      </c>
      <c r="B220" s="82" t="s">
        <v>17</v>
      </c>
      <c r="C220" s="82" t="s">
        <v>585</v>
      </c>
    </row>
    <row r="221" spans="1:3">
      <c r="A221" s="83" t="s">
        <v>439</v>
      </c>
      <c r="B221" s="83" t="s">
        <v>0</v>
      </c>
      <c r="C221" s="83" t="s">
        <v>587</v>
      </c>
    </row>
    <row r="222" spans="1:3">
      <c r="A222" s="83" t="s">
        <v>439</v>
      </c>
      <c r="B222" s="83" t="s">
        <v>417</v>
      </c>
      <c r="C222" s="83" t="s">
        <v>585</v>
      </c>
    </row>
    <row r="223" spans="1:3">
      <c r="A223" s="83" t="s">
        <v>439</v>
      </c>
      <c r="B223" s="83" t="s">
        <v>304</v>
      </c>
      <c r="C223" s="83" t="s">
        <v>1331</v>
      </c>
    </row>
    <row r="224" spans="1:3">
      <c r="A224" s="83" t="s">
        <v>439</v>
      </c>
      <c r="B224" s="83" t="s">
        <v>318</v>
      </c>
      <c r="C224" s="83" t="s">
        <v>579</v>
      </c>
    </row>
    <row r="225" spans="1:3">
      <c r="A225" s="83" t="s">
        <v>439</v>
      </c>
      <c r="B225" s="83" t="s">
        <v>13</v>
      </c>
      <c r="C225" s="83" t="s">
        <v>582</v>
      </c>
    </row>
    <row r="226" spans="1:3">
      <c r="A226" s="83" t="s">
        <v>439</v>
      </c>
      <c r="B226" s="83" t="s">
        <v>321</v>
      </c>
      <c r="C226" s="83" t="s">
        <v>583</v>
      </c>
    </row>
    <row r="227" spans="1:3">
      <c r="A227" s="83" t="s">
        <v>439</v>
      </c>
      <c r="B227" s="83" t="s">
        <v>305</v>
      </c>
      <c r="C227" s="83" t="s">
        <v>584</v>
      </c>
    </row>
    <row r="228" spans="1:3">
      <c r="A228" s="83" t="s">
        <v>439</v>
      </c>
      <c r="B228" s="83" t="s">
        <v>14</v>
      </c>
      <c r="C228" s="83" t="s">
        <v>1331</v>
      </c>
    </row>
    <row r="229" spans="1:3">
      <c r="A229" s="83" t="s">
        <v>439</v>
      </c>
      <c r="B229" s="83" t="s">
        <v>15</v>
      </c>
      <c r="C229" s="83" t="s">
        <v>585</v>
      </c>
    </row>
    <row r="230" spans="1:3">
      <c r="A230" s="83" t="s">
        <v>439</v>
      </c>
      <c r="B230" s="83" t="s">
        <v>16</v>
      </c>
      <c r="C230" s="83" t="s">
        <v>585</v>
      </c>
    </row>
    <row r="231" spans="1:3">
      <c r="A231" s="83" t="s">
        <v>439</v>
      </c>
      <c r="B231" s="83" t="s">
        <v>17</v>
      </c>
      <c r="C231" s="83" t="s">
        <v>585</v>
      </c>
    </row>
    <row r="232" spans="1:3">
      <c r="A232" s="82" t="s">
        <v>1794</v>
      </c>
      <c r="B232" s="82" t="s">
        <v>0</v>
      </c>
      <c r="C232" s="82" t="s">
        <v>587</v>
      </c>
    </row>
    <row r="233" spans="1:3">
      <c r="A233" s="82" t="s">
        <v>1794</v>
      </c>
      <c r="B233" s="82" t="s">
        <v>1473</v>
      </c>
      <c r="C233" s="82" t="s">
        <v>1327</v>
      </c>
    </row>
    <row r="234" spans="1:3">
      <c r="A234" s="82" t="s">
        <v>1794</v>
      </c>
      <c r="B234" s="82" t="s">
        <v>409</v>
      </c>
      <c r="C234" s="82" t="s">
        <v>1327</v>
      </c>
    </row>
    <row r="235" spans="1:3">
      <c r="A235" s="82" t="s">
        <v>1794</v>
      </c>
      <c r="B235" s="82" t="s">
        <v>417</v>
      </c>
      <c r="C235" s="82" t="s">
        <v>1329</v>
      </c>
    </row>
    <row r="236" spans="1:3">
      <c r="A236" s="82" t="s">
        <v>1794</v>
      </c>
      <c r="B236" s="82" t="s">
        <v>304</v>
      </c>
      <c r="C236" s="82" t="s">
        <v>1331</v>
      </c>
    </row>
    <row r="237" spans="1:3">
      <c r="A237" s="82" t="s">
        <v>1794</v>
      </c>
      <c r="B237" s="82" t="s">
        <v>318</v>
      </c>
      <c r="C237" s="82" t="s">
        <v>579</v>
      </c>
    </row>
    <row r="238" spans="1:3">
      <c r="A238" s="82" t="s">
        <v>1794</v>
      </c>
      <c r="B238" s="82" t="s">
        <v>432</v>
      </c>
      <c r="C238" s="82" t="s">
        <v>1327</v>
      </c>
    </row>
    <row r="239" spans="1:3">
      <c r="A239" s="82" t="s">
        <v>1794</v>
      </c>
      <c r="B239" s="82" t="s">
        <v>433</v>
      </c>
      <c r="C239" s="82" t="s">
        <v>579</v>
      </c>
    </row>
    <row r="240" spans="1:3">
      <c r="A240" s="82" t="s">
        <v>1794</v>
      </c>
      <c r="B240" s="82" t="s">
        <v>434</v>
      </c>
      <c r="C240" s="82" t="s">
        <v>1327</v>
      </c>
    </row>
    <row r="241" spans="1:3">
      <c r="A241" s="82" t="s">
        <v>1794</v>
      </c>
      <c r="B241" s="82" t="s">
        <v>435</v>
      </c>
      <c r="C241" s="82" t="s">
        <v>579</v>
      </c>
    </row>
    <row r="242" spans="1:3">
      <c r="A242" s="82" t="s">
        <v>1794</v>
      </c>
      <c r="B242" s="82" t="s">
        <v>13</v>
      </c>
      <c r="C242" s="82" t="s">
        <v>582</v>
      </c>
    </row>
    <row r="243" spans="1:3">
      <c r="A243" s="82" t="s">
        <v>1794</v>
      </c>
      <c r="B243" s="82" t="s">
        <v>321</v>
      </c>
      <c r="C243" s="82" t="s">
        <v>583</v>
      </c>
    </row>
    <row r="244" spans="1:3">
      <c r="A244" s="82" t="s">
        <v>1794</v>
      </c>
      <c r="B244" s="82" t="s">
        <v>305</v>
      </c>
      <c r="C244" s="82" t="s">
        <v>584</v>
      </c>
    </row>
    <row r="245" spans="1:3">
      <c r="A245" s="82" t="s">
        <v>1794</v>
      </c>
      <c r="B245" s="82" t="s">
        <v>14</v>
      </c>
      <c r="C245" s="82" t="s">
        <v>1331</v>
      </c>
    </row>
    <row r="246" spans="1:3">
      <c r="A246" s="82" t="s">
        <v>1794</v>
      </c>
      <c r="B246" s="82" t="s">
        <v>15</v>
      </c>
      <c r="C246" s="82" t="s">
        <v>585</v>
      </c>
    </row>
    <row r="247" spans="1:3">
      <c r="A247" s="82" t="s">
        <v>1794</v>
      </c>
      <c r="B247" s="82" t="s">
        <v>16</v>
      </c>
      <c r="C247" s="82" t="s">
        <v>585</v>
      </c>
    </row>
    <row r="248" spans="1:3">
      <c r="A248" s="82" t="s">
        <v>1794</v>
      </c>
      <c r="B248" s="82" t="s">
        <v>17</v>
      </c>
      <c r="C248" s="82" t="s">
        <v>585</v>
      </c>
    </row>
    <row r="249" spans="1:3">
      <c r="A249" s="83" t="s">
        <v>1795</v>
      </c>
      <c r="B249" s="83" t="s">
        <v>0</v>
      </c>
      <c r="C249" s="83" t="s">
        <v>587</v>
      </c>
    </row>
    <row r="250" spans="1:3">
      <c r="A250" s="83" t="s">
        <v>1795</v>
      </c>
      <c r="B250" s="83" t="s">
        <v>452</v>
      </c>
      <c r="C250" s="83" t="s">
        <v>1331</v>
      </c>
    </row>
    <row r="251" spans="1:3">
      <c r="A251" s="83" t="s">
        <v>1795</v>
      </c>
      <c r="B251" s="83" t="s">
        <v>318</v>
      </c>
      <c r="C251" s="83" t="s">
        <v>579</v>
      </c>
    </row>
    <row r="252" spans="1:3">
      <c r="A252" s="83" t="s">
        <v>1795</v>
      </c>
      <c r="B252" s="83" t="s">
        <v>409</v>
      </c>
      <c r="C252" s="83" t="s">
        <v>1331</v>
      </c>
    </row>
    <row r="253" spans="1:3">
      <c r="A253" s="82" t="s">
        <v>1796</v>
      </c>
      <c r="B253" s="82" t="s">
        <v>0</v>
      </c>
      <c r="C253" s="82" t="s">
        <v>587</v>
      </c>
    </row>
    <row r="254" spans="1:3">
      <c r="A254" s="82" t="s">
        <v>1796</v>
      </c>
      <c r="B254" s="82" t="s">
        <v>449</v>
      </c>
      <c r="C254" s="82" t="s">
        <v>1327</v>
      </c>
    </row>
    <row r="255" spans="1:3">
      <c r="A255" s="82" t="s">
        <v>1796</v>
      </c>
      <c r="B255" s="82" t="s">
        <v>450</v>
      </c>
      <c r="C255" s="82" t="s">
        <v>1327</v>
      </c>
    </row>
    <row r="256" spans="1:3">
      <c r="A256" s="82" t="s">
        <v>1796</v>
      </c>
      <c r="B256" s="82" t="s">
        <v>451</v>
      </c>
      <c r="C256" s="82" t="s">
        <v>1331</v>
      </c>
    </row>
    <row r="257" spans="1:3">
      <c r="A257" s="82" t="s">
        <v>1796</v>
      </c>
      <c r="B257" s="82" t="s">
        <v>447</v>
      </c>
      <c r="C257" s="82" t="s">
        <v>1327</v>
      </c>
    </row>
    <row r="258" spans="1:3">
      <c r="A258" s="82" t="s">
        <v>1796</v>
      </c>
      <c r="B258" s="82" t="s">
        <v>448</v>
      </c>
      <c r="C258" s="82" t="s">
        <v>1327</v>
      </c>
    </row>
    <row r="259" spans="1:3">
      <c r="A259" s="82" t="s">
        <v>1796</v>
      </c>
      <c r="B259" s="82" t="s">
        <v>13</v>
      </c>
      <c r="C259" s="82" t="s">
        <v>582</v>
      </c>
    </row>
    <row r="260" spans="1:3">
      <c r="A260" s="82" t="s">
        <v>1796</v>
      </c>
      <c r="B260" s="82" t="s">
        <v>321</v>
      </c>
      <c r="C260" s="82" t="s">
        <v>583</v>
      </c>
    </row>
    <row r="261" spans="1:3">
      <c r="A261" s="82" t="s">
        <v>1796</v>
      </c>
      <c r="B261" s="82" t="s">
        <v>305</v>
      </c>
      <c r="C261" s="82" t="s">
        <v>584</v>
      </c>
    </row>
    <row r="262" spans="1:3">
      <c r="A262" s="82" t="s">
        <v>1796</v>
      </c>
      <c r="B262" s="82" t="s">
        <v>14</v>
      </c>
      <c r="C262" s="82" t="s">
        <v>1331</v>
      </c>
    </row>
    <row r="263" spans="1:3">
      <c r="A263" s="82" t="s">
        <v>1796</v>
      </c>
      <c r="B263" s="82" t="s">
        <v>15</v>
      </c>
      <c r="C263" s="82" t="s">
        <v>585</v>
      </c>
    </row>
    <row r="264" spans="1:3">
      <c r="A264" s="82" t="s">
        <v>1796</v>
      </c>
      <c r="B264" s="82" t="s">
        <v>16</v>
      </c>
      <c r="C264" s="82" t="s">
        <v>585</v>
      </c>
    </row>
    <row r="265" spans="1:3">
      <c r="A265" s="82" t="s">
        <v>1796</v>
      </c>
      <c r="B265" s="82" t="s">
        <v>17</v>
      </c>
      <c r="C265" s="82" t="s">
        <v>585</v>
      </c>
    </row>
    <row r="266" spans="1:3">
      <c r="A266" s="83" t="s">
        <v>1797</v>
      </c>
      <c r="B266" s="83" t="s">
        <v>0</v>
      </c>
      <c r="C266" s="83" t="s">
        <v>587</v>
      </c>
    </row>
    <row r="267" spans="1:3">
      <c r="A267" s="83" t="s">
        <v>1797</v>
      </c>
      <c r="B267" s="83" t="s">
        <v>2</v>
      </c>
      <c r="C267" s="83" t="s">
        <v>1327</v>
      </c>
    </row>
    <row r="268" spans="1:3">
      <c r="A268" s="83" t="s">
        <v>1797</v>
      </c>
      <c r="B268" s="83" t="s">
        <v>131</v>
      </c>
      <c r="C268" s="83" t="s">
        <v>1327</v>
      </c>
    </row>
    <row r="269" spans="1:3">
      <c r="A269" s="83" t="s">
        <v>1797</v>
      </c>
      <c r="B269" s="83" t="s">
        <v>455</v>
      </c>
      <c r="C269" s="83" t="s">
        <v>1327</v>
      </c>
    </row>
    <row r="270" spans="1:3">
      <c r="A270" s="83" t="s">
        <v>1797</v>
      </c>
      <c r="B270" s="83" t="s">
        <v>1593</v>
      </c>
      <c r="C270" s="83" t="s">
        <v>1325</v>
      </c>
    </row>
    <row r="271" spans="1:3">
      <c r="A271" s="83" t="s">
        <v>1797</v>
      </c>
      <c r="B271" s="83" t="s">
        <v>1594</v>
      </c>
      <c r="C271" s="83" t="s">
        <v>1325</v>
      </c>
    </row>
    <row r="272" spans="1:3">
      <c r="A272" s="83" t="s">
        <v>1797</v>
      </c>
      <c r="B272" s="83" t="s">
        <v>456</v>
      </c>
      <c r="C272" s="83" t="s">
        <v>584</v>
      </c>
    </row>
    <row r="273" spans="1:3">
      <c r="A273" s="83" t="s">
        <v>1797</v>
      </c>
      <c r="B273" s="83" t="s">
        <v>13</v>
      </c>
      <c r="C273" s="83" t="s">
        <v>582</v>
      </c>
    </row>
    <row r="274" spans="1:3">
      <c r="A274" s="83" t="s">
        <v>1797</v>
      </c>
      <c r="B274" s="83" t="s">
        <v>321</v>
      </c>
      <c r="C274" s="83" t="s">
        <v>583</v>
      </c>
    </row>
    <row r="275" spans="1:3">
      <c r="A275" s="83" t="s">
        <v>1797</v>
      </c>
      <c r="B275" s="83" t="s">
        <v>305</v>
      </c>
      <c r="C275" s="83" t="s">
        <v>584</v>
      </c>
    </row>
    <row r="276" spans="1:3">
      <c r="A276" s="83" t="s">
        <v>1797</v>
      </c>
      <c r="B276" s="83" t="s">
        <v>14</v>
      </c>
      <c r="C276" s="83" t="s">
        <v>1331</v>
      </c>
    </row>
    <row r="277" spans="1:3">
      <c r="A277" s="83" t="s">
        <v>1797</v>
      </c>
      <c r="B277" s="83" t="s">
        <v>15</v>
      </c>
      <c r="C277" s="83" t="s">
        <v>585</v>
      </c>
    </row>
    <row r="278" spans="1:3">
      <c r="A278" s="83" t="s">
        <v>1797</v>
      </c>
      <c r="B278" s="83" t="s">
        <v>16</v>
      </c>
      <c r="C278" s="83" t="s">
        <v>585</v>
      </c>
    </row>
    <row r="279" spans="1:3">
      <c r="A279" s="83" t="s">
        <v>1797</v>
      </c>
      <c r="B279" s="83" t="s">
        <v>17</v>
      </c>
      <c r="C279" s="83" t="s">
        <v>585</v>
      </c>
    </row>
    <row r="280" spans="1:3">
      <c r="A280" s="82" t="s">
        <v>1813</v>
      </c>
      <c r="B280" s="82" t="s">
        <v>0</v>
      </c>
      <c r="C280" s="82" t="s">
        <v>587</v>
      </c>
    </row>
    <row r="281" spans="1:3">
      <c r="A281" s="82" t="s">
        <v>1813</v>
      </c>
      <c r="B281" s="82" t="s">
        <v>304</v>
      </c>
      <c r="C281" s="82" t="s">
        <v>1331</v>
      </c>
    </row>
    <row r="282" spans="1:3">
      <c r="A282" s="82" t="s">
        <v>1813</v>
      </c>
      <c r="B282" s="82" t="s">
        <v>413</v>
      </c>
      <c r="C282" s="82" t="s">
        <v>1332</v>
      </c>
    </row>
    <row r="283" spans="1:3">
      <c r="A283" s="82" t="s">
        <v>1813</v>
      </c>
      <c r="B283" s="82" t="s">
        <v>454</v>
      </c>
      <c r="C283" s="82" t="s">
        <v>1325</v>
      </c>
    </row>
    <row r="284" spans="1:3">
      <c r="A284" s="82" t="s">
        <v>1813</v>
      </c>
      <c r="B284" s="82" t="s">
        <v>13</v>
      </c>
      <c r="C284" s="82" t="s">
        <v>582</v>
      </c>
    </row>
    <row r="285" spans="1:3">
      <c r="A285" s="82" t="s">
        <v>1813</v>
      </c>
      <c r="B285" s="82" t="s">
        <v>321</v>
      </c>
      <c r="C285" s="82" t="s">
        <v>583</v>
      </c>
    </row>
    <row r="286" spans="1:3">
      <c r="A286" s="82" t="s">
        <v>1813</v>
      </c>
      <c r="B286" s="82" t="s">
        <v>305</v>
      </c>
      <c r="C286" s="82" t="s">
        <v>584</v>
      </c>
    </row>
    <row r="287" spans="1:3">
      <c r="A287" s="82" t="s">
        <v>1813</v>
      </c>
      <c r="B287" s="82" t="s">
        <v>14</v>
      </c>
      <c r="C287" s="82" t="s">
        <v>1331</v>
      </c>
    </row>
    <row r="288" spans="1:3">
      <c r="A288" s="82" t="s">
        <v>1813</v>
      </c>
      <c r="B288" s="82" t="s">
        <v>15</v>
      </c>
      <c r="C288" s="82" t="s">
        <v>585</v>
      </c>
    </row>
    <row r="289" spans="1:3">
      <c r="A289" s="82" t="s">
        <v>1813</v>
      </c>
      <c r="B289" s="82" t="s">
        <v>16</v>
      </c>
      <c r="C289" s="82" t="s">
        <v>585</v>
      </c>
    </row>
    <row r="290" spans="1:3">
      <c r="A290" s="82" t="s">
        <v>1813</v>
      </c>
      <c r="B290" s="82" t="s">
        <v>17</v>
      </c>
      <c r="C290" s="82" t="s">
        <v>585</v>
      </c>
    </row>
    <row r="291" spans="1:3">
      <c r="A291" s="83" t="s">
        <v>1798</v>
      </c>
      <c r="B291" s="83" t="s">
        <v>0</v>
      </c>
      <c r="C291" s="83" t="s">
        <v>587</v>
      </c>
    </row>
    <row r="292" spans="1:3">
      <c r="A292" s="83" t="s">
        <v>1798</v>
      </c>
      <c r="B292" s="83" t="s">
        <v>417</v>
      </c>
      <c r="C292" s="83" t="s">
        <v>1329</v>
      </c>
    </row>
    <row r="293" spans="1:3">
      <c r="A293" s="83" t="s">
        <v>1798</v>
      </c>
      <c r="B293" s="83" t="s">
        <v>458</v>
      </c>
      <c r="C293" s="83" t="s">
        <v>1331</v>
      </c>
    </row>
    <row r="294" spans="1:3">
      <c r="A294" s="83" t="s">
        <v>1798</v>
      </c>
      <c r="B294" s="83" t="s">
        <v>453</v>
      </c>
      <c r="C294" s="83" t="s">
        <v>1597</v>
      </c>
    </row>
    <row r="295" spans="1:3">
      <c r="A295" s="83" t="s">
        <v>1798</v>
      </c>
      <c r="B295" s="83" t="s">
        <v>13</v>
      </c>
      <c r="C295" s="83" t="s">
        <v>582</v>
      </c>
    </row>
    <row r="296" spans="1:3">
      <c r="A296" s="83" t="s">
        <v>1798</v>
      </c>
      <c r="B296" s="83" t="s">
        <v>321</v>
      </c>
      <c r="C296" s="83" t="s">
        <v>583</v>
      </c>
    </row>
    <row r="297" spans="1:3">
      <c r="A297" s="83" t="s">
        <v>1798</v>
      </c>
      <c r="B297" s="83" t="s">
        <v>305</v>
      </c>
      <c r="C297" s="83" t="s">
        <v>584</v>
      </c>
    </row>
    <row r="298" spans="1:3">
      <c r="A298" s="83" t="s">
        <v>1798</v>
      </c>
      <c r="B298" s="83" t="s">
        <v>14</v>
      </c>
      <c r="C298" s="83" t="s">
        <v>1331</v>
      </c>
    </row>
    <row r="299" spans="1:3">
      <c r="A299" s="83" t="s">
        <v>1798</v>
      </c>
      <c r="B299" s="83" t="s">
        <v>15</v>
      </c>
      <c r="C299" s="83" t="s">
        <v>585</v>
      </c>
    </row>
    <row r="300" spans="1:3">
      <c r="A300" s="83" t="s">
        <v>1798</v>
      </c>
      <c r="B300" s="83" t="s">
        <v>16</v>
      </c>
      <c r="C300" s="83" t="s">
        <v>585</v>
      </c>
    </row>
    <row r="301" spans="1:3">
      <c r="A301" s="83" t="s">
        <v>1798</v>
      </c>
      <c r="B301" s="83" t="s">
        <v>17</v>
      </c>
      <c r="C301" s="83" t="s">
        <v>585</v>
      </c>
    </row>
    <row r="302" spans="1:3">
      <c r="A302" s="82" t="s">
        <v>1799</v>
      </c>
      <c r="B302" s="82" t="s">
        <v>0</v>
      </c>
      <c r="C302" s="82" t="s">
        <v>587</v>
      </c>
    </row>
    <row r="303" spans="1:3">
      <c r="A303" s="82" t="s">
        <v>1799</v>
      </c>
      <c r="B303" s="82" t="s">
        <v>459</v>
      </c>
      <c r="C303" s="82" t="s">
        <v>1331</v>
      </c>
    </row>
    <row r="304" spans="1:3">
      <c r="A304" s="82" t="s">
        <v>1799</v>
      </c>
      <c r="B304" s="82" t="s">
        <v>413</v>
      </c>
      <c r="C304" s="82" t="s">
        <v>1332</v>
      </c>
    </row>
    <row r="305" spans="1:3">
      <c r="A305" s="82" t="s">
        <v>1799</v>
      </c>
      <c r="B305" s="82" t="s">
        <v>457</v>
      </c>
      <c r="C305" s="82" t="s">
        <v>1331</v>
      </c>
    </row>
    <row r="306" spans="1:3">
      <c r="A306" s="82" t="s">
        <v>1799</v>
      </c>
      <c r="B306" s="82" t="s">
        <v>13</v>
      </c>
      <c r="C306" s="82" t="s">
        <v>582</v>
      </c>
    </row>
    <row r="307" spans="1:3">
      <c r="A307" s="82" t="s">
        <v>1799</v>
      </c>
      <c r="B307" s="82" t="s">
        <v>321</v>
      </c>
      <c r="C307" s="82" t="s">
        <v>583</v>
      </c>
    </row>
    <row r="308" spans="1:3">
      <c r="A308" s="82" t="s">
        <v>1799</v>
      </c>
      <c r="B308" s="82" t="s">
        <v>305</v>
      </c>
      <c r="C308" s="82" t="s">
        <v>584</v>
      </c>
    </row>
    <row r="309" spans="1:3">
      <c r="A309" s="82" t="s">
        <v>1799</v>
      </c>
      <c r="B309" s="82" t="s">
        <v>14</v>
      </c>
      <c r="C309" s="82" t="s">
        <v>1331</v>
      </c>
    </row>
    <row r="310" spans="1:3">
      <c r="A310" s="82" t="s">
        <v>1799</v>
      </c>
      <c r="B310" s="82" t="s">
        <v>15</v>
      </c>
      <c r="C310" s="82" t="s">
        <v>585</v>
      </c>
    </row>
    <row r="311" spans="1:3">
      <c r="A311" s="82" t="s">
        <v>1799</v>
      </c>
      <c r="B311" s="82" t="s">
        <v>16</v>
      </c>
      <c r="C311" s="82" t="s">
        <v>585</v>
      </c>
    </row>
    <row r="312" spans="1:3">
      <c r="A312" s="82" t="s">
        <v>1799</v>
      </c>
      <c r="B312" s="82" t="s">
        <v>17</v>
      </c>
      <c r="C312" s="82" t="s">
        <v>585</v>
      </c>
    </row>
    <row r="313" spans="1:3">
      <c r="A313" s="83" t="s">
        <v>1800</v>
      </c>
      <c r="B313" s="83" t="s">
        <v>0</v>
      </c>
      <c r="C313" s="83" t="s">
        <v>587</v>
      </c>
    </row>
    <row r="314" spans="1:3">
      <c r="A314" s="83" t="s">
        <v>1800</v>
      </c>
      <c r="B314" s="83" t="s">
        <v>459</v>
      </c>
      <c r="C314" s="83" t="s">
        <v>1331</v>
      </c>
    </row>
    <row r="315" spans="1:3">
      <c r="A315" s="83" t="s">
        <v>1800</v>
      </c>
      <c r="B315" s="83" t="s">
        <v>304</v>
      </c>
      <c r="C315" s="83" t="s">
        <v>1331</v>
      </c>
    </row>
    <row r="316" spans="1:3">
      <c r="A316" s="83" t="s">
        <v>1800</v>
      </c>
      <c r="B316" s="83" t="s">
        <v>413</v>
      </c>
      <c r="C316" s="83" t="s">
        <v>1332</v>
      </c>
    </row>
    <row r="317" spans="1:3">
      <c r="A317" s="83" t="s">
        <v>1800</v>
      </c>
      <c r="B317" s="83" t="s">
        <v>13</v>
      </c>
      <c r="C317" s="83" t="s">
        <v>582</v>
      </c>
    </row>
    <row r="318" spans="1:3">
      <c r="A318" s="83" t="s">
        <v>1800</v>
      </c>
      <c r="B318" s="83" t="s">
        <v>321</v>
      </c>
      <c r="C318" s="83" t="s">
        <v>583</v>
      </c>
    </row>
    <row r="319" spans="1:3">
      <c r="A319" s="83" t="s">
        <v>1800</v>
      </c>
      <c r="B319" s="83" t="s">
        <v>305</v>
      </c>
      <c r="C319" s="83" t="s">
        <v>584</v>
      </c>
    </row>
    <row r="320" spans="1:3">
      <c r="A320" s="83" t="s">
        <v>1800</v>
      </c>
      <c r="B320" s="83" t="s">
        <v>14</v>
      </c>
      <c r="C320" s="83" t="s">
        <v>1331</v>
      </c>
    </row>
    <row r="321" spans="1:3">
      <c r="A321" s="83" t="s">
        <v>1800</v>
      </c>
      <c r="B321" s="83" t="s">
        <v>15</v>
      </c>
      <c r="C321" s="83" t="s">
        <v>585</v>
      </c>
    </row>
    <row r="322" spans="1:3">
      <c r="A322" s="83" t="s">
        <v>1800</v>
      </c>
      <c r="B322" s="83" t="s">
        <v>16</v>
      </c>
      <c r="C322" s="83" t="s">
        <v>585</v>
      </c>
    </row>
    <row r="323" spans="1:3">
      <c r="A323" s="83" t="s">
        <v>1800</v>
      </c>
      <c r="B323" s="83" t="s">
        <v>17</v>
      </c>
      <c r="C323" s="83" t="s">
        <v>585</v>
      </c>
    </row>
    <row r="324" spans="1:3">
      <c r="A324" s="82" t="s">
        <v>1801</v>
      </c>
      <c r="B324" s="82" t="s">
        <v>0</v>
      </c>
      <c r="C324" s="82" t="s">
        <v>587</v>
      </c>
    </row>
    <row r="325" spans="1:3">
      <c r="A325" s="82" t="s">
        <v>1801</v>
      </c>
      <c r="B325" s="82" t="s">
        <v>459</v>
      </c>
      <c r="C325" s="82" t="s">
        <v>1331</v>
      </c>
    </row>
    <row r="326" spans="1:3">
      <c r="A326" s="82" t="s">
        <v>1801</v>
      </c>
      <c r="B326" s="82" t="s">
        <v>460</v>
      </c>
      <c r="C326" s="82" t="s">
        <v>578</v>
      </c>
    </row>
    <row r="327" spans="1:3">
      <c r="A327" s="82" t="s">
        <v>1801</v>
      </c>
      <c r="B327" s="82" t="s">
        <v>461</v>
      </c>
      <c r="C327" s="82" t="s">
        <v>1598</v>
      </c>
    </row>
    <row r="328" spans="1:3">
      <c r="A328" s="82" t="s">
        <v>1801</v>
      </c>
      <c r="B328" s="82" t="s">
        <v>462</v>
      </c>
      <c r="C328" s="82" t="s">
        <v>1598</v>
      </c>
    </row>
    <row r="329" spans="1:3">
      <c r="A329" s="82" t="s">
        <v>1801</v>
      </c>
      <c r="B329" s="82" t="s">
        <v>13</v>
      </c>
      <c r="C329" s="82" t="s">
        <v>582</v>
      </c>
    </row>
    <row r="330" spans="1:3">
      <c r="A330" s="82" t="s">
        <v>1801</v>
      </c>
      <c r="B330" s="82" t="s">
        <v>321</v>
      </c>
      <c r="C330" s="82" t="s">
        <v>583</v>
      </c>
    </row>
    <row r="331" spans="1:3">
      <c r="A331" s="82" t="s">
        <v>1801</v>
      </c>
      <c r="B331" s="82" t="s">
        <v>305</v>
      </c>
      <c r="C331" s="82" t="s">
        <v>584</v>
      </c>
    </row>
    <row r="332" spans="1:3">
      <c r="A332" s="82" t="s">
        <v>1801</v>
      </c>
      <c r="B332" s="82" t="s">
        <v>14</v>
      </c>
      <c r="C332" s="82" t="s">
        <v>1331</v>
      </c>
    </row>
    <row r="333" spans="1:3">
      <c r="A333" s="82" t="s">
        <v>1801</v>
      </c>
      <c r="B333" s="82" t="s">
        <v>15</v>
      </c>
      <c r="C333" s="82" t="s">
        <v>585</v>
      </c>
    </row>
    <row r="334" spans="1:3">
      <c r="A334" s="82" t="s">
        <v>1801</v>
      </c>
      <c r="B334" s="82" t="s">
        <v>16</v>
      </c>
      <c r="C334" s="82" t="s">
        <v>585</v>
      </c>
    </row>
    <row r="335" spans="1:3">
      <c r="A335" s="82" t="s">
        <v>1801</v>
      </c>
      <c r="B335" s="82" t="s">
        <v>17</v>
      </c>
      <c r="C335" s="82" t="s">
        <v>585</v>
      </c>
    </row>
    <row r="336" spans="1:3">
      <c r="A336" s="83" t="s">
        <v>1802</v>
      </c>
      <c r="B336" s="83" t="s">
        <v>0</v>
      </c>
      <c r="C336" s="83" t="s">
        <v>587</v>
      </c>
    </row>
    <row r="337" spans="1:3">
      <c r="A337" s="83" t="s">
        <v>1802</v>
      </c>
      <c r="B337" s="83" t="s">
        <v>417</v>
      </c>
      <c r="C337" s="83" t="s">
        <v>1329</v>
      </c>
    </row>
    <row r="338" spans="1:3">
      <c r="A338" s="83" t="s">
        <v>1802</v>
      </c>
      <c r="B338" s="83" t="s">
        <v>458</v>
      </c>
      <c r="C338" s="83" t="s">
        <v>1330</v>
      </c>
    </row>
    <row r="339" spans="1:3">
      <c r="A339" s="83" t="s">
        <v>1802</v>
      </c>
      <c r="B339" s="83" t="s">
        <v>1599</v>
      </c>
      <c r="C339" s="83" t="s">
        <v>1333</v>
      </c>
    </row>
    <row r="340" spans="1:3">
      <c r="A340" s="83" t="s">
        <v>1802</v>
      </c>
      <c r="B340" s="83" t="s">
        <v>13</v>
      </c>
      <c r="C340" s="83" t="s">
        <v>582</v>
      </c>
    </row>
    <row r="341" spans="1:3">
      <c r="A341" s="83" t="s">
        <v>1802</v>
      </c>
      <c r="B341" s="83" t="s">
        <v>321</v>
      </c>
      <c r="C341" s="83" t="s">
        <v>583</v>
      </c>
    </row>
    <row r="342" spans="1:3">
      <c r="A342" s="83" t="s">
        <v>1802</v>
      </c>
      <c r="B342" s="83" t="s">
        <v>305</v>
      </c>
      <c r="C342" s="83" t="s">
        <v>584</v>
      </c>
    </row>
    <row r="343" spans="1:3">
      <c r="A343" s="83" t="s">
        <v>1802</v>
      </c>
      <c r="B343" s="83" t="s">
        <v>14</v>
      </c>
      <c r="C343" s="83" t="s">
        <v>1331</v>
      </c>
    </row>
    <row r="344" spans="1:3">
      <c r="A344" s="83" t="s">
        <v>1802</v>
      </c>
      <c r="B344" s="83" t="s">
        <v>15</v>
      </c>
      <c r="C344" s="83" t="s">
        <v>585</v>
      </c>
    </row>
    <row r="345" spans="1:3">
      <c r="A345" s="83" t="s">
        <v>1802</v>
      </c>
      <c r="B345" s="83" t="s">
        <v>16</v>
      </c>
      <c r="C345" s="83" t="s">
        <v>585</v>
      </c>
    </row>
    <row r="346" spans="1:3">
      <c r="A346" s="83" t="s">
        <v>1802</v>
      </c>
      <c r="B346" s="83" t="s">
        <v>17</v>
      </c>
      <c r="C346" s="83" t="s">
        <v>585</v>
      </c>
    </row>
    <row r="347" spans="1:3">
      <c r="A347" s="82" t="s">
        <v>1803</v>
      </c>
      <c r="B347" s="82" t="s">
        <v>0</v>
      </c>
      <c r="C347" s="82" t="s">
        <v>587</v>
      </c>
    </row>
    <row r="348" spans="1:3">
      <c r="A348" s="82" t="s">
        <v>1803</v>
      </c>
      <c r="B348" s="82" t="s">
        <v>459</v>
      </c>
      <c r="C348" s="82" t="s">
        <v>1331</v>
      </c>
    </row>
    <row r="349" spans="1:3">
      <c r="A349" s="82" t="s">
        <v>1803</v>
      </c>
      <c r="B349" s="82" t="s">
        <v>1600</v>
      </c>
      <c r="C349" s="82" t="s">
        <v>1327</v>
      </c>
    </row>
    <row r="350" spans="1:3">
      <c r="A350" s="82" t="s">
        <v>1803</v>
      </c>
      <c r="B350" s="82" t="s">
        <v>463</v>
      </c>
      <c r="C350" s="82" t="s">
        <v>1332</v>
      </c>
    </row>
    <row r="351" spans="1:3">
      <c r="A351" s="82" t="s">
        <v>1803</v>
      </c>
      <c r="B351" s="82" t="s">
        <v>13</v>
      </c>
      <c r="C351" s="82" t="s">
        <v>582</v>
      </c>
    </row>
    <row r="352" spans="1:3">
      <c r="A352" s="82" t="s">
        <v>1803</v>
      </c>
      <c r="B352" s="82" t="s">
        <v>321</v>
      </c>
      <c r="C352" s="82" t="s">
        <v>583</v>
      </c>
    </row>
    <row r="353" spans="1:3">
      <c r="A353" s="82" t="s">
        <v>1803</v>
      </c>
      <c r="B353" s="82" t="s">
        <v>305</v>
      </c>
      <c r="C353" s="82" t="s">
        <v>584</v>
      </c>
    </row>
    <row r="354" spans="1:3">
      <c r="A354" s="82" t="s">
        <v>1803</v>
      </c>
      <c r="B354" s="82" t="s">
        <v>14</v>
      </c>
      <c r="C354" s="82" t="s">
        <v>1331</v>
      </c>
    </row>
    <row r="355" spans="1:3">
      <c r="A355" s="82" t="s">
        <v>1803</v>
      </c>
      <c r="B355" s="82" t="s">
        <v>15</v>
      </c>
      <c r="C355" s="82" t="s">
        <v>585</v>
      </c>
    </row>
    <row r="356" spans="1:3">
      <c r="A356" s="82" t="s">
        <v>1803</v>
      </c>
      <c r="B356" s="82" t="s">
        <v>16</v>
      </c>
      <c r="C356" s="82" t="s">
        <v>585</v>
      </c>
    </row>
    <row r="357" spans="1:3">
      <c r="A357" s="82" t="s">
        <v>1803</v>
      </c>
      <c r="B357" s="82" t="s">
        <v>17</v>
      </c>
      <c r="C357" s="82" t="s">
        <v>585</v>
      </c>
    </row>
    <row r="358" spans="1:3">
      <c r="A358" s="83" t="s">
        <v>1804</v>
      </c>
      <c r="B358" s="83" t="s">
        <v>0</v>
      </c>
      <c r="C358" s="83" t="s">
        <v>587</v>
      </c>
    </row>
    <row r="359" spans="1:3">
      <c r="A359" s="83" t="s">
        <v>1804</v>
      </c>
      <c r="B359" s="83" t="s">
        <v>1607</v>
      </c>
      <c r="C359" s="83" t="s">
        <v>1327</v>
      </c>
    </row>
    <row r="360" spans="1:3">
      <c r="A360" s="83" t="s">
        <v>1804</v>
      </c>
      <c r="B360" s="83" t="s">
        <v>1606</v>
      </c>
      <c r="C360" s="83" t="s">
        <v>578</v>
      </c>
    </row>
    <row r="361" spans="1:3">
      <c r="A361" s="83" t="s">
        <v>1804</v>
      </c>
      <c r="B361" s="83" t="s">
        <v>1605</v>
      </c>
      <c r="C361" s="83" t="s">
        <v>578</v>
      </c>
    </row>
    <row r="362" spans="1:3">
      <c r="A362" s="83" t="s">
        <v>1804</v>
      </c>
      <c r="B362" s="83" t="s">
        <v>1604</v>
      </c>
      <c r="C362" s="83" t="s">
        <v>578</v>
      </c>
    </row>
    <row r="363" spans="1:3">
      <c r="A363" s="83" t="s">
        <v>1804</v>
      </c>
      <c r="B363" s="83" t="s">
        <v>1603</v>
      </c>
      <c r="C363" s="83" t="s">
        <v>582</v>
      </c>
    </row>
    <row r="364" spans="1:3">
      <c r="A364" s="83" t="s">
        <v>1804</v>
      </c>
      <c r="B364" s="83" t="s">
        <v>1602</v>
      </c>
      <c r="C364" s="83" t="s">
        <v>585</v>
      </c>
    </row>
    <row r="365" spans="1:3">
      <c r="A365" s="83" t="s">
        <v>1804</v>
      </c>
      <c r="B365" s="83" t="s">
        <v>588</v>
      </c>
      <c r="C365" s="83" t="s">
        <v>578</v>
      </c>
    </row>
    <row r="366" spans="1:3">
      <c r="A366" s="83" t="s">
        <v>1804</v>
      </c>
      <c r="B366" s="83" t="s">
        <v>1634</v>
      </c>
      <c r="C366" s="83" t="s">
        <v>578</v>
      </c>
    </row>
    <row r="367" spans="1:3">
      <c r="A367" s="83" t="s">
        <v>1804</v>
      </c>
      <c r="B367" s="83" t="s">
        <v>321</v>
      </c>
      <c r="C367" s="83" t="s">
        <v>583</v>
      </c>
    </row>
    <row r="368" spans="1:3">
      <c r="A368" s="83" t="s">
        <v>1804</v>
      </c>
      <c r="B368" s="83" t="s">
        <v>13</v>
      </c>
      <c r="C368" s="83" t="s">
        <v>582</v>
      </c>
    </row>
    <row r="369" spans="1:3">
      <c r="A369" s="83" t="s">
        <v>1804</v>
      </c>
      <c r="B369" s="83" t="s">
        <v>305</v>
      </c>
      <c r="C369" s="83" t="s">
        <v>584</v>
      </c>
    </row>
    <row r="370" spans="1:3">
      <c r="A370" s="83" t="s">
        <v>1804</v>
      </c>
      <c r="B370" s="83" t="s">
        <v>14</v>
      </c>
      <c r="C370" s="83" t="s">
        <v>1331</v>
      </c>
    </row>
    <row r="371" spans="1:3">
      <c r="A371" s="83" t="s">
        <v>1804</v>
      </c>
      <c r="B371" s="83" t="s">
        <v>15</v>
      </c>
      <c r="C371" s="83" t="s">
        <v>585</v>
      </c>
    </row>
    <row r="372" spans="1:3">
      <c r="A372" s="83" t="s">
        <v>1804</v>
      </c>
      <c r="B372" s="83" t="s">
        <v>16</v>
      </c>
      <c r="C372" s="83" t="s">
        <v>585</v>
      </c>
    </row>
    <row r="373" spans="1:3">
      <c r="A373" s="83" t="s">
        <v>1804</v>
      </c>
      <c r="B373" s="83" t="s">
        <v>17</v>
      </c>
      <c r="C373" s="83" t="s">
        <v>585</v>
      </c>
    </row>
    <row r="374" spans="1:3">
      <c r="A374" s="82" t="s">
        <v>1805</v>
      </c>
      <c r="B374" s="82" t="s">
        <v>0</v>
      </c>
      <c r="C374" s="82" t="s">
        <v>1576</v>
      </c>
    </row>
    <row r="375" spans="1:3">
      <c r="A375" s="82" t="s">
        <v>1805</v>
      </c>
      <c r="B375" s="82" t="s">
        <v>2</v>
      </c>
      <c r="C375" s="82" t="s">
        <v>578</v>
      </c>
    </row>
    <row r="376" spans="1:3">
      <c r="A376" s="82" t="s">
        <v>1805</v>
      </c>
      <c r="B376" s="82" t="s">
        <v>321</v>
      </c>
      <c r="C376" s="82" t="s">
        <v>583</v>
      </c>
    </row>
    <row r="377" spans="1:3">
      <c r="A377" s="82" t="s">
        <v>1805</v>
      </c>
      <c r="B377" s="82" t="s">
        <v>305</v>
      </c>
      <c r="C377" s="82" t="s">
        <v>584</v>
      </c>
    </row>
    <row r="378" spans="1:3">
      <c r="A378" s="82" t="s">
        <v>1805</v>
      </c>
      <c r="B378" s="82" t="s">
        <v>13</v>
      </c>
      <c r="C378" s="82" t="s">
        <v>582</v>
      </c>
    </row>
    <row r="379" spans="1:3">
      <c r="A379" s="82" t="s">
        <v>1805</v>
      </c>
      <c r="B379" s="82" t="s">
        <v>14</v>
      </c>
      <c r="C379" s="82" t="s">
        <v>1331</v>
      </c>
    </row>
    <row r="380" spans="1:3">
      <c r="A380" s="82" t="s">
        <v>1805</v>
      </c>
      <c r="B380" s="82" t="s">
        <v>15</v>
      </c>
      <c r="C380" s="82" t="s">
        <v>585</v>
      </c>
    </row>
    <row r="381" spans="1:3">
      <c r="A381" s="82" t="s">
        <v>1805</v>
      </c>
      <c r="B381" s="82" t="s">
        <v>16</v>
      </c>
      <c r="C381" s="82" t="s">
        <v>585</v>
      </c>
    </row>
    <row r="382" spans="1:3">
      <c r="A382" s="82" t="s">
        <v>1805</v>
      </c>
      <c r="B382" s="82" t="s">
        <v>17</v>
      </c>
      <c r="C382" s="82" t="s">
        <v>585</v>
      </c>
    </row>
    <row r="383" spans="1:3">
      <c r="A383" s="83" t="s">
        <v>1806</v>
      </c>
      <c r="B383" s="83" t="s">
        <v>0</v>
      </c>
      <c r="C383" s="83" t="s">
        <v>587</v>
      </c>
    </row>
    <row r="384" spans="1:3">
      <c r="A384" s="83" t="s">
        <v>1806</v>
      </c>
      <c r="B384" s="83" t="s">
        <v>1613</v>
      </c>
      <c r="C384" s="83" t="s">
        <v>1331</v>
      </c>
    </row>
    <row r="385" spans="1:3">
      <c r="A385" s="83" t="s">
        <v>1806</v>
      </c>
      <c r="B385" s="83" t="s">
        <v>1770</v>
      </c>
      <c r="C385" s="83" t="s">
        <v>1333</v>
      </c>
    </row>
    <row r="386" spans="1:3">
      <c r="A386" s="83" t="s">
        <v>1806</v>
      </c>
      <c r="B386" s="83" t="s">
        <v>1612</v>
      </c>
      <c r="C386" s="83" t="s">
        <v>1333</v>
      </c>
    </row>
    <row r="387" spans="1:3">
      <c r="A387" s="83" t="s">
        <v>1806</v>
      </c>
      <c r="B387" s="83" t="s">
        <v>1611</v>
      </c>
      <c r="C387" s="83" t="s">
        <v>1331</v>
      </c>
    </row>
    <row r="388" spans="1:3">
      <c r="A388" s="83" t="s">
        <v>1806</v>
      </c>
      <c r="B388" s="83" t="s">
        <v>1610</v>
      </c>
      <c r="C388" s="83" t="s">
        <v>1329</v>
      </c>
    </row>
    <row r="389" spans="1:3">
      <c r="A389" s="83" t="s">
        <v>1806</v>
      </c>
      <c r="B389" s="83" t="s">
        <v>13</v>
      </c>
      <c r="C389" s="83" t="s">
        <v>582</v>
      </c>
    </row>
    <row r="390" spans="1:3">
      <c r="A390" s="83" t="s">
        <v>1806</v>
      </c>
      <c r="B390" s="83" t="s">
        <v>321</v>
      </c>
      <c r="C390" s="83" t="s">
        <v>583</v>
      </c>
    </row>
    <row r="391" spans="1:3">
      <c r="A391" s="83" t="s">
        <v>1806</v>
      </c>
      <c r="B391" s="83" t="s">
        <v>305</v>
      </c>
      <c r="C391" s="83" t="s">
        <v>584</v>
      </c>
    </row>
    <row r="392" spans="1:3">
      <c r="A392" s="83" t="s">
        <v>1806</v>
      </c>
      <c r="B392" s="83" t="s">
        <v>14</v>
      </c>
      <c r="C392" s="83" t="s">
        <v>1331</v>
      </c>
    </row>
    <row r="393" spans="1:3">
      <c r="A393" s="83" t="s">
        <v>1806</v>
      </c>
      <c r="B393" s="83" t="s">
        <v>15</v>
      </c>
      <c r="C393" s="83" t="s">
        <v>585</v>
      </c>
    </row>
    <row r="394" spans="1:3">
      <c r="A394" s="83" t="s">
        <v>1806</v>
      </c>
      <c r="B394" s="83" t="s">
        <v>16</v>
      </c>
      <c r="C394" s="83" t="s">
        <v>585</v>
      </c>
    </row>
    <row r="395" spans="1:3">
      <c r="A395" s="83" t="s">
        <v>1806</v>
      </c>
      <c r="B395" s="83" t="s">
        <v>17</v>
      </c>
      <c r="C395" s="83" t="s">
        <v>585</v>
      </c>
    </row>
    <row r="396" spans="1:3">
      <c r="A396" s="82" t="s">
        <v>1807</v>
      </c>
      <c r="B396" s="82" t="s">
        <v>0</v>
      </c>
      <c r="C396" s="82" t="s">
        <v>587</v>
      </c>
    </row>
    <row r="397" spans="1:3">
      <c r="A397" s="82" t="s">
        <v>1807</v>
      </c>
      <c r="B397" s="82" t="s">
        <v>1613</v>
      </c>
      <c r="C397" s="82" t="s">
        <v>1331</v>
      </c>
    </row>
    <row r="398" spans="1:3">
      <c r="A398" s="82" t="s">
        <v>1807</v>
      </c>
      <c r="B398" s="82" t="s">
        <v>1616</v>
      </c>
      <c r="C398" s="82" t="s">
        <v>1331</v>
      </c>
    </row>
    <row r="399" spans="1:3">
      <c r="A399" s="82" t="s">
        <v>1807</v>
      </c>
      <c r="B399" s="82" t="s">
        <v>1615</v>
      </c>
      <c r="C399" s="82" t="s">
        <v>1331</v>
      </c>
    </row>
    <row r="400" spans="1:3">
      <c r="A400" s="82" t="s">
        <v>1807</v>
      </c>
      <c r="B400" s="82" t="s">
        <v>1614</v>
      </c>
      <c r="C400" s="82" t="s">
        <v>585</v>
      </c>
    </row>
    <row r="401" spans="1:3">
      <c r="A401" s="82" t="s">
        <v>1807</v>
      </c>
      <c r="B401" s="82" t="s">
        <v>13</v>
      </c>
      <c r="C401" s="82" t="s">
        <v>582</v>
      </c>
    </row>
    <row r="402" spans="1:3">
      <c r="A402" s="82" t="s">
        <v>1807</v>
      </c>
      <c r="B402" s="82" t="s">
        <v>321</v>
      </c>
      <c r="C402" s="82" t="s">
        <v>583</v>
      </c>
    </row>
    <row r="403" spans="1:3">
      <c r="A403" s="82" t="s">
        <v>1807</v>
      </c>
      <c r="B403" s="82" t="s">
        <v>305</v>
      </c>
      <c r="C403" s="82" t="s">
        <v>584</v>
      </c>
    </row>
    <row r="404" spans="1:3">
      <c r="A404" s="82" t="s">
        <v>1807</v>
      </c>
      <c r="B404" s="82" t="s">
        <v>14</v>
      </c>
      <c r="C404" s="82" t="s">
        <v>1331</v>
      </c>
    </row>
    <row r="405" spans="1:3">
      <c r="A405" s="82" t="s">
        <v>1807</v>
      </c>
      <c r="B405" s="82" t="s">
        <v>15</v>
      </c>
      <c r="C405" s="82" t="s">
        <v>585</v>
      </c>
    </row>
    <row r="406" spans="1:3">
      <c r="A406" s="82" t="s">
        <v>1807</v>
      </c>
      <c r="B406" s="82" t="s">
        <v>16</v>
      </c>
      <c r="C406" s="82" t="s">
        <v>585</v>
      </c>
    </row>
    <row r="407" spans="1:3">
      <c r="A407" s="82" t="s">
        <v>1807</v>
      </c>
      <c r="B407" s="82" t="s">
        <v>17</v>
      </c>
      <c r="C407" s="82" t="s">
        <v>585</v>
      </c>
    </row>
    <row r="408" spans="1:3">
      <c r="A408" s="83" t="s">
        <v>1808</v>
      </c>
      <c r="B408" s="83" t="s">
        <v>0</v>
      </c>
      <c r="C408" s="83" t="s">
        <v>587</v>
      </c>
    </row>
    <row r="409" spans="1:3">
      <c r="A409" s="83" t="s">
        <v>1808</v>
      </c>
      <c r="B409" s="83" t="s">
        <v>1613</v>
      </c>
      <c r="C409" s="83" t="s">
        <v>1331</v>
      </c>
    </row>
    <row r="410" spans="1:3">
      <c r="A410" s="83" t="s">
        <v>1808</v>
      </c>
      <c r="B410" s="83" t="s">
        <v>1618</v>
      </c>
      <c r="C410" s="83" t="s">
        <v>1327</v>
      </c>
    </row>
    <row r="411" spans="1:3">
      <c r="A411" s="83" t="s">
        <v>1808</v>
      </c>
      <c r="B411" s="83" t="s">
        <v>1617</v>
      </c>
      <c r="C411" s="83" t="s">
        <v>1327</v>
      </c>
    </row>
    <row r="412" spans="1:3">
      <c r="A412" s="83" t="s">
        <v>1808</v>
      </c>
      <c r="B412" s="83" t="s">
        <v>13</v>
      </c>
      <c r="C412" s="83" t="s">
        <v>582</v>
      </c>
    </row>
    <row r="413" spans="1:3">
      <c r="A413" s="83" t="s">
        <v>1808</v>
      </c>
      <c r="B413" s="83" t="s">
        <v>321</v>
      </c>
      <c r="C413" s="83" t="s">
        <v>583</v>
      </c>
    </row>
    <row r="414" spans="1:3">
      <c r="A414" s="83" t="s">
        <v>1808</v>
      </c>
      <c r="B414" s="83" t="s">
        <v>305</v>
      </c>
      <c r="C414" s="83" t="s">
        <v>584</v>
      </c>
    </row>
    <row r="415" spans="1:3">
      <c r="A415" s="83" t="s">
        <v>1808</v>
      </c>
      <c r="B415" s="83" t="s">
        <v>14</v>
      </c>
      <c r="C415" s="83" t="s">
        <v>1331</v>
      </c>
    </row>
    <row r="416" spans="1:3">
      <c r="A416" s="83" t="s">
        <v>1808</v>
      </c>
      <c r="B416" s="83" t="s">
        <v>15</v>
      </c>
      <c r="C416" s="83" t="s">
        <v>585</v>
      </c>
    </row>
    <row r="417" spans="1:3">
      <c r="A417" s="83" t="s">
        <v>1808</v>
      </c>
      <c r="B417" s="83" t="s">
        <v>16</v>
      </c>
      <c r="C417" s="83" t="s">
        <v>585</v>
      </c>
    </row>
    <row r="418" spans="1:3">
      <c r="A418" s="83" t="s">
        <v>1808</v>
      </c>
      <c r="B418" s="83" t="s">
        <v>17</v>
      </c>
      <c r="C418" s="83" t="s">
        <v>585</v>
      </c>
    </row>
    <row r="419" spans="1:3">
      <c r="A419" s="82" t="s">
        <v>1809</v>
      </c>
      <c r="B419" s="82" t="s">
        <v>0</v>
      </c>
      <c r="C419" s="82" t="s">
        <v>1576</v>
      </c>
    </row>
    <row r="420" spans="1:3">
      <c r="A420" s="82" t="s">
        <v>1809</v>
      </c>
      <c r="B420" s="82" t="s">
        <v>2</v>
      </c>
      <c r="C420" s="82" t="s">
        <v>578</v>
      </c>
    </row>
    <row r="421" spans="1:3">
      <c r="A421" s="82" t="s">
        <v>1809</v>
      </c>
      <c r="B421" s="82" t="s">
        <v>13</v>
      </c>
      <c r="C421" s="82" t="s">
        <v>582</v>
      </c>
    </row>
    <row r="422" spans="1:3">
      <c r="A422" s="82" t="s">
        <v>1809</v>
      </c>
      <c r="B422" s="82" t="s">
        <v>321</v>
      </c>
      <c r="C422" s="82" t="s">
        <v>583</v>
      </c>
    </row>
    <row r="423" spans="1:3">
      <c r="A423" s="82" t="s">
        <v>1809</v>
      </c>
      <c r="B423" s="82" t="s">
        <v>305</v>
      </c>
      <c r="C423" s="82" t="s">
        <v>584</v>
      </c>
    </row>
    <row r="424" spans="1:3">
      <c r="A424" s="82" t="s">
        <v>1809</v>
      </c>
      <c r="B424" s="82" t="s">
        <v>14</v>
      </c>
      <c r="C424" s="82" t="s">
        <v>1331</v>
      </c>
    </row>
    <row r="425" spans="1:3">
      <c r="A425" s="82" t="s">
        <v>1809</v>
      </c>
      <c r="B425" s="82" t="s">
        <v>15</v>
      </c>
      <c r="C425" s="82" t="s">
        <v>585</v>
      </c>
    </row>
    <row r="426" spans="1:3">
      <c r="A426" s="82" t="s">
        <v>1809</v>
      </c>
      <c r="B426" s="82" t="s">
        <v>16</v>
      </c>
      <c r="C426" s="82" t="s">
        <v>585</v>
      </c>
    </row>
    <row r="427" spans="1:3">
      <c r="A427" s="82" t="s">
        <v>1809</v>
      </c>
      <c r="B427" s="82" t="s">
        <v>17</v>
      </c>
      <c r="C427" s="82" t="s">
        <v>585</v>
      </c>
    </row>
    <row r="428" spans="1:3">
      <c r="A428" s="83" t="s">
        <v>1810</v>
      </c>
      <c r="B428" s="83" t="s">
        <v>0</v>
      </c>
      <c r="C428" s="83" t="s">
        <v>1576</v>
      </c>
    </row>
    <row r="429" spans="1:3">
      <c r="A429" s="83" t="s">
        <v>1810</v>
      </c>
      <c r="B429" s="83" t="s">
        <v>1633</v>
      </c>
      <c r="C429" s="83" t="s">
        <v>1333</v>
      </c>
    </row>
    <row r="430" spans="1:3">
      <c r="A430" s="83" t="s">
        <v>1810</v>
      </c>
      <c r="B430" s="83" t="s">
        <v>2</v>
      </c>
      <c r="C430" s="83" t="s">
        <v>578</v>
      </c>
    </row>
    <row r="431" spans="1:3">
      <c r="A431" s="83" t="s">
        <v>1810</v>
      </c>
      <c r="B431" s="83" t="s">
        <v>13</v>
      </c>
      <c r="C431" s="83" t="s">
        <v>582</v>
      </c>
    </row>
    <row r="432" spans="1:3">
      <c r="A432" s="83" t="s">
        <v>1810</v>
      </c>
      <c r="B432" s="83" t="s">
        <v>321</v>
      </c>
      <c r="C432" s="83" t="s">
        <v>583</v>
      </c>
    </row>
    <row r="433" spans="1:3">
      <c r="A433" s="83" t="s">
        <v>1810</v>
      </c>
      <c r="B433" s="83" t="s">
        <v>305</v>
      </c>
      <c r="C433" s="83" t="s">
        <v>584</v>
      </c>
    </row>
    <row r="434" spans="1:3">
      <c r="A434" s="83" t="s">
        <v>1810</v>
      </c>
      <c r="B434" s="83" t="s">
        <v>14</v>
      </c>
      <c r="C434" s="83" t="s">
        <v>1331</v>
      </c>
    </row>
    <row r="435" spans="1:3">
      <c r="A435" s="83" t="s">
        <v>1810</v>
      </c>
      <c r="B435" s="83" t="s">
        <v>15</v>
      </c>
      <c r="C435" s="83" t="s">
        <v>585</v>
      </c>
    </row>
    <row r="436" spans="1:3">
      <c r="A436" s="83" t="s">
        <v>1810</v>
      </c>
      <c r="B436" s="83" t="s">
        <v>16</v>
      </c>
      <c r="C436" s="83" t="s">
        <v>585</v>
      </c>
    </row>
    <row r="437" spans="1:3">
      <c r="A437" s="83" t="s">
        <v>1810</v>
      </c>
      <c r="B437" s="83" t="s">
        <v>17</v>
      </c>
      <c r="C437" s="83" t="s">
        <v>585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K757"/>
  <sheetViews>
    <sheetView workbookViewId="0">
      <selection activeCell="A2" sqref="A2:A757"/>
    </sheetView>
  </sheetViews>
  <sheetFormatPr defaultColWidth="15.7109375" defaultRowHeight="15"/>
  <cols>
    <col min="1" max="1" width="25.85546875" style="1" bestFit="1" customWidth="1"/>
    <col min="2" max="2" width="10.7109375" style="1" bestFit="1" customWidth="1"/>
    <col min="3" max="3" width="18.42578125" style="1" bestFit="1" customWidth="1"/>
    <col min="4" max="4" width="15" style="1" bestFit="1" customWidth="1"/>
    <col min="5" max="16384" width="15.7109375" style="1"/>
  </cols>
  <sheetData>
    <row r="1" spans="1:11">
      <c r="A1" s="9" t="s">
        <v>0</v>
      </c>
      <c r="B1" s="9" t="s">
        <v>417</v>
      </c>
      <c r="C1" s="9" t="s">
        <v>458</v>
      </c>
      <c r="D1" s="9" t="s">
        <v>453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1329</v>
      </c>
      <c r="C2" s="9" t="s">
        <v>1331</v>
      </c>
      <c r="D2" s="18" t="s">
        <v>1597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  <row r="3" spans="1:11">
      <c r="A3" s="91">
        <v>1</v>
      </c>
      <c r="B3" s="91" t="s">
        <v>1815</v>
      </c>
      <c r="C3" s="91">
        <v>2811</v>
      </c>
      <c r="D3" s="91" t="s">
        <v>1818</v>
      </c>
      <c r="E3" s="91"/>
      <c r="F3" s="91"/>
      <c r="G3" s="91"/>
      <c r="H3" s="91"/>
      <c r="I3" s="91"/>
      <c r="J3" s="91"/>
      <c r="K3" s="91"/>
    </row>
    <row r="4" spans="1:11">
      <c r="A4" s="91">
        <v>2</v>
      </c>
      <c r="B4" s="91" t="s">
        <v>1815</v>
      </c>
      <c r="C4" s="91">
        <v>1715</v>
      </c>
      <c r="D4" s="91" t="s">
        <v>1818</v>
      </c>
      <c r="E4" s="91"/>
      <c r="F4" s="91"/>
      <c r="G4" s="91"/>
      <c r="H4" s="91"/>
      <c r="I4" s="91"/>
      <c r="J4" s="91"/>
      <c r="K4" s="91"/>
    </row>
    <row r="5" spans="1:11">
      <c r="A5" s="91">
        <v>3</v>
      </c>
      <c r="B5" s="91" t="s">
        <v>1815</v>
      </c>
      <c r="C5" s="91">
        <v>1351</v>
      </c>
      <c r="D5" s="91" t="s">
        <v>1818</v>
      </c>
      <c r="E5" s="91"/>
      <c r="F5" s="91"/>
      <c r="G5" s="91"/>
      <c r="H5" s="91"/>
      <c r="I5" s="91"/>
      <c r="J5" s="91"/>
      <c r="K5" s="91"/>
    </row>
    <row r="6" spans="1:11">
      <c r="A6" s="91">
        <v>4</v>
      </c>
      <c r="B6" s="91" t="s">
        <v>1815</v>
      </c>
      <c r="C6" s="91">
        <v>1485</v>
      </c>
      <c r="D6" s="91" t="s">
        <v>1818</v>
      </c>
      <c r="E6" s="91"/>
      <c r="F6" s="91"/>
      <c r="G6" s="91"/>
      <c r="H6" s="91"/>
      <c r="I6" s="91"/>
      <c r="J6" s="91"/>
      <c r="K6" s="91"/>
    </row>
    <row r="7" spans="1:11">
      <c r="A7" s="91">
        <v>5</v>
      </c>
      <c r="B7" s="91" t="s">
        <v>1815</v>
      </c>
      <c r="C7" s="91">
        <v>2595</v>
      </c>
      <c r="D7" s="91" t="s">
        <v>1818</v>
      </c>
      <c r="E7" s="91"/>
      <c r="F7" s="91"/>
      <c r="G7" s="91"/>
      <c r="H7" s="91"/>
      <c r="I7" s="91"/>
      <c r="J7" s="91"/>
      <c r="K7" s="91"/>
    </row>
    <row r="8" spans="1:11">
      <c r="A8" s="91">
        <v>6</v>
      </c>
      <c r="B8" s="91" t="s">
        <v>1815</v>
      </c>
      <c r="C8" s="91">
        <v>1351</v>
      </c>
      <c r="D8" s="91" t="s">
        <v>1818</v>
      </c>
      <c r="E8" s="91"/>
      <c r="F8" s="91"/>
      <c r="G8" s="91"/>
      <c r="H8" s="91"/>
      <c r="I8" s="91"/>
      <c r="J8" s="91"/>
      <c r="K8" s="91"/>
    </row>
    <row r="9" spans="1:11">
      <c r="A9" s="91">
        <v>7</v>
      </c>
      <c r="B9" s="91" t="s">
        <v>1815</v>
      </c>
      <c r="C9" s="91">
        <v>1485</v>
      </c>
      <c r="D9" s="91" t="s">
        <v>1818</v>
      </c>
      <c r="E9" s="91"/>
      <c r="F9" s="91"/>
      <c r="G9" s="91"/>
      <c r="H9" s="91"/>
      <c r="I9" s="91"/>
      <c r="J9" s="91"/>
      <c r="K9" s="91"/>
    </row>
    <row r="10" spans="1:11">
      <c r="A10" s="91">
        <v>8</v>
      </c>
      <c r="B10" s="91" t="s">
        <v>1815</v>
      </c>
      <c r="C10" s="91">
        <v>1351</v>
      </c>
      <c r="D10" s="91" t="s">
        <v>1818</v>
      </c>
      <c r="E10" s="91"/>
      <c r="F10" s="91"/>
      <c r="G10" s="91"/>
      <c r="H10" s="91"/>
      <c r="I10" s="91"/>
      <c r="J10" s="91"/>
      <c r="K10" s="91"/>
    </row>
    <row r="11" spans="1:11">
      <c r="A11" s="91">
        <v>9</v>
      </c>
      <c r="B11" s="91" t="s">
        <v>1815</v>
      </c>
      <c r="C11" s="91">
        <v>1485</v>
      </c>
      <c r="D11" s="91" t="s">
        <v>1818</v>
      </c>
      <c r="E11" s="91"/>
      <c r="F11" s="91"/>
      <c r="G11" s="91"/>
      <c r="H11" s="91"/>
      <c r="I11" s="91"/>
      <c r="J11" s="91"/>
      <c r="K11" s="91"/>
    </row>
    <row r="12" spans="1:11">
      <c r="A12" s="91">
        <v>10</v>
      </c>
      <c r="B12" s="91" t="s">
        <v>1815</v>
      </c>
      <c r="C12" s="91">
        <v>1715</v>
      </c>
      <c r="D12" s="91" t="s">
        <v>1818</v>
      </c>
      <c r="E12" s="91"/>
      <c r="F12" s="91"/>
      <c r="G12" s="91"/>
      <c r="H12" s="91"/>
      <c r="I12" s="91"/>
      <c r="J12" s="91"/>
      <c r="K12" s="91"/>
    </row>
    <row r="13" spans="1:11">
      <c r="A13" s="91">
        <v>11</v>
      </c>
      <c r="B13" s="91" t="s">
        <v>1815</v>
      </c>
      <c r="C13" s="91">
        <v>1351</v>
      </c>
      <c r="D13" s="91" t="s">
        <v>1818</v>
      </c>
      <c r="E13" s="91"/>
      <c r="F13" s="91"/>
      <c r="G13" s="91"/>
      <c r="H13" s="91"/>
      <c r="I13" s="91"/>
      <c r="J13" s="91"/>
      <c r="K13" s="91"/>
    </row>
    <row r="14" spans="1:11">
      <c r="A14" s="91">
        <v>12</v>
      </c>
      <c r="B14" s="91" t="s">
        <v>1815</v>
      </c>
      <c r="C14" s="91">
        <v>1485</v>
      </c>
      <c r="D14" s="91" t="s">
        <v>1818</v>
      </c>
      <c r="E14" s="91"/>
      <c r="F14" s="91"/>
      <c r="G14" s="91"/>
      <c r="H14" s="91"/>
      <c r="I14" s="91"/>
      <c r="J14" s="91"/>
      <c r="K14" s="91"/>
    </row>
    <row r="15" spans="1:11">
      <c r="A15" s="91">
        <v>13</v>
      </c>
      <c r="B15" s="91" t="s">
        <v>1815</v>
      </c>
      <c r="C15" s="91">
        <v>2595</v>
      </c>
      <c r="D15" s="91" t="s">
        <v>1818</v>
      </c>
      <c r="E15" s="91"/>
      <c r="F15" s="91"/>
      <c r="G15" s="91"/>
      <c r="H15" s="91"/>
      <c r="I15" s="91"/>
      <c r="J15" s="91"/>
      <c r="K15" s="91"/>
    </row>
    <row r="16" spans="1:11">
      <c r="A16" s="91">
        <v>14</v>
      </c>
      <c r="B16" s="91" t="s">
        <v>1815</v>
      </c>
      <c r="C16" s="91">
        <v>1351</v>
      </c>
      <c r="D16" s="91" t="s">
        <v>1818</v>
      </c>
      <c r="E16" s="91"/>
      <c r="F16" s="91"/>
      <c r="G16" s="91"/>
      <c r="H16" s="91"/>
      <c r="I16" s="91"/>
      <c r="J16" s="91"/>
      <c r="K16" s="91"/>
    </row>
    <row r="17" spans="1:11">
      <c r="A17" s="91">
        <v>15</v>
      </c>
      <c r="B17" s="91" t="s">
        <v>1815</v>
      </c>
      <c r="C17" s="91">
        <v>1715</v>
      </c>
      <c r="D17" s="91" t="s">
        <v>1818</v>
      </c>
      <c r="E17" s="91"/>
      <c r="F17" s="91"/>
      <c r="G17" s="91"/>
      <c r="H17" s="91"/>
      <c r="I17" s="91"/>
      <c r="J17" s="91"/>
      <c r="K17" s="91"/>
    </row>
    <row r="18" spans="1:11">
      <c r="A18" s="91">
        <v>16</v>
      </c>
      <c r="B18" s="91" t="s">
        <v>1815</v>
      </c>
      <c r="C18" s="91">
        <v>1351</v>
      </c>
      <c r="D18" s="91" t="s">
        <v>1818</v>
      </c>
      <c r="E18" s="91"/>
      <c r="F18" s="91"/>
      <c r="G18" s="91"/>
      <c r="H18" s="91"/>
      <c r="I18" s="91"/>
      <c r="J18" s="91"/>
      <c r="K18" s="91"/>
    </row>
    <row r="19" spans="1:11">
      <c r="A19" s="91">
        <v>17</v>
      </c>
      <c r="B19" s="91" t="s">
        <v>1815</v>
      </c>
      <c r="C19" s="91">
        <v>2595</v>
      </c>
      <c r="D19" s="91" t="s">
        <v>1818</v>
      </c>
      <c r="E19" s="91"/>
      <c r="F19" s="91"/>
      <c r="G19" s="91"/>
      <c r="H19" s="91"/>
      <c r="I19" s="91"/>
      <c r="J19" s="91"/>
      <c r="K19" s="91"/>
    </row>
    <row r="20" spans="1:11">
      <c r="A20" s="91">
        <v>18</v>
      </c>
      <c r="B20" s="91" t="s">
        <v>1815</v>
      </c>
      <c r="C20" s="91">
        <v>1715</v>
      </c>
      <c r="D20" s="91" t="s">
        <v>1818</v>
      </c>
      <c r="E20" s="91"/>
      <c r="F20" s="91"/>
      <c r="G20" s="91"/>
      <c r="H20" s="91"/>
      <c r="I20" s="91"/>
      <c r="J20" s="91"/>
      <c r="K20" s="91"/>
    </row>
    <row r="21" spans="1:11">
      <c r="A21" s="91">
        <v>19</v>
      </c>
      <c r="B21" s="91" t="s">
        <v>1815</v>
      </c>
      <c r="C21" s="91">
        <v>1351</v>
      </c>
      <c r="D21" s="91" t="s">
        <v>1818</v>
      </c>
      <c r="E21" s="91"/>
      <c r="F21" s="91"/>
      <c r="G21" s="91"/>
      <c r="H21" s="91"/>
      <c r="I21" s="91"/>
      <c r="J21" s="91"/>
      <c r="K21" s="91"/>
    </row>
    <row r="22" spans="1:11">
      <c r="A22" s="91">
        <v>20</v>
      </c>
      <c r="B22" s="91" t="s">
        <v>1815</v>
      </c>
      <c r="C22" s="91">
        <v>1485</v>
      </c>
      <c r="D22" s="91" t="s">
        <v>1818</v>
      </c>
      <c r="E22" s="91"/>
      <c r="F22" s="91"/>
      <c r="G22" s="91"/>
      <c r="H22" s="91"/>
      <c r="I22" s="91"/>
      <c r="J22" s="91"/>
      <c r="K22" s="91"/>
    </row>
    <row r="23" spans="1:11">
      <c r="A23" s="91">
        <v>21</v>
      </c>
      <c r="B23" s="91" t="s">
        <v>1815</v>
      </c>
      <c r="C23" s="91">
        <v>2795</v>
      </c>
      <c r="D23" s="91" t="s">
        <v>1818</v>
      </c>
      <c r="E23" s="91"/>
      <c r="F23" s="91"/>
      <c r="G23" s="91"/>
      <c r="H23" s="91"/>
      <c r="I23" s="91"/>
      <c r="J23" s="91"/>
      <c r="K23" s="91"/>
    </row>
    <row r="24" spans="1:11">
      <c r="A24" s="91">
        <v>22</v>
      </c>
      <c r="B24" s="91" t="s">
        <v>1815</v>
      </c>
      <c r="C24" s="91">
        <v>2595</v>
      </c>
      <c r="D24" s="91" t="s">
        <v>1818</v>
      </c>
      <c r="E24" s="91"/>
      <c r="F24" s="91"/>
      <c r="G24" s="91"/>
      <c r="H24" s="91"/>
      <c r="I24" s="91"/>
      <c r="J24" s="91"/>
      <c r="K24" s="91"/>
    </row>
    <row r="25" spans="1:11">
      <c r="A25" s="91">
        <v>23</v>
      </c>
      <c r="B25" s="91" t="s">
        <v>1815</v>
      </c>
      <c r="C25" s="91">
        <v>2595</v>
      </c>
      <c r="D25" s="91" t="s">
        <v>1818</v>
      </c>
      <c r="E25" s="91"/>
      <c r="F25" s="91"/>
      <c r="G25" s="91"/>
      <c r="H25" s="91"/>
      <c r="I25" s="91"/>
      <c r="J25" s="91"/>
      <c r="K25" s="91"/>
    </row>
    <row r="26" spans="1:11">
      <c r="A26" s="91">
        <v>24</v>
      </c>
      <c r="B26" s="91" t="s">
        <v>1815</v>
      </c>
      <c r="C26" s="91">
        <v>1715</v>
      </c>
      <c r="D26" s="91" t="s">
        <v>1818</v>
      </c>
      <c r="E26" s="91"/>
      <c r="F26" s="91"/>
      <c r="G26" s="91"/>
      <c r="H26" s="91"/>
      <c r="I26" s="91"/>
      <c r="J26" s="91"/>
      <c r="K26" s="91"/>
    </row>
    <row r="27" spans="1:11">
      <c r="A27" s="91">
        <v>25</v>
      </c>
      <c r="B27" s="91" t="s">
        <v>1815</v>
      </c>
      <c r="C27" s="91">
        <v>1351</v>
      </c>
      <c r="D27" s="91" t="s">
        <v>1818</v>
      </c>
      <c r="E27" s="91"/>
      <c r="F27" s="91"/>
      <c r="G27" s="91"/>
      <c r="H27" s="91"/>
      <c r="I27" s="91"/>
      <c r="J27" s="91"/>
      <c r="K27" s="91"/>
    </row>
    <row r="28" spans="1:11">
      <c r="A28" s="91">
        <v>26</v>
      </c>
      <c r="B28" s="91" t="s">
        <v>1815</v>
      </c>
      <c r="C28" s="91">
        <v>2595</v>
      </c>
      <c r="D28" s="91" t="s">
        <v>1818</v>
      </c>
      <c r="E28" s="91"/>
      <c r="F28" s="91"/>
      <c r="G28" s="91"/>
      <c r="H28" s="91"/>
      <c r="I28" s="91"/>
      <c r="J28" s="91"/>
      <c r="K28" s="91"/>
    </row>
    <row r="29" spans="1:11">
      <c r="A29" s="91">
        <v>27</v>
      </c>
      <c r="B29" s="91" t="s">
        <v>1815</v>
      </c>
      <c r="C29" s="91">
        <v>1351</v>
      </c>
      <c r="D29" s="91" t="s">
        <v>1818</v>
      </c>
      <c r="E29" s="91"/>
      <c r="F29" s="91"/>
      <c r="G29" s="91"/>
      <c r="H29" s="91"/>
      <c r="I29" s="91"/>
      <c r="J29" s="91"/>
      <c r="K29" s="91"/>
    </row>
    <row r="30" spans="1:11">
      <c r="A30" s="91">
        <v>28</v>
      </c>
      <c r="B30" s="91" t="s">
        <v>1815</v>
      </c>
      <c r="C30" s="91">
        <v>1485</v>
      </c>
      <c r="D30" s="91" t="s">
        <v>1818</v>
      </c>
      <c r="E30" s="91"/>
      <c r="F30" s="91"/>
      <c r="G30" s="91"/>
      <c r="H30" s="91"/>
      <c r="I30" s="91"/>
      <c r="J30" s="91"/>
      <c r="K30" s="91"/>
    </row>
    <row r="31" spans="1:11">
      <c r="A31" s="91">
        <v>29</v>
      </c>
      <c r="B31" s="91" t="s">
        <v>1815</v>
      </c>
      <c r="C31" s="91">
        <v>1715</v>
      </c>
      <c r="D31" s="91" t="s">
        <v>1818</v>
      </c>
      <c r="E31" s="91"/>
      <c r="F31" s="91"/>
      <c r="G31" s="91"/>
      <c r="H31" s="91"/>
      <c r="I31" s="91"/>
      <c r="J31" s="91"/>
      <c r="K31" s="91"/>
    </row>
    <row r="32" spans="1:11">
      <c r="A32" s="91">
        <v>30</v>
      </c>
      <c r="B32" s="91" t="s">
        <v>1815</v>
      </c>
      <c r="C32" s="91">
        <v>1351</v>
      </c>
      <c r="D32" s="91" t="s">
        <v>1818</v>
      </c>
      <c r="E32" s="91"/>
      <c r="F32" s="91"/>
      <c r="G32" s="91"/>
      <c r="H32" s="91"/>
      <c r="I32" s="91"/>
      <c r="J32" s="91"/>
      <c r="K32" s="91"/>
    </row>
    <row r="33" spans="1:11">
      <c r="A33" s="91">
        <v>31</v>
      </c>
      <c r="B33" s="91" t="s">
        <v>1815</v>
      </c>
      <c r="C33" s="91">
        <v>1485</v>
      </c>
      <c r="D33" s="91" t="s">
        <v>1818</v>
      </c>
      <c r="E33" s="91"/>
      <c r="F33" s="91"/>
      <c r="G33" s="91"/>
      <c r="H33" s="91"/>
      <c r="I33" s="91"/>
      <c r="J33" s="91"/>
      <c r="K33" s="91"/>
    </row>
    <row r="34" spans="1:11">
      <c r="A34" s="91">
        <v>32</v>
      </c>
      <c r="B34" s="91" t="s">
        <v>1815</v>
      </c>
      <c r="C34" s="91">
        <v>1715</v>
      </c>
      <c r="D34" s="91" t="s">
        <v>1818</v>
      </c>
      <c r="E34" s="91"/>
      <c r="F34" s="91"/>
      <c r="G34" s="91"/>
      <c r="H34" s="91"/>
      <c r="I34" s="91"/>
      <c r="J34" s="91"/>
      <c r="K34" s="91"/>
    </row>
    <row r="35" spans="1:11">
      <c r="A35" s="91">
        <v>33</v>
      </c>
      <c r="B35" s="91" t="s">
        <v>1815</v>
      </c>
      <c r="C35" s="91">
        <v>1351</v>
      </c>
      <c r="D35" s="91" t="s">
        <v>1818</v>
      </c>
      <c r="E35" s="91"/>
      <c r="F35" s="91"/>
      <c r="G35" s="91"/>
      <c r="H35" s="91"/>
      <c r="I35" s="91"/>
      <c r="J35" s="91"/>
      <c r="K35" s="91"/>
    </row>
    <row r="36" spans="1:11">
      <c r="A36" s="91">
        <v>34</v>
      </c>
      <c r="B36" s="91" t="s">
        <v>1815</v>
      </c>
      <c r="C36" s="91">
        <v>1485</v>
      </c>
      <c r="D36" s="91" t="s">
        <v>1818</v>
      </c>
      <c r="E36" s="91"/>
      <c r="F36" s="91"/>
      <c r="G36" s="91"/>
      <c r="H36" s="91"/>
      <c r="I36" s="91"/>
      <c r="J36" s="91"/>
      <c r="K36" s="91"/>
    </row>
    <row r="37" spans="1:11">
      <c r="A37" s="91">
        <v>35</v>
      </c>
      <c r="B37" s="91" t="s">
        <v>1815</v>
      </c>
      <c r="C37" s="91">
        <v>2595</v>
      </c>
      <c r="D37" s="91" t="s">
        <v>1818</v>
      </c>
      <c r="E37" s="91"/>
      <c r="F37" s="91"/>
      <c r="G37" s="91"/>
      <c r="H37" s="91"/>
      <c r="I37" s="91"/>
      <c r="J37" s="91"/>
      <c r="K37" s="91"/>
    </row>
    <row r="38" spans="1:11">
      <c r="A38" s="91">
        <v>36</v>
      </c>
      <c r="B38" s="91" t="s">
        <v>1815</v>
      </c>
      <c r="C38" s="91">
        <v>2795</v>
      </c>
      <c r="D38" s="91" t="s">
        <v>1818</v>
      </c>
      <c r="E38" s="91"/>
      <c r="F38" s="91"/>
      <c r="G38" s="91"/>
      <c r="H38" s="91"/>
      <c r="I38" s="91"/>
      <c r="J38" s="91"/>
      <c r="K38" s="91"/>
    </row>
    <row r="39" spans="1:11">
      <c r="A39" s="91">
        <v>37</v>
      </c>
      <c r="B39" s="91" t="s">
        <v>1815</v>
      </c>
      <c r="C39" s="91">
        <v>2595</v>
      </c>
      <c r="D39" s="91" t="s">
        <v>1818</v>
      </c>
      <c r="E39" s="91"/>
      <c r="F39" s="91"/>
      <c r="G39" s="91"/>
      <c r="H39" s="91"/>
      <c r="I39" s="91"/>
      <c r="J39" s="91"/>
      <c r="K39" s="91"/>
    </row>
    <row r="40" spans="1:11">
      <c r="A40" s="91">
        <v>38</v>
      </c>
      <c r="B40" s="91" t="s">
        <v>1815</v>
      </c>
      <c r="C40" s="91">
        <v>1351</v>
      </c>
      <c r="D40" s="91" t="s">
        <v>1818</v>
      </c>
      <c r="E40" s="91"/>
      <c r="F40" s="91"/>
      <c r="G40" s="91"/>
      <c r="H40" s="91"/>
      <c r="I40" s="91"/>
      <c r="J40" s="91"/>
      <c r="K40" s="91"/>
    </row>
    <row r="41" spans="1:11">
      <c r="A41" s="91">
        <v>39</v>
      </c>
      <c r="B41" s="91" t="s">
        <v>1815</v>
      </c>
      <c r="C41" s="91">
        <v>1485</v>
      </c>
      <c r="D41" s="91" t="s">
        <v>1818</v>
      </c>
      <c r="E41" s="91"/>
      <c r="F41" s="91"/>
      <c r="G41" s="91"/>
      <c r="H41" s="91"/>
      <c r="I41" s="91"/>
      <c r="J41" s="91"/>
      <c r="K41" s="91"/>
    </row>
    <row r="42" spans="1:11">
      <c r="A42" s="91">
        <v>40</v>
      </c>
      <c r="B42" s="91" t="s">
        <v>1815</v>
      </c>
      <c r="C42" s="91">
        <v>1056</v>
      </c>
      <c r="D42" s="91" t="s">
        <v>1818</v>
      </c>
      <c r="E42" s="91"/>
      <c r="F42" s="91"/>
      <c r="G42" s="91"/>
      <c r="H42" s="91"/>
      <c r="I42" s="91"/>
      <c r="J42" s="91"/>
      <c r="K42" s="91"/>
    </row>
    <row r="43" spans="1:11">
      <c r="A43" s="91">
        <v>41</v>
      </c>
      <c r="B43" s="91" t="s">
        <v>1815</v>
      </c>
      <c r="C43" s="91">
        <v>1351</v>
      </c>
      <c r="D43" s="91" t="s">
        <v>1818</v>
      </c>
      <c r="E43" s="91"/>
      <c r="F43" s="91"/>
      <c r="G43" s="91"/>
      <c r="H43" s="91"/>
      <c r="I43" s="91"/>
      <c r="J43" s="91"/>
      <c r="K43" s="91"/>
    </row>
    <row r="44" spans="1:11">
      <c r="A44" s="91">
        <v>42</v>
      </c>
      <c r="B44" s="91" t="s">
        <v>1815</v>
      </c>
      <c r="C44" s="91">
        <v>1485</v>
      </c>
      <c r="D44" s="91" t="s">
        <v>1818</v>
      </c>
      <c r="E44" s="91"/>
      <c r="F44" s="91"/>
      <c r="G44" s="91"/>
      <c r="H44" s="91"/>
      <c r="I44" s="91"/>
      <c r="J44" s="91"/>
      <c r="K44" s="91"/>
    </row>
    <row r="45" spans="1:11">
      <c r="A45" s="91">
        <v>43</v>
      </c>
      <c r="B45" s="91" t="s">
        <v>1815</v>
      </c>
      <c r="C45" s="91">
        <v>2595</v>
      </c>
      <c r="D45" s="91" t="s">
        <v>1818</v>
      </c>
      <c r="E45" s="91"/>
      <c r="F45" s="91"/>
      <c r="G45" s="91"/>
      <c r="H45" s="91"/>
      <c r="I45" s="91"/>
      <c r="J45" s="91"/>
      <c r="K45" s="91"/>
    </row>
    <row r="46" spans="1:11">
      <c r="A46" s="91">
        <v>44</v>
      </c>
      <c r="B46" s="91" t="s">
        <v>1815</v>
      </c>
      <c r="C46" s="91">
        <v>1351</v>
      </c>
      <c r="D46" s="91" t="s">
        <v>1818</v>
      </c>
      <c r="E46" s="91"/>
      <c r="F46" s="91"/>
      <c r="G46" s="91"/>
      <c r="H46" s="91"/>
      <c r="I46" s="91"/>
      <c r="J46" s="91"/>
      <c r="K46" s="91"/>
    </row>
    <row r="47" spans="1:11">
      <c r="A47" s="91">
        <v>45</v>
      </c>
      <c r="B47" s="91" t="s">
        <v>1815</v>
      </c>
      <c r="C47" s="91">
        <v>1485</v>
      </c>
      <c r="D47" s="91" t="s">
        <v>1818</v>
      </c>
      <c r="E47" s="91"/>
      <c r="F47" s="91"/>
      <c r="G47" s="91"/>
      <c r="H47" s="91"/>
      <c r="I47" s="91"/>
      <c r="J47" s="91"/>
      <c r="K47" s="91"/>
    </row>
    <row r="48" spans="1:11">
      <c r="A48" s="91">
        <v>46</v>
      </c>
      <c r="B48" s="91" t="s">
        <v>1815</v>
      </c>
      <c r="C48" s="91">
        <v>1437</v>
      </c>
      <c r="D48" s="91" t="s">
        <v>1818</v>
      </c>
      <c r="E48" s="91"/>
      <c r="F48" s="91"/>
      <c r="G48" s="91"/>
      <c r="H48" s="91"/>
      <c r="I48" s="91"/>
      <c r="J48" s="91"/>
      <c r="K48" s="91"/>
    </row>
    <row r="49" spans="1:11">
      <c r="A49" s="91">
        <v>47</v>
      </c>
      <c r="B49" s="91" t="s">
        <v>1815</v>
      </c>
      <c r="C49" s="91">
        <v>763</v>
      </c>
      <c r="D49" s="91" t="s">
        <v>1818</v>
      </c>
      <c r="E49" s="91"/>
      <c r="F49" s="91"/>
      <c r="G49" s="91"/>
      <c r="H49" s="91"/>
      <c r="I49" s="91"/>
      <c r="J49" s="91"/>
      <c r="K49" s="91"/>
    </row>
    <row r="50" spans="1:11">
      <c r="A50" s="91">
        <v>48</v>
      </c>
      <c r="B50" s="91" t="s">
        <v>1815</v>
      </c>
      <c r="C50" s="91">
        <v>1437</v>
      </c>
      <c r="D50" s="91" t="s">
        <v>1818</v>
      </c>
      <c r="E50" s="91"/>
      <c r="F50" s="91"/>
      <c r="G50" s="91"/>
      <c r="H50" s="91"/>
      <c r="I50" s="91"/>
      <c r="J50" s="91"/>
      <c r="K50" s="91"/>
    </row>
    <row r="51" spans="1:11">
      <c r="A51" s="91">
        <v>49</v>
      </c>
      <c r="B51" s="91" t="s">
        <v>1815</v>
      </c>
      <c r="C51" s="91">
        <v>1056</v>
      </c>
      <c r="D51" s="91" t="s">
        <v>1818</v>
      </c>
      <c r="E51" s="91"/>
      <c r="F51" s="91"/>
      <c r="G51" s="91"/>
      <c r="H51" s="91"/>
      <c r="I51" s="91"/>
      <c r="J51" s="91"/>
      <c r="K51" s="91"/>
    </row>
    <row r="52" spans="1:11">
      <c r="A52" s="91">
        <v>50</v>
      </c>
      <c r="B52" s="91" t="s">
        <v>1815</v>
      </c>
      <c r="C52" s="91">
        <v>1351</v>
      </c>
      <c r="D52" s="91" t="s">
        <v>1818</v>
      </c>
      <c r="E52" s="91"/>
      <c r="F52" s="91"/>
      <c r="G52" s="91"/>
      <c r="H52" s="91"/>
      <c r="I52" s="91"/>
      <c r="J52" s="91"/>
      <c r="K52" s="91"/>
    </row>
    <row r="53" spans="1:11">
      <c r="A53" s="91">
        <v>51</v>
      </c>
      <c r="B53" s="91" t="s">
        <v>1815</v>
      </c>
      <c r="C53" s="91">
        <v>2795</v>
      </c>
      <c r="D53" s="91" t="s">
        <v>1818</v>
      </c>
      <c r="E53" s="91"/>
      <c r="F53" s="91"/>
      <c r="G53" s="91"/>
      <c r="H53" s="91"/>
      <c r="I53" s="91"/>
      <c r="J53" s="91"/>
      <c r="K53" s="91"/>
    </row>
    <row r="54" spans="1:11">
      <c r="A54" s="91">
        <v>52</v>
      </c>
      <c r="B54" s="91" t="s">
        <v>1815</v>
      </c>
      <c r="C54" s="91">
        <v>726</v>
      </c>
      <c r="D54" s="91" t="s">
        <v>1818</v>
      </c>
      <c r="E54" s="91"/>
      <c r="F54" s="91"/>
      <c r="G54" s="91"/>
      <c r="H54" s="91"/>
      <c r="I54" s="91"/>
      <c r="J54" s="91"/>
      <c r="K54" s="91"/>
    </row>
    <row r="55" spans="1:11">
      <c r="A55" s="91">
        <v>53</v>
      </c>
      <c r="B55" s="91" t="s">
        <v>1815</v>
      </c>
      <c r="C55" s="91">
        <v>726</v>
      </c>
      <c r="D55" s="91" t="s">
        <v>1818</v>
      </c>
      <c r="E55" s="91"/>
      <c r="F55" s="91"/>
      <c r="G55" s="91"/>
      <c r="H55" s="91"/>
      <c r="I55" s="91"/>
      <c r="J55" s="91"/>
      <c r="K55" s="91"/>
    </row>
    <row r="56" spans="1:11">
      <c r="A56" s="91">
        <v>54</v>
      </c>
      <c r="B56" s="91" t="s">
        <v>1815</v>
      </c>
      <c r="C56" s="91">
        <v>1433</v>
      </c>
      <c r="D56" s="91" t="s">
        <v>1818</v>
      </c>
      <c r="E56" s="91"/>
      <c r="F56" s="91"/>
      <c r="G56" s="91"/>
      <c r="H56" s="91"/>
      <c r="I56" s="91"/>
      <c r="J56" s="91"/>
      <c r="K56" s="91"/>
    </row>
    <row r="57" spans="1:11">
      <c r="A57" s="91">
        <v>55</v>
      </c>
      <c r="B57" s="91" t="s">
        <v>1815</v>
      </c>
      <c r="C57" s="91">
        <v>1182</v>
      </c>
      <c r="D57" s="91" t="s">
        <v>1818</v>
      </c>
      <c r="E57" s="91"/>
      <c r="F57" s="91"/>
      <c r="G57" s="91"/>
      <c r="H57" s="91"/>
      <c r="I57" s="91"/>
      <c r="J57" s="91"/>
      <c r="K57" s="91"/>
    </row>
    <row r="58" spans="1:11">
      <c r="A58" s="91">
        <v>56</v>
      </c>
      <c r="B58" s="91" t="s">
        <v>1815</v>
      </c>
      <c r="C58" s="91">
        <v>1056</v>
      </c>
      <c r="D58" s="91" t="s">
        <v>1818</v>
      </c>
      <c r="E58" s="91"/>
      <c r="F58" s="91"/>
      <c r="G58" s="91"/>
      <c r="H58" s="91"/>
      <c r="I58" s="91"/>
      <c r="J58" s="91"/>
      <c r="K58" s="91"/>
    </row>
    <row r="59" spans="1:11">
      <c r="A59" s="91">
        <v>57</v>
      </c>
      <c r="B59" s="91" t="s">
        <v>1815</v>
      </c>
      <c r="C59" s="91">
        <v>1351</v>
      </c>
      <c r="D59" s="91" t="s">
        <v>1818</v>
      </c>
      <c r="E59" s="91"/>
      <c r="F59" s="91"/>
      <c r="G59" s="91"/>
      <c r="H59" s="91"/>
      <c r="I59" s="91"/>
      <c r="J59" s="91"/>
      <c r="K59" s="91"/>
    </row>
    <row r="60" spans="1:11">
      <c r="A60" s="91">
        <v>58</v>
      </c>
      <c r="B60" s="91" t="s">
        <v>1815</v>
      </c>
      <c r="C60" s="91">
        <v>1437</v>
      </c>
      <c r="D60" s="91" t="s">
        <v>1818</v>
      </c>
      <c r="E60" s="91"/>
      <c r="F60" s="91"/>
      <c r="G60" s="91"/>
      <c r="H60" s="91"/>
      <c r="I60" s="91"/>
      <c r="J60" s="91"/>
      <c r="K60" s="91"/>
    </row>
    <row r="61" spans="1:11">
      <c r="A61" s="91">
        <v>59</v>
      </c>
      <c r="B61" s="91" t="s">
        <v>1815</v>
      </c>
      <c r="C61" s="91">
        <v>1437</v>
      </c>
      <c r="D61" s="91" t="s">
        <v>1818</v>
      </c>
      <c r="E61" s="91"/>
      <c r="F61" s="91"/>
      <c r="G61" s="91"/>
      <c r="H61" s="91"/>
      <c r="I61" s="91"/>
      <c r="J61" s="91"/>
      <c r="K61" s="91"/>
    </row>
    <row r="62" spans="1:11">
      <c r="A62" s="91">
        <v>60</v>
      </c>
      <c r="B62" s="91" t="s">
        <v>1815</v>
      </c>
      <c r="C62" s="91">
        <v>1056</v>
      </c>
      <c r="D62" s="91" t="s">
        <v>1818</v>
      </c>
      <c r="E62" s="91"/>
      <c r="F62" s="91"/>
      <c r="G62" s="91"/>
      <c r="H62" s="91"/>
      <c r="I62" s="91"/>
      <c r="J62" s="91"/>
      <c r="K62" s="91"/>
    </row>
    <row r="63" spans="1:11">
      <c r="A63" s="91">
        <v>61</v>
      </c>
      <c r="B63" s="91" t="s">
        <v>1815</v>
      </c>
      <c r="C63" s="91">
        <v>1351</v>
      </c>
      <c r="D63" s="91" t="s">
        <v>1818</v>
      </c>
      <c r="E63" s="91"/>
      <c r="F63" s="91"/>
      <c r="G63" s="91"/>
      <c r="H63" s="91"/>
      <c r="I63" s="91"/>
      <c r="J63" s="91"/>
      <c r="K63" s="91"/>
    </row>
    <row r="64" spans="1:11">
      <c r="A64" s="91">
        <v>62</v>
      </c>
      <c r="B64" s="91" t="s">
        <v>1815</v>
      </c>
      <c r="C64" s="91">
        <v>1056</v>
      </c>
      <c r="D64" s="91" t="s">
        <v>1818</v>
      </c>
      <c r="E64" s="91"/>
      <c r="F64" s="91"/>
      <c r="G64" s="91"/>
      <c r="H64" s="91"/>
      <c r="I64" s="91"/>
      <c r="J64" s="91"/>
      <c r="K64" s="91"/>
    </row>
    <row r="65" spans="1:11">
      <c r="A65" s="91">
        <v>63</v>
      </c>
      <c r="B65" s="91" t="s">
        <v>1815</v>
      </c>
      <c r="C65" s="91">
        <v>1351</v>
      </c>
      <c r="D65" s="91" t="s">
        <v>1818</v>
      </c>
      <c r="E65" s="91"/>
      <c r="F65" s="91"/>
      <c r="G65" s="91"/>
      <c r="H65" s="91"/>
      <c r="I65" s="91"/>
      <c r="J65" s="91"/>
      <c r="K65" s="91"/>
    </row>
    <row r="66" spans="1:11">
      <c r="A66" s="91">
        <v>64</v>
      </c>
      <c r="B66" s="91" t="s">
        <v>1815</v>
      </c>
      <c r="C66" s="91">
        <v>1437</v>
      </c>
      <c r="D66" s="91" t="s">
        <v>1818</v>
      </c>
      <c r="E66" s="91"/>
      <c r="F66" s="91"/>
      <c r="G66" s="91"/>
      <c r="H66" s="91"/>
      <c r="I66" s="91"/>
      <c r="J66" s="91"/>
      <c r="K66" s="91"/>
    </row>
    <row r="67" spans="1:11">
      <c r="A67" s="91">
        <v>65</v>
      </c>
      <c r="B67" s="91" t="s">
        <v>1815</v>
      </c>
      <c r="C67" s="91">
        <v>763</v>
      </c>
      <c r="D67" s="91" t="s">
        <v>1818</v>
      </c>
      <c r="E67" s="91"/>
      <c r="F67" s="91"/>
      <c r="G67" s="91"/>
      <c r="H67" s="91"/>
      <c r="I67" s="91"/>
      <c r="J67" s="91"/>
      <c r="K67" s="91"/>
    </row>
    <row r="68" spans="1:11">
      <c r="A68" s="91">
        <v>66</v>
      </c>
      <c r="B68" s="91" t="s">
        <v>1815</v>
      </c>
      <c r="C68" s="91">
        <v>1433</v>
      </c>
      <c r="D68" s="91" t="s">
        <v>1818</v>
      </c>
      <c r="E68" s="91"/>
      <c r="F68" s="91"/>
      <c r="G68" s="91"/>
      <c r="H68" s="91"/>
      <c r="I68" s="91"/>
      <c r="J68" s="91"/>
      <c r="K68" s="91"/>
    </row>
    <row r="69" spans="1:11">
      <c r="A69" s="91">
        <v>67</v>
      </c>
      <c r="B69" s="91" t="s">
        <v>1815</v>
      </c>
      <c r="C69" s="91">
        <v>2813</v>
      </c>
      <c r="D69" s="91" t="s">
        <v>1818</v>
      </c>
      <c r="E69" s="91"/>
      <c r="F69" s="91"/>
      <c r="G69" s="91"/>
      <c r="H69" s="91"/>
      <c r="I69" s="91"/>
      <c r="J69" s="91"/>
      <c r="K69" s="91"/>
    </row>
    <row r="70" spans="1:11">
      <c r="A70" s="91">
        <v>68</v>
      </c>
      <c r="B70" s="91" t="s">
        <v>1815</v>
      </c>
      <c r="C70" s="91">
        <v>1056</v>
      </c>
      <c r="D70" s="91" t="s">
        <v>1818</v>
      </c>
      <c r="E70" s="91"/>
      <c r="F70" s="91"/>
      <c r="G70" s="91"/>
      <c r="H70" s="91"/>
      <c r="I70" s="91"/>
      <c r="J70" s="91"/>
      <c r="K70" s="91"/>
    </row>
    <row r="71" spans="1:11">
      <c r="A71" s="91">
        <v>69</v>
      </c>
      <c r="B71" s="91" t="s">
        <v>1815</v>
      </c>
      <c r="C71" s="91">
        <v>1351</v>
      </c>
      <c r="D71" s="91" t="s">
        <v>1818</v>
      </c>
      <c r="E71" s="91"/>
      <c r="F71" s="91"/>
      <c r="G71" s="91"/>
      <c r="H71" s="91"/>
      <c r="I71" s="91"/>
      <c r="J71" s="91"/>
      <c r="K71" s="91"/>
    </row>
    <row r="72" spans="1:11">
      <c r="A72" s="91">
        <v>70</v>
      </c>
      <c r="B72" s="91" t="s">
        <v>1815</v>
      </c>
      <c r="C72" s="91">
        <v>1485</v>
      </c>
      <c r="D72" s="91" t="s">
        <v>1818</v>
      </c>
      <c r="E72" s="91"/>
      <c r="F72" s="91"/>
      <c r="G72" s="91"/>
      <c r="H72" s="91"/>
      <c r="I72" s="91"/>
      <c r="J72" s="91"/>
      <c r="K72" s="91"/>
    </row>
    <row r="73" spans="1:11">
      <c r="A73" s="91">
        <v>71</v>
      </c>
      <c r="B73" s="91" t="s">
        <v>1815</v>
      </c>
      <c r="C73" s="91">
        <v>726</v>
      </c>
      <c r="D73" s="91" t="s">
        <v>1818</v>
      </c>
      <c r="E73" s="91"/>
      <c r="F73" s="91"/>
      <c r="G73" s="91"/>
      <c r="H73" s="91"/>
      <c r="I73" s="91"/>
      <c r="J73" s="91"/>
      <c r="K73" s="91"/>
    </row>
    <row r="74" spans="1:11">
      <c r="A74" s="91">
        <v>72</v>
      </c>
      <c r="B74" s="91" t="s">
        <v>1815</v>
      </c>
      <c r="C74" s="91">
        <v>2980</v>
      </c>
      <c r="D74" s="91" t="s">
        <v>1818</v>
      </c>
      <c r="E74" s="91"/>
      <c r="F74" s="91"/>
      <c r="G74" s="91"/>
      <c r="H74" s="91"/>
      <c r="I74" s="91"/>
      <c r="J74" s="91"/>
      <c r="K74" s="91"/>
    </row>
    <row r="75" spans="1:11">
      <c r="A75" s="91">
        <v>73</v>
      </c>
      <c r="B75" s="91" t="s">
        <v>1815</v>
      </c>
      <c r="C75" s="91">
        <v>2813</v>
      </c>
      <c r="D75" s="91" t="s">
        <v>1818</v>
      </c>
      <c r="E75" s="91"/>
      <c r="F75" s="91"/>
      <c r="G75" s="91"/>
      <c r="H75" s="91"/>
      <c r="I75" s="91"/>
      <c r="J75" s="91"/>
      <c r="K75" s="91"/>
    </row>
    <row r="76" spans="1:11">
      <c r="A76" s="91">
        <v>74</v>
      </c>
      <c r="B76" s="91" t="s">
        <v>1815</v>
      </c>
      <c r="C76" s="91">
        <v>2980</v>
      </c>
      <c r="D76" s="91" t="s">
        <v>1818</v>
      </c>
      <c r="E76" s="91"/>
      <c r="F76" s="91"/>
      <c r="G76" s="91"/>
      <c r="H76" s="91"/>
      <c r="I76" s="91"/>
      <c r="J76" s="91"/>
      <c r="K76" s="91"/>
    </row>
    <row r="77" spans="1:11">
      <c r="A77" s="91">
        <v>75</v>
      </c>
      <c r="B77" s="91" t="s">
        <v>1815</v>
      </c>
      <c r="C77" s="91">
        <v>2813</v>
      </c>
      <c r="D77" s="91" t="s">
        <v>1818</v>
      </c>
      <c r="E77" s="91"/>
      <c r="F77" s="91"/>
      <c r="G77" s="91"/>
      <c r="H77" s="91"/>
      <c r="I77" s="91"/>
      <c r="J77" s="91"/>
      <c r="K77" s="91"/>
    </row>
    <row r="78" spans="1:11">
      <c r="A78" s="91">
        <v>76</v>
      </c>
      <c r="B78" s="91" t="s">
        <v>1815</v>
      </c>
      <c r="C78" s="91">
        <v>2788</v>
      </c>
      <c r="D78" s="91" t="s">
        <v>1818</v>
      </c>
      <c r="E78" s="91"/>
      <c r="F78" s="91"/>
      <c r="G78" s="91"/>
      <c r="H78" s="91"/>
      <c r="I78" s="91"/>
      <c r="J78" s="91"/>
      <c r="K78" s="91"/>
    </row>
    <row r="79" spans="1:11">
      <c r="A79" s="91">
        <v>77</v>
      </c>
      <c r="B79" s="91" t="s">
        <v>1815</v>
      </c>
      <c r="C79" s="91">
        <v>2801</v>
      </c>
      <c r="D79" s="91" t="s">
        <v>1818</v>
      </c>
      <c r="E79" s="91"/>
      <c r="F79" s="91"/>
      <c r="G79" s="91"/>
      <c r="H79" s="91"/>
      <c r="I79" s="91"/>
      <c r="J79" s="91"/>
      <c r="K79" s="91"/>
    </row>
    <row r="80" spans="1:11">
      <c r="A80" s="91">
        <v>78</v>
      </c>
      <c r="B80" s="91" t="s">
        <v>1815</v>
      </c>
      <c r="C80" s="91">
        <v>1433</v>
      </c>
      <c r="D80" s="91" t="s">
        <v>1818</v>
      </c>
      <c r="E80" s="91"/>
      <c r="F80" s="91"/>
      <c r="G80" s="91"/>
      <c r="H80" s="91"/>
      <c r="I80" s="91"/>
      <c r="J80" s="91"/>
      <c r="K80" s="91"/>
    </row>
    <row r="81" spans="1:11">
      <c r="A81" s="91">
        <v>79</v>
      </c>
      <c r="B81" s="91" t="s">
        <v>1815</v>
      </c>
      <c r="C81" s="91">
        <v>2642</v>
      </c>
      <c r="D81" s="91" t="s">
        <v>1818</v>
      </c>
      <c r="E81" s="91"/>
      <c r="F81" s="91"/>
      <c r="G81" s="91"/>
      <c r="H81" s="91"/>
      <c r="I81" s="91"/>
      <c r="J81" s="91"/>
      <c r="K81" s="91"/>
    </row>
    <row r="82" spans="1:11">
      <c r="A82" s="91">
        <v>80</v>
      </c>
      <c r="B82" s="91" t="s">
        <v>1815</v>
      </c>
      <c r="C82" s="91">
        <v>2813</v>
      </c>
      <c r="D82" s="91" t="s">
        <v>1818</v>
      </c>
      <c r="E82" s="91"/>
      <c r="F82" s="91"/>
      <c r="G82" s="91"/>
      <c r="H82" s="91"/>
      <c r="I82" s="91"/>
      <c r="J82" s="91"/>
      <c r="K82" s="91"/>
    </row>
    <row r="83" spans="1:11">
      <c r="A83" s="91">
        <v>81</v>
      </c>
      <c r="B83" s="91" t="s">
        <v>1815</v>
      </c>
      <c r="C83" s="91">
        <v>2980</v>
      </c>
      <c r="D83" s="91" t="s">
        <v>1818</v>
      </c>
      <c r="E83" s="91"/>
      <c r="F83" s="91"/>
      <c r="G83" s="91"/>
      <c r="H83" s="91"/>
      <c r="I83" s="91"/>
      <c r="J83" s="91"/>
      <c r="K83" s="91"/>
    </row>
    <row r="84" spans="1:11">
      <c r="A84" s="91">
        <v>82</v>
      </c>
      <c r="B84" s="91" t="s">
        <v>1815</v>
      </c>
      <c r="C84" s="91">
        <v>2813</v>
      </c>
      <c r="D84" s="91" t="s">
        <v>1818</v>
      </c>
      <c r="E84" s="91"/>
      <c r="F84" s="91"/>
      <c r="G84" s="91"/>
      <c r="H84" s="91"/>
      <c r="I84" s="91"/>
      <c r="J84" s="91"/>
      <c r="K84" s="91"/>
    </row>
    <row r="85" spans="1:11">
      <c r="A85" s="91">
        <v>83</v>
      </c>
      <c r="B85" s="91" t="s">
        <v>1815</v>
      </c>
      <c r="C85" s="91">
        <v>2788</v>
      </c>
      <c r="D85" s="91" t="s">
        <v>1818</v>
      </c>
      <c r="E85" s="91"/>
      <c r="F85" s="91"/>
      <c r="G85" s="91"/>
      <c r="H85" s="91"/>
      <c r="I85" s="91"/>
      <c r="J85" s="91"/>
      <c r="K85" s="91"/>
    </row>
    <row r="86" spans="1:11">
      <c r="A86" s="91">
        <v>84</v>
      </c>
      <c r="B86" s="91" t="s">
        <v>1815</v>
      </c>
      <c r="C86" s="91">
        <v>2801</v>
      </c>
      <c r="D86" s="91" t="s">
        <v>1818</v>
      </c>
      <c r="E86" s="91"/>
      <c r="F86" s="91"/>
      <c r="G86" s="91"/>
      <c r="H86" s="91"/>
      <c r="I86" s="91"/>
      <c r="J86" s="91"/>
      <c r="K86" s="91"/>
    </row>
    <row r="87" spans="1:11">
      <c r="A87" s="91">
        <v>85</v>
      </c>
      <c r="B87" s="91" t="s">
        <v>1815</v>
      </c>
      <c r="C87" s="91">
        <v>1433</v>
      </c>
      <c r="D87" s="91" t="s">
        <v>1818</v>
      </c>
      <c r="E87" s="91"/>
      <c r="F87" s="91"/>
      <c r="G87" s="91"/>
      <c r="H87" s="91"/>
      <c r="I87" s="91"/>
      <c r="J87" s="91"/>
      <c r="K87" s="91"/>
    </row>
    <row r="88" spans="1:11">
      <c r="A88" s="91">
        <v>86</v>
      </c>
      <c r="B88" s="91" t="s">
        <v>1815</v>
      </c>
      <c r="C88" s="91">
        <v>2642</v>
      </c>
      <c r="D88" s="91" t="s">
        <v>1818</v>
      </c>
      <c r="E88" s="91"/>
      <c r="F88" s="91"/>
      <c r="G88" s="91"/>
      <c r="H88" s="91"/>
      <c r="I88" s="91"/>
      <c r="J88" s="91"/>
      <c r="K88" s="91"/>
    </row>
    <row r="89" spans="1:11">
      <c r="A89" s="91">
        <v>87</v>
      </c>
      <c r="B89" s="91" t="s">
        <v>1815</v>
      </c>
      <c r="C89" s="91">
        <v>2813</v>
      </c>
      <c r="D89" s="91" t="s">
        <v>1818</v>
      </c>
      <c r="E89" s="91"/>
      <c r="F89" s="91"/>
      <c r="G89" s="91"/>
      <c r="H89" s="91"/>
      <c r="I89" s="91"/>
      <c r="J89" s="91"/>
      <c r="K89" s="91"/>
    </row>
    <row r="90" spans="1:11">
      <c r="A90" s="91">
        <v>88</v>
      </c>
      <c r="B90" s="91" t="s">
        <v>1815</v>
      </c>
      <c r="C90" s="91">
        <v>2788</v>
      </c>
      <c r="D90" s="91" t="s">
        <v>1818</v>
      </c>
      <c r="E90" s="91"/>
      <c r="F90" s="91"/>
      <c r="G90" s="91"/>
      <c r="H90" s="91"/>
      <c r="I90" s="91"/>
      <c r="J90" s="91"/>
      <c r="K90" s="91"/>
    </row>
    <row r="91" spans="1:11">
      <c r="A91" s="91">
        <v>89</v>
      </c>
      <c r="B91" s="91" t="s">
        <v>1815</v>
      </c>
      <c r="C91" s="91">
        <v>1433</v>
      </c>
      <c r="D91" s="91" t="s">
        <v>1818</v>
      </c>
      <c r="E91" s="91"/>
      <c r="F91" s="91"/>
      <c r="G91" s="91"/>
      <c r="H91" s="91"/>
      <c r="I91" s="91"/>
      <c r="J91" s="91"/>
      <c r="K91" s="91"/>
    </row>
    <row r="92" spans="1:11">
      <c r="A92" s="91">
        <v>90</v>
      </c>
      <c r="B92" s="91" t="s">
        <v>1815</v>
      </c>
      <c r="C92" s="91">
        <v>2575</v>
      </c>
      <c r="D92" s="91" t="s">
        <v>1818</v>
      </c>
      <c r="E92" s="91"/>
      <c r="F92" s="91"/>
      <c r="G92" s="91"/>
      <c r="H92" s="91"/>
      <c r="I92" s="91"/>
      <c r="J92" s="91"/>
      <c r="K92" s="91"/>
    </row>
    <row r="93" spans="1:11">
      <c r="A93" s="91">
        <v>91</v>
      </c>
      <c r="B93" s="91" t="s">
        <v>1815</v>
      </c>
      <c r="C93" s="91">
        <v>2980</v>
      </c>
      <c r="D93" s="91" t="s">
        <v>1818</v>
      </c>
      <c r="E93" s="91"/>
      <c r="F93" s="91"/>
      <c r="G93" s="91"/>
      <c r="H93" s="91"/>
      <c r="I93" s="91"/>
      <c r="J93" s="91"/>
      <c r="K93" s="91"/>
    </row>
    <row r="94" spans="1:11">
      <c r="A94" s="91">
        <v>92</v>
      </c>
      <c r="B94" s="91" t="s">
        <v>1815</v>
      </c>
      <c r="C94" s="91">
        <v>2813</v>
      </c>
      <c r="D94" s="91" t="s">
        <v>1818</v>
      </c>
      <c r="E94" s="91"/>
      <c r="F94" s="91"/>
      <c r="G94" s="91"/>
      <c r="H94" s="91"/>
      <c r="I94" s="91"/>
      <c r="J94" s="91"/>
      <c r="K94" s="91"/>
    </row>
    <row r="95" spans="1:11">
      <c r="A95" s="91">
        <v>93</v>
      </c>
      <c r="B95" s="91" t="s">
        <v>1815</v>
      </c>
      <c r="C95" s="91">
        <v>2788</v>
      </c>
      <c r="D95" s="91" t="s">
        <v>1818</v>
      </c>
      <c r="E95" s="91"/>
      <c r="F95" s="91"/>
      <c r="G95" s="91"/>
      <c r="H95" s="91"/>
      <c r="I95" s="91"/>
      <c r="J95" s="91"/>
      <c r="K95" s="91"/>
    </row>
    <row r="96" spans="1:11">
      <c r="A96" s="91">
        <v>94</v>
      </c>
      <c r="B96" s="91" t="s">
        <v>1815</v>
      </c>
      <c r="C96" s="91">
        <v>2801</v>
      </c>
      <c r="D96" s="91" t="s">
        <v>1818</v>
      </c>
      <c r="E96" s="91"/>
      <c r="F96" s="91"/>
      <c r="G96" s="91"/>
      <c r="H96" s="91"/>
      <c r="I96" s="91"/>
      <c r="J96" s="91"/>
      <c r="K96" s="91"/>
    </row>
    <row r="97" spans="1:11">
      <c r="A97" s="91">
        <v>95</v>
      </c>
      <c r="B97" s="91" t="s">
        <v>1815</v>
      </c>
      <c r="C97" s="91">
        <v>1433</v>
      </c>
      <c r="D97" s="91" t="s">
        <v>1818</v>
      </c>
      <c r="E97" s="91"/>
      <c r="F97" s="91"/>
      <c r="G97" s="91"/>
      <c r="H97" s="91"/>
      <c r="I97" s="91"/>
      <c r="J97" s="91"/>
      <c r="K97" s="91"/>
    </row>
    <row r="98" spans="1:11">
      <c r="A98" s="91">
        <v>96</v>
      </c>
      <c r="B98" s="91" t="s">
        <v>1815</v>
      </c>
      <c r="C98" s="91">
        <v>2642</v>
      </c>
      <c r="D98" s="91" t="s">
        <v>1818</v>
      </c>
      <c r="E98" s="91"/>
      <c r="F98" s="91"/>
      <c r="G98" s="91"/>
      <c r="H98" s="91"/>
      <c r="I98" s="91"/>
      <c r="J98" s="91"/>
      <c r="K98" s="91"/>
    </row>
    <row r="99" spans="1:11">
      <c r="A99" s="91">
        <v>97</v>
      </c>
      <c r="B99" s="91" t="s">
        <v>1815</v>
      </c>
      <c r="C99" s="91">
        <v>2980</v>
      </c>
      <c r="D99" s="91" t="s">
        <v>1818</v>
      </c>
      <c r="E99" s="91"/>
      <c r="F99" s="91"/>
      <c r="G99" s="91"/>
      <c r="H99" s="91"/>
      <c r="I99" s="91"/>
      <c r="J99" s="91"/>
      <c r="K99" s="91"/>
    </row>
    <row r="100" spans="1:11">
      <c r="A100" s="91">
        <v>98</v>
      </c>
      <c r="B100" s="91" t="s">
        <v>1815</v>
      </c>
      <c r="C100" s="91">
        <v>1485</v>
      </c>
      <c r="D100" s="91" t="s">
        <v>1818</v>
      </c>
      <c r="E100" s="91"/>
      <c r="F100" s="91"/>
      <c r="G100" s="91"/>
      <c r="H100" s="91"/>
      <c r="I100" s="91"/>
      <c r="J100" s="91"/>
      <c r="K100" s="91"/>
    </row>
    <row r="101" spans="1:11">
      <c r="A101" s="91">
        <v>99</v>
      </c>
      <c r="B101" s="91" t="s">
        <v>1815</v>
      </c>
      <c r="C101" s="91">
        <v>1485</v>
      </c>
      <c r="D101" s="91" t="s">
        <v>1818</v>
      </c>
      <c r="E101" s="91"/>
      <c r="F101" s="91"/>
      <c r="G101" s="91"/>
      <c r="H101" s="91"/>
      <c r="I101" s="91"/>
      <c r="J101" s="91"/>
      <c r="K101" s="91"/>
    </row>
    <row r="102" spans="1:11">
      <c r="A102" s="91">
        <v>100</v>
      </c>
      <c r="B102" s="91" t="s">
        <v>1815</v>
      </c>
      <c r="C102" s="91">
        <v>1485</v>
      </c>
      <c r="D102" s="91" t="s">
        <v>1818</v>
      </c>
      <c r="E102" s="91"/>
      <c r="F102" s="91"/>
      <c r="G102" s="91"/>
      <c r="H102" s="91"/>
      <c r="I102" s="91"/>
      <c r="J102" s="91"/>
      <c r="K102" s="91"/>
    </row>
    <row r="103" spans="1:11">
      <c r="A103" s="91">
        <v>101</v>
      </c>
      <c r="B103" s="91" t="s">
        <v>1815</v>
      </c>
      <c r="C103" s="91">
        <v>1485</v>
      </c>
      <c r="D103" s="91" t="s">
        <v>1818</v>
      </c>
      <c r="E103" s="91"/>
      <c r="F103" s="91"/>
      <c r="G103" s="91"/>
      <c r="H103" s="91"/>
      <c r="I103" s="91"/>
      <c r="J103" s="91"/>
      <c r="K103" s="91"/>
    </row>
    <row r="104" spans="1:11">
      <c r="A104" s="91">
        <v>102</v>
      </c>
      <c r="B104" s="91" t="s">
        <v>1815</v>
      </c>
      <c r="C104" s="91">
        <v>2811</v>
      </c>
      <c r="D104" s="91" t="s">
        <v>1818</v>
      </c>
      <c r="E104" s="91"/>
      <c r="F104" s="91"/>
      <c r="G104" s="91"/>
      <c r="H104" s="91"/>
      <c r="I104" s="91"/>
      <c r="J104" s="91"/>
      <c r="K104" s="91"/>
    </row>
    <row r="105" spans="1:11">
      <c r="A105" s="91">
        <v>103</v>
      </c>
      <c r="B105" s="91" t="s">
        <v>1815</v>
      </c>
      <c r="C105" s="91">
        <v>726</v>
      </c>
      <c r="D105" s="91" t="s">
        <v>1818</v>
      </c>
      <c r="E105" s="91"/>
      <c r="F105" s="91"/>
      <c r="G105" s="91"/>
      <c r="H105" s="91"/>
      <c r="I105" s="91"/>
      <c r="J105" s="91"/>
      <c r="K105" s="91"/>
    </row>
    <row r="106" spans="1:11">
      <c r="A106" s="91">
        <v>104</v>
      </c>
      <c r="B106" s="91" t="s">
        <v>1815</v>
      </c>
      <c r="C106" s="91">
        <v>1433</v>
      </c>
      <c r="D106" s="91" t="s">
        <v>1818</v>
      </c>
      <c r="E106" s="91"/>
      <c r="F106" s="91"/>
      <c r="G106" s="91"/>
      <c r="H106" s="91"/>
      <c r="I106" s="91"/>
      <c r="J106" s="91"/>
      <c r="K106" s="91"/>
    </row>
    <row r="107" spans="1:11">
      <c r="A107" s="91">
        <v>105</v>
      </c>
      <c r="B107" s="91" t="s">
        <v>1815</v>
      </c>
      <c r="C107" s="91">
        <v>2811</v>
      </c>
      <c r="D107" s="91" t="s">
        <v>1818</v>
      </c>
      <c r="E107" s="91"/>
      <c r="F107" s="91"/>
      <c r="G107" s="91"/>
      <c r="H107" s="91"/>
      <c r="I107" s="91"/>
      <c r="J107" s="91"/>
      <c r="K107" s="91"/>
    </row>
    <row r="108" spans="1:11">
      <c r="A108" s="91">
        <v>106</v>
      </c>
      <c r="B108" s="91" t="s">
        <v>1815</v>
      </c>
      <c r="C108" s="91">
        <v>2811</v>
      </c>
      <c r="D108" s="91" t="s">
        <v>1818</v>
      </c>
      <c r="E108" s="91"/>
      <c r="F108" s="91"/>
      <c r="G108" s="91"/>
      <c r="H108" s="91"/>
      <c r="I108" s="91"/>
      <c r="J108" s="91"/>
      <c r="K108" s="91"/>
    </row>
    <row r="109" spans="1:11">
      <c r="A109" s="91">
        <v>107</v>
      </c>
      <c r="B109" s="91" t="s">
        <v>1815</v>
      </c>
      <c r="C109" s="91">
        <v>1433</v>
      </c>
      <c r="D109" s="91" t="s">
        <v>1818</v>
      </c>
      <c r="E109" s="91"/>
      <c r="F109" s="91"/>
      <c r="G109" s="91"/>
      <c r="H109" s="91"/>
      <c r="I109" s="91"/>
      <c r="J109" s="91"/>
      <c r="K109" s="91"/>
    </row>
    <row r="110" spans="1:11">
      <c r="A110" s="91">
        <v>108</v>
      </c>
      <c r="B110" s="91" t="s">
        <v>1815</v>
      </c>
      <c r="C110" s="91">
        <v>1182</v>
      </c>
      <c r="D110" s="91" t="s">
        <v>1818</v>
      </c>
      <c r="E110" s="91"/>
      <c r="F110" s="91"/>
      <c r="G110" s="91"/>
      <c r="H110" s="91"/>
      <c r="I110" s="91"/>
      <c r="J110" s="91"/>
      <c r="K110" s="91"/>
    </row>
    <row r="111" spans="1:11">
      <c r="A111" s="91">
        <v>109</v>
      </c>
      <c r="B111" s="91" t="s">
        <v>1815</v>
      </c>
      <c r="C111" s="91">
        <v>763</v>
      </c>
      <c r="D111" s="91" t="s">
        <v>1818</v>
      </c>
      <c r="E111" s="91"/>
      <c r="F111" s="91"/>
      <c r="G111" s="91"/>
      <c r="H111" s="91"/>
      <c r="I111" s="91"/>
      <c r="J111" s="91"/>
      <c r="K111" s="91"/>
    </row>
    <row r="112" spans="1:11">
      <c r="A112" s="91">
        <v>110</v>
      </c>
      <c r="B112" s="91" t="s">
        <v>1815</v>
      </c>
      <c r="C112" s="91">
        <v>2811</v>
      </c>
      <c r="D112" s="91" t="s">
        <v>1818</v>
      </c>
      <c r="E112" s="91"/>
      <c r="F112" s="91"/>
      <c r="G112" s="91"/>
      <c r="H112" s="91"/>
      <c r="I112" s="91"/>
      <c r="J112" s="91"/>
      <c r="K112" s="91"/>
    </row>
    <row r="113" spans="1:11">
      <c r="A113" s="91">
        <v>111</v>
      </c>
      <c r="B113" s="91" t="s">
        <v>1815</v>
      </c>
      <c r="C113" s="91">
        <v>763</v>
      </c>
      <c r="D113" s="91" t="s">
        <v>1818</v>
      </c>
      <c r="E113" s="91"/>
      <c r="F113" s="91"/>
      <c r="G113" s="91"/>
      <c r="H113" s="91"/>
      <c r="I113" s="91"/>
      <c r="J113" s="91"/>
      <c r="K113" s="91"/>
    </row>
    <row r="114" spans="1:11">
      <c r="A114" s="91">
        <v>112</v>
      </c>
      <c r="B114" s="91" t="s">
        <v>1815</v>
      </c>
      <c r="C114" s="91">
        <v>1182</v>
      </c>
      <c r="D114" s="91" t="s">
        <v>1818</v>
      </c>
      <c r="E114" s="91"/>
      <c r="F114" s="91"/>
      <c r="G114" s="91"/>
      <c r="H114" s="91"/>
      <c r="I114" s="91"/>
      <c r="J114" s="91"/>
      <c r="K114" s="91"/>
    </row>
    <row r="115" spans="1:11">
      <c r="A115" s="91">
        <v>113</v>
      </c>
      <c r="B115" s="91" t="s">
        <v>1815</v>
      </c>
      <c r="C115" s="91">
        <v>2811</v>
      </c>
      <c r="D115" s="91" t="s">
        <v>1818</v>
      </c>
      <c r="E115" s="91"/>
      <c r="F115" s="91"/>
      <c r="G115" s="91"/>
      <c r="H115" s="91"/>
      <c r="I115" s="91"/>
      <c r="J115" s="91"/>
      <c r="K115" s="91"/>
    </row>
    <row r="116" spans="1:11">
      <c r="A116" s="91">
        <v>114</v>
      </c>
      <c r="B116" s="91" t="s">
        <v>1815</v>
      </c>
      <c r="C116" s="91">
        <v>2575</v>
      </c>
      <c r="D116" s="91" t="s">
        <v>1818</v>
      </c>
      <c r="E116" s="91"/>
      <c r="F116" s="91"/>
      <c r="G116" s="91"/>
      <c r="H116" s="91"/>
      <c r="I116" s="91"/>
      <c r="J116" s="91"/>
      <c r="K116" s="91"/>
    </row>
    <row r="117" spans="1:11">
      <c r="A117" s="91">
        <v>115</v>
      </c>
      <c r="B117" s="91" t="s">
        <v>1815</v>
      </c>
      <c r="C117" s="91">
        <v>2811</v>
      </c>
      <c r="D117" s="91" t="s">
        <v>1818</v>
      </c>
      <c r="E117" s="91"/>
      <c r="F117" s="91"/>
      <c r="G117" s="91"/>
      <c r="H117" s="91"/>
      <c r="I117" s="91"/>
      <c r="J117" s="91"/>
      <c r="K117" s="91"/>
    </row>
    <row r="118" spans="1:11">
      <c r="A118" s="91">
        <v>116</v>
      </c>
      <c r="B118" s="91" t="s">
        <v>1815</v>
      </c>
      <c r="C118" s="91">
        <v>763</v>
      </c>
      <c r="D118" s="91" t="s">
        <v>1818</v>
      </c>
      <c r="E118" s="91"/>
      <c r="F118" s="91"/>
      <c r="G118" s="91"/>
      <c r="H118" s="91"/>
      <c r="I118" s="91"/>
      <c r="J118" s="91"/>
      <c r="K118" s="91"/>
    </row>
    <row r="119" spans="1:11">
      <c r="A119" s="91">
        <v>117</v>
      </c>
      <c r="B119" s="91" t="s">
        <v>1815</v>
      </c>
      <c r="C119" s="91">
        <v>2575</v>
      </c>
      <c r="D119" s="91" t="s">
        <v>1818</v>
      </c>
      <c r="E119" s="91"/>
      <c r="F119" s="91"/>
      <c r="G119" s="91"/>
      <c r="H119" s="91"/>
      <c r="I119" s="91"/>
      <c r="J119" s="91"/>
      <c r="K119" s="91"/>
    </row>
    <row r="120" spans="1:11">
      <c r="A120" s="91">
        <v>118</v>
      </c>
      <c r="B120" s="91" t="s">
        <v>1815</v>
      </c>
      <c r="C120" s="91">
        <v>1437</v>
      </c>
      <c r="D120" s="91" t="s">
        <v>1818</v>
      </c>
      <c r="E120" s="91"/>
      <c r="F120" s="91"/>
      <c r="G120" s="91"/>
      <c r="H120" s="91"/>
      <c r="I120" s="91"/>
      <c r="J120" s="91"/>
      <c r="K120" s="91"/>
    </row>
    <row r="121" spans="1:11">
      <c r="A121" s="91">
        <v>119</v>
      </c>
      <c r="B121" s="91" t="s">
        <v>1815</v>
      </c>
      <c r="C121" s="91">
        <v>763</v>
      </c>
      <c r="D121" s="91" t="s">
        <v>1818</v>
      </c>
      <c r="E121" s="91"/>
      <c r="F121" s="91"/>
      <c r="G121" s="91"/>
      <c r="H121" s="91"/>
      <c r="I121" s="91"/>
      <c r="J121" s="91"/>
      <c r="K121" s="91"/>
    </row>
    <row r="122" spans="1:11">
      <c r="A122" s="91">
        <v>120</v>
      </c>
      <c r="B122" s="91" t="s">
        <v>1815</v>
      </c>
      <c r="C122" s="91">
        <v>2811</v>
      </c>
      <c r="D122" s="91" t="s">
        <v>1818</v>
      </c>
      <c r="E122" s="91"/>
      <c r="F122" s="91"/>
      <c r="G122" s="91"/>
      <c r="H122" s="91"/>
      <c r="I122" s="91"/>
      <c r="J122" s="91"/>
      <c r="K122" s="91"/>
    </row>
    <row r="123" spans="1:11">
      <c r="A123" s="91">
        <v>121</v>
      </c>
      <c r="B123" s="91" t="s">
        <v>1815</v>
      </c>
      <c r="C123" s="91">
        <v>726</v>
      </c>
      <c r="D123" s="91" t="s">
        <v>1818</v>
      </c>
      <c r="E123" s="91"/>
      <c r="F123" s="91"/>
      <c r="G123" s="91"/>
      <c r="H123" s="91"/>
      <c r="I123" s="91"/>
      <c r="J123" s="91"/>
      <c r="K123" s="91"/>
    </row>
    <row r="124" spans="1:11">
      <c r="A124" s="91">
        <v>122</v>
      </c>
      <c r="B124" s="91" t="s">
        <v>1815</v>
      </c>
      <c r="C124" s="91">
        <v>1437</v>
      </c>
      <c r="D124" s="91" t="s">
        <v>1818</v>
      </c>
      <c r="E124" s="91"/>
      <c r="F124" s="91"/>
      <c r="G124" s="91"/>
      <c r="H124" s="91"/>
      <c r="I124" s="91"/>
      <c r="J124" s="91"/>
      <c r="K124" s="91"/>
    </row>
    <row r="125" spans="1:11">
      <c r="A125" s="91">
        <v>123</v>
      </c>
      <c r="B125" s="91" t="s">
        <v>1815</v>
      </c>
      <c r="C125" s="91">
        <v>1433</v>
      </c>
      <c r="D125" s="91" t="s">
        <v>1818</v>
      </c>
      <c r="E125" s="91"/>
      <c r="F125" s="91"/>
      <c r="G125" s="91"/>
      <c r="H125" s="91"/>
      <c r="I125" s="91"/>
      <c r="J125" s="91"/>
      <c r="K125" s="91"/>
    </row>
    <row r="126" spans="1:11">
      <c r="A126" s="91">
        <v>124</v>
      </c>
      <c r="B126" s="91" t="s">
        <v>1815</v>
      </c>
      <c r="C126" s="91">
        <v>553</v>
      </c>
      <c r="D126" s="91" t="s">
        <v>1818</v>
      </c>
      <c r="E126" s="91"/>
      <c r="F126" s="91"/>
      <c r="G126" s="91"/>
      <c r="H126" s="91"/>
      <c r="I126" s="91"/>
      <c r="J126" s="91"/>
      <c r="K126" s="91"/>
    </row>
    <row r="127" spans="1:11">
      <c r="A127" s="91">
        <v>125</v>
      </c>
      <c r="B127" s="91" t="s">
        <v>1815</v>
      </c>
      <c r="C127" s="91">
        <v>2575</v>
      </c>
      <c r="D127" s="91" t="s">
        <v>1818</v>
      </c>
      <c r="E127" s="91"/>
      <c r="F127" s="91"/>
      <c r="G127" s="91"/>
      <c r="H127" s="91"/>
      <c r="I127" s="91"/>
      <c r="J127" s="91"/>
      <c r="K127" s="91"/>
    </row>
    <row r="128" spans="1:11">
      <c r="A128" s="91">
        <v>126</v>
      </c>
      <c r="B128" s="91" t="s">
        <v>1815</v>
      </c>
      <c r="C128" s="91">
        <v>2801</v>
      </c>
      <c r="D128" s="91" t="s">
        <v>1818</v>
      </c>
      <c r="E128" s="91"/>
      <c r="F128" s="91"/>
      <c r="G128" s="91"/>
      <c r="H128" s="91"/>
      <c r="I128" s="91"/>
      <c r="J128" s="91"/>
      <c r="K128" s="91"/>
    </row>
    <row r="129" spans="1:11">
      <c r="A129" s="91">
        <v>127</v>
      </c>
      <c r="B129" s="91" t="s">
        <v>1815</v>
      </c>
      <c r="C129" s="91">
        <v>553</v>
      </c>
      <c r="D129" s="91" t="s">
        <v>1818</v>
      </c>
      <c r="E129" s="91"/>
      <c r="F129" s="91"/>
      <c r="G129" s="91"/>
      <c r="H129" s="91"/>
      <c r="I129" s="91"/>
      <c r="J129" s="91"/>
      <c r="K129" s="91"/>
    </row>
    <row r="130" spans="1:11">
      <c r="A130" s="91">
        <v>128</v>
      </c>
      <c r="B130" s="91" t="s">
        <v>1815</v>
      </c>
      <c r="C130" s="91">
        <v>2575</v>
      </c>
      <c r="D130" s="91" t="s">
        <v>1818</v>
      </c>
      <c r="E130" s="91"/>
      <c r="F130" s="91"/>
      <c r="G130" s="91"/>
      <c r="H130" s="91"/>
      <c r="I130" s="91"/>
      <c r="J130" s="91"/>
      <c r="K130" s="91"/>
    </row>
    <row r="131" spans="1:11">
      <c r="A131" s="91">
        <v>129</v>
      </c>
      <c r="B131" s="91" t="s">
        <v>1815</v>
      </c>
      <c r="C131" s="91">
        <v>553</v>
      </c>
      <c r="D131" s="91" t="s">
        <v>1818</v>
      </c>
      <c r="E131" s="91"/>
      <c r="F131" s="91"/>
      <c r="G131" s="91"/>
      <c r="H131" s="91"/>
      <c r="I131" s="91"/>
      <c r="J131" s="91"/>
      <c r="K131" s="91"/>
    </row>
    <row r="132" spans="1:11">
      <c r="A132" s="91">
        <v>130</v>
      </c>
      <c r="B132" s="91" t="s">
        <v>1815</v>
      </c>
      <c r="C132" s="91">
        <v>726</v>
      </c>
      <c r="D132" s="91" t="s">
        <v>1818</v>
      </c>
      <c r="E132" s="91"/>
      <c r="F132" s="91"/>
      <c r="G132" s="91"/>
      <c r="H132" s="91"/>
      <c r="I132" s="91"/>
      <c r="J132" s="91"/>
      <c r="K132" s="91"/>
    </row>
    <row r="133" spans="1:11">
      <c r="A133" s="91">
        <v>131</v>
      </c>
      <c r="B133" s="91" t="s">
        <v>1815</v>
      </c>
      <c r="C133" s="91">
        <v>1437</v>
      </c>
      <c r="D133" s="91" t="s">
        <v>1818</v>
      </c>
      <c r="E133" s="91"/>
      <c r="F133" s="91"/>
      <c r="G133" s="91"/>
      <c r="H133" s="91"/>
      <c r="I133" s="91"/>
      <c r="J133" s="91"/>
      <c r="K133" s="91"/>
    </row>
    <row r="134" spans="1:11">
      <c r="A134" s="91">
        <v>132</v>
      </c>
      <c r="B134" s="91" t="s">
        <v>1815</v>
      </c>
      <c r="C134" s="91">
        <v>1351</v>
      </c>
      <c r="D134" s="91" t="s">
        <v>1818</v>
      </c>
      <c r="E134" s="91"/>
      <c r="F134" s="91"/>
      <c r="G134" s="91"/>
      <c r="H134" s="91"/>
      <c r="I134" s="91"/>
      <c r="J134" s="91"/>
      <c r="K134" s="91"/>
    </row>
    <row r="135" spans="1:11">
      <c r="A135" s="91">
        <v>133</v>
      </c>
      <c r="B135" s="91" t="s">
        <v>1815</v>
      </c>
      <c r="C135" s="91">
        <v>763</v>
      </c>
      <c r="D135" s="91" t="s">
        <v>1818</v>
      </c>
      <c r="E135" s="91"/>
      <c r="F135" s="91"/>
      <c r="G135" s="91"/>
      <c r="H135" s="91"/>
      <c r="I135" s="91"/>
      <c r="J135" s="91"/>
      <c r="K135" s="91"/>
    </row>
    <row r="136" spans="1:11">
      <c r="A136" s="91">
        <v>134</v>
      </c>
      <c r="B136" s="91" t="s">
        <v>1815</v>
      </c>
      <c r="C136" s="91">
        <v>1437</v>
      </c>
      <c r="D136" s="91" t="s">
        <v>1818</v>
      </c>
      <c r="E136" s="91"/>
      <c r="F136" s="91"/>
      <c r="G136" s="91"/>
      <c r="H136" s="91"/>
      <c r="I136" s="91"/>
      <c r="J136" s="91"/>
      <c r="K136" s="91"/>
    </row>
    <row r="137" spans="1:11">
      <c r="A137" s="91">
        <v>135</v>
      </c>
      <c r="B137" s="91" t="s">
        <v>1815</v>
      </c>
      <c r="C137" s="91">
        <v>553</v>
      </c>
      <c r="D137" s="91" t="s">
        <v>1818</v>
      </c>
      <c r="E137" s="91"/>
      <c r="F137" s="91"/>
      <c r="G137" s="91"/>
      <c r="H137" s="91"/>
      <c r="I137" s="91"/>
      <c r="J137" s="91"/>
      <c r="K137" s="91"/>
    </row>
    <row r="138" spans="1:11">
      <c r="A138" s="91">
        <v>136</v>
      </c>
      <c r="B138" s="91" t="s">
        <v>1815</v>
      </c>
      <c r="C138" s="91">
        <v>2788</v>
      </c>
      <c r="D138" s="91" t="s">
        <v>1818</v>
      </c>
      <c r="E138" s="91"/>
      <c r="F138" s="91"/>
      <c r="G138" s="91"/>
      <c r="H138" s="91"/>
      <c r="I138" s="91"/>
      <c r="J138" s="91"/>
      <c r="K138" s="91"/>
    </row>
    <row r="139" spans="1:11">
      <c r="A139" s="91">
        <v>137</v>
      </c>
      <c r="B139" s="91" t="s">
        <v>1815</v>
      </c>
      <c r="C139" s="91">
        <v>2801</v>
      </c>
      <c r="D139" s="91" t="s">
        <v>1818</v>
      </c>
      <c r="E139" s="91"/>
      <c r="F139" s="91"/>
      <c r="G139" s="91"/>
      <c r="H139" s="91"/>
      <c r="I139" s="91"/>
      <c r="J139" s="91"/>
      <c r="K139" s="91"/>
    </row>
    <row r="140" spans="1:11">
      <c r="A140" s="91">
        <v>138</v>
      </c>
      <c r="B140" s="91" t="s">
        <v>1815</v>
      </c>
      <c r="C140" s="91">
        <v>1238</v>
      </c>
      <c r="D140" s="91" t="s">
        <v>1818</v>
      </c>
      <c r="E140" s="91"/>
      <c r="F140" s="91"/>
      <c r="G140" s="91"/>
      <c r="H140" s="91"/>
      <c r="I140" s="91"/>
      <c r="J140" s="91"/>
      <c r="K140" s="91"/>
    </row>
    <row r="141" spans="1:11">
      <c r="A141" s="91">
        <v>139</v>
      </c>
      <c r="B141" s="91" t="s">
        <v>1815</v>
      </c>
      <c r="C141" s="91">
        <v>2642</v>
      </c>
      <c r="D141" s="91" t="s">
        <v>1818</v>
      </c>
      <c r="E141" s="91"/>
      <c r="F141" s="91"/>
      <c r="G141" s="91"/>
      <c r="H141" s="91"/>
      <c r="I141" s="91"/>
      <c r="J141" s="91"/>
      <c r="K141" s="91"/>
    </row>
    <row r="142" spans="1:11">
      <c r="A142" s="91">
        <v>140</v>
      </c>
      <c r="B142" s="91" t="s">
        <v>1815</v>
      </c>
      <c r="C142" s="91">
        <v>2811</v>
      </c>
      <c r="D142" s="91" t="s">
        <v>1818</v>
      </c>
      <c r="E142" s="91"/>
      <c r="F142" s="91"/>
      <c r="G142" s="91"/>
      <c r="H142" s="91"/>
      <c r="I142" s="91"/>
      <c r="J142" s="91"/>
      <c r="K142" s="91"/>
    </row>
    <row r="143" spans="1:11">
      <c r="A143" s="91">
        <v>141</v>
      </c>
      <c r="B143" s="91" t="s">
        <v>1815</v>
      </c>
      <c r="C143" s="91">
        <v>1433</v>
      </c>
      <c r="D143" s="91" t="s">
        <v>1818</v>
      </c>
      <c r="E143" s="91"/>
      <c r="F143" s="91"/>
      <c r="G143" s="91"/>
      <c r="H143" s="91"/>
      <c r="I143" s="91"/>
      <c r="J143" s="91"/>
      <c r="K143" s="91"/>
    </row>
    <row r="144" spans="1:11">
      <c r="A144" s="91">
        <v>142</v>
      </c>
      <c r="B144" s="91" t="s">
        <v>1815</v>
      </c>
      <c r="C144" s="91">
        <v>1182</v>
      </c>
      <c r="D144" s="91" t="s">
        <v>1818</v>
      </c>
      <c r="E144" s="91"/>
      <c r="F144" s="91"/>
      <c r="G144" s="91"/>
      <c r="H144" s="91"/>
      <c r="I144" s="91"/>
      <c r="J144" s="91"/>
      <c r="K144" s="91"/>
    </row>
    <row r="145" spans="1:11">
      <c r="A145" s="91">
        <v>143</v>
      </c>
      <c r="B145" s="91" t="s">
        <v>1815</v>
      </c>
      <c r="C145" s="91">
        <v>2811</v>
      </c>
      <c r="D145" s="91" t="s">
        <v>1818</v>
      </c>
      <c r="E145" s="91"/>
      <c r="F145" s="91"/>
      <c r="G145" s="91"/>
      <c r="H145" s="91"/>
      <c r="I145" s="91"/>
      <c r="J145" s="91"/>
      <c r="K145" s="91"/>
    </row>
    <row r="146" spans="1:11">
      <c r="A146" s="91">
        <v>144</v>
      </c>
      <c r="B146" s="91" t="s">
        <v>1815</v>
      </c>
      <c r="C146" s="91">
        <v>726</v>
      </c>
      <c r="D146" s="91" t="s">
        <v>1818</v>
      </c>
      <c r="E146" s="91"/>
      <c r="F146" s="91"/>
      <c r="G146" s="91"/>
      <c r="H146" s="91"/>
      <c r="I146" s="91"/>
      <c r="J146" s="91"/>
      <c r="K146" s="91"/>
    </row>
    <row r="147" spans="1:11">
      <c r="A147" s="91">
        <v>145</v>
      </c>
      <c r="B147" s="91" t="s">
        <v>1815</v>
      </c>
      <c r="C147" s="91">
        <v>2788</v>
      </c>
      <c r="D147" s="91" t="s">
        <v>1818</v>
      </c>
      <c r="E147" s="91"/>
      <c r="F147" s="91"/>
      <c r="G147" s="91"/>
      <c r="H147" s="91"/>
      <c r="I147" s="91"/>
      <c r="J147" s="91"/>
      <c r="K147" s="91"/>
    </row>
    <row r="148" spans="1:11">
      <c r="A148" s="91">
        <v>146</v>
      </c>
      <c r="B148" s="91" t="s">
        <v>1815</v>
      </c>
      <c r="C148" s="91">
        <v>1433</v>
      </c>
      <c r="D148" s="91" t="s">
        <v>1818</v>
      </c>
      <c r="E148" s="91"/>
      <c r="F148" s="91"/>
      <c r="G148" s="91"/>
      <c r="H148" s="91"/>
      <c r="I148" s="91"/>
      <c r="J148" s="91"/>
      <c r="K148" s="91"/>
    </row>
    <row r="149" spans="1:11">
      <c r="A149" s="91">
        <v>147</v>
      </c>
      <c r="B149" s="91" t="s">
        <v>1815</v>
      </c>
      <c r="C149" s="91">
        <v>2811</v>
      </c>
      <c r="D149" s="91" t="s">
        <v>1818</v>
      </c>
      <c r="E149" s="91"/>
      <c r="F149" s="91"/>
      <c r="G149" s="91"/>
      <c r="H149" s="91"/>
      <c r="I149" s="91"/>
      <c r="J149" s="91"/>
      <c r="K149" s="91"/>
    </row>
    <row r="150" spans="1:11">
      <c r="A150" s="91">
        <v>148</v>
      </c>
      <c r="B150" s="91" t="s">
        <v>1815</v>
      </c>
      <c r="C150" s="91">
        <v>726</v>
      </c>
      <c r="D150" s="91" t="s">
        <v>1818</v>
      </c>
      <c r="E150" s="91"/>
      <c r="F150" s="91"/>
      <c r="G150" s="91"/>
      <c r="H150" s="91"/>
      <c r="I150" s="91"/>
      <c r="J150" s="91"/>
      <c r="K150" s="91"/>
    </row>
    <row r="151" spans="1:11">
      <c r="A151" s="91">
        <v>149</v>
      </c>
      <c r="B151" s="91" t="s">
        <v>1815</v>
      </c>
      <c r="C151" s="91">
        <v>2788</v>
      </c>
      <c r="D151" s="91" t="s">
        <v>1818</v>
      </c>
      <c r="E151" s="91"/>
      <c r="F151" s="91"/>
      <c r="G151" s="91"/>
      <c r="H151" s="91"/>
      <c r="I151" s="91"/>
      <c r="J151" s="91"/>
      <c r="K151" s="91"/>
    </row>
    <row r="152" spans="1:11">
      <c r="A152" s="91">
        <v>150</v>
      </c>
      <c r="B152" s="91" t="s">
        <v>1815</v>
      </c>
      <c r="C152" s="91">
        <v>1433</v>
      </c>
      <c r="D152" s="91" t="s">
        <v>1818</v>
      </c>
      <c r="E152" s="91"/>
      <c r="F152" s="91"/>
      <c r="G152" s="91"/>
      <c r="H152" s="91"/>
      <c r="I152" s="91"/>
      <c r="J152" s="91"/>
      <c r="K152" s="91"/>
    </row>
    <row r="153" spans="1:11">
      <c r="A153" s="91">
        <v>151</v>
      </c>
      <c r="B153" s="91" t="s">
        <v>1815</v>
      </c>
      <c r="C153" s="91">
        <v>1182</v>
      </c>
      <c r="D153" s="91" t="s">
        <v>1818</v>
      </c>
      <c r="E153" s="91"/>
      <c r="F153" s="91"/>
      <c r="G153" s="91"/>
      <c r="H153" s="91"/>
      <c r="I153" s="91"/>
      <c r="J153" s="91"/>
      <c r="K153" s="91"/>
    </row>
    <row r="154" spans="1:11">
      <c r="A154" s="91">
        <v>152</v>
      </c>
      <c r="B154" s="91" t="s">
        <v>1815</v>
      </c>
      <c r="C154" s="91">
        <v>2811</v>
      </c>
      <c r="D154" s="91" t="s">
        <v>1818</v>
      </c>
      <c r="E154" s="91"/>
      <c r="F154" s="91"/>
      <c r="G154" s="91"/>
      <c r="H154" s="91"/>
      <c r="I154" s="91"/>
      <c r="J154" s="91"/>
      <c r="K154" s="91"/>
    </row>
    <row r="155" spans="1:11">
      <c r="A155" s="91">
        <v>153</v>
      </c>
      <c r="B155" s="91" t="s">
        <v>1815</v>
      </c>
      <c r="C155" s="91">
        <v>726</v>
      </c>
      <c r="D155" s="91" t="s">
        <v>1818</v>
      </c>
      <c r="E155" s="91"/>
      <c r="F155" s="91"/>
      <c r="G155" s="91"/>
      <c r="H155" s="91"/>
      <c r="I155" s="91"/>
      <c r="J155" s="91"/>
      <c r="K155" s="91"/>
    </row>
    <row r="156" spans="1:11">
      <c r="A156" s="91">
        <v>154</v>
      </c>
      <c r="B156" s="91" t="s">
        <v>1815</v>
      </c>
      <c r="C156" s="91">
        <v>1182</v>
      </c>
      <c r="D156" s="91" t="s">
        <v>1818</v>
      </c>
      <c r="E156" s="91"/>
      <c r="F156" s="91"/>
      <c r="G156" s="91"/>
      <c r="H156" s="91"/>
      <c r="I156" s="91"/>
      <c r="J156" s="91"/>
      <c r="K156" s="91"/>
    </row>
    <row r="157" spans="1:11">
      <c r="A157" s="91">
        <v>155</v>
      </c>
      <c r="B157" s="91" t="s">
        <v>1815</v>
      </c>
      <c r="C157" s="91">
        <v>726</v>
      </c>
      <c r="D157" s="91" t="s">
        <v>1818</v>
      </c>
      <c r="E157" s="91"/>
      <c r="F157" s="91"/>
      <c r="G157" s="91"/>
      <c r="H157" s="91"/>
      <c r="I157" s="91"/>
      <c r="J157" s="91"/>
      <c r="K157" s="91"/>
    </row>
    <row r="158" spans="1:11">
      <c r="A158" s="91">
        <v>156</v>
      </c>
      <c r="B158" s="91" t="s">
        <v>1815</v>
      </c>
      <c r="C158" s="91">
        <v>1433</v>
      </c>
      <c r="D158" s="91" t="s">
        <v>1818</v>
      </c>
      <c r="E158" s="91"/>
      <c r="F158" s="91"/>
      <c r="G158" s="91"/>
      <c r="H158" s="91"/>
      <c r="I158" s="91"/>
      <c r="J158" s="91"/>
      <c r="K158" s="91"/>
    </row>
    <row r="159" spans="1:11">
      <c r="A159" s="91">
        <v>157</v>
      </c>
      <c r="B159" s="91" t="s">
        <v>1815</v>
      </c>
      <c r="C159" s="91">
        <v>2811</v>
      </c>
      <c r="D159" s="91" t="s">
        <v>1818</v>
      </c>
      <c r="E159" s="91"/>
      <c r="F159" s="91"/>
      <c r="G159" s="91"/>
      <c r="H159" s="91"/>
      <c r="I159" s="91"/>
      <c r="J159" s="91"/>
      <c r="K159" s="91"/>
    </row>
    <row r="160" spans="1:11">
      <c r="A160" s="91">
        <v>158</v>
      </c>
      <c r="B160" s="91" t="s">
        <v>1815</v>
      </c>
      <c r="C160" s="91">
        <v>726</v>
      </c>
      <c r="D160" s="91" t="s">
        <v>1818</v>
      </c>
      <c r="E160" s="91"/>
      <c r="F160" s="91"/>
      <c r="G160" s="91"/>
      <c r="H160" s="91"/>
      <c r="I160" s="91"/>
      <c r="J160" s="91"/>
      <c r="K160" s="91"/>
    </row>
    <row r="161" spans="1:11">
      <c r="A161" s="91">
        <v>159</v>
      </c>
      <c r="B161" s="91" t="s">
        <v>1815</v>
      </c>
      <c r="C161" s="91">
        <v>1433</v>
      </c>
      <c r="D161" s="91" t="s">
        <v>1818</v>
      </c>
      <c r="E161" s="91"/>
      <c r="F161" s="91"/>
      <c r="G161" s="91"/>
      <c r="H161" s="91"/>
      <c r="I161" s="91"/>
      <c r="J161" s="91"/>
      <c r="K161" s="91"/>
    </row>
    <row r="162" spans="1:11">
      <c r="A162" s="91">
        <v>160</v>
      </c>
      <c r="B162" s="91" t="s">
        <v>1815</v>
      </c>
      <c r="C162" s="91">
        <v>2811</v>
      </c>
      <c r="D162" s="91" t="s">
        <v>1818</v>
      </c>
      <c r="E162" s="91"/>
      <c r="F162" s="91"/>
      <c r="G162" s="91"/>
      <c r="H162" s="91"/>
      <c r="I162" s="91"/>
      <c r="J162" s="91"/>
      <c r="K162" s="91"/>
    </row>
    <row r="163" spans="1:11">
      <c r="A163" s="91">
        <v>161</v>
      </c>
      <c r="B163" s="91" t="s">
        <v>1815</v>
      </c>
      <c r="C163" s="91">
        <v>2788</v>
      </c>
      <c r="D163" s="91" t="s">
        <v>1818</v>
      </c>
      <c r="E163" s="91"/>
      <c r="F163" s="91"/>
      <c r="G163" s="91"/>
      <c r="H163" s="91"/>
      <c r="I163" s="91"/>
      <c r="J163" s="91"/>
      <c r="K163" s="91"/>
    </row>
    <row r="164" spans="1:11">
      <c r="A164" s="91">
        <v>162</v>
      </c>
      <c r="B164" s="91" t="s">
        <v>1815</v>
      </c>
      <c r="C164" s="91">
        <v>1433</v>
      </c>
      <c r="D164" s="91" t="s">
        <v>1818</v>
      </c>
      <c r="E164" s="91"/>
      <c r="F164" s="91"/>
      <c r="G164" s="91"/>
      <c r="H164" s="91"/>
      <c r="I164" s="91"/>
      <c r="J164" s="91"/>
      <c r="K164" s="91"/>
    </row>
    <row r="165" spans="1:11">
      <c r="A165" s="91">
        <v>163</v>
      </c>
      <c r="B165" s="91" t="s">
        <v>1815</v>
      </c>
      <c r="C165" s="91">
        <v>2811</v>
      </c>
      <c r="D165" s="91" t="s">
        <v>1818</v>
      </c>
      <c r="E165" s="91"/>
      <c r="F165" s="91"/>
      <c r="G165" s="91"/>
      <c r="H165" s="91"/>
      <c r="I165" s="91"/>
      <c r="J165" s="91"/>
      <c r="K165" s="91"/>
    </row>
    <row r="166" spans="1:11">
      <c r="A166" s="91">
        <v>164</v>
      </c>
      <c r="B166" s="91" t="s">
        <v>1815</v>
      </c>
      <c r="C166" s="91">
        <v>726</v>
      </c>
      <c r="D166" s="91" t="s">
        <v>1818</v>
      </c>
      <c r="E166" s="91"/>
      <c r="F166" s="91"/>
      <c r="G166" s="91"/>
      <c r="H166" s="91"/>
      <c r="I166" s="91"/>
      <c r="J166" s="91"/>
      <c r="K166" s="91"/>
    </row>
    <row r="167" spans="1:11">
      <c r="A167" s="91">
        <v>165</v>
      </c>
      <c r="B167" s="91" t="s">
        <v>1815</v>
      </c>
      <c r="C167" s="91">
        <v>2788</v>
      </c>
      <c r="D167" s="91" t="s">
        <v>1818</v>
      </c>
      <c r="E167" s="91"/>
      <c r="F167" s="91"/>
      <c r="G167" s="91"/>
      <c r="H167" s="91"/>
      <c r="I167" s="91"/>
      <c r="J167" s="91"/>
      <c r="K167" s="91"/>
    </row>
    <row r="168" spans="1:11">
      <c r="A168" s="91">
        <v>166</v>
      </c>
      <c r="B168" s="91" t="s">
        <v>1815</v>
      </c>
      <c r="C168" s="91">
        <v>1433</v>
      </c>
      <c r="D168" s="91" t="s">
        <v>1818</v>
      </c>
      <c r="E168" s="91"/>
      <c r="F168" s="91"/>
      <c r="G168" s="91"/>
      <c r="H168" s="91"/>
      <c r="I168" s="91"/>
      <c r="J168" s="91"/>
      <c r="K168" s="91"/>
    </row>
    <row r="169" spans="1:11">
      <c r="A169" s="91">
        <v>167</v>
      </c>
      <c r="B169" s="91" t="s">
        <v>1815</v>
      </c>
      <c r="C169" s="91">
        <v>2813</v>
      </c>
      <c r="D169" s="91" t="s">
        <v>1818</v>
      </c>
      <c r="E169" s="91"/>
      <c r="F169" s="91"/>
      <c r="G169" s="91"/>
      <c r="H169" s="91"/>
      <c r="I169" s="91"/>
      <c r="J169" s="91"/>
      <c r="K169" s="91"/>
    </row>
    <row r="170" spans="1:11">
      <c r="A170" s="91">
        <v>168</v>
      </c>
      <c r="B170" s="91" t="s">
        <v>1815</v>
      </c>
      <c r="C170" s="91">
        <v>2788</v>
      </c>
      <c r="D170" s="91" t="s">
        <v>1818</v>
      </c>
      <c r="E170" s="91"/>
      <c r="F170" s="91"/>
      <c r="G170" s="91"/>
      <c r="H170" s="91"/>
      <c r="I170" s="91"/>
      <c r="J170" s="91"/>
      <c r="K170" s="91"/>
    </row>
    <row r="171" spans="1:11">
      <c r="A171" s="91">
        <v>169</v>
      </c>
      <c r="B171" s="91" t="s">
        <v>1815</v>
      </c>
      <c r="C171" s="91">
        <v>1433</v>
      </c>
      <c r="D171" s="91" t="s">
        <v>1818</v>
      </c>
      <c r="E171" s="91"/>
      <c r="F171" s="91"/>
      <c r="G171" s="91"/>
      <c r="H171" s="91"/>
      <c r="I171" s="91"/>
      <c r="J171" s="91"/>
      <c r="K171" s="91"/>
    </row>
    <row r="172" spans="1:11">
      <c r="A172" s="91">
        <v>170</v>
      </c>
      <c r="B172" s="91" t="s">
        <v>1815</v>
      </c>
      <c r="C172" s="91">
        <v>2642</v>
      </c>
      <c r="D172" s="91" t="s">
        <v>1818</v>
      </c>
      <c r="E172" s="91"/>
      <c r="F172" s="91"/>
      <c r="G172" s="91"/>
      <c r="H172" s="91"/>
      <c r="I172" s="91"/>
      <c r="J172" s="91"/>
      <c r="K172" s="91"/>
    </row>
    <row r="173" spans="1:11">
      <c r="A173" s="91">
        <v>171</v>
      </c>
      <c r="B173" s="91" t="s">
        <v>1815</v>
      </c>
      <c r="C173" s="91">
        <v>726</v>
      </c>
      <c r="D173" s="91" t="s">
        <v>1818</v>
      </c>
      <c r="E173" s="91"/>
      <c r="F173" s="91"/>
      <c r="G173" s="91"/>
      <c r="H173" s="91"/>
      <c r="I173" s="91"/>
      <c r="J173" s="91"/>
      <c r="K173" s="91"/>
    </row>
    <row r="174" spans="1:11">
      <c r="A174" s="91">
        <v>172</v>
      </c>
      <c r="B174" s="91" t="s">
        <v>1815</v>
      </c>
      <c r="C174" s="91">
        <v>726</v>
      </c>
      <c r="D174" s="91" t="s">
        <v>1818</v>
      </c>
      <c r="E174" s="91"/>
      <c r="F174" s="91"/>
      <c r="G174" s="91"/>
      <c r="H174" s="91"/>
      <c r="I174" s="91"/>
      <c r="J174" s="91"/>
      <c r="K174" s="91"/>
    </row>
    <row r="175" spans="1:11">
      <c r="A175" s="91">
        <v>173</v>
      </c>
      <c r="B175" s="91" t="s">
        <v>1815</v>
      </c>
      <c r="C175" s="91">
        <v>2788</v>
      </c>
      <c r="D175" s="91" t="s">
        <v>1818</v>
      </c>
      <c r="E175" s="91"/>
      <c r="F175" s="91"/>
      <c r="G175" s="91"/>
      <c r="H175" s="91"/>
      <c r="I175" s="91"/>
      <c r="J175" s="91"/>
      <c r="K175" s="91"/>
    </row>
    <row r="176" spans="1:11">
      <c r="A176" s="91">
        <v>174</v>
      </c>
      <c r="B176" s="91" t="s">
        <v>1815</v>
      </c>
      <c r="C176" s="91">
        <v>1433</v>
      </c>
      <c r="D176" s="91" t="s">
        <v>1818</v>
      </c>
      <c r="E176" s="91"/>
      <c r="F176" s="91"/>
      <c r="G176" s="91"/>
      <c r="H176" s="91"/>
      <c r="I176" s="91"/>
      <c r="J176" s="91"/>
      <c r="K176" s="91"/>
    </row>
    <row r="177" spans="1:11">
      <c r="A177" s="91">
        <v>175</v>
      </c>
      <c r="B177" s="91" t="s">
        <v>1815</v>
      </c>
      <c r="C177" s="91">
        <v>2642</v>
      </c>
      <c r="D177" s="91" t="s">
        <v>1818</v>
      </c>
      <c r="E177" s="91"/>
      <c r="F177" s="91"/>
      <c r="G177" s="91"/>
      <c r="H177" s="91"/>
      <c r="I177" s="91"/>
      <c r="J177" s="91"/>
      <c r="K177" s="91"/>
    </row>
    <row r="178" spans="1:11">
      <c r="A178" s="91">
        <v>176</v>
      </c>
      <c r="B178" s="91" t="s">
        <v>1815</v>
      </c>
      <c r="C178" s="91">
        <v>726</v>
      </c>
      <c r="D178" s="91" t="s">
        <v>1818</v>
      </c>
      <c r="E178" s="91"/>
      <c r="F178" s="91"/>
      <c r="G178" s="91"/>
      <c r="H178" s="91"/>
      <c r="I178" s="91"/>
      <c r="J178" s="91"/>
      <c r="K178" s="91"/>
    </row>
    <row r="179" spans="1:11">
      <c r="A179" s="91">
        <v>177</v>
      </c>
      <c r="B179" s="91" t="s">
        <v>1815</v>
      </c>
      <c r="C179" s="91">
        <v>726</v>
      </c>
      <c r="D179" s="91" t="s">
        <v>1818</v>
      </c>
      <c r="E179" s="91"/>
      <c r="F179" s="91"/>
      <c r="G179" s="91"/>
      <c r="H179" s="91"/>
      <c r="I179" s="91"/>
      <c r="J179" s="91"/>
      <c r="K179" s="91"/>
    </row>
    <row r="180" spans="1:11">
      <c r="A180" s="91">
        <v>178</v>
      </c>
      <c r="B180" s="91" t="s">
        <v>1815</v>
      </c>
      <c r="C180" s="91">
        <v>2788</v>
      </c>
      <c r="D180" s="91" t="s">
        <v>1818</v>
      </c>
      <c r="E180" s="91"/>
      <c r="F180" s="91"/>
      <c r="G180" s="91"/>
      <c r="H180" s="91"/>
      <c r="I180" s="91"/>
      <c r="J180" s="91"/>
      <c r="K180" s="91"/>
    </row>
    <row r="181" spans="1:11">
      <c r="A181" s="91">
        <v>179</v>
      </c>
      <c r="B181" s="91" t="s">
        <v>1815</v>
      </c>
      <c r="C181" s="91">
        <v>1433</v>
      </c>
      <c r="D181" s="91" t="s">
        <v>1818</v>
      </c>
      <c r="E181" s="91"/>
      <c r="F181" s="91"/>
      <c r="G181" s="91"/>
      <c r="H181" s="91"/>
      <c r="I181" s="91"/>
      <c r="J181" s="91"/>
      <c r="K181" s="91"/>
    </row>
    <row r="182" spans="1:11">
      <c r="A182" s="91">
        <v>180</v>
      </c>
      <c r="B182" s="91" t="s">
        <v>1815</v>
      </c>
      <c r="C182" s="91">
        <v>2642</v>
      </c>
      <c r="D182" s="91" t="s">
        <v>1818</v>
      </c>
      <c r="E182" s="91"/>
      <c r="F182" s="91"/>
      <c r="G182" s="91"/>
      <c r="H182" s="91"/>
      <c r="I182" s="91"/>
      <c r="J182" s="91"/>
      <c r="K182" s="91"/>
    </row>
    <row r="183" spans="1:11">
      <c r="A183" s="91">
        <v>181</v>
      </c>
      <c r="B183" s="91" t="s">
        <v>1815</v>
      </c>
      <c r="C183" s="91">
        <v>2788</v>
      </c>
      <c r="D183" s="91" t="s">
        <v>1818</v>
      </c>
      <c r="E183" s="91"/>
      <c r="F183" s="91"/>
      <c r="G183" s="91"/>
      <c r="H183" s="91"/>
      <c r="I183" s="91"/>
      <c r="J183" s="91"/>
      <c r="K183" s="91"/>
    </row>
    <row r="184" spans="1:11">
      <c r="A184" s="91">
        <v>182</v>
      </c>
      <c r="B184" s="91" t="s">
        <v>1815</v>
      </c>
      <c r="C184" s="91">
        <v>2642</v>
      </c>
      <c r="D184" s="91" t="s">
        <v>1818</v>
      </c>
      <c r="E184" s="91"/>
      <c r="F184" s="91"/>
      <c r="G184" s="91"/>
      <c r="H184" s="91"/>
      <c r="I184" s="91"/>
      <c r="J184" s="91"/>
      <c r="K184" s="91"/>
    </row>
    <row r="185" spans="1:11">
      <c r="A185" s="91">
        <v>183</v>
      </c>
      <c r="B185" s="91" t="s">
        <v>1815</v>
      </c>
      <c r="C185" s="91">
        <v>2717</v>
      </c>
      <c r="D185" s="91" t="s">
        <v>1818</v>
      </c>
      <c r="E185" s="91"/>
      <c r="F185" s="91"/>
      <c r="G185" s="91"/>
      <c r="H185" s="91"/>
      <c r="I185" s="91"/>
      <c r="J185" s="91"/>
      <c r="K185" s="91"/>
    </row>
    <row r="186" spans="1:11">
      <c r="A186" s="91">
        <v>184</v>
      </c>
      <c r="B186" s="91" t="s">
        <v>1815</v>
      </c>
      <c r="C186" s="91">
        <v>2788</v>
      </c>
      <c r="D186" s="91" t="s">
        <v>1818</v>
      </c>
      <c r="E186" s="91"/>
      <c r="F186" s="91"/>
      <c r="G186" s="91"/>
      <c r="H186" s="91"/>
      <c r="I186" s="91"/>
      <c r="J186" s="91"/>
      <c r="K186" s="91"/>
    </row>
    <row r="187" spans="1:11">
      <c r="A187" s="91">
        <v>185</v>
      </c>
      <c r="B187" s="91" t="s">
        <v>1815</v>
      </c>
      <c r="C187" s="91">
        <v>1433</v>
      </c>
      <c r="D187" s="91" t="s">
        <v>1818</v>
      </c>
      <c r="E187" s="91"/>
      <c r="F187" s="91"/>
      <c r="G187" s="91"/>
      <c r="H187" s="91"/>
      <c r="I187" s="91"/>
      <c r="J187" s="91"/>
      <c r="K187" s="91"/>
    </row>
    <row r="188" spans="1:11">
      <c r="A188" s="91">
        <v>186</v>
      </c>
      <c r="B188" s="91" t="s">
        <v>1815</v>
      </c>
      <c r="C188" s="91">
        <v>2717</v>
      </c>
      <c r="D188" s="91" t="s">
        <v>1818</v>
      </c>
      <c r="E188" s="91"/>
      <c r="F188" s="91"/>
      <c r="G188" s="91"/>
      <c r="H188" s="91"/>
      <c r="I188" s="91"/>
      <c r="J188" s="91"/>
      <c r="K188" s="91"/>
    </row>
    <row r="189" spans="1:11">
      <c r="A189" s="91">
        <v>187</v>
      </c>
      <c r="B189" s="91" t="s">
        <v>1815</v>
      </c>
      <c r="C189" s="91">
        <v>1238</v>
      </c>
      <c r="D189" s="91" t="s">
        <v>1818</v>
      </c>
      <c r="E189" s="91"/>
      <c r="F189" s="91"/>
      <c r="G189" s="91"/>
      <c r="H189" s="91"/>
      <c r="I189" s="91"/>
      <c r="J189" s="91"/>
      <c r="K189" s="91"/>
    </row>
    <row r="190" spans="1:11">
      <c r="A190" s="91">
        <v>188</v>
      </c>
      <c r="B190" s="91" t="s">
        <v>1815</v>
      </c>
      <c r="C190" s="91">
        <v>2642</v>
      </c>
      <c r="D190" s="91" t="s">
        <v>1818</v>
      </c>
      <c r="E190" s="91"/>
      <c r="F190" s="91"/>
      <c r="G190" s="91"/>
      <c r="H190" s="91"/>
      <c r="I190" s="91"/>
      <c r="J190" s="91"/>
      <c r="K190" s="91"/>
    </row>
    <row r="191" spans="1:11">
      <c r="A191" s="91">
        <v>189</v>
      </c>
      <c r="B191" s="91" t="s">
        <v>1815</v>
      </c>
      <c r="C191" s="91">
        <v>2717</v>
      </c>
      <c r="D191" s="91" t="s">
        <v>1818</v>
      </c>
      <c r="E191" s="91"/>
      <c r="F191" s="91"/>
      <c r="G191" s="91"/>
      <c r="H191" s="91"/>
      <c r="I191" s="91"/>
      <c r="J191" s="91"/>
      <c r="K191" s="91"/>
    </row>
    <row r="192" spans="1:11">
      <c r="A192" s="91">
        <v>190</v>
      </c>
      <c r="B192" s="91" t="s">
        <v>1815</v>
      </c>
      <c r="C192" s="91">
        <v>2717</v>
      </c>
      <c r="D192" s="91" t="s">
        <v>1818</v>
      </c>
      <c r="E192" s="91"/>
      <c r="F192" s="91"/>
      <c r="G192" s="91"/>
      <c r="H192" s="91"/>
      <c r="I192" s="91"/>
      <c r="J192" s="91"/>
      <c r="K192" s="91"/>
    </row>
    <row r="193" spans="1:11">
      <c r="A193" s="91">
        <v>191</v>
      </c>
      <c r="B193" s="91" t="s">
        <v>1815</v>
      </c>
      <c r="C193" s="91">
        <v>2717</v>
      </c>
      <c r="D193" s="91" t="s">
        <v>1818</v>
      </c>
      <c r="E193" s="91"/>
      <c r="F193" s="91"/>
      <c r="G193" s="91"/>
      <c r="H193" s="91"/>
      <c r="I193" s="91"/>
      <c r="J193" s="91"/>
      <c r="K193" s="91"/>
    </row>
    <row r="194" spans="1:11">
      <c r="A194" s="91">
        <v>192</v>
      </c>
      <c r="B194" s="91" t="s">
        <v>1815</v>
      </c>
      <c r="C194" s="91">
        <v>2788</v>
      </c>
      <c r="D194" s="91" t="s">
        <v>1818</v>
      </c>
      <c r="E194" s="91"/>
      <c r="F194" s="91"/>
      <c r="G194" s="91"/>
      <c r="H194" s="91"/>
      <c r="I194" s="91"/>
      <c r="J194" s="91"/>
      <c r="K194" s="91"/>
    </row>
    <row r="195" spans="1:11">
      <c r="A195" s="91">
        <v>193</v>
      </c>
      <c r="B195" s="91" t="s">
        <v>1815</v>
      </c>
      <c r="C195" s="91">
        <v>2801</v>
      </c>
      <c r="D195" s="91" t="s">
        <v>1818</v>
      </c>
      <c r="E195" s="91"/>
      <c r="F195" s="91"/>
      <c r="G195" s="91"/>
      <c r="H195" s="91"/>
      <c r="I195" s="91"/>
      <c r="J195" s="91"/>
      <c r="K195" s="91"/>
    </row>
    <row r="196" spans="1:11">
      <c r="A196" s="91">
        <v>194</v>
      </c>
      <c r="B196" s="91" t="s">
        <v>1815</v>
      </c>
      <c r="C196" s="91">
        <v>2717</v>
      </c>
      <c r="D196" s="91" t="s">
        <v>1818</v>
      </c>
      <c r="E196" s="91"/>
      <c r="F196" s="91"/>
      <c r="G196" s="91"/>
      <c r="H196" s="91"/>
      <c r="I196" s="91"/>
      <c r="J196" s="91"/>
      <c r="K196" s="91"/>
    </row>
    <row r="197" spans="1:11">
      <c r="A197" s="91">
        <v>195</v>
      </c>
      <c r="B197" s="91" t="s">
        <v>1815</v>
      </c>
      <c r="C197" s="91">
        <v>1238</v>
      </c>
      <c r="D197" s="91" t="s">
        <v>1818</v>
      </c>
      <c r="E197" s="91"/>
      <c r="F197" s="91"/>
      <c r="G197" s="91"/>
      <c r="H197" s="91"/>
      <c r="I197" s="91"/>
      <c r="J197" s="91"/>
      <c r="K197" s="91"/>
    </row>
    <row r="198" spans="1:11">
      <c r="A198" s="91">
        <v>196</v>
      </c>
      <c r="B198" s="91" t="s">
        <v>1815</v>
      </c>
      <c r="C198" s="91">
        <v>2642</v>
      </c>
      <c r="D198" s="91" t="s">
        <v>1818</v>
      </c>
      <c r="E198" s="91"/>
      <c r="F198" s="91"/>
      <c r="G198" s="91"/>
      <c r="H198" s="91"/>
      <c r="I198" s="91"/>
      <c r="J198" s="91"/>
      <c r="K198" s="91"/>
    </row>
    <row r="199" spans="1:11">
      <c r="A199" s="91">
        <v>197</v>
      </c>
      <c r="B199" s="91" t="s">
        <v>1815</v>
      </c>
      <c r="C199" s="91">
        <v>2788</v>
      </c>
      <c r="D199" s="91" t="s">
        <v>1818</v>
      </c>
      <c r="E199" s="91"/>
      <c r="F199" s="91"/>
      <c r="G199" s="91"/>
      <c r="H199" s="91"/>
      <c r="I199" s="91"/>
      <c r="J199" s="91"/>
      <c r="K199" s="91"/>
    </row>
    <row r="200" spans="1:11">
      <c r="A200" s="91">
        <v>198</v>
      </c>
      <c r="B200" s="91" t="s">
        <v>1815</v>
      </c>
      <c r="C200" s="91">
        <v>2801</v>
      </c>
      <c r="D200" s="91" t="s">
        <v>1818</v>
      </c>
      <c r="E200" s="91"/>
      <c r="F200" s="91"/>
      <c r="G200" s="91"/>
      <c r="H200" s="91"/>
      <c r="I200" s="91"/>
      <c r="J200" s="91"/>
      <c r="K200" s="91"/>
    </row>
    <row r="201" spans="1:11">
      <c r="A201" s="91">
        <v>199</v>
      </c>
      <c r="B201" s="91" t="s">
        <v>1815</v>
      </c>
      <c r="C201" s="91">
        <v>2717</v>
      </c>
      <c r="D201" s="91" t="s">
        <v>1818</v>
      </c>
      <c r="E201" s="91"/>
      <c r="F201" s="91"/>
      <c r="G201" s="91"/>
      <c r="H201" s="91"/>
      <c r="I201" s="91"/>
      <c r="J201" s="91"/>
      <c r="K201" s="91"/>
    </row>
    <row r="202" spans="1:11">
      <c r="A202" s="91">
        <v>200</v>
      </c>
      <c r="B202" s="91" t="s">
        <v>1815</v>
      </c>
      <c r="C202" s="91">
        <v>1238</v>
      </c>
      <c r="D202" s="91" t="s">
        <v>1818</v>
      </c>
      <c r="E202" s="91"/>
      <c r="F202" s="91"/>
      <c r="G202" s="91"/>
      <c r="H202" s="91"/>
      <c r="I202" s="91"/>
      <c r="J202" s="91"/>
      <c r="K202" s="91"/>
    </row>
    <row r="203" spans="1:11">
      <c r="A203" s="91">
        <v>201</v>
      </c>
      <c r="B203" s="91" t="s">
        <v>1815</v>
      </c>
      <c r="C203" s="91">
        <v>2642</v>
      </c>
      <c r="D203" s="91" t="s">
        <v>1818</v>
      </c>
      <c r="E203" s="91"/>
      <c r="F203" s="91"/>
      <c r="G203" s="91"/>
      <c r="H203" s="91"/>
      <c r="I203" s="91"/>
      <c r="J203" s="91"/>
      <c r="K203" s="91"/>
    </row>
    <row r="204" spans="1:11">
      <c r="A204" s="91">
        <v>202</v>
      </c>
      <c r="B204" s="91" t="s">
        <v>1815</v>
      </c>
      <c r="C204" s="91">
        <v>2788</v>
      </c>
      <c r="D204" s="91" t="s">
        <v>1818</v>
      </c>
      <c r="E204" s="91"/>
      <c r="F204" s="91"/>
      <c r="G204" s="91"/>
      <c r="H204" s="91"/>
      <c r="I204" s="91"/>
      <c r="J204" s="91"/>
      <c r="K204" s="91"/>
    </row>
    <row r="205" spans="1:11">
      <c r="A205" s="91">
        <v>203</v>
      </c>
      <c r="B205" s="91" t="s">
        <v>1815</v>
      </c>
      <c r="C205" s="91">
        <v>2801</v>
      </c>
      <c r="D205" s="91" t="s">
        <v>1818</v>
      </c>
      <c r="E205" s="91"/>
      <c r="F205" s="91"/>
      <c r="G205" s="91"/>
      <c r="H205" s="91"/>
      <c r="I205" s="91"/>
      <c r="J205" s="91"/>
      <c r="K205" s="91"/>
    </row>
    <row r="206" spans="1:11">
      <c r="A206" s="91">
        <v>204</v>
      </c>
      <c r="B206" s="91" t="s">
        <v>1815</v>
      </c>
      <c r="C206" s="91">
        <v>1433</v>
      </c>
      <c r="D206" s="91" t="s">
        <v>1818</v>
      </c>
      <c r="E206" s="91"/>
      <c r="F206" s="91"/>
      <c r="G206" s="91"/>
      <c r="H206" s="91"/>
      <c r="I206" s="91"/>
      <c r="J206" s="91"/>
      <c r="K206" s="91"/>
    </row>
    <row r="207" spans="1:11">
      <c r="A207" s="91">
        <v>205</v>
      </c>
      <c r="B207" s="91" t="s">
        <v>1815</v>
      </c>
      <c r="C207" s="91">
        <v>2717</v>
      </c>
      <c r="D207" s="91" t="s">
        <v>1818</v>
      </c>
      <c r="E207" s="91"/>
      <c r="F207" s="91"/>
      <c r="G207" s="91"/>
      <c r="H207" s="91"/>
      <c r="I207" s="91"/>
      <c r="J207" s="91"/>
      <c r="K207" s="91"/>
    </row>
    <row r="208" spans="1:11">
      <c r="A208" s="91">
        <v>206</v>
      </c>
      <c r="B208" s="91" t="s">
        <v>1815</v>
      </c>
      <c r="C208" s="91">
        <v>1238</v>
      </c>
      <c r="D208" s="91" t="s">
        <v>1818</v>
      </c>
      <c r="E208" s="91"/>
      <c r="F208" s="91"/>
      <c r="G208" s="91"/>
      <c r="H208" s="91"/>
      <c r="I208" s="91"/>
      <c r="J208" s="91"/>
      <c r="K208" s="91"/>
    </row>
    <row r="209" spans="1:11">
      <c r="A209" s="91">
        <v>207</v>
      </c>
      <c r="B209" s="91" t="s">
        <v>1815</v>
      </c>
      <c r="C209" s="91">
        <v>2642</v>
      </c>
      <c r="D209" s="91" t="s">
        <v>1818</v>
      </c>
      <c r="E209" s="91"/>
      <c r="F209" s="91"/>
      <c r="G209" s="91"/>
      <c r="H209" s="91"/>
      <c r="I209" s="91"/>
      <c r="J209" s="91"/>
      <c r="K209" s="91"/>
    </row>
    <row r="210" spans="1:11">
      <c r="A210" s="91">
        <v>208</v>
      </c>
      <c r="B210" s="91" t="s">
        <v>1815</v>
      </c>
      <c r="C210" s="91">
        <v>1351</v>
      </c>
      <c r="D210" s="91" t="s">
        <v>1818</v>
      </c>
      <c r="E210" s="91"/>
      <c r="F210" s="91"/>
      <c r="G210" s="91"/>
      <c r="H210" s="91"/>
      <c r="I210" s="91"/>
      <c r="J210" s="91"/>
      <c r="K210" s="91"/>
    </row>
    <row r="211" spans="1:11">
      <c r="A211" s="91">
        <v>209</v>
      </c>
      <c r="B211" s="91" t="s">
        <v>1815</v>
      </c>
      <c r="C211" s="91">
        <v>1485</v>
      </c>
      <c r="D211" s="91" t="s">
        <v>1818</v>
      </c>
      <c r="E211" s="91"/>
      <c r="F211" s="91"/>
      <c r="G211" s="91"/>
      <c r="H211" s="91"/>
      <c r="I211" s="91"/>
      <c r="J211" s="91"/>
      <c r="K211" s="91"/>
    </row>
    <row r="212" spans="1:11">
      <c r="A212" s="91">
        <v>210</v>
      </c>
      <c r="B212" s="91" t="s">
        <v>1815</v>
      </c>
      <c r="C212" s="91">
        <v>2788</v>
      </c>
      <c r="D212" s="91" t="s">
        <v>1818</v>
      </c>
      <c r="E212" s="91"/>
      <c r="F212" s="91"/>
      <c r="G212" s="91"/>
      <c r="H212" s="91"/>
      <c r="I212" s="91"/>
      <c r="J212" s="91"/>
      <c r="K212" s="91"/>
    </row>
    <row r="213" spans="1:11">
      <c r="A213" s="91">
        <v>211</v>
      </c>
      <c r="B213" s="91" t="s">
        <v>1815</v>
      </c>
      <c r="C213" s="91">
        <v>1238</v>
      </c>
      <c r="D213" s="91" t="s">
        <v>1818</v>
      </c>
      <c r="E213" s="91"/>
      <c r="F213" s="91"/>
      <c r="G213" s="91"/>
      <c r="H213" s="91"/>
      <c r="I213" s="91"/>
      <c r="J213" s="91"/>
      <c r="K213" s="91"/>
    </row>
    <row r="214" spans="1:11">
      <c r="A214" s="91">
        <v>212</v>
      </c>
      <c r="B214" s="91" t="s">
        <v>1815</v>
      </c>
      <c r="C214" s="91">
        <v>2788</v>
      </c>
      <c r="D214" s="91" t="s">
        <v>1818</v>
      </c>
      <c r="E214" s="91"/>
      <c r="F214" s="91"/>
      <c r="G214" s="91"/>
      <c r="H214" s="91"/>
      <c r="I214" s="91"/>
      <c r="J214" s="91"/>
      <c r="K214" s="91"/>
    </row>
    <row r="215" spans="1:11">
      <c r="A215" s="91">
        <v>213</v>
      </c>
      <c r="B215" s="91" t="s">
        <v>1815</v>
      </c>
      <c r="C215" s="91">
        <v>1238</v>
      </c>
      <c r="D215" s="91" t="s">
        <v>1818</v>
      </c>
      <c r="E215" s="91"/>
      <c r="F215" s="91"/>
      <c r="G215" s="91"/>
      <c r="H215" s="91"/>
      <c r="I215" s="91"/>
      <c r="J215" s="91"/>
      <c r="K215" s="91"/>
    </row>
    <row r="216" spans="1:11">
      <c r="A216" s="91">
        <v>214</v>
      </c>
      <c r="B216" s="91" t="s">
        <v>1815</v>
      </c>
      <c r="C216" s="91">
        <v>1238</v>
      </c>
      <c r="D216" s="91" t="s">
        <v>1818</v>
      </c>
      <c r="E216" s="91"/>
      <c r="F216" s="91"/>
      <c r="G216" s="91"/>
      <c r="H216" s="91"/>
      <c r="I216" s="91"/>
      <c r="J216" s="91"/>
      <c r="K216" s="91"/>
    </row>
    <row r="217" spans="1:11">
      <c r="A217" s="91">
        <v>215</v>
      </c>
      <c r="B217" s="91" t="s">
        <v>1815</v>
      </c>
      <c r="C217" s="91">
        <v>1238</v>
      </c>
      <c r="D217" s="91" t="s">
        <v>1818</v>
      </c>
      <c r="E217" s="91"/>
      <c r="F217" s="91"/>
      <c r="G217" s="91"/>
      <c r="H217" s="91"/>
      <c r="I217" s="91"/>
      <c r="J217" s="91"/>
      <c r="K217" s="91"/>
    </row>
    <row r="218" spans="1:11">
      <c r="A218" s="91">
        <v>216</v>
      </c>
      <c r="B218" s="91" t="s">
        <v>1815</v>
      </c>
      <c r="C218" s="91">
        <v>1238</v>
      </c>
      <c r="D218" s="91" t="s">
        <v>1818</v>
      </c>
      <c r="E218" s="91"/>
      <c r="F218" s="91"/>
      <c r="G218" s="91"/>
      <c r="H218" s="91"/>
      <c r="I218" s="91"/>
      <c r="J218" s="91"/>
      <c r="K218" s="91"/>
    </row>
    <row r="219" spans="1:11">
      <c r="A219" s="91">
        <v>217</v>
      </c>
      <c r="B219" s="91" t="s">
        <v>1815</v>
      </c>
      <c r="C219" s="91">
        <v>1238</v>
      </c>
      <c r="D219" s="91" t="s">
        <v>1818</v>
      </c>
      <c r="E219" s="91"/>
      <c r="F219" s="91"/>
      <c r="G219" s="91"/>
      <c r="H219" s="91"/>
      <c r="I219" s="91"/>
      <c r="J219" s="91"/>
      <c r="K219" s="91"/>
    </row>
    <row r="220" spans="1:11">
      <c r="A220" s="91">
        <v>218</v>
      </c>
      <c r="B220" s="91" t="s">
        <v>1815</v>
      </c>
      <c r="C220" s="91">
        <v>1238</v>
      </c>
      <c r="D220" s="91" t="s">
        <v>1818</v>
      </c>
      <c r="E220" s="91"/>
      <c r="F220" s="91"/>
      <c r="G220" s="91"/>
      <c r="H220" s="91"/>
      <c r="I220" s="91"/>
      <c r="J220" s="91"/>
      <c r="K220" s="91"/>
    </row>
    <row r="221" spans="1:11">
      <c r="A221" s="91">
        <v>219</v>
      </c>
      <c r="B221" s="91" t="s">
        <v>1815</v>
      </c>
      <c r="C221" s="91">
        <v>1238</v>
      </c>
      <c r="D221" s="91" t="s">
        <v>1818</v>
      </c>
      <c r="E221" s="91"/>
      <c r="F221" s="91"/>
      <c r="G221" s="91"/>
      <c r="H221" s="91"/>
      <c r="I221" s="91"/>
      <c r="J221" s="91"/>
      <c r="K221" s="91"/>
    </row>
    <row r="222" spans="1:11">
      <c r="A222" s="91">
        <v>220</v>
      </c>
      <c r="B222" s="91" t="s">
        <v>1815</v>
      </c>
      <c r="C222" s="91">
        <v>2717</v>
      </c>
      <c r="D222" s="91" t="s">
        <v>1818</v>
      </c>
      <c r="E222" s="91"/>
      <c r="F222" s="91"/>
      <c r="G222" s="91"/>
      <c r="H222" s="91"/>
      <c r="I222" s="91"/>
      <c r="J222" s="91"/>
      <c r="K222" s="91"/>
    </row>
    <row r="223" spans="1:11">
      <c r="A223" s="91">
        <v>221</v>
      </c>
      <c r="B223" s="91" t="s">
        <v>1815</v>
      </c>
      <c r="C223" s="91">
        <v>2813</v>
      </c>
      <c r="D223" s="91" t="s">
        <v>1818</v>
      </c>
      <c r="E223" s="91"/>
      <c r="F223" s="91"/>
      <c r="G223" s="91"/>
      <c r="H223" s="91"/>
      <c r="I223" s="91"/>
      <c r="J223" s="91"/>
      <c r="K223" s="91"/>
    </row>
    <row r="224" spans="1:11">
      <c r="A224" s="91">
        <v>222</v>
      </c>
      <c r="B224" s="91" t="s">
        <v>1815</v>
      </c>
      <c r="C224" s="91">
        <v>2788</v>
      </c>
      <c r="D224" s="91" t="s">
        <v>1818</v>
      </c>
      <c r="E224" s="91"/>
      <c r="F224" s="91"/>
      <c r="G224" s="91"/>
      <c r="H224" s="91"/>
      <c r="I224" s="91"/>
      <c r="J224" s="91"/>
      <c r="K224" s="91"/>
    </row>
    <row r="225" spans="1:11">
      <c r="A225" s="91">
        <v>223</v>
      </c>
      <c r="B225" s="91" t="s">
        <v>1815</v>
      </c>
      <c r="C225" s="91">
        <v>2801</v>
      </c>
      <c r="D225" s="91" t="s">
        <v>1818</v>
      </c>
      <c r="E225" s="91"/>
      <c r="F225" s="91"/>
      <c r="G225" s="91"/>
      <c r="H225" s="91"/>
      <c r="I225" s="91"/>
      <c r="J225" s="91"/>
      <c r="K225" s="91"/>
    </row>
    <row r="226" spans="1:11">
      <c r="A226" s="91">
        <v>224</v>
      </c>
      <c r="B226" s="91" t="s">
        <v>1815</v>
      </c>
      <c r="C226" s="91">
        <v>1238</v>
      </c>
      <c r="D226" s="91" t="s">
        <v>1818</v>
      </c>
      <c r="E226" s="91"/>
      <c r="F226" s="91"/>
      <c r="G226" s="91"/>
      <c r="H226" s="91"/>
      <c r="I226" s="91"/>
      <c r="J226" s="91"/>
      <c r="K226" s="91"/>
    </row>
    <row r="227" spans="1:11">
      <c r="A227" s="91">
        <v>225</v>
      </c>
      <c r="B227" s="91" t="s">
        <v>1815</v>
      </c>
      <c r="C227" s="91">
        <v>2642</v>
      </c>
      <c r="D227" s="91" t="s">
        <v>1818</v>
      </c>
      <c r="E227" s="91"/>
      <c r="F227" s="91"/>
      <c r="G227" s="91"/>
      <c r="H227" s="91"/>
      <c r="I227" s="91"/>
      <c r="J227" s="91"/>
      <c r="K227" s="91"/>
    </row>
    <row r="228" spans="1:11">
      <c r="A228" s="91">
        <v>226</v>
      </c>
      <c r="B228" s="91" t="s">
        <v>1815</v>
      </c>
      <c r="C228" s="91">
        <v>2795</v>
      </c>
      <c r="D228" s="91" t="s">
        <v>1818</v>
      </c>
      <c r="E228" s="91"/>
      <c r="F228" s="91"/>
      <c r="G228" s="91"/>
      <c r="H228" s="91"/>
      <c r="I228" s="91"/>
      <c r="J228" s="91"/>
      <c r="K228" s="91"/>
    </row>
    <row r="229" spans="1:11">
      <c r="A229" s="91">
        <v>227</v>
      </c>
      <c r="B229" s="91" t="s">
        <v>1815</v>
      </c>
      <c r="C229" s="91">
        <v>2788</v>
      </c>
      <c r="D229" s="91" t="s">
        <v>1818</v>
      </c>
      <c r="E229" s="91"/>
      <c r="F229" s="91"/>
      <c r="G229" s="91"/>
      <c r="H229" s="91"/>
      <c r="I229" s="91"/>
      <c r="J229" s="91"/>
      <c r="K229" s="91"/>
    </row>
    <row r="230" spans="1:11">
      <c r="A230" s="91">
        <v>228</v>
      </c>
      <c r="B230" s="91" t="s">
        <v>1815</v>
      </c>
      <c r="C230" s="91">
        <v>2795</v>
      </c>
      <c r="D230" s="91" t="s">
        <v>1818</v>
      </c>
      <c r="E230" s="91"/>
      <c r="F230" s="91"/>
      <c r="G230" s="91"/>
      <c r="H230" s="91"/>
      <c r="I230" s="91"/>
      <c r="J230" s="91"/>
      <c r="K230" s="91"/>
    </row>
    <row r="231" spans="1:11">
      <c r="A231" s="91">
        <v>229</v>
      </c>
      <c r="B231" s="91" t="s">
        <v>1815</v>
      </c>
      <c r="C231" s="91">
        <v>1238</v>
      </c>
      <c r="D231" s="91" t="s">
        <v>1818</v>
      </c>
      <c r="E231" s="91"/>
      <c r="F231" s="91"/>
      <c r="G231" s="91"/>
      <c r="H231" s="91"/>
      <c r="I231" s="91"/>
      <c r="J231" s="91"/>
      <c r="K231" s="91"/>
    </row>
    <row r="232" spans="1:11">
      <c r="A232" s="91">
        <v>230</v>
      </c>
      <c r="B232" s="91" t="s">
        <v>1815</v>
      </c>
      <c r="C232" s="91">
        <v>2642</v>
      </c>
      <c r="D232" s="91" t="s">
        <v>1818</v>
      </c>
      <c r="E232" s="91"/>
      <c r="F232" s="91"/>
      <c r="G232" s="91"/>
      <c r="H232" s="91"/>
      <c r="I232" s="91"/>
      <c r="J232" s="91"/>
      <c r="K232" s="91"/>
    </row>
    <row r="233" spans="1:11">
      <c r="A233" s="91">
        <v>231</v>
      </c>
      <c r="B233" s="91" t="s">
        <v>1815</v>
      </c>
      <c r="C233" s="91">
        <v>2788</v>
      </c>
      <c r="D233" s="91" t="s">
        <v>1818</v>
      </c>
      <c r="E233" s="91"/>
      <c r="F233" s="91"/>
      <c r="G233" s="91"/>
      <c r="H233" s="91"/>
      <c r="I233" s="91"/>
      <c r="J233" s="91"/>
      <c r="K233" s="91"/>
    </row>
    <row r="234" spans="1:11">
      <c r="A234" s="91">
        <v>232</v>
      </c>
      <c r="B234" s="91" t="s">
        <v>1815</v>
      </c>
      <c r="C234" s="91">
        <v>2801</v>
      </c>
      <c r="D234" s="91" t="s">
        <v>1818</v>
      </c>
      <c r="E234" s="91"/>
      <c r="F234" s="91"/>
      <c r="G234" s="91"/>
      <c r="H234" s="91"/>
      <c r="I234" s="91"/>
      <c r="J234" s="91"/>
      <c r="K234" s="91"/>
    </row>
    <row r="235" spans="1:11">
      <c r="A235" s="91">
        <v>233</v>
      </c>
      <c r="B235" s="91" t="s">
        <v>1815</v>
      </c>
      <c r="C235" s="91">
        <v>1238</v>
      </c>
      <c r="D235" s="91" t="s">
        <v>1818</v>
      </c>
      <c r="E235" s="91"/>
      <c r="F235" s="91"/>
      <c r="G235" s="91"/>
      <c r="H235" s="91"/>
      <c r="I235" s="91"/>
      <c r="J235" s="91"/>
      <c r="K235" s="91"/>
    </row>
    <row r="236" spans="1:11">
      <c r="A236" s="91">
        <v>234</v>
      </c>
      <c r="B236" s="91" t="s">
        <v>1815</v>
      </c>
      <c r="C236" s="91">
        <v>2642</v>
      </c>
      <c r="D236" s="91" t="s">
        <v>1818</v>
      </c>
      <c r="E236" s="91"/>
      <c r="F236" s="91"/>
      <c r="G236" s="91"/>
      <c r="H236" s="91"/>
      <c r="I236" s="91"/>
      <c r="J236" s="91"/>
      <c r="K236" s="91"/>
    </row>
    <row r="237" spans="1:11">
      <c r="A237" s="91">
        <v>235</v>
      </c>
      <c r="B237" s="91" t="s">
        <v>1815</v>
      </c>
      <c r="C237" s="91">
        <v>2788</v>
      </c>
      <c r="D237" s="91" t="s">
        <v>1818</v>
      </c>
      <c r="E237" s="91"/>
      <c r="F237" s="91"/>
      <c r="G237" s="91"/>
      <c r="H237" s="91"/>
      <c r="I237" s="91"/>
      <c r="J237" s="91"/>
      <c r="K237" s="91"/>
    </row>
    <row r="238" spans="1:11">
      <c r="A238" s="91">
        <v>236</v>
      </c>
      <c r="B238" s="91" t="s">
        <v>1815</v>
      </c>
      <c r="C238" s="91">
        <v>2795</v>
      </c>
      <c r="D238" s="91" t="s">
        <v>1818</v>
      </c>
      <c r="E238" s="91"/>
      <c r="F238" s="91"/>
      <c r="G238" s="91"/>
      <c r="H238" s="91"/>
      <c r="I238" s="91"/>
      <c r="J238" s="91"/>
      <c r="K238" s="91"/>
    </row>
    <row r="239" spans="1:11">
      <c r="A239" s="91">
        <v>237</v>
      </c>
      <c r="B239" s="91" t="s">
        <v>1815</v>
      </c>
      <c r="C239" s="91">
        <v>1238</v>
      </c>
      <c r="D239" s="91" t="s">
        <v>1818</v>
      </c>
      <c r="E239" s="91"/>
      <c r="F239" s="91"/>
      <c r="G239" s="91"/>
      <c r="H239" s="91"/>
      <c r="I239" s="91"/>
      <c r="J239" s="91"/>
      <c r="K239" s="91"/>
    </row>
    <row r="240" spans="1:11">
      <c r="A240" s="91">
        <v>238</v>
      </c>
      <c r="B240" s="91" t="s">
        <v>1815</v>
      </c>
      <c r="C240" s="91">
        <v>2801</v>
      </c>
      <c r="D240" s="91" t="s">
        <v>1818</v>
      </c>
      <c r="E240" s="91"/>
      <c r="F240" s="91"/>
      <c r="G240" s="91"/>
      <c r="H240" s="91"/>
      <c r="I240" s="91"/>
      <c r="J240" s="91"/>
      <c r="K240" s="91"/>
    </row>
    <row r="241" spans="1:11">
      <c r="A241" s="91">
        <v>239</v>
      </c>
      <c r="B241" s="91" t="s">
        <v>1815</v>
      </c>
      <c r="C241" s="91">
        <v>1238</v>
      </c>
      <c r="D241" s="91" t="s">
        <v>1818</v>
      </c>
      <c r="E241" s="91"/>
      <c r="F241" s="91"/>
      <c r="G241" s="91"/>
      <c r="H241" s="91"/>
      <c r="I241" s="91"/>
      <c r="J241" s="91"/>
      <c r="K241" s="91"/>
    </row>
    <row r="242" spans="1:11">
      <c r="A242" s="91">
        <v>240</v>
      </c>
      <c r="B242" s="91" t="s">
        <v>1815</v>
      </c>
      <c r="C242" s="91">
        <v>2788</v>
      </c>
      <c r="D242" s="91" t="s">
        <v>1818</v>
      </c>
      <c r="E242" s="91"/>
      <c r="F242" s="91"/>
      <c r="G242" s="91"/>
      <c r="H242" s="91"/>
      <c r="I242" s="91"/>
      <c r="J242" s="91"/>
      <c r="K242" s="91"/>
    </row>
    <row r="243" spans="1:11">
      <c r="A243" s="91">
        <v>241</v>
      </c>
      <c r="B243" s="91" t="s">
        <v>1815</v>
      </c>
      <c r="C243" s="91">
        <v>1238</v>
      </c>
      <c r="D243" s="91" t="s">
        <v>1818</v>
      </c>
      <c r="E243" s="91"/>
      <c r="F243" s="91"/>
      <c r="G243" s="91"/>
      <c r="H243" s="91"/>
      <c r="I243" s="91"/>
      <c r="J243" s="91"/>
      <c r="K243" s="91"/>
    </row>
    <row r="244" spans="1:11">
      <c r="A244" s="91">
        <v>242</v>
      </c>
      <c r="B244" s="91" t="s">
        <v>1815</v>
      </c>
      <c r="C244" s="91">
        <v>2813</v>
      </c>
      <c r="D244" s="91" t="s">
        <v>1818</v>
      </c>
      <c r="E244" s="91"/>
      <c r="F244" s="91"/>
      <c r="G244" s="91"/>
      <c r="H244" s="91"/>
      <c r="I244" s="91"/>
      <c r="J244" s="91"/>
      <c r="K244" s="91"/>
    </row>
    <row r="245" spans="1:11">
      <c r="A245" s="91">
        <v>243</v>
      </c>
      <c r="B245" s="91" t="s">
        <v>1815</v>
      </c>
      <c r="C245" s="91">
        <v>2788</v>
      </c>
      <c r="D245" s="91" t="s">
        <v>1818</v>
      </c>
      <c r="E245" s="91"/>
      <c r="F245" s="91"/>
      <c r="G245" s="91"/>
      <c r="H245" s="91"/>
      <c r="I245" s="91"/>
      <c r="J245" s="91"/>
      <c r="K245" s="91"/>
    </row>
    <row r="246" spans="1:11">
      <c r="A246" s="91">
        <v>244</v>
      </c>
      <c r="B246" s="91" t="s">
        <v>1815</v>
      </c>
      <c r="C246" s="91">
        <v>2801</v>
      </c>
      <c r="D246" s="91" t="s">
        <v>1818</v>
      </c>
      <c r="E246" s="91"/>
      <c r="F246" s="91"/>
      <c r="G246" s="91"/>
      <c r="H246" s="91"/>
      <c r="I246" s="91"/>
      <c r="J246" s="91"/>
      <c r="K246" s="91"/>
    </row>
    <row r="247" spans="1:11">
      <c r="A247" s="91">
        <v>245</v>
      </c>
      <c r="B247" s="91" t="s">
        <v>1815</v>
      </c>
      <c r="C247" s="91">
        <v>1238</v>
      </c>
      <c r="D247" s="91" t="s">
        <v>1818</v>
      </c>
      <c r="E247" s="91"/>
      <c r="F247" s="91"/>
      <c r="G247" s="91"/>
      <c r="H247" s="91"/>
      <c r="I247" s="91"/>
      <c r="J247" s="91"/>
      <c r="K247" s="91"/>
    </row>
    <row r="248" spans="1:11">
      <c r="A248" s="91">
        <v>246</v>
      </c>
      <c r="B248" s="91" t="s">
        <v>1815</v>
      </c>
      <c r="C248" s="91">
        <v>2642</v>
      </c>
      <c r="D248" s="91" t="s">
        <v>1818</v>
      </c>
      <c r="E248" s="91"/>
      <c r="F248" s="91"/>
      <c r="G248" s="91"/>
      <c r="H248" s="91"/>
      <c r="I248" s="91"/>
      <c r="J248" s="91"/>
      <c r="K248" s="91"/>
    </row>
    <row r="249" spans="1:11">
      <c r="A249" s="91">
        <v>247</v>
      </c>
      <c r="B249" s="91" t="s">
        <v>1815</v>
      </c>
      <c r="C249" s="91">
        <v>2813</v>
      </c>
      <c r="D249" s="91" t="s">
        <v>1818</v>
      </c>
      <c r="E249" s="91"/>
      <c r="F249" s="91"/>
      <c r="G249" s="91"/>
      <c r="H249" s="91"/>
      <c r="I249" s="91"/>
      <c r="J249" s="91"/>
      <c r="K249" s="91"/>
    </row>
    <row r="250" spans="1:11">
      <c r="A250" s="91">
        <v>248</v>
      </c>
      <c r="B250" s="91" t="s">
        <v>1815</v>
      </c>
      <c r="C250" s="91">
        <v>2801</v>
      </c>
      <c r="D250" s="91" t="s">
        <v>1818</v>
      </c>
      <c r="E250" s="91"/>
      <c r="F250" s="91"/>
      <c r="G250" s="91"/>
      <c r="H250" s="91"/>
      <c r="I250" s="91"/>
      <c r="J250" s="91"/>
      <c r="K250" s="91"/>
    </row>
    <row r="251" spans="1:11">
      <c r="A251" s="91">
        <v>249</v>
      </c>
      <c r="B251" s="91" t="s">
        <v>1815</v>
      </c>
      <c r="C251" s="91">
        <v>1238</v>
      </c>
      <c r="D251" s="91" t="s">
        <v>1818</v>
      </c>
      <c r="E251" s="91"/>
      <c r="F251" s="91"/>
      <c r="G251" s="91"/>
      <c r="H251" s="91"/>
      <c r="I251" s="91"/>
      <c r="J251" s="91"/>
      <c r="K251" s="91"/>
    </row>
    <row r="252" spans="1:11">
      <c r="A252" s="91">
        <v>250</v>
      </c>
      <c r="B252" s="91" t="s">
        <v>1815</v>
      </c>
      <c r="C252" s="91">
        <v>2642</v>
      </c>
      <c r="D252" s="91" t="s">
        <v>1818</v>
      </c>
      <c r="E252" s="91"/>
      <c r="F252" s="91"/>
      <c r="G252" s="91"/>
      <c r="H252" s="91"/>
      <c r="I252" s="91"/>
      <c r="J252" s="91"/>
      <c r="K252" s="91"/>
    </row>
    <row r="253" spans="1:11">
      <c r="A253" s="91">
        <v>251</v>
      </c>
      <c r="B253" s="91" t="s">
        <v>1815</v>
      </c>
      <c r="C253" s="91">
        <v>1238</v>
      </c>
      <c r="D253" s="91" t="s">
        <v>1818</v>
      </c>
      <c r="E253" s="91"/>
      <c r="F253" s="91"/>
      <c r="G253" s="91"/>
      <c r="H253" s="91"/>
      <c r="I253" s="91"/>
      <c r="J253" s="91"/>
      <c r="K253" s="91"/>
    </row>
    <row r="254" spans="1:11">
      <c r="A254" s="91">
        <v>252</v>
      </c>
      <c r="B254" s="91" t="s">
        <v>1815</v>
      </c>
      <c r="C254" s="91">
        <v>2642</v>
      </c>
      <c r="D254" s="91" t="s">
        <v>1818</v>
      </c>
      <c r="E254" s="91"/>
      <c r="F254" s="91"/>
      <c r="G254" s="91"/>
      <c r="H254" s="91"/>
      <c r="I254" s="91"/>
      <c r="J254" s="91"/>
      <c r="K254" s="91"/>
    </row>
    <row r="255" spans="1:11">
      <c r="A255" s="91">
        <v>253</v>
      </c>
      <c r="B255" s="91" t="s">
        <v>1815</v>
      </c>
      <c r="C255" s="91">
        <v>1238</v>
      </c>
      <c r="D255" s="91" t="s">
        <v>1818</v>
      </c>
      <c r="E255" s="91"/>
      <c r="F255" s="91"/>
      <c r="G255" s="91"/>
      <c r="H255" s="91"/>
      <c r="I255" s="91"/>
      <c r="J255" s="91"/>
      <c r="K255" s="91"/>
    </row>
    <row r="256" spans="1:11">
      <c r="A256" s="91">
        <v>254</v>
      </c>
      <c r="B256" s="91" t="s">
        <v>1815</v>
      </c>
      <c r="C256" s="91">
        <v>1238</v>
      </c>
      <c r="D256" s="91" t="s">
        <v>1818</v>
      </c>
      <c r="E256" s="91"/>
      <c r="F256" s="91"/>
      <c r="G256" s="91"/>
      <c r="H256" s="91"/>
      <c r="I256" s="91"/>
      <c r="J256" s="91"/>
      <c r="K256" s="91"/>
    </row>
    <row r="257" spans="1:11">
      <c r="A257" s="91">
        <v>255</v>
      </c>
      <c r="B257" s="91" t="s">
        <v>1815</v>
      </c>
      <c r="C257" s="91">
        <v>1238</v>
      </c>
      <c r="D257" s="91" t="s">
        <v>1818</v>
      </c>
      <c r="E257" s="91"/>
      <c r="F257" s="91"/>
      <c r="G257" s="91"/>
      <c r="H257" s="91"/>
      <c r="I257" s="91"/>
      <c r="J257" s="91"/>
      <c r="K257" s="91"/>
    </row>
    <row r="258" spans="1:11">
      <c r="A258" s="91">
        <v>256</v>
      </c>
      <c r="B258" s="91" t="s">
        <v>1815</v>
      </c>
      <c r="C258" s="91">
        <v>553</v>
      </c>
      <c r="D258" s="91" t="s">
        <v>1818</v>
      </c>
      <c r="E258" s="91"/>
      <c r="F258" s="91"/>
      <c r="G258" s="91"/>
      <c r="H258" s="91"/>
      <c r="I258" s="91"/>
      <c r="J258" s="91"/>
      <c r="K258" s="91"/>
    </row>
    <row r="259" spans="1:11">
      <c r="A259" s="91">
        <v>257</v>
      </c>
      <c r="B259" s="91" t="s">
        <v>1816</v>
      </c>
      <c r="C259" s="91">
        <v>2813</v>
      </c>
      <c r="D259" s="91" t="s">
        <v>1818</v>
      </c>
      <c r="E259" s="91"/>
      <c r="F259" s="91"/>
      <c r="G259" s="91"/>
      <c r="H259" s="91"/>
      <c r="I259" s="91"/>
      <c r="J259" s="91"/>
      <c r="K259" s="91"/>
    </row>
    <row r="260" spans="1:11">
      <c r="A260" s="91">
        <v>258</v>
      </c>
      <c r="B260" s="91" t="s">
        <v>1816</v>
      </c>
      <c r="C260" s="91">
        <v>2717</v>
      </c>
      <c r="D260" s="91" t="s">
        <v>1818</v>
      </c>
      <c r="E260" s="91"/>
      <c r="F260" s="91"/>
      <c r="G260" s="91"/>
      <c r="H260" s="91"/>
      <c r="I260" s="91"/>
      <c r="J260" s="91"/>
      <c r="K260" s="91"/>
    </row>
    <row r="261" spans="1:11">
      <c r="A261" s="91">
        <v>259</v>
      </c>
      <c r="B261" s="91" t="s">
        <v>1816</v>
      </c>
      <c r="C261" s="91">
        <v>2717</v>
      </c>
      <c r="D261" s="91" t="s">
        <v>1818</v>
      </c>
      <c r="E261" s="91"/>
      <c r="F261" s="91"/>
      <c r="G261" s="91"/>
      <c r="H261" s="91"/>
      <c r="I261" s="91"/>
      <c r="J261" s="91"/>
      <c r="K261" s="91"/>
    </row>
    <row r="262" spans="1:11">
      <c r="A262" s="91">
        <v>260</v>
      </c>
      <c r="B262" s="91" t="s">
        <v>1816</v>
      </c>
      <c r="C262" s="91">
        <v>1238</v>
      </c>
      <c r="D262" s="91" t="s">
        <v>1818</v>
      </c>
      <c r="E262" s="91"/>
      <c r="F262" s="91"/>
      <c r="G262" s="91"/>
      <c r="H262" s="91"/>
      <c r="I262" s="91"/>
      <c r="J262" s="91"/>
      <c r="K262" s="91"/>
    </row>
    <row r="263" spans="1:11">
      <c r="A263" s="91">
        <v>261</v>
      </c>
      <c r="B263" s="91" t="s">
        <v>1816</v>
      </c>
      <c r="C263" s="91">
        <v>1056</v>
      </c>
      <c r="D263" s="91" t="s">
        <v>1818</v>
      </c>
      <c r="E263" s="91"/>
      <c r="F263" s="91"/>
      <c r="G263" s="91"/>
      <c r="H263" s="91"/>
      <c r="I263" s="91"/>
      <c r="J263" s="91"/>
      <c r="K263" s="91"/>
    </row>
    <row r="264" spans="1:11">
      <c r="A264" s="91">
        <v>262</v>
      </c>
      <c r="B264" s="91" t="s">
        <v>1816</v>
      </c>
      <c r="C264" s="91">
        <v>1351</v>
      </c>
      <c r="D264" s="91" t="s">
        <v>1818</v>
      </c>
      <c r="E264" s="91"/>
      <c r="F264" s="91"/>
      <c r="G264" s="91"/>
      <c r="H264" s="91"/>
      <c r="I264" s="91"/>
      <c r="J264" s="91"/>
      <c r="K264" s="91"/>
    </row>
    <row r="265" spans="1:11">
      <c r="A265" s="91">
        <v>263</v>
      </c>
      <c r="B265" s="91" t="s">
        <v>1816</v>
      </c>
      <c r="C265" s="91">
        <v>1485</v>
      </c>
      <c r="D265" s="91" t="s">
        <v>1818</v>
      </c>
      <c r="E265" s="91"/>
      <c r="F265" s="91"/>
      <c r="G265" s="91"/>
      <c r="H265" s="91"/>
      <c r="I265" s="91"/>
      <c r="J265" s="91"/>
      <c r="K265" s="91"/>
    </row>
    <row r="266" spans="1:11">
      <c r="A266" s="91">
        <v>264</v>
      </c>
      <c r="B266" s="91" t="s">
        <v>1816</v>
      </c>
      <c r="C266" s="91">
        <v>1056</v>
      </c>
      <c r="D266" s="91" t="s">
        <v>1818</v>
      </c>
      <c r="E266" s="91"/>
      <c r="F266" s="91"/>
      <c r="G266" s="91"/>
      <c r="H266" s="91"/>
      <c r="I266" s="91"/>
      <c r="J266" s="91"/>
      <c r="K266" s="91"/>
    </row>
    <row r="267" spans="1:11">
      <c r="A267" s="91">
        <v>265</v>
      </c>
      <c r="B267" s="91" t="s">
        <v>1816</v>
      </c>
      <c r="C267" s="91">
        <v>1351</v>
      </c>
      <c r="D267" s="91" t="s">
        <v>1818</v>
      </c>
      <c r="E267" s="91"/>
      <c r="F267" s="91"/>
      <c r="G267" s="91"/>
      <c r="H267" s="91"/>
      <c r="I267" s="91"/>
      <c r="J267" s="91"/>
      <c r="K267" s="91"/>
    </row>
    <row r="268" spans="1:11">
      <c r="A268" s="91">
        <v>266</v>
      </c>
      <c r="B268" s="91" t="s">
        <v>1816</v>
      </c>
      <c r="C268" s="91">
        <v>763</v>
      </c>
      <c r="D268" s="91" t="s">
        <v>1818</v>
      </c>
      <c r="E268" s="91"/>
      <c r="F268" s="91"/>
      <c r="G268" s="91"/>
      <c r="H268" s="91"/>
      <c r="I268" s="91"/>
      <c r="J268" s="91"/>
      <c r="K268" s="91"/>
    </row>
    <row r="269" spans="1:11">
      <c r="A269" s="91">
        <v>267</v>
      </c>
      <c r="B269" s="91" t="s">
        <v>1816</v>
      </c>
      <c r="C269" s="91">
        <v>1485</v>
      </c>
      <c r="D269" s="91" t="s">
        <v>1818</v>
      </c>
      <c r="E269" s="91"/>
      <c r="F269" s="91"/>
      <c r="G269" s="91"/>
      <c r="H269" s="91"/>
      <c r="I269" s="91"/>
      <c r="J269" s="91"/>
      <c r="K269" s="91"/>
    </row>
    <row r="270" spans="1:11">
      <c r="A270" s="91">
        <v>268</v>
      </c>
      <c r="B270" s="91" t="s">
        <v>1816</v>
      </c>
      <c r="C270" s="91">
        <v>1351</v>
      </c>
      <c r="D270" s="91" t="s">
        <v>1818</v>
      </c>
      <c r="E270" s="91"/>
      <c r="F270" s="91"/>
      <c r="G270" s="91"/>
      <c r="H270" s="91"/>
      <c r="I270" s="91"/>
      <c r="J270" s="91"/>
      <c r="K270" s="91"/>
    </row>
    <row r="271" spans="1:11">
      <c r="A271" s="91">
        <v>269</v>
      </c>
      <c r="B271" s="91" t="s">
        <v>1816</v>
      </c>
      <c r="C271" s="91">
        <v>1485</v>
      </c>
      <c r="D271" s="91" t="s">
        <v>1818</v>
      </c>
      <c r="E271" s="91"/>
      <c r="F271" s="91"/>
      <c r="G271" s="91"/>
      <c r="H271" s="91"/>
      <c r="I271" s="91"/>
      <c r="J271" s="91"/>
      <c r="K271" s="91"/>
    </row>
    <row r="272" spans="1:11">
      <c r="A272" s="91">
        <v>270</v>
      </c>
      <c r="B272" s="91" t="s">
        <v>1816</v>
      </c>
      <c r="C272" s="91">
        <v>1715</v>
      </c>
      <c r="D272" s="91" t="s">
        <v>1818</v>
      </c>
      <c r="E272" s="91"/>
      <c r="F272" s="91"/>
      <c r="G272" s="91"/>
      <c r="H272" s="91"/>
      <c r="I272" s="91"/>
      <c r="J272" s="91"/>
      <c r="K272" s="91"/>
    </row>
    <row r="273" spans="1:11">
      <c r="A273" s="91">
        <v>271</v>
      </c>
      <c r="B273" s="91" t="s">
        <v>1816</v>
      </c>
      <c r="C273" s="91">
        <v>1351</v>
      </c>
      <c r="D273" s="91" t="s">
        <v>1818</v>
      </c>
      <c r="E273" s="91"/>
      <c r="F273" s="91"/>
      <c r="G273" s="91"/>
      <c r="H273" s="91"/>
      <c r="I273" s="91"/>
      <c r="J273" s="91"/>
      <c r="K273" s="91"/>
    </row>
    <row r="274" spans="1:11">
      <c r="A274" s="91">
        <v>272</v>
      </c>
      <c r="B274" s="91" t="s">
        <v>1816</v>
      </c>
      <c r="C274" s="91">
        <v>1485</v>
      </c>
      <c r="D274" s="91" t="s">
        <v>1818</v>
      </c>
      <c r="E274" s="91"/>
      <c r="F274" s="91"/>
      <c r="G274" s="91"/>
      <c r="H274" s="91"/>
      <c r="I274" s="91"/>
      <c r="J274" s="91"/>
      <c r="K274" s="91"/>
    </row>
    <row r="275" spans="1:11">
      <c r="A275" s="91">
        <v>273</v>
      </c>
      <c r="B275" s="91" t="s">
        <v>1816</v>
      </c>
      <c r="C275" s="91">
        <v>1715</v>
      </c>
      <c r="D275" s="91" t="s">
        <v>1818</v>
      </c>
      <c r="E275" s="91"/>
      <c r="F275" s="91"/>
      <c r="G275" s="91"/>
      <c r="H275" s="91"/>
      <c r="I275" s="91"/>
      <c r="J275" s="91"/>
      <c r="K275" s="91"/>
    </row>
    <row r="276" spans="1:11">
      <c r="A276" s="91">
        <v>274</v>
      </c>
      <c r="B276" s="91" t="s">
        <v>1816</v>
      </c>
      <c r="C276" s="91">
        <v>1351</v>
      </c>
      <c r="D276" s="91" t="s">
        <v>1818</v>
      </c>
      <c r="E276" s="91"/>
      <c r="F276" s="91"/>
      <c r="G276" s="91"/>
      <c r="H276" s="91"/>
      <c r="I276" s="91"/>
      <c r="J276" s="91"/>
      <c r="K276" s="91"/>
    </row>
    <row r="277" spans="1:11">
      <c r="A277" s="91">
        <v>275</v>
      </c>
      <c r="B277" s="91" t="s">
        <v>1816</v>
      </c>
      <c r="C277" s="91">
        <v>1715</v>
      </c>
      <c r="D277" s="91" t="s">
        <v>1818</v>
      </c>
      <c r="E277" s="91"/>
      <c r="F277" s="91"/>
      <c r="G277" s="91"/>
      <c r="H277" s="91"/>
      <c r="I277" s="91"/>
      <c r="J277" s="91"/>
      <c r="K277" s="91"/>
    </row>
    <row r="278" spans="1:11">
      <c r="A278" s="91">
        <v>276</v>
      </c>
      <c r="B278" s="91" t="s">
        <v>1816</v>
      </c>
      <c r="C278" s="91">
        <v>1485</v>
      </c>
      <c r="D278" s="91" t="s">
        <v>1818</v>
      </c>
      <c r="E278" s="91"/>
      <c r="F278" s="91"/>
      <c r="G278" s="91"/>
      <c r="H278" s="91"/>
      <c r="I278" s="91"/>
      <c r="J278" s="91"/>
      <c r="K278" s="91"/>
    </row>
    <row r="279" spans="1:11">
      <c r="A279" s="91">
        <v>277</v>
      </c>
      <c r="B279" s="91" t="s">
        <v>1816</v>
      </c>
      <c r="C279" s="91">
        <v>1437</v>
      </c>
      <c r="D279" s="91" t="s">
        <v>1818</v>
      </c>
      <c r="E279" s="91"/>
      <c r="F279" s="91"/>
      <c r="G279" s="91"/>
      <c r="H279" s="91"/>
      <c r="I279" s="91"/>
      <c r="J279" s="91"/>
      <c r="K279" s="91"/>
    </row>
    <row r="280" spans="1:11">
      <c r="A280" s="91">
        <v>278</v>
      </c>
      <c r="B280" s="91" t="s">
        <v>1816</v>
      </c>
      <c r="C280" s="91">
        <v>2569</v>
      </c>
      <c r="D280" s="91" t="s">
        <v>1818</v>
      </c>
      <c r="E280" s="91"/>
      <c r="F280" s="91"/>
      <c r="G280" s="91"/>
      <c r="H280" s="91"/>
      <c r="I280" s="91"/>
      <c r="J280" s="91"/>
      <c r="K280" s="91"/>
    </row>
    <row r="281" spans="1:11">
      <c r="A281" s="91">
        <v>279</v>
      </c>
      <c r="B281" s="91" t="s">
        <v>1816</v>
      </c>
      <c r="C281" s="91">
        <v>763</v>
      </c>
      <c r="D281" s="91" t="s">
        <v>1818</v>
      </c>
      <c r="E281" s="91"/>
      <c r="F281" s="91"/>
      <c r="G281" s="91"/>
      <c r="H281" s="91"/>
      <c r="I281" s="91"/>
      <c r="J281" s="91"/>
      <c r="K281" s="91"/>
    </row>
    <row r="282" spans="1:11">
      <c r="A282" s="91">
        <v>280</v>
      </c>
      <c r="B282" s="91" t="s">
        <v>1816</v>
      </c>
      <c r="C282" s="91">
        <v>1485</v>
      </c>
      <c r="D282" s="91" t="s">
        <v>1818</v>
      </c>
      <c r="E282" s="91"/>
      <c r="F282" s="91"/>
      <c r="G282" s="91"/>
      <c r="H282" s="91"/>
      <c r="I282" s="91"/>
      <c r="J282" s="91"/>
      <c r="K282" s="91"/>
    </row>
    <row r="283" spans="1:11">
      <c r="A283" s="91">
        <v>281</v>
      </c>
      <c r="B283" s="91" t="s">
        <v>1816</v>
      </c>
      <c r="C283" s="91">
        <v>1056</v>
      </c>
      <c r="D283" s="91" t="s">
        <v>1818</v>
      </c>
      <c r="E283" s="91"/>
      <c r="F283" s="91"/>
      <c r="G283" s="91"/>
      <c r="H283" s="91"/>
      <c r="I283" s="91"/>
      <c r="J283" s="91"/>
      <c r="K283" s="91"/>
    </row>
    <row r="284" spans="1:11">
      <c r="A284" s="91">
        <v>282</v>
      </c>
      <c r="B284" s="91" t="s">
        <v>1816</v>
      </c>
      <c r="C284" s="91">
        <v>1351</v>
      </c>
      <c r="D284" s="91" t="s">
        <v>1818</v>
      </c>
      <c r="E284" s="91"/>
      <c r="F284" s="91"/>
      <c r="G284" s="91"/>
      <c r="H284" s="91"/>
      <c r="I284" s="91"/>
      <c r="J284" s="91"/>
      <c r="K284" s="91"/>
    </row>
    <row r="285" spans="1:11">
      <c r="A285" s="91">
        <v>283</v>
      </c>
      <c r="B285" s="91" t="s">
        <v>1816</v>
      </c>
      <c r="C285" s="91">
        <v>1182</v>
      </c>
      <c r="D285" s="91" t="s">
        <v>1818</v>
      </c>
      <c r="E285" s="91"/>
      <c r="F285" s="91"/>
      <c r="G285" s="91"/>
      <c r="H285" s="91"/>
      <c r="I285" s="91"/>
      <c r="J285" s="91"/>
      <c r="K285" s="91"/>
    </row>
    <row r="286" spans="1:11">
      <c r="A286" s="91">
        <v>284</v>
      </c>
      <c r="B286" s="91" t="s">
        <v>1816</v>
      </c>
      <c r="C286" s="91">
        <v>1485</v>
      </c>
      <c r="D286" s="91" t="s">
        <v>1818</v>
      </c>
      <c r="E286" s="91"/>
      <c r="F286" s="91"/>
      <c r="G286" s="91"/>
      <c r="H286" s="91"/>
      <c r="I286" s="91"/>
      <c r="J286" s="91"/>
      <c r="K286" s="91"/>
    </row>
    <row r="287" spans="1:11">
      <c r="A287" s="91">
        <v>285</v>
      </c>
      <c r="B287" s="91" t="s">
        <v>1816</v>
      </c>
      <c r="C287" s="91">
        <v>1485</v>
      </c>
      <c r="D287" s="91" t="s">
        <v>1818</v>
      </c>
      <c r="E287" s="91"/>
      <c r="F287" s="91"/>
      <c r="G287" s="91"/>
      <c r="H287" s="91"/>
      <c r="I287" s="91"/>
      <c r="J287" s="91"/>
      <c r="K287" s="91"/>
    </row>
    <row r="288" spans="1:11">
      <c r="A288" s="91">
        <v>286</v>
      </c>
      <c r="B288" s="91" t="s">
        <v>1816</v>
      </c>
      <c r="C288" s="91">
        <v>1485</v>
      </c>
      <c r="D288" s="91" t="s">
        <v>1818</v>
      </c>
      <c r="E288" s="91"/>
      <c r="F288" s="91"/>
      <c r="G288" s="91"/>
      <c r="H288" s="91"/>
      <c r="I288" s="91"/>
      <c r="J288" s="91"/>
      <c r="K288" s="91"/>
    </row>
    <row r="289" spans="1:11">
      <c r="A289" s="91">
        <v>287</v>
      </c>
      <c r="B289" s="91" t="s">
        <v>1816</v>
      </c>
      <c r="C289" s="91">
        <v>1056</v>
      </c>
      <c r="D289" s="91" t="s">
        <v>1818</v>
      </c>
      <c r="E289" s="91"/>
      <c r="F289" s="91"/>
      <c r="G289" s="91"/>
      <c r="H289" s="91"/>
      <c r="I289" s="91"/>
      <c r="J289" s="91"/>
      <c r="K289" s="91"/>
    </row>
    <row r="290" spans="1:11">
      <c r="A290" s="91">
        <v>288</v>
      </c>
      <c r="B290" s="91" t="s">
        <v>1816</v>
      </c>
      <c r="C290" s="91">
        <v>1351</v>
      </c>
      <c r="D290" s="91" t="s">
        <v>1818</v>
      </c>
      <c r="E290" s="91"/>
      <c r="F290" s="91"/>
      <c r="G290" s="91"/>
      <c r="H290" s="91"/>
      <c r="I290" s="91"/>
      <c r="J290" s="91"/>
      <c r="K290" s="91"/>
    </row>
    <row r="291" spans="1:11">
      <c r="A291" s="91">
        <v>289</v>
      </c>
      <c r="B291" s="91" t="s">
        <v>1816</v>
      </c>
      <c r="C291" s="91">
        <v>1485</v>
      </c>
      <c r="D291" s="91" t="s">
        <v>1818</v>
      </c>
      <c r="E291" s="91"/>
      <c r="F291" s="91"/>
      <c r="G291" s="91"/>
      <c r="H291" s="91"/>
      <c r="I291" s="91"/>
      <c r="J291" s="91"/>
      <c r="K291" s="91"/>
    </row>
    <row r="292" spans="1:11">
      <c r="A292" s="91">
        <v>290</v>
      </c>
      <c r="B292" s="91" t="s">
        <v>1816</v>
      </c>
      <c r="C292" s="91">
        <v>1715</v>
      </c>
      <c r="D292" s="91" t="s">
        <v>1818</v>
      </c>
      <c r="E292" s="91"/>
      <c r="F292" s="91"/>
      <c r="G292" s="91"/>
      <c r="H292" s="91"/>
      <c r="I292" s="91"/>
      <c r="J292" s="91"/>
      <c r="K292" s="91"/>
    </row>
    <row r="293" spans="1:11">
      <c r="A293" s="91">
        <v>291</v>
      </c>
      <c r="B293" s="91" t="s">
        <v>1816</v>
      </c>
      <c r="C293" s="91">
        <v>1351</v>
      </c>
      <c r="D293" s="91" t="s">
        <v>1818</v>
      </c>
      <c r="E293" s="91"/>
      <c r="F293" s="91"/>
      <c r="G293" s="91"/>
      <c r="H293" s="91"/>
      <c r="I293" s="91"/>
      <c r="J293" s="91"/>
      <c r="K293" s="91"/>
    </row>
    <row r="294" spans="1:11">
      <c r="A294" s="91">
        <v>292</v>
      </c>
      <c r="B294" s="91" t="s">
        <v>1816</v>
      </c>
      <c r="C294" s="91">
        <v>1485</v>
      </c>
      <c r="D294" s="91" t="s">
        <v>1818</v>
      </c>
      <c r="E294" s="91"/>
      <c r="F294" s="91"/>
      <c r="G294" s="91"/>
      <c r="H294" s="91"/>
      <c r="I294" s="91"/>
      <c r="J294" s="91"/>
      <c r="K294" s="91"/>
    </row>
    <row r="295" spans="1:11">
      <c r="A295" s="91">
        <v>293</v>
      </c>
      <c r="B295" s="91" t="s">
        <v>1816</v>
      </c>
      <c r="C295" s="91">
        <v>2575</v>
      </c>
      <c r="D295" s="91" t="s">
        <v>1818</v>
      </c>
      <c r="E295" s="91"/>
      <c r="F295" s="91"/>
      <c r="G295" s="91"/>
      <c r="H295" s="91"/>
      <c r="I295" s="91"/>
      <c r="J295" s="91"/>
      <c r="K295" s="91"/>
    </row>
    <row r="296" spans="1:11">
      <c r="A296" s="91">
        <v>294</v>
      </c>
      <c r="B296" s="91" t="s">
        <v>1816</v>
      </c>
      <c r="C296" s="91">
        <v>1351</v>
      </c>
      <c r="D296" s="91" t="s">
        <v>1818</v>
      </c>
      <c r="E296" s="91"/>
      <c r="F296" s="91"/>
      <c r="G296" s="91"/>
      <c r="H296" s="91"/>
      <c r="I296" s="91"/>
      <c r="J296" s="91"/>
      <c r="K296" s="91"/>
    </row>
    <row r="297" spans="1:11">
      <c r="A297" s="91">
        <v>295</v>
      </c>
      <c r="B297" s="91" t="s">
        <v>1816</v>
      </c>
      <c r="C297" s="91">
        <v>1351</v>
      </c>
      <c r="D297" s="91" t="s">
        <v>1818</v>
      </c>
      <c r="E297" s="91"/>
      <c r="F297" s="91"/>
      <c r="G297" s="91"/>
      <c r="H297" s="91"/>
      <c r="I297" s="91"/>
      <c r="J297" s="91"/>
      <c r="K297" s="91"/>
    </row>
    <row r="298" spans="1:11">
      <c r="A298" s="91">
        <v>296</v>
      </c>
      <c r="B298" s="91" t="s">
        <v>1816</v>
      </c>
      <c r="C298" s="91">
        <v>1485</v>
      </c>
      <c r="D298" s="91" t="s">
        <v>1818</v>
      </c>
      <c r="E298" s="91"/>
      <c r="F298" s="91"/>
      <c r="G298" s="91"/>
      <c r="H298" s="91"/>
      <c r="I298" s="91"/>
      <c r="J298" s="91"/>
      <c r="K298" s="91"/>
    </row>
    <row r="299" spans="1:11">
      <c r="A299" s="91">
        <v>297</v>
      </c>
      <c r="B299" s="91" t="s">
        <v>1816</v>
      </c>
      <c r="C299" s="91">
        <v>460</v>
      </c>
      <c r="D299" s="91" t="s">
        <v>1818</v>
      </c>
      <c r="E299" s="91"/>
      <c r="F299" s="91"/>
      <c r="G299" s="91"/>
      <c r="H299" s="91"/>
      <c r="I299" s="91"/>
      <c r="J299" s="91"/>
      <c r="K299" s="91"/>
    </row>
    <row r="300" spans="1:11">
      <c r="A300" s="91">
        <v>298</v>
      </c>
      <c r="B300" s="91" t="s">
        <v>1816</v>
      </c>
      <c r="C300" s="91">
        <v>511</v>
      </c>
      <c r="D300" s="91" t="s">
        <v>1818</v>
      </c>
      <c r="E300" s="91"/>
      <c r="F300" s="91"/>
      <c r="G300" s="91"/>
      <c r="H300" s="91"/>
      <c r="I300" s="91"/>
      <c r="J300" s="91"/>
      <c r="K300" s="91"/>
    </row>
    <row r="301" spans="1:11">
      <c r="A301" s="91">
        <v>299</v>
      </c>
      <c r="B301" s="91" t="s">
        <v>1816</v>
      </c>
      <c r="C301" s="91">
        <v>1056</v>
      </c>
      <c r="D301" s="91" t="s">
        <v>1818</v>
      </c>
      <c r="E301" s="91"/>
      <c r="F301" s="91"/>
      <c r="G301" s="91"/>
      <c r="H301" s="91"/>
      <c r="I301" s="91"/>
      <c r="J301" s="91"/>
      <c r="K301" s="91"/>
    </row>
    <row r="302" spans="1:11">
      <c r="A302" s="91">
        <v>300</v>
      </c>
      <c r="B302" s="91" t="s">
        <v>1816</v>
      </c>
      <c r="C302" s="91">
        <v>1351</v>
      </c>
      <c r="D302" s="91" t="s">
        <v>1818</v>
      </c>
      <c r="E302" s="91"/>
      <c r="F302" s="91"/>
      <c r="G302" s="91"/>
      <c r="H302" s="91"/>
      <c r="I302" s="91"/>
      <c r="J302" s="91"/>
      <c r="K302" s="91"/>
    </row>
    <row r="303" spans="1:11">
      <c r="A303" s="91">
        <v>301</v>
      </c>
      <c r="B303" s="91" t="s">
        <v>1816</v>
      </c>
      <c r="C303" s="91">
        <v>1485</v>
      </c>
      <c r="D303" s="91" t="s">
        <v>1818</v>
      </c>
      <c r="E303" s="91"/>
      <c r="F303" s="91"/>
      <c r="G303" s="91"/>
      <c r="H303" s="91"/>
      <c r="I303" s="91"/>
      <c r="J303" s="91"/>
      <c r="K303" s="91"/>
    </row>
    <row r="304" spans="1:11">
      <c r="A304" s="91">
        <v>302</v>
      </c>
      <c r="B304" s="91" t="s">
        <v>1816</v>
      </c>
      <c r="C304" s="91">
        <v>1230</v>
      </c>
      <c r="D304" s="91" t="s">
        <v>1818</v>
      </c>
      <c r="E304" s="91"/>
      <c r="F304" s="91"/>
      <c r="G304" s="91"/>
      <c r="H304" s="91"/>
      <c r="I304" s="91"/>
      <c r="J304" s="91"/>
      <c r="K304" s="91"/>
    </row>
    <row r="305" spans="1:11">
      <c r="A305" s="91">
        <v>303</v>
      </c>
      <c r="B305" s="91" t="s">
        <v>1816</v>
      </c>
      <c r="C305" s="91">
        <v>1715</v>
      </c>
      <c r="D305" s="91" t="s">
        <v>1818</v>
      </c>
      <c r="E305" s="91"/>
      <c r="F305" s="91"/>
      <c r="G305" s="91"/>
      <c r="H305" s="91"/>
      <c r="I305" s="91"/>
      <c r="J305" s="91"/>
      <c r="K305" s="91"/>
    </row>
    <row r="306" spans="1:11">
      <c r="A306" s="91">
        <v>304</v>
      </c>
      <c r="B306" s="91" t="s">
        <v>1816</v>
      </c>
      <c r="C306" s="91">
        <v>1351</v>
      </c>
      <c r="D306" s="91" t="s">
        <v>1818</v>
      </c>
      <c r="E306" s="91"/>
      <c r="F306" s="91"/>
      <c r="G306" s="91"/>
      <c r="H306" s="91"/>
      <c r="I306" s="91"/>
      <c r="J306" s="91"/>
      <c r="K306" s="91"/>
    </row>
    <row r="307" spans="1:11">
      <c r="A307" s="91">
        <v>305</v>
      </c>
      <c r="B307" s="91" t="s">
        <v>1816</v>
      </c>
      <c r="C307" s="91">
        <v>1485</v>
      </c>
      <c r="D307" s="91" t="s">
        <v>1818</v>
      </c>
      <c r="E307" s="91"/>
      <c r="F307" s="91"/>
      <c r="G307" s="91"/>
      <c r="H307" s="91"/>
      <c r="I307" s="91"/>
      <c r="J307" s="91"/>
      <c r="K307" s="91"/>
    </row>
    <row r="308" spans="1:11">
      <c r="A308" s="91">
        <v>306</v>
      </c>
      <c r="B308" s="91" t="s">
        <v>1816</v>
      </c>
      <c r="C308" s="91">
        <v>1351</v>
      </c>
      <c r="D308" s="91" t="s">
        <v>1818</v>
      </c>
      <c r="E308" s="91"/>
      <c r="F308" s="91"/>
      <c r="G308" s="91"/>
      <c r="H308" s="91"/>
      <c r="I308" s="91"/>
      <c r="J308" s="91"/>
      <c r="K308" s="91"/>
    </row>
    <row r="309" spans="1:11">
      <c r="A309" s="91">
        <v>307</v>
      </c>
      <c r="B309" s="91" t="s">
        <v>1816</v>
      </c>
      <c r="C309" s="91">
        <v>1351</v>
      </c>
      <c r="D309" s="91" t="s">
        <v>1818</v>
      </c>
      <c r="E309" s="91"/>
      <c r="F309" s="91"/>
      <c r="G309" s="91"/>
      <c r="H309" s="91"/>
      <c r="I309" s="91"/>
      <c r="J309" s="91"/>
      <c r="K309" s="91"/>
    </row>
    <row r="310" spans="1:11">
      <c r="A310" s="91">
        <v>308</v>
      </c>
      <c r="B310" s="91" t="s">
        <v>1816</v>
      </c>
      <c r="C310" s="91">
        <v>1485</v>
      </c>
      <c r="D310" s="91" t="s">
        <v>1818</v>
      </c>
      <c r="E310" s="91"/>
      <c r="F310" s="91"/>
      <c r="G310" s="91"/>
      <c r="H310" s="91"/>
      <c r="I310" s="91"/>
      <c r="J310" s="91"/>
      <c r="K310" s="91"/>
    </row>
    <row r="311" spans="1:11">
      <c r="A311" s="91">
        <v>309</v>
      </c>
      <c r="B311" s="91" t="s">
        <v>1816</v>
      </c>
      <c r="C311" s="91">
        <v>2575</v>
      </c>
      <c r="D311" s="91" t="s">
        <v>1818</v>
      </c>
      <c r="E311" s="91"/>
      <c r="F311" s="91"/>
      <c r="G311" s="91"/>
      <c r="H311" s="91"/>
      <c r="I311" s="91"/>
      <c r="J311" s="91"/>
      <c r="K311" s="91"/>
    </row>
    <row r="312" spans="1:11">
      <c r="A312" s="91">
        <v>310</v>
      </c>
      <c r="B312" s="91" t="s">
        <v>1816</v>
      </c>
      <c r="C312" s="91">
        <v>553</v>
      </c>
      <c r="D312" s="91" t="s">
        <v>1818</v>
      </c>
      <c r="E312" s="91"/>
      <c r="F312" s="91"/>
      <c r="G312" s="91"/>
      <c r="H312" s="91"/>
      <c r="I312" s="91"/>
      <c r="J312" s="91"/>
      <c r="K312" s="91"/>
    </row>
    <row r="313" spans="1:11">
      <c r="A313" s="91">
        <v>311</v>
      </c>
      <c r="B313" s="91" t="s">
        <v>1816</v>
      </c>
      <c r="C313" s="91">
        <v>1182</v>
      </c>
      <c r="D313" s="91" t="s">
        <v>1818</v>
      </c>
      <c r="E313" s="91"/>
      <c r="F313" s="91"/>
      <c r="G313" s="91"/>
      <c r="H313" s="91"/>
      <c r="I313" s="91"/>
      <c r="J313" s="91"/>
      <c r="K313" s="91"/>
    </row>
    <row r="314" spans="1:11">
      <c r="A314" s="91">
        <v>312</v>
      </c>
      <c r="B314" s="91" t="s">
        <v>1816</v>
      </c>
      <c r="C314" s="91">
        <v>1715</v>
      </c>
      <c r="D314" s="91" t="s">
        <v>1818</v>
      </c>
      <c r="E314" s="91"/>
      <c r="F314" s="91"/>
      <c r="G314" s="91"/>
      <c r="H314" s="91"/>
      <c r="I314" s="91"/>
      <c r="J314" s="91"/>
      <c r="K314" s="91"/>
    </row>
    <row r="315" spans="1:11">
      <c r="A315" s="91">
        <v>313</v>
      </c>
      <c r="B315" s="91" t="s">
        <v>1816</v>
      </c>
      <c r="C315" s="91">
        <v>1351</v>
      </c>
      <c r="D315" s="91" t="s">
        <v>1818</v>
      </c>
      <c r="E315" s="91"/>
      <c r="F315" s="91"/>
      <c r="G315" s="91"/>
      <c r="H315" s="91"/>
      <c r="I315" s="91"/>
      <c r="J315" s="91"/>
      <c r="K315" s="91"/>
    </row>
    <row r="316" spans="1:11">
      <c r="A316" s="91">
        <v>314</v>
      </c>
      <c r="B316" s="91" t="s">
        <v>1816</v>
      </c>
      <c r="C316" s="91">
        <v>763</v>
      </c>
      <c r="D316" s="91" t="s">
        <v>1818</v>
      </c>
      <c r="E316" s="91"/>
      <c r="F316" s="91"/>
      <c r="G316" s="91"/>
      <c r="H316" s="91"/>
      <c r="I316" s="91"/>
      <c r="J316" s="91"/>
      <c r="K316" s="91"/>
    </row>
    <row r="317" spans="1:11">
      <c r="A317" s="91">
        <v>315</v>
      </c>
      <c r="B317" s="91" t="s">
        <v>1816</v>
      </c>
      <c r="C317" s="91">
        <v>763</v>
      </c>
      <c r="D317" s="91" t="s">
        <v>1818</v>
      </c>
      <c r="E317" s="91"/>
      <c r="F317" s="91"/>
      <c r="G317" s="91"/>
      <c r="H317" s="91"/>
      <c r="I317" s="91"/>
      <c r="J317" s="91"/>
      <c r="K317" s="91"/>
    </row>
    <row r="318" spans="1:11">
      <c r="A318" s="91">
        <v>316</v>
      </c>
      <c r="B318" s="91" t="s">
        <v>1816</v>
      </c>
      <c r="C318" s="91">
        <v>1437</v>
      </c>
      <c r="D318" s="91" t="s">
        <v>1818</v>
      </c>
      <c r="E318" s="91"/>
      <c r="F318" s="91"/>
      <c r="G318" s="91"/>
      <c r="H318" s="91"/>
      <c r="I318" s="91"/>
      <c r="J318" s="91"/>
      <c r="K318" s="91"/>
    </row>
    <row r="319" spans="1:11">
      <c r="A319" s="91">
        <v>317</v>
      </c>
      <c r="B319" s="91" t="s">
        <v>1816</v>
      </c>
      <c r="C319" s="91">
        <v>2569</v>
      </c>
      <c r="D319" s="91" t="s">
        <v>1818</v>
      </c>
      <c r="E319" s="91"/>
      <c r="F319" s="91"/>
      <c r="G319" s="91"/>
      <c r="H319" s="91"/>
      <c r="I319" s="91"/>
      <c r="J319" s="91"/>
      <c r="K319" s="91"/>
    </row>
    <row r="320" spans="1:11">
      <c r="A320" s="91">
        <v>318</v>
      </c>
      <c r="B320" s="91" t="s">
        <v>1816</v>
      </c>
      <c r="C320" s="91">
        <v>553</v>
      </c>
      <c r="D320" s="91" t="s">
        <v>1818</v>
      </c>
      <c r="E320" s="91"/>
      <c r="F320" s="91"/>
      <c r="G320" s="91"/>
      <c r="H320" s="91"/>
      <c r="I320" s="91"/>
      <c r="J320" s="91"/>
      <c r="K320" s="91"/>
    </row>
    <row r="321" spans="1:11">
      <c r="A321" s="91">
        <v>319</v>
      </c>
      <c r="B321" s="91" t="s">
        <v>1816</v>
      </c>
      <c r="C321" s="91">
        <v>1437</v>
      </c>
      <c r="D321" s="91" t="s">
        <v>1818</v>
      </c>
      <c r="E321" s="91"/>
      <c r="F321" s="91"/>
      <c r="G321" s="91"/>
      <c r="H321" s="91"/>
      <c r="I321" s="91"/>
      <c r="J321" s="91"/>
      <c r="K321" s="91"/>
    </row>
    <row r="322" spans="1:11">
      <c r="A322" s="91">
        <v>320</v>
      </c>
      <c r="B322" s="91" t="s">
        <v>1816</v>
      </c>
      <c r="C322" s="91">
        <v>2569</v>
      </c>
      <c r="D322" s="91" t="s">
        <v>1818</v>
      </c>
      <c r="E322" s="91"/>
      <c r="F322" s="91"/>
      <c r="G322" s="91"/>
      <c r="H322" s="91"/>
      <c r="I322" s="91"/>
      <c r="J322" s="91"/>
      <c r="K322" s="91"/>
    </row>
    <row r="323" spans="1:11">
      <c r="A323" s="91">
        <v>321</v>
      </c>
      <c r="B323" s="91" t="s">
        <v>1816</v>
      </c>
      <c r="C323" s="91">
        <v>553</v>
      </c>
      <c r="D323" s="91" t="s">
        <v>1818</v>
      </c>
      <c r="E323" s="91"/>
      <c r="F323" s="91"/>
      <c r="G323" s="91"/>
      <c r="H323" s="91"/>
      <c r="I323" s="91"/>
      <c r="J323" s="91"/>
      <c r="K323" s="91"/>
    </row>
    <row r="324" spans="1:11">
      <c r="A324" s="91">
        <v>322</v>
      </c>
      <c r="B324" s="91" t="s">
        <v>1816</v>
      </c>
      <c r="C324" s="91">
        <v>2575</v>
      </c>
      <c r="D324" s="91" t="s">
        <v>1818</v>
      </c>
      <c r="E324" s="91"/>
      <c r="F324" s="91"/>
      <c r="G324" s="91"/>
      <c r="H324" s="91"/>
      <c r="I324" s="91"/>
      <c r="J324" s="91"/>
      <c r="K324" s="91"/>
    </row>
    <row r="325" spans="1:11">
      <c r="A325" s="91">
        <v>323</v>
      </c>
      <c r="B325" s="91" t="s">
        <v>1816</v>
      </c>
      <c r="C325" s="91">
        <v>2642</v>
      </c>
      <c r="D325" s="91" t="s">
        <v>1818</v>
      </c>
      <c r="E325" s="91"/>
      <c r="F325" s="91"/>
      <c r="G325" s="91"/>
      <c r="H325" s="91"/>
      <c r="I325" s="91"/>
      <c r="J325" s="91"/>
      <c r="K325" s="91"/>
    </row>
    <row r="326" spans="1:11">
      <c r="A326" s="91">
        <v>324</v>
      </c>
      <c r="B326" s="91" t="s">
        <v>1816</v>
      </c>
      <c r="C326" s="91">
        <v>1437</v>
      </c>
      <c r="D326" s="91" t="s">
        <v>1818</v>
      </c>
      <c r="E326" s="91"/>
      <c r="F326" s="91"/>
      <c r="G326" s="91"/>
      <c r="H326" s="91"/>
      <c r="I326" s="91"/>
      <c r="J326" s="91"/>
      <c r="K326" s="91"/>
    </row>
    <row r="327" spans="1:11">
      <c r="A327" s="91">
        <v>325</v>
      </c>
      <c r="B327" s="91" t="s">
        <v>1816</v>
      </c>
      <c r="C327" s="91">
        <v>763</v>
      </c>
      <c r="D327" s="91" t="s">
        <v>1818</v>
      </c>
      <c r="E327" s="91"/>
      <c r="F327" s="91"/>
      <c r="G327" s="91"/>
      <c r="H327" s="91"/>
      <c r="I327" s="91"/>
      <c r="J327" s="91"/>
      <c r="K327" s="91"/>
    </row>
    <row r="328" spans="1:11">
      <c r="A328" s="91">
        <v>326</v>
      </c>
      <c r="B328" s="91" t="s">
        <v>1816</v>
      </c>
      <c r="C328" s="91">
        <v>2575</v>
      </c>
      <c r="D328" s="91" t="s">
        <v>1818</v>
      </c>
      <c r="E328" s="91"/>
      <c r="F328" s="91"/>
      <c r="G328" s="91"/>
      <c r="H328" s="91"/>
      <c r="I328" s="91"/>
      <c r="J328" s="91"/>
      <c r="K328" s="91"/>
    </row>
    <row r="329" spans="1:11">
      <c r="A329" s="91">
        <v>327</v>
      </c>
      <c r="B329" s="91" t="s">
        <v>1816</v>
      </c>
      <c r="C329" s="91">
        <v>1056</v>
      </c>
      <c r="D329" s="91" t="s">
        <v>1818</v>
      </c>
      <c r="E329" s="91"/>
      <c r="F329" s="91"/>
      <c r="G329" s="91"/>
      <c r="H329" s="91"/>
      <c r="I329" s="91"/>
      <c r="J329" s="91"/>
      <c r="K329" s="91"/>
    </row>
    <row r="330" spans="1:11">
      <c r="A330" s="91">
        <v>328</v>
      </c>
      <c r="B330" s="91" t="s">
        <v>1816</v>
      </c>
      <c r="C330" s="91">
        <v>1351</v>
      </c>
      <c r="D330" s="91" t="s">
        <v>1818</v>
      </c>
      <c r="E330" s="91"/>
      <c r="F330" s="91"/>
      <c r="G330" s="91"/>
      <c r="H330" s="91"/>
      <c r="I330" s="91"/>
      <c r="J330" s="91"/>
      <c r="K330" s="91"/>
    </row>
    <row r="331" spans="1:11">
      <c r="A331" s="91">
        <v>329</v>
      </c>
      <c r="B331" s="91" t="s">
        <v>1816</v>
      </c>
      <c r="C331" s="91">
        <v>2814</v>
      </c>
      <c r="D331" s="91" t="s">
        <v>1818</v>
      </c>
      <c r="E331" s="91"/>
      <c r="F331" s="91"/>
      <c r="G331" s="91"/>
      <c r="H331" s="91"/>
      <c r="I331" s="91"/>
      <c r="J331" s="91"/>
      <c r="K331" s="91"/>
    </row>
    <row r="332" spans="1:11">
      <c r="A332" s="91">
        <v>330</v>
      </c>
      <c r="B332" s="91" t="s">
        <v>1816</v>
      </c>
      <c r="C332" s="91">
        <v>511</v>
      </c>
      <c r="D332" s="91" t="s">
        <v>1818</v>
      </c>
      <c r="E332" s="91"/>
      <c r="F332" s="91"/>
      <c r="G332" s="91"/>
      <c r="H332" s="91"/>
      <c r="I332" s="91"/>
      <c r="J332" s="91"/>
      <c r="K332" s="91"/>
    </row>
    <row r="333" spans="1:11">
      <c r="A333" s="91">
        <v>331</v>
      </c>
      <c r="B333" s="91" t="s">
        <v>1816</v>
      </c>
      <c r="C333" s="91">
        <v>1238</v>
      </c>
      <c r="D333" s="91" t="s">
        <v>1818</v>
      </c>
      <c r="E333" s="91"/>
      <c r="F333" s="91"/>
      <c r="G333" s="91"/>
      <c r="H333" s="91"/>
      <c r="I333" s="91"/>
      <c r="J333" s="91"/>
      <c r="K333" s="91"/>
    </row>
    <row r="334" spans="1:11">
      <c r="A334" s="91">
        <v>332</v>
      </c>
      <c r="B334" s="91" t="s">
        <v>1816</v>
      </c>
      <c r="C334" s="91">
        <v>2717</v>
      </c>
      <c r="D334" s="91" t="s">
        <v>1818</v>
      </c>
      <c r="E334" s="91"/>
      <c r="F334" s="91"/>
      <c r="G334" s="91"/>
      <c r="H334" s="91"/>
      <c r="I334" s="91"/>
      <c r="J334" s="91"/>
      <c r="K334" s="91"/>
    </row>
    <row r="335" spans="1:11">
      <c r="A335" s="91">
        <v>333</v>
      </c>
      <c r="B335" s="91" t="s">
        <v>1816</v>
      </c>
      <c r="C335" s="91">
        <v>726</v>
      </c>
      <c r="D335" s="91" t="s">
        <v>1818</v>
      </c>
      <c r="E335" s="91"/>
      <c r="F335" s="91"/>
      <c r="G335" s="91"/>
      <c r="H335" s="91"/>
      <c r="I335" s="91"/>
      <c r="J335" s="91"/>
      <c r="K335" s="91"/>
    </row>
    <row r="336" spans="1:11">
      <c r="A336" s="91">
        <v>334</v>
      </c>
      <c r="B336" s="91" t="s">
        <v>1816</v>
      </c>
      <c r="C336" s="91">
        <v>763</v>
      </c>
      <c r="D336" s="91" t="s">
        <v>1818</v>
      </c>
      <c r="E336" s="91"/>
      <c r="F336" s="91"/>
      <c r="G336" s="91"/>
      <c r="H336" s="91"/>
      <c r="I336" s="91"/>
      <c r="J336" s="91"/>
      <c r="K336" s="91"/>
    </row>
    <row r="337" spans="1:11">
      <c r="A337" s="91">
        <v>335</v>
      </c>
      <c r="B337" s="91" t="s">
        <v>1816</v>
      </c>
      <c r="C337" s="91">
        <v>2717</v>
      </c>
      <c r="D337" s="91" t="s">
        <v>1818</v>
      </c>
      <c r="E337" s="91"/>
      <c r="F337" s="91"/>
      <c r="G337" s="91"/>
      <c r="H337" s="91"/>
      <c r="I337" s="91"/>
      <c r="J337" s="91"/>
      <c r="K337" s="91"/>
    </row>
    <row r="338" spans="1:11">
      <c r="A338" s="91">
        <v>336</v>
      </c>
      <c r="B338" s="91" t="s">
        <v>1816</v>
      </c>
      <c r="C338" s="91">
        <v>2811</v>
      </c>
      <c r="D338" s="91" t="s">
        <v>1818</v>
      </c>
      <c r="E338" s="91"/>
      <c r="F338" s="91"/>
      <c r="G338" s="91"/>
      <c r="H338" s="91"/>
      <c r="I338" s="91"/>
      <c r="J338" s="91"/>
      <c r="K338" s="91"/>
    </row>
    <row r="339" spans="1:11">
      <c r="A339" s="91">
        <v>337</v>
      </c>
      <c r="B339" s="91" t="s">
        <v>1816</v>
      </c>
      <c r="C339" s="91">
        <v>1433</v>
      </c>
      <c r="D339" s="91" t="s">
        <v>1818</v>
      </c>
      <c r="E339" s="91"/>
      <c r="F339" s="91"/>
      <c r="G339" s="91"/>
      <c r="H339" s="91"/>
      <c r="I339" s="91"/>
      <c r="J339" s="91"/>
      <c r="K339" s="91"/>
    </row>
    <row r="340" spans="1:11">
      <c r="A340" s="91">
        <v>338</v>
      </c>
      <c r="B340" s="91" t="s">
        <v>1816</v>
      </c>
      <c r="C340" s="91">
        <v>2717</v>
      </c>
      <c r="D340" s="91" t="s">
        <v>1818</v>
      </c>
      <c r="E340" s="91"/>
      <c r="F340" s="91"/>
      <c r="G340" s="91"/>
      <c r="H340" s="91"/>
      <c r="I340" s="91"/>
      <c r="J340" s="91"/>
      <c r="K340" s="91"/>
    </row>
    <row r="341" spans="1:11">
      <c r="A341" s="91">
        <v>339</v>
      </c>
      <c r="B341" s="91" t="s">
        <v>1816</v>
      </c>
      <c r="C341" s="91">
        <v>2642</v>
      </c>
      <c r="D341" s="91" t="s">
        <v>1818</v>
      </c>
      <c r="E341" s="91"/>
      <c r="F341" s="91"/>
      <c r="G341" s="91"/>
      <c r="H341" s="91"/>
      <c r="I341" s="91"/>
      <c r="J341" s="91"/>
      <c r="K341" s="91"/>
    </row>
    <row r="342" spans="1:11">
      <c r="A342" s="91">
        <v>340</v>
      </c>
      <c r="B342" s="91" t="s">
        <v>1816</v>
      </c>
      <c r="C342" s="91">
        <v>460</v>
      </c>
      <c r="D342" s="91" t="s">
        <v>1818</v>
      </c>
      <c r="E342" s="91"/>
      <c r="F342" s="91"/>
      <c r="G342" s="91"/>
      <c r="H342" s="91"/>
      <c r="I342" s="91"/>
      <c r="J342" s="91"/>
      <c r="K342" s="91"/>
    </row>
    <row r="343" spans="1:11">
      <c r="A343" s="91">
        <v>341</v>
      </c>
      <c r="B343" s="91" t="s">
        <v>1816</v>
      </c>
      <c r="C343" s="91">
        <v>1238</v>
      </c>
      <c r="D343" s="91" t="s">
        <v>1818</v>
      </c>
      <c r="E343" s="91"/>
      <c r="F343" s="91"/>
      <c r="G343" s="91"/>
      <c r="H343" s="91"/>
      <c r="I343" s="91"/>
      <c r="J343" s="91"/>
      <c r="K343" s="91"/>
    </row>
    <row r="344" spans="1:11">
      <c r="A344" s="91">
        <v>342</v>
      </c>
      <c r="B344" s="91" t="s">
        <v>1816</v>
      </c>
      <c r="C344" s="91">
        <v>2811</v>
      </c>
      <c r="D344" s="91" t="s">
        <v>1818</v>
      </c>
      <c r="E344" s="91"/>
      <c r="F344" s="91"/>
      <c r="G344" s="91"/>
      <c r="H344" s="91"/>
      <c r="I344" s="91"/>
      <c r="J344" s="91"/>
      <c r="K344" s="91"/>
    </row>
    <row r="345" spans="1:11">
      <c r="A345" s="91">
        <v>343</v>
      </c>
      <c r="B345" s="91" t="s">
        <v>1816</v>
      </c>
      <c r="C345" s="91">
        <v>2801</v>
      </c>
      <c r="D345" s="91" t="s">
        <v>1818</v>
      </c>
      <c r="E345" s="91"/>
      <c r="F345" s="91"/>
      <c r="G345" s="91"/>
      <c r="H345" s="91"/>
      <c r="I345" s="91"/>
      <c r="J345" s="91"/>
      <c r="K345" s="91"/>
    </row>
    <row r="346" spans="1:11">
      <c r="A346" s="91">
        <v>344</v>
      </c>
      <c r="B346" s="91" t="s">
        <v>1816</v>
      </c>
      <c r="C346" s="91">
        <v>1433</v>
      </c>
      <c r="D346" s="91" t="s">
        <v>1818</v>
      </c>
      <c r="E346" s="91"/>
      <c r="F346" s="91"/>
      <c r="G346" s="91"/>
      <c r="H346" s="91"/>
      <c r="I346" s="91"/>
      <c r="J346" s="91"/>
      <c r="K346" s="91"/>
    </row>
    <row r="347" spans="1:11">
      <c r="A347" s="91">
        <v>345</v>
      </c>
      <c r="B347" s="91" t="s">
        <v>1816</v>
      </c>
      <c r="C347" s="91">
        <v>2717</v>
      </c>
      <c r="D347" s="91" t="s">
        <v>1818</v>
      </c>
      <c r="E347" s="91"/>
      <c r="F347" s="91"/>
      <c r="G347" s="91"/>
      <c r="H347" s="91"/>
      <c r="I347" s="91"/>
      <c r="J347" s="91"/>
      <c r="K347" s="91"/>
    </row>
    <row r="348" spans="1:11">
      <c r="A348" s="91">
        <v>346</v>
      </c>
      <c r="B348" s="91" t="s">
        <v>1816</v>
      </c>
      <c r="C348" s="91">
        <v>2717</v>
      </c>
      <c r="D348" s="91" t="s">
        <v>1818</v>
      </c>
      <c r="E348" s="91"/>
      <c r="F348" s="91"/>
      <c r="G348" s="91"/>
      <c r="H348" s="91"/>
      <c r="I348" s="91"/>
      <c r="J348" s="91"/>
      <c r="K348" s="91"/>
    </row>
    <row r="349" spans="1:11">
      <c r="A349" s="91">
        <v>347</v>
      </c>
      <c r="B349" s="91" t="s">
        <v>1816</v>
      </c>
      <c r="C349" s="91">
        <v>2642</v>
      </c>
      <c r="D349" s="91" t="s">
        <v>1818</v>
      </c>
      <c r="E349" s="91"/>
      <c r="F349" s="91"/>
      <c r="G349" s="91"/>
      <c r="H349" s="91"/>
      <c r="I349" s="91"/>
      <c r="J349" s="91"/>
      <c r="K349" s="91"/>
    </row>
    <row r="350" spans="1:11">
      <c r="A350" s="91">
        <v>348</v>
      </c>
      <c r="B350" s="91" t="s">
        <v>1816</v>
      </c>
      <c r="C350" s="91">
        <v>1238</v>
      </c>
      <c r="D350" s="91" t="s">
        <v>1818</v>
      </c>
      <c r="E350" s="91"/>
      <c r="F350" s="91"/>
      <c r="G350" s="91"/>
      <c r="H350" s="91"/>
      <c r="I350" s="91"/>
      <c r="J350" s="91"/>
      <c r="K350" s="91"/>
    </row>
    <row r="351" spans="1:11">
      <c r="A351" s="91">
        <v>349</v>
      </c>
      <c r="B351" s="91" t="s">
        <v>1816</v>
      </c>
      <c r="C351" s="91">
        <v>2811</v>
      </c>
      <c r="D351" s="91" t="s">
        <v>1818</v>
      </c>
      <c r="E351" s="91"/>
      <c r="F351" s="91"/>
      <c r="G351" s="91"/>
      <c r="H351" s="91"/>
      <c r="I351" s="91"/>
      <c r="J351" s="91"/>
      <c r="K351" s="91"/>
    </row>
    <row r="352" spans="1:11">
      <c r="A352" s="91">
        <v>350</v>
      </c>
      <c r="B352" s="91" t="s">
        <v>1816</v>
      </c>
      <c r="C352" s="91">
        <v>2717</v>
      </c>
      <c r="D352" s="91" t="s">
        <v>1818</v>
      </c>
      <c r="E352" s="91"/>
      <c r="F352" s="91"/>
      <c r="G352" s="91"/>
      <c r="H352" s="91"/>
      <c r="I352" s="91"/>
      <c r="J352" s="91"/>
      <c r="K352" s="91"/>
    </row>
    <row r="353" spans="1:11">
      <c r="A353" s="91">
        <v>351</v>
      </c>
      <c r="B353" s="91" t="s">
        <v>1816</v>
      </c>
      <c r="C353" s="91">
        <v>2642</v>
      </c>
      <c r="D353" s="91" t="s">
        <v>1818</v>
      </c>
      <c r="E353" s="91"/>
      <c r="F353" s="91"/>
      <c r="G353" s="91"/>
      <c r="H353" s="91"/>
      <c r="I353" s="91"/>
      <c r="J353" s="91"/>
      <c r="K353" s="91"/>
    </row>
    <row r="354" spans="1:11">
      <c r="A354" s="91">
        <v>352</v>
      </c>
      <c r="B354" s="91" t="s">
        <v>1816</v>
      </c>
      <c r="C354" s="91">
        <v>1238</v>
      </c>
      <c r="D354" s="91" t="s">
        <v>1818</v>
      </c>
      <c r="E354" s="91"/>
      <c r="F354" s="91"/>
      <c r="G354" s="91"/>
      <c r="H354" s="91"/>
      <c r="I354" s="91"/>
      <c r="J354" s="91"/>
      <c r="K354" s="91"/>
    </row>
    <row r="355" spans="1:11">
      <c r="A355" s="91">
        <v>353</v>
      </c>
      <c r="B355" s="91" t="s">
        <v>1816</v>
      </c>
      <c r="C355" s="91">
        <v>2811</v>
      </c>
      <c r="D355" s="91" t="s">
        <v>1818</v>
      </c>
      <c r="E355" s="91"/>
      <c r="F355" s="91"/>
      <c r="G355" s="91"/>
      <c r="H355" s="91"/>
      <c r="I355" s="91"/>
      <c r="J355" s="91"/>
      <c r="K355" s="91"/>
    </row>
    <row r="356" spans="1:11">
      <c r="A356" s="91">
        <v>354</v>
      </c>
      <c r="B356" s="91" t="s">
        <v>1816</v>
      </c>
      <c r="C356" s="91">
        <v>2801</v>
      </c>
      <c r="D356" s="91" t="s">
        <v>1818</v>
      </c>
      <c r="E356" s="91"/>
      <c r="F356" s="91"/>
      <c r="G356" s="91"/>
      <c r="H356" s="91"/>
      <c r="I356" s="91"/>
      <c r="J356" s="91"/>
      <c r="K356" s="91"/>
    </row>
    <row r="357" spans="1:11">
      <c r="A357" s="91">
        <v>355</v>
      </c>
      <c r="B357" s="91" t="s">
        <v>1816</v>
      </c>
      <c r="C357" s="91">
        <v>2717</v>
      </c>
      <c r="D357" s="91" t="s">
        <v>1818</v>
      </c>
      <c r="E357" s="91"/>
      <c r="F357" s="91"/>
      <c r="G357" s="91"/>
      <c r="H357" s="91"/>
      <c r="I357" s="91"/>
      <c r="J357" s="91"/>
      <c r="K357" s="91"/>
    </row>
    <row r="358" spans="1:11">
      <c r="A358" s="91">
        <v>356</v>
      </c>
      <c r="B358" s="91" t="s">
        <v>1816</v>
      </c>
      <c r="C358" s="91">
        <v>2642</v>
      </c>
      <c r="D358" s="91" t="s">
        <v>1818</v>
      </c>
      <c r="E358" s="91"/>
      <c r="F358" s="91"/>
      <c r="G358" s="91"/>
      <c r="H358" s="91"/>
      <c r="I358" s="91"/>
      <c r="J358" s="91"/>
      <c r="K358" s="91"/>
    </row>
    <row r="359" spans="1:11">
      <c r="A359" s="91">
        <v>357</v>
      </c>
      <c r="B359" s="91" t="s">
        <v>1816</v>
      </c>
      <c r="C359" s="91">
        <v>2811</v>
      </c>
      <c r="D359" s="91" t="s">
        <v>1818</v>
      </c>
      <c r="E359" s="91"/>
      <c r="F359" s="91"/>
      <c r="G359" s="91"/>
      <c r="H359" s="91"/>
      <c r="I359" s="91"/>
      <c r="J359" s="91"/>
      <c r="K359" s="91"/>
    </row>
    <row r="360" spans="1:11">
      <c r="A360" s="91">
        <v>358</v>
      </c>
      <c r="B360" s="91" t="s">
        <v>1816</v>
      </c>
      <c r="C360" s="91">
        <v>2801</v>
      </c>
      <c r="D360" s="91" t="s">
        <v>1818</v>
      </c>
      <c r="E360" s="91"/>
      <c r="F360" s="91"/>
      <c r="G360" s="91"/>
      <c r="H360" s="91"/>
      <c r="I360" s="91"/>
      <c r="J360" s="91"/>
      <c r="K360" s="91"/>
    </row>
    <row r="361" spans="1:11">
      <c r="A361" s="91">
        <v>359</v>
      </c>
      <c r="B361" s="91" t="s">
        <v>1816</v>
      </c>
      <c r="C361" s="91">
        <v>2717</v>
      </c>
      <c r="D361" s="91" t="s">
        <v>1818</v>
      </c>
      <c r="E361" s="91"/>
      <c r="F361" s="91"/>
      <c r="G361" s="91"/>
      <c r="H361" s="91"/>
      <c r="I361" s="91"/>
      <c r="J361" s="91"/>
      <c r="K361" s="91"/>
    </row>
    <row r="362" spans="1:11">
      <c r="A362" s="91">
        <v>360</v>
      </c>
      <c r="B362" s="91" t="s">
        <v>1816</v>
      </c>
      <c r="C362" s="91">
        <v>2717</v>
      </c>
      <c r="D362" s="91" t="s">
        <v>1818</v>
      </c>
      <c r="E362" s="91"/>
      <c r="F362" s="91"/>
      <c r="G362" s="91"/>
      <c r="H362" s="91"/>
      <c r="I362" s="91"/>
      <c r="J362" s="91"/>
      <c r="K362" s="91"/>
    </row>
    <row r="363" spans="1:11">
      <c r="A363" s="91">
        <v>361</v>
      </c>
      <c r="B363" s="91" t="s">
        <v>1816</v>
      </c>
      <c r="C363" s="91">
        <v>2642</v>
      </c>
      <c r="D363" s="91" t="s">
        <v>1818</v>
      </c>
      <c r="E363" s="91"/>
      <c r="F363" s="91"/>
      <c r="G363" s="91"/>
      <c r="H363" s="91"/>
      <c r="I363" s="91"/>
      <c r="J363" s="91"/>
      <c r="K363" s="91"/>
    </row>
    <row r="364" spans="1:11">
      <c r="A364" s="91">
        <v>362</v>
      </c>
      <c r="B364" s="91" t="s">
        <v>1816</v>
      </c>
      <c r="C364" s="91">
        <v>1238</v>
      </c>
      <c r="D364" s="91" t="s">
        <v>1818</v>
      </c>
      <c r="E364" s="91"/>
      <c r="F364" s="91"/>
      <c r="G364" s="91"/>
      <c r="H364" s="91"/>
      <c r="I364" s="91"/>
      <c r="J364" s="91"/>
      <c r="K364" s="91"/>
    </row>
    <row r="365" spans="1:11">
      <c r="A365" s="91">
        <v>363</v>
      </c>
      <c r="B365" s="91" t="s">
        <v>1816</v>
      </c>
      <c r="C365" s="91">
        <v>2811</v>
      </c>
      <c r="D365" s="91" t="s">
        <v>1818</v>
      </c>
      <c r="E365" s="91"/>
      <c r="F365" s="91"/>
      <c r="G365" s="91"/>
      <c r="H365" s="91"/>
      <c r="I365" s="91"/>
      <c r="J365" s="91"/>
      <c r="K365" s="91"/>
    </row>
    <row r="366" spans="1:11">
      <c r="A366" s="91">
        <v>364</v>
      </c>
      <c r="B366" s="91" t="s">
        <v>1816</v>
      </c>
      <c r="C366" s="91">
        <v>2801</v>
      </c>
      <c r="D366" s="91" t="s">
        <v>1818</v>
      </c>
      <c r="E366" s="91"/>
      <c r="F366" s="91"/>
      <c r="G366" s="91"/>
      <c r="H366" s="91"/>
      <c r="I366" s="91"/>
      <c r="J366" s="91"/>
      <c r="K366" s="91"/>
    </row>
    <row r="367" spans="1:11">
      <c r="A367" s="91">
        <v>365</v>
      </c>
      <c r="B367" s="91" t="s">
        <v>1816</v>
      </c>
      <c r="C367" s="91">
        <v>1433</v>
      </c>
      <c r="D367" s="91" t="s">
        <v>1818</v>
      </c>
      <c r="E367" s="91"/>
      <c r="F367" s="91"/>
      <c r="G367" s="91"/>
      <c r="H367" s="91"/>
      <c r="I367" s="91"/>
      <c r="J367" s="91"/>
      <c r="K367" s="91"/>
    </row>
    <row r="368" spans="1:11">
      <c r="A368" s="91">
        <v>366</v>
      </c>
      <c r="B368" s="91" t="s">
        <v>1816</v>
      </c>
      <c r="C368" s="91">
        <v>2717</v>
      </c>
      <c r="D368" s="91" t="s">
        <v>1818</v>
      </c>
      <c r="E368" s="91"/>
      <c r="F368" s="91"/>
      <c r="G368" s="91"/>
      <c r="H368" s="91"/>
      <c r="I368" s="91"/>
      <c r="J368" s="91"/>
      <c r="K368" s="91"/>
    </row>
    <row r="369" spans="1:11">
      <c r="A369" s="91">
        <v>367</v>
      </c>
      <c r="B369" s="91" t="s">
        <v>1816</v>
      </c>
      <c r="C369" s="91">
        <v>2642</v>
      </c>
      <c r="D369" s="91" t="s">
        <v>1818</v>
      </c>
      <c r="E369" s="91"/>
      <c r="F369" s="91"/>
      <c r="G369" s="91"/>
      <c r="H369" s="91"/>
      <c r="I369" s="91"/>
      <c r="J369" s="91"/>
      <c r="K369" s="91"/>
    </row>
    <row r="370" spans="1:11">
      <c r="A370" s="91">
        <v>368</v>
      </c>
      <c r="B370" s="91" t="s">
        <v>1816</v>
      </c>
      <c r="C370" s="91">
        <v>726</v>
      </c>
      <c r="D370" s="91" t="s">
        <v>1818</v>
      </c>
      <c r="E370" s="91"/>
      <c r="F370" s="91"/>
      <c r="G370" s="91"/>
      <c r="H370" s="91"/>
      <c r="I370" s="91"/>
      <c r="J370" s="91"/>
      <c r="K370" s="91"/>
    </row>
    <row r="371" spans="1:11">
      <c r="A371" s="91">
        <v>369</v>
      </c>
      <c r="B371" s="91" t="s">
        <v>1816</v>
      </c>
      <c r="C371" s="91">
        <v>1238</v>
      </c>
      <c r="D371" s="91" t="s">
        <v>1818</v>
      </c>
      <c r="E371" s="91"/>
      <c r="F371" s="91"/>
      <c r="G371" s="91"/>
      <c r="H371" s="91"/>
      <c r="I371" s="91"/>
      <c r="J371" s="91"/>
      <c r="K371" s="91"/>
    </row>
    <row r="372" spans="1:11">
      <c r="A372" s="91">
        <v>370</v>
      </c>
      <c r="B372" s="91" t="s">
        <v>1816</v>
      </c>
      <c r="C372" s="91">
        <v>2717</v>
      </c>
      <c r="D372" s="91" t="s">
        <v>1818</v>
      </c>
      <c r="E372" s="91"/>
      <c r="F372" s="91"/>
      <c r="G372" s="91"/>
      <c r="H372" s="91"/>
      <c r="I372" s="91"/>
      <c r="J372" s="91"/>
      <c r="K372" s="91"/>
    </row>
    <row r="373" spans="1:11">
      <c r="A373" s="91">
        <v>371</v>
      </c>
      <c r="B373" s="91" t="s">
        <v>1816</v>
      </c>
      <c r="C373" s="91">
        <v>2717</v>
      </c>
      <c r="D373" s="91" t="s">
        <v>1818</v>
      </c>
      <c r="E373" s="91"/>
      <c r="F373" s="91"/>
      <c r="G373" s="91"/>
      <c r="H373" s="91"/>
      <c r="I373" s="91"/>
      <c r="J373" s="91"/>
      <c r="K373" s="91"/>
    </row>
    <row r="374" spans="1:11">
      <c r="A374" s="91">
        <v>372</v>
      </c>
      <c r="B374" s="91" t="s">
        <v>1816</v>
      </c>
      <c r="C374" s="91">
        <v>460</v>
      </c>
      <c r="D374" s="91" t="s">
        <v>1818</v>
      </c>
      <c r="E374" s="91"/>
      <c r="F374" s="91"/>
      <c r="G374" s="91"/>
      <c r="H374" s="91"/>
      <c r="I374" s="91"/>
      <c r="J374" s="91"/>
      <c r="K374" s="91"/>
    </row>
    <row r="375" spans="1:11">
      <c r="A375" s="91">
        <v>373</v>
      </c>
      <c r="B375" s="91" t="s">
        <v>1816</v>
      </c>
      <c r="C375" s="91">
        <v>2569</v>
      </c>
      <c r="D375" s="91" t="s">
        <v>1818</v>
      </c>
      <c r="E375" s="91"/>
      <c r="F375" s="91"/>
      <c r="G375" s="91"/>
      <c r="H375" s="91"/>
      <c r="I375" s="91"/>
      <c r="J375" s="91"/>
      <c r="K375" s="91"/>
    </row>
    <row r="376" spans="1:11">
      <c r="A376" s="91">
        <v>374</v>
      </c>
      <c r="B376" s="91" t="s">
        <v>1816</v>
      </c>
      <c r="C376" s="91">
        <v>2569</v>
      </c>
      <c r="D376" s="91" t="s">
        <v>1818</v>
      </c>
      <c r="E376" s="91"/>
      <c r="F376" s="91"/>
      <c r="G376" s="91"/>
      <c r="H376" s="91"/>
      <c r="I376" s="91"/>
      <c r="J376" s="91"/>
      <c r="K376" s="91"/>
    </row>
    <row r="377" spans="1:11">
      <c r="A377" s="91">
        <v>375</v>
      </c>
      <c r="B377" s="91" t="s">
        <v>1816</v>
      </c>
      <c r="C377" s="91">
        <v>763</v>
      </c>
      <c r="D377" s="91" t="s">
        <v>1818</v>
      </c>
      <c r="E377" s="91"/>
      <c r="F377" s="91"/>
      <c r="G377" s="91"/>
      <c r="H377" s="91"/>
      <c r="I377" s="91"/>
      <c r="J377" s="91"/>
      <c r="K377" s="91"/>
    </row>
    <row r="378" spans="1:11">
      <c r="A378" s="91">
        <v>376</v>
      </c>
      <c r="B378" s="91" t="s">
        <v>1816</v>
      </c>
      <c r="C378" s="91">
        <v>2811</v>
      </c>
      <c r="D378" s="91" t="s">
        <v>1818</v>
      </c>
      <c r="E378" s="91"/>
      <c r="F378" s="91"/>
      <c r="G378" s="91"/>
      <c r="H378" s="91"/>
      <c r="I378" s="91"/>
      <c r="J378" s="91"/>
      <c r="K378" s="91"/>
    </row>
    <row r="379" spans="1:11">
      <c r="A379" s="91">
        <v>377</v>
      </c>
      <c r="B379" s="91" t="s">
        <v>1816</v>
      </c>
      <c r="C379" s="91">
        <v>1182</v>
      </c>
      <c r="D379" s="91" t="s">
        <v>1818</v>
      </c>
      <c r="E379" s="91"/>
      <c r="F379" s="91"/>
      <c r="G379" s="91"/>
      <c r="H379" s="91"/>
      <c r="I379" s="91"/>
      <c r="J379" s="91"/>
      <c r="K379" s="91"/>
    </row>
    <row r="380" spans="1:11">
      <c r="A380" s="91">
        <v>378</v>
      </c>
      <c r="B380" s="91" t="s">
        <v>1816</v>
      </c>
      <c r="C380" s="91">
        <v>553</v>
      </c>
      <c r="D380" s="91" t="s">
        <v>1818</v>
      </c>
      <c r="E380" s="91"/>
      <c r="F380" s="91"/>
      <c r="G380" s="91"/>
      <c r="H380" s="91"/>
      <c r="I380" s="91"/>
      <c r="J380" s="91"/>
      <c r="K380" s="91"/>
    </row>
    <row r="381" spans="1:11">
      <c r="A381" s="91">
        <v>379</v>
      </c>
      <c r="B381" s="91" t="s">
        <v>1816</v>
      </c>
      <c r="C381" s="91">
        <v>511</v>
      </c>
      <c r="D381" s="91" t="s">
        <v>1818</v>
      </c>
      <c r="E381" s="91"/>
      <c r="F381" s="91"/>
      <c r="G381" s="91"/>
      <c r="H381" s="91"/>
      <c r="I381" s="91"/>
      <c r="J381" s="91"/>
      <c r="K381" s="91"/>
    </row>
    <row r="382" spans="1:11">
      <c r="A382" s="91">
        <v>380</v>
      </c>
      <c r="B382" s="91" t="s">
        <v>1816</v>
      </c>
      <c r="C382" s="91">
        <v>553</v>
      </c>
      <c r="D382" s="91" t="s">
        <v>1818</v>
      </c>
      <c r="E382" s="91"/>
      <c r="F382" s="91"/>
      <c r="G382" s="91"/>
      <c r="H382" s="91"/>
      <c r="I382" s="91"/>
      <c r="J382" s="91"/>
      <c r="K382" s="91"/>
    </row>
    <row r="383" spans="1:11">
      <c r="A383" s="91">
        <v>381</v>
      </c>
      <c r="B383" s="91" t="s">
        <v>1816</v>
      </c>
      <c r="C383" s="91">
        <v>1182</v>
      </c>
      <c r="D383" s="91" t="s">
        <v>1818</v>
      </c>
      <c r="E383" s="91"/>
      <c r="F383" s="91"/>
      <c r="G383" s="91"/>
      <c r="H383" s="91"/>
      <c r="I383" s="91"/>
      <c r="J383" s="91"/>
      <c r="K383" s="91"/>
    </row>
    <row r="384" spans="1:11">
      <c r="A384" s="91">
        <v>382</v>
      </c>
      <c r="B384" s="91" t="s">
        <v>1816</v>
      </c>
      <c r="C384" s="91">
        <v>553</v>
      </c>
      <c r="D384" s="91" t="s">
        <v>1818</v>
      </c>
      <c r="E384" s="91"/>
      <c r="F384" s="91"/>
      <c r="G384" s="91"/>
      <c r="H384" s="91"/>
      <c r="I384" s="91"/>
      <c r="J384" s="91"/>
      <c r="K384" s="91"/>
    </row>
    <row r="385" spans="1:11">
      <c r="A385" s="91">
        <v>383</v>
      </c>
      <c r="B385" s="91" t="s">
        <v>1816</v>
      </c>
      <c r="C385" s="91">
        <v>1182</v>
      </c>
      <c r="D385" s="91" t="s">
        <v>1818</v>
      </c>
      <c r="E385" s="91"/>
      <c r="F385" s="91"/>
      <c r="G385" s="91"/>
      <c r="H385" s="91"/>
      <c r="I385" s="91"/>
      <c r="J385" s="91"/>
      <c r="K385" s="91"/>
    </row>
    <row r="386" spans="1:11">
      <c r="A386" s="91">
        <v>384</v>
      </c>
      <c r="B386" s="91" t="s">
        <v>1816</v>
      </c>
      <c r="C386" s="91">
        <v>553</v>
      </c>
      <c r="D386" s="91" t="s">
        <v>1818</v>
      </c>
      <c r="E386" s="91"/>
      <c r="F386" s="91"/>
      <c r="G386" s="91"/>
      <c r="H386" s="91"/>
      <c r="I386" s="91"/>
      <c r="J386" s="91"/>
      <c r="K386" s="91"/>
    </row>
    <row r="387" spans="1:11">
      <c r="A387" s="91">
        <v>385</v>
      </c>
      <c r="B387" s="91" t="s">
        <v>1816</v>
      </c>
      <c r="C387" s="91">
        <v>511</v>
      </c>
      <c r="D387" s="91" t="s">
        <v>1818</v>
      </c>
      <c r="E387" s="91"/>
      <c r="F387" s="91"/>
      <c r="G387" s="91"/>
      <c r="H387" s="91"/>
      <c r="I387" s="91"/>
      <c r="J387" s="91"/>
      <c r="K387" s="91"/>
    </row>
    <row r="388" spans="1:11">
      <c r="A388" s="91">
        <v>386</v>
      </c>
      <c r="B388" s="91" t="s">
        <v>1816</v>
      </c>
      <c r="C388" s="91">
        <v>2575</v>
      </c>
      <c r="D388" s="91" t="s">
        <v>1818</v>
      </c>
      <c r="E388" s="91"/>
      <c r="F388" s="91"/>
      <c r="G388" s="91"/>
      <c r="H388" s="91"/>
      <c r="I388" s="91"/>
      <c r="J388" s="91"/>
      <c r="K388" s="91"/>
    </row>
    <row r="389" spans="1:11">
      <c r="A389" s="91">
        <v>387</v>
      </c>
      <c r="B389" s="91" t="s">
        <v>1816</v>
      </c>
      <c r="C389" s="91">
        <v>726</v>
      </c>
      <c r="D389" s="91" t="s">
        <v>1818</v>
      </c>
      <c r="E389" s="91"/>
      <c r="F389" s="91"/>
      <c r="G389" s="91"/>
      <c r="H389" s="91"/>
      <c r="I389" s="91"/>
      <c r="J389" s="91"/>
      <c r="K389" s="91"/>
    </row>
    <row r="390" spans="1:11">
      <c r="A390" s="91">
        <v>388</v>
      </c>
      <c r="B390" s="91" t="s">
        <v>1816</v>
      </c>
      <c r="C390" s="91">
        <v>726</v>
      </c>
      <c r="D390" s="91" t="s">
        <v>1818</v>
      </c>
      <c r="E390" s="91"/>
      <c r="F390" s="91"/>
      <c r="G390" s="91"/>
      <c r="H390" s="91"/>
      <c r="I390" s="91"/>
      <c r="J390" s="91"/>
      <c r="K390" s="91"/>
    </row>
    <row r="391" spans="1:11">
      <c r="A391" s="91">
        <v>389</v>
      </c>
      <c r="B391" s="91" t="s">
        <v>1816</v>
      </c>
      <c r="C391" s="91">
        <v>1433</v>
      </c>
      <c r="D391" s="91" t="s">
        <v>1818</v>
      </c>
      <c r="E391" s="91"/>
      <c r="F391" s="91"/>
      <c r="G391" s="91"/>
      <c r="H391" s="91"/>
      <c r="I391" s="91"/>
      <c r="J391" s="91"/>
      <c r="K391" s="91"/>
    </row>
    <row r="392" spans="1:11">
      <c r="A392" s="91">
        <v>390</v>
      </c>
      <c r="B392" s="91" t="s">
        <v>1816</v>
      </c>
      <c r="C392" s="91">
        <v>511</v>
      </c>
      <c r="D392" s="91" t="s">
        <v>1818</v>
      </c>
      <c r="E392" s="91"/>
      <c r="F392" s="91"/>
      <c r="G392" s="91"/>
      <c r="H392" s="91"/>
      <c r="I392" s="91"/>
      <c r="J392" s="91"/>
      <c r="K392" s="91"/>
    </row>
    <row r="393" spans="1:11">
      <c r="A393" s="91">
        <v>391</v>
      </c>
      <c r="B393" s="91" t="s">
        <v>1816</v>
      </c>
      <c r="C393" s="91">
        <v>2642</v>
      </c>
      <c r="D393" s="91" t="s">
        <v>1818</v>
      </c>
      <c r="E393" s="91"/>
      <c r="F393" s="91"/>
      <c r="G393" s="91"/>
      <c r="H393" s="91"/>
      <c r="I393" s="91"/>
      <c r="J393" s="91"/>
      <c r="K393" s="91"/>
    </row>
    <row r="394" spans="1:11">
      <c r="A394" s="91">
        <v>392</v>
      </c>
      <c r="B394" s="91" t="s">
        <v>1816</v>
      </c>
      <c r="C394" s="91">
        <v>1238</v>
      </c>
      <c r="D394" s="91" t="s">
        <v>1818</v>
      </c>
      <c r="E394" s="91"/>
      <c r="F394" s="91"/>
      <c r="G394" s="91"/>
      <c r="H394" s="91"/>
      <c r="I394" s="91"/>
      <c r="J394" s="91"/>
      <c r="K394" s="91"/>
    </row>
    <row r="395" spans="1:11">
      <c r="A395" s="91">
        <v>393</v>
      </c>
      <c r="B395" s="91" t="s">
        <v>1816</v>
      </c>
      <c r="C395" s="91">
        <v>2788</v>
      </c>
      <c r="D395" s="91" t="s">
        <v>1818</v>
      </c>
      <c r="E395" s="91"/>
      <c r="F395" s="91"/>
      <c r="G395" s="91"/>
      <c r="H395" s="91"/>
      <c r="I395" s="91"/>
      <c r="J395" s="91"/>
      <c r="K395" s="91"/>
    </row>
    <row r="396" spans="1:11">
      <c r="A396" s="91">
        <v>394</v>
      </c>
      <c r="B396" s="91" t="s">
        <v>1816</v>
      </c>
      <c r="C396" s="91">
        <v>1238</v>
      </c>
      <c r="D396" s="91" t="s">
        <v>1818</v>
      </c>
      <c r="E396" s="91"/>
      <c r="F396" s="91"/>
      <c r="G396" s="91"/>
      <c r="H396" s="91"/>
      <c r="I396" s="91"/>
      <c r="J396" s="91"/>
      <c r="K396" s="91"/>
    </row>
    <row r="397" spans="1:11">
      <c r="A397" s="91">
        <v>395</v>
      </c>
      <c r="B397" s="91" t="s">
        <v>1816</v>
      </c>
      <c r="C397" s="91">
        <v>2813</v>
      </c>
      <c r="D397" s="91" t="s">
        <v>1818</v>
      </c>
      <c r="E397" s="91"/>
      <c r="F397" s="91"/>
      <c r="G397" s="91"/>
      <c r="H397" s="91"/>
      <c r="I397" s="91"/>
      <c r="J397" s="91"/>
      <c r="K397" s="91"/>
    </row>
    <row r="398" spans="1:11">
      <c r="A398" s="91">
        <v>396</v>
      </c>
      <c r="B398" s="91" t="s">
        <v>1816</v>
      </c>
      <c r="C398" s="91">
        <v>2642</v>
      </c>
      <c r="D398" s="91" t="s">
        <v>1818</v>
      </c>
      <c r="E398" s="91"/>
      <c r="F398" s="91"/>
      <c r="G398" s="91"/>
      <c r="H398" s="91"/>
      <c r="I398" s="91"/>
      <c r="J398" s="91"/>
      <c r="K398" s="91"/>
    </row>
    <row r="399" spans="1:11">
      <c r="A399" s="91">
        <v>397</v>
      </c>
      <c r="B399" s="91" t="s">
        <v>1816</v>
      </c>
      <c r="C399" s="91">
        <v>1238</v>
      </c>
      <c r="D399" s="91" t="s">
        <v>1818</v>
      </c>
      <c r="E399" s="91"/>
      <c r="F399" s="91"/>
      <c r="G399" s="91"/>
      <c r="H399" s="91"/>
      <c r="I399" s="91"/>
      <c r="J399" s="91"/>
      <c r="K399" s="91"/>
    </row>
    <row r="400" spans="1:11">
      <c r="A400" s="91">
        <v>398</v>
      </c>
      <c r="B400" s="91" t="s">
        <v>1816</v>
      </c>
      <c r="C400" s="91">
        <v>2813</v>
      </c>
      <c r="D400" s="91" t="s">
        <v>1818</v>
      </c>
      <c r="E400" s="91"/>
      <c r="F400" s="91"/>
      <c r="G400" s="91"/>
      <c r="H400" s="91"/>
      <c r="I400" s="91"/>
      <c r="J400" s="91"/>
      <c r="K400" s="91"/>
    </row>
    <row r="401" spans="1:11">
      <c r="A401" s="91">
        <v>399</v>
      </c>
      <c r="B401" s="91" t="s">
        <v>1816</v>
      </c>
      <c r="C401" s="91">
        <v>2642</v>
      </c>
      <c r="D401" s="91" t="s">
        <v>1818</v>
      </c>
      <c r="E401" s="91"/>
      <c r="F401" s="91"/>
      <c r="G401" s="91"/>
      <c r="H401" s="91"/>
      <c r="I401" s="91"/>
      <c r="J401" s="91"/>
      <c r="K401" s="91"/>
    </row>
    <row r="402" spans="1:11">
      <c r="A402" s="91">
        <v>400</v>
      </c>
      <c r="B402" s="91" t="s">
        <v>1816</v>
      </c>
      <c r="C402" s="91">
        <v>1238</v>
      </c>
      <c r="D402" s="91" t="s">
        <v>1818</v>
      </c>
      <c r="E402" s="91"/>
      <c r="F402" s="91"/>
      <c r="G402" s="91"/>
      <c r="H402" s="91"/>
      <c r="I402" s="91"/>
      <c r="J402" s="91"/>
      <c r="K402" s="91"/>
    </row>
    <row r="403" spans="1:11">
      <c r="A403" s="91">
        <v>401</v>
      </c>
      <c r="B403" s="91" t="s">
        <v>1816</v>
      </c>
      <c r="C403" s="91">
        <v>726</v>
      </c>
      <c r="D403" s="91" t="s">
        <v>1818</v>
      </c>
      <c r="E403" s="91"/>
      <c r="F403" s="91"/>
      <c r="G403" s="91"/>
      <c r="H403" s="91"/>
      <c r="I403" s="91"/>
      <c r="J403" s="91"/>
      <c r="K403" s="91"/>
    </row>
    <row r="404" spans="1:11">
      <c r="A404" s="91">
        <v>402</v>
      </c>
      <c r="B404" s="91" t="s">
        <v>1816</v>
      </c>
      <c r="C404" s="91">
        <v>1056</v>
      </c>
      <c r="D404" s="91" t="s">
        <v>1818</v>
      </c>
      <c r="E404" s="91"/>
      <c r="F404" s="91"/>
      <c r="G404" s="91"/>
      <c r="H404" s="91"/>
      <c r="I404" s="91"/>
      <c r="J404" s="91"/>
      <c r="K404" s="91"/>
    </row>
    <row r="405" spans="1:11">
      <c r="A405" s="91">
        <v>403</v>
      </c>
      <c r="B405" s="91" t="s">
        <v>1816</v>
      </c>
      <c r="C405" s="91">
        <v>1351</v>
      </c>
      <c r="D405" s="91" t="s">
        <v>1818</v>
      </c>
      <c r="E405" s="91"/>
      <c r="F405" s="91"/>
      <c r="G405" s="91"/>
      <c r="H405" s="91"/>
      <c r="I405" s="91"/>
      <c r="J405" s="91"/>
      <c r="K405" s="91"/>
    </row>
    <row r="406" spans="1:11">
      <c r="A406" s="91">
        <v>404</v>
      </c>
      <c r="B406" s="91" t="s">
        <v>1816</v>
      </c>
      <c r="C406" s="91">
        <v>1485</v>
      </c>
      <c r="D406" s="91" t="s">
        <v>1818</v>
      </c>
      <c r="E406" s="91"/>
      <c r="F406" s="91"/>
      <c r="G406" s="91"/>
      <c r="H406" s="91"/>
      <c r="I406" s="91"/>
      <c r="J406" s="91"/>
      <c r="K406" s="91"/>
    </row>
    <row r="407" spans="1:11">
      <c r="A407" s="91">
        <v>405</v>
      </c>
      <c r="B407" s="91" t="s">
        <v>1816</v>
      </c>
      <c r="C407" s="91">
        <v>1230</v>
      </c>
      <c r="D407" s="91" t="s">
        <v>1818</v>
      </c>
      <c r="E407" s="91"/>
      <c r="F407" s="91"/>
      <c r="G407" s="91"/>
      <c r="H407" s="91"/>
      <c r="I407" s="91"/>
      <c r="J407" s="91"/>
      <c r="K407" s="91"/>
    </row>
    <row r="408" spans="1:11">
      <c r="A408" s="91">
        <v>406</v>
      </c>
      <c r="B408" s="91" t="s">
        <v>1816</v>
      </c>
      <c r="C408" s="91">
        <v>1238</v>
      </c>
      <c r="D408" s="91" t="s">
        <v>1818</v>
      </c>
      <c r="E408" s="91"/>
      <c r="F408" s="91"/>
      <c r="G408" s="91"/>
      <c r="H408" s="91"/>
      <c r="I408" s="91"/>
      <c r="J408" s="91"/>
      <c r="K408" s="91"/>
    </row>
    <row r="409" spans="1:11">
      <c r="A409" s="91">
        <v>407</v>
      </c>
      <c r="B409" s="91" t="s">
        <v>1816</v>
      </c>
      <c r="C409" s="91">
        <v>2811</v>
      </c>
      <c r="D409" s="91" t="s">
        <v>1818</v>
      </c>
      <c r="E409" s="91"/>
      <c r="F409" s="91"/>
      <c r="G409" s="91"/>
      <c r="H409" s="91"/>
      <c r="I409" s="91"/>
      <c r="J409" s="91"/>
      <c r="K409" s="91"/>
    </row>
    <row r="410" spans="1:11">
      <c r="A410" s="91">
        <v>408</v>
      </c>
      <c r="B410" s="91" t="s">
        <v>1816</v>
      </c>
      <c r="C410" s="91">
        <v>2813</v>
      </c>
      <c r="D410" s="91" t="s">
        <v>1818</v>
      </c>
      <c r="E410" s="91"/>
      <c r="F410" s="91"/>
      <c r="G410" s="91"/>
      <c r="H410" s="91"/>
      <c r="I410" s="91"/>
      <c r="J410" s="91"/>
      <c r="K410" s="91"/>
    </row>
    <row r="411" spans="1:11">
      <c r="A411" s="91">
        <v>409</v>
      </c>
      <c r="B411" s="91" t="s">
        <v>1816</v>
      </c>
      <c r="C411" s="91">
        <v>2801</v>
      </c>
      <c r="D411" s="91" t="s">
        <v>1818</v>
      </c>
      <c r="E411" s="91"/>
      <c r="F411" s="91"/>
      <c r="G411" s="91"/>
      <c r="H411" s="91"/>
      <c r="I411" s="91"/>
      <c r="J411" s="91"/>
      <c r="K411" s="91"/>
    </row>
    <row r="412" spans="1:11">
      <c r="A412" s="91">
        <v>410</v>
      </c>
      <c r="B412" s="91" t="s">
        <v>1816</v>
      </c>
      <c r="C412" s="91">
        <v>1433</v>
      </c>
      <c r="D412" s="91" t="s">
        <v>1818</v>
      </c>
      <c r="E412" s="91"/>
      <c r="F412" s="91"/>
      <c r="G412" s="91"/>
      <c r="H412" s="91"/>
      <c r="I412" s="91"/>
      <c r="J412" s="91"/>
      <c r="K412" s="91"/>
    </row>
    <row r="413" spans="1:11">
      <c r="A413" s="91">
        <v>411</v>
      </c>
      <c r="B413" s="91" t="s">
        <v>1816</v>
      </c>
      <c r="C413" s="91">
        <v>2642</v>
      </c>
      <c r="D413" s="91" t="s">
        <v>1818</v>
      </c>
      <c r="E413" s="91"/>
      <c r="F413" s="91"/>
      <c r="G413" s="91"/>
      <c r="H413" s="91"/>
      <c r="I413" s="91"/>
      <c r="J413" s="91"/>
      <c r="K413" s="91"/>
    </row>
    <row r="414" spans="1:11">
      <c r="A414" s="91">
        <v>412</v>
      </c>
      <c r="B414" s="91" t="s">
        <v>1816</v>
      </c>
      <c r="C414" s="91">
        <v>1238</v>
      </c>
      <c r="D414" s="91" t="s">
        <v>1818</v>
      </c>
      <c r="E414" s="91"/>
      <c r="F414" s="91"/>
      <c r="G414" s="91"/>
      <c r="H414" s="91"/>
      <c r="I414" s="91"/>
      <c r="J414" s="91"/>
      <c r="K414" s="91"/>
    </row>
    <row r="415" spans="1:11">
      <c r="A415" s="91">
        <v>413</v>
      </c>
      <c r="B415" s="91" t="s">
        <v>1816</v>
      </c>
      <c r="C415" s="91">
        <v>2811</v>
      </c>
      <c r="D415" s="91" t="s">
        <v>1818</v>
      </c>
      <c r="E415" s="91"/>
      <c r="F415" s="91"/>
      <c r="G415" s="91"/>
      <c r="H415" s="91"/>
      <c r="I415" s="91"/>
      <c r="J415" s="91"/>
      <c r="K415" s="91"/>
    </row>
    <row r="416" spans="1:11">
      <c r="A416" s="91">
        <v>414</v>
      </c>
      <c r="B416" s="91" t="s">
        <v>1816</v>
      </c>
      <c r="C416" s="91">
        <v>2813</v>
      </c>
      <c r="D416" s="91" t="s">
        <v>1818</v>
      </c>
      <c r="E416" s="91"/>
      <c r="F416" s="91"/>
      <c r="G416" s="91"/>
      <c r="H416" s="91"/>
      <c r="I416" s="91"/>
      <c r="J416" s="91"/>
      <c r="K416" s="91"/>
    </row>
    <row r="417" spans="1:11">
      <c r="A417" s="91">
        <v>415</v>
      </c>
      <c r="B417" s="91" t="s">
        <v>1816</v>
      </c>
      <c r="C417" s="91">
        <v>2801</v>
      </c>
      <c r="D417" s="91" t="s">
        <v>1818</v>
      </c>
      <c r="E417" s="91"/>
      <c r="F417" s="91"/>
      <c r="G417" s="91"/>
      <c r="H417" s="91"/>
      <c r="I417" s="91"/>
      <c r="J417" s="91"/>
      <c r="K417" s="91"/>
    </row>
    <row r="418" spans="1:11">
      <c r="A418" s="91">
        <v>416</v>
      </c>
      <c r="B418" s="91" t="s">
        <v>1816</v>
      </c>
      <c r="C418" s="91">
        <v>2642</v>
      </c>
      <c r="D418" s="91" t="s">
        <v>1818</v>
      </c>
      <c r="E418" s="91"/>
      <c r="F418" s="91"/>
      <c r="G418" s="91"/>
      <c r="H418" s="91"/>
      <c r="I418" s="91"/>
      <c r="J418" s="91"/>
      <c r="K418" s="91"/>
    </row>
    <row r="419" spans="1:11">
      <c r="A419" s="91">
        <v>417</v>
      </c>
      <c r="B419" s="91" t="s">
        <v>1816</v>
      </c>
      <c r="C419" s="91">
        <v>1238</v>
      </c>
      <c r="D419" s="91" t="s">
        <v>1818</v>
      </c>
      <c r="E419" s="91"/>
      <c r="F419" s="91"/>
      <c r="G419" s="91"/>
      <c r="H419" s="91"/>
      <c r="I419" s="91"/>
      <c r="J419" s="91"/>
      <c r="K419" s="91"/>
    </row>
    <row r="420" spans="1:11">
      <c r="A420" s="91">
        <v>418</v>
      </c>
      <c r="B420" s="91" t="s">
        <v>1816</v>
      </c>
      <c r="C420" s="91">
        <v>2811</v>
      </c>
      <c r="D420" s="91" t="s">
        <v>1818</v>
      </c>
      <c r="E420" s="91"/>
      <c r="F420" s="91"/>
      <c r="G420" s="91"/>
      <c r="H420" s="91"/>
      <c r="I420" s="91"/>
      <c r="J420" s="91"/>
      <c r="K420" s="91"/>
    </row>
    <row r="421" spans="1:11">
      <c r="A421" s="91">
        <v>419</v>
      </c>
      <c r="B421" s="91" t="s">
        <v>1816</v>
      </c>
      <c r="C421" s="91">
        <v>2801</v>
      </c>
      <c r="D421" s="91" t="s">
        <v>1818</v>
      </c>
      <c r="E421" s="91"/>
      <c r="F421" s="91"/>
      <c r="G421" s="91"/>
      <c r="H421" s="91"/>
      <c r="I421" s="91"/>
      <c r="J421" s="91"/>
      <c r="K421" s="91"/>
    </row>
    <row r="422" spans="1:11">
      <c r="A422" s="91">
        <v>420</v>
      </c>
      <c r="B422" s="91" t="s">
        <v>1816</v>
      </c>
      <c r="C422" s="91">
        <v>2642</v>
      </c>
      <c r="D422" s="91" t="s">
        <v>1818</v>
      </c>
      <c r="E422" s="91"/>
      <c r="F422" s="91"/>
      <c r="G422" s="91"/>
      <c r="H422" s="91"/>
      <c r="I422" s="91"/>
      <c r="J422" s="91"/>
      <c r="K422" s="91"/>
    </row>
    <row r="423" spans="1:11">
      <c r="A423" s="91">
        <v>421</v>
      </c>
      <c r="B423" s="91" t="s">
        <v>1816</v>
      </c>
      <c r="C423" s="91">
        <v>1238</v>
      </c>
      <c r="D423" s="91" t="s">
        <v>1818</v>
      </c>
      <c r="E423" s="91"/>
      <c r="F423" s="91"/>
      <c r="G423" s="91"/>
      <c r="H423" s="91"/>
      <c r="I423" s="91"/>
      <c r="J423" s="91"/>
      <c r="K423" s="91"/>
    </row>
    <row r="424" spans="1:11">
      <c r="A424" s="91">
        <v>422</v>
      </c>
      <c r="B424" s="91" t="s">
        <v>1816</v>
      </c>
      <c r="C424" s="91">
        <v>726</v>
      </c>
      <c r="D424" s="91" t="s">
        <v>1818</v>
      </c>
      <c r="E424" s="91"/>
      <c r="F424" s="91"/>
      <c r="G424" s="91"/>
      <c r="H424" s="91"/>
      <c r="I424" s="91"/>
      <c r="J424" s="91"/>
      <c r="K424" s="91"/>
    </row>
    <row r="425" spans="1:11">
      <c r="A425" s="91">
        <v>423</v>
      </c>
      <c r="B425" s="91" t="s">
        <v>1816</v>
      </c>
      <c r="C425" s="91">
        <v>1433</v>
      </c>
      <c r="D425" s="91" t="s">
        <v>1818</v>
      </c>
      <c r="E425" s="91"/>
      <c r="F425" s="91"/>
      <c r="G425" s="91"/>
      <c r="H425" s="91"/>
      <c r="I425" s="91"/>
      <c r="J425" s="91"/>
      <c r="K425" s="91"/>
    </row>
    <row r="426" spans="1:11">
      <c r="A426" s="91">
        <v>424</v>
      </c>
      <c r="B426" s="91" t="s">
        <v>1816</v>
      </c>
      <c r="C426" s="91">
        <v>460</v>
      </c>
      <c r="D426" s="91" t="s">
        <v>1818</v>
      </c>
      <c r="E426" s="91"/>
      <c r="F426" s="91"/>
      <c r="G426" s="91"/>
      <c r="H426" s="91"/>
      <c r="I426" s="91"/>
      <c r="J426" s="91"/>
      <c r="K426" s="91"/>
    </row>
    <row r="427" spans="1:11">
      <c r="A427" s="91">
        <v>425</v>
      </c>
      <c r="B427" s="91" t="s">
        <v>1816</v>
      </c>
      <c r="C427" s="91">
        <v>726</v>
      </c>
      <c r="D427" s="91" t="s">
        <v>1818</v>
      </c>
      <c r="E427" s="91"/>
      <c r="F427" s="91"/>
      <c r="G427" s="91"/>
      <c r="H427" s="91"/>
      <c r="I427" s="91"/>
      <c r="J427" s="91"/>
      <c r="K427" s="91"/>
    </row>
    <row r="428" spans="1:11">
      <c r="A428" s="91">
        <v>426</v>
      </c>
      <c r="B428" s="91" t="s">
        <v>1816</v>
      </c>
      <c r="C428" s="91">
        <v>726</v>
      </c>
      <c r="D428" s="91" t="s">
        <v>1818</v>
      </c>
      <c r="E428" s="91"/>
      <c r="F428" s="91"/>
      <c r="G428" s="91"/>
      <c r="H428" s="91"/>
      <c r="I428" s="91"/>
      <c r="J428" s="91"/>
      <c r="K428" s="91"/>
    </row>
    <row r="429" spans="1:11">
      <c r="A429" s="91">
        <v>427</v>
      </c>
      <c r="B429" s="91" t="s">
        <v>1816</v>
      </c>
      <c r="C429" s="91">
        <v>1715</v>
      </c>
      <c r="D429" s="91" t="s">
        <v>1818</v>
      </c>
      <c r="E429" s="91"/>
      <c r="F429" s="91"/>
      <c r="G429" s="91"/>
      <c r="H429" s="91"/>
      <c r="I429" s="91"/>
      <c r="J429" s="91"/>
      <c r="K429" s="91"/>
    </row>
    <row r="430" spans="1:11">
      <c r="A430" s="91">
        <v>428</v>
      </c>
      <c r="B430" s="91" t="s">
        <v>1816</v>
      </c>
      <c r="C430" s="91">
        <v>1351</v>
      </c>
      <c r="D430" s="91" t="s">
        <v>1818</v>
      </c>
      <c r="E430" s="91"/>
      <c r="F430" s="91"/>
      <c r="G430" s="91"/>
      <c r="H430" s="91"/>
      <c r="I430" s="91"/>
      <c r="J430" s="91"/>
      <c r="K430" s="91"/>
    </row>
    <row r="431" spans="1:11">
      <c r="A431" s="91">
        <v>429</v>
      </c>
      <c r="B431" s="91" t="s">
        <v>1816</v>
      </c>
      <c r="C431" s="91">
        <v>1485</v>
      </c>
      <c r="D431" s="91" t="s">
        <v>1818</v>
      </c>
      <c r="E431" s="91"/>
      <c r="F431" s="91"/>
      <c r="G431" s="91"/>
      <c r="H431" s="91"/>
      <c r="I431" s="91"/>
      <c r="J431" s="91"/>
      <c r="K431" s="91"/>
    </row>
    <row r="432" spans="1:11">
      <c r="A432" s="91">
        <v>430</v>
      </c>
      <c r="B432" s="91" t="s">
        <v>1816</v>
      </c>
      <c r="C432" s="91">
        <v>1230</v>
      </c>
      <c r="D432" s="91" t="s">
        <v>1818</v>
      </c>
      <c r="E432" s="91"/>
      <c r="F432" s="91"/>
      <c r="G432" s="91"/>
      <c r="H432" s="91"/>
      <c r="I432" s="91"/>
      <c r="J432" s="91"/>
      <c r="K432" s="91"/>
    </row>
    <row r="433" spans="1:11">
      <c r="A433" s="91">
        <v>431</v>
      </c>
      <c r="B433" s="91" t="s">
        <v>1816</v>
      </c>
      <c r="C433" s="91">
        <v>1238</v>
      </c>
      <c r="D433" s="91" t="s">
        <v>1818</v>
      </c>
      <c r="E433" s="91"/>
      <c r="F433" s="91"/>
      <c r="G433" s="91"/>
      <c r="H433" s="91"/>
      <c r="I433" s="91"/>
      <c r="J433" s="91"/>
      <c r="K433" s="91"/>
    </row>
    <row r="434" spans="1:11">
      <c r="A434" s="91">
        <v>432</v>
      </c>
      <c r="B434" s="91" t="s">
        <v>1816</v>
      </c>
      <c r="C434" s="91">
        <v>2813</v>
      </c>
      <c r="D434" s="91" t="s">
        <v>1818</v>
      </c>
      <c r="E434" s="91"/>
      <c r="F434" s="91"/>
      <c r="G434" s="91"/>
      <c r="H434" s="91"/>
      <c r="I434" s="91"/>
      <c r="J434" s="91"/>
      <c r="K434" s="91"/>
    </row>
    <row r="435" spans="1:11">
      <c r="A435" s="91">
        <v>433</v>
      </c>
      <c r="B435" s="91" t="s">
        <v>1816</v>
      </c>
      <c r="C435" s="91">
        <v>2717</v>
      </c>
      <c r="D435" s="91" t="s">
        <v>1818</v>
      </c>
      <c r="E435" s="91"/>
      <c r="F435" s="91"/>
      <c r="G435" s="91"/>
      <c r="H435" s="91"/>
      <c r="I435" s="91"/>
      <c r="J435" s="91"/>
      <c r="K435" s="91"/>
    </row>
    <row r="436" spans="1:11">
      <c r="A436" s="91">
        <v>434</v>
      </c>
      <c r="B436" s="91" t="s">
        <v>1816</v>
      </c>
      <c r="C436" s="91">
        <v>2642</v>
      </c>
      <c r="D436" s="91" t="s">
        <v>1818</v>
      </c>
      <c r="E436" s="91"/>
      <c r="F436" s="91"/>
      <c r="G436" s="91"/>
      <c r="H436" s="91"/>
      <c r="I436" s="91"/>
      <c r="J436" s="91"/>
      <c r="K436" s="91"/>
    </row>
    <row r="437" spans="1:11">
      <c r="A437" s="91">
        <v>435</v>
      </c>
      <c r="B437" s="91" t="s">
        <v>1816</v>
      </c>
      <c r="C437" s="91">
        <v>1238</v>
      </c>
      <c r="D437" s="91" t="s">
        <v>1818</v>
      </c>
      <c r="E437" s="91"/>
      <c r="F437" s="91"/>
      <c r="G437" s="91"/>
      <c r="H437" s="91"/>
      <c r="I437" s="91"/>
      <c r="J437" s="91"/>
      <c r="K437" s="91"/>
    </row>
    <row r="438" spans="1:11">
      <c r="A438" s="91">
        <v>436</v>
      </c>
      <c r="B438" s="91" t="s">
        <v>1816</v>
      </c>
      <c r="C438" s="91">
        <v>511</v>
      </c>
      <c r="D438" s="91" t="s">
        <v>1818</v>
      </c>
      <c r="E438" s="91"/>
      <c r="F438" s="91"/>
      <c r="G438" s="91"/>
      <c r="H438" s="91"/>
      <c r="I438" s="91"/>
      <c r="J438" s="91"/>
      <c r="K438" s="91"/>
    </row>
    <row r="439" spans="1:11">
      <c r="A439" s="91">
        <v>437</v>
      </c>
      <c r="B439" s="91" t="s">
        <v>1816</v>
      </c>
      <c r="C439" s="91">
        <v>511</v>
      </c>
      <c r="D439" s="91" t="s">
        <v>1818</v>
      </c>
      <c r="E439" s="91"/>
      <c r="F439" s="91"/>
      <c r="G439" s="91"/>
      <c r="H439" s="91"/>
      <c r="I439" s="91"/>
      <c r="J439" s="91"/>
      <c r="K439" s="91"/>
    </row>
    <row r="440" spans="1:11">
      <c r="A440" s="91">
        <v>438</v>
      </c>
      <c r="B440" s="91" t="s">
        <v>1816</v>
      </c>
      <c r="C440" s="91">
        <v>511</v>
      </c>
      <c r="D440" s="91" t="s">
        <v>1818</v>
      </c>
      <c r="E440" s="91"/>
      <c r="F440" s="91"/>
      <c r="G440" s="91"/>
      <c r="H440" s="91"/>
      <c r="I440" s="91"/>
      <c r="J440" s="91"/>
      <c r="K440" s="91"/>
    </row>
    <row r="441" spans="1:11">
      <c r="A441" s="91">
        <v>439</v>
      </c>
      <c r="B441" s="91" t="s">
        <v>1816</v>
      </c>
      <c r="C441" s="91">
        <v>511</v>
      </c>
      <c r="D441" s="91" t="s">
        <v>1818</v>
      </c>
      <c r="E441" s="91"/>
      <c r="F441" s="91"/>
      <c r="G441" s="91"/>
      <c r="H441" s="91"/>
      <c r="I441" s="91"/>
      <c r="J441" s="91"/>
      <c r="K441" s="91"/>
    </row>
    <row r="442" spans="1:11">
      <c r="A442" s="91">
        <v>440</v>
      </c>
      <c r="B442" s="91" t="s">
        <v>1816</v>
      </c>
      <c r="C442" s="91">
        <v>726</v>
      </c>
      <c r="D442" s="91" t="s">
        <v>1818</v>
      </c>
      <c r="E442" s="91"/>
      <c r="F442" s="91"/>
      <c r="G442" s="91"/>
      <c r="H442" s="91"/>
      <c r="I442" s="91"/>
      <c r="J442" s="91"/>
      <c r="K442" s="91"/>
    </row>
    <row r="443" spans="1:11">
      <c r="A443" s="91">
        <v>441</v>
      </c>
      <c r="B443" s="91" t="s">
        <v>1816</v>
      </c>
      <c r="C443" s="91">
        <v>726</v>
      </c>
      <c r="D443" s="91" t="s">
        <v>1818</v>
      </c>
      <c r="E443" s="91"/>
      <c r="F443" s="91"/>
      <c r="G443" s="91"/>
      <c r="H443" s="91"/>
      <c r="I443" s="91"/>
      <c r="J443" s="91"/>
      <c r="K443" s="91"/>
    </row>
    <row r="444" spans="1:11">
      <c r="A444" s="91">
        <v>442</v>
      </c>
      <c r="B444" s="91" t="s">
        <v>1816</v>
      </c>
      <c r="C444" s="91">
        <v>1433</v>
      </c>
      <c r="D444" s="91" t="s">
        <v>1818</v>
      </c>
      <c r="E444" s="91"/>
      <c r="F444" s="91"/>
      <c r="G444" s="91"/>
      <c r="H444" s="91"/>
      <c r="I444" s="91"/>
      <c r="J444" s="91"/>
      <c r="K444" s="91"/>
    </row>
    <row r="445" spans="1:11">
      <c r="A445" s="91">
        <v>443</v>
      </c>
      <c r="B445" s="91" t="s">
        <v>1816</v>
      </c>
      <c r="C445" s="91">
        <v>1230</v>
      </c>
      <c r="D445" s="91" t="s">
        <v>1818</v>
      </c>
      <c r="E445" s="91"/>
      <c r="F445" s="91"/>
      <c r="G445" s="91"/>
      <c r="H445" s="91"/>
      <c r="I445" s="91"/>
      <c r="J445" s="91"/>
      <c r="K445" s="91"/>
    </row>
    <row r="446" spans="1:11">
      <c r="A446" s="91">
        <v>444</v>
      </c>
      <c r="B446" s="91" t="s">
        <v>1816</v>
      </c>
      <c r="C446" s="91">
        <v>726</v>
      </c>
      <c r="D446" s="91" t="s">
        <v>1818</v>
      </c>
      <c r="E446" s="91"/>
      <c r="F446" s="91"/>
      <c r="G446" s="91"/>
      <c r="H446" s="91"/>
      <c r="I446" s="91"/>
      <c r="J446" s="91"/>
      <c r="K446" s="91"/>
    </row>
    <row r="447" spans="1:11">
      <c r="A447" s="91">
        <v>445</v>
      </c>
      <c r="B447" s="91" t="s">
        <v>1816</v>
      </c>
      <c r="C447" s="91">
        <v>2813</v>
      </c>
      <c r="D447" s="91" t="s">
        <v>1818</v>
      </c>
      <c r="E447" s="91"/>
      <c r="F447" s="91"/>
      <c r="G447" s="91"/>
      <c r="H447" s="91"/>
      <c r="I447" s="91"/>
      <c r="J447" s="91"/>
      <c r="K447" s="91"/>
    </row>
    <row r="448" spans="1:11">
      <c r="A448" s="91">
        <v>446</v>
      </c>
      <c r="B448" s="91" t="s">
        <v>1816</v>
      </c>
      <c r="C448" s="91">
        <v>726</v>
      </c>
      <c r="D448" s="91" t="s">
        <v>1818</v>
      </c>
      <c r="E448" s="91"/>
      <c r="F448" s="91"/>
      <c r="G448" s="91"/>
      <c r="H448" s="91"/>
      <c r="I448" s="91"/>
      <c r="J448" s="91"/>
      <c r="K448" s="91"/>
    </row>
    <row r="449" spans="1:11">
      <c r="A449" s="91">
        <v>447</v>
      </c>
      <c r="B449" s="91" t="s">
        <v>1816</v>
      </c>
      <c r="C449" s="91">
        <v>1433</v>
      </c>
      <c r="D449" s="91" t="s">
        <v>1818</v>
      </c>
      <c r="E449" s="91"/>
      <c r="F449" s="91"/>
      <c r="G449" s="91"/>
      <c r="H449" s="91"/>
      <c r="I449" s="91"/>
      <c r="J449" s="91"/>
      <c r="K449" s="91"/>
    </row>
    <row r="450" spans="1:11">
      <c r="A450" s="91">
        <v>448</v>
      </c>
      <c r="B450" s="91" t="s">
        <v>1816</v>
      </c>
      <c r="C450" s="91">
        <v>1230</v>
      </c>
      <c r="D450" s="91" t="s">
        <v>1818</v>
      </c>
      <c r="E450" s="91"/>
      <c r="F450" s="91"/>
      <c r="G450" s="91"/>
      <c r="H450" s="91"/>
      <c r="I450" s="91"/>
      <c r="J450" s="91"/>
      <c r="K450" s="91"/>
    </row>
    <row r="451" spans="1:11">
      <c r="A451" s="91">
        <v>449</v>
      </c>
      <c r="B451" s="91" t="s">
        <v>1816</v>
      </c>
      <c r="C451" s="91">
        <v>726</v>
      </c>
      <c r="D451" s="91" t="s">
        <v>1818</v>
      </c>
      <c r="E451" s="91"/>
      <c r="F451" s="91"/>
      <c r="G451" s="91"/>
      <c r="H451" s="91"/>
      <c r="I451" s="91"/>
      <c r="J451" s="91"/>
      <c r="K451" s="91"/>
    </row>
    <row r="452" spans="1:11">
      <c r="A452" s="91">
        <v>450</v>
      </c>
      <c r="B452" s="91" t="s">
        <v>1816</v>
      </c>
      <c r="C452" s="91">
        <v>2788</v>
      </c>
      <c r="D452" s="91" t="s">
        <v>1818</v>
      </c>
      <c r="E452" s="91"/>
      <c r="F452" s="91"/>
      <c r="G452" s="91"/>
      <c r="H452" s="91"/>
      <c r="I452" s="91"/>
      <c r="J452" s="91"/>
      <c r="K452" s="91"/>
    </row>
    <row r="453" spans="1:11">
      <c r="A453" s="91">
        <v>451</v>
      </c>
      <c r="B453" s="91" t="s">
        <v>1816</v>
      </c>
      <c r="C453" s="91">
        <v>1433</v>
      </c>
      <c r="D453" s="91" t="s">
        <v>1818</v>
      </c>
      <c r="E453" s="91"/>
      <c r="F453" s="91"/>
      <c r="G453" s="91"/>
      <c r="H453" s="91"/>
      <c r="I453" s="91"/>
      <c r="J453" s="91"/>
      <c r="K453" s="91"/>
    </row>
    <row r="454" spans="1:11">
      <c r="A454" s="91">
        <v>452</v>
      </c>
      <c r="B454" s="91" t="s">
        <v>1816</v>
      </c>
      <c r="C454" s="91">
        <v>1230</v>
      </c>
      <c r="D454" s="91" t="s">
        <v>1818</v>
      </c>
      <c r="E454" s="91"/>
      <c r="F454" s="91"/>
      <c r="G454" s="91"/>
      <c r="H454" s="91"/>
      <c r="I454" s="91"/>
      <c r="J454" s="91"/>
      <c r="K454" s="91"/>
    </row>
    <row r="455" spans="1:11">
      <c r="A455" s="91">
        <v>453</v>
      </c>
      <c r="B455" s="91" t="s">
        <v>1816</v>
      </c>
      <c r="C455" s="91">
        <v>726</v>
      </c>
      <c r="D455" s="91" t="s">
        <v>1818</v>
      </c>
      <c r="E455" s="91"/>
      <c r="F455" s="91"/>
      <c r="G455" s="91"/>
      <c r="H455" s="91"/>
      <c r="I455" s="91"/>
      <c r="J455" s="91"/>
      <c r="K455" s="91"/>
    </row>
    <row r="456" spans="1:11">
      <c r="A456" s="91">
        <v>454</v>
      </c>
      <c r="B456" s="91" t="s">
        <v>1816</v>
      </c>
      <c r="C456" s="91">
        <v>726</v>
      </c>
      <c r="D456" s="91" t="s">
        <v>1818</v>
      </c>
      <c r="E456" s="91"/>
      <c r="F456" s="91"/>
      <c r="G456" s="91"/>
      <c r="H456" s="91"/>
      <c r="I456" s="91"/>
      <c r="J456" s="91"/>
      <c r="K456" s="91"/>
    </row>
    <row r="457" spans="1:11">
      <c r="A457" s="91">
        <v>455</v>
      </c>
      <c r="B457" s="91" t="s">
        <v>1816</v>
      </c>
      <c r="C457" s="91">
        <v>726</v>
      </c>
      <c r="D457" s="91" t="s">
        <v>1818</v>
      </c>
      <c r="E457" s="91"/>
      <c r="F457" s="91"/>
      <c r="G457" s="91"/>
      <c r="H457" s="91"/>
      <c r="I457" s="91"/>
      <c r="J457" s="91"/>
      <c r="K457" s="91"/>
    </row>
    <row r="458" spans="1:11">
      <c r="A458" s="91">
        <v>456</v>
      </c>
      <c r="B458" s="91" t="s">
        <v>1816</v>
      </c>
      <c r="C458" s="91">
        <v>726</v>
      </c>
      <c r="D458" s="91" t="s">
        <v>1818</v>
      </c>
      <c r="E458" s="91"/>
      <c r="F458" s="91"/>
      <c r="G458" s="91"/>
      <c r="H458" s="91"/>
      <c r="I458" s="91"/>
      <c r="J458" s="91"/>
      <c r="K458" s="91"/>
    </row>
    <row r="459" spans="1:11">
      <c r="A459" s="91">
        <v>457</v>
      </c>
      <c r="B459" s="91" t="s">
        <v>1816</v>
      </c>
      <c r="C459" s="91">
        <v>2788</v>
      </c>
      <c r="D459" s="91" t="s">
        <v>1818</v>
      </c>
      <c r="E459" s="91"/>
      <c r="F459" s="91"/>
      <c r="G459" s="91"/>
      <c r="H459" s="91"/>
      <c r="I459" s="91"/>
      <c r="J459" s="91"/>
      <c r="K459" s="91"/>
    </row>
    <row r="460" spans="1:11">
      <c r="A460" s="91">
        <v>458</v>
      </c>
      <c r="B460" s="91" t="s">
        <v>1816</v>
      </c>
      <c r="C460" s="91">
        <v>2717</v>
      </c>
      <c r="D460" s="91" t="s">
        <v>1818</v>
      </c>
      <c r="E460" s="91"/>
      <c r="F460" s="91"/>
      <c r="G460" s="91"/>
      <c r="H460" s="91"/>
      <c r="I460" s="91"/>
      <c r="J460" s="91"/>
      <c r="K460" s="91"/>
    </row>
    <row r="461" spans="1:11">
      <c r="A461" s="91">
        <v>459</v>
      </c>
      <c r="B461" s="91" t="s">
        <v>1816</v>
      </c>
      <c r="C461" s="91">
        <v>1238</v>
      </c>
      <c r="D461" s="91" t="s">
        <v>1818</v>
      </c>
      <c r="E461" s="91"/>
      <c r="F461" s="91"/>
      <c r="G461" s="91"/>
      <c r="H461" s="91"/>
      <c r="I461" s="91"/>
      <c r="J461" s="91"/>
      <c r="K461" s="91"/>
    </row>
    <row r="462" spans="1:11">
      <c r="A462" s="91">
        <v>460</v>
      </c>
      <c r="B462" s="91" t="s">
        <v>1816</v>
      </c>
      <c r="C462" s="91">
        <v>726</v>
      </c>
      <c r="D462" s="91" t="s">
        <v>1818</v>
      </c>
      <c r="E462" s="91"/>
      <c r="F462" s="91"/>
      <c r="G462" s="91"/>
      <c r="H462" s="91"/>
      <c r="I462" s="91"/>
      <c r="J462" s="91"/>
      <c r="K462" s="91"/>
    </row>
    <row r="463" spans="1:11">
      <c r="A463" s="91">
        <v>461</v>
      </c>
      <c r="B463" s="91" t="s">
        <v>1816</v>
      </c>
      <c r="C463" s="91">
        <v>2788</v>
      </c>
      <c r="D463" s="91" t="s">
        <v>1818</v>
      </c>
      <c r="E463" s="91"/>
      <c r="F463" s="91"/>
      <c r="G463" s="91"/>
      <c r="H463" s="91"/>
      <c r="I463" s="91"/>
      <c r="J463" s="91"/>
      <c r="K463" s="91"/>
    </row>
    <row r="464" spans="1:11">
      <c r="A464" s="91">
        <v>462</v>
      </c>
      <c r="B464" s="91" t="s">
        <v>1816</v>
      </c>
      <c r="C464" s="91">
        <v>2717</v>
      </c>
      <c r="D464" s="91" t="s">
        <v>1818</v>
      </c>
      <c r="E464" s="91"/>
      <c r="F464" s="91"/>
      <c r="G464" s="91"/>
      <c r="H464" s="91"/>
      <c r="I464" s="91"/>
      <c r="J464" s="91"/>
      <c r="K464" s="91"/>
    </row>
    <row r="465" spans="1:11">
      <c r="A465" s="91">
        <v>463</v>
      </c>
      <c r="B465" s="91" t="s">
        <v>1816</v>
      </c>
      <c r="C465" s="91">
        <v>1238</v>
      </c>
      <c r="D465" s="91" t="s">
        <v>1818</v>
      </c>
      <c r="E465" s="91"/>
      <c r="F465" s="91"/>
      <c r="G465" s="91"/>
      <c r="H465" s="91"/>
      <c r="I465" s="91"/>
      <c r="J465" s="91"/>
      <c r="K465" s="91"/>
    </row>
    <row r="466" spans="1:11">
      <c r="A466" s="91">
        <v>464</v>
      </c>
      <c r="B466" s="91" t="s">
        <v>1816</v>
      </c>
      <c r="C466" s="91">
        <v>2811</v>
      </c>
      <c r="D466" s="91" t="s">
        <v>1818</v>
      </c>
      <c r="E466" s="91"/>
      <c r="F466" s="91"/>
      <c r="G466" s="91"/>
      <c r="H466" s="91"/>
      <c r="I466" s="91"/>
      <c r="J466" s="91"/>
      <c r="K466" s="91"/>
    </row>
    <row r="467" spans="1:11">
      <c r="A467" s="91">
        <v>465</v>
      </c>
      <c r="B467" s="91" t="s">
        <v>1816</v>
      </c>
      <c r="C467" s="91">
        <v>2811</v>
      </c>
      <c r="D467" s="91" t="s">
        <v>1818</v>
      </c>
      <c r="E467" s="91"/>
      <c r="F467" s="91"/>
      <c r="G467" s="91"/>
      <c r="H467" s="91"/>
      <c r="I467" s="91"/>
      <c r="J467" s="91"/>
      <c r="K467" s="91"/>
    </row>
    <row r="468" spans="1:11">
      <c r="A468" s="91">
        <v>466</v>
      </c>
      <c r="B468" s="91" t="s">
        <v>1816</v>
      </c>
      <c r="C468" s="91">
        <v>2813</v>
      </c>
      <c r="D468" s="91" t="s">
        <v>1818</v>
      </c>
      <c r="E468" s="91"/>
      <c r="F468" s="91"/>
      <c r="G468" s="91"/>
      <c r="H468" s="91"/>
      <c r="I468" s="91"/>
      <c r="J468" s="91"/>
      <c r="K468" s="91"/>
    </row>
    <row r="469" spans="1:11">
      <c r="A469" s="91">
        <v>467</v>
      </c>
      <c r="B469" s="91" t="s">
        <v>1816</v>
      </c>
      <c r="C469" s="91">
        <v>1433</v>
      </c>
      <c r="D469" s="91" t="s">
        <v>1818</v>
      </c>
      <c r="E469" s="91"/>
      <c r="F469" s="91"/>
      <c r="G469" s="91"/>
      <c r="H469" s="91"/>
      <c r="I469" s="91"/>
      <c r="J469" s="91"/>
      <c r="K469" s="91"/>
    </row>
    <row r="470" spans="1:11">
      <c r="A470" s="91">
        <v>468</v>
      </c>
      <c r="B470" s="91" t="s">
        <v>1816</v>
      </c>
      <c r="C470" s="91">
        <v>511</v>
      </c>
      <c r="D470" s="91" t="s">
        <v>1818</v>
      </c>
      <c r="E470" s="91"/>
      <c r="F470" s="91"/>
      <c r="G470" s="91"/>
      <c r="H470" s="91"/>
      <c r="I470" s="91"/>
      <c r="J470" s="91"/>
      <c r="K470" s="91"/>
    </row>
    <row r="471" spans="1:11">
      <c r="A471" s="91">
        <v>469</v>
      </c>
      <c r="B471" s="91" t="s">
        <v>1816</v>
      </c>
      <c r="C471" s="91">
        <v>2811</v>
      </c>
      <c r="D471" s="91" t="s">
        <v>1818</v>
      </c>
      <c r="E471" s="91"/>
      <c r="F471" s="91"/>
      <c r="G471" s="91"/>
      <c r="H471" s="91"/>
      <c r="I471" s="91"/>
      <c r="J471" s="91"/>
      <c r="K471" s="91"/>
    </row>
    <row r="472" spans="1:11">
      <c r="A472" s="91">
        <v>470</v>
      </c>
      <c r="B472" s="91" t="s">
        <v>1816</v>
      </c>
      <c r="C472" s="91">
        <v>2813</v>
      </c>
      <c r="D472" s="91" t="s">
        <v>1818</v>
      </c>
      <c r="E472" s="91"/>
      <c r="F472" s="91"/>
      <c r="G472" s="91"/>
      <c r="H472" s="91"/>
      <c r="I472" s="91"/>
      <c r="J472" s="91"/>
      <c r="K472" s="91"/>
    </row>
    <row r="473" spans="1:11">
      <c r="A473" s="91">
        <v>471</v>
      </c>
      <c r="B473" s="91" t="s">
        <v>1816</v>
      </c>
      <c r="C473" s="91">
        <v>1433</v>
      </c>
      <c r="D473" s="91" t="s">
        <v>1818</v>
      </c>
      <c r="E473" s="91"/>
      <c r="F473" s="91"/>
      <c r="G473" s="91"/>
      <c r="H473" s="91"/>
      <c r="I473" s="91"/>
      <c r="J473" s="91"/>
      <c r="K473" s="91"/>
    </row>
    <row r="474" spans="1:11">
      <c r="A474" s="91">
        <v>472</v>
      </c>
      <c r="B474" s="91" t="s">
        <v>1816</v>
      </c>
      <c r="C474" s="91">
        <v>460</v>
      </c>
      <c r="D474" s="91" t="s">
        <v>1818</v>
      </c>
      <c r="E474" s="91"/>
      <c r="F474" s="91"/>
      <c r="G474" s="91"/>
      <c r="H474" s="91"/>
      <c r="I474" s="91"/>
      <c r="J474" s="91"/>
      <c r="K474" s="91"/>
    </row>
    <row r="475" spans="1:11">
      <c r="A475" s="91">
        <v>473</v>
      </c>
      <c r="B475" s="91" t="s">
        <v>1816</v>
      </c>
      <c r="C475" s="91">
        <v>2811</v>
      </c>
      <c r="D475" s="91" t="s">
        <v>1818</v>
      </c>
      <c r="E475" s="91"/>
      <c r="F475" s="91"/>
      <c r="G475" s="91"/>
      <c r="H475" s="91"/>
      <c r="I475" s="91"/>
      <c r="J475" s="91"/>
      <c r="K475" s="91"/>
    </row>
    <row r="476" spans="1:11">
      <c r="A476" s="91">
        <v>474</v>
      </c>
      <c r="B476" s="91" t="s">
        <v>1816</v>
      </c>
      <c r="C476" s="91">
        <v>1433</v>
      </c>
      <c r="D476" s="91" t="s">
        <v>1818</v>
      </c>
      <c r="E476" s="91"/>
      <c r="F476" s="91"/>
      <c r="G476" s="91"/>
      <c r="H476" s="91"/>
      <c r="I476" s="91"/>
      <c r="J476" s="91"/>
      <c r="K476" s="91"/>
    </row>
    <row r="477" spans="1:11">
      <c r="A477" s="91">
        <v>475</v>
      </c>
      <c r="B477" s="91" t="s">
        <v>1816</v>
      </c>
      <c r="C477" s="91">
        <v>2642</v>
      </c>
      <c r="D477" s="91" t="s">
        <v>1818</v>
      </c>
      <c r="E477" s="91"/>
      <c r="F477" s="91"/>
      <c r="G477" s="91"/>
      <c r="H477" s="91"/>
      <c r="I477" s="91"/>
      <c r="J477" s="91"/>
      <c r="K477" s="91"/>
    </row>
    <row r="478" spans="1:11">
      <c r="A478" s="91">
        <v>476</v>
      </c>
      <c r="B478" s="91" t="s">
        <v>1816</v>
      </c>
      <c r="C478" s="91">
        <v>460</v>
      </c>
      <c r="D478" s="91" t="s">
        <v>1818</v>
      </c>
      <c r="E478" s="91"/>
      <c r="F478" s="91"/>
      <c r="G478" s="91"/>
      <c r="H478" s="91"/>
      <c r="I478" s="91"/>
      <c r="J478" s="91"/>
      <c r="K478" s="91"/>
    </row>
    <row r="479" spans="1:11">
      <c r="A479" s="91">
        <v>477</v>
      </c>
      <c r="B479" s="91" t="s">
        <v>1816</v>
      </c>
      <c r="C479" s="91">
        <v>2569</v>
      </c>
      <c r="D479" s="91" t="s">
        <v>1818</v>
      </c>
      <c r="E479" s="91"/>
      <c r="F479" s="91"/>
      <c r="G479" s="91"/>
      <c r="H479" s="91"/>
      <c r="I479" s="91"/>
      <c r="J479" s="91"/>
      <c r="K479" s="91"/>
    </row>
    <row r="480" spans="1:11">
      <c r="A480" s="91">
        <v>478</v>
      </c>
      <c r="B480" s="91" t="s">
        <v>1816</v>
      </c>
      <c r="C480" s="91">
        <v>2811</v>
      </c>
      <c r="D480" s="91" t="s">
        <v>1818</v>
      </c>
      <c r="E480" s="91"/>
      <c r="F480" s="91"/>
      <c r="G480" s="91"/>
      <c r="H480" s="91"/>
      <c r="I480" s="91"/>
      <c r="J480" s="91"/>
      <c r="K480" s="91"/>
    </row>
    <row r="481" spans="1:11">
      <c r="A481" s="91">
        <v>479</v>
      </c>
      <c r="B481" s="91" t="s">
        <v>1816</v>
      </c>
      <c r="C481" s="91">
        <v>2813</v>
      </c>
      <c r="D481" s="91" t="s">
        <v>1818</v>
      </c>
      <c r="E481" s="91"/>
      <c r="F481" s="91"/>
      <c r="G481" s="91"/>
      <c r="H481" s="91"/>
      <c r="I481" s="91"/>
      <c r="J481" s="91"/>
      <c r="K481" s="91"/>
    </row>
    <row r="482" spans="1:11">
      <c r="A482" s="91">
        <v>480</v>
      </c>
      <c r="B482" s="91" t="s">
        <v>1816</v>
      </c>
      <c r="C482" s="91">
        <v>2642</v>
      </c>
      <c r="D482" s="91" t="s">
        <v>1818</v>
      </c>
      <c r="E482" s="91"/>
      <c r="F482" s="91"/>
      <c r="G482" s="91"/>
      <c r="H482" s="91"/>
      <c r="I482" s="91"/>
      <c r="J482" s="91"/>
      <c r="K482" s="91"/>
    </row>
    <row r="483" spans="1:11">
      <c r="A483" s="91">
        <v>481</v>
      </c>
      <c r="B483" s="91" t="s">
        <v>1816</v>
      </c>
      <c r="C483" s="91">
        <v>460</v>
      </c>
      <c r="D483" s="91" t="s">
        <v>1818</v>
      </c>
      <c r="E483" s="91"/>
      <c r="F483" s="91"/>
      <c r="G483" s="91"/>
      <c r="H483" s="91"/>
      <c r="I483" s="91"/>
      <c r="J483" s="91"/>
      <c r="K483" s="91"/>
    </row>
    <row r="484" spans="1:11">
      <c r="A484" s="91">
        <v>482</v>
      </c>
      <c r="B484" s="91" t="s">
        <v>1816</v>
      </c>
      <c r="C484" s="91">
        <v>2811</v>
      </c>
      <c r="D484" s="91" t="s">
        <v>1818</v>
      </c>
      <c r="E484" s="91"/>
      <c r="F484" s="91"/>
      <c r="G484" s="91"/>
      <c r="H484" s="91"/>
      <c r="I484" s="91"/>
      <c r="J484" s="91"/>
      <c r="K484" s="91"/>
    </row>
    <row r="485" spans="1:11">
      <c r="A485" s="91">
        <v>483</v>
      </c>
      <c r="B485" s="91" t="s">
        <v>1816</v>
      </c>
      <c r="C485" s="91">
        <v>2813</v>
      </c>
      <c r="D485" s="91" t="s">
        <v>1818</v>
      </c>
      <c r="E485" s="91"/>
      <c r="F485" s="91"/>
      <c r="G485" s="91"/>
      <c r="H485" s="91"/>
      <c r="I485" s="91"/>
      <c r="J485" s="91"/>
      <c r="K485" s="91"/>
    </row>
    <row r="486" spans="1:11">
      <c r="A486" s="91">
        <v>484</v>
      </c>
      <c r="B486" s="91" t="s">
        <v>1816</v>
      </c>
      <c r="C486" s="91">
        <v>1433</v>
      </c>
      <c r="D486" s="91" t="s">
        <v>1818</v>
      </c>
      <c r="E486" s="91"/>
      <c r="F486" s="91"/>
      <c r="G486" s="91"/>
      <c r="H486" s="91"/>
      <c r="I486" s="91"/>
      <c r="J486" s="91"/>
      <c r="K486" s="91"/>
    </row>
    <row r="487" spans="1:11">
      <c r="A487" s="91">
        <v>485</v>
      </c>
      <c r="B487" s="91" t="s">
        <v>1816</v>
      </c>
      <c r="C487" s="91">
        <v>2642</v>
      </c>
      <c r="D487" s="91" t="s">
        <v>1818</v>
      </c>
      <c r="E487" s="91"/>
      <c r="F487" s="91"/>
      <c r="G487" s="91"/>
      <c r="H487" s="91"/>
      <c r="I487" s="91"/>
      <c r="J487" s="91"/>
      <c r="K487" s="91"/>
    </row>
    <row r="488" spans="1:11">
      <c r="A488" s="91">
        <v>486</v>
      </c>
      <c r="B488" s="91" t="s">
        <v>1816</v>
      </c>
      <c r="C488" s="91">
        <v>460</v>
      </c>
      <c r="D488" s="91" t="s">
        <v>1818</v>
      </c>
      <c r="E488" s="91"/>
      <c r="F488" s="91"/>
      <c r="G488" s="91"/>
      <c r="H488" s="91"/>
      <c r="I488" s="91"/>
      <c r="J488" s="91"/>
      <c r="K488" s="91"/>
    </row>
    <row r="489" spans="1:11">
      <c r="A489" s="91">
        <v>487</v>
      </c>
      <c r="B489" s="91" t="s">
        <v>1816</v>
      </c>
      <c r="C489" s="91">
        <v>2569</v>
      </c>
      <c r="D489" s="91" t="s">
        <v>1818</v>
      </c>
      <c r="E489" s="91"/>
      <c r="F489" s="91"/>
      <c r="G489" s="91"/>
      <c r="H489" s="91"/>
      <c r="I489" s="91"/>
      <c r="J489" s="91"/>
      <c r="K489" s="91"/>
    </row>
    <row r="490" spans="1:11">
      <c r="A490" s="91">
        <v>488</v>
      </c>
      <c r="B490" s="91" t="s">
        <v>1816</v>
      </c>
      <c r="C490" s="91">
        <v>2811</v>
      </c>
      <c r="D490" s="91" t="s">
        <v>1818</v>
      </c>
      <c r="E490" s="91"/>
      <c r="F490" s="91"/>
      <c r="G490" s="91"/>
      <c r="H490" s="91"/>
      <c r="I490" s="91"/>
      <c r="J490" s="91"/>
      <c r="K490" s="91"/>
    </row>
    <row r="491" spans="1:11">
      <c r="A491" s="91">
        <v>489</v>
      </c>
      <c r="B491" s="91" t="s">
        <v>1816</v>
      </c>
      <c r="C491" s="91">
        <v>1433</v>
      </c>
      <c r="D491" s="91" t="s">
        <v>1818</v>
      </c>
      <c r="E491" s="91"/>
      <c r="F491" s="91"/>
      <c r="G491" s="91"/>
      <c r="H491" s="91"/>
      <c r="I491" s="91"/>
      <c r="J491" s="91"/>
      <c r="K491" s="91"/>
    </row>
    <row r="492" spans="1:11">
      <c r="A492" s="91">
        <v>490</v>
      </c>
      <c r="B492" s="91" t="s">
        <v>1816</v>
      </c>
      <c r="C492" s="91">
        <v>460</v>
      </c>
      <c r="D492" s="91" t="s">
        <v>1818</v>
      </c>
      <c r="E492" s="91"/>
      <c r="F492" s="91"/>
      <c r="G492" s="91"/>
      <c r="H492" s="91"/>
      <c r="I492" s="91"/>
      <c r="J492" s="91"/>
      <c r="K492" s="91"/>
    </row>
    <row r="493" spans="1:11">
      <c r="A493" s="91">
        <v>491</v>
      </c>
      <c r="B493" s="91" t="s">
        <v>1816</v>
      </c>
      <c r="C493" s="91">
        <v>2811</v>
      </c>
      <c r="D493" s="91" t="s">
        <v>1818</v>
      </c>
      <c r="E493" s="91"/>
      <c r="F493" s="91"/>
      <c r="G493" s="91"/>
      <c r="H493" s="91"/>
      <c r="I493" s="91"/>
      <c r="J493" s="91"/>
      <c r="K493" s="91"/>
    </row>
    <row r="494" spans="1:11">
      <c r="A494" s="91">
        <v>492</v>
      </c>
      <c r="B494" s="91" t="s">
        <v>1816</v>
      </c>
      <c r="C494" s="91">
        <v>1433</v>
      </c>
      <c r="D494" s="91" t="s">
        <v>1818</v>
      </c>
      <c r="E494" s="91"/>
      <c r="F494" s="91"/>
      <c r="G494" s="91"/>
      <c r="H494" s="91"/>
      <c r="I494" s="91"/>
      <c r="J494" s="91"/>
      <c r="K494" s="91"/>
    </row>
    <row r="495" spans="1:11">
      <c r="A495" s="91">
        <v>493</v>
      </c>
      <c r="B495" s="91" t="s">
        <v>1816</v>
      </c>
      <c r="C495" s="91">
        <v>2569</v>
      </c>
      <c r="D495" s="91" t="s">
        <v>1818</v>
      </c>
      <c r="E495" s="91"/>
      <c r="F495" s="91"/>
      <c r="G495" s="91"/>
      <c r="H495" s="91"/>
      <c r="I495" s="91"/>
      <c r="J495" s="91"/>
      <c r="K495" s="91"/>
    </row>
    <row r="496" spans="1:11">
      <c r="A496" s="91">
        <v>494</v>
      </c>
      <c r="B496" s="91" t="s">
        <v>1816</v>
      </c>
      <c r="C496" s="91">
        <v>2811</v>
      </c>
      <c r="D496" s="91" t="s">
        <v>1818</v>
      </c>
      <c r="E496" s="91"/>
      <c r="F496" s="91"/>
      <c r="G496" s="91"/>
      <c r="H496" s="91"/>
      <c r="I496" s="91"/>
      <c r="J496" s="91"/>
      <c r="K496" s="91"/>
    </row>
    <row r="497" spans="1:11">
      <c r="A497" s="91">
        <v>495</v>
      </c>
      <c r="B497" s="91" t="s">
        <v>1816</v>
      </c>
      <c r="C497" s="91">
        <v>2813</v>
      </c>
      <c r="D497" s="91" t="s">
        <v>1818</v>
      </c>
      <c r="E497" s="91"/>
      <c r="F497" s="91"/>
      <c r="G497" s="91"/>
      <c r="H497" s="91"/>
      <c r="I497" s="91"/>
      <c r="J497" s="91"/>
      <c r="K497" s="91"/>
    </row>
    <row r="498" spans="1:11">
      <c r="A498" s="91">
        <v>496</v>
      </c>
      <c r="B498" s="91" t="s">
        <v>1816</v>
      </c>
      <c r="C498" s="91">
        <v>2801</v>
      </c>
      <c r="D498" s="91" t="s">
        <v>1818</v>
      </c>
      <c r="E498" s="91"/>
      <c r="F498" s="91"/>
      <c r="G498" s="91"/>
      <c r="H498" s="91"/>
      <c r="I498" s="91"/>
      <c r="J498" s="91"/>
      <c r="K498" s="91"/>
    </row>
    <row r="499" spans="1:11">
      <c r="A499" s="91">
        <v>497</v>
      </c>
      <c r="B499" s="91" t="s">
        <v>1816</v>
      </c>
      <c r="C499" s="91">
        <v>1433</v>
      </c>
      <c r="D499" s="91" t="s">
        <v>1818</v>
      </c>
      <c r="E499" s="91"/>
      <c r="F499" s="91"/>
      <c r="G499" s="91"/>
      <c r="H499" s="91"/>
      <c r="I499" s="91"/>
      <c r="J499" s="91"/>
      <c r="K499" s="91"/>
    </row>
    <row r="500" spans="1:11">
      <c r="A500" s="91">
        <v>498</v>
      </c>
      <c r="B500" s="91" t="s">
        <v>1816</v>
      </c>
      <c r="C500" s="91">
        <v>1230</v>
      </c>
      <c r="D500" s="91" t="s">
        <v>1818</v>
      </c>
      <c r="E500" s="91"/>
      <c r="F500" s="91"/>
      <c r="G500" s="91"/>
      <c r="H500" s="91"/>
      <c r="I500" s="91"/>
      <c r="J500" s="91"/>
      <c r="K500" s="91"/>
    </row>
    <row r="501" spans="1:11">
      <c r="A501" s="91">
        <v>499</v>
      </c>
      <c r="B501" s="91" t="s">
        <v>1816</v>
      </c>
      <c r="C501" s="91">
        <v>1437</v>
      </c>
      <c r="D501" s="91" t="s">
        <v>1818</v>
      </c>
      <c r="E501" s="91"/>
      <c r="F501" s="91"/>
      <c r="G501" s="91"/>
      <c r="H501" s="91"/>
      <c r="I501" s="91"/>
      <c r="J501" s="91"/>
      <c r="K501" s="91"/>
    </row>
    <row r="502" spans="1:11">
      <c r="A502" s="91">
        <v>500</v>
      </c>
      <c r="B502" s="91" t="s">
        <v>1816</v>
      </c>
      <c r="C502" s="91">
        <v>2811</v>
      </c>
      <c r="D502" s="91" t="s">
        <v>1818</v>
      </c>
      <c r="E502" s="91"/>
      <c r="F502" s="91"/>
      <c r="G502" s="91"/>
      <c r="H502" s="91"/>
      <c r="I502" s="91"/>
      <c r="J502" s="91"/>
      <c r="K502" s="91"/>
    </row>
    <row r="503" spans="1:11">
      <c r="A503" s="91">
        <v>501</v>
      </c>
      <c r="B503" s="91" t="s">
        <v>1816</v>
      </c>
      <c r="C503" s="91">
        <v>2813</v>
      </c>
      <c r="D503" s="91" t="s">
        <v>1818</v>
      </c>
      <c r="E503" s="91"/>
      <c r="F503" s="91"/>
      <c r="G503" s="91"/>
      <c r="H503" s="91"/>
      <c r="I503" s="91"/>
      <c r="J503" s="91"/>
      <c r="K503" s="91"/>
    </row>
    <row r="504" spans="1:11">
      <c r="A504" s="91">
        <v>502</v>
      </c>
      <c r="B504" s="91" t="s">
        <v>1816</v>
      </c>
      <c r="C504" s="91">
        <v>2801</v>
      </c>
      <c r="D504" s="91" t="s">
        <v>1818</v>
      </c>
      <c r="E504" s="91"/>
      <c r="F504" s="91"/>
      <c r="G504" s="91"/>
      <c r="H504" s="91"/>
      <c r="I504" s="91"/>
      <c r="J504" s="91"/>
      <c r="K504" s="91"/>
    </row>
    <row r="505" spans="1:11">
      <c r="A505" s="91">
        <v>503</v>
      </c>
      <c r="B505" s="91" t="s">
        <v>1816</v>
      </c>
      <c r="C505" s="91">
        <v>2642</v>
      </c>
      <c r="D505" s="91" t="s">
        <v>1818</v>
      </c>
      <c r="E505" s="91"/>
      <c r="F505" s="91"/>
      <c r="G505" s="91"/>
      <c r="H505" s="91"/>
      <c r="I505" s="91"/>
      <c r="J505" s="91"/>
      <c r="K505" s="91"/>
    </row>
    <row r="506" spans="1:11">
      <c r="A506" s="91">
        <v>504</v>
      </c>
      <c r="B506" s="91" t="s">
        <v>1816</v>
      </c>
      <c r="C506" s="91">
        <v>2788</v>
      </c>
      <c r="D506" s="91" t="s">
        <v>1818</v>
      </c>
      <c r="E506" s="91"/>
      <c r="F506" s="91"/>
      <c r="G506" s="91"/>
      <c r="H506" s="91"/>
      <c r="I506" s="91"/>
      <c r="J506" s="91"/>
      <c r="K506" s="91"/>
    </row>
    <row r="507" spans="1:11">
      <c r="A507" s="91">
        <v>505</v>
      </c>
      <c r="B507" s="91" t="s">
        <v>1816</v>
      </c>
      <c r="C507" s="91">
        <v>460</v>
      </c>
      <c r="D507" s="91" t="s">
        <v>1818</v>
      </c>
      <c r="E507" s="91"/>
      <c r="F507" s="91"/>
      <c r="G507" s="91"/>
      <c r="H507" s="91"/>
      <c r="I507" s="91"/>
      <c r="J507" s="91"/>
      <c r="K507" s="91"/>
    </row>
    <row r="508" spans="1:11">
      <c r="A508" s="91">
        <v>506</v>
      </c>
      <c r="B508" s="91" t="s">
        <v>1816</v>
      </c>
      <c r="C508" s="91">
        <v>2788</v>
      </c>
      <c r="D508" s="91" t="s">
        <v>1818</v>
      </c>
      <c r="E508" s="91"/>
      <c r="F508" s="91"/>
      <c r="G508" s="91"/>
      <c r="H508" s="91"/>
      <c r="I508" s="91"/>
      <c r="J508" s="91"/>
      <c r="K508" s="91"/>
    </row>
    <row r="509" spans="1:11">
      <c r="A509" s="91">
        <v>507</v>
      </c>
      <c r="B509" s="91" t="s">
        <v>1816</v>
      </c>
      <c r="C509" s="91">
        <v>1433</v>
      </c>
      <c r="D509" s="91" t="s">
        <v>1818</v>
      </c>
      <c r="E509" s="91"/>
      <c r="F509" s="91"/>
      <c r="G509" s="91"/>
      <c r="H509" s="91"/>
      <c r="I509" s="91"/>
      <c r="J509" s="91"/>
      <c r="K509" s="91"/>
    </row>
    <row r="510" spans="1:11">
      <c r="A510" s="91">
        <v>508</v>
      </c>
      <c r="B510" s="91" t="s">
        <v>1816</v>
      </c>
      <c r="C510" s="91">
        <v>1230</v>
      </c>
      <c r="D510" s="91" t="s">
        <v>1818</v>
      </c>
      <c r="E510" s="91"/>
      <c r="F510" s="91"/>
      <c r="G510" s="91"/>
      <c r="H510" s="91"/>
      <c r="I510" s="91"/>
      <c r="J510" s="91"/>
      <c r="K510" s="91"/>
    </row>
    <row r="511" spans="1:11">
      <c r="A511" s="91">
        <v>509</v>
      </c>
      <c r="B511" s="91" t="s">
        <v>1816</v>
      </c>
      <c r="C511" s="91">
        <v>1238</v>
      </c>
      <c r="D511" s="91" t="s">
        <v>1818</v>
      </c>
      <c r="E511" s="91"/>
      <c r="F511" s="91"/>
      <c r="G511" s="91"/>
      <c r="H511" s="91"/>
      <c r="I511" s="91"/>
      <c r="J511" s="91"/>
      <c r="K511" s="91"/>
    </row>
    <row r="512" spans="1:11">
      <c r="A512" s="91">
        <v>510</v>
      </c>
      <c r="B512" s="91" t="s">
        <v>1816</v>
      </c>
      <c r="C512" s="91">
        <v>2788</v>
      </c>
      <c r="D512" s="91" t="s">
        <v>1818</v>
      </c>
      <c r="E512" s="91"/>
      <c r="F512" s="91"/>
      <c r="G512" s="91"/>
      <c r="H512" s="91"/>
      <c r="I512" s="91"/>
      <c r="J512" s="91"/>
      <c r="K512" s="91"/>
    </row>
    <row r="513" spans="1:11">
      <c r="A513" s="91">
        <v>511</v>
      </c>
      <c r="B513" s="91" t="s">
        <v>1816</v>
      </c>
      <c r="C513" s="91">
        <v>1238</v>
      </c>
      <c r="D513" s="91" t="s">
        <v>1818</v>
      </c>
      <c r="E513" s="91"/>
      <c r="F513" s="91"/>
      <c r="G513" s="91"/>
      <c r="H513" s="91"/>
      <c r="I513" s="91"/>
      <c r="J513" s="91"/>
      <c r="K513" s="91"/>
    </row>
    <row r="514" spans="1:11">
      <c r="A514" s="91">
        <v>512</v>
      </c>
      <c r="B514" s="91" t="s">
        <v>1816</v>
      </c>
      <c r="C514" s="91">
        <v>2788</v>
      </c>
      <c r="D514" s="91" t="s">
        <v>1818</v>
      </c>
      <c r="E514" s="91"/>
      <c r="F514" s="91"/>
      <c r="G514" s="91"/>
      <c r="H514" s="91"/>
      <c r="I514" s="91"/>
      <c r="J514" s="91"/>
      <c r="K514" s="91"/>
    </row>
    <row r="515" spans="1:11">
      <c r="A515" s="91">
        <v>513</v>
      </c>
      <c r="B515" s="91" t="s">
        <v>1816</v>
      </c>
      <c r="C515" s="91">
        <v>1433</v>
      </c>
      <c r="D515" s="91" t="s">
        <v>1818</v>
      </c>
      <c r="E515" s="91"/>
      <c r="F515" s="91"/>
      <c r="G515" s="91"/>
      <c r="H515" s="91"/>
      <c r="I515" s="91"/>
      <c r="J515" s="91"/>
      <c r="K515" s="91"/>
    </row>
    <row r="516" spans="1:11">
      <c r="A516" s="91">
        <v>514</v>
      </c>
      <c r="B516" s="91" t="s">
        <v>1816</v>
      </c>
      <c r="C516" s="91">
        <v>1230</v>
      </c>
      <c r="D516" s="91" t="s">
        <v>1818</v>
      </c>
      <c r="E516" s="91"/>
      <c r="F516" s="91"/>
      <c r="G516" s="91"/>
      <c r="H516" s="91"/>
      <c r="I516" s="91"/>
      <c r="J516" s="91"/>
      <c r="K516" s="91"/>
    </row>
    <row r="517" spans="1:11">
      <c r="A517" s="91">
        <v>515</v>
      </c>
      <c r="B517" s="91" t="s">
        <v>1816</v>
      </c>
      <c r="C517" s="91">
        <v>1238</v>
      </c>
      <c r="D517" s="91" t="s">
        <v>1818</v>
      </c>
      <c r="E517" s="91"/>
      <c r="F517" s="91"/>
      <c r="G517" s="91"/>
      <c r="H517" s="91"/>
      <c r="I517" s="91"/>
      <c r="J517" s="91"/>
      <c r="K517" s="91"/>
    </row>
    <row r="518" spans="1:11">
      <c r="A518" s="91">
        <v>516</v>
      </c>
      <c r="B518" s="91" t="s">
        <v>1816</v>
      </c>
      <c r="C518" s="91">
        <v>2788</v>
      </c>
      <c r="D518" s="91" t="s">
        <v>1818</v>
      </c>
      <c r="E518" s="91"/>
      <c r="F518" s="91"/>
      <c r="G518" s="91"/>
      <c r="H518" s="91"/>
      <c r="I518" s="91"/>
      <c r="J518" s="91"/>
      <c r="K518" s="91"/>
    </row>
    <row r="519" spans="1:11">
      <c r="A519" s="91">
        <v>517</v>
      </c>
      <c r="B519" s="91" t="s">
        <v>1816</v>
      </c>
      <c r="C519" s="91">
        <v>1433</v>
      </c>
      <c r="D519" s="91" t="s">
        <v>1818</v>
      </c>
      <c r="E519" s="91"/>
      <c r="F519" s="91"/>
      <c r="G519" s="91"/>
      <c r="H519" s="91"/>
      <c r="I519" s="91"/>
      <c r="J519" s="91"/>
      <c r="K519" s="91"/>
    </row>
    <row r="520" spans="1:11">
      <c r="A520" s="91">
        <v>518</v>
      </c>
      <c r="B520" s="91" t="s">
        <v>1816</v>
      </c>
      <c r="C520" s="91">
        <v>1238</v>
      </c>
      <c r="D520" s="91" t="s">
        <v>1818</v>
      </c>
      <c r="E520" s="91"/>
      <c r="F520" s="91"/>
      <c r="G520" s="91"/>
      <c r="H520" s="91"/>
      <c r="I520" s="91"/>
      <c r="J520" s="91"/>
      <c r="K520" s="91"/>
    </row>
    <row r="521" spans="1:11">
      <c r="A521" s="91">
        <v>519</v>
      </c>
      <c r="B521" s="91" t="s">
        <v>1816</v>
      </c>
      <c r="C521" s="91">
        <v>2788</v>
      </c>
      <c r="D521" s="91" t="s">
        <v>1818</v>
      </c>
      <c r="E521" s="91"/>
      <c r="F521" s="91"/>
      <c r="G521" s="91"/>
      <c r="H521" s="91"/>
      <c r="I521" s="91"/>
      <c r="J521" s="91"/>
      <c r="K521" s="91"/>
    </row>
    <row r="522" spans="1:11">
      <c r="A522" s="91">
        <v>520</v>
      </c>
      <c r="B522" s="91" t="s">
        <v>1816</v>
      </c>
      <c r="C522" s="91">
        <v>1433</v>
      </c>
      <c r="D522" s="91" t="s">
        <v>1818</v>
      </c>
      <c r="E522" s="91"/>
      <c r="F522" s="91"/>
      <c r="G522" s="91"/>
      <c r="H522" s="91"/>
      <c r="I522" s="91"/>
      <c r="J522" s="91"/>
      <c r="K522" s="91"/>
    </row>
    <row r="523" spans="1:11">
      <c r="A523" s="91">
        <v>521</v>
      </c>
      <c r="B523" s="91" t="s">
        <v>1816</v>
      </c>
      <c r="C523" s="91">
        <v>1238</v>
      </c>
      <c r="D523" s="91" t="s">
        <v>1818</v>
      </c>
      <c r="E523" s="91"/>
      <c r="F523" s="91"/>
      <c r="G523" s="91"/>
      <c r="H523" s="91"/>
      <c r="I523" s="91"/>
      <c r="J523" s="91"/>
      <c r="K523" s="91"/>
    </row>
    <row r="524" spans="1:11">
      <c r="A524" s="91">
        <v>522</v>
      </c>
      <c r="B524" s="91" t="s">
        <v>1816</v>
      </c>
      <c r="C524" s="91">
        <v>2788</v>
      </c>
      <c r="D524" s="91" t="s">
        <v>1818</v>
      </c>
      <c r="E524" s="91"/>
      <c r="F524" s="91"/>
      <c r="G524" s="91"/>
      <c r="H524" s="91"/>
      <c r="I524" s="91"/>
      <c r="J524" s="91"/>
      <c r="K524" s="91"/>
    </row>
    <row r="525" spans="1:11">
      <c r="A525" s="91">
        <v>523</v>
      </c>
      <c r="B525" s="91" t="s">
        <v>1816</v>
      </c>
      <c r="C525" s="91">
        <v>1238</v>
      </c>
      <c r="D525" s="91" t="s">
        <v>1818</v>
      </c>
      <c r="E525" s="91"/>
      <c r="F525" s="91"/>
      <c r="G525" s="91"/>
      <c r="H525" s="91"/>
      <c r="I525" s="91"/>
      <c r="J525" s="91"/>
      <c r="K525" s="91"/>
    </row>
    <row r="526" spans="1:11">
      <c r="A526" s="91">
        <v>524</v>
      </c>
      <c r="B526" s="91" t="s">
        <v>1816</v>
      </c>
      <c r="C526" s="91">
        <v>2788</v>
      </c>
      <c r="D526" s="91" t="s">
        <v>1818</v>
      </c>
      <c r="E526" s="91"/>
      <c r="F526" s="91"/>
      <c r="G526" s="91"/>
      <c r="H526" s="91"/>
      <c r="I526" s="91"/>
      <c r="J526" s="91"/>
      <c r="K526" s="91"/>
    </row>
    <row r="527" spans="1:11">
      <c r="A527" s="91">
        <v>525</v>
      </c>
      <c r="B527" s="91" t="s">
        <v>1816</v>
      </c>
      <c r="C527" s="91">
        <v>1433</v>
      </c>
      <c r="D527" s="91" t="s">
        <v>1818</v>
      </c>
      <c r="E527" s="91"/>
      <c r="F527" s="91"/>
      <c r="G527" s="91"/>
      <c r="H527" s="91"/>
      <c r="I527" s="91"/>
      <c r="J527" s="91"/>
      <c r="K527" s="91"/>
    </row>
    <row r="528" spans="1:11">
      <c r="A528" s="91">
        <v>526</v>
      </c>
      <c r="B528" s="91" t="s">
        <v>1816</v>
      </c>
      <c r="C528" s="91">
        <v>460</v>
      </c>
      <c r="D528" s="91" t="s">
        <v>1818</v>
      </c>
      <c r="E528" s="91"/>
      <c r="F528" s="91"/>
      <c r="G528" s="91"/>
      <c r="H528" s="91"/>
      <c r="I528" s="91"/>
      <c r="J528" s="91"/>
      <c r="K528" s="91"/>
    </row>
    <row r="529" spans="1:11">
      <c r="A529" s="91">
        <v>527</v>
      </c>
      <c r="B529" s="91" t="s">
        <v>1816</v>
      </c>
      <c r="C529" s="91">
        <v>1238</v>
      </c>
      <c r="D529" s="91" t="s">
        <v>1818</v>
      </c>
      <c r="E529" s="91"/>
      <c r="F529" s="91"/>
      <c r="G529" s="91"/>
      <c r="H529" s="91"/>
      <c r="I529" s="91"/>
      <c r="J529" s="91"/>
      <c r="K529" s="91"/>
    </row>
    <row r="530" spans="1:11">
      <c r="A530" s="91">
        <v>528</v>
      </c>
      <c r="B530" s="91" t="s">
        <v>1816</v>
      </c>
      <c r="C530" s="91">
        <v>2788</v>
      </c>
      <c r="D530" s="91" t="s">
        <v>1818</v>
      </c>
      <c r="E530" s="91"/>
      <c r="F530" s="91"/>
      <c r="G530" s="91"/>
      <c r="H530" s="91"/>
      <c r="I530" s="91"/>
      <c r="J530" s="91"/>
      <c r="K530" s="91"/>
    </row>
    <row r="531" spans="1:11">
      <c r="A531" s="91">
        <v>529</v>
      </c>
      <c r="B531" s="91" t="s">
        <v>1816</v>
      </c>
      <c r="C531" s="91">
        <v>1433</v>
      </c>
      <c r="D531" s="91" t="s">
        <v>1818</v>
      </c>
      <c r="E531" s="91"/>
      <c r="F531" s="91"/>
      <c r="G531" s="91"/>
      <c r="H531" s="91"/>
      <c r="I531" s="91"/>
      <c r="J531" s="91"/>
      <c r="K531" s="91"/>
    </row>
    <row r="532" spans="1:11">
      <c r="A532" s="91">
        <v>530</v>
      </c>
      <c r="B532" s="91" t="s">
        <v>1816</v>
      </c>
      <c r="C532" s="91">
        <v>1238</v>
      </c>
      <c r="D532" s="91" t="s">
        <v>1818</v>
      </c>
      <c r="E532" s="91"/>
      <c r="F532" s="91"/>
      <c r="G532" s="91"/>
      <c r="H532" s="91"/>
      <c r="I532" s="91"/>
      <c r="J532" s="91"/>
      <c r="K532" s="91"/>
    </row>
    <row r="533" spans="1:11">
      <c r="A533" s="91">
        <v>531</v>
      </c>
      <c r="B533" s="91" t="s">
        <v>1816</v>
      </c>
      <c r="C533" s="91">
        <v>2788</v>
      </c>
      <c r="D533" s="91" t="s">
        <v>1818</v>
      </c>
      <c r="E533" s="91"/>
      <c r="F533" s="91"/>
      <c r="G533" s="91"/>
      <c r="H533" s="91"/>
      <c r="I533" s="91"/>
      <c r="J533" s="91"/>
      <c r="K533" s="91"/>
    </row>
    <row r="534" spans="1:11">
      <c r="A534" s="91">
        <v>532</v>
      </c>
      <c r="B534" s="91" t="s">
        <v>1816</v>
      </c>
      <c r="C534" s="91">
        <v>2788</v>
      </c>
      <c r="D534" s="91" t="s">
        <v>1818</v>
      </c>
      <c r="E534" s="91"/>
      <c r="F534" s="91"/>
      <c r="G534" s="91"/>
      <c r="H534" s="91"/>
      <c r="I534" s="91"/>
      <c r="J534" s="91"/>
      <c r="K534" s="91"/>
    </row>
    <row r="535" spans="1:11">
      <c r="A535" s="91">
        <v>533</v>
      </c>
      <c r="B535" s="91" t="s">
        <v>1816</v>
      </c>
      <c r="C535" s="91">
        <v>1238</v>
      </c>
      <c r="D535" s="91" t="s">
        <v>1818</v>
      </c>
      <c r="E535" s="91"/>
      <c r="F535" s="91"/>
      <c r="G535" s="91"/>
      <c r="H535" s="91"/>
      <c r="I535" s="91"/>
      <c r="J535" s="91"/>
      <c r="K535" s="91"/>
    </row>
    <row r="536" spans="1:11">
      <c r="A536" s="91">
        <v>534</v>
      </c>
      <c r="B536" s="91" t="s">
        <v>1816</v>
      </c>
      <c r="C536" s="91">
        <v>2801</v>
      </c>
      <c r="D536" s="91" t="s">
        <v>1818</v>
      </c>
      <c r="E536" s="91"/>
      <c r="F536" s="91"/>
      <c r="G536" s="91"/>
      <c r="H536" s="91"/>
      <c r="I536" s="91"/>
      <c r="J536" s="91"/>
      <c r="K536" s="91"/>
    </row>
    <row r="537" spans="1:11">
      <c r="A537" s="91">
        <v>535</v>
      </c>
      <c r="B537" s="91" t="s">
        <v>1816</v>
      </c>
      <c r="C537" s="91">
        <v>2813</v>
      </c>
      <c r="D537" s="91" t="s">
        <v>1818</v>
      </c>
      <c r="E537" s="91"/>
      <c r="F537" s="91"/>
      <c r="G537" s="91"/>
      <c r="H537" s="91"/>
      <c r="I537" s="91"/>
      <c r="J537" s="91"/>
      <c r="K537" s="91"/>
    </row>
    <row r="538" spans="1:11">
      <c r="A538" s="91">
        <v>536</v>
      </c>
      <c r="B538" s="91" t="s">
        <v>1817</v>
      </c>
      <c r="C538" s="91">
        <v>1056</v>
      </c>
      <c r="D538" s="91" t="s">
        <v>1818</v>
      </c>
      <c r="E538" s="91"/>
      <c r="F538" s="91"/>
      <c r="G538" s="91"/>
      <c r="H538" s="91"/>
      <c r="I538" s="91"/>
      <c r="J538" s="91"/>
      <c r="K538" s="91"/>
    </row>
    <row r="539" spans="1:11">
      <c r="A539" s="91">
        <v>537</v>
      </c>
      <c r="B539" s="91" t="s">
        <v>1817</v>
      </c>
      <c r="C539" s="91">
        <v>1485</v>
      </c>
      <c r="D539" s="91" t="s">
        <v>1818</v>
      </c>
      <c r="E539" s="91"/>
      <c r="F539" s="91"/>
      <c r="G539" s="91"/>
      <c r="H539" s="91"/>
      <c r="I539" s="91"/>
      <c r="J539" s="91"/>
      <c r="K539" s="91"/>
    </row>
    <row r="540" spans="1:11">
      <c r="A540" s="91">
        <v>538</v>
      </c>
      <c r="B540" s="91" t="s">
        <v>1817</v>
      </c>
      <c r="C540" s="91">
        <v>1182</v>
      </c>
      <c r="D540" s="91" t="s">
        <v>1818</v>
      </c>
      <c r="E540" s="91"/>
      <c r="F540" s="91"/>
      <c r="G540" s="91"/>
      <c r="H540" s="91"/>
      <c r="I540" s="91"/>
      <c r="J540" s="91"/>
      <c r="K540" s="91"/>
    </row>
    <row r="541" spans="1:11">
      <c r="A541" s="91">
        <v>539</v>
      </c>
      <c r="B541" s="91" t="s">
        <v>1817</v>
      </c>
      <c r="C541" s="91">
        <v>2813</v>
      </c>
      <c r="D541" s="91" t="s">
        <v>1818</v>
      </c>
      <c r="E541" s="91"/>
      <c r="F541" s="91"/>
      <c r="G541" s="91"/>
      <c r="H541" s="91"/>
      <c r="I541" s="91"/>
      <c r="J541" s="91"/>
      <c r="K541" s="91"/>
    </row>
    <row r="542" spans="1:11">
      <c r="A542" s="91">
        <v>540</v>
      </c>
      <c r="B542" s="91" t="s">
        <v>1817</v>
      </c>
      <c r="C542" s="91">
        <v>1485</v>
      </c>
      <c r="D542" s="91" t="s">
        <v>1818</v>
      </c>
      <c r="E542" s="91"/>
      <c r="F542" s="91"/>
      <c r="G542" s="91"/>
      <c r="H542" s="91"/>
      <c r="I542" s="91"/>
      <c r="J542" s="91"/>
      <c r="K542" s="91"/>
    </row>
    <row r="543" spans="1:11">
      <c r="A543" s="91">
        <v>541</v>
      </c>
      <c r="B543" s="91" t="s">
        <v>1817</v>
      </c>
      <c r="C543" s="91">
        <v>1485</v>
      </c>
      <c r="D543" s="91" t="s">
        <v>1818</v>
      </c>
      <c r="E543" s="91"/>
      <c r="F543" s="91"/>
      <c r="G543" s="91"/>
      <c r="H543" s="91"/>
      <c r="I543" s="91"/>
      <c r="J543" s="91"/>
      <c r="K543" s="91"/>
    </row>
    <row r="544" spans="1:11">
      <c r="A544" s="91">
        <v>542</v>
      </c>
      <c r="B544" s="91" t="s">
        <v>1817</v>
      </c>
      <c r="C544" s="91">
        <v>1485</v>
      </c>
      <c r="D544" s="91" t="s">
        <v>1818</v>
      </c>
      <c r="E544" s="91"/>
      <c r="F544" s="91"/>
      <c r="G544" s="91"/>
      <c r="H544" s="91"/>
      <c r="I544" s="91"/>
      <c r="J544" s="91"/>
      <c r="K544" s="91"/>
    </row>
    <row r="545" spans="1:11">
      <c r="A545" s="91">
        <v>543</v>
      </c>
      <c r="B545" s="91" t="s">
        <v>1817</v>
      </c>
      <c r="C545" s="91">
        <v>1715</v>
      </c>
      <c r="D545" s="91" t="s">
        <v>1818</v>
      </c>
      <c r="E545" s="91"/>
      <c r="F545" s="91"/>
      <c r="G545" s="91"/>
      <c r="H545" s="91"/>
      <c r="I545" s="91"/>
      <c r="J545" s="91"/>
      <c r="K545" s="91"/>
    </row>
    <row r="546" spans="1:11">
      <c r="A546" s="91">
        <v>544</v>
      </c>
      <c r="B546" s="91" t="s">
        <v>1817</v>
      </c>
      <c r="C546" s="91">
        <v>1351</v>
      </c>
      <c r="D546" s="91" t="s">
        <v>1818</v>
      </c>
      <c r="E546" s="91"/>
      <c r="F546" s="91"/>
      <c r="G546" s="91"/>
      <c r="H546" s="91"/>
      <c r="I546" s="91"/>
      <c r="J546" s="91"/>
      <c r="K546" s="91"/>
    </row>
    <row r="547" spans="1:11">
      <c r="A547" s="91">
        <v>545</v>
      </c>
      <c r="B547" s="91" t="s">
        <v>1817</v>
      </c>
      <c r="C547" s="91">
        <v>1485</v>
      </c>
      <c r="D547" s="91" t="s">
        <v>1818</v>
      </c>
      <c r="E547" s="91"/>
      <c r="F547" s="91"/>
      <c r="G547" s="91"/>
      <c r="H547" s="91"/>
      <c r="I547" s="91"/>
      <c r="J547" s="91"/>
      <c r="K547" s="91"/>
    </row>
    <row r="548" spans="1:11">
      <c r="A548" s="91">
        <v>546</v>
      </c>
      <c r="B548" s="91" t="s">
        <v>1817</v>
      </c>
      <c r="C548" s="91">
        <v>1715</v>
      </c>
      <c r="D548" s="91" t="s">
        <v>1818</v>
      </c>
      <c r="E548" s="91"/>
      <c r="F548" s="91"/>
      <c r="G548" s="91"/>
      <c r="H548" s="91"/>
      <c r="I548" s="91"/>
      <c r="J548" s="91"/>
      <c r="K548" s="91"/>
    </row>
    <row r="549" spans="1:11">
      <c r="A549" s="91">
        <v>547</v>
      </c>
      <c r="B549" s="91" t="s">
        <v>1817</v>
      </c>
      <c r="C549" s="91">
        <v>1351</v>
      </c>
      <c r="D549" s="91" t="s">
        <v>1818</v>
      </c>
      <c r="E549" s="91"/>
      <c r="F549" s="91"/>
      <c r="G549" s="91"/>
      <c r="H549" s="91"/>
      <c r="I549" s="91"/>
      <c r="J549" s="91"/>
      <c r="K549" s="91"/>
    </row>
    <row r="550" spans="1:11">
      <c r="A550" s="91">
        <v>548</v>
      </c>
      <c r="B550" s="91" t="s">
        <v>1817</v>
      </c>
      <c r="C550" s="91">
        <v>1485</v>
      </c>
      <c r="D550" s="91" t="s">
        <v>1818</v>
      </c>
      <c r="E550" s="91"/>
      <c r="F550" s="91"/>
      <c r="G550" s="91"/>
      <c r="H550" s="91"/>
      <c r="I550" s="91"/>
      <c r="J550" s="91"/>
      <c r="K550" s="91"/>
    </row>
    <row r="551" spans="1:11">
      <c r="A551" s="91">
        <v>549</v>
      </c>
      <c r="B551" s="91" t="s">
        <v>1817</v>
      </c>
      <c r="C551" s="91">
        <v>1485</v>
      </c>
      <c r="D551" s="91" t="s">
        <v>1818</v>
      </c>
      <c r="E551" s="91"/>
      <c r="F551" s="91"/>
      <c r="G551" s="91"/>
      <c r="H551" s="91"/>
      <c r="I551" s="91"/>
      <c r="J551" s="91"/>
      <c r="K551" s="91"/>
    </row>
    <row r="552" spans="1:11">
      <c r="A552" s="91">
        <v>550</v>
      </c>
      <c r="B552" s="91" t="s">
        <v>1817</v>
      </c>
      <c r="C552" s="91">
        <v>1485</v>
      </c>
      <c r="D552" s="91" t="s">
        <v>1818</v>
      </c>
      <c r="E552" s="91"/>
      <c r="F552" s="91"/>
      <c r="G552" s="91"/>
      <c r="H552" s="91"/>
      <c r="I552" s="91"/>
      <c r="J552" s="91"/>
      <c r="K552" s="91"/>
    </row>
    <row r="553" spans="1:11">
      <c r="A553" s="91">
        <v>551</v>
      </c>
      <c r="B553" s="91" t="s">
        <v>1817</v>
      </c>
      <c r="C553" s="91">
        <v>2795</v>
      </c>
      <c r="D553" s="91" t="s">
        <v>1818</v>
      </c>
      <c r="E553" s="91"/>
      <c r="F553" s="91"/>
      <c r="G553" s="91"/>
      <c r="H553" s="91"/>
      <c r="I553" s="91"/>
      <c r="J553" s="91"/>
      <c r="K553" s="91"/>
    </row>
    <row r="554" spans="1:11">
      <c r="A554" s="91">
        <v>552</v>
      </c>
      <c r="B554" s="91" t="s">
        <v>1817</v>
      </c>
      <c r="C554" s="91">
        <v>1056</v>
      </c>
      <c r="D554" s="91" t="s">
        <v>1818</v>
      </c>
      <c r="E554" s="91"/>
      <c r="F554" s="91"/>
      <c r="G554" s="91"/>
      <c r="H554" s="91"/>
      <c r="I554" s="91"/>
      <c r="J554" s="91"/>
      <c r="K554" s="91"/>
    </row>
    <row r="555" spans="1:11">
      <c r="A555" s="91">
        <v>553</v>
      </c>
      <c r="B555" s="91" t="s">
        <v>1817</v>
      </c>
      <c r="C555" s="91">
        <v>1485</v>
      </c>
      <c r="D555" s="91" t="s">
        <v>1818</v>
      </c>
      <c r="E555" s="91"/>
      <c r="F555" s="91"/>
      <c r="G555" s="91"/>
      <c r="H555" s="91"/>
      <c r="I555" s="91"/>
      <c r="J555" s="91"/>
      <c r="K555" s="91"/>
    </row>
    <row r="556" spans="1:11">
      <c r="A556" s="91">
        <v>554</v>
      </c>
      <c r="B556" s="91" t="s">
        <v>1817</v>
      </c>
      <c r="C556" s="91">
        <v>1485</v>
      </c>
      <c r="D556" s="91" t="s">
        <v>1818</v>
      </c>
      <c r="E556" s="91"/>
      <c r="F556" s="91"/>
      <c r="G556" s="91"/>
      <c r="H556" s="91"/>
      <c r="I556" s="91"/>
      <c r="J556" s="91"/>
      <c r="K556" s="91"/>
    </row>
    <row r="557" spans="1:11">
      <c r="A557" s="91">
        <v>555</v>
      </c>
      <c r="B557" s="91" t="s">
        <v>1817</v>
      </c>
      <c r="C557" s="91">
        <v>1485</v>
      </c>
      <c r="D557" s="91" t="s">
        <v>1818</v>
      </c>
      <c r="E557" s="91"/>
      <c r="F557" s="91"/>
      <c r="G557" s="91"/>
      <c r="H557" s="91"/>
      <c r="I557" s="91"/>
      <c r="J557" s="91"/>
      <c r="K557" s="91"/>
    </row>
    <row r="558" spans="1:11">
      <c r="A558" s="91">
        <v>556</v>
      </c>
      <c r="B558" s="91" t="s">
        <v>1817</v>
      </c>
      <c r="C558" s="91">
        <v>1485</v>
      </c>
      <c r="D558" s="91" t="s">
        <v>1818</v>
      </c>
      <c r="E558" s="91"/>
      <c r="F558" s="91"/>
      <c r="G558" s="91"/>
      <c r="H558" s="91"/>
      <c r="I558" s="91"/>
      <c r="J558" s="91"/>
      <c r="K558" s="91"/>
    </row>
    <row r="559" spans="1:11">
      <c r="A559" s="91">
        <v>557</v>
      </c>
      <c r="B559" s="91" t="s">
        <v>1817</v>
      </c>
      <c r="C559" s="91">
        <v>1485</v>
      </c>
      <c r="D559" s="91" t="s">
        <v>1818</v>
      </c>
      <c r="E559" s="91"/>
      <c r="F559" s="91"/>
      <c r="G559" s="91"/>
      <c r="H559" s="91"/>
      <c r="I559" s="91"/>
      <c r="J559" s="91"/>
      <c r="K559" s="91"/>
    </row>
    <row r="560" spans="1:11">
      <c r="A560" s="91">
        <v>558</v>
      </c>
      <c r="B560" s="91" t="s">
        <v>1817</v>
      </c>
      <c r="C560" s="91">
        <v>1433</v>
      </c>
      <c r="D560" s="91" t="s">
        <v>1818</v>
      </c>
      <c r="E560" s="91"/>
      <c r="F560" s="91"/>
      <c r="G560" s="91"/>
      <c r="H560" s="91"/>
      <c r="I560" s="91"/>
      <c r="J560" s="91"/>
      <c r="K560" s="91"/>
    </row>
    <row r="561" spans="1:11">
      <c r="A561" s="91">
        <v>559</v>
      </c>
      <c r="B561" s="91" t="s">
        <v>1817</v>
      </c>
      <c r="C561" s="91">
        <v>1485</v>
      </c>
      <c r="D561" s="91" t="s">
        <v>1818</v>
      </c>
      <c r="E561" s="91"/>
      <c r="F561" s="91"/>
      <c r="G561" s="91"/>
      <c r="H561" s="91"/>
      <c r="I561" s="91"/>
      <c r="J561" s="91"/>
      <c r="K561" s="91"/>
    </row>
    <row r="562" spans="1:11">
      <c r="A562" s="91">
        <v>560</v>
      </c>
      <c r="B562" s="91" t="s">
        <v>1817</v>
      </c>
      <c r="C562" s="91">
        <v>2813</v>
      </c>
      <c r="D562" s="91" t="s">
        <v>1818</v>
      </c>
      <c r="E562" s="91"/>
      <c r="F562" s="91"/>
      <c r="G562" s="91"/>
      <c r="H562" s="91"/>
      <c r="I562" s="91"/>
      <c r="J562" s="91"/>
      <c r="K562" s="91"/>
    </row>
    <row r="563" spans="1:11">
      <c r="A563" s="91">
        <v>561</v>
      </c>
      <c r="B563" s="91" t="s">
        <v>1817</v>
      </c>
      <c r="C563" s="91">
        <v>2795</v>
      </c>
      <c r="D563" s="91" t="s">
        <v>1818</v>
      </c>
      <c r="E563" s="91"/>
      <c r="F563" s="91"/>
      <c r="G563" s="91"/>
      <c r="H563" s="91"/>
      <c r="I563" s="91"/>
      <c r="J563" s="91"/>
      <c r="K563" s="91"/>
    </row>
    <row r="564" spans="1:11">
      <c r="A564" s="91">
        <v>562</v>
      </c>
      <c r="B564" s="91" t="s">
        <v>1817</v>
      </c>
      <c r="C564" s="91">
        <v>1485</v>
      </c>
      <c r="D564" s="91" t="s">
        <v>1818</v>
      </c>
      <c r="E564" s="91"/>
      <c r="F564" s="91"/>
      <c r="G564" s="91"/>
      <c r="H564" s="91"/>
      <c r="I564" s="91"/>
      <c r="J564" s="91"/>
      <c r="K564" s="91"/>
    </row>
    <row r="565" spans="1:11">
      <c r="A565" s="91">
        <v>563</v>
      </c>
      <c r="B565" s="91" t="s">
        <v>1817</v>
      </c>
      <c r="C565" s="91">
        <v>2814</v>
      </c>
      <c r="D565" s="91" t="s">
        <v>1818</v>
      </c>
      <c r="E565" s="91"/>
      <c r="F565" s="91"/>
      <c r="G565" s="91"/>
      <c r="H565" s="91"/>
      <c r="I565" s="91"/>
      <c r="J565" s="91"/>
      <c r="K565" s="91"/>
    </row>
    <row r="566" spans="1:11">
      <c r="A566" s="91">
        <v>564</v>
      </c>
      <c r="B566" s="91" t="s">
        <v>1817</v>
      </c>
      <c r="C566" s="91">
        <v>2795</v>
      </c>
      <c r="D566" s="91" t="s">
        <v>1818</v>
      </c>
      <c r="E566" s="91"/>
      <c r="F566" s="91"/>
      <c r="G566" s="91"/>
      <c r="H566" s="91"/>
      <c r="I566" s="91"/>
      <c r="J566" s="91"/>
      <c r="K566" s="91"/>
    </row>
    <row r="567" spans="1:11">
      <c r="A567" s="91">
        <v>565</v>
      </c>
      <c r="B567" s="91" t="s">
        <v>1817</v>
      </c>
      <c r="C567" s="91">
        <v>2795</v>
      </c>
      <c r="D567" s="91" t="s">
        <v>1818</v>
      </c>
      <c r="E567" s="91"/>
      <c r="F567" s="91"/>
      <c r="G567" s="91"/>
      <c r="H567" s="91"/>
      <c r="I567" s="91"/>
      <c r="J567" s="91"/>
      <c r="K567" s="91"/>
    </row>
    <row r="568" spans="1:11">
      <c r="A568" s="91">
        <v>566</v>
      </c>
      <c r="B568" s="91" t="s">
        <v>1817</v>
      </c>
      <c r="C568" s="91">
        <v>2795</v>
      </c>
      <c r="D568" s="91" t="s">
        <v>1818</v>
      </c>
      <c r="E568" s="91"/>
      <c r="F568" s="91"/>
      <c r="G568" s="91"/>
      <c r="H568" s="91"/>
      <c r="I568" s="91"/>
      <c r="J568" s="91"/>
      <c r="K568" s="91"/>
    </row>
    <row r="569" spans="1:11">
      <c r="A569" s="91">
        <v>567</v>
      </c>
      <c r="B569" s="91" t="s">
        <v>1817</v>
      </c>
      <c r="C569" s="91">
        <v>1433</v>
      </c>
      <c r="D569" s="91" t="s">
        <v>1818</v>
      </c>
      <c r="E569" s="91"/>
      <c r="F569" s="91"/>
      <c r="G569" s="91"/>
      <c r="H569" s="91"/>
      <c r="I569" s="91"/>
      <c r="J569" s="91"/>
      <c r="K569" s="91"/>
    </row>
    <row r="570" spans="1:11">
      <c r="A570" s="91">
        <v>568</v>
      </c>
      <c r="B570" s="91" t="s">
        <v>1817</v>
      </c>
      <c r="C570" s="91">
        <v>2795</v>
      </c>
      <c r="D570" s="91" t="s">
        <v>1818</v>
      </c>
      <c r="E570" s="91"/>
      <c r="F570" s="91"/>
      <c r="G570" s="91"/>
      <c r="H570" s="91"/>
      <c r="I570" s="91"/>
      <c r="J570" s="91"/>
      <c r="K570" s="91"/>
    </row>
    <row r="571" spans="1:11">
      <c r="A571" s="91">
        <v>569</v>
      </c>
      <c r="B571" s="91" t="s">
        <v>1817</v>
      </c>
      <c r="C571" s="91">
        <v>2795</v>
      </c>
      <c r="D571" s="91" t="s">
        <v>1818</v>
      </c>
      <c r="E571" s="91"/>
      <c r="F571" s="91"/>
      <c r="G571" s="91"/>
      <c r="H571" s="91"/>
      <c r="I571" s="91"/>
      <c r="J571" s="91"/>
      <c r="K571" s="91"/>
    </row>
    <row r="572" spans="1:11">
      <c r="A572" s="91">
        <v>570</v>
      </c>
      <c r="B572" s="91" t="s">
        <v>1817</v>
      </c>
      <c r="C572" s="91">
        <v>763</v>
      </c>
      <c r="D572" s="91" t="s">
        <v>1818</v>
      </c>
      <c r="E572" s="91"/>
      <c r="F572" s="91"/>
      <c r="G572" s="91"/>
      <c r="H572" s="91"/>
      <c r="I572" s="91"/>
      <c r="J572" s="91"/>
      <c r="K572" s="91"/>
    </row>
    <row r="573" spans="1:11">
      <c r="A573" s="91">
        <v>571</v>
      </c>
      <c r="B573" s="91" t="s">
        <v>1817</v>
      </c>
      <c r="C573" s="91">
        <v>763</v>
      </c>
      <c r="D573" s="91" t="s">
        <v>1818</v>
      </c>
      <c r="E573" s="91"/>
      <c r="F573" s="91"/>
      <c r="G573" s="91"/>
      <c r="H573" s="91"/>
      <c r="I573" s="91"/>
      <c r="J573" s="91"/>
      <c r="K573" s="91"/>
    </row>
    <row r="574" spans="1:11">
      <c r="A574" s="91">
        <v>572</v>
      </c>
      <c r="B574" s="91" t="s">
        <v>1817</v>
      </c>
      <c r="C574" s="91">
        <v>763</v>
      </c>
      <c r="D574" s="91" t="s">
        <v>1818</v>
      </c>
      <c r="E574" s="91"/>
      <c r="F574" s="91"/>
      <c r="G574" s="91"/>
      <c r="H574" s="91"/>
      <c r="I574" s="91"/>
      <c r="J574" s="91"/>
      <c r="K574" s="91"/>
    </row>
    <row r="575" spans="1:11">
      <c r="A575" s="91">
        <v>573</v>
      </c>
      <c r="B575" s="91" t="s">
        <v>1817</v>
      </c>
      <c r="C575" s="91">
        <v>763</v>
      </c>
      <c r="D575" s="91" t="s">
        <v>1818</v>
      </c>
      <c r="E575" s="91"/>
      <c r="F575" s="91"/>
      <c r="G575" s="91"/>
      <c r="H575" s="91"/>
      <c r="I575" s="91"/>
      <c r="J575" s="91"/>
      <c r="K575" s="91"/>
    </row>
    <row r="576" spans="1:11">
      <c r="A576" s="91">
        <v>574</v>
      </c>
      <c r="B576" s="91" t="s">
        <v>1817</v>
      </c>
      <c r="C576" s="91">
        <v>763</v>
      </c>
      <c r="D576" s="91" t="s">
        <v>1818</v>
      </c>
      <c r="E576" s="91"/>
      <c r="F576" s="91"/>
      <c r="G576" s="91"/>
      <c r="H576" s="91"/>
      <c r="I576" s="91"/>
      <c r="J576" s="91"/>
      <c r="K576" s="91"/>
    </row>
    <row r="577" spans="1:11">
      <c r="A577" s="91">
        <v>575</v>
      </c>
      <c r="B577" s="91" t="s">
        <v>1817</v>
      </c>
      <c r="C577" s="91">
        <v>2575</v>
      </c>
      <c r="D577" s="91" t="s">
        <v>1818</v>
      </c>
      <c r="E577" s="91"/>
      <c r="F577" s="91"/>
      <c r="G577" s="91"/>
      <c r="H577" s="91"/>
      <c r="I577" s="91"/>
      <c r="J577" s="91"/>
      <c r="K577" s="91"/>
    </row>
    <row r="578" spans="1:11">
      <c r="A578" s="91">
        <v>576</v>
      </c>
      <c r="B578" s="91" t="s">
        <v>1817</v>
      </c>
      <c r="C578" s="91">
        <v>763</v>
      </c>
      <c r="D578" s="91" t="s">
        <v>1818</v>
      </c>
      <c r="E578" s="91"/>
      <c r="F578" s="91"/>
      <c r="G578" s="91"/>
      <c r="H578" s="91"/>
      <c r="I578" s="91"/>
      <c r="J578" s="91"/>
      <c r="K578" s="91"/>
    </row>
    <row r="579" spans="1:11">
      <c r="A579" s="91">
        <v>577</v>
      </c>
      <c r="B579" s="91" t="s">
        <v>1817</v>
      </c>
      <c r="C579" s="91">
        <v>726</v>
      </c>
      <c r="D579" s="91" t="s">
        <v>1818</v>
      </c>
      <c r="E579" s="91"/>
      <c r="F579" s="91"/>
      <c r="G579" s="91"/>
      <c r="H579" s="91"/>
      <c r="I579" s="91"/>
      <c r="J579" s="91"/>
      <c r="K579" s="91"/>
    </row>
    <row r="580" spans="1:11">
      <c r="A580" s="91">
        <v>578</v>
      </c>
      <c r="B580" s="91" t="s">
        <v>1817</v>
      </c>
      <c r="C580" s="91">
        <v>726</v>
      </c>
      <c r="D580" s="91" t="s">
        <v>1818</v>
      </c>
      <c r="E580" s="91"/>
      <c r="F580" s="91"/>
      <c r="G580" s="91"/>
      <c r="H580" s="91"/>
      <c r="I580" s="91"/>
      <c r="J580" s="91"/>
      <c r="K580" s="91"/>
    </row>
    <row r="581" spans="1:11">
      <c r="A581" s="91">
        <v>579</v>
      </c>
      <c r="B581" s="91" t="s">
        <v>1817</v>
      </c>
      <c r="C581" s="91">
        <v>726</v>
      </c>
      <c r="D581" s="91" t="s">
        <v>1818</v>
      </c>
      <c r="E581" s="91"/>
      <c r="F581" s="91"/>
      <c r="G581" s="91"/>
      <c r="H581" s="91"/>
      <c r="I581" s="91"/>
      <c r="J581" s="91"/>
      <c r="K581" s="91"/>
    </row>
    <row r="582" spans="1:11">
      <c r="A582" s="91">
        <v>580</v>
      </c>
      <c r="B582" s="91" t="s">
        <v>1817</v>
      </c>
      <c r="C582" s="91">
        <v>726</v>
      </c>
      <c r="D582" s="91" t="s">
        <v>1818</v>
      </c>
      <c r="E582" s="91"/>
      <c r="F582" s="91"/>
      <c r="G582" s="91"/>
      <c r="H582" s="91"/>
      <c r="I582" s="91"/>
      <c r="J582" s="91"/>
      <c r="K582" s="91"/>
    </row>
    <row r="583" spans="1:11">
      <c r="A583" s="91">
        <v>581</v>
      </c>
      <c r="B583" s="91" t="s">
        <v>1817</v>
      </c>
      <c r="C583" s="91">
        <v>726</v>
      </c>
      <c r="D583" s="91" t="s">
        <v>1818</v>
      </c>
      <c r="E583" s="91"/>
      <c r="F583" s="91"/>
      <c r="G583" s="91"/>
      <c r="H583" s="91"/>
      <c r="I583" s="91"/>
      <c r="J583" s="91"/>
      <c r="K583" s="91"/>
    </row>
    <row r="584" spans="1:11">
      <c r="A584" s="91">
        <v>582</v>
      </c>
      <c r="B584" s="91" t="s">
        <v>1817</v>
      </c>
      <c r="C584" s="91">
        <v>726</v>
      </c>
      <c r="D584" s="91" t="s">
        <v>1818</v>
      </c>
      <c r="E584" s="91"/>
      <c r="F584" s="91"/>
      <c r="G584" s="91"/>
      <c r="H584" s="91"/>
      <c r="I584" s="91"/>
      <c r="J584" s="91"/>
      <c r="K584" s="91"/>
    </row>
    <row r="585" spans="1:11">
      <c r="A585" s="91">
        <v>583</v>
      </c>
      <c r="B585" s="91" t="s">
        <v>1817</v>
      </c>
      <c r="C585" s="91">
        <v>1182</v>
      </c>
      <c r="D585" s="91" t="s">
        <v>1818</v>
      </c>
      <c r="E585" s="91"/>
      <c r="F585" s="91"/>
      <c r="G585" s="91"/>
      <c r="H585" s="91"/>
      <c r="I585" s="91"/>
      <c r="J585" s="91"/>
      <c r="K585" s="91"/>
    </row>
    <row r="586" spans="1:11">
      <c r="A586" s="91">
        <v>584</v>
      </c>
      <c r="B586" s="91" t="s">
        <v>1817</v>
      </c>
      <c r="C586" s="91">
        <v>726</v>
      </c>
      <c r="D586" s="91" t="s">
        <v>1818</v>
      </c>
      <c r="E586" s="91"/>
      <c r="F586" s="91"/>
      <c r="G586" s="91"/>
      <c r="H586" s="91"/>
      <c r="I586" s="91"/>
      <c r="J586" s="91"/>
      <c r="K586" s="91"/>
    </row>
    <row r="587" spans="1:11">
      <c r="A587" s="91">
        <v>585</v>
      </c>
      <c r="B587" s="91" t="s">
        <v>1817</v>
      </c>
      <c r="C587" s="91">
        <v>726</v>
      </c>
      <c r="D587" s="91" t="s">
        <v>1818</v>
      </c>
      <c r="E587" s="91"/>
      <c r="F587" s="91"/>
      <c r="G587" s="91"/>
      <c r="H587" s="91"/>
      <c r="I587" s="91"/>
      <c r="J587" s="91"/>
      <c r="K587" s="91"/>
    </row>
    <row r="588" spans="1:11">
      <c r="A588" s="91">
        <v>586</v>
      </c>
      <c r="B588" s="91" t="s">
        <v>1817</v>
      </c>
      <c r="C588" s="91">
        <v>1433</v>
      </c>
      <c r="D588" s="91" t="s">
        <v>1818</v>
      </c>
      <c r="E588" s="91"/>
      <c r="F588" s="91"/>
      <c r="G588" s="91"/>
      <c r="H588" s="91"/>
      <c r="I588" s="91"/>
      <c r="J588" s="91"/>
      <c r="K588" s="91"/>
    </row>
    <row r="589" spans="1:11">
      <c r="A589" s="91">
        <v>587</v>
      </c>
      <c r="B589" s="91" t="s">
        <v>1817</v>
      </c>
      <c r="C589" s="91">
        <v>1182</v>
      </c>
      <c r="D589" s="91" t="s">
        <v>1818</v>
      </c>
      <c r="E589" s="91"/>
      <c r="F589" s="91"/>
      <c r="G589" s="91"/>
      <c r="H589" s="91"/>
      <c r="I589" s="91"/>
      <c r="J589" s="91"/>
      <c r="K589" s="91"/>
    </row>
    <row r="590" spans="1:11">
      <c r="A590" s="91">
        <v>588</v>
      </c>
      <c r="B590" s="91" t="s">
        <v>1817</v>
      </c>
      <c r="C590" s="91">
        <v>1182</v>
      </c>
      <c r="D590" s="91" t="s">
        <v>1818</v>
      </c>
      <c r="E590" s="91"/>
      <c r="F590" s="91"/>
      <c r="G590" s="91"/>
      <c r="H590" s="91"/>
      <c r="I590" s="91"/>
      <c r="J590" s="91"/>
      <c r="K590" s="91"/>
    </row>
    <row r="591" spans="1:11">
      <c r="A591" s="91">
        <v>589</v>
      </c>
      <c r="B591" s="91" t="s">
        <v>1817</v>
      </c>
      <c r="C591" s="91">
        <v>1230</v>
      </c>
      <c r="D591" s="91" t="s">
        <v>1818</v>
      </c>
      <c r="E591" s="91"/>
      <c r="F591" s="91"/>
      <c r="G591" s="91"/>
      <c r="H591" s="91"/>
      <c r="I591" s="91"/>
      <c r="J591" s="91"/>
      <c r="K591" s="91"/>
    </row>
    <row r="592" spans="1:11">
      <c r="A592" s="91">
        <v>590</v>
      </c>
      <c r="B592" s="91" t="s">
        <v>1817</v>
      </c>
      <c r="C592" s="91">
        <v>2795</v>
      </c>
      <c r="D592" s="91" t="s">
        <v>1818</v>
      </c>
      <c r="E592" s="91"/>
      <c r="F592" s="91"/>
      <c r="G592" s="91"/>
      <c r="H592" s="91"/>
      <c r="I592" s="91"/>
      <c r="J592" s="91"/>
      <c r="K592" s="91"/>
    </row>
    <row r="593" spans="1:11">
      <c r="A593" s="91">
        <v>591</v>
      </c>
      <c r="B593" s="91" t="s">
        <v>1817</v>
      </c>
      <c r="C593" s="91">
        <v>1433</v>
      </c>
      <c r="D593" s="91" t="s">
        <v>1818</v>
      </c>
      <c r="E593" s="91"/>
      <c r="F593" s="91"/>
      <c r="G593" s="91"/>
      <c r="H593" s="91"/>
      <c r="I593" s="91"/>
      <c r="J593" s="91"/>
      <c r="K593" s="91"/>
    </row>
    <row r="594" spans="1:11">
      <c r="A594" s="91">
        <v>592</v>
      </c>
      <c r="B594" s="91" t="s">
        <v>1817</v>
      </c>
      <c r="C594" s="91">
        <v>2813</v>
      </c>
      <c r="D594" s="91" t="s">
        <v>1818</v>
      </c>
      <c r="E594" s="91"/>
      <c r="F594" s="91"/>
      <c r="G594" s="91"/>
      <c r="H594" s="91"/>
      <c r="I594" s="91"/>
      <c r="J594" s="91"/>
      <c r="K594" s="91"/>
    </row>
    <row r="595" spans="1:11">
      <c r="A595" s="91">
        <v>593</v>
      </c>
      <c r="B595" s="91" t="s">
        <v>1817</v>
      </c>
      <c r="C595" s="91">
        <v>2011</v>
      </c>
      <c r="D595" s="91" t="s">
        <v>1818</v>
      </c>
      <c r="E595" s="91"/>
      <c r="F595" s="91"/>
      <c r="G595" s="91"/>
      <c r="H595" s="91"/>
      <c r="I595" s="91"/>
      <c r="J595" s="91"/>
      <c r="K595" s="91"/>
    </row>
    <row r="596" spans="1:11">
      <c r="A596" s="91">
        <v>594</v>
      </c>
      <c r="B596" s="91" t="s">
        <v>1817</v>
      </c>
      <c r="C596" s="91">
        <v>2642</v>
      </c>
      <c r="D596" s="91" t="s">
        <v>1818</v>
      </c>
      <c r="E596" s="91"/>
      <c r="F596" s="91"/>
      <c r="G596" s="91"/>
      <c r="H596" s="91"/>
      <c r="I596" s="91"/>
      <c r="J596" s="91"/>
      <c r="K596" s="91"/>
    </row>
    <row r="597" spans="1:11">
      <c r="A597" s="91">
        <v>595</v>
      </c>
      <c r="B597" s="91" t="s">
        <v>1817</v>
      </c>
      <c r="C597" s="91">
        <v>1238</v>
      </c>
      <c r="D597" s="91" t="s">
        <v>1818</v>
      </c>
      <c r="E597" s="91"/>
      <c r="F597" s="91"/>
      <c r="G597" s="91"/>
      <c r="H597" s="91"/>
      <c r="I597" s="91"/>
      <c r="J597" s="91"/>
      <c r="K597" s="91"/>
    </row>
    <row r="598" spans="1:11">
      <c r="A598" s="91">
        <v>596</v>
      </c>
      <c r="B598" s="91" t="s">
        <v>1817</v>
      </c>
      <c r="C598" s="91">
        <v>2813</v>
      </c>
      <c r="D598" s="91" t="s">
        <v>1818</v>
      </c>
      <c r="E598" s="91"/>
      <c r="F598" s="91"/>
      <c r="G598" s="91"/>
      <c r="H598" s="91"/>
      <c r="I598" s="91"/>
      <c r="J598" s="91"/>
      <c r="K598" s="91"/>
    </row>
    <row r="599" spans="1:11">
      <c r="A599" s="91">
        <v>597</v>
      </c>
      <c r="B599" s="91" t="s">
        <v>1817</v>
      </c>
      <c r="C599" s="91">
        <v>2642</v>
      </c>
      <c r="D599" s="91" t="s">
        <v>1818</v>
      </c>
      <c r="E599" s="91"/>
      <c r="F599" s="91"/>
      <c r="G599" s="91"/>
      <c r="H599" s="91"/>
      <c r="I599" s="91"/>
      <c r="J599" s="91"/>
      <c r="K599" s="91"/>
    </row>
    <row r="600" spans="1:11">
      <c r="A600" s="91">
        <v>598</v>
      </c>
      <c r="B600" s="91" t="s">
        <v>1817</v>
      </c>
      <c r="C600" s="91">
        <v>1238</v>
      </c>
      <c r="D600" s="91" t="s">
        <v>1818</v>
      </c>
      <c r="E600" s="91"/>
      <c r="F600" s="91"/>
      <c r="G600" s="91"/>
      <c r="H600" s="91"/>
      <c r="I600" s="91"/>
      <c r="J600" s="91"/>
      <c r="K600" s="91"/>
    </row>
    <row r="601" spans="1:11">
      <c r="A601" s="91">
        <v>599</v>
      </c>
      <c r="B601" s="91" t="s">
        <v>1817</v>
      </c>
      <c r="C601" s="91">
        <v>2011</v>
      </c>
      <c r="D601" s="91" t="s">
        <v>1818</v>
      </c>
      <c r="E601" s="91"/>
      <c r="F601" s="91"/>
      <c r="G601" s="91"/>
      <c r="H601" s="91"/>
      <c r="I601" s="91"/>
      <c r="J601" s="91"/>
      <c r="K601" s="91"/>
    </row>
    <row r="602" spans="1:11">
      <c r="A602" s="91">
        <v>600</v>
      </c>
      <c r="B602" s="91" t="s">
        <v>1817</v>
      </c>
      <c r="C602" s="91">
        <v>1433</v>
      </c>
      <c r="D602" s="91" t="s">
        <v>1818</v>
      </c>
      <c r="E602" s="91"/>
      <c r="F602" s="91"/>
      <c r="G602" s="91"/>
      <c r="H602" s="91"/>
      <c r="I602" s="91"/>
      <c r="J602" s="91"/>
      <c r="K602" s="91"/>
    </row>
    <row r="603" spans="1:11">
      <c r="A603" s="91">
        <v>601</v>
      </c>
      <c r="B603" s="91" t="s">
        <v>1817</v>
      </c>
      <c r="C603" s="91">
        <v>2642</v>
      </c>
      <c r="D603" s="91" t="s">
        <v>1818</v>
      </c>
      <c r="E603" s="91"/>
      <c r="F603" s="91"/>
      <c r="G603" s="91"/>
      <c r="H603" s="91"/>
      <c r="I603" s="91"/>
      <c r="J603" s="91"/>
      <c r="K603" s="91"/>
    </row>
    <row r="604" spans="1:11">
      <c r="A604" s="91">
        <v>602</v>
      </c>
      <c r="B604" s="91" t="s">
        <v>1817</v>
      </c>
      <c r="C604" s="91">
        <v>1238</v>
      </c>
      <c r="D604" s="91" t="s">
        <v>1818</v>
      </c>
      <c r="E604" s="91"/>
      <c r="F604" s="91"/>
      <c r="G604" s="91"/>
      <c r="H604" s="91"/>
      <c r="I604" s="91"/>
      <c r="J604" s="91"/>
      <c r="K604" s="91"/>
    </row>
    <row r="605" spans="1:11">
      <c r="A605" s="91">
        <v>603</v>
      </c>
      <c r="B605" s="91" t="s">
        <v>1817</v>
      </c>
      <c r="C605" s="91">
        <v>2011</v>
      </c>
      <c r="D605" s="91" t="s">
        <v>1818</v>
      </c>
      <c r="E605" s="91"/>
      <c r="F605" s="91"/>
      <c r="G605" s="91"/>
      <c r="H605" s="91"/>
      <c r="I605" s="91"/>
      <c r="J605" s="91"/>
      <c r="K605" s="91"/>
    </row>
    <row r="606" spans="1:11">
      <c r="A606" s="91">
        <v>604</v>
      </c>
      <c r="B606" s="91" t="s">
        <v>1817</v>
      </c>
      <c r="C606" s="91">
        <v>1433</v>
      </c>
      <c r="D606" s="91" t="s">
        <v>1818</v>
      </c>
      <c r="E606" s="91"/>
      <c r="F606" s="91"/>
      <c r="G606" s="91"/>
      <c r="H606" s="91"/>
      <c r="I606" s="91"/>
      <c r="J606" s="91"/>
      <c r="K606" s="91"/>
    </row>
    <row r="607" spans="1:11">
      <c r="A607" s="91">
        <v>605</v>
      </c>
      <c r="B607" s="91" t="s">
        <v>1817</v>
      </c>
      <c r="C607" s="91">
        <v>2642</v>
      </c>
      <c r="D607" s="91" t="s">
        <v>1818</v>
      </c>
      <c r="E607" s="91"/>
      <c r="F607" s="91"/>
      <c r="G607" s="91"/>
      <c r="H607" s="91"/>
      <c r="I607" s="91"/>
      <c r="J607" s="91"/>
      <c r="K607" s="91"/>
    </row>
    <row r="608" spans="1:11">
      <c r="A608" s="91">
        <v>606</v>
      </c>
      <c r="B608" s="91" t="s">
        <v>1817</v>
      </c>
      <c r="C608" s="91">
        <v>1238</v>
      </c>
      <c r="D608" s="91" t="s">
        <v>1818</v>
      </c>
      <c r="E608" s="91"/>
      <c r="F608" s="91"/>
      <c r="G608" s="91"/>
      <c r="H608" s="91"/>
      <c r="I608" s="91"/>
      <c r="J608" s="91"/>
      <c r="K608" s="91"/>
    </row>
    <row r="609" spans="1:11">
      <c r="A609" s="91">
        <v>607</v>
      </c>
      <c r="B609" s="91" t="s">
        <v>1817</v>
      </c>
      <c r="C609" s="91">
        <v>2813</v>
      </c>
      <c r="D609" s="91" t="s">
        <v>1818</v>
      </c>
      <c r="E609" s="91"/>
      <c r="F609" s="91"/>
      <c r="G609" s="91"/>
      <c r="H609" s="91"/>
      <c r="I609" s="91"/>
      <c r="J609" s="91"/>
      <c r="K609" s="91"/>
    </row>
    <row r="610" spans="1:11">
      <c r="A610" s="91">
        <v>608</v>
      </c>
      <c r="B610" s="91" t="s">
        <v>1817</v>
      </c>
      <c r="C610" s="91">
        <v>2642</v>
      </c>
      <c r="D610" s="91" t="s">
        <v>1818</v>
      </c>
      <c r="E610" s="91"/>
      <c r="F610" s="91"/>
      <c r="G610" s="91"/>
      <c r="H610" s="91"/>
      <c r="I610" s="91"/>
      <c r="J610" s="91"/>
      <c r="K610" s="91"/>
    </row>
    <row r="611" spans="1:11">
      <c r="A611" s="91">
        <v>609</v>
      </c>
      <c r="B611" s="91" t="s">
        <v>1817</v>
      </c>
      <c r="C611" s="91">
        <v>1238</v>
      </c>
      <c r="D611" s="91" t="s">
        <v>1818</v>
      </c>
      <c r="E611" s="91"/>
      <c r="F611" s="91"/>
      <c r="G611" s="91"/>
      <c r="H611" s="91"/>
      <c r="I611" s="91"/>
      <c r="J611" s="91"/>
      <c r="K611" s="91"/>
    </row>
    <row r="612" spans="1:11">
      <c r="A612" s="91">
        <v>610</v>
      </c>
      <c r="B612" s="91" t="s">
        <v>1817</v>
      </c>
      <c r="C612" s="91">
        <v>2813</v>
      </c>
      <c r="D612" s="91" t="s">
        <v>1818</v>
      </c>
      <c r="E612" s="91"/>
      <c r="F612" s="91"/>
      <c r="G612" s="91"/>
      <c r="H612" s="91"/>
      <c r="I612" s="91"/>
      <c r="J612" s="91"/>
      <c r="K612" s="91"/>
    </row>
    <row r="613" spans="1:11">
      <c r="A613" s="91">
        <v>611</v>
      </c>
      <c r="B613" s="91" t="s">
        <v>1817</v>
      </c>
      <c r="C613" s="91">
        <v>2642</v>
      </c>
      <c r="D613" s="91" t="s">
        <v>1818</v>
      </c>
      <c r="E613" s="91"/>
      <c r="F613" s="91"/>
      <c r="G613" s="91"/>
      <c r="H613" s="91"/>
      <c r="I613" s="91"/>
      <c r="J613" s="91"/>
      <c r="K613" s="91"/>
    </row>
    <row r="614" spans="1:11">
      <c r="A614" s="91">
        <v>612</v>
      </c>
      <c r="B614" s="91" t="s">
        <v>1817</v>
      </c>
      <c r="C614" s="91">
        <v>1238</v>
      </c>
      <c r="D614" s="91" t="s">
        <v>1818</v>
      </c>
      <c r="E614" s="91"/>
      <c r="F614" s="91"/>
      <c r="G614" s="91"/>
      <c r="H614" s="91"/>
      <c r="I614" s="91"/>
      <c r="J614" s="91"/>
      <c r="K614" s="91"/>
    </row>
    <row r="615" spans="1:11">
      <c r="A615" s="91">
        <v>613</v>
      </c>
      <c r="B615" s="91" t="s">
        <v>1817</v>
      </c>
      <c r="C615" s="91">
        <v>726</v>
      </c>
      <c r="D615" s="91" t="s">
        <v>1818</v>
      </c>
      <c r="E615" s="91"/>
      <c r="F615" s="91"/>
      <c r="G615" s="91"/>
      <c r="H615" s="91"/>
      <c r="I615" s="91"/>
      <c r="J615" s="91"/>
      <c r="K615" s="91"/>
    </row>
    <row r="616" spans="1:11">
      <c r="A616" s="91">
        <v>614</v>
      </c>
      <c r="B616" s="91" t="s">
        <v>1817</v>
      </c>
      <c r="C616" s="91">
        <v>2011</v>
      </c>
      <c r="D616" s="91" t="s">
        <v>1818</v>
      </c>
      <c r="E616" s="91"/>
      <c r="F616" s="91"/>
      <c r="G616" s="91"/>
      <c r="H616" s="91"/>
      <c r="I616" s="91"/>
      <c r="J616" s="91"/>
      <c r="K616" s="91"/>
    </row>
    <row r="617" spans="1:11">
      <c r="A617" s="91">
        <v>615</v>
      </c>
      <c r="B617" s="91" t="s">
        <v>1817</v>
      </c>
      <c r="C617" s="91">
        <v>2642</v>
      </c>
      <c r="D617" s="91" t="s">
        <v>1818</v>
      </c>
      <c r="E617" s="91"/>
      <c r="F617" s="91"/>
      <c r="G617" s="91"/>
      <c r="H617" s="91"/>
      <c r="I617" s="91"/>
      <c r="J617" s="91"/>
      <c r="K617" s="91"/>
    </row>
    <row r="618" spans="1:11">
      <c r="A618" s="91">
        <v>616</v>
      </c>
      <c r="B618" s="91" t="s">
        <v>1817</v>
      </c>
      <c r="C618" s="91">
        <v>2813</v>
      </c>
      <c r="D618" s="91" t="s">
        <v>1818</v>
      </c>
      <c r="E618" s="91"/>
      <c r="F618" s="91"/>
      <c r="G618" s="91"/>
      <c r="H618" s="91"/>
      <c r="I618" s="91"/>
      <c r="J618" s="91"/>
      <c r="K618" s="91"/>
    </row>
    <row r="619" spans="1:11">
      <c r="A619" s="91">
        <v>617</v>
      </c>
      <c r="B619" s="91" t="s">
        <v>1817</v>
      </c>
      <c r="C619" s="91">
        <v>1182</v>
      </c>
      <c r="D619" s="91" t="s">
        <v>1818</v>
      </c>
      <c r="E619" s="91"/>
      <c r="F619" s="91"/>
      <c r="G619" s="91"/>
      <c r="H619" s="91"/>
      <c r="I619" s="91"/>
      <c r="J619" s="91"/>
      <c r="K619" s="91"/>
    </row>
    <row r="620" spans="1:11">
      <c r="A620" s="91">
        <v>618</v>
      </c>
      <c r="B620" s="91" t="s">
        <v>1817</v>
      </c>
      <c r="C620" s="91">
        <v>1230</v>
      </c>
      <c r="D620" s="91" t="s">
        <v>1818</v>
      </c>
      <c r="E620" s="91"/>
      <c r="F620" s="91"/>
      <c r="G620" s="91"/>
      <c r="H620" s="91"/>
      <c r="I620" s="91"/>
      <c r="J620" s="91"/>
      <c r="K620" s="91"/>
    </row>
    <row r="621" spans="1:11">
      <c r="A621" s="91">
        <v>619</v>
      </c>
      <c r="B621" s="91" t="s">
        <v>1817</v>
      </c>
      <c r="C621" s="91">
        <v>1433</v>
      </c>
      <c r="D621" s="91" t="s">
        <v>1818</v>
      </c>
      <c r="E621" s="91"/>
      <c r="F621" s="91"/>
      <c r="G621" s="91"/>
      <c r="H621" s="91"/>
      <c r="I621" s="91"/>
      <c r="J621" s="91"/>
      <c r="K621" s="91"/>
    </row>
    <row r="622" spans="1:11">
      <c r="A622" s="91">
        <v>620</v>
      </c>
      <c r="B622" s="91" t="s">
        <v>1817</v>
      </c>
      <c r="C622" s="91">
        <v>2569</v>
      </c>
      <c r="D622" s="91" t="s">
        <v>1818</v>
      </c>
      <c r="E622" s="91"/>
      <c r="F622" s="91"/>
      <c r="G622" s="91"/>
      <c r="H622" s="91"/>
      <c r="I622" s="91"/>
      <c r="J622" s="91"/>
      <c r="K622" s="91"/>
    </row>
    <row r="623" spans="1:11">
      <c r="A623" s="91">
        <v>621</v>
      </c>
      <c r="B623" s="91" t="s">
        <v>1817</v>
      </c>
      <c r="C623" s="91">
        <v>726</v>
      </c>
      <c r="D623" s="91" t="s">
        <v>1818</v>
      </c>
      <c r="E623" s="91"/>
      <c r="F623" s="91"/>
      <c r="G623" s="91"/>
      <c r="H623" s="91"/>
      <c r="I623" s="91"/>
      <c r="J623" s="91"/>
      <c r="K623" s="91"/>
    </row>
    <row r="624" spans="1:11">
      <c r="A624" s="91">
        <v>622</v>
      </c>
      <c r="B624" s="91" t="s">
        <v>1817</v>
      </c>
      <c r="C624" s="91">
        <v>726</v>
      </c>
      <c r="D624" s="91" t="s">
        <v>1818</v>
      </c>
      <c r="E624" s="91"/>
      <c r="F624" s="91"/>
      <c r="G624" s="91"/>
      <c r="H624" s="91"/>
      <c r="I624" s="91"/>
      <c r="J624" s="91"/>
      <c r="K624" s="91"/>
    </row>
    <row r="625" spans="1:11">
      <c r="A625" s="91">
        <v>623</v>
      </c>
      <c r="B625" s="91" t="s">
        <v>1817</v>
      </c>
      <c r="C625" s="91">
        <v>2795</v>
      </c>
      <c r="D625" s="91" t="s">
        <v>1818</v>
      </c>
      <c r="E625" s="91"/>
      <c r="F625" s="91"/>
      <c r="G625" s="91"/>
      <c r="H625" s="91"/>
      <c r="I625" s="91"/>
      <c r="J625" s="91"/>
      <c r="K625" s="91"/>
    </row>
    <row r="626" spans="1:11">
      <c r="A626" s="91">
        <v>624</v>
      </c>
      <c r="B626" s="91" t="s">
        <v>1817</v>
      </c>
      <c r="C626" s="91">
        <v>2569</v>
      </c>
      <c r="D626" s="91" t="s">
        <v>1818</v>
      </c>
      <c r="E626" s="91"/>
      <c r="F626" s="91"/>
      <c r="G626" s="91"/>
      <c r="H626" s="91"/>
      <c r="I626" s="91"/>
      <c r="J626" s="91"/>
      <c r="K626" s="91"/>
    </row>
    <row r="627" spans="1:11">
      <c r="A627" s="91">
        <v>625</v>
      </c>
      <c r="B627" s="91" t="s">
        <v>1817</v>
      </c>
      <c r="C627" s="91">
        <v>726</v>
      </c>
      <c r="D627" s="91" t="s">
        <v>1818</v>
      </c>
      <c r="E627" s="91"/>
      <c r="F627" s="91"/>
      <c r="G627" s="91"/>
      <c r="H627" s="91"/>
      <c r="I627" s="91"/>
      <c r="J627" s="91"/>
      <c r="K627" s="91"/>
    </row>
    <row r="628" spans="1:11">
      <c r="A628" s="91">
        <v>626</v>
      </c>
      <c r="B628" s="91" t="s">
        <v>1817</v>
      </c>
      <c r="C628" s="91">
        <v>553</v>
      </c>
      <c r="D628" s="91" t="s">
        <v>1818</v>
      </c>
      <c r="E628" s="91"/>
      <c r="F628" s="91"/>
      <c r="G628" s="91"/>
      <c r="H628" s="91"/>
      <c r="I628" s="91"/>
      <c r="J628" s="91"/>
      <c r="K628" s="91"/>
    </row>
    <row r="629" spans="1:11">
      <c r="A629" s="91">
        <v>627</v>
      </c>
      <c r="B629" s="91" t="s">
        <v>1817</v>
      </c>
      <c r="C629" s="91">
        <v>763</v>
      </c>
      <c r="D629" s="91" t="s">
        <v>1818</v>
      </c>
      <c r="E629" s="91"/>
      <c r="F629" s="91"/>
      <c r="G629" s="91"/>
      <c r="H629" s="91"/>
      <c r="I629" s="91"/>
      <c r="J629" s="91"/>
      <c r="K629" s="91"/>
    </row>
    <row r="630" spans="1:11">
      <c r="A630" s="91">
        <v>628</v>
      </c>
      <c r="B630" s="91" t="s">
        <v>1817</v>
      </c>
      <c r="C630" s="91">
        <v>2569</v>
      </c>
      <c r="D630" s="91" t="s">
        <v>1818</v>
      </c>
      <c r="E630" s="91"/>
      <c r="F630" s="91"/>
      <c r="G630" s="91"/>
      <c r="H630" s="91"/>
      <c r="I630" s="91"/>
      <c r="J630" s="91"/>
      <c r="K630" s="91"/>
    </row>
    <row r="631" spans="1:11">
      <c r="A631" s="91">
        <v>629</v>
      </c>
      <c r="B631" s="91" t="s">
        <v>1817</v>
      </c>
      <c r="C631" s="91">
        <v>2795</v>
      </c>
      <c r="D631" s="91" t="s">
        <v>1818</v>
      </c>
      <c r="E631" s="91"/>
      <c r="F631" s="91"/>
      <c r="G631" s="91"/>
      <c r="H631" s="91"/>
      <c r="I631" s="91"/>
      <c r="J631" s="91"/>
      <c r="K631" s="91"/>
    </row>
    <row r="632" spans="1:11">
      <c r="A632" s="91">
        <v>630</v>
      </c>
      <c r="B632" s="91" t="s">
        <v>1817</v>
      </c>
      <c r="C632" s="91">
        <v>1433</v>
      </c>
      <c r="D632" s="91" t="s">
        <v>1818</v>
      </c>
      <c r="E632" s="91"/>
      <c r="F632" s="91"/>
      <c r="G632" s="91"/>
      <c r="H632" s="91"/>
      <c r="I632" s="91"/>
      <c r="J632" s="91"/>
      <c r="K632" s="91"/>
    </row>
    <row r="633" spans="1:11">
      <c r="A633" s="91">
        <v>631</v>
      </c>
      <c r="B633" s="91" t="s">
        <v>1817</v>
      </c>
      <c r="C633" s="91">
        <v>2795</v>
      </c>
      <c r="D633" s="91" t="s">
        <v>1818</v>
      </c>
      <c r="E633" s="91"/>
      <c r="F633" s="91"/>
      <c r="G633" s="91"/>
      <c r="H633" s="91"/>
      <c r="I633" s="91"/>
      <c r="J633" s="91"/>
      <c r="K633" s="91"/>
    </row>
    <row r="634" spans="1:11">
      <c r="A634" s="91">
        <v>632</v>
      </c>
      <c r="B634" s="91" t="s">
        <v>1817</v>
      </c>
      <c r="C634" s="91">
        <v>2795</v>
      </c>
      <c r="D634" s="91" t="s">
        <v>1818</v>
      </c>
      <c r="E634" s="91"/>
      <c r="F634" s="91"/>
      <c r="G634" s="91"/>
      <c r="H634" s="91"/>
      <c r="I634" s="91"/>
      <c r="J634" s="91"/>
      <c r="K634" s="91"/>
    </row>
    <row r="635" spans="1:11">
      <c r="A635" s="91">
        <v>633</v>
      </c>
      <c r="B635" s="91" t="s">
        <v>1817</v>
      </c>
      <c r="C635" s="91">
        <v>1433</v>
      </c>
      <c r="D635" s="91" t="s">
        <v>1818</v>
      </c>
      <c r="E635" s="91"/>
      <c r="F635" s="91"/>
      <c r="G635" s="91"/>
      <c r="H635" s="91"/>
      <c r="I635" s="91"/>
      <c r="J635" s="91"/>
      <c r="K635" s="91"/>
    </row>
    <row r="636" spans="1:11">
      <c r="A636" s="91">
        <v>634</v>
      </c>
      <c r="B636" s="91" t="s">
        <v>1817</v>
      </c>
      <c r="C636" s="91">
        <v>1433</v>
      </c>
      <c r="D636" s="91" t="s">
        <v>1818</v>
      </c>
      <c r="E636" s="91"/>
      <c r="F636" s="91"/>
      <c r="G636" s="91"/>
      <c r="H636" s="91"/>
      <c r="I636" s="91"/>
      <c r="J636" s="91"/>
      <c r="K636" s="91"/>
    </row>
    <row r="637" spans="1:11">
      <c r="A637" s="91">
        <v>635</v>
      </c>
      <c r="B637" s="91" t="s">
        <v>1817</v>
      </c>
      <c r="C637" s="91">
        <v>2569</v>
      </c>
      <c r="D637" s="91" t="s">
        <v>1818</v>
      </c>
      <c r="E637" s="91"/>
      <c r="F637" s="91"/>
      <c r="G637" s="91"/>
      <c r="H637" s="91"/>
      <c r="I637" s="91"/>
      <c r="J637" s="91"/>
      <c r="K637" s="91"/>
    </row>
    <row r="638" spans="1:11">
      <c r="A638" s="91">
        <v>636</v>
      </c>
      <c r="B638" s="91" t="s">
        <v>1817</v>
      </c>
      <c r="C638" s="91">
        <v>553</v>
      </c>
      <c r="D638" s="91" t="s">
        <v>1818</v>
      </c>
      <c r="E638" s="91"/>
      <c r="F638" s="91"/>
      <c r="G638" s="91"/>
      <c r="H638" s="91"/>
      <c r="I638" s="91"/>
      <c r="J638" s="91"/>
      <c r="K638" s="91"/>
    </row>
    <row r="639" spans="1:11">
      <c r="A639" s="91">
        <v>637</v>
      </c>
      <c r="B639" s="91" t="s">
        <v>1817</v>
      </c>
      <c r="C639" s="91">
        <v>2569</v>
      </c>
      <c r="D639" s="91" t="s">
        <v>1818</v>
      </c>
      <c r="E639" s="91"/>
      <c r="F639" s="91"/>
      <c r="G639" s="91"/>
      <c r="H639" s="91"/>
      <c r="I639" s="91"/>
      <c r="J639" s="91"/>
      <c r="K639" s="91"/>
    </row>
    <row r="640" spans="1:11">
      <c r="A640" s="91">
        <v>638</v>
      </c>
      <c r="B640" s="91" t="s">
        <v>1817</v>
      </c>
      <c r="C640" s="91">
        <v>1715</v>
      </c>
      <c r="D640" s="91" t="s">
        <v>1818</v>
      </c>
      <c r="E640" s="91"/>
      <c r="F640" s="91"/>
      <c r="G640" s="91"/>
      <c r="H640" s="91"/>
      <c r="I640" s="91"/>
      <c r="J640" s="91"/>
      <c r="K640" s="91"/>
    </row>
    <row r="641" spans="1:11">
      <c r="A641" s="91">
        <v>639</v>
      </c>
      <c r="B641" s="91" t="s">
        <v>1817</v>
      </c>
      <c r="C641" s="91">
        <v>1485</v>
      </c>
      <c r="D641" s="91" t="s">
        <v>1818</v>
      </c>
      <c r="E641" s="91"/>
      <c r="F641" s="91"/>
      <c r="G641" s="91"/>
      <c r="H641" s="91"/>
      <c r="I641" s="91"/>
      <c r="J641" s="91"/>
      <c r="K641" s="91"/>
    </row>
    <row r="642" spans="1:11">
      <c r="A642" s="91">
        <v>640</v>
      </c>
      <c r="B642" s="91" t="s">
        <v>1817</v>
      </c>
      <c r="C642" s="91">
        <v>1351</v>
      </c>
      <c r="D642" s="91" t="s">
        <v>1818</v>
      </c>
      <c r="E642" s="91"/>
      <c r="F642" s="91"/>
      <c r="G642" s="91"/>
      <c r="H642" s="91"/>
      <c r="I642" s="91"/>
      <c r="J642" s="91"/>
      <c r="K642" s="91"/>
    </row>
    <row r="643" spans="1:11">
      <c r="A643" s="91">
        <v>641</v>
      </c>
      <c r="B643" s="91" t="s">
        <v>1817</v>
      </c>
      <c r="C643" s="91">
        <v>553</v>
      </c>
      <c r="D643" s="91" t="s">
        <v>1818</v>
      </c>
      <c r="E643" s="91"/>
      <c r="F643" s="91"/>
      <c r="G643" s="91"/>
      <c r="H643" s="91"/>
      <c r="I643" s="91"/>
      <c r="J643" s="91"/>
      <c r="K643" s="91"/>
    </row>
    <row r="644" spans="1:11">
      <c r="A644" s="91">
        <v>642</v>
      </c>
      <c r="B644" s="91" t="s">
        <v>1817</v>
      </c>
      <c r="C644" s="91">
        <v>1182</v>
      </c>
      <c r="D644" s="91" t="s">
        <v>1818</v>
      </c>
      <c r="E644" s="91"/>
      <c r="F644" s="91"/>
      <c r="G644" s="91"/>
      <c r="H644" s="91"/>
      <c r="I644" s="91"/>
      <c r="J644" s="91"/>
      <c r="K644" s="91"/>
    </row>
    <row r="645" spans="1:11">
      <c r="A645" s="91">
        <v>643</v>
      </c>
      <c r="B645" s="91" t="s">
        <v>1817</v>
      </c>
      <c r="C645" s="91">
        <v>1351</v>
      </c>
      <c r="D645" s="91" t="s">
        <v>1818</v>
      </c>
      <c r="E645" s="91"/>
      <c r="F645" s="91"/>
      <c r="G645" s="91"/>
      <c r="H645" s="91"/>
      <c r="I645" s="91"/>
      <c r="J645" s="91"/>
      <c r="K645" s="91"/>
    </row>
    <row r="646" spans="1:11">
      <c r="A646" s="91">
        <v>644</v>
      </c>
      <c r="B646" s="91" t="s">
        <v>1817</v>
      </c>
      <c r="C646" s="91">
        <v>2795</v>
      </c>
      <c r="D646" s="91" t="s">
        <v>1818</v>
      </c>
      <c r="E646" s="91"/>
      <c r="F646" s="91"/>
      <c r="G646" s="91"/>
      <c r="H646" s="91"/>
      <c r="I646" s="91"/>
      <c r="J646" s="91"/>
      <c r="K646" s="91"/>
    </row>
    <row r="647" spans="1:11">
      <c r="A647" s="91">
        <v>645</v>
      </c>
      <c r="B647" s="91" t="s">
        <v>1817</v>
      </c>
      <c r="C647" s="91">
        <v>553</v>
      </c>
      <c r="D647" s="91" t="s">
        <v>1818</v>
      </c>
      <c r="E647" s="91"/>
      <c r="F647" s="91"/>
      <c r="G647" s="91"/>
      <c r="H647" s="91"/>
      <c r="I647" s="91"/>
      <c r="J647" s="91"/>
      <c r="K647" s="91"/>
    </row>
    <row r="648" spans="1:11">
      <c r="A648" s="91">
        <v>646</v>
      </c>
      <c r="B648" s="91" t="s">
        <v>1817</v>
      </c>
      <c r="C648" s="91">
        <v>1715</v>
      </c>
      <c r="D648" s="91" t="s">
        <v>1818</v>
      </c>
      <c r="E648" s="91"/>
      <c r="F648" s="91"/>
      <c r="G648" s="91"/>
      <c r="H648" s="91"/>
      <c r="I648" s="91"/>
      <c r="J648" s="91"/>
      <c r="K648" s="91"/>
    </row>
    <row r="649" spans="1:11">
      <c r="A649" s="91">
        <v>647</v>
      </c>
      <c r="B649" s="91" t="s">
        <v>1817</v>
      </c>
      <c r="C649" s="91">
        <v>1351</v>
      </c>
      <c r="D649" s="91" t="s">
        <v>1818</v>
      </c>
      <c r="E649" s="91"/>
      <c r="F649" s="91"/>
      <c r="G649" s="91"/>
      <c r="H649" s="91"/>
      <c r="I649" s="91"/>
      <c r="J649" s="91"/>
      <c r="K649" s="91"/>
    </row>
    <row r="650" spans="1:11">
      <c r="A650" s="91">
        <v>648</v>
      </c>
      <c r="B650" s="91" t="s">
        <v>1817</v>
      </c>
      <c r="C650" s="91">
        <v>763</v>
      </c>
      <c r="D650" s="91" t="s">
        <v>1818</v>
      </c>
      <c r="E650" s="91"/>
      <c r="F650" s="91"/>
      <c r="G650" s="91"/>
      <c r="H650" s="91"/>
      <c r="I650" s="91"/>
      <c r="J650" s="91"/>
      <c r="K650" s="91"/>
    </row>
    <row r="651" spans="1:11">
      <c r="A651" s="91">
        <v>649</v>
      </c>
      <c r="B651" s="91" t="s">
        <v>1817</v>
      </c>
      <c r="C651" s="91">
        <v>1715</v>
      </c>
      <c r="D651" s="91" t="s">
        <v>1818</v>
      </c>
      <c r="E651" s="91"/>
      <c r="F651" s="91"/>
      <c r="G651" s="91"/>
      <c r="H651" s="91"/>
      <c r="I651" s="91"/>
      <c r="J651" s="91"/>
      <c r="K651" s="91"/>
    </row>
    <row r="652" spans="1:11">
      <c r="A652" s="91">
        <v>650</v>
      </c>
      <c r="B652" s="91" t="s">
        <v>1817</v>
      </c>
      <c r="C652" s="91">
        <v>1485</v>
      </c>
      <c r="D652" s="91" t="s">
        <v>1818</v>
      </c>
      <c r="E652" s="91"/>
      <c r="F652" s="91"/>
      <c r="G652" s="91"/>
      <c r="H652" s="91"/>
      <c r="I652" s="91"/>
      <c r="J652" s="91"/>
      <c r="K652" s="91"/>
    </row>
    <row r="653" spans="1:11">
      <c r="A653" s="91">
        <v>651</v>
      </c>
      <c r="B653" s="91" t="s">
        <v>1817</v>
      </c>
      <c r="C653" s="91">
        <v>1351</v>
      </c>
      <c r="D653" s="91" t="s">
        <v>1818</v>
      </c>
      <c r="E653" s="91"/>
      <c r="F653" s="91"/>
      <c r="G653" s="91"/>
      <c r="H653" s="91"/>
      <c r="I653" s="91"/>
      <c r="J653" s="91"/>
      <c r="K653" s="91"/>
    </row>
    <row r="654" spans="1:11">
      <c r="A654" s="91">
        <v>652</v>
      </c>
      <c r="B654" s="91" t="s">
        <v>1817</v>
      </c>
      <c r="C654" s="91">
        <v>553</v>
      </c>
      <c r="D654" s="91" t="s">
        <v>1818</v>
      </c>
      <c r="E654" s="91"/>
      <c r="F654" s="91"/>
      <c r="G654" s="91"/>
      <c r="H654" s="91"/>
      <c r="I654" s="91"/>
      <c r="J654" s="91"/>
      <c r="K654" s="91"/>
    </row>
    <row r="655" spans="1:11">
      <c r="A655" s="91">
        <v>653</v>
      </c>
      <c r="B655" s="91" t="s">
        <v>1817</v>
      </c>
      <c r="C655" s="91">
        <v>1715</v>
      </c>
      <c r="D655" s="91" t="s">
        <v>1818</v>
      </c>
      <c r="E655" s="91"/>
      <c r="F655" s="91"/>
      <c r="G655" s="91"/>
      <c r="H655" s="91"/>
      <c r="I655" s="91"/>
      <c r="J655" s="91"/>
      <c r="K655" s="91"/>
    </row>
    <row r="656" spans="1:11">
      <c r="A656" s="91">
        <v>654</v>
      </c>
      <c r="B656" s="91" t="s">
        <v>1817</v>
      </c>
      <c r="C656" s="91">
        <v>1351</v>
      </c>
      <c r="D656" s="91" t="s">
        <v>1818</v>
      </c>
      <c r="E656" s="91"/>
      <c r="F656" s="91"/>
      <c r="G656" s="91"/>
      <c r="H656" s="91"/>
      <c r="I656" s="91"/>
      <c r="J656" s="91"/>
      <c r="K656" s="91"/>
    </row>
    <row r="657" spans="1:11">
      <c r="A657" s="91">
        <v>655</v>
      </c>
      <c r="B657" s="91" t="s">
        <v>1817</v>
      </c>
      <c r="C657" s="91">
        <v>553</v>
      </c>
      <c r="D657" s="91" t="s">
        <v>1818</v>
      </c>
      <c r="E657" s="91"/>
      <c r="F657" s="91"/>
      <c r="G657" s="91"/>
      <c r="H657" s="91"/>
      <c r="I657" s="91"/>
      <c r="J657" s="91"/>
      <c r="K657" s="91"/>
    </row>
    <row r="658" spans="1:11">
      <c r="A658" s="91">
        <v>656</v>
      </c>
      <c r="B658" s="91" t="s">
        <v>1817</v>
      </c>
      <c r="C658" s="91">
        <v>2795</v>
      </c>
      <c r="D658" s="91" t="s">
        <v>1818</v>
      </c>
      <c r="E658" s="91"/>
      <c r="F658" s="91"/>
      <c r="G658" s="91"/>
      <c r="H658" s="91"/>
      <c r="I658" s="91"/>
      <c r="J658" s="91"/>
      <c r="K658" s="91"/>
    </row>
    <row r="659" spans="1:11">
      <c r="A659" s="91">
        <v>657</v>
      </c>
      <c r="B659" s="91" t="s">
        <v>1817</v>
      </c>
      <c r="C659" s="91">
        <v>2575</v>
      </c>
      <c r="D659" s="91" t="s">
        <v>1818</v>
      </c>
      <c r="E659" s="91"/>
      <c r="F659" s="91"/>
      <c r="G659" s="91"/>
      <c r="H659" s="91"/>
      <c r="I659" s="91"/>
      <c r="J659" s="91"/>
      <c r="K659" s="91"/>
    </row>
    <row r="660" spans="1:11">
      <c r="A660" s="91">
        <v>658</v>
      </c>
      <c r="B660" s="91" t="s">
        <v>1817</v>
      </c>
      <c r="C660" s="91">
        <v>2569</v>
      </c>
      <c r="D660" s="91" t="s">
        <v>1818</v>
      </c>
      <c r="E660" s="91"/>
      <c r="F660" s="91"/>
      <c r="G660" s="91"/>
      <c r="H660" s="91"/>
      <c r="I660" s="91"/>
      <c r="J660" s="91"/>
      <c r="K660" s="91"/>
    </row>
    <row r="661" spans="1:11">
      <c r="A661" s="91">
        <v>659</v>
      </c>
      <c r="B661" s="91" t="s">
        <v>1817</v>
      </c>
      <c r="C661" s="91">
        <v>1437</v>
      </c>
      <c r="D661" s="91" t="s">
        <v>1818</v>
      </c>
      <c r="E661" s="91"/>
      <c r="F661" s="91"/>
      <c r="G661" s="91"/>
      <c r="H661" s="91"/>
      <c r="I661" s="91"/>
      <c r="J661" s="91"/>
      <c r="K661" s="91"/>
    </row>
    <row r="662" spans="1:11">
      <c r="A662" s="91">
        <v>660</v>
      </c>
      <c r="B662" s="91" t="s">
        <v>1817</v>
      </c>
      <c r="C662" s="91">
        <v>1056</v>
      </c>
      <c r="D662" s="91" t="s">
        <v>1818</v>
      </c>
      <c r="E662" s="91"/>
      <c r="F662" s="91"/>
      <c r="G662" s="91"/>
      <c r="H662" s="91"/>
      <c r="I662" s="91"/>
      <c r="J662" s="91"/>
      <c r="K662" s="91"/>
    </row>
    <row r="663" spans="1:11">
      <c r="A663" s="91">
        <v>661</v>
      </c>
      <c r="B663" s="91" t="s">
        <v>1817</v>
      </c>
      <c r="C663" s="91">
        <v>1351</v>
      </c>
      <c r="D663" s="91" t="s">
        <v>1818</v>
      </c>
      <c r="E663" s="91"/>
      <c r="F663" s="91"/>
      <c r="G663" s="91"/>
      <c r="H663" s="91"/>
      <c r="I663" s="91"/>
      <c r="J663" s="91"/>
      <c r="K663" s="91"/>
    </row>
    <row r="664" spans="1:11">
      <c r="A664" s="91">
        <v>662</v>
      </c>
      <c r="B664" s="91" t="s">
        <v>1817</v>
      </c>
      <c r="C664" s="91">
        <v>2980</v>
      </c>
      <c r="D664" s="91" t="s">
        <v>1818</v>
      </c>
      <c r="E664" s="91"/>
      <c r="F664" s="91"/>
      <c r="G664" s="91"/>
      <c r="H664" s="91"/>
      <c r="I664" s="91"/>
      <c r="J664" s="91"/>
      <c r="K664" s="91"/>
    </row>
    <row r="665" spans="1:11">
      <c r="A665" s="91">
        <v>663</v>
      </c>
      <c r="B665" s="91" t="s">
        <v>1817</v>
      </c>
      <c r="C665" s="91">
        <v>1437</v>
      </c>
      <c r="D665" s="91" t="s">
        <v>1818</v>
      </c>
      <c r="E665" s="91"/>
      <c r="F665" s="91"/>
      <c r="G665" s="91"/>
      <c r="H665" s="91"/>
      <c r="I665" s="91"/>
      <c r="J665" s="91"/>
      <c r="K665" s="91"/>
    </row>
    <row r="666" spans="1:11">
      <c r="A666" s="91">
        <v>664</v>
      </c>
      <c r="B666" s="91" t="s">
        <v>1817</v>
      </c>
      <c r="C666" s="91">
        <v>1056</v>
      </c>
      <c r="D666" s="91" t="s">
        <v>1818</v>
      </c>
      <c r="E666" s="91"/>
      <c r="F666" s="91"/>
      <c r="G666" s="91"/>
      <c r="H666" s="91"/>
      <c r="I666" s="91"/>
      <c r="J666" s="91"/>
      <c r="K666" s="91"/>
    </row>
    <row r="667" spans="1:11">
      <c r="A667" s="91">
        <v>665</v>
      </c>
      <c r="B667" s="91" t="s">
        <v>1817</v>
      </c>
      <c r="C667" s="91">
        <v>1351</v>
      </c>
      <c r="D667" s="91" t="s">
        <v>1818</v>
      </c>
      <c r="E667" s="91"/>
      <c r="F667" s="91"/>
      <c r="G667" s="91"/>
      <c r="H667" s="91"/>
      <c r="I667" s="91"/>
      <c r="J667" s="91"/>
      <c r="K667" s="91"/>
    </row>
    <row r="668" spans="1:11">
      <c r="A668" s="91">
        <v>666</v>
      </c>
      <c r="B668" s="91" t="s">
        <v>1817</v>
      </c>
      <c r="C668" s="91">
        <v>1437</v>
      </c>
      <c r="D668" s="91" t="s">
        <v>1818</v>
      </c>
      <c r="E668" s="91"/>
      <c r="F668" s="91"/>
      <c r="G668" s="91"/>
      <c r="H668" s="91"/>
      <c r="I668" s="91"/>
      <c r="J668" s="91"/>
      <c r="K668" s="91"/>
    </row>
    <row r="669" spans="1:11">
      <c r="A669" s="91">
        <v>667</v>
      </c>
      <c r="B669" s="91" t="s">
        <v>1817</v>
      </c>
      <c r="C669" s="91">
        <v>1056</v>
      </c>
      <c r="D669" s="91" t="s">
        <v>1818</v>
      </c>
      <c r="E669" s="91"/>
      <c r="F669" s="91"/>
      <c r="G669" s="91"/>
      <c r="H669" s="91"/>
      <c r="I669" s="91"/>
      <c r="J669" s="91"/>
      <c r="K669" s="91"/>
    </row>
    <row r="670" spans="1:11">
      <c r="A670" s="91">
        <v>668</v>
      </c>
      <c r="B670" s="91" t="s">
        <v>1817</v>
      </c>
      <c r="C670" s="91">
        <v>1230</v>
      </c>
      <c r="D670" s="91" t="s">
        <v>1818</v>
      </c>
      <c r="E670" s="91"/>
      <c r="F670" s="91"/>
      <c r="G670" s="91"/>
      <c r="H670" s="91"/>
      <c r="I670" s="91"/>
      <c r="J670" s="91"/>
      <c r="K670" s="91"/>
    </row>
    <row r="671" spans="1:11">
      <c r="A671" s="91">
        <v>669</v>
      </c>
      <c r="B671" s="91" t="s">
        <v>1817</v>
      </c>
      <c r="C671" s="91">
        <v>2980</v>
      </c>
      <c r="D671" s="91" t="s">
        <v>1818</v>
      </c>
      <c r="E671" s="91"/>
      <c r="F671" s="91"/>
      <c r="G671" s="91"/>
      <c r="H671" s="91"/>
      <c r="I671" s="91"/>
      <c r="J671" s="91"/>
      <c r="K671" s="91"/>
    </row>
    <row r="672" spans="1:11">
      <c r="A672" s="91">
        <v>670</v>
      </c>
      <c r="B672" s="91" t="s">
        <v>1817</v>
      </c>
      <c r="C672" s="91">
        <v>1437</v>
      </c>
      <c r="D672" s="91" t="s">
        <v>1818</v>
      </c>
      <c r="E672" s="91"/>
      <c r="F672" s="91"/>
      <c r="G672" s="91"/>
      <c r="H672" s="91"/>
      <c r="I672" s="91"/>
      <c r="J672" s="91"/>
      <c r="K672" s="91"/>
    </row>
    <row r="673" spans="1:11">
      <c r="A673" s="91">
        <v>671</v>
      </c>
      <c r="B673" s="91" t="s">
        <v>1817</v>
      </c>
      <c r="C673" s="91">
        <v>1056</v>
      </c>
      <c r="D673" s="91" t="s">
        <v>1818</v>
      </c>
      <c r="E673" s="91"/>
      <c r="F673" s="91"/>
      <c r="G673" s="91"/>
      <c r="H673" s="91"/>
      <c r="I673" s="91"/>
      <c r="J673" s="91"/>
      <c r="K673" s="91"/>
    </row>
    <row r="674" spans="1:11">
      <c r="A674" s="91">
        <v>672</v>
      </c>
      <c r="B674" s="91" t="s">
        <v>1817</v>
      </c>
      <c r="C674" s="91">
        <v>1351</v>
      </c>
      <c r="D674" s="91" t="s">
        <v>1818</v>
      </c>
      <c r="E674" s="91"/>
      <c r="F674" s="91"/>
      <c r="G674" s="91"/>
      <c r="H674" s="91"/>
      <c r="I674" s="91"/>
      <c r="J674" s="91"/>
      <c r="K674" s="91"/>
    </row>
    <row r="675" spans="1:11">
      <c r="A675" s="91">
        <v>673</v>
      </c>
      <c r="B675" s="91" t="s">
        <v>1817</v>
      </c>
      <c r="C675" s="91">
        <v>2980</v>
      </c>
      <c r="D675" s="91" t="s">
        <v>1818</v>
      </c>
      <c r="E675" s="91"/>
      <c r="F675" s="91"/>
      <c r="G675" s="91"/>
      <c r="H675" s="91"/>
      <c r="I675" s="91"/>
      <c r="J675" s="91"/>
      <c r="K675" s="91"/>
    </row>
    <row r="676" spans="1:11">
      <c r="A676" s="91">
        <v>674</v>
      </c>
      <c r="B676" s="91" t="s">
        <v>1817</v>
      </c>
      <c r="C676" s="91">
        <v>1437</v>
      </c>
      <c r="D676" s="91" t="s">
        <v>1818</v>
      </c>
      <c r="E676" s="91"/>
      <c r="F676" s="91"/>
      <c r="G676" s="91"/>
      <c r="H676" s="91"/>
      <c r="I676" s="91"/>
      <c r="J676" s="91"/>
      <c r="K676" s="91"/>
    </row>
    <row r="677" spans="1:11">
      <c r="A677" s="91">
        <v>675</v>
      </c>
      <c r="B677" s="91" t="s">
        <v>1817</v>
      </c>
      <c r="C677" s="91">
        <v>1230</v>
      </c>
      <c r="D677" s="91" t="s">
        <v>1818</v>
      </c>
      <c r="E677" s="91"/>
      <c r="F677" s="91"/>
      <c r="G677" s="91"/>
      <c r="H677" s="91"/>
      <c r="I677" s="91"/>
      <c r="J677" s="91"/>
      <c r="K677" s="91"/>
    </row>
    <row r="678" spans="1:11">
      <c r="A678" s="91">
        <v>676</v>
      </c>
      <c r="B678" s="91" t="s">
        <v>1817</v>
      </c>
      <c r="C678" s="91">
        <v>1437</v>
      </c>
      <c r="D678" s="91" t="s">
        <v>1818</v>
      </c>
      <c r="E678" s="91"/>
      <c r="F678" s="91"/>
      <c r="G678" s="91"/>
      <c r="H678" s="91"/>
      <c r="I678" s="91"/>
      <c r="J678" s="91"/>
      <c r="K678" s="91"/>
    </row>
    <row r="679" spans="1:11">
      <c r="A679" s="91">
        <v>677</v>
      </c>
      <c r="B679" s="91" t="s">
        <v>1817</v>
      </c>
      <c r="C679" s="91">
        <v>1230</v>
      </c>
      <c r="D679" s="91" t="s">
        <v>1818</v>
      </c>
      <c r="E679" s="91"/>
      <c r="F679" s="91"/>
      <c r="G679" s="91"/>
      <c r="H679" s="91"/>
      <c r="I679" s="91"/>
      <c r="J679" s="91"/>
      <c r="K679" s="91"/>
    </row>
    <row r="680" spans="1:11">
      <c r="A680" s="91">
        <v>678</v>
      </c>
      <c r="B680" s="91" t="s">
        <v>1817</v>
      </c>
      <c r="C680" s="91">
        <v>2980</v>
      </c>
      <c r="D680" s="91" t="s">
        <v>1818</v>
      </c>
      <c r="E680" s="91"/>
      <c r="F680" s="91"/>
      <c r="G680" s="91"/>
      <c r="H680" s="91"/>
      <c r="I680" s="91"/>
      <c r="J680" s="91"/>
      <c r="K680" s="91"/>
    </row>
    <row r="681" spans="1:11">
      <c r="A681" s="91">
        <v>679</v>
      </c>
      <c r="B681" s="91" t="s">
        <v>1817</v>
      </c>
      <c r="C681" s="91">
        <v>1437</v>
      </c>
      <c r="D681" s="91" t="s">
        <v>1818</v>
      </c>
      <c r="E681" s="91"/>
      <c r="F681" s="91"/>
      <c r="G681" s="91"/>
      <c r="H681" s="91"/>
      <c r="I681" s="91"/>
      <c r="J681" s="91"/>
      <c r="K681" s="91"/>
    </row>
    <row r="682" spans="1:11">
      <c r="A682" s="91">
        <v>680</v>
      </c>
      <c r="B682" s="91" t="s">
        <v>1817</v>
      </c>
      <c r="C682" s="91">
        <v>1715</v>
      </c>
      <c r="D682" s="91" t="s">
        <v>1818</v>
      </c>
      <c r="E682" s="91"/>
      <c r="F682" s="91"/>
      <c r="G682" s="91"/>
      <c r="H682" s="91"/>
      <c r="I682" s="91"/>
      <c r="J682" s="91"/>
      <c r="K682" s="91"/>
    </row>
    <row r="683" spans="1:11">
      <c r="A683" s="91">
        <v>681</v>
      </c>
      <c r="B683" s="91" t="s">
        <v>1817</v>
      </c>
      <c r="C683" s="91">
        <v>1351</v>
      </c>
      <c r="D683" s="91" t="s">
        <v>1818</v>
      </c>
      <c r="E683" s="91"/>
      <c r="F683" s="91"/>
      <c r="G683" s="91"/>
      <c r="H683" s="91"/>
      <c r="I683" s="91"/>
      <c r="J683" s="91"/>
      <c r="K683" s="91"/>
    </row>
    <row r="684" spans="1:11">
      <c r="A684" s="91">
        <v>682</v>
      </c>
      <c r="B684" s="91" t="s">
        <v>1817</v>
      </c>
      <c r="C684" s="91">
        <v>1230</v>
      </c>
      <c r="D684" s="91" t="s">
        <v>1818</v>
      </c>
      <c r="E684" s="91"/>
      <c r="F684" s="91"/>
      <c r="G684" s="91"/>
      <c r="H684" s="91"/>
      <c r="I684" s="91"/>
      <c r="J684" s="91"/>
      <c r="K684" s="91"/>
    </row>
    <row r="685" spans="1:11">
      <c r="A685" s="91">
        <v>683</v>
      </c>
      <c r="B685" s="91" t="s">
        <v>1817</v>
      </c>
      <c r="C685" s="91">
        <v>2575</v>
      </c>
      <c r="D685" s="91" t="s">
        <v>1818</v>
      </c>
      <c r="E685" s="91"/>
      <c r="F685" s="91"/>
      <c r="G685" s="91"/>
      <c r="H685" s="91"/>
      <c r="I685" s="91"/>
      <c r="J685" s="91"/>
      <c r="K685" s="91"/>
    </row>
    <row r="686" spans="1:11">
      <c r="A686" s="91">
        <v>684</v>
      </c>
      <c r="B686" s="91" t="s">
        <v>1817</v>
      </c>
      <c r="C686" s="91">
        <v>2575</v>
      </c>
      <c r="D686" s="91" t="s">
        <v>1818</v>
      </c>
      <c r="E686" s="91"/>
      <c r="F686" s="91"/>
      <c r="G686" s="91"/>
      <c r="H686" s="91"/>
      <c r="I686" s="91"/>
      <c r="J686" s="91"/>
      <c r="K686" s="91"/>
    </row>
    <row r="687" spans="1:11">
      <c r="A687" s="91">
        <v>685</v>
      </c>
      <c r="B687" s="91" t="s">
        <v>1817</v>
      </c>
      <c r="C687" s="91">
        <v>1056</v>
      </c>
      <c r="D687" s="91" t="s">
        <v>1818</v>
      </c>
      <c r="E687" s="91"/>
      <c r="F687" s="91"/>
      <c r="G687" s="91"/>
      <c r="H687" s="91"/>
      <c r="I687" s="91"/>
      <c r="J687" s="91"/>
      <c r="K687" s="91"/>
    </row>
    <row r="688" spans="1:11">
      <c r="A688" s="91">
        <v>686</v>
      </c>
      <c r="B688" s="91" t="s">
        <v>1817</v>
      </c>
      <c r="C688" s="91">
        <v>1230</v>
      </c>
      <c r="D688" s="91" t="s">
        <v>1818</v>
      </c>
      <c r="E688" s="91"/>
      <c r="F688" s="91"/>
      <c r="G688" s="91"/>
      <c r="H688" s="91"/>
      <c r="I688" s="91"/>
      <c r="J688" s="91"/>
      <c r="K688" s="91"/>
    </row>
    <row r="689" spans="1:11">
      <c r="A689" s="91">
        <v>687</v>
      </c>
      <c r="B689" s="91" t="s">
        <v>1817</v>
      </c>
      <c r="C689" s="91">
        <v>2980</v>
      </c>
      <c r="D689" s="91" t="s">
        <v>1818</v>
      </c>
      <c r="E689" s="91"/>
      <c r="F689" s="91"/>
      <c r="G689" s="91"/>
      <c r="H689" s="91"/>
      <c r="I689" s="91"/>
      <c r="J689" s="91"/>
      <c r="K689" s="91"/>
    </row>
    <row r="690" spans="1:11">
      <c r="A690" s="91">
        <v>688</v>
      </c>
      <c r="B690" s="91" t="s">
        <v>1817</v>
      </c>
      <c r="C690" s="91">
        <v>1433</v>
      </c>
      <c r="D690" s="91" t="s">
        <v>1818</v>
      </c>
      <c r="E690" s="91"/>
      <c r="F690" s="91"/>
      <c r="G690" s="91"/>
      <c r="H690" s="91"/>
      <c r="I690" s="91"/>
      <c r="J690" s="91"/>
      <c r="K690" s="91"/>
    </row>
    <row r="691" spans="1:11">
      <c r="A691" s="91">
        <v>689</v>
      </c>
      <c r="B691" s="91" t="s">
        <v>1817</v>
      </c>
      <c r="C691" s="91">
        <v>1238</v>
      </c>
      <c r="D691" s="91" t="s">
        <v>1818</v>
      </c>
      <c r="E691" s="91"/>
      <c r="F691" s="91"/>
      <c r="G691" s="91"/>
      <c r="H691" s="91"/>
      <c r="I691" s="91"/>
      <c r="J691" s="91"/>
      <c r="K691" s="91"/>
    </row>
    <row r="692" spans="1:11">
      <c r="A692" s="91">
        <v>690</v>
      </c>
      <c r="B692" s="91" t="s">
        <v>1817</v>
      </c>
      <c r="C692" s="91">
        <v>1433</v>
      </c>
      <c r="D692" s="91" t="s">
        <v>1818</v>
      </c>
      <c r="E692" s="91"/>
      <c r="F692" s="91"/>
      <c r="G692" s="91"/>
      <c r="H692" s="91"/>
      <c r="I692" s="91"/>
      <c r="J692" s="91"/>
      <c r="K692" s="91"/>
    </row>
    <row r="693" spans="1:11">
      <c r="A693" s="91">
        <v>691</v>
      </c>
      <c r="B693" s="91" t="s">
        <v>1817</v>
      </c>
      <c r="C693" s="91">
        <v>1238</v>
      </c>
      <c r="D693" s="91" t="s">
        <v>1818</v>
      </c>
      <c r="E693" s="91"/>
      <c r="F693" s="91"/>
      <c r="G693" s="91"/>
      <c r="H693" s="91"/>
      <c r="I693" s="91"/>
      <c r="J693" s="91"/>
      <c r="K693" s="91"/>
    </row>
    <row r="694" spans="1:11">
      <c r="A694" s="91">
        <v>692</v>
      </c>
      <c r="B694" s="91" t="s">
        <v>1817</v>
      </c>
      <c r="C694" s="91">
        <v>1238</v>
      </c>
      <c r="D694" s="91" t="s">
        <v>1818</v>
      </c>
      <c r="E694" s="91"/>
      <c r="F694" s="91"/>
      <c r="G694" s="91"/>
      <c r="H694" s="91"/>
      <c r="I694" s="91"/>
      <c r="J694" s="91"/>
      <c r="K694" s="91"/>
    </row>
    <row r="695" spans="1:11">
      <c r="A695" s="91">
        <v>693</v>
      </c>
      <c r="B695" s="91" t="s">
        <v>1817</v>
      </c>
      <c r="C695" s="91">
        <v>1433</v>
      </c>
      <c r="D695" s="91" t="s">
        <v>1818</v>
      </c>
      <c r="E695" s="91"/>
      <c r="F695" s="91"/>
      <c r="G695" s="91"/>
      <c r="H695" s="91"/>
      <c r="I695" s="91"/>
      <c r="J695" s="91"/>
      <c r="K695" s="91"/>
    </row>
    <row r="696" spans="1:11">
      <c r="A696" s="91">
        <v>694</v>
      </c>
      <c r="B696" s="91" t="s">
        <v>1817</v>
      </c>
      <c r="C696" s="91">
        <v>1238</v>
      </c>
      <c r="D696" s="91" t="s">
        <v>1818</v>
      </c>
      <c r="E696" s="91"/>
      <c r="F696" s="91"/>
      <c r="G696" s="91"/>
      <c r="H696" s="91"/>
      <c r="I696" s="91"/>
      <c r="J696" s="91"/>
      <c r="K696" s="91"/>
    </row>
    <row r="697" spans="1:11">
      <c r="A697" s="91">
        <v>695</v>
      </c>
      <c r="B697" s="91" t="s">
        <v>1817</v>
      </c>
      <c r="C697" s="91">
        <v>1238</v>
      </c>
      <c r="D697" s="91" t="s">
        <v>1818</v>
      </c>
      <c r="E697" s="91"/>
      <c r="F697" s="91"/>
      <c r="G697" s="91"/>
      <c r="H697" s="91"/>
      <c r="I697" s="91"/>
      <c r="J697" s="91"/>
      <c r="K697" s="91"/>
    </row>
    <row r="698" spans="1:11">
      <c r="A698" s="91">
        <v>696</v>
      </c>
      <c r="B698" s="91" t="s">
        <v>1817</v>
      </c>
      <c r="C698" s="91">
        <v>2717</v>
      </c>
      <c r="D698" s="91" t="s">
        <v>1818</v>
      </c>
      <c r="E698" s="91"/>
      <c r="F698" s="91"/>
      <c r="G698" s="91"/>
      <c r="H698" s="91"/>
      <c r="I698" s="91"/>
      <c r="J698" s="91"/>
      <c r="K698" s="91"/>
    </row>
    <row r="699" spans="1:11">
      <c r="A699" s="91">
        <v>697</v>
      </c>
      <c r="B699" s="91" t="s">
        <v>1817</v>
      </c>
      <c r="C699" s="91">
        <v>2717</v>
      </c>
      <c r="D699" s="91" t="s">
        <v>1818</v>
      </c>
      <c r="E699" s="91"/>
      <c r="F699" s="91"/>
      <c r="G699" s="91"/>
      <c r="H699" s="91"/>
      <c r="I699" s="91"/>
      <c r="J699" s="91"/>
      <c r="K699" s="91"/>
    </row>
    <row r="700" spans="1:11">
      <c r="A700" s="91">
        <v>698</v>
      </c>
      <c r="B700" s="91" t="s">
        <v>1817</v>
      </c>
      <c r="C700" s="91">
        <v>1238</v>
      </c>
      <c r="D700" s="91" t="s">
        <v>1818</v>
      </c>
      <c r="E700" s="91"/>
      <c r="F700" s="91"/>
      <c r="G700" s="91"/>
      <c r="H700" s="91"/>
      <c r="I700" s="91"/>
      <c r="J700" s="91"/>
      <c r="K700" s="91"/>
    </row>
    <row r="701" spans="1:11">
      <c r="A701" s="91">
        <v>699</v>
      </c>
      <c r="B701" s="91" t="s">
        <v>1817</v>
      </c>
      <c r="C701" s="91">
        <v>2717</v>
      </c>
      <c r="D701" s="91" t="s">
        <v>1818</v>
      </c>
      <c r="E701" s="91"/>
      <c r="F701" s="91"/>
      <c r="G701" s="91"/>
      <c r="H701" s="91"/>
      <c r="I701" s="91"/>
      <c r="J701" s="91"/>
      <c r="K701" s="91"/>
    </row>
    <row r="702" spans="1:11">
      <c r="A702" s="91">
        <v>700</v>
      </c>
      <c r="B702" s="91" t="s">
        <v>1817</v>
      </c>
      <c r="C702" s="91">
        <v>1238</v>
      </c>
      <c r="D702" s="91" t="s">
        <v>1818</v>
      </c>
      <c r="E702" s="91"/>
      <c r="F702" s="91"/>
      <c r="G702" s="91"/>
      <c r="H702" s="91"/>
      <c r="I702" s="91"/>
      <c r="J702" s="91"/>
      <c r="K702" s="91"/>
    </row>
    <row r="703" spans="1:11">
      <c r="A703" s="91">
        <v>701</v>
      </c>
      <c r="B703" s="91" t="s">
        <v>1817</v>
      </c>
      <c r="C703" s="91">
        <v>1433</v>
      </c>
      <c r="D703" s="91" t="s">
        <v>1818</v>
      </c>
      <c r="E703" s="91"/>
      <c r="F703" s="91"/>
      <c r="G703" s="91"/>
      <c r="H703" s="91"/>
      <c r="I703" s="91"/>
      <c r="J703" s="91"/>
      <c r="K703" s="91"/>
    </row>
    <row r="704" spans="1:11">
      <c r="A704" s="91">
        <v>702</v>
      </c>
      <c r="B704" s="91" t="s">
        <v>1817</v>
      </c>
      <c r="C704" s="91">
        <v>2642</v>
      </c>
      <c r="D704" s="91" t="s">
        <v>1818</v>
      </c>
      <c r="E704" s="91"/>
      <c r="F704" s="91"/>
      <c r="G704" s="91"/>
      <c r="H704" s="91"/>
      <c r="I704" s="91"/>
      <c r="J704" s="91"/>
      <c r="K704" s="91"/>
    </row>
    <row r="705" spans="1:11">
      <c r="A705" s="91">
        <v>703</v>
      </c>
      <c r="B705" s="91" t="s">
        <v>1817</v>
      </c>
      <c r="C705" s="91">
        <v>1238</v>
      </c>
      <c r="D705" s="91" t="s">
        <v>1818</v>
      </c>
      <c r="E705" s="91"/>
      <c r="F705" s="91"/>
      <c r="G705" s="91"/>
      <c r="H705" s="91"/>
      <c r="I705" s="91"/>
      <c r="J705" s="91"/>
      <c r="K705" s="91"/>
    </row>
    <row r="706" spans="1:11">
      <c r="A706" s="91">
        <v>704</v>
      </c>
      <c r="B706" s="91" t="s">
        <v>1817</v>
      </c>
      <c r="C706" s="91">
        <v>1433</v>
      </c>
      <c r="D706" s="91" t="s">
        <v>1818</v>
      </c>
      <c r="E706" s="91"/>
      <c r="F706" s="91"/>
      <c r="G706" s="91"/>
      <c r="H706" s="91"/>
      <c r="I706" s="91"/>
      <c r="J706" s="91"/>
      <c r="K706" s="91"/>
    </row>
    <row r="707" spans="1:11">
      <c r="A707" s="91">
        <v>705</v>
      </c>
      <c r="B707" s="91" t="s">
        <v>1817</v>
      </c>
      <c r="C707" s="91">
        <v>1238</v>
      </c>
      <c r="D707" s="91" t="s">
        <v>1818</v>
      </c>
      <c r="E707" s="91"/>
      <c r="F707" s="91"/>
      <c r="G707" s="91"/>
      <c r="H707" s="91"/>
      <c r="I707" s="91"/>
      <c r="J707" s="91"/>
      <c r="K707" s="91"/>
    </row>
    <row r="708" spans="1:11">
      <c r="A708" s="91">
        <v>706</v>
      </c>
      <c r="B708" s="91" t="s">
        <v>1817</v>
      </c>
      <c r="C708" s="91">
        <v>2717</v>
      </c>
      <c r="D708" s="91" t="s">
        <v>1818</v>
      </c>
      <c r="E708" s="91"/>
      <c r="F708" s="91"/>
      <c r="G708" s="91"/>
      <c r="H708" s="91"/>
      <c r="I708" s="91"/>
      <c r="J708" s="91"/>
      <c r="K708" s="91"/>
    </row>
    <row r="709" spans="1:11">
      <c r="A709" s="91">
        <v>707</v>
      </c>
      <c r="B709" s="91" t="s">
        <v>1817</v>
      </c>
      <c r="C709" s="91">
        <v>2642</v>
      </c>
      <c r="D709" s="91" t="s">
        <v>1818</v>
      </c>
      <c r="E709" s="91"/>
      <c r="F709" s="91"/>
      <c r="G709" s="91"/>
      <c r="H709" s="91"/>
      <c r="I709" s="91"/>
      <c r="J709" s="91"/>
      <c r="K709" s="91"/>
    </row>
    <row r="710" spans="1:11">
      <c r="A710" s="91">
        <v>708</v>
      </c>
      <c r="B710" s="91" t="s">
        <v>1817</v>
      </c>
      <c r="C710" s="91">
        <v>1230</v>
      </c>
      <c r="D710" s="91" t="s">
        <v>1818</v>
      </c>
      <c r="E710" s="91"/>
      <c r="F710" s="91"/>
      <c r="G710" s="91"/>
      <c r="H710" s="91"/>
      <c r="I710" s="91"/>
      <c r="J710" s="91"/>
      <c r="K710" s="91"/>
    </row>
    <row r="711" spans="1:11">
      <c r="A711" s="91">
        <v>709</v>
      </c>
      <c r="B711" s="91" t="s">
        <v>1817</v>
      </c>
      <c r="C711" s="91">
        <v>2011</v>
      </c>
      <c r="D711" s="91" t="s">
        <v>1818</v>
      </c>
      <c r="E711" s="91"/>
      <c r="F711" s="91"/>
      <c r="G711" s="91"/>
      <c r="H711" s="91"/>
      <c r="I711" s="91"/>
      <c r="J711" s="91"/>
      <c r="K711" s="91"/>
    </row>
    <row r="712" spans="1:11">
      <c r="A712" s="91">
        <v>710</v>
      </c>
      <c r="B712" s="91" t="s">
        <v>1817</v>
      </c>
      <c r="C712" s="91">
        <v>2642</v>
      </c>
      <c r="D712" s="91" t="s">
        <v>1818</v>
      </c>
      <c r="E712" s="91"/>
      <c r="F712" s="91"/>
      <c r="G712" s="91"/>
      <c r="H712" s="91"/>
      <c r="I712" s="91"/>
      <c r="J712" s="91"/>
      <c r="K712" s="91"/>
    </row>
    <row r="713" spans="1:11">
      <c r="A713" s="91">
        <v>711</v>
      </c>
      <c r="B713" s="91" t="s">
        <v>1817</v>
      </c>
      <c r="C713" s="91">
        <v>1230</v>
      </c>
      <c r="D713" s="91" t="s">
        <v>1818</v>
      </c>
      <c r="E713" s="91"/>
      <c r="F713" s="91"/>
      <c r="G713" s="91"/>
      <c r="H713" s="91"/>
      <c r="I713" s="91"/>
      <c r="J713" s="91"/>
      <c r="K713" s="91"/>
    </row>
    <row r="714" spans="1:11">
      <c r="A714" s="91">
        <v>712</v>
      </c>
      <c r="B714" s="91" t="s">
        <v>1817</v>
      </c>
      <c r="C714" s="91">
        <v>1238</v>
      </c>
      <c r="D714" s="91" t="s">
        <v>1818</v>
      </c>
      <c r="E714" s="91"/>
      <c r="F714" s="91"/>
      <c r="G714" s="91"/>
      <c r="H714" s="91"/>
      <c r="I714" s="91"/>
      <c r="J714" s="91"/>
      <c r="K714" s="91"/>
    </row>
    <row r="715" spans="1:11">
      <c r="A715" s="91">
        <v>713</v>
      </c>
      <c r="B715" s="91" t="s">
        <v>1817</v>
      </c>
      <c r="C715" s="91">
        <v>726</v>
      </c>
      <c r="D715" s="91" t="s">
        <v>1818</v>
      </c>
      <c r="E715" s="91"/>
      <c r="F715" s="91"/>
      <c r="G715" s="91"/>
      <c r="H715" s="91"/>
      <c r="I715" s="91"/>
      <c r="J715" s="91"/>
      <c r="K715" s="91"/>
    </row>
    <row r="716" spans="1:11">
      <c r="A716" s="91">
        <v>714</v>
      </c>
      <c r="B716" s="91" t="s">
        <v>1817</v>
      </c>
      <c r="C716" s="91">
        <v>1238</v>
      </c>
      <c r="D716" s="91" t="s">
        <v>1818</v>
      </c>
      <c r="E716" s="91"/>
      <c r="F716" s="91"/>
      <c r="G716" s="91"/>
      <c r="H716" s="91"/>
      <c r="I716" s="91"/>
      <c r="J716" s="91"/>
      <c r="K716" s="91"/>
    </row>
    <row r="717" spans="1:11">
      <c r="A717" s="91">
        <v>715</v>
      </c>
      <c r="B717" s="91" t="s">
        <v>1817</v>
      </c>
      <c r="C717" s="91">
        <v>2717</v>
      </c>
      <c r="D717" s="91" t="s">
        <v>1818</v>
      </c>
      <c r="E717" s="91"/>
      <c r="F717" s="91"/>
      <c r="G717" s="91"/>
      <c r="H717" s="91"/>
      <c r="I717" s="91"/>
      <c r="J717" s="91"/>
      <c r="K717" s="91"/>
    </row>
    <row r="718" spans="1:11">
      <c r="A718" s="91">
        <v>716</v>
      </c>
      <c r="B718" s="91" t="s">
        <v>1817</v>
      </c>
      <c r="C718" s="91">
        <v>2642</v>
      </c>
      <c r="D718" s="91" t="s">
        <v>1818</v>
      </c>
      <c r="E718" s="91"/>
      <c r="F718" s="91"/>
      <c r="G718" s="91"/>
      <c r="H718" s="91"/>
      <c r="I718" s="91"/>
      <c r="J718" s="91"/>
      <c r="K718" s="91"/>
    </row>
    <row r="719" spans="1:11">
      <c r="A719" s="91">
        <v>717</v>
      </c>
      <c r="B719" s="91" t="s">
        <v>1817</v>
      </c>
      <c r="C719" s="91">
        <v>726</v>
      </c>
      <c r="D719" s="91" t="s">
        <v>1818</v>
      </c>
      <c r="E719" s="91"/>
      <c r="F719" s="91"/>
      <c r="G719" s="91"/>
      <c r="H719" s="91"/>
      <c r="I719" s="91"/>
      <c r="J719" s="91"/>
      <c r="K719" s="91"/>
    </row>
    <row r="720" spans="1:11">
      <c r="A720" s="91">
        <v>718</v>
      </c>
      <c r="B720" s="91" t="s">
        <v>1817</v>
      </c>
      <c r="C720" s="91">
        <v>2813</v>
      </c>
      <c r="D720" s="91" t="s">
        <v>1818</v>
      </c>
      <c r="E720" s="91"/>
      <c r="F720" s="91"/>
      <c r="G720" s="91"/>
      <c r="H720" s="91"/>
      <c r="I720" s="91"/>
      <c r="J720" s="91"/>
      <c r="K720" s="91"/>
    </row>
    <row r="721" spans="1:11">
      <c r="A721" s="91">
        <v>719</v>
      </c>
      <c r="B721" s="91" t="s">
        <v>1817</v>
      </c>
      <c r="C721" s="91">
        <v>1433</v>
      </c>
      <c r="D721" s="91" t="s">
        <v>1818</v>
      </c>
      <c r="E721" s="91"/>
      <c r="F721" s="91"/>
      <c r="G721" s="91"/>
      <c r="H721" s="91"/>
      <c r="I721" s="91"/>
      <c r="J721" s="91"/>
      <c r="K721" s="91"/>
    </row>
    <row r="722" spans="1:11">
      <c r="A722" s="91">
        <v>720</v>
      </c>
      <c r="B722" s="91" t="s">
        <v>1817</v>
      </c>
      <c r="C722" s="91">
        <v>1238</v>
      </c>
      <c r="D722" s="91" t="s">
        <v>1818</v>
      </c>
      <c r="E722" s="91"/>
      <c r="F722" s="91"/>
      <c r="G722" s="91"/>
      <c r="H722" s="91"/>
      <c r="I722" s="91"/>
      <c r="J722" s="91"/>
      <c r="K722" s="91"/>
    </row>
    <row r="723" spans="1:11">
      <c r="A723" s="91">
        <v>721</v>
      </c>
      <c r="B723" s="91" t="s">
        <v>1817</v>
      </c>
      <c r="C723" s="91">
        <v>2717</v>
      </c>
      <c r="D723" s="91" t="s">
        <v>1818</v>
      </c>
      <c r="E723" s="91"/>
      <c r="F723" s="91"/>
      <c r="G723" s="91"/>
      <c r="H723" s="91"/>
      <c r="I723" s="91"/>
      <c r="J723" s="91"/>
      <c r="K723" s="91"/>
    </row>
    <row r="724" spans="1:11">
      <c r="A724" s="91">
        <v>722</v>
      </c>
      <c r="B724" s="91" t="s">
        <v>1817</v>
      </c>
      <c r="C724" s="91">
        <v>2642</v>
      </c>
      <c r="D724" s="91" t="s">
        <v>1818</v>
      </c>
      <c r="E724" s="91"/>
      <c r="F724" s="91"/>
      <c r="G724" s="91"/>
      <c r="H724" s="91"/>
      <c r="I724" s="91"/>
      <c r="J724" s="91"/>
      <c r="K724" s="91"/>
    </row>
    <row r="725" spans="1:11">
      <c r="A725" s="91">
        <v>723</v>
      </c>
      <c r="B725" s="91" t="s">
        <v>1817</v>
      </c>
      <c r="C725" s="91">
        <v>2813</v>
      </c>
      <c r="D725" s="91" t="s">
        <v>1818</v>
      </c>
      <c r="E725" s="91"/>
      <c r="F725" s="91"/>
      <c r="G725" s="91"/>
      <c r="H725" s="91"/>
      <c r="I725" s="91"/>
      <c r="J725" s="91"/>
      <c r="K725" s="91"/>
    </row>
    <row r="726" spans="1:11">
      <c r="A726" s="91">
        <v>724</v>
      </c>
      <c r="B726" s="91" t="s">
        <v>1817</v>
      </c>
      <c r="C726" s="91">
        <v>1433</v>
      </c>
      <c r="D726" s="91" t="s">
        <v>1818</v>
      </c>
      <c r="E726" s="91"/>
      <c r="F726" s="91"/>
      <c r="G726" s="91"/>
      <c r="H726" s="91"/>
      <c r="I726" s="91"/>
      <c r="J726" s="91"/>
      <c r="K726" s="91"/>
    </row>
    <row r="727" spans="1:11">
      <c r="A727" s="91">
        <v>725</v>
      </c>
      <c r="B727" s="91" t="s">
        <v>1817</v>
      </c>
      <c r="C727" s="91">
        <v>1238</v>
      </c>
      <c r="D727" s="91" t="s">
        <v>1818</v>
      </c>
      <c r="E727" s="91"/>
      <c r="F727" s="91"/>
      <c r="G727" s="91"/>
      <c r="H727" s="91"/>
      <c r="I727" s="91"/>
      <c r="J727" s="91"/>
      <c r="K727" s="91"/>
    </row>
    <row r="728" spans="1:11">
      <c r="A728" s="91">
        <v>726</v>
      </c>
      <c r="B728" s="91" t="s">
        <v>1817</v>
      </c>
      <c r="C728" s="91">
        <v>2717</v>
      </c>
      <c r="D728" s="91" t="s">
        <v>1818</v>
      </c>
      <c r="E728" s="91"/>
      <c r="F728" s="91"/>
      <c r="G728" s="91"/>
      <c r="H728" s="91"/>
      <c r="I728" s="91"/>
      <c r="J728" s="91"/>
      <c r="K728" s="91"/>
    </row>
    <row r="729" spans="1:11">
      <c r="A729" s="91">
        <v>727</v>
      </c>
      <c r="B729" s="91" t="s">
        <v>1817</v>
      </c>
      <c r="C729" s="91">
        <v>2717</v>
      </c>
      <c r="D729" s="91" t="s">
        <v>1818</v>
      </c>
      <c r="E729" s="91"/>
      <c r="F729" s="91"/>
      <c r="G729" s="91"/>
      <c r="H729" s="91"/>
      <c r="I729" s="91"/>
      <c r="J729" s="91"/>
      <c r="K729" s="91"/>
    </row>
    <row r="730" spans="1:11">
      <c r="A730" s="91">
        <v>728</v>
      </c>
      <c r="B730" s="91" t="s">
        <v>1817</v>
      </c>
      <c r="C730" s="91">
        <v>726</v>
      </c>
      <c r="D730" s="91" t="s">
        <v>1818</v>
      </c>
      <c r="E730" s="91"/>
      <c r="F730" s="91"/>
      <c r="G730" s="91"/>
      <c r="H730" s="91"/>
      <c r="I730" s="91"/>
      <c r="J730" s="91"/>
      <c r="K730" s="91"/>
    </row>
    <row r="731" spans="1:11">
      <c r="A731" s="91">
        <v>729</v>
      </c>
      <c r="B731" s="91" t="s">
        <v>1817</v>
      </c>
      <c r="C731" s="91">
        <v>2813</v>
      </c>
      <c r="D731" s="91" t="s">
        <v>1818</v>
      </c>
      <c r="E731" s="91"/>
      <c r="F731" s="91"/>
      <c r="G731" s="91"/>
      <c r="H731" s="91"/>
      <c r="I731" s="91"/>
      <c r="J731" s="91"/>
      <c r="K731" s="91"/>
    </row>
    <row r="732" spans="1:11">
      <c r="A732" s="91">
        <v>730</v>
      </c>
      <c r="B732" s="91" t="s">
        <v>1817</v>
      </c>
      <c r="C732" s="91">
        <v>1433</v>
      </c>
      <c r="D732" s="91" t="s">
        <v>1818</v>
      </c>
      <c r="E732" s="91"/>
      <c r="F732" s="91"/>
      <c r="G732" s="91"/>
      <c r="H732" s="91"/>
      <c r="I732" s="91"/>
      <c r="J732" s="91"/>
      <c r="K732" s="91"/>
    </row>
    <row r="733" spans="1:11">
      <c r="A733" s="91">
        <v>731</v>
      </c>
      <c r="B733" s="91" t="s">
        <v>1817</v>
      </c>
      <c r="C733" s="91">
        <v>1238</v>
      </c>
      <c r="D733" s="91" t="s">
        <v>1818</v>
      </c>
      <c r="E733" s="91"/>
      <c r="F733" s="91"/>
      <c r="G733" s="91"/>
      <c r="H733" s="91"/>
      <c r="I733" s="91"/>
      <c r="J733" s="91"/>
      <c r="K733" s="91"/>
    </row>
    <row r="734" spans="1:11">
      <c r="A734" s="91">
        <v>732</v>
      </c>
      <c r="B734" s="91" t="s">
        <v>1817</v>
      </c>
      <c r="C734" s="91">
        <v>2717</v>
      </c>
      <c r="D734" s="91" t="s">
        <v>1818</v>
      </c>
      <c r="E734" s="91"/>
      <c r="F734" s="91"/>
      <c r="G734" s="91"/>
      <c r="H734" s="91"/>
      <c r="I734" s="91"/>
      <c r="J734" s="91"/>
      <c r="K734" s="91"/>
    </row>
    <row r="735" spans="1:11">
      <c r="A735" s="91">
        <v>733</v>
      </c>
      <c r="B735" s="91" t="s">
        <v>1817</v>
      </c>
      <c r="C735" s="91">
        <v>2642</v>
      </c>
      <c r="D735" s="91" t="s">
        <v>1818</v>
      </c>
      <c r="E735" s="91"/>
      <c r="F735" s="91"/>
      <c r="G735" s="91"/>
      <c r="H735" s="91"/>
      <c r="I735" s="91"/>
      <c r="J735" s="91"/>
      <c r="K735" s="91"/>
    </row>
    <row r="736" spans="1:11">
      <c r="A736" s="91">
        <v>734</v>
      </c>
      <c r="B736" s="91" t="s">
        <v>1817</v>
      </c>
      <c r="C736" s="91">
        <v>1433</v>
      </c>
      <c r="D736" s="91" t="s">
        <v>1818</v>
      </c>
      <c r="E736" s="91"/>
      <c r="F736" s="91"/>
      <c r="G736" s="91"/>
      <c r="H736" s="91"/>
      <c r="I736" s="91"/>
      <c r="J736" s="91"/>
      <c r="K736" s="91"/>
    </row>
    <row r="737" spans="1:11">
      <c r="A737" s="91">
        <v>735</v>
      </c>
      <c r="B737" s="91" t="s">
        <v>1817</v>
      </c>
      <c r="C737" s="91">
        <v>1238</v>
      </c>
      <c r="D737" s="91" t="s">
        <v>1818</v>
      </c>
      <c r="E737" s="91"/>
      <c r="F737" s="91"/>
      <c r="G737" s="91"/>
      <c r="H737" s="91"/>
      <c r="I737" s="91"/>
      <c r="J737" s="91"/>
      <c r="K737" s="91"/>
    </row>
    <row r="738" spans="1:11">
      <c r="A738" s="91">
        <v>736</v>
      </c>
      <c r="B738" s="91" t="s">
        <v>1817</v>
      </c>
      <c r="C738" s="91">
        <v>2717</v>
      </c>
      <c r="D738" s="91" t="s">
        <v>1818</v>
      </c>
      <c r="E738" s="91"/>
      <c r="F738" s="91"/>
      <c r="G738" s="91"/>
      <c r="H738" s="91"/>
      <c r="I738" s="91"/>
      <c r="J738" s="91"/>
      <c r="K738" s="91"/>
    </row>
    <row r="739" spans="1:11">
      <c r="A739" s="91">
        <v>737</v>
      </c>
      <c r="B739" s="91" t="s">
        <v>1817</v>
      </c>
      <c r="C739" s="91">
        <v>2642</v>
      </c>
      <c r="D739" s="91" t="s">
        <v>1818</v>
      </c>
      <c r="E739" s="91"/>
      <c r="F739" s="91"/>
      <c r="G739" s="91"/>
      <c r="H739" s="91"/>
      <c r="I739" s="91"/>
      <c r="J739" s="91"/>
      <c r="K739" s="91"/>
    </row>
    <row r="740" spans="1:11">
      <c r="A740" s="91">
        <v>738</v>
      </c>
      <c r="B740" s="91" t="s">
        <v>1817</v>
      </c>
      <c r="C740" s="91">
        <v>1433</v>
      </c>
      <c r="D740" s="91" t="s">
        <v>1818</v>
      </c>
      <c r="E740" s="91"/>
      <c r="F740" s="91"/>
      <c r="G740" s="91"/>
      <c r="H740" s="91"/>
      <c r="I740" s="91"/>
      <c r="J740" s="91"/>
      <c r="K740" s="91"/>
    </row>
    <row r="741" spans="1:11">
      <c r="A741" s="91">
        <v>739</v>
      </c>
      <c r="B741" s="91" t="s">
        <v>1817</v>
      </c>
      <c r="C741" s="91">
        <v>1238</v>
      </c>
      <c r="D741" s="91" t="s">
        <v>1818</v>
      </c>
      <c r="E741" s="91"/>
      <c r="F741" s="91"/>
      <c r="G741" s="91"/>
      <c r="H741" s="91"/>
      <c r="I741" s="91"/>
      <c r="J741" s="91"/>
      <c r="K741" s="91"/>
    </row>
    <row r="742" spans="1:11">
      <c r="A742" s="91">
        <v>740</v>
      </c>
      <c r="B742" s="91" t="s">
        <v>1817</v>
      </c>
      <c r="C742" s="91">
        <v>2717</v>
      </c>
      <c r="D742" s="91" t="s">
        <v>1818</v>
      </c>
      <c r="E742" s="91"/>
      <c r="F742" s="91"/>
      <c r="G742" s="91"/>
      <c r="H742" s="91"/>
      <c r="I742" s="91"/>
      <c r="J742" s="91"/>
      <c r="K742" s="91"/>
    </row>
    <row r="743" spans="1:11">
      <c r="A743" s="91">
        <v>741</v>
      </c>
      <c r="B743" s="91" t="s">
        <v>1817</v>
      </c>
      <c r="C743" s="91">
        <v>2717</v>
      </c>
      <c r="D743" s="91" t="s">
        <v>1818</v>
      </c>
      <c r="E743" s="91"/>
      <c r="F743" s="91"/>
      <c r="G743" s="91"/>
      <c r="H743" s="91"/>
      <c r="I743" s="91"/>
      <c r="J743" s="91"/>
      <c r="K743" s="91"/>
    </row>
    <row r="744" spans="1:11">
      <c r="A744" s="91">
        <v>742</v>
      </c>
      <c r="B744" s="91" t="s">
        <v>1817</v>
      </c>
      <c r="C744" s="91">
        <v>2813</v>
      </c>
      <c r="D744" s="91" t="s">
        <v>1818</v>
      </c>
      <c r="E744" s="91"/>
      <c r="F744" s="91"/>
      <c r="G744" s="91"/>
      <c r="H744" s="91"/>
      <c r="I744" s="91"/>
      <c r="J744" s="91"/>
      <c r="K744" s="91"/>
    </row>
    <row r="745" spans="1:11">
      <c r="A745" s="91">
        <v>743</v>
      </c>
      <c r="B745" s="91" t="s">
        <v>1817</v>
      </c>
      <c r="C745" s="91">
        <v>1433</v>
      </c>
      <c r="D745" s="91" t="s">
        <v>1818</v>
      </c>
      <c r="E745" s="91"/>
      <c r="F745" s="91"/>
      <c r="G745" s="91"/>
      <c r="H745" s="91"/>
      <c r="I745" s="91"/>
      <c r="J745" s="91"/>
      <c r="K745" s="91"/>
    </row>
    <row r="746" spans="1:11">
      <c r="A746" s="91">
        <v>744</v>
      </c>
      <c r="B746" s="91" t="s">
        <v>1817</v>
      </c>
      <c r="C746" s="91">
        <v>1238</v>
      </c>
      <c r="D746" s="91" t="s">
        <v>1818</v>
      </c>
      <c r="E746" s="91"/>
      <c r="F746" s="91"/>
      <c r="G746" s="91"/>
      <c r="H746" s="91"/>
      <c r="I746" s="91"/>
      <c r="J746" s="91"/>
      <c r="K746" s="91"/>
    </row>
    <row r="747" spans="1:11">
      <c r="A747" s="91">
        <v>745</v>
      </c>
      <c r="B747" s="91" t="s">
        <v>1817</v>
      </c>
      <c r="C747" s="91">
        <v>2717</v>
      </c>
      <c r="D747" s="91" t="s">
        <v>1818</v>
      </c>
      <c r="E747" s="91"/>
      <c r="F747" s="91"/>
      <c r="G747" s="91"/>
      <c r="H747" s="91"/>
      <c r="I747" s="91"/>
      <c r="J747" s="91"/>
      <c r="K747" s="91"/>
    </row>
    <row r="748" spans="1:11">
      <c r="A748" s="91">
        <v>746</v>
      </c>
      <c r="B748" s="91" t="s">
        <v>1817</v>
      </c>
      <c r="C748" s="91">
        <v>2642</v>
      </c>
      <c r="D748" s="91" t="s">
        <v>1818</v>
      </c>
      <c r="E748" s="91"/>
      <c r="F748" s="91"/>
      <c r="G748" s="91"/>
      <c r="H748" s="91"/>
      <c r="I748" s="91"/>
      <c r="J748" s="91"/>
      <c r="K748" s="91"/>
    </row>
    <row r="749" spans="1:11">
      <c r="A749" s="91">
        <v>747</v>
      </c>
      <c r="B749" s="91" t="s">
        <v>1817</v>
      </c>
      <c r="C749" s="91">
        <v>2811</v>
      </c>
      <c r="D749" s="91" t="s">
        <v>1818</v>
      </c>
      <c r="E749" s="91"/>
      <c r="F749" s="91"/>
      <c r="G749" s="91"/>
      <c r="H749" s="91"/>
      <c r="I749" s="91"/>
      <c r="J749" s="91"/>
      <c r="K749" s="91"/>
    </row>
    <row r="750" spans="1:11">
      <c r="A750" s="91">
        <v>748</v>
      </c>
      <c r="B750" s="91" t="s">
        <v>1817</v>
      </c>
      <c r="C750" s="91">
        <v>2811</v>
      </c>
      <c r="D750" s="91" t="s">
        <v>1818</v>
      </c>
      <c r="E750" s="91"/>
      <c r="F750" s="91"/>
      <c r="G750" s="91"/>
      <c r="H750" s="91"/>
      <c r="I750" s="91"/>
      <c r="J750" s="91"/>
      <c r="K750" s="91"/>
    </row>
    <row r="751" spans="1:11">
      <c r="A751" s="91">
        <v>749</v>
      </c>
      <c r="B751" s="91" t="s">
        <v>1817</v>
      </c>
      <c r="C751" s="91">
        <v>2811</v>
      </c>
      <c r="D751" s="91" t="s">
        <v>1818</v>
      </c>
      <c r="E751" s="91"/>
      <c r="F751" s="91"/>
      <c r="G751" s="91"/>
      <c r="H751" s="91"/>
      <c r="I751" s="91"/>
      <c r="J751" s="91"/>
      <c r="K751" s="91"/>
    </row>
    <row r="752" spans="1:11">
      <c r="A752" s="91">
        <v>750</v>
      </c>
      <c r="B752" s="91" t="s">
        <v>1817</v>
      </c>
      <c r="C752" s="91">
        <v>2811</v>
      </c>
      <c r="D752" s="91" t="s">
        <v>1818</v>
      </c>
      <c r="E752" s="91"/>
      <c r="F752" s="91"/>
      <c r="G752" s="91"/>
      <c r="H752" s="91"/>
      <c r="I752" s="91"/>
      <c r="J752" s="91"/>
      <c r="K752" s="91"/>
    </row>
    <row r="753" spans="1:11">
      <c r="A753" s="91">
        <v>751</v>
      </c>
      <c r="B753" s="91" t="s">
        <v>1817</v>
      </c>
      <c r="C753" s="91">
        <v>2811</v>
      </c>
      <c r="D753" s="91" t="s">
        <v>1818</v>
      </c>
      <c r="E753" s="91"/>
      <c r="F753" s="91"/>
      <c r="G753" s="91"/>
      <c r="H753" s="91"/>
      <c r="I753" s="91"/>
      <c r="J753" s="91"/>
      <c r="K753" s="91"/>
    </row>
    <row r="754" spans="1:11">
      <c r="A754" s="91">
        <v>752</v>
      </c>
      <c r="B754" s="91" t="s">
        <v>1817</v>
      </c>
      <c r="C754" s="91">
        <v>2811</v>
      </c>
      <c r="D754" s="91" t="s">
        <v>1818</v>
      </c>
      <c r="E754" s="91"/>
      <c r="F754" s="91"/>
      <c r="G754" s="91"/>
      <c r="H754" s="91"/>
      <c r="I754" s="91"/>
      <c r="J754" s="91"/>
      <c r="K754" s="91"/>
    </row>
    <row r="755" spans="1:11">
      <c r="A755" s="91">
        <v>753</v>
      </c>
      <c r="B755" s="91" t="s">
        <v>1817</v>
      </c>
      <c r="C755" s="91">
        <v>2811</v>
      </c>
      <c r="D755" s="91" t="s">
        <v>1818</v>
      </c>
      <c r="E755" s="91"/>
      <c r="F755" s="91"/>
      <c r="G755" s="91"/>
      <c r="H755" s="91"/>
      <c r="I755" s="91"/>
      <c r="J755" s="91"/>
      <c r="K755" s="91"/>
    </row>
    <row r="756" spans="1:11">
      <c r="A756" s="91">
        <v>754</v>
      </c>
      <c r="B756" s="91" t="s">
        <v>1817</v>
      </c>
      <c r="C756" s="91">
        <v>2811</v>
      </c>
      <c r="D756" s="91" t="s">
        <v>1818</v>
      </c>
      <c r="E756" s="91"/>
      <c r="F756" s="91"/>
      <c r="G756" s="91"/>
      <c r="H756" s="91"/>
      <c r="I756" s="91"/>
      <c r="J756" s="91"/>
      <c r="K756" s="91"/>
    </row>
    <row r="757" spans="1:11">
      <c r="A757" s="91">
        <v>755</v>
      </c>
      <c r="B757" s="91" t="s">
        <v>1817</v>
      </c>
      <c r="C757" s="91">
        <v>2811</v>
      </c>
      <c r="D757" s="91" t="s">
        <v>1818</v>
      </c>
      <c r="E757" s="91"/>
      <c r="F757" s="91"/>
      <c r="G757" s="91"/>
      <c r="H757" s="91"/>
      <c r="I757" s="91"/>
      <c r="J757" s="91"/>
      <c r="K757" s="91"/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6240-E3BE-4BCF-96BE-830437598C60}">
  <sheetPr codeName="Sheet30"/>
  <dimension ref="A1:K757"/>
  <sheetViews>
    <sheetView topLeftCell="A71" workbookViewId="0">
      <selection activeCell="E8" sqref="E8"/>
    </sheetView>
  </sheetViews>
  <sheetFormatPr defaultColWidth="7.42578125" defaultRowHeight="15"/>
  <cols>
    <col min="1" max="1" width="25.85546875" style="1" bestFit="1" customWidth="1"/>
    <col min="2" max="2" width="18.42578125" style="1" bestFit="1" customWidth="1"/>
    <col min="3" max="3" width="19.7109375" style="1" bestFit="1" customWidth="1"/>
    <col min="4" max="4" width="18.42578125" style="1" bestFit="1" customWidth="1"/>
    <col min="5" max="5" width="44.42578125" style="1" bestFit="1" customWidth="1"/>
    <col min="6" max="6" width="10.85546875" style="1" bestFit="1" customWidth="1"/>
    <col min="7" max="7" width="9.140625" style="1" bestFit="1" customWidth="1"/>
    <col min="8" max="8" width="18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7.42578125" style="1"/>
  </cols>
  <sheetData>
    <row r="1" spans="1:11">
      <c r="A1" s="9" t="s">
        <v>0</v>
      </c>
      <c r="B1" s="9" t="s">
        <v>459</v>
      </c>
      <c r="C1" s="9" t="s">
        <v>413</v>
      </c>
      <c r="D1" s="9" t="s">
        <v>457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1332</v>
      </c>
      <c r="D2" s="9" t="s">
        <v>1331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  <row r="3" spans="1:11">
      <c r="A3" s="91">
        <v>1</v>
      </c>
      <c r="B3" s="91">
        <v>1</v>
      </c>
      <c r="C3" s="91"/>
      <c r="D3" s="91">
        <v>1901</v>
      </c>
      <c r="E3" s="19" t="s">
        <v>1531</v>
      </c>
      <c r="F3" s="19">
        <f>_xlfn.XLOOKUP(batch_works35[[#This Row],[description]],Table14[name],Table14[id])</f>
        <v>11</v>
      </c>
      <c r="G3" s="19"/>
      <c r="H3" s="19"/>
      <c r="I3" s="19"/>
      <c r="J3" s="19"/>
      <c r="K3" s="19"/>
    </row>
    <row r="4" spans="1:11">
      <c r="A4" s="91">
        <v>2</v>
      </c>
      <c r="B4" s="91">
        <v>2</v>
      </c>
      <c r="C4" s="91"/>
      <c r="D4" s="91">
        <v>1906</v>
      </c>
      <c r="E4" s="19" t="s">
        <v>1561</v>
      </c>
      <c r="F4" s="19">
        <f>_xlfn.XLOOKUP(batch_works35[[#This Row],[description]],Table14[name],Table14[id])</f>
        <v>30</v>
      </c>
      <c r="G4" s="19"/>
      <c r="H4" s="19"/>
      <c r="I4" s="19"/>
      <c r="J4" s="19"/>
      <c r="K4" s="19"/>
    </row>
    <row r="5" spans="1:11">
      <c r="A5" s="91">
        <v>3</v>
      </c>
      <c r="B5" s="91">
        <v>3</v>
      </c>
      <c r="C5" s="91"/>
      <c r="D5" s="91">
        <v>1906</v>
      </c>
      <c r="E5" s="19" t="s">
        <v>1819</v>
      </c>
      <c r="F5" s="19" t="e">
        <f>_xlfn.XLOOKUP(batch_works35[[#This Row],[description]],Table14[name],Table14[id])</f>
        <v>#N/A</v>
      </c>
      <c r="G5" s="19"/>
      <c r="H5" s="19"/>
      <c r="I5" s="19"/>
      <c r="J5" s="19"/>
      <c r="K5" s="19"/>
    </row>
    <row r="6" spans="1:11">
      <c r="A6" s="91">
        <v>4</v>
      </c>
      <c r="B6" s="91">
        <v>4</v>
      </c>
      <c r="C6" s="91"/>
      <c r="D6" s="91">
        <v>1906</v>
      </c>
      <c r="E6" s="19" t="s">
        <v>1819</v>
      </c>
      <c r="F6" s="19" t="e">
        <f>_xlfn.XLOOKUP(batch_works35[[#This Row],[description]],Table14[name],Table14[id])</f>
        <v>#N/A</v>
      </c>
      <c r="G6" s="19"/>
      <c r="H6" s="19"/>
      <c r="I6" s="19"/>
      <c r="J6" s="19"/>
      <c r="K6" s="19"/>
    </row>
    <row r="7" spans="1:11">
      <c r="A7" s="91">
        <v>5</v>
      </c>
      <c r="B7" s="91">
        <v>5</v>
      </c>
      <c r="C7" s="91"/>
      <c r="D7" s="91">
        <v>1906</v>
      </c>
      <c r="E7" s="19" t="s">
        <v>1820</v>
      </c>
      <c r="F7" s="19" t="e">
        <f>_xlfn.XLOOKUP(batch_works35[[#This Row],[description]],Table14[name],Table14[id])</f>
        <v>#N/A</v>
      </c>
      <c r="G7" s="19"/>
      <c r="H7" s="19"/>
      <c r="I7" s="19"/>
      <c r="J7" s="19"/>
      <c r="K7" s="19"/>
    </row>
    <row r="8" spans="1:11">
      <c r="A8" s="91">
        <v>6</v>
      </c>
      <c r="B8" s="91">
        <v>6</v>
      </c>
      <c r="C8" s="91"/>
      <c r="D8" s="91">
        <v>1909</v>
      </c>
      <c r="E8" s="19" t="s">
        <v>1819</v>
      </c>
      <c r="F8" s="19" t="e">
        <f>_xlfn.XLOOKUP(batch_works35[[#This Row],[description]],Table14[name],Table14[id])</f>
        <v>#N/A</v>
      </c>
      <c r="G8" s="19"/>
      <c r="H8" s="19"/>
      <c r="I8" s="19"/>
      <c r="J8" s="19"/>
      <c r="K8" s="19"/>
    </row>
    <row r="9" spans="1:11">
      <c r="A9" s="91">
        <v>7</v>
      </c>
      <c r="B9" s="91">
        <v>7</v>
      </c>
      <c r="C9" s="91"/>
      <c r="D9" s="91">
        <v>1909</v>
      </c>
      <c r="E9" s="19" t="s">
        <v>1819</v>
      </c>
      <c r="F9" s="19" t="e">
        <f>_xlfn.XLOOKUP(batch_works35[[#This Row],[description]],Table14[name],Table14[id])</f>
        <v>#N/A</v>
      </c>
      <c r="G9" s="19"/>
      <c r="H9" s="19"/>
      <c r="I9" s="19"/>
      <c r="J9" s="19"/>
      <c r="K9" s="19"/>
    </row>
    <row r="10" spans="1:11">
      <c r="A10" s="91">
        <v>8</v>
      </c>
      <c r="B10" s="91">
        <v>8</v>
      </c>
      <c r="C10" s="91"/>
      <c r="D10" s="91">
        <v>1938</v>
      </c>
      <c r="E10" s="19" t="s">
        <v>1819</v>
      </c>
      <c r="F10" s="19" t="e">
        <f>_xlfn.XLOOKUP(batch_works35[[#This Row],[description]],Table14[name],Table14[id])</f>
        <v>#N/A</v>
      </c>
      <c r="G10" s="19"/>
      <c r="H10" s="19"/>
      <c r="I10" s="19"/>
      <c r="J10" s="19"/>
      <c r="K10" s="19"/>
    </row>
    <row r="11" spans="1:11">
      <c r="A11" s="91">
        <v>9</v>
      </c>
      <c r="B11" s="91">
        <v>9</v>
      </c>
      <c r="C11" s="91"/>
      <c r="D11" s="91">
        <v>1938</v>
      </c>
      <c r="E11" s="19" t="s">
        <v>1819</v>
      </c>
      <c r="F11" s="19" t="e">
        <f>_xlfn.XLOOKUP(batch_works35[[#This Row],[description]],Table14[name],Table14[id])</f>
        <v>#N/A</v>
      </c>
      <c r="G11" s="19"/>
      <c r="H11" s="19"/>
      <c r="I11" s="19"/>
      <c r="J11" s="19"/>
      <c r="K11" s="19"/>
    </row>
    <row r="12" spans="1:11">
      <c r="A12" s="91">
        <v>10</v>
      </c>
      <c r="B12" s="91">
        <v>10</v>
      </c>
      <c r="C12" s="91"/>
      <c r="D12" s="91">
        <v>1953</v>
      </c>
      <c r="E12" s="19" t="s">
        <v>1561</v>
      </c>
      <c r="F12" s="19">
        <f>_xlfn.XLOOKUP(batch_works35[[#This Row],[description]],Table14[name],Table14[id])</f>
        <v>30</v>
      </c>
      <c r="G12" s="19"/>
      <c r="H12" s="19"/>
      <c r="I12" s="19"/>
      <c r="J12" s="19"/>
      <c r="K12" s="19"/>
    </row>
    <row r="13" spans="1:11">
      <c r="A13" s="91">
        <v>11</v>
      </c>
      <c r="B13" s="91">
        <v>11</v>
      </c>
      <c r="C13" s="91"/>
      <c r="D13" s="91">
        <v>1953</v>
      </c>
      <c r="E13" s="19" t="s">
        <v>1819</v>
      </c>
      <c r="F13" s="19" t="e">
        <f>_xlfn.XLOOKUP(batch_works35[[#This Row],[description]],Table14[name],Table14[id])</f>
        <v>#N/A</v>
      </c>
      <c r="G13" s="19"/>
      <c r="H13" s="19"/>
      <c r="I13" s="19"/>
      <c r="J13" s="19"/>
      <c r="K13" s="19"/>
    </row>
    <row r="14" spans="1:11">
      <c r="A14" s="91">
        <v>12</v>
      </c>
      <c r="B14" s="91">
        <v>12</v>
      </c>
      <c r="C14" s="91"/>
      <c r="D14" s="91">
        <v>1953</v>
      </c>
      <c r="E14" s="19" t="s">
        <v>1819</v>
      </c>
      <c r="F14" s="19" t="e">
        <f>_xlfn.XLOOKUP(batch_works35[[#This Row],[description]],Table14[name],Table14[id])</f>
        <v>#N/A</v>
      </c>
      <c r="G14" s="19"/>
      <c r="H14" s="19"/>
      <c r="I14" s="19"/>
      <c r="J14" s="19"/>
      <c r="K14" s="19"/>
    </row>
    <row r="15" spans="1:11">
      <c r="A15" s="91">
        <v>13</v>
      </c>
      <c r="B15" s="91">
        <v>13</v>
      </c>
      <c r="C15" s="91"/>
      <c r="D15" s="91">
        <v>1953</v>
      </c>
      <c r="E15" s="19" t="s">
        <v>1820</v>
      </c>
      <c r="F15" s="19" t="e">
        <f>_xlfn.XLOOKUP(batch_works35[[#This Row],[description]],Table14[name],Table14[id])</f>
        <v>#N/A</v>
      </c>
      <c r="G15" s="19"/>
      <c r="H15" s="19"/>
      <c r="I15" s="19"/>
      <c r="J15" s="19"/>
      <c r="K15" s="19"/>
    </row>
    <row r="16" spans="1:11">
      <c r="A16" s="91">
        <v>14</v>
      </c>
      <c r="B16" s="91">
        <v>14</v>
      </c>
      <c r="C16" s="91"/>
      <c r="D16" s="91">
        <v>1970</v>
      </c>
      <c r="E16" s="19" t="s">
        <v>1819</v>
      </c>
      <c r="F16" s="19" t="e">
        <f>_xlfn.XLOOKUP(batch_works35[[#This Row],[description]],Table14[name],Table14[id])</f>
        <v>#N/A</v>
      </c>
      <c r="G16" s="19"/>
      <c r="H16" s="19"/>
      <c r="I16" s="19"/>
      <c r="J16" s="19"/>
      <c r="K16" s="19"/>
    </row>
    <row r="17" spans="1:11">
      <c r="A17" s="91">
        <v>15</v>
      </c>
      <c r="B17" s="91">
        <v>15</v>
      </c>
      <c r="C17" s="91"/>
      <c r="D17" s="91">
        <v>1971</v>
      </c>
      <c r="E17" s="19" t="s">
        <v>1561</v>
      </c>
      <c r="F17" s="19">
        <f>_xlfn.XLOOKUP(batch_works35[[#This Row],[description]],Table14[name],Table14[id])</f>
        <v>30</v>
      </c>
      <c r="G17" s="19"/>
      <c r="H17" s="19"/>
      <c r="I17" s="19"/>
      <c r="J17" s="19"/>
      <c r="K17" s="19"/>
    </row>
    <row r="18" spans="1:11">
      <c r="A18" s="91">
        <v>16</v>
      </c>
      <c r="B18" s="91">
        <v>16</v>
      </c>
      <c r="C18" s="91"/>
      <c r="D18" s="91">
        <v>1971</v>
      </c>
      <c r="E18" s="19" t="s">
        <v>1819</v>
      </c>
      <c r="F18" s="19" t="e">
        <f>_xlfn.XLOOKUP(batch_works35[[#This Row],[description]],Table14[name],Table14[id])</f>
        <v>#N/A</v>
      </c>
      <c r="G18" s="19"/>
      <c r="H18" s="19"/>
      <c r="I18" s="19"/>
      <c r="J18" s="19"/>
      <c r="K18" s="19"/>
    </row>
    <row r="19" spans="1:11">
      <c r="A19" s="91">
        <v>17</v>
      </c>
      <c r="B19" s="91">
        <v>17</v>
      </c>
      <c r="C19" s="91"/>
      <c r="D19" s="91">
        <v>1971</v>
      </c>
      <c r="E19" s="19" t="s">
        <v>1820</v>
      </c>
      <c r="F19" s="19" t="e">
        <f>_xlfn.XLOOKUP(batch_works35[[#This Row],[description]],Table14[name],Table14[id])</f>
        <v>#N/A</v>
      </c>
      <c r="G19" s="19"/>
      <c r="H19" s="19"/>
      <c r="I19" s="19"/>
      <c r="J19" s="19"/>
      <c r="K19" s="19"/>
    </row>
    <row r="20" spans="1:11">
      <c r="A20" s="91">
        <v>18</v>
      </c>
      <c r="B20" s="91">
        <v>18</v>
      </c>
      <c r="C20" s="91"/>
      <c r="D20" s="91">
        <v>1972</v>
      </c>
      <c r="E20" s="19" t="s">
        <v>1561</v>
      </c>
      <c r="F20" s="19">
        <f>_xlfn.XLOOKUP(batch_works35[[#This Row],[description]],Table14[name],Table14[id])</f>
        <v>30</v>
      </c>
      <c r="G20" s="19"/>
      <c r="H20" s="19"/>
      <c r="I20" s="19"/>
      <c r="J20" s="19"/>
      <c r="K20" s="19"/>
    </row>
    <row r="21" spans="1:11">
      <c r="A21" s="91">
        <v>19</v>
      </c>
      <c r="B21" s="91">
        <v>19</v>
      </c>
      <c r="C21" s="91"/>
      <c r="D21" s="91">
        <v>1972</v>
      </c>
      <c r="E21" s="19" t="s">
        <v>1819</v>
      </c>
      <c r="F21" s="19" t="e">
        <f>_xlfn.XLOOKUP(batch_works35[[#This Row],[description]],Table14[name],Table14[id])</f>
        <v>#N/A</v>
      </c>
      <c r="G21" s="19"/>
      <c r="H21" s="19"/>
      <c r="I21" s="19"/>
      <c r="J21" s="19"/>
      <c r="K21" s="19"/>
    </row>
    <row r="22" spans="1:11">
      <c r="A22" s="91">
        <v>20</v>
      </c>
      <c r="B22" s="91">
        <v>20</v>
      </c>
      <c r="C22" s="91"/>
      <c r="D22" s="91">
        <v>1972</v>
      </c>
      <c r="E22" s="19" t="s">
        <v>1819</v>
      </c>
      <c r="F22" s="19" t="e">
        <f>_xlfn.XLOOKUP(batch_works35[[#This Row],[description]],Table14[name],Table14[id])</f>
        <v>#N/A</v>
      </c>
      <c r="G22" s="19"/>
      <c r="H22" s="19"/>
      <c r="I22" s="19"/>
      <c r="J22" s="19"/>
      <c r="K22" s="19"/>
    </row>
    <row r="23" spans="1:11">
      <c r="A23" s="91">
        <v>21</v>
      </c>
      <c r="B23" s="91">
        <v>21</v>
      </c>
      <c r="C23" s="91"/>
      <c r="D23" s="91">
        <v>1972</v>
      </c>
      <c r="E23" s="19" t="s">
        <v>1821</v>
      </c>
      <c r="F23" s="19" t="e">
        <f>_xlfn.XLOOKUP(batch_works35[[#This Row],[description]],Table14[name],Table14[id])</f>
        <v>#N/A</v>
      </c>
      <c r="G23" s="19"/>
      <c r="H23" s="19"/>
      <c r="I23" s="19"/>
      <c r="J23" s="19"/>
      <c r="K23" s="19"/>
    </row>
    <row r="24" spans="1:11">
      <c r="A24" s="91">
        <v>22</v>
      </c>
      <c r="B24" s="91">
        <v>22</v>
      </c>
      <c r="C24" s="91"/>
      <c r="D24" s="91">
        <v>1972</v>
      </c>
      <c r="E24" s="19" t="s">
        <v>1820</v>
      </c>
      <c r="F24" s="19" t="e">
        <f>_xlfn.XLOOKUP(batch_works35[[#This Row],[description]],Table14[name],Table14[id])</f>
        <v>#N/A</v>
      </c>
      <c r="G24" s="19"/>
      <c r="H24" s="19"/>
      <c r="I24" s="19"/>
      <c r="J24" s="19"/>
      <c r="K24" s="19"/>
    </row>
    <row r="25" spans="1:11">
      <c r="A25" s="91">
        <v>23</v>
      </c>
      <c r="B25" s="91">
        <v>23</v>
      </c>
      <c r="C25" s="91"/>
      <c r="D25" s="91">
        <v>1973</v>
      </c>
      <c r="E25" s="19" t="s">
        <v>1820</v>
      </c>
      <c r="F25" s="19" t="e">
        <f>_xlfn.XLOOKUP(batch_works35[[#This Row],[description]],Table14[name],Table14[id])</f>
        <v>#N/A</v>
      </c>
      <c r="G25" s="19"/>
      <c r="H25" s="19"/>
      <c r="I25" s="19"/>
      <c r="J25" s="19"/>
      <c r="K25" s="19"/>
    </row>
    <row r="26" spans="1:11">
      <c r="A26" s="91">
        <v>24</v>
      </c>
      <c r="B26" s="91">
        <v>24</v>
      </c>
      <c r="C26" s="91"/>
      <c r="D26" s="91">
        <v>1977</v>
      </c>
      <c r="E26" s="19" t="s">
        <v>1561</v>
      </c>
      <c r="F26" s="19">
        <f>_xlfn.XLOOKUP(batch_works35[[#This Row],[description]],Table14[name],Table14[id])</f>
        <v>30</v>
      </c>
      <c r="G26" s="19"/>
      <c r="H26" s="19"/>
      <c r="I26" s="19"/>
      <c r="J26" s="19"/>
      <c r="K26" s="19"/>
    </row>
    <row r="27" spans="1:11">
      <c r="A27" s="91">
        <v>25</v>
      </c>
      <c r="B27" s="91">
        <v>25</v>
      </c>
      <c r="C27" s="91"/>
      <c r="D27" s="91">
        <v>1977</v>
      </c>
      <c r="E27" s="19" t="s">
        <v>1819</v>
      </c>
      <c r="F27" s="19" t="e">
        <f>_xlfn.XLOOKUP(batch_works35[[#This Row],[description]],Table14[name],Table14[id])</f>
        <v>#N/A</v>
      </c>
      <c r="G27" s="19"/>
      <c r="H27" s="19"/>
      <c r="I27" s="19"/>
      <c r="J27" s="19"/>
      <c r="K27" s="19"/>
    </row>
    <row r="28" spans="1:11">
      <c r="A28" s="91">
        <v>26</v>
      </c>
      <c r="B28" s="91">
        <v>26</v>
      </c>
      <c r="C28" s="91"/>
      <c r="D28" s="91">
        <v>1977</v>
      </c>
      <c r="E28" s="19" t="s">
        <v>1820</v>
      </c>
      <c r="F28" s="19" t="e">
        <f>_xlfn.XLOOKUP(batch_works35[[#This Row],[description]],Table14[name],Table14[id])</f>
        <v>#N/A</v>
      </c>
      <c r="G28" s="19"/>
      <c r="H28" s="19"/>
      <c r="I28" s="19"/>
      <c r="J28" s="19"/>
      <c r="K28" s="19"/>
    </row>
    <row r="29" spans="1:11">
      <c r="A29" s="91">
        <v>27</v>
      </c>
      <c r="B29" s="91">
        <v>27</v>
      </c>
      <c r="C29" s="91"/>
      <c r="D29" s="91">
        <v>1979</v>
      </c>
      <c r="E29" s="19" t="s">
        <v>1819</v>
      </c>
      <c r="F29" s="19" t="e">
        <f>_xlfn.XLOOKUP(batch_works35[[#This Row],[description]],Table14[name],Table14[id])</f>
        <v>#N/A</v>
      </c>
      <c r="G29" s="19"/>
      <c r="H29" s="19"/>
      <c r="I29" s="19"/>
      <c r="J29" s="19"/>
      <c r="K29" s="19"/>
    </row>
    <row r="30" spans="1:11">
      <c r="A30" s="91">
        <v>28</v>
      </c>
      <c r="B30" s="91">
        <v>28</v>
      </c>
      <c r="C30" s="91"/>
      <c r="D30" s="91">
        <v>1979</v>
      </c>
      <c r="E30" s="19" t="s">
        <v>1819</v>
      </c>
      <c r="F30" s="19" t="e">
        <f>_xlfn.XLOOKUP(batch_works35[[#This Row],[description]],Table14[name],Table14[id])</f>
        <v>#N/A</v>
      </c>
      <c r="G30" s="19"/>
      <c r="H30" s="19"/>
      <c r="I30" s="19"/>
      <c r="J30" s="19"/>
      <c r="K30" s="19"/>
    </row>
    <row r="31" spans="1:11">
      <c r="A31" s="91">
        <v>29</v>
      </c>
      <c r="B31" s="91">
        <v>29</v>
      </c>
      <c r="C31" s="91"/>
      <c r="D31" s="91">
        <v>1980</v>
      </c>
      <c r="E31" s="19" t="s">
        <v>1561</v>
      </c>
      <c r="F31" s="19">
        <f>_xlfn.XLOOKUP(batch_works35[[#This Row],[description]],Table14[name],Table14[id])</f>
        <v>30</v>
      </c>
      <c r="G31" s="19"/>
      <c r="H31" s="19"/>
      <c r="I31" s="19"/>
      <c r="J31" s="19"/>
      <c r="K31" s="19"/>
    </row>
    <row r="32" spans="1:11">
      <c r="A32" s="91">
        <v>30</v>
      </c>
      <c r="B32" s="91">
        <v>30</v>
      </c>
      <c r="C32" s="91"/>
      <c r="D32" s="91">
        <v>1980</v>
      </c>
      <c r="E32" s="19" t="s">
        <v>1819</v>
      </c>
      <c r="F32" s="19" t="e">
        <f>_xlfn.XLOOKUP(batch_works35[[#This Row],[description]],Table14[name],Table14[id])</f>
        <v>#N/A</v>
      </c>
      <c r="G32" s="19"/>
      <c r="H32" s="19"/>
      <c r="I32" s="19"/>
      <c r="J32" s="19"/>
      <c r="K32" s="19"/>
    </row>
    <row r="33" spans="1:11">
      <c r="A33" s="91">
        <v>31</v>
      </c>
      <c r="B33" s="91">
        <v>31</v>
      </c>
      <c r="C33" s="91"/>
      <c r="D33" s="91">
        <v>1980</v>
      </c>
      <c r="E33" s="19" t="s">
        <v>1819</v>
      </c>
      <c r="F33" s="19" t="e">
        <f>_xlfn.XLOOKUP(batch_works35[[#This Row],[description]],Table14[name],Table14[id])</f>
        <v>#N/A</v>
      </c>
      <c r="G33" s="19"/>
      <c r="H33" s="19"/>
      <c r="I33" s="19"/>
      <c r="J33" s="19"/>
      <c r="K33" s="19"/>
    </row>
    <row r="34" spans="1:11">
      <c r="A34" s="91">
        <v>32</v>
      </c>
      <c r="B34" s="91">
        <v>32</v>
      </c>
      <c r="C34" s="91"/>
      <c r="D34" s="91">
        <v>1994</v>
      </c>
      <c r="E34" s="19" t="s">
        <v>1561</v>
      </c>
      <c r="F34" s="19">
        <f>_xlfn.XLOOKUP(batch_works35[[#This Row],[description]],Table14[name],Table14[id])</f>
        <v>30</v>
      </c>
      <c r="G34" s="19"/>
      <c r="H34" s="19"/>
      <c r="I34" s="19"/>
      <c r="J34" s="19"/>
      <c r="K34" s="19"/>
    </row>
    <row r="35" spans="1:11">
      <c r="A35" s="91">
        <v>33</v>
      </c>
      <c r="B35" s="91">
        <v>33</v>
      </c>
      <c r="C35" s="91"/>
      <c r="D35" s="91">
        <v>1994</v>
      </c>
      <c r="E35" s="19" t="s">
        <v>1819</v>
      </c>
      <c r="F35" s="19" t="e">
        <f>_xlfn.XLOOKUP(batch_works35[[#This Row],[description]],Table14[name],Table14[id])</f>
        <v>#N/A</v>
      </c>
      <c r="G35" s="19"/>
      <c r="H35" s="19"/>
      <c r="I35" s="19"/>
      <c r="J35" s="19"/>
      <c r="K35" s="19"/>
    </row>
    <row r="36" spans="1:11">
      <c r="A36" s="91">
        <v>34</v>
      </c>
      <c r="B36" s="91">
        <v>34</v>
      </c>
      <c r="C36" s="91"/>
      <c r="D36" s="91">
        <v>1994</v>
      </c>
      <c r="E36" s="19" t="s">
        <v>1819</v>
      </c>
      <c r="F36" s="19" t="e">
        <f>_xlfn.XLOOKUP(batch_works35[[#This Row],[description]],Table14[name],Table14[id])</f>
        <v>#N/A</v>
      </c>
      <c r="G36" s="19"/>
      <c r="H36" s="19"/>
      <c r="I36" s="19"/>
      <c r="J36" s="19"/>
      <c r="K36" s="19"/>
    </row>
    <row r="37" spans="1:11">
      <c r="A37" s="91">
        <v>35</v>
      </c>
      <c r="B37" s="91">
        <v>35</v>
      </c>
      <c r="C37" s="91"/>
      <c r="D37" s="91">
        <v>1994</v>
      </c>
      <c r="E37" s="19" t="s">
        <v>1820</v>
      </c>
      <c r="F37" s="19" t="e">
        <f>_xlfn.XLOOKUP(batch_works35[[#This Row],[description]],Table14[name],Table14[id])</f>
        <v>#N/A</v>
      </c>
      <c r="G37" s="19"/>
      <c r="H37" s="19"/>
      <c r="I37" s="19"/>
      <c r="J37" s="19"/>
      <c r="K37" s="19"/>
    </row>
    <row r="38" spans="1:11">
      <c r="A38" s="91">
        <v>36</v>
      </c>
      <c r="B38" s="91">
        <v>36</v>
      </c>
      <c r="C38" s="91"/>
      <c r="D38" s="91">
        <v>1995</v>
      </c>
      <c r="E38" s="19" t="s">
        <v>1821</v>
      </c>
      <c r="F38" s="19" t="e">
        <f>_xlfn.XLOOKUP(batch_works35[[#This Row],[description]],Table14[name],Table14[id])</f>
        <v>#N/A</v>
      </c>
      <c r="G38" s="19"/>
      <c r="H38" s="19"/>
      <c r="I38" s="19"/>
      <c r="J38" s="19"/>
      <c r="K38" s="19"/>
    </row>
    <row r="39" spans="1:11">
      <c r="A39" s="91">
        <v>37</v>
      </c>
      <c r="B39" s="91">
        <v>37</v>
      </c>
      <c r="C39" s="91"/>
      <c r="D39" s="91">
        <v>1995</v>
      </c>
      <c r="E39" s="19" t="s">
        <v>1820</v>
      </c>
      <c r="F39" s="19" t="e">
        <f>_xlfn.XLOOKUP(batch_works35[[#This Row],[description]],Table14[name],Table14[id])</f>
        <v>#N/A</v>
      </c>
      <c r="G39" s="19"/>
      <c r="H39" s="19"/>
      <c r="I39" s="19"/>
      <c r="J39" s="19"/>
      <c r="K39" s="19"/>
    </row>
    <row r="40" spans="1:11">
      <c r="A40" s="91">
        <v>38</v>
      </c>
      <c r="B40" s="91">
        <v>38</v>
      </c>
      <c r="C40" s="91"/>
      <c r="D40" s="91">
        <v>1997</v>
      </c>
      <c r="E40" s="19" t="s">
        <v>1819</v>
      </c>
      <c r="F40" s="19" t="e">
        <f>_xlfn.XLOOKUP(batch_works35[[#This Row],[description]],Table14[name],Table14[id])</f>
        <v>#N/A</v>
      </c>
      <c r="G40" s="19"/>
      <c r="H40" s="19"/>
      <c r="I40" s="19"/>
      <c r="J40" s="19"/>
      <c r="K40" s="19"/>
    </row>
    <row r="41" spans="1:11">
      <c r="A41" s="91">
        <v>39</v>
      </c>
      <c r="B41" s="91">
        <v>39</v>
      </c>
      <c r="C41" s="91"/>
      <c r="D41" s="91">
        <v>1997</v>
      </c>
      <c r="E41" s="19" t="s">
        <v>1819</v>
      </c>
      <c r="F41" s="19" t="e">
        <f>_xlfn.XLOOKUP(batch_works35[[#This Row],[description]],Table14[name],Table14[id])</f>
        <v>#N/A</v>
      </c>
      <c r="G41" s="19"/>
      <c r="H41" s="19"/>
      <c r="I41" s="19"/>
      <c r="J41" s="19"/>
      <c r="K41" s="19"/>
    </row>
    <row r="42" spans="1:11">
      <c r="A42" s="91">
        <v>40</v>
      </c>
      <c r="B42" s="91">
        <v>40</v>
      </c>
      <c r="C42" s="91"/>
      <c r="D42" s="91">
        <v>1998</v>
      </c>
      <c r="E42" s="19" t="s">
        <v>1561</v>
      </c>
      <c r="F42" s="19">
        <f>_xlfn.XLOOKUP(batch_works35[[#This Row],[description]],Table14[name],Table14[id])</f>
        <v>30</v>
      </c>
      <c r="G42" s="19"/>
      <c r="H42" s="19"/>
      <c r="I42" s="19"/>
      <c r="J42" s="19"/>
      <c r="K42" s="19"/>
    </row>
    <row r="43" spans="1:11">
      <c r="A43" s="91">
        <v>41</v>
      </c>
      <c r="B43" s="91">
        <v>41</v>
      </c>
      <c r="C43" s="91"/>
      <c r="D43" s="91">
        <v>1998</v>
      </c>
      <c r="E43" s="19" t="s">
        <v>1819</v>
      </c>
      <c r="F43" s="19" t="e">
        <f>_xlfn.XLOOKUP(batch_works35[[#This Row],[description]],Table14[name],Table14[id])</f>
        <v>#N/A</v>
      </c>
      <c r="G43" s="19"/>
      <c r="H43" s="19"/>
      <c r="I43" s="19"/>
      <c r="J43" s="19"/>
      <c r="K43" s="19"/>
    </row>
    <row r="44" spans="1:11">
      <c r="A44" s="91">
        <v>42</v>
      </c>
      <c r="B44" s="91">
        <v>42</v>
      </c>
      <c r="C44" s="91"/>
      <c r="D44" s="91">
        <v>1998</v>
      </c>
      <c r="E44" s="19" t="s">
        <v>1819</v>
      </c>
      <c r="F44" s="19" t="e">
        <f>_xlfn.XLOOKUP(batch_works35[[#This Row],[description]],Table14[name],Table14[id])</f>
        <v>#N/A</v>
      </c>
      <c r="G44" s="19"/>
      <c r="H44" s="19"/>
      <c r="I44" s="19"/>
      <c r="J44" s="19"/>
      <c r="K44" s="19"/>
    </row>
    <row r="45" spans="1:11">
      <c r="A45" s="91">
        <v>43</v>
      </c>
      <c r="B45" s="91">
        <v>43</v>
      </c>
      <c r="C45" s="91"/>
      <c r="D45" s="91">
        <v>1998</v>
      </c>
      <c r="E45" s="19" t="s">
        <v>1820</v>
      </c>
      <c r="F45" s="19" t="e">
        <f>_xlfn.XLOOKUP(batch_works35[[#This Row],[description]],Table14[name],Table14[id])</f>
        <v>#N/A</v>
      </c>
      <c r="G45" s="19"/>
      <c r="H45" s="19"/>
      <c r="I45" s="19"/>
      <c r="J45" s="19"/>
      <c r="K45" s="19"/>
    </row>
    <row r="46" spans="1:11">
      <c r="A46" s="91">
        <v>44</v>
      </c>
      <c r="B46" s="91">
        <v>44</v>
      </c>
      <c r="C46" s="91"/>
      <c r="D46" s="91">
        <v>2002</v>
      </c>
      <c r="E46" s="19" t="s">
        <v>1819</v>
      </c>
      <c r="F46" s="19" t="e">
        <f>_xlfn.XLOOKUP(batch_works35[[#This Row],[description]],Table14[name],Table14[id])</f>
        <v>#N/A</v>
      </c>
      <c r="G46" s="19"/>
      <c r="H46" s="19"/>
      <c r="I46" s="19"/>
      <c r="J46" s="19"/>
      <c r="K46" s="19"/>
    </row>
    <row r="47" spans="1:11">
      <c r="A47" s="91">
        <v>45</v>
      </c>
      <c r="B47" s="91">
        <v>45</v>
      </c>
      <c r="C47" s="91"/>
      <c r="D47" s="91">
        <v>2002</v>
      </c>
      <c r="E47" s="19" t="s">
        <v>1819</v>
      </c>
      <c r="F47" s="19" t="e">
        <f>_xlfn.XLOOKUP(batch_works35[[#This Row],[description]],Table14[name],Table14[id])</f>
        <v>#N/A</v>
      </c>
      <c r="G47" s="19"/>
      <c r="H47" s="19"/>
      <c r="I47" s="19"/>
      <c r="J47" s="19"/>
      <c r="K47" s="19"/>
    </row>
    <row r="48" spans="1:11">
      <c r="A48" s="91">
        <v>46</v>
      </c>
      <c r="B48" s="91">
        <v>46</v>
      </c>
      <c r="C48" s="91"/>
      <c r="D48" s="91">
        <v>2010</v>
      </c>
      <c r="E48" s="19" t="s">
        <v>1513</v>
      </c>
      <c r="F48" s="19">
        <f>_xlfn.XLOOKUP(batch_works35[[#This Row],[description]],Table14[name],Table14[id])</f>
        <v>18</v>
      </c>
      <c r="G48" s="19"/>
      <c r="H48" s="19"/>
      <c r="I48" s="19"/>
      <c r="J48" s="19"/>
      <c r="K48" s="19"/>
    </row>
    <row r="49" spans="1:11">
      <c r="A49" s="91">
        <v>47</v>
      </c>
      <c r="B49" s="91">
        <v>47</v>
      </c>
      <c r="C49" s="91"/>
      <c r="D49" s="91">
        <v>2010</v>
      </c>
      <c r="E49" s="19" t="s">
        <v>1822</v>
      </c>
      <c r="F49" s="19" t="e">
        <f>_xlfn.XLOOKUP(batch_works35[[#This Row],[description]],Table14[name],Table14[id])</f>
        <v>#N/A</v>
      </c>
      <c r="G49" s="19"/>
      <c r="H49" s="19"/>
      <c r="I49" s="19"/>
      <c r="J49" s="19"/>
      <c r="K49" s="19"/>
    </row>
    <row r="50" spans="1:11">
      <c r="A50" s="91">
        <v>48</v>
      </c>
      <c r="B50" s="91">
        <v>48</v>
      </c>
      <c r="C50" s="91"/>
      <c r="D50" s="91">
        <v>2011</v>
      </c>
      <c r="E50" s="19" t="s">
        <v>1513</v>
      </c>
      <c r="F50" s="19">
        <f>_xlfn.XLOOKUP(batch_works35[[#This Row],[description]],Table14[name],Table14[id])</f>
        <v>18</v>
      </c>
      <c r="G50" s="19"/>
      <c r="H50" s="19"/>
      <c r="I50" s="19"/>
      <c r="J50" s="19"/>
      <c r="K50" s="19"/>
    </row>
    <row r="51" spans="1:11">
      <c r="A51" s="91">
        <v>49</v>
      </c>
      <c r="B51" s="91">
        <v>49</v>
      </c>
      <c r="C51" s="91"/>
      <c r="D51" s="91">
        <v>2011</v>
      </c>
      <c r="E51" s="19" t="s">
        <v>1561</v>
      </c>
      <c r="F51" s="19">
        <f>_xlfn.XLOOKUP(batch_works35[[#This Row],[description]],Table14[name],Table14[id])</f>
        <v>30</v>
      </c>
      <c r="G51" s="19"/>
      <c r="H51" s="19"/>
      <c r="I51" s="19"/>
      <c r="J51" s="19"/>
      <c r="K51" s="19"/>
    </row>
    <row r="52" spans="1:11">
      <c r="A52" s="91">
        <v>50</v>
      </c>
      <c r="B52" s="91">
        <v>50</v>
      </c>
      <c r="C52" s="91"/>
      <c r="D52" s="91">
        <v>2011</v>
      </c>
      <c r="E52" s="19" t="s">
        <v>1819</v>
      </c>
      <c r="F52" s="19" t="e">
        <f>_xlfn.XLOOKUP(batch_works35[[#This Row],[description]],Table14[name],Table14[id])</f>
        <v>#N/A</v>
      </c>
      <c r="G52" s="19"/>
      <c r="H52" s="19"/>
      <c r="I52" s="19"/>
      <c r="J52" s="19"/>
      <c r="K52" s="19"/>
    </row>
    <row r="53" spans="1:11">
      <c r="A53" s="91">
        <v>51</v>
      </c>
      <c r="B53" s="91">
        <v>51</v>
      </c>
      <c r="C53" s="91"/>
      <c r="D53" s="91">
        <v>2011</v>
      </c>
      <c r="E53" s="19" t="s">
        <v>1823</v>
      </c>
      <c r="F53" s="19" t="e">
        <f>_xlfn.XLOOKUP(batch_works35[[#This Row],[description]],Table14[name],Table14[id])</f>
        <v>#N/A</v>
      </c>
      <c r="G53" s="19"/>
      <c r="H53" s="19"/>
      <c r="I53" s="19"/>
      <c r="J53" s="19"/>
      <c r="K53" s="19"/>
    </row>
    <row r="54" spans="1:11">
      <c r="A54" s="91">
        <v>52</v>
      </c>
      <c r="B54" s="91">
        <v>52</v>
      </c>
      <c r="C54" s="91"/>
      <c r="D54" s="91">
        <v>2012</v>
      </c>
      <c r="E54" s="19" t="s">
        <v>1531</v>
      </c>
      <c r="F54" s="19">
        <f>_xlfn.XLOOKUP(batch_works35[[#This Row],[description]],Table14[name],Table14[id])</f>
        <v>11</v>
      </c>
      <c r="G54" s="19"/>
      <c r="H54" s="19"/>
      <c r="I54" s="19"/>
      <c r="J54" s="19"/>
      <c r="K54" s="19"/>
    </row>
    <row r="55" spans="1:11">
      <c r="A55" s="91">
        <v>53</v>
      </c>
      <c r="B55" s="91">
        <v>53</v>
      </c>
      <c r="C55" s="91"/>
      <c r="D55" s="91">
        <v>2012</v>
      </c>
      <c r="E55" s="19" t="s">
        <v>1824</v>
      </c>
      <c r="F55" s="19" t="e">
        <f>_xlfn.XLOOKUP(batch_works35[[#This Row],[description]],Table14[name],Table14[id])</f>
        <v>#N/A</v>
      </c>
      <c r="G55" s="19"/>
      <c r="H55" s="19"/>
      <c r="I55" s="19"/>
      <c r="J55" s="19"/>
      <c r="K55" s="19"/>
    </row>
    <row r="56" spans="1:11">
      <c r="A56" s="91">
        <v>54</v>
      </c>
      <c r="B56" s="91">
        <v>54</v>
      </c>
      <c r="C56" s="91"/>
      <c r="D56" s="91">
        <v>2012</v>
      </c>
      <c r="E56" s="19" t="s">
        <v>1825</v>
      </c>
      <c r="F56" s="19" t="e">
        <f>_xlfn.XLOOKUP(batch_works35[[#This Row],[description]],Table14[name],Table14[id])</f>
        <v>#N/A</v>
      </c>
      <c r="G56" s="19"/>
      <c r="H56" s="19"/>
      <c r="I56" s="19"/>
      <c r="J56" s="19"/>
      <c r="K56" s="19"/>
    </row>
    <row r="57" spans="1:11">
      <c r="A57" s="91">
        <v>55</v>
      </c>
      <c r="B57" s="91">
        <v>55</v>
      </c>
      <c r="C57" s="91"/>
      <c r="D57" s="91">
        <v>2012</v>
      </c>
      <c r="E57" s="19" t="s">
        <v>1826</v>
      </c>
      <c r="F57" s="19" t="e">
        <f>_xlfn.XLOOKUP(batch_works35[[#This Row],[description]],Table14[name],Table14[id])</f>
        <v>#N/A</v>
      </c>
      <c r="G57" s="19"/>
      <c r="H57" s="19"/>
      <c r="I57" s="19"/>
      <c r="J57" s="19"/>
      <c r="K57" s="19"/>
    </row>
    <row r="58" spans="1:11">
      <c r="A58" s="91">
        <v>56</v>
      </c>
      <c r="B58" s="91">
        <v>56</v>
      </c>
      <c r="C58" s="91"/>
      <c r="D58" s="91">
        <v>2013</v>
      </c>
      <c r="E58" s="19" t="s">
        <v>1561</v>
      </c>
      <c r="F58" s="19">
        <f>_xlfn.XLOOKUP(batch_works35[[#This Row],[description]],Table14[name],Table14[id])</f>
        <v>30</v>
      </c>
      <c r="G58" s="19"/>
      <c r="H58" s="19"/>
      <c r="I58" s="19"/>
      <c r="J58" s="19"/>
      <c r="K58" s="19"/>
    </row>
    <row r="59" spans="1:11">
      <c r="A59" s="91">
        <v>57</v>
      </c>
      <c r="B59" s="91">
        <v>57</v>
      </c>
      <c r="C59" s="91"/>
      <c r="D59" s="91">
        <v>2013</v>
      </c>
      <c r="E59" s="19" t="s">
        <v>1819</v>
      </c>
      <c r="F59" s="19" t="e">
        <f>_xlfn.XLOOKUP(batch_works35[[#This Row],[description]],Table14[name],Table14[id])</f>
        <v>#N/A</v>
      </c>
      <c r="G59" s="19"/>
      <c r="H59" s="19"/>
      <c r="I59" s="19"/>
      <c r="J59" s="19"/>
      <c r="K59" s="19"/>
    </row>
    <row r="60" spans="1:11">
      <c r="A60" s="91">
        <v>58</v>
      </c>
      <c r="B60" s="91">
        <v>58</v>
      </c>
      <c r="C60" s="91"/>
      <c r="D60" s="91">
        <v>2015</v>
      </c>
      <c r="E60" s="19" t="s">
        <v>1513</v>
      </c>
      <c r="F60" s="19">
        <f>_xlfn.XLOOKUP(batch_works35[[#This Row],[description]],Table14[name],Table14[id])</f>
        <v>18</v>
      </c>
      <c r="G60" s="19"/>
      <c r="H60" s="19"/>
      <c r="I60" s="19"/>
      <c r="J60" s="19"/>
      <c r="K60" s="19"/>
    </row>
    <row r="61" spans="1:11">
      <c r="A61" s="91">
        <v>59</v>
      </c>
      <c r="B61" s="91">
        <v>59</v>
      </c>
      <c r="C61" s="91"/>
      <c r="D61" s="91">
        <v>2016</v>
      </c>
      <c r="E61" s="19" t="s">
        <v>1513</v>
      </c>
      <c r="F61" s="19">
        <f>_xlfn.XLOOKUP(batch_works35[[#This Row],[description]],Table14[name],Table14[id])</f>
        <v>18</v>
      </c>
      <c r="G61" s="19"/>
      <c r="H61" s="19"/>
      <c r="I61" s="19"/>
      <c r="J61" s="19"/>
      <c r="K61" s="19"/>
    </row>
    <row r="62" spans="1:11">
      <c r="A62" s="91">
        <v>60</v>
      </c>
      <c r="B62" s="91">
        <v>60</v>
      </c>
      <c r="C62" s="91"/>
      <c r="D62" s="91">
        <v>2016</v>
      </c>
      <c r="E62" s="19" t="s">
        <v>1561</v>
      </c>
      <c r="F62" s="19">
        <f>_xlfn.XLOOKUP(batch_works35[[#This Row],[description]],Table14[name],Table14[id])</f>
        <v>30</v>
      </c>
      <c r="G62" s="19"/>
      <c r="H62" s="19"/>
      <c r="I62" s="19"/>
      <c r="J62" s="19"/>
      <c r="K62" s="19"/>
    </row>
    <row r="63" spans="1:11">
      <c r="A63" s="91">
        <v>61</v>
      </c>
      <c r="B63" s="91">
        <v>61</v>
      </c>
      <c r="C63" s="91"/>
      <c r="D63" s="91">
        <v>2016</v>
      </c>
      <c r="E63" s="19" t="s">
        <v>1819</v>
      </c>
      <c r="F63" s="19" t="e">
        <f>_xlfn.XLOOKUP(batch_works35[[#This Row],[description]],Table14[name],Table14[id])</f>
        <v>#N/A</v>
      </c>
      <c r="G63" s="19"/>
      <c r="H63" s="19"/>
      <c r="I63" s="19"/>
      <c r="J63" s="19"/>
      <c r="K63" s="19"/>
    </row>
    <row r="64" spans="1:11">
      <c r="A64" s="91">
        <v>62</v>
      </c>
      <c r="B64" s="91">
        <v>62</v>
      </c>
      <c r="C64" s="91"/>
      <c r="D64" s="91">
        <v>2017</v>
      </c>
      <c r="E64" s="19" t="s">
        <v>1561</v>
      </c>
      <c r="F64" s="19">
        <f>_xlfn.XLOOKUP(batch_works35[[#This Row],[description]],Table14[name],Table14[id])</f>
        <v>30</v>
      </c>
      <c r="G64" s="19"/>
      <c r="H64" s="19"/>
      <c r="I64" s="19"/>
      <c r="J64" s="19"/>
      <c r="K64" s="19"/>
    </row>
    <row r="65" spans="1:11">
      <c r="A65" s="91">
        <v>63</v>
      </c>
      <c r="B65" s="91">
        <v>63</v>
      </c>
      <c r="C65" s="91"/>
      <c r="D65" s="91">
        <v>2017</v>
      </c>
      <c r="E65" s="19" t="s">
        <v>1819</v>
      </c>
      <c r="F65" s="19" t="e">
        <f>_xlfn.XLOOKUP(batch_works35[[#This Row],[description]],Table14[name],Table14[id])</f>
        <v>#N/A</v>
      </c>
      <c r="G65" s="19"/>
      <c r="H65" s="19"/>
      <c r="I65" s="19"/>
      <c r="J65" s="19"/>
      <c r="K65" s="19"/>
    </row>
    <row r="66" spans="1:11">
      <c r="A66" s="91">
        <v>64</v>
      </c>
      <c r="B66" s="91">
        <v>64</v>
      </c>
      <c r="C66" s="91"/>
      <c r="D66" s="91">
        <v>2018</v>
      </c>
      <c r="E66" s="19" t="s">
        <v>1513</v>
      </c>
      <c r="F66" s="19">
        <f>_xlfn.XLOOKUP(batch_works35[[#This Row],[description]],Table14[name],Table14[id])</f>
        <v>18</v>
      </c>
      <c r="G66" s="19"/>
      <c r="H66" s="19"/>
      <c r="I66" s="19"/>
      <c r="J66" s="19"/>
      <c r="K66" s="19"/>
    </row>
    <row r="67" spans="1:11">
      <c r="A67" s="91">
        <v>65</v>
      </c>
      <c r="B67" s="91">
        <v>65</v>
      </c>
      <c r="C67" s="91"/>
      <c r="D67" s="91">
        <v>2018</v>
      </c>
      <c r="E67" s="19" t="s">
        <v>1822</v>
      </c>
      <c r="F67" s="19" t="e">
        <f>_xlfn.XLOOKUP(batch_works35[[#This Row],[description]],Table14[name],Table14[id])</f>
        <v>#N/A</v>
      </c>
      <c r="G67" s="19"/>
      <c r="H67" s="19"/>
      <c r="I67" s="19"/>
      <c r="J67" s="19"/>
      <c r="K67" s="19"/>
    </row>
    <row r="68" spans="1:11">
      <c r="A68" s="91">
        <v>66</v>
      </c>
      <c r="B68" s="91">
        <v>66</v>
      </c>
      <c r="C68" s="91"/>
      <c r="D68" s="91">
        <v>2027</v>
      </c>
      <c r="E68" s="19" t="s">
        <v>1825</v>
      </c>
      <c r="F68" s="19" t="e">
        <f>_xlfn.XLOOKUP(batch_works35[[#This Row],[description]],Table14[name],Table14[id])</f>
        <v>#N/A</v>
      </c>
      <c r="G68" s="19"/>
      <c r="H68" s="19"/>
      <c r="I68" s="19"/>
      <c r="J68" s="19"/>
      <c r="K68" s="19"/>
    </row>
    <row r="69" spans="1:11">
      <c r="A69" s="91">
        <v>67</v>
      </c>
      <c r="B69" s="91">
        <v>67</v>
      </c>
      <c r="C69" s="91"/>
      <c r="D69" s="91">
        <v>2031</v>
      </c>
      <c r="E69" s="19" t="s">
        <v>1531</v>
      </c>
      <c r="F69" s="19">
        <f>_xlfn.XLOOKUP(batch_works35[[#This Row],[description]],Table14[name],Table14[id])</f>
        <v>11</v>
      </c>
      <c r="G69" s="19"/>
      <c r="H69" s="19"/>
      <c r="I69" s="19"/>
      <c r="J69" s="19"/>
      <c r="K69" s="19"/>
    </row>
    <row r="70" spans="1:11">
      <c r="A70" s="91">
        <v>68</v>
      </c>
      <c r="B70" s="91">
        <v>68</v>
      </c>
      <c r="C70" s="91"/>
      <c r="D70" s="91">
        <v>2031</v>
      </c>
      <c r="E70" s="19" t="s">
        <v>1561</v>
      </c>
      <c r="F70" s="19">
        <f>_xlfn.XLOOKUP(batch_works35[[#This Row],[description]],Table14[name],Table14[id])</f>
        <v>30</v>
      </c>
      <c r="G70" s="19"/>
      <c r="H70" s="19"/>
      <c r="I70" s="19"/>
      <c r="J70" s="19"/>
      <c r="K70" s="19"/>
    </row>
    <row r="71" spans="1:11">
      <c r="A71" s="91">
        <v>69</v>
      </c>
      <c r="B71" s="91">
        <v>69</v>
      </c>
      <c r="C71" s="91"/>
      <c r="D71" s="91">
        <v>2031</v>
      </c>
      <c r="E71" s="19" t="s">
        <v>1819</v>
      </c>
      <c r="F71" s="19" t="e">
        <f>_xlfn.XLOOKUP(batch_works35[[#This Row],[description]],Table14[name],Table14[id])</f>
        <v>#N/A</v>
      </c>
      <c r="G71" s="19"/>
      <c r="H71" s="19"/>
      <c r="I71" s="19"/>
      <c r="J71" s="19"/>
      <c r="K71" s="19"/>
    </row>
    <row r="72" spans="1:11">
      <c r="A72" s="91">
        <v>70</v>
      </c>
      <c r="B72" s="91">
        <v>70</v>
      </c>
      <c r="C72" s="91"/>
      <c r="D72" s="91">
        <v>2031</v>
      </c>
      <c r="E72" s="19" t="s">
        <v>1819</v>
      </c>
      <c r="F72" s="19" t="e">
        <f>_xlfn.XLOOKUP(batch_works35[[#This Row],[description]],Table14[name],Table14[id])</f>
        <v>#N/A</v>
      </c>
      <c r="G72" s="19"/>
      <c r="H72" s="19"/>
      <c r="I72" s="19"/>
      <c r="J72" s="19"/>
      <c r="K72" s="19"/>
    </row>
    <row r="73" spans="1:11">
      <c r="A73" s="91">
        <v>71</v>
      </c>
      <c r="B73" s="91">
        <v>71</v>
      </c>
      <c r="C73" s="91"/>
      <c r="D73" s="91">
        <v>2031</v>
      </c>
      <c r="E73" s="19" t="s">
        <v>1826</v>
      </c>
      <c r="F73" s="19" t="e">
        <f>_xlfn.XLOOKUP(batch_works35[[#This Row],[description]],Table14[name],Table14[id])</f>
        <v>#N/A</v>
      </c>
      <c r="G73" s="19"/>
      <c r="H73" s="19"/>
      <c r="I73" s="19"/>
      <c r="J73" s="19"/>
      <c r="K73" s="19"/>
    </row>
    <row r="74" spans="1:11">
      <c r="A74" s="91">
        <v>72</v>
      </c>
      <c r="B74" s="91">
        <v>72</v>
      </c>
      <c r="C74" s="91"/>
      <c r="D74" s="91">
        <v>2031</v>
      </c>
      <c r="E74" s="19" t="s">
        <v>1820</v>
      </c>
      <c r="F74" s="19" t="e">
        <f>_xlfn.XLOOKUP(batch_works35[[#This Row],[description]],Table14[name],Table14[id])</f>
        <v>#N/A</v>
      </c>
      <c r="G74" s="19"/>
      <c r="H74" s="19"/>
      <c r="I74" s="19"/>
      <c r="J74" s="19"/>
      <c r="K74" s="19"/>
    </row>
    <row r="75" spans="1:11">
      <c r="A75" s="91">
        <v>73</v>
      </c>
      <c r="B75" s="91">
        <v>73</v>
      </c>
      <c r="C75" s="91"/>
      <c r="D75" s="91">
        <v>2032</v>
      </c>
      <c r="E75" s="19" t="s">
        <v>1531</v>
      </c>
      <c r="F75" s="19">
        <f>_xlfn.XLOOKUP(batch_works35[[#This Row],[description]],Table14[name],Table14[id])</f>
        <v>11</v>
      </c>
      <c r="G75" s="19"/>
      <c r="H75" s="19"/>
      <c r="I75" s="19"/>
      <c r="J75" s="19"/>
      <c r="K75" s="19"/>
    </row>
    <row r="76" spans="1:11">
      <c r="A76" s="91">
        <v>74</v>
      </c>
      <c r="B76" s="91">
        <v>74</v>
      </c>
      <c r="C76" s="91"/>
      <c r="D76" s="91">
        <v>2032</v>
      </c>
      <c r="E76" s="19" t="s">
        <v>1820</v>
      </c>
      <c r="F76" s="19" t="e">
        <f>_xlfn.XLOOKUP(batch_works35[[#This Row],[description]],Table14[name],Table14[id])</f>
        <v>#N/A</v>
      </c>
      <c r="G76" s="19"/>
      <c r="H76" s="19"/>
      <c r="I76" s="19"/>
      <c r="J76" s="19"/>
      <c r="K76" s="19"/>
    </row>
    <row r="77" spans="1:11">
      <c r="A77" s="91">
        <v>75</v>
      </c>
      <c r="B77" s="91">
        <v>75</v>
      </c>
      <c r="C77" s="91"/>
      <c r="D77" s="91">
        <v>2033</v>
      </c>
      <c r="E77" s="19" t="s">
        <v>1531</v>
      </c>
      <c r="F77" s="19">
        <f>_xlfn.XLOOKUP(batch_works35[[#This Row],[description]],Table14[name],Table14[id])</f>
        <v>11</v>
      </c>
      <c r="G77" s="19"/>
      <c r="H77" s="19"/>
      <c r="I77" s="19"/>
      <c r="J77" s="19"/>
      <c r="K77" s="19"/>
    </row>
    <row r="78" spans="1:11">
      <c r="A78" s="91">
        <v>76</v>
      </c>
      <c r="B78" s="91">
        <v>76</v>
      </c>
      <c r="C78" s="91"/>
      <c r="D78" s="91">
        <v>2033</v>
      </c>
      <c r="E78" s="19" t="s">
        <v>1525</v>
      </c>
      <c r="F78" s="19">
        <f>_xlfn.XLOOKUP(batch_works35[[#This Row],[description]],Table14[name],Table14[id])</f>
        <v>7</v>
      </c>
      <c r="G78" s="19"/>
      <c r="H78" s="19"/>
      <c r="I78" s="19"/>
      <c r="J78" s="19"/>
      <c r="K78" s="19"/>
    </row>
    <row r="79" spans="1:11">
      <c r="A79" s="91">
        <v>77</v>
      </c>
      <c r="B79" s="91">
        <v>77</v>
      </c>
      <c r="C79" s="91"/>
      <c r="D79" s="91">
        <v>2033</v>
      </c>
      <c r="E79" s="19" t="s">
        <v>1827</v>
      </c>
      <c r="F79" s="19" t="e">
        <f>_xlfn.XLOOKUP(batch_works35[[#This Row],[description]],Table14[name],Table14[id])</f>
        <v>#N/A</v>
      </c>
      <c r="G79" s="19"/>
      <c r="H79" s="19"/>
      <c r="I79" s="19"/>
      <c r="J79" s="19"/>
      <c r="K79" s="19"/>
    </row>
    <row r="80" spans="1:11">
      <c r="A80" s="91">
        <v>78</v>
      </c>
      <c r="B80" s="91">
        <v>78</v>
      </c>
      <c r="C80" s="91"/>
      <c r="D80" s="91">
        <v>2033</v>
      </c>
      <c r="E80" s="19" t="s">
        <v>1825</v>
      </c>
      <c r="F80" s="19" t="e">
        <f>_xlfn.XLOOKUP(batch_works35[[#This Row],[description]],Table14[name],Table14[id])</f>
        <v>#N/A</v>
      </c>
      <c r="G80" s="19"/>
      <c r="H80" s="19"/>
      <c r="I80" s="19"/>
      <c r="J80" s="19"/>
      <c r="K80" s="19"/>
    </row>
    <row r="81" spans="1:11">
      <c r="A81" s="91">
        <v>79</v>
      </c>
      <c r="B81" s="91">
        <v>79</v>
      </c>
      <c r="C81" s="91"/>
      <c r="D81" s="91">
        <v>2033</v>
      </c>
      <c r="E81" s="19" t="s">
        <v>1828</v>
      </c>
      <c r="F81" s="19" t="e">
        <f>_xlfn.XLOOKUP(batch_works35[[#This Row],[description]],Table14[name],Table14[id])</f>
        <v>#N/A</v>
      </c>
      <c r="G81" s="19"/>
      <c r="H81" s="19"/>
      <c r="I81" s="19"/>
      <c r="J81" s="19"/>
      <c r="K81" s="19"/>
    </row>
    <row r="82" spans="1:11">
      <c r="A82" s="91">
        <v>80</v>
      </c>
      <c r="B82" s="91">
        <v>80</v>
      </c>
      <c r="C82" s="91"/>
      <c r="D82" s="91">
        <v>2034</v>
      </c>
      <c r="E82" s="19" t="s">
        <v>1531</v>
      </c>
      <c r="F82" s="19">
        <f>_xlfn.XLOOKUP(batch_works35[[#This Row],[description]],Table14[name],Table14[id])</f>
        <v>11</v>
      </c>
      <c r="G82" s="19"/>
      <c r="H82" s="19"/>
      <c r="I82" s="19"/>
      <c r="J82" s="19"/>
      <c r="K82" s="19"/>
    </row>
    <row r="83" spans="1:11">
      <c r="A83" s="91">
        <v>81</v>
      </c>
      <c r="B83" s="91">
        <v>81</v>
      </c>
      <c r="C83" s="91"/>
      <c r="D83" s="91">
        <v>2034</v>
      </c>
      <c r="E83" s="19" t="s">
        <v>1820</v>
      </c>
      <c r="F83" s="19" t="e">
        <f>_xlfn.XLOOKUP(batch_works35[[#This Row],[description]],Table14[name],Table14[id])</f>
        <v>#N/A</v>
      </c>
      <c r="G83" s="19"/>
      <c r="H83" s="19"/>
      <c r="I83" s="19"/>
      <c r="J83" s="19"/>
      <c r="K83" s="19"/>
    </row>
    <row r="84" spans="1:11">
      <c r="A84" s="91">
        <v>82</v>
      </c>
      <c r="B84" s="91">
        <v>82</v>
      </c>
      <c r="C84" s="91"/>
      <c r="D84" s="91">
        <v>2035</v>
      </c>
      <c r="E84" s="19" t="s">
        <v>1531</v>
      </c>
      <c r="F84" s="19">
        <f>_xlfn.XLOOKUP(batch_works35[[#This Row],[description]],Table14[name],Table14[id])</f>
        <v>11</v>
      </c>
      <c r="G84" s="19"/>
      <c r="H84" s="19"/>
      <c r="I84" s="19"/>
      <c r="J84" s="19"/>
      <c r="K84" s="19"/>
    </row>
    <row r="85" spans="1:11">
      <c r="A85" s="91">
        <v>83</v>
      </c>
      <c r="B85" s="91">
        <v>83</v>
      </c>
      <c r="C85" s="91"/>
      <c r="D85" s="91">
        <v>2035</v>
      </c>
      <c r="E85" s="19" t="s">
        <v>1525</v>
      </c>
      <c r="F85" s="19">
        <f>_xlfn.XLOOKUP(batch_works35[[#This Row],[description]],Table14[name],Table14[id])</f>
        <v>7</v>
      </c>
      <c r="G85" s="19"/>
      <c r="H85" s="19"/>
      <c r="I85" s="19"/>
      <c r="J85" s="19"/>
      <c r="K85" s="19"/>
    </row>
    <row r="86" spans="1:11">
      <c r="A86" s="91">
        <v>84</v>
      </c>
      <c r="B86" s="91">
        <v>84</v>
      </c>
      <c r="C86" s="91"/>
      <c r="D86" s="91">
        <v>2035</v>
      </c>
      <c r="E86" s="19" t="s">
        <v>1827</v>
      </c>
      <c r="F86" s="19" t="e">
        <f>_xlfn.XLOOKUP(batch_works35[[#This Row],[description]],Table14[name],Table14[id])</f>
        <v>#N/A</v>
      </c>
      <c r="G86" s="19"/>
      <c r="H86" s="19"/>
      <c r="I86" s="19"/>
      <c r="J86" s="19"/>
      <c r="K86" s="19"/>
    </row>
    <row r="87" spans="1:11">
      <c r="A87" s="91">
        <v>85</v>
      </c>
      <c r="B87" s="91">
        <v>85</v>
      </c>
      <c r="C87" s="91"/>
      <c r="D87" s="91">
        <v>2035</v>
      </c>
      <c r="E87" s="19" t="s">
        <v>1825</v>
      </c>
      <c r="F87" s="19" t="e">
        <f>_xlfn.XLOOKUP(batch_works35[[#This Row],[description]],Table14[name],Table14[id])</f>
        <v>#N/A</v>
      </c>
      <c r="G87" s="19"/>
      <c r="H87" s="19"/>
      <c r="I87" s="19"/>
      <c r="J87" s="19"/>
      <c r="K87" s="19"/>
    </row>
    <row r="88" spans="1:11">
      <c r="A88" s="91">
        <v>86</v>
      </c>
      <c r="B88" s="91">
        <v>86</v>
      </c>
      <c r="C88" s="91"/>
      <c r="D88" s="91">
        <v>2035</v>
      </c>
      <c r="E88" s="19" t="s">
        <v>1828</v>
      </c>
      <c r="F88" s="19" t="e">
        <f>_xlfn.XLOOKUP(batch_works35[[#This Row],[description]],Table14[name],Table14[id])</f>
        <v>#N/A</v>
      </c>
      <c r="G88" s="19"/>
      <c r="H88" s="19"/>
      <c r="I88" s="19"/>
      <c r="J88" s="19"/>
      <c r="K88" s="19"/>
    </row>
    <row r="89" spans="1:11">
      <c r="A89" s="91">
        <v>87</v>
      </c>
      <c r="B89" s="91">
        <v>87</v>
      </c>
      <c r="C89" s="91"/>
      <c r="D89" s="91">
        <v>2036</v>
      </c>
      <c r="E89" s="19" t="s">
        <v>1531</v>
      </c>
      <c r="F89" s="19">
        <f>_xlfn.XLOOKUP(batch_works35[[#This Row],[description]],Table14[name],Table14[id])</f>
        <v>11</v>
      </c>
      <c r="G89" s="19"/>
      <c r="H89" s="19"/>
      <c r="I89" s="19"/>
      <c r="J89" s="19"/>
      <c r="K89" s="19"/>
    </row>
    <row r="90" spans="1:11">
      <c r="A90" s="91">
        <v>88</v>
      </c>
      <c r="B90" s="91">
        <v>88</v>
      </c>
      <c r="C90" s="91"/>
      <c r="D90" s="91">
        <v>2036</v>
      </c>
      <c r="E90" s="19" t="s">
        <v>1829</v>
      </c>
      <c r="F90" s="19" t="e">
        <f>_xlfn.XLOOKUP(batch_works35[[#This Row],[description]],Table14[name],Table14[id])</f>
        <v>#N/A</v>
      </c>
      <c r="G90" s="19"/>
      <c r="H90" s="19"/>
      <c r="I90" s="19"/>
      <c r="J90" s="19"/>
      <c r="K90" s="19"/>
    </row>
    <row r="91" spans="1:11">
      <c r="A91" s="91">
        <v>89</v>
      </c>
      <c r="B91" s="91">
        <v>89</v>
      </c>
      <c r="C91" s="91"/>
      <c r="D91" s="91">
        <v>2036</v>
      </c>
      <c r="E91" s="19" t="s">
        <v>1825</v>
      </c>
      <c r="F91" s="19" t="e">
        <f>_xlfn.XLOOKUP(batch_works35[[#This Row],[description]],Table14[name],Table14[id])</f>
        <v>#N/A</v>
      </c>
      <c r="G91" s="19"/>
      <c r="H91" s="19"/>
      <c r="I91" s="19"/>
      <c r="J91" s="19"/>
      <c r="K91" s="19"/>
    </row>
    <row r="92" spans="1:11">
      <c r="A92" s="91">
        <v>90</v>
      </c>
      <c r="B92" s="91">
        <v>90</v>
      </c>
      <c r="C92" s="91"/>
      <c r="D92" s="91">
        <v>2036</v>
      </c>
      <c r="E92" s="19" t="s">
        <v>1826</v>
      </c>
      <c r="F92" s="19" t="e">
        <f>_xlfn.XLOOKUP(batch_works35[[#This Row],[description]],Table14[name],Table14[id])</f>
        <v>#N/A</v>
      </c>
      <c r="G92" s="19"/>
      <c r="H92" s="19"/>
      <c r="I92" s="19"/>
      <c r="J92" s="19"/>
      <c r="K92" s="19"/>
    </row>
    <row r="93" spans="1:11">
      <c r="A93" s="91">
        <v>91</v>
      </c>
      <c r="B93" s="91">
        <v>91</v>
      </c>
      <c r="C93" s="91"/>
      <c r="D93" s="91">
        <v>2036</v>
      </c>
      <c r="E93" s="19" t="s">
        <v>1820</v>
      </c>
      <c r="F93" s="19" t="e">
        <f>_xlfn.XLOOKUP(batch_works35[[#This Row],[description]],Table14[name],Table14[id])</f>
        <v>#N/A</v>
      </c>
      <c r="G93" s="19"/>
      <c r="H93" s="19"/>
      <c r="I93" s="19"/>
      <c r="J93" s="19"/>
      <c r="K93" s="19"/>
    </row>
    <row r="94" spans="1:11">
      <c r="A94" s="91">
        <v>92</v>
      </c>
      <c r="B94" s="91">
        <v>92</v>
      </c>
      <c r="C94" s="91"/>
      <c r="D94" s="91">
        <v>2037</v>
      </c>
      <c r="E94" s="19" t="s">
        <v>1531</v>
      </c>
      <c r="F94" s="19">
        <f>_xlfn.XLOOKUP(batch_works35[[#This Row],[description]],Table14[name],Table14[id])</f>
        <v>11</v>
      </c>
      <c r="G94" s="19"/>
      <c r="H94" s="19"/>
      <c r="I94" s="19"/>
      <c r="J94" s="19"/>
      <c r="K94" s="19"/>
    </row>
    <row r="95" spans="1:11">
      <c r="A95" s="91">
        <v>93</v>
      </c>
      <c r="B95" s="91">
        <v>93</v>
      </c>
      <c r="C95" s="91"/>
      <c r="D95" s="91">
        <v>2037</v>
      </c>
      <c r="E95" s="19" t="s">
        <v>1525</v>
      </c>
      <c r="F95" s="19">
        <f>_xlfn.XLOOKUP(batch_works35[[#This Row],[description]],Table14[name],Table14[id])</f>
        <v>7</v>
      </c>
      <c r="G95" s="19"/>
      <c r="H95" s="19"/>
      <c r="I95" s="19"/>
      <c r="J95" s="19"/>
      <c r="K95" s="19"/>
    </row>
    <row r="96" spans="1:11">
      <c r="A96" s="91">
        <v>94</v>
      </c>
      <c r="B96" s="91">
        <v>94</v>
      </c>
      <c r="C96" s="91"/>
      <c r="D96" s="91">
        <v>2037</v>
      </c>
      <c r="E96" s="19" t="s">
        <v>1827</v>
      </c>
      <c r="F96" s="19" t="e">
        <f>_xlfn.XLOOKUP(batch_works35[[#This Row],[description]],Table14[name],Table14[id])</f>
        <v>#N/A</v>
      </c>
      <c r="G96" s="19"/>
      <c r="H96" s="19"/>
      <c r="I96" s="19"/>
      <c r="J96" s="19"/>
      <c r="K96" s="19"/>
    </row>
    <row r="97" spans="1:11">
      <c r="A97" s="91">
        <v>95</v>
      </c>
      <c r="B97" s="91">
        <v>95</v>
      </c>
      <c r="C97" s="91"/>
      <c r="D97" s="91">
        <v>2037</v>
      </c>
      <c r="E97" s="19" t="s">
        <v>1825</v>
      </c>
      <c r="F97" s="19" t="e">
        <f>_xlfn.XLOOKUP(batch_works35[[#This Row],[description]],Table14[name],Table14[id])</f>
        <v>#N/A</v>
      </c>
      <c r="G97" s="19"/>
      <c r="H97" s="19"/>
      <c r="I97" s="19"/>
      <c r="J97" s="19"/>
      <c r="K97" s="19"/>
    </row>
    <row r="98" spans="1:11">
      <c r="A98" s="91">
        <v>96</v>
      </c>
      <c r="B98" s="91">
        <v>96</v>
      </c>
      <c r="C98" s="91"/>
      <c r="D98" s="91">
        <v>2037</v>
      </c>
      <c r="E98" s="19" t="s">
        <v>1828</v>
      </c>
      <c r="F98" s="19" t="e">
        <f>_xlfn.XLOOKUP(batch_works35[[#This Row],[description]],Table14[name],Table14[id])</f>
        <v>#N/A</v>
      </c>
      <c r="G98" s="19"/>
      <c r="H98" s="19"/>
      <c r="I98" s="19"/>
      <c r="J98" s="19"/>
      <c r="K98" s="19"/>
    </row>
    <row r="99" spans="1:11">
      <c r="A99" s="91">
        <v>97</v>
      </c>
      <c r="B99" s="91">
        <v>97</v>
      </c>
      <c r="C99" s="91"/>
      <c r="D99" s="91">
        <v>2037</v>
      </c>
      <c r="E99" s="19" t="s">
        <v>1820</v>
      </c>
      <c r="F99" s="19" t="e">
        <f>_xlfn.XLOOKUP(batch_works35[[#This Row],[description]],Table14[name],Table14[id])</f>
        <v>#N/A</v>
      </c>
      <c r="G99" s="19"/>
      <c r="H99" s="19"/>
      <c r="I99" s="19"/>
      <c r="J99" s="19"/>
      <c r="K99" s="19"/>
    </row>
    <row r="100" spans="1:11">
      <c r="A100" s="91">
        <v>98</v>
      </c>
      <c r="B100" s="91">
        <v>98</v>
      </c>
      <c r="C100" s="91"/>
      <c r="D100" s="91">
        <v>2039</v>
      </c>
      <c r="E100" s="19" t="s">
        <v>1819</v>
      </c>
      <c r="F100" s="19" t="e">
        <f>_xlfn.XLOOKUP(batch_works35[[#This Row],[description]],Table14[name],Table14[id])</f>
        <v>#N/A</v>
      </c>
      <c r="G100" s="19"/>
      <c r="H100" s="19"/>
      <c r="I100" s="19"/>
      <c r="J100" s="19"/>
      <c r="K100" s="19"/>
    </row>
    <row r="101" spans="1:11">
      <c r="A101" s="91">
        <v>99</v>
      </c>
      <c r="B101" s="91">
        <v>99</v>
      </c>
      <c r="C101" s="91"/>
      <c r="D101" s="91">
        <v>2040</v>
      </c>
      <c r="E101" s="19" t="s">
        <v>1819</v>
      </c>
      <c r="F101" s="19" t="e">
        <f>_xlfn.XLOOKUP(batch_works35[[#This Row],[description]],Table14[name],Table14[id])</f>
        <v>#N/A</v>
      </c>
      <c r="G101" s="19"/>
      <c r="H101" s="19"/>
      <c r="I101" s="19"/>
      <c r="J101" s="19"/>
      <c r="K101" s="19"/>
    </row>
    <row r="102" spans="1:11">
      <c r="A102" s="91">
        <v>100</v>
      </c>
      <c r="B102" s="91">
        <v>100</v>
      </c>
      <c r="C102" s="91"/>
      <c r="D102" s="91">
        <v>2042</v>
      </c>
      <c r="E102" s="19" t="s">
        <v>1819</v>
      </c>
      <c r="F102" s="19" t="e">
        <f>_xlfn.XLOOKUP(batch_works35[[#This Row],[description]],Table14[name],Table14[id])</f>
        <v>#N/A</v>
      </c>
      <c r="G102" s="19"/>
      <c r="H102" s="19"/>
      <c r="I102" s="19"/>
      <c r="J102" s="19"/>
      <c r="K102" s="19"/>
    </row>
    <row r="103" spans="1:11">
      <c r="A103" s="91">
        <v>101</v>
      </c>
      <c r="B103" s="91">
        <v>101</v>
      </c>
      <c r="C103" s="91"/>
      <c r="D103" s="91">
        <v>2044</v>
      </c>
      <c r="E103" s="19" t="s">
        <v>1819</v>
      </c>
      <c r="F103" s="19" t="e">
        <f>_xlfn.XLOOKUP(batch_works35[[#This Row],[description]],Table14[name],Table14[id])</f>
        <v>#N/A</v>
      </c>
      <c r="G103" s="19"/>
      <c r="H103" s="19"/>
      <c r="I103" s="19"/>
      <c r="J103" s="19"/>
      <c r="K103" s="19"/>
    </row>
    <row r="104" spans="1:11">
      <c r="A104" s="91">
        <v>102</v>
      </c>
      <c r="B104" s="91">
        <v>102</v>
      </c>
      <c r="C104" s="91"/>
      <c r="D104" s="91">
        <v>2045</v>
      </c>
      <c r="E104" s="19" t="s">
        <v>1531</v>
      </c>
      <c r="F104" s="19">
        <f>_xlfn.XLOOKUP(batch_works35[[#This Row],[description]],Table14[name],Table14[id])</f>
        <v>11</v>
      </c>
      <c r="G104" s="19"/>
      <c r="H104" s="19"/>
      <c r="I104" s="19"/>
      <c r="J104" s="19"/>
      <c r="K104" s="19"/>
    </row>
    <row r="105" spans="1:11">
      <c r="A105" s="91">
        <v>103</v>
      </c>
      <c r="B105" s="91">
        <v>103</v>
      </c>
      <c r="C105" s="91"/>
      <c r="D105" s="91">
        <v>2045</v>
      </c>
      <c r="E105" s="19" t="s">
        <v>1824</v>
      </c>
      <c r="F105" s="19" t="e">
        <f>_xlfn.XLOOKUP(batch_works35[[#This Row],[description]],Table14[name],Table14[id])</f>
        <v>#N/A</v>
      </c>
      <c r="G105" s="19"/>
      <c r="H105" s="19"/>
      <c r="I105" s="19"/>
      <c r="J105" s="19"/>
      <c r="K105" s="19"/>
    </row>
    <row r="106" spans="1:11">
      <c r="A106" s="91">
        <v>104</v>
      </c>
      <c r="B106" s="91">
        <v>104</v>
      </c>
      <c r="C106" s="91"/>
      <c r="D106" s="91">
        <v>2045</v>
      </c>
      <c r="E106" s="19" t="s">
        <v>1825</v>
      </c>
      <c r="F106" s="19" t="e">
        <f>_xlfn.XLOOKUP(batch_works35[[#This Row],[description]],Table14[name],Table14[id])</f>
        <v>#N/A</v>
      </c>
      <c r="G106" s="19"/>
      <c r="H106" s="19"/>
      <c r="I106" s="19"/>
      <c r="J106" s="19"/>
      <c r="K106" s="19"/>
    </row>
    <row r="107" spans="1:11">
      <c r="A107" s="91">
        <v>105</v>
      </c>
      <c r="B107" s="91">
        <v>105</v>
      </c>
      <c r="C107" s="91"/>
      <c r="D107" s="91">
        <v>2046</v>
      </c>
      <c r="E107" s="19" t="s">
        <v>1531</v>
      </c>
      <c r="F107" s="19">
        <f>_xlfn.XLOOKUP(batch_works35[[#This Row],[description]],Table14[name],Table14[id])</f>
        <v>11</v>
      </c>
      <c r="G107" s="19"/>
      <c r="H107" s="19"/>
      <c r="I107" s="19"/>
      <c r="J107" s="19"/>
      <c r="K107" s="19"/>
    </row>
    <row r="108" spans="1:11">
      <c r="A108" s="91">
        <v>106</v>
      </c>
      <c r="B108" s="91">
        <v>106</v>
      </c>
      <c r="C108" s="91"/>
      <c r="D108" s="91">
        <v>2047</v>
      </c>
      <c r="E108" s="19" t="s">
        <v>1531</v>
      </c>
      <c r="F108" s="19">
        <f>_xlfn.XLOOKUP(batch_works35[[#This Row],[description]],Table14[name],Table14[id])</f>
        <v>11</v>
      </c>
      <c r="G108" s="19"/>
      <c r="H108" s="19"/>
      <c r="I108" s="19"/>
      <c r="J108" s="19"/>
      <c r="K108" s="19"/>
    </row>
    <row r="109" spans="1:11">
      <c r="A109" s="91">
        <v>107</v>
      </c>
      <c r="B109" s="91">
        <v>107</v>
      </c>
      <c r="C109" s="91"/>
      <c r="D109" s="91">
        <v>2047</v>
      </c>
      <c r="E109" s="19" t="s">
        <v>1825</v>
      </c>
      <c r="F109" s="19" t="e">
        <f>_xlfn.XLOOKUP(batch_works35[[#This Row],[description]],Table14[name],Table14[id])</f>
        <v>#N/A</v>
      </c>
      <c r="G109" s="19"/>
      <c r="H109" s="19"/>
      <c r="I109" s="19"/>
      <c r="J109" s="19"/>
      <c r="K109" s="19"/>
    </row>
    <row r="110" spans="1:11">
      <c r="A110" s="91">
        <v>108</v>
      </c>
      <c r="B110" s="91">
        <v>108</v>
      </c>
      <c r="C110" s="91"/>
      <c r="D110" s="91">
        <v>2047</v>
      </c>
      <c r="E110" s="19" t="s">
        <v>1826</v>
      </c>
      <c r="F110" s="19" t="e">
        <f>_xlfn.XLOOKUP(batch_works35[[#This Row],[description]],Table14[name],Table14[id])</f>
        <v>#N/A</v>
      </c>
      <c r="G110" s="19"/>
      <c r="H110" s="19"/>
      <c r="I110" s="19"/>
      <c r="J110" s="19"/>
      <c r="K110" s="19"/>
    </row>
    <row r="111" spans="1:11">
      <c r="A111" s="91">
        <v>109</v>
      </c>
      <c r="B111" s="91">
        <v>109</v>
      </c>
      <c r="C111" s="91"/>
      <c r="D111" s="91">
        <v>2048</v>
      </c>
      <c r="E111" s="19" t="s">
        <v>1830</v>
      </c>
      <c r="F111" s="19" t="e">
        <f>_xlfn.XLOOKUP(batch_works35[[#This Row],[description]],Table14[name],Table14[id])</f>
        <v>#N/A</v>
      </c>
      <c r="G111" s="19"/>
      <c r="H111" s="19"/>
      <c r="I111" s="19"/>
      <c r="J111" s="19"/>
      <c r="K111" s="19"/>
    </row>
    <row r="112" spans="1:11">
      <c r="A112" s="91">
        <v>110</v>
      </c>
      <c r="B112" s="91">
        <v>110</v>
      </c>
      <c r="C112" s="91"/>
      <c r="D112" s="91">
        <v>2049</v>
      </c>
      <c r="E112" s="19" t="s">
        <v>1531</v>
      </c>
      <c r="F112" s="19">
        <f>_xlfn.XLOOKUP(batch_works35[[#This Row],[description]],Table14[name],Table14[id])</f>
        <v>11</v>
      </c>
      <c r="G112" s="19"/>
      <c r="H112" s="19"/>
      <c r="I112" s="19"/>
      <c r="J112" s="19"/>
      <c r="K112" s="19"/>
    </row>
    <row r="113" spans="1:11">
      <c r="A113" s="91">
        <v>111</v>
      </c>
      <c r="B113" s="91">
        <v>111</v>
      </c>
      <c r="C113" s="91"/>
      <c r="D113" s="91">
        <v>2049</v>
      </c>
      <c r="E113" s="19" t="s">
        <v>1830</v>
      </c>
      <c r="F113" s="19" t="e">
        <f>_xlfn.XLOOKUP(batch_works35[[#This Row],[description]],Table14[name],Table14[id])</f>
        <v>#N/A</v>
      </c>
      <c r="G113" s="19"/>
      <c r="H113" s="19"/>
      <c r="I113" s="19"/>
      <c r="J113" s="19"/>
      <c r="K113" s="19"/>
    </row>
    <row r="114" spans="1:11">
      <c r="A114" s="91">
        <v>112</v>
      </c>
      <c r="B114" s="91">
        <v>112</v>
      </c>
      <c r="C114" s="91"/>
      <c r="D114" s="91">
        <v>2049</v>
      </c>
      <c r="E114" s="19" t="s">
        <v>1826</v>
      </c>
      <c r="F114" s="19" t="e">
        <f>_xlfn.XLOOKUP(batch_works35[[#This Row],[description]],Table14[name],Table14[id])</f>
        <v>#N/A</v>
      </c>
      <c r="G114" s="19"/>
      <c r="H114" s="19"/>
      <c r="I114" s="19"/>
      <c r="J114" s="19"/>
      <c r="K114" s="19"/>
    </row>
    <row r="115" spans="1:11">
      <c r="A115" s="91">
        <v>113</v>
      </c>
      <c r="B115" s="91">
        <v>113</v>
      </c>
      <c r="C115" s="91"/>
      <c r="D115" s="91">
        <v>2050</v>
      </c>
      <c r="E115" s="19" t="s">
        <v>1531</v>
      </c>
      <c r="F115" s="19">
        <f>_xlfn.XLOOKUP(batch_works35[[#This Row],[description]],Table14[name],Table14[id])</f>
        <v>11</v>
      </c>
      <c r="G115" s="19"/>
      <c r="H115" s="19"/>
      <c r="I115" s="19"/>
      <c r="J115" s="19"/>
      <c r="K115" s="19"/>
    </row>
    <row r="116" spans="1:11">
      <c r="A116" s="91">
        <v>114</v>
      </c>
      <c r="B116" s="91">
        <v>114</v>
      </c>
      <c r="C116" s="91"/>
      <c r="D116" s="91">
        <v>2050</v>
      </c>
      <c r="E116" s="19" t="s">
        <v>1826</v>
      </c>
      <c r="F116" s="19" t="e">
        <f>_xlfn.XLOOKUP(batch_works35[[#This Row],[description]],Table14[name],Table14[id])</f>
        <v>#N/A</v>
      </c>
      <c r="G116" s="19"/>
      <c r="H116" s="19"/>
      <c r="I116" s="19"/>
      <c r="J116" s="19"/>
      <c r="K116" s="19"/>
    </row>
    <row r="117" spans="1:11">
      <c r="A117" s="91">
        <v>115</v>
      </c>
      <c r="B117" s="91">
        <v>115</v>
      </c>
      <c r="C117" s="91"/>
      <c r="D117" s="91">
        <v>2051</v>
      </c>
      <c r="E117" s="19" t="s">
        <v>1531</v>
      </c>
      <c r="F117" s="19">
        <f>_xlfn.XLOOKUP(batch_works35[[#This Row],[description]],Table14[name],Table14[id])</f>
        <v>11</v>
      </c>
      <c r="G117" s="19"/>
      <c r="H117" s="19"/>
      <c r="I117" s="19"/>
      <c r="J117" s="19"/>
      <c r="K117" s="19"/>
    </row>
    <row r="118" spans="1:11">
      <c r="A118" s="91">
        <v>116</v>
      </c>
      <c r="B118" s="91">
        <v>116</v>
      </c>
      <c r="C118" s="91"/>
      <c r="D118" s="91">
        <v>2054</v>
      </c>
      <c r="E118" s="19" t="s">
        <v>1822</v>
      </c>
      <c r="F118" s="19" t="e">
        <f>_xlfn.XLOOKUP(batch_works35[[#This Row],[description]],Table14[name],Table14[id])</f>
        <v>#N/A</v>
      </c>
      <c r="G118" s="19"/>
      <c r="H118" s="19"/>
      <c r="I118" s="19"/>
      <c r="J118" s="19"/>
      <c r="K118" s="19"/>
    </row>
    <row r="119" spans="1:11">
      <c r="A119" s="91">
        <v>117</v>
      </c>
      <c r="B119" s="91">
        <v>117</v>
      </c>
      <c r="C119" s="91"/>
      <c r="D119" s="91">
        <v>2055</v>
      </c>
      <c r="E119" s="19" t="s">
        <v>1826</v>
      </c>
      <c r="F119" s="19" t="e">
        <f>_xlfn.XLOOKUP(batch_works35[[#This Row],[description]],Table14[name],Table14[id])</f>
        <v>#N/A</v>
      </c>
      <c r="G119" s="19"/>
      <c r="H119" s="19"/>
      <c r="I119" s="19"/>
      <c r="J119" s="19"/>
      <c r="K119" s="19"/>
    </row>
    <row r="120" spans="1:11">
      <c r="A120" s="91">
        <v>118</v>
      </c>
      <c r="B120" s="91">
        <v>118</v>
      </c>
      <c r="C120" s="91"/>
      <c r="D120" s="91">
        <v>2056</v>
      </c>
      <c r="E120" s="19" t="s">
        <v>1513</v>
      </c>
      <c r="F120" s="19">
        <f>_xlfn.XLOOKUP(batch_works35[[#This Row],[description]],Table14[name],Table14[id])</f>
        <v>18</v>
      </c>
      <c r="G120" s="19"/>
      <c r="H120" s="19"/>
      <c r="I120" s="19"/>
      <c r="J120" s="19"/>
      <c r="K120" s="19"/>
    </row>
    <row r="121" spans="1:11">
      <c r="A121" s="91">
        <v>119</v>
      </c>
      <c r="B121" s="91">
        <v>119</v>
      </c>
      <c r="C121" s="91"/>
      <c r="D121" s="91">
        <v>2056</v>
      </c>
      <c r="E121" s="19" t="s">
        <v>1822</v>
      </c>
      <c r="F121" s="19" t="e">
        <f>_xlfn.XLOOKUP(batch_works35[[#This Row],[description]],Table14[name],Table14[id])</f>
        <v>#N/A</v>
      </c>
      <c r="G121" s="19"/>
      <c r="H121" s="19"/>
      <c r="I121" s="19"/>
      <c r="J121" s="19"/>
      <c r="K121" s="19"/>
    </row>
    <row r="122" spans="1:11">
      <c r="A122" s="91">
        <v>120</v>
      </c>
      <c r="B122" s="91">
        <v>120</v>
      </c>
      <c r="C122" s="91"/>
      <c r="D122" s="91">
        <v>2057</v>
      </c>
      <c r="E122" s="19" t="s">
        <v>1831</v>
      </c>
      <c r="F122" s="19" t="e">
        <f>_xlfn.XLOOKUP(batch_works35[[#This Row],[description]],Table14[name],Table14[id])</f>
        <v>#N/A</v>
      </c>
      <c r="G122" s="19"/>
      <c r="H122" s="19"/>
      <c r="I122" s="19"/>
      <c r="J122" s="19"/>
      <c r="K122" s="19"/>
    </row>
    <row r="123" spans="1:11">
      <c r="A123" s="91">
        <v>121</v>
      </c>
      <c r="B123" s="91">
        <v>121</v>
      </c>
      <c r="C123" s="91"/>
      <c r="D123" s="91">
        <v>2057</v>
      </c>
      <c r="E123" s="19" t="s">
        <v>1824</v>
      </c>
      <c r="F123" s="19" t="e">
        <f>_xlfn.XLOOKUP(batch_works35[[#This Row],[description]],Table14[name],Table14[id])</f>
        <v>#N/A</v>
      </c>
      <c r="G123" s="19"/>
      <c r="H123" s="19"/>
      <c r="I123" s="19"/>
      <c r="J123" s="19"/>
      <c r="K123" s="19"/>
    </row>
    <row r="124" spans="1:11">
      <c r="A124" s="91">
        <v>122</v>
      </c>
      <c r="B124" s="91">
        <v>122</v>
      </c>
      <c r="C124" s="91"/>
      <c r="D124" s="91">
        <v>2057</v>
      </c>
      <c r="E124" s="19" t="s">
        <v>1513</v>
      </c>
      <c r="F124" s="19">
        <f>_xlfn.XLOOKUP(batch_works35[[#This Row],[description]],Table14[name],Table14[id])</f>
        <v>18</v>
      </c>
      <c r="G124" s="19"/>
      <c r="H124" s="19"/>
      <c r="I124" s="19"/>
      <c r="J124" s="19"/>
      <c r="K124" s="19"/>
    </row>
    <row r="125" spans="1:11">
      <c r="A125" s="91">
        <v>123</v>
      </c>
      <c r="B125" s="91">
        <v>123</v>
      </c>
      <c r="C125" s="91"/>
      <c r="D125" s="91">
        <v>2057</v>
      </c>
      <c r="E125" s="19" t="s">
        <v>1825</v>
      </c>
      <c r="F125" s="19" t="e">
        <f>_xlfn.XLOOKUP(batch_works35[[#This Row],[description]],Table14[name],Table14[id])</f>
        <v>#N/A</v>
      </c>
      <c r="G125" s="19"/>
      <c r="H125" s="19"/>
      <c r="I125" s="19"/>
      <c r="J125" s="19"/>
      <c r="K125" s="19"/>
    </row>
    <row r="126" spans="1:11">
      <c r="A126" s="91">
        <v>124</v>
      </c>
      <c r="B126" s="91">
        <v>124</v>
      </c>
      <c r="C126" s="91"/>
      <c r="D126" s="91">
        <v>2057</v>
      </c>
      <c r="E126" s="19" t="s">
        <v>1822</v>
      </c>
      <c r="F126" s="19" t="e">
        <f>_xlfn.XLOOKUP(batch_works35[[#This Row],[description]],Table14[name],Table14[id])</f>
        <v>#N/A</v>
      </c>
      <c r="G126" s="19"/>
      <c r="H126" s="19"/>
      <c r="I126" s="19"/>
      <c r="J126" s="19"/>
      <c r="K126" s="19"/>
    </row>
    <row r="127" spans="1:11">
      <c r="A127" s="91">
        <v>125</v>
      </c>
      <c r="B127" s="91">
        <v>125</v>
      </c>
      <c r="C127" s="91"/>
      <c r="D127" s="91">
        <v>2057</v>
      </c>
      <c r="E127" s="19" t="s">
        <v>1826</v>
      </c>
      <c r="F127" s="19" t="e">
        <f>_xlfn.XLOOKUP(batch_works35[[#This Row],[description]],Table14[name],Table14[id])</f>
        <v>#N/A</v>
      </c>
      <c r="G127" s="19"/>
      <c r="H127" s="19"/>
      <c r="I127" s="19"/>
      <c r="J127" s="19"/>
      <c r="K127" s="19"/>
    </row>
    <row r="128" spans="1:11">
      <c r="A128" s="91">
        <v>126</v>
      </c>
      <c r="B128" s="91">
        <v>126</v>
      </c>
      <c r="C128" s="91"/>
      <c r="D128" s="91">
        <v>2058</v>
      </c>
      <c r="E128" s="19" t="s">
        <v>1827</v>
      </c>
      <c r="F128" s="19" t="e">
        <f>_xlfn.XLOOKUP(batch_works35[[#This Row],[description]],Table14[name],Table14[id])</f>
        <v>#N/A</v>
      </c>
      <c r="G128" s="19"/>
      <c r="H128" s="19"/>
      <c r="I128" s="19"/>
      <c r="J128" s="19"/>
      <c r="K128" s="19"/>
    </row>
    <row r="129" spans="1:11">
      <c r="A129" s="91">
        <v>127</v>
      </c>
      <c r="B129" s="91">
        <v>127</v>
      </c>
      <c r="C129" s="91"/>
      <c r="D129" s="91">
        <v>2058</v>
      </c>
      <c r="E129" s="19" t="s">
        <v>1822</v>
      </c>
      <c r="F129" s="19" t="e">
        <f>_xlfn.XLOOKUP(batch_works35[[#This Row],[description]],Table14[name],Table14[id])</f>
        <v>#N/A</v>
      </c>
      <c r="G129" s="19"/>
      <c r="H129" s="19"/>
      <c r="I129" s="19"/>
      <c r="J129" s="19"/>
      <c r="K129" s="19"/>
    </row>
    <row r="130" spans="1:11">
      <c r="A130" s="91">
        <v>128</v>
      </c>
      <c r="B130" s="91">
        <v>128</v>
      </c>
      <c r="C130" s="91"/>
      <c r="D130" s="91">
        <v>2058</v>
      </c>
      <c r="E130" s="19" t="s">
        <v>1826</v>
      </c>
      <c r="F130" s="19" t="e">
        <f>_xlfn.XLOOKUP(batch_works35[[#This Row],[description]],Table14[name],Table14[id])</f>
        <v>#N/A</v>
      </c>
      <c r="G130" s="19"/>
      <c r="H130" s="19"/>
      <c r="I130" s="19"/>
      <c r="J130" s="19"/>
      <c r="K130" s="19"/>
    </row>
    <row r="131" spans="1:11">
      <c r="A131" s="91">
        <v>129</v>
      </c>
      <c r="B131" s="91">
        <v>129</v>
      </c>
      <c r="C131" s="91"/>
      <c r="D131" s="91">
        <v>2059</v>
      </c>
      <c r="E131" s="19" t="s">
        <v>1822</v>
      </c>
      <c r="F131" s="19" t="e">
        <f>_xlfn.XLOOKUP(batch_works35[[#This Row],[description]],Table14[name],Table14[id])</f>
        <v>#N/A</v>
      </c>
      <c r="G131" s="19"/>
      <c r="H131" s="19"/>
      <c r="I131" s="19"/>
      <c r="J131" s="19"/>
      <c r="K131" s="19"/>
    </row>
    <row r="132" spans="1:11">
      <c r="A132" s="91">
        <v>130</v>
      </c>
      <c r="B132" s="91">
        <v>130</v>
      </c>
      <c r="C132" s="91"/>
      <c r="D132" s="91">
        <v>2060</v>
      </c>
      <c r="E132" s="19" t="s">
        <v>1824</v>
      </c>
      <c r="F132" s="19" t="e">
        <f>_xlfn.XLOOKUP(batch_works35[[#This Row],[description]],Table14[name],Table14[id])</f>
        <v>#N/A</v>
      </c>
      <c r="G132" s="19"/>
      <c r="H132" s="19"/>
      <c r="I132" s="19"/>
      <c r="J132" s="19"/>
      <c r="K132" s="19"/>
    </row>
    <row r="133" spans="1:11">
      <c r="A133" s="91">
        <v>131</v>
      </c>
      <c r="B133" s="91">
        <v>131</v>
      </c>
      <c r="C133" s="91"/>
      <c r="D133" s="91">
        <v>2060</v>
      </c>
      <c r="E133" s="19" t="s">
        <v>1513</v>
      </c>
      <c r="F133" s="19">
        <f>_xlfn.XLOOKUP(batch_works35[[#This Row],[description]],Table14[name],Table14[id])</f>
        <v>18</v>
      </c>
      <c r="G133" s="19"/>
      <c r="H133" s="19"/>
      <c r="I133" s="19"/>
      <c r="J133" s="19"/>
      <c r="K133" s="19"/>
    </row>
    <row r="134" spans="1:11">
      <c r="A134" s="91">
        <v>132</v>
      </c>
      <c r="B134" s="91">
        <v>132</v>
      </c>
      <c r="C134" s="91"/>
      <c r="D134" s="91">
        <v>2060</v>
      </c>
      <c r="E134" s="19" t="s">
        <v>1819</v>
      </c>
      <c r="F134" s="19" t="e">
        <f>_xlfn.XLOOKUP(batch_works35[[#This Row],[description]],Table14[name],Table14[id])</f>
        <v>#N/A</v>
      </c>
      <c r="G134" s="19"/>
      <c r="H134" s="19"/>
      <c r="I134" s="19"/>
      <c r="J134" s="19"/>
      <c r="K134" s="19"/>
    </row>
    <row r="135" spans="1:11">
      <c r="A135" s="91">
        <v>133</v>
      </c>
      <c r="B135" s="91">
        <v>133</v>
      </c>
      <c r="C135" s="91"/>
      <c r="D135" s="91">
        <v>2060</v>
      </c>
      <c r="E135" s="19" t="s">
        <v>1822</v>
      </c>
      <c r="F135" s="19" t="e">
        <f>_xlfn.XLOOKUP(batch_works35[[#This Row],[description]],Table14[name],Table14[id])</f>
        <v>#N/A</v>
      </c>
      <c r="G135" s="19"/>
      <c r="H135" s="19"/>
      <c r="I135" s="19"/>
      <c r="J135" s="19"/>
      <c r="K135" s="19"/>
    </row>
    <row r="136" spans="1:11">
      <c r="A136" s="91">
        <v>134</v>
      </c>
      <c r="B136" s="91">
        <v>134</v>
      </c>
      <c r="C136" s="91"/>
      <c r="D136" s="91">
        <v>2061</v>
      </c>
      <c r="E136" s="19" t="s">
        <v>1513</v>
      </c>
      <c r="F136" s="19">
        <f>_xlfn.XLOOKUP(batch_works35[[#This Row],[description]],Table14[name],Table14[id])</f>
        <v>18</v>
      </c>
      <c r="G136" s="19"/>
      <c r="H136" s="19"/>
      <c r="I136" s="19"/>
      <c r="J136" s="19"/>
      <c r="K136" s="19"/>
    </row>
    <row r="137" spans="1:11">
      <c r="A137" s="91">
        <v>135</v>
      </c>
      <c r="B137" s="91">
        <v>135</v>
      </c>
      <c r="C137" s="91"/>
      <c r="D137" s="91">
        <v>2061</v>
      </c>
      <c r="E137" s="19" t="s">
        <v>1822</v>
      </c>
      <c r="F137" s="19" t="e">
        <f>_xlfn.XLOOKUP(batch_works35[[#This Row],[description]],Table14[name],Table14[id])</f>
        <v>#N/A</v>
      </c>
      <c r="G137" s="19"/>
      <c r="H137" s="19"/>
      <c r="I137" s="19"/>
      <c r="J137" s="19"/>
      <c r="K137" s="19"/>
    </row>
    <row r="138" spans="1:11">
      <c r="A138" s="91">
        <v>136</v>
      </c>
      <c r="B138" s="91">
        <v>136</v>
      </c>
      <c r="C138" s="91"/>
      <c r="D138" s="91">
        <v>2062</v>
      </c>
      <c r="E138" s="19" t="s">
        <v>1525</v>
      </c>
      <c r="F138" s="19">
        <f>_xlfn.XLOOKUP(batch_works35[[#This Row],[description]],Table14[name],Table14[id])</f>
        <v>7</v>
      </c>
      <c r="G138" s="19"/>
      <c r="H138" s="19"/>
      <c r="I138" s="19"/>
      <c r="J138" s="19"/>
      <c r="K138" s="19"/>
    </row>
    <row r="139" spans="1:11">
      <c r="A139" s="91">
        <v>137</v>
      </c>
      <c r="B139" s="91">
        <v>137</v>
      </c>
      <c r="C139" s="91"/>
      <c r="D139" s="91">
        <v>2062</v>
      </c>
      <c r="E139" s="19" t="s">
        <v>1827</v>
      </c>
      <c r="F139" s="19" t="e">
        <f>_xlfn.XLOOKUP(batch_works35[[#This Row],[description]],Table14[name],Table14[id])</f>
        <v>#N/A</v>
      </c>
      <c r="G139" s="19"/>
      <c r="H139" s="19"/>
      <c r="I139" s="19"/>
      <c r="J139" s="19"/>
      <c r="K139" s="19"/>
    </row>
    <row r="140" spans="1:11">
      <c r="A140" s="91">
        <v>138</v>
      </c>
      <c r="B140" s="91">
        <v>138</v>
      </c>
      <c r="C140" s="91"/>
      <c r="D140" s="91">
        <v>2062</v>
      </c>
      <c r="E140" s="19" t="s">
        <v>1832</v>
      </c>
      <c r="F140" s="19" t="e">
        <f>_xlfn.XLOOKUP(batch_works35[[#This Row],[description]],Table14[name],Table14[id])</f>
        <v>#N/A</v>
      </c>
      <c r="G140" s="19"/>
      <c r="H140" s="19"/>
      <c r="I140" s="19"/>
      <c r="J140" s="19"/>
      <c r="K140" s="19"/>
    </row>
    <row r="141" spans="1:11">
      <c r="A141" s="91">
        <v>139</v>
      </c>
      <c r="B141" s="91">
        <v>139</v>
      </c>
      <c r="C141" s="91"/>
      <c r="D141" s="91">
        <v>2062</v>
      </c>
      <c r="E141" s="19" t="s">
        <v>1828</v>
      </c>
      <c r="F141" s="19" t="e">
        <f>_xlfn.XLOOKUP(batch_works35[[#This Row],[description]],Table14[name],Table14[id])</f>
        <v>#N/A</v>
      </c>
      <c r="G141" s="19"/>
      <c r="H141" s="19"/>
      <c r="I141" s="19"/>
      <c r="J141" s="19"/>
      <c r="K141" s="19"/>
    </row>
    <row r="142" spans="1:11">
      <c r="A142" s="91">
        <v>140</v>
      </c>
      <c r="B142" s="91">
        <v>140</v>
      </c>
      <c r="C142" s="91"/>
      <c r="D142" s="91">
        <v>2069</v>
      </c>
      <c r="E142" s="19" t="s">
        <v>1531</v>
      </c>
      <c r="F142" s="19">
        <f>_xlfn.XLOOKUP(batch_works35[[#This Row],[description]],Table14[name],Table14[id])</f>
        <v>11</v>
      </c>
      <c r="G142" s="19"/>
      <c r="H142" s="19"/>
      <c r="I142" s="19"/>
      <c r="J142" s="19"/>
      <c r="K142" s="19"/>
    </row>
    <row r="143" spans="1:11">
      <c r="A143" s="91">
        <v>141</v>
      </c>
      <c r="B143" s="91">
        <v>141</v>
      </c>
      <c r="C143" s="91"/>
      <c r="D143" s="91">
        <v>2069</v>
      </c>
      <c r="E143" s="19" t="s">
        <v>1825</v>
      </c>
      <c r="F143" s="19" t="e">
        <f>_xlfn.XLOOKUP(batch_works35[[#This Row],[description]],Table14[name],Table14[id])</f>
        <v>#N/A</v>
      </c>
      <c r="G143" s="19"/>
      <c r="H143" s="19"/>
      <c r="I143" s="19"/>
      <c r="J143" s="19"/>
      <c r="K143" s="19"/>
    </row>
    <row r="144" spans="1:11">
      <c r="A144" s="91">
        <v>142</v>
      </c>
      <c r="B144" s="91">
        <v>142</v>
      </c>
      <c r="C144" s="91"/>
      <c r="D144" s="91">
        <v>2069</v>
      </c>
      <c r="E144" s="19" t="s">
        <v>1826</v>
      </c>
      <c r="F144" s="19" t="e">
        <f>_xlfn.XLOOKUP(batch_works35[[#This Row],[description]],Table14[name],Table14[id])</f>
        <v>#N/A</v>
      </c>
      <c r="G144" s="19"/>
      <c r="H144" s="19"/>
      <c r="I144" s="19"/>
      <c r="J144" s="19"/>
      <c r="K144" s="19"/>
    </row>
    <row r="145" spans="1:11">
      <c r="A145" s="91">
        <v>143</v>
      </c>
      <c r="B145" s="91">
        <v>143</v>
      </c>
      <c r="C145" s="91"/>
      <c r="D145" s="91">
        <v>2070</v>
      </c>
      <c r="E145" s="19" t="s">
        <v>1531</v>
      </c>
      <c r="F145" s="19">
        <f>_xlfn.XLOOKUP(batch_works35[[#This Row],[description]],Table14[name],Table14[id])</f>
        <v>11</v>
      </c>
      <c r="G145" s="19"/>
      <c r="H145" s="19"/>
      <c r="I145" s="19"/>
      <c r="J145" s="19"/>
      <c r="K145" s="19"/>
    </row>
    <row r="146" spans="1:11">
      <c r="A146" s="91">
        <v>144</v>
      </c>
      <c r="B146" s="91">
        <v>144</v>
      </c>
      <c r="C146" s="91"/>
      <c r="D146" s="91">
        <v>2070</v>
      </c>
      <c r="E146" s="19" t="s">
        <v>1824</v>
      </c>
      <c r="F146" s="19" t="e">
        <f>_xlfn.XLOOKUP(batch_works35[[#This Row],[description]],Table14[name],Table14[id])</f>
        <v>#N/A</v>
      </c>
      <c r="G146" s="19"/>
      <c r="H146" s="19"/>
      <c r="I146" s="19"/>
      <c r="J146" s="19"/>
      <c r="K146" s="19"/>
    </row>
    <row r="147" spans="1:11">
      <c r="A147" s="91">
        <v>145</v>
      </c>
      <c r="B147" s="91">
        <v>145</v>
      </c>
      <c r="C147" s="91"/>
      <c r="D147" s="91">
        <v>2070</v>
      </c>
      <c r="E147" s="19" t="s">
        <v>1827</v>
      </c>
      <c r="F147" s="19" t="e">
        <f>_xlfn.XLOOKUP(batch_works35[[#This Row],[description]],Table14[name],Table14[id])</f>
        <v>#N/A</v>
      </c>
      <c r="G147" s="19"/>
      <c r="H147" s="19"/>
      <c r="I147" s="19"/>
      <c r="J147" s="19"/>
      <c r="K147" s="19"/>
    </row>
    <row r="148" spans="1:11">
      <c r="A148" s="91">
        <v>146</v>
      </c>
      <c r="B148" s="91">
        <v>146</v>
      </c>
      <c r="C148" s="91"/>
      <c r="D148" s="91">
        <v>2070</v>
      </c>
      <c r="E148" s="19" t="s">
        <v>1825</v>
      </c>
      <c r="F148" s="19" t="e">
        <f>_xlfn.XLOOKUP(batch_works35[[#This Row],[description]],Table14[name],Table14[id])</f>
        <v>#N/A</v>
      </c>
      <c r="G148" s="19"/>
      <c r="H148" s="19"/>
      <c r="I148" s="19"/>
      <c r="J148" s="19"/>
      <c r="K148" s="19"/>
    </row>
    <row r="149" spans="1:11">
      <c r="A149" s="91">
        <v>147</v>
      </c>
      <c r="B149" s="91">
        <v>147</v>
      </c>
      <c r="C149" s="91"/>
      <c r="D149" s="91">
        <v>2071</v>
      </c>
      <c r="E149" s="19" t="s">
        <v>1531</v>
      </c>
      <c r="F149" s="19">
        <f>_xlfn.XLOOKUP(batch_works35[[#This Row],[description]],Table14[name],Table14[id])</f>
        <v>11</v>
      </c>
      <c r="G149" s="19"/>
      <c r="H149" s="19"/>
      <c r="I149" s="19"/>
      <c r="J149" s="19"/>
      <c r="K149" s="19"/>
    </row>
    <row r="150" spans="1:11">
      <c r="A150" s="91">
        <v>148</v>
      </c>
      <c r="B150" s="91">
        <v>148</v>
      </c>
      <c r="C150" s="91"/>
      <c r="D150" s="91">
        <v>2071</v>
      </c>
      <c r="E150" s="19" t="s">
        <v>1824</v>
      </c>
      <c r="F150" s="19" t="e">
        <f>_xlfn.XLOOKUP(batch_works35[[#This Row],[description]],Table14[name],Table14[id])</f>
        <v>#N/A</v>
      </c>
      <c r="G150" s="19"/>
      <c r="H150" s="19"/>
      <c r="I150" s="19"/>
      <c r="J150" s="19"/>
      <c r="K150" s="19"/>
    </row>
    <row r="151" spans="1:11">
      <c r="A151" s="91">
        <v>149</v>
      </c>
      <c r="B151" s="91">
        <v>149</v>
      </c>
      <c r="C151" s="91"/>
      <c r="D151" s="91">
        <v>2071</v>
      </c>
      <c r="E151" s="19" t="s">
        <v>1827</v>
      </c>
      <c r="F151" s="19" t="e">
        <f>_xlfn.XLOOKUP(batch_works35[[#This Row],[description]],Table14[name],Table14[id])</f>
        <v>#N/A</v>
      </c>
      <c r="G151" s="19"/>
      <c r="H151" s="19"/>
      <c r="I151" s="19"/>
      <c r="J151" s="19"/>
      <c r="K151" s="19"/>
    </row>
    <row r="152" spans="1:11">
      <c r="A152" s="91">
        <v>150</v>
      </c>
      <c r="B152" s="91">
        <v>150</v>
      </c>
      <c r="C152" s="91"/>
      <c r="D152" s="91">
        <v>2071</v>
      </c>
      <c r="E152" s="19" t="s">
        <v>1825</v>
      </c>
      <c r="F152" s="19" t="e">
        <f>_xlfn.XLOOKUP(batch_works35[[#This Row],[description]],Table14[name],Table14[id])</f>
        <v>#N/A</v>
      </c>
      <c r="G152" s="19"/>
      <c r="H152" s="19"/>
      <c r="I152" s="19"/>
      <c r="J152" s="19"/>
      <c r="K152" s="19"/>
    </row>
    <row r="153" spans="1:11">
      <c r="A153" s="91">
        <v>151</v>
      </c>
      <c r="B153" s="91">
        <v>151</v>
      </c>
      <c r="C153" s="91"/>
      <c r="D153" s="91">
        <v>2071</v>
      </c>
      <c r="E153" s="19" t="s">
        <v>1826</v>
      </c>
      <c r="F153" s="19" t="e">
        <f>_xlfn.XLOOKUP(batch_works35[[#This Row],[description]],Table14[name],Table14[id])</f>
        <v>#N/A</v>
      </c>
      <c r="G153" s="19"/>
      <c r="H153" s="19"/>
      <c r="I153" s="19"/>
      <c r="J153" s="19"/>
      <c r="K153" s="19"/>
    </row>
    <row r="154" spans="1:11">
      <c r="A154" s="91">
        <v>152</v>
      </c>
      <c r="B154" s="91">
        <v>152</v>
      </c>
      <c r="C154" s="91"/>
      <c r="D154" s="91">
        <v>2072</v>
      </c>
      <c r="E154" s="19" t="s">
        <v>1531</v>
      </c>
      <c r="F154" s="19">
        <f>_xlfn.XLOOKUP(batch_works35[[#This Row],[description]],Table14[name],Table14[id])</f>
        <v>11</v>
      </c>
      <c r="G154" s="19"/>
      <c r="H154" s="19"/>
      <c r="I154" s="19"/>
      <c r="J154" s="19"/>
      <c r="K154" s="19"/>
    </row>
    <row r="155" spans="1:11">
      <c r="A155" s="91">
        <v>153</v>
      </c>
      <c r="B155" s="91">
        <v>153</v>
      </c>
      <c r="C155" s="91"/>
      <c r="D155" s="91">
        <v>2072</v>
      </c>
      <c r="E155" s="19" t="s">
        <v>1824</v>
      </c>
      <c r="F155" s="19" t="e">
        <f>_xlfn.XLOOKUP(batch_works35[[#This Row],[description]],Table14[name],Table14[id])</f>
        <v>#N/A</v>
      </c>
      <c r="G155" s="19"/>
      <c r="H155" s="19"/>
      <c r="I155" s="19"/>
      <c r="J155" s="19"/>
      <c r="K155" s="19"/>
    </row>
    <row r="156" spans="1:11">
      <c r="A156" s="91">
        <v>154</v>
      </c>
      <c r="B156" s="91">
        <v>154</v>
      </c>
      <c r="C156" s="91"/>
      <c r="D156" s="91">
        <v>2072</v>
      </c>
      <c r="E156" s="19" t="s">
        <v>1826</v>
      </c>
      <c r="F156" s="19" t="e">
        <f>_xlfn.XLOOKUP(batch_works35[[#This Row],[description]],Table14[name],Table14[id])</f>
        <v>#N/A</v>
      </c>
      <c r="G156" s="19"/>
      <c r="H156" s="19"/>
      <c r="I156" s="19"/>
      <c r="J156" s="19"/>
      <c r="K156" s="19"/>
    </row>
    <row r="157" spans="1:11">
      <c r="A157" s="91">
        <v>155</v>
      </c>
      <c r="B157" s="91">
        <v>155</v>
      </c>
      <c r="C157" s="91"/>
      <c r="D157" s="91">
        <v>2073</v>
      </c>
      <c r="E157" s="19" t="s">
        <v>1824</v>
      </c>
      <c r="F157" s="19" t="e">
        <f>_xlfn.XLOOKUP(batch_works35[[#This Row],[description]],Table14[name],Table14[id])</f>
        <v>#N/A</v>
      </c>
      <c r="G157" s="19"/>
      <c r="H157" s="19"/>
      <c r="I157" s="19"/>
      <c r="J157" s="19"/>
      <c r="K157" s="19"/>
    </row>
    <row r="158" spans="1:11">
      <c r="A158" s="91">
        <v>156</v>
      </c>
      <c r="B158" s="91">
        <v>156</v>
      </c>
      <c r="C158" s="91"/>
      <c r="D158" s="91">
        <v>2073</v>
      </c>
      <c r="E158" s="19" t="s">
        <v>1825</v>
      </c>
      <c r="F158" s="19" t="e">
        <f>_xlfn.XLOOKUP(batch_works35[[#This Row],[description]],Table14[name],Table14[id])</f>
        <v>#N/A</v>
      </c>
      <c r="G158" s="19"/>
      <c r="H158" s="19"/>
      <c r="I158" s="19"/>
      <c r="J158" s="19"/>
      <c r="K158" s="19"/>
    </row>
    <row r="159" spans="1:11">
      <c r="A159" s="91">
        <v>157</v>
      </c>
      <c r="B159" s="91">
        <v>157</v>
      </c>
      <c r="C159" s="91"/>
      <c r="D159" s="91">
        <v>2074</v>
      </c>
      <c r="E159" s="19" t="s">
        <v>1531</v>
      </c>
      <c r="F159" s="19">
        <f>_xlfn.XLOOKUP(batch_works35[[#This Row],[description]],Table14[name],Table14[id])</f>
        <v>11</v>
      </c>
      <c r="G159" s="19"/>
      <c r="H159" s="19"/>
      <c r="I159" s="19"/>
      <c r="J159" s="19"/>
      <c r="K159" s="19"/>
    </row>
    <row r="160" spans="1:11">
      <c r="A160" s="91">
        <v>158</v>
      </c>
      <c r="B160" s="91">
        <v>158</v>
      </c>
      <c r="C160" s="91"/>
      <c r="D160" s="91">
        <v>2074</v>
      </c>
      <c r="E160" s="19" t="s">
        <v>1824</v>
      </c>
      <c r="F160" s="19" t="e">
        <f>_xlfn.XLOOKUP(batch_works35[[#This Row],[description]],Table14[name],Table14[id])</f>
        <v>#N/A</v>
      </c>
      <c r="G160" s="19"/>
      <c r="H160" s="19"/>
      <c r="I160" s="19"/>
      <c r="J160" s="19"/>
      <c r="K160" s="19"/>
    </row>
    <row r="161" spans="1:11">
      <c r="A161" s="91">
        <v>159</v>
      </c>
      <c r="B161" s="91">
        <v>159</v>
      </c>
      <c r="C161" s="91"/>
      <c r="D161" s="91">
        <v>2074</v>
      </c>
      <c r="E161" s="19" t="s">
        <v>1825</v>
      </c>
      <c r="F161" s="19" t="e">
        <f>_xlfn.XLOOKUP(batch_works35[[#This Row],[description]],Table14[name],Table14[id])</f>
        <v>#N/A</v>
      </c>
      <c r="G161" s="19"/>
      <c r="H161" s="19"/>
      <c r="I161" s="19"/>
      <c r="J161" s="19"/>
      <c r="K161" s="19"/>
    </row>
    <row r="162" spans="1:11">
      <c r="A162" s="91">
        <v>160</v>
      </c>
      <c r="B162" s="91">
        <v>160</v>
      </c>
      <c r="C162" s="91"/>
      <c r="D162" s="91">
        <v>2075</v>
      </c>
      <c r="E162" s="19" t="s">
        <v>1531</v>
      </c>
      <c r="F162" s="19">
        <f>_xlfn.XLOOKUP(batch_works35[[#This Row],[description]],Table14[name],Table14[id])</f>
        <v>11</v>
      </c>
      <c r="G162" s="19"/>
      <c r="H162" s="19"/>
      <c r="I162" s="19"/>
      <c r="J162" s="19"/>
      <c r="K162" s="19"/>
    </row>
    <row r="163" spans="1:11">
      <c r="A163" s="91">
        <v>161</v>
      </c>
      <c r="B163" s="91">
        <v>161</v>
      </c>
      <c r="C163" s="91"/>
      <c r="D163" s="91">
        <v>2075</v>
      </c>
      <c r="E163" s="19" t="s">
        <v>1827</v>
      </c>
      <c r="F163" s="19" t="e">
        <f>_xlfn.XLOOKUP(batch_works35[[#This Row],[description]],Table14[name],Table14[id])</f>
        <v>#N/A</v>
      </c>
      <c r="G163" s="19"/>
      <c r="H163" s="19"/>
      <c r="I163" s="19"/>
      <c r="J163" s="19"/>
      <c r="K163" s="19"/>
    </row>
    <row r="164" spans="1:11">
      <c r="A164" s="91">
        <v>162</v>
      </c>
      <c r="B164" s="91">
        <v>162</v>
      </c>
      <c r="C164" s="91"/>
      <c r="D164" s="91">
        <v>2075</v>
      </c>
      <c r="E164" s="19" t="s">
        <v>1825</v>
      </c>
      <c r="F164" s="19" t="e">
        <f>_xlfn.XLOOKUP(batch_works35[[#This Row],[description]],Table14[name],Table14[id])</f>
        <v>#N/A</v>
      </c>
      <c r="G164" s="19"/>
      <c r="H164" s="19"/>
      <c r="I164" s="19"/>
      <c r="J164" s="19"/>
      <c r="K164" s="19"/>
    </row>
    <row r="165" spans="1:11">
      <c r="A165" s="91">
        <v>163</v>
      </c>
      <c r="B165" s="91">
        <v>163</v>
      </c>
      <c r="C165" s="91"/>
      <c r="D165" s="91">
        <v>2076</v>
      </c>
      <c r="E165" s="19" t="s">
        <v>1531</v>
      </c>
      <c r="F165" s="19">
        <f>_xlfn.XLOOKUP(batch_works35[[#This Row],[description]],Table14[name],Table14[id])</f>
        <v>11</v>
      </c>
      <c r="G165" s="19"/>
      <c r="H165" s="19"/>
      <c r="I165" s="19"/>
      <c r="J165" s="19"/>
      <c r="K165" s="19"/>
    </row>
    <row r="166" spans="1:11">
      <c r="A166" s="91">
        <v>164</v>
      </c>
      <c r="B166" s="91">
        <v>164</v>
      </c>
      <c r="C166" s="91"/>
      <c r="D166" s="91">
        <v>2076</v>
      </c>
      <c r="E166" s="19" t="s">
        <v>1824</v>
      </c>
      <c r="F166" s="19" t="e">
        <f>_xlfn.XLOOKUP(batch_works35[[#This Row],[description]],Table14[name],Table14[id])</f>
        <v>#N/A</v>
      </c>
      <c r="G166" s="19"/>
      <c r="H166" s="19"/>
      <c r="I166" s="19"/>
      <c r="J166" s="19"/>
      <c r="K166" s="19"/>
    </row>
    <row r="167" spans="1:11">
      <c r="A167" s="91">
        <v>165</v>
      </c>
      <c r="B167" s="91">
        <v>165</v>
      </c>
      <c r="C167" s="91"/>
      <c r="D167" s="91">
        <v>2076</v>
      </c>
      <c r="E167" s="19" t="s">
        <v>1827</v>
      </c>
      <c r="F167" s="19" t="e">
        <f>_xlfn.XLOOKUP(batch_works35[[#This Row],[description]],Table14[name],Table14[id])</f>
        <v>#N/A</v>
      </c>
      <c r="G167" s="19"/>
      <c r="H167" s="19"/>
      <c r="I167" s="19"/>
      <c r="J167" s="19"/>
      <c r="K167" s="19"/>
    </row>
    <row r="168" spans="1:11">
      <c r="A168" s="91">
        <v>166</v>
      </c>
      <c r="B168" s="91">
        <v>166</v>
      </c>
      <c r="C168" s="91"/>
      <c r="D168" s="91">
        <v>2076</v>
      </c>
      <c r="E168" s="19" t="s">
        <v>1825</v>
      </c>
      <c r="F168" s="19" t="e">
        <f>_xlfn.XLOOKUP(batch_works35[[#This Row],[description]],Table14[name],Table14[id])</f>
        <v>#N/A</v>
      </c>
      <c r="G168" s="19"/>
      <c r="H168" s="19"/>
      <c r="I168" s="19"/>
      <c r="J168" s="19"/>
      <c r="K168" s="19"/>
    </row>
    <row r="169" spans="1:11">
      <c r="A169" s="91">
        <v>167</v>
      </c>
      <c r="B169" s="91">
        <v>167</v>
      </c>
      <c r="C169" s="91"/>
      <c r="D169" s="91">
        <v>2077</v>
      </c>
      <c r="E169" s="19" t="s">
        <v>1831</v>
      </c>
      <c r="F169" s="19" t="e">
        <f>_xlfn.XLOOKUP(batch_works35[[#This Row],[description]],Table14[name],Table14[id])</f>
        <v>#N/A</v>
      </c>
      <c r="G169" s="19"/>
      <c r="H169" s="19"/>
      <c r="I169" s="19"/>
      <c r="J169" s="19"/>
      <c r="K169" s="19"/>
    </row>
    <row r="170" spans="1:11">
      <c r="A170" s="91">
        <v>168</v>
      </c>
      <c r="B170" s="91">
        <v>168</v>
      </c>
      <c r="C170" s="91"/>
      <c r="D170" s="91">
        <v>2077</v>
      </c>
      <c r="E170" s="19" t="s">
        <v>1829</v>
      </c>
      <c r="F170" s="19" t="e">
        <f>_xlfn.XLOOKUP(batch_works35[[#This Row],[description]],Table14[name],Table14[id])</f>
        <v>#N/A</v>
      </c>
      <c r="G170" s="19"/>
      <c r="H170" s="19"/>
      <c r="I170" s="19"/>
      <c r="J170" s="19"/>
      <c r="K170" s="19"/>
    </row>
    <row r="171" spans="1:11">
      <c r="A171" s="91">
        <v>169</v>
      </c>
      <c r="B171" s="91">
        <v>169</v>
      </c>
      <c r="C171" s="91"/>
      <c r="D171" s="91">
        <v>2077</v>
      </c>
      <c r="E171" s="19" t="s">
        <v>1825</v>
      </c>
      <c r="F171" s="19" t="e">
        <f>_xlfn.XLOOKUP(batch_works35[[#This Row],[description]],Table14[name],Table14[id])</f>
        <v>#N/A</v>
      </c>
      <c r="G171" s="19"/>
      <c r="H171" s="19"/>
      <c r="I171" s="19"/>
      <c r="J171" s="19"/>
      <c r="K171" s="19"/>
    </row>
    <row r="172" spans="1:11">
      <c r="A172" s="91">
        <v>170</v>
      </c>
      <c r="B172" s="91">
        <v>170</v>
      </c>
      <c r="C172" s="91"/>
      <c r="D172" s="91">
        <v>2077</v>
      </c>
      <c r="E172" s="19" t="s">
        <v>1828</v>
      </c>
      <c r="F172" s="19" t="e">
        <f>_xlfn.XLOOKUP(batch_works35[[#This Row],[description]],Table14[name],Table14[id])</f>
        <v>#N/A</v>
      </c>
      <c r="G172" s="19"/>
      <c r="H172" s="19"/>
      <c r="I172" s="19"/>
      <c r="J172" s="19"/>
      <c r="K172" s="19"/>
    </row>
    <row r="173" spans="1:11">
      <c r="A173" s="91">
        <v>171</v>
      </c>
      <c r="B173" s="91">
        <v>171</v>
      </c>
      <c r="C173" s="91"/>
      <c r="D173" s="91">
        <v>2078</v>
      </c>
      <c r="E173" s="19" t="s">
        <v>1531</v>
      </c>
      <c r="F173" s="19">
        <f>_xlfn.XLOOKUP(batch_works35[[#This Row],[description]],Table14[name],Table14[id])</f>
        <v>11</v>
      </c>
      <c r="G173" s="19"/>
      <c r="H173" s="19"/>
      <c r="I173" s="19"/>
      <c r="J173" s="19"/>
      <c r="K173" s="19"/>
    </row>
    <row r="174" spans="1:11">
      <c r="A174" s="91">
        <v>172</v>
      </c>
      <c r="B174" s="91">
        <v>172</v>
      </c>
      <c r="C174" s="91"/>
      <c r="D174" s="91">
        <v>2078</v>
      </c>
      <c r="E174" s="19" t="s">
        <v>1824</v>
      </c>
      <c r="F174" s="19" t="e">
        <f>_xlfn.XLOOKUP(batch_works35[[#This Row],[description]],Table14[name],Table14[id])</f>
        <v>#N/A</v>
      </c>
      <c r="G174" s="19"/>
      <c r="H174" s="19"/>
      <c r="I174" s="19"/>
      <c r="J174" s="19"/>
      <c r="K174" s="19"/>
    </row>
    <row r="175" spans="1:11">
      <c r="A175" s="91">
        <v>173</v>
      </c>
      <c r="B175" s="91">
        <v>173</v>
      </c>
      <c r="C175" s="91"/>
      <c r="D175" s="91">
        <v>2078</v>
      </c>
      <c r="E175" s="19" t="s">
        <v>1829</v>
      </c>
      <c r="F175" s="19" t="e">
        <f>_xlfn.XLOOKUP(batch_works35[[#This Row],[description]],Table14[name],Table14[id])</f>
        <v>#N/A</v>
      </c>
      <c r="G175" s="19"/>
      <c r="H175" s="19"/>
      <c r="I175" s="19"/>
      <c r="J175" s="19"/>
      <c r="K175" s="19"/>
    </row>
    <row r="176" spans="1:11">
      <c r="A176" s="91">
        <v>174</v>
      </c>
      <c r="B176" s="91">
        <v>174</v>
      </c>
      <c r="C176" s="91"/>
      <c r="D176" s="91">
        <v>2078</v>
      </c>
      <c r="E176" s="19" t="s">
        <v>1825</v>
      </c>
      <c r="F176" s="19" t="e">
        <f>_xlfn.XLOOKUP(batch_works35[[#This Row],[description]],Table14[name],Table14[id])</f>
        <v>#N/A</v>
      </c>
      <c r="G176" s="19"/>
      <c r="H176" s="19"/>
      <c r="I176" s="19"/>
      <c r="J176" s="19"/>
      <c r="K176" s="19"/>
    </row>
    <row r="177" spans="1:11">
      <c r="A177" s="91">
        <v>175</v>
      </c>
      <c r="B177" s="91">
        <v>175</v>
      </c>
      <c r="C177" s="91"/>
      <c r="D177" s="91">
        <v>2078</v>
      </c>
      <c r="E177" s="19" t="s">
        <v>1828</v>
      </c>
      <c r="F177" s="19" t="e">
        <f>_xlfn.XLOOKUP(batch_works35[[#This Row],[description]],Table14[name],Table14[id])</f>
        <v>#N/A</v>
      </c>
      <c r="G177" s="19"/>
      <c r="H177" s="19"/>
      <c r="I177" s="19"/>
      <c r="J177" s="19"/>
      <c r="K177" s="19"/>
    </row>
    <row r="178" spans="1:11">
      <c r="A178" s="91">
        <v>176</v>
      </c>
      <c r="B178" s="91">
        <v>176</v>
      </c>
      <c r="C178" s="91"/>
      <c r="D178" s="91">
        <v>2079</v>
      </c>
      <c r="E178" s="19" t="s">
        <v>1531</v>
      </c>
      <c r="F178" s="19">
        <f>_xlfn.XLOOKUP(batch_works35[[#This Row],[description]],Table14[name],Table14[id])</f>
        <v>11</v>
      </c>
      <c r="G178" s="19"/>
      <c r="H178" s="19"/>
      <c r="I178" s="19"/>
      <c r="J178" s="19"/>
      <c r="K178" s="19"/>
    </row>
    <row r="179" spans="1:11">
      <c r="A179" s="91">
        <v>177</v>
      </c>
      <c r="B179" s="91">
        <v>177</v>
      </c>
      <c r="C179" s="91"/>
      <c r="D179" s="91">
        <v>2079</v>
      </c>
      <c r="E179" s="19" t="s">
        <v>1824</v>
      </c>
      <c r="F179" s="19" t="e">
        <f>_xlfn.XLOOKUP(batch_works35[[#This Row],[description]],Table14[name],Table14[id])</f>
        <v>#N/A</v>
      </c>
      <c r="G179" s="19"/>
      <c r="H179" s="19"/>
      <c r="I179" s="19"/>
      <c r="J179" s="19"/>
      <c r="K179" s="19"/>
    </row>
    <row r="180" spans="1:11">
      <c r="A180" s="91">
        <v>178</v>
      </c>
      <c r="B180" s="91">
        <v>178</v>
      </c>
      <c r="C180" s="91"/>
      <c r="D180" s="91">
        <v>2079</v>
      </c>
      <c r="E180" s="19" t="s">
        <v>1829</v>
      </c>
      <c r="F180" s="19" t="e">
        <f>_xlfn.XLOOKUP(batch_works35[[#This Row],[description]],Table14[name],Table14[id])</f>
        <v>#N/A</v>
      </c>
      <c r="G180" s="19"/>
      <c r="H180" s="19"/>
      <c r="I180" s="19"/>
      <c r="J180" s="19"/>
      <c r="K180" s="19"/>
    </row>
    <row r="181" spans="1:11">
      <c r="A181" s="91">
        <v>179</v>
      </c>
      <c r="B181" s="91">
        <v>179</v>
      </c>
      <c r="C181" s="91"/>
      <c r="D181" s="91">
        <v>2079</v>
      </c>
      <c r="E181" s="19" t="s">
        <v>1825</v>
      </c>
      <c r="F181" s="19" t="e">
        <f>_xlfn.XLOOKUP(batch_works35[[#This Row],[description]],Table14[name],Table14[id])</f>
        <v>#N/A</v>
      </c>
      <c r="G181" s="19"/>
      <c r="H181" s="19"/>
      <c r="I181" s="19"/>
      <c r="J181" s="19"/>
      <c r="K181" s="19"/>
    </row>
    <row r="182" spans="1:11">
      <c r="A182" s="91">
        <v>180</v>
      </c>
      <c r="B182" s="91">
        <v>180</v>
      </c>
      <c r="C182" s="91"/>
      <c r="D182" s="91">
        <v>2079</v>
      </c>
      <c r="E182" s="19" t="s">
        <v>1828</v>
      </c>
      <c r="F182" s="19" t="e">
        <f>_xlfn.XLOOKUP(batch_works35[[#This Row],[description]],Table14[name],Table14[id])</f>
        <v>#N/A</v>
      </c>
      <c r="G182" s="19"/>
      <c r="H182" s="19"/>
      <c r="I182" s="19"/>
      <c r="J182" s="19"/>
      <c r="K182" s="19"/>
    </row>
    <row r="183" spans="1:11">
      <c r="A183" s="91">
        <v>181</v>
      </c>
      <c r="B183" s="91">
        <v>181</v>
      </c>
      <c r="C183" s="91"/>
      <c r="D183" s="91">
        <v>2080</v>
      </c>
      <c r="E183" s="19" t="s">
        <v>1829</v>
      </c>
      <c r="F183" s="19" t="e">
        <f>_xlfn.XLOOKUP(batch_works35[[#This Row],[description]],Table14[name],Table14[id])</f>
        <v>#N/A</v>
      </c>
      <c r="G183" s="19"/>
      <c r="H183" s="19"/>
      <c r="I183" s="19"/>
      <c r="J183" s="19"/>
      <c r="K183" s="19"/>
    </row>
    <row r="184" spans="1:11">
      <c r="A184" s="91">
        <v>182</v>
      </c>
      <c r="B184" s="91">
        <v>182</v>
      </c>
      <c r="C184" s="91"/>
      <c r="D184" s="91">
        <v>2080</v>
      </c>
      <c r="E184" s="19" t="s">
        <v>1828</v>
      </c>
      <c r="F184" s="19" t="e">
        <f>_xlfn.XLOOKUP(batch_works35[[#This Row],[description]],Table14[name],Table14[id])</f>
        <v>#N/A</v>
      </c>
      <c r="G184" s="19"/>
      <c r="H184" s="19"/>
      <c r="I184" s="19"/>
      <c r="J184" s="19"/>
      <c r="K184" s="19"/>
    </row>
    <row r="185" spans="1:11">
      <c r="A185" s="91">
        <v>183</v>
      </c>
      <c r="B185" s="91">
        <v>183</v>
      </c>
      <c r="C185" s="91"/>
      <c r="D185" s="91">
        <v>2084</v>
      </c>
      <c r="E185" s="19" t="s">
        <v>1833</v>
      </c>
      <c r="F185" s="19" t="e">
        <f>_xlfn.XLOOKUP(batch_works35[[#This Row],[description]],Table14[name],Table14[id])</f>
        <v>#N/A</v>
      </c>
      <c r="G185" s="19"/>
      <c r="H185" s="19"/>
      <c r="I185" s="19"/>
      <c r="J185" s="19"/>
      <c r="K185" s="19"/>
    </row>
    <row r="186" spans="1:11">
      <c r="A186" s="91">
        <v>184</v>
      </c>
      <c r="B186" s="91">
        <v>184</v>
      </c>
      <c r="C186" s="91"/>
      <c r="D186" s="91">
        <v>2085</v>
      </c>
      <c r="E186" s="19" t="s">
        <v>1525</v>
      </c>
      <c r="F186" s="19">
        <f>_xlfn.XLOOKUP(batch_works35[[#This Row],[description]],Table14[name],Table14[id])</f>
        <v>7</v>
      </c>
      <c r="G186" s="19"/>
      <c r="H186" s="19"/>
      <c r="I186" s="19"/>
      <c r="J186" s="19"/>
      <c r="K186" s="19"/>
    </row>
    <row r="187" spans="1:11">
      <c r="A187" s="91">
        <v>185</v>
      </c>
      <c r="B187" s="91">
        <v>185</v>
      </c>
      <c r="C187" s="91"/>
      <c r="D187" s="91">
        <v>2085</v>
      </c>
      <c r="E187" s="19" t="s">
        <v>1825</v>
      </c>
      <c r="F187" s="19" t="e">
        <f>_xlfn.XLOOKUP(batch_works35[[#This Row],[description]],Table14[name],Table14[id])</f>
        <v>#N/A</v>
      </c>
      <c r="G187" s="19"/>
      <c r="H187" s="19"/>
      <c r="I187" s="19"/>
      <c r="J187" s="19"/>
      <c r="K187" s="19"/>
    </row>
    <row r="188" spans="1:11">
      <c r="A188" s="91">
        <v>186</v>
      </c>
      <c r="B188" s="91">
        <v>186</v>
      </c>
      <c r="C188" s="91"/>
      <c r="D188" s="91">
        <v>2085</v>
      </c>
      <c r="E188" s="19" t="s">
        <v>1833</v>
      </c>
      <c r="F188" s="19" t="e">
        <f>_xlfn.XLOOKUP(batch_works35[[#This Row],[description]],Table14[name],Table14[id])</f>
        <v>#N/A</v>
      </c>
      <c r="G188" s="19"/>
      <c r="H188" s="19"/>
      <c r="I188" s="19"/>
      <c r="J188" s="19"/>
      <c r="K188" s="19"/>
    </row>
    <row r="189" spans="1:11">
      <c r="A189" s="91">
        <v>187</v>
      </c>
      <c r="B189" s="91">
        <v>187</v>
      </c>
      <c r="C189" s="91"/>
      <c r="D189" s="91">
        <v>2085</v>
      </c>
      <c r="E189" s="19" t="s">
        <v>1832</v>
      </c>
      <c r="F189" s="19" t="e">
        <f>_xlfn.XLOOKUP(batch_works35[[#This Row],[description]],Table14[name],Table14[id])</f>
        <v>#N/A</v>
      </c>
      <c r="G189" s="19"/>
      <c r="H189" s="19"/>
      <c r="I189" s="19"/>
      <c r="J189" s="19"/>
      <c r="K189" s="19"/>
    </row>
    <row r="190" spans="1:11">
      <c r="A190" s="91">
        <v>188</v>
      </c>
      <c r="B190" s="91">
        <v>188</v>
      </c>
      <c r="C190" s="91"/>
      <c r="D190" s="91">
        <v>2085</v>
      </c>
      <c r="E190" s="19" t="s">
        <v>1828</v>
      </c>
      <c r="F190" s="19" t="e">
        <f>_xlfn.XLOOKUP(batch_works35[[#This Row],[description]],Table14[name],Table14[id])</f>
        <v>#N/A</v>
      </c>
      <c r="G190" s="19"/>
      <c r="H190" s="19"/>
      <c r="I190" s="19"/>
      <c r="J190" s="19"/>
      <c r="K190" s="19"/>
    </row>
    <row r="191" spans="1:11">
      <c r="A191" s="91">
        <v>189</v>
      </c>
      <c r="B191" s="91">
        <v>189</v>
      </c>
      <c r="C191" s="91"/>
      <c r="D191" s="91">
        <v>2086</v>
      </c>
      <c r="E191" s="19" t="s">
        <v>1833</v>
      </c>
      <c r="F191" s="19" t="e">
        <f>_xlfn.XLOOKUP(batch_works35[[#This Row],[description]],Table14[name],Table14[id])</f>
        <v>#N/A</v>
      </c>
      <c r="G191" s="19"/>
      <c r="H191" s="19"/>
      <c r="I191" s="19"/>
      <c r="J191" s="19"/>
      <c r="K191" s="19"/>
    </row>
    <row r="192" spans="1:11">
      <c r="A192" s="91">
        <v>190</v>
      </c>
      <c r="B192" s="91">
        <v>190</v>
      </c>
      <c r="C192" s="91"/>
      <c r="D192" s="91">
        <v>2087</v>
      </c>
      <c r="E192" s="19" t="s">
        <v>1833</v>
      </c>
      <c r="F192" s="19" t="e">
        <f>_xlfn.XLOOKUP(batch_works35[[#This Row],[description]],Table14[name],Table14[id])</f>
        <v>#N/A</v>
      </c>
      <c r="G192" s="19"/>
      <c r="H192" s="19"/>
      <c r="I192" s="19"/>
      <c r="J192" s="19"/>
      <c r="K192" s="19"/>
    </row>
    <row r="193" spans="1:11">
      <c r="A193" s="91">
        <v>191</v>
      </c>
      <c r="B193" s="91">
        <v>191</v>
      </c>
      <c r="C193" s="91"/>
      <c r="D193" s="91">
        <v>2088</v>
      </c>
      <c r="E193" s="19" t="s">
        <v>1833</v>
      </c>
      <c r="F193" s="19" t="e">
        <f>_xlfn.XLOOKUP(batch_works35[[#This Row],[description]],Table14[name],Table14[id])</f>
        <v>#N/A</v>
      </c>
      <c r="G193" s="19"/>
      <c r="H193" s="19"/>
      <c r="I193" s="19"/>
      <c r="J193" s="19"/>
      <c r="K193" s="19"/>
    </row>
    <row r="194" spans="1:11">
      <c r="A194" s="91">
        <v>192</v>
      </c>
      <c r="B194" s="91">
        <v>192</v>
      </c>
      <c r="C194" s="91"/>
      <c r="D194" s="91">
        <v>2089</v>
      </c>
      <c r="E194" s="19" t="s">
        <v>1525</v>
      </c>
      <c r="F194" s="19">
        <f>_xlfn.XLOOKUP(batch_works35[[#This Row],[description]],Table14[name],Table14[id])</f>
        <v>7</v>
      </c>
      <c r="G194" s="19"/>
      <c r="H194" s="19"/>
      <c r="I194" s="19"/>
      <c r="J194" s="19"/>
      <c r="K194" s="19"/>
    </row>
    <row r="195" spans="1:11">
      <c r="A195" s="91">
        <v>193</v>
      </c>
      <c r="B195" s="91">
        <v>193</v>
      </c>
      <c r="C195" s="91"/>
      <c r="D195" s="91">
        <v>2089</v>
      </c>
      <c r="E195" s="19" t="s">
        <v>1827</v>
      </c>
      <c r="F195" s="19" t="e">
        <f>_xlfn.XLOOKUP(batch_works35[[#This Row],[description]],Table14[name],Table14[id])</f>
        <v>#N/A</v>
      </c>
      <c r="G195" s="19"/>
      <c r="H195" s="19"/>
      <c r="I195" s="19"/>
      <c r="J195" s="19"/>
      <c r="K195" s="19"/>
    </row>
    <row r="196" spans="1:11">
      <c r="A196" s="91">
        <v>194</v>
      </c>
      <c r="B196" s="91">
        <v>194</v>
      </c>
      <c r="C196" s="91"/>
      <c r="D196" s="91">
        <v>2089</v>
      </c>
      <c r="E196" s="19" t="s">
        <v>1833</v>
      </c>
      <c r="F196" s="19" t="e">
        <f>_xlfn.XLOOKUP(batch_works35[[#This Row],[description]],Table14[name],Table14[id])</f>
        <v>#N/A</v>
      </c>
      <c r="G196" s="19"/>
      <c r="H196" s="19"/>
      <c r="I196" s="19"/>
      <c r="J196" s="19"/>
      <c r="K196" s="19"/>
    </row>
    <row r="197" spans="1:11">
      <c r="A197" s="91">
        <v>195</v>
      </c>
      <c r="B197" s="91">
        <v>195</v>
      </c>
      <c r="C197" s="91"/>
      <c r="D197" s="91">
        <v>2089</v>
      </c>
      <c r="E197" s="19" t="s">
        <v>1832</v>
      </c>
      <c r="F197" s="19" t="e">
        <f>_xlfn.XLOOKUP(batch_works35[[#This Row],[description]],Table14[name],Table14[id])</f>
        <v>#N/A</v>
      </c>
      <c r="G197" s="19"/>
      <c r="H197" s="19"/>
      <c r="I197" s="19"/>
      <c r="J197" s="19"/>
      <c r="K197" s="19"/>
    </row>
    <row r="198" spans="1:11">
      <c r="A198" s="91">
        <v>196</v>
      </c>
      <c r="B198" s="91">
        <v>196</v>
      </c>
      <c r="C198" s="91"/>
      <c r="D198" s="91">
        <v>2089</v>
      </c>
      <c r="E198" s="19" t="s">
        <v>1828</v>
      </c>
      <c r="F198" s="19" t="e">
        <f>_xlfn.XLOOKUP(batch_works35[[#This Row],[description]],Table14[name],Table14[id])</f>
        <v>#N/A</v>
      </c>
      <c r="G198" s="19"/>
      <c r="H198" s="19"/>
      <c r="I198" s="19"/>
      <c r="J198" s="19"/>
      <c r="K198" s="19"/>
    </row>
    <row r="199" spans="1:11">
      <c r="A199" s="91">
        <v>197</v>
      </c>
      <c r="B199" s="91">
        <v>197</v>
      </c>
      <c r="C199" s="91"/>
      <c r="D199" s="91">
        <v>2090</v>
      </c>
      <c r="E199" s="19" t="s">
        <v>1525</v>
      </c>
      <c r="F199" s="19">
        <f>_xlfn.XLOOKUP(batch_works35[[#This Row],[description]],Table14[name],Table14[id])</f>
        <v>7</v>
      </c>
      <c r="G199" s="19"/>
      <c r="H199" s="19"/>
      <c r="I199" s="19"/>
      <c r="J199" s="19"/>
      <c r="K199" s="19"/>
    </row>
    <row r="200" spans="1:11">
      <c r="A200" s="91">
        <v>198</v>
      </c>
      <c r="B200" s="91">
        <v>198</v>
      </c>
      <c r="C200" s="91"/>
      <c r="D200" s="91">
        <v>2090</v>
      </c>
      <c r="E200" s="19" t="s">
        <v>1827</v>
      </c>
      <c r="F200" s="19" t="e">
        <f>_xlfn.XLOOKUP(batch_works35[[#This Row],[description]],Table14[name],Table14[id])</f>
        <v>#N/A</v>
      </c>
      <c r="G200" s="19"/>
      <c r="H200" s="19"/>
      <c r="I200" s="19"/>
      <c r="J200" s="19"/>
      <c r="K200" s="19"/>
    </row>
    <row r="201" spans="1:11">
      <c r="A201" s="91">
        <v>199</v>
      </c>
      <c r="B201" s="91">
        <v>199</v>
      </c>
      <c r="C201" s="91"/>
      <c r="D201" s="91">
        <v>2090</v>
      </c>
      <c r="E201" s="19" t="s">
        <v>1833</v>
      </c>
      <c r="F201" s="19" t="e">
        <f>_xlfn.XLOOKUP(batch_works35[[#This Row],[description]],Table14[name],Table14[id])</f>
        <v>#N/A</v>
      </c>
      <c r="G201" s="19"/>
      <c r="H201" s="19"/>
      <c r="I201" s="19"/>
      <c r="J201" s="19"/>
      <c r="K201" s="19"/>
    </row>
    <row r="202" spans="1:11">
      <c r="A202" s="91">
        <v>200</v>
      </c>
      <c r="B202" s="91">
        <v>200</v>
      </c>
      <c r="C202" s="91"/>
      <c r="D202" s="91">
        <v>2090</v>
      </c>
      <c r="E202" s="19" t="s">
        <v>1832</v>
      </c>
      <c r="F202" s="19" t="e">
        <f>_xlfn.XLOOKUP(batch_works35[[#This Row],[description]],Table14[name],Table14[id])</f>
        <v>#N/A</v>
      </c>
      <c r="G202" s="19"/>
      <c r="H202" s="19"/>
      <c r="I202" s="19"/>
      <c r="J202" s="19"/>
      <c r="K202" s="19"/>
    </row>
    <row r="203" spans="1:11">
      <c r="A203" s="91">
        <v>201</v>
      </c>
      <c r="B203" s="91">
        <v>201</v>
      </c>
      <c r="C203" s="91"/>
      <c r="D203" s="91">
        <v>2090</v>
      </c>
      <c r="E203" s="19" t="s">
        <v>1828</v>
      </c>
      <c r="F203" s="19" t="e">
        <f>_xlfn.XLOOKUP(batch_works35[[#This Row],[description]],Table14[name],Table14[id])</f>
        <v>#N/A</v>
      </c>
      <c r="G203" s="19"/>
      <c r="H203" s="19"/>
      <c r="I203" s="19"/>
      <c r="J203" s="19"/>
      <c r="K203" s="19"/>
    </row>
    <row r="204" spans="1:11">
      <c r="A204" s="91">
        <v>202</v>
      </c>
      <c r="B204" s="91">
        <v>202</v>
      </c>
      <c r="C204" s="91"/>
      <c r="D204" s="91">
        <v>2091</v>
      </c>
      <c r="E204" s="19" t="s">
        <v>1525</v>
      </c>
      <c r="F204" s="19">
        <f>_xlfn.XLOOKUP(batch_works35[[#This Row],[description]],Table14[name],Table14[id])</f>
        <v>7</v>
      </c>
      <c r="G204" s="19"/>
      <c r="H204" s="19"/>
      <c r="I204" s="19"/>
      <c r="J204" s="19"/>
      <c r="K204" s="19"/>
    </row>
    <row r="205" spans="1:11">
      <c r="A205" s="91">
        <v>203</v>
      </c>
      <c r="B205" s="91">
        <v>203</v>
      </c>
      <c r="C205" s="91"/>
      <c r="D205" s="91">
        <v>2091</v>
      </c>
      <c r="E205" s="19" t="s">
        <v>1827</v>
      </c>
      <c r="F205" s="19" t="e">
        <f>_xlfn.XLOOKUP(batch_works35[[#This Row],[description]],Table14[name],Table14[id])</f>
        <v>#N/A</v>
      </c>
      <c r="G205" s="19"/>
      <c r="H205" s="19"/>
      <c r="I205" s="19"/>
      <c r="J205" s="19"/>
      <c r="K205" s="19"/>
    </row>
    <row r="206" spans="1:11">
      <c r="A206" s="91">
        <v>204</v>
      </c>
      <c r="B206" s="91">
        <v>204</v>
      </c>
      <c r="C206" s="91"/>
      <c r="D206" s="91">
        <v>2091</v>
      </c>
      <c r="E206" s="19" t="s">
        <v>1825</v>
      </c>
      <c r="F206" s="19" t="e">
        <f>_xlfn.XLOOKUP(batch_works35[[#This Row],[description]],Table14[name],Table14[id])</f>
        <v>#N/A</v>
      </c>
      <c r="G206" s="19"/>
      <c r="H206" s="19"/>
      <c r="I206" s="19"/>
      <c r="J206" s="19"/>
      <c r="K206" s="19"/>
    </row>
    <row r="207" spans="1:11">
      <c r="A207" s="91">
        <v>205</v>
      </c>
      <c r="B207" s="91">
        <v>205</v>
      </c>
      <c r="C207" s="91"/>
      <c r="D207" s="91">
        <v>2091</v>
      </c>
      <c r="E207" s="19" t="s">
        <v>1833</v>
      </c>
      <c r="F207" s="19" t="e">
        <f>_xlfn.XLOOKUP(batch_works35[[#This Row],[description]],Table14[name],Table14[id])</f>
        <v>#N/A</v>
      </c>
      <c r="G207" s="19"/>
      <c r="H207" s="19"/>
      <c r="I207" s="19"/>
      <c r="J207" s="19"/>
      <c r="K207" s="19"/>
    </row>
    <row r="208" spans="1:11">
      <c r="A208" s="91">
        <v>206</v>
      </c>
      <c r="B208" s="91">
        <v>206</v>
      </c>
      <c r="C208" s="91"/>
      <c r="D208" s="91">
        <v>2091</v>
      </c>
      <c r="E208" s="19" t="s">
        <v>1832</v>
      </c>
      <c r="F208" s="19" t="e">
        <f>_xlfn.XLOOKUP(batch_works35[[#This Row],[description]],Table14[name],Table14[id])</f>
        <v>#N/A</v>
      </c>
      <c r="G208" s="19"/>
      <c r="H208" s="19"/>
      <c r="I208" s="19"/>
      <c r="J208" s="19"/>
      <c r="K208" s="19"/>
    </row>
    <row r="209" spans="1:11">
      <c r="A209" s="91">
        <v>207</v>
      </c>
      <c r="B209" s="91">
        <v>207</v>
      </c>
      <c r="C209" s="91"/>
      <c r="D209" s="91">
        <v>2091</v>
      </c>
      <c r="E209" s="19" t="s">
        <v>1828</v>
      </c>
      <c r="F209" s="19" t="e">
        <f>_xlfn.XLOOKUP(batch_works35[[#This Row],[description]],Table14[name],Table14[id])</f>
        <v>#N/A</v>
      </c>
      <c r="G209" s="19"/>
      <c r="H209" s="19"/>
      <c r="I209" s="19"/>
      <c r="J209" s="19"/>
      <c r="K209" s="19"/>
    </row>
    <row r="210" spans="1:11">
      <c r="A210" s="91">
        <v>208</v>
      </c>
      <c r="B210" s="91">
        <v>208</v>
      </c>
      <c r="C210" s="91"/>
      <c r="D210" s="91">
        <v>2104</v>
      </c>
      <c r="E210" s="19" t="s">
        <v>1819</v>
      </c>
      <c r="F210" s="19" t="e">
        <f>_xlfn.XLOOKUP(batch_works35[[#This Row],[description]],Table14[name],Table14[id])</f>
        <v>#N/A</v>
      </c>
      <c r="G210" s="19"/>
      <c r="H210" s="19"/>
      <c r="I210" s="19"/>
      <c r="J210" s="19"/>
      <c r="K210" s="19"/>
    </row>
    <row r="211" spans="1:11">
      <c r="A211" s="91">
        <v>209</v>
      </c>
      <c r="B211" s="91">
        <v>209</v>
      </c>
      <c r="C211" s="91"/>
      <c r="D211" s="91">
        <v>2104</v>
      </c>
      <c r="E211" s="19" t="s">
        <v>1819</v>
      </c>
      <c r="F211" s="19" t="e">
        <f>_xlfn.XLOOKUP(batch_works35[[#This Row],[description]],Table14[name],Table14[id])</f>
        <v>#N/A</v>
      </c>
      <c r="G211" s="19"/>
      <c r="H211" s="19"/>
      <c r="I211" s="19"/>
      <c r="J211" s="19"/>
      <c r="K211" s="19"/>
    </row>
    <row r="212" spans="1:11">
      <c r="A212" s="91">
        <v>210</v>
      </c>
      <c r="B212" s="91">
        <v>210</v>
      </c>
      <c r="C212" s="91"/>
      <c r="D212" s="91">
        <v>2107</v>
      </c>
      <c r="E212" s="19" t="s">
        <v>1829</v>
      </c>
      <c r="F212" s="19" t="e">
        <f>_xlfn.XLOOKUP(batch_works35[[#This Row],[description]],Table14[name],Table14[id])</f>
        <v>#N/A</v>
      </c>
      <c r="G212" s="19"/>
      <c r="H212" s="19"/>
      <c r="I212" s="19"/>
      <c r="J212" s="19"/>
      <c r="K212" s="19"/>
    </row>
    <row r="213" spans="1:11">
      <c r="A213" s="91">
        <v>211</v>
      </c>
      <c r="B213" s="91">
        <v>211</v>
      </c>
      <c r="C213" s="91"/>
      <c r="D213" s="91">
        <v>2107</v>
      </c>
      <c r="E213" s="19" t="s">
        <v>1832</v>
      </c>
      <c r="F213" s="19" t="e">
        <f>_xlfn.XLOOKUP(batch_works35[[#This Row],[description]],Table14[name],Table14[id])</f>
        <v>#N/A</v>
      </c>
      <c r="G213" s="19"/>
      <c r="H213" s="19"/>
      <c r="I213" s="19"/>
      <c r="J213" s="19"/>
      <c r="K213" s="19"/>
    </row>
    <row r="214" spans="1:11">
      <c r="A214" s="91">
        <v>212</v>
      </c>
      <c r="B214" s="91">
        <v>212</v>
      </c>
      <c r="C214" s="91"/>
      <c r="D214" s="91">
        <v>2108</v>
      </c>
      <c r="E214" s="19" t="s">
        <v>1829</v>
      </c>
      <c r="F214" s="19" t="e">
        <f>_xlfn.XLOOKUP(batch_works35[[#This Row],[description]],Table14[name],Table14[id])</f>
        <v>#N/A</v>
      </c>
      <c r="G214" s="19"/>
      <c r="H214" s="19"/>
      <c r="I214" s="19"/>
      <c r="J214" s="19"/>
      <c r="K214" s="19"/>
    </row>
    <row r="215" spans="1:11">
      <c r="A215" s="91">
        <v>213</v>
      </c>
      <c r="B215" s="91">
        <v>213</v>
      </c>
      <c r="C215" s="91"/>
      <c r="D215" s="91">
        <v>2108</v>
      </c>
      <c r="E215" s="19" t="s">
        <v>1832</v>
      </c>
      <c r="F215" s="19" t="e">
        <f>_xlfn.XLOOKUP(batch_works35[[#This Row],[description]],Table14[name],Table14[id])</f>
        <v>#N/A</v>
      </c>
      <c r="G215" s="19"/>
      <c r="H215" s="19"/>
      <c r="I215" s="19"/>
      <c r="J215" s="19"/>
      <c r="K215" s="19"/>
    </row>
    <row r="216" spans="1:11">
      <c r="A216" s="91">
        <v>214</v>
      </c>
      <c r="B216" s="91">
        <v>214</v>
      </c>
      <c r="C216" s="91"/>
      <c r="D216" s="91">
        <v>2109</v>
      </c>
      <c r="E216" s="19" t="s">
        <v>1832</v>
      </c>
      <c r="F216" s="19" t="e">
        <f>_xlfn.XLOOKUP(batch_works35[[#This Row],[description]],Table14[name],Table14[id])</f>
        <v>#N/A</v>
      </c>
      <c r="G216" s="19"/>
      <c r="H216" s="19"/>
      <c r="I216" s="19"/>
      <c r="J216" s="19"/>
      <c r="K216" s="19"/>
    </row>
    <row r="217" spans="1:11">
      <c r="A217" s="91">
        <v>215</v>
      </c>
      <c r="B217" s="91">
        <v>215</v>
      </c>
      <c r="C217" s="91"/>
      <c r="D217" s="91">
        <v>2110</v>
      </c>
      <c r="E217" s="19" t="s">
        <v>1832</v>
      </c>
      <c r="F217" s="19" t="e">
        <f>_xlfn.XLOOKUP(batch_works35[[#This Row],[description]],Table14[name],Table14[id])</f>
        <v>#N/A</v>
      </c>
      <c r="G217" s="19"/>
      <c r="H217" s="19"/>
      <c r="I217" s="19"/>
      <c r="J217" s="19"/>
      <c r="K217" s="19"/>
    </row>
    <row r="218" spans="1:11">
      <c r="A218" s="91">
        <v>216</v>
      </c>
      <c r="B218" s="91">
        <v>216</v>
      </c>
      <c r="C218" s="91"/>
      <c r="D218" s="91">
        <v>2111</v>
      </c>
      <c r="E218" s="19" t="s">
        <v>1832</v>
      </c>
      <c r="F218" s="19" t="e">
        <f>_xlfn.XLOOKUP(batch_works35[[#This Row],[description]],Table14[name],Table14[id])</f>
        <v>#N/A</v>
      </c>
      <c r="G218" s="19"/>
      <c r="H218" s="19"/>
      <c r="I218" s="19"/>
      <c r="J218" s="19"/>
      <c r="K218" s="19"/>
    </row>
    <row r="219" spans="1:11">
      <c r="A219" s="91">
        <v>217</v>
      </c>
      <c r="B219" s="91">
        <v>217</v>
      </c>
      <c r="C219" s="91"/>
      <c r="D219" s="91">
        <v>2112</v>
      </c>
      <c r="E219" s="19" t="s">
        <v>1832</v>
      </c>
      <c r="F219" s="19" t="e">
        <f>_xlfn.XLOOKUP(batch_works35[[#This Row],[description]],Table14[name],Table14[id])</f>
        <v>#N/A</v>
      </c>
      <c r="G219" s="19"/>
      <c r="H219" s="19"/>
      <c r="I219" s="19"/>
      <c r="J219" s="19"/>
      <c r="K219" s="19"/>
    </row>
    <row r="220" spans="1:11">
      <c r="A220" s="91">
        <v>218</v>
      </c>
      <c r="B220" s="91">
        <v>218</v>
      </c>
      <c r="C220" s="91"/>
      <c r="D220" s="91">
        <v>2113</v>
      </c>
      <c r="E220" s="19" t="s">
        <v>1832</v>
      </c>
      <c r="F220" s="19" t="e">
        <f>_xlfn.XLOOKUP(batch_works35[[#This Row],[description]],Table14[name],Table14[id])</f>
        <v>#N/A</v>
      </c>
      <c r="G220" s="19"/>
      <c r="H220" s="19"/>
      <c r="I220" s="19"/>
      <c r="J220" s="19"/>
      <c r="K220" s="19"/>
    </row>
    <row r="221" spans="1:11">
      <c r="A221" s="91">
        <v>219</v>
      </c>
      <c r="B221" s="91">
        <v>219</v>
      </c>
      <c r="C221" s="91"/>
      <c r="D221" s="91">
        <v>2114</v>
      </c>
      <c r="E221" s="19" t="s">
        <v>1832</v>
      </c>
      <c r="F221" s="19" t="e">
        <f>_xlfn.XLOOKUP(batch_works35[[#This Row],[description]],Table14[name],Table14[id])</f>
        <v>#N/A</v>
      </c>
      <c r="G221" s="19"/>
      <c r="H221" s="19"/>
      <c r="I221" s="19"/>
      <c r="J221" s="19"/>
      <c r="K221" s="19"/>
    </row>
    <row r="222" spans="1:11">
      <c r="A222" s="91">
        <v>220</v>
      </c>
      <c r="B222" s="91">
        <v>220</v>
      </c>
      <c r="C222" s="91"/>
      <c r="D222" s="91">
        <v>2115</v>
      </c>
      <c r="E222" s="19" t="s">
        <v>1833</v>
      </c>
      <c r="F222" s="19" t="e">
        <f>_xlfn.XLOOKUP(batch_works35[[#This Row],[description]],Table14[name],Table14[id])</f>
        <v>#N/A</v>
      </c>
      <c r="G222" s="19"/>
      <c r="H222" s="19"/>
      <c r="I222" s="19"/>
      <c r="J222" s="19"/>
      <c r="K222" s="19"/>
    </row>
    <row r="223" spans="1:11">
      <c r="A223" s="91">
        <v>221</v>
      </c>
      <c r="B223" s="91">
        <v>221</v>
      </c>
      <c r="C223" s="91"/>
      <c r="D223" s="91">
        <v>2117</v>
      </c>
      <c r="E223" s="19" t="s">
        <v>1824</v>
      </c>
      <c r="F223" s="19" t="e">
        <f>_xlfn.XLOOKUP(batch_works35[[#This Row],[description]],Table14[name],Table14[id])</f>
        <v>#N/A</v>
      </c>
      <c r="G223" s="19"/>
      <c r="H223" s="19"/>
      <c r="I223" s="19"/>
      <c r="J223" s="19"/>
      <c r="K223" s="19"/>
    </row>
    <row r="224" spans="1:11">
      <c r="A224" s="91">
        <v>222</v>
      </c>
      <c r="B224" s="91">
        <v>222</v>
      </c>
      <c r="C224" s="91"/>
      <c r="D224" s="91">
        <v>2117</v>
      </c>
      <c r="E224" s="19" t="s">
        <v>1525</v>
      </c>
      <c r="F224" s="19">
        <f>_xlfn.XLOOKUP(batch_works35[[#This Row],[description]],Table14[name],Table14[id])</f>
        <v>7</v>
      </c>
      <c r="G224" s="19"/>
      <c r="H224" s="19"/>
      <c r="I224" s="19"/>
      <c r="J224" s="19"/>
      <c r="K224" s="19"/>
    </row>
    <row r="225" spans="1:11">
      <c r="A225" s="91">
        <v>223</v>
      </c>
      <c r="B225" s="91">
        <v>223</v>
      </c>
      <c r="C225" s="91"/>
      <c r="D225" s="91">
        <v>2117</v>
      </c>
      <c r="E225" s="19" t="s">
        <v>1827</v>
      </c>
      <c r="F225" s="19" t="e">
        <f>_xlfn.XLOOKUP(batch_works35[[#This Row],[description]],Table14[name],Table14[id])</f>
        <v>#N/A</v>
      </c>
      <c r="G225" s="19"/>
      <c r="H225" s="19"/>
      <c r="I225" s="19"/>
      <c r="J225" s="19"/>
      <c r="K225" s="19"/>
    </row>
    <row r="226" spans="1:11">
      <c r="A226" s="91">
        <v>224</v>
      </c>
      <c r="B226" s="91">
        <v>224</v>
      </c>
      <c r="C226" s="91"/>
      <c r="D226" s="91">
        <v>2117</v>
      </c>
      <c r="E226" s="19" t="s">
        <v>1832</v>
      </c>
      <c r="F226" s="19" t="e">
        <f>_xlfn.XLOOKUP(batch_works35[[#This Row],[description]],Table14[name],Table14[id])</f>
        <v>#N/A</v>
      </c>
      <c r="G226" s="19"/>
      <c r="H226" s="19"/>
      <c r="I226" s="19"/>
      <c r="J226" s="19"/>
      <c r="K226" s="19"/>
    </row>
    <row r="227" spans="1:11">
      <c r="A227" s="91">
        <v>225</v>
      </c>
      <c r="B227" s="91">
        <v>225</v>
      </c>
      <c r="C227" s="91"/>
      <c r="D227" s="91">
        <v>2117</v>
      </c>
      <c r="E227" s="19" t="s">
        <v>1828</v>
      </c>
      <c r="F227" s="19" t="e">
        <f>_xlfn.XLOOKUP(batch_works35[[#This Row],[description]],Table14[name],Table14[id])</f>
        <v>#N/A</v>
      </c>
      <c r="G227" s="19"/>
      <c r="H227" s="19"/>
      <c r="I227" s="19"/>
      <c r="J227" s="19"/>
      <c r="K227" s="19"/>
    </row>
    <row r="228" spans="1:11">
      <c r="A228" s="91">
        <v>226</v>
      </c>
      <c r="B228" s="91">
        <v>226</v>
      </c>
      <c r="C228" s="91"/>
      <c r="D228" s="91">
        <v>2118</v>
      </c>
      <c r="E228" s="19" t="s">
        <v>1823</v>
      </c>
      <c r="F228" s="19" t="e">
        <f>_xlfn.XLOOKUP(batch_works35[[#This Row],[description]],Table14[name],Table14[id])</f>
        <v>#N/A</v>
      </c>
      <c r="G228" s="19"/>
      <c r="H228" s="19"/>
      <c r="I228" s="19"/>
      <c r="J228" s="19"/>
      <c r="K228" s="19"/>
    </row>
    <row r="229" spans="1:11">
      <c r="A229" s="91">
        <v>227</v>
      </c>
      <c r="B229" s="91">
        <v>227</v>
      </c>
      <c r="C229" s="91"/>
      <c r="D229" s="91">
        <v>2118</v>
      </c>
      <c r="E229" s="19" t="s">
        <v>1525</v>
      </c>
      <c r="F229" s="19">
        <f>_xlfn.XLOOKUP(batch_works35[[#This Row],[description]],Table14[name],Table14[id])</f>
        <v>7</v>
      </c>
      <c r="G229" s="19"/>
      <c r="H229" s="19"/>
      <c r="I229" s="19"/>
      <c r="J229" s="19"/>
      <c r="K229" s="19"/>
    </row>
    <row r="230" spans="1:11">
      <c r="A230" s="91">
        <v>228</v>
      </c>
      <c r="B230" s="91">
        <v>228</v>
      </c>
      <c r="C230" s="91"/>
      <c r="D230" s="91">
        <v>2118</v>
      </c>
      <c r="E230" s="19" t="s">
        <v>1827</v>
      </c>
      <c r="F230" s="19" t="e">
        <f>_xlfn.XLOOKUP(batch_works35[[#This Row],[description]],Table14[name],Table14[id])</f>
        <v>#N/A</v>
      </c>
      <c r="G230" s="19"/>
      <c r="H230" s="19"/>
      <c r="I230" s="19"/>
      <c r="J230" s="19"/>
      <c r="K230" s="19"/>
    </row>
    <row r="231" spans="1:11">
      <c r="A231" s="91">
        <v>229</v>
      </c>
      <c r="B231" s="91">
        <v>229</v>
      </c>
      <c r="C231" s="91"/>
      <c r="D231" s="91">
        <v>2118</v>
      </c>
      <c r="E231" s="19" t="s">
        <v>1832</v>
      </c>
      <c r="F231" s="19" t="e">
        <f>_xlfn.XLOOKUP(batch_works35[[#This Row],[description]],Table14[name],Table14[id])</f>
        <v>#N/A</v>
      </c>
      <c r="G231" s="19"/>
      <c r="H231" s="19"/>
      <c r="I231" s="19"/>
      <c r="J231" s="19"/>
      <c r="K231" s="19"/>
    </row>
    <row r="232" spans="1:11">
      <c r="A232" s="91">
        <v>230</v>
      </c>
      <c r="B232" s="91">
        <v>230</v>
      </c>
      <c r="C232" s="91"/>
      <c r="D232" s="91">
        <v>2118</v>
      </c>
      <c r="E232" s="19" t="s">
        <v>1828</v>
      </c>
      <c r="F232" s="19" t="e">
        <f>_xlfn.XLOOKUP(batch_works35[[#This Row],[description]],Table14[name],Table14[id])</f>
        <v>#N/A</v>
      </c>
      <c r="G232" s="19"/>
      <c r="H232" s="19"/>
      <c r="I232" s="19"/>
      <c r="J232" s="19"/>
      <c r="K232" s="19"/>
    </row>
    <row r="233" spans="1:11">
      <c r="A233" s="91">
        <v>231</v>
      </c>
      <c r="B233" s="91">
        <v>231</v>
      </c>
      <c r="C233" s="91"/>
      <c r="D233" s="91">
        <v>2119</v>
      </c>
      <c r="E233" s="19" t="s">
        <v>1525</v>
      </c>
      <c r="F233" s="19">
        <f>_xlfn.XLOOKUP(batch_works35[[#This Row],[description]],Table14[name],Table14[id])</f>
        <v>7</v>
      </c>
      <c r="G233" s="19"/>
      <c r="H233" s="19"/>
      <c r="I233" s="19"/>
      <c r="J233" s="19"/>
      <c r="K233" s="19"/>
    </row>
    <row r="234" spans="1:11">
      <c r="A234" s="91">
        <v>232</v>
      </c>
      <c r="B234" s="91">
        <v>232</v>
      </c>
      <c r="C234" s="91"/>
      <c r="D234" s="91">
        <v>2119</v>
      </c>
      <c r="E234" s="19" t="s">
        <v>1827</v>
      </c>
      <c r="F234" s="19" t="e">
        <f>_xlfn.XLOOKUP(batch_works35[[#This Row],[description]],Table14[name],Table14[id])</f>
        <v>#N/A</v>
      </c>
      <c r="G234" s="19"/>
      <c r="H234" s="19"/>
      <c r="I234" s="19"/>
      <c r="J234" s="19"/>
      <c r="K234" s="19"/>
    </row>
    <row r="235" spans="1:11">
      <c r="A235" s="91">
        <v>233</v>
      </c>
      <c r="B235" s="91">
        <v>233</v>
      </c>
      <c r="C235" s="91"/>
      <c r="D235" s="91">
        <v>2119</v>
      </c>
      <c r="E235" s="19" t="s">
        <v>1832</v>
      </c>
      <c r="F235" s="19" t="e">
        <f>_xlfn.XLOOKUP(batch_works35[[#This Row],[description]],Table14[name],Table14[id])</f>
        <v>#N/A</v>
      </c>
      <c r="G235" s="19"/>
      <c r="H235" s="19"/>
      <c r="I235" s="19"/>
      <c r="J235" s="19"/>
      <c r="K235" s="19"/>
    </row>
    <row r="236" spans="1:11">
      <c r="A236" s="91">
        <v>234</v>
      </c>
      <c r="B236" s="91">
        <v>234</v>
      </c>
      <c r="C236" s="91"/>
      <c r="D236" s="91">
        <v>2119</v>
      </c>
      <c r="E236" s="19" t="s">
        <v>1828</v>
      </c>
      <c r="F236" s="19" t="e">
        <f>_xlfn.XLOOKUP(batch_works35[[#This Row],[description]],Table14[name],Table14[id])</f>
        <v>#N/A</v>
      </c>
      <c r="G236" s="19"/>
      <c r="H236" s="19"/>
      <c r="I236" s="19"/>
      <c r="J236" s="19"/>
      <c r="K236" s="19"/>
    </row>
    <row r="237" spans="1:11">
      <c r="A237" s="91">
        <v>235</v>
      </c>
      <c r="B237" s="91">
        <v>235</v>
      </c>
      <c r="C237" s="91"/>
      <c r="D237" s="91">
        <v>2120</v>
      </c>
      <c r="E237" s="19" t="s">
        <v>1525</v>
      </c>
      <c r="F237" s="19">
        <f>_xlfn.XLOOKUP(batch_works35[[#This Row],[description]],Table14[name],Table14[id])</f>
        <v>7</v>
      </c>
      <c r="G237" s="19"/>
      <c r="H237" s="19"/>
      <c r="I237" s="19"/>
      <c r="J237" s="19"/>
      <c r="K237" s="19"/>
    </row>
    <row r="238" spans="1:11">
      <c r="A238" s="91">
        <v>236</v>
      </c>
      <c r="B238" s="91">
        <v>236</v>
      </c>
      <c r="C238" s="91"/>
      <c r="D238" s="91">
        <v>2120</v>
      </c>
      <c r="E238" s="19" t="s">
        <v>1827</v>
      </c>
      <c r="F238" s="19" t="e">
        <f>_xlfn.XLOOKUP(batch_works35[[#This Row],[description]],Table14[name],Table14[id])</f>
        <v>#N/A</v>
      </c>
      <c r="G238" s="19"/>
      <c r="H238" s="19"/>
      <c r="I238" s="19"/>
      <c r="J238" s="19"/>
      <c r="K238" s="19"/>
    </row>
    <row r="239" spans="1:11">
      <c r="A239" s="91">
        <v>237</v>
      </c>
      <c r="B239" s="91">
        <v>237</v>
      </c>
      <c r="C239" s="91"/>
      <c r="D239" s="91">
        <v>2120</v>
      </c>
      <c r="E239" s="19" t="s">
        <v>1832</v>
      </c>
      <c r="F239" s="19" t="e">
        <f>_xlfn.XLOOKUP(batch_works35[[#This Row],[description]],Table14[name],Table14[id])</f>
        <v>#N/A</v>
      </c>
      <c r="G239" s="19"/>
      <c r="H239" s="19"/>
      <c r="I239" s="19"/>
      <c r="J239" s="19"/>
      <c r="K239" s="19"/>
    </row>
    <row r="240" spans="1:11">
      <c r="A240" s="91">
        <v>238</v>
      </c>
      <c r="B240" s="91">
        <v>238</v>
      </c>
      <c r="C240" s="91"/>
      <c r="D240" s="91">
        <v>2121</v>
      </c>
      <c r="E240" s="19" t="s">
        <v>1827</v>
      </c>
      <c r="F240" s="19" t="e">
        <f>_xlfn.XLOOKUP(batch_works35[[#This Row],[description]],Table14[name],Table14[id])</f>
        <v>#N/A</v>
      </c>
      <c r="G240" s="19"/>
      <c r="H240" s="19"/>
      <c r="I240" s="19"/>
      <c r="J240" s="19"/>
      <c r="K240" s="19"/>
    </row>
    <row r="241" spans="1:11">
      <c r="A241" s="91">
        <v>239</v>
      </c>
      <c r="B241" s="91">
        <v>239</v>
      </c>
      <c r="C241" s="91"/>
      <c r="D241" s="91">
        <v>2121</v>
      </c>
      <c r="E241" s="19" t="s">
        <v>1832</v>
      </c>
      <c r="F241" s="19" t="e">
        <f>_xlfn.XLOOKUP(batch_works35[[#This Row],[description]],Table14[name],Table14[id])</f>
        <v>#N/A</v>
      </c>
      <c r="G241" s="19"/>
      <c r="H241" s="19"/>
      <c r="I241" s="19"/>
      <c r="J241" s="19"/>
      <c r="K241" s="19"/>
    </row>
    <row r="242" spans="1:11">
      <c r="A242" s="91">
        <v>240</v>
      </c>
      <c r="B242" s="91">
        <v>240</v>
      </c>
      <c r="C242" s="91"/>
      <c r="D242" s="91">
        <v>2122</v>
      </c>
      <c r="E242" s="19" t="s">
        <v>1525</v>
      </c>
      <c r="F242" s="19">
        <f>_xlfn.XLOOKUP(batch_works35[[#This Row],[description]],Table14[name],Table14[id])</f>
        <v>7</v>
      </c>
      <c r="G242" s="19"/>
      <c r="H242" s="19"/>
      <c r="I242" s="19"/>
      <c r="J242" s="19"/>
      <c r="K242" s="19"/>
    </row>
    <row r="243" spans="1:11">
      <c r="A243" s="91">
        <v>241</v>
      </c>
      <c r="B243" s="91">
        <v>241</v>
      </c>
      <c r="C243" s="91"/>
      <c r="D243" s="91">
        <v>2122</v>
      </c>
      <c r="E243" s="19" t="s">
        <v>1832</v>
      </c>
      <c r="F243" s="19" t="e">
        <f>_xlfn.XLOOKUP(batch_works35[[#This Row],[description]],Table14[name],Table14[id])</f>
        <v>#N/A</v>
      </c>
      <c r="G243" s="19"/>
      <c r="H243" s="19"/>
      <c r="I243" s="19"/>
      <c r="J243" s="19"/>
      <c r="K243" s="19"/>
    </row>
    <row r="244" spans="1:11">
      <c r="A244" s="91">
        <v>242</v>
      </c>
      <c r="B244" s="91">
        <v>242</v>
      </c>
      <c r="C244" s="91"/>
      <c r="D244" s="91">
        <v>2123</v>
      </c>
      <c r="E244" s="19" t="s">
        <v>1824</v>
      </c>
      <c r="F244" s="19" t="e">
        <f>_xlfn.XLOOKUP(batch_works35[[#This Row],[description]],Table14[name],Table14[id])</f>
        <v>#N/A</v>
      </c>
      <c r="G244" s="19"/>
      <c r="H244" s="19"/>
      <c r="I244" s="19"/>
      <c r="J244" s="19"/>
      <c r="K244" s="19"/>
    </row>
    <row r="245" spans="1:11">
      <c r="A245" s="91">
        <v>243</v>
      </c>
      <c r="B245" s="91">
        <v>243</v>
      </c>
      <c r="C245" s="91"/>
      <c r="D245" s="91">
        <v>2123</v>
      </c>
      <c r="E245" s="19" t="s">
        <v>1525</v>
      </c>
      <c r="F245" s="19">
        <f>_xlfn.XLOOKUP(batch_works35[[#This Row],[description]],Table14[name],Table14[id])</f>
        <v>7</v>
      </c>
      <c r="G245" s="19"/>
      <c r="H245" s="19"/>
      <c r="I245" s="19"/>
      <c r="J245" s="19"/>
      <c r="K245" s="19"/>
    </row>
    <row r="246" spans="1:11">
      <c r="A246" s="91">
        <v>244</v>
      </c>
      <c r="B246" s="91">
        <v>244</v>
      </c>
      <c r="C246" s="91"/>
      <c r="D246" s="91">
        <v>2123</v>
      </c>
      <c r="E246" s="19" t="s">
        <v>1827</v>
      </c>
      <c r="F246" s="19" t="e">
        <f>_xlfn.XLOOKUP(batch_works35[[#This Row],[description]],Table14[name],Table14[id])</f>
        <v>#N/A</v>
      </c>
      <c r="G246" s="19"/>
      <c r="H246" s="19"/>
      <c r="I246" s="19"/>
      <c r="J246" s="19"/>
      <c r="K246" s="19"/>
    </row>
    <row r="247" spans="1:11">
      <c r="A247" s="91">
        <v>245</v>
      </c>
      <c r="B247" s="91">
        <v>245</v>
      </c>
      <c r="C247" s="91"/>
      <c r="D247" s="91">
        <v>2123</v>
      </c>
      <c r="E247" s="19" t="s">
        <v>1832</v>
      </c>
      <c r="F247" s="19" t="e">
        <f>_xlfn.XLOOKUP(batch_works35[[#This Row],[description]],Table14[name],Table14[id])</f>
        <v>#N/A</v>
      </c>
      <c r="G247" s="19"/>
      <c r="H247" s="19"/>
      <c r="I247" s="19"/>
      <c r="J247" s="19"/>
      <c r="K247" s="19"/>
    </row>
    <row r="248" spans="1:11">
      <c r="A248" s="91">
        <v>246</v>
      </c>
      <c r="B248" s="91">
        <v>246</v>
      </c>
      <c r="C248" s="91"/>
      <c r="D248" s="91">
        <v>2123</v>
      </c>
      <c r="E248" s="19" t="s">
        <v>1828</v>
      </c>
      <c r="F248" s="19" t="e">
        <f>_xlfn.XLOOKUP(batch_works35[[#This Row],[description]],Table14[name],Table14[id])</f>
        <v>#N/A</v>
      </c>
      <c r="G248" s="19"/>
      <c r="H248" s="19"/>
      <c r="I248" s="19"/>
      <c r="J248" s="19"/>
      <c r="K248" s="19"/>
    </row>
    <row r="249" spans="1:11">
      <c r="A249" s="91">
        <v>247</v>
      </c>
      <c r="B249" s="91">
        <v>247</v>
      </c>
      <c r="C249" s="91"/>
      <c r="D249" s="91">
        <v>2124</v>
      </c>
      <c r="E249" s="19" t="s">
        <v>1824</v>
      </c>
      <c r="F249" s="19" t="e">
        <f>_xlfn.XLOOKUP(batch_works35[[#This Row],[description]],Table14[name],Table14[id])</f>
        <v>#N/A</v>
      </c>
      <c r="G249" s="19"/>
      <c r="H249" s="19"/>
      <c r="I249" s="19"/>
      <c r="J249" s="19"/>
      <c r="K249" s="19"/>
    </row>
    <row r="250" spans="1:11">
      <c r="A250" s="91">
        <v>248</v>
      </c>
      <c r="B250" s="91">
        <v>248</v>
      </c>
      <c r="C250" s="91"/>
      <c r="D250" s="91">
        <v>2124</v>
      </c>
      <c r="E250" s="19" t="s">
        <v>1827</v>
      </c>
      <c r="F250" s="19" t="e">
        <f>_xlfn.XLOOKUP(batch_works35[[#This Row],[description]],Table14[name],Table14[id])</f>
        <v>#N/A</v>
      </c>
      <c r="G250" s="19"/>
      <c r="H250" s="19"/>
      <c r="I250" s="19"/>
      <c r="J250" s="19"/>
      <c r="K250" s="19"/>
    </row>
    <row r="251" spans="1:11">
      <c r="A251" s="91">
        <v>249</v>
      </c>
      <c r="B251" s="91">
        <v>249</v>
      </c>
      <c r="C251" s="91"/>
      <c r="D251" s="91">
        <v>2124</v>
      </c>
      <c r="E251" s="19" t="s">
        <v>1832</v>
      </c>
      <c r="F251" s="19" t="e">
        <f>_xlfn.XLOOKUP(batch_works35[[#This Row],[description]],Table14[name],Table14[id])</f>
        <v>#N/A</v>
      </c>
      <c r="G251" s="19"/>
      <c r="H251" s="19"/>
      <c r="I251" s="19"/>
      <c r="J251" s="19"/>
      <c r="K251" s="19"/>
    </row>
    <row r="252" spans="1:11">
      <c r="A252" s="91">
        <v>250</v>
      </c>
      <c r="B252" s="91">
        <v>250</v>
      </c>
      <c r="C252" s="91"/>
      <c r="D252" s="91">
        <v>2124</v>
      </c>
      <c r="E252" s="19" t="s">
        <v>1828</v>
      </c>
      <c r="F252" s="19" t="e">
        <f>_xlfn.XLOOKUP(batch_works35[[#This Row],[description]],Table14[name],Table14[id])</f>
        <v>#N/A</v>
      </c>
      <c r="G252" s="19"/>
      <c r="H252" s="19"/>
      <c r="I252" s="19"/>
      <c r="J252" s="19"/>
      <c r="K252" s="19"/>
    </row>
    <row r="253" spans="1:11">
      <c r="A253" s="91">
        <v>251</v>
      </c>
      <c r="B253" s="91">
        <v>251</v>
      </c>
      <c r="C253" s="91"/>
      <c r="D253" s="91">
        <v>2125</v>
      </c>
      <c r="E253" s="19" t="s">
        <v>1832</v>
      </c>
      <c r="F253" s="19" t="e">
        <f>_xlfn.XLOOKUP(batch_works35[[#This Row],[description]],Table14[name],Table14[id])</f>
        <v>#N/A</v>
      </c>
      <c r="G253" s="19"/>
      <c r="H253" s="19"/>
      <c r="I253" s="19"/>
      <c r="J253" s="19"/>
      <c r="K253" s="19"/>
    </row>
    <row r="254" spans="1:11">
      <c r="A254" s="91">
        <v>252</v>
      </c>
      <c r="B254" s="91">
        <v>252</v>
      </c>
      <c r="C254" s="91"/>
      <c r="D254" s="91">
        <v>2125</v>
      </c>
      <c r="E254" s="19" t="s">
        <v>1828</v>
      </c>
      <c r="F254" s="19" t="e">
        <f>_xlfn.XLOOKUP(batch_works35[[#This Row],[description]],Table14[name],Table14[id])</f>
        <v>#N/A</v>
      </c>
      <c r="G254" s="19"/>
      <c r="H254" s="19"/>
      <c r="I254" s="19"/>
      <c r="J254" s="19"/>
      <c r="K254" s="19"/>
    </row>
    <row r="255" spans="1:11">
      <c r="A255" s="91">
        <v>253</v>
      </c>
      <c r="B255" s="91">
        <v>253</v>
      </c>
      <c r="C255" s="91"/>
      <c r="D255" s="91">
        <v>2126</v>
      </c>
      <c r="E255" s="19" t="s">
        <v>1832</v>
      </c>
      <c r="F255" s="19" t="e">
        <f>_xlfn.XLOOKUP(batch_works35[[#This Row],[description]],Table14[name],Table14[id])</f>
        <v>#N/A</v>
      </c>
      <c r="G255" s="19"/>
      <c r="H255" s="19"/>
      <c r="I255" s="19"/>
      <c r="J255" s="19"/>
      <c r="K255" s="19"/>
    </row>
    <row r="256" spans="1:11">
      <c r="A256" s="91">
        <v>254</v>
      </c>
      <c r="B256" s="91">
        <v>254</v>
      </c>
      <c r="C256" s="91"/>
      <c r="D256" s="91">
        <v>2127</v>
      </c>
      <c r="E256" s="19" t="s">
        <v>1832</v>
      </c>
      <c r="F256" s="19" t="e">
        <f>_xlfn.XLOOKUP(batch_works35[[#This Row],[description]],Table14[name],Table14[id])</f>
        <v>#N/A</v>
      </c>
      <c r="G256" s="19"/>
      <c r="H256" s="19"/>
      <c r="I256" s="19"/>
      <c r="J256" s="19"/>
      <c r="K256" s="19"/>
    </row>
    <row r="257" spans="1:11">
      <c r="A257" s="91">
        <v>255</v>
      </c>
      <c r="B257" s="91">
        <v>255</v>
      </c>
      <c r="C257" s="91"/>
      <c r="D257" s="91">
        <v>2128</v>
      </c>
      <c r="E257" s="19" t="s">
        <v>1832</v>
      </c>
      <c r="F257" s="19" t="e">
        <f>_xlfn.XLOOKUP(batch_works35[[#This Row],[description]],Table14[name],Table14[id])</f>
        <v>#N/A</v>
      </c>
      <c r="G257" s="19"/>
      <c r="H257" s="19"/>
      <c r="I257" s="19"/>
      <c r="J257" s="19"/>
      <c r="K257" s="19"/>
    </row>
    <row r="258" spans="1:11">
      <c r="A258" s="91">
        <v>256</v>
      </c>
      <c r="B258" s="91">
        <v>256</v>
      </c>
      <c r="C258" s="91"/>
      <c r="D258" s="91">
        <v>255</v>
      </c>
      <c r="E258" s="19" t="s">
        <v>1822</v>
      </c>
      <c r="F258" s="19" t="e">
        <f>_xlfn.XLOOKUP(batch_works35[[#This Row],[description]],Table14[name],Table14[id])</f>
        <v>#N/A</v>
      </c>
      <c r="G258" s="19"/>
      <c r="H258" s="19"/>
      <c r="I258" s="19"/>
      <c r="J258" s="19"/>
      <c r="K258" s="19"/>
    </row>
    <row r="259" spans="1:11">
      <c r="A259" s="91">
        <v>257</v>
      </c>
      <c r="B259" s="91">
        <v>257</v>
      </c>
      <c r="C259" s="91"/>
      <c r="D259" s="91">
        <v>1220</v>
      </c>
      <c r="E259" s="19" t="s">
        <v>1824</v>
      </c>
      <c r="F259" s="19" t="e">
        <f>_xlfn.XLOOKUP(batch_works35[[#This Row],[description]],Table14[name],Table14[id])</f>
        <v>#N/A</v>
      </c>
      <c r="G259" s="19"/>
      <c r="H259" s="19"/>
      <c r="I259" s="19"/>
      <c r="J259" s="19"/>
      <c r="K259" s="19"/>
    </row>
    <row r="260" spans="1:11">
      <c r="A260" s="91">
        <v>258</v>
      </c>
      <c r="B260" s="91">
        <v>258</v>
      </c>
      <c r="C260" s="91"/>
      <c r="D260" s="91">
        <v>1943</v>
      </c>
      <c r="E260" s="19" t="s">
        <v>1833</v>
      </c>
      <c r="F260" s="19" t="e">
        <f>_xlfn.XLOOKUP(batch_works35[[#This Row],[description]],Table14[name],Table14[id])</f>
        <v>#N/A</v>
      </c>
      <c r="G260" s="19"/>
      <c r="H260" s="19"/>
      <c r="I260" s="19"/>
      <c r="J260" s="19"/>
      <c r="K260" s="19"/>
    </row>
    <row r="261" spans="1:11">
      <c r="A261" s="91">
        <v>259</v>
      </c>
      <c r="B261" s="91">
        <v>259</v>
      </c>
      <c r="C261" s="91"/>
      <c r="D261" s="91">
        <v>1943</v>
      </c>
      <c r="E261" s="19" t="s">
        <v>1828</v>
      </c>
      <c r="F261" s="19" t="e">
        <f>_xlfn.XLOOKUP(batch_works35[[#This Row],[description]],Table14[name],Table14[id])</f>
        <v>#N/A</v>
      </c>
      <c r="G261" s="19"/>
      <c r="H261" s="19"/>
      <c r="I261" s="19"/>
      <c r="J261" s="19"/>
      <c r="K261" s="19"/>
    </row>
    <row r="262" spans="1:11">
      <c r="A262" s="91">
        <v>260</v>
      </c>
      <c r="B262" s="91">
        <v>260</v>
      </c>
      <c r="C262" s="91"/>
      <c r="D262" s="91">
        <v>1943</v>
      </c>
      <c r="E262" s="19" t="s">
        <v>1834</v>
      </c>
      <c r="F262" s="19" t="e">
        <f>_xlfn.XLOOKUP(batch_works35[[#This Row],[description]],Table14[name],Table14[id])</f>
        <v>#N/A</v>
      </c>
      <c r="G262" s="19"/>
      <c r="H262" s="19"/>
      <c r="I262" s="19"/>
      <c r="J262" s="19"/>
      <c r="K262" s="19"/>
    </row>
    <row r="263" spans="1:11">
      <c r="A263" s="91">
        <v>261</v>
      </c>
      <c r="B263" s="91">
        <v>261</v>
      </c>
      <c r="C263" s="91"/>
      <c r="D263" s="91">
        <v>1956</v>
      </c>
      <c r="E263" s="19" t="s">
        <v>1561</v>
      </c>
      <c r="F263" s="19">
        <f>_xlfn.XLOOKUP(batch_works35[[#This Row],[description]],Table14[name],Table14[id])</f>
        <v>30</v>
      </c>
      <c r="G263" s="19"/>
      <c r="H263" s="19"/>
      <c r="I263" s="19"/>
      <c r="J263" s="19"/>
      <c r="K263" s="19"/>
    </row>
    <row r="264" spans="1:11">
      <c r="A264" s="91">
        <v>262</v>
      </c>
      <c r="B264" s="91">
        <v>262</v>
      </c>
      <c r="C264" s="91"/>
      <c r="D264" s="91">
        <v>1956</v>
      </c>
      <c r="E264" s="19" t="s">
        <v>1819</v>
      </c>
      <c r="F264" s="19" t="e">
        <f>_xlfn.XLOOKUP(batch_works35[[#This Row],[description]],Table14[name],Table14[id])</f>
        <v>#N/A</v>
      </c>
      <c r="G264" s="19"/>
      <c r="H264" s="19"/>
      <c r="I264" s="19"/>
      <c r="J264" s="19"/>
      <c r="K264" s="19"/>
    </row>
    <row r="265" spans="1:11">
      <c r="A265" s="91">
        <v>263</v>
      </c>
      <c r="B265" s="91">
        <v>263</v>
      </c>
      <c r="C265" s="91"/>
      <c r="D265" s="91">
        <v>1971</v>
      </c>
      <c r="E265" s="19" t="s">
        <v>1819</v>
      </c>
      <c r="F265" s="19" t="e">
        <f>_xlfn.XLOOKUP(batch_works35[[#This Row],[description]],Table14[name],Table14[id])</f>
        <v>#N/A</v>
      </c>
      <c r="G265" s="19"/>
      <c r="H265" s="19"/>
      <c r="I265" s="19"/>
      <c r="J265" s="19"/>
      <c r="K265" s="19"/>
    </row>
    <row r="266" spans="1:11">
      <c r="A266" s="91">
        <v>264</v>
      </c>
      <c r="B266" s="91">
        <v>264</v>
      </c>
      <c r="C266" s="91"/>
      <c r="D266" s="91">
        <v>1973</v>
      </c>
      <c r="E266" s="19" t="s">
        <v>1561</v>
      </c>
      <c r="F266" s="19">
        <f>_xlfn.XLOOKUP(batch_works35[[#This Row],[description]],Table14[name],Table14[id])</f>
        <v>30</v>
      </c>
      <c r="G266" s="19"/>
      <c r="H266" s="19"/>
      <c r="I266" s="19"/>
      <c r="J266" s="19"/>
      <c r="K266" s="19"/>
    </row>
    <row r="267" spans="1:11">
      <c r="A267" s="91">
        <v>265</v>
      </c>
      <c r="B267" s="91">
        <v>265</v>
      </c>
      <c r="C267" s="91"/>
      <c r="D267" s="91">
        <v>1973</v>
      </c>
      <c r="E267" s="19" t="s">
        <v>1819</v>
      </c>
      <c r="F267" s="19" t="e">
        <f>_xlfn.XLOOKUP(batch_works35[[#This Row],[description]],Table14[name],Table14[id])</f>
        <v>#N/A</v>
      </c>
      <c r="G267" s="19"/>
      <c r="H267" s="19"/>
      <c r="I267" s="19"/>
      <c r="J267" s="19"/>
      <c r="K267" s="19"/>
    </row>
    <row r="268" spans="1:11">
      <c r="A268" s="91">
        <v>266</v>
      </c>
      <c r="B268" s="91">
        <v>266</v>
      </c>
      <c r="C268" s="91"/>
      <c r="D268" s="91">
        <v>1973</v>
      </c>
      <c r="E268" s="19" t="s">
        <v>1821</v>
      </c>
      <c r="F268" s="19" t="e">
        <f>_xlfn.XLOOKUP(batch_works35[[#This Row],[description]],Table14[name],Table14[id])</f>
        <v>#N/A</v>
      </c>
      <c r="G268" s="19"/>
      <c r="H268" s="19"/>
      <c r="I268" s="19"/>
      <c r="J268" s="19"/>
      <c r="K268" s="19"/>
    </row>
    <row r="269" spans="1:11">
      <c r="A269" s="91">
        <v>267</v>
      </c>
      <c r="B269" s="91">
        <v>267</v>
      </c>
      <c r="C269" s="91"/>
      <c r="D269" s="91">
        <v>1975</v>
      </c>
      <c r="E269" s="19" t="s">
        <v>1563</v>
      </c>
      <c r="F269" s="19">
        <f>_xlfn.XLOOKUP(batch_works35[[#This Row],[description]],Table14[name],Table14[id])</f>
        <v>31</v>
      </c>
      <c r="G269" s="19"/>
      <c r="H269" s="19"/>
      <c r="I269" s="19"/>
      <c r="J269" s="19"/>
      <c r="K269" s="19"/>
    </row>
    <row r="270" spans="1:11">
      <c r="A270" s="91">
        <v>268</v>
      </c>
      <c r="B270" s="91">
        <v>268</v>
      </c>
      <c r="C270" s="91"/>
      <c r="D270" s="91">
        <v>1975</v>
      </c>
      <c r="E270" s="19" t="s">
        <v>1819</v>
      </c>
      <c r="F270" s="19" t="e">
        <f>_xlfn.XLOOKUP(batch_works35[[#This Row],[description]],Table14[name],Table14[id])</f>
        <v>#N/A</v>
      </c>
      <c r="G270" s="19"/>
      <c r="H270" s="19"/>
      <c r="I270" s="19"/>
      <c r="J270" s="19"/>
      <c r="K270" s="19"/>
    </row>
    <row r="271" spans="1:11">
      <c r="A271" s="91">
        <v>269</v>
      </c>
      <c r="B271" s="91">
        <v>269</v>
      </c>
      <c r="C271" s="91"/>
      <c r="D271" s="91">
        <v>1977</v>
      </c>
      <c r="E271" s="19" t="s">
        <v>1819</v>
      </c>
      <c r="F271" s="19" t="e">
        <f>_xlfn.XLOOKUP(batch_works35[[#This Row],[description]],Table14[name],Table14[id])</f>
        <v>#N/A</v>
      </c>
      <c r="G271" s="19"/>
      <c r="H271" s="19"/>
      <c r="I271" s="19"/>
      <c r="J271" s="19"/>
      <c r="K271" s="19"/>
    </row>
    <row r="272" spans="1:11">
      <c r="A272" s="91">
        <v>270</v>
      </c>
      <c r="B272" s="91">
        <v>270</v>
      </c>
      <c r="C272" s="91"/>
      <c r="D272" s="91">
        <v>1978</v>
      </c>
      <c r="E272" s="19" t="s">
        <v>1561</v>
      </c>
      <c r="F272" s="19">
        <f>_xlfn.XLOOKUP(batch_works35[[#This Row],[description]],Table14[name],Table14[id])</f>
        <v>30</v>
      </c>
      <c r="G272" s="19"/>
      <c r="H272" s="19"/>
      <c r="I272" s="19"/>
      <c r="J272" s="19"/>
      <c r="K272" s="19"/>
    </row>
    <row r="273" spans="1:11">
      <c r="A273" s="91">
        <v>271</v>
      </c>
      <c r="B273" s="91">
        <v>271</v>
      </c>
      <c r="C273" s="91"/>
      <c r="D273" s="91">
        <v>1978</v>
      </c>
      <c r="E273" s="19" t="s">
        <v>1819</v>
      </c>
      <c r="F273" s="19" t="e">
        <f>_xlfn.XLOOKUP(batch_works35[[#This Row],[description]],Table14[name],Table14[id])</f>
        <v>#N/A</v>
      </c>
      <c r="G273" s="19"/>
      <c r="H273" s="19"/>
      <c r="I273" s="19"/>
      <c r="J273" s="19"/>
      <c r="K273" s="19"/>
    </row>
    <row r="274" spans="1:11">
      <c r="A274" s="91">
        <v>272</v>
      </c>
      <c r="B274" s="91">
        <v>272</v>
      </c>
      <c r="C274" s="91"/>
      <c r="D274" s="91">
        <v>1978</v>
      </c>
      <c r="E274" s="19" t="s">
        <v>1819</v>
      </c>
      <c r="F274" s="19" t="e">
        <f>_xlfn.XLOOKUP(batch_works35[[#This Row],[description]],Table14[name],Table14[id])</f>
        <v>#N/A</v>
      </c>
      <c r="G274" s="19"/>
      <c r="H274" s="19"/>
      <c r="I274" s="19"/>
      <c r="J274" s="19"/>
      <c r="K274" s="19"/>
    </row>
    <row r="275" spans="1:11">
      <c r="A275" s="91">
        <v>273</v>
      </c>
      <c r="B275" s="91">
        <v>273</v>
      </c>
      <c r="C275" s="91"/>
      <c r="D275" s="91">
        <v>1995</v>
      </c>
      <c r="E275" s="19" t="s">
        <v>1561</v>
      </c>
      <c r="F275" s="19">
        <f>_xlfn.XLOOKUP(batch_works35[[#This Row],[description]],Table14[name],Table14[id])</f>
        <v>30</v>
      </c>
      <c r="G275" s="19"/>
      <c r="H275" s="19"/>
      <c r="I275" s="19"/>
      <c r="J275" s="19"/>
      <c r="K275" s="19"/>
    </row>
    <row r="276" spans="1:11">
      <c r="A276" s="91">
        <v>274</v>
      </c>
      <c r="B276" s="91">
        <v>274</v>
      </c>
      <c r="C276" s="91"/>
      <c r="D276" s="91">
        <v>1995</v>
      </c>
      <c r="E276" s="19" t="s">
        <v>1819</v>
      </c>
      <c r="F276" s="19" t="e">
        <f>_xlfn.XLOOKUP(batch_works35[[#This Row],[description]],Table14[name],Table14[id])</f>
        <v>#N/A</v>
      </c>
      <c r="G276" s="19"/>
      <c r="H276" s="19"/>
      <c r="I276" s="19"/>
      <c r="J276" s="19"/>
      <c r="K276" s="19"/>
    </row>
    <row r="277" spans="1:11">
      <c r="A277" s="91">
        <v>275</v>
      </c>
      <c r="B277" s="91">
        <v>275</v>
      </c>
      <c r="C277" s="91"/>
      <c r="D277" s="91">
        <v>2001</v>
      </c>
      <c r="E277" s="19" t="s">
        <v>1561</v>
      </c>
      <c r="F277" s="19">
        <f>_xlfn.XLOOKUP(batch_works35[[#This Row],[description]],Table14[name],Table14[id])</f>
        <v>30</v>
      </c>
      <c r="G277" s="19"/>
      <c r="H277" s="19"/>
      <c r="I277" s="19"/>
      <c r="J277" s="19"/>
      <c r="K277" s="19"/>
    </row>
    <row r="278" spans="1:11">
      <c r="A278" s="91">
        <v>276</v>
      </c>
      <c r="B278" s="91">
        <v>276</v>
      </c>
      <c r="C278" s="91"/>
      <c r="D278" s="91">
        <v>2011</v>
      </c>
      <c r="E278" s="19" t="s">
        <v>1819</v>
      </c>
      <c r="F278" s="19" t="e">
        <f>_xlfn.XLOOKUP(batch_works35[[#This Row],[description]],Table14[name],Table14[id])</f>
        <v>#N/A</v>
      </c>
      <c r="G278" s="19"/>
      <c r="H278" s="19"/>
      <c r="I278" s="19"/>
      <c r="J278" s="19"/>
      <c r="K278" s="19"/>
    </row>
    <row r="279" spans="1:11">
      <c r="A279" s="91">
        <v>277</v>
      </c>
      <c r="B279" s="91">
        <v>277</v>
      </c>
      <c r="C279" s="91"/>
      <c r="D279" s="91">
        <v>2012</v>
      </c>
      <c r="E279" s="19" t="s">
        <v>1513</v>
      </c>
      <c r="F279" s="19">
        <f>_xlfn.XLOOKUP(batch_works35[[#This Row],[description]],Table14[name],Table14[id])</f>
        <v>18</v>
      </c>
      <c r="G279" s="19"/>
      <c r="H279" s="19"/>
      <c r="I279" s="19"/>
      <c r="J279" s="19"/>
      <c r="K279" s="19"/>
    </row>
    <row r="280" spans="1:11">
      <c r="A280" s="91">
        <v>278</v>
      </c>
      <c r="B280" s="91">
        <v>278</v>
      </c>
      <c r="C280" s="91"/>
      <c r="D280" s="91">
        <v>2012</v>
      </c>
      <c r="E280" s="19" t="s">
        <v>1513</v>
      </c>
      <c r="F280" s="19">
        <f>_xlfn.XLOOKUP(batch_works35[[#This Row],[description]],Table14[name],Table14[id])</f>
        <v>18</v>
      </c>
      <c r="G280" s="19"/>
      <c r="H280" s="19"/>
      <c r="I280" s="19"/>
      <c r="J280" s="19"/>
      <c r="K280" s="19"/>
    </row>
    <row r="281" spans="1:11">
      <c r="A281" s="91">
        <v>279</v>
      </c>
      <c r="B281" s="91">
        <v>279</v>
      </c>
      <c r="C281" s="91"/>
      <c r="D281" s="91">
        <v>2012</v>
      </c>
      <c r="E281" s="19" t="s">
        <v>1822</v>
      </c>
      <c r="F281" s="19" t="e">
        <f>_xlfn.XLOOKUP(batch_works35[[#This Row],[description]],Table14[name],Table14[id])</f>
        <v>#N/A</v>
      </c>
      <c r="G281" s="19"/>
      <c r="H281" s="19"/>
      <c r="I281" s="19"/>
      <c r="J281" s="19"/>
      <c r="K281" s="19"/>
    </row>
    <row r="282" spans="1:11">
      <c r="A282" s="91">
        <v>280</v>
      </c>
      <c r="B282" s="91">
        <v>280</v>
      </c>
      <c r="C282" s="91"/>
      <c r="D282" s="91">
        <v>2013</v>
      </c>
      <c r="E282" s="19" t="s">
        <v>1819</v>
      </c>
      <c r="F282" s="19" t="e">
        <f>_xlfn.XLOOKUP(batch_works35[[#This Row],[description]],Table14[name],Table14[id])</f>
        <v>#N/A</v>
      </c>
      <c r="G282" s="19"/>
      <c r="H282" s="19"/>
      <c r="I282" s="19"/>
      <c r="J282" s="19"/>
      <c r="K282" s="19"/>
    </row>
    <row r="283" spans="1:11">
      <c r="A283" s="91">
        <v>281</v>
      </c>
      <c r="B283" s="91">
        <v>281</v>
      </c>
      <c r="C283" s="91"/>
      <c r="D283" s="91">
        <v>2014</v>
      </c>
      <c r="E283" s="19" t="s">
        <v>1561</v>
      </c>
      <c r="F283" s="19">
        <f>_xlfn.XLOOKUP(batch_works35[[#This Row],[description]],Table14[name],Table14[id])</f>
        <v>30</v>
      </c>
      <c r="G283" s="19"/>
      <c r="H283" s="19"/>
      <c r="I283" s="19"/>
      <c r="J283" s="19"/>
      <c r="K283" s="19"/>
    </row>
    <row r="284" spans="1:11">
      <c r="A284" s="91">
        <v>282</v>
      </c>
      <c r="B284" s="91">
        <v>282</v>
      </c>
      <c r="C284" s="91"/>
      <c r="D284" s="91">
        <v>2014</v>
      </c>
      <c r="E284" s="19" t="s">
        <v>1819</v>
      </c>
      <c r="F284" s="19" t="e">
        <f>_xlfn.XLOOKUP(batch_works35[[#This Row],[description]],Table14[name],Table14[id])</f>
        <v>#N/A</v>
      </c>
      <c r="G284" s="19"/>
      <c r="H284" s="19"/>
      <c r="I284" s="19"/>
      <c r="J284" s="19"/>
      <c r="K284" s="19"/>
    </row>
    <row r="285" spans="1:11">
      <c r="A285" s="91">
        <v>283</v>
      </c>
      <c r="B285" s="91">
        <v>283</v>
      </c>
      <c r="C285" s="91"/>
      <c r="D285" s="91">
        <v>2015</v>
      </c>
      <c r="E285" s="19" t="s">
        <v>1563</v>
      </c>
      <c r="F285" s="19">
        <f>_xlfn.XLOOKUP(batch_works35[[#This Row],[description]],Table14[name],Table14[id])</f>
        <v>31</v>
      </c>
      <c r="G285" s="19"/>
      <c r="H285" s="19"/>
      <c r="I285" s="19"/>
      <c r="J285" s="19"/>
      <c r="K285" s="19"/>
    </row>
    <row r="286" spans="1:11">
      <c r="A286" s="91">
        <v>284</v>
      </c>
      <c r="B286" s="91">
        <v>284</v>
      </c>
      <c r="C286" s="91"/>
      <c r="D286" s="91">
        <v>2016</v>
      </c>
      <c r="E286" s="19" t="s">
        <v>1819</v>
      </c>
      <c r="F286" s="19" t="e">
        <f>_xlfn.XLOOKUP(batch_works35[[#This Row],[description]],Table14[name],Table14[id])</f>
        <v>#N/A</v>
      </c>
      <c r="G286" s="19"/>
      <c r="H286" s="19"/>
      <c r="I286" s="19"/>
      <c r="J286" s="19"/>
      <c r="K286" s="19"/>
    </row>
    <row r="287" spans="1:11">
      <c r="A287" s="91">
        <v>285</v>
      </c>
      <c r="B287" s="91">
        <v>285</v>
      </c>
      <c r="C287" s="91"/>
      <c r="D287" s="91">
        <v>2017</v>
      </c>
      <c r="E287" s="19" t="s">
        <v>1819</v>
      </c>
      <c r="F287" s="19" t="e">
        <f>_xlfn.XLOOKUP(batch_works35[[#This Row],[description]],Table14[name],Table14[id])</f>
        <v>#N/A</v>
      </c>
      <c r="G287" s="19"/>
      <c r="H287" s="19"/>
      <c r="I287" s="19"/>
      <c r="J287" s="19"/>
      <c r="K287" s="19"/>
    </row>
    <row r="288" spans="1:11">
      <c r="A288" s="91">
        <v>286</v>
      </c>
      <c r="B288" s="91">
        <v>286</v>
      </c>
      <c r="C288" s="91"/>
      <c r="D288" s="91">
        <v>2018</v>
      </c>
      <c r="E288" s="19" t="s">
        <v>1563</v>
      </c>
      <c r="F288" s="19">
        <f>_xlfn.XLOOKUP(batch_works35[[#This Row],[description]],Table14[name],Table14[id])</f>
        <v>31</v>
      </c>
      <c r="G288" s="19"/>
      <c r="H288" s="19"/>
      <c r="I288" s="19"/>
      <c r="J288" s="19"/>
      <c r="K288" s="19"/>
    </row>
    <row r="289" spans="1:11">
      <c r="A289" s="91">
        <v>287</v>
      </c>
      <c r="B289" s="91">
        <v>287</v>
      </c>
      <c r="C289" s="91"/>
      <c r="D289" s="91">
        <v>2032</v>
      </c>
      <c r="E289" s="19" t="s">
        <v>1561</v>
      </c>
      <c r="F289" s="19">
        <f>_xlfn.XLOOKUP(batch_works35[[#This Row],[description]],Table14[name],Table14[id])</f>
        <v>30</v>
      </c>
      <c r="G289" s="19"/>
      <c r="H289" s="19"/>
      <c r="I289" s="19"/>
      <c r="J289" s="19"/>
      <c r="K289" s="19"/>
    </row>
    <row r="290" spans="1:11">
      <c r="A290" s="91">
        <v>288</v>
      </c>
      <c r="B290" s="91">
        <v>288</v>
      </c>
      <c r="C290" s="91"/>
      <c r="D290" s="91">
        <v>2032</v>
      </c>
      <c r="E290" s="19" t="s">
        <v>1819</v>
      </c>
      <c r="F290" s="19" t="e">
        <f>_xlfn.XLOOKUP(batch_works35[[#This Row],[description]],Table14[name],Table14[id])</f>
        <v>#N/A</v>
      </c>
      <c r="G290" s="19"/>
      <c r="H290" s="19"/>
      <c r="I290" s="19"/>
      <c r="J290" s="19"/>
      <c r="K290" s="19"/>
    </row>
    <row r="291" spans="1:11">
      <c r="A291" s="91">
        <v>289</v>
      </c>
      <c r="B291" s="91">
        <v>289</v>
      </c>
      <c r="C291" s="91"/>
      <c r="D291" s="91">
        <v>2032</v>
      </c>
      <c r="E291" s="19" t="s">
        <v>1819</v>
      </c>
      <c r="F291" s="19" t="e">
        <f>_xlfn.XLOOKUP(batch_works35[[#This Row],[description]],Table14[name],Table14[id])</f>
        <v>#N/A</v>
      </c>
      <c r="G291" s="19"/>
      <c r="H291" s="19"/>
      <c r="I291" s="19"/>
      <c r="J291" s="19"/>
      <c r="K291" s="19"/>
    </row>
    <row r="292" spans="1:11">
      <c r="A292" s="91">
        <v>290</v>
      </c>
      <c r="B292" s="91">
        <v>290</v>
      </c>
      <c r="C292" s="91"/>
      <c r="D292" s="91">
        <v>2033</v>
      </c>
      <c r="E292" s="19" t="s">
        <v>1561</v>
      </c>
      <c r="F292" s="19">
        <f>_xlfn.XLOOKUP(batch_works35[[#This Row],[description]],Table14[name],Table14[id])</f>
        <v>30</v>
      </c>
      <c r="G292" s="19"/>
      <c r="H292" s="19"/>
      <c r="I292" s="19"/>
      <c r="J292" s="19"/>
      <c r="K292" s="19"/>
    </row>
    <row r="293" spans="1:11">
      <c r="A293" s="91">
        <v>291</v>
      </c>
      <c r="B293" s="91">
        <v>291</v>
      </c>
      <c r="C293" s="91"/>
      <c r="D293" s="91">
        <v>2033</v>
      </c>
      <c r="E293" s="19" t="s">
        <v>1819</v>
      </c>
      <c r="F293" s="19" t="e">
        <f>_xlfn.XLOOKUP(batch_works35[[#This Row],[description]],Table14[name],Table14[id])</f>
        <v>#N/A</v>
      </c>
      <c r="G293" s="19"/>
      <c r="H293" s="19"/>
      <c r="I293" s="19"/>
      <c r="J293" s="19"/>
      <c r="K293" s="19"/>
    </row>
    <row r="294" spans="1:11">
      <c r="A294" s="91">
        <v>292</v>
      </c>
      <c r="B294" s="91">
        <v>292</v>
      </c>
      <c r="C294" s="91"/>
      <c r="D294" s="91">
        <v>2033</v>
      </c>
      <c r="E294" s="19" t="s">
        <v>1819</v>
      </c>
      <c r="F294" s="19" t="e">
        <f>_xlfn.XLOOKUP(batch_works35[[#This Row],[description]],Table14[name],Table14[id])</f>
        <v>#N/A</v>
      </c>
      <c r="G294" s="19"/>
      <c r="H294" s="19"/>
      <c r="I294" s="19"/>
      <c r="J294" s="19"/>
      <c r="K294" s="19"/>
    </row>
    <row r="295" spans="1:11">
      <c r="A295" s="91">
        <v>293</v>
      </c>
      <c r="B295" s="91">
        <v>293</v>
      </c>
      <c r="C295" s="91"/>
      <c r="D295" s="91">
        <v>2033</v>
      </c>
      <c r="E295" s="19" t="s">
        <v>1826</v>
      </c>
      <c r="F295" s="19" t="e">
        <f>_xlfn.XLOOKUP(batch_works35[[#This Row],[description]],Table14[name],Table14[id])</f>
        <v>#N/A</v>
      </c>
      <c r="G295" s="19"/>
      <c r="H295" s="19"/>
      <c r="I295" s="19"/>
      <c r="J295" s="19"/>
      <c r="K295" s="19"/>
    </row>
    <row r="296" spans="1:11">
      <c r="A296" s="91">
        <v>294</v>
      </c>
      <c r="B296" s="91">
        <v>294</v>
      </c>
      <c r="C296" s="91"/>
      <c r="D296" s="91">
        <v>2034</v>
      </c>
      <c r="E296" s="19" t="s">
        <v>1563</v>
      </c>
      <c r="F296" s="19">
        <f>_xlfn.XLOOKUP(batch_works35[[#This Row],[description]],Table14[name],Table14[id])</f>
        <v>31</v>
      </c>
      <c r="G296" s="19"/>
      <c r="H296" s="19"/>
      <c r="I296" s="19"/>
      <c r="J296" s="19"/>
      <c r="K296" s="19"/>
    </row>
    <row r="297" spans="1:11">
      <c r="A297" s="91">
        <v>295</v>
      </c>
      <c r="B297" s="91">
        <v>295</v>
      </c>
      <c r="C297" s="91"/>
      <c r="D297" s="91">
        <v>2034</v>
      </c>
      <c r="E297" s="19" t="s">
        <v>1819</v>
      </c>
      <c r="F297" s="19" t="e">
        <f>_xlfn.XLOOKUP(batch_works35[[#This Row],[description]],Table14[name],Table14[id])</f>
        <v>#N/A</v>
      </c>
      <c r="G297" s="19"/>
      <c r="H297" s="19"/>
      <c r="I297" s="19"/>
      <c r="J297" s="19"/>
      <c r="K297" s="19"/>
    </row>
    <row r="298" spans="1:11">
      <c r="A298" s="91">
        <v>296</v>
      </c>
      <c r="B298" s="91">
        <v>296</v>
      </c>
      <c r="C298" s="91"/>
      <c r="D298" s="91">
        <v>2034</v>
      </c>
      <c r="E298" s="19" t="s">
        <v>1819</v>
      </c>
      <c r="F298" s="19" t="e">
        <f>_xlfn.XLOOKUP(batch_works35[[#This Row],[description]],Table14[name],Table14[id])</f>
        <v>#N/A</v>
      </c>
      <c r="G298" s="19"/>
      <c r="H298" s="19"/>
      <c r="I298" s="19"/>
      <c r="J298" s="19"/>
      <c r="K298" s="19"/>
    </row>
    <row r="299" spans="1:11">
      <c r="A299" s="91">
        <v>297</v>
      </c>
      <c r="B299" s="91">
        <v>297</v>
      </c>
      <c r="C299" s="91"/>
      <c r="D299" s="91">
        <v>2034</v>
      </c>
      <c r="E299" s="19" t="s">
        <v>1835</v>
      </c>
      <c r="F299" s="19" t="e">
        <f>_xlfn.XLOOKUP(batch_works35[[#This Row],[description]],Table14[name],Table14[id])</f>
        <v>#N/A</v>
      </c>
      <c r="G299" s="19"/>
      <c r="H299" s="19"/>
      <c r="I299" s="19"/>
      <c r="J299" s="19"/>
      <c r="K299" s="19"/>
    </row>
    <row r="300" spans="1:11">
      <c r="A300" s="91">
        <v>298</v>
      </c>
      <c r="B300" s="91">
        <v>298</v>
      </c>
      <c r="C300" s="91"/>
      <c r="D300" s="91">
        <v>2034</v>
      </c>
      <c r="E300" s="19" t="s">
        <v>1826</v>
      </c>
      <c r="F300" s="19" t="e">
        <f>_xlfn.XLOOKUP(batch_works35[[#This Row],[description]],Table14[name],Table14[id])</f>
        <v>#N/A</v>
      </c>
      <c r="G300" s="19"/>
      <c r="H300" s="19"/>
      <c r="I300" s="19"/>
      <c r="J300" s="19"/>
      <c r="K300" s="19"/>
    </row>
    <row r="301" spans="1:11">
      <c r="A301" s="91">
        <v>299</v>
      </c>
      <c r="B301" s="91">
        <v>299</v>
      </c>
      <c r="C301" s="91"/>
      <c r="D301" s="91">
        <v>2035</v>
      </c>
      <c r="E301" s="19" t="s">
        <v>1561</v>
      </c>
      <c r="F301" s="19">
        <f>_xlfn.XLOOKUP(batch_works35[[#This Row],[description]],Table14[name],Table14[id])</f>
        <v>30</v>
      </c>
      <c r="G301" s="19"/>
      <c r="H301" s="19"/>
      <c r="I301" s="19"/>
      <c r="J301" s="19"/>
      <c r="K301" s="19"/>
    </row>
    <row r="302" spans="1:11">
      <c r="A302" s="91">
        <v>300</v>
      </c>
      <c r="B302" s="91">
        <v>300</v>
      </c>
      <c r="C302" s="91"/>
      <c r="D302" s="91">
        <v>2035</v>
      </c>
      <c r="E302" s="19" t="s">
        <v>1819</v>
      </c>
      <c r="F302" s="19" t="e">
        <f>_xlfn.XLOOKUP(batch_works35[[#This Row],[description]],Table14[name],Table14[id])</f>
        <v>#N/A</v>
      </c>
      <c r="G302" s="19"/>
      <c r="H302" s="19"/>
      <c r="I302" s="19"/>
      <c r="J302" s="19"/>
      <c r="K302" s="19"/>
    </row>
    <row r="303" spans="1:11">
      <c r="A303" s="91">
        <v>301</v>
      </c>
      <c r="B303" s="91">
        <v>301</v>
      </c>
      <c r="C303" s="91"/>
      <c r="D303" s="91">
        <v>2035</v>
      </c>
      <c r="E303" s="19" t="s">
        <v>1819</v>
      </c>
      <c r="F303" s="19" t="e">
        <f>_xlfn.XLOOKUP(batch_works35[[#This Row],[description]],Table14[name],Table14[id])</f>
        <v>#N/A</v>
      </c>
      <c r="G303" s="19"/>
      <c r="H303" s="19"/>
      <c r="I303" s="19"/>
      <c r="J303" s="19"/>
      <c r="K303" s="19"/>
    </row>
    <row r="304" spans="1:11">
      <c r="A304" s="91">
        <v>302</v>
      </c>
      <c r="B304" s="91">
        <v>302</v>
      </c>
      <c r="C304" s="91"/>
      <c r="D304" s="91">
        <v>2035</v>
      </c>
      <c r="E304" s="19" t="s">
        <v>1835</v>
      </c>
      <c r="F304" s="19" t="e">
        <f>_xlfn.XLOOKUP(batch_works35[[#This Row],[description]],Table14[name],Table14[id])</f>
        <v>#N/A</v>
      </c>
      <c r="G304" s="19"/>
      <c r="H304" s="19"/>
      <c r="I304" s="19"/>
      <c r="J304" s="19"/>
      <c r="K304" s="19"/>
    </row>
    <row r="305" spans="1:11">
      <c r="A305" s="91">
        <v>303</v>
      </c>
      <c r="B305" s="91">
        <v>303</v>
      </c>
      <c r="C305" s="91"/>
      <c r="D305" s="91">
        <v>2036</v>
      </c>
      <c r="E305" s="19" t="s">
        <v>1561</v>
      </c>
      <c r="F305" s="19">
        <f>_xlfn.XLOOKUP(batch_works35[[#This Row],[description]],Table14[name],Table14[id])</f>
        <v>30</v>
      </c>
      <c r="G305" s="19"/>
      <c r="H305" s="19"/>
      <c r="I305" s="19"/>
      <c r="J305" s="19"/>
      <c r="K305" s="19"/>
    </row>
    <row r="306" spans="1:11">
      <c r="A306" s="91">
        <v>304</v>
      </c>
      <c r="B306" s="91">
        <v>304</v>
      </c>
      <c r="C306" s="91"/>
      <c r="D306" s="91">
        <v>2036</v>
      </c>
      <c r="E306" s="19" t="s">
        <v>1819</v>
      </c>
      <c r="F306" s="19" t="e">
        <f>_xlfn.XLOOKUP(batch_works35[[#This Row],[description]],Table14[name],Table14[id])</f>
        <v>#N/A</v>
      </c>
      <c r="G306" s="19"/>
      <c r="H306" s="19"/>
      <c r="I306" s="19"/>
      <c r="J306" s="19"/>
      <c r="K306" s="19"/>
    </row>
    <row r="307" spans="1:11">
      <c r="A307" s="91">
        <v>305</v>
      </c>
      <c r="B307" s="91">
        <v>305</v>
      </c>
      <c r="C307" s="91"/>
      <c r="D307" s="91">
        <v>2036</v>
      </c>
      <c r="E307" s="19" t="s">
        <v>1819</v>
      </c>
      <c r="F307" s="19" t="e">
        <f>_xlfn.XLOOKUP(batch_works35[[#This Row],[description]],Table14[name],Table14[id])</f>
        <v>#N/A</v>
      </c>
      <c r="G307" s="19"/>
      <c r="H307" s="19"/>
      <c r="I307" s="19"/>
      <c r="J307" s="19"/>
      <c r="K307" s="19"/>
    </row>
    <row r="308" spans="1:11">
      <c r="A308" s="91">
        <v>306</v>
      </c>
      <c r="B308" s="91">
        <v>306</v>
      </c>
      <c r="C308" s="91"/>
      <c r="D308" s="91">
        <v>2037</v>
      </c>
      <c r="E308" s="19" t="s">
        <v>1563</v>
      </c>
      <c r="F308" s="19">
        <f>_xlfn.XLOOKUP(batch_works35[[#This Row],[description]],Table14[name],Table14[id])</f>
        <v>31</v>
      </c>
      <c r="G308" s="19"/>
      <c r="H308" s="19"/>
      <c r="I308" s="19"/>
      <c r="J308" s="19"/>
      <c r="K308" s="19"/>
    </row>
    <row r="309" spans="1:11">
      <c r="A309" s="91">
        <v>307</v>
      </c>
      <c r="B309" s="91">
        <v>307</v>
      </c>
      <c r="C309" s="91"/>
      <c r="D309" s="91">
        <v>2037</v>
      </c>
      <c r="E309" s="19" t="s">
        <v>1819</v>
      </c>
      <c r="F309" s="19" t="e">
        <f>_xlfn.XLOOKUP(batch_works35[[#This Row],[description]],Table14[name],Table14[id])</f>
        <v>#N/A</v>
      </c>
      <c r="G309" s="19"/>
      <c r="H309" s="19"/>
      <c r="I309" s="19"/>
      <c r="J309" s="19"/>
      <c r="K309" s="19"/>
    </row>
    <row r="310" spans="1:11">
      <c r="A310" s="91">
        <v>308</v>
      </c>
      <c r="B310" s="91">
        <v>308</v>
      </c>
      <c r="C310" s="91"/>
      <c r="D310" s="91">
        <v>2037</v>
      </c>
      <c r="E310" s="19" t="s">
        <v>1819</v>
      </c>
      <c r="F310" s="19" t="e">
        <f>_xlfn.XLOOKUP(batch_works35[[#This Row],[description]],Table14[name],Table14[id])</f>
        <v>#N/A</v>
      </c>
      <c r="G310" s="19"/>
      <c r="H310" s="19"/>
      <c r="I310" s="19"/>
      <c r="J310" s="19"/>
      <c r="K310" s="19"/>
    </row>
    <row r="311" spans="1:11">
      <c r="A311" s="91">
        <v>309</v>
      </c>
      <c r="B311" s="91">
        <v>309</v>
      </c>
      <c r="C311" s="91"/>
      <c r="D311" s="91">
        <v>2037</v>
      </c>
      <c r="E311" s="19" t="s">
        <v>1826</v>
      </c>
      <c r="F311" s="19" t="e">
        <f>_xlfn.XLOOKUP(batch_works35[[#This Row],[description]],Table14[name],Table14[id])</f>
        <v>#N/A</v>
      </c>
      <c r="G311" s="19"/>
      <c r="H311" s="19"/>
      <c r="I311" s="19"/>
      <c r="J311" s="19"/>
      <c r="K311" s="19"/>
    </row>
    <row r="312" spans="1:11">
      <c r="A312" s="91">
        <v>310</v>
      </c>
      <c r="B312" s="91">
        <v>310</v>
      </c>
      <c r="C312" s="91"/>
      <c r="D312" s="91">
        <v>2045</v>
      </c>
      <c r="E312" s="19" t="s">
        <v>1830</v>
      </c>
      <c r="F312" s="19" t="e">
        <f>_xlfn.XLOOKUP(batch_works35[[#This Row],[description]],Table14[name],Table14[id])</f>
        <v>#N/A</v>
      </c>
      <c r="G312" s="19"/>
      <c r="H312" s="19"/>
      <c r="I312" s="19"/>
      <c r="J312" s="19"/>
      <c r="K312" s="19"/>
    </row>
    <row r="313" spans="1:11">
      <c r="A313" s="91">
        <v>311</v>
      </c>
      <c r="B313" s="91">
        <v>311</v>
      </c>
      <c r="C313" s="91"/>
      <c r="D313" s="91">
        <v>2045</v>
      </c>
      <c r="E313" s="19" t="s">
        <v>1826</v>
      </c>
      <c r="F313" s="19" t="e">
        <f>_xlfn.XLOOKUP(batch_works35[[#This Row],[description]],Table14[name],Table14[id])</f>
        <v>#N/A</v>
      </c>
      <c r="G313" s="19"/>
      <c r="H313" s="19"/>
      <c r="I313" s="19"/>
      <c r="J313" s="19"/>
      <c r="K313" s="19"/>
    </row>
    <row r="314" spans="1:11">
      <c r="A314" s="91">
        <v>312</v>
      </c>
      <c r="B314" s="91">
        <v>312</v>
      </c>
      <c r="C314" s="91"/>
      <c r="D314" s="91">
        <v>2046</v>
      </c>
      <c r="E314" s="19" t="s">
        <v>1561</v>
      </c>
      <c r="F314" s="19">
        <f>_xlfn.XLOOKUP(batch_works35[[#This Row],[description]],Table14[name],Table14[id])</f>
        <v>30</v>
      </c>
      <c r="G314" s="19"/>
      <c r="H314" s="19"/>
      <c r="I314" s="19"/>
      <c r="J314" s="19"/>
      <c r="K314" s="19"/>
    </row>
    <row r="315" spans="1:11">
      <c r="A315" s="91">
        <v>313</v>
      </c>
      <c r="B315" s="91">
        <v>313</v>
      </c>
      <c r="C315" s="91"/>
      <c r="D315" s="91">
        <v>2046</v>
      </c>
      <c r="E315" s="19" t="s">
        <v>1819</v>
      </c>
      <c r="F315" s="19" t="e">
        <f>_xlfn.XLOOKUP(batch_works35[[#This Row],[description]],Table14[name],Table14[id])</f>
        <v>#N/A</v>
      </c>
      <c r="G315" s="19"/>
      <c r="H315" s="19"/>
      <c r="I315" s="19"/>
      <c r="J315" s="19"/>
      <c r="K315" s="19"/>
    </row>
    <row r="316" spans="1:11">
      <c r="A316" s="91">
        <v>314</v>
      </c>
      <c r="B316" s="91">
        <v>314</v>
      </c>
      <c r="C316" s="91"/>
      <c r="D316" s="91">
        <v>2046</v>
      </c>
      <c r="E316" s="19" t="s">
        <v>1821</v>
      </c>
      <c r="F316" s="19" t="e">
        <f>_xlfn.XLOOKUP(batch_works35[[#This Row],[description]],Table14[name],Table14[id])</f>
        <v>#N/A</v>
      </c>
      <c r="G316" s="19"/>
      <c r="H316" s="19"/>
      <c r="I316" s="19"/>
      <c r="J316" s="19"/>
      <c r="K316" s="19"/>
    </row>
    <row r="317" spans="1:11">
      <c r="A317" s="91">
        <v>315</v>
      </c>
      <c r="B317" s="91">
        <v>315</v>
      </c>
      <c r="C317" s="91"/>
      <c r="D317" s="91">
        <v>2047</v>
      </c>
      <c r="E317" s="19" t="s">
        <v>1830</v>
      </c>
      <c r="F317" s="19" t="e">
        <f>_xlfn.XLOOKUP(batch_works35[[#This Row],[description]],Table14[name],Table14[id])</f>
        <v>#N/A</v>
      </c>
      <c r="G317" s="19"/>
      <c r="H317" s="19"/>
      <c r="I317" s="19"/>
      <c r="J317" s="19"/>
      <c r="K317" s="19"/>
    </row>
    <row r="318" spans="1:11">
      <c r="A318" s="91">
        <v>316</v>
      </c>
      <c r="B318" s="91">
        <v>316</v>
      </c>
      <c r="C318" s="91"/>
      <c r="D318" s="91">
        <v>2050</v>
      </c>
      <c r="E318" s="19" t="s">
        <v>1513</v>
      </c>
      <c r="F318" s="19">
        <f>_xlfn.XLOOKUP(batch_works35[[#This Row],[description]],Table14[name],Table14[id])</f>
        <v>18</v>
      </c>
      <c r="G318" s="19"/>
      <c r="H318" s="19"/>
      <c r="I318" s="19"/>
      <c r="J318" s="19"/>
      <c r="K318" s="19"/>
    </row>
    <row r="319" spans="1:11">
      <c r="A319" s="91">
        <v>317</v>
      </c>
      <c r="B319" s="91">
        <v>317</v>
      </c>
      <c r="C319" s="91"/>
      <c r="D319" s="91">
        <v>2050</v>
      </c>
      <c r="E319" s="19" t="s">
        <v>1513</v>
      </c>
      <c r="F319" s="19">
        <f>_xlfn.XLOOKUP(batch_works35[[#This Row],[description]],Table14[name],Table14[id])</f>
        <v>18</v>
      </c>
      <c r="G319" s="19"/>
      <c r="H319" s="19"/>
      <c r="I319" s="19"/>
      <c r="J319" s="19"/>
      <c r="K319" s="19"/>
    </row>
    <row r="320" spans="1:11">
      <c r="A320" s="91">
        <v>318</v>
      </c>
      <c r="B320" s="91">
        <v>318</v>
      </c>
      <c r="C320" s="91"/>
      <c r="D320" s="91">
        <v>2050</v>
      </c>
      <c r="E320" s="19" t="s">
        <v>1830</v>
      </c>
      <c r="F320" s="19" t="e">
        <f>_xlfn.XLOOKUP(batch_works35[[#This Row],[description]],Table14[name],Table14[id])</f>
        <v>#N/A</v>
      </c>
      <c r="G320" s="19"/>
      <c r="H320" s="19"/>
      <c r="I320" s="19"/>
      <c r="J320" s="19"/>
      <c r="K320" s="19"/>
    </row>
    <row r="321" spans="1:11">
      <c r="A321" s="91">
        <v>319</v>
      </c>
      <c r="B321" s="91">
        <v>319</v>
      </c>
      <c r="C321" s="91"/>
      <c r="D321" s="91">
        <v>2051</v>
      </c>
      <c r="E321" s="19" t="s">
        <v>1513</v>
      </c>
      <c r="F321" s="19">
        <f>_xlfn.XLOOKUP(batch_works35[[#This Row],[description]],Table14[name],Table14[id])</f>
        <v>18</v>
      </c>
      <c r="G321" s="19"/>
      <c r="H321" s="19"/>
      <c r="I321" s="19"/>
      <c r="J321" s="19"/>
      <c r="K321" s="19"/>
    </row>
    <row r="322" spans="1:11">
      <c r="A322" s="91">
        <v>320</v>
      </c>
      <c r="B322" s="91">
        <v>320</v>
      </c>
      <c r="C322" s="91"/>
      <c r="D322" s="91">
        <v>2051</v>
      </c>
      <c r="E322" s="19" t="s">
        <v>1513</v>
      </c>
      <c r="F322" s="19">
        <f>_xlfn.XLOOKUP(batch_works35[[#This Row],[description]],Table14[name],Table14[id])</f>
        <v>18</v>
      </c>
      <c r="G322" s="19"/>
      <c r="H322" s="19"/>
      <c r="I322" s="19"/>
      <c r="J322" s="19"/>
      <c r="K322" s="19"/>
    </row>
    <row r="323" spans="1:11">
      <c r="A323" s="91">
        <v>321</v>
      </c>
      <c r="B323" s="91">
        <v>321</v>
      </c>
      <c r="C323" s="91"/>
      <c r="D323" s="91">
        <v>2051</v>
      </c>
      <c r="E323" s="19" t="s">
        <v>1830</v>
      </c>
      <c r="F323" s="19" t="e">
        <f>_xlfn.XLOOKUP(batch_works35[[#This Row],[description]],Table14[name],Table14[id])</f>
        <v>#N/A</v>
      </c>
      <c r="G323" s="19"/>
      <c r="H323" s="19"/>
      <c r="I323" s="19"/>
      <c r="J323" s="19"/>
      <c r="K323" s="19"/>
    </row>
    <row r="324" spans="1:11">
      <c r="A324" s="91">
        <v>322</v>
      </c>
      <c r="B324" s="91">
        <v>322</v>
      </c>
      <c r="C324" s="91"/>
      <c r="D324" s="91">
        <v>2051</v>
      </c>
      <c r="E324" s="19" t="s">
        <v>1826</v>
      </c>
      <c r="F324" s="19" t="e">
        <f>_xlfn.XLOOKUP(batch_works35[[#This Row],[description]],Table14[name],Table14[id])</f>
        <v>#N/A</v>
      </c>
      <c r="G324" s="19"/>
      <c r="H324" s="19"/>
      <c r="I324" s="19"/>
      <c r="J324" s="19"/>
      <c r="K324" s="19"/>
    </row>
    <row r="325" spans="1:11">
      <c r="A325" s="91">
        <v>323</v>
      </c>
      <c r="B325" s="91">
        <v>323</v>
      </c>
      <c r="C325" s="91"/>
      <c r="D325" s="91">
        <v>2052</v>
      </c>
      <c r="E325" s="19" t="s">
        <v>1828</v>
      </c>
      <c r="F325" s="19" t="e">
        <f>_xlfn.XLOOKUP(batch_works35[[#This Row],[description]],Table14[name],Table14[id])</f>
        <v>#N/A</v>
      </c>
      <c r="G325" s="19"/>
      <c r="H325" s="19"/>
      <c r="I325" s="19"/>
      <c r="J325" s="19"/>
      <c r="K325" s="19"/>
    </row>
    <row r="326" spans="1:11">
      <c r="A326" s="91">
        <v>324</v>
      </c>
      <c r="B326" s="91">
        <v>324</v>
      </c>
      <c r="C326" s="91"/>
      <c r="D326" s="91">
        <v>2053</v>
      </c>
      <c r="E326" s="19" t="s">
        <v>1513</v>
      </c>
      <c r="F326" s="19">
        <f>_xlfn.XLOOKUP(batch_works35[[#This Row],[description]],Table14[name],Table14[id])</f>
        <v>18</v>
      </c>
      <c r="G326" s="19"/>
      <c r="H326" s="19"/>
      <c r="I326" s="19"/>
      <c r="J326" s="19"/>
      <c r="K326" s="19"/>
    </row>
    <row r="327" spans="1:11">
      <c r="A327" s="91">
        <v>325</v>
      </c>
      <c r="B327" s="91">
        <v>325</v>
      </c>
      <c r="C327" s="91"/>
      <c r="D327" s="91">
        <v>2053</v>
      </c>
      <c r="E327" s="19" t="s">
        <v>1830</v>
      </c>
      <c r="F327" s="19" t="e">
        <f>_xlfn.XLOOKUP(batch_works35[[#This Row],[description]],Table14[name],Table14[id])</f>
        <v>#N/A</v>
      </c>
      <c r="G327" s="19"/>
      <c r="H327" s="19"/>
      <c r="I327" s="19"/>
      <c r="J327" s="19"/>
      <c r="K327" s="19"/>
    </row>
    <row r="328" spans="1:11">
      <c r="A328" s="91">
        <v>326</v>
      </c>
      <c r="B328" s="91">
        <v>326</v>
      </c>
      <c r="C328" s="91"/>
      <c r="D328" s="91">
        <v>2053</v>
      </c>
      <c r="E328" s="19" t="s">
        <v>1826</v>
      </c>
      <c r="F328" s="19" t="e">
        <f>_xlfn.XLOOKUP(batch_works35[[#This Row],[description]],Table14[name],Table14[id])</f>
        <v>#N/A</v>
      </c>
      <c r="G328" s="19"/>
      <c r="H328" s="19"/>
      <c r="I328" s="19"/>
      <c r="J328" s="19"/>
      <c r="K328" s="19"/>
    </row>
    <row r="329" spans="1:11">
      <c r="A329" s="91">
        <v>327</v>
      </c>
      <c r="B329" s="91">
        <v>327</v>
      </c>
      <c r="C329" s="91"/>
      <c r="D329" s="91">
        <v>2055</v>
      </c>
      <c r="E329" s="19" t="s">
        <v>1561</v>
      </c>
      <c r="F329" s="19">
        <f>_xlfn.XLOOKUP(batch_works35[[#This Row],[description]],Table14[name],Table14[id])</f>
        <v>30</v>
      </c>
      <c r="G329" s="19"/>
      <c r="H329" s="19"/>
      <c r="I329" s="19"/>
      <c r="J329" s="19"/>
      <c r="K329" s="19"/>
    </row>
    <row r="330" spans="1:11">
      <c r="A330" s="91">
        <v>328</v>
      </c>
      <c r="B330" s="91">
        <v>328</v>
      </c>
      <c r="C330" s="91"/>
      <c r="D330" s="91">
        <v>2055</v>
      </c>
      <c r="E330" s="19" t="s">
        <v>1819</v>
      </c>
      <c r="F330" s="19" t="e">
        <f>_xlfn.XLOOKUP(batch_works35[[#This Row],[description]],Table14[name],Table14[id])</f>
        <v>#N/A</v>
      </c>
      <c r="G330" s="19"/>
      <c r="H330" s="19"/>
      <c r="I330" s="19"/>
      <c r="J330" s="19"/>
      <c r="K330" s="19"/>
    </row>
    <row r="331" spans="1:11">
      <c r="A331" s="91">
        <v>329</v>
      </c>
      <c r="B331" s="91">
        <v>329</v>
      </c>
      <c r="C331" s="91"/>
      <c r="D331" s="91">
        <v>2058</v>
      </c>
      <c r="E331" s="19" t="s">
        <v>1823</v>
      </c>
      <c r="F331" s="19" t="e">
        <f>_xlfn.XLOOKUP(batch_works35[[#This Row],[description]],Table14[name],Table14[id])</f>
        <v>#N/A</v>
      </c>
      <c r="G331" s="19"/>
      <c r="H331" s="19"/>
      <c r="I331" s="19"/>
      <c r="J331" s="19"/>
      <c r="K331" s="19"/>
    </row>
    <row r="332" spans="1:11">
      <c r="A332" s="91">
        <v>330</v>
      </c>
      <c r="B332" s="91">
        <v>330</v>
      </c>
      <c r="C332" s="91"/>
      <c r="D332" s="91">
        <v>2058</v>
      </c>
      <c r="E332" s="19" t="s">
        <v>1829</v>
      </c>
      <c r="F332" s="19" t="e">
        <f>_xlfn.XLOOKUP(batch_works35[[#This Row],[description]],Table14[name],Table14[id])</f>
        <v>#N/A</v>
      </c>
      <c r="G332" s="19"/>
      <c r="H332" s="19"/>
      <c r="I332" s="19"/>
      <c r="J332" s="19"/>
      <c r="K332" s="19"/>
    </row>
    <row r="333" spans="1:11">
      <c r="A333" s="91">
        <v>331</v>
      </c>
      <c r="B333" s="91">
        <v>331</v>
      </c>
      <c r="C333" s="91"/>
      <c r="D333" s="91">
        <v>2060</v>
      </c>
      <c r="E333" s="19" t="s">
        <v>1834</v>
      </c>
      <c r="F333" s="19" t="e">
        <f>_xlfn.XLOOKUP(batch_works35[[#This Row],[description]],Table14[name],Table14[id])</f>
        <v>#N/A</v>
      </c>
      <c r="G333" s="19"/>
      <c r="H333" s="19"/>
      <c r="I333" s="19"/>
      <c r="J333" s="19"/>
      <c r="K333" s="19"/>
    </row>
    <row r="334" spans="1:11">
      <c r="A334" s="91">
        <v>332</v>
      </c>
      <c r="B334" s="91">
        <v>332</v>
      </c>
      <c r="C334" s="91"/>
      <c r="D334" s="91">
        <v>2061</v>
      </c>
      <c r="E334" s="19" t="s">
        <v>1833</v>
      </c>
      <c r="F334" s="19" t="e">
        <f>_xlfn.XLOOKUP(batch_works35[[#This Row],[description]],Table14[name],Table14[id])</f>
        <v>#N/A</v>
      </c>
      <c r="G334" s="19"/>
      <c r="H334" s="19"/>
      <c r="I334" s="19"/>
      <c r="J334" s="19"/>
      <c r="K334" s="19"/>
    </row>
    <row r="335" spans="1:11">
      <c r="A335" s="91">
        <v>333</v>
      </c>
      <c r="B335" s="91">
        <v>333</v>
      </c>
      <c r="C335" s="91"/>
      <c r="D335" s="91">
        <v>2062</v>
      </c>
      <c r="E335" s="19" t="s">
        <v>1531</v>
      </c>
      <c r="F335" s="19">
        <f>_xlfn.XLOOKUP(batch_works35[[#This Row],[description]],Table14[name],Table14[id])</f>
        <v>11</v>
      </c>
      <c r="G335" s="19"/>
      <c r="H335" s="19"/>
      <c r="I335" s="19"/>
      <c r="J335" s="19"/>
      <c r="K335" s="19"/>
    </row>
    <row r="336" spans="1:11">
      <c r="A336" s="91">
        <v>334</v>
      </c>
      <c r="B336" s="91">
        <v>334</v>
      </c>
      <c r="C336" s="91"/>
      <c r="D336" s="91">
        <v>2062</v>
      </c>
      <c r="E336" s="19" t="s">
        <v>1830</v>
      </c>
      <c r="F336" s="19" t="e">
        <f>_xlfn.XLOOKUP(batch_works35[[#This Row],[description]],Table14[name],Table14[id])</f>
        <v>#N/A</v>
      </c>
      <c r="G336" s="19"/>
      <c r="H336" s="19"/>
      <c r="I336" s="19"/>
      <c r="J336" s="19"/>
      <c r="K336" s="19"/>
    </row>
    <row r="337" spans="1:11">
      <c r="A337" s="91">
        <v>335</v>
      </c>
      <c r="B337" s="91">
        <v>335</v>
      </c>
      <c r="C337" s="91"/>
      <c r="D337" s="91">
        <v>2062</v>
      </c>
      <c r="E337" s="19" t="s">
        <v>1833</v>
      </c>
      <c r="F337" s="19" t="e">
        <f>_xlfn.XLOOKUP(batch_works35[[#This Row],[description]],Table14[name],Table14[id])</f>
        <v>#N/A</v>
      </c>
      <c r="G337" s="19"/>
      <c r="H337" s="19"/>
      <c r="I337" s="19"/>
      <c r="J337" s="19"/>
      <c r="K337" s="19"/>
    </row>
    <row r="338" spans="1:11">
      <c r="A338" s="91">
        <v>336</v>
      </c>
      <c r="B338" s="91">
        <v>336</v>
      </c>
      <c r="C338" s="91"/>
      <c r="D338" s="91">
        <v>2063</v>
      </c>
      <c r="E338" s="19" t="s">
        <v>1531</v>
      </c>
      <c r="F338" s="19">
        <f>_xlfn.XLOOKUP(batch_works35[[#This Row],[description]],Table14[name],Table14[id])</f>
        <v>11</v>
      </c>
      <c r="G338" s="19"/>
      <c r="H338" s="19"/>
      <c r="I338" s="19"/>
      <c r="J338" s="19"/>
      <c r="K338" s="19"/>
    </row>
    <row r="339" spans="1:11">
      <c r="A339" s="91">
        <v>337</v>
      </c>
      <c r="B339" s="91">
        <v>337</v>
      </c>
      <c r="C339" s="91"/>
      <c r="D339" s="91">
        <v>2063</v>
      </c>
      <c r="E339" s="19" t="s">
        <v>1825</v>
      </c>
      <c r="F339" s="19" t="e">
        <f>_xlfn.XLOOKUP(batch_works35[[#This Row],[description]],Table14[name],Table14[id])</f>
        <v>#N/A</v>
      </c>
      <c r="G339" s="19"/>
      <c r="H339" s="19"/>
      <c r="I339" s="19"/>
      <c r="J339" s="19"/>
      <c r="K339" s="19"/>
    </row>
    <row r="340" spans="1:11">
      <c r="A340" s="91">
        <v>338</v>
      </c>
      <c r="B340" s="91">
        <v>338</v>
      </c>
      <c r="C340" s="91"/>
      <c r="D340" s="91">
        <v>2063</v>
      </c>
      <c r="E340" s="19" t="s">
        <v>1833</v>
      </c>
      <c r="F340" s="19" t="e">
        <f>_xlfn.XLOOKUP(batch_works35[[#This Row],[description]],Table14[name],Table14[id])</f>
        <v>#N/A</v>
      </c>
      <c r="G340" s="19"/>
      <c r="H340" s="19"/>
      <c r="I340" s="19"/>
      <c r="J340" s="19"/>
      <c r="K340" s="19"/>
    </row>
    <row r="341" spans="1:11">
      <c r="A341" s="91">
        <v>339</v>
      </c>
      <c r="B341" s="91">
        <v>339</v>
      </c>
      <c r="C341" s="91"/>
      <c r="D341" s="91">
        <v>2063</v>
      </c>
      <c r="E341" s="19" t="s">
        <v>1828</v>
      </c>
      <c r="F341" s="19" t="e">
        <f>_xlfn.XLOOKUP(batch_works35[[#This Row],[description]],Table14[name],Table14[id])</f>
        <v>#N/A</v>
      </c>
      <c r="G341" s="19"/>
      <c r="H341" s="19"/>
      <c r="I341" s="19"/>
      <c r="J341" s="19"/>
      <c r="K341" s="19"/>
    </row>
    <row r="342" spans="1:11">
      <c r="A342" s="91">
        <v>340</v>
      </c>
      <c r="B342" s="91">
        <v>340</v>
      </c>
      <c r="C342" s="91"/>
      <c r="D342" s="91">
        <v>2063</v>
      </c>
      <c r="E342" s="19" t="s">
        <v>1835</v>
      </c>
      <c r="F342" s="19" t="e">
        <f>_xlfn.XLOOKUP(batch_works35[[#This Row],[description]],Table14[name],Table14[id])</f>
        <v>#N/A</v>
      </c>
      <c r="G342" s="19"/>
      <c r="H342" s="19"/>
      <c r="I342" s="19"/>
      <c r="J342" s="19"/>
      <c r="K342" s="19"/>
    </row>
    <row r="343" spans="1:11">
      <c r="A343" s="91">
        <v>341</v>
      </c>
      <c r="B343" s="91">
        <v>341</v>
      </c>
      <c r="C343" s="91"/>
      <c r="D343" s="91">
        <v>2063</v>
      </c>
      <c r="E343" s="19" t="s">
        <v>1834</v>
      </c>
      <c r="F343" s="19" t="e">
        <f>_xlfn.XLOOKUP(batch_works35[[#This Row],[description]],Table14[name],Table14[id])</f>
        <v>#N/A</v>
      </c>
      <c r="G343" s="19"/>
      <c r="H343" s="19"/>
      <c r="I343" s="19"/>
      <c r="J343" s="19"/>
      <c r="K343" s="19"/>
    </row>
    <row r="344" spans="1:11">
      <c r="A344" s="91">
        <v>342</v>
      </c>
      <c r="B344" s="91">
        <v>342</v>
      </c>
      <c r="C344" s="91"/>
      <c r="D344" s="91">
        <v>2064</v>
      </c>
      <c r="E344" s="19" t="s">
        <v>1531</v>
      </c>
      <c r="F344" s="19">
        <f>_xlfn.XLOOKUP(batch_works35[[#This Row],[description]],Table14[name],Table14[id])</f>
        <v>11</v>
      </c>
      <c r="G344" s="19"/>
      <c r="H344" s="19"/>
      <c r="I344" s="19"/>
      <c r="J344" s="19"/>
      <c r="K344" s="19"/>
    </row>
    <row r="345" spans="1:11">
      <c r="A345" s="91">
        <v>343</v>
      </c>
      <c r="B345" s="91">
        <v>343</v>
      </c>
      <c r="C345" s="91"/>
      <c r="D345" s="91">
        <v>2064</v>
      </c>
      <c r="E345" s="19" t="s">
        <v>1827</v>
      </c>
      <c r="F345" s="19" t="e">
        <f>_xlfn.XLOOKUP(batch_works35[[#This Row],[description]],Table14[name],Table14[id])</f>
        <v>#N/A</v>
      </c>
      <c r="G345" s="19"/>
      <c r="H345" s="19"/>
      <c r="I345" s="19"/>
      <c r="J345" s="19"/>
      <c r="K345" s="19"/>
    </row>
    <row r="346" spans="1:11">
      <c r="A346" s="91">
        <v>344</v>
      </c>
      <c r="B346" s="91">
        <v>344</v>
      </c>
      <c r="C346" s="91"/>
      <c r="D346" s="91">
        <v>2064</v>
      </c>
      <c r="E346" s="19" t="s">
        <v>1825</v>
      </c>
      <c r="F346" s="19" t="e">
        <f>_xlfn.XLOOKUP(batch_works35[[#This Row],[description]],Table14[name],Table14[id])</f>
        <v>#N/A</v>
      </c>
      <c r="G346" s="19"/>
      <c r="H346" s="19"/>
      <c r="I346" s="19"/>
      <c r="J346" s="19"/>
      <c r="K346" s="19"/>
    </row>
    <row r="347" spans="1:11">
      <c r="A347" s="91">
        <v>345</v>
      </c>
      <c r="B347" s="91">
        <v>345</v>
      </c>
      <c r="C347" s="91"/>
      <c r="D347" s="91">
        <v>2064</v>
      </c>
      <c r="E347" s="19" t="s">
        <v>1833</v>
      </c>
      <c r="F347" s="19" t="e">
        <f>_xlfn.XLOOKUP(batch_works35[[#This Row],[description]],Table14[name],Table14[id])</f>
        <v>#N/A</v>
      </c>
      <c r="G347" s="19"/>
      <c r="H347" s="19"/>
      <c r="I347" s="19"/>
      <c r="J347" s="19"/>
      <c r="K347" s="19"/>
    </row>
    <row r="348" spans="1:11">
      <c r="A348" s="91">
        <v>346</v>
      </c>
      <c r="B348" s="91">
        <v>346</v>
      </c>
      <c r="C348" s="91"/>
      <c r="D348" s="91">
        <v>2064</v>
      </c>
      <c r="E348" s="19" t="s">
        <v>1836</v>
      </c>
      <c r="F348" s="19" t="e">
        <f>_xlfn.XLOOKUP(batch_works35[[#This Row],[description]],Table14[name],Table14[id])</f>
        <v>#N/A</v>
      </c>
      <c r="G348" s="19"/>
      <c r="H348" s="19"/>
      <c r="I348" s="19"/>
      <c r="J348" s="19"/>
      <c r="K348" s="19"/>
    </row>
    <row r="349" spans="1:11">
      <c r="A349" s="91">
        <v>347</v>
      </c>
      <c r="B349" s="91">
        <v>347</v>
      </c>
      <c r="C349" s="91"/>
      <c r="D349" s="91">
        <v>2064</v>
      </c>
      <c r="E349" s="19" t="s">
        <v>1828</v>
      </c>
      <c r="F349" s="19" t="e">
        <f>_xlfn.XLOOKUP(batch_works35[[#This Row],[description]],Table14[name],Table14[id])</f>
        <v>#N/A</v>
      </c>
      <c r="G349" s="19"/>
      <c r="H349" s="19"/>
      <c r="I349" s="19"/>
      <c r="J349" s="19"/>
      <c r="K349" s="19"/>
    </row>
    <row r="350" spans="1:11">
      <c r="A350" s="91">
        <v>348</v>
      </c>
      <c r="B350" s="91">
        <v>348</v>
      </c>
      <c r="C350" s="91"/>
      <c r="D350" s="91">
        <v>2064</v>
      </c>
      <c r="E350" s="19" t="s">
        <v>1834</v>
      </c>
      <c r="F350" s="19" t="e">
        <f>_xlfn.XLOOKUP(batch_works35[[#This Row],[description]],Table14[name],Table14[id])</f>
        <v>#N/A</v>
      </c>
      <c r="G350" s="19"/>
      <c r="H350" s="19"/>
      <c r="I350" s="19"/>
      <c r="J350" s="19"/>
      <c r="K350" s="19"/>
    </row>
    <row r="351" spans="1:11">
      <c r="A351" s="91">
        <v>349</v>
      </c>
      <c r="B351" s="91">
        <v>349</v>
      </c>
      <c r="C351" s="91"/>
      <c r="D351" s="91">
        <v>2065</v>
      </c>
      <c r="E351" s="19" t="s">
        <v>1531</v>
      </c>
      <c r="F351" s="19">
        <f>_xlfn.XLOOKUP(batch_works35[[#This Row],[description]],Table14[name],Table14[id])</f>
        <v>11</v>
      </c>
      <c r="G351" s="19"/>
      <c r="H351" s="19"/>
      <c r="I351" s="19"/>
      <c r="J351" s="19"/>
      <c r="K351" s="19"/>
    </row>
    <row r="352" spans="1:11">
      <c r="A352" s="91">
        <v>350</v>
      </c>
      <c r="B352" s="91">
        <v>350</v>
      </c>
      <c r="C352" s="91"/>
      <c r="D352" s="91">
        <v>2065</v>
      </c>
      <c r="E352" s="19" t="s">
        <v>1833</v>
      </c>
      <c r="F352" s="19" t="e">
        <f>_xlfn.XLOOKUP(batch_works35[[#This Row],[description]],Table14[name],Table14[id])</f>
        <v>#N/A</v>
      </c>
      <c r="G352" s="19"/>
      <c r="H352" s="19"/>
      <c r="I352" s="19"/>
      <c r="J352" s="19"/>
      <c r="K352" s="19"/>
    </row>
    <row r="353" spans="1:11">
      <c r="A353" s="91">
        <v>351</v>
      </c>
      <c r="B353" s="91">
        <v>351</v>
      </c>
      <c r="C353" s="91"/>
      <c r="D353" s="91">
        <v>2065</v>
      </c>
      <c r="E353" s="19" t="s">
        <v>1828</v>
      </c>
      <c r="F353" s="19" t="e">
        <f>_xlfn.XLOOKUP(batch_works35[[#This Row],[description]],Table14[name],Table14[id])</f>
        <v>#N/A</v>
      </c>
      <c r="G353" s="19"/>
      <c r="H353" s="19"/>
      <c r="I353" s="19"/>
      <c r="J353" s="19"/>
      <c r="K353" s="19"/>
    </row>
    <row r="354" spans="1:11">
      <c r="A354" s="91">
        <v>352</v>
      </c>
      <c r="B354" s="91">
        <v>352</v>
      </c>
      <c r="C354" s="91"/>
      <c r="D354" s="91">
        <v>2065</v>
      </c>
      <c r="E354" s="19" t="s">
        <v>1834</v>
      </c>
      <c r="F354" s="19" t="e">
        <f>_xlfn.XLOOKUP(batch_works35[[#This Row],[description]],Table14[name],Table14[id])</f>
        <v>#N/A</v>
      </c>
      <c r="G354" s="19"/>
      <c r="H354" s="19"/>
      <c r="I354" s="19"/>
      <c r="J354" s="19"/>
      <c r="K354" s="19"/>
    </row>
    <row r="355" spans="1:11">
      <c r="A355" s="91">
        <v>353</v>
      </c>
      <c r="B355" s="91">
        <v>353</v>
      </c>
      <c r="C355" s="91"/>
      <c r="D355" s="91">
        <v>2066</v>
      </c>
      <c r="E355" s="19" t="s">
        <v>1531</v>
      </c>
      <c r="F355" s="19">
        <f>_xlfn.XLOOKUP(batch_works35[[#This Row],[description]],Table14[name],Table14[id])</f>
        <v>11</v>
      </c>
      <c r="G355" s="19"/>
      <c r="H355" s="19"/>
      <c r="I355" s="19"/>
      <c r="J355" s="19"/>
      <c r="K355" s="19"/>
    </row>
    <row r="356" spans="1:11">
      <c r="A356" s="91">
        <v>354</v>
      </c>
      <c r="B356" s="91">
        <v>354</v>
      </c>
      <c r="C356" s="91"/>
      <c r="D356" s="91">
        <v>2066</v>
      </c>
      <c r="E356" s="19" t="s">
        <v>1827</v>
      </c>
      <c r="F356" s="19" t="e">
        <f>_xlfn.XLOOKUP(batch_works35[[#This Row],[description]],Table14[name],Table14[id])</f>
        <v>#N/A</v>
      </c>
      <c r="G356" s="19"/>
      <c r="H356" s="19"/>
      <c r="I356" s="19"/>
      <c r="J356" s="19"/>
      <c r="K356" s="19"/>
    </row>
    <row r="357" spans="1:11">
      <c r="A357" s="91">
        <v>355</v>
      </c>
      <c r="B357" s="91">
        <v>355</v>
      </c>
      <c r="C357" s="91"/>
      <c r="D357" s="91">
        <v>2066</v>
      </c>
      <c r="E357" s="19" t="s">
        <v>1833</v>
      </c>
      <c r="F357" s="19" t="e">
        <f>_xlfn.XLOOKUP(batch_works35[[#This Row],[description]],Table14[name],Table14[id])</f>
        <v>#N/A</v>
      </c>
      <c r="G357" s="19"/>
      <c r="H357" s="19"/>
      <c r="I357" s="19"/>
      <c r="J357" s="19"/>
      <c r="K357" s="19"/>
    </row>
    <row r="358" spans="1:11">
      <c r="A358" s="91">
        <v>356</v>
      </c>
      <c r="B358" s="91">
        <v>356</v>
      </c>
      <c r="C358" s="91"/>
      <c r="D358" s="91">
        <v>2066</v>
      </c>
      <c r="E358" s="19" t="s">
        <v>1828</v>
      </c>
      <c r="F358" s="19" t="e">
        <f>_xlfn.XLOOKUP(batch_works35[[#This Row],[description]],Table14[name],Table14[id])</f>
        <v>#N/A</v>
      </c>
      <c r="G358" s="19"/>
      <c r="H358" s="19"/>
      <c r="I358" s="19"/>
      <c r="J358" s="19"/>
      <c r="K358" s="19"/>
    </row>
    <row r="359" spans="1:11">
      <c r="A359" s="91">
        <v>357</v>
      </c>
      <c r="B359" s="91">
        <v>357</v>
      </c>
      <c r="C359" s="91"/>
      <c r="D359" s="91">
        <v>2067</v>
      </c>
      <c r="E359" s="19" t="s">
        <v>1531</v>
      </c>
      <c r="F359" s="19">
        <f>_xlfn.XLOOKUP(batch_works35[[#This Row],[description]],Table14[name],Table14[id])</f>
        <v>11</v>
      </c>
      <c r="G359" s="19"/>
      <c r="H359" s="19"/>
      <c r="I359" s="19"/>
      <c r="J359" s="19"/>
      <c r="K359" s="19"/>
    </row>
    <row r="360" spans="1:11">
      <c r="A360" s="91">
        <v>358</v>
      </c>
      <c r="B360" s="91">
        <v>358</v>
      </c>
      <c r="C360" s="91"/>
      <c r="D360" s="91">
        <v>2067</v>
      </c>
      <c r="E360" s="19" t="s">
        <v>1827</v>
      </c>
      <c r="F360" s="19" t="e">
        <f>_xlfn.XLOOKUP(batch_works35[[#This Row],[description]],Table14[name],Table14[id])</f>
        <v>#N/A</v>
      </c>
      <c r="G360" s="19"/>
      <c r="H360" s="19"/>
      <c r="I360" s="19"/>
      <c r="J360" s="19"/>
      <c r="K360" s="19"/>
    </row>
    <row r="361" spans="1:11">
      <c r="A361" s="91">
        <v>359</v>
      </c>
      <c r="B361" s="91">
        <v>359</v>
      </c>
      <c r="C361" s="91"/>
      <c r="D361" s="91">
        <v>2067</v>
      </c>
      <c r="E361" s="19" t="s">
        <v>1833</v>
      </c>
      <c r="F361" s="19" t="e">
        <f>_xlfn.XLOOKUP(batch_works35[[#This Row],[description]],Table14[name],Table14[id])</f>
        <v>#N/A</v>
      </c>
      <c r="G361" s="19"/>
      <c r="H361" s="19"/>
      <c r="I361" s="19"/>
      <c r="J361" s="19"/>
      <c r="K361" s="19"/>
    </row>
    <row r="362" spans="1:11">
      <c r="A362" s="91">
        <v>360</v>
      </c>
      <c r="B362" s="91">
        <v>360</v>
      </c>
      <c r="C362" s="91"/>
      <c r="D362" s="91">
        <v>2067</v>
      </c>
      <c r="E362" s="19" t="s">
        <v>1836</v>
      </c>
      <c r="F362" s="19" t="e">
        <f>_xlfn.XLOOKUP(batch_works35[[#This Row],[description]],Table14[name],Table14[id])</f>
        <v>#N/A</v>
      </c>
      <c r="G362" s="19"/>
      <c r="H362" s="19"/>
      <c r="I362" s="19"/>
      <c r="J362" s="19"/>
      <c r="K362" s="19"/>
    </row>
    <row r="363" spans="1:11">
      <c r="A363" s="91">
        <v>361</v>
      </c>
      <c r="B363" s="91">
        <v>361</v>
      </c>
      <c r="C363" s="91"/>
      <c r="D363" s="91">
        <v>2067</v>
      </c>
      <c r="E363" s="19" t="s">
        <v>1828</v>
      </c>
      <c r="F363" s="19" t="e">
        <f>_xlfn.XLOOKUP(batch_works35[[#This Row],[description]],Table14[name],Table14[id])</f>
        <v>#N/A</v>
      </c>
      <c r="G363" s="19"/>
      <c r="H363" s="19"/>
      <c r="I363" s="19"/>
      <c r="J363" s="19"/>
      <c r="K363" s="19"/>
    </row>
    <row r="364" spans="1:11">
      <c r="A364" s="91">
        <v>362</v>
      </c>
      <c r="B364" s="91">
        <v>362</v>
      </c>
      <c r="C364" s="91"/>
      <c r="D364" s="91">
        <v>2067</v>
      </c>
      <c r="E364" s="19" t="s">
        <v>1834</v>
      </c>
      <c r="F364" s="19" t="e">
        <f>_xlfn.XLOOKUP(batch_works35[[#This Row],[description]],Table14[name],Table14[id])</f>
        <v>#N/A</v>
      </c>
      <c r="G364" s="19"/>
      <c r="H364" s="19"/>
      <c r="I364" s="19"/>
      <c r="J364" s="19"/>
      <c r="K364" s="19"/>
    </row>
    <row r="365" spans="1:11">
      <c r="A365" s="91">
        <v>363</v>
      </c>
      <c r="B365" s="91">
        <v>363</v>
      </c>
      <c r="C365" s="91"/>
      <c r="D365" s="91">
        <v>2068</v>
      </c>
      <c r="E365" s="19" t="s">
        <v>1531</v>
      </c>
      <c r="F365" s="19">
        <f>_xlfn.XLOOKUP(batch_works35[[#This Row],[description]],Table14[name],Table14[id])</f>
        <v>11</v>
      </c>
      <c r="G365" s="19"/>
      <c r="H365" s="19"/>
      <c r="I365" s="19"/>
      <c r="J365" s="19"/>
      <c r="K365" s="19"/>
    </row>
    <row r="366" spans="1:11">
      <c r="A366" s="91">
        <v>364</v>
      </c>
      <c r="B366" s="91">
        <v>364</v>
      </c>
      <c r="C366" s="91"/>
      <c r="D366" s="91">
        <v>2068</v>
      </c>
      <c r="E366" s="19" t="s">
        <v>1827</v>
      </c>
      <c r="F366" s="19" t="e">
        <f>_xlfn.XLOOKUP(batch_works35[[#This Row],[description]],Table14[name],Table14[id])</f>
        <v>#N/A</v>
      </c>
      <c r="G366" s="19"/>
      <c r="H366" s="19"/>
      <c r="I366" s="19"/>
      <c r="J366" s="19"/>
      <c r="K366" s="19"/>
    </row>
    <row r="367" spans="1:11">
      <c r="A367" s="91">
        <v>365</v>
      </c>
      <c r="B367" s="91">
        <v>365</v>
      </c>
      <c r="C367" s="91"/>
      <c r="D367" s="91">
        <v>2068</v>
      </c>
      <c r="E367" s="19" t="s">
        <v>1825</v>
      </c>
      <c r="F367" s="19" t="e">
        <f>_xlfn.XLOOKUP(batch_works35[[#This Row],[description]],Table14[name],Table14[id])</f>
        <v>#N/A</v>
      </c>
      <c r="G367" s="19"/>
      <c r="H367" s="19"/>
      <c r="I367" s="19"/>
      <c r="J367" s="19"/>
      <c r="K367" s="19"/>
    </row>
    <row r="368" spans="1:11">
      <c r="A368" s="91">
        <v>366</v>
      </c>
      <c r="B368" s="91">
        <v>366</v>
      </c>
      <c r="C368" s="91"/>
      <c r="D368" s="91">
        <v>2068</v>
      </c>
      <c r="E368" s="19" t="s">
        <v>1833</v>
      </c>
      <c r="F368" s="19" t="e">
        <f>_xlfn.XLOOKUP(batch_works35[[#This Row],[description]],Table14[name],Table14[id])</f>
        <v>#N/A</v>
      </c>
      <c r="G368" s="19"/>
      <c r="H368" s="19"/>
      <c r="I368" s="19"/>
      <c r="J368" s="19"/>
      <c r="K368" s="19"/>
    </row>
    <row r="369" spans="1:11">
      <c r="A369" s="91">
        <v>367</v>
      </c>
      <c r="B369" s="91">
        <v>367</v>
      </c>
      <c r="C369" s="91"/>
      <c r="D369" s="91">
        <v>2068</v>
      </c>
      <c r="E369" s="19" t="s">
        <v>1828</v>
      </c>
      <c r="F369" s="19" t="e">
        <f>_xlfn.XLOOKUP(batch_works35[[#This Row],[description]],Table14[name],Table14[id])</f>
        <v>#N/A</v>
      </c>
      <c r="G369" s="19"/>
      <c r="H369" s="19"/>
      <c r="I369" s="19"/>
      <c r="J369" s="19"/>
      <c r="K369" s="19"/>
    </row>
    <row r="370" spans="1:11">
      <c r="A370" s="91">
        <v>368</v>
      </c>
      <c r="B370" s="91">
        <v>368</v>
      </c>
      <c r="C370" s="91"/>
      <c r="D370" s="91">
        <v>2068</v>
      </c>
      <c r="E370" s="19" t="s">
        <v>1826</v>
      </c>
      <c r="F370" s="19" t="e">
        <f>_xlfn.XLOOKUP(batch_works35[[#This Row],[description]],Table14[name],Table14[id])</f>
        <v>#N/A</v>
      </c>
      <c r="G370" s="19"/>
      <c r="H370" s="19"/>
      <c r="I370" s="19"/>
      <c r="J370" s="19"/>
      <c r="K370" s="19"/>
    </row>
    <row r="371" spans="1:11">
      <c r="A371" s="91">
        <v>369</v>
      </c>
      <c r="B371" s="91">
        <v>369</v>
      </c>
      <c r="C371" s="91"/>
      <c r="D371" s="91">
        <v>2068</v>
      </c>
      <c r="E371" s="19" t="s">
        <v>1834</v>
      </c>
      <c r="F371" s="19" t="e">
        <f>_xlfn.XLOOKUP(batch_works35[[#This Row],[description]],Table14[name],Table14[id])</f>
        <v>#N/A</v>
      </c>
      <c r="G371" s="19"/>
      <c r="H371" s="19"/>
      <c r="I371" s="19"/>
      <c r="J371" s="19"/>
      <c r="K371" s="19"/>
    </row>
    <row r="372" spans="1:11">
      <c r="A372" s="91">
        <v>370</v>
      </c>
      <c r="B372" s="91">
        <v>370</v>
      </c>
      <c r="C372" s="91"/>
      <c r="D372" s="91">
        <v>2069</v>
      </c>
      <c r="E372" s="19" t="s">
        <v>1833</v>
      </c>
      <c r="F372" s="19" t="e">
        <f>_xlfn.XLOOKUP(batch_works35[[#This Row],[description]],Table14[name],Table14[id])</f>
        <v>#N/A</v>
      </c>
      <c r="G372" s="19"/>
      <c r="H372" s="19"/>
      <c r="I372" s="19"/>
      <c r="J372" s="19"/>
      <c r="K372" s="19"/>
    </row>
    <row r="373" spans="1:11">
      <c r="A373" s="91">
        <v>371</v>
      </c>
      <c r="B373" s="91">
        <v>371</v>
      </c>
      <c r="C373" s="91"/>
      <c r="D373" s="91">
        <v>2070</v>
      </c>
      <c r="E373" s="19" t="s">
        <v>1833</v>
      </c>
      <c r="F373" s="19" t="e">
        <f>_xlfn.XLOOKUP(batch_works35[[#This Row],[description]],Table14[name],Table14[id])</f>
        <v>#N/A</v>
      </c>
      <c r="G373" s="19"/>
      <c r="H373" s="19"/>
      <c r="I373" s="19"/>
      <c r="J373" s="19"/>
      <c r="K373" s="19"/>
    </row>
    <row r="374" spans="1:11">
      <c r="A374" s="91">
        <v>372</v>
      </c>
      <c r="B374" s="91">
        <v>372</v>
      </c>
      <c r="C374" s="91"/>
      <c r="D374" s="91">
        <v>2070</v>
      </c>
      <c r="E374" s="19" t="s">
        <v>1835</v>
      </c>
      <c r="F374" s="19" t="e">
        <f>_xlfn.XLOOKUP(batch_works35[[#This Row],[description]],Table14[name],Table14[id])</f>
        <v>#N/A</v>
      </c>
      <c r="G374" s="19"/>
      <c r="H374" s="19"/>
      <c r="I374" s="19"/>
      <c r="J374" s="19"/>
      <c r="K374" s="19"/>
    </row>
    <row r="375" spans="1:11">
      <c r="A375" s="91">
        <v>373</v>
      </c>
      <c r="B375" s="91">
        <v>373</v>
      </c>
      <c r="C375" s="91"/>
      <c r="D375" s="91">
        <v>2071</v>
      </c>
      <c r="E375" s="19" t="s">
        <v>1513</v>
      </c>
      <c r="F375" s="19">
        <f>_xlfn.XLOOKUP(batch_works35[[#This Row],[description]],Table14[name],Table14[id])</f>
        <v>18</v>
      </c>
      <c r="G375" s="19"/>
      <c r="H375" s="19"/>
      <c r="I375" s="19"/>
      <c r="J375" s="19"/>
      <c r="K375" s="19"/>
    </row>
    <row r="376" spans="1:11">
      <c r="A376" s="91">
        <v>374</v>
      </c>
      <c r="B376" s="91">
        <v>374</v>
      </c>
      <c r="C376" s="91"/>
      <c r="D376" s="91">
        <v>2072</v>
      </c>
      <c r="E376" s="19" t="s">
        <v>1513</v>
      </c>
      <c r="F376" s="19">
        <f>_xlfn.XLOOKUP(batch_works35[[#This Row],[description]],Table14[name],Table14[id])</f>
        <v>18</v>
      </c>
      <c r="G376" s="19"/>
      <c r="H376" s="19"/>
      <c r="I376" s="19"/>
      <c r="J376" s="19"/>
      <c r="K376" s="19"/>
    </row>
    <row r="377" spans="1:11">
      <c r="A377" s="91">
        <v>375</v>
      </c>
      <c r="B377" s="91">
        <v>375</v>
      </c>
      <c r="C377" s="91"/>
      <c r="D377" s="91">
        <v>2072</v>
      </c>
      <c r="E377" s="19" t="s">
        <v>1830</v>
      </c>
      <c r="F377" s="19" t="e">
        <f>_xlfn.XLOOKUP(batch_works35[[#This Row],[description]],Table14[name],Table14[id])</f>
        <v>#N/A</v>
      </c>
      <c r="G377" s="19"/>
      <c r="H377" s="19"/>
      <c r="I377" s="19"/>
      <c r="J377" s="19"/>
      <c r="K377" s="19"/>
    </row>
    <row r="378" spans="1:11">
      <c r="A378" s="91">
        <v>376</v>
      </c>
      <c r="B378" s="91">
        <v>376</v>
      </c>
      <c r="C378" s="91"/>
      <c r="D378" s="91">
        <v>2073</v>
      </c>
      <c r="E378" s="19" t="s">
        <v>1531</v>
      </c>
      <c r="F378" s="19">
        <f>_xlfn.XLOOKUP(batch_works35[[#This Row],[description]],Table14[name],Table14[id])</f>
        <v>11</v>
      </c>
      <c r="G378" s="19"/>
      <c r="H378" s="19"/>
      <c r="I378" s="19"/>
      <c r="J378" s="19"/>
      <c r="K378" s="19"/>
    </row>
    <row r="379" spans="1:11">
      <c r="A379" s="91">
        <v>377</v>
      </c>
      <c r="B379" s="91">
        <v>377</v>
      </c>
      <c r="C379" s="91"/>
      <c r="D379" s="91">
        <v>2073</v>
      </c>
      <c r="E379" s="19" t="s">
        <v>1826</v>
      </c>
      <c r="F379" s="19" t="e">
        <f>_xlfn.XLOOKUP(batch_works35[[#This Row],[description]],Table14[name],Table14[id])</f>
        <v>#N/A</v>
      </c>
      <c r="G379" s="19"/>
      <c r="H379" s="19"/>
      <c r="I379" s="19"/>
      <c r="J379" s="19"/>
      <c r="K379" s="19"/>
    </row>
    <row r="380" spans="1:11">
      <c r="A380" s="91">
        <v>378</v>
      </c>
      <c r="B380" s="91">
        <v>378</v>
      </c>
      <c r="C380" s="91"/>
      <c r="D380" s="91">
        <v>2074</v>
      </c>
      <c r="E380" s="19" t="s">
        <v>1830</v>
      </c>
      <c r="F380" s="19" t="e">
        <f>_xlfn.XLOOKUP(batch_works35[[#This Row],[description]],Table14[name],Table14[id])</f>
        <v>#N/A</v>
      </c>
      <c r="G380" s="19"/>
      <c r="H380" s="19"/>
      <c r="I380" s="19"/>
      <c r="J380" s="19"/>
      <c r="K380" s="19"/>
    </row>
    <row r="381" spans="1:11">
      <c r="A381" s="91">
        <v>379</v>
      </c>
      <c r="B381" s="91">
        <v>379</v>
      </c>
      <c r="C381" s="91"/>
      <c r="D381" s="91">
        <v>2074</v>
      </c>
      <c r="E381" s="19" t="s">
        <v>1826</v>
      </c>
      <c r="F381" s="19" t="e">
        <f>_xlfn.XLOOKUP(batch_works35[[#This Row],[description]],Table14[name],Table14[id])</f>
        <v>#N/A</v>
      </c>
      <c r="G381" s="19"/>
      <c r="H381" s="19"/>
      <c r="I381" s="19"/>
      <c r="J381" s="19"/>
      <c r="K381" s="19"/>
    </row>
    <row r="382" spans="1:11">
      <c r="A382" s="91">
        <v>380</v>
      </c>
      <c r="B382" s="91">
        <v>380</v>
      </c>
      <c r="C382" s="91"/>
      <c r="D382" s="91">
        <v>2075</v>
      </c>
      <c r="E382" s="19" t="s">
        <v>1830</v>
      </c>
      <c r="F382" s="19" t="e">
        <f>_xlfn.XLOOKUP(batch_works35[[#This Row],[description]],Table14[name],Table14[id])</f>
        <v>#N/A</v>
      </c>
      <c r="G382" s="19"/>
      <c r="H382" s="19"/>
      <c r="I382" s="19"/>
      <c r="J382" s="19"/>
      <c r="K382" s="19"/>
    </row>
    <row r="383" spans="1:11">
      <c r="A383" s="91">
        <v>381</v>
      </c>
      <c r="B383" s="91">
        <v>381</v>
      </c>
      <c r="C383" s="91"/>
      <c r="D383" s="91">
        <v>2075</v>
      </c>
      <c r="E383" s="19" t="s">
        <v>1826</v>
      </c>
      <c r="F383" s="19" t="e">
        <f>_xlfn.XLOOKUP(batch_works35[[#This Row],[description]],Table14[name],Table14[id])</f>
        <v>#N/A</v>
      </c>
      <c r="G383" s="19"/>
      <c r="H383" s="19"/>
      <c r="I383" s="19"/>
      <c r="J383" s="19"/>
      <c r="K383" s="19"/>
    </row>
    <row r="384" spans="1:11">
      <c r="A384" s="91">
        <v>382</v>
      </c>
      <c r="B384" s="91">
        <v>382</v>
      </c>
      <c r="C384" s="91"/>
      <c r="D384" s="91">
        <v>2076</v>
      </c>
      <c r="E384" s="19" t="s">
        <v>1830</v>
      </c>
      <c r="F384" s="19" t="e">
        <f>_xlfn.XLOOKUP(batch_works35[[#This Row],[description]],Table14[name],Table14[id])</f>
        <v>#N/A</v>
      </c>
      <c r="G384" s="19"/>
      <c r="H384" s="19"/>
      <c r="I384" s="19"/>
      <c r="J384" s="19"/>
      <c r="K384" s="19"/>
    </row>
    <row r="385" spans="1:11">
      <c r="A385" s="91">
        <v>383</v>
      </c>
      <c r="B385" s="91">
        <v>383</v>
      </c>
      <c r="C385" s="91"/>
      <c r="D385" s="91">
        <v>2076</v>
      </c>
      <c r="E385" s="19" t="s">
        <v>1826</v>
      </c>
      <c r="F385" s="19" t="e">
        <f>_xlfn.XLOOKUP(batch_works35[[#This Row],[description]],Table14[name],Table14[id])</f>
        <v>#N/A</v>
      </c>
      <c r="G385" s="19"/>
      <c r="H385" s="19"/>
      <c r="I385" s="19"/>
      <c r="J385" s="19"/>
      <c r="K385" s="19"/>
    </row>
    <row r="386" spans="1:11">
      <c r="A386" s="91">
        <v>384</v>
      </c>
      <c r="B386" s="91">
        <v>384</v>
      </c>
      <c r="C386" s="91"/>
      <c r="D386" s="91">
        <v>2077</v>
      </c>
      <c r="E386" s="19" t="s">
        <v>1822</v>
      </c>
      <c r="F386" s="19" t="e">
        <f>_xlfn.XLOOKUP(batch_works35[[#This Row],[description]],Table14[name],Table14[id])</f>
        <v>#N/A</v>
      </c>
      <c r="G386" s="19"/>
      <c r="H386" s="19"/>
      <c r="I386" s="19"/>
      <c r="J386" s="19"/>
      <c r="K386" s="19"/>
    </row>
    <row r="387" spans="1:11">
      <c r="A387" s="91">
        <v>385</v>
      </c>
      <c r="B387" s="91">
        <v>385</v>
      </c>
      <c r="C387" s="91"/>
      <c r="D387" s="91">
        <v>2077</v>
      </c>
      <c r="E387" s="19" t="s">
        <v>1826</v>
      </c>
      <c r="F387" s="19" t="e">
        <f>_xlfn.XLOOKUP(batch_works35[[#This Row],[description]],Table14[name],Table14[id])</f>
        <v>#N/A</v>
      </c>
      <c r="G387" s="19"/>
      <c r="H387" s="19"/>
      <c r="I387" s="19"/>
      <c r="J387" s="19"/>
      <c r="K387" s="19"/>
    </row>
    <row r="388" spans="1:11">
      <c r="A388" s="91">
        <v>386</v>
      </c>
      <c r="B388" s="91">
        <v>386</v>
      </c>
      <c r="C388" s="91"/>
      <c r="D388" s="91">
        <v>2078</v>
      </c>
      <c r="E388" s="19" t="s">
        <v>1826</v>
      </c>
      <c r="F388" s="19" t="e">
        <f>_xlfn.XLOOKUP(batch_works35[[#This Row],[description]],Table14[name],Table14[id])</f>
        <v>#N/A</v>
      </c>
      <c r="G388" s="19"/>
      <c r="H388" s="19"/>
      <c r="I388" s="19"/>
      <c r="J388" s="19"/>
      <c r="K388" s="19"/>
    </row>
    <row r="389" spans="1:11">
      <c r="A389" s="91">
        <v>387</v>
      </c>
      <c r="B389" s="91">
        <v>387</v>
      </c>
      <c r="C389" s="91"/>
      <c r="D389" s="91">
        <v>2080</v>
      </c>
      <c r="E389" s="19" t="s">
        <v>1531</v>
      </c>
      <c r="F389" s="19">
        <f>_xlfn.XLOOKUP(batch_works35[[#This Row],[description]],Table14[name],Table14[id])</f>
        <v>11</v>
      </c>
      <c r="G389" s="19"/>
      <c r="H389" s="19"/>
      <c r="I389" s="19"/>
      <c r="J389" s="19"/>
      <c r="K389" s="19"/>
    </row>
    <row r="390" spans="1:11">
      <c r="A390" s="91">
        <v>388</v>
      </c>
      <c r="B390" s="91">
        <v>388</v>
      </c>
      <c r="C390" s="91"/>
      <c r="D390" s="91">
        <v>2080</v>
      </c>
      <c r="E390" s="19" t="s">
        <v>1824</v>
      </c>
      <c r="F390" s="19" t="e">
        <f>_xlfn.XLOOKUP(batch_works35[[#This Row],[description]],Table14[name],Table14[id])</f>
        <v>#N/A</v>
      </c>
      <c r="G390" s="19"/>
      <c r="H390" s="19"/>
      <c r="I390" s="19"/>
      <c r="J390" s="19"/>
      <c r="K390" s="19"/>
    </row>
    <row r="391" spans="1:11">
      <c r="A391" s="91">
        <v>389</v>
      </c>
      <c r="B391" s="91">
        <v>389</v>
      </c>
      <c r="C391" s="91"/>
      <c r="D391" s="91">
        <v>2080</v>
      </c>
      <c r="E391" s="19" t="s">
        <v>1825</v>
      </c>
      <c r="F391" s="19" t="e">
        <f>_xlfn.XLOOKUP(batch_works35[[#This Row],[description]],Table14[name],Table14[id])</f>
        <v>#N/A</v>
      </c>
      <c r="G391" s="19"/>
      <c r="H391" s="19"/>
      <c r="I391" s="19"/>
      <c r="J391" s="19"/>
      <c r="K391" s="19"/>
    </row>
    <row r="392" spans="1:11">
      <c r="A392" s="91">
        <v>390</v>
      </c>
      <c r="B392" s="91">
        <v>390</v>
      </c>
      <c r="C392" s="91"/>
      <c r="D392" s="91">
        <v>2080</v>
      </c>
      <c r="E392" s="19" t="s">
        <v>1826</v>
      </c>
      <c r="F392" s="19" t="e">
        <f>_xlfn.XLOOKUP(batch_works35[[#This Row],[description]],Table14[name],Table14[id])</f>
        <v>#N/A</v>
      </c>
      <c r="G392" s="19"/>
      <c r="H392" s="19"/>
      <c r="I392" s="19"/>
      <c r="J392" s="19"/>
      <c r="K392" s="19"/>
    </row>
    <row r="393" spans="1:11">
      <c r="A393" s="91">
        <v>391</v>
      </c>
      <c r="B393" s="91">
        <v>391</v>
      </c>
      <c r="C393" s="91"/>
      <c r="D393" s="91">
        <v>2081</v>
      </c>
      <c r="E393" s="19" t="s">
        <v>1828</v>
      </c>
      <c r="F393" s="19" t="e">
        <f>_xlfn.XLOOKUP(batch_works35[[#This Row],[description]],Table14[name],Table14[id])</f>
        <v>#N/A</v>
      </c>
      <c r="G393" s="19"/>
      <c r="H393" s="19"/>
      <c r="I393" s="19"/>
      <c r="J393" s="19"/>
      <c r="K393" s="19"/>
    </row>
    <row r="394" spans="1:11">
      <c r="A394" s="91">
        <v>392</v>
      </c>
      <c r="B394" s="91">
        <v>392</v>
      </c>
      <c r="C394" s="91"/>
      <c r="D394" s="91">
        <v>2081</v>
      </c>
      <c r="E394" s="19" t="s">
        <v>1834</v>
      </c>
      <c r="F394" s="19" t="e">
        <f>_xlfn.XLOOKUP(batch_works35[[#This Row],[description]],Table14[name],Table14[id])</f>
        <v>#N/A</v>
      </c>
      <c r="G394" s="19"/>
      <c r="H394" s="19"/>
      <c r="I394" s="19"/>
      <c r="J394" s="19"/>
      <c r="K394" s="19"/>
    </row>
    <row r="395" spans="1:11">
      <c r="A395" s="91">
        <v>393</v>
      </c>
      <c r="B395" s="91">
        <v>393</v>
      </c>
      <c r="C395" s="91"/>
      <c r="D395" s="91">
        <v>2082</v>
      </c>
      <c r="E395" s="19" t="s">
        <v>1829</v>
      </c>
      <c r="F395" s="19" t="e">
        <f>_xlfn.XLOOKUP(batch_works35[[#This Row],[description]],Table14[name],Table14[id])</f>
        <v>#N/A</v>
      </c>
      <c r="G395" s="19"/>
      <c r="H395" s="19"/>
      <c r="I395" s="19"/>
      <c r="J395" s="19"/>
      <c r="K395" s="19"/>
    </row>
    <row r="396" spans="1:11">
      <c r="A396" s="91">
        <v>394</v>
      </c>
      <c r="B396" s="91">
        <v>394</v>
      </c>
      <c r="C396" s="91"/>
      <c r="D396" s="91">
        <v>2082</v>
      </c>
      <c r="E396" s="19" t="s">
        <v>1834</v>
      </c>
      <c r="F396" s="19" t="e">
        <f>_xlfn.XLOOKUP(batch_works35[[#This Row],[description]],Table14[name],Table14[id])</f>
        <v>#N/A</v>
      </c>
      <c r="G396" s="19"/>
      <c r="H396" s="19"/>
      <c r="I396" s="19"/>
      <c r="J396" s="19"/>
      <c r="K396" s="19"/>
    </row>
    <row r="397" spans="1:11">
      <c r="A397" s="91">
        <v>395</v>
      </c>
      <c r="B397" s="91">
        <v>395</v>
      </c>
      <c r="C397" s="91"/>
      <c r="D397" s="91">
        <v>2083</v>
      </c>
      <c r="E397" s="19" t="s">
        <v>1829</v>
      </c>
      <c r="F397" s="19" t="e">
        <f>_xlfn.XLOOKUP(batch_works35[[#This Row],[description]],Table14[name],Table14[id])</f>
        <v>#N/A</v>
      </c>
      <c r="G397" s="19"/>
      <c r="H397" s="19"/>
      <c r="I397" s="19"/>
      <c r="J397" s="19"/>
      <c r="K397" s="19"/>
    </row>
    <row r="398" spans="1:11">
      <c r="A398" s="91">
        <v>396</v>
      </c>
      <c r="B398" s="91">
        <v>396</v>
      </c>
      <c r="C398" s="91"/>
      <c r="D398" s="91">
        <v>2083</v>
      </c>
      <c r="E398" s="19" t="s">
        <v>1828</v>
      </c>
      <c r="F398" s="19" t="e">
        <f>_xlfn.XLOOKUP(batch_works35[[#This Row],[description]],Table14[name],Table14[id])</f>
        <v>#N/A</v>
      </c>
      <c r="G398" s="19"/>
      <c r="H398" s="19"/>
      <c r="I398" s="19"/>
      <c r="J398" s="19"/>
      <c r="K398" s="19"/>
    </row>
    <row r="399" spans="1:11">
      <c r="A399" s="91">
        <v>397</v>
      </c>
      <c r="B399" s="91">
        <v>397</v>
      </c>
      <c r="C399" s="91"/>
      <c r="D399" s="91">
        <v>2083</v>
      </c>
      <c r="E399" s="19" t="s">
        <v>1834</v>
      </c>
      <c r="F399" s="19" t="e">
        <f>_xlfn.XLOOKUP(batch_works35[[#This Row],[description]],Table14[name],Table14[id])</f>
        <v>#N/A</v>
      </c>
      <c r="G399" s="19"/>
      <c r="H399" s="19"/>
      <c r="I399" s="19"/>
      <c r="J399" s="19"/>
      <c r="K399" s="19"/>
    </row>
    <row r="400" spans="1:11">
      <c r="A400" s="91">
        <v>398</v>
      </c>
      <c r="B400" s="91">
        <v>398</v>
      </c>
      <c r="C400" s="91"/>
      <c r="D400" s="91">
        <v>2084</v>
      </c>
      <c r="E400" s="19" t="s">
        <v>1829</v>
      </c>
      <c r="F400" s="19" t="e">
        <f>_xlfn.XLOOKUP(batch_works35[[#This Row],[description]],Table14[name],Table14[id])</f>
        <v>#N/A</v>
      </c>
      <c r="G400" s="19"/>
      <c r="H400" s="19"/>
      <c r="I400" s="19"/>
      <c r="J400" s="19"/>
      <c r="K400" s="19"/>
    </row>
    <row r="401" spans="1:11">
      <c r="A401" s="91">
        <v>399</v>
      </c>
      <c r="B401" s="91">
        <v>399</v>
      </c>
      <c r="C401" s="91"/>
      <c r="D401" s="91">
        <v>2084</v>
      </c>
      <c r="E401" s="19" t="s">
        <v>1828</v>
      </c>
      <c r="F401" s="19" t="e">
        <f>_xlfn.XLOOKUP(batch_works35[[#This Row],[description]],Table14[name],Table14[id])</f>
        <v>#N/A</v>
      </c>
      <c r="G401" s="19"/>
      <c r="H401" s="19"/>
      <c r="I401" s="19"/>
      <c r="J401" s="19"/>
      <c r="K401" s="19"/>
    </row>
    <row r="402" spans="1:11">
      <c r="A402" s="91">
        <v>400</v>
      </c>
      <c r="B402" s="91">
        <v>400</v>
      </c>
      <c r="C402" s="91"/>
      <c r="D402" s="91">
        <v>2084</v>
      </c>
      <c r="E402" s="19" t="s">
        <v>1834</v>
      </c>
      <c r="F402" s="19" t="e">
        <f>_xlfn.XLOOKUP(batch_works35[[#This Row],[description]],Table14[name],Table14[id])</f>
        <v>#N/A</v>
      </c>
      <c r="G402" s="19"/>
      <c r="H402" s="19"/>
      <c r="I402" s="19"/>
      <c r="J402" s="19"/>
      <c r="K402" s="19"/>
    </row>
    <row r="403" spans="1:11">
      <c r="A403" s="91">
        <v>401</v>
      </c>
      <c r="B403" s="91">
        <v>401</v>
      </c>
      <c r="C403" s="91"/>
      <c r="D403" s="91">
        <v>2085</v>
      </c>
      <c r="E403" s="19" t="s">
        <v>1531</v>
      </c>
      <c r="F403" s="19">
        <f>_xlfn.XLOOKUP(batch_works35[[#This Row],[description]],Table14[name],Table14[id])</f>
        <v>11</v>
      </c>
      <c r="G403" s="19"/>
      <c r="H403" s="19"/>
      <c r="I403" s="19"/>
      <c r="J403" s="19"/>
      <c r="K403" s="19"/>
    </row>
    <row r="404" spans="1:11">
      <c r="A404" s="91">
        <v>402</v>
      </c>
      <c r="B404" s="91">
        <v>402</v>
      </c>
      <c r="C404" s="91"/>
      <c r="D404" s="91">
        <v>2085</v>
      </c>
      <c r="E404" s="19" t="s">
        <v>1561</v>
      </c>
      <c r="F404" s="19">
        <f>_xlfn.XLOOKUP(batch_works35[[#This Row],[description]],Table14[name],Table14[id])</f>
        <v>30</v>
      </c>
      <c r="G404" s="19"/>
      <c r="H404" s="19"/>
      <c r="I404" s="19"/>
      <c r="J404" s="19"/>
      <c r="K404" s="19"/>
    </row>
    <row r="405" spans="1:11">
      <c r="A405" s="91">
        <v>403</v>
      </c>
      <c r="B405" s="91">
        <v>403</v>
      </c>
      <c r="C405" s="91"/>
      <c r="D405" s="91">
        <v>2085</v>
      </c>
      <c r="E405" s="19" t="s">
        <v>1819</v>
      </c>
      <c r="F405" s="19" t="e">
        <f>_xlfn.XLOOKUP(batch_works35[[#This Row],[description]],Table14[name],Table14[id])</f>
        <v>#N/A</v>
      </c>
      <c r="G405" s="19"/>
      <c r="H405" s="19"/>
      <c r="I405" s="19"/>
      <c r="J405" s="19"/>
      <c r="K405" s="19"/>
    </row>
    <row r="406" spans="1:11">
      <c r="A406" s="91">
        <v>404</v>
      </c>
      <c r="B406" s="91">
        <v>404</v>
      </c>
      <c r="C406" s="91"/>
      <c r="D406" s="91">
        <v>2085</v>
      </c>
      <c r="E406" s="19" t="s">
        <v>1819</v>
      </c>
      <c r="F406" s="19" t="e">
        <f>_xlfn.XLOOKUP(batch_works35[[#This Row],[description]],Table14[name],Table14[id])</f>
        <v>#N/A</v>
      </c>
      <c r="G406" s="19"/>
      <c r="H406" s="19"/>
      <c r="I406" s="19"/>
      <c r="J406" s="19"/>
      <c r="K406" s="19"/>
    </row>
    <row r="407" spans="1:11">
      <c r="A407" s="91">
        <v>405</v>
      </c>
      <c r="B407" s="91">
        <v>405</v>
      </c>
      <c r="C407" s="91"/>
      <c r="D407" s="91">
        <v>2085</v>
      </c>
      <c r="E407" s="19" t="s">
        <v>1835</v>
      </c>
      <c r="F407" s="19" t="e">
        <f>_xlfn.XLOOKUP(batch_works35[[#This Row],[description]],Table14[name],Table14[id])</f>
        <v>#N/A</v>
      </c>
      <c r="G407" s="19"/>
      <c r="H407" s="19"/>
      <c r="I407" s="19"/>
      <c r="J407" s="19"/>
      <c r="K407" s="19"/>
    </row>
    <row r="408" spans="1:11">
      <c r="A408" s="91">
        <v>406</v>
      </c>
      <c r="B408" s="91">
        <v>406</v>
      </c>
      <c r="C408" s="91"/>
      <c r="D408" s="91">
        <v>2085</v>
      </c>
      <c r="E408" s="19" t="s">
        <v>1834</v>
      </c>
      <c r="F408" s="19" t="e">
        <f>_xlfn.XLOOKUP(batch_works35[[#This Row],[description]],Table14[name],Table14[id])</f>
        <v>#N/A</v>
      </c>
      <c r="G408" s="19"/>
      <c r="H408" s="19"/>
      <c r="I408" s="19"/>
      <c r="J408" s="19"/>
      <c r="K408" s="19"/>
    </row>
    <row r="409" spans="1:11">
      <c r="A409" s="91">
        <v>407</v>
      </c>
      <c r="B409" s="91">
        <v>407</v>
      </c>
      <c r="C409" s="91"/>
      <c r="D409" s="91">
        <v>2086</v>
      </c>
      <c r="E409" s="19" t="s">
        <v>1531</v>
      </c>
      <c r="F409" s="19">
        <f>_xlfn.XLOOKUP(batch_works35[[#This Row],[description]],Table14[name],Table14[id])</f>
        <v>11</v>
      </c>
      <c r="G409" s="19"/>
      <c r="H409" s="19"/>
      <c r="I409" s="19"/>
      <c r="J409" s="19"/>
      <c r="K409" s="19"/>
    </row>
    <row r="410" spans="1:11">
      <c r="A410" s="91">
        <v>408</v>
      </c>
      <c r="B410" s="91">
        <v>408</v>
      </c>
      <c r="C410" s="91"/>
      <c r="D410" s="91">
        <v>2086</v>
      </c>
      <c r="E410" s="19" t="s">
        <v>1525</v>
      </c>
      <c r="F410" s="19">
        <f>_xlfn.XLOOKUP(batch_works35[[#This Row],[description]],Table14[name],Table14[id])</f>
        <v>7</v>
      </c>
      <c r="G410" s="19"/>
      <c r="H410" s="19"/>
      <c r="I410" s="19"/>
      <c r="J410" s="19"/>
      <c r="K410" s="19"/>
    </row>
    <row r="411" spans="1:11">
      <c r="A411" s="91">
        <v>409</v>
      </c>
      <c r="B411" s="91">
        <v>409</v>
      </c>
      <c r="C411" s="91"/>
      <c r="D411" s="91">
        <v>2086</v>
      </c>
      <c r="E411" s="19" t="s">
        <v>1827</v>
      </c>
      <c r="F411" s="19" t="e">
        <f>_xlfn.XLOOKUP(batch_works35[[#This Row],[description]],Table14[name],Table14[id])</f>
        <v>#N/A</v>
      </c>
      <c r="G411" s="19"/>
      <c r="H411" s="19"/>
      <c r="I411" s="19"/>
      <c r="J411" s="19"/>
      <c r="K411" s="19"/>
    </row>
    <row r="412" spans="1:11">
      <c r="A412" s="91">
        <v>410</v>
      </c>
      <c r="B412" s="91">
        <v>410</v>
      </c>
      <c r="C412" s="91"/>
      <c r="D412" s="91">
        <v>2086</v>
      </c>
      <c r="E412" s="19" t="s">
        <v>1825</v>
      </c>
      <c r="F412" s="19" t="e">
        <f>_xlfn.XLOOKUP(batch_works35[[#This Row],[description]],Table14[name],Table14[id])</f>
        <v>#N/A</v>
      </c>
      <c r="G412" s="19"/>
      <c r="H412" s="19"/>
      <c r="I412" s="19"/>
      <c r="J412" s="19"/>
      <c r="K412" s="19"/>
    </row>
    <row r="413" spans="1:11">
      <c r="A413" s="91">
        <v>411</v>
      </c>
      <c r="B413" s="91">
        <v>411</v>
      </c>
      <c r="C413" s="91"/>
      <c r="D413" s="91">
        <v>2086</v>
      </c>
      <c r="E413" s="19" t="s">
        <v>1828</v>
      </c>
      <c r="F413" s="19" t="e">
        <f>_xlfn.XLOOKUP(batch_works35[[#This Row],[description]],Table14[name],Table14[id])</f>
        <v>#N/A</v>
      </c>
      <c r="G413" s="19"/>
      <c r="H413" s="19"/>
      <c r="I413" s="19"/>
      <c r="J413" s="19"/>
      <c r="K413" s="19"/>
    </row>
    <row r="414" spans="1:11">
      <c r="A414" s="91">
        <v>412</v>
      </c>
      <c r="B414" s="91">
        <v>412</v>
      </c>
      <c r="C414" s="91"/>
      <c r="D414" s="91">
        <v>2086</v>
      </c>
      <c r="E414" s="19" t="s">
        <v>1834</v>
      </c>
      <c r="F414" s="19" t="e">
        <f>_xlfn.XLOOKUP(batch_works35[[#This Row],[description]],Table14[name],Table14[id])</f>
        <v>#N/A</v>
      </c>
      <c r="G414" s="19"/>
      <c r="H414" s="19"/>
      <c r="I414" s="19"/>
      <c r="J414" s="19"/>
      <c r="K414" s="19"/>
    </row>
    <row r="415" spans="1:11">
      <c r="A415" s="91">
        <v>413</v>
      </c>
      <c r="B415" s="91">
        <v>413</v>
      </c>
      <c r="C415" s="91"/>
      <c r="D415" s="91">
        <v>2087</v>
      </c>
      <c r="E415" s="19" t="s">
        <v>1531</v>
      </c>
      <c r="F415" s="19">
        <f>_xlfn.XLOOKUP(batch_works35[[#This Row],[description]],Table14[name],Table14[id])</f>
        <v>11</v>
      </c>
      <c r="G415" s="19"/>
      <c r="H415" s="19"/>
      <c r="I415" s="19"/>
      <c r="J415" s="19"/>
      <c r="K415" s="19"/>
    </row>
    <row r="416" spans="1:11">
      <c r="A416" s="91">
        <v>414</v>
      </c>
      <c r="B416" s="91">
        <v>414</v>
      </c>
      <c r="C416" s="91"/>
      <c r="D416" s="91">
        <v>2087</v>
      </c>
      <c r="E416" s="19" t="s">
        <v>1525</v>
      </c>
      <c r="F416" s="19">
        <f>_xlfn.XLOOKUP(batch_works35[[#This Row],[description]],Table14[name],Table14[id])</f>
        <v>7</v>
      </c>
      <c r="G416" s="19"/>
      <c r="H416" s="19"/>
      <c r="I416" s="19"/>
      <c r="J416" s="19"/>
      <c r="K416" s="19"/>
    </row>
    <row r="417" spans="1:11">
      <c r="A417" s="91">
        <v>415</v>
      </c>
      <c r="B417" s="91">
        <v>415</v>
      </c>
      <c r="C417" s="91"/>
      <c r="D417" s="91">
        <v>2087</v>
      </c>
      <c r="E417" s="19" t="s">
        <v>1827</v>
      </c>
      <c r="F417" s="19" t="e">
        <f>_xlfn.XLOOKUP(batch_works35[[#This Row],[description]],Table14[name],Table14[id])</f>
        <v>#N/A</v>
      </c>
      <c r="G417" s="19"/>
      <c r="H417" s="19"/>
      <c r="I417" s="19"/>
      <c r="J417" s="19"/>
      <c r="K417" s="19"/>
    </row>
    <row r="418" spans="1:11">
      <c r="A418" s="91">
        <v>416</v>
      </c>
      <c r="B418" s="91">
        <v>416</v>
      </c>
      <c r="C418" s="91"/>
      <c r="D418" s="91">
        <v>2087</v>
      </c>
      <c r="E418" s="19" t="s">
        <v>1828</v>
      </c>
      <c r="F418" s="19" t="e">
        <f>_xlfn.XLOOKUP(batch_works35[[#This Row],[description]],Table14[name],Table14[id])</f>
        <v>#N/A</v>
      </c>
      <c r="G418" s="19"/>
      <c r="H418" s="19"/>
      <c r="I418" s="19"/>
      <c r="J418" s="19"/>
      <c r="K418" s="19"/>
    </row>
    <row r="419" spans="1:11">
      <c r="A419" s="91">
        <v>417</v>
      </c>
      <c r="B419" s="91">
        <v>417</v>
      </c>
      <c r="C419" s="91"/>
      <c r="D419" s="91">
        <v>2087</v>
      </c>
      <c r="E419" s="19" t="s">
        <v>1834</v>
      </c>
      <c r="F419" s="19" t="e">
        <f>_xlfn.XLOOKUP(batch_works35[[#This Row],[description]],Table14[name],Table14[id])</f>
        <v>#N/A</v>
      </c>
      <c r="G419" s="19"/>
      <c r="H419" s="19"/>
      <c r="I419" s="19"/>
      <c r="J419" s="19"/>
      <c r="K419" s="19"/>
    </row>
    <row r="420" spans="1:11">
      <c r="A420" s="91">
        <v>418</v>
      </c>
      <c r="B420" s="91">
        <v>418</v>
      </c>
      <c r="C420" s="91"/>
      <c r="D420" s="91">
        <v>2088</v>
      </c>
      <c r="E420" s="19" t="s">
        <v>1531</v>
      </c>
      <c r="F420" s="19">
        <f>_xlfn.XLOOKUP(batch_works35[[#This Row],[description]],Table14[name],Table14[id])</f>
        <v>11</v>
      </c>
      <c r="G420" s="19"/>
      <c r="H420" s="19"/>
      <c r="I420" s="19"/>
      <c r="J420" s="19"/>
      <c r="K420" s="19"/>
    </row>
    <row r="421" spans="1:11">
      <c r="A421" s="91">
        <v>419</v>
      </c>
      <c r="B421" s="91">
        <v>419</v>
      </c>
      <c r="C421" s="91"/>
      <c r="D421" s="91">
        <v>2088</v>
      </c>
      <c r="E421" s="19" t="s">
        <v>1827</v>
      </c>
      <c r="F421" s="19" t="e">
        <f>_xlfn.XLOOKUP(batch_works35[[#This Row],[description]],Table14[name],Table14[id])</f>
        <v>#N/A</v>
      </c>
      <c r="G421" s="19"/>
      <c r="H421" s="19"/>
      <c r="I421" s="19"/>
      <c r="J421" s="19"/>
      <c r="K421" s="19"/>
    </row>
    <row r="422" spans="1:11">
      <c r="A422" s="91">
        <v>420</v>
      </c>
      <c r="B422" s="91">
        <v>420</v>
      </c>
      <c r="C422" s="91"/>
      <c r="D422" s="91">
        <v>2088</v>
      </c>
      <c r="E422" s="19" t="s">
        <v>1828</v>
      </c>
      <c r="F422" s="19" t="e">
        <f>_xlfn.XLOOKUP(batch_works35[[#This Row],[description]],Table14[name],Table14[id])</f>
        <v>#N/A</v>
      </c>
      <c r="G422" s="19"/>
      <c r="H422" s="19"/>
      <c r="I422" s="19"/>
      <c r="J422" s="19"/>
      <c r="K422" s="19"/>
    </row>
    <row r="423" spans="1:11">
      <c r="A423" s="91">
        <v>421</v>
      </c>
      <c r="B423" s="91">
        <v>421</v>
      </c>
      <c r="C423" s="91"/>
      <c r="D423" s="91">
        <v>2088</v>
      </c>
      <c r="E423" s="19" t="s">
        <v>1834</v>
      </c>
      <c r="F423" s="19" t="e">
        <f>_xlfn.XLOOKUP(batch_works35[[#This Row],[description]],Table14[name],Table14[id])</f>
        <v>#N/A</v>
      </c>
      <c r="G423" s="19"/>
      <c r="H423" s="19"/>
      <c r="I423" s="19"/>
      <c r="J423" s="19"/>
      <c r="K423" s="19"/>
    </row>
    <row r="424" spans="1:11">
      <c r="A424" s="91">
        <v>422</v>
      </c>
      <c r="B424" s="91">
        <v>422</v>
      </c>
      <c r="C424" s="91"/>
      <c r="D424" s="91">
        <v>2089</v>
      </c>
      <c r="E424" s="19" t="s">
        <v>1531</v>
      </c>
      <c r="F424" s="19">
        <f>_xlfn.XLOOKUP(batch_works35[[#This Row],[description]],Table14[name],Table14[id])</f>
        <v>11</v>
      </c>
      <c r="G424" s="19"/>
      <c r="H424" s="19"/>
      <c r="I424" s="19"/>
      <c r="J424" s="19"/>
      <c r="K424" s="19"/>
    </row>
    <row r="425" spans="1:11">
      <c r="A425" s="91">
        <v>423</v>
      </c>
      <c r="B425" s="91">
        <v>423</v>
      </c>
      <c r="C425" s="91"/>
      <c r="D425" s="91">
        <v>2089</v>
      </c>
      <c r="E425" s="19" t="s">
        <v>1825</v>
      </c>
      <c r="F425" s="19" t="e">
        <f>_xlfn.XLOOKUP(batch_works35[[#This Row],[description]],Table14[name],Table14[id])</f>
        <v>#N/A</v>
      </c>
      <c r="G425" s="19"/>
      <c r="H425" s="19"/>
      <c r="I425" s="19"/>
      <c r="J425" s="19"/>
      <c r="K425" s="19"/>
    </row>
    <row r="426" spans="1:11">
      <c r="A426" s="91">
        <v>424</v>
      </c>
      <c r="B426" s="91">
        <v>424</v>
      </c>
      <c r="C426" s="91"/>
      <c r="D426" s="91">
        <v>2089</v>
      </c>
      <c r="E426" s="19" t="s">
        <v>1835</v>
      </c>
      <c r="F426" s="19" t="e">
        <f>_xlfn.XLOOKUP(batch_works35[[#This Row],[description]],Table14[name],Table14[id])</f>
        <v>#N/A</v>
      </c>
      <c r="G426" s="19"/>
      <c r="H426" s="19"/>
      <c r="I426" s="19"/>
      <c r="J426" s="19"/>
      <c r="K426" s="19"/>
    </row>
    <row r="427" spans="1:11">
      <c r="A427" s="91">
        <v>425</v>
      </c>
      <c r="B427" s="91">
        <v>425</v>
      </c>
      <c r="C427" s="91"/>
      <c r="D427" s="91">
        <v>2090</v>
      </c>
      <c r="E427" s="19" t="s">
        <v>1531</v>
      </c>
      <c r="F427" s="19">
        <f>_xlfn.XLOOKUP(batch_works35[[#This Row],[description]],Table14[name],Table14[id])</f>
        <v>11</v>
      </c>
      <c r="G427" s="19"/>
      <c r="H427" s="19"/>
      <c r="I427" s="19"/>
      <c r="J427" s="19"/>
      <c r="K427" s="19"/>
    </row>
    <row r="428" spans="1:11">
      <c r="A428" s="91">
        <v>426</v>
      </c>
      <c r="B428" s="91">
        <v>426</v>
      </c>
      <c r="C428" s="91"/>
      <c r="D428" s="91">
        <v>2091</v>
      </c>
      <c r="E428" s="19" t="s">
        <v>1531</v>
      </c>
      <c r="F428" s="19">
        <f>_xlfn.XLOOKUP(batch_works35[[#This Row],[description]],Table14[name],Table14[id])</f>
        <v>11</v>
      </c>
      <c r="G428" s="19"/>
      <c r="H428" s="19"/>
      <c r="I428" s="19"/>
      <c r="J428" s="19"/>
      <c r="K428" s="19"/>
    </row>
    <row r="429" spans="1:11">
      <c r="A429" s="91">
        <v>427</v>
      </c>
      <c r="B429" s="91">
        <v>427</v>
      </c>
      <c r="C429" s="91"/>
      <c r="D429" s="91">
        <v>2091</v>
      </c>
      <c r="E429" s="19" t="s">
        <v>1561</v>
      </c>
      <c r="F429" s="19">
        <f>_xlfn.XLOOKUP(batch_works35[[#This Row],[description]],Table14[name],Table14[id])</f>
        <v>30</v>
      </c>
      <c r="G429" s="19"/>
      <c r="H429" s="19"/>
      <c r="I429" s="19"/>
      <c r="J429" s="19"/>
      <c r="K429" s="19"/>
    </row>
    <row r="430" spans="1:11">
      <c r="A430" s="91">
        <v>428</v>
      </c>
      <c r="B430" s="91">
        <v>428</v>
      </c>
      <c r="C430" s="91"/>
      <c r="D430" s="91">
        <v>2091</v>
      </c>
      <c r="E430" s="19" t="s">
        <v>1819</v>
      </c>
      <c r="F430" s="19" t="e">
        <f>_xlfn.XLOOKUP(batch_works35[[#This Row],[description]],Table14[name],Table14[id])</f>
        <v>#N/A</v>
      </c>
      <c r="G430" s="19"/>
      <c r="H430" s="19"/>
      <c r="I430" s="19"/>
      <c r="J430" s="19"/>
      <c r="K430" s="19"/>
    </row>
    <row r="431" spans="1:11">
      <c r="A431" s="91">
        <v>429</v>
      </c>
      <c r="B431" s="91">
        <v>429</v>
      </c>
      <c r="C431" s="91"/>
      <c r="D431" s="91">
        <v>2091</v>
      </c>
      <c r="E431" s="19" t="s">
        <v>1819</v>
      </c>
      <c r="F431" s="19" t="e">
        <f>_xlfn.XLOOKUP(batch_works35[[#This Row],[description]],Table14[name],Table14[id])</f>
        <v>#N/A</v>
      </c>
      <c r="G431" s="19"/>
      <c r="H431" s="19"/>
      <c r="I431" s="19"/>
      <c r="J431" s="19"/>
      <c r="K431" s="19"/>
    </row>
    <row r="432" spans="1:11">
      <c r="A432" s="91">
        <v>430</v>
      </c>
      <c r="B432" s="91">
        <v>430</v>
      </c>
      <c r="C432" s="91"/>
      <c r="D432" s="91">
        <v>2091</v>
      </c>
      <c r="E432" s="19" t="s">
        <v>1835</v>
      </c>
      <c r="F432" s="19" t="e">
        <f>_xlfn.XLOOKUP(batch_works35[[#This Row],[description]],Table14[name],Table14[id])</f>
        <v>#N/A</v>
      </c>
      <c r="G432" s="19"/>
      <c r="H432" s="19"/>
      <c r="I432" s="19"/>
      <c r="J432" s="19"/>
      <c r="K432" s="19"/>
    </row>
    <row r="433" spans="1:11">
      <c r="A433" s="91">
        <v>431</v>
      </c>
      <c r="B433" s="91">
        <v>431</v>
      </c>
      <c r="C433" s="91"/>
      <c r="D433" s="91">
        <v>2098</v>
      </c>
      <c r="E433" s="19" t="s">
        <v>1834</v>
      </c>
      <c r="F433" s="19" t="e">
        <f>_xlfn.XLOOKUP(batch_works35[[#This Row],[description]],Table14[name],Table14[id])</f>
        <v>#N/A</v>
      </c>
      <c r="G433" s="19"/>
      <c r="H433" s="19"/>
      <c r="I433" s="19"/>
      <c r="J433" s="19"/>
      <c r="K433" s="19"/>
    </row>
    <row r="434" spans="1:11">
      <c r="A434" s="91">
        <v>432</v>
      </c>
      <c r="B434" s="91">
        <v>432</v>
      </c>
      <c r="C434" s="91"/>
      <c r="D434" s="91">
        <v>2099</v>
      </c>
      <c r="E434" s="19" t="s">
        <v>1827</v>
      </c>
      <c r="F434" s="19" t="e">
        <f>_xlfn.XLOOKUP(batch_works35[[#This Row],[description]],Table14[name],Table14[id])</f>
        <v>#N/A</v>
      </c>
      <c r="G434" s="19"/>
      <c r="H434" s="19"/>
      <c r="I434" s="19"/>
      <c r="J434" s="19"/>
      <c r="K434" s="19"/>
    </row>
    <row r="435" spans="1:11">
      <c r="A435" s="91">
        <v>433</v>
      </c>
      <c r="B435" s="91">
        <v>433</v>
      </c>
      <c r="C435" s="91"/>
      <c r="D435" s="91">
        <v>2099</v>
      </c>
      <c r="E435" s="19" t="s">
        <v>1836</v>
      </c>
      <c r="F435" s="19" t="e">
        <f>_xlfn.XLOOKUP(batch_works35[[#This Row],[description]],Table14[name],Table14[id])</f>
        <v>#N/A</v>
      </c>
      <c r="G435" s="19"/>
      <c r="H435" s="19"/>
      <c r="I435" s="19"/>
      <c r="J435" s="19"/>
      <c r="K435" s="19"/>
    </row>
    <row r="436" spans="1:11">
      <c r="A436" s="91">
        <v>434</v>
      </c>
      <c r="B436" s="91">
        <v>434</v>
      </c>
      <c r="C436" s="91"/>
      <c r="D436" s="91">
        <v>2099</v>
      </c>
      <c r="E436" s="19" t="s">
        <v>1828</v>
      </c>
      <c r="F436" s="19" t="e">
        <f>_xlfn.XLOOKUP(batch_works35[[#This Row],[description]],Table14[name],Table14[id])</f>
        <v>#N/A</v>
      </c>
      <c r="G436" s="19"/>
      <c r="H436" s="19"/>
      <c r="I436" s="19"/>
      <c r="J436" s="19"/>
      <c r="K436" s="19"/>
    </row>
    <row r="437" spans="1:11">
      <c r="A437" s="91">
        <v>435</v>
      </c>
      <c r="B437" s="91">
        <v>435</v>
      </c>
      <c r="C437" s="91"/>
      <c r="D437" s="91">
        <v>2099</v>
      </c>
      <c r="E437" s="19" t="s">
        <v>1834</v>
      </c>
      <c r="F437" s="19" t="e">
        <f>_xlfn.XLOOKUP(batch_works35[[#This Row],[description]],Table14[name],Table14[id])</f>
        <v>#N/A</v>
      </c>
      <c r="G437" s="19"/>
      <c r="H437" s="19"/>
      <c r="I437" s="19"/>
      <c r="J437" s="19"/>
      <c r="K437" s="19"/>
    </row>
    <row r="438" spans="1:11">
      <c r="A438" s="91">
        <v>436</v>
      </c>
      <c r="B438" s="91">
        <v>436</v>
      </c>
      <c r="C438" s="91"/>
      <c r="D438" s="91">
        <v>2101</v>
      </c>
      <c r="E438" s="19" t="s">
        <v>1829</v>
      </c>
      <c r="F438" s="19" t="e">
        <f>_xlfn.XLOOKUP(batch_works35[[#This Row],[description]],Table14[name],Table14[id])</f>
        <v>#N/A</v>
      </c>
      <c r="G438" s="19"/>
      <c r="H438" s="19"/>
      <c r="I438" s="19"/>
      <c r="J438" s="19"/>
      <c r="K438" s="19"/>
    </row>
    <row r="439" spans="1:11">
      <c r="A439" s="91">
        <v>437</v>
      </c>
      <c r="B439" s="91">
        <v>437</v>
      </c>
      <c r="C439" s="91"/>
      <c r="D439" s="91">
        <v>2103</v>
      </c>
      <c r="E439" s="19" t="s">
        <v>1829</v>
      </c>
      <c r="F439" s="19" t="e">
        <f>_xlfn.XLOOKUP(batch_works35[[#This Row],[description]],Table14[name],Table14[id])</f>
        <v>#N/A</v>
      </c>
      <c r="G439" s="19"/>
      <c r="H439" s="19"/>
      <c r="I439" s="19"/>
      <c r="J439" s="19"/>
      <c r="K439" s="19"/>
    </row>
    <row r="440" spans="1:11">
      <c r="A440" s="91">
        <v>438</v>
      </c>
      <c r="B440" s="91">
        <v>438</v>
      </c>
      <c r="C440" s="91"/>
      <c r="D440" s="91">
        <v>2104</v>
      </c>
      <c r="E440" s="19" t="s">
        <v>1829</v>
      </c>
      <c r="F440" s="19" t="e">
        <f>_xlfn.XLOOKUP(batch_works35[[#This Row],[description]],Table14[name],Table14[id])</f>
        <v>#N/A</v>
      </c>
      <c r="G440" s="19"/>
      <c r="H440" s="19"/>
      <c r="I440" s="19"/>
      <c r="J440" s="19"/>
      <c r="K440" s="19"/>
    </row>
    <row r="441" spans="1:11">
      <c r="A441" s="91">
        <v>439</v>
      </c>
      <c r="B441" s="91">
        <v>439</v>
      </c>
      <c r="C441" s="91"/>
      <c r="D441" s="91">
        <v>2105</v>
      </c>
      <c r="E441" s="19" t="s">
        <v>1829</v>
      </c>
      <c r="F441" s="19" t="e">
        <f>_xlfn.XLOOKUP(batch_works35[[#This Row],[description]],Table14[name],Table14[id])</f>
        <v>#N/A</v>
      </c>
      <c r="G441" s="19"/>
      <c r="H441" s="19"/>
      <c r="I441" s="19"/>
      <c r="J441" s="19"/>
      <c r="K441" s="19"/>
    </row>
    <row r="442" spans="1:11">
      <c r="A442" s="91">
        <v>440</v>
      </c>
      <c r="B442" s="91">
        <v>440</v>
      </c>
      <c r="C442" s="91"/>
      <c r="D442" s="91">
        <v>2107</v>
      </c>
      <c r="E442" s="19" t="s">
        <v>1824</v>
      </c>
      <c r="F442" s="19" t="e">
        <f>_xlfn.XLOOKUP(batch_works35[[#This Row],[description]],Table14[name],Table14[id])</f>
        <v>#N/A</v>
      </c>
      <c r="G442" s="19"/>
      <c r="H442" s="19"/>
      <c r="I442" s="19"/>
      <c r="J442" s="19"/>
      <c r="K442" s="19"/>
    </row>
    <row r="443" spans="1:11">
      <c r="A443" s="91">
        <v>441</v>
      </c>
      <c r="B443" s="91">
        <v>441</v>
      </c>
      <c r="C443" s="91"/>
      <c r="D443" s="91">
        <v>2108</v>
      </c>
      <c r="E443" s="19" t="s">
        <v>1824</v>
      </c>
      <c r="F443" s="19" t="e">
        <f>_xlfn.XLOOKUP(batch_works35[[#This Row],[description]],Table14[name],Table14[id])</f>
        <v>#N/A</v>
      </c>
      <c r="G443" s="19"/>
      <c r="H443" s="19"/>
      <c r="I443" s="19"/>
      <c r="J443" s="19"/>
      <c r="K443" s="19"/>
    </row>
    <row r="444" spans="1:11">
      <c r="A444" s="91">
        <v>442</v>
      </c>
      <c r="B444" s="91">
        <v>442</v>
      </c>
      <c r="C444" s="91"/>
      <c r="D444" s="91">
        <v>2108</v>
      </c>
      <c r="E444" s="19" t="s">
        <v>1825</v>
      </c>
      <c r="F444" s="19" t="e">
        <f>_xlfn.XLOOKUP(batch_works35[[#This Row],[description]],Table14[name],Table14[id])</f>
        <v>#N/A</v>
      </c>
      <c r="G444" s="19"/>
      <c r="H444" s="19"/>
      <c r="I444" s="19"/>
      <c r="J444" s="19"/>
      <c r="K444" s="19"/>
    </row>
    <row r="445" spans="1:11">
      <c r="A445" s="91">
        <v>443</v>
      </c>
      <c r="B445" s="91">
        <v>443</v>
      </c>
      <c r="C445" s="91"/>
      <c r="D445" s="91">
        <v>2108</v>
      </c>
      <c r="E445" s="19" t="s">
        <v>1835</v>
      </c>
      <c r="F445" s="19" t="e">
        <f>_xlfn.XLOOKUP(batch_works35[[#This Row],[description]],Table14[name],Table14[id])</f>
        <v>#N/A</v>
      </c>
      <c r="G445" s="19"/>
      <c r="H445" s="19"/>
      <c r="I445" s="19"/>
      <c r="J445" s="19"/>
      <c r="K445" s="19"/>
    </row>
    <row r="446" spans="1:11">
      <c r="A446" s="91">
        <v>444</v>
      </c>
      <c r="B446" s="91">
        <v>444</v>
      </c>
      <c r="C446" s="91"/>
      <c r="D446" s="91">
        <v>2109</v>
      </c>
      <c r="E446" s="19" t="s">
        <v>1824</v>
      </c>
      <c r="F446" s="19" t="e">
        <f>_xlfn.XLOOKUP(batch_works35[[#This Row],[description]],Table14[name],Table14[id])</f>
        <v>#N/A</v>
      </c>
      <c r="G446" s="19"/>
      <c r="H446" s="19"/>
      <c r="I446" s="19"/>
      <c r="J446" s="19"/>
      <c r="K446" s="19"/>
    </row>
    <row r="447" spans="1:11">
      <c r="A447" s="91">
        <v>445</v>
      </c>
      <c r="B447" s="91">
        <v>445</v>
      </c>
      <c r="C447" s="91"/>
      <c r="D447" s="91">
        <v>2109</v>
      </c>
      <c r="E447" s="19" t="s">
        <v>1829</v>
      </c>
      <c r="F447" s="19" t="e">
        <f>_xlfn.XLOOKUP(batch_works35[[#This Row],[description]],Table14[name],Table14[id])</f>
        <v>#N/A</v>
      </c>
      <c r="G447" s="19"/>
      <c r="H447" s="19"/>
      <c r="I447" s="19"/>
      <c r="J447" s="19"/>
      <c r="K447" s="19"/>
    </row>
    <row r="448" spans="1:11">
      <c r="A448" s="91">
        <v>446</v>
      </c>
      <c r="B448" s="91">
        <v>446</v>
      </c>
      <c r="C448" s="91"/>
      <c r="D448" s="91">
        <v>2110</v>
      </c>
      <c r="E448" s="19" t="s">
        <v>1824</v>
      </c>
      <c r="F448" s="19" t="e">
        <f>_xlfn.XLOOKUP(batch_works35[[#This Row],[description]],Table14[name],Table14[id])</f>
        <v>#N/A</v>
      </c>
      <c r="G448" s="19"/>
      <c r="H448" s="19"/>
      <c r="I448" s="19"/>
      <c r="J448" s="19"/>
      <c r="K448" s="19"/>
    </row>
    <row r="449" spans="1:11">
      <c r="A449" s="91">
        <v>447</v>
      </c>
      <c r="B449" s="91">
        <v>447</v>
      </c>
      <c r="C449" s="91"/>
      <c r="D449" s="91">
        <v>2110</v>
      </c>
      <c r="E449" s="19" t="s">
        <v>1825</v>
      </c>
      <c r="F449" s="19" t="e">
        <f>_xlfn.XLOOKUP(batch_works35[[#This Row],[description]],Table14[name],Table14[id])</f>
        <v>#N/A</v>
      </c>
      <c r="G449" s="19"/>
      <c r="H449" s="19"/>
      <c r="I449" s="19"/>
      <c r="J449" s="19"/>
      <c r="K449" s="19"/>
    </row>
    <row r="450" spans="1:11">
      <c r="A450" s="91">
        <v>448</v>
      </c>
      <c r="B450" s="91">
        <v>448</v>
      </c>
      <c r="C450" s="91"/>
      <c r="D450" s="91">
        <v>2110</v>
      </c>
      <c r="E450" s="19" t="s">
        <v>1835</v>
      </c>
      <c r="F450" s="19" t="e">
        <f>_xlfn.XLOOKUP(batch_works35[[#This Row],[description]],Table14[name],Table14[id])</f>
        <v>#N/A</v>
      </c>
      <c r="G450" s="19"/>
      <c r="H450" s="19"/>
      <c r="I450" s="19"/>
      <c r="J450" s="19"/>
      <c r="K450" s="19"/>
    </row>
    <row r="451" spans="1:11">
      <c r="A451" s="91">
        <v>449</v>
      </c>
      <c r="B451" s="91">
        <v>449</v>
      </c>
      <c r="C451" s="91"/>
      <c r="D451" s="91">
        <v>2111</v>
      </c>
      <c r="E451" s="19" t="s">
        <v>1824</v>
      </c>
      <c r="F451" s="19" t="e">
        <f>_xlfn.XLOOKUP(batch_works35[[#This Row],[description]],Table14[name],Table14[id])</f>
        <v>#N/A</v>
      </c>
      <c r="G451" s="19"/>
      <c r="H451" s="19"/>
      <c r="I451" s="19"/>
      <c r="J451" s="19"/>
      <c r="K451" s="19"/>
    </row>
    <row r="452" spans="1:11">
      <c r="A452" s="91">
        <v>450</v>
      </c>
      <c r="B452" s="91">
        <v>450</v>
      </c>
      <c r="C452" s="91"/>
      <c r="D452" s="91">
        <v>2111</v>
      </c>
      <c r="E452" s="19" t="s">
        <v>1829</v>
      </c>
      <c r="F452" s="19" t="e">
        <f>_xlfn.XLOOKUP(batch_works35[[#This Row],[description]],Table14[name],Table14[id])</f>
        <v>#N/A</v>
      </c>
      <c r="G452" s="19"/>
      <c r="H452" s="19"/>
      <c r="I452" s="19"/>
      <c r="J452" s="19"/>
      <c r="K452" s="19"/>
    </row>
    <row r="453" spans="1:11">
      <c r="A453" s="91">
        <v>451</v>
      </c>
      <c r="B453" s="91">
        <v>451</v>
      </c>
      <c r="C453" s="91"/>
      <c r="D453" s="91">
        <v>2111</v>
      </c>
      <c r="E453" s="19" t="s">
        <v>1825</v>
      </c>
      <c r="F453" s="19" t="e">
        <f>_xlfn.XLOOKUP(batch_works35[[#This Row],[description]],Table14[name],Table14[id])</f>
        <v>#N/A</v>
      </c>
      <c r="G453" s="19"/>
      <c r="H453" s="19"/>
      <c r="I453" s="19"/>
      <c r="J453" s="19"/>
      <c r="K453" s="19"/>
    </row>
    <row r="454" spans="1:11">
      <c r="A454" s="91">
        <v>452</v>
      </c>
      <c r="B454" s="91">
        <v>452</v>
      </c>
      <c r="C454" s="91"/>
      <c r="D454" s="91">
        <v>2111</v>
      </c>
      <c r="E454" s="19" t="s">
        <v>1835</v>
      </c>
      <c r="F454" s="19" t="e">
        <f>_xlfn.XLOOKUP(batch_works35[[#This Row],[description]],Table14[name],Table14[id])</f>
        <v>#N/A</v>
      </c>
      <c r="G454" s="19"/>
      <c r="H454" s="19"/>
      <c r="I454" s="19"/>
      <c r="J454" s="19"/>
      <c r="K454" s="19"/>
    </row>
    <row r="455" spans="1:11">
      <c r="A455" s="91">
        <v>453</v>
      </c>
      <c r="B455" s="91">
        <v>453</v>
      </c>
      <c r="C455" s="91"/>
      <c r="D455" s="91">
        <v>2112</v>
      </c>
      <c r="E455" s="19" t="s">
        <v>1824</v>
      </c>
      <c r="F455" s="19" t="e">
        <f>_xlfn.XLOOKUP(batch_works35[[#This Row],[description]],Table14[name],Table14[id])</f>
        <v>#N/A</v>
      </c>
      <c r="G455" s="19"/>
      <c r="H455" s="19"/>
      <c r="I455" s="19"/>
      <c r="J455" s="19"/>
      <c r="K455" s="19"/>
    </row>
    <row r="456" spans="1:11">
      <c r="A456" s="91">
        <v>454</v>
      </c>
      <c r="B456" s="91">
        <v>454</v>
      </c>
      <c r="C456" s="91"/>
      <c r="D456" s="91">
        <v>2113</v>
      </c>
      <c r="E456" s="19" t="s">
        <v>1824</v>
      </c>
      <c r="F456" s="19" t="e">
        <f>_xlfn.XLOOKUP(batch_works35[[#This Row],[description]],Table14[name],Table14[id])</f>
        <v>#N/A</v>
      </c>
      <c r="G456" s="19"/>
      <c r="H456" s="19"/>
      <c r="I456" s="19"/>
      <c r="J456" s="19"/>
      <c r="K456" s="19"/>
    </row>
    <row r="457" spans="1:11">
      <c r="A457" s="91">
        <v>455</v>
      </c>
      <c r="B457" s="91">
        <v>455</v>
      </c>
      <c r="C457" s="91"/>
      <c r="D457" s="91">
        <v>2114</v>
      </c>
      <c r="E457" s="19" t="s">
        <v>1824</v>
      </c>
      <c r="F457" s="19" t="e">
        <f>_xlfn.XLOOKUP(batch_works35[[#This Row],[description]],Table14[name],Table14[id])</f>
        <v>#N/A</v>
      </c>
      <c r="G457" s="19"/>
      <c r="H457" s="19"/>
      <c r="I457" s="19"/>
      <c r="J457" s="19"/>
      <c r="K457" s="19"/>
    </row>
    <row r="458" spans="1:11">
      <c r="A458" s="91">
        <v>456</v>
      </c>
      <c r="B458" s="91">
        <v>456</v>
      </c>
      <c r="C458" s="91"/>
      <c r="D458" s="91">
        <v>2115</v>
      </c>
      <c r="E458" s="19" t="s">
        <v>1824</v>
      </c>
      <c r="F458" s="19" t="e">
        <f>_xlfn.XLOOKUP(batch_works35[[#This Row],[description]],Table14[name],Table14[id])</f>
        <v>#N/A</v>
      </c>
      <c r="G458" s="19"/>
      <c r="H458" s="19"/>
      <c r="I458" s="19"/>
      <c r="J458" s="19"/>
      <c r="K458" s="19"/>
    </row>
    <row r="459" spans="1:11">
      <c r="A459" s="91">
        <v>457</v>
      </c>
      <c r="B459" s="91">
        <v>457</v>
      </c>
      <c r="C459" s="91"/>
      <c r="D459" s="91">
        <v>2115</v>
      </c>
      <c r="E459" s="19" t="s">
        <v>1829</v>
      </c>
      <c r="F459" s="19" t="e">
        <f>_xlfn.XLOOKUP(batch_works35[[#This Row],[description]],Table14[name],Table14[id])</f>
        <v>#N/A</v>
      </c>
      <c r="G459" s="19"/>
      <c r="H459" s="19"/>
      <c r="I459" s="19"/>
      <c r="J459" s="19"/>
      <c r="K459" s="19"/>
    </row>
    <row r="460" spans="1:11">
      <c r="A460" s="91">
        <v>458</v>
      </c>
      <c r="B460" s="91">
        <v>458</v>
      </c>
      <c r="C460" s="91"/>
      <c r="D460" s="91">
        <v>2115</v>
      </c>
      <c r="E460" s="19" t="s">
        <v>1836</v>
      </c>
      <c r="F460" s="19" t="e">
        <f>_xlfn.XLOOKUP(batch_works35[[#This Row],[description]],Table14[name],Table14[id])</f>
        <v>#N/A</v>
      </c>
      <c r="G460" s="19"/>
      <c r="H460" s="19"/>
      <c r="I460" s="19"/>
      <c r="J460" s="19"/>
      <c r="K460" s="19"/>
    </row>
    <row r="461" spans="1:11">
      <c r="A461" s="91">
        <v>459</v>
      </c>
      <c r="B461" s="91">
        <v>459</v>
      </c>
      <c r="C461" s="91"/>
      <c r="D461" s="91">
        <v>2115</v>
      </c>
      <c r="E461" s="19" t="s">
        <v>1834</v>
      </c>
      <c r="F461" s="19" t="e">
        <f>_xlfn.XLOOKUP(batch_works35[[#This Row],[description]],Table14[name],Table14[id])</f>
        <v>#N/A</v>
      </c>
      <c r="G461" s="19"/>
      <c r="H461" s="19"/>
      <c r="I461" s="19"/>
      <c r="J461" s="19"/>
      <c r="K461" s="19"/>
    </row>
    <row r="462" spans="1:11">
      <c r="A462" s="91">
        <v>460</v>
      </c>
      <c r="B462" s="91">
        <v>460</v>
      </c>
      <c r="C462" s="91"/>
      <c r="D462" s="91">
        <v>2116</v>
      </c>
      <c r="E462" s="19" t="s">
        <v>1824</v>
      </c>
      <c r="F462" s="19" t="e">
        <f>_xlfn.XLOOKUP(batch_works35[[#This Row],[description]],Table14[name],Table14[id])</f>
        <v>#N/A</v>
      </c>
      <c r="G462" s="19"/>
      <c r="H462" s="19"/>
      <c r="I462" s="19"/>
      <c r="J462" s="19"/>
      <c r="K462" s="19"/>
    </row>
    <row r="463" spans="1:11">
      <c r="A463" s="91">
        <v>461</v>
      </c>
      <c r="B463" s="91">
        <v>461</v>
      </c>
      <c r="C463" s="91"/>
      <c r="D463" s="91">
        <v>2116</v>
      </c>
      <c r="E463" s="19" t="s">
        <v>1829</v>
      </c>
      <c r="F463" s="19" t="e">
        <f>_xlfn.XLOOKUP(batch_works35[[#This Row],[description]],Table14[name],Table14[id])</f>
        <v>#N/A</v>
      </c>
      <c r="G463" s="19"/>
      <c r="H463" s="19"/>
      <c r="I463" s="19"/>
      <c r="J463" s="19"/>
      <c r="K463" s="19"/>
    </row>
    <row r="464" spans="1:11">
      <c r="A464" s="91">
        <v>462</v>
      </c>
      <c r="B464" s="91">
        <v>462</v>
      </c>
      <c r="C464" s="91"/>
      <c r="D464" s="91">
        <v>2116</v>
      </c>
      <c r="E464" s="19" t="s">
        <v>1836</v>
      </c>
      <c r="F464" s="19" t="e">
        <f>_xlfn.XLOOKUP(batch_works35[[#This Row],[description]],Table14[name],Table14[id])</f>
        <v>#N/A</v>
      </c>
      <c r="G464" s="19"/>
      <c r="H464" s="19"/>
      <c r="I464" s="19"/>
      <c r="J464" s="19"/>
      <c r="K464" s="19"/>
    </row>
    <row r="465" spans="1:11">
      <c r="A465" s="91">
        <v>463</v>
      </c>
      <c r="B465" s="91">
        <v>463</v>
      </c>
      <c r="C465" s="91"/>
      <c r="D465" s="91">
        <v>2116</v>
      </c>
      <c r="E465" s="19" t="s">
        <v>1834</v>
      </c>
      <c r="F465" s="19" t="e">
        <f>_xlfn.XLOOKUP(batch_works35[[#This Row],[description]],Table14[name],Table14[id])</f>
        <v>#N/A</v>
      </c>
      <c r="G465" s="19"/>
      <c r="H465" s="19"/>
      <c r="I465" s="19"/>
      <c r="J465" s="19"/>
      <c r="K465" s="19"/>
    </row>
    <row r="466" spans="1:11">
      <c r="A466" s="91">
        <v>464</v>
      </c>
      <c r="B466" s="91">
        <v>464</v>
      </c>
      <c r="C466" s="91"/>
      <c r="D466" s="91">
        <v>2117</v>
      </c>
      <c r="E466" s="19" t="s">
        <v>1531</v>
      </c>
      <c r="F466" s="19">
        <f>_xlfn.XLOOKUP(batch_works35[[#This Row],[description]],Table14[name],Table14[id])</f>
        <v>11</v>
      </c>
      <c r="G466" s="19"/>
      <c r="H466" s="19"/>
      <c r="I466" s="19"/>
      <c r="J466" s="19"/>
      <c r="K466" s="19"/>
    </row>
    <row r="467" spans="1:11">
      <c r="A467" s="91">
        <v>465</v>
      </c>
      <c r="B467" s="91">
        <v>465</v>
      </c>
      <c r="C467" s="91"/>
      <c r="D467" s="91">
        <v>2118</v>
      </c>
      <c r="E467" s="19" t="s">
        <v>1531</v>
      </c>
      <c r="F467" s="19">
        <f>_xlfn.XLOOKUP(batch_works35[[#This Row],[description]],Table14[name],Table14[id])</f>
        <v>11</v>
      </c>
      <c r="G467" s="19"/>
      <c r="H467" s="19"/>
      <c r="I467" s="19"/>
      <c r="J467" s="19"/>
      <c r="K467" s="19"/>
    </row>
    <row r="468" spans="1:11">
      <c r="A468" s="91">
        <v>466</v>
      </c>
      <c r="B468" s="91">
        <v>466</v>
      </c>
      <c r="C468" s="91"/>
      <c r="D468" s="91">
        <v>2118</v>
      </c>
      <c r="E468" s="19" t="s">
        <v>1824</v>
      </c>
      <c r="F468" s="19" t="e">
        <f>_xlfn.XLOOKUP(batch_works35[[#This Row],[description]],Table14[name],Table14[id])</f>
        <v>#N/A</v>
      </c>
      <c r="G468" s="19"/>
      <c r="H468" s="19"/>
      <c r="I468" s="19"/>
      <c r="J468" s="19"/>
      <c r="K468" s="19"/>
    </row>
    <row r="469" spans="1:11">
      <c r="A469" s="91">
        <v>467</v>
      </c>
      <c r="B469" s="91">
        <v>467</v>
      </c>
      <c r="C469" s="91"/>
      <c r="D469" s="91">
        <v>2118</v>
      </c>
      <c r="E469" s="19" t="s">
        <v>1825</v>
      </c>
      <c r="F469" s="19" t="e">
        <f>_xlfn.XLOOKUP(batch_works35[[#This Row],[description]],Table14[name],Table14[id])</f>
        <v>#N/A</v>
      </c>
      <c r="G469" s="19"/>
      <c r="H469" s="19"/>
      <c r="I469" s="19"/>
      <c r="J469" s="19"/>
      <c r="K469" s="19"/>
    </row>
    <row r="470" spans="1:11">
      <c r="A470" s="91">
        <v>468</v>
      </c>
      <c r="B470" s="91">
        <v>468</v>
      </c>
      <c r="C470" s="91"/>
      <c r="D470" s="91">
        <v>2118</v>
      </c>
      <c r="E470" s="19" t="s">
        <v>1826</v>
      </c>
      <c r="F470" s="19" t="e">
        <f>_xlfn.XLOOKUP(batch_works35[[#This Row],[description]],Table14[name],Table14[id])</f>
        <v>#N/A</v>
      </c>
      <c r="G470" s="19"/>
      <c r="H470" s="19"/>
      <c r="I470" s="19"/>
      <c r="J470" s="19"/>
      <c r="K470" s="19"/>
    </row>
    <row r="471" spans="1:11">
      <c r="A471" s="91">
        <v>469</v>
      </c>
      <c r="B471" s="91">
        <v>469</v>
      </c>
      <c r="C471" s="91"/>
      <c r="D471" s="91">
        <v>2119</v>
      </c>
      <c r="E471" s="19" t="s">
        <v>1531</v>
      </c>
      <c r="F471" s="19">
        <f>_xlfn.XLOOKUP(batch_works35[[#This Row],[description]],Table14[name],Table14[id])</f>
        <v>11</v>
      </c>
      <c r="G471" s="19"/>
      <c r="H471" s="19"/>
      <c r="I471" s="19"/>
      <c r="J471" s="19"/>
      <c r="K471" s="19"/>
    </row>
    <row r="472" spans="1:11">
      <c r="A472" s="91">
        <v>470</v>
      </c>
      <c r="B472" s="91">
        <v>470</v>
      </c>
      <c r="C472" s="91"/>
      <c r="D472" s="91">
        <v>2119</v>
      </c>
      <c r="E472" s="19" t="s">
        <v>1824</v>
      </c>
      <c r="F472" s="19" t="e">
        <f>_xlfn.XLOOKUP(batch_works35[[#This Row],[description]],Table14[name],Table14[id])</f>
        <v>#N/A</v>
      </c>
      <c r="G472" s="19"/>
      <c r="H472" s="19"/>
      <c r="I472" s="19"/>
      <c r="J472" s="19"/>
      <c r="K472" s="19"/>
    </row>
    <row r="473" spans="1:11">
      <c r="A473" s="91">
        <v>471</v>
      </c>
      <c r="B473" s="91">
        <v>471</v>
      </c>
      <c r="C473" s="91"/>
      <c r="D473" s="91">
        <v>2119</v>
      </c>
      <c r="E473" s="19" t="s">
        <v>1825</v>
      </c>
      <c r="F473" s="19" t="e">
        <f>_xlfn.XLOOKUP(batch_works35[[#This Row],[description]],Table14[name],Table14[id])</f>
        <v>#N/A</v>
      </c>
      <c r="G473" s="19"/>
      <c r="H473" s="19"/>
      <c r="I473" s="19"/>
      <c r="J473" s="19"/>
      <c r="K473" s="19"/>
    </row>
    <row r="474" spans="1:11">
      <c r="A474" s="91">
        <v>472</v>
      </c>
      <c r="B474" s="91">
        <v>472</v>
      </c>
      <c r="C474" s="91"/>
      <c r="D474" s="91">
        <v>2119</v>
      </c>
      <c r="E474" s="19" t="s">
        <v>1835</v>
      </c>
      <c r="F474" s="19" t="e">
        <f>_xlfn.XLOOKUP(batch_works35[[#This Row],[description]],Table14[name],Table14[id])</f>
        <v>#N/A</v>
      </c>
      <c r="G474" s="19"/>
      <c r="H474" s="19"/>
      <c r="I474" s="19"/>
      <c r="J474" s="19"/>
      <c r="K474" s="19"/>
    </row>
    <row r="475" spans="1:11">
      <c r="A475" s="91">
        <v>473</v>
      </c>
      <c r="B475" s="91">
        <v>473</v>
      </c>
      <c r="C475" s="91"/>
      <c r="D475" s="91">
        <v>2120</v>
      </c>
      <c r="E475" s="19" t="s">
        <v>1531</v>
      </c>
      <c r="F475" s="19">
        <f>_xlfn.XLOOKUP(batch_works35[[#This Row],[description]],Table14[name],Table14[id])</f>
        <v>11</v>
      </c>
      <c r="G475" s="19"/>
      <c r="H475" s="19"/>
      <c r="I475" s="19"/>
      <c r="J475" s="19"/>
      <c r="K475" s="19"/>
    </row>
    <row r="476" spans="1:11">
      <c r="A476" s="91">
        <v>474</v>
      </c>
      <c r="B476" s="91">
        <v>474</v>
      </c>
      <c r="C476" s="91"/>
      <c r="D476" s="91">
        <v>2120</v>
      </c>
      <c r="E476" s="19" t="s">
        <v>1825</v>
      </c>
      <c r="F476" s="19" t="e">
        <f>_xlfn.XLOOKUP(batch_works35[[#This Row],[description]],Table14[name],Table14[id])</f>
        <v>#N/A</v>
      </c>
      <c r="G476" s="19"/>
      <c r="H476" s="19"/>
      <c r="I476" s="19"/>
      <c r="J476" s="19"/>
      <c r="K476" s="19"/>
    </row>
    <row r="477" spans="1:11">
      <c r="A477" s="91">
        <v>475</v>
      </c>
      <c r="B477" s="91">
        <v>475</v>
      </c>
      <c r="C477" s="91"/>
      <c r="D477" s="91">
        <v>2120</v>
      </c>
      <c r="E477" s="19" t="s">
        <v>1828</v>
      </c>
      <c r="F477" s="19" t="e">
        <f>_xlfn.XLOOKUP(batch_works35[[#This Row],[description]],Table14[name],Table14[id])</f>
        <v>#N/A</v>
      </c>
      <c r="G477" s="19"/>
      <c r="H477" s="19"/>
      <c r="I477" s="19"/>
      <c r="J477" s="19"/>
      <c r="K477" s="19"/>
    </row>
    <row r="478" spans="1:11">
      <c r="A478" s="91">
        <v>476</v>
      </c>
      <c r="B478" s="91">
        <v>476</v>
      </c>
      <c r="C478" s="91"/>
      <c r="D478" s="91">
        <v>2120</v>
      </c>
      <c r="E478" s="19" t="s">
        <v>1835</v>
      </c>
      <c r="F478" s="19" t="e">
        <f>_xlfn.XLOOKUP(batch_works35[[#This Row],[description]],Table14[name],Table14[id])</f>
        <v>#N/A</v>
      </c>
      <c r="G478" s="19"/>
      <c r="H478" s="19"/>
      <c r="I478" s="19"/>
      <c r="J478" s="19"/>
      <c r="K478" s="19"/>
    </row>
    <row r="479" spans="1:11">
      <c r="A479" s="91">
        <v>477</v>
      </c>
      <c r="B479" s="91">
        <v>477</v>
      </c>
      <c r="C479" s="91"/>
      <c r="D479" s="91">
        <v>2120</v>
      </c>
      <c r="E479" s="19" t="s">
        <v>1820</v>
      </c>
      <c r="F479" s="19" t="e">
        <f>_xlfn.XLOOKUP(batch_works35[[#This Row],[description]],Table14[name],Table14[id])</f>
        <v>#N/A</v>
      </c>
      <c r="G479" s="19"/>
      <c r="H479" s="19"/>
      <c r="I479" s="19"/>
      <c r="J479" s="19"/>
      <c r="K479" s="19"/>
    </row>
    <row r="480" spans="1:11">
      <c r="A480" s="91">
        <v>478</v>
      </c>
      <c r="B480" s="91">
        <v>478</v>
      </c>
      <c r="C480" s="91"/>
      <c r="D480" s="91">
        <v>2121</v>
      </c>
      <c r="E480" s="19" t="s">
        <v>1531</v>
      </c>
      <c r="F480" s="19">
        <f>_xlfn.XLOOKUP(batch_works35[[#This Row],[description]],Table14[name],Table14[id])</f>
        <v>11</v>
      </c>
      <c r="G480" s="19"/>
      <c r="H480" s="19"/>
      <c r="I480" s="19"/>
      <c r="J480" s="19"/>
      <c r="K480" s="19"/>
    </row>
    <row r="481" spans="1:11">
      <c r="A481" s="91">
        <v>479</v>
      </c>
      <c r="B481" s="91">
        <v>479</v>
      </c>
      <c r="C481" s="91"/>
      <c r="D481" s="91">
        <v>2121</v>
      </c>
      <c r="E481" s="19" t="s">
        <v>1824</v>
      </c>
      <c r="F481" s="19" t="e">
        <f>_xlfn.XLOOKUP(batch_works35[[#This Row],[description]],Table14[name],Table14[id])</f>
        <v>#N/A</v>
      </c>
      <c r="G481" s="19"/>
      <c r="H481" s="19"/>
      <c r="I481" s="19"/>
      <c r="J481" s="19"/>
      <c r="K481" s="19"/>
    </row>
    <row r="482" spans="1:11">
      <c r="A482" s="91">
        <v>480</v>
      </c>
      <c r="B482" s="91">
        <v>480</v>
      </c>
      <c r="C482" s="91"/>
      <c r="D482" s="91">
        <v>2121</v>
      </c>
      <c r="E482" s="19" t="s">
        <v>1828</v>
      </c>
      <c r="F482" s="19" t="e">
        <f>_xlfn.XLOOKUP(batch_works35[[#This Row],[description]],Table14[name],Table14[id])</f>
        <v>#N/A</v>
      </c>
      <c r="G482" s="19"/>
      <c r="H482" s="19"/>
      <c r="I482" s="19"/>
      <c r="J482" s="19"/>
      <c r="K482" s="19"/>
    </row>
    <row r="483" spans="1:11">
      <c r="A483" s="91">
        <v>481</v>
      </c>
      <c r="B483" s="91">
        <v>481</v>
      </c>
      <c r="C483" s="91"/>
      <c r="D483" s="91">
        <v>2121</v>
      </c>
      <c r="E483" s="19" t="s">
        <v>1835</v>
      </c>
      <c r="F483" s="19" t="e">
        <f>_xlfn.XLOOKUP(batch_works35[[#This Row],[description]],Table14[name],Table14[id])</f>
        <v>#N/A</v>
      </c>
      <c r="G483" s="19"/>
      <c r="H483" s="19"/>
      <c r="I483" s="19"/>
      <c r="J483" s="19"/>
      <c r="K483" s="19"/>
    </row>
    <row r="484" spans="1:11">
      <c r="A484" s="91">
        <v>482</v>
      </c>
      <c r="B484" s="91">
        <v>482</v>
      </c>
      <c r="C484" s="91"/>
      <c r="D484" s="91">
        <v>2122</v>
      </c>
      <c r="E484" s="19" t="s">
        <v>1531</v>
      </c>
      <c r="F484" s="19">
        <f>_xlfn.XLOOKUP(batch_works35[[#This Row],[description]],Table14[name],Table14[id])</f>
        <v>11</v>
      </c>
      <c r="G484" s="19"/>
      <c r="H484" s="19"/>
      <c r="I484" s="19"/>
      <c r="J484" s="19"/>
      <c r="K484" s="19"/>
    </row>
    <row r="485" spans="1:11">
      <c r="A485" s="91">
        <v>483</v>
      </c>
      <c r="B485" s="91">
        <v>483</v>
      </c>
      <c r="C485" s="91"/>
      <c r="D485" s="91">
        <v>2122</v>
      </c>
      <c r="E485" s="19" t="s">
        <v>1824</v>
      </c>
      <c r="F485" s="19" t="e">
        <f>_xlfn.XLOOKUP(batch_works35[[#This Row],[description]],Table14[name],Table14[id])</f>
        <v>#N/A</v>
      </c>
      <c r="G485" s="19"/>
      <c r="H485" s="19"/>
      <c r="I485" s="19"/>
      <c r="J485" s="19"/>
      <c r="K485" s="19"/>
    </row>
    <row r="486" spans="1:11">
      <c r="A486" s="91">
        <v>484</v>
      </c>
      <c r="B486" s="91">
        <v>484</v>
      </c>
      <c r="C486" s="91"/>
      <c r="D486" s="91">
        <v>2122</v>
      </c>
      <c r="E486" s="19" t="s">
        <v>1825</v>
      </c>
      <c r="F486" s="19" t="e">
        <f>_xlfn.XLOOKUP(batch_works35[[#This Row],[description]],Table14[name],Table14[id])</f>
        <v>#N/A</v>
      </c>
      <c r="G486" s="19"/>
      <c r="H486" s="19"/>
      <c r="I486" s="19"/>
      <c r="J486" s="19"/>
      <c r="K486" s="19"/>
    </row>
    <row r="487" spans="1:11">
      <c r="A487" s="91">
        <v>485</v>
      </c>
      <c r="B487" s="91">
        <v>485</v>
      </c>
      <c r="C487" s="91"/>
      <c r="D487" s="91">
        <v>2122</v>
      </c>
      <c r="E487" s="19" t="s">
        <v>1828</v>
      </c>
      <c r="F487" s="19" t="e">
        <f>_xlfn.XLOOKUP(batch_works35[[#This Row],[description]],Table14[name],Table14[id])</f>
        <v>#N/A</v>
      </c>
      <c r="G487" s="19"/>
      <c r="H487" s="19"/>
      <c r="I487" s="19"/>
      <c r="J487" s="19"/>
      <c r="K487" s="19"/>
    </row>
    <row r="488" spans="1:11">
      <c r="A488" s="91">
        <v>486</v>
      </c>
      <c r="B488" s="91">
        <v>486</v>
      </c>
      <c r="C488" s="91"/>
      <c r="D488" s="91">
        <v>2122</v>
      </c>
      <c r="E488" s="19" t="s">
        <v>1835</v>
      </c>
      <c r="F488" s="19" t="e">
        <f>_xlfn.XLOOKUP(batch_works35[[#This Row],[description]],Table14[name],Table14[id])</f>
        <v>#N/A</v>
      </c>
      <c r="G488" s="19"/>
      <c r="H488" s="19"/>
      <c r="I488" s="19"/>
      <c r="J488" s="19"/>
      <c r="K488" s="19"/>
    </row>
    <row r="489" spans="1:11">
      <c r="A489" s="91">
        <v>487</v>
      </c>
      <c r="B489" s="91">
        <v>487</v>
      </c>
      <c r="C489" s="91"/>
      <c r="D489" s="91">
        <v>2122</v>
      </c>
      <c r="E489" s="19" t="s">
        <v>1820</v>
      </c>
      <c r="F489" s="19" t="e">
        <f>_xlfn.XLOOKUP(batch_works35[[#This Row],[description]],Table14[name],Table14[id])</f>
        <v>#N/A</v>
      </c>
      <c r="G489" s="19"/>
      <c r="H489" s="19"/>
      <c r="I489" s="19"/>
      <c r="J489" s="19"/>
      <c r="K489" s="19"/>
    </row>
    <row r="490" spans="1:11">
      <c r="A490" s="91">
        <v>488</v>
      </c>
      <c r="B490" s="91">
        <v>488</v>
      </c>
      <c r="C490" s="91"/>
      <c r="D490" s="91">
        <v>2123</v>
      </c>
      <c r="E490" s="19" t="s">
        <v>1531</v>
      </c>
      <c r="F490" s="19">
        <f>_xlfn.XLOOKUP(batch_works35[[#This Row],[description]],Table14[name],Table14[id])</f>
        <v>11</v>
      </c>
      <c r="G490" s="19"/>
      <c r="H490" s="19"/>
      <c r="I490" s="19"/>
      <c r="J490" s="19"/>
      <c r="K490" s="19"/>
    </row>
    <row r="491" spans="1:11">
      <c r="A491" s="91">
        <v>489</v>
      </c>
      <c r="B491" s="91">
        <v>489</v>
      </c>
      <c r="C491" s="91"/>
      <c r="D491" s="91">
        <v>2123</v>
      </c>
      <c r="E491" s="19" t="s">
        <v>1825</v>
      </c>
      <c r="F491" s="19" t="e">
        <f>_xlfn.XLOOKUP(batch_works35[[#This Row],[description]],Table14[name],Table14[id])</f>
        <v>#N/A</v>
      </c>
      <c r="G491" s="19"/>
      <c r="H491" s="19"/>
      <c r="I491" s="19"/>
      <c r="J491" s="19"/>
      <c r="K491" s="19"/>
    </row>
    <row r="492" spans="1:11">
      <c r="A492" s="91">
        <v>490</v>
      </c>
      <c r="B492" s="91">
        <v>490</v>
      </c>
      <c r="C492" s="91"/>
      <c r="D492" s="91">
        <v>2123</v>
      </c>
      <c r="E492" s="19" t="s">
        <v>1835</v>
      </c>
      <c r="F492" s="19" t="e">
        <f>_xlfn.XLOOKUP(batch_works35[[#This Row],[description]],Table14[name],Table14[id])</f>
        <v>#N/A</v>
      </c>
      <c r="G492" s="19"/>
      <c r="H492" s="19"/>
      <c r="I492" s="19"/>
      <c r="J492" s="19"/>
      <c r="K492" s="19"/>
    </row>
    <row r="493" spans="1:11">
      <c r="A493" s="91">
        <v>491</v>
      </c>
      <c r="B493" s="91">
        <v>491</v>
      </c>
      <c r="C493" s="91"/>
      <c r="D493" s="91">
        <v>2124</v>
      </c>
      <c r="E493" s="19" t="s">
        <v>1531</v>
      </c>
      <c r="F493" s="19">
        <f>_xlfn.XLOOKUP(batch_works35[[#This Row],[description]],Table14[name],Table14[id])</f>
        <v>11</v>
      </c>
      <c r="G493" s="19"/>
      <c r="H493" s="19"/>
      <c r="I493" s="19"/>
      <c r="J493" s="19"/>
      <c r="K493" s="19"/>
    </row>
    <row r="494" spans="1:11">
      <c r="A494" s="91">
        <v>492</v>
      </c>
      <c r="B494" s="91">
        <v>492</v>
      </c>
      <c r="C494" s="91"/>
      <c r="D494" s="91">
        <v>2124</v>
      </c>
      <c r="E494" s="19" t="s">
        <v>1825</v>
      </c>
      <c r="F494" s="19" t="e">
        <f>_xlfn.XLOOKUP(batch_works35[[#This Row],[description]],Table14[name],Table14[id])</f>
        <v>#N/A</v>
      </c>
      <c r="G494" s="19"/>
      <c r="H494" s="19"/>
      <c r="I494" s="19"/>
      <c r="J494" s="19"/>
      <c r="K494" s="19"/>
    </row>
    <row r="495" spans="1:11">
      <c r="A495" s="91">
        <v>493</v>
      </c>
      <c r="B495" s="91">
        <v>493</v>
      </c>
      <c r="C495" s="91"/>
      <c r="D495" s="91">
        <v>2124</v>
      </c>
      <c r="E495" s="19" t="s">
        <v>1820</v>
      </c>
      <c r="F495" s="19" t="e">
        <f>_xlfn.XLOOKUP(batch_works35[[#This Row],[description]],Table14[name],Table14[id])</f>
        <v>#N/A</v>
      </c>
      <c r="G495" s="19"/>
      <c r="H495" s="19"/>
      <c r="I495" s="19"/>
      <c r="J495" s="19"/>
      <c r="K495" s="19"/>
    </row>
    <row r="496" spans="1:11">
      <c r="A496" s="91">
        <v>494</v>
      </c>
      <c r="B496" s="91">
        <v>494</v>
      </c>
      <c r="C496" s="91"/>
      <c r="D496" s="91">
        <v>2125</v>
      </c>
      <c r="E496" s="19" t="s">
        <v>1531</v>
      </c>
      <c r="F496" s="19">
        <f>_xlfn.XLOOKUP(batch_works35[[#This Row],[description]],Table14[name],Table14[id])</f>
        <v>11</v>
      </c>
      <c r="G496" s="19"/>
      <c r="H496" s="19"/>
      <c r="I496" s="19"/>
      <c r="J496" s="19"/>
      <c r="K496" s="19"/>
    </row>
    <row r="497" spans="1:11">
      <c r="A497" s="91">
        <v>495</v>
      </c>
      <c r="B497" s="91">
        <v>495</v>
      </c>
      <c r="C497" s="91"/>
      <c r="D497" s="91">
        <v>2125</v>
      </c>
      <c r="E497" s="19" t="s">
        <v>1824</v>
      </c>
      <c r="F497" s="19" t="e">
        <f>_xlfn.XLOOKUP(batch_works35[[#This Row],[description]],Table14[name],Table14[id])</f>
        <v>#N/A</v>
      </c>
      <c r="G497" s="19"/>
      <c r="H497" s="19"/>
      <c r="I497" s="19"/>
      <c r="J497" s="19"/>
      <c r="K497" s="19"/>
    </row>
    <row r="498" spans="1:11">
      <c r="A498" s="91">
        <v>496</v>
      </c>
      <c r="B498" s="91">
        <v>496</v>
      </c>
      <c r="C498" s="91"/>
      <c r="D498" s="91">
        <v>2125</v>
      </c>
      <c r="E498" s="19" t="s">
        <v>1827</v>
      </c>
      <c r="F498" s="19" t="e">
        <f>_xlfn.XLOOKUP(batch_works35[[#This Row],[description]],Table14[name],Table14[id])</f>
        <v>#N/A</v>
      </c>
      <c r="G498" s="19"/>
      <c r="H498" s="19"/>
      <c r="I498" s="19"/>
      <c r="J498" s="19"/>
      <c r="K498" s="19"/>
    </row>
    <row r="499" spans="1:11">
      <c r="A499" s="91">
        <v>497</v>
      </c>
      <c r="B499" s="91">
        <v>497</v>
      </c>
      <c r="C499" s="91"/>
      <c r="D499" s="91">
        <v>2125</v>
      </c>
      <c r="E499" s="19" t="s">
        <v>1825</v>
      </c>
      <c r="F499" s="19" t="e">
        <f>_xlfn.XLOOKUP(batch_works35[[#This Row],[description]],Table14[name],Table14[id])</f>
        <v>#N/A</v>
      </c>
      <c r="G499" s="19"/>
      <c r="H499" s="19"/>
      <c r="I499" s="19"/>
      <c r="J499" s="19"/>
      <c r="K499" s="19"/>
    </row>
    <row r="500" spans="1:11">
      <c r="A500" s="91">
        <v>498</v>
      </c>
      <c r="B500" s="91">
        <v>498</v>
      </c>
      <c r="C500" s="91"/>
      <c r="D500" s="91">
        <v>2125</v>
      </c>
      <c r="E500" s="19" t="s">
        <v>1835</v>
      </c>
      <c r="F500" s="19" t="e">
        <f>_xlfn.XLOOKUP(batch_works35[[#This Row],[description]],Table14[name],Table14[id])</f>
        <v>#N/A</v>
      </c>
      <c r="G500" s="19"/>
      <c r="H500" s="19"/>
      <c r="I500" s="19"/>
      <c r="J500" s="19"/>
      <c r="K500" s="19"/>
    </row>
    <row r="501" spans="1:11">
      <c r="A501" s="91">
        <v>499</v>
      </c>
      <c r="B501" s="91">
        <v>499</v>
      </c>
      <c r="C501" s="91"/>
      <c r="D501" s="91">
        <v>2125</v>
      </c>
      <c r="E501" s="19" t="s">
        <v>1820</v>
      </c>
      <c r="F501" s="19" t="e">
        <f>_xlfn.XLOOKUP(batch_works35[[#This Row],[description]],Table14[name],Table14[id])</f>
        <v>#N/A</v>
      </c>
      <c r="G501" s="19"/>
      <c r="H501" s="19"/>
      <c r="I501" s="19"/>
      <c r="J501" s="19"/>
      <c r="K501" s="19"/>
    </row>
    <row r="502" spans="1:11">
      <c r="A502" s="91">
        <v>500</v>
      </c>
      <c r="B502" s="91">
        <v>500</v>
      </c>
      <c r="C502" s="91"/>
      <c r="D502" s="91">
        <v>2126</v>
      </c>
      <c r="E502" s="19" t="s">
        <v>1531</v>
      </c>
      <c r="F502" s="19">
        <f>_xlfn.XLOOKUP(batch_works35[[#This Row],[description]],Table14[name],Table14[id])</f>
        <v>11</v>
      </c>
      <c r="G502" s="19"/>
      <c r="H502" s="19"/>
      <c r="I502" s="19"/>
      <c r="J502" s="19"/>
      <c r="K502" s="19"/>
    </row>
    <row r="503" spans="1:11">
      <c r="A503" s="91">
        <v>501</v>
      </c>
      <c r="B503" s="91">
        <v>501</v>
      </c>
      <c r="C503" s="91"/>
      <c r="D503" s="91">
        <v>2126</v>
      </c>
      <c r="E503" s="19" t="s">
        <v>1824</v>
      </c>
      <c r="F503" s="19" t="e">
        <f>_xlfn.XLOOKUP(batch_works35[[#This Row],[description]],Table14[name],Table14[id])</f>
        <v>#N/A</v>
      </c>
      <c r="G503" s="19"/>
      <c r="H503" s="19"/>
      <c r="I503" s="19"/>
      <c r="J503" s="19"/>
      <c r="K503" s="19"/>
    </row>
    <row r="504" spans="1:11">
      <c r="A504" s="91">
        <v>502</v>
      </c>
      <c r="B504" s="91">
        <v>502</v>
      </c>
      <c r="C504" s="91"/>
      <c r="D504" s="91">
        <v>2126</v>
      </c>
      <c r="E504" s="19" t="s">
        <v>1827</v>
      </c>
      <c r="F504" s="19" t="e">
        <f>_xlfn.XLOOKUP(batch_works35[[#This Row],[description]],Table14[name],Table14[id])</f>
        <v>#N/A</v>
      </c>
      <c r="G504" s="19"/>
      <c r="H504" s="19"/>
      <c r="I504" s="19"/>
      <c r="J504" s="19"/>
      <c r="K504" s="19"/>
    </row>
    <row r="505" spans="1:11">
      <c r="A505" s="91">
        <v>503</v>
      </c>
      <c r="B505" s="91">
        <v>503</v>
      </c>
      <c r="C505" s="91"/>
      <c r="D505" s="91">
        <v>2126</v>
      </c>
      <c r="E505" s="19" t="s">
        <v>1828</v>
      </c>
      <c r="F505" s="19" t="e">
        <f>_xlfn.XLOOKUP(batch_works35[[#This Row],[description]],Table14[name],Table14[id])</f>
        <v>#N/A</v>
      </c>
      <c r="G505" s="19"/>
      <c r="H505" s="19"/>
      <c r="I505" s="19"/>
      <c r="J505" s="19"/>
      <c r="K505" s="19"/>
    </row>
    <row r="506" spans="1:11">
      <c r="A506" s="91">
        <v>504</v>
      </c>
      <c r="B506" s="91">
        <v>504</v>
      </c>
      <c r="C506" s="91"/>
      <c r="D506" s="91">
        <v>2127</v>
      </c>
      <c r="E506" s="19" t="s">
        <v>1829</v>
      </c>
      <c r="F506" s="19" t="e">
        <f>_xlfn.XLOOKUP(batch_works35[[#This Row],[description]],Table14[name],Table14[id])</f>
        <v>#N/A</v>
      </c>
      <c r="G506" s="19"/>
      <c r="H506" s="19"/>
      <c r="I506" s="19"/>
      <c r="J506" s="19"/>
      <c r="K506" s="19"/>
    </row>
    <row r="507" spans="1:11">
      <c r="A507" s="91">
        <v>505</v>
      </c>
      <c r="B507" s="91">
        <v>505</v>
      </c>
      <c r="C507" s="91"/>
      <c r="D507" s="91">
        <v>2127</v>
      </c>
      <c r="E507" s="19" t="s">
        <v>1835</v>
      </c>
      <c r="F507" s="19" t="e">
        <f>_xlfn.XLOOKUP(batch_works35[[#This Row],[description]],Table14[name],Table14[id])</f>
        <v>#N/A</v>
      </c>
      <c r="G507" s="19"/>
      <c r="H507" s="19"/>
      <c r="I507" s="19"/>
      <c r="J507" s="19"/>
      <c r="K507" s="19"/>
    </row>
    <row r="508" spans="1:11">
      <c r="A508" s="91">
        <v>506</v>
      </c>
      <c r="B508" s="91">
        <v>506</v>
      </c>
      <c r="C508" s="91"/>
      <c r="D508" s="91">
        <v>2128</v>
      </c>
      <c r="E508" s="19" t="s">
        <v>1829</v>
      </c>
      <c r="F508" s="19" t="e">
        <f>_xlfn.XLOOKUP(batch_works35[[#This Row],[description]],Table14[name],Table14[id])</f>
        <v>#N/A</v>
      </c>
      <c r="G508" s="19"/>
      <c r="H508" s="19"/>
      <c r="I508" s="19"/>
      <c r="J508" s="19"/>
      <c r="K508" s="19"/>
    </row>
    <row r="509" spans="1:11">
      <c r="A509" s="91">
        <v>507</v>
      </c>
      <c r="B509" s="91">
        <v>507</v>
      </c>
      <c r="C509" s="91"/>
      <c r="D509" s="91">
        <v>2128</v>
      </c>
      <c r="E509" s="19" t="s">
        <v>1825</v>
      </c>
      <c r="F509" s="19" t="e">
        <f>_xlfn.XLOOKUP(batch_works35[[#This Row],[description]],Table14[name],Table14[id])</f>
        <v>#N/A</v>
      </c>
      <c r="G509" s="19"/>
      <c r="H509" s="19"/>
      <c r="I509" s="19"/>
      <c r="J509" s="19"/>
      <c r="K509" s="19"/>
    </row>
    <row r="510" spans="1:11">
      <c r="A510" s="91">
        <v>508</v>
      </c>
      <c r="B510" s="91">
        <v>508</v>
      </c>
      <c r="C510" s="91"/>
      <c r="D510" s="91">
        <v>2128</v>
      </c>
      <c r="E510" s="19" t="s">
        <v>1835</v>
      </c>
      <c r="F510" s="19" t="e">
        <f>_xlfn.XLOOKUP(batch_works35[[#This Row],[description]],Table14[name],Table14[id])</f>
        <v>#N/A</v>
      </c>
      <c r="G510" s="19"/>
      <c r="H510" s="19"/>
      <c r="I510" s="19"/>
      <c r="J510" s="19"/>
      <c r="K510" s="19"/>
    </row>
    <row r="511" spans="1:11">
      <c r="A511" s="91">
        <v>509</v>
      </c>
      <c r="B511" s="91">
        <v>509</v>
      </c>
      <c r="C511" s="91"/>
      <c r="D511" s="91">
        <v>2128</v>
      </c>
      <c r="E511" s="19" t="s">
        <v>1834</v>
      </c>
      <c r="F511" s="19" t="e">
        <f>_xlfn.XLOOKUP(batch_works35[[#This Row],[description]],Table14[name],Table14[id])</f>
        <v>#N/A</v>
      </c>
      <c r="G511" s="19"/>
      <c r="H511" s="19"/>
      <c r="I511" s="19"/>
      <c r="J511" s="19"/>
      <c r="K511" s="19"/>
    </row>
    <row r="512" spans="1:11">
      <c r="A512" s="91">
        <v>510</v>
      </c>
      <c r="B512" s="91">
        <v>510</v>
      </c>
      <c r="C512" s="91"/>
      <c r="D512" s="91">
        <v>2129</v>
      </c>
      <c r="E512" s="19" t="s">
        <v>1829</v>
      </c>
      <c r="F512" s="19" t="e">
        <f>_xlfn.XLOOKUP(batch_works35[[#This Row],[description]],Table14[name],Table14[id])</f>
        <v>#N/A</v>
      </c>
      <c r="G512" s="19"/>
      <c r="H512" s="19"/>
      <c r="I512" s="19"/>
      <c r="J512" s="19"/>
      <c r="K512" s="19"/>
    </row>
    <row r="513" spans="1:11">
      <c r="A513" s="91">
        <v>511</v>
      </c>
      <c r="B513" s="91">
        <v>511</v>
      </c>
      <c r="C513" s="91"/>
      <c r="D513" s="91">
        <v>2129</v>
      </c>
      <c r="E513" s="19" t="s">
        <v>1834</v>
      </c>
      <c r="F513" s="19" t="e">
        <f>_xlfn.XLOOKUP(batch_works35[[#This Row],[description]],Table14[name],Table14[id])</f>
        <v>#N/A</v>
      </c>
      <c r="G513" s="19"/>
      <c r="H513" s="19"/>
      <c r="I513" s="19"/>
      <c r="J513" s="19"/>
      <c r="K513" s="19"/>
    </row>
    <row r="514" spans="1:11">
      <c r="A514" s="91">
        <v>512</v>
      </c>
      <c r="B514" s="91">
        <v>512</v>
      </c>
      <c r="C514" s="91"/>
      <c r="D514" s="91">
        <v>2130</v>
      </c>
      <c r="E514" s="19" t="s">
        <v>1829</v>
      </c>
      <c r="F514" s="19" t="e">
        <f>_xlfn.XLOOKUP(batch_works35[[#This Row],[description]],Table14[name],Table14[id])</f>
        <v>#N/A</v>
      </c>
      <c r="G514" s="19"/>
      <c r="H514" s="19"/>
      <c r="I514" s="19"/>
      <c r="J514" s="19"/>
      <c r="K514" s="19"/>
    </row>
    <row r="515" spans="1:11">
      <c r="A515" s="91">
        <v>513</v>
      </c>
      <c r="B515" s="91">
        <v>513</v>
      </c>
      <c r="C515" s="91"/>
      <c r="D515" s="91">
        <v>2130</v>
      </c>
      <c r="E515" s="19" t="s">
        <v>1825</v>
      </c>
      <c r="F515" s="19" t="e">
        <f>_xlfn.XLOOKUP(batch_works35[[#This Row],[description]],Table14[name],Table14[id])</f>
        <v>#N/A</v>
      </c>
      <c r="G515" s="19"/>
      <c r="H515" s="19"/>
      <c r="I515" s="19"/>
      <c r="J515" s="19"/>
      <c r="K515" s="19"/>
    </row>
    <row r="516" spans="1:11">
      <c r="A516" s="91">
        <v>514</v>
      </c>
      <c r="B516" s="91">
        <v>514</v>
      </c>
      <c r="C516" s="91"/>
      <c r="D516" s="91">
        <v>2130</v>
      </c>
      <c r="E516" s="19" t="s">
        <v>1835</v>
      </c>
      <c r="F516" s="19" t="e">
        <f>_xlfn.XLOOKUP(batch_works35[[#This Row],[description]],Table14[name],Table14[id])</f>
        <v>#N/A</v>
      </c>
      <c r="G516" s="19"/>
      <c r="H516" s="19"/>
      <c r="I516" s="19"/>
      <c r="J516" s="19"/>
      <c r="K516" s="19"/>
    </row>
    <row r="517" spans="1:11">
      <c r="A517" s="91">
        <v>515</v>
      </c>
      <c r="B517" s="91">
        <v>515</v>
      </c>
      <c r="C517" s="91"/>
      <c r="D517" s="91">
        <v>2130</v>
      </c>
      <c r="E517" s="19" t="s">
        <v>1834</v>
      </c>
      <c r="F517" s="19" t="e">
        <f>_xlfn.XLOOKUP(batch_works35[[#This Row],[description]],Table14[name],Table14[id])</f>
        <v>#N/A</v>
      </c>
      <c r="G517" s="19"/>
      <c r="H517" s="19"/>
      <c r="I517" s="19"/>
      <c r="J517" s="19"/>
      <c r="K517" s="19"/>
    </row>
    <row r="518" spans="1:11">
      <c r="A518" s="91">
        <v>516</v>
      </c>
      <c r="B518" s="91">
        <v>516</v>
      </c>
      <c r="C518" s="91"/>
      <c r="D518" s="91">
        <v>2131</v>
      </c>
      <c r="E518" s="19" t="s">
        <v>1829</v>
      </c>
      <c r="F518" s="19" t="e">
        <f>_xlfn.XLOOKUP(batch_works35[[#This Row],[description]],Table14[name],Table14[id])</f>
        <v>#N/A</v>
      </c>
      <c r="G518" s="19"/>
      <c r="H518" s="19"/>
      <c r="I518" s="19"/>
      <c r="J518" s="19"/>
      <c r="K518" s="19"/>
    </row>
    <row r="519" spans="1:11">
      <c r="A519" s="91">
        <v>517</v>
      </c>
      <c r="B519" s="91">
        <v>517</v>
      </c>
      <c r="C519" s="91"/>
      <c r="D519" s="91">
        <v>2131</v>
      </c>
      <c r="E519" s="19" t="s">
        <v>1825</v>
      </c>
      <c r="F519" s="19" t="e">
        <f>_xlfn.XLOOKUP(batch_works35[[#This Row],[description]],Table14[name],Table14[id])</f>
        <v>#N/A</v>
      </c>
      <c r="G519" s="19"/>
      <c r="H519" s="19"/>
      <c r="I519" s="19"/>
      <c r="J519" s="19"/>
      <c r="K519" s="19"/>
    </row>
    <row r="520" spans="1:11">
      <c r="A520" s="91">
        <v>518</v>
      </c>
      <c r="B520" s="91">
        <v>518</v>
      </c>
      <c r="C520" s="91"/>
      <c r="D520" s="91">
        <v>2131</v>
      </c>
      <c r="E520" s="19" t="s">
        <v>1834</v>
      </c>
      <c r="F520" s="19" t="e">
        <f>_xlfn.XLOOKUP(batch_works35[[#This Row],[description]],Table14[name],Table14[id])</f>
        <v>#N/A</v>
      </c>
      <c r="G520" s="19"/>
      <c r="H520" s="19"/>
      <c r="I520" s="19"/>
      <c r="J520" s="19"/>
      <c r="K520" s="19"/>
    </row>
    <row r="521" spans="1:11">
      <c r="A521" s="91">
        <v>519</v>
      </c>
      <c r="B521" s="91">
        <v>519</v>
      </c>
      <c r="C521" s="91"/>
      <c r="D521" s="91">
        <v>2132</v>
      </c>
      <c r="E521" s="19" t="s">
        <v>1829</v>
      </c>
      <c r="F521" s="19" t="e">
        <f>_xlfn.XLOOKUP(batch_works35[[#This Row],[description]],Table14[name],Table14[id])</f>
        <v>#N/A</v>
      </c>
      <c r="G521" s="19"/>
      <c r="H521" s="19"/>
      <c r="I521" s="19"/>
      <c r="J521" s="19"/>
      <c r="K521" s="19"/>
    </row>
    <row r="522" spans="1:11">
      <c r="A522" s="91">
        <v>520</v>
      </c>
      <c r="B522" s="91">
        <v>520</v>
      </c>
      <c r="C522" s="91"/>
      <c r="D522" s="91">
        <v>2132</v>
      </c>
      <c r="E522" s="19" t="s">
        <v>1825</v>
      </c>
      <c r="F522" s="19" t="e">
        <f>_xlfn.XLOOKUP(batch_works35[[#This Row],[description]],Table14[name],Table14[id])</f>
        <v>#N/A</v>
      </c>
      <c r="G522" s="19"/>
      <c r="H522" s="19"/>
      <c r="I522" s="19"/>
      <c r="J522" s="19"/>
      <c r="K522" s="19"/>
    </row>
    <row r="523" spans="1:11">
      <c r="A523" s="91">
        <v>521</v>
      </c>
      <c r="B523" s="91">
        <v>521</v>
      </c>
      <c r="C523" s="91"/>
      <c r="D523" s="91">
        <v>2132</v>
      </c>
      <c r="E523" s="19" t="s">
        <v>1834</v>
      </c>
      <c r="F523" s="19" t="e">
        <f>_xlfn.XLOOKUP(batch_works35[[#This Row],[description]],Table14[name],Table14[id])</f>
        <v>#N/A</v>
      </c>
      <c r="G523" s="19"/>
      <c r="H523" s="19"/>
      <c r="I523" s="19"/>
      <c r="J523" s="19"/>
      <c r="K523" s="19"/>
    </row>
    <row r="524" spans="1:11">
      <c r="A524" s="91">
        <v>522</v>
      </c>
      <c r="B524" s="91">
        <v>522</v>
      </c>
      <c r="C524" s="91"/>
      <c r="D524" s="91">
        <v>2133</v>
      </c>
      <c r="E524" s="19" t="s">
        <v>1829</v>
      </c>
      <c r="F524" s="19" t="e">
        <f>_xlfn.XLOOKUP(batch_works35[[#This Row],[description]],Table14[name],Table14[id])</f>
        <v>#N/A</v>
      </c>
      <c r="G524" s="19"/>
      <c r="H524" s="19"/>
      <c r="I524" s="19"/>
      <c r="J524" s="19"/>
      <c r="K524" s="19"/>
    </row>
    <row r="525" spans="1:11">
      <c r="A525" s="91">
        <v>523</v>
      </c>
      <c r="B525" s="91">
        <v>523</v>
      </c>
      <c r="C525" s="91"/>
      <c r="D525" s="91">
        <v>2133</v>
      </c>
      <c r="E525" s="19" t="s">
        <v>1834</v>
      </c>
      <c r="F525" s="19" t="e">
        <f>_xlfn.XLOOKUP(batch_works35[[#This Row],[description]],Table14[name],Table14[id])</f>
        <v>#N/A</v>
      </c>
      <c r="G525" s="19"/>
      <c r="H525" s="19"/>
      <c r="I525" s="19"/>
      <c r="J525" s="19"/>
      <c r="K525" s="19"/>
    </row>
    <row r="526" spans="1:11">
      <c r="A526" s="91">
        <v>524</v>
      </c>
      <c r="B526" s="91">
        <v>524</v>
      </c>
      <c r="C526" s="91"/>
      <c r="D526" s="91">
        <v>2134</v>
      </c>
      <c r="E526" s="19" t="s">
        <v>1829</v>
      </c>
      <c r="F526" s="19" t="e">
        <f>_xlfn.XLOOKUP(batch_works35[[#This Row],[description]],Table14[name],Table14[id])</f>
        <v>#N/A</v>
      </c>
      <c r="G526" s="19"/>
      <c r="H526" s="19"/>
      <c r="I526" s="19"/>
      <c r="J526" s="19"/>
      <c r="K526" s="19"/>
    </row>
    <row r="527" spans="1:11">
      <c r="A527" s="91">
        <v>525</v>
      </c>
      <c r="B527" s="91">
        <v>525</v>
      </c>
      <c r="C527" s="91"/>
      <c r="D527" s="91">
        <v>2134</v>
      </c>
      <c r="E527" s="19" t="s">
        <v>1825</v>
      </c>
      <c r="F527" s="19" t="e">
        <f>_xlfn.XLOOKUP(batch_works35[[#This Row],[description]],Table14[name],Table14[id])</f>
        <v>#N/A</v>
      </c>
      <c r="G527" s="19"/>
      <c r="H527" s="19"/>
      <c r="I527" s="19"/>
      <c r="J527" s="19"/>
      <c r="K527" s="19"/>
    </row>
    <row r="528" spans="1:11">
      <c r="A528" s="91">
        <v>526</v>
      </c>
      <c r="B528" s="91">
        <v>526</v>
      </c>
      <c r="C528" s="91"/>
      <c r="D528" s="91">
        <v>2134</v>
      </c>
      <c r="E528" s="19" t="s">
        <v>1835</v>
      </c>
      <c r="F528" s="19" t="e">
        <f>_xlfn.XLOOKUP(batch_works35[[#This Row],[description]],Table14[name],Table14[id])</f>
        <v>#N/A</v>
      </c>
      <c r="G528" s="19"/>
      <c r="H528" s="19"/>
      <c r="I528" s="19"/>
      <c r="J528" s="19"/>
      <c r="K528" s="19"/>
    </row>
    <row r="529" spans="1:11">
      <c r="A529" s="91">
        <v>527</v>
      </c>
      <c r="B529" s="91">
        <v>527</v>
      </c>
      <c r="C529" s="91"/>
      <c r="D529" s="91">
        <v>2134</v>
      </c>
      <c r="E529" s="19" t="s">
        <v>1834</v>
      </c>
      <c r="F529" s="19" t="e">
        <f>_xlfn.XLOOKUP(batch_works35[[#This Row],[description]],Table14[name],Table14[id])</f>
        <v>#N/A</v>
      </c>
      <c r="G529" s="19"/>
      <c r="H529" s="19"/>
      <c r="I529" s="19"/>
      <c r="J529" s="19"/>
      <c r="K529" s="19"/>
    </row>
    <row r="530" spans="1:11">
      <c r="A530" s="91">
        <v>528</v>
      </c>
      <c r="B530" s="91">
        <v>528</v>
      </c>
      <c r="C530" s="91"/>
      <c r="D530" s="91">
        <v>2135</v>
      </c>
      <c r="E530" s="19" t="s">
        <v>1829</v>
      </c>
      <c r="F530" s="19" t="e">
        <f>_xlfn.XLOOKUP(batch_works35[[#This Row],[description]],Table14[name],Table14[id])</f>
        <v>#N/A</v>
      </c>
      <c r="G530" s="19"/>
      <c r="H530" s="19"/>
      <c r="I530" s="19"/>
      <c r="J530" s="19"/>
      <c r="K530" s="19"/>
    </row>
    <row r="531" spans="1:11">
      <c r="A531" s="91">
        <v>529</v>
      </c>
      <c r="B531" s="91">
        <v>529</v>
      </c>
      <c r="C531" s="91"/>
      <c r="D531" s="91">
        <v>2135</v>
      </c>
      <c r="E531" s="19" t="s">
        <v>1825</v>
      </c>
      <c r="F531" s="19" t="e">
        <f>_xlfn.XLOOKUP(batch_works35[[#This Row],[description]],Table14[name],Table14[id])</f>
        <v>#N/A</v>
      </c>
      <c r="G531" s="19"/>
      <c r="H531" s="19"/>
      <c r="I531" s="19"/>
      <c r="J531" s="19"/>
      <c r="K531" s="19"/>
    </row>
    <row r="532" spans="1:11">
      <c r="A532" s="91">
        <v>530</v>
      </c>
      <c r="B532" s="91">
        <v>530</v>
      </c>
      <c r="C532" s="91"/>
      <c r="D532" s="91">
        <v>2135</v>
      </c>
      <c r="E532" s="19" t="s">
        <v>1834</v>
      </c>
      <c r="F532" s="19" t="e">
        <f>_xlfn.XLOOKUP(batch_works35[[#This Row],[description]],Table14[name],Table14[id])</f>
        <v>#N/A</v>
      </c>
      <c r="G532" s="19"/>
      <c r="H532" s="19"/>
      <c r="I532" s="19"/>
      <c r="J532" s="19"/>
      <c r="K532" s="19"/>
    </row>
    <row r="533" spans="1:11">
      <c r="A533" s="91">
        <v>531</v>
      </c>
      <c r="B533" s="91">
        <v>531</v>
      </c>
      <c r="C533" s="91"/>
      <c r="D533" s="91">
        <v>2136</v>
      </c>
      <c r="E533" s="19" t="s">
        <v>1829</v>
      </c>
      <c r="F533" s="19" t="e">
        <f>_xlfn.XLOOKUP(batch_works35[[#This Row],[description]],Table14[name],Table14[id])</f>
        <v>#N/A</v>
      </c>
      <c r="G533" s="19"/>
      <c r="H533" s="19"/>
      <c r="I533" s="19"/>
      <c r="J533" s="19"/>
      <c r="K533" s="19"/>
    </row>
    <row r="534" spans="1:11">
      <c r="A534" s="91">
        <v>532</v>
      </c>
      <c r="B534" s="91">
        <v>532</v>
      </c>
      <c r="C534" s="91"/>
      <c r="D534" s="91">
        <v>2136</v>
      </c>
      <c r="E534" s="19" t="s">
        <v>1825</v>
      </c>
      <c r="F534" s="19" t="e">
        <f>_xlfn.XLOOKUP(batch_works35[[#This Row],[description]],Table14[name],Table14[id])</f>
        <v>#N/A</v>
      </c>
      <c r="G534" s="19"/>
      <c r="H534" s="19"/>
      <c r="I534" s="19"/>
      <c r="J534" s="19"/>
      <c r="K534" s="19"/>
    </row>
    <row r="535" spans="1:11">
      <c r="A535" s="91">
        <v>533</v>
      </c>
      <c r="B535" s="91">
        <v>533</v>
      </c>
      <c r="C535" s="91"/>
      <c r="D535" s="91">
        <v>2136</v>
      </c>
      <c r="E535" s="19" t="s">
        <v>1834</v>
      </c>
      <c r="F535" s="19" t="e">
        <f>_xlfn.XLOOKUP(batch_works35[[#This Row],[description]],Table14[name],Table14[id])</f>
        <v>#N/A</v>
      </c>
      <c r="G535" s="19"/>
      <c r="H535" s="19"/>
      <c r="I535" s="19"/>
      <c r="J535" s="19"/>
      <c r="K535" s="19"/>
    </row>
    <row r="536" spans="1:11">
      <c r="A536" s="91">
        <v>534</v>
      </c>
      <c r="B536" s="91">
        <v>534</v>
      </c>
      <c r="C536" s="91"/>
      <c r="D536" s="91">
        <v>2863</v>
      </c>
      <c r="E536" s="19" t="s">
        <v>1827</v>
      </c>
      <c r="F536" s="19" t="e">
        <f>_xlfn.XLOOKUP(batch_works35[[#This Row],[description]],Table14[name],Table14[id])</f>
        <v>#N/A</v>
      </c>
      <c r="G536" s="19"/>
      <c r="H536" s="19"/>
      <c r="I536" s="19"/>
      <c r="J536" s="19"/>
      <c r="K536" s="19"/>
    </row>
    <row r="537" spans="1:11">
      <c r="A537" s="91">
        <v>535</v>
      </c>
      <c r="B537" s="91">
        <v>535</v>
      </c>
      <c r="C537" s="91"/>
      <c r="D537" s="91">
        <v>2881</v>
      </c>
      <c r="E537" s="19" t="s">
        <v>1829</v>
      </c>
      <c r="F537" s="19" t="e">
        <f>_xlfn.XLOOKUP(batch_works35[[#This Row],[description]],Table14[name],Table14[id])</f>
        <v>#N/A</v>
      </c>
      <c r="G537" s="19"/>
      <c r="H537" s="19"/>
      <c r="I537" s="19"/>
      <c r="J537" s="19"/>
      <c r="K537" s="19"/>
    </row>
    <row r="538" spans="1:11">
      <c r="A538" s="91">
        <v>536</v>
      </c>
      <c r="B538" s="91">
        <v>536</v>
      </c>
      <c r="C538" s="91"/>
      <c r="D538" s="91">
        <v>1901</v>
      </c>
      <c r="E538" s="19" t="s">
        <v>1561</v>
      </c>
      <c r="F538" s="19">
        <f>_xlfn.XLOOKUP(batch_works35[[#This Row],[description]],Table14[name],Table14[id])</f>
        <v>30</v>
      </c>
      <c r="G538" s="19"/>
      <c r="H538" s="19"/>
      <c r="I538" s="19"/>
      <c r="J538" s="19"/>
      <c r="K538" s="19"/>
    </row>
    <row r="539" spans="1:11">
      <c r="A539" s="91">
        <v>537</v>
      </c>
      <c r="B539" s="91">
        <v>537</v>
      </c>
      <c r="C539" s="91"/>
      <c r="D539" s="91">
        <v>1901</v>
      </c>
      <c r="E539" s="19" t="s">
        <v>1819</v>
      </c>
      <c r="F539" s="19" t="e">
        <f>_xlfn.XLOOKUP(batch_works35[[#This Row],[description]],Table14[name],Table14[id])</f>
        <v>#N/A</v>
      </c>
      <c r="G539" s="19"/>
      <c r="H539" s="19"/>
      <c r="I539" s="19"/>
      <c r="J539" s="19"/>
      <c r="K539" s="19"/>
    </row>
    <row r="540" spans="1:11">
      <c r="A540" s="91">
        <v>538</v>
      </c>
      <c r="B540" s="91">
        <v>538</v>
      </c>
      <c r="C540" s="91"/>
      <c r="D540" s="91">
        <v>1907</v>
      </c>
      <c r="E540" s="19" t="s">
        <v>1563</v>
      </c>
      <c r="F540" s="19">
        <f>_xlfn.XLOOKUP(batch_works35[[#This Row],[description]],Table14[name],Table14[id])</f>
        <v>31</v>
      </c>
      <c r="G540" s="19"/>
      <c r="H540" s="19"/>
      <c r="I540" s="19"/>
      <c r="J540" s="19"/>
      <c r="K540" s="19"/>
    </row>
    <row r="541" spans="1:11">
      <c r="A541" s="91">
        <v>539</v>
      </c>
      <c r="B541" s="91">
        <v>539</v>
      </c>
      <c r="C541" s="91"/>
      <c r="D541" s="91">
        <v>1943</v>
      </c>
      <c r="E541" s="19" t="s">
        <v>1827</v>
      </c>
      <c r="F541" s="19" t="e">
        <f>_xlfn.XLOOKUP(batch_works35[[#This Row],[description]],Table14[name],Table14[id])</f>
        <v>#N/A</v>
      </c>
      <c r="G541" s="19"/>
      <c r="H541" s="19"/>
      <c r="I541" s="19"/>
      <c r="J541" s="19"/>
      <c r="K541" s="19"/>
    </row>
    <row r="542" spans="1:11">
      <c r="A542" s="91">
        <v>540</v>
      </c>
      <c r="B542" s="91">
        <v>540</v>
      </c>
      <c r="C542" s="91"/>
      <c r="D542" s="91">
        <v>1956</v>
      </c>
      <c r="E542" s="19" t="s">
        <v>1819</v>
      </c>
      <c r="F542" s="19" t="e">
        <f>_xlfn.XLOOKUP(batch_works35[[#This Row],[description]],Table14[name],Table14[id])</f>
        <v>#N/A</v>
      </c>
      <c r="G542" s="19"/>
      <c r="H542" s="19"/>
      <c r="I542" s="19"/>
      <c r="J542" s="19"/>
      <c r="K542" s="19"/>
    </row>
    <row r="543" spans="1:11">
      <c r="A543" s="91">
        <v>541</v>
      </c>
      <c r="B543" s="91">
        <v>541</v>
      </c>
      <c r="C543" s="91"/>
      <c r="D543" s="91">
        <v>1973</v>
      </c>
      <c r="E543" s="19" t="s">
        <v>1819</v>
      </c>
      <c r="F543" s="19" t="e">
        <f>_xlfn.XLOOKUP(batch_works35[[#This Row],[description]],Table14[name],Table14[id])</f>
        <v>#N/A</v>
      </c>
      <c r="G543" s="19"/>
      <c r="H543" s="19"/>
      <c r="I543" s="19"/>
      <c r="J543" s="19"/>
      <c r="K543" s="19"/>
    </row>
    <row r="544" spans="1:11">
      <c r="A544" s="91">
        <v>542</v>
      </c>
      <c r="B544" s="91">
        <v>542</v>
      </c>
      <c r="C544" s="91"/>
      <c r="D544" s="91">
        <v>1975</v>
      </c>
      <c r="E544" s="19" t="s">
        <v>1819</v>
      </c>
      <c r="F544" s="19" t="e">
        <f>_xlfn.XLOOKUP(batch_works35[[#This Row],[description]],Table14[name],Table14[id])</f>
        <v>#N/A</v>
      </c>
      <c r="G544" s="19"/>
      <c r="H544" s="19"/>
      <c r="I544" s="19"/>
      <c r="J544" s="19"/>
      <c r="K544" s="19"/>
    </row>
    <row r="545" spans="1:11">
      <c r="A545" s="91">
        <v>543</v>
      </c>
      <c r="B545" s="91">
        <v>543</v>
      </c>
      <c r="C545" s="91"/>
      <c r="D545" s="91">
        <v>1976</v>
      </c>
      <c r="E545" s="19" t="s">
        <v>1561</v>
      </c>
      <c r="F545" s="19">
        <f>_xlfn.XLOOKUP(batch_works35[[#This Row],[description]],Table14[name],Table14[id])</f>
        <v>30</v>
      </c>
      <c r="G545" s="19"/>
      <c r="H545" s="19"/>
      <c r="I545" s="19"/>
      <c r="J545" s="19"/>
      <c r="K545" s="19"/>
    </row>
    <row r="546" spans="1:11">
      <c r="A546" s="91">
        <v>544</v>
      </c>
      <c r="B546" s="91">
        <v>544</v>
      </c>
      <c r="C546" s="91"/>
      <c r="D546" s="91">
        <v>1978</v>
      </c>
      <c r="E546" s="19" t="s">
        <v>1819</v>
      </c>
      <c r="F546" s="19" t="e">
        <f>_xlfn.XLOOKUP(batch_works35[[#This Row],[description]],Table14[name],Table14[id])</f>
        <v>#N/A</v>
      </c>
      <c r="G546" s="19"/>
      <c r="H546" s="19"/>
      <c r="I546" s="19"/>
      <c r="J546" s="19"/>
      <c r="K546" s="19"/>
    </row>
    <row r="547" spans="1:11">
      <c r="A547" s="91">
        <v>545</v>
      </c>
      <c r="B547" s="91">
        <v>545</v>
      </c>
      <c r="C547" s="91"/>
      <c r="D547" s="91">
        <v>1995</v>
      </c>
      <c r="E547" s="19" t="s">
        <v>1819</v>
      </c>
      <c r="F547" s="19" t="e">
        <f>_xlfn.XLOOKUP(batch_works35[[#This Row],[description]],Table14[name],Table14[id])</f>
        <v>#N/A</v>
      </c>
      <c r="G547" s="19"/>
      <c r="H547" s="19"/>
      <c r="I547" s="19"/>
      <c r="J547" s="19"/>
      <c r="K547" s="19"/>
    </row>
    <row r="548" spans="1:11">
      <c r="A548" s="91">
        <v>546</v>
      </c>
      <c r="B548" s="91">
        <v>546</v>
      </c>
      <c r="C548" s="91"/>
      <c r="D548" s="91">
        <v>1996</v>
      </c>
      <c r="E548" s="19" t="s">
        <v>1561</v>
      </c>
      <c r="F548" s="19">
        <f>_xlfn.XLOOKUP(batch_works35[[#This Row],[description]],Table14[name],Table14[id])</f>
        <v>30</v>
      </c>
      <c r="G548" s="19"/>
      <c r="H548" s="19"/>
      <c r="I548" s="19"/>
      <c r="J548" s="19"/>
      <c r="K548" s="19"/>
    </row>
    <row r="549" spans="1:11">
      <c r="A549" s="91">
        <v>547</v>
      </c>
      <c r="B549" s="91">
        <v>547</v>
      </c>
      <c r="C549" s="91"/>
      <c r="D549" s="91">
        <v>1996</v>
      </c>
      <c r="E549" s="19" t="s">
        <v>1819</v>
      </c>
      <c r="F549" s="19" t="e">
        <f>_xlfn.XLOOKUP(batch_works35[[#This Row],[description]],Table14[name],Table14[id])</f>
        <v>#N/A</v>
      </c>
      <c r="G549" s="19"/>
      <c r="H549" s="19"/>
      <c r="I549" s="19"/>
      <c r="J549" s="19"/>
      <c r="K549" s="19"/>
    </row>
    <row r="550" spans="1:11">
      <c r="A550" s="91">
        <v>548</v>
      </c>
      <c r="B550" s="91">
        <v>548</v>
      </c>
      <c r="C550" s="91"/>
      <c r="D550" s="91">
        <v>1999</v>
      </c>
      <c r="E550" s="19" t="s">
        <v>1563</v>
      </c>
      <c r="F550" s="19">
        <f>_xlfn.XLOOKUP(batch_works35[[#This Row],[description]],Table14[name],Table14[id])</f>
        <v>31</v>
      </c>
      <c r="G550" s="19"/>
      <c r="H550" s="19"/>
      <c r="I550" s="19"/>
      <c r="J550" s="19"/>
      <c r="K550" s="19"/>
    </row>
    <row r="551" spans="1:11">
      <c r="A551" s="91">
        <v>549</v>
      </c>
      <c r="B551" s="91">
        <v>549</v>
      </c>
      <c r="C551" s="91"/>
      <c r="D551" s="91">
        <v>1999</v>
      </c>
      <c r="E551" s="19" t="s">
        <v>1819</v>
      </c>
      <c r="F551" s="19" t="e">
        <f>_xlfn.XLOOKUP(batch_works35[[#This Row],[description]],Table14[name],Table14[id])</f>
        <v>#N/A</v>
      </c>
      <c r="G551" s="19"/>
      <c r="H551" s="19"/>
      <c r="I551" s="19"/>
      <c r="J551" s="19"/>
      <c r="K551" s="19"/>
    </row>
    <row r="552" spans="1:11">
      <c r="A552" s="91">
        <v>550</v>
      </c>
      <c r="B552" s="91">
        <v>550</v>
      </c>
      <c r="C552" s="91"/>
      <c r="D552" s="91">
        <v>2001</v>
      </c>
      <c r="E552" s="19" t="s">
        <v>1819</v>
      </c>
      <c r="F552" s="19" t="e">
        <f>_xlfn.XLOOKUP(batch_works35[[#This Row],[description]],Table14[name],Table14[id])</f>
        <v>#N/A</v>
      </c>
      <c r="G552" s="19"/>
      <c r="H552" s="19"/>
      <c r="I552" s="19"/>
      <c r="J552" s="19"/>
      <c r="K552" s="19"/>
    </row>
    <row r="553" spans="1:11">
      <c r="A553" s="91">
        <v>551</v>
      </c>
      <c r="B553" s="91">
        <v>551</v>
      </c>
      <c r="C553" s="91"/>
      <c r="D553" s="91">
        <v>2010</v>
      </c>
      <c r="E553" s="19" t="s">
        <v>1823</v>
      </c>
      <c r="F553" s="19" t="e">
        <f>_xlfn.XLOOKUP(batch_works35[[#This Row],[description]],Table14[name],Table14[id])</f>
        <v>#N/A</v>
      </c>
      <c r="G553" s="19"/>
      <c r="H553" s="19"/>
      <c r="I553" s="19"/>
      <c r="J553" s="19"/>
      <c r="K553" s="19"/>
    </row>
    <row r="554" spans="1:11">
      <c r="A554" s="91">
        <v>552</v>
      </c>
      <c r="B554" s="91">
        <v>552</v>
      </c>
      <c r="C554" s="91"/>
      <c r="D554" s="91">
        <v>2012</v>
      </c>
      <c r="E554" s="19" t="s">
        <v>1561</v>
      </c>
      <c r="F554" s="19">
        <f>_xlfn.XLOOKUP(batch_works35[[#This Row],[description]],Table14[name],Table14[id])</f>
        <v>30</v>
      </c>
      <c r="G554" s="19"/>
      <c r="H554" s="19"/>
      <c r="I554" s="19"/>
      <c r="J554" s="19"/>
      <c r="K554" s="19"/>
    </row>
    <row r="555" spans="1:11">
      <c r="A555" s="91">
        <v>553</v>
      </c>
      <c r="B555" s="91">
        <v>553</v>
      </c>
      <c r="C555" s="91"/>
      <c r="D555" s="91">
        <v>2012</v>
      </c>
      <c r="E555" s="19" t="s">
        <v>1819</v>
      </c>
      <c r="F555" s="19" t="e">
        <f>_xlfn.XLOOKUP(batch_works35[[#This Row],[description]],Table14[name],Table14[id])</f>
        <v>#N/A</v>
      </c>
      <c r="G555" s="19"/>
      <c r="H555" s="19"/>
      <c r="I555" s="19"/>
      <c r="J555" s="19"/>
      <c r="K555" s="19"/>
    </row>
    <row r="556" spans="1:11">
      <c r="A556" s="91">
        <v>554</v>
      </c>
      <c r="B556" s="91">
        <v>554</v>
      </c>
      <c r="C556" s="91"/>
      <c r="D556" s="91">
        <v>2014</v>
      </c>
      <c r="E556" s="19" t="s">
        <v>1819</v>
      </c>
      <c r="F556" s="19" t="e">
        <f>_xlfn.XLOOKUP(batch_works35[[#This Row],[description]],Table14[name],Table14[id])</f>
        <v>#N/A</v>
      </c>
      <c r="G556" s="19"/>
      <c r="H556" s="19"/>
      <c r="I556" s="19"/>
      <c r="J556" s="19"/>
      <c r="K556" s="19"/>
    </row>
    <row r="557" spans="1:11">
      <c r="A557" s="91">
        <v>555</v>
      </c>
      <c r="B557" s="91">
        <v>555</v>
      </c>
      <c r="C557" s="91"/>
      <c r="D557" s="91">
        <v>2015</v>
      </c>
      <c r="E557" s="19" t="s">
        <v>1819</v>
      </c>
      <c r="F557" s="19" t="e">
        <f>_xlfn.XLOOKUP(batch_works35[[#This Row],[description]],Table14[name],Table14[id])</f>
        <v>#N/A</v>
      </c>
      <c r="G557" s="19"/>
      <c r="H557" s="19"/>
      <c r="I557" s="19"/>
      <c r="J557" s="19"/>
      <c r="K557" s="19"/>
    </row>
    <row r="558" spans="1:11">
      <c r="A558" s="91">
        <v>556</v>
      </c>
      <c r="B558" s="91">
        <v>556</v>
      </c>
      <c r="C558" s="91"/>
      <c r="D558" s="91">
        <v>2018</v>
      </c>
      <c r="E558" s="19" t="s">
        <v>1819</v>
      </c>
      <c r="F558" s="19" t="e">
        <f>_xlfn.XLOOKUP(batch_works35[[#This Row],[description]],Table14[name],Table14[id])</f>
        <v>#N/A</v>
      </c>
      <c r="G558" s="19"/>
      <c r="H558" s="19"/>
      <c r="I558" s="19"/>
      <c r="J558" s="19"/>
      <c r="K558" s="19"/>
    </row>
    <row r="559" spans="1:11">
      <c r="A559" s="91">
        <v>557</v>
      </c>
      <c r="B559" s="91">
        <v>557</v>
      </c>
      <c r="C559" s="91"/>
      <c r="D559" s="91">
        <v>2046</v>
      </c>
      <c r="E559" s="19" t="s">
        <v>1819</v>
      </c>
      <c r="F559" s="19" t="e">
        <f>_xlfn.XLOOKUP(batch_works35[[#This Row],[description]],Table14[name],Table14[id])</f>
        <v>#N/A</v>
      </c>
      <c r="G559" s="19"/>
      <c r="H559" s="19"/>
      <c r="I559" s="19"/>
      <c r="J559" s="19"/>
      <c r="K559" s="19"/>
    </row>
    <row r="560" spans="1:11">
      <c r="A560" s="91">
        <v>558</v>
      </c>
      <c r="B560" s="91">
        <v>558</v>
      </c>
      <c r="C560" s="91"/>
      <c r="D560" s="91">
        <v>2054</v>
      </c>
      <c r="E560" s="19" t="s">
        <v>1825</v>
      </c>
      <c r="F560" s="19" t="e">
        <f>_xlfn.XLOOKUP(batch_works35[[#This Row],[description]],Table14[name],Table14[id])</f>
        <v>#N/A</v>
      </c>
      <c r="G560" s="19"/>
      <c r="H560" s="19"/>
      <c r="I560" s="19"/>
      <c r="J560" s="19"/>
      <c r="K560" s="19"/>
    </row>
    <row r="561" spans="1:11">
      <c r="A561" s="91">
        <v>559</v>
      </c>
      <c r="B561" s="91">
        <v>559</v>
      </c>
      <c r="C561" s="91"/>
      <c r="D561" s="91">
        <v>2055</v>
      </c>
      <c r="E561" s="19" t="s">
        <v>1819</v>
      </c>
      <c r="F561" s="19" t="e">
        <f>_xlfn.XLOOKUP(batch_works35[[#This Row],[description]],Table14[name],Table14[id])</f>
        <v>#N/A</v>
      </c>
      <c r="G561" s="19"/>
      <c r="H561" s="19"/>
      <c r="I561" s="19"/>
      <c r="J561" s="19"/>
      <c r="K561" s="19"/>
    </row>
    <row r="562" spans="1:11">
      <c r="A562" s="91">
        <v>560</v>
      </c>
      <c r="B562" s="91">
        <v>560</v>
      </c>
      <c r="C562" s="91"/>
      <c r="D562" s="91">
        <v>2056</v>
      </c>
      <c r="E562" s="19" t="s">
        <v>1827</v>
      </c>
      <c r="F562" s="19" t="e">
        <f>_xlfn.XLOOKUP(batch_works35[[#This Row],[description]],Table14[name],Table14[id])</f>
        <v>#N/A</v>
      </c>
      <c r="G562" s="19"/>
      <c r="H562" s="19"/>
      <c r="I562" s="19"/>
      <c r="J562" s="19"/>
      <c r="K562" s="19"/>
    </row>
    <row r="563" spans="1:11">
      <c r="A563" s="91">
        <v>561</v>
      </c>
      <c r="B563" s="91">
        <v>561</v>
      </c>
      <c r="C563" s="91"/>
      <c r="D563" s="91">
        <v>2057</v>
      </c>
      <c r="E563" s="19" t="s">
        <v>1823</v>
      </c>
      <c r="F563" s="19" t="e">
        <f>_xlfn.XLOOKUP(batch_works35[[#This Row],[description]],Table14[name],Table14[id])</f>
        <v>#N/A</v>
      </c>
      <c r="G563" s="19"/>
      <c r="H563" s="19"/>
      <c r="I563" s="19"/>
      <c r="J563" s="19"/>
      <c r="K563" s="19"/>
    </row>
    <row r="564" spans="1:11">
      <c r="A564" s="91">
        <v>562</v>
      </c>
      <c r="B564" s="91">
        <v>562</v>
      </c>
      <c r="C564" s="91"/>
      <c r="D564" s="91">
        <v>2058</v>
      </c>
      <c r="E564" s="19" t="s">
        <v>1819</v>
      </c>
      <c r="F564" s="19" t="e">
        <f>_xlfn.XLOOKUP(batch_works35[[#This Row],[description]],Table14[name],Table14[id])</f>
        <v>#N/A</v>
      </c>
      <c r="G564" s="19"/>
      <c r="H564" s="19"/>
      <c r="I564" s="19"/>
      <c r="J564" s="19"/>
      <c r="K564" s="19"/>
    </row>
    <row r="565" spans="1:11">
      <c r="A565" s="91">
        <v>563</v>
      </c>
      <c r="B565" s="91">
        <v>563</v>
      </c>
      <c r="C565" s="91"/>
      <c r="D565" s="91">
        <v>2059</v>
      </c>
      <c r="E565" s="19" t="s">
        <v>1823</v>
      </c>
      <c r="F565" s="19" t="e">
        <f>_xlfn.XLOOKUP(batch_works35[[#This Row],[description]],Table14[name],Table14[id])</f>
        <v>#N/A</v>
      </c>
      <c r="G565" s="19"/>
      <c r="H565" s="19"/>
      <c r="I565" s="19"/>
      <c r="J565" s="19"/>
      <c r="K565" s="19"/>
    </row>
    <row r="566" spans="1:11">
      <c r="A566" s="91">
        <v>564</v>
      </c>
      <c r="B566" s="91">
        <v>564</v>
      </c>
      <c r="C566" s="91"/>
      <c r="D566" s="91">
        <v>2063</v>
      </c>
      <c r="E566" s="19" t="s">
        <v>1525</v>
      </c>
      <c r="F566" s="19">
        <f>_xlfn.XLOOKUP(batch_works35[[#This Row],[description]],Table14[name],Table14[id])</f>
        <v>7</v>
      </c>
      <c r="G566" s="19"/>
      <c r="H566" s="19"/>
      <c r="I566" s="19"/>
      <c r="J566" s="19"/>
      <c r="K566" s="19"/>
    </row>
    <row r="567" spans="1:11">
      <c r="A567" s="91">
        <v>565</v>
      </c>
      <c r="B567" s="91">
        <v>565</v>
      </c>
      <c r="C567" s="91"/>
      <c r="D567" s="91">
        <v>2064</v>
      </c>
      <c r="E567" s="19" t="s">
        <v>1525</v>
      </c>
      <c r="F567" s="19">
        <f>_xlfn.XLOOKUP(batch_works35[[#This Row],[description]],Table14[name],Table14[id])</f>
        <v>7</v>
      </c>
      <c r="G567" s="19"/>
      <c r="H567" s="19"/>
      <c r="I567" s="19"/>
      <c r="J567" s="19"/>
      <c r="K567" s="19"/>
    </row>
    <row r="568" spans="1:11">
      <c r="A568" s="91">
        <v>566</v>
      </c>
      <c r="B568" s="91">
        <v>566</v>
      </c>
      <c r="C568" s="91"/>
      <c r="D568" s="91">
        <v>2066</v>
      </c>
      <c r="E568" s="19" t="s">
        <v>1525</v>
      </c>
      <c r="F568" s="19">
        <f>_xlfn.XLOOKUP(batch_works35[[#This Row],[description]],Table14[name],Table14[id])</f>
        <v>7</v>
      </c>
      <c r="G568" s="19"/>
      <c r="H568" s="19"/>
      <c r="I568" s="19"/>
      <c r="J568" s="19"/>
      <c r="K568" s="19"/>
    </row>
    <row r="569" spans="1:11">
      <c r="A569" s="91">
        <v>567</v>
      </c>
      <c r="B569" s="91">
        <v>567</v>
      </c>
      <c r="C569" s="91"/>
      <c r="D569" s="91">
        <v>2066</v>
      </c>
      <c r="E569" s="19" t="s">
        <v>1825</v>
      </c>
      <c r="F569" s="19" t="e">
        <f>_xlfn.XLOOKUP(batch_works35[[#This Row],[description]],Table14[name],Table14[id])</f>
        <v>#N/A</v>
      </c>
      <c r="G569" s="19"/>
      <c r="H569" s="19"/>
      <c r="I569" s="19"/>
      <c r="J569" s="19"/>
      <c r="K569" s="19"/>
    </row>
    <row r="570" spans="1:11">
      <c r="A570" s="91">
        <v>568</v>
      </c>
      <c r="B570" s="91">
        <v>568</v>
      </c>
      <c r="C570" s="91"/>
      <c r="D570" s="91">
        <v>2067</v>
      </c>
      <c r="E570" s="19" t="s">
        <v>1525</v>
      </c>
      <c r="F570" s="19">
        <f>_xlfn.XLOOKUP(batch_works35[[#This Row],[description]],Table14[name],Table14[id])</f>
        <v>7</v>
      </c>
      <c r="G570" s="19"/>
      <c r="H570" s="19"/>
      <c r="I570" s="19"/>
      <c r="J570" s="19"/>
      <c r="K570" s="19"/>
    </row>
    <row r="571" spans="1:11">
      <c r="A571" s="91">
        <v>569</v>
      </c>
      <c r="B571" s="91">
        <v>569</v>
      </c>
      <c r="C571" s="91"/>
      <c r="D571" s="91">
        <v>2068</v>
      </c>
      <c r="E571" s="19" t="s">
        <v>1525</v>
      </c>
      <c r="F571" s="19">
        <f>_xlfn.XLOOKUP(batch_works35[[#This Row],[description]],Table14[name],Table14[id])</f>
        <v>7</v>
      </c>
      <c r="G571" s="19"/>
      <c r="H571" s="19"/>
      <c r="I571" s="19"/>
      <c r="J571" s="19"/>
      <c r="K571" s="19"/>
    </row>
    <row r="572" spans="1:11">
      <c r="A572" s="91">
        <v>570</v>
      </c>
      <c r="B572" s="91">
        <v>570</v>
      </c>
      <c r="C572" s="91"/>
      <c r="D572" s="91">
        <v>2070</v>
      </c>
      <c r="E572" s="19" t="s">
        <v>1830</v>
      </c>
      <c r="F572" s="19" t="e">
        <f>_xlfn.XLOOKUP(batch_works35[[#This Row],[description]],Table14[name],Table14[id])</f>
        <v>#N/A</v>
      </c>
      <c r="G572" s="19"/>
      <c r="H572" s="19"/>
      <c r="I572" s="19"/>
      <c r="J572" s="19"/>
      <c r="K572" s="19"/>
    </row>
    <row r="573" spans="1:11">
      <c r="A573" s="91">
        <v>571</v>
      </c>
      <c r="B573" s="91">
        <v>571</v>
      </c>
      <c r="C573" s="91"/>
      <c r="D573" s="91">
        <v>2071</v>
      </c>
      <c r="E573" s="19" t="s">
        <v>1830</v>
      </c>
      <c r="F573" s="19" t="e">
        <f>_xlfn.XLOOKUP(batch_works35[[#This Row],[description]],Table14[name],Table14[id])</f>
        <v>#N/A</v>
      </c>
      <c r="G573" s="19"/>
      <c r="H573" s="19"/>
      <c r="I573" s="19"/>
      <c r="J573" s="19"/>
      <c r="K573" s="19"/>
    </row>
    <row r="574" spans="1:11">
      <c r="A574" s="91">
        <v>572</v>
      </c>
      <c r="B574" s="91">
        <v>572</v>
      </c>
      <c r="C574" s="91"/>
      <c r="D574" s="91">
        <v>2073</v>
      </c>
      <c r="E574" s="19" t="s">
        <v>1830</v>
      </c>
      <c r="F574" s="19" t="e">
        <f>_xlfn.XLOOKUP(batch_works35[[#This Row],[description]],Table14[name],Table14[id])</f>
        <v>#N/A</v>
      </c>
      <c r="G574" s="19"/>
      <c r="H574" s="19"/>
      <c r="I574" s="19"/>
      <c r="J574" s="19"/>
      <c r="K574" s="19"/>
    </row>
    <row r="575" spans="1:11">
      <c r="A575" s="91">
        <v>573</v>
      </c>
      <c r="B575" s="91">
        <v>573</v>
      </c>
      <c r="C575" s="91"/>
      <c r="D575" s="91">
        <v>2078</v>
      </c>
      <c r="E575" s="19" t="s">
        <v>1822</v>
      </c>
      <c r="F575" s="19" t="e">
        <f>_xlfn.XLOOKUP(batch_works35[[#This Row],[description]],Table14[name],Table14[id])</f>
        <v>#N/A</v>
      </c>
      <c r="G575" s="19"/>
      <c r="H575" s="19"/>
      <c r="I575" s="19"/>
      <c r="J575" s="19"/>
      <c r="K575" s="19"/>
    </row>
    <row r="576" spans="1:11">
      <c r="A576" s="91">
        <v>574</v>
      </c>
      <c r="B576" s="91">
        <v>574</v>
      </c>
      <c r="C576" s="91"/>
      <c r="D576" s="91">
        <v>2079</v>
      </c>
      <c r="E576" s="19" t="s">
        <v>1822</v>
      </c>
      <c r="F576" s="19" t="e">
        <f>_xlfn.XLOOKUP(batch_works35[[#This Row],[description]],Table14[name],Table14[id])</f>
        <v>#N/A</v>
      </c>
      <c r="G576" s="19"/>
      <c r="H576" s="19"/>
      <c r="I576" s="19"/>
      <c r="J576" s="19"/>
      <c r="K576" s="19"/>
    </row>
    <row r="577" spans="1:11">
      <c r="A577" s="91">
        <v>575</v>
      </c>
      <c r="B577" s="91">
        <v>575</v>
      </c>
      <c r="C577" s="91"/>
      <c r="D577" s="91">
        <v>2079</v>
      </c>
      <c r="E577" s="19" t="s">
        <v>1826</v>
      </c>
      <c r="F577" s="19" t="e">
        <f>_xlfn.XLOOKUP(batch_works35[[#This Row],[description]],Table14[name],Table14[id])</f>
        <v>#N/A</v>
      </c>
      <c r="G577" s="19"/>
      <c r="H577" s="19"/>
      <c r="I577" s="19"/>
      <c r="J577" s="19"/>
      <c r="K577" s="19"/>
    </row>
    <row r="578" spans="1:11">
      <c r="A578" s="91">
        <v>576</v>
      </c>
      <c r="B578" s="91">
        <v>576</v>
      </c>
      <c r="C578" s="91"/>
      <c r="D578" s="91">
        <v>2080</v>
      </c>
      <c r="E578" s="19" t="s">
        <v>1822</v>
      </c>
      <c r="F578" s="19" t="e">
        <f>_xlfn.XLOOKUP(batch_works35[[#This Row],[description]],Table14[name],Table14[id])</f>
        <v>#N/A</v>
      </c>
      <c r="G578" s="19"/>
      <c r="H578" s="19"/>
      <c r="I578" s="19"/>
      <c r="J578" s="19"/>
      <c r="K578" s="19"/>
    </row>
    <row r="579" spans="1:11">
      <c r="A579" s="91">
        <v>577</v>
      </c>
      <c r="B579" s="91">
        <v>577</v>
      </c>
      <c r="C579" s="91"/>
      <c r="D579" s="91">
        <v>2081</v>
      </c>
      <c r="E579" s="19" t="s">
        <v>1531</v>
      </c>
      <c r="F579" s="19">
        <f>_xlfn.XLOOKUP(batch_works35[[#This Row],[description]],Table14[name],Table14[id])</f>
        <v>11</v>
      </c>
      <c r="G579" s="19"/>
      <c r="H579" s="19"/>
      <c r="I579" s="19"/>
      <c r="J579" s="19"/>
      <c r="K579" s="19"/>
    </row>
    <row r="580" spans="1:11">
      <c r="A580" s="91">
        <v>578</v>
      </c>
      <c r="B580" s="91">
        <v>578</v>
      </c>
      <c r="C580" s="91"/>
      <c r="D580" s="91">
        <v>2081</v>
      </c>
      <c r="E580" s="19" t="s">
        <v>1824</v>
      </c>
      <c r="F580" s="19" t="e">
        <f>_xlfn.XLOOKUP(batch_works35[[#This Row],[description]],Table14[name],Table14[id])</f>
        <v>#N/A</v>
      </c>
      <c r="G580" s="19"/>
      <c r="H580" s="19"/>
      <c r="I580" s="19"/>
      <c r="J580" s="19"/>
      <c r="K580" s="19"/>
    </row>
    <row r="581" spans="1:11">
      <c r="A581" s="91">
        <v>579</v>
      </c>
      <c r="B581" s="91">
        <v>579</v>
      </c>
      <c r="C581" s="91"/>
      <c r="D581" s="91">
        <v>2082</v>
      </c>
      <c r="E581" s="19" t="s">
        <v>1531</v>
      </c>
      <c r="F581" s="19">
        <f>_xlfn.XLOOKUP(batch_works35[[#This Row],[description]],Table14[name],Table14[id])</f>
        <v>11</v>
      </c>
      <c r="G581" s="19"/>
      <c r="H581" s="19"/>
      <c r="I581" s="19"/>
      <c r="J581" s="19"/>
      <c r="K581" s="19"/>
    </row>
    <row r="582" spans="1:11">
      <c r="A582" s="91">
        <v>580</v>
      </c>
      <c r="B582" s="91">
        <v>580</v>
      </c>
      <c r="C582" s="91"/>
      <c r="D582" s="91">
        <v>2082</v>
      </c>
      <c r="E582" s="19" t="s">
        <v>1824</v>
      </c>
      <c r="F582" s="19" t="e">
        <f>_xlfn.XLOOKUP(batch_works35[[#This Row],[description]],Table14[name],Table14[id])</f>
        <v>#N/A</v>
      </c>
      <c r="G582" s="19"/>
      <c r="H582" s="19"/>
      <c r="I582" s="19"/>
      <c r="J582" s="19"/>
      <c r="K582" s="19"/>
    </row>
    <row r="583" spans="1:11">
      <c r="A583" s="91">
        <v>581</v>
      </c>
      <c r="B583" s="91">
        <v>581</v>
      </c>
      <c r="C583" s="91"/>
      <c r="D583" s="91">
        <v>2083</v>
      </c>
      <c r="E583" s="19" t="s">
        <v>1531</v>
      </c>
      <c r="F583" s="19">
        <f>_xlfn.XLOOKUP(batch_works35[[#This Row],[description]],Table14[name],Table14[id])</f>
        <v>11</v>
      </c>
      <c r="G583" s="19"/>
      <c r="H583" s="19"/>
      <c r="I583" s="19"/>
      <c r="J583" s="19"/>
      <c r="K583" s="19"/>
    </row>
    <row r="584" spans="1:11">
      <c r="A584" s="91">
        <v>582</v>
      </c>
      <c r="B584" s="91">
        <v>582</v>
      </c>
      <c r="C584" s="91"/>
      <c r="D584" s="91">
        <v>2083</v>
      </c>
      <c r="E584" s="19" t="s">
        <v>1824</v>
      </c>
      <c r="F584" s="19" t="e">
        <f>_xlfn.XLOOKUP(batch_works35[[#This Row],[description]],Table14[name],Table14[id])</f>
        <v>#N/A</v>
      </c>
      <c r="G584" s="19"/>
      <c r="H584" s="19"/>
      <c r="I584" s="19"/>
      <c r="J584" s="19"/>
      <c r="K584" s="19"/>
    </row>
    <row r="585" spans="1:11">
      <c r="A585" s="91">
        <v>583</v>
      </c>
      <c r="B585" s="91">
        <v>583</v>
      </c>
      <c r="C585" s="91"/>
      <c r="D585" s="91">
        <v>2083</v>
      </c>
      <c r="E585" s="19" t="s">
        <v>1826</v>
      </c>
      <c r="F585" s="19" t="e">
        <f>_xlfn.XLOOKUP(batch_works35[[#This Row],[description]],Table14[name],Table14[id])</f>
        <v>#N/A</v>
      </c>
      <c r="G585" s="19"/>
      <c r="H585" s="19"/>
      <c r="I585" s="19"/>
      <c r="J585" s="19"/>
      <c r="K585" s="19"/>
    </row>
    <row r="586" spans="1:11">
      <c r="A586" s="91">
        <v>584</v>
      </c>
      <c r="B586" s="91">
        <v>584</v>
      </c>
      <c r="C586" s="91"/>
      <c r="D586" s="91">
        <v>2084</v>
      </c>
      <c r="E586" s="19" t="s">
        <v>1531</v>
      </c>
      <c r="F586" s="19">
        <f>_xlfn.XLOOKUP(batch_works35[[#This Row],[description]],Table14[name],Table14[id])</f>
        <v>11</v>
      </c>
      <c r="G586" s="19"/>
      <c r="H586" s="19"/>
      <c r="I586" s="19"/>
      <c r="J586" s="19"/>
      <c r="K586" s="19"/>
    </row>
    <row r="587" spans="1:11">
      <c r="A587" s="91">
        <v>585</v>
      </c>
      <c r="B587" s="91">
        <v>585</v>
      </c>
      <c r="C587" s="91"/>
      <c r="D587" s="91">
        <v>2084</v>
      </c>
      <c r="E587" s="19" t="s">
        <v>1824</v>
      </c>
      <c r="F587" s="19" t="e">
        <f>_xlfn.XLOOKUP(batch_works35[[#This Row],[description]],Table14[name],Table14[id])</f>
        <v>#N/A</v>
      </c>
      <c r="G587" s="19"/>
      <c r="H587" s="19"/>
      <c r="I587" s="19"/>
      <c r="J587" s="19"/>
      <c r="K587" s="19"/>
    </row>
    <row r="588" spans="1:11">
      <c r="A588" s="91">
        <v>586</v>
      </c>
      <c r="B588" s="91">
        <v>586</v>
      </c>
      <c r="C588" s="91"/>
      <c r="D588" s="91">
        <v>2084</v>
      </c>
      <c r="E588" s="19" t="s">
        <v>1825</v>
      </c>
      <c r="F588" s="19" t="e">
        <f>_xlfn.XLOOKUP(batch_works35[[#This Row],[description]],Table14[name],Table14[id])</f>
        <v>#N/A</v>
      </c>
      <c r="G588" s="19"/>
      <c r="H588" s="19"/>
      <c r="I588" s="19"/>
      <c r="J588" s="19"/>
      <c r="K588" s="19"/>
    </row>
    <row r="589" spans="1:11">
      <c r="A589" s="91">
        <v>587</v>
      </c>
      <c r="B589" s="91">
        <v>587</v>
      </c>
      <c r="C589" s="91"/>
      <c r="D589" s="91">
        <v>2084</v>
      </c>
      <c r="E589" s="19" t="s">
        <v>1826</v>
      </c>
      <c r="F589" s="19" t="e">
        <f>_xlfn.XLOOKUP(batch_works35[[#This Row],[description]],Table14[name],Table14[id])</f>
        <v>#N/A</v>
      </c>
      <c r="G589" s="19"/>
      <c r="H589" s="19"/>
      <c r="I589" s="19"/>
      <c r="J589" s="19"/>
      <c r="K589" s="19"/>
    </row>
    <row r="590" spans="1:11">
      <c r="A590" s="91">
        <v>588</v>
      </c>
      <c r="B590" s="91">
        <v>588</v>
      </c>
      <c r="C590" s="91"/>
      <c r="D590" s="91">
        <v>2085</v>
      </c>
      <c r="E590" s="19" t="s">
        <v>1563</v>
      </c>
      <c r="F590" s="19">
        <f>_xlfn.XLOOKUP(batch_works35[[#This Row],[description]],Table14[name],Table14[id])</f>
        <v>31</v>
      </c>
      <c r="G590" s="19"/>
      <c r="H590" s="19"/>
      <c r="I590" s="19"/>
      <c r="J590" s="19"/>
      <c r="K590" s="19"/>
    </row>
    <row r="591" spans="1:11">
      <c r="A591" s="91">
        <v>589</v>
      </c>
      <c r="B591" s="91">
        <v>589</v>
      </c>
      <c r="C591" s="91"/>
      <c r="D591" s="91">
        <v>2086</v>
      </c>
      <c r="E591" s="19" t="s">
        <v>1835</v>
      </c>
      <c r="F591" s="19" t="e">
        <f>_xlfn.XLOOKUP(batch_works35[[#This Row],[description]],Table14[name],Table14[id])</f>
        <v>#N/A</v>
      </c>
      <c r="G591" s="19"/>
      <c r="H591" s="19"/>
      <c r="I591" s="19"/>
      <c r="J591" s="19"/>
      <c r="K591" s="19"/>
    </row>
    <row r="592" spans="1:11">
      <c r="A592" s="91">
        <v>590</v>
      </c>
      <c r="B592" s="91">
        <v>590</v>
      </c>
      <c r="C592" s="91"/>
      <c r="D592" s="91">
        <v>2088</v>
      </c>
      <c r="E592" s="19" t="s">
        <v>1525</v>
      </c>
      <c r="F592" s="19">
        <f>_xlfn.XLOOKUP(batch_works35[[#This Row],[description]],Table14[name],Table14[id])</f>
        <v>7</v>
      </c>
      <c r="G592" s="19"/>
      <c r="H592" s="19"/>
      <c r="I592" s="19"/>
      <c r="J592" s="19"/>
      <c r="K592" s="19"/>
    </row>
    <row r="593" spans="1:11">
      <c r="A593" s="91">
        <v>591</v>
      </c>
      <c r="B593" s="91">
        <v>591</v>
      </c>
      <c r="C593" s="91"/>
      <c r="D593" s="91">
        <v>2088</v>
      </c>
      <c r="E593" s="19" t="s">
        <v>1825</v>
      </c>
      <c r="F593" s="19" t="e">
        <f>_xlfn.XLOOKUP(batch_works35[[#This Row],[description]],Table14[name],Table14[id])</f>
        <v>#N/A</v>
      </c>
      <c r="G593" s="19"/>
      <c r="H593" s="19"/>
      <c r="I593" s="19"/>
      <c r="J593" s="19"/>
      <c r="K593" s="19"/>
    </row>
    <row r="594" spans="1:11">
      <c r="A594" s="91">
        <v>592</v>
      </c>
      <c r="B594" s="91">
        <v>592</v>
      </c>
      <c r="C594" s="91"/>
      <c r="D594" s="91">
        <v>2092</v>
      </c>
      <c r="E594" s="19" t="s">
        <v>1525</v>
      </c>
      <c r="F594" s="19">
        <f>_xlfn.XLOOKUP(batch_works35[[#This Row],[description]],Table14[name],Table14[id])</f>
        <v>7</v>
      </c>
      <c r="G594" s="19"/>
      <c r="H594" s="19"/>
      <c r="I594" s="19"/>
      <c r="J594" s="19"/>
      <c r="K594" s="19"/>
    </row>
    <row r="595" spans="1:11">
      <c r="A595" s="91">
        <v>593</v>
      </c>
      <c r="B595" s="91">
        <v>593</v>
      </c>
      <c r="C595" s="91"/>
      <c r="D595" s="91">
        <v>2092</v>
      </c>
      <c r="E595" s="19" t="s">
        <v>1827</v>
      </c>
      <c r="F595" s="19" t="e">
        <f>_xlfn.XLOOKUP(batch_works35[[#This Row],[description]],Table14[name],Table14[id])</f>
        <v>#N/A</v>
      </c>
      <c r="G595" s="19"/>
      <c r="H595" s="19"/>
      <c r="I595" s="19"/>
      <c r="J595" s="19"/>
      <c r="K595" s="19"/>
    </row>
    <row r="596" spans="1:11">
      <c r="A596" s="91">
        <v>594</v>
      </c>
      <c r="B596" s="91">
        <v>594</v>
      </c>
      <c r="C596" s="91"/>
      <c r="D596" s="91">
        <v>2092</v>
      </c>
      <c r="E596" s="19" t="s">
        <v>1828</v>
      </c>
      <c r="F596" s="19" t="e">
        <f>_xlfn.XLOOKUP(batch_works35[[#This Row],[description]],Table14[name],Table14[id])</f>
        <v>#N/A</v>
      </c>
      <c r="G596" s="19"/>
      <c r="H596" s="19"/>
      <c r="I596" s="19"/>
      <c r="J596" s="19"/>
      <c r="K596" s="19"/>
    </row>
    <row r="597" spans="1:11">
      <c r="A597" s="91">
        <v>595</v>
      </c>
      <c r="B597" s="91">
        <v>595</v>
      </c>
      <c r="C597" s="91"/>
      <c r="D597" s="91">
        <v>2092</v>
      </c>
      <c r="E597" s="19" t="s">
        <v>1834</v>
      </c>
      <c r="F597" s="19" t="e">
        <f>_xlfn.XLOOKUP(batch_works35[[#This Row],[description]],Table14[name],Table14[id])</f>
        <v>#N/A</v>
      </c>
      <c r="G597" s="19"/>
      <c r="H597" s="19"/>
      <c r="I597" s="19"/>
      <c r="J597" s="19"/>
      <c r="K597" s="19"/>
    </row>
    <row r="598" spans="1:11">
      <c r="A598" s="91">
        <v>596</v>
      </c>
      <c r="B598" s="91">
        <v>596</v>
      </c>
      <c r="C598" s="91"/>
      <c r="D598" s="91">
        <v>2093</v>
      </c>
      <c r="E598" s="19" t="s">
        <v>1525</v>
      </c>
      <c r="F598" s="19">
        <f>_xlfn.XLOOKUP(batch_works35[[#This Row],[description]],Table14[name],Table14[id])</f>
        <v>7</v>
      </c>
      <c r="G598" s="19"/>
      <c r="H598" s="19"/>
      <c r="I598" s="19"/>
      <c r="J598" s="19"/>
      <c r="K598" s="19"/>
    </row>
    <row r="599" spans="1:11">
      <c r="A599" s="91">
        <v>597</v>
      </c>
      <c r="B599" s="91">
        <v>597</v>
      </c>
      <c r="C599" s="91"/>
      <c r="D599" s="91">
        <v>2093</v>
      </c>
      <c r="E599" s="19" t="s">
        <v>1828</v>
      </c>
      <c r="F599" s="19" t="e">
        <f>_xlfn.XLOOKUP(batch_works35[[#This Row],[description]],Table14[name],Table14[id])</f>
        <v>#N/A</v>
      </c>
      <c r="G599" s="19"/>
      <c r="H599" s="19"/>
      <c r="I599" s="19"/>
      <c r="J599" s="19"/>
      <c r="K599" s="19"/>
    </row>
    <row r="600" spans="1:11">
      <c r="A600" s="91">
        <v>598</v>
      </c>
      <c r="B600" s="91">
        <v>598</v>
      </c>
      <c r="C600" s="91"/>
      <c r="D600" s="91">
        <v>2093</v>
      </c>
      <c r="E600" s="19" t="s">
        <v>1834</v>
      </c>
      <c r="F600" s="19" t="e">
        <f>_xlfn.XLOOKUP(batch_works35[[#This Row],[description]],Table14[name],Table14[id])</f>
        <v>#N/A</v>
      </c>
      <c r="G600" s="19"/>
      <c r="H600" s="19"/>
      <c r="I600" s="19"/>
      <c r="J600" s="19"/>
      <c r="K600" s="19"/>
    </row>
    <row r="601" spans="1:11">
      <c r="A601" s="91">
        <v>599</v>
      </c>
      <c r="B601" s="91">
        <v>599</v>
      </c>
      <c r="C601" s="91"/>
      <c r="D601" s="91">
        <v>2094</v>
      </c>
      <c r="E601" s="19" t="s">
        <v>1827</v>
      </c>
      <c r="F601" s="19" t="e">
        <f>_xlfn.XLOOKUP(batch_works35[[#This Row],[description]],Table14[name],Table14[id])</f>
        <v>#N/A</v>
      </c>
      <c r="G601" s="19"/>
      <c r="H601" s="19"/>
      <c r="I601" s="19"/>
      <c r="J601" s="19"/>
      <c r="K601" s="19"/>
    </row>
    <row r="602" spans="1:11">
      <c r="A602" s="91">
        <v>600</v>
      </c>
      <c r="B602" s="91">
        <v>600</v>
      </c>
      <c r="C602" s="91"/>
      <c r="D602" s="91">
        <v>2094</v>
      </c>
      <c r="E602" s="19" t="s">
        <v>1825</v>
      </c>
      <c r="F602" s="19" t="e">
        <f>_xlfn.XLOOKUP(batch_works35[[#This Row],[description]],Table14[name],Table14[id])</f>
        <v>#N/A</v>
      </c>
      <c r="G602" s="19"/>
      <c r="H602" s="19"/>
      <c r="I602" s="19"/>
      <c r="J602" s="19"/>
      <c r="K602" s="19"/>
    </row>
    <row r="603" spans="1:11">
      <c r="A603" s="91">
        <v>601</v>
      </c>
      <c r="B603" s="91">
        <v>601</v>
      </c>
      <c r="C603" s="91"/>
      <c r="D603" s="91">
        <v>2094</v>
      </c>
      <c r="E603" s="19" t="s">
        <v>1828</v>
      </c>
      <c r="F603" s="19" t="e">
        <f>_xlfn.XLOOKUP(batch_works35[[#This Row],[description]],Table14[name],Table14[id])</f>
        <v>#N/A</v>
      </c>
      <c r="G603" s="19"/>
      <c r="H603" s="19"/>
      <c r="I603" s="19"/>
      <c r="J603" s="19"/>
      <c r="K603" s="19"/>
    </row>
    <row r="604" spans="1:11">
      <c r="A604" s="91">
        <v>602</v>
      </c>
      <c r="B604" s="91">
        <v>602</v>
      </c>
      <c r="C604" s="91"/>
      <c r="D604" s="91">
        <v>2094</v>
      </c>
      <c r="E604" s="19" t="s">
        <v>1834</v>
      </c>
      <c r="F604" s="19" t="e">
        <f>_xlfn.XLOOKUP(batch_works35[[#This Row],[description]],Table14[name],Table14[id])</f>
        <v>#N/A</v>
      </c>
      <c r="G604" s="19"/>
      <c r="H604" s="19"/>
      <c r="I604" s="19"/>
      <c r="J604" s="19"/>
      <c r="K604" s="19"/>
    </row>
    <row r="605" spans="1:11">
      <c r="A605" s="91">
        <v>603</v>
      </c>
      <c r="B605" s="91">
        <v>603</v>
      </c>
      <c r="C605" s="91"/>
      <c r="D605" s="91">
        <v>2095</v>
      </c>
      <c r="E605" s="19" t="s">
        <v>1827</v>
      </c>
      <c r="F605" s="19" t="e">
        <f>_xlfn.XLOOKUP(batch_works35[[#This Row],[description]],Table14[name],Table14[id])</f>
        <v>#N/A</v>
      </c>
      <c r="G605" s="19"/>
      <c r="H605" s="19"/>
      <c r="I605" s="19"/>
      <c r="J605" s="19"/>
      <c r="K605" s="19"/>
    </row>
    <row r="606" spans="1:11">
      <c r="A606" s="91">
        <v>604</v>
      </c>
      <c r="B606" s="91">
        <v>604</v>
      </c>
      <c r="C606" s="91"/>
      <c r="D606" s="91">
        <v>2095</v>
      </c>
      <c r="E606" s="19" t="s">
        <v>1825</v>
      </c>
      <c r="F606" s="19" t="e">
        <f>_xlfn.XLOOKUP(batch_works35[[#This Row],[description]],Table14[name],Table14[id])</f>
        <v>#N/A</v>
      </c>
      <c r="G606" s="19"/>
      <c r="H606" s="19"/>
      <c r="I606" s="19"/>
      <c r="J606" s="19"/>
      <c r="K606" s="19"/>
    </row>
    <row r="607" spans="1:11">
      <c r="A607" s="91">
        <v>605</v>
      </c>
      <c r="B607" s="91">
        <v>605</v>
      </c>
      <c r="C607" s="91"/>
      <c r="D607" s="91">
        <v>2095</v>
      </c>
      <c r="E607" s="19" t="s">
        <v>1828</v>
      </c>
      <c r="F607" s="19" t="e">
        <f>_xlfn.XLOOKUP(batch_works35[[#This Row],[description]],Table14[name],Table14[id])</f>
        <v>#N/A</v>
      </c>
      <c r="G607" s="19"/>
      <c r="H607" s="19"/>
      <c r="I607" s="19"/>
      <c r="J607" s="19"/>
      <c r="K607" s="19"/>
    </row>
    <row r="608" spans="1:11">
      <c r="A608" s="91">
        <v>606</v>
      </c>
      <c r="B608" s="91">
        <v>606</v>
      </c>
      <c r="C608" s="91"/>
      <c r="D608" s="91">
        <v>2095</v>
      </c>
      <c r="E608" s="19" t="s">
        <v>1834</v>
      </c>
      <c r="F608" s="19" t="e">
        <f>_xlfn.XLOOKUP(batch_works35[[#This Row],[description]],Table14[name],Table14[id])</f>
        <v>#N/A</v>
      </c>
      <c r="G608" s="19"/>
      <c r="H608" s="19"/>
      <c r="I608" s="19"/>
      <c r="J608" s="19"/>
      <c r="K608" s="19"/>
    </row>
    <row r="609" spans="1:11">
      <c r="A609" s="91">
        <v>607</v>
      </c>
      <c r="B609" s="91">
        <v>607</v>
      </c>
      <c r="C609" s="91"/>
      <c r="D609" s="91">
        <v>2096</v>
      </c>
      <c r="E609" s="19" t="s">
        <v>1827</v>
      </c>
      <c r="F609" s="19" t="e">
        <f>_xlfn.XLOOKUP(batch_works35[[#This Row],[description]],Table14[name],Table14[id])</f>
        <v>#N/A</v>
      </c>
      <c r="G609" s="19"/>
      <c r="H609" s="19"/>
      <c r="I609" s="19"/>
      <c r="J609" s="19"/>
      <c r="K609" s="19"/>
    </row>
    <row r="610" spans="1:11">
      <c r="A610" s="91">
        <v>608</v>
      </c>
      <c r="B610" s="91">
        <v>608</v>
      </c>
      <c r="C610" s="91"/>
      <c r="D610" s="91">
        <v>2096</v>
      </c>
      <c r="E610" s="19" t="s">
        <v>1828</v>
      </c>
      <c r="F610" s="19" t="e">
        <f>_xlfn.XLOOKUP(batch_works35[[#This Row],[description]],Table14[name],Table14[id])</f>
        <v>#N/A</v>
      </c>
      <c r="G610" s="19"/>
      <c r="H610" s="19"/>
      <c r="I610" s="19"/>
      <c r="J610" s="19"/>
      <c r="K610" s="19"/>
    </row>
    <row r="611" spans="1:11">
      <c r="A611" s="91">
        <v>609</v>
      </c>
      <c r="B611" s="91">
        <v>609</v>
      </c>
      <c r="C611" s="91"/>
      <c r="D611" s="91">
        <v>2096</v>
      </c>
      <c r="E611" s="19" t="s">
        <v>1834</v>
      </c>
      <c r="F611" s="19" t="e">
        <f>_xlfn.XLOOKUP(batch_works35[[#This Row],[description]],Table14[name],Table14[id])</f>
        <v>#N/A</v>
      </c>
      <c r="G611" s="19"/>
      <c r="H611" s="19"/>
      <c r="I611" s="19"/>
      <c r="J611" s="19"/>
      <c r="K611" s="19"/>
    </row>
    <row r="612" spans="1:11">
      <c r="A612" s="91">
        <v>610</v>
      </c>
      <c r="B612" s="91">
        <v>610</v>
      </c>
      <c r="C612" s="91"/>
      <c r="D612" s="91">
        <v>2097</v>
      </c>
      <c r="E612" s="19" t="s">
        <v>1827</v>
      </c>
      <c r="F612" s="19" t="e">
        <f>_xlfn.XLOOKUP(batch_works35[[#This Row],[description]],Table14[name],Table14[id])</f>
        <v>#N/A</v>
      </c>
      <c r="G612" s="19"/>
      <c r="H612" s="19"/>
      <c r="I612" s="19"/>
      <c r="J612" s="19"/>
      <c r="K612" s="19"/>
    </row>
    <row r="613" spans="1:11">
      <c r="A613" s="91">
        <v>611</v>
      </c>
      <c r="B613" s="91">
        <v>611</v>
      </c>
      <c r="C613" s="91"/>
      <c r="D613" s="91">
        <v>2097</v>
      </c>
      <c r="E613" s="19" t="s">
        <v>1828</v>
      </c>
      <c r="F613" s="19" t="e">
        <f>_xlfn.XLOOKUP(batch_works35[[#This Row],[description]],Table14[name],Table14[id])</f>
        <v>#N/A</v>
      </c>
      <c r="G613" s="19"/>
      <c r="H613" s="19"/>
      <c r="I613" s="19"/>
      <c r="J613" s="19"/>
      <c r="K613" s="19"/>
    </row>
    <row r="614" spans="1:11">
      <c r="A614" s="91">
        <v>612</v>
      </c>
      <c r="B614" s="91">
        <v>612</v>
      </c>
      <c r="C614" s="91"/>
      <c r="D614" s="91">
        <v>2097</v>
      </c>
      <c r="E614" s="19" t="s">
        <v>1834</v>
      </c>
      <c r="F614" s="19" t="e">
        <f>_xlfn.XLOOKUP(batch_works35[[#This Row],[description]],Table14[name],Table14[id])</f>
        <v>#N/A</v>
      </c>
      <c r="G614" s="19"/>
      <c r="H614" s="19"/>
      <c r="I614" s="19"/>
      <c r="J614" s="19"/>
      <c r="K614" s="19"/>
    </row>
    <row r="615" spans="1:11">
      <c r="A615" s="91">
        <v>613</v>
      </c>
      <c r="B615" s="91">
        <v>613</v>
      </c>
      <c r="C615" s="91"/>
      <c r="D615" s="91">
        <v>2098</v>
      </c>
      <c r="E615" s="19" t="s">
        <v>1824</v>
      </c>
      <c r="F615" s="19" t="e">
        <f>_xlfn.XLOOKUP(batch_works35[[#This Row],[description]],Table14[name],Table14[id])</f>
        <v>#N/A</v>
      </c>
      <c r="G615" s="19"/>
      <c r="H615" s="19"/>
      <c r="I615" s="19"/>
      <c r="J615" s="19"/>
      <c r="K615" s="19"/>
    </row>
    <row r="616" spans="1:11">
      <c r="A616" s="91">
        <v>614</v>
      </c>
      <c r="B616" s="91">
        <v>614</v>
      </c>
      <c r="C616" s="91"/>
      <c r="D616" s="91">
        <v>2098</v>
      </c>
      <c r="E616" s="19" t="s">
        <v>1827</v>
      </c>
      <c r="F616" s="19" t="e">
        <f>_xlfn.XLOOKUP(batch_works35[[#This Row],[description]],Table14[name],Table14[id])</f>
        <v>#N/A</v>
      </c>
      <c r="G616" s="19"/>
      <c r="H616" s="19"/>
      <c r="I616" s="19"/>
      <c r="J616" s="19"/>
      <c r="K616" s="19"/>
    </row>
    <row r="617" spans="1:11">
      <c r="A617" s="91">
        <v>615</v>
      </c>
      <c r="B617" s="91">
        <v>615</v>
      </c>
      <c r="C617" s="91"/>
      <c r="D617" s="91">
        <v>2098</v>
      </c>
      <c r="E617" s="19" t="s">
        <v>1828</v>
      </c>
      <c r="F617" s="19" t="e">
        <f>_xlfn.XLOOKUP(batch_works35[[#This Row],[description]],Table14[name],Table14[id])</f>
        <v>#N/A</v>
      </c>
      <c r="G617" s="19"/>
      <c r="H617" s="19"/>
      <c r="I617" s="19"/>
      <c r="J617" s="19"/>
      <c r="K617" s="19"/>
    </row>
    <row r="618" spans="1:11">
      <c r="A618" s="91">
        <v>616</v>
      </c>
      <c r="B618" s="91">
        <v>616</v>
      </c>
      <c r="C618" s="91"/>
      <c r="D618" s="91">
        <v>2099</v>
      </c>
      <c r="E618" s="19" t="s">
        <v>1525</v>
      </c>
      <c r="F618" s="19">
        <f>_xlfn.XLOOKUP(batch_works35[[#This Row],[description]],Table14[name],Table14[id])</f>
        <v>7</v>
      </c>
      <c r="G618" s="19"/>
      <c r="H618" s="19"/>
      <c r="I618" s="19"/>
      <c r="J618" s="19"/>
      <c r="K618" s="19"/>
    </row>
    <row r="619" spans="1:11">
      <c r="A619" s="91">
        <v>617</v>
      </c>
      <c r="B619" s="91">
        <v>617</v>
      </c>
      <c r="C619" s="91"/>
      <c r="D619" s="91">
        <v>2099</v>
      </c>
      <c r="E619" s="19" t="s">
        <v>1826</v>
      </c>
      <c r="F619" s="19" t="e">
        <f>_xlfn.XLOOKUP(batch_works35[[#This Row],[description]],Table14[name],Table14[id])</f>
        <v>#N/A</v>
      </c>
      <c r="G619" s="19"/>
      <c r="H619" s="19"/>
      <c r="I619" s="19"/>
      <c r="J619" s="19"/>
      <c r="K619" s="19"/>
    </row>
    <row r="620" spans="1:11">
      <c r="A620" s="91">
        <v>618</v>
      </c>
      <c r="B620" s="91">
        <v>618</v>
      </c>
      <c r="C620" s="91"/>
      <c r="D620" s="91">
        <v>2106</v>
      </c>
      <c r="E620" s="19" t="s">
        <v>1835</v>
      </c>
      <c r="F620" s="19" t="e">
        <f>_xlfn.XLOOKUP(batch_works35[[#This Row],[description]],Table14[name],Table14[id])</f>
        <v>#N/A</v>
      </c>
      <c r="G620" s="19"/>
      <c r="H620" s="19"/>
      <c r="I620" s="19"/>
      <c r="J620" s="19"/>
      <c r="K620" s="19"/>
    </row>
    <row r="621" spans="1:11">
      <c r="A621" s="91">
        <v>619</v>
      </c>
      <c r="B621" s="91">
        <v>619</v>
      </c>
      <c r="C621" s="91"/>
      <c r="D621" s="91">
        <v>2107</v>
      </c>
      <c r="E621" s="19" t="s">
        <v>1825</v>
      </c>
      <c r="F621" s="19" t="e">
        <f>_xlfn.XLOOKUP(batch_works35[[#This Row],[description]],Table14[name],Table14[id])</f>
        <v>#N/A</v>
      </c>
      <c r="G621" s="19"/>
      <c r="H621" s="19"/>
      <c r="I621" s="19"/>
      <c r="J621" s="19"/>
      <c r="K621" s="19"/>
    </row>
    <row r="622" spans="1:11">
      <c r="A622" s="91">
        <v>620</v>
      </c>
      <c r="B622" s="91">
        <v>620</v>
      </c>
      <c r="C622" s="91"/>
      <c r="D622" s="91">
        <v>2107</v>
      </c>
      <c r="E622" s="19" t="s">
        <v>1837</v>
      </c>
      <c r="F622" s="19" t="e">
        <f>_xlfn.XLOOKUP(batch_works35[[#This Row],[description]],Table14[name],Table14[id])</f>
        <v>#N/A</v>
      </c>
      <c r="G622" s="19"/>
      <c r="H622" s="19"/>
      <c r="I622" s="19"/>
      <c r="J622" s="19"/>
      <c r="K622" s="19"/>
    </row>
    <row r="623" spans="1:11">
      <c r="A623" s="91">
        <v>621</v>
      </c>
      <c r="B623" s="91">
        <v>621</v>
      </c>
      <c r="C623" s="91"/>
      <c r="D623" s="91">
        <v>2108</v>
      </c>
      <c r="E623" s="19" t="s">
        <v>1838</v>
      </c>
      <c r="F623" s="19" t="e">
        <f>_xlfn.XLOOKUP(batch_works35[[#This Row],[description]],Table14[name],Table14[id])</f>
        <v>#N/A</v>
      </c>
      <c r="G623" s="19"/>
      <c r="H623" s="19"/>
      <c r="I623" s="19"/>
      <c r="J623" s="19"/>
      <c r="K623" s="19"/>
    </row>
    <row r="624" spans="1:11">
      <c r="A624" s="91">
        <v>622</v>
      </c>
      <c r="B624" s="91">
        <v>622</v>
      </c>
      <c r="C624" s="91"/>
      <c r="D624" s="91">
        <v>2110</v>
      </c>
      <c r="E624" s="19" t="s">
        <v>1838</v>
      </c>
      <c r="F624" s="19" t="e">
        <f>_xlfn.XLOOKUP(batch_works35[[#This Row],[description]],Table14[name],Table14[id])</f>
        <v>#N/A</v>
      </c>
      <c r="G624" s="19"/>
      <c r="H624" s="19"/>
      <c r="I624" s="19"/>
      <c r="J624" s="19"/>
      <c r="K624" s="19"/>
    </row>
    <row r="625" spans="1:11">
      <c r="A625" s="91">
        <v>623</v>
      </c>
      <c r="B625" s="91">
        <v>623</v>
      </c>
      <c r="C625" s="91"/>
      <c r="D625" s="91">
        <v>2110</v>
      </c>
      <c r="E625" s="19" t="s">
        <v>1829</v>
      </c>
      <c r="F625" s="19" t="e">
        <f>_xlfn.XLOOKUP(batch_works35[[#This Row],[description]],Table14[name],Table14[id])</f>
        <v>#N/A</v>
      </c>
      <c r="G625" s="19"/>
      <c r="H625" s="19"/>
      <c r="I625" s="19"/>
      <c r="J625" s="19"/>
      <c r="K625" s="19"/>
    </row>
    <row r="626" spans="1:11">
      <c r="A626" s="91">
        <v>624</v>
      </c>
      <c r="B626" s="91">
        <v>624</v>
      </c>
      <c r="C626" s="91"/>
      <c r="D626" s="91">
        <v>2110</v>
      </c>
      <c r="E626" s="19" t="s">
        <v>1837</v>
      </c>
      <c r="F626" s="19" t="e">
        <f>_xlfn.XLOOKUP(batch_works35[[#This Row],[description]],Table14[name],Table14[id])</f>
        <v>#N/A</v>
      </c>
      <c r="G626" s="19"/>
      <c r="H626" s="19"/>
      <c r="I626" s="19"/>
      <c r="J626" s="19"/>
      <c r="K626" s="19"/>
    </row>
    <row r="627" spans="1:11">
      <c r="A627" s="91">
        <v>625</v>
      </c>
      <c r="B627" s="91">
        <v>625</v>
      </c>
      <c r="C627" s="91"/>
      <c r="D627" s="91">
        <v>2111</v>
      </c>
      <c r="E627" s="19" t="s">
        <v>1838</v>
      </c>
      <c r="F627" s="19" t="e">
        <f>_xlfn.XLOOKUP(batch_works35[[#This Row],[description]],Table14[name],Table14[id])</f>
        <v>#N/A</v>
      </c>
      <c r="G627" s="19"/>
      <c r="H627" s="19"/>
      <c r="I627" s="19"/>
      <c r="J627" s="19"/>
      <c r="K627" s="19"/>
    </row>
    <row r="628" spans="1:11">
      <c r="A628" s="91">
        <v>626</v>
      </c>
      <c r="B628" s="91">
        <v>626</v>
      </c>
      <c r="C628" s="91"/>
      <c r="D628" s="91">
        <v>2111</v>
      </c>
      <c r="E628" s="19" t="s">
        <v>1839</v>
      </c>
      <c r="F628" s="19" t="e">
        <f>_xlfn.XLOOKUP(batch_works35[[#This Row],[description]],Table14[name],Table14[id])</f>
        <v>#N/A</v>
      </c>
      <c r="G628" s="19"/>
      <c r="H628" s="19"/>
      <c r="I628" s="19"/>
      <c r="J628" s="19"/>
      <c r="K628" s="19"/>
    </row>
    <row r="629" spans="1:11">
      <c r="A629" s="91">
        <v>627</v>
      </c>
      <c r="B629" s="91">
        <v>627</v>
      </c>
      <c r="C629" s="91"/>
      <c r="D629" s="91">
        <v>2111</v>
      </c>
      <c r="E629" s="19" t="s">
        <v>1840</v>
      </c>
      <c r="F629" s="19" t="e">
        <f>_xlfn.XLOOKUP(batch_works35[[#This Row],[description]],Table14[name],Table14[id])</f>
        <v>#N/A</v>
      </c>
      <c r="G629" s="19"/>
      <c r="H629" s="19"/>
      <c r="I629" s="19"/>
      <c r="J629" s="19"/>
      <c r="K629" s="19"/>
    </row>
    <row r="630" spans="1:11">
      <c r="A630" s="91">
        <v>628</v>
      </c>
      <c r="B630" s="91">
        <v>628</v>
      </c>
      <c r="C630" s="91"/>
      <c r="D630" s="91">
        <v>2111</v>
      </c>
      <c r="E630" s="19" t="s">
        <v>1837</v>
      </c>
      <c r="F630" s="19" t="e">
        <f>_xlfn.XLOOKUP(batch_works35[[#This Row],[description]],Table14[name],Table14[id])</f>
        <v>#N/A</v>
      </c>
      <c r="G630" s="19"/>
      <c r="H630" s="19"/>
      <c r="I630" s="19"/>
      <c r="J630" s="19"/>
      <c r="K630" s="19"/>
    </row>
    <row r="631" spans="1:11">
      <c r="A631" s="91">
        <v>629</v>
      </c>
      <c r="B631" s="91">
        <v>629</v>
      </c>
      <c r="C631" s="91"/>
      <c r="D631" s="91">
        <v>2112</v>
      </c>
      <c r="E631" s="19" t="s">
        <v>1829</v>
      </c>
      <c r="F631" s="19" t="e">
        <f>_xlfn.XLOOKUP(batch_works35[[#This Row],[description]],Table14[name],Table14[id])</f>
        <v>#N/A</v>
      </c>
      <c r="G631" s="19"/>
      <c r="H631" s="19"/>
      <c r="I631" s="19"/>
      <c r="J631" s="19"/>
      <c r="K631" s="19"/>
    </row>
    <row r="632" spans="1:11">
      <c r="A632" s="91">
        <v>630</v>
      </c>
      <c r="B632" s="91">
        <v>630</v>
      </c>
      <c r="C632" s="91"/>
      <c r="D632" s="91">
        <v>2112</v>
      </c>
      <c r="E632" s="19" t="s">
        <v>1825</v>
      </c>
      <c r="F632" s="19" t="e">
        <f>_xlfn.XLOOKUP(batch_works35[[#This Row],[description]],Table14[name],Table14[id])</f>
        <v>#N/A</v>
      </c>
      <c r="G632" s="19"/>
      <c r="H632" s="19"/>
      <c r="I632" s="19"/>
      <c r="J632" s="19"/>
      <c r="K632" s="19"/>
    </row>
    <row r="633" spans="1:11">
      <c r="A633" s="91">
        <v>631</v>
      </c>
      <c r="B633" s="91">
        <v>631</v>
      </c>
      <c r="C633" s="91"/>
      <c r="D633" s="91">
        <v>2113</v>
      </c>
      <c r="E633" s="19" t="s">
        <v>1829</v>
      </c>
      <c r="F633" s="19" t="e">
        <f>_xlfn.XLOOKUP(batch_works35[[#This Row],[description]],Table14[name],Table14[id])</f>
        <v>#N/A</v>
      </c>
      <c r="G633" s="19"/>
      <c r="H633" s="19"/>
      <c r="I633" s="19"/>
      <c r="J633" s="19"/>
      <c r="K633" s="19"/>
    </row>
    <row r="634" spans="1:11">
      <c r="A634" s="91">
        <v>632</v>
      </c>
      <c r="B634" s="91">
        <v>632</v>
      </c>
      <c r="C634" s="91"/>
      <c r="D634" s="91">
        <v>2114</v>
      </c>
      <c r="E634" s="19" t="s">
        <v>1829</v>
      </c>
      <c r="F634" s="19" t="e">
        <f>_xlfn.XLOOKUP(batch_works35[[#This Row],[description]],Table14[name],Table14[id])</f>
        <v>#N/A</v>
      </c>
      <c r="G634" s="19"/>
      <c r="H634" s="19"/>
      <c r="I634" s="19"/>
      <c r="J634" s="19"/>
      <c r="K634" s="19"/>
    </row>
    <row r="635" spans="1:11">
      <c r="A635" s="91">
        <v>633</v>
      </c>
      <c r="B635" s="91">
        <v>633</v>
      </c>
      <c r="C635" s="91"/>
      <c r="D635" s="91">
        <v>2114</v>
      </c>
      <c r="E635" s="19" t="s">
        <v>1825</v>
      </c>
      <c r="F635" s="19" t="e">
        <f>_xlfn.XLOOKUP(batch_works35[[#This Row],[description]],Table14[name],Table14[id])</f>
        <v>#N/A</v>
      </c>
      <c r="G635" s="19"/>
      <c r="H635" s="19"/>
      <c r="I635" s="19"/>
      <c r="J635" s="19"/>
      <c r="K635" s="19"/>
    </row>
    <row r="636" spans="1:11">
      <c r="A636" s="91">
        <v>634</v>
      </c>
      <c r="B636" s="91">
        <v>634</v>
      </c>
      <c r="C636" s="91"/>
      <c r="D636" s="91">
        <v>2117</v>
      </c>
      <c r="E636" s="19" t="s">
        <v>1825</v>
      </c>
      <c r="F636" s="19" t="e">
        <f>_xlfn.XLOOKUP(batch_works35[[#This Row],[description]],Table14[name],Table14[id])</f>
        <v>#N/A</v>
      </c>
      <c r="G636" s="19"/>
      <c r="H636" s="19"/>
      <c r="I636" s="19"/>
      <c r="J636" s="19"/>
      <c r="K636" s="19"/>
    </row>
    <row r="637" spans="1:11">
      <c r="A637" s="91">
        <v>635</v>
      </c>
      <c r="B637" s="91">
        <v>635</v>
      </c>
      <c r="C637" s="91"/>
      <c r="D637" s="91">
        <v>2117</v>
      </c>
      <c r="E637" s="19" t="s">
        <v>1837</v>
      </c>
      <c r="F637" s="19" t="e">
        <f>_xlfn.XLOOKUP(batch_works35[[#This Row],[description]],Table14[name],Table14[id])</f>
        <v>#N/A</v>
      </c>
      <c r="G637" s="19"/>
      <c r="H637" s="19"/>
      <c r="I637" s="19"/>
      <c r="J637" s="19"/>
      <c r="K637" s="19"/>
    </row>
    <row r="638" spans="1:11">
      <c r="A638" s="91">
        <v>636</v>
      </c>
      <c r="B638" s="91">
        <v>636</v>
      </c>
      <c r="C638" s="91"/>
      <c r="D638" s="91">
        <v>2118</v>
      </c>
      <c r="E638" s="19" t="s">
        <v>1841</v>
      </c>
      <c r="F638" s="19" t="e">
        <f>_xlfn.XLOOKUP(batch_works35[[#This Row],[description]],Table14[name],Table14[id])</f>
        <v>#N/A</v>
      </c>
      <c r="G638" s="19"/>
      <c r="H638" s="19"/>
      <c r="I638" s="19"/>
      <c r="J638" s="19"/>
      <c r="K638" s="19"/>
    </row>
    <row r="639" spans="1:11">
      <c r="A639" s="91">
        <v>637</v>
      </c>
      <c r="B639" s="91">
        <v>637</v>
      </c>
      <c r="C639" s="91"/>
      <c r="D639" s="91">
        <v>2118</v>
      </c>
      <c r="E639" s="19" t="s">
        <v>1837</v>
      </c>
      <c r="F639" s="19" t="e">
        <f>_xlfn.XLOOKUP(batch_works35[[#This Row],[description]],Table14[name],Table14[id])</f>
        <v>#N/A</v>
      </c>
      <c r="G639" s="19"/>
      <c r="H639" s="19"/>
      <c r="I639" s="19"/>
      <c r="J639" s="19"/>
      <c r="K639" s="19"/>
    </row>
    <row r="640" spans="1:11">
      <c r="A640" s="91">
        <v>638</v>
      </c>
      <c r="B640" s="91">
        <v>638</v>
      </c>
      <c r="C640" s="91"/>
      <c r="D640" s="91">
        <v>2119</v>
      </c>
      <c r="E640" s="19" t="s">
        <v>1561</v>
      </c>
      <c r="F640" s="19">
        <f>_xlfn.XLOOKUP(batch_works35[[#This Row],[description]],Table14[name],Table14[id])</f>
        <v>30</v>
      </c>
      <c r="G640" s="19"/>
      <c r="H640" s="19"/>
      <c r="I640" s="19"/>
      <c r="J640" s="19"/>
      <c r="K640" s="19"/>
    </row>
    <row r="641" spans="1:11">
      <c r="A641" s="91">
        <v>639</v>
      </c>
      <c r="B641" s="91">
        <v>639</v>
      </c>
      <c r="C641" s="91"/>
      <c r="D641" s="91">
        <v>2119</v>
      </c>
      <c r="E641" s="19" t="s">
        <v>1819</v>
      </c>
      <c r="F641" s="19" t="e">
        <f>_xlfn.XLOOKUP(batch_works35[[#This Row],[description]],Table14[name],Table14[id])</f>
        <v>#N/A</v>
      </c>
      <c r="G641" s="19"/>
      <c r="H641" s="19"/>
      <c r="I641" s="19"/>
      <c r="J641" s="19"/>
      <c r="K641" s="19"/>
    </row>
    <row r="642" spans="1:11">
      <c r="A642" s="91">
        <v>640</v>
      </c>
      <c r="B642" s="91">
        <v>640</v>
      </c>
      <c r="C642" s="91"/>
      <c r="D642" s="91">
        <v>2119</v>
      </c>
      <c r="E642" s="19" t="s">
        <v>1819</v>
      </c>
      <c r="F642" s="19" t="e">
        <f>_xlfn.XLOOKUP(batch_works35[[#This Row],[description]],Table14[name],Table14[id])</f>
        <v>#N/A</v>
      </c>
      <c r="G642" s="19"/>
      <c r="H642" s="19"/>
      <c r="I642" s="19"/>
      <c r="J642" s="19"/>
      <c r="K642" s="19"/>
    </row>
    <row r="643" spans="1:11">
      <c r="A643" s="91">
        <v>641</v>
      </c>
      <c r="B643" s="91">
        <v>641</v>
      </c>
      <c r="C643" s="91"/>
      <c r="D643" s="91">
        <v>2119</v>
      </c>
      <c r="E643" s="19" t="s">
        <v>1841</v>
      </c>
      <c r="F643" s="19" t="e">
        <f>_xlfn.XLOOKUP(batch_works35[[#This Row],[description]],Table14[name],Table14[id])</f>
        <v>#N/A</v>
      </c>
      <c r="G643" s="19"/>
      <c r="H643" s="19"/>
      <c r="I643" s="19"/>
      <c r="J643" s="19"/>
      <c r="K643" s="19"/>
    </row>
    <row r="644" spans="1:11">
      <c r="A644" s="91">
        <v>642</v>
      </c>
      <c r="B644" s="91">
        <v>642</v>
      </c>
      <c r="C644" s="91"/>
      <c r="D644" s="91">
        <v>2122</v>
      </c>
      <c r="E644" s="19" t="s">
        <v>1563</v>
      </c>
      <c r="F644" s="19">
        <f>_xlfn.XLOOKUP(batch_works35[[#This Row],[description]],Table14[name],Table14[id])</f>
        <v>31</v>
      </c>
      <c r="G644" s="19"/>
      <c r="H644" s="19"/>
      <c r="I644" s="19"/>
      <c r="J644" s="19"/>
      <c r="K644" s="19"/>
    </row>
    <row r="645" spans="1:11">
      <c r="A645" s="91">
        <v>643</v>
      </c>
      <c r="B645" s="91">
        <v>643</v>
      </c>
      <c r="C645" s="91"/>
      <c r="D645" s="91">
        <v>2122</v>
      </c>
      <c r="E645" s="19" t="s">
        <v>1819</v>
      </c>
      <c r="F645" s="19" t="e">
        <f>_xlfn.XLOOKUP(batch_works35[[#This Row],[description]],Table14[name],Table14[id])</f>
        <v>#N/A</v>
      </c>
      <c r="G645" s="19"/>
      <c r="H645" s="19"/>
      <c r="I645" s="19"/>
      <c r="J645" s="19"/>
      <c r="K645" s="19"/>
    </row>
    <row r="646" spans="1:11">
      <c r="A646" s="91">
        <v>644</v>
      </c>
      <c r="B646" s="91">
        <v>644</v>
      </c>
      <c r="C646" s="91"/>
      <c r="D646" s="91">
        <v>2122</v>
      </c>
      <c r="E646" s="19" t="s">
        <v>1827</v>
      </c>
      <c r="F646" s="19" t="e">
        <f>_xlfn.XLOOKUP(batch_works35[[#This Row],[description]],Table14[name],Table14[id])</f>
        <v>#N/A</v>
      </c>
      <c r="G646" s="19"/>
      <c r="H646" s="19"/>
      <c r="I646" s="19"/>
      <c r="J646" s="19"/>
      <c r="K646" s="19"/>
    </row>
    <row r="647" spans="1:11">
      <c r="A647" s="91">
        <v>645</v>
      </c>
      <c r="B647" s="91">
        <v>645</v>
      </c>
      <c r="C647" s="91"/>
      <c r="D647" s="91">
        <v>2122</v>
      </c>
      <c r="E647" s="19" t="s">
        <v>1841</v>
      </c>
      <c r="F647" s="19" t="e">
        <f>_xlfn.XLOOKUP(batch_works35[[#This Row],[description]],Table14[name],Table14[id])</f>
        <v>#N/A</v>
      </c>
      <c r="G647" s="19"/>
      <c r="H647" s="19"/>
      <c r="I647" s="19"/>
      <c r="J647" s="19"/>
      <c r="K647" s="19"/>
    </row>
    <row r="648" spans="1:11">
      <c r="A648" s="91">
        <v>646</v>
      </c>
      <c r="B648" s="91">
        <v>646</v>
      </c>
      <c r="C648" s="91"/>
      <c r="D648" s="91">
        <v>2123</v>
      </c>
      <c r="E648" s="19" t="s">
        <v>1561</v>
      </c>
      <c r="F648" s="19">
        <f>_xlfn.XLOOKUP(batch_works35[[#This Row],[description]],Table14[name],Table14[id])</f>
        <v>30</v>
      </c>
      <c r="G648" s="19"/>
      <c r="H648" s="19"/>
      <c r="I648" s="19"/>
      <c r="J648" s="19"/>
      <c r="K648" s="19"/>
    </row>
    <row r="649" spans="1:11">
      <c r="A649" s="91">
        <v>647</v>
      </c>
      <c r="B649" s="91">
        <v>647</v>
      </c>
      <c r="C649" s="91"/>
      <c r="D649" s="91">
        <v>2123</v>
      </c>
      <c r="E649" s="19" t="s">
        <v>1819</v>
      </c>
      <c r="F649" s="19" t="e">
        <f>_xlfn.XLOOKUP(batch_works35[[#This Row],[description]],Table14[name],Table14[id])</f>
        <v>#N/A</v>
      </c>
      <c r="G649" s="19"/>
      <c r="H649" s="19"/>
      <c r="I649" s="19"/>
      <c r="J649" s="19"/>
      <c r="K649" s="19"/>
    </row>
    <row r="650" spans="1:11">
      <c r="A650" s="91">
        <v>648</v>
      </c>
      <c r="B650" s="91">
        <v>648</v>
      </c>
      <c r="C650" s="91"/>
      <c r="D650" s="91">
        <v>2123</v>
      </c>
      <c r="E650" s="19" t="s">
        <v>1842</v>
      </c>
      <c r="F650" s="19" t="e">
        <f>_xlfn.XLOOKUP(batch_works35[[#This Row],[description]],Table14[name],Table14[id])</f>
        <v>#N/A</v>
      </c>
      <c r="G650" s="19"/>
      <c r="H650" s="19"/>
      <c r="I650" s="19"/>
      <c r="J650" s="19"/>
      <c r="K650" s="19"/>
    </row>
    <row r="651" spans="1:11">
      <c r="A651" s="91">
        <v>649</v>
      </c>
      <c r="B651" s="91">
        <v>649</v>
      </c>
      <c r="C651" s="91"/>
      <c r="D651" s="91">
        <v>2124</v>
      </c>
      <c r="E651" s="19" t="s">
        <v>1561</v>
      </c>
      <c r="F651" s="19">
        <f>_xlfn.XLOOKUP(batch_works35[[#This Row],[description]],Table14[name],Table14[id])</f>
        <v>30</v>
      </c>
      <c r="G651" s="19"/>
      <c r="H651" s="19"/>
      <c r="I651" s="19"/>
      <c r="J651" s="19"/>
      <c r="K651" s="19"/>
    </row>
    <row r="652" spans="1:11">
      <c r="A652" s="91">
        <v>650</v>
      </c>
      <c r="B652" s="91">
        <v>650</v>
      </c>
      <c r="C652" s="91"/>
      <c r="D652" s="91">
        <v>2124</v>
      </c>
      <c r="E652" s="19" t="s">
        <v>1819</v>
      </c>
      <c r="F652" s="19" t="e">
        <f>_xlfn.XLOOKUP(batch_works35[[#This Row],[description]],Table14[name],Table14[id])</f>
        <v>#N/A</v>
      </c>
      <c r="G652" s="19"/>
      <c r="H652" s="19"/>
      <c r="I652" s="19"/>
      <c r="J652" s="19"/>
      <c r="K652" s="19"/>
    </row>
    <row r="653" spans="1:11">
      <c r="A653" s="91">
        <v>651</v>
      </c>
      <c r="B653" s="91">
        <v>651</v>
      </c>
      <c r="C653" s="91"/>
      <c r="D653" s="91">
        <v>2124</v>
      </c>
      <c r="E653" s="19" t="s">
        <v>1819</v>
      </c>
      <c r="F653" s="19" t="e">
        <f>_xlfn.XLOOKUP(batch_works35[[#This Row],[description]],Table14[name],Table14[id])</f>
        <v>#N/A</v>
      </c>
      <c r="G653" s="19"/>
      <c r="H653" s="19"/>
      <c r="I653" s="19"/>
      <c r="J653" s="19"/>
      <c r="K653" s="19"/>
    </row>
    <row r="654" spans="1:11">
      <c r="A654" s="91">
        <v>652</v>
      </c>
      <c r="B654" s="91">
        <v>652</v>
      </c>
      <c r="C654" s="91"/>
      <c r="D654" s="91">
        <v>2124</v>
      </c>
      <c r="E654" s="19" t="s">
        <v>1841</v>
      </c>
      <c r="F654" s="19" t="e">
        <f>_xlfn.XLOOKUP(batch_works35[[#This Row],[description]],Table14[name],Table14[id])</f>
        <v>#N/A</v>
      </c>
      <c r="G654" s="19"/>
      <c r="H654" s="19"/>
      <c r="I654" s="19"/>
      <c r="J654" s="19"/>
      <c r="K654" s="19"/>
    </row>
    <row r="655" spans="1:11">
      <c r="A655" s="91">
        <v>653</v>
      </c>
      <c r="B655" s="91">
        <v>653</v>
      </c>
      <c r="C655" s="91"/>
      <c r="D655" s="91">
        <v>2125</v>
      </c>
      <c r="E655" s="19" t="s">
        <v>1561</v>
      </c>
      <c r="F655" s="19">
        <f>_xlfn.XLOOKUP(batch_works35[[#This Row],[description]],Table14[name],Table14[id])</f>
        <v>30</v>
      </c>
      <c r="G655" s="19"/>
      <c r="H655" s="19"/>
      <c r="I655" s="19"/>
      <c r="J655" s="19"/>
      <c r="K655" s="19"/>
    </row>
    <row r="656" spans="1:11">
      <c r="A656" s="91">
        <v>654</v>
      </c>
      <c r="B656" s="91">
        <v>654</v>
      </c>
      <c r="C656" s="91"/>
      <c r="D656" s="91">
        <v>2125</v>
      </c>
      <c r="E656" s="19" t="s">
        <v>1819</v>
      </c>
      <c r="F656" s="19" t="e">
        <f>_xlfn.XLOOKUP(batch_works35[[#This Row],[description]],Table14[name],Table14[id])</f>
        <v>#N/A</v>
      </c>
      <c r="G656" s="19"/>
      <c r="H656" s="19"/>
      <c r="I656" s="19"/>
      <c r="J656" s="19"/>
      <c r="K656" s="19"/>
    </row>
    <row r="657" spans="1:11">
      <c r="A657" s="91">
        <v>655</v>
      </c>
      <c r="B657" s="91">
        <v>655</v>
      </c>
      <c r="C657" s="91"/>
      <c r="D657" s="91">
        <v>2125</v>
      </c>
      <c r="E657" s="19" t="s">
        <v>1841</v>
      </c>
      <c r="F657" s="19" t="e">
        <f>_xlfn.XLOOKUP(batch_works35[[#This Row],[description]],Table14[name],Table14[id])</f>
        <v>#N/A</v>
      </c>
      <c r="G657" s="19"/>
      <c r="H657" s="19"/>
      <c r="I657" s="19"/>
      <c r="J657" s="19"/>
      <c r="K657" s="19"/>
    </row>
    <row r="658" spans="1:11">
      <c r="A658" s="91">
        <v>656</v>
      </c>
      <c r="B658" s="91">
        <v>656</v>
      </c>
      <c r="C658" s="91"/>
      <c r="D658" s="91">
        <v>2126</v>
      </c>
      <c r="E658" s="19" t="s">
        <v>1525</v>
      </c>
      <c r="F658" s="19">
        <f>_xlfn.XLOOKUP(batch_works35[[#This Row],[description]],Table14[name],Table14[id])</f>
        <v>7</v>
      </c>
      <c r="G658" s="19"/>
      <c r="H658" s="19"/>
      <c r="I658" s="19"/>
      <c r="J658" s="19"/>
      <c r="K658" s="19"/>
    </row>
    <row r="659" spans="1:11">
      <c r="A659" s="91">
        <v>657</v>
      </c>
      <c r="B659" s="91">
        <v>657</v>
      </c>
      <c r="C659" s="91"/>
      <c r="D659" s="91">
        <v>2126</v>
      </c>
      <c r="E659" s="19" t="s">
        <v>1826</v>
      </c>
      <c r="F659" s="19" t="e">
        <f>_xlfn.XLOOKUP(batch_works35[[#This Row],[description]],Table14[name],Table14[id])</f>
        <v>#N/A</v>
      </c>
      <c r="G659" s="19"/>
      <c r="H659" s="19"/>
      <c r="I659" s="19"/>
      <c r="J659" s="19"/>
      <c r="K659" s="19"/>
    </row>
    <row r="660" spans="1:11">
      <c r="A660" s="91">
        <v>658</v>
      </c>
      <c r="B660" s="91">
        <v>658</v>
      </c>
      <c r="C660" s="91"/>
      <c r="D660" s="91">
        <v>2126</v>
      </c>
      <c r="E660" s="19" t="s">
        <v>1837</v>
      </c>
      <c r="F660" s="19" t="e">
        <f>_xlfn.XLOOKUP(batch_works35[[#This Row],[description]],Table14[name],Table14[id])</f>
        <v>#N/A</v>
      </c>
      <c r="G660" s="19"/>
      <c r="H660" s="19"/>
      <c r="I660" s="19"/>
      <c r="J660" s="19"/>
      <c r="K660" s="19"/>
    </row>
    <row r="661" spans="1:11">
      <c r="A661" s="91">
        <v>659</v>
      </c>
      <c r="B661" s="91">
        <v>659</v>
      </c>
      <c r="C661" s="91"/>
      <c r="D661" s="91">
        <v>2127</v>
      </c>
      <c r="E661" s="19" t="s">
        <v>1513</v>
      </c>
      <c r="F661" s="19">
        <f>_xlfn.XLOOKUP(batch_works35[[#This Row],[description]],Table14[name],Table14[id])</f>
        <v>18</v>
      </c>
      <c r="G661" s="19"/>
      <c r="H661" s="19"/>
      <c r="I661" s="19"/>
      <c r="J661" s="19"/>
      <c r="K661" s="19"/>
    </row>
    <row r="662" spans="1:11">
      <c r="A662" s="91">
        <v>660</v>
      </c>
      <c r="B662" s="91">
        <v>660</v>
      </c>
      <c r="C662" s="91"/>
      <c r="D662" s="91">
        <v>2127</v>
      </c>
      <c r="E662" s="19" t="s">
        <v>1561</v>
      </c>
      <c r="F662" s="19">
        <f>_xlfn.XLOOKUP(batch_works35[[#This Row],[description]],Table14[name],Table14[id])</f>
        <v>30</v>
      </c>
      <c r="G662" s="19"/>
      <c r="H662" s="19"/>
      <c r="I662" s="19"/>
      <c r="J662" s="19"/>
      <c r="K662" s="19"/>
    </row>
    <row r="663" spans="1:11">
      <c r="A663" s="91">
        <v>661</v>
      </c>
      <c r="B663" s="91">
        <v>661</v>
      </c>
      <c r="C663" s="91"/>
      <c r="D663" s="91">
        <v>2127</v>
      </c>
      <c r="E663" s="19" t="s">
        <v>1819</v>
      </c>
      <c r="F663" s="19" t="e">
        <f>_xlfn.XLOOKUP(batch_works35[[#This Row],[description]],Table14[name],Table14[id])</f>
        <v>#N/A</v>
      </c>
      <c r="G663" s="19"/>
      <c r="H663" s="19"/>
      <c r="I663" s="19"/>
      <c r="J663" s="19"/>
      <c r="K663" s="19"/>
    </row>
    <row r="664" spans="1:11">
      <c r="A664" s="91">
        <v>662</v>
      </c>
      <c r="B664" s="91">
        <v>662</v>
      </c>
      <c r="C664" s="91"/>
      <c r="D664" s="91">
        <v>2127</v>
      </c>
      <c r="E664" s="19" t="s">
        <v>1820</v>
      </c>
      <c r="F664" s="19" t="e">
        <f>_xlfn.XLOOKUP(batch_works35[[#This Row],[description]],Table14[name],Table14[id])</f>
        <v>#N/A</v>
      </c>
      <c r="G664" s="19"/>
      <c r="H664" s="19"/>
      <c r="I664" s="19"/>
      <c r="J664" s="19"/>
      <c r="K664" s="19"/>
    </row>
    <row r="665" spans="1:11">
      <c r="A665" s="91">
        <v>663</v>
      </c>
      <c r="B665" s="91">
        <v>663</v>
      </c>
      <c r="C665" s="91"/>
      <c r="D665" s="91">
        <v>2128</v>
      </c>
      <c r="E665" s="19" t="s">
        <v>1513</v>
      </c>
      <c r="F665" s="19">
        <f>_xlfn.XLOOKUP(batch_works35[[#This Row],[description]],Table14[name],Table14[id])</f>
        <v>18</v>
      </c>
      <c r="G665" s="19"/>
      <c r="H665" s="19"/>
      <c r="I665" s="19"/>
      <c r="J665" s="19"/>
      <c r="K665" s="19"/>
    </row>
    <row r="666" spans="1:11">
      <c r="A666" s="91">
        <v>664</v>
      </c>
      <c r="B666" s="91">
        <v>664</v>
      </c>
      <c r="C666" s="91"/>
      <c r="D666" s="91">
        <v>2128</v>
      </c>
      <c r="E666" s="19" t="s">
        <v>1561</v>
      </c>
      <c r="F666" s="19">
        <f>_xlfn.XLOOKUP(batch_works35[[#This Row],[description]],Table14[name],Table14[id])</f>
        <v>30</v>
      </c>
      <c r="G666" s="19"/>
      <c r="H666" s="19"/>
      <c r="I666" s="19"/>
      <c r="J666" s="19"/>
      <c r="K666" s="19"/>
    </row>
    <row r="667" spans="1:11">
      <c r="A667" s="91">
        <v>665</v>
      </c>
      <c r="B667" s="91">
        <v>665</v>
      </c>
      <c r="C667" s="91"/>
      <c r="D667" s="91">
        <v>2128</v>
      </c>
      <c r="E667" s="19" t="s">
        <v>1819</v>
      </c>
      <c r="F667" s="19" t="e">
        <f>_xlfn.XLOOKUP(batch_works35[[#This Row],[description]],Table14[name],Table14[id])</f>
        <v>#N/A</v>
      </c>
      <c r="G667" s="19"/>
      <c r="H667" s="19"/>
      <c r="I667" s="19"/>
      <c r="J667" s="19"/>
      <c r="K667" s="19"/>
    </row>
    <row r="668" spans="1:11">
      <c r="A668" s="91">
        <v>666</v>
      </c>
      <c r="B668" s="91">
        <v>666</v>
      </c>
      <c r="C668" s="91"/>
      <c r="D668" s="91">
        <v>2129</v>
      </c>
      <c r="E668" s="19" t="s">
        <v>1513</v>
      </c>
      <c r="F668" s="19">
        <f>_xlfn.XLOOKUP(batch_works35[[#This Row],[description]],Table14[name],Table14[id])</f>
        <v>18</v>
      </c>
      <c r="G668" s="19"/>
      <c r="H668" s="19"/>
      <c r="I668" s="19"/>
      <c r="J668" s="19"/>
      <c r="K668" s="19"/>
    </row>
    <row r="669" spans="1:11">
      <c r="A669" s="91">
        <v>667</v>
      </c>
      <c r="B669" s="91">
        <v>667</v>
      </c>
      <c r="C669" s="91"/>
      <c r="D669" s="91">
        <v>2129</v>
      </c>
      <c r="E669" s="19" t="s">
        <v>1561</v>
      </c>
      <c r="F669" s="19">
        <f>_xlfn.XLOOKUP(batch_works35[[#This Row],[description]],Table14[name],Table14[id])</f>
        <v>30</v>
      </c>
      <c r="G669" s="19"/>
      <c r="H669" s="19"/>
      <c r="I669" s="19"/>
      <c r="J669" s="19"/>
      <c r="K669" s="19"/>
    </row>
    <row r="670" spans="1:11">
      <c r="A670" s="91">
        <v>668</v>
      </c>
      <c r="B670" s="91">
        <v>668</v>
      </c>
      <c r="C670" s="91"/>
      <c r="D670" s="91">
        <v>2129</v>
      </c>
      <c r="E670" s="19" t="s">
        <v>1835</v>
      </c>
      <c r="F670" s="19" t="e">
        <f>_xlfn.XLOOKUP(batch_works35[[#This Row],[description]],Table14[name],Table14[id])</f>
        <v>#N/A</v>
      </c>
      <c r="G670" s="19"/>
      <c r="H670" s="19"/>
      <c r="I670" s="19"/>
      <c r="J670" s="19"/>
      <c r="K670" s="19"/>
    </row>
    <row r="671" spans="1:11">
      <c r="A671" s="91">
        <v>669</v>
      </c>
      <c r="B671" s="91">
        <v>669</v>
      </c>
      <c r="C671" s="91"/>
      <c r="D671" s="91">
        <v>2129</v>
      </c>
      <c r="E671" s="19" t="s">
        <v>1820</v>
      </c>
      <c r="F671" s="19" t="e">
        <f>_xlfn.XLOOKUP(batch_works35[[#This Row],[description]],Table14[name],Table14[id])</f>
        <v>#N/A</v>
      </c>
      <c r="G671" s="19"/>
      <c r="H671" s="19"/>
      <c r="I671" s="19"/>
      <c r="J671" s="19"/>
      <c r="K671" s="19"/>
    </row>
    <row r="672" spans="1:11">
      <c r="A672" s="91">
        <v>670</v>
      </c>
      <c r="B672" s="91">
        <v>670</v>
      </c>
      <c r="C672" s="91"/>
      <c r="D672" s="91">
        <v>2130</v>
      </c>
      <c r="E672" s="19" t="s">
        <v>1513</v>
      </c>
      <c r="F672" s="19">
        <f>_xlfn.XLOOKUP(batch_works35[[#This Row],[description]],Table14[name],Table14[id])</f>
        <v>18</v>
      </c>
      <c r="G672" s="19"/>
      <c r="H672" s="19"/>
      <c r="I672" s="19"/>
      <c r="J672" s="19"/>
      <c r="K672" s="19"/>
    </row>
    <row r="673" spans="1:11">
      <c r="A673" s="91">
        <v>671</v>
      </c>
      <c r="B673" s="91">
        <v>671</v>
      </c>
      <c r="C673" s="91"/>
      <c r="D673" s="91">
        <v>2130</v>
      </c>
      <c r="E673" s="19" t="s">
        <v>1561</v>
      </c>
      <c r="F673" s="19">
        <f>_xlfn.XLOOKUP(batch_works35[[#This Row],[description]],Table14[name],Table14[id])</f>
        <v>30</v>
      </c>
      <c r="G673" s="19"/>
      <c r="H673" s="19"/>
      <c r="I673" s="19"/>
      <c r="J673" s="19"/>
      <c r="K673" s="19"/>
    </row>
    <row r="674" spans="1:11">
      <c r="A674" s="91">
        <v>672</v>
      </c>
      <c r="B674" s="91">
        <v>672</v>
      </c>
      <c r="C674" s="91"/>
      <c r="D674" s="91">
        <v>2130</v>
      </c>
      <c r="E674" s="19" t="s">
        <v>1819</v>
      </c>
      <c r="F674" s="19" t="e">
        <f>_xlfn.XLOOKUP(batch_works35[[#This Row],[description]],Table14[name],Table14[id])</f>
        <v>#N/A</v>
      </c>
      <c r="G674" s="19"/>
      <c r="H674" s="19"/>
      <c r="I674" s="19"/>
      <c r="J674" s="19"/>
      <c r="K674" s="19"/>
    </row>
    <row r="675" spans="1:11">
      <c r="A675" s="91">
        <v>673</v>
      </c>
      <c r="B675" s="91">
        <v>673</v>
      </c>
      <c r="C675" s="91"/>
      <c r="D675" s="91">
        <v>2130</v>
      </c>
      <c r="E675" s="19" t="s">
        <v>1820</v>
      </c>
      <c r="F675" s="19" t="e">
        <f>_xlfn.XLOOKUP(batch_works35[[#This Row],[description]],Table14[name],Table14[id])</f>
        <v>#N/A</v>
      </c>
      <c r="G675" s="19"/>
      <c r="H675" s="19"/>
      <c r="I675" s="19"/>
      <c r="J675" s="19"/>
      <c r="K675" s="19"/>
    </row>
    <row r="676" spans="1:11">
      <c r="A676" s="91">
        <v>674</v>
      </c>
      <c r="B676" s="91">
        <v>674</v>
      </c>
      <c r="C676" s="91"/>
      <c r="D676" s="91">
        <v>2131</v>
      </c>
      <c r="E676" s="19" t="s">
        <v>1513</v>
      </c>
      <c r="F676" s="19">
        <f>_xlfn.XLOOKUP(batch_works35[[#This Row],[description]],Table14[name],Table14[id])</f>
        <v>18</v>
      </c>
      <c r="G676" s="19"/>
      <c r="H676" s="19"/>
      <c r="I676" s="19"/>
      <c r="J676" s="19"/>
      <c r="K676" s="19"/>
    </row>
    <row r="677" spans="1:11">
      <c r="A677" s="91">
        <v>675</v>
      </c>
      <c r="B677" s="91">
        <v>675</v>
      </c>
      <c r="C677" s="91"/>
      <c r="D677" s="91">
        <v>2131</v>
      </c>
      <c r="E677" s="19" t="s">
        <v>1835</v>
      </c>
      <c r="F677" s="19" t="e">
        <f>_xlfn.XLOOKUP(batch_works35[[#This Row],[description]],Table14[name],Table14[id])</f>
        <v>#N/A</v>
      </c>
      <c r="G677" s="19"/>
      <c r="H677" s="19"/>
      <c r="I677" s="19"/>
      <c r="J677" s="19"/>
      <c r="K677" s="19"/>
    </row>
    <row r="678" spans="1:11">
      <c r="A678" s="91">
        <v>676</v>
      </c>
      <c r="B678" s="91">
        <v>676</v>
      </c>
      <c r="C678" s="91"/>
      <c r="D678" s="91">
        <v>2132</v>
      </c>
      <c r="E678" s="19" t="s">
        <v>1513</v>
      </c>
      <c r="F678" s="19">
        <f>_xlfn.XLOOKUP(batch_works35[[#This Row],[description]],Table14[name],Table14[id])</f>
        <v>18</v>
      </c>
      <c r="G678" s="19"/>
      <c r="H678" s="19"/>
      <c r="I678" s="19"/>
      <c r="J678" s="19"/>
      <c r="K678" s="19"/>
    </row>
    <row r="679" spans="1:11">
      <c r="A679" s="91">
        <v>677</v>
      </c>
      <c r="B679" s="91">
        <v>677</v>
      </c>
      <c r="C679" s="91"/>
      <c r="D679" s="91">
        <v>2132</v>
      </c>
      <c r="E679" s="19" t="s">
        <v>1835</v>
      </c>
      <c r="F679" s="19" t="e">
        <f>_xlfn.XLOOKUP(batch_works35[[#This Row],[description]],Table14[name],Table14[id])</f>
        <v>#N/A</v>
      </c>
      <c r="G679" s="19"/>
      <c r="H679" s="19"/>
      <c r="I679" s="19"/>
      <c r="J679" s="19"/>
      <c r="K679" s="19"/>
    </row>
    <row r="680" spans="1:11">
      <c r="A680" s="91">
        <v>678</v>
      </c>
      <c r="B680" s="91">
        <v>678</v>
      </c>
      <c r="C680" s="91"/>
      <c r="D680" s="91">
        <v>2132</v>
      </c>
      <c r="E680" s="19" t="s">
        <v>1820</v>
      </c>
      <c r="F680" s="19" t="e">
        <f>_xlfn.XLOOKUP(batch_works35[[#This Row],[description]],Table14[name],Table14[id])</f>
        <v>#N/A</v>
      </c>
      <c r="G680" s="19"/>
      <c r="H680" s="19"/>
      <c r="I680" s="19"/>
      <c r="J680" s="19"/>
      <c r="K680" s="19"/>
    </row>
    <row r="681" spans="1:11">
      <c r="A681" s="91">
        <v>679</v>
      </c>
      <c r="B681" s="91">
        <v>679</v>
      </c>
      <c r="C681" s="91"/>
      <c r="D681" s="91">
        <v>2133</v>
      </c>
      <c r="E681" s="19" t="s">
        <v>1513</v>
      </c>
      <c r="F681" s="19">
        <f>_xlfn.XLOOKUP(batch_works35[[#This Row],[description]],Table14[name],Table14[id])</f>
        <v>18</v>
      </c>
      <c r="G681" s="19"/>
      <c r="H681" s="19"/>
      <c r="I681" s="19"/>
      <c r="J681" s="19"/>
      <c r="K681" s="19"/>
    </row>
    <row r="682" spans="1:11">
      <c r="A682" s="91">
        <v>680</v>
      </c>
      <c r="B682" s="91">
        <v>680</v>
      </c>
      <c r="C682" s="91"/>
      <c r="D682" s="91">
        <v>2133</v>
      </c>
      <c r="E682" s="19" t="s">
        <v>1561</v>
      </c>
      <c r="F682" s="19">
        <f>_xlfn.XLOOKUP(batch_works35[[#This Row],[description]],Table14[name],Table14[id])</f>
        <v>30</v>
      </c>
      <c r="G682" s="19"/>
      <c r="H682" s="19"/>
      <c r="I682" s="19"/>
      <c r="J682" s="19"/>
      <c r="K682" s="19"/>
    </row>
    <row r="683" spans="1:11">
      <c r="A683" s="91">
        <v>681</v>
      </c>
      <c r="B683" s="91">
        <v>681</v>
      </c>
      <c r="C683" s="91"/>
      <c r="D683" s="91">
        <v>2133</v>
      </c>
      <c r="E683" s="19" t="s">
        <v>1819</v>
      </c>
      <c r="F683" s="19" t="e">
        <f>_xlfn.XLOOKUP(batch_works35[[#This Row],[description]],Table14[name],Table14[id])</f>
        <v>#N/A</v>
      </c>
      <c r="G683" s="19"/>
      <c r="H683" s="19"/>
      <c r="I683" s="19"/>
      <c r="J683" s="19"/>
      <c r="K683" s="19"/>
    </row>
    <row r="684" spans="1:11">
      <c r="A684" s="91">
        <v>682</v>
      </c>
      <c r="B684" s="91">
        <v>682</v>
      </c>
      <c r="C684" s="91"/>
      <c r="D684" s="91">
        <v>2133</v>
      </c>
      <c r="E684" s="19" t="s">
        <v>1835</v>
      </c>
      <c r="F684" s="19" t="e">
        <f>_xlfn.XLOOKUP(batch_works35[[#This Row],[description]],Table14[name],Table14[id])</f>
        <v>#N/A</v>
      </c>
      <c r="G684" s="19"/>
      <c r="H684" s="19"/>
      <c r="I684" s="19"/>
      <c r="J684" s="19"/>
      <c r="K684" s="19"/>
    </row>
    <row r="685" spans="1:11">
      <c r="A685" s="91">
        <v>683</v>
      </c>
      <c r="B685" s="91">
        <v>683</v>
      </c>
      <c r="C685" s="91"/>
      <c r="D685" s="91">
        <v>2134</v>
      </c>
      <c r="E685" s="19" t="s">
        <v>1826</v>
      </c>
      <c r="F685" s="19" t="e">
        <f>_xlfn.XLOOKUP(batch_works35[[#This Row],[description]],Table14[name],Table14[id])</f>
        <v>#N/A</v>
      </c>
      <c r="G685" s="19"/>
      <c r="H685" s="19"/>
      <c r="I685" s="19"/>
      <c r="J685" s="19"/>
      <c r="K685" s="19"/>
    </row>
    <row r="686" spans="1:11">
      <c r="A686" s="91">
        <v>684</v>
      </c>
      <c r="B686" s="91">
        <v>684</v>
      </c>
      <c r="C686" s="91"/>
      <c r="D686" s="91">
        <v>2135</v>
      </c>
      <c r="E686" s="19" t="s">
        <v>1826</v>
      </c>
      <c r="F686" s="19" t="e">
        <f>_xlfn.XLOOKUP(batch_works35[[#This Row],[description]],Table14[name],Table14[id])</f>
        <v>#N/A</v>
      </c>
      <c r="G686" s="19"/>
      <c r="H686" s="19"/>
      <c r="I686" s="19"/>
      <c r="J686" s="19"/>
      <c r="K686" s="19"/>
    </row>
    <row r="687" spans="1:11">
      <c r="A687" s="91">
        <v>685</v>
      </c>
      <c r="B687" s="91">
        <v>685</v>
      </c>
      <c r="C687" s="91"/>
      <c r="D687" s="91">
        <v>2136</v>
      </c>
      <c r="E687" s="19" t="s">
        <v>1561</v>
      </c>
      <c r="F687" s="19">
        <f>_xlfn.XLOOKUP(batch_works35[[#This Row],[description]],Table14[name],Table14[id])</f>
        <v>30</v>
      </c>
      <c r="G687" s="19"/>
      <c r="H687" s="19"/>
      <c r="I687" s="19"/>
      <c r="J687" s="19"/>
      <c r="K687" s="19"/>
    </row>
    <row r="688" spans="1:11">
      <c r="A688" s="91">
        <v>686</v>
      </c>
      <c r="B688" s="91">
        <v>686</v>
      </c>
      <c r="C688" s="91"/>
      <c r="D688" s="91">
        <v>2136</v>
      </c>
      <c r="E688" s="19" t="s">
        <v>1835</v>
      </c>
      <c r="F688" s="19" t="e">
        <f>_xlfn.XLOOKUP(batch_works35[[#This Row],[description]],Table14[name],Table14[id])</f>
        <v>#N/A</v>
      </c>
      <c r="G688" s="19"/>
      <c r="H688" s="19"/>
      <c r="I688" s="19"/>
      <c r="J688" s="19"/>
      <c r="K688" s="19"/>
    </row>
    <row r="689" spans="1:11">
      <c r="A689" s="91">
        <v>687</v>
      </c>
      <c r="B689" s="91">
        <v>687</v>
      </c>
      <c r="C689" s="91"/>
      <c r="D689" s="91">
        <v>2136</v>
      </c>
      <c r="E689" s="19" t="s">
        <v>1820</v>
      </c>
      <c r="F689" s="19" t="e">
        <f>_xlfn.XLOOKUP(batch_works35[[#This Row],[description]],Table14[name],Table14[id])</f>
        <v>#N/A</v>
      </c>
      <c r="G689" s="19"/>
      <c r="H689" s="19"/>
      <c r="I689" s="19"/>
      <c r="J689" s="19"/>
      <c r="K689" s="19"/>
    </row>
    <row r="690" spans="1:11">
      <c r="A690" s="91">
        <v>688</v>
      </c>
      <c r="B690" s="91">
        <v>688</v>
      </c>
      <c r="C690" s="91"/>
      <c r="D690" s="91">
        <v>2137</v>
      </c>
      <c r="E690" s="19" t="s">
        <v>1825</v>
      </c>
      <c r="F690" s="19" t="e">
        <f>_xlfn.XLOOKUP(batch_works35[[#This Row],[description]],Table14[name],Table14[id])</f>
        <v>#N/A</v>
      </c>
      <c r="G690" s="19"/>
      <c r="H690" s="19"/>
      <c r="I690" s="19"/>
      <c r="J690" s="19"/>
      <c r="K690" s="19"/>
    </row>
    <row r="691" spans="1:11">
      <c r="A691" s="91">
        <v>689</v>
      </c>
      <c r="B691" s="91">
        <v>689</v>
      </c>
      <c r="C691" s="91"/>
      <c r="D691" s="91">
        <v>2137</v>
      </c>
      <c r="E691" s="19" t="s">
        <v>1834</v>
      </c>
      <c r="F691" s="19" t="e">
        <f>_xlfn.XLOOKUP(batch_works35[[#This Row],[description]],Table14[name],Table14[id])</f>
        <v>#N/A</v>
      </c>
      <c r="G691" s="19"/>
      <c r="H691" s="19"/>
      <c r="I691" s="19"/>
      <c r="J691" s="19"/>
      <c r="K691" s="19"/>
    </row>
    <row r="692" spans="1:11">
      <c r="A692" s="91">
        <v>690</v>
      </c>
      <c r="B692" s="91">
        <v>690</v>
      </c>
      <c r="C692" s="91"/>
      <c r="D692" s="91">
        <v>2138</v>
      </c>
      <c r="E692" s="19" t="s">
        <v>1825</v>
      </c>
      <c r="F692" s="19" t="e">
        <f>_xlfn.XLOOKUP(batch_works35[[#This Row],[description]],Table14[name],Table14[id])</f>
        <v>#N/A</v>
      </c>
      <c r="G692" s="19"/>
      <c r="H692" s="19"/>
      <c r="I692" s="19"/>
      <c r="J692" s="19"/>
      <c r="K692" s="19"/>
    </row>
    <row r="693" spans="1:11">
      <c r="A693" s="91">
        <v>691</v>
      </c>
      <c r="B693" s="91">
        <v>691</v>
      </c>
      <c r="C693" s="91"/>
      <c r="D693" s="91">
        <v>2138</v>
      </c>
      <c r="E693" s="19" t="s">
        <v>1834</v>
      </c>
      <c r="F693" s="19" t="e">
        <f>_xlfn.XLOOKUP(batch_works35[[#This Row],[description]],Table14[name],Table14[id])</f>
        <v>#N/A</v>
      </c>
      <c r="G693" s="19"/>
      <c r="H693" s="19"/>
      <c r="I693" s="19"/>
      <c r="J693" s="19"/>
      <c r="K693" s="19"/>
    </row>
    <row r="694" spans="1:11">
      <c r="A694" s="91">
        <v>692</v>
      </c>
      <c r="B694" s="91">
        <v>692</v>
      </c>
      <c r="C694" s="91"/>
      <c r="D694" s="91">
        <v>2139</v>
      </c>
      <c r="E694" s="19" t="s">
        <v>1834</v>
      </c>
      <c r="F694" s="19" t="e">
        <f>_xlfn.XLOOKUP(batch_works35[[#This Row],[description]],Table14[name],Table14[id])</f>
        <v>#N/A</v>
      </c>
      <c r="G694" s="19"/>
      <c r="H694" s="19"/>
      <c r="I694" s="19"/>
      <c r="J694" s="19"/>
      <c r="K694" s="19"/>
    </row>
    <row r="695" spans="1:11">
      <c r="A695" s="91">
        <v>693</v>
      </c>
      <c r="B695" s="91">
        <v>693</v>
      </c>
      <c r="C695" s="91"/>
      <c r="D695" s="91">
        <v>2140</v>
      </c>
      <c r="E695" s="19" t="s">
        <v>1836</v>
      </c>
      <c r="F695" s="19" t="e">
        <f>_xlfn.XLOOKUP(batch_works35[[#This Row],[description]],Table14[name],Table14[id])</f>
        <v>#N/A</v>
      </c>
      <c r="G695" s="19"/>
      <c r="H695" s="19"/>
      <c r="I695" s="19"/>
      <c r="J695" s="19"/>
      <c r="K695" s="19"/>
    </row>
    <row r="696" spans="1:11">
      <c r="A696" s="91">
        <v>694</v>
      </c>
      <c r="B696" s="91">
        <v>694</v>
      </c>
      <c r="C696" s="91"/>
      <c r="D696" s="91">
        <v>2140</v>
      </c>
      <c r="E696" s="19" t="s">
        <v>1834</v>
      </c>
      <c r="F696" s="19" t="e">
        <f>_xlfn.XLOOKUP(batch_works35[[#This Row],[description]],Table14[name],Table14[id])</f>
        <v>#N/A</v>
      </c>
      <c r="G696" s="19"/>
      <c r="H696" s="19"/>
      <c r="I696" s="19"/>
      <c r="J696" s="19"/>
      <c r="K696" s="19"/>
    </row>
    <row r="697" spans="1:11">
      <c r="A697" s="91">
        <v>695</v>
      </c>
      <c r="B697" s="91">
        <v>695</v>
      </c>
      <c r="C697" s="91"/>
      <c r="D697" s="91">
        <v>2141</v>
      </c>
      <c r="E697" s="19" t="s">
        <v>1832</v>
      </c>
      <c r="F697" s="19" t="e">
        <f>_xlfn.XLOOKUP(batch_works35[[#This Row],[description]],Table14[name],Table14[id])</f>
        <v>#N/A</v>
      </c>
      <c r="G697" s="19"/>
      <c r="H697" s="19"/>
      <c r="I697" s="19"/>
      <c r="J697" s="19"/>
      <c r="K697" s="19"/>
    </row>
    <row r="698" spans="1:11">
      <c r="A698" s="91">
        <v>696</v>
      </c>
      <c r="B698" s="91">
        <v>696</v>
      </c>
      <c r="C698" s="91"/>
      <c r="D698" s="91">
        <v>2141</v>
      </c>
      <c r="E698" s="19" t="s">
        <v>1836</v>
      </c>
      <c r="F698" s="19" t="e">
        <f>_xlfn.XLOOKUP(batch_works35[[#This Row],[description]],Table14[name],Table14[id])</f>
        <v>#N/A</v>
      </c>
      <c r="G698" s="19"/>
      <c r="H698" s="19"/>
      <c r="I698" s="19"/>
      <c r="J698" s="19"/>
      <c r="K698" s="19"/>
    </row>
    <row r="699" spans="1:11">
      <c r="A699" s="91">
        <v>697</v>
      </c>
      <c r="B699" s="91">
        <v>697</v>
      </c>
      <c r="C699" s="91"/>
      <c r="D699" s="91">
        <v>2143</v>
      </c>
      <c r="E699" s="19" t="s">
        <v>1836</v>
      </c>
      <c r="F699" s="19" t="e">
        <f>_xlfn.XLOOKUP(batch_works35[[#This Row],[description]],Table14[name],Table14[id])</f>
        <v>#N/A</v>
      </c>
      <c r="G699" s="19"/>
      <c r="H699" s="19"/>
      <c r="I699" s="19"/>
      <c r="J699" s="19"/>
      <c r="K699" s="19"/>
    </row>
    <row r="700" spans="1:11">
      <c r="A700" s="91">
        <v>698</v>
      </c>
      <c r="B700" s="91">
        <v>698</v>
      </c>
      <c r="C700" s="91"/>
      <c r="D700" s="91">
        <v>2143</v>
      </c>
      <c r="E700" s="19" t="s">
        <v>1834</v>
      </c>
      <c r="F700" s="19" t="e">
        <f>_xlfn.XLOOKUP(batch_works35[[#This Row],[description]],Table14[name],Table14[id])</f>
        <v>#N/A</v>
      </c>
      <c r="G700" s="19"/>
      <c r="H700" s="19"/>
      <c r="I700" s="19"/>
      <c r="J700" s="19"/>
      <c r="K700" s="19"/>
    </row>
    <row r="701" spans="1:11">
      <c r="A701" s="91">
        <v>699</v>
      </c>
      <c r="B701" s="91">
        <v>699</v>
      </c>
      <c r="C701" s="91"/>
      <c r="D701" s="91">
        <v>2144</v>
      </c>
      <c r="E701" s="19" t="s">
        <v>1836</v>
      </c>
      <c r="F701" s="19" t="e">
        <f>_xlfn.XLOOKUP(batch_works35[[#This Row],[description]],Table14[name],Table14[id])</f>
        <v>#N/A</v>
      </c>
      <c r="G701" s="19"/>
      <c r="H701" s="19"/>
      <c r="I701" s="19"/>
      <c r="J701" s="19"/>
      <c r="K701" s="19"/>
    </row>
    <row r="702" spans="1:11">
      <c r="A702" s="91">
        <v>700</v>
      </c>
      <c r="B702" s="91">
        <v>700</v>
      </c>
      <c r="C702" s="91"/>
      <c r="D702" s="91">
        <v>2144</v>
      </c>
      <c r="E702" s="19" t="s">
        <v>1834</v>
      </c>
      <c r="F702" s="19" t="e">
        <f>_xlfn.XLOOKUP(batch_works35[[#This Row],[description]],Table14[name],Table14[id])</f>
        <v>#N/A</v>
      </c>
      <c r="G702" s="19"/>
      <c r="H702" s="19"/>
      <c r="I702" s="19"/>
      <c r="J702" s="19"/>
      <c r="K702" s="19"/>
    </row>
    <row r="703" spans="1:11">
      <c r="A703" s="91">
        <v>701</v>
      </c>
      <c r="B703" s="91">
        <v>701</v>
      </c>
      <c r="C703" s="91"/>
      <c r="D703" s="91">
        <v>2150</v>
      </c>
      <c r="E703" s="19" t="s">
        <v>1825</v>
      </c>
      <c r="F703" s="19" t="e">
        <f>_xlfn.XLOOKUP(batch_works35[[#This Row],[description]],Table14[name],Table14[id])</f>
        <v>#N/A</v>
      </c>
      <c r="G703" s="19"/>
      <c r="H703" s="19"/>
      <c r="I703" s="19"/>
      <c r="J703" s="19"/>
      <c r="K703" s="19"/>
    </row>
    <row r="704" spans="1:11">
      <c r="A704" s="91">
        <v>702</v>
      </c>
      <c r="B704" s="91">
        <v>702</v>
      </c>
      <c r="C704" s="91"/>
      <c r="D704" s="91">
        <v>2154</v>
      </c>
      <c r="E704" s="19" t="s">
        <v>1828</v>
      </c>
      <c r="F704" s="19" t="e">
        <f>_xlfn.XLOOKUP(batch_works35[[#This Row],[description]],Table14[name],Table14[id])</f>
        <v>#N/A</v>
      </c>
      <c r="G704" s="19"/>
      <c r="H704" s="19"/>
      <c r="I704" s="19"/>
      <c r="J704" s="19"/>
      <c r="K704" s="19"/>
    </row>
    <row r="705" spans="1:11">
      <c r="A705" s="91">
        <v>703</v>
      </c>
      <c r="B705" s="91">
        <v>703</v>
      </c>
      <c r="C705" s="91"/>
      <c r="D705" s="91">
        <v>2154</v>
      </c>
      <c r="E705" s="19" t="s">
        <v>1834</v>
      </c>
      <c r="F705" s="19" t="e">
        <f>_xlfn.XLOOKUP(batch_works35[[#This Row],[description]],Table14[name],Table14[id])</f>
        <v>#N/A</v>
      </c>
      <c r="G705" s="19"/>
      <c r="H705" s="19"/>
      <c r="I705" s="19"/>
      <c r="J705" s="19"/>
      <c r="K705" s="19"/>
    </row>
    <row r="706" spans="1:11">
      <c r="A706" s="91">
        <v>704</v>
      </c>
      <c r="B706" s="91">
        <v>704</v>
      </c>
      <c r="C706" s="91"/>
      <c r="D706" s="91">
        <v>2155</v>
      </c>
      <c r="E706" s="19" t="s">
        <v>1825</v>
      </c>
      <c r="F706" s="19" t="e">
        <f>_xlfn.XLOOKUP(batch_works35[[#This Row],[description]],Table14[name],Table14[id])</f>
        <v>#N/A</v>
      </c>
      <c r="G706" s="19"/>
      <c r="H706" s="19"/>
      <c r="I706" s="19"/>
      <c r="J706" s="19"/>
      <c r="K706" s="19"/>
    </row>
    <row r="707" spans="1:11">
      <c r="A707" s="91">
        <v>705</v>
      </c>
      <c r="B707" s="91">
        <v>705</v>
      </c>
      <c r="C707" s="91"/>
      <c r="D707" s="91">
        <v>2155</v>
      </c>
      <c r="E707" s="19" t="s">
        <v>1832</v>
      </c>
      <c r="F707" s="19" t="e">
        <f>_xlfn.XLOOKUP(batch_works35[[#This Row],[description]],Table14[name],Table14[id])</f>
        <v>#N/A</v>
      </c>
      <c r="G707" s="19"/>
      <c r="H707" s="19"/>
      <c r="I707" s="19"/>
      <c r="J707" s="19"/>
      <c r="K707" s="19"/>
    </row>
    <row r="708" spans="1:11">
      <c r="A708" s="91">
        <v>706</v>
      </c>
      <c r="B708" s="91">
        <v>706</v>
      </c>
      <c r="C708" s="91"/>
      <c r="D708" s="91">
        <v>2155</v>
      </c>
      <c r="E708" s="19" t="s">
        <v>1836</v>
      </c>
      <c r="F708" s="19" t="e">
        <f>_xlfn.XLOOKUP(batch_works35[[#This Row],[description]],Table14[name],Table14[id])</f>
        <v>#N/A</v>
      </c>
      <c r="G708" s="19"/>
      <c r="H708" s="19"/>
      <c r="I708" s="19"/>
      <c r="J708" s="19"/>
      <c r="K708" s="19"/>
    </row>
    <row r="709" spans="1:11">
      <c r="A709" s="91">
        <v>707</v>
      </c>
      <c r="B709" s="91">
        <v>707</v>
      </c>
      <c r="C709" s="91"/>
      <c r="D709" s="91">
        <v>2155</v>
      </c>
      <c r="E709" s="19" t="s">
        <v>1828</v>
      </c>
      <c r="F709" s="19" t="e">
        <f>_xlfn.XLOOKUP(batch_works35[[#This Row],[description]],Table14[name],Table14[id])</f>
        <v>#N/A</v>
      </c>
      <c r="G709" s="19"/>
      <c r="H709" s="19"/>
      <c r="I709" s="19"/>
      <c r="J709" s="19"/>
      <c r="K709" s="19"/>
    </row>
    <row r="710" spans="1:11">
      <c r="A710" s="91">
        <v>708</v>
      </c>
      <c r="B710" s="91">
        <v>708</v>
      </c>
      <c r="C710" s="91"/>
      <c r="D710" s="91">
        <v>2155</v>
      </c>
      <c r="E710" s="19" t="s">
        <v>1835</v>
      </c>
      <c r="F710" s="19" t="e">
        <f>_xlfn.XLOOKUP(batch_works35[[#This Row],[description]],Table14[name],Table14[id])</f>
        <v>#N/A</v>
      </c>
      <c r="G710" s="19"/>
      <c r="H710" s="19"/>
      <c r="I710" s="19"/>
      <c r="J710" s="19"/>
      <c r="K710" s="19"/>
    </row>
    <row r="711" spans="1:11">
      <c r="A711" s="91">
        <v>709</v>
      </c>
      <c r="B711" s="91">
        <v>709</v>
      </c>
      <c r="C711" s="91"/>
      <c r="D711" s="91">
        <v>2156</v>
      </c>
      <c r="E711" s="19" t="s">
        <v>1824</v>
      </c>
      <c r="F711" s="19" t="e">
        <f>_xlfn.XLOOKUP(batch_works35[[#This Row],[description]],Table14[name],Table14[id])</f>
        <v>#N/A</v>
      </c>
      <c r="G711" s="19"/>
      <c r="H711" s="19"/>
      <c r="I711" s="19"/>
      <c r="J711" s="19"/>
      <c r="K711" s="19"/>
    </row>
    <row r="712" spans="1:11">
      <c r="A712" s="91">
        <v>710</v>
      </c>
      <c r="B712" s="91">
        <v>710</v>
      </c>
      <c r="C712" s="91"/>
      <c r="D712" s="91">
        <v>2156</v>
      </c>
      <c r="E712" s="19" t="s">
        <v>1828</v>
      </c>
      <c r="F712" s="19" t="e">
        <f>_xlfn.XLOOKUP(batch_works35[[#This Row],[description]],Table14[name],Table14[id])</f>
        <v>#N/A</v>
      </c>
      <c r="G712" s="19"/>
      <c r="H712" s="19"/>
      <c r="I712" s="19"/>
      <c r="J712" s="19"/>
      <c r="K712" s="19"/>
    </row>
    <row r="713" spans="1:11">
      <c r="A713" s="91">
        <v>711</v>
      </c>
      <c r="B713" s="91">
        <v>711</v>
      </c>
      <c r="C713" s="91"/>
      <c r="D713" s="91">
        <v>2156</v>
      </c>
      <c r="E713" s="19" t="s">
        <v>1835</v>
      </c>
      <c r="F713" s="19" t="e">
        <f>_xlfn.XLOOKUP(batch_works35[[#This Row],[description]],Table14[name],Table14[id])</f>
        <v>#N/A</v>
      </c>
      <c r="G713" s="19"/>
      <c r="H713" s="19"/>
      <c r="I713" s="19"/>
      <c r="J713" s="19"/>
      <c r="K713" s="19"/>
    </row>
    <row r="714" spans="1:11">
      <c r="A714" s="91">
        <v>712</v>
      </c>
      <c r="B714" s="91">
        <v>712</v>
      </c>
      <c r="C714" s="91"/>
      <c r="D714" s="91">
        <v>2156</v>
      </c>
      <c r="E714" s="19" t="s">
        <v>1834</v>
      </c>
      <c r="F714" s="19" t="e">
        <f>_xlfn.XLOOKUP(batch_works35[[#This Row],[description]],Table14[name],Table14[id])</f>
        <v>#N/A</v>
      </c>
      <c r="G714" s="19"/>
      <c r="H714" s="19"/>
      <c r="I714" s="19"/>
      <c r="J714" s="19"/>
      <c r="K714" s="19"/>
    </row>
    <row r="715" spans="1:11">
      <c r="A715" s="91">
        <v>713</v>
      </c>
      <c r="B715" s="91">
        <v>713</v>
      </c>
      <c r="C715" s="91"/>
      <c r="D715" s="91">
        <v>2157</v>
      </c>
      <c r="E715" s="19" t="s">
        <v>1824</v>
      </c>
      <c r="F715" s="19" t="e">
        <f>_xlfn.XLOOKUP(batch_works35[[#This Row],[description]],Table14[name],Table14[id])</f>
        <v>#N/A</v>
      </c>
      <c r="G715" s="19"/>
      <c r="H715" s="19"/>
      <c r="I715" s="19"/>
      <c r="J715" s="19"/>
      <c r="K715" s="19"/>
    </row>
    <row r="716" spans="1:11">
      <c r="A716" s="91">
        <v>714</v>
      </c>
      <c r="B716" s="91">
        <v>714</v>
      </c>
      <c r="C716" s="91"/>
      <c r="D716" s="91">
        <v>2157</v>
      </c>
      <c r="E716" s="19" t="s">
        <v>1832</v>
      </c>
      <c r="F716" s="19" t="e">
        <f>_xlfn.XLOOKUP(batch_works35[[#This Row],[description]],Table14[name],Table14[id])</f>
        <v>#N/A</v>
      </c>
      <c r="G716" s="19"/>
      <c r="H716" s="19"/>
      <c r="I716" s="19"/>
      <c r="J716" s="19"/>
      <c r="K716" s="19"/>
    </row>
    <row r="717" spans="1:11">
      <c r="A717" s="91">
        <v>715</v>
      </c>
      <c r="B717" s="91">
        <v>715</v>
      </c>
      <c r="C717" s="91"/>
      <c r="D717" s="91">
        <v>2157</v>
      </c>
      <c r="E717" s="19" t="s">
        <v>1836</v>
      </c>
      <c r="F717" s="19" t="e">
        <f>_xlfn.XLOOKUP(batch_works35[[#This Row],[description]],Table14[name],Table14[id])</f>
        <v>#N/A</v>
      </c>
      <c r="G717" s="19"/>
      <c r="H717" s="19"/>
      <c r="I717" s="19"/>
      <c r="J717" s="19"/>
      <c r="K717" s="19"/>
    </row>
    <row r="718" spans="1:11">
      <c r="A718" s="91">
        <v>716</v>
      </c>
      <c r="B718" s="91">
        <v>716</v>
      </c>
      <c r="C718" s="91"/>
      <c r="D718" s="91">
        <v>2157</v>
      </c>
      <c r="E718" s="19" t="s">
        <v>1828</v>
      </c>
      <c r="F718" s="19" t="e">
        <f>_xlfn.XLOOKUP(batch_works35[[#This Row],[description]],Table14[name],Table14[id])</f>
        <v>#N/A</v>
      </c>
      <c r="G718" s="19"/>
      <c r="H718" s="19"/>
      <c r="I718" s="19"/>
      <c r="J718" s="19"/>
      <c r="K718" s="19"/>
    </row>
    <row r="719" spans="1:11">
      <c r="A719" s="91">
        <v>717</v>
      </c>
      <c r="B719" s="91">
        <v>717</v>
      </c>
      <c r="C719" s="91"/>
      <c r="D719" s="91">
        <v>2157</v>
      </c>
      <c r="E719" s="19" t="s">
        <v>1835</v>
      </c>
      <c r="F719" s="19" t="e">
        <f>_xlfn.XLOOKUP(batch_works35[[#This Row],[description]],Table14[name],Table14[id])</f>
        <v>#N/A</v>
      </c>
      <c r="G719" s="19"/>
      <c r="H719" s="19"/>
      <c r="I719" s="19"/>
      <c r="J719" s="19"/>
      <c r="K719" s="19"/>
    </row>
    <row r="720" spans="1:11">
      <c r="A720" s="91">
        <v>718</v>
      </c>
      <c r="B720" s="91">
        <v>718</v>
      </c>
      <c r="C720" s="91"/>
      <c r="D720" s="91">
        <v>2158</v>
      </c>
      <c r="E720" s="19" t="s">
        <v>1829</v>
      </c>
      <c r="F720" s="19" t="e">
        <f>_xlfn.XLOOKUP(batch_works35[[#This Row],[description]],Table14[name],Table14[id])</f>
        <v>#N/A</v>
      </c>
      <c r="G720" s="19"/>
      <c r="H720" s="19"/>
      <c r="I720" s="19"/>
      <c r="J720" s="19"/>
      <c r="K720" s="19"/>
    </row>
    <row r="721" spans="1:11">
      <c r="A721" s="91">
        <v>719</v>
      </c>
      <c r="B721" s="91">
        <v>719</v>
      </c>
      <c r="C721" s="91"/>
      <c r="D721" s="91">
        <v>2158</v>
      </c>
      <c r="E721" s="19" t="s">
        <v>1825</v>
      </c>
      <c r="F721" s="19" t="e">
        <f>_xlfn.XLOOKUP(batch_works35[[#This Row],[description]],Table14[name],Table14[id])</f>
        <v>#N/A</v>
      </c>
      <c r="G721" s="19"/>
      <c r="H721" s="19"/>
      <c r="I721" s="19"/>
      <c r="J721" s="19"/>
      <c r="K721" s="19"/>
    </row>
    <row r="722" spans="1:11">
      <c r="A722" s="91">
        <v>720</v>
      </c>
      <c r="B722" s="91">
        <v>720</v>
      </c>
      <c r="C722" s="91"/>
      <c r="D722" s="91">
        <v>2158</v>
      </c>
      <c r="E722" s="19" t="s">
        <v>1832</v>
      </c>
      <c r="F722" s="19" t="e">
        <f>_xlfn.XLOOKUP(batch_works35[[#This Row],[description]],Table14[name],Table14[id])</f>
        <v>#N/A</v>
      </c>
      <c r="G722" s="19"/>
      <c r="H722" s="19"/>
      <c r="I722" s="19"/>
      <c r="J722" s="19"/>
      <c r="K722" s="19"/>
    </row>
    <row r="723" spans="1:11">
      <c r="A723" s="91">
        <v>721</v>
      </c>
      <c r="B723" s="91">
        <v>721</v>
      </c>
      <c r="C723" s="91"/>
      <c r="D723" s="91">
        <v>2158</v>
      </c>
      <c r="E723" s="19" t="s">
        <v>1836</v>
      </c>
      <c r="F723" s="19" t="e">
        <f>_xlfn.XLOOKUP(batch_works35[[#This Row],[description]],Table14[name],Table14[id])</f>
        <v>#N/A</v>
      </c>
      <c r="G723" s="19"/>
      <c r="H723" s="19"/>
      <c r="I723" s="19"/>
      <c r="J723" s="19"/>
      <c r="K723" s="19"/>
    </row>
    <row r="724" spans="1:11">
      <c r="A724" s="91">
        <v>722</v>
      </c>
      <c r="B724" s="91">
        <v>722</v>
      </c>
      <c r="C724" s="91"/>
      <c r="D724" s="91">
        <v>2158</v>
      </c>
      <c r="E724" s="19" t="s">
        <v>1828</v>
      </c>
      <c r="F724" s="19" t="e">
        <f>_xlfn.XLOOKUP(batch_works35[[#This Row],[description]],Table14[name],Table14[id])</f>
        <v>#N/A</v>
      </c>
      <c r="G724" s="19"/>
      <c r="H724" s="19"/>
      <c r="I724" s="19"/>
      <c r="J724" s="19"/>
      <c r="K724" s="19"/>
    </row>
    <row r="725" spans="1:11">
      <c r="A725" s="91">
        <v>723</v>
      </c>
      <c r="B725" s="91">
        <v>723</v>
      </c>
      <c r="C725" s="91"/>
      <c r="D725" s="91">
        <v>2159</v>
      </c>
      <c r="E725" s="19" t="s">
        <v>1829</v>
      </c>
      <c r="F725" s="19" t="e">
        <f>_xlfn.XLOOKUP(batch_works35[[#This Row],[description]],Table14[name],Table14[id])</f>
        <v>#N/A</v>
      </c>
      <c r="G725" s="19"/>
      <c r="H725" s="19"/>
      <c r="I725" s="19"/>
      <c r="J725" s="19"/>
      <c r="K725" s="19"/>
    </row>
    <row r="726" spans="1:11">
      <c r="A726" s="91">
        <v>724</v>
      </c>
      <c r="B726" s="91">
        <v>724</v>
      </c>
      <c r="C726" s="91"/>
      <c r="D726" s="91">
        <v>2159</v>
      </c>
      <c r="E726" s="19" t="s">
        <v>1825</v>
      </c>
      <c r="F726" s="19" t="e">
        <f>_xlfn.XLOOKUP(batch_works35[[#This Row],[description]],Table14[name],Table14[id])</f>
        <v>#N/A</v>
      </c>
      <c r="G726" s="19"/>
      <c r="H726" s="19"/>
      <c r="I726" s="19"/>
      <c r="J726" s="19"/>
      <c r="K726" s="19"/>
    </row>
    <row r="727" spans="1:11">
      <c r="A727" s="91">
        <v>725</v>
      </c>
      <c r="B727" s="91">
        <v>725</v>
      </c>
      <c r="C727" s="91"/>
      <c r="D727" s="91">
        <v>2159</v>
      </c>
      <c r="E727" s="19" t="s">
        <v>1832</v>
      </c>
      <c r="F727" s="19" t="e">
        <f>_xlfn.XLOOKUP(batch_works35[[#This Row],[description]],Table14[name],Table14[id])</f>
        <v>#N/A</v>
      </c>
      <c r="G727" s="19"/>
      <c r="H727" s="19"/>
      <c r="I727" s="19"/>
      <c r="J727" s="19"/>
      <c r="K727" s="19"/>
    </row>
    <row r="728" spans="1:11">
      <c r="A728" s="91">
        <v>726</v>
      </c>
      <c r="B728" s="91">
        <v>726</v>
      </c>
      <c r="C728" s="91"/>
      <c r="D728" s="91">
        <v>2159</v>
      </c>
      <c r="E728" s="19" t="s">
        <v>1836</v>
      </c>
      <c r="F728" s="19" t="e">
        <f>_xlfn.XLOOKUP(batch_works35[[#This Row],[description]],Table14[name],Table14[id])</f>
        <v>#N/A</v>
      </c>
      <c r="G728" s="19"/>
      <c r="H728" s="19"/>
      <c r="I728" s="19"/>
      <c r="J728" s="19"/>
      <c r="K728" s="19"/>
    </row>
    <row r="729" spans="1:11">
      <c r="A729" s="91">
        <v>727</v>
      </c>
      <c r="B729" s="91">
        <v>727</v>
      </c>
      <c r="C729" s="91"/>
      <c r="D729" s="91">
        <v>2159</v>
      </c>
      <c r="E729" s="19" t="s">
        <v>1828</v>
      </c>
      <c r="F729" s="19" t="e">
        <f>_xlfn.XLOOKUP(batch_works35[[#This Row],[description]],Table14[name],Table14[id])</f>
        <v>#N/A</v>
      </c>
      <c r="G729" s="19"/>
      <c r="H729" s="19"/>
      <c r="I729" s="19"/>
      <c r="J729" s="19"/>
      <c r="K729" s="19"/>
    </row>
    <row r="730" spans="1:11">
      <c r="A730" s="91">
        <v>728</v>
      </c>
      <c r="B730" s="91">
        <v>728</v>
      </c>
      <c r="C730" s="91"/>
      <c r="D730" s="91">
        <v>2160</v>
      </c>
      <c r="E730" s="19" t="s">
        <v>1824</v>
      </c>
      <c r="F730" s="19" t="e">
        <f>_xlfn.XLOOKUP(batch_works35[[#This Row],[description]],Table14[name],Table14[id])</f>
        <v>#N/A</v>
      </c>
      <c r="G730" s="19"/>
      <c r="H730" s="19"/>
      <c r="I730" s="19"/>
      <c r="J730" s="19"/>
      <c r="K730" s="19"/>
    </row>
    <row r="731" spans="1:11">
      <c r="A731" s="91">
        <v>729</v>
      </c>
      <c r="B731" s="91">
        <v>729</v>
      </c>
      <c r="C731" s="91"/>
      <c r="D731" s="91">
        <v>2160</v>
      </c>
      <c r="E731" s="19" t="s">
        <v>1829</v>
      </c>
      <c r="F731" s="19" t="e">
        <f>_xlfn.XLOOKUP(batch_works35[[#This Row],[description]],Table14[name],Table14[id])</f>
        <v>#N/A</v>
      </c>
      <c r="G731" s="19"/>
      <c r="H731" s="19"/>
      <c r="I731" s="19"/>
      <c r="J731" s="19"/>
      <c r="K731" s="19"/>
    </row>
    <row r="732" spans="1:11">
      <c r="A732" s="91">
        <v>730</v>
      </c>
      <c r="B732" s="91">
        <v>730</v>
      </c>
      <c r="C732" s="91"/>
      <c r="D732" s="91">
        <v>2160</v>
      </c>
      <c r="E732" s="19" t="s">
        <v>1825</v>
      </c>
      <c r="F732" s="19" t="e">
        <f>_xlfn.XLOOKUP(batch_works35[[#This Row],[description]],Table14[name],Table14[id])</f>
        <v>#N/A</v>
      </c>
      <c r="G732" s="19"/>
      <c r="H732" s="19"/>
      <c r="I732" s="19"/>
      <c r="J732" s="19"/>
      <c r="K732" s="19"/>
    </row>
    <row r="733" spans="1:11">
      <c r="A733" s="91">
        <v>731</v>
      </c>
      <c r="B733" s="91">
        <v>731</v>
      </c>
      <c r="C733" s="91"/>
      <c r="D733" s="91">
        <v>2160</v>
      </c>
      <c r="E733" s="19" t="s">
        <v>1832</v>
      </c>
      <c r="F733" s="19" t="e">
        <f>_xlfn.XLOOKUP(batch_works35[[#This Row],[description]],Table14[name],Table14[id])</f>
        <v>#N/A</v>
      </c>
      <c r="G733" s="19"/>
      <c r="H733" s="19"/>
      <c r="I733" s="19"/>
      <c r="J733" s="19"/>
      <c r="K733" s="19"/>
    </row>
    <row r="734" spans="1:11">
      <c r="A734" s="91">
        <v>732</v>
      </c>
      <c r="B734" s="91">
        <v>732</v>
      </c>
      <c r="C734" s="91"/>
      <c r="D734" s="91">
        <v>2160</v>
      </c>
      <c r="E734" s="19" t="s">
        <v>1836</v>
      </c>
      <c r="F734" s="19" t="e">
        <f>_xlfn.XLOOKUP(batch_works35[[#This Row],[description]],Table14[name],Table14[id])</f>
        <v>#N/A</v>
      </c>
      <c r="G734" s="19"/>
      <c r="H734" s="19"/>
      <c r="I734" s="19"/>
      <c r="J734" s="19"/>
      <c r="K734" s="19"/>
    </row>
    <row r="735" spans="1:11">
      <c r="A735" s="91">
        <v>733</v>
      </c>
      <c r="B735" s="91">
        <v>733</v>
      </c>
      <c r="C735" s="91"/>
      <c r="D735" s="91">
        <v>2160</v>
      </c>
      <c r="E735" s="19" t="s">
        <v>1828</v>
      </c>
      <c r="F735" s="19" t="e">
        <f>_xlfn.XLOOKUP(batch_works35[[#This Row],[description]],Table14[name],Table14[id])</f>
        <v>#N/A</v>
      </c>
      <c r="G735" s="19"/>
      <c r="H735" s="19"/>
      <c r="I735" s="19"/>
      <c r="J735" s="19"/>
      <c r="K735" s="19"/>
    </row>
    <row r="736" spans="1:11">
      <c r="A736" s="91">
        <v>734</v>
      </c>
      <c r="B736" s="91">
        <v>734</v>
      </c>
      <c r="C736" s="91"/>
      <c r="D736" s="91">
        <v>2161</v>
      </c>
      <c r="E736" s="19" t="s">
        <v>1825</v>
      </c>
      <c r="F736" s="19" t="e">
        <f>_xlfn.XLOOKUP(batch_works35[[#This Row],[description]],Table14[name],Table14[id])</f>
        <v>#N/A</v>
      </c>
      <c r="G736" s="19"/>
      <c r="H736" s="19"/>
      <c r="I736" s="19"/>
      <c r="J736" s="19"/>
      <c r="K736" s="19"/>
    </row>
    <row r="737" spans="1:11">
      <c r="A737" s="91">
        <v>735</v>
      </c>
      <c r="B737" s="91">
        <v>735</v>
      </c>
      <c r="C737" s="91"/>
      <c r="D737" s="91">
        <v>2161</v>
      </c>
      <c r="E737" s="19" t="s">
        <v>1832</v>
      </c>
      <c r="F737" s="19" t="e">
        <f>_xlfn.XLOOKUP(batch_works35[[#This Row],[description]],Table14[name],Table14[id])</f>
        <v>#N/A</v>
      </c>
      <c r="G737" s="19"/>
      <c r="H737" s="19"/>
      <c r="I737" s="19"/>
      <c r="J737" s="19"/>
      <c r="K737" s="19"/>
    </row>
    <row r="738" spans="1:11">
      <c r="A738" s="91">
        <v>736</v>
      </c>
      <c r="B738" s="91">
        <v>736</v>
      </c>
      <c r="C738" s="91"/>
      <c r="D738" s="91">
        <v>2161</v>
      </c>
      <c r="E738" s="19" t="s">
        <v>1836</v>
      </c>
      <c r="F738" s="19" t="e">
        <f>_xlfn.XLOOKUP(batch_works35[[#This Row],[description]],Table14[name],Table14[id])</f>
        <v>#N/A</v>
      </c>
      <c r="G738" s="19"/>
      <c r="H738" s="19"/>
      <c r="I738" s="19"/>
      <c r="J738" s="19"/>
      <c r="K738" s="19"/>
    </row>
    <row r="739" spans="1:11">
      <c r="A739" s="91">
        <v>737</v>
      </c>
      <c r="B739" s="91">
        <v>737</v>
      </c>
      <c r="C739" s="91"/>
      <c r="D739" s="91">
        <v>2161</v>
      </c>
      <c r="E739" s="19" t="s">
        <v>1828</v>
      </c>
      <c r="F739" s="19" t="e">
        <f>_xlfn.XLOOKUP(batch_works35[[#This Row],[description]],Table14[name],Table14[id])</f>
        <v>#N/A</v>
      </c>
      <c r="G739" s="19"/>
      <c r="H739" s="19"/>
      <c r="I739" s="19"/>
      <c r="J739" s="19"/>
      <c r="K739" s="19"/>
    </row>
    <row r="740" spans="1:11">
      <c r="A740" s="91">
        <v>738</v>
      </c>
      <c r="B740" s="91">
        <v>738</v>
      </c>
      <c r="C740" s="91"/>
      <c r="D740" s="91">
        <v>2162</v>
      </c>
      <c r="E740" s="19" t="s">
        <v>1825</v>
      </c>
      <c r="F740" s="19" t="e">
        <f>_xlfn.XLOOKUP(batch_works35[[#This Row],[description]],Table14[name],Table14[id])</f>
        <v>#N/A</v>
      </c>
      <c r="G740" s="19"/>
      <c r="H740" s="19"/>
      <c r="I740" s="19"/>
      <c r="J740" s="19"/>
      <c r="K740" s="19"/>
    </row>
    <row r="741" spans="1:11">
      <c r="A741" s="91">
        <v>739</v>
      </c>
      <c r="B741" s="91">
        <v>739</v>
      </c>
      <c r="C741" s="91"/>
      <c r="D741" s="91">
        <v>2162</v>
      </c>
      <c r="E741" s="19" t="s">
        <v>1832</v>
      </c>
      <c r="F741" s="19" t="e">
        <f>_xlfn.XLOOKUP(batch_works35[[#This Row],[description]],Table14[name],Table14[id])</f>
        <v>#N/A</v>
      </c>
      <c r="G741" s="19"/>
      <c r="H741" s="19"/>
      <c r="I741" s="19"/>
      <c r="J741" s="19"/>
      <c r="K741" s="19"/>
    </row>
    <row r="742" spans="1:11">
      <c r="A742" s="91">
        <v>740</v>
      </c>
      <c r="B742" s="91">
        <v>740</v>
      </c>
      <c r="C742" s="91"/>
      <c r="D742" s="91">
        <v>2162</v>
      </c>
      <c r="E742" s="19" t="s">
        <v>1836</v>
      </c>
      <c r="F742" s="19" t="e">
        <f>_xlfn.XLOOKUP(batch_works35[[#This Row],[description]],Table14[name],Table14[id])</f>
        <v>#N/A</v>
      </c>
      <c r="G742" s="19"/>
      <c r="H742" s="19"/>
      <c r="I742" s="19"/>
      <c r="J742" s="19"/>
      <c r="K742" s="19"/>
    </row>
    <row r="743" spans="1:11">
      <c r="A743" s="91">
        <v>741</v>
      </c>
      <c r="B743" s="91">
        <v>741</v>
      </c>
      <c r="C743" s="91"/>
      <c r="D743" s="91">
        <v>2162</v>
      </c>
      <c r="E743" s="19" t="s">
        <v>1828</v>
      </c>
      <c r="F743" s="19" t="e">
        <f>_xlfn.XLOOKUP(batch_works35[[#This Row],[description]],Table14[name],Table14[id])</f>
        <v>#N/A</v>
      </c>
      <c r="G743" s="19"/>
      <c r="H743" s="19"/>
      <c r="I743" s="19"/>
      <c r="J743" s="19"/>
      <c r="K743" s="19"/>
    </row>
    <row r="744" spans="1:11">
      <c r="A744" s="91">
        <v>742</v>
      </c>
      <c r="B744" s="91">
        <v>742</v>
      </c>
      <c r="C744" s="91"/>
      <c r="D744" s="91">
        <v>2163</v>
      </c>
      <c r="E744" s="19" t="s">
        <v>1829</v>
      </c>
      <c r="F744" s="19" t="e">
        <f>_xlfn.XLOOKUP(batch_works35[[#This Row],[description]],Table14[name],Table14[id])</f>
        <v>#N/A</v>
      </c>
      <c r="G744" s="19"/>
      <c r="H744" s="19"/>
      <c r="I744" s="19"/>
      <c r="J744" s="19"/>
      <c r="K744" s="19"/>
    </row>
    <row r="745" spans="1:11">
      <c r="A745" s="91">
        <v>743</v>
      </c>
      <c r="B745" s="91">
        <v>743</v>
      </c>
      <c r="C745" s="91"/>
      <c r="D745" s="91">
        <v>2163</v>
      </c>
      <c r="E745" s="19" t="s">
        <v>1825</v>
      </c>
      <c r="F745" s="19" t="e">
        <f>_xlfn.XLOOKUP(batch_works35[[#This Row],[description]],Table14[name],Table14[id])</f>
        <v>#N/A</v>
      </c>
      <c r="G745" s="19"/>
      <c r="H745" s="19"/>
      <c r="I745" s="19"/>
      <c r="J745" s="19"/>
      <c r="K745" s="19"/>
    </row>
    <row r="746" spans="1:11">
      <c r="A746" s="91">
        <v>744</v>
      </c>
      <c r="B746" s="91">
        <v>744</v>
      </c>
      <c r="C746" s="91"/>
      <c r="D746" s="91">
        <v>2163</v>
      </c>
      <c r="E746" s="19" t="s">
        <v>1832</v>
      </c>
      <c r="F746" s="19" t="e">
        <f>_xlfn.XLOOKUP(batch_works35[[#This Row],[description]],Table14[name],Table14[id])</f>
        <v>#N/A</v>
      </c>
      <c r="G746" s="19"/>
      <c r="H746" s="19"/>
      <c r="I746" s="19"/>
      <c r="J746" s="19"/>
      <c r="K746" s="19"/>
    </row>
    <row r="747" spans="1:11">
      <c r="A747" s="91">
        <v>745</v>
      </c>
      <c r="B747" s="91">
        <v>745</v>
      </c>
      <c r="C747" s="91"/>
      <c r="D747" s="91">
        <v>2163</v>
      </c>
      <c r="E747" s="19" t="s">
        <v>1836</v>
      </c>
      <c r="F747" s="19" t="e">
        <f>_xlfn.XLOOKUP(batch_works35[[#This Row],[description]],Table14[name],Table14[id])</f>
        <v>#N/A</v>
      </c>
      <c r="G747" s="19"/>
      <c r="H747" s="19"/>
      <c r="I747" s="19"/>
      <c r="J747" s="19"/>
      <c r="K747" s="19"/>
    </row>
    <row r="748" spans="1:11">
      <c r="A748" s="91">
        <v>746</v>
      </c>
      <c r="B748" s="91">
        <v>746</v>
      </c>
      <c r="C748" s="91"/>
      <c r="D748" s="91">
        <v>2163</v>
      </c>
      <c r="E748" s="19" t="s">
        <v>1828</v>
      </c>
      <c r="F748" s="19" t="e">
        <f>_xlfn.XLOOKUP(batch_works35[[#This Row],[description]],Table14[name],Table14[id])</f>
        <v>#N/A</v>
      </c>
      <c r="G748" s="19"/>
      <c r="H748" s="19"/>
      <c r="I748" s="19"/>
      <c r="J748" s="19"/>
      <c r="K748" s="19"/>
    </row>
    <row r="749" spans="1:11">
      <c r="A749" s="91">
        <v>747</v>
      </c>
      <c r="B749" s="91">
        <v>747</v>
      </c>
      <c r="C749" s="91"/>
      <c r="D749" s="91">
        <v>1943</v>
      </c>
      <c r="E749" s="19" t="s">
        <v>1531</v>
      </c>
      <c r="F749" s="19">
        <f>_xlfn.XLOOKUP(batch_works35[[#This Row],[description]],Table14[name],Table14[id])</f>
        <v>11</v>
      </c>
      <c r="G749" s="19"/>
      <c r="H749" s="19"/>
      <c r="I749" s="19"/>
      <c r="J749" s="19"/>
      <c r="K749" s="19"/>
    </row>
    <row r="750" spans="1:11">
      <c r="A750" s="91">
        <v>748</v>
      </c>
      <c r="B750" s="91">
        <v>748</v>
      </c>
      <c r="C750" s="91"/>
      <c r="D750" s="91">
        <v>2092</v>
      </c>
      <c r="E750" s="19" t="s">
        <v>1824</v>
      </c>
      <c r="F750" s="19" t="e">
        <f>_xlfn.XLOOKUP(batch_works35[[#This Row],[description]],Table14[name],Table14[id])</f>
        <v>#N/A</v>
      </c>
      <c r="G750" s="19"/>
      <c r="H750" s="19"/>
      <c r="I750" s="19"/>
      <c r="J750" s="19"/>
      <c r="K750" s="19"/>
    </row>
    <row r="751" spans="1:11">
      <c r="A751" s="91">
        <v>749</v>
      </c>
      <c r="B751" s="91">
        <v>749</v>
      </c>
      <c r="C751" s="91"/>
      <c r="D751" s="91">
        <v>2093</v>
      </c>
      <c r="E751" s="19" t="s">
        <v>1824</v>
      </c>
      <c r="F751" s="19" t="e">
        <f>_xlfn.XLOOKUP(batch_works35[[#This Row],[description]],Table14[name],Table14[id])</f>
        <v>#N/A</v>
      </c>
      <c r="G751" s="19"/>
      <c r="H751" s="19"/>
      <c r="I751" s="19"/>
      <c r="J751" s="19"/>
      <c r="K751" s="19"/>
    </row>
    <row r="752" spans="1:11">
      <c r="A752" s="91">
        <v>750</v>
      </c>
      <c r="B752" s="91">
        <v>750</v>
      </c>
      <c r="C752" s="91"/>
      <c r="D752" s="91">
        <v>2093</v>
      </c>
      <c r="E752" s="19" t="s">
        <v>1827</v>
      </c>
      <c r="F752" s="19" t="e">
        <f>_xlfn.XLOOKUP(batch_works35[[#This Row],[description]],Table14[name],Table14[id])</f>
        <v>#N/A</v>
      </c>
      <c r="G752" s="19"/>
      <c r="H752" s="19"/>
      <c r="I752" s="19"/>
      <c r="J752" s="19"/>
      <c r="K752" s="19"/>
    </row>
    <row r="753" spans="1:11">
      <c r="A753" s="91">
        <v>751</v>
      </c>
      <c r="B753" s="91">
        <v>751</v>
      </c>
      <c r="C753" s="91"/>
      <c r="D753" s="91">
        <v>2096</v>
      </c>
      <c r="E753" s="19" t="s">
        <v>1824</v>
      </c>
      <c r="F753" s="19" t="e">
        <f>_xlfn.XLOOKUP(batch_works35[[#This Row],[description]],Table14[name],Table14[id])</f>
        <v>#N/A</v>
      </c>
      <c r="G753" s="19"/>
      <c r="H753" s="19"/>
      <c r="I753" s="19"/>
      <c r="J753" s="19"/>
      <c r="K753" s="19"/>
    </row>
    <row r="754" spans="1:11">
      <c r="A754" s="91">
        <v>752</v>
      </c>
      <c r="B754" s="91">
        <v>752</v>
      </c>
      <c r="C754" s="91"/>
      <c r="D754" s="91">
        <v>2097</v>
      </c>
      <c r="E754" s="19" t="s">
        <v>1824</v>
      </c>
      <c r="F754" s="19" t="e">
        <f>_xlfn.XLOOKUP(batch_works35[[#This Row],[description]],Table14[name],Table14[id])</f>
        <v>#N/A</v>
      </c>
      <c r="G754" s="19"/>
      <c r="H754" s="19"/>
      <c r="I754" s="19"/>
      <c r="J754" s="19"/>
      <c r="K754" s="19"/>
    </row>
    <row r="755" spans="1:11">
      <c r="A755" s="91">
        <v>753</v>
      </c>
      <c r="B755" s="91">
        <v>753</v>
      </c>
      <c r="C755" s="91"/>
      <c r="D755" s="91">
        <v>2137</v>
      </c>
      <c r="E755" s="19" t="s">
        <v>1829</v>
      </c>
      <c r="F755" s="19" t="e">
        <f>_xlfn.XLOOKUP(batch_works35[[#This Row],[description]],Table14[name],Table14[id])</f>
        <v>#N/A</v>
      </c>
      <c r="G755" s="19"/>
      <c r="H755" s="19"/>
      <c r="I755" s="19"/>
      <c r="J755" s="19"/>
      <c r="K755" s="19"/>
    </row>
    <row r="756" spans="1:11">
      <c r="A756" s="91">
        <v>754</v>
      </c>
      <c r="B756" s="91">
        <v>754</v>
      </c>
      <c r="C756" s="91"/>
      <c r="D756" s="91">
        <v>2138</v>
      </c>
      <c r="E756" s="19" t="s">
        <v>1829</v>
      </c>
      <c r="F756" s="19" t="e">
        <f>_xlfn.XLOOKUP(batch_works35[[#This Row],[description]],Table14[name],Table14[id])</f>
        <v>#N/A</v>
      </c>
      <c r="G756" s="19"/>
      <c r="H756" s="19"/>
      <c r="I756" s="19"/>
      <c r="J756" s="19"/>
      <c r="K756" s="19"/>
    </row>
    <row r="757" spans="1:11">
      <c r="A757" s="91">
        <v>755</v>
      </c>
      <c r="B757" s="91">
        <v>755</v>
      </c>
      <c r="C757" s="91"/>
      <c r="D757" s="91">
        <v>2140</v>
      </c>
      <c r="E757" s="19" t="s">
        <v>1829</v>
      </c>
      <c r="F757" s="19" t="e">
        <f>_xlfn.XLOOKUP(batch_works35[[#This Row],[description]],Table14[name],Table14[id])</f>
        <v>#N/A</v>
      </c>
      <c r="G757" s="19"/>
      <c r="H757" s="19"/>
      <c r="I757" s="19"/>
      <c r="J757" s="19"/>
      <c r="K757" s="19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D916-2101-4162-843F-CD9B1EF22249}">
  <sheetPr codeName="Sheet32"/>
  <dimension ref="A1:K2"/>
  <sheetViews>
    <sheetView workbookViewId="0">
      <selection activeCell="C2" sqref="C2"/>
    </sheetView>
  </sheetViews>
  <sheetFormatPr defaultColWidth="15.7109375" defaultRowHeight="15"/>
  <cols>
    <col min="1" max="1" width="25.85546875" style="1" bestFit="1" customWidth="1"/>
    <col min="2" max="3" width="18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459</v>
      </c>
      <c r="C1" s="9" t="s">
        <v>304</v>
      </c>
      <c r="D1" s="9" t="s">
        <v>413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1331</v>
      </c>
      <c r="D2" s="9" t="s">
        <v>1332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3EBEB3-5117-4602-B8DB-E70DE159BE94}">
          <x14:formula1>
            <xm:f>_mySQL!$A$2:$A$51</xm:f>
          </x14:formula1>
          <xm:sqref>A2:D2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CA2F-52AF-46D1-B5C7-6572DB494C11}">
  <sheetPr codeName="Sheet31"/>
  <dimension ref="A1:L2"/>
  <sheetViews>
    <sheetView workbookViewId="0">
      <selection activeCell="E2" sqref="E2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14.140625" style="1" bestFit="1" customWidth="1"/>
    <col min="4" max="4" width="9.5703125" style="1" bestFit="1" customWidth="1"/>
    <col min="5" max="5" width="9" style="1" bestFit="1" customWidth="1"/>
    <col min="6" max="16384" width="15.7109375" style="1"/>
  </cols>
  <sheetData>
    <row r="1" spans="1:12">
      <c r="A1" s="9" t="s">
        <v>0</v>
      </c>
      <c r="B1" s="9" t="s">
        <v>459</v>
      </c>
      <c r="C1" s="9" t="s">
        <v>460</v>
      </c>
      <c r="D1" s="9" t="s">
        <v>461</v>
      </c>
      <c r="E1" s="9" t="s">
        <v>462</v>
      </c>
      <c r="F1" s="18" t="s">
        <v>13</v>
      </c>
      <c r="G1" s="18" t="s">
        <v>321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" t="s">
        <v>587</v>
      </c>
      <c r="B2" s="9" t="s">
        <v>1331</v>
      </c>
      <c r="C2" s="9" t="s">
        <v>578</v>
      </c>
      <c r="D2" s="9" t="s">
        <v>1598</v>
      </c>
      <c r="E2" s="9" t="s">
        <v>1598</v>
      </c>
      <c r="F2" s="19" t="s">
        <v>582</v>
      </c>
      <c r="G2" s="19" t="s">
        <v>583</v>
      </c>
      <c r="H2" s="19" t="s">
        <v>584</v>
      </c>
      <c r="I2" s="19" t="s">
        <v>1331</v>
      </c>
      <c r="J2" s="19" t="s">
        <v>585</v>
      </c>
      <c r="K2" s="19" t="s">
        <v>585</v>
      </c>
      <c r="L2" s="19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79A2AD-71F2-4AE0-89D1-AC4C40B19269}">
          <x14:formula1>
            <xm:f>_mySQL!$A$2:$A$51</xm:f>
          </x14:formula1>
          <xm:sqref>A2:E2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K2"/>
  <sheetViews>
    <sheetView workbookViewId="0">
      <selection activeCell="D2" sqref="D2"/>
    </sheetView>
  </sheetViews>
  <sheetFormatPr defaultColWidth="15.7109375" defaultRowHeight="15"/>
  <cols>
    <col min="1" max="2" width="15.7109375" style="1"/>
    <col min="3" max="3" width="21.7109375" style="1" bestFit="1" customWidth="1"/>
    <col min="4" max="4" width="24.42578125" style="1" bestFit="1" customWidth="1"/>
    <col min="5" max="16384" width="15.7109375" style="1"/>
  </cols>
  <sheetData>
    <row r="1" spans="1:11">
      <c r="A1" s="9" t="s">
        <v>0</v>
      </c>
      <c r="B1" s="9" t="s">
        <v>417</v>
      </c>
      <c r="C1" s="9" t="s">
        <v>458</v>
      </c>
      <c r="D1" s="18" t="s">
        <v>1599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1329</v>
      </c>
      <c r="C2" s="9" t="s">
        <v>1330</v>
      </c>
      <c r="D2" s="9" t="s">
        <v>1333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A251A-C4E6-4440-95EC-D093DC673687}">
          <x14:formula1>
            <xm:f>_mySQL!$A$2:$A$50</xm:f>
          </x14:formula1>
          <xm:sqref>A2:D2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K2"/>
  <sheetViews>
    <sheetView workbookViewId="0">
      <selection activeCell="F4" sqref="F4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27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459</v>
      </c>
      <c r="C1" s="18" t="s">
        <v>1600</v>
      </c>
      <c r="D1" s="9" t="s">
        <v>463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1327</v>
      </c>
      <c r="D2" s="9" t="s">
        <v>1332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817B46-59DE-460E-A457-A5A6A212B57E}">
          <x14:formula1>
            <xm:f>_mySQL!$A$2:$A$50</xm:f>
          </x14:formula1>
          <xm:sqref>A2:D2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90F6-D7D8-49AF-AF48-764D30699A81}">
  <sheetPr codeName="Sheet33"/>
  <dimension ref="A1:P47"/>
  <sheetViews>
    <sheetView workbookViewId="0">
      <selection activeCell="G11" sqref="G11"/>
    </sheetView>
  </sheetViews>
  <sheetFormatPr defaultColWidth="15.7109375" defaultRowHeight="15"/>
  <cols>
    <col min="1" max="1" width="25.85546875" style="18" bestFit="1" customWidth="1"/>
    <col min="2" max="2" width="20.85546875" style="18" bestFit="1" customWidth="1"/>
    <col min="3" max="3" width="27.85546875" style="18" bestFit="1" customWidth="1"/>
    <col min="4" max="4" width="14.140625" style="18" bestFit="1" customWidth="1"/>
    <col min="5" max="5" width="20.140625" style="18" customWidth="1"/>
    <col min="6" max="6" width="14" style="18" bestFit="1" customWidth="1"/>
    <col min="7" max="7" width="19.140625" style="18" bestFit="1" customWidth="1"/>
    <col min="8" max="8" width="24.42578125" style="18" bestFit="1" customWidth="1"/>
    <col min="9" max="9" width="16" style="18" bestFit="1" customWidth="1"/>
    <col min="10" max="10" width="10.85546875" style="18" bestFit="1" customWidth="1"/>
    <col min="11" max="11" width="15.5703125" style="18" bestFit="1" customWidth="1"/>
    <col min="12" max="12" width="15.7109375" style="18"/>
    <col min="13" max="13" width="18.42578125" style="18" bestFit="1" customWidth="1"/>
    <col min="14" max="16384" width="15.7109375" style="18"/>
  </cols>
  <sheetData>
    <row r="1" spans="1:16" s="69" customFormat="1">
      <c r="A1" s="69" t="s">
        <v>0</v>
      </c>
      <c r="B1" s="69" t="s">
        <v>1607</v>
      </c>
      <c r="C1" s="18" t="s">
        <v>1606</v>
      </c>
      <c r="D1" s="18" t="s">
        <v>1605</v>
      </c>
      <c r="E1" s="18" t="s">
        <v>1604</v>
      </c>
      <c r="F1" s="18" t="s">
        <v>1603</v>
      </c>
      <c r="G1" s="69" t="s">
        <v>1602</v>
      </c>
      <c r="H1" s="69" t="s">
        <v>588</v>
      </c>
      <c r="I1" s="18" t="s">
        <v>1634</v>
      </c>
      <c r="J1" s="18" t="s">
        <v>321</v>
      </c>
      <c r="K1" s="18" t="s">
        <v>13</v>
      </c>
      <c r="L1" s="18" t="s">
        <v>305</v>
      </c>
      <c r="M1" s="18" t="s">
        <v>14</v>
      </c>
      <c r="N1" s="18" t="s">
        <v>15</v>
      </c>
      <c r="O1" s="18" t="s">
        <v>16</v>
      </c>
      <c r="P1" s="69" t="s">
        <v>17</v>
      </c>
    </row>
    <row r="2" spans="1:16">
      <c r="A2" s="18" t="s">
        <v>587</v>
      </c>
      <c r="B2" s="19" t="s">
        <v>1327</v>
      </c>
      <c r="C2" s="19" t="s">
        <v>578</v>
      </c>
      <c r="D2" s="18" t="s">
        <v>578</v>
      </c>
      <c r="E2" s="18" t="s">
        <v>578</v>
      </c>
      <c r="F2" s="18" t="s">
        <v>582</v>
      </c>
      <c r="G2" s="18" t="s">
        <v>585</v>
      </c>
      <c r="H2" s="18" t="s">
        <v>578</v>
      </c>
      <c r="I2" s="18" t="s">
        <v>578</v>
      </c>
      <c r="J2" s="18" t="s">
        <v>583</v>
      </c>
      <c r="K2" s="18" t="s">
        <v>582</v>
      </c>
      <c r="L2" s="18" t="s">
        <v>584</v>
      </c>
      <c r="M2" s="18" t="s">
        <v>1331</v>
      </c>
      <c r="N2" s="18" t="s">
        <v>585</v>
      </c>
      <c r="O2" s="18" t="s">
        <v>585</v>
      </c>
      <c r="P2" s="18" t="s">
        <v>585</v>
      </c>
    </row>
    <row r="3" spans="1:16">
      <c r="A3" s="18">
        <v>1</v>
      </c>
      <c r="C3" s="19" t="s">
        <v>1635</v>
      </c>
      <c r="D3" s="18" t="s">
        <v>1667</v>
      </c>
      <c r="E3" s="5" t="s">
        <v>1702</v>
      </c>
      <c r="F3" s="18">
        <v>123</v>
      </c>
      <c r="G3" s="76" t="s">
        <v>1771</v>
      </c>
    </row>
    <row r="4" spans="1:16">
      <c r="A4" s="18">
        <v>2</v>
      </c>
      <c r="C4" s="19" t="s">
        <v>1636</v>
      </c>
      <c r="D4" s="18" t="s">
        <v>1668</v>
      </c>
      <c r="E4" s="5" t="s">
        <v>1703</v>
      </c>
      <c r="F4" s="18">
        <v>123</v>
      </c>
      <c r="G4" s="76" t="s">
        <v>1771</v>
      </c>
    </row>
    <row r="5" spans="1:16">
      <c r="A5" s="18">
        <v>3</v>
      </c>
      <c r="C5" s="19" t="s">
        <v>1637</v>
      </c>
      <c r="D5" s="18" t="s">
        <v>1669</v>
      </c>
      <c r="E5" s="18" t="s">
        <v>1704</v>
      </c>
      <c r="F5" s="18">
        <v>123</v>
      </c>
      <c r="G5" s="76" t="s">
        <v>1771</v>
      </c>
    </row>
    <row r="6" spans="1:16">
      <c r="A6" s="18">
        <v>4</v>
      </c>
      <c r="C6" s="19" t="s">
        <v>1638</v>
      </c>
      <c r="D6" s="18" t="s">
        <v>1670</v>
      </c>
      <c r="E6" s="18" t="s">
        <v>1705</v>
      </c>
      <c r="F6" s="18">
        <v>123</v>
      </c>
      <c r="G6" s="76" t="s">
        <v>1771</v>
      </c>
    </row>
    <row r="7" spans="1:16">
      <c r="A7" s="18">
        <v>5</v>
      </c>
      <c r="C7" s="19" t="s">
        <v>1639</v>
      </c>
      <c r="D7" s="18" t="s">
        <v>1671</v>
      </c>
      <c r="E7" s="18" t="s">
        <v>1706</v>
      </c>
      <c r="F7" s="18">
        <v>123</v>
      </c>
      <c r="G7" s="76" t="s">
        <v>1771</v>
      </c>
    </row>
    <row r="8" spans="1:16">
      <c r="A8" s="18">
        <v>6</v>
      </c>
      <c r="C8" s="19" t="s">
        <v>1640</v>
      </c>
      <c r="D8" s="18" t="s">
        <v>1672</v>
      </c>
      <c r="E8" s="18" t="s">
        <v>1707</v>
      </c>
      <c r="F8" s="18">
        <v>123</v>
      </c>
      <c r="G8" s="76" t="s">
        <v>1771</v>
      </c>
    </row>
    <row r="9" spans="1:16">
      <c r="A9" s="18">
        <v>7</v>
      </c>
      <c r="C9" s="19" t="s">
        <v>1641</v>
      </c>
      <c r="D9" s="18" t="s">
        <v>1673</v>
      </c>
      <c r="E9" s="18" t="s">
        <v>1708</v>
      </c>
      <c r="F9" s="18">
        <v>123</v>
      </c>
      <c r="G9" s="76" t="s">
        <v>1771</v>
      </c>
    </row>
    <row r="10" spans="1:16">
      <c r="A10" s="18">
        <v>8</v>
      </c>
      <c r="C10" s="19" t="s">
        <v>1642</v>
      </c>
      <c r="D10" s="18" t="s">
        <v>1674</v>
      </c>
      <c r="E10" s="18" t="s">
        <v>1709</v>
      </c>
      <c r="F10" s="18">
        <v>123</v>
      </c>
      <c r="G10" s="76" t="s">
        <v>1771</v>
      </c>
    </row>
    <row r="11" spans="1:16">
      <c r="A11" s="18">
        <v>9</v>
      </c>
      <c r="C11" s="19" t="s">
        <v>1643</v>
      </c>
      <c r="D11" s="18" t="s">
        <v>1675</v>
      </c>
      <c r="E11" s="18" t="s">
        <v>1710</v>
      </c>
      <c r="F11" s="18">
        <v>123</v>
      </c>
      <c r="G11" s="76" t="s">
        <v>1771</v>
      </c>
    </row>
    <row r="12" spans="1:16">
      <c r="A12" s="18">
        <v>10</v>
      </c>
      <c r="C12" s="19" t="s">
        <v>1638</v>
      </c>
      <c r="D12" s="18" t="s">
        <v>1676</v>
      </c>
      <c r="E12" s="18" t="s">
        <v>1711</v>
      </c>
      <c r="F12" s="18">
        <v>123</v>
      </c>
      <c r="G12" s="76" t="s">
        <v>1771</v>
      </c>
    </row>
    <row r="13" spans="1:16">
      <c r="A13" s="18">
        <v>11</v>
      </c>
      <c r="C13" s="19" t="s">
        <v>1644</v>
      </c>
      <c r="D13" s="18" t="s">
        <v>1677</v>
      </c>
      <c r="E13" s="18" t="s">
        <v>1712</v>
      </c>
      <c r="F13" s="18">
        <v>123</v>
      </c>
      <c r="G13" s="76" t="s">
        <v>1771</v>
      </c>
    </row>
    <row r="14" spans="1:16">
      <c r="A14" s="18">
        <v>12</v>
      </c>
      <c r="C14" s="19" t="s">
        <v>1645</v>
      </c>
      <c r="D14" s="18" t="s">
        <v>1678</v>
      </c>
      <c r="E14" s="18" t="s">
        <v>1713</v>
      </c>
      <c r="F14" s="18">
        <v>123</v>
      </c>
      <c r="G14" s="76" t="s">
        <v>1771</v>
      </c>
    </row>
    <row r="15" spans="1:16">
      <c r="A15" s="18">
        <v>13</v>
      </c>
      <c r="C15" s="19" t="s">
        <v>1646</v>
      </c>
      <c r="D15" s="18" t="s">
        <v>1679</v>
      </c>
      <c r="E15" s="18" t="s">
        <v>1714</v>
      </c>
      <c r="F15" s="18">
        <v>123</v>
      </c>
      <c r="G15" s="76" t="s">
        <v>1771</v>
      </c>
    </row>
    <row r="16" spans="1:16">
      <c r="A16" s="18">
        <v>14</v>
      </c>
      <c r="C16" s="19" t="s">
        <v>1647</v>
      </c>
      <c r="D16" s="18" t="s">
        <v>1667</v>
      </c>
      <c r="E16" s="18" t="s">
        <v>1715</v>
      </c>
      <c r="F16" s="18">
        <v>123</v>
      </c>
      <c r="G16" s="76" t="s">
        <v>1771</v>
      </c>
    </row>
    <row r="17" spans="1:7">
      <c r="A17" s="18">
        <v>15</v>
      </c>
      <c r="C17" s="19" t="s">
        <v>1648</v>
      </c>
      <c r="D17" s="18" t="s">
        <v>1680</v>
      </c>
      <c r="E17" s="18" t="s">
        <v>1716</v>
      </c>
      <c r="F17" s="18">
        <v>123</v>
      </c>
      <c r="G17" s="76" t="s">
        <v>1771</v>
      </c>
    </row>
    <row r="18" spans="1:7">
      <c r="A18" s="18">
        <v>16</v>
      </c>
      <c r="C18" s="19" t="s">
        <v>1649</v>
      </c>
      <c r="D18" s="18" t="s">
        <v>1681</v>
      </c>
      <c r="E18" s="18" t="s">
        <v>1717</v>
      </c>
      <c r="F18" s="18">
        <v>123</v>
      </c>
      <c r="G18" s="76" t="s">
        <v>1771</v>
      </c>
    </row>
    <row r="19" spans="1:7">
      <c r="A19" s="18">
        <v>17</v>
      </c>
      <c r="C19" s="19" t="s">
        <v>1650</v>
      </c>
      <c r="D19" s="18" t="s">
        <v>1682</v>
      </c>
      <c r="E19" s="18" t="s">
        <v>1718</v>
      </c>
      <c r="F19" s="18">
        <v>123</v>
      </c>
      <c r="G19" s="76" t="s">
        <v>1771</v>
      </c>
    </row>
    <row r="20" spans="1:7">
      <c r="A20" s="18">
        <v>18</v>
      </c>
      <c r="C20" s="19" t="s">
        <v>1651</v>
      </c>
      <c r="D20" s="18" t="s">
        <v>1683</v>
      </c>
      <c r="E20" s="18" t="s">
        <v>1719</v>
      </c>
      <c r="F20" s="18">
        <v>123</v>
      </c>
      <c r="G20" s="76" t="s">
        <v>1771</v>
      </c>
    </row>
    <row r="21" spans="1:7">
      <c r="A21" s="18">
        <v>19</v>
      </c>
      <c r="C21" s="19" t="s">
        <v>1652</v>
      </c>
      <c r="D21" s="18" t="s">
        <v>1684</v>
      </c>
      <c r="E21" s="18" t="s">
        <v>1720</v>
      </c>
      <c r="F21" s="18">
        <v>123</v>
      </c>
      <c r="G21" s="76" t="s">
        <v>1771</v>
      </c>
    </row>
    <row r="22" spans="1:7">
      <c r="A22" s="18">
        <v>20</v>
      </c>
      <c r="C22" s="19" t="s">
        <v>1653</v>
      </c>
      <c r="D22" s="18" t="s">
        <v>1669</v>
      </c>
      <c r="E22" s="18" t="s">
        <v>1721</v>
      </c>
      <c r="F22" s="18">
        <v>123</v>
      </c>
      <c r="G22" s="76" t="s">
        <v>1771</v>
      </c>
    </row>
    <row r="23" spans="1:7">
      <c r="A23" s="18">
        <v>21</v>
      </c>
      <c r="C23" s="19" t="s">
        <v>1642</v>
      </c>
      <c r="D23" s="18" t="s">
        <v>1685</v>
      </c>
      <c r="E23" s="18" t="s">
        <v>1722</v>
      </c>
      <c r="F23" s="18">
        <v>123</v>
      </c>
      <c r="G23" s="76" t="s">
        <v>1771</v>
      </c>
    </row>
    <row r="24" spans="1:7">
      <c r="A24" s="18">
        <v>22</v>
      </c>
      <c r="C24" s="19" t="s">
        <v>1654</v>
      </c>
      <c r="D24" s="18" t="s">
        <v>1686</v>
      </c>
      <c r="E24" s="18" t="s">
        <v>1723</v>
      </c>
      <c r="F24" s="18">
        <v>123</v>
      </c>
      <c r="G24" s="76" t="s">
        <v>1771</v>
      </c>
    </row>
    <row r="25" spans="1:7">
      <c r="A25" s="18">
        <v>23</v>
      </c>
      <c r="C25" s="19" t="s">
        <v>1655</v>
      </c>
      <c r="D25" s="18" t="s">
        <v>1687</v>
      </c>
      <c r="E25" s="18" t="s">
        <v>1724</v>
      </c>
      <c r="F25" s="18">
        <v>123</v>
      </c>
      <c r="G25" s="76" t="s">
        <v>1771</v>
      </c>
    </row>
    <row r="26" spans="1:7">
      <c r="A26" s="18">
        <v>24</v>
      </c>
      <c r="C26" s="19" t="s">
        <v>1656</v>
      </c>
      <c r="D26" s="18" t="s">
        <v>1688</v>
      </c>
      <c r="E26" s="18" t="s">
        <v>1725</v>
      </c>
      <c r="F26" s="18">
        <v>123</v>
      </c>
      <c r="G26" s="76" t="s">
        <v>1771</v>
      </c>
    </row>
    <row r="27" spans="1:7">
      <c r="A27" s="18">
        <v>25</v>
      </c>
      <c r="C27" s="19" t="s">
        <v>1657</v>
      </c>
      <c r="D27" s="18" t="s">
        <v>1689</v>
      </c>
      <c r="E27" s="18" t="s">
        <v>1726</v>
      </c>
      <c r="F27" s="18">
        <v>123</v>
      </c>
      <c r="G27" s="76" t="s">
        <v>1771</v>
      </c>
    </row>
    <row r="28" spans="1:7">
      <c r="A28" s="18">
        <v>26</v>
      </c>
      <c r="C28" s="19" t="s">
        <v>1658</v>
      </c>
      <c r="D28" s="18" t="s">
        <v>1690</v>
      </c>
      <c r="E28" s="18" t="s">
        <v>1727</v>
      </c>
      <c r="F28" s="18">
        <v>123</v>
      </c>
      <c r="G28" s="76" t="s">
        <v>1771</v>
      </c>
    </row>
    <row r="29" spans="1:7">
      <c r="A29" s="18">
        <v>27</v>
      </c>
      <c r="C29" s="19" t="s">
        <v>1659</v>
      </c>
      <c r="D29" s="18" t="s">
        <v>1691</v>
      </c>
      <c r="E29" s="18" t="s">
        <v>1728</v>
      </c>
      <c r="F29" s="18">
        <v>123</v>
      </c>
      <c r="G29" s="76" t="s">
        <v>1771</v>
      </c>
    </row>
    <row r="30" spans="1:7">
      <c r="A30" s="18">
        <v>28</v>
      </c>
      <c r="C30" s="19" t="s">
        <v>1647</v>
      </c>
      <c r="D30" s="18" t="s">
        <v>1692</v>
      </c>
      <c r="E30" s="18" t="s">
        <v>1729</v>
      </c>
      <c r="F30" s="18">
        <v>123</v>
      </c>
      <c r="G30" s="76" t="s">
        <v>1771</v>
      </c>
    </row>
    <row r="31" spans="1:7">
      <c r="A31" s="18">
        <v>29</v>
      </c>
      <c r="C31" s="19" t="s">
        <v>1660</v>
      </c>
      <c r="D31" s="18" t="s">
        <v>1693</v>
      </c>
      <c r="E31" s="18" t="s">
        <v>1730</v>
      </c>
      <c r="F31" s="18">
        <v>123</v>
      </c>
      <c r="G31" s="76" t="s">
        <v>1771</v>
      </c>
    </row>
    <row r="32" spans="1:7">
      <c r="A32" s="18">
        <v>30</v>
      </c>
      <c r="C32" s="19" t="s">
        <v>1661</v>
      </c>
      <c r="D32" s="18" t="s">
        <v>1694</v>
      </c>
      <c r="E32" s="18" t="s">
        <v>1731</v>
      </c>
      <c r="F32" s="18">
        <v>123</v>
      </c>
      <c r="G32" s="76" t="s">
        <v>1771</v>
      </c>
    </row>
    <row r="33" spans="1:7">
      <c r="A33" s="18">
        <v>31</v>
      </c>
      <c r="C33" s="19" t="s">
        <v>1662</v>
      </c>
      <c r="D33" s="18" t="s">
        <v>1695</v>
      </c>
      <c r="E33" s="18" t="s">
        <v>1732</v>
      </c>
      <c r="F33" s="18">
        <v>123</v>
      </c>
      <c r="G33" s="76" t="s">
        <v>1771</v>
      </c>
    </row>
    <row r="34" spans="1:7">
      <c r="A34" s="18">
        <v>32</v>
      </c>
      <c r="C34" s="19" t="s">
        <v>1663</v>
      </c>
      <c r="D34" s="18" t="s">
        <v>1696</v>
      </c>
      <c r="E34" s="18" t="s">
        <v>1733</v>
      </c>
      <c r="F34" s="18">
        <v>123</v>
      </c>
      <c r="G34" s="76" t="s">
        <v>1771</v>
      </c>
    </row>
    <row r="35" spans="1:7">
      <c r="A35" s="18">
        <v>33</v>
      </c>
      <c r="C35" s="19" t="s">
        <v>1664</v>
      </c>
      <c r="D35" s="18" t="s">
        <v>1680</v>
      </c>
      <c r="E35" s="18" t="s">
        <v>1734</v>
      </c>
      <c r="F35" s="18">
        <v>123</v>
      </c>
      <c r="G35" s="76" t="s">
        <v>1771</v>
      </c>
    </row>
    <row r="36" spans="1:7">
      <c r="A36" s="18">
        <v>34</v>
      </c>
      <c r="C36" s="19" t="s">
        <v>1665</v>
      </c>
      <c r="D36" s="18" t="s">
        <v>1697</v>
      </c>
      <c r="E36" s="18" t="s">
        <v>1735</v>
      </c>
      <c r="F36" s="18">
        <v>123</v>
      </c>
      <c r="G36" s="76" t="s">
        <v>1771</v>
      </c>
    </row>
    <row r="37" spans="1:7">
      <c r="A37" s="18">
        <v>35</v>
      </c>
      <c r="C37" s="19" t="s">
        <v>1645</v>
      </c>
      <c r="D37" s="18" t="s">
        <v>1698</v>
      </c>
      <c r="E37" s="18" t="s">
        <v>1736</v>
      </c>
      <c r="F37" s="18">
        <v>123</v>
      </c>
      <c r="G37" s="76" t="s">
        <v>1771</v>
      </c>
    </row>
    <row r="38" spans="1:7">
      <c r="A38" s="18">
        <v>36</v>
      </c>
      <c r="C38" s="19" t="s">
        <v>1666</v>
      </c>
      <c r="D38" s="18" t="s">
        <v>1699</v>
      </c>
      <c r="E38" s="18" t="s">
        <v>1737</v>
      </c>
      <c r="F38" s="18">
        <v>123</v>
      </c>
      <c r="G38" s="76" t="s">
        <v>1771</v>
      </c>
    </row>
    <row r="39" spans="1:7">
      <c r="A39" s="18">
        <v>37</v>
      </c>
      <c r="C39" s="19" t="s">
        <v>1601</v>
      </c>
      <c r="D39" s="18" t="s">
        <v>1701</v>
      </c>
      <c r="E39" s="18" t="s">
        <v>1738</v>
      </c>
      <c r="F39" s="18">
        <v>123</v>
      </c>
      <c r="G39" s="76" t="s">
        <v>1771</v>
      </c>
    </row>
    <row r="40" spans="1:7">
      <c r="A40" s="18">
        <v>38</v>
      </c>
      <c r="B40" s="18" t="s">
        <v>1740</v>
      </c>
      <c r="C40" s="19" t="s">
        <v>1742</v>
      </c>
      <c r="D40" s="18" t="s">
        <v>1739</v>
      </c>
      <c r="E40" s="20" t="s">
        <v>1745</v>
      </c>
      <c r="F40" s="18">
        <v>123</v>
      </c>
      <c r="G40" s="76" t="s">
        <v>1771</v>
      </c>
    </row>
    <row r="41" spans="1:7">
      <c r="A41" s="18">
        <v>39</v>
      </c>
      <c r="B41" s="18" t="s">
        <v>1740</v>
      </c>
      <c r="C41" s="19" t="s">
        <v>1742</v>
      </c>
      <c r="D41" s="18" t="s">
        <v>1741</v>
      </c>
      <c r="E41" s="20" t="s">
        <v>1746</v>
      </c>
      <c r="F41" s="18">
        <v>123</v>
      </c>
      <c r="G41" s="76" t="s">
        <v>1771</v>
      </c>
    </row>
    <row r="42" spans="1:7">
      <c r="A42" s="18">
        <v>40</v>
      </c>
      <c r="B42" s="18" t="s">
        <v>1744</v>
      </c>
      <c r="C42" s="19" t="s">
        <v>1742</v>
      </c>
      <c r="D42" s="18" t="s">
        <v>1743</v>
      </c>
      <c r="E42" s="20" t="s">
        <v>1747</v>
      </c>
      <c r="F42" s="18">
        <v>123</v>
      </c>
      <c r="G42" s="76" t="s">
        <v>1771</v>
      </c>
    </row>
    <row r="43" spans="1:7">
      <c r="A43" s="18">
        <v>41</v>
      </c>
      <c r="B43" s="18" t="s">
        <v>1740</v>
      </c>
      <c r="C43" s="19" t="s">
        <v>1643</v>
      </c>
      <c r="D43" s="18" t="s">
        <v>1673</v>
      </c>
      <c r="E43" s="5" t="s">
        <v>1748</v>
      </c>
      <c r="F43" s="18">
        <v>123</v>
      </c>
      <c r="G43" s="76" t="s">
        <v>1771</v>
      </c>
    </row>
    <row r="44" spans="1:7">
      <c r="A44" s="18">
        <v>42</v>
      </c>
      <c r="B44" s="18" t="s">
        <v>1740</v>
      </c>
      <c r="C44" s="19" t="s">
        <v>1753</v>
      </c>
      <c r="D44" s="18" t="s">
        <v>1754</v>
      </c>
      <c r="E44" s="20" t="s">
        <v>1755</v>
      </c>
      <c r="F44" s="18">
        <v>123</v>
      </c>
      <c r="G44" s="76" t="s">
        <v>1771</v>
      </c>
    </row>
    <row r="45" spans="1:7">
      <c r="A45" s="18">
        <v>43</v>
      </c>
      <c r="C45" s="19" t="s">
        <v>1641</v>
      </c>
      <c r="D45" s="18" t="s">
        <v>1763</v>
      </c>
      <c r="E45" s="5" t="s">
        <v>1767</v>
      </c>
      <c r="F45" s="18">
        <v>123</v>
      </c>
      <c r="G45" s="76" t="s">
        <v>1771</v>
      </c>
    </row>
    <row r="46" spans="1:7">
      <c r="A46" s="18">
        <v>44</v>
      </c>
      <c r="C46" s="19" t="s">
        <v>1764</v>
      </c>
      <c r="D46" s="18" t="s">
        <v>1765</v>
      </c>
      <c r="E46" s="5" t="s">
        <v>1768</v>
      </c>
      <c r="F46" s="18">
        <v>123</v>
      </c>
      <c r="G46" s="76" t="s">
        <v>1771</v>
      </c>
    </row>
    <row r="47" spans="1:7">
      <c r="A47" s="18">
        <v>45</v>
      </c>
      <c r="C47" s="19" t="s">
        <v>1766</v>
      </c>
      <c r="D47" s="18" t="s">
        <v>1670</v>
      </c>
      <c r="E47" s="5" t="s">
        <v>1769</v>
      </c>
      <c r="F47" s="18">
        <v>123</v>
      </c>
      <c r="G47" s="76" t="s">
        <v>1771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B9A03E-FE08-40F8-83B9-BC08F2874B4F}">
          <x14:formula1>
            <xm:f>_mySQL!$A$2:$A$50</xm:f>
          </x14:formula1>
          <xm:sqref>A2:J2</xm:sqref>
        </x14:dataValidation>
        <x14:dataValidation type="list" allowBlank="1" showInputMessage="1" showErrorMessage="1" xr:uid="{BC491192-8F86-4386-8EED-23263C9DDC27}">
          <x14:formula1>
            <xm:f>roles!$B$2:$B$12</xm:f>
          </x14:formula1>
          <xm:sqref>H40:H44</xm:sqref>
        </x14:dataValidation>
        <x14:dataValidation type="list" allowBlank="1" showInputMessage="1" showErrorMessage="1" xr:uid="{44F64D80-4778-47F6-91C2-DDA78BBFD184}">
          <x14:formula1>
            <xm:f>roles!$B$2:$B$15</xm:f>
          </x14:formula1>
          <xm:sqref>H45:H47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C594-DF4D-44E8-A667-7D5CFF58C8FD}">
  <sheetPr codeName="Sheet34"/>
  <dimension ref="A1:I15"/>
  <sheetViews>
    <sheetView workbookViewId="0">
      <selection activeCell="A3" sqref="A3"/>
    </sheetView>
  </sheetViews>
  <sheetFormatPr defaultColWidth="15.7109375" defaultRowHeight="15"/>
  <cols>
    <col min="1" max="1" width="25.85546875" style="18" bestFit="1" customWidth="1"/>
    <col min="2" max="2" width="27.5703125" style="18" bestFit="1" customWidth="1"/>
    <col min="3" max="3" width="27.5703125" style="18" customWidth="1"/>
    <col min="4" max="4" width="15.7109375" style="18"/>
    <col min="5" max="5" width="15.5703125" style="18" bestFit="1" customWidth="1"/>
    <col min="6" max="16384" width="15.7109375" style="18"/>
  </cols>
  <sheetData>
    <row r="1" spans="1:9" s="69" customFormat="1">
      <c r="A1" s="18" t="s">
        <v>0</v>
      </c>
      <c r="B1" s="18" t="s">
        <v>2</v>
      </c>
      <c r="C1" s="18" t="s">
        <v>321</v>
      </c>
      <c r="D1" s="18" t="s">
        <v>305</v>
      </c>
      <c r="E1" s="18" t="s">
        <v>13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69" customFormat="1">
      <c r="A2" s="18" t="s">
        <v>1576</v>
      </c>
      <c r="B2" s="18" t="s">
        <v>578</v>
      </c>
      <c r="C2" s="18" t="s">
        <v>583</v>
      </c>
      <c r="D2" s="18" t="s">
        <v>584</v>
      </c>
      <c r="E2" s="19" t="s">
        <v>582</v>
      </c>
      <c r="F2" s="19" t="s">
        <v>1331</v>
      </c>
      <c r="G2" s="19" t="s">
        <v>585</v>
      </c>
      <c r="H2" s="19" t="s">
        <v>585</v>
      </c>
      <c r="I2" s="18" t="s">
        <v>585</v>
      </c>
    </row>
    <row r="3" spans="1:9">
      <c r="A3" s="18">
        <v>1</v>
      </c>
      <c r="B3" s="19" t="s">
        <v>1608</v>
      </c>
      <c r="C3" s="19"/>
      <c r="D3" s="19"/>
      <c r="E3" s="19"/>
      <c r="F3" s="19"/>
      <c r="G3" s="19"/>
      <c r="H3" s="19"/>
      <c r="I3" s="19"/>
    </row>
    <row r="4" spans="1:9">
      <c r="A4" s="18">
        <v>2</v>
      </c>
      <c r="B4" s="19" t="s">
        <v>1609</v>
      </c>
      <c r="C4" s="19"/>
      <c r="D4" s="19"/>
      <c r="E4" s="19"/>
      <c r="F4" s="19"/>
      <c r="G4" s="19"/>
      <c r="H4" s="19"/>
      <c r="I4" s="19"/>
    </row>
    <row r="5" spans="1:9">
      <c r="A5" s="18">
        <v>3</v>
      </c>
      <c r="B5" s="19" t="s">
        <v>1759</v>
      </c>
      <c r="C5" s="19"/>
      <c r="D5" s="19"/>
      <c r="E5" s="19"/>
      <c r="F5" s="19"/>
      <c r="G5" s="19"/>
      <c r="H5" s="19"/>
      <c r="I5" s="19"/>
    </row>
    <row r="6" spans="1:9">
      <c r="A6" s="18">
        <v>4</v>
      </c>
      <c r="B6" s="19" t="s">
        <v>1749</v>
      </c>
      <c r="C6" s="19"/>
      <c r="D6" s="19"/>
      <c r="E6" s="19"/>
      <c r="F6" s="19"/>
      <c r="G6" s="19"/>
      <c r="H6" s="19"/>
      <c r="I6" s="19"/>
    </row>
    <row r="7" spans="1:9">
      <c r="A7" s="18">
        <v>5</v>
      </c>
      <c r="B7" s="19" t="s">
        <v>1757</v>
      </c>
      <c r="C7" s="19"/>
      <c r="D7" s="19"/>
      <c r="E7" s="19"/>
      <c r="F7" s="19"/>
      <c r="G7" s="19"/>
      <c r="H7" s="19"/>
      <c r="I7" s="19"/>
    </row>
    <row r="8" spans="1:9">
      <c r="A8" s="18">
        <v>6</v>
      </c>
      <c r="B8" s="19" t="s">
        <v>1756</v>
      </c>
      <c r="C8" s="19"/>
      <c r="D8" s="19"/>
      <c r="E8" s="19"/>
      <c r="F8" s="19"/>
      <c r="G8" s="19"/>
      <c r="H8" s="19"/>
      <c r="I8" s="19"/>
    </row>
    <row r="9" spans="1:9">
      <c r="A9" s="18">
        <v>7</v>
      </c>
      <c r="B9" s="19" t="s">
        <v>1758</v>
      </c>
      <c r="C9" s="19"/>
      <c r="D9" s="19"/>
      <c r="E9" s="19"/>
      <c r="F9" s="19"/>
      <c r="G9" s="19"/>
      <c r="H9" s="19"/>
      <c r="I9" s="19"/>
    </row>
    <row r="10" spans="1:9">
      <c r="A10" s="18">
        <v>8</v>
      </c>
      <c r="B10" s="19" t="s">
        <v>1750</v>
      </c>
      <c r="C10" s="19"/>
      <c r="D10" s="19"/>
      <c r="E10" s="19"/>
      <c r="F10" s="19"/>
      <c r="G10" s="19"/>
      <c r="H10" s="19"/>
      <c r="I10" s="19"/>
    </row>
    <row r="11" spans="1:9">
      <c r="A11" s="18">
        <v>9</v>
      </c>
      <c r="B11" s="19" t="s">
        <v>1751</v>
      </c>
      <c r="C11" s="19"/>
      <c r="D11" s="19"/>
      <c r="E11" s="19"/>
      <c r="F11" s="19"/>
      <c r="G11" s="19"/>
      <c r="H11" s="19"/>
      <c r="I11" s="19"/>
    </row>
    <row r="12" spans="1:9">
      <c r="A12" s="18">
        <v>10</v>
      </c>
      <c r="B12" s="19" t="s">
        <v>1752</v>
      </c>
      <c r="C12" s="19"/>
      <c r="D12" s="19"/>
      <c r="E12" s="19"/>
      <c r="F12" s="19"/>
      <c r="G12" s="19"/>
      <c r="H12" s="19"/>
      <c r="I12" s="19"/>
    </row>
    <row r="13" spans="1:9">
      <c r="A13" s="18">
        <v>11</v>
      </c>
      <c r="B13" s="19" t="s">
        <v>1760</v>
      </c>
      <c r="C13" s="19"/>
      <c r="D13" s="19"/>
      <c r="E13" s="19"/>
      <c r="F13" s="19"/>
      <c r="G13" s="19"/>
      <c r="H13" s="19"/>
      <c r="I13" s="19"/>
    </row>
    <row r="14" spans="1:9">
      <c r="A14" s="18">
        <v>12</v>
      </c>
      <c r="B14" s="19" t="s">
        <v>1761</v>
      </c>
      <c r="C14" s="19"/>
      <c r="D14" s="19"/>
      <c r="E14" s="19"/>
      <c r="F14" s="19"/>
      <c r="G14" s="19"/>
      <c r="H14" s="19"/>
      <c r="I14" s="19"/>
    </row>
    <row r="15" spans="1:9">
      <c r="A15" s="18">
        <v>13</v>
      </c>
      <c r="B15" s="19" t="s">
        <v>1762</v>
      </c>
      <c r="C15" s="19"/>
      <c r="D15" s="19"/>
      <c r="E15" s="19"/>
      <c r="F15" s="19"/>
      <c r="G15" s="19"/>
      <c r="H15" s="19"/>
      <c r="I15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51E9BF-9434-4DD5-AE7A-456D4FF33D03}">
          <x14:formula1>
            <xm:f>_mySQL!$A$2:$A$50</xm:f>
          </x14:formula1>
          <xm:sqref>F2:I2 B2:D2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13A42-706E-4DE8-80BB-754CAA7F4416}">
  <sheetPr codeName="Sheet35"/>
  <dimension ref="A1:M47"/>
  <sheetViews>
    <sheetView workbookViewId="0">
      <selection activeCell="F2" sqref="F2"/>
    </sheetView>
  </sheetViews>
  <sheetFormatPr defaultColWidth="15.7109375" defaultRowHeight="15"/>
  <cols>
    <col min="1" max="1" width="25.85546875" style="18" bestFit="1" customWidth="1"/>
    <col min="2" max="2" width="18.42578125" style="18" bestFit="1" customWidth="1"/>
    <col min="3" max="3" width="18" style="18" bestFit="1" customWidth="1"/>
    <col min="4" max="4" width="22.28515625" style="18" bestFit="1" customWidth="1"/>
    <col min="5" max="5" width="22.85546875" style="18" bestFit="1" customWidth="1"/>
    <col min="6" max="6" width="14.140625" style="18" bestFit="1" customWidth="1"/>
    <col min="7" max="9" width="15.7109375" style="18"/>
    <col min="10" max="10" width="18.42578125" style="18" bestFit="1" customWidth="1"/>
    <col min="11" max="16384" width="15.7109375" style="18"/>
  </cols>
  <sheetData>
    <row r="1" spans="1:13" s="69" customFormat="1">
      <c r="A1" s="18" t="s">
        <v>0</v>
      </c>
      <c r="B1" s="18" t="s">
        <v>1613</v>
      </c>
      <c r="C1" s="18" t="s">
        <v>1770</v>
      </c>
      <c r="D1" s="18" t="s">
        <v>1612</v>
      </c>
      <c r="E1" s="18" t="s">
        <v>1611</v>
      </c>
      <c r="F1" s="18" t="s">
        <v>1610</v>
      </c>
      <c r="G1" s="18" t="s">
        <v>13</v>
      </c>
      <c r="H1" s="18" t="s">
        <v>321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18" t="s">
        <v>587</v>
      </c>
      <c r="B2" s="19" t="s">
        <v>1331</v>
      </c>
      <c r="C2" s="19" t="s">
        <v>1333</v>
      </c>
      <c r="D2" s="19" t="s">
        <v>1333</v>
      </c>
      <c r="E2" s="19" t="s">
        <v>1331</v>
      </c>
      <c r="F2" s="19" t="s">
        <v>1329</v>
      </c>
      <c r="G2" s="19" t="s">
        <v>582</v>
      </c>
      <c r="H2" s="19" t="s">
        <v>583</v>
      </c>
      <c r="I2" s="19" t="s">
        <v>584</v>
      </c>
      <c r="J2" s="19" t="s">
        <v>1331</v>
      </c>
      <c r="K2" s="19" t="s">
        <v>585</v>
      </c>
      <c r="L2" s="19" t="s">
        <v>585</v>
      </c>
      <c r="M2" s="19" t="s">
        <v>585</v>
      </c>
    </row>
    <row r="3" spans="1:13">
      <c r="A3" s="18">
        <v>1</v>
      </c>
      <c r="B3" s="19">
        <v>1</v>
      </c>
      <c r="C3" s="19">
        <v>7</v>
      </c>
      <c r="D3" s="19">
        <v>1</v>
      </c>
      <c r="E3" s="70">
        <v>1238</v>
      </c>
      <c r="F3" s="72"/>
      <c r="G3" s="19"/>
      <c r="H3" s="19"/>
      <c r="I3" s="19"/>
      <c r="J3" s="19"/>
      <c r="K3" s="19"/>
      <c r="L3" s="19"/>
      <c r="M3" s="19"/>
    </row>
    <row r="4" spans="1:13">
      <c r="A4" s="18">
        <v>2</v>
      </c>
      <c r="B4" s="19">
        <v>2</v>
      </c>
      <c r="C4" s="19">
        <v>7</v>
      </c>
      <c r="D4" s="19">
        <v>1</v>
      </c>
      <c r="E4" s="70">
        <v>1182</v>
      </c>
      <c r="F4" s="72"/>
      <c r="G4" s="19"/>
      <c r="H4" s="19"/>
      <c r="I4" s="19"/>
      <c r="J4" s="19"/>
      <c r="K4" s="19"/>
      <c r="L4" s="19"/>
      <c r="M4" s="19"/>
    </row>
    <row r="5" spans="1:13">
      <c r="A5" s="18">
        <v>3</v>
      </c>
      <c r="B5" s="19">
        <v>3</v>
      </c>
      <c r="C5" s="19">
        <v>7</v>
      </c>
      <c r="D5" s="19">
        <v>1</v>
      </c>
      <c r="E5" s="70">
        <v>2717</v>
      </c>
      <c r="F5" s="72"/>
      <c r="G5" s="19"/>
      <c r="H5" s="19"/>
      <c r="I5" s="19"/>
      <c r="J5" s="19"/>
      <c r="K5" s="19"/>
      <c r="L5" s="19"/>
      <c r="M5" s="19"/>
    </row>
    <row r="6" spans="1:13">
      <c r="A6" s="18">
        <v>4</v>
      </c>
      <c r="B6" s="19">
        <v>4</v>
      </c>
      <c r="C6" s="19">
        <v>7</v>
      </c>
      <c r="D6" s="19">
        <v>1</v>
      </c>
      <c r="E6" s="70">
        <v>1433</v>
      </c>
      <c r="F6" s="72"/>
      <c r="G6" s="19"/>
      <c r="H6" s="19"/>
      <c r="I6" s="19"/>
      <c r="J6" s="19"/>
      <c r="K6" s="19"/>
      <c r="L6" s="19"/>
      <c r="M6" s="19"/>
    </row>
    <row r="7" spans="1:13">
      <c r="A7" s="18">
        <v>5</v>
      </c>
      <c r="B7" s="19">
        <v>5</v>
      </c>
      <c r="C7" s="19">
        <v>7</v>
      </c>
      <c r="D7" s="19">
        <v>1</v>
      </c>
      <c r="E7" s="70">
        <v>2642</v>
      </c>
      <c r="F7" s="72"/>
      <c r="G7" s="19"/>
      <c r="H7" s="19"/>
      <c r="I7" s="19"/>
      <c r="J7" s="19"/>
      <c r="K7" s="19"/>
      <c r="L7" s="19"/>
      <c r="M7" s="19"/>
    </row>
    <row r="8" spans="1:13">
      <c r="A8" s="18">
        <v>6</v>
      </c>
      <c r="B8" s="19">
        <v>6</v>
      </c>
      <c r="C8" s="19">
        <v>7</v>
      </c>
      <c r="D8" s="19">
        <v>1</v>
      </c>
      <c r="E8" s="70">
        <v>2575</v>
      </c>
      <c r="F8" s="72"/>
      <c r="G8" s="19"/>
      <c r="H8" s="19"/>
      <c r="I8" s="19"/>
      <c r="J8" s="19"/>
      <c r="K8" s="19"/>
      <c r="L8" s="19"/>
      <c r="M8" s="19"/>
    </row>
    <row r="9" spans="1:13">
      <c r="A9" s="18">
        <v>7</v>
      </c>
      <c r="B9" s="19">
        <v>7</v>
      </c>
      <c r="C9" s="19">
        <v>7</v>
      </c>
      <c r="D9" s="19">
        <v>2</v>
      </c>
      <c r="E9" s="70">
        <v>511</v>
      </c>
      <c r="F9" s="72"/>
      <c r="G9" s="19"/>
      <c r="H9" s="19"/>
      <c r="I9" s="19"/>
      <c r="J9" s="19"/>
      <c r="K9" s="19"/>
      <c r="L9" s="19"/>
      <c r="M9" s="19"/>
    </row>
    <row r="10" spans="1:13">
      <c r="A10" s="18">
        <v>8</v>
      </c>
      <c r="B10" s="19">
        <v>8</v>
      </c>
      <c r="C10" s="19">
        <v>7</v>
      </c>
      <c r="D10" s="19">
        <v>2</v>
      </c>
      <c r="E10" s="70">
        <v>1230</v>
      </c>
      <c r="F10" s="72"/>
      <c r="G10" s="19"/>
      <c r="H10" s="19"/>
      <c r="I10" s="19"/>
      <c r="J10" s="19"/>
      <c r="K10" s="19"/>
      <c r="L10" s="19"/>
      <c r="M10" s="19"/>
    </row>
    <row r="11" spans="1:13">
      <c r="A11" s="18">
        <v>9</v>
      </c>
      <c r="B11" s="19">
        <v>9</v>
      </c>
      <c r="C11" s="19">
        <v>7</v>
      </c>
      <c r="D11" s="19">
        <v>2</v>
      </c>
      <c r="E11" s="70">
        <v>726</v>
      </c>
      <c r="F11" s="72"/>
      <c r="G11" s="19"/>
      <c r="H11" s="19"/>
      <c r="I11" s="19"/>
      <c r="J11" s="19"/>
      <c r="K11" s="19"/>
      <c r="L11" s="19"/>
      <c r="M11" s="19"/>
    </row>
    <row r="12" spans="1:13">
      <c r="A12" s="18">
        <v>10</v>
      </c>
      <c r="B12" s="19">
        <v>10</v>
      </c>
      <c r="C12" s="19">
        <v>7</v>
      </c>
      <c r="D12" s="19">
        <v>2</v>
      </c>
      <c r="E12" s="70">
        <v>2011</v>
      </c>
      <c r="F12" s="72"/>
      <c r="G12" s="19"/>
      <c r="H12" s="19"/>
      <c r="I12" s="19"/>
      <c r="J12" s="19"/>
      <c r="K12" s="19"/>
      <c r="L12" s="19"/>
      <c r="M12" s="19"/>
    </row>
    <row r="13" spans="1:13">
      <c r="A13" s="18">
        <v>11</v>
      </c>
      <c r="B13" s="19">
        <v>11</v>
      </c>
      <c r="C13" s="19">
        <v>7</v>
      </c>
      <c r="D13" s="19">
        <v>2</v>
      </c>
      <c r="E13" s="70">
        <v>2811</v>
      </c>
      <c r="F13" s="72"/>
      <c r="G13" s="19"/>
      <c r="H13" s="19"/>
      <c r="I13" s="19"/>
      <c r="J13" s="19"/>
      <c r="K13" s="19"/>
      <c r="L13" s="19"/>
      <c r="M13" s="19"/>
    </row>
    <row r="14" spans="1:13">
      <c r="A14" s="18">
        <v>12</v>
      </c>
      <c r="B14" s="19">
        <v>12</v>
      </c>
      <c r="C14" s="19">
        <v>7</v>
      </c>
      <c r="D14" s="19">
        <v>2</v>
      </c>
      <c r="E14" s="70">
        <v>2813</v>
      </c>
      <c r="F14" s="72"/>
      <c r="G14" s="19"/>
      <c r="H14" s="19"/>
      <c r="I14" s="19"/>
      <c r="J14" s="19"/>
      <c r="K14" s="19"/>
      <c r="L14" s="19"/>
      <c r="M14" s="19"/>
    </row>
    <row r="15" spans="1:13">
      <c r="A15" s="18">
        <v>13</v>
      </c>
      <c r="B15" s="19">
        <v>13</v>
      </c>
      <c r="C15" s="19">
        <v>7</v>
      </c>
      <c r="D15" s="19">
        <v>2</v>
      </c>
      <c r="E15" s="70">
        <v>460</v>
      </c>
      <c r="F15" s="72"/>
      <c r="G15" s="19"/>
      <c r="H15" s="19"/>
      <c r="I15" s="19"/>
      <c r="J15" s="19"/>
      <c r="K15" s="19"/>
      <c r="L15" s="19"/>
      <c r="M15" s="19"/>
    </row>
    <row r="16" spans="1:13">
      <c r="A16" s="18">
        <v>14</v>
      </c>
      <c r="B16" s="19">
        <v>14</v>
      </c>
      <c r="C16" s="19">
        <v>7</v>
      </c>
      <c r="D16" s="19">
        <v>5</v>
      </c>
      <c r="E16" s="70">
        <v>1351</v>
      </c>
      <c r="F16" s="72"/>
      <c r="G16" s="19"/>
      <c r="H16" s="19"/>
      <c r="I16" s="19"/>
      <c r="J16" s="19"/>
      <c r="K16" s="19"/>
      <c r="L16" s="19"/>
      <c r="M16" s="19"/>
    </row>
    <row r="17" spans="1:13">
      <c r="A17" s="18">
        <v>15</v>
      </c>
      <c r="B17" s="19">
        <v>15</v>
      </c>
      <c r="C17" s="19">
        <v>7</v>
      </c>
      <c r="D17" s="19">
        <v>5</v>
      </c>
      <c r="E17" s="70">
        <v>1485</v>
      </c>
      <c r="F17" s="72"/>
      <c r="G17" s="19"/>
      <c r="H17" s="19"/>
      <c r="I17" s="19"/>
      <c r="J17" s="19"/>
      <c r="K17" s="19"/>
      <c r="L17" s="19"/>
      <c r="M17" s="19"/>
    </row>
    <row r="18" spans="1:13">
      <c r="A18" s="18">
        <v>16</v>
      </c>
      <c r="B18" s="19">
        <v>16</v>
      </c>
      <c r="C18" s="19">
        <v>7</v>
      </c>
      <c r="D18" s="19">
        <v>5</v>
      </c>
      <c r="E18" s="70">
        <v>1715</v>
      </c>
      <c r="F18" s="72"/>
      <c r="G18" s="19"/>
      <c r="H18" s="19"/>
      <c r="I18" s="19"/>
      <c r="J18" s="19"/>
      <c r="K18" s="19"/>
      <c r="L18" s="19"/>
      <c r="M18" s="19"/>
    </row>
    <row r="19" spans="1:13">
      <c r="A19" s="18">
        <v>17</v>
      </c>
      <c r="B19" s="19">
        <v>17</v>
      </c>
      <c r="C19" s="19">
        <v>7</v>
      </c>
      <c r="D19" s="19">
        <v>5</v>
      </c>
      <c r="E19" s="70">
        <v>1056</v>
      </c>
      <c r="F19" s="72"/>
      <c r="G19" s="19"/>
      <c r="H19" s="19"/>
      <c r="I19" s="19"/>
      <c r="J19" s="19"/>
      <c r="K19" s="19"/>
      <c r="L19" s="19"/>
      <c r="M19" s="19"/>
    </row>
    <row r="20" spans="1:13">
      <c r="A20" s="18">
        <v>18</v>
      </c>
      <c r="B20" s="19">
        <v>18</v>
      </c>
      <c r="C20" s="19">
        <v>7</v>
      </c>
      <c r="D20" s="19">
        <v>1</v>
      </c>
      <c r="E20" s="70">
        <v>1279</v>
      </c>
      <c r="F20" s="72"/>
      <c r="G20" s="19"/>
      <c r="H20" s="19"/>
      <c r="I20" s="19"/>
      <c r="J20" s="19"/>
      <c r="K20" s="19"/>
      <c r="L20" s="19"/>
      <c r="M20" s="19"/>
    </row>
    <row r="21" spans="1:13">
      <c r="A21" s="18">
        <v>19</v>
      </c>
      <c r="B21" s="19">
        <v>19</v>
      </c>
      <c r="C21" s="19">
        <v>7</v>
      </c>
      <c r="D21" s="19">
        <v>1</v>
      </c>
      <c r="E21" s="70">
        <v>1304</v>
      </c>
      <c r="F21" s="72"/>
      <c r="G21" s="19"/>
      <c r="H21" s="19"/>
      <c r="I21" s="19"/>
      <c r="J21" s="19"/>
      <c r="K21" s="19"/>
      <c r="L21" s="19"/>
      <c r="M21" s="19"/>
    </row>
    <row r="22" spans="1:13">
      <c r="A22" s="18">
        <v>20</v>
      </c>
      <c r="B22" s="19">
        <v>20</v>
      </c>
      <c r="C22" s="19">
        <v>7</v>
      </c>
      <c r="D22" s="19">
        <v>6</v>
      </c>
      <c r="E22" s="70">
        <v>1735</v>
      </c>
      <c r="F22" s="72"/>
      <c r="G22" s="19"/>
      <c r="H22" s="19"/>
      <c r="I22" s="19"/>
      <c r="J22" s="19"/>
      <c r="K22" s="19"/>
      <c r="L22" s="19"/>
      <c r="M22" s="19"/>
    </row>
    <row r="23" spans="1:13">
      <c r="A23" s="18">
        <v>21</v>
      </c>
      <c r="B23" s="19">
        <v>21</v>
      </c>
      <c r="C23" s="19">
        <v>7</v>
      </c>
      <c r="D23" s="19">
        <v>3</v>
      </c>
      <c r="E23" s="70">
        <v>1308</v>
      </c>
      <c r="F23" s="72"/>
      <c r="G23" s="19"/>
      <c r="H23" s="19"/>
      <c r="I23" s="19"/>
      <c r="J23" s="19"/>
      <c r="K23" s="19"/>
      <c r="L23" s="19"/>
      <c r="M23" s="19"/>
    </row>
    <row r="24" spans="1:13">
      <c r="A24" s="18">
        <v>22</v>
      </c>
      <c r="B24" s="19">
        <v>22</v>
      </c>
      <c r="C24" s="19">
        <v>7</v>
      </c>
      <c r="D24" s="19">
        <v>3</v>
      </c>
      <c r="E24" s="70">
        <v>1437</v>
      </c>
      <c r="F24" s="72"/>
      <c r="G24" s="19"/>
      <c r="H24" s="19"/>
      <c r="I24" s="19"/>
      <c r="J24" s="19"/>
      <c r="K24" s="19"/>
      <c r="L24" s="19"/>
      <c r="M24" s="19"/>
    </row>
    <row r="25" spans="1:13">
      <c r="A25" s="18">
        <v>23</v>
      </c>
      <c r="B25" s="19">
        <v>23</v>
      </c>
      <c r="C25" s="19">
        <v>7</v>
      </c>
      <c r="D25" s="19">
        <v>3</v>
      </c>
      <c r="E25" s="70">
        <v>2157</v>
      </c>
      <c r="F25" s="72"/>
      <c r="G25" s="19"/>
      <c r="H25" s="19"/>
      <c r="I25" s="19"/>
      <c r="J25" s="19"/>
      <c r="K25" s="19"/>
      <c r="L25" s="19"/>
      <c r="M25" s="19"/>
    </row>
    <row r="26" spans="1:13">
      <c r="A26" s="18">
        <v>24</v>
      </c>
      <c r="B26" s="19">
        <v>24</v>
      </c>
      <c r="C26" s="19">
        <v>7</v>
      </c>
      <c r="D26" s="19">
        <v>3</v>
      </c>
      <c r="E26" s="70">
        <v>2569</v>
      </c>
      <c r="F26" s="72"/>
      <c r="G26" s="19"/>
      <c r="H26" s="19"/>
      <c r="I26" s="19"/>
      <c r="J26" s="19"/>
      <c r="K26" s="19"/>
      <c r="L26" s="19"/>
      <c r="M26" s="19"/>
    </row>
    <row r="27" spans="1:13">
      <c r="A27" s="18">
        <v>25</v>
      </c>
      <c r="B27" s="19">
        <v>25</v>
      </c>
      <c r="C27" s="19">
        <v>7</v>
      </c>
      <c r="D27" s="19">
        <v>3</v>
      </c>
      <c r="E27" s="70">
        <v>2841</v>
      </c>
      <c r="F27" s="72"/>
      <c r="G27" s="19"/>
      <c r="H27" s="19"/>
      <c r="I27" s="19"/>
      <c r="J27" s="19"/>
      <c r="K27" s="19"/>
      <c r="L27" s="19"/>
      <c r="M27" s="19"/>
    </row>
    <row r="28" spans="1:13">
      <c r="A28" s="18">
        <v>26</v>
      </c>
      <c r="B28" s="19">
        <v>26</v>
      </c>
      <c r="C28" s="19">
        <v>7</v>
      </c>
      <c r="D28" s="19">
        <v>3</v>
      </c>
      <c r="E28" s="70">
        <v>2980</v>
      </c>
      <c r="F28" s="72"/>
      <c r="G28" s="19"/>
      <c r="H28" s="19"/>
      <c r="I28" s="19"/>
      <c r="J28" s="19"/>
      <c r="K28" s="19"/>
      <c r="L28" s="19"/>
      <c r="M28" s="19"/>
    </row>
    <row r="29" spans="1:13">
      <c r="A29" s="18">
        <v>27</v>
      </c>
      <c r="B29" s="19">
        <v>27</v>
      </c>
      <c r="C29" s="19">
        <v>7</v>
      </c>
      <c r="D29" s="19">
        <v>3</v>
      </c>
      <c r="E29" s="70">
        <v>2595</v>
      </c>
      <c r="F29" s="72"/>
      <c r="G29" s="19"/>
      <c r="H29" s="19"/>
      <c r="I29" s="19"/>
      <c r="J29" s="19"/>
      <c r="K29" s="19"/>
      <c r="L29" s="19"/>
      <c r="M29" s="19"/>
    </row>
    <row r="30" spans="1:13">
      <c r="A30" s="18">
        <v>28</v>
      </c>
      <c r="B30" s="19">
        <v>28</v>
      </c>
      <c r="C30" s="19">
        <v>7</v>
      </c>
      <c r="D30" s="19">
        <v>3</v>
      </c>
      <c r="E30" s="70">
        <v>2759</v>
      </c>
      <c r="F30" s="72"/>
      <c r="G30" s="19"/>
      <c r="H30" s="19"/>
      <c r="I30" s="19"/>
      <c r="J30" s="19"/>
      <c r="K30" s="19"/>
      <c r="L30" s="19"/>
      <c r="M30" s="19"/>
    </row>
    <row r="31" spans="1:13">
      <c r="A31" s="18">
        <v>29</v>
      </c>
      <c r="B31" s="19">
        <v>29</v>
      </c>
      <c r="C31" s="19">
        <v>7</v>
      </c>
      <c r="D31" s="19">
        <v>4</v>
      </c>
      <c r="E31" s="70">
        <v>763</v>
      </c>
      <c r="F31" s="72"/>
      <c r="G31" s="19"/>
      <c r="H31" s="19"/>
      <c r="I31" s="19"/>
      <c r="J31" s="19"/>
      <c r="K31" s="19"/>
      <c r="L31" s="19"/>
      <c r="M31" s="19"/>
    </row>
    <row r="32" spans="1:13">
      <c r="A32" s="18">
        <v>30</v>
      </c>
      <c r="B32" s="19">
        <v>30</v>
      </c>
      <c r="C32" s="19">
        <v>7</v>
      </c>
      <c r="D32" s="19">
        <v>4</v>
      </c>
      <c r="E32" s="70">
        <v>553</v>
      </c>
      <c r="F32" s="72"/>
      <c r="G32" s="19"/>
      <c r="H32" s="19"/>
      <c r="I32" s="19"/>
      <c r="J32" s="19"/>
      <c r="K32" s="19"/>
      <c r="L32" s="19"/>
      <c r="M32" s="19"/>
    </row>
    <row r="33" spans="1:13">
      <c r="A33" s="18">
        <v>31</v>
      </c>
      <c r="B33" s="19">
        <v>31</v>
      </c>
      <c r="C33" s="19">
        <v>7</v>
      </c>
      <c r="D33" s="19">
        <v>4</v>
      </c>
      <c r="E33" s="70">
        <v>1432</v>
      </c>
      <c r="F33" s="72"/>
      <c r="G33" s="19"/>
      <c r="H33" s="19"/>
      <c r="I33" s="19"/>
      <c r="J33" s="19"/>
      <c r="K33" s="19"/>
      <c r="L33" s="19"/>
      <c r="M33" s="19"/>
    </row>
    <row r="34" spans="1:13">
      <c r="A34" s="18">
        <v>32</v>
      </c>
      <c r="B34" s="19">
        <v>32</v>
      </c>
      <c r="C34" s="19">
        <v>7</v>
      </c>
      <c r="D34" s="19">
        <v>4</v>
      </c>
      <c r="E34" s="70">
        <v>2788</v>
      </c>
      <c r="F34" s="72"/>
      <c r="G34" s="19"/>
      <c r="H34" s="19"/>
      <c r="I34" s="19"/>
      <c r="J34" s="19"/>
      <c r="K34" s="19"/>
      <c r="L34" s="19"/>
      <c r="M34" s="19"/>
    </row>
    <row r="35" spans="1:13">
      <c r="A35" s="18">
        <v>33</v>
      </c>
      <c r="B35" s="19">
        <v>33</v>
      </c>
      <c r="C35" s="19">
        <v>7</v>
      </c>
      <c r="D35" s="19">
        <v>4</v>
      </c>
      <c r="E35" s="70">
        <v>2795</v>
      </c>
      <c r="F35" s="72"/>
      <c r="G35" s="19"/>
      <c r="H35" s="19"/>
      <c r="I35" s="19"/>
      <c r="J35" s="19"/>
      <c r="K35" s="19"/>
      <c r="L35" s="19"/>
      <c r="M35" s="19"/>
    </row>
    <row r="36" spans="1:13">
      <c r="A36" s="18">
        <v>34</v>
      </c>
      <c r="B36" s="19">
        <v>34</v>
      </c>
      <c r="C36" s="19">
        <v>7</v>
      </c>
      <c r="D36" s="19">
        <v>4</v>
      </c>
      <c r="E36" s="70">
        <v>2797</v>
      </c>
      <c r="F36" s="72"/>
      <c r="G36" s="19"/>
      <c r="H36" s="19"/>
      <c r="I36" s="19"/>
      <c r="J36" s="19"/>
      <c r="K36" s="19"/>
      <c r="L36" s="19"/>
      <c r="M36" s="19"/>
    </row>
    <row r="37" spans="1:13">
      <c r="A37" s="18">
        <v>35</v>
      </c>
      <c r="B37" s="19">
        <v>35</v>
      </c>
      <c r="C37" s="19">
        <v>7</v>
      </c>
      <c r="D37" s="19">
        <v>4</v>
      </c>
      <c r="E37" s="70">
        <v>2801</v>
      </c>
      <c r="F37" s="72"/>
      <c r="G37" s="19"/>
      <c r="H37" s="19"/>
      <c r="I37" s="19"/>
      <c r="J37" s="19"/>
      <c r="K37" s="19"/>
      <c r="L37" s="19"/>
      <c r="M37" s="19"/>
    </row>
    <row r="38" spans="1:13">
      <c r="A38" s="18">
        <v>36</v>
      </c>
      <c r="B38" s="19">
        <v>36</v>
      </c>
      <c r="C38" s="19">
        <v>7</v>
      </c>
      <c r="D38" s="19">
        <v>4</v>
      </c>
      <c r="E38" s="71">
        <v>2814</v>
      </c>
      <c r="F38" s="72"/>
      <c r="G38" s="19"/>
      <c r="H38" s="19"/>
      <c r="I38" s="19"/>
      <c r="J38" s="19"/>
      <c r="K38" s="19"/>
      <c r="L38" s="19"/>
      <c r="M38" s="19"/>
    </row>
    <row r="39" spans="1:13">
      <c r="A39" s="18">
        <v>37</v>
      </c>
      <c r="B39" s="19">
        <v>37</v>
      </c>
      <c r="C39" s="19">
        <v>7</v>
      </c>
      <c r="D39" s="19">
        <v>1</v>
      </c>
      <c r="E39" s="19"/>
      <c r="F39" s="19"/>
      <c r="G39" s="19"/>
      <c r="H39" s="19"/>
      <c r="I39" s="19"/>
      <c r="J39" s="19"/>
      <c r="K39" s="19"/>
      <c r="L39" s="19"/>
      <c r="M39" s="19"/>
    </row>
    <row r="40" spans="1:13">
      <c r="A40" s="18">
        <v>38</v>
      </c>
      <c r="B40" s="19">
        <v>38</v>
      </c>
      <c r="C40" s="19">
        <v>3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>
      <c r="A41" s="18">
        <v>39</v>
      </c>
      <c r="B41" s="19">
        <v>39</v>
      </c>
      <c r="C41" s="19">
        <v>5</v>
      </c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>
      <c r="A42" s="18">
        <v>40</v>
      </c>
      <c r="B42" s="19">
        <v>40</v>
      </c>
      <c r="C42" s="19">
        <v>4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>
      <c r="A43" s="18">
        <v>41</v>
      </c>
      <c r="B43" s="19">
        <v>41</v>
      </c>
      <c r="C43" s="19">
        <v>6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>
      <c r="A44" s="18">
        <v>42</v>
      </c>
      <c r="B44" s="19">
        <v>42</v>
      </c>
      <c r="C44" s="19">
        <v>1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>
      <c r="A45" s="18">
        <v>43</v>
      </c>
      <c r="B45" s="19">
        <v>43</v>
      </c>
      <c r="C45" s="19">
        <v>7</v>
      </c>
      <c r="D45" s="19">
        <v>2</v>
      </c>
      <c r="E45" s="19"/>
      <c r="F45" s="19"/>
      <c r="G45" s="19"/>
      <c r="H45" s="19"/>
      <c r="I45" s="19"/>
      <c r="J45" s="19"/>
      <c r="K45" s="19"/>
      <c r="L45" s="19"/>
      <c r="M45" s="19"/>
    </row>
    <row r="46" spans="1:13">
      <c r="A46" s="18">
        <v>44</v>
      </c>
      <c r="B46" s="19">
        <v>44</v>
      </c>
      <c r="C46" s="19">
        <v>7</v>
      </c>
      <c r="D46" s="19">
        <v>5</v>
      </c>
      <c r="E46" s="19"/>
      <c r="F46" s="19"/>
      <c r="G46" s="19"/>
      <c r="H46" s="19"/>
      <c r="I46" s="19"/>
      <c r="J46" s="19"/>
      <c r="K46" s="19"/>
      <c r="L46" s="19"/>
      <c r="M46" s="19"/>
    </row>
    <row r="47" spans="1:13">
      <c r="A47" s="18">
        <v>45</v>
      </c>
      <c r="B47" s="19">
        <v>45</v>
      </c>
      <c r="C47" s="19">
        <v>7</v>
      </c>
      <c r="D47" s="19">
        <v>3</v>
      </c>
      <c r="E47" s="19"/>
      <c r="F47" s="19"/>
      <c r="G47" s="19"/>
      <c r="H47" s="19"/>
      <c r="I47" s="19"/>
      <c r="J47" s="19"/>
      <c r="K47" s="19"/>
      <c r="L47" s="19"/>
      <c r="M4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3C02D3-FF55-4D3F-8667-A1825937E0F7}">
          <x14:formula1>
            <xm:f>_mySQL!$A$2:$A$50</xm:f>
          </x14:formula1>
          <xm:sqref>A2:F2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069C-286C-47FE-99B2-A516414927DA}">
  <sheetPr codeName="Sheet36"/>
  <dimension ref="A1:L47"/>
  <sheetViews>
    <sheetView workbookViewId="0">
      <selection activeCell="L18" sqref="L18"/>
    </sheetView>
  </sheetViews>
  <sheetFormatPr defaultColWidth="15.7109375" defaultRowHeight="15"/>
  <cols>
    <col min="1" max="1" width="25.85546875" style="18" bestFit="1" customWidth="1"/>
    <col min="2" max="4" width="18.42578125" style="18" bestFit="1" customWidth="1"/>
    <col min="5" max="16384" width="15.7109375" style="18"/>
  </cols>
  <sheetData>
    <row r="1" spans="1:12" s="69" customFormat="1">
      <c r="A1" s="18" t="s">
        <v>0</v>
      </c>
      <c r="B1" s="18" t="s">
        <v>1613</v>
      </c>
      <c r="C1" s="18" t="s">
        <v>1616</v>
      </c>
      <c r="D1" s="18" t="s">
        <v>1615</v>
      </c>
      <c r="E1" s="18" t="s">
        <v>1614</v>
      </c>
      <c r="F1" s="18" t="s">
        <v>13</v>
      </c>
      <c r="G1" s="18" t="s">
        <v>321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8" t="s">
        <v>587</v>
      </c>
      <c r="B2" s="19" t="s">
        <v>1331</v>
      </c>
      <c r="C2" s="19" t="s">
        <v>1331</v>
      </c>
      <c r="D2" s="19" t="s">
        <v>1331</v>
      </c>
      <c r="E2" s="19" t="s">
        <v>585</v>
      </c>
      <c r="F2" s="19" t="s">
        <v>582</v>
      </c>
      <c r="G2" s="19" t="s">
        <v>583</v>
      </c>
      <c r="H2" s="19" t="s">
        <v>584</v>
      </c>
      <c r="I2" s="19" t="s">
        <v>1331</v>
      </c>
      <c r="J2" s="19" t="s">
        <v>585</v>
      </c>
      <c r="K2" s="19" t="s">
        <v>585</v>
      </c>
      <c r="L2" s="19" t="s">
        <v>585</v>
      </c>
    </row>
    <row r="3" spans="1:12">
      <c r="A3" s="18">
        <v>1</v>
      </c>
      <c r="B3" s="19">
        <v>1</v>
      </c>
      <c r="C3" s="19">
        <v>10</v>
      </c>
      <c r="D3" s="19"/>
      <c r="E3" s="19"/>
      <c r="F3" s="19"/>
      <c r="G3" s="19"/>
      <c r="H3" s="19"/>
      <c r="I3" s="19"/>
      <c r="J3" s="19"/>
      <c r="K3" s="19"/>
      <c r="L3" s="19"/>
    </row>
    <row r="4" spans="1:12">
      <c r="A4" s="18">
        <v>2</v>
      </c>
      <c r="B4" s="19">
        <v>2</v>
      </c>
      <c r="C4" s="19">
        <v>10</v>
      </c>
      <c r="D4" s="19"/>
      <c r="E4" s="19"/>
      <c r="F4" s="19"/>
      <c r="G4" s="19"/>
      <c r="H4" s="19"/>
      <c r="I4" s="19"/>
      <c r="J4" s="19"/>
      <c r="K4" s="19"/>
      <c r="L4" s="19"/>
    </row>
    <row r="5" spans="1:12">
      <c r="A5" s="18">
        <v>3</v>
      </c>
      <c r="B5" s="19">
        <v>3</v>
      </c>
      <c r="C5" s="19">
        <v>10</v>
      </c>
      <c r="D5" s="19"/>
      <c r="E5" s="19"/>
      <c r="F5" s="19"/>
      <c r="G5" s="19"/>
      <c r="H5" s="19"/>
      <c r="I5" s="19"/>
      <c r="J5" s="19"/>
      <c r="K5" s="19"/>
      <c r="L5" s="19"/>
    </row>
    <row r="6" spans="1:12">
      <c r="A6" s="18">
        <v>4</v>
      </c>
      <c r="B6" s="19">
        <v>4</v>
      </c>
      <c r="C6" s="19">
        <v>10</v>
      </c>
      <c r="D6" s="19"/>
      <c r="E6" s="19"/>
      <c r="F6" s="19"/>
      <c r="G6" s="19"/>
      <c r="H6" s="19"/>
      <c r="I6" s="19"/>
      <c r="J6" s="19"/>
      <c r="K6" s="19"/>
      <c r="L6" s="19"/>
    </row>
    <row r="7" spans="1:12">
      <c r="A7" s="18">
        <v>5</v>
      </c>
      <c r="B7" s="19">
        <v>5</v>
      </c>
      <c r="C7" s="19">
        <v>10</v>
      </c>
      <c r="D7" s="19"/>
      <c r="E7" s="19"/>
      <c r="F7" s="19"/>
      <c r="G7" s="19"/>
      <c r="H7" s="19"/>
      <c r="I7" s="19"/>
      <c r="J7" s="19"/>
      <c r="K7" s="19"/>
      <c r="L7" s="19"/>
    </row>
    <row r="8" spans="1:12">
      <c r="A8" s="18">
        <v>6</v>
      </c>
      <c r="B8" s="19">
        <v>6</v>
      </c>
      <c r="C8" s="19">
        <v>10</v>
      </c>
      <c r="D8" s="19"/>
      <c r="E8" s="19"/>
      <c r="F8" s="19"/>
      <c r="G8" s="19"/>
      <c r="H8" s="19"/>
      <c r="I8" s="19"/>
      <c r="J8" s="19"/>
      <c r="K8" s="19"/>
      <c r="L8" s="19"/>
    </row>
    <row r="9" spans="1:12">
      <c r="A9" s="18">
        <v>7</v>
      </c>
      <c r="B9" s="19">
        <v>7</v>
      </c>
      <c r="C9" s="19">
        <v>10</v>
      </c>
      <c r="D9" s="19"/>
      <c r="E9" s="19"/>
      <c r="F9" s="19"/>
      <c r="G9" s="19"/>
      <c r="H9" s="19"/>
      <c r="I9" s="19"/>
      <c r="J9" s="19"/>
      <c r="K9" s="19"/>
      <c r="L9" s="19"/>
    </row>
    <row r="10" spans="1:12">
      <c r="A10" s="18">
        <v>8</v>
      </c>
      <c r="B10" s="19">
        <v>8</v>
      </c>
      <c r="C10" s="19">
        <v>10</v>
      </c>
      <c r="D10" s="19"/>
      <c r="E10" s="19"/>
      <c r="F10" s="19"/>
      <c r="G10" s="19"/>
      <c r="H10" s="19"/>
      <c r="I10" s="19"/>
      <c r="J10" s="19"/>
      <c r="K10" s="19"/>
      <c r="L10" s="19"/>
    </row>
    <row r="11" spans="1:12">
      <c r="A11" s="18">
        <v>9</v>
      </c>
      <c r="B11" s="19">
        <v>9</v>
      </c>
      <c r="C11" s="19">
        <v>10</v>
      </c>
      <c r="D11" s="19"/>
      <c r="E11" s="19"/>
      <c r="F11" s="19"/>
      <c r="G11" s="19"/>
      <c r="H11" s="19"/>
      <c r="I11" s="19"/>
      <c r="J11" s="19"/>
      <c r="K11" s="19"/>
      <c r="L11" s="19"/>
    </row>
    <row r="12" spans="1:12">
      <c r="A12" s="18">
        <v>10</v>
      </c>
      <c r="B12" s="19">
        <v>10</v>
      </c>
      <c r="C12" s="19">
        <v>10</v>
      </c>
      <c r="D12" s="19"/>
      <c r="E12" s="19"/>
      <c r="F12" s="19"/>
      <c r="G12" s="19"/>
      <c r="H12" s="19"/>
      <c r="I12" s="19"/>
      <c r="J12" s="19"/>
      <c r="K12" s="19"/>
      <c r="L12" s="19"/>
    </row>
    <row r="13" spans="1:12">
      <c r="A13" s="18">
        <v>11</v>
      </c>
      <c r="B13" s="19">
        <v>11</v>
      </c>
      <c r="C13" s="19">
        <v>10</v>
      </c>
      <c r="D13" s="19"/>
      <c r="E13" s="19"/>
      <c r="F13" s="19"/>
      <c r="G13" s="19"/>
      <c r="H13" s="19"/>
      <c r="I13" s="19"/>
      <c r="J13" s="19"/>
      <c r="K13" s="19"/>
      <c r="L13" s="19"/>
    </row>
    <row r="14" spans="1:12">
      <c r="A14" s="18">
        <v>12</v>
      </c>
      <c r="B14" s="19">
        <v>12</v>
      </c>
      <c r="C14" s="19">
        <v>10</v>
      </c>
      <c r="D14" s="19"/>
      <c r="E14" s="19"/>
      <c r="F14" s="19"/>
      <c r="G14" s="19"/>
      <c r="H14" s="19"/>
      <c r="I14" s="19"/>
      <c r="J14" s="19"/>
      <c r="K14" s="19"/>
      <c r="L14" s="19"/>
    </row>
    <row r="15" spans="1:12">
      <c r="A15" s="18">
        <v>13</v>
      </c>
      <c r="B15" s="19">
        <v>13</v>
      </c>
      <c r="C15" s="19">
        <v>10</v>
      </c>
      <c r="D15" s="19"/>
      <c r="E15" s="19"/>
      <c r="F15" s="19"/>
      <c r="G15" s="19"/>
      <c r="H15" s="19"/>
      <c r="I15" s="19"/>
      <c r="J15" s="19"/>
      <c r="K15" s="19"/>
      <c r="L15" s="19"/>
    </row>
    <row r="16" spans="1:12">
      <c r="A16" s="18">
        <v>14</v>
      </c>
      <c r="B16" s="19">
        <v>14</v>
      </c>
      <c r="C16" s="19">
        <v>10</v>
      </c>
      <c r="D16" s="19"/>
      <c r="E16" s="19"/>
      <c r="F16" s="19"/>
      <c r="G16" s="19"/>
      <c r="H16" s="19"/>
      <c r="I16" s="19"/>
      <c r="J16" s="19"/>
      <c r="K16" s="19"/>
      <c r="L16" s="19"/>
    </row>
    <row r="17" spans="1:12">
      <c r="A17" s="18">
        <v>15</v>
      </c>
      <c r="B17" s="19">
        <v>15</v>
      </c>
      <c r="C17" s="19">
        <v>10</v>
      </c>
      <c r="D17" s="19"/>
      <c r="E17" s="19"/>
      <c r="F17" s="19"/>
      <c r="G17" s="19"/>
      <c r="H17" s="19"/>
      <c r="I17" s="19"/>
      <c r="J17" s="19"/>
      <c r="K17" s="19"/>
      <c r="L17" s="19"/>
    </row>
    <row r="18" spans="1:12">
      <c r="A18" s="18">
        <v>16</v>
      </c>
      <c r="B18" s="19">
        <v>16</v>
      </c>
      <c r="C18" s="19">
        <v>10</v>
      </c>
      <c r="D18" s="19"/>
      <c r="E18" s="19"/>
      <c r="F18" s="19"/>
      <c r="G18" s="19"/>
      <c r="H18" s="19"/>
      <c r="I18" s="19"/>
      <c r="J18" s="19"/>
      <c r="K18" s="19"/>
      <c r="L18" s="19"/>
    </row>
    <row r="19" spans="1:12">
      <c r="A19" s="18">
        <v>17</v>
      </c>
      <c r="B19" s="19">
        <v>17</v>
      </c>
      <c r="C19" s="19">
        <v>10</v>
      </c>
      <c r="D19" s="19"/>
      <c r="E19" s="19"/>
      <c r="F19" s="19"/>
      <c r="G19" s="19"/>
      <c r="H19" s="19"/>
      <c r="I19" s="19"/>
      <c r="J19" s="19"/>
      <c r="K19" s="19"/>
      <c r="L19" s="19"/>
    </row>
    <row r="20" spans="1:12">
      <c r="A20" s="18">
        <v>18</v>
      </c>
      <c r="B20" s="19">
        <v>18</v>
      </c>
      <c r="C20" s="19">
        <v>10</v>
      </c>
      <c r="D20" s="19"/>
      <c r="E20" s="19"/>
      <c r="F20" s="19"/>
      <c r="G20" s="19"/>
      <c r="H20" s="19"/>
      <c r="I20" s="19"/>
      <c r="J20" s="19"/>
      <c r="K20" s="19"/>
      <c r="L20" s="19"/>
    </row>
    <row r="21" spans="1:12">
      <c r="A21" s="18">
        <v>19</v>
      </c>
      <c r="B21" s="19">
        <v>19</v>
      </c>
      <c r="C21" s="19">
        <v>10</v>
      </c>
      <c r="D21" s="19"/>
      <c r="E21" s="19"/>
      <c r="F21" s="19"/>
      <c r="G21" s="19"/>
      <c r="H21" s="19"/>
      <c r="I21" s="19"/>
      <c r="J21" s="19"/>
      <c r="K21" s="19"/>
      <c r="L21" s="19"/>
    </row>
    <row r="22" spans="1:12">
      <c r="A22" s="18">
        <v>20</v>
      </c>
      <c r="B22" s="19">
        <v>20</v>
      </c>
      <c r="C22" s="19">
        <v>10</v>
      </c>
      <c r="D22" s="19"/>
      <c r="E22" s="19"/>
      <c r="F22" s="19"/>
      <c r="G22" s="19"/>
      <c r="H22" s="19"/>
      <c r="I22" s="19"/>
      <c r="J22" s="19"/>
      <c r="K22" s="19"/>
      <c r="L22" s="19"/>
    </row>
    <row r="23" spans="1:12">
      <c r="A23" s="18">
        <v>21</v>
      </c>
      <c r="B23" s="19">
        <v>21</v>
      </c>
      <c r="C23" s="19">
        <v>10</v>
      </c>
      <c r="D23" s="19"/>
      <c r="E23" s="19"/>
      <c r="F23" s="19"/>
      <c r="G23" s="19"/>
      <c r="H23" s="19"/>
      <c r="I23" s="19"/>
      <c r="J23" s="19"/>
      <c r="K23" s="19"/>
      <c r="L23" s="19"/>
    </row>
    <row r="24" spans="1:12">
      <c r="A24" s="18">
        <v>22</v>
      </c>
      <c r="B24" s="19">
        <v>22</v>
      </c>
      <c r="C24" s="19">
        <v>10</v>
      </c>
      <c r="D24" s="19"/>
      <c r="E24" s="19"/>
      <c r="F24" s="19"/>
      <c r="G24" s="19"/>
      <c r="H24" s="19"/>
      <c r="I24" s="19"/>
      <c r="J24" s="19"/>
      <c r="K24" s="19"/>
      <c r="L24" s="19"/>
    </row>
    <row r="25" spans="1:12">
      <c r="A25" s="18">
        <v>23</v>
      </c>
      <c r="B25" s="19">
        <v>23</v>
      </c>
      <c r="C25" s="19">
        <v>10</v>
      </c>
      <c r="D25" s="19"/>
      <c r="E25" s="19"/>
      <c r="F25" s="19"/>
      <c r="G25" s="19"/>
      <c r="H25" s="19"/>
      <c r="I25" s="19"/>
      <c r="J25" s="19"/>
      <c r="K25" s="19"/>
      <c r="L25" s="19"/>
    </row>
    <row r="26" spans="1:12">
      <c r="A26" s="18">
        <v>24</v>
      </c>
      <c r="B26" s="19">
        <v>24</v>
      </c>
      <c r="C26" s="19">
        <v>10</v>
      </c>
      <c r="D26" s="19"/>
      <c r="E26" s="19"/>
      <c r="F26" s="19"/>
      <c r="G26" s="19"/>
      <c r="H26" s="19"/>
      <c r="I26" s="19"/>
      <c r="J26" s="19"/>
      <c r="K26" s="19"/>
      <c r="L26" s="19"/>
    </row>
    <row r="27" spans="1:12">
      <c r="A27" s="18">
        <v>25</v>
      </c>
      <c r="B27" s="19">
        <v>25</v>
      </c>
      <c r="C27" s="19">
        <v>10</v>
      </c>
      <c r="D27" s="19"/>
      <c r="E27" s="19"/>
      <c r="F27" s="19"/>
      <c r="G27" s="19"/>
      <c r="H27" s="19"/>
      <c r="I27" s="19"/>
      <c r="J27" s="19"/>
      <c r="K27" s="19"/>
      <c r="L27" s="19"/>
    </row>
    <row r="28" spans="1:12">
      <c r="A28" s="18">
        <v>26</v>
      </c>
      <c r="B28" s="19">
        <v>26</v>
      </c>
      <c r="C28" s="19">
        <v>10</v>
      </c>
      <c r="D28" s="19"/>
      <c r="E28" s="19"/>
      <c r="F28" s="19"/>
      <c r="G28" s="19"/>
      <c r="H28" s="19"/>
      <c r="I28" s="19"/>
      <c r="J28" s="19"/>
      <c r="K28" s="19"/>
      <c r="L28" s="19"/>
    </row>
    <row r="29" spans="1:12">
      <c r="A29" s="18">
        <v>27</v>
      </c>
      <c r="B29" s="19">
        <v>27</v>
      </c>
      <c r="C29" s="19">
        <v>10</v>
      </c>
      <c r="D29" s="19"/>
      <c r="E29" s="19"/>
      <c r="F29" s="19"/>
      <c r="G29" s="19"/>
      <c r="H29" s="19"/>
      <c r="I29" s="19"/>
      <c r="J29" s="19"/>
      <c r="K29" s="19"/>
      <c r="L29" s="19"/>
    </row>
    <row r="30" spans="1:12">
      <c r="A30" s="18">
        <v>28</v>
      </c>
      <c r="B30" s="19">
        <v>28</v>
      </c>
      <c r="C30" s="19">
        <v>10</v>
      </c>
      <c r="D30" s="19"/>
      <c r="E30" s="19"/>
      <c r="F30" s="19"/>
      <c r="G30" s="19"/>
      <c r="H30" s="19"/>
      <c r="I30" s="19"/>
      <c r="J30" s="19"/>
      <c r="K30" s="19"/>
      <c r="L30" s="19"/>
    </row>
    <row r="31" spans="1:12">
      <c r="A31" s="18">
        <v>29</v>
      </c>
      <c r="B31" s="19">
        <v>29</v>
      </c>
      <c r="C31" s="19">
        <v>10</v>
      </c>
      <c r="D31" s="19"/>
      <c r="E31" s="19"/>
      <c r="F31" s="19"/>
      <c r="G31" s="19"/>
      <c r="H31" s="19"/>
      <c r="I31" s="19"/>
      <c r="J31" s="19"/>
      <c r="K31" s="19"/>
      <c r="L31" s="19"/>
    </row>
    <row r="32" spans="1:12">
      <c r="A32" s="18">
        <v>30</v>
      </c>
      <c r="B32" s="19">
        <v>30</v>
      </c>
      <c r="C32" s="19">
        <v>10</v>
      </c>
      <c r="D32" s="19"/>
      <c r="E32" s="19"/>
      <c r="F32" s="19"/>
      <c r="G32" s="19"/>
      <c r="H32" s="19"/>
      <c r="I32" s="19"/>
      <c r="J32" s="19"/>
      <c r="K32" s="19"/>
      <c r="L32" s="19"/>
    </row>
    <row r="33" spans="1:12">
      <c r="A33" s="18">
        <v>31</v>
      </c>
      <c r="B33" s="19">
        <v>31</v>
      </c>
      <c r="C33" s="19">
        <v>10</v>
      </c>
      <c r="D33" s="19"/>
      <c r="E33" s="19"/>
      <c r="F33" s="19"/>
      <c r="G33" s="19"/>
      <c r="H33" s="19"/>
      <c r="I33" s="19"/>
      <c r="J33" s="19"/>
      <c r="K33" s="19"/>
      <c r="L33" s="19"/>
    </row>
    <row r="34" spans="1:12">
      <c r="A34" s="18">
        <v>32</v>
      </c>
      <c r="B34" s="19">
        <v>32</v>
      </c>
      <c r="C34" s="19">
        <v>10</v>
      </c>
      <c r="D34" s="19"/>
      <c r="E34" s="19"/>
      <c r="F34" s="19"/>
      <c r="G34" s="19"/>
      <c r="H34" s="19"/>
      <c r="I34" s="19"/>
      <c r="J34" s="19"/>
      <c r="K34" s="19"/>
      <c r="L34" s="19"/>
    </row>
    <row r="35" spans="1:12">
      <c r="A35" s="18">
        <v>33</v>
      </c>
      <c r="B35" s="19">
        <v>33</v>
      </c>
      <c r="C35" s="19">
        <v>10</v>
      </c>
      <c r="D35" s="19"/>
      <c r="E35" s="19"/>
      <c r="F35" s="19"/>
      <c r="G35" s="19"/>
      <c r="H35" s="19"/>
      <c r="I35" s="19"/>
      <c r="J35" s="19"/>
      <c r="K35" s="19"/>
      <c r="L35" s="19"/>
    </row>
    <row r="36" spans="1:12">
      <c r="A36" s="18">
        <v>34</v>
      </c>
      <c r="B36" s="19">
        <v>34</v>
      </c>
      <c r="C36" s="19">
        <v>10</v>
      </c>
      <c r="D36" s="19"/>
      <c r="E36" s="19"/>
      <c r="F36" s="19"/>
      <c r="G36" s="19"/>
      <c r="H36" s="19"/>
      <c r="I36" s="19"/>
      <c r="J36" s="19"/>
      <c r="K36" s="19"/>
      <c r="L36" s="19"/>
    </row>
    <row r="37" spans="1:12">
      <c r="A37" s="18">
        <v>35</v>
      </c>
      <c r="B37" s="19">
        <v>35</v>
      </c>
      <c r="C37" s="19">
        <v>10</v>
      </c>
      <c r="D37" s="19"/>
      <c r="E37" s="19"/>
      <c r="F37" s="19"/>
      <c r="G37" s="19"/>
      <c r="H37" s="19"/>
      <c r="I37" s="19"/>
      <c r="J37" s="19"/>
      <c r="K37" s="19"/>
      <c r="L37" s="19"/>
    </row>
    <row r="38" spans="1:12">
      <c r="A38" s="18">
        <v>36</v>
      </c>
      <c r="B38" s="19">
        <v>36</v>
      </c>
      <c r="C38" s="19">
        <v>10</v>
      </c>
      <c r="D38" s="19"/>
      <c r="E38" s="19"/>
      <c r="F38" s="19"/>
      <c r="G38" s="19"/>
      <c r="H38" s="19"/>
      <c r="I38" s="19"/>
      <c r="J38" s="19"/>
      <c r="K38" s="19"/>
      <c r="L38" s="19"/>
    </row>
    <row r="39" spans="1:12">
      <c r="A39" s="18">
        <v>37</v>
      </c>
      <c r="B39" s="19">
        <v>37</v>
      </c>
      <c r="C39" s="19">
        <v>10</v>
      </c>
      <c r="D39" s="19"/>
      <c r="E39" s="19"/>
      <c r="F39" s="19"/>
      <c r="G39" s="19"/>
      <c r="H39" s="19"/>
      <c r="I39" s="19"/>
      <c r="J39" s="19"/>
      <c r="K39" s="19"/>
      <c r="L39" s="19"/>
    </row>
    <row r="40" spans="1:12">
      <c r="A40" s="18">
        <v>38</v>
      </c>
      <c r="B40" s="19">
        <v>38</v>
      </c>
      <c r="C40" s="19">
        <v>3</v>
      </c>
      <c r="D40" s="19"/>
      <c r="E40" s="19"/>
      <c r="F40" s="19"/>
      <c r="G40" s="19"/>
      <c r="H40" s="19"/>
      <c r="I40" s="19"/>
      <c r="J40" s="19"/>
      <c r="K40" s="19"/>
      <c r="L40" s="19"/>
    </row>
    <row r="41" spans="1:12">
      <c r="A41" s="18">
        <v>39</v>
      </c>
      <c r="B41" s="19">
        <v>39</v>
      </c>
      <c r="C41" s="19">
        <v>4</v>
      </c>
      <c r="D41" s="19"/>
      <c r="E41" s="19"/>
      <c r="F41" s="19"/>
      <c r="G41" s="19"/>
      <c r="H41" s="19"/>
      <c r="I41" s="19"/>
      <c r="J41" s="19"/>
      <c r="K41" s="19"/>
      <c r="L41" s="19"/>
    </row>
    <row r="42" spans="1:12">
      <c r="A42" s="18">
        <v>40</v>
      </c>
      <c r="B42" s="19">
        <v>40</v>
      </c>
      <c r="C42" s="19">
        <v>5</v>
      </c>
      <c r="D42" s="19"/>
      <c r="E42" s="19"/>
      <c r="F42" s="19"/>
      <c r="G42" s="19"/>
      <c r="H42" s="19"/>
      <c r="I42" s="19"/>
      <c r="J42" s="19"/>
      <c r="K42" s="19"/>
      <c r="L42" s="19"/>
    </row>
    <row r="43" spans="1:12">
      <c r="A43" s="18">
        <v>41</v>
      </c>
      <c r="B43" s="19">
        <v>41</v>
      </c>
      <c r="C43" s="19">
        <v>6</v>
      </c>
      <c r="D43" s="19"/>
      <c r="E43" s="19"/>
      <c r="F43" s="19"/>
      <c r="G43" s="19"/>
      <c r="H43" s="19"/>
      <c r="I43" s="19"/>
      <c r="J43" s="19"/>
      <c r="K43" s="19"/>
      <c r="L43" s="19"/>
    </row>
    <row r="44" spans="1:12">
      <c r="A44" s="18">
        <v>42</v>
      </c>
      <c r="B44" s="19">
        <v>42</v>
      </c>
      <c r="C44" s="19">
        <v>7</v>
      </c>
      <c r="D44" s="19"/>
      <c r="E44" s="19"/>
      <c r="F44" s="19"/>
      <c r="G44" s="19"/>
      <c r="H44" s="19"/>
      <c r="I44" s="19"/>
      <c r="J44" s="19"/>
      <c r="K44" s="19"/>
      <c r="L44" s="19"/>
    </row>
    <row r="45" spans="1:12">
      <c r="A45" s="18">
        <v>43</v>
      </c>
      <c r="B45" s="19">
        <v>43</v>
      </c>
      <c r="C45" s="19">
        <v>12</v>
      </c>
      <c r="D45" s="19"/>
      <c r="E45" s="19"/>
      <c r="F45" s="19"/>
      <c r="G45" s="19"/>
      <c r="H45" s="19"/>
      <c r="I45" s="19"/>
      <c r="J45" s="19"/>
      <c r="K45" s="19"/>
      <c r="L45" s="19"/>
    </row>
    <row r="46" spans="1:12">
      <c r="A46" s="18">
        <v>44</v>
      </c>
      <c r="B46" s="19">
        <v>44</v>
      </c>
      <c r="C46" s="19">
        <v>13</v>
      </c>
      <c r="D46" s="19"/>
      <c r="E46" s="19"/>
      <c r="F46" s="19"/>
      <c r="G46" s="19"/>
      <c r="H46" s="19"/>
      <c r="I46" s="19"/>
      <c r="J46" s="19"/>
      <c r="K46" s="19"/>
      <c r="L46" s="19"/>
    </row>
    <row r="47" spans="1:12">
      <c r="A47" s="18">
        <v>45</v>
      </c>
      <c r="B47" s="19">
        <v>45</v>
      </c>
      <c r="C47" s="19">
        <v>11</v>
      </c>
      <c r="D47" s="19"/>
      <c r="E47" s="19"/>
      <c r="F47" s="19"/>
      <c r="G47" s="19"/>
      <c r="H47" s="19"/>
      <c r="I47" s="19"/>
      <c r="J47" s="19"/>
      <c r="K47" s="19"/>
      <c r="L4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1F1C12-CA8A-481A-83E0-16EB02E7A7FF}">
          <x14:formula1>
            <xm:f>_mySQL!$A$2:$A$50</xm:f>
          </x14:formula1>
          <xm:sqref>A2:E2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70A7-3125-4F50-8986-5BAF56DD218E}">
  <sheetPr codeName="Sheet37"/>
  <dimension ref="A1:K7"/>
  <sheetViews>
    <sheetView workbookViewId="0">
      <selection activeCell="D6" sqref="D6"/>
    </sheetView>
  </sheetViews>
  <sheetFormatPr defaultColWidth="15.7109375" defaultRowHeight="15"/>
  <cols>
    <col min="1" max="1" width="25.85546875" style="18" bestFit="1" customWidth="1"/>
    <col min="2" max="3" width="15.7109375" style="18"/>
    <col min="4" max="4" width="43.28515625" style="18" bestFit="1" customWidth="1"/>
    <col min="5" max="16384" width="15.7109375" style="18"/>
  </cols>
  <sheetData>
    <row r="1" spans="1:11" s="69" customFormat="1">
      <c r="A1" s="18" t="s">
        <v>0</v>
      </c>
      <c r="B1" s="18" t="s">
        <v>1613</v>
      </c>
      <c r="C1" s="18" t="s">
        <v>1618</v>
      </c>
      <c r="D1" s="18" t="s">
        <v>1617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 s="69" customFormat="1">
      <c r="A2" s="18" t="s">
        <v>587</v>
      </c>
      <c r="B2" s="18" t="s">
        <v>1331</v>
      </c>
      <c r="C2" s="18" t="s">
        <v>1327</v>
      </c>
      <c r="D2" s="18" t="s">
        <v>1327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  <row r="3" spans="1:11"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1">
      <c r="B5" s="19"/>
      <c r="C5" s="19"/>
      <c r="D5" s="19"/>
      <c r="E5" s="19"/>
      <c r="F5" s="19"/>
      <c r="G5" s="19"/>
      <c r="H5" s="19"/>
      <c r="I5" s="19"/>
      <c r="J5" s="19"/>
      <c r="K5" s="19"/>
    </row>
    <row r="6" spans="1:11">
      <c r="B6" s="19"/>
      <c r="C6" s="19"/>
      <c r="D6" s="19"/>
      <c r="E6" s="19"/>
      <c r="F6" s="19"/>
      <c r="G6" s="19"/>
      <c r="H6" s="19"/>
      <c r="I6" s="19"/>
      <c r="J6" s="19"/>
      <c r="K6" s="19"/>
    </row>
    <row r="7" spans="1:11">
      <c r="B7" s="19"/>
      <c r="C7" s="19"/>
      <c r="D7" s="19"/>
      <c r="E7" s="19"/>
      <c r="F7" s="19"/>
      <c r="G7" s="19"/>
      <c r="H7" s="19"/>
      <c r="I7" s="19"/>
      <c r="J7" s="19"/>
      <c r="K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182D32-A418-4689-9860-0909BB0DD0E2}">
          <x14:formula1>
            <xm:f>_mySQL!$A$2:$A$50</xm:f>
          </x14:formula1>
          <xm:sqref>A2:C2 D2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5EC3-2699-4A79-A099-9B3D8D35776A}">
  <sheetPr codeName="Sheet38"/>
  <dimension ref="A1:I9"/>
  <sheetViews>
    <sheetView workbookViewId="0">
      <selection activeCell="L20" sqref="L20"/>
    </sheetView>
  </sheetViews>
  <sheetFormatPr defaultColWidth="15.7109375" defaultRowHeight="15"/>
  <cols>
    <col min="1" max="1" width="25.28515625" style="18" bestFit="1" customWidth="1"/>
    <col min="2" max="16384" width="15.7109375" style="18"/>
  </cols>
  <sheetData>
    <row r="1" spans="1:9" s="69" customFormat="1">
      <c r="A1" s="18" t="s">
        <v>0</v>
      </c>
      <c r="B1" s="18" t="s">
        <v>2</v>
      </c>
      <c r="C1" s="18" t="s">
        <v>13</v>
      </c>
      <c r="D1" s="18" t="s">
        <v>321</v>
      </c>
      <c r="E1" s="18" t="s">
        <v>305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69" customFormat="1">
      <c r="A2" s="18" t="s">
        <v>1576</v>
      </c>
      <c r="B2" s="18" t="s">
        <v>578</v>
      </c>
      <c r="C2" s="19" t="s">
        <v>582</v>
      </c>
      <c r="D2" s="19" t="s">
        <v>583</v>
      </c>
      <c r="E2" s="19" t="s">
        <v>584</v>
      </c>
      <c r="F2" s="19" t="s">
        <v>1331</v>
      </c>
      <c r="G2" s="19" t="s">
        <v>585</v>
      </c>
      <c r="H2" s="19" t="s">
        <v>585</v>
      </c>
      <c r="I2" s="19" t="s">
        <v>585</v>
      </c>
    </row>
    <row r="3" spans="1:9">
      <c r="A3" s="18">
        <v>1</v>
      </c>
      <c r="B3" s="19" t="s">
        <v>1625</v>
      </c>
      <c r="C3" s="19"/>
      <c r="D3" s="19"/>
      <c r="E3" s="19"/>
      <c r="F3" s="19"/>
      <c r="G3" s="19"/>
      <c r="H3" s="19"/>
      <c r="I3" s="19"/>
    </row>
    <row r="4" spans="1:9">
      <c r="A4" s="18">
        <v>2</v>
      </c>
      <c r="B4" s="19" t="s">
        <v>1624</v>
      </c>
      <c r="C4" s="19"/>
      <c r="D4" s="19"/>
      <c r="E4" s="19"/>
      <c r="F4" s="19"/>
      <c r="G4" s="19"/>
      <c r="H4" s="19"/>
      <c r="I4" s="19"/>
    </row>
    <row r="5" spans="1:9">
      <c r="A5" s="18">
        <v>3</v>
      </c>
      <c r="B5" s="19" t="s">
        <v>1623</v>
      </c>
      <c r="C5" s="19"/>
      <c r="D5" s="19"/>
      <c r="E5" s="19"/>
      <c r="F5" s="19"/>
      <c r="G5" s="19"/>
      <c r="H5" s="19"/>
      <c r="I5" s="19"/>
    </row>
    <row r="6" spans="1:9">
      <c r="A6" s="18">
        <v>4</v>
      </c>
      <c r="B6" s="19" t="s">
        <v>1622</v>
      </c>
      <c r="C6" s="19"/>
      <c r="D6" s="19"/>
      <c r="E6" s="19"/>
      <c r="F6" s="19"/>
      <c r="G6" s="19"/>
      <c r="H6" s="19"/>
      <c r="I6" s="19"/>
    </row>
    <row r="7" spans="1:9">
      <c r="A7" s="18">
        <v>5</v>
      </c>
      <c r="B7" s="19" t="s">
        <v>1621</v>
      </c>
      <c r="C7" s="19"/>
      <c r="D7" s="19"/>
      <c r="E7" s="19"/>
      <c r="F7" s="19"/>
      <c r="G7" s="19"/>
      <c r="H7" s="19"/>
      <c r="I7" s="19"/>
    </row>
    <row r="8" spans="1:9">
      <c r="A8" s="18">
        <v>6</v>
      </c>
      <c r="B8" s="19" t="s">
        <v>1620</v>
      </c>
      <c r="C8" s="19"/>
      <c r="D8" s="19"/>
      <c r="E8" s="19"/>
      <c r="F8" s="19"/>
      <c r="G8" s="19"/>
      <c r="H8" s="19"/>
      <c r="I8" s="19"/>
    </row>
    <row r="9" spans="1:9">
      <c r="A9" s="18">
        <v>7</v>
      </c>
      <c r="B9" s="19" t="s">
        <v>1619</v>
      </c>
      <c r="C9" s="19"/>
      <c r="D9" s="19"/>
      <c r="E9" s="19"/>
      <c r="F9" s="19"/>
      <c r="G9" s="19"/>
      <c r="H9" s="19"/>
      <c r="I9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A96611-0700-4D0A-9AE0-D174A6E0BF92}">
          <x14:formula1>
            <xm:f>_mySQL!$A$2:$A$50</xm:f>
          </x14:formula1>
          <xm:sqref>B2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F359-32CC-4B40-AD82-DAFB4C2C4DCD}">
  <sheetPr codeName="Sheet39"/>
  <dimension ref="A1:J13"/>
  <sheetViews>
    <sheetView workbookViewId="0">
      <selection activeCell="E8" sqref="E8"/>
    </sheetView>
  </sheetViews>
  <sheetFormatPr defaultColWidth="15.7109375" defaultRowHeight="15"/>
  <cols>
    <col min="1" max="1" width="25.28515625" style="18" bestFit="1" customWidth="1"/>
    <col min="2" max="2" width="19" style="18" bestFit="1" customWidth="1"/>
    <col min="3" max="16384" width="15.7109375" style="18"/>
  </cols>
  <sheetData>
    <row r="1" spans="1:10" s="69" customFormat="1">
      <c r="A1" s="18" t="s">
        <v>0</v>
      </c>
      <c r="B1" s="18" t="s">
        <v>1633</v>
      </c>
      <c r="C1" s="18" t="s">
        <v>2</v>
      </c>
      <c r="D1" s="18" t="s">
        <v>13</v>
      </c>
      <c r="E1" s="18" t="s">
        <v>321</v>
      </c>
      <c r="F1" s="18" t="s">
        <v>305</v>
      </c>
      <c r="G1" s="18" t="s">
        <v>14</v>
      </c>
      <c r="H1" s="18" t="s">
        <v>15</v>
      </c>
      <c r="I1" s="18" t="s">
        <v>16</v>
      </c>
      <c r="J1" s="18" t="s">
        <v>17</v>
      </c>
    </row>
    <row r="2" spans="1:10" s="69" customFormat="1">
      <c r="A2" s="73" t="s">
        <v>1576</v>
      </c>
      <c r="B2" s="18" t="s">
        <v>1333</v>
      </c>
      <c r="C2" s="74" t="s">
        <v>578</v>
      </c>
      <c r="D2" s="19" t="s">
        <v>582</v>
      </c>
      <c r="E2" s="19" t="s">
        <v>583</v>
      </c>
      <c r="F2" s="19" t="s">
        <v>584</v>
      </c>
      <c r="G2" s="75" t="s">
        <v>1331</v>
      </c>
      <c r="H2" s="75" t="s">
        <v>585</v>
      </c>
      <c r="I2" s="19" t="s">
        <v>585</v>
      </c>
      <c r="J2" s="19" t="s">
        <v>585</v>
      </c>
    </row>
    <row r="3" spans="1:10" s="69" customFormat="1">
      <c r="A3" s="18">
        <v>1</v>
      </c>
      <c r="B3" s="18">
        <v>7</v>
      </c>
      <c r="C3" s="18" t="s">
        <v>1700</v>
      </c>
      <c r="D3" s="19"/>
      <c r="E3" s="19"/>
      <c r="F3" s="19"/>
      <c r="G3" s="19"/>
      <c r="H3" s="19"/>
      <c r="I3" s="19"/>
      <c r="J3" s="19"/>
    </row>
    <row r="4" spans="1:10">
      <c r="A4" s="18">
        <v>2</v>
      </c>
      <c r="B4" s="19">
        <v>7</v>
      </c>
      <c r="C4" s="19" t="s">
        <v>1632</v>
      </c>
      <c r="D4" s="19"/>
      <c r="E4" s="19"/>
      <c r="F4" s="19"/>
      <c r="G4" s="19"/>
      <c r="H4" s="19"/>
      <c r="I4" s="19"/>
      <c r="J4" s="19"/>
    </row>
    <row r="5" spans="1:10">
      <c r="A5" s="18">
        <v>3</v>
      </c>
      <c r="B5" s="19">
        <v>7</v>
      </c>
      <c r="C5" s="19" t="s">
        <v>1619</v>
      </c>
      <c r="D5" s="19"/>
      <c r="E5" s="19"/>
      <c r="F5" s="19"/>
      <c r="G5" s="19"/>
      <c r="H5" s="19"/>
      <c r="I5" s="19"/>
      <c r="J5" s="19"/>
    </row>
    <row r="6" spans="1:10">
      <c r="A6" s="18">
        <v>4</v>
      </c>
      <c r="B6" s="19">
        <v>7</v>
      </c>
      <c r="C6" s="19" t="s">
        <v>1631</v>
      </c>
      <c r="D6" s="19"/>
      <c r="E6" s="19"/>
      <c r="F6" s="19"/>
      <c r="G6" s="19"/>
      <c r="H6" s="19"/>
      <c r="I6" s="19"/>
      <c r="J6" s="19"/>
    </row>
    <row r="7" spans="1:10">
      <c r="A7" s="18">
        <v>5</v>
      </c>
      <c r="B7" s="19">
        <v>7</v>
      </c>
      <c r="C7" s="19" t="s">
        <v>1630</v>
      </c>
      <c r="D7" s="19"/>
      <c r="E7" s="19"/>
      <c r="F7" s="19"/>
      <c r="G7" s="19"/>
      <c r="H7" s="19"/>
      <c r="I7" s="19"/>
      <c r="J7" s="19"/>
    </row>
    <row r="8" spans="1:10">
      <c r="A8" s="18">
        <v>6</v>
      </c>
      <c r="B8" s="19">
        <v>7</v>
      </c>
      <c r="C8" s="19" t="s">
        <v>1512</v>
      </c>
      <c r="D8" s="19"/>
      <c r="E8" s="19"/>
      <c r="F8" s="19"/>
      <c r="G8" s="19"/>
      <c r="H8" s="19"/>
      <c r="I8" s="19"/>
      <c r="J8" s="19"/>
    </row>
    <row r="9" spans="1:10">
      <c r="A9" s="18">
        <v>7</v>
      </c>
      <c r="B9" s="19">
        <v>7</v>
      </c>
      <c r="C9" s="19" t="s">
        <v>1629</v>
      </c>
      <c r="D9" s="19"/>
      <c r="E9" s="19"/>
      <c r="F9" s="19"/>
      <c r="G9" s="19"/>
      <c r="H9" s="19"/>
      <c r="I9" s="19"/>
      <c r="J9" s="19"/>
    </row>
    <row r="10" spans="1:10">
      <c r="A10" s="18">
        <v>8</v>
      </c>
      <c r="B10" s="19">
        <v>6</v>
      </c>
      <c r="C10" s="19" t="s">
        <v>1628</v>
      </c>
      <c r="D10" s="19"/>
      <c r="E10" s="19"/>
      <c r="F10" s="19"/>
      <c r="G10" s="19"/>
      <c r="H10" s="19"/>
      <c r="I10" s="19"/>
      <c r="J10" s="19"/>
    </row>
    <row r="11" spans="1:10">
      <c r="A11" s="18">
        <v>9</v>
      </c>
      <c r="B11" s="19">
        <v>6</v>
      </c>
      <c r="C11" s="19" t="s">
        <v>1619</v>
      </c>
      <c r="D11" s="19"/>
      <c r="E11" s="19"/>
      <c r="F11" s="19"/>
      <c r="G11" s="19"/>
      <c r="H11" s="19"/>
      <c r="I11" s="19"/>
      <c r="J11" s="19"/>
    </row>
    <row r="12" spans="1:10">
      <c r="A12" s="18">
        <v>10</v>
      </c>
      <c r="B12" s="19">
        <v>6</v>
      </c>
      <c r="C12" s="19" t="s">
        <v>1627</v>
      </c>
      <c r="D12" s="19"/>
      <c r="E12" s="19"/>
      <c r="F12" s="19"/>
      <c r="G12" s="19"/>
      <c r="H12" s="19"/>
      <c r="I12" s="19"/>
      <c r="J12" s="19"/>
    </row>
    <row r="13" spans="1:10">
      <c r="A13" s="18">
        <v>11</v>
      </c>
      <c r="B13" s="19">
        <v>6</v>
      </c>
      <c r="C13" s="19" t="s">
        <v>1626</v>
      </c>
      <c r="D13" s="19"/>
      <c r="E13" s="19"/>
      <c r="F13" s="19"/>
      <c r="G13" s="19"/>
      <c r="H13" s="19"/>
      <c r="I13" s="19"/>
      <c r="J13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7F8EC5-212C-466C-8097-E1096F248AFE}">
          <x14:formula1>
            <xm:f>_mySQL!$A$2:$A$50</xm:f>
          </x14:formula1>
          <xm:sqref>H2 C2 B2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M32" sqref="M32"/>
    </sheetView>
  </sheetViews>
  <sheetFormatPr defaultColWidth="15.7109375" defaultRowHeight="15"/>
  <cols>
    <col min="1" max="16384" width="15.7109375" style="1"/>
  </cols>
  <sheetData>
    <row r="1" spans="1:1">
      <c r="A1" s="1" t="s">
        <v>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_mySQL</vt:lpstr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product_standard_times</vt:lpstr>
      <vt:lpstr>_CT</vt:lpstr>
      <vt:lpstr>_total</vt:lpstr>
      <vt:lpstr>works</vt:lpstr>
      <vt:lpstr>batched_works</vt:lpstr>
      <vt:lpstr>nonbatched_works</vt:lpstr>
      <vt:lpstr>extra_works</vt:lpstr>
      <vt:lpstr>performances</vt:lpstr>
      <vt:lpstr>equipment_runtimes</vt:lpstr>
      <vt:lpstr>users</vt:lpstr>
      <vt:lpstr>roles</vt:lpstr>
      <vt:lpstr>employees</vt:lpstr>
      <vt:lpstr>role_user</vt:lpstr>
      <vt:lpstr>phones</vt:lpstr>
      <vt:lpstr>departments</vt:lpstr>
      <vt:lpstr>subdepartments</vt:lpstr>
      <vt:lpstr>_template</vt:lpstr>
      <vt:lpstr>aaaa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2025-11-01T09:44:39Z</dcterms:modified>
</cp:coreProperties>
</file>